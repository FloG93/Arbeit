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Azubi-Ansicht" sheetId="2" state="visible" r:id="rId2"/>
    <sheet xmlns:r="http://schemas.openxmlformats.org/officeDocument/2006/relationships" name="Gesprächsseite" sheetId="3" state="visible" r:id="rId3"/>
    <sheet xmlns:r="http://schemas.openxmlformats.org/officeDocument/2006/relationships" name="Halbjahr" sheetId="4" state="visible" r:id="rId4"/>
    <sheet xmlns:r="http://schemas.openxmlformats.org/officeDocument/2006/relationships" name="Übungen" sheetId="5" state="visible" r:id="rId5"/>
    <sheet xmlns:r="http://schemas.openxmlformats.org/officeDocument/2006/relationships" name="Stammdaten" sheetId="6" state="visible" r:id="rId6"/>
    <sheet xmlns:r="http://schemas.openxmlformats.org/officeDocument/2006/relationships" name="Einstellungen" sheetId="7" state="visible" r:id="rId7"/>
    <sheet xmlns:r="http://schemas.openxmlformats.org/officeDocument/2006/relationships" name="Anleitung" sheetId="8" state="visible" r:id="rId8"/>
    <sheet xmlns:r="http://schemas.openxmlformats.org/officeDocument/2006/relationships" name="Übung 01" sheetId="9" state="visible" r:id="rId9"/>
    <sheet xmlns:r="http://schemas.openxmlformats.org/officeDocument/2006/relationships" name="Übung 02" sheetId="10" state="visible" r:id="rId10"/>
    <sheet xmlns:r="http://schemas.openxmlformats.org/officeDocument/2006/relationships" name="Übung 03" sheetId="11" state="visible" r:id="rId11"/>
    <sheet xmlns:r="http://schemas.openxmlformats.org/officeDocument/2006/relationships" name="Übung 04" sheetId="12" state="visible" r:id="rId12"/>
    <sheet xmlns:r="http://schemas.openxmlformats.org/officeDocument/2006/relationships" name="Übung 05" sheetId="13" state="visible" r:id="rId13"/>
    <sheet xmlns:r="http://schemas.openxmlformats.org/officeDocument/2006/relationships" name="Übung 06" sheetId="14" state="visible" r:id="rId14"/>
    <sheet xmlns:r="http://schemas.openxmlformats.org/officeDocument/2006/relationships" name="Übung 07" sheetId="15" state="visible" r:id="rId15"/>
    <sheet xmlns:r="http://schemas.openxmlformats.org/officeDocument/2006/relationships" name="Übung 08" sheetId="16" state="visible" r:id="rId16"/>
    <sheet xmlns:r="http://schemas.openxmlformats.org/officeDocument/2006/relationships" name="Übung 09" sheetId="17" state="visible" r:id="rId17"/>
    <sheet xmlns:r="http://schemas.openxmlformats.org/officeDocument/2006/relationships" name="Übung 10" sheetId="18" state="visible" r:id="rId18"/>
    <sheet xmlns:r="http://schemas.openxmlformats.org/officeDocument/2006/relationships" name="Übung 11" sheetId="19" state="visible" r:id="rId19"/>
    <sheet xmlns:r="http://schemas.openxmlformats.org/officeDocument/2006/relationships" name="Übung 12" sheetId="20" state="visible" r:id="rId20"/>
    <sheet xmlns:r="http://schemas.openxmlformats.org/officeDocument/2006/relationships" name="Übung 13" sheetId="21" state="visible" r:id="rId21"/>
    <sheet xmlns:r="http://schemas.openxmlformats.org/officeDocument/2006/relationships" name="Übung 14" sheetId="22" state="visible" r:id="rId22"/>
    <sheet xmlns:r="http://schemas.openxmlformats.org/officeDocument/2006/relationships" name="Übung 15" sheetId="23" state="visible" r:id="rId23"/>
    <sheet xmlns:r="http://schemas.openxmlformats.org/officeDocument/2006/relationships" name="Übung 16" sheetId="24" state="visible" r:id="rId24"/>
    <sheet xmlns:r="http://schemas.openxmlformats.org/officeDocument/2006/relationships" name="Übung 17" sheetId="25" state="visible" r:id="rId25"/>
    <sheet xmlns:r="http://schemas.openxmlformats.org/officeDocument/2006/relationships" name="Übung 18" sheetId="26" state="visible" r:id="rId26"/>
    <sheet xmlns:r="http://schemas.openxmlformats.org/officeDocument/2006/relationships" name="Übung 19" sheetId="27" state="visible" r:id="rId27"/>
    <sheet xmlns:r="http://schemas.openxmlformats.org/officeDocument/2006/relationships" name="Übung 20" sheetId="28" state="visible" r:id="rId28"/>
    <sheet xmlns:r="http://schemas.openxmlformats.org/officeDocument/2006/relationships" name="Vorlage" sheetId="29" state="visible" r:id="rId29"/>
    <sheet xmlns:r="http://schemas.openxmlformats.org/officeDocument/2006/relationships" name="Daten" sheetId="30" state="hidden" r:id="rId30"/>
  </sheets>
  <definedNames>
    <definedName name="Noten">Einstellungen!$B$7:$B$12</definedName>
    <definedName name="NGrenze">Einstellungen!$C$7:$C$12</definedName>
    <definedName name="NText">Einstellungen!$D$7:$D$12</definedName>
    <definedName name="PktStd">Einstellungen!$C$16</definedName>
    <definedName name="SchwelleDB">Einstellungen!$C$17</definedName>
    <definedName name="GewAn">Einstellungen!$C$18</definedName>
    <definedName name="GewP">Einstellungen!$C$19</definedName>
    <definedName name="GewT">Einstellungen!$C$20</definedName>
    <definedName name="WdhStd">Einstellungen!$C$21</definedName>
    <definedName name="WarnNote">Einstellungen!$C$22</definedName>
    <definedName name="Berufe">Einstellungen!$B$25:$B$34</definedName>
    <definedName name="AzubiAuswahl">OFFSET(Daten!$D$2452,0,0,MAX(1,Daten!$B$2344),1)</definedName>
    <definedName name="AzubiAktiv">OFFSET(Daten!$D$2557,0,0,MAX(1,Daten!$B$2556),1)</definedName>
    <definedName name="JahrAuswahl">OFFSET(Daten!$C$2662,0,0,1+COUNT(Daten!$B$2663:$B$2762),1)</definedName>
    <definedName name="BerufAuswahl">OFFSET(Daten!$C$2769,0,0,1+COUNTIF(Berufe,"?*"),1)</definedName>
    <definedName name="HJAuswahl">Daten!$C$1703:$J$1703</definedName>
    <definedName name="_xlnm.Print_Area" localSheetId="0">'Start'!$A$1:$N$35</definedName>
    <definedName name="_xlnm.Print_Area" localSheetId="1">'Azubi-Ansicht'!$A$1:$M$75</definedName>
    <definedName name="_xlnm.Print_Area" localSheetId="2">'Gesprächsseite'!$A$3:$H$50</definedName>
    <definedName name="_xlnm.Print_Titles" localSheetId="3">'Halbjahr'!$1:$6</definedName>
    <definedName name="_xlnm.Print_Area" localSheetId="3">'Halbjahr'!$A$1:$P$111</definedName>
    <definedName name="_xlnm.Print_Titles" localSheetId="4">'Übungen'!$1:$5</definedName>
    <definedName name="_xlnm.Print_Area" localSheetId="4">'Übungen'!$A$1:$O$29</definedName>
    <definedName name="_xlnm.Print_Titles" localSheetId="5">'Stammdaten'!$1:$5</definedName>
    <definedName name="_xlnm.Print_Area" localSheetId="5">'Stammdaten'!$A$1:$L$109</definedName>
    <definedName name="_xlnm.Print_Area" localSheetId="6">'Einstellungen'!$A$1:$F$38</definedName>
    <definedName name="_xlnm.Print_Area" localSheetId="7">'Anleitung'!$A$3:$D$62</definedName>
    <definedName name="_xlnm.Print_Titles" localSheetId="8">'Übung 01'!$1:$10,'Übung 01'!$A:$D</definedName>
    <definedName name="_xlnm.Print_Area" localSheetId="8">'Übung 01'!$A$1:$AC$49</definedName>
    <definedName name="_xlnm.Print_Titles" localSheetId="9">'Übung 02'!$1:$10,'Übung 02'!$A:$D</definedName>
    <definedName name="_xlnm.Print_Area" localSheetId="9">'Übung 02'!$A$1:$AC$49</definedName>
    <definedName name="_xlnm.Print_Titles" localSheetId="10">'Übung 03'!$1:$10,'Übung 03'!$A:$D</definedName>
    <definedName name="_xlnm.Print_Area" localSheetId="10">'Übung 03'!$A$1:$AC$49</definedName>
    <definedName name="_xlnm.Print_Titles" localSheetId="11">'Übung 04'!$1:$10,'Übung 04'!$A:$D</definedName>
    <definedName name="_xlnm.Print_Area" localSheetId="11">'Übung 04'!$A$1:$AC$49</definedName>
    <definedName name="_xlnm.Print_Titles" localSheetId="12">'Übung 05'!$1:$10,'Übung 05'!$A:$D</definedName>
    <definedName name="_xlnm.Print_Area" localSheetId="12">'Übung 05'!$A$1:$AC$49</definedName>
    <definedName name="_xlnm.Print_Titles" localSheetId="13">'Übung 06'!$1:$10,'Übung 06'!$A:$D</definedName>
    <definedName name="_xlnm.Print_Area" localSheetId="13">'Übung 06'!$A$1:$AC$49</definedName>
    <definedName name="_xlnm.Print_Titles" localSheetId="14">'Übung 07'!$1:$10,'Übung 07'!$A:$D</definedName>
    <definedName name="_xlnm.Print_Area" localSheetId="14">'Übung 07'!$A$1:$AC$49</definedName>
    <definedName name="_xlnm.Print_Titles" localSheetId="15">'Übung 08'!$1:$10,'Übung 08'!$A:$D</definedName>
    <definedName name="_xlnm.Print_Area" localSheetId="15">'Übung 08'!$A$1:$AC$49</definedName>
    <definedName name="_xlnm.Print_Titles" localSheetId="16">'Übung 09'!$1:$10,'Übung 09'!$A:$D</definedName>
    <definedName name="_xlnm.Print_Area" localSheetId="16">'Übung 09'!$A$1:$AC$49</definedName>
    <definedName name="_xlnm.Print_Titles" localSheetId="17">'Übung 10'!$1:$10,'Übung 10'!$A:$D</definedName>
    <definedName name="_xlnm.Print_Area" localSheetId="17">'Übung 10'!$A$1:$AC$49</definedName>
    <definedName name="_xlnm.Print_Titles" localSheetId="18">'Übung 11'!$1:$10,'Übung 11'!$A:$D</definedName>
    <definedName name="_xlnm.Print_Area" localSheetId="18">'Übung 11'!$A$1:$AC$49</definedName>
    <definedName name="_xlnm.Print_Titles" localSheetId="19">'Übung 12'!$1:$10,'Übung 12'!$A:$D</definedName>
    <definedName name="_xlnm.Print_Area" localSheetId="19">'Übung 12'!$A$1:$AC$49</definedName>
    <definedName name="_xlnm.Print_Titles" localSheetId="20">'Übung 13'!$1:$10,'Übung 13'!$A:$D</definedName>
    <definedName name="_xlnm.Print_Area" localSheetId="20">'Übung 13'!$A$1:$AC$49</definedName>
    <definedName name="_xlnm.Print_Titles" localSheetId="21">'Übung 14'!$1:$10,'Übung 14'!$A:$D</definedName>
    <definedName name="_xlnm.Print_Area" localSheetId="21">'Übung 14'!$A$1:$AC$49</definedName>
    <definedName name="_xlnm.Print_Titles" localSheetId="22">'Übung 15'!$1:$10,'Übung 15'!$A:$D</definedName>
    <definedName name="_xlnm.Print_Area" localSheetId="22">'Übung 15'!$A$1:$AC$49</definedName>
    <definedName name="_xlnm.Print_Titles" localSheetId="23">'Übung 16'!$1:$10,'Übung 16'!$A:$D</definedName>
    <definedName name="_xlnm.Print_Area" localSheetId="23">'Übung 16'!$A$1:$AC$49</definedName>
    <definedName name="_xlnm.Print_Titles" localSheetId="24">'Übung 17'!$1:$10,'Übung 17'!$A:$D</definedName>
    <definedName name="_xlnm.Print_Area" localSheetId="24">'Übung 17'!$A$1:$AC$49</definedName>
    <definedName name="_xlnm.Print_Titles" localSheetId="25">'Übung 18'!$1:$10,'Übung 18'!$A:$D</definedName>
    <definedName name="_xlnm.Print_Area" localSheetId="25">'Übung 18'!$A$1:$AC$49</definedName>
    <definedName name="_xlnm.Print_Titles" localSheetId="26">'Übung 19'!$1:$10,'Übung 19'!$A:$D</definedName>
    <definedName name="_xlnm.Print_Area" localSheetId="26">'Übung 19'!$A$1:$AC$49</definedName>
    <definedName name="_xlnm.Print_Titles" localSheetId="27">'Übung 20'!$1:$10,'Übung 20'!$A:$D</definedName>
    <definedName name="_xlnm.Print_Area" localSheetId="27">'Übung 20'!$A$1:$AC$49</definedName>
    <definedName name="_xlnm.Print_Titles" localSheetId="28">'Vorlage'!$1:$10,'Vorlage'!$A:$D</definedName>
    <definedName name="_xlnm.Print_Area" localSheetId="28">'Vorlage'!$A$1:$AC$49</definedName>
  </definedNames>
  <calcPr calcId="124519" fullCalcOnLoad="1"/>
</workbook>
</file>

<file path=xl/styles.xml><?xml version="1.0" encoding="utf-8"?>
<styleSheet xmlns="http://schemas.openxmlformats.org/spreadsheetml/2006/main">
  <numFmts count="6">
    <numFmt numFmtId="164" formatCode="DD.MM.YYYY"/>
    <numFmt numFmtId="165" formatCode="0;0;&quot;–&quot;"/>
    <numFmt numFmtId="166" formatCode="0.##"/>
    <numFmt numFmtId="167" formatCode="0.0%"/>
    <numFmt numFmtId="168" formatCode="0.##;-0.##;&quot;&quot;"/>
    <numFmt numFmtId="169" formatCode="[=1]&quot;1 Fall&quot;;[=0]&quot;in Ordnung&quot;;0&quot; Fälle&quot;"/>
  </numFmts>
  <fonts count="50">
    <font>
      <name val="Calibri"/>
      <family val="2"/>
      <color theme="1"/>
      <sz val="11"/>
      <scheme val="minor"/>
    </font>
    <font>
      <name val="Arial"/>
      <b val="1"/>
      <color rgb="00FFFFFF"/>
      <sz val="20"/>
    </font>
    <font>
      <name val="Arial"/>
      <color rgb="00DCE4EF"/>
      <sz val="10"/>
    </font>
    <font>
      <name val="Arial"/>
      <b val="1"/>
      <color rgb="00FFFFFF"/>
      <sz val="11"/>
      <u val="single"/>
    </font>
    <font>
      <name val="Arial"/>
      <color rgb="006B7684"/>
      <sz val="9.5"/>
    </font>
    <font>
      <name val="Arial"/>
      <b val="1"/>
      <color rgb="0022395C"/>
      <sz val="13"/>
    </font>
    <font>
      <name val="Arial"/>
      <b val="1"/>
      <color rgb="00FFFFFF"/>
      <sz val="10"/>
    </font>
    <font>
      <name val="Arial"/>
      <b val="1"/>
      <color rgb="001C2733"/>
      <sz val="12"/>
    </font>
    <font>
      <name val="Arial"/>
      <color rgb="001C2733"/>
      <sz val="12"/>
    </font>
    <font>
      <name val="Arial"/>
      <color rgb="001C2733"/>
      <sz val="11"/>
    </font>
    <font>
      <name val="Arial"/>
      <color rgb="006B7684"/>
      <sz val="10"/>
    </font>
    <font>
      <name val="Arial"/>
      <b val="1"/>
      <color rgb="001C2733"/>
      <sz val="10"/>
    </font>
    <font>
      <name val="Arial"/>
      <b val="1"/>
      <color rgb="001C2733"/>
      <sz val="11"/>
    </font>
    <font>
      <name val="Arial"/>
      <color rgb="001C2733"/>
      <sz val="10"/>
    </font>
    <font>
      <name val="Arial"/>
      <b val="1"/>
      <color rgb="00FFFFFF"/>
      <sz val="10.5"/>
    </font>
    <font>
      <name val="Arial"/>
      <color rgb="003F5168"/>
      <sz val="11"/>
    </font>
    <font>
      <name val="Arial"/>
      <b val="1"/>
      <color rgb="003F5168"/>
      <sz val="11"/>
    </font>
    <font>
      <name val="Arial"/>
      <b val="1"/>
      <color rgb="000E7C86"/>
      <sz val="10.5"/>
      <u val="single"/>
    </font>
    <font>
      <name val="Arial"/>
      <color rgb="003F5168"/>
      <sz val="10.5"/>
    </font>
    <font>
      <name val="Arial"/>
      <b val="1"/>
      <color rgb="003F5168"/>
      <sz val="10.5"/>
    </font>
    <font>
      <name val="Arial"/>
      <b val="1"/>
      <color rgb="001C2733"/>
      <sz val="10.5"/>
    </font>
    <font>
      <name val="Arial"/>
      <b val="1"/>
      <color rgb="00FFFFFF"/>
      <sz val="16"/>
    </font>
    <font>
      <name val="Arial"/>
      <b val="1"/>
      <color rgb="00FFFFFF"/>
      <sz val="10"/>
      <u val="single"/>
    </font>
    <font>
      <name val="Arial"/>
      <b val="1"/>
      <color rgb="00FFFFFF"/>
      <sz val="9.5"/>
    </font>
    <font>
      <name val="Arial"/>
      <b val="1"/>
      <color rgb="0022395C"/>
      <sz val="10"/>
    </font>
    <font>
      <name val="Arial"/>
      <color rgb="006B7684"/>
      <sz val="9"/>
    </font>
    <font>
      <name val="Arial"/>
      <color rgb="0022395C"/>
      <sz val="10"/>
    </font>
    <font>
      <name val="Arial"/>
      <color rgb="003F5168"/>
      <sz val="10"/>
    </font>
    <font>
      <name val="Arial"/>
      <color rgb="006B7684"/>
      <sz val="8.5"/>
    </font>
    <font>
      <name val="Arial"/>
      <b val="1"/>
      <color rgb="003F5168"/>
      <sz val="10"/>
    </font>
    <font>
      <name val="Arial"/>
      <color rgb="001C2733"/>
      <sz val="9"/>
    </font>
    <font>
      <name val="Arial"/>
      <b val="1"/>
      <color rgb="001C2733"/>
      <sz val="9.5"/>
    </font>
    <font>
      <name val="Arial"/>
      <b val="1"/>
      <color rgb="00FFFFFF"/>
      <sz val="11"/>
    </font>
    <font>
      <name val="Arial"/>
      <b val="1"/>
      <color rgb="001C2733"/>
      <sz val="9"/>
    </font>
    <font>
      <name val="Arial"/>
      <b val="1"/>
      <color rgb="0022395C"/>
      <sz val="9"/>
    </font>
    <font>
      <name val="Arial"/>
      <b val="1"/>
      <color rgb="000E7C86"/>
      <sz val="11"/>
      <u val="single"/>
    </font>
    <font>
      <name val="Arial"/>
      <b val="1"/>
      <color rgb="0022395C"/>
      <sz val="22"/>
    </font>
    <font>
      <name val="Arial"/>
      <b val="1"/>
      <color rgb="00FFFFFF"/>
      <sz val="13"/>
    </font>
    <font>
      <name val="Arial"/>
      <b val="1"/>
      <color rgb="0022395C"/>
      <sz val="11"/>
    </font>
    <font>
      <name val="Arial"/>
      <i val="1"/>
      <color rgb="006B7684"/>
      <sz val="9.5"/>
    </font>
    <font>
      <name val="Arial"/>
      <b val="1"/>
      <color rgb="0022395C"/>
      <sz val="10.5"/>
    </font>
    <font>
      <name val="Arial"/>
      <i val="1"/>
      <color rgb="006B7684"/>
      <sz val="10"/>
    </font>
    <font>
      <name val="Arial"/>
      <b val="1"/>
      <color rgb="001C2733"/>
      <sz val="13"/>
    </font>
    <font>
      <name val="Arial"/>
      <color rgb="00C0392B"/>
      <sz val="10"/>
    </font>
    <font>
      <name val="Arial"/>
      <b val="1"/>
      <color rgb="0022395C"/>
      <sz val="11.5"/>
    </font>
    <font>
      <name val="Arial"/>
      <b val="1"/>
      <color rgb="0022395C"/>
      <sz val="12"/>
    </font>
    <font>
      <name val="Arial"/>
      <b val="1"/>
      <color rgb="001C2733"/>
      <sz val="11.5"/>
    </font>
    <font>
      <name val="Arial"/>
      <color rgb="001C2733"/>
      <sz val="10.5"/>
    </font>
    <font>
      <name val="Arial"/>
      <b val="1"/>
      <color rgb="0022395C"/>
      <sz val="12.5"/>
    </font>
    <font>
      <name val="Arial"/>
      <b val="1"/>
      <color rgb="000E7C86"/>
      <sz val="11"/>
    </font>
  </fonts>
  <fills count="16">
    <fill>
      <patternFill/>
    </fill>
    <fill>
      <patternFill patternType="gray125"/>
    </fill>
    <fill>
      <patternFill patternType="solid">
        <fgColor rgb="0022395C"/>
      </patternFill>
    </fill>
    <fill>
      <patternFill patternType="solid">
        <fgColor rgb="00F4F6F9"/>
      </patternFill>
    </fill>
    <fill>
      <patternFill patternType="solid">
        <fgColor rgb="0034557F"/>
      </patternFill>
    </fill>
    <fill>
      <patternFill patternType="solid">
        <fgColor rgb="00FFF8E1"/>
      </patternFill>
    </fill>
    <fill>
      <patternFill patternType="solid">
        <fgColor rgb="001E7B34"/>
      </patternFill>
    </fill>
    <fill>
      <patternFill patternType="solid">
        <fgColor rgb="00A8D08D"/>
      </patternFill>
    </fill>
    <fill>
      <patternFill patternType="solid">
        <fgColor rgb="00FFD966"/>
      </patternFill>
    </fill>
    <fill>
      <patternFill patternType="solid">
        <fgColor rgb="00F4A742"/>
      </patternFill>
    </fill>
    <fill>
      <patternFill patternType="solid">
        <fgColor rgb="00E03C31"/>
      </patternFill>
    </fill>
    <fill>
      <patternFill patternType="solid">
        <fgColor rgb="008E1B13"/>
      </patternFill>
    </fill>
    <fill>
      <patternFill patternType="solid">
        <fgColor rgb="00EDF1F6"/>
      </patternFill>
    </fill>
    <fill>
      <patternFill patternType="solid">
        <fgColor rgb="00FFFFFF"/>
      </patternFill>
    </fill>
    <fill>
      <patternFill patternType="solid">
        <fgColor rgb="000E7C86"/>
      </patternFill>
    </fill>
    <fill>
      <patternFill patternType="solid">
        <fgColor rgb="00DCE4EF"/>
      </patternFill>
    </fill>
  </fills>
  <borders count="27">
    <border>
      <left/>
      <right/>
      <top/>
      <bottom/>
      <diagonal/>
    </border>
    <border>
      <left style="thin">
        <color rgb="00FFFFFF"/>
      </left>
      <right style="thin">
        <color rgb="00FFFFFF"/>
      </right>
      <top style="thin">
        <color rgb="00FFFFFF"/>
      </top>
      <bottom style="thin">
        <color rgb="00FFFFFF"/>
      </bottom>
    </border>
    <border>
      <left style="thin">
        <color rgb="00E0C068"/>
      </left>
      <right style="thin">
        <color rgb="00E0C068"/>
      </right>
      <top style="thin">
        <color rgb="00E0C068"/>
      </top>
      <bottom style="thin">
        <color rgb="00E0C068"/>
      </bottom>
    </border>
    <border>
      <left style="thin">
        <color rgb="00D4DAE3"/>
      </left>
      <right style="thin">
        <color rgb="00D4DAE3"/>
      </right>
      <top style="thin">
        <color rgb="00D4DAE3"/>
      </top>
      <bottom style="thin">
        <color rgb="00D4DAE3"/>
      </bottom>
    </border>
    <border>
      <left style="thin">
        <color rgb="009AA7B8"/>
      </left>
      <right/>
      <top style="thin">
        <color rgb="009AA7B8"/>
      </top>
      <bottom/>
    </border>
    <border>
      <left/>
      <right/>
      <top style="thin">
        <color rgb="009AA7B8"/>
      </top>
      <bottom/>
    </border>
    <border>
      <left/>
      <right style="thin">
        <color rgb="009AA7B8"/>
      </right>
      <top style="thin">
        <color rgb="009AA7B8"/>
      </top>
      <bottom/>
    </border>
    <border>
      <left style="thin">
        <color rgb="009AA7B8"/>
      </left>
      <right/>
      <top/>
      <bottom/>
    </border>
    <border>
      <left/>
      <right/>
      <top/>
      <bottom/>
    </border>
    <border>
      <left/>
      <right style="thin">
        <color rgb="009AA7B8"/>
      </right>
      <top/>
      <bottom/>
    </border>
    <border>
      <left style="thin">
        <color rgb="009AA7B8"/>
      </left>
      <right/>
      <top/>
      <bottom style="thin">
        <color rgb="009AA7B8"/>
      </bottom>
    </border>
    <border>
      <left/>
      <right/>
      <top/>
      <bottom style="thin">
        <color rgb="009AA7B8"/>
      </bottom>
    </border>
    <border>
      <left/>
      <right style="thin">
        <color rgb="009AA7B8"/>
      </right>
      <top/>
      <bottom style="thin">
        <color rgb="009AA7B8"/>
      </bottom>
    </border>
    <border>
      <left style="thin">
        <color rgb="00D4DAE3"/>
      </left>
      <right style="thin">
        <color rgb="00D4DAE3"/>
      </right>
      <top style="medium">
        <color rgb="009AA7B8"/>
      </top>
      <bottom style="thin">
        <color rgb="00D4DAE3"/>
      </bottom>
    </border>
    <border>
      <left style="thin">
        <color rgb="00E0C068"/>
      </left>
      <right style="thin">
        <color rgb="00E0C068"/>
      </right>
      <top style="medium">
        <color rgb="009AA7B8"/>
      </top>
      <bottom style="thin">
        <color rgb="00E0C068"/>
      </bottom>
    </border>
    <border>
      <left/>
      <right/>
      <top style="thin">
        <color rgb="00D4DAE3"/>
      </top>
      <bottom/>
      <diagonal/>
    </border>
    <border>
      <left/>
      <right style="thin">
        <color rgb="00D4DAE3"/>
      </right>
      <top style="thin">
        <color rgb="00D4DAE3"/>
      </top>
      <bottom/>
      <diagonal/>
    </border>
    <border>
      <left/>
      <right/>
      <top style="thin">
        <color rgb="00D4DAE3"/>
      </top>
      <bottom style="thin">
        <color rgb="00D4DAE3"/>
      </bottom>
      <diagonal/>
    </border>
    <border>
      <left/>
      <right style="thin">
        <color rgb="00D4DAE3"/>
      </right>
      <top style="thin">
        <color rgb="00D4DAE3"/>
      </top>
      <bottom style="thin">
        <color rgb="00D4DAE3"/>
      </bottom>
      <diagonal/>
    </border>
    <border>
      <left style="thin">
        <color rgb="009AA7B8"/>
      </left>
      <right style="thin">
        <color rgb="00D4DAE3"/>
      </right>
      <top style="thin">
        <color rgb="009AA7B8"/>
      </top>
      <bottom style="thin">
        <color rgb="00D4DAE3"/>
      </bottom>
    </border>
    <border>
      <left style="thin">
        <color rgb="00D4DAE3"/>
      </left>
      <right style="thin">
        <color rgb="00D4DAE3"/>
      </right>
      <top style="thin">
        <color rgb="009AA7B8"/>
      </top>
      <bottom style="thin">
        <color rgb="00D4DAE3"/>
      </bottom>
    </border>
    <border>
      <left style="thin">
        <color rgb="009AA7B8"/>
      </left>
      <right style="thin">
        <color rgb="00D4DAE3"/>
      </right>
      <top style="thin">
        <color rgb="00D4DAE3"/>
      </top>
      <bottom style="thin">
        <color rgb="00D4DAE3"/>
      </bottom>
    </border>
    <border>
      <left style="thin">
        <color rgb="009AA7B8"/>
      </left>
      <right style="thin">
        <color rgb="00D4DAE3"/>
      </right>
      <top style="thin">
        <color rgb="00D4DAE3"/>
      </top>
      <bottom style="thin">
        <color rgb="009AA7B8"/>
      </bottom>
    </border>
    <border>
      <left style="thin">
        <color rgb="00D4DAE3"/>
      </left>
      <right style="thin">
        <color rgb="00D4DAE3"/>
      </right>
      <top style="thin">
        <color rgb="00D4DAE3"/>
      </top>
      <bottom style="thin">
        <color rgb="009AA7B8"/>
      </bottom>
    </border>
    <border>
      <left style="thin">
        <color rgb="00000000"/>
      </left>
      <right/>
      <top style="thin">
        <color rgb="00000000"/>
      </top>
      <bottom style="thin">
        <color rgb="00000000"/>
      </bottom>
    </border>
    <border>
      <left/>
      <right/>
      <top style="thin">
        <color rgb="00000000"/>
      </top>
      <bottom style="thin">
        <color rgb="00000000"/>
      </bottom>
    </border>
    <border>
      <left/>
      <right style="thin">
        <color rgb="00000000"/>
      </right>
      <top style="thin">
        <color rgb="00000000"/>
      </top>
      <bottom style="thin">
        <color rgb="00000000"/>
      </bottom>
    </border>
  </borders>
  <cellStyleXfs count="1">
    <xf numFmtId="0" fontId="0" fillId="0" borderId="0"/>
  </cellStyleXfs>
  <cellXfs count="175">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4" fillId="3" borderId="0" applyAlignment="1" pivotButton="0" quotePrefix="0" xfId="0">
      <alignment horizontal="left" vertical="center" wrapText="1"/>
    </xf>
    <xf numFmtId="0" fontId="35" fillId="3" borderId="3" applyAlignment="1" pivotButton="0" quotePrefix="0" xfId="0">
      <alignment horizontal="center" vertical="center"/>
    </xf>
    <xf numFmtId="0" fontId="0" fillId="0" borderId="17" pivotButton="0" quotePrefix="0" xfId="0"/>
    <xf numFmtId="0" fontId="0" fillId="0" borderId="18" pivotButton="0" quotePrefix="0" xfId="0"/>
    <xf numFmtId="0" fontId="32" fillId="4" borderId="1" applyAlignment="1" pivotButton="0" quotePrefix="0" xfId="0">
      <alignment horizontal="center" vertical="center"/>
    </xf>
    <xf numFmtId="1" fontId="36" fillId="13" borderId="4" applyAlignment="1" pivotButton="0" quotePrefix="0" xfId="0">
      <alignment horizontal="center" vertical="center"/>
    </xf>
    <xf numFmtId="0" fontId="0" fillId="0" borderId="6" pivotButton="0" quotePrefix="0" xfId="0"/>
    <xf numFmtId="167" fontId="36" fillId="13" borderId="4" applyAlignment="1" pivotButton="0" quotePrefix="0" xfId="0">
      <alignment horizontal="center" vertical="center"/>
    </xf>
    <xf numFmtId="0" fontId="37" fillId="6" borderId="0" applyAlignment="1" pivotButton="0" quotePrefix="0" xfId="0">
      <alignment horizontal="center" vertical="center" wrapText="1"/>
    </xf>
    <xf numFmtId="0" fontId="4" fillId="13" borderId="10" applyAlignment="1" pivotButton="0" quotePrefix="0" xfId="0">
      <alignment horizontal="center" vertical="center"/>
    </xf>
    <xf numFmtId="0" fontId="0" fillId="0" borderId="12" pivotButton="0" quotePrefix="0" xfId="0"/>
    <xf numFmtId="0" fontId="5" fillId="0" borderId="0" applyAlignment="1" pivotButton="0" quotePrefix="0" xfId="0">
      <alignment horizontal="left" vertical="center"/>
    </xf>
    <xf numFmtId="0" fontId="6" fillId="4" borderId="1" applyAlignment="1" pivotButton="0" quotePrefix="0" xfId="0">
      <alignment horizontal="center" vertical="center" wrapText="1"/>
    </xf>
    <xf numFmtId="0" fontId="13" fillId="13" borderId="3" applyAlignment="1" pivotButton="0" quotePrefix="0" xfId="0">
      <alignment horizontal="left" vertical="center" wrapText="1"/>
    </xf>
    <xf numFmtId="169" fontId="11" fillId="13" borderId="3" applyAlignment="1" pivotButton="0" quotePrefix="0" xfId="0">
      <alignment horizontal="center" vertical="center"/>
    </xf>
    <xf numFmtId="0" fontId="10" fillId="12" borderId="3" applyAlignment="1" pivotButton="0" quotePrefix="0" xfId="0">
      <alignment horizontal="center" vertical="center"/>
    </xf>
    <xf numFmtId="0" fontId="17" fillId="12" borderId="3" applyAlignment="1" pivotButton="0" quotePrefix="0" xfId="0">
      <alignment horizontal="left" vertical="center"/>
    </xf>
    <xf numFmtId="0" fontId="27" fillId="12" borderId="3" applyAlignment="1" pivotButton="0" quotePrefix="0" xfId="0">
      <alignment horizontal="center" vertical="center"/>
    </xf>
    <xf numFmtId="164" fontId="27" fillId="12" borderId="3" applyAlignment="1" pivotButton="0" quotePrefix="0" xfId="0">
      <alignment horizontal="center" vertical="center"/>
    </xf>
    <xf numFmtId="1" fontId="29" fillId="12" borderId="3" applyAlignment="1" pivotButton="0" quotePrefix="0" xfId="0">
      <alignment horizontal="center" vertical="center"/>
    </xf>
    <xf numFmtId="167" fontId="12" fillId="13" borderId="3" applyAlignment="1" pivotButton="0" quotePrefix="0" xfId="0">
      <alignment horizontal="center" vertical="center"/>
    </xf>
    <xf numFmtId="0" fontId="11" fillId="13" borderId="3" applyAlignment="1" pivotButton="0" quotePrefix="0" xfId="0">
      <alignment horizontal="center" vertical="center"/>
    </xf>
    <xf numFmtId="0" fontId="38" fillId="0" borderId="0" applyAlignment="1" pivotButton="0" quotePrefix="0" xfId="0">
      <alignment horizontal="left" vertical="center"/>
    </xf>
    <xf numFmtId="0" fontId="20" fillId="13" borderId="3" applyAlignment="1" pivotButton="0" quotePrefix="0" xfId="0">
      <alignment horizontal="left" vertical="center"/>
    </xf>
    <xf numFmtId="0" fontId="27" fillId="13" borderId="3" applyAlignment="1" pivotButton="0" quotePrefix="0" xfId="0">
      <alignment horizontal="center" vertical="center"/>
    </xf>
    <xf numFmtId="0" fontId="39" fillId="0" borderId="0" applyAlignment="1" pivotButton="0" quotePrefix="0" xfId="0">
      <alignment horizontal="left" vertical="center"/>
    </xf>
    <xf numFmtId="0" fontId="23" fillId="6" borderId="1" applyAlignment="1" pivotButton="0" quotePrefix="0" xfId="0">
      <alignment horizontal="center" vertical="center"/>
    </xf>
    <xf numFmtId="0" fontId="31" fillId="7" borderId="1" applyAlignment="1" pivotButton="0" quotePrefix="0" xfId="0">
      <alignment horizontal="center" vertical="center"/>
    </xf>
    <xf numFmtId="0" fontId="31" fillId="8" borderId="1" applyAlignment="1" pivotButton="0" quotePrefix="0" xfId="0">
      <alignment horizontal="center" vertical="center"/>
    </xf>
    <xf numFmtId="0" fontId="31" fillId="9" borderId="1" applyAlignment="1" pivotButton="0" quotePrefix="0" xfId="0">
      <alignment horizontal="center" vertical="center"/>
    </xf>
    <xf numFmtId="0" fontId="23" fillId="10" borderId="1" applyAlignment="1" pivotButton="0" quotePrefix="0" xfId="0">
      <alignment horizontal="center" vertical="center"/>
    </xf>
    <xf numFmtId="0" fontId="23" fillId="11" borderId="1" applyAlignment="1" pivotButton="0" quotePrefix="0" xfId="0">
      <alignment horizontal="center" vertical="center"/>
    </xf>
    <xf numFmtId="0" fontId="13" fillId="3" borderId="4" applyAlignment="1" pivotButton="0" quotePrefix="0" xfId="0">
      <alignment horizontal="left" vertical="center" wrapText="1"/>
    </xf>
    <xf numFmtId="0" fontId="0" fillId="0" borderId="5" pivotButton="0" quotePrefix="0" xfId="0"/>
    <xf numFmtId="0" fontId="0" fillId="0" borderId="10" pivotButton="0" quotePrefix="0" xfId="0"/>
    <xf numFmtId="0" fontId="0" fillId="0" borderId="11" pivotButton="0" quotePrefix="0" xfId="0"/>
    <xf numFmtId="0" fontId="3" fillId="2" borderId="0" applyAlignment="1" pivotButton="0" quotePrefix="0" xfId="0">
      <alignment horizontal="center" vertical="center"/>
    </xf>
    <xf numFmtId="0" fontId="40" fillId="15" borderId="3" applyAlignment="1" pivotButton="0" quotePrefix="0" xfId="0">
      <alignment horizontal="left" vertical="center"/>
    </xf>
    <xf numFmtId="0" fontId="12" fillId="5" borderId="2" applyAlignment="1" pivotButton="0" quotePrefix="0" xfId="0">
      <alignment horizontal="left" vertical="center"/>
    </xf>
    <xf numFmtId="0" fontId="12" fillId="5" borderId="2" applyAlignment="1" pivotButton="0" quotePrefix="0" xfId="0">
      <alignment horizontal="center" vertical="center"/>
    </xf>
    <xf numFmtId="0" fontId="10" fillId="0" borderId="0" applyAlignment="1" pivotButton="0" quotePrefix="0" xfId="0">
      <alignment horizontal="left" vertical="center"/>
    </xf>
    <xf numFmtId="0" fontId="7" fillId="5" borderId="2" applyAlignment="1" pivotButton="0" quotePrefix="0" xfId="0">
      <alignment horizontal="left" vertical="center"/>
    </xf>
    <xf numFmtId="0" fontId="10" fillId="0" borderId="0" applyAlignment="1" pivotButton="0" quotePrefix="0" xfId="0">
      <alignment horizontal="left" vertical="center" wrapText="1"/>
    </xf>
    <xf numFmtId="0" fontId="4" fillId="13" borderId="4" applyAlignment="1" pivotButton="0" quotePrefix="0" xfId="0">
      <alignment horizontal="center" vertical="center" wrapText="1"/>
    </xf>
    <xf numFmtId="0" fontId="5" fillId="13" borderId="10" applyAlignment="1" pivotButton="0" quotePrefix="0" xfId="0">
      <alignment horizontal="center" vertical="center"/>
    </xf>
    <xf numFmtId="1" fontId="5" fillId="13" borderId="10" applyAlignment="1" pivotButton="0" quotePrefix="0" xfId="0">
      <alignment horizontal="center" vertical="center"/>
    </xf>
    <xf numFmtId="164" fontId="5" fillId="13" borderId="10" applyAlignment="1" pivotButton="0" quotePrefix="0" xfId="0">
      <alignment horizontal="center" vertical="center"/>
    </xf>
    <xf numFmtId="0" fontId="6" fillId="4" borderId="1" applyAlignment="1" pivotButton="0" quotePrefix="0" xfId="0">
      <alignment horizontal="center" vertical="center"/>
    </xf>
    <xf numFmtId="1" fontId="10" fillId="12" borderId="3" applyAlignment="1" pivotButton="0" quotePrefix="0" xfId="0">
      <alignment horizontal="center" vertical="center"/>
    </xf>
    <xf numFmtId="0" fontId="19" fillId="12" borderId="3" applyAlignment="1" pivotButton="0" quotePrefix="0" xfId="0">
      <alignment horizontal="left" vertical="center"/>
    </xf>
    <xf numFmtId="166" fontId="19" fillId="12" borderId="3" applyAlignment="1" pivotButton="0" quotePrefix="0" xfId="0">
      <alignment horizontal="center" vertical="center"/>
    </xf>
    <xf numFmtId="166" fontId="27" fillId="12" borderId="3" applyAlignment="1" pivotButton="0" quotePrefix="0" xfId="0">
      <alignment horizontal="center" vertical="center"/>
    </xf>
    <xf numFmtId="0" fontId="10" fillId="12" borderId="3" applyAlignment="1" pivotButton="0" quotePrefix="0" xfId="0">
      <alignment horizontal="left" vertical="center"/>
    </xf>
    <xf numFmtId="0" fontId="4" fillId="12" borderId="3" applyAlignment="1" pivotButton="0" quotePrefix="0" xfId="0">
      <alignment horizontal="left" vertical="center"/>
    </xf>
    <xf numFmtId="0" fontId="38" fillId="12" borderId="3" applyAlignment="1" pivotButton="0" quotePrefix="0" xfId="0">
      <alignment horizontal="center" vertical="center"/>
    </xf>
    <xf numFmtId="0" fontId="41" fillId="12" borderId="3" applyAlignment="1" pivotButton="0" quotePrefix="0" xfId="0">
      <alignment horizontal="left" vertical="center"/>
    </xf>
    <xf numFmtId="0" fontId="4" fillId="3" borderId="0" applyAlignment="1" pivotButton="0" quotePrefix="0" xfId="0">
      <alignment horizontal="left" vertical="center"/>
    </xf>
    <xf numFmtId="0" fontId="23" fillId="4" borderId="0" applyAlignment="1" pivotButton="0" quotePrefix="0" xfId="0">
      <alignment horizontal="center" vertical="center"/>
    </xf>
    <xf numFmtId="0" fontId="30" fillId="0" borderId="0" applyAlignment="1" pivotButton="0" quotePrefix="0" xfId="0">
      <alignment horizontal="center" vertical="center"/>
    </xf>
    <xf numFmtId="0" fontId="30" fillId="0" borderId="0" applyAlignment="1" pivotButton="0" quotePrefix="0" xfId="0">
      <alignment horizontal="left" vertical="center"/>
    </xf>
    <xf numFmtId="167" fontId="30" fillId="0" borderId="0" applyAlignment="1" pivotButton="0" quotePrefix="0" xfId="0">
      <alignment horizontal="center" vertical="center"/>
    </xf>
    <xf numFmtId="0" fontId="35" fillId="0" borderId="0" applyAlignment="1" pivotButton="0" quotePrefix="0" xfId="0">
      <alignment horizontal="left" vertical="center"/>
    </xf>
    <xf numFmtId="0" fontId="25" fillId="0" borderId="0" applyAlignment="1" pivotButton="0" quotePrefix="0" xfId="0">
      <alignment horizontal="left" vertical="center"/>
    </xf>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7" fillId="5" borderId="2" applyAlignment="1" pivotButton="0" quotePrefix="0" xfId="0">
      <alignment horizontal="center" vertical="center"/>
    </xf>
    <xf numFmtId="0" fontId="43" fillId="0" borderId="0" applyAlignment="1" pivotButton="0" quotePrefix="0" xfId="0">
      <alignment horizontal="left" vertical="center"/>
    </xf>
    <xf numFmtId="0" fontId="25" fillId="13" borderId="19" applyAlignment="1" pivotButton="0" quotePrefix="0" xfId="0">
      <alignment horizontal="center" vertical="center" wrapText="1"/>
    </xf>
    <xf numFmtId="0" fontId="25" fillId="13" borderId="20" applyAlignment="1" pivotButton="0" quotePrefix="0" xfId="0">
      <alignment horizontal="center" vertical="center" wrapText="1"/>
    </xf>
    <xf numFmtId="0" fontId="44" fillId="13" borderId="21" applyAlignment="1" pivotButton="0" quotePrefix="0" xfId="0">
      <alignment horizontal="center" vertical="center"/>
    </xf>
    <xf numFmtId="0" fontId="0" fillId="0" borderId="8" pivotButton="0" quotePrefix="0" xfId="0"/>
    <xf numFmtId="0" fontId="44" fillId="13" borderId="3" applyAlignment="1" pivotButton="0" quotePrefix="0" xfId="0">
      <alignment horizontal="center" vertical="center"/>
    </xf>
    <xf numFmtId="0" fontId="0" fillId="0" borderId="9" pivotButton="0" quotePrefix="0" xfId="0"/>
    <xf numFmtId="0" fontId="25" fillId="13" borderId="21" applyAlignment="1" pivotButton="0" quotePrefix="0" xfId="0">
      <alignment horizontal="center" vertical="center" wrapText="1"/>
    </xf>
    <xf numFmtId="0" fontId="25" fillId="13" borderId="3" applyAlignment="1" pivotButton="0" quotePrefix="0" xfId="0">
      <alignment horizontal="center" vertical="center" wrapText="1"/>
    </xf>
    <xf numFmtId="1" fontId="44" fillId="13" borderId="22" applyAlignment="1" pivotButton="0" quotePrefix="0" xfId="0">
      <alignment horizontal="center" vertical="center"/>
    </xf>
    <xf numFmtId="164" fontId="44" fillId="13" borderId="23" applyAlignment="1" pivotButton="0" quotePrefix="0" xfId="0">
      <alignment horizontal="center" vertical="center"/>
    </xf>
    <xf numFmtId="0" fontId="44" fillId="13" borderId="23" applyAlignment="1" pivotButton="0" quotePrefix="0" xfId="0">
      <alignment horizontal="center" vertical="center"/>
    </xf>
    <xf numFmtId="0" fontId="12" fillId="12" borderId="3" applyAlignment="1" pivotButton="0" quotePrefix="0" xfId="0">
      <alignment horizontal="left" vertical="center"/>
    </xf>
    <xf numFmtId="1" fontId="15" fillId="12" borderId="3" applyAlignment="1" pivotButton="0" quotePrefix="0" xfId="0">
      <alignment horizontal="center" vertical="center"/>
    </xf>
    <xf numFmtId="167" fontId="7" fillId="13" borderId="3" applyAlignment="1" pivotButton="0" quotePrefix="0" xfId="0">
      <alignment horizontal="center" vertical="center"/>
    </xf>
    <xf numFmtId="0" fontId="12" fillId="13" borderId="3" applyAlignment="1" pivotButton="0" quotePrefix="0" xfId="0">
      <alignment horizontal="center" vertical="center"/>
    </xf>
    <xf numFmtId="0" fontId="45" fillId="15" borderId="3" applyAlignment="1" pivotButton="0" quotePrefix="0" xfId="0">
      <alignment horizontal="left" vertical="center"/>
    </xf>
    <xf numFmtId="167" fontId="42" fillId="13" borderId="3" applyAlignment="1" pivotButton="0" quotePrefix="0" xfId="0">
      <alignment horizontal="center" vertical="center"/>
    </xf>
    <xf numFmtId="0" fontId="46" fillId="13" borderId="3" applyAlignment="1" pivotButton="0" quotePrefix="0" xfId="0">
      <alignment horizontal="center" vertical="center"/>
    </xf>
    <xf numFmtId="0" fontId="25" fillId="0" borderId="0" applyAlignment="1" pivotButton="0" quotePrefix="0" xfId="0">
      <alignment horizontal="center" vertical="center"/>
    </xf>
    <xf numFmtId="0" fontId="9" fillId="5" borderId="2" applyAlignment="1" pivotButton="0" quotePrefix="0" xfId="0">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24" fillId="0" borderId="0" applyAlignment="1" pivotButton="0" quotePrefix="0" xfId="0">
      <alignment horizontal="left" vertical="center"/>
    </xf>
    <xf numFmtId="0" fontId="25" fillId="3" borderId="0" applyAlignment="1" pivotButton="0" quotePrefix="0" xfId="0">
      <alignment horizontal="left" vertical="center" wrapText="1"/>
    </xf>
    <xf numFmtId="0" fontId="42" fillId="5" borderId="2" applyAlignment="1" pivotButton="0" quotePrefix="0" xfId="0">
      <alignment horizontal="center" vertical="center"/>
    </xf>
    <xf numFmtId="0" fontId="27" fillId="12" borderId="3" applyAlignment="1" pivotButton="0" quotePrefix="0" xfId="0">
      <alignment horizontal="left" vertical="center"/>
    </xf>
    <xf numFmtId="1" fontId="27" fillId="12" borderId="3" applyAlignment="1" pivotButton="0" quotePrefix="0" xfId="0">
      <alignment horizontal="center" vertical="center"/>
    </xf>
    <xf numFmtId="0" fontId="39" fillId="12" borderId="3" applyAlignment="1" pivotButton="0" quotePrefix="0" xfId="0">
      <alignment horizontal="left" vertical="center"/>
    </xf>
    <xf numFmtId="0" fontId="14" fillId="4" borderId="1" applyAlignment="1" pivotButton="0" quotePrefix="0" xfId="0">
      <alignment horizontal="center" vertical="center" wrapText="1"/>
    </xf>
    <xf numFmtId="0" fontId="17" fillId="12" borderId="3" applyAlignment="1" pivotButton="0" quotePrefix="0" xfId="0">
      <alignment horizontal="center" vertical="center"/>
    </xf>
    <xf numFmtId="0" fontId="18" fillId="12" borderId="3" applyAlignment="1" pivotButton="0" quotePrefix="0" xfId="0">
      <alignment horizontal="center" vertical="center"/>
    </xf>
    <xf numFmtId="164" fontId="18" fillId="12" borderId="3" applyAlignment="1" pivotButton="0" quotePrefix="0" xfId="0">
      <alignment horizontal="center" vertical="center"/>
    </xf>
    <xf numFmtId="166" fontId="18" fillId="12" borderId="3" applyAlignment="1" pivotButton="0" quotePrefix="0" xfId="0">
      <alignment horizontal="center" vertical="center"/>
    </xf>
    <xf numFmtId="0" fontId="18" fillId="12" borderId="3" applyAlignment="1" pivotButton="0" quotePrefix="0" xfId="0">
      <alignment horizontal="left" vertical="center"/>
    </xf>
    <xf numFmtId="1" fontId="18" fillId="12" borderId="3" applyAlignment="1" pivotButton="0" quotePrefix="0" xfId="0">
      <alignment horizontal="center" vertical="center"/>
    </xf>
    <xf numFmtId="1" fontId="19" fillId="12" borderId="3" applyAlignment="1" pivotButton="0" quotePrefix="0" xfId="0">
      <alignment horizontal="center" vertical="center"/>
    </xf>
    <xf numFmtId="0" fontId="20" fillId="13" borderId="3" applyAlignment="1" pivotButton="0" quotePrefix="0" xfId="0">
      <alignment horizontal="center" vertical="center"/>
    </xf>
    <xf numFmtId="0" fontId="4" fillId="12" borderId="3" applyAlignment="1" pivotButton="0" quotePrefix="0" xfId="0">
      <alignment horizontal="left" vertical="center" wrapText="1"/>
    </xf>
    <xf numFmtId="0" fontId="0" fillId="0" borderId="7" pivotButton="0" quotePrefix="0" xfId="0"/>
    <xf numFmtId="0" fontId="10" fillId="12" borderId="13" applyAlignment="1" pivotButton="0" quotePrefix="0" xfId="0">
      <alignment horizontal="center" vertical="center"/>
    </xf>
    <xf numFmtId="0" fontId="9" fillId="5" borderId="14" applyAlignment="1" pivotButton="0" quotePrefix="0" xfId="0">
      <alignment horizontal="left" vertical="center"/>
    </xf>
    <xf numFmtId="1" fontId="15" fillId="12" borderId="13" applyAlignment="1" pivotButton="0" quotePrefix="0" xfId="0">
      <alignment horizontal="center" vertical="center"/>
    </xf>
    <xf numFmtId="164" fontId="9" fillId="5" borderId="14" applyAlignment="1" pivotButton="0" quotePrefix="0" xfId="0">
      <alignment horizontal="center" vertical="center"/>
    </xf>
    <xf numFmtId="0" fontId="9" fillId="5" borderId="14" applyAlignment="1" pivotButton="0" quotePrefix="0" xfId="0">
      <alignment horizontal="center" vertical="center"/>
    </xf>
    <xf numFmtId="165" fontId="16" fillId="12" borderId="13" applyAlignment="1" pivotButton="0" quotePrefix="0" xfId="0">
      <alignment horizontal="center" vertical="center"/>
    </xf>
    <xf numFmtId="165" fontId="15" fillId="12" borderId="13" applyAlignment="1" pivotButton="0" quotePrefix="0" xfId="0">
      <alignment horizontal="center" vertical="center"/>
    </xf>
    <xf numFmtId="0" fontId="15" fillId="12" borderId="13" applyAlignment="1" pivotButton="0" quotePrefix="0" xfId="0">
      <alignment horizontal="left" vertical="center"/>
    </xf>
    <xf numFmtId="0" fontId="9" fillId="5" borderId="2" applyAlignment="1" pivotButton="0" quotePrefix="0" xfId="0">
      <alignment horizontal="left" vertical="center"/>
    </xf>
    <xf numFmtId="164" fontId="9" fillId="5" borderId="2" applyAlignment="1" pivotButton="0" quotePrefix="0" xfId="0">
      <alignment horizontal="center" vertical="center"/>
    </xf>
    <xf numFmtId="0" fontId="9" fillId="5" borderId="2" applyAlignment="1" pivotButton="0" quotePrefix="0" xfId="0">
      <alignment horizontal="center" vertical="center"/>
    </xf>
    <xf numFmtId="165" fontId="16" fillId="12" borderId="3" applyAlignment="1" pivotButton="0" quotePrefix="0" xfId="0">
      <alignment horizontal="center" vertical="center"/>
    </xf>
    <xf numFmtId="165" fontId="15" fillId="12" borderId="3" applyAlignment="1" pivotButton="0" quotePrefix="0" xfId="0">
      <alignment horizontal="center" vertical="center"/>
    </xf>
    <xf numFmtId="0" fontId="15" fillId="12" borderId="3" applyAlignment="1" pivotButton="0" quotePrefix="0" xfId="0">
      <alignment horizontal="left" vertical="center"/>
    </xf>
    <xf numFmtId="9" fontId="8" fillId="5" borderId="2" applyAlignment="1" pivotButton="0" quotePrefix="0" xfId="0">
      <alignment horizontal="center" vertical="center"/>
    </xf>
    <xf numFmtId="0" fontId="6" fillId="6" borderId="1" applyAlignment="1" pivotButton="0" quotePrefix="0" xfId="0">
      <alignment horizontal="center" vertical="center"/>
    </xf>
    <xf numFmtId="0" fontId="10" fillId="0" borderId="3" applyAlignment="1" pivotButton="0" quotePrefix="0" xfId="0">
      <alignment horizontal="left" vertical="center"/>
    </xf>
    <xf numFmtId="0" fontId="11" fillId="7" borderId="1" applyAlignment="1" pivotButton="0" quotePrefix="0" xfId="0">
      <alignment horizontal="center" vertical="center"/>
    </xf>
    <xf numFmtId="0" fontId="11" fillId="8" borderId="1" applyAlignment="1" pivotButton="0" quotePrefix="0" xfId="0">
      <alignment horizontal="center" vertical="center"/>
    </xf>
    <xf numFmtId="0" fontId="11" fillId="9"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12" fillId="0" borderId="3" applyAlignment="1" pivotButton="0" quotePrefix="0" xfId="0">
      <alignment horizontal="left" vertical="center"/>
    </xf>
    <xf numFmtId="1" fontId="7" fillId="5" borderId="2" applyAlignment="1" pivotButton="0" quotePrefix="0" xfId="0">
      <alignment horizontal="center" vertical="center"/>
    </xf>
    <xf numFmtId="0" fontId="4" fillId="0" borderId="3" applyAlignment="1" pivotButton="0" quotePrefix="0" xfId="0">
      <alignment horizontal="left" vertical="center" wrapText="1"/>
    </xf>
    <xf numFmtId="9" fontId="7" fillId="5" borderId="2" applyAlignment="1" pivotButton="0" quotePrefix="0" xfId="0">
      <alignment horizontal="center" vertical="center"/>
    </xf>
    <xf numFmtId="0" fontId="4" fillId="0" borderId="0" applyAlignment="1" pivotButton="0" quotePrefix="0" xfId="0">
      <alignment horizontal="left" vertical="center" wrapText="1"/>
    </xf>
    <xf numFmtId="0" fontId="47" fillId="3" borderId="4" applyAlignment="1" pivotButton="0" quotePrefix="0" xfId="0">
      <alignment horizontal="left" vertical="center" wrapText="1"/>
    </xf>
    <xf numFmtId="0" fontId="48" fillId="15" borderId="0" applyAlignment="1" pivotButton="0" quotePrefix="0" xfId="0">
      <alignment horizontal="left" vertical="center"/>
    </xf>
    <xf numFmtId="0" fontId="49" fillId="0" borderId="0" applyAlignment="1" pivotButton="0" quotePrefix="0" xfId="0">
      <alignment horizontal="center" vertical="center"/>
    </xf>
    <xf numFmtId="0" fontId="47" fillId="0" borderId="0" applyAlignment="1" pivotButton="0" quotePrefix="0" xfId="0">
      <alignment horizontal="left" vertical="center" wrapText="1"/>
    </xf>
    <xf numFmtId="0" fontId="21" fillId="2" borderId="0" applyAlignment="1" pivotButton="0" quotePrefix="0" xfId="0">
      <alignment horizontal="left" vertical="center" indent="1"/>
    </xf>
    <xf numFmtId="0" fontId="22" fillId="2" borderId="0" applyAlignment="1" pivotButton="0" quotePrefix="0" xfId="0">
      <alignment horizontal="center" vertical="center"/>
    </xf>
    <xf numFmtId="0" fontId="23" fillId="14" borderId="0" applyAlignment="1" pivotButton="0" quotePrefix="0" xfId="0">
      <alignment horizontal="left" vertical="center" indent="1"/>
    </xf>
    <xf numFmtId="0" fontId="24" fillId="15" borderId="3" applyAlignment="1" pivotButton="0" quotePrefix="0" xfId="0">
      <alignment horizontal="left" vertical="center"/>
    </xf>
    <xf numFmtId="0" fontId="16" fillId="12" borderId="3" applyAlignment="1" pivotButton="0" quotePrefix="0" xfId="0">
      <alignment horizontal="left" vertical="center"/>
    </xf>
    <xf numFmtId="0" fontId="20" fillId="5" borderId="2" applyAlignment="1" pivotButton="0" quotePrefix="0" xfId="0">
      <alignment horizontal="center" vertical="center"/>
    </xf>
    <xf numFmtId="164" fontId="20" fillId="5" borderId="2" applyAlignment="1" pivotButton="0" quotePrefix="0" xfId="0">
      <alignment horizontal="center" vertical="center"/>
    </xf>
    <xf numFmtId="0" fontId="20" fillId="5" borderId="2" applyAlignment="1" pivotButton="0" quotePrefix="0" xfId="0">
      <alignment horizontal="left" vertical="center"/>
    </xf>
    <xf numFmtId="166" fontId="20" fillId="5" borderId="2" applyAlignment="1" pivotButton="0" quotePrefix="0" xfId="0">
      <alignment horizontal="center" vertical="center"/>
    </xf>
    <xf numFmtId="0" fontId="16" fillId="12" borderId="3" applyAlignment="1" pivotButton="0" quotePrefix="0" xfId="0">
      <alignment horizontal="center" vertical="center" wrapText="1"/>
    </xf>
    <xf numFmtId="0" fontId="26" fillId="15" borderId="3" applyAlignment="1" pivotButton="0" quotePrefix="0" xfId="0">
      <alignment horizontal="left" vertical="center"/>
    </xf>
    <xf numFmtId="0" fontId="20" fillId="13" borderId="3" applyAlignment="1" pivotButton="0" quotePrefix="0" xfId="0">
      <alignment horizontal="center" vertical="center" wrapText="1"/>
    </xf>
    <xf numFmtId="0" fontId="6" fillId="2" borderId="1" applyAlignment="1" pivotButton="0" quotePrefix="0" xfId="0">
      <alignment horizontal="center" vertical="center" wrapText="1"/>
    </xf>
    <xf numFmtId="0" fontId="6" fillId="2" borderId="1" applyAlignment="1" pivotButton="0" quotePrefix="0" xfId="0">
      <alignment horizontal="center" vertical="center"/>
    </xf>
    <xf numFmtId="0" fontId="4" fillId="12" borderId="3" applyAlignment="1" pivotButton="0" quotePrefix="0" xfId="0">
      <alignment horizontal="center" vertical="center"/>
    </xf>
    <xf numFmtId="0" fontId="11" fillId="5" borderId="2" applyAlignment="1" pivotButton="0" quotePrefix="0" xfId="0">
      <alignment horizontal="left" vertical="center" wrapText="1"/>
    </xf>
    <xf numFmtId="0" fontId="28" fillId="5" borderId="2" applyAlignment="1" pivotButton="0" quotePrefix="0" xfId="0">
      <alignment horizontal="left" vertical="center" wrapText="1"/>
    </xf>
    <xf numFmtId="168" fontId="29" fillId="12" borderId="3" applyAlignment="1" pivotButton="0" quotePrefix="0" xfId="0">
      <alignment horizontal="center" vertical="center"/>
    </xf>
    <xf numFmtId="166" fontId="9" fillId="5" borderId="2" applyAlignment="1" pivotButton="0" quotePrefix="0" xfId="0">
      <alignment horizontal="center" vertical="center"/>
    </xf>
    <xf numFmtId="166" fontId="16" fillId="12" borderId="3" applyAlignment="1" pivotButton="0" quotePrefix="0" xfId="0">
      <alignment horizontal="center" vertical="center"/>
    </xf>
    <xf numFmtId="165" fontId="27" fillId="12" borderId="3" applyAlignment="1" pivotButton="0" quotePrefix="0" xfId="0">
      <alignment horizontal="center" vertical="center"/>
    </xf>
    <xf numFmtId="0" fontId="13" fillId="5" borderId="2" applyAlignment="1" pivotButton="0" quotePrefix="0" xfId="0">
      <alignment horizontal="center" vertical="center"/>
    </xf>
    <xf numFmtId="0" fontId="30" fillId="5" borderId="2" applyAlignment="1" pivotButton="0" quotePrefix="0" xfId="0">
      <alignment horizontal="left" vertical="center" wrapText="1"/>
    </xf>
    <xf numFmtId="0" fontId="4" fillId="3" borderId="3" applyAlignment="1" pivotButton="0" quotePrefix="0" xfId="0">
      <alignment horizontal="left" vertical="center"/>
    </xf>
    <xf numFmtId="0" fontId="28" fillId="3" borderId="0" applyAlignment="1" pivotButton="0" quotePrefix="0" xfId="0">
      <alignment horizontal="center" vertical="center"/>
    </xf>
    <xf numFmtId="0" fontId="25" fillId="0" borderId="0" applyAlignment="1" pivotButton="0" quotePrefix="0" xfId="0">
      <alignment horizontal="left" vertical="center" wrapText="1"/>
    </xf>
    <xf numFmtId="0" fontId="32" fillId="2" borderId="0" applyAlignment="1" pivotButton="0" quotePrefix="0" xfId="0">
      <alignment horizontal="left" vertical="center"/>
    </xf>
    <xf numFmtId="0" fontId="33" fillId="0" borderId="0" applyAlignment="1" pivotButton="0" quotePrefix="0" xfId="0">
      <alignment horizontal="center" vertical="center"/>
    </xf>
    <xf numFmtId="164" fontId="30" fillId="0" borderId="0" applyAlignment="1" pivotButton="0" quotePrefix="0" xfId="0">
      <alignment horizontal="center" vertical="center"/>
    </xf>
    <xf numFmtId="0" fontId="34" fillId="0" borderId="0" applyAlignment="1" pivotButton="0" quotePrefix="0" xfId="0">
      <alignment horizontal="left" vertical="center"/>
    </xf>
    <xf numFmtId="1" fontId="30" fillId="0" borderId="0" applyAlignment="1" pivotButton="0" quotePrefix="0" xfId="0">
      <alignment horizontal="center" vertical="center"/>
    </xf>
    <xf numFmtId="167" fontId="33" fillId="0" borderId="0" applyAlignment="1" pivotButton="0" quotePrefix="0" xfId="0">
      <alignment horizontal="center" vertical="center"/>
    </xf>
    <xf numFmtId="0" fontId="25" fillId="0" borderId="0" pivotButton="0" quotePrefix="0" xfId="0"/>
  </cellXfs>
  <cellStyles count="1">
    <cellStyle name="Normal" xfId="0" builtinId="0" hidden="0"/>
  </cellStyles>
  <dxfs count="21">
    <dxf>
      <font>
        <name val="Arial"/>
        <b val="1"/>
        <color rgb="00FFFFFF"/>
        <sz val="13"/>
      </font>
      <fill>
        <patternFill patternType="solid">
          <fgColor rgb="00C0392B"/>
        </patternFill>
      </fill>
    </dxf>
    <dxf>
      <font>
        <name val="Arial"/>
        <b val="1"/>
        <color rgb="003A2A05"/>
        <sz val="13"/>
      </font>
      <fill>
        <patternFill patternType="solid">
          <fgColor rgb="00E8A33D"/>
        </patternFill>
      </fill>
    </dxf>
    <dxf>
      <font>
        <name val="Arial"/>
        <b val="1"/>
        <color rgb="00FFFFFF"/>
        <sz val="11"/>
      </font>
      <fill>
        <patternFill patternType="solid">
          <fgColor rgb="001E7B34"/>
        </patternFill>
      </fill>
    </dxf>
    <dxf>
      <font>
        <name val="Arial"/>
        <b val="1"/>
        <color rgb="001C2733"/>
        <sz val="11"/>
      </font>
      <fill>
        <patternFill patternType="solid">
          <fgColor rgb="00A8D08D"/>
        </patternFill>
      </fill>
    </dxf>
    <dxf>
      <font>
        <name val="Arial"/>
        <b val="1"/>
        <color rgb="001C2733"/>
        <sz val="11"/>
      </font>
      <fill>
        <patternFill patternType="solid">
          <fgColor rgb="00FFD966"/>
        </patternFill>
      </fill>
    </dxf>
    <dxf>
      <font>
        <name val="Arial"/>
        <b val="1"/>
        <color rgb="001C2733"/>
        <sz val="11"/>
      </font>
      <fill>
        <patternFill patternType="solid">
          <fgColor rgb="00F4A742"/>
        </patternFill>
      </fill>
    </dxf>
    <dxf>
      <font>
        <name val="Arial"/>
        <b val="1"/>
        <color rgb="00FFFFFF"/>
        <sz val="11"/>
      </font>
      <fill>
        <patternFill patternType="solid">
          <fgColor rgb="00E03C31"/>
        </patternFill>
      </fill>
    </dxf>
    <dxf>
      <font>
        <name val="Arial"/>
        <b val="1"/>
        <color rgb="00FFFFFF"/>
        <sz val="11"/>
      </font>
      <fill>
        <patternFill patternType="solid">
          <fgColor rgb="008E1B13"/>
        </patternFill>
      </fill>
    </dxf>
    <dxf>
      <font>
        <name val="Arial"/>
        <i val="1"/>
        <color rgb="00A6ADB8"/>
        <sz val="10"/>
      </font>
    </dxf>
    <dxf>
      <font>
        <name val="Arial"/>
        <b val="1"/>
        <color rgb="00FFFFFF"/>
        <sz val="10"/>
      </font>
      <fill>
        <patternFill patternType="solid">
          <fgColor rgb="00C0392B"/>
        </patternFill>
      </fill>
    </dxf>
    <dxf>
      <font>
        <name val="Arial"/>
        <color rgb="001E7B34"/>
        <sz val="10"/>
      </font>
      <fill>
        <patternFill patternType="solid">
          <fgColor rgb="00E3F1E6"/>
        </patternFill>
      </fill>
    </dxf>
    <dxf>
      <font>
        <name val="Arial"/>
        <b val="1"/>
        <color rgb="003A2A05"/>
        <sz val="10"/>
      </font>
      <fill>
        <patternFill patternType="solid">
          <fgColor rgb="00E8A33D"/>
        </patternFill>
      </fill>
    </dxf>
    <dxf>
      <font>
        <name val="Arial"/>
        <color rgb="00A0A8B4"/>
        <sz val="10.5"/>
      </font>
      <fill>
        <patternFill patternType="solid">
          <fgColor rgb="00E8EAED"/>
        </patternFill>
      </fill>
    </dxf>
    <dxf>
      <font>
        <name val="Arial"/>
        <b val="1"/>
        <color rgb="00C0392B"/>
        <sz val="11"/>
      </font>
      <fill>
        <patternFill patternType="solid">
          <fgColor rgb="00FDE3E1"/>
        </patternFill>
      </fill>
    </dxf>
    <dxf>
      <font>
        <name val="Arial"/>
        <i val="1"/>
        <color rgb="006B7684"/>
        <sz val="11"/>
      </font>
    </dxf>
    <dxf>
      <font>
        <name val="Arial"/>
        <b val="1"/>
        <color rgb="003A2A05"/>
        <sz val="9.5"/>
      </font>
      <fill>
        <patternFill patternType="solid">
          <fgColor rgb="00E8A33D"/>
        </patternFill>
      </fill>
    </dxf>
    <dxf>
      <font>
        <name val="Arial"/>
        <color rgb="00A6ADB8"/>
        <sz val="10"/>
      </font>
      <fill>
        <patternFill patternType="solid">
          <fgColor rgb="00E8EAED"/>
        </patternFill>
      </fill>
    </dxf>
    <dxf>
      <font>
        <name val="Arial"/>
        <color rgb="00C2C8D0"/>
        <sz val="10"/>
      </font>
      <fill>
        <patternFill patternType="solid">
          <fgColor rgb="00E8EAED"/>
        </patternFill>
      </fill>
    </dxf>
    <dxf>
      <font>
        <name val="Arial"/>
        <i val="1"/>
        <color rgb="006B7684"/>
        <sz val="10"/>
      </font>
      <fill>
        <patternFill patternType="solid">
          <fgColor rgb="00E3E7ED"/>
        </patternFill>
      </fill>
    </dxf>
    <dxf>
      <fill>
        <patternFill patternType="solid">
          <fgColor rgb="00FFF1D6"/>
        </patternFill>
      </fill>
    </dxf>
    <dxf>
      <font>
        <name val="Arial"/>
        <i val="1"/>
        <color rgb="0098A1AE"/>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Prozentwerte im Verlauf</a:t>
            </a:r>
          </a:p>
        </rich>
      </tx>
    </title>
    <plotArea>
      <lineChart>
        <grouping val="standard"/>
        <ser>
          <idx val="0"/>
          <order val="0"/>
          <tx>
            <strRef>
              <f>'Azubi-Ansicht'!C80</f>
            </strRef>
          </tx>
          <spPr>
            <a:ln xmlns:a="http://schemas.openxmlformats.org/drawingml/2006/main" w="28000">
              <a:solidFill>
                <a:srgbClr val="0E7C86"/>
              </a:solidFill>
              <a:prstDash val="solid"/>
            </a:ln>
          </spPr>
          <marker>
            <symbol val="circle"/>
            <size val="6"/>
            <spPr>
              <a:ln xmlns:a="http://schemas.openxmlformats.org/drawingml/2006/main">
                <a:prstDash val="solid"/>
              </a:ln>
            </spPr>
          </marker>
          <cat>
            <numRef>
              <f>'Azubi-Ansicht'!$B$81:$B$100</f>
            </numRef>
          </cat>
          <val>
            <numRef>
              <f>'Azubi-Ansicht'!$C$81:$C$100</f>
            </numRef>
          </val>
          <smooth val="0"/>
        </ser>
        <ser>
          <idx val="1"/>
          <order val="1"/>
          <tx>
            <strRef>
              <f>'Azubi-Ansicht'!D80</f>
            </strRef>
          </tx>
          <spPr>
            <a:ln xmlns:a="http://schemas.openxmlformats.org/drawingml/2006/main" w="28000">
              <a:solidFill>
                <a:srgbClr val="9AA7B8"/>
              </a:solidFill>
              <a:prstDash val="solid"/>
            </a:ln>
          </spPr>
          <marker>
            <symbol val="circle"/>
            <size val="6"/>
            <spPr>
              <a:ln xmlns:a="http://schemas.openxmlformats.org/drawingml/2006/main">
                <a:prstDash val="solid"/>
              </a:ln>
            </spPr>
          </marker>
          <cat>
            <numRef>
              <f>'Azubi-Ansicht'!$B$81:$B$100</f>
            </numRef>
          </cat>
          <val>
            <numRef>
              <f>'Azubi-Ansicht'!$D$81:$D$100</f>
            </numRef>
          </val>
          <smooth val="0"/>
        </ser>
        <axId val="10"/>
        <axId val="100"/>
      </lineChart>
      <catAx>
        <axId val="10"/>
        <scaling>
          <orientation val="minMax"/>
        </scaling>
        <axPos val="l"/>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Prozent</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56</row>
      <rowOff>0</rowOff>
    </from>
    <ext cx="86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22395C"/>
    <outlinePr summaryBelow="1" summaryRight="1"/>
    <pageSetUpPr fitToPage="1"/>
  </sheetPr>
  <dimension ref="A1:N35"/>
  <sheetViews>
    <sheetView showGridLines="0" zoomScale="100" workbookViewId="0">
      <pane ySplit="4" topLeftCell="A5" activePane="bottomLeft" state="frozen"/>
      <selection pane="bottomLeft" activeCell="A1" sqref="A1"/>
    </sheetView>
  </sheetViews>
  <sheetFormatPr baseColWidth="8" defaultRowHeight="15"/>
  <cols>
    <col width="5" customWidth="1" min="1" max="1"/>
    <col width="26" customWidth="1" min="2" max="2"/>
    <col width="10" customWidth="1" min="3" max="3"/>
    <col width="11" customWidth="1" min="4" max="4"/>
    <col width="14" customWidth="1" min="5" max="5"/>
    <col width="10" customWidth="1" min="6" max="6"/>
    <col width="10" customWidth="1" min="7" max="7"/>
    <col width="16" customWidth="1" min="8" max="8"/>
    <col width="2" customWidth="1" min="9" max="9"/>
    <col width="16" customWidth="1" min="10" max="10"/>
    <col width="9" customWidth="1" min="11" max="11"/>
    <col width="9" customWidth="1" min="12" max="12"/>
    <col width="17" customWidth="1" min="13" max="13"/>
    <col width="2" customWidth="1" min="14" max="14"/>
  </cols>
  <sheetData>
    <row r="1" ht="34" customHeight="1">
      <c r="A1" s="1" t="inlineStr">
        <is>
          <t>Azubi-Leistungen</t>
        </is>
      </c>
      <c r="B1" s="2" t="n"/>
      <c r="C1" s="2" t="n"/>
      <c r="D1" s="2" t="n"/>
      <c r="E1" s="2" t="n"/>
      <c r="F1" s="2" t="n"/>
      <c r="G1" s="2" t="n"/>
      <c r="H1" s="2" t="n"/>
      <c r="I1" s="2" t="n"/>
      <c r="J1" s="2" t="n"/>
      <c r="K1" s="2" t="n"/>
      <c r="L1" s="2" t="n"/>
      <c r="M1" s="2" t="n"/>
      <c r="N1" s="2" t="n"/>
    </row>
    <row r="2" ht="18" customHeight="1">
      <c r="A2" s="3" t="inlineStr">
        <is>
          <t>Überblick über Übungen, Tests und den Leistungsstand – Startseite und Inhaltsverzeichnis</t>
        </is>
      </c>
      <c r="B2" s="2" t="n"/>
      <c r="C2" s="2" t="n"/>
      <c r="D2" s="2" t="n"/>
      <c r="E2" s="2" t="n"/>
      <c r="F2" s="2" t="n"/>
      <c r="G2" s="2" t="n"/>
      <c r="H2" s="2" t="n"/>
      <c r="I2" s="2" t="n"/>
      <c r="J2" s="2" t="n"/>
      <c r="K2" s="2" t="n"/>
      <c r="L2" s="2" t="n"/>
      <c r="M2" s="2" t="n"/>
      <c r="N2" s="2" t="n"/>
    </row>
    <row r="3" ht="24" customHeight="1">
      <c r="A3" s="4" t="inlineStr">
        <is>
          <t>Farben:  gelb = hier eintragen   ·   grau-blau = rechnet die Datei selbst   ·   „n.b.“ = nicht bewertet</t>
        </is>
      </c>
      <c r="J3" s="5" t="inlineStr">
        <is>
          <t>Kurzanleitung öffnen »</t>
        </is>
      </c>
      <c r="K3" s="6" t="n"/>
      <c r="L3" s="6" t="n"/>
      <c r="M3" s="6" t="n"/>
      <c r="N3" s="7" t="n"/>
    </row>
    <row r="4" ht="30" customHeight="1">
      <c r="A4" s="8" t="inlineStr">
        <is>
          <t>Azubi-Ansicht</t>
        </is>
      </c>
      <c r="C4" s="8" t="inlineStr">
        <is>
          <t>Gesprächsseite</t>
        </is>
      </c>
      <c r="E4" s="8" t="inlineStr">
        <is>
          <t>Halbjahr</t>
        </is>
      </c>
      <c r="G4" s="8" t="inlineStr">
        <is>
          <t>Übungen verwalten</t>
        </is>
      </c>
      <c r="J4" s="8" t="inlineStr">
        <is>
          <t>Stammdaten</t>
        </is>
      </c>
      <c r="L4" s="8" t="inlineStr">
        <is>
          <t>Einstellungen</t>
        </is>
      </c>
    </row>
    <row r="5" ht="8" customHeight="1"/>
    <row r="6" ht="34" customHeight="1">
      <c r="A6" s="9">
        <f>COUNTIF('Stammdaten'!$G$6:$G$105,"aktiv")</f>
        <v/>
      </c>
      <c r="B6" s="10" t="n"/>
      <c r="C6" s="9">
        <f>SUM(Daten!$C$5:$V$5)</f>
        <v/>
      </c>
      <c r="D6" s="10" t="n"/>
      <c r="E6" s="11">
        <f>IF(SUM(Daten!$C$1385:$V$1484)=0,"",SUMPRODUCT(Daten!$C$1385:$V$1484,Daten!$C$20:$V$119)/SUM(Daten!$C$1385:$V$1484))</f>
        <v/>
      </c>
      <c r="F6" s="10" t="n"/>
      <c r="G6" s="9">
        <f>SUM(Daten!$G$2347:$G$2446)</f>
        <v/>
      </c>
      <c r="H6" s="10" t="n"/>
      <c r="J6" s="12">
        <f>IF(SUM(Daten!$C$16:$V$16)+SUMPRODUCT((Daten!$C$5:$V$5=1)*(Daten!$C$7:$V$7=0))+SUMPRODUCT((Daten!$C$5:$V$5=1)*(Daten!$C$6:$V$6=""))+SUMPRODUCT((Daten!$C$5:$V$5=1)*(Daten!$C$13:$V$13=0))+SUMPRODUCT(('Stammdaten'!$B$6:$B$105&lt;&gt;"")*('Stammdaten'!$F$6:$F$105=""))+SUMPRODUCT(('Stammdaten'!$J$6:$J$105&lt;&gt;"")*(COUNTIF('Stammdaten'!$J$6:$J$105,'Stammdaten'!$J$6:$J$105&amp;"")&gt;1))&gt;0,"ROT - bitte die Punkte rechts unten klären",IF(SUM(Daten!$C$17:$V$17)+SUM(Daten!$C$18:$V$18)+SUMPRODUCT(('Stammdaten'!$B$6:$B$105&lt;&gt;"")*('Stammdaten'!$G$6:$G$105=""))&gt;0,"GELB - Kleinigkeiten fehlen noch","GRÜN - alle Angaben vollständig"))</f>
        <v/>
      </c>
    </row>
    <row r="7" ht="18" customHeight="1">
      <c r="A7" s="13" t="inlineStr">
        <is>
          <t>aktive Azubis</t>
        </is>
      </c>
      <c r="B7" s="14" t="n"/>
      <c r="C7" s="13" t="inlineStr">
        <is>
          <t>belegte Übungen</t>
        </is>
      </c>
      <c r="D7" s="14" t="n"/>
      <c r="E7" s="13" t="inlineStr">
        <is>
          <t>Ø aller Bewertungen</t>
        </is>
      </c>
      <c r="F7" s="14" t="n"/>
      <c r="G7" s="13" t="inlineStr">
        <is>
          <t>Azubis in der Warnübersicht</t>
        </is>
      </c>
      <c r="H7" s="14" t="n"/>
    </row>
    <row r="8" ht="10" customHeight="1"/>
    <row r="9" ht="28" customHeight="1">
      <c r="A9" s="15" t="inlineStr">
        <is>
          <t xml:space="preserve"> Übungen – Kennzahlen und Sprung zum Blatt</t>
        </is>
      </c>
      <c r="J9" s="15" t="inlineStr">
        <is>
          <t xml:space="preserve"> Datenprüfung</t>
        </is>
      </c>
    </row>
    <row r="10" ht="20" customHeight="1">
      <c r="A10" s="16" t="inlineStr">
        <is>
          <t>Nr.</t>
        </is>
      </c>
      <c r="B10" s="16" t="inlineStr">
        <is>
          <t>Übung (anklicken)</t>
        </is>
      </c>
      <c r="C10" s="16" t="inlineStr">
        <is>
          <t>Art</t>
        </is>
      </c>
      <c r="D10" s="16" t="inlineStr">
        <is>
          <t>Datum</t>
        </is>
      </c>
      <c r="E10" s="16" t="inlineStr">
        <is>
          <t>Status</t>
        </is>
      </c>
      <c r="F10" s="16" t="inlineStr">
        <is>
          <t>bewertet</t>
        </is>
      </c>
      <c r="G10" s="16" t="inlineStr">
        <is>
          <t>Ø Prozent</t>
        </is>
      </c>
      <c r="H10" s="16" t="inlineStr">
        <is>
          <t>Ø IHK-Note</t>
        </is>
      </c>
      <c r="J10" s="17" t="inlineStr">
        <is>
          <t>Azubis ohne Ausbildungsstart</t>
        </is>
      </c>
      <c r="M10" s="18">
        <f>SUMPRODUCT(('Stammdaten'!$B$6:$B$105&lt;&gt;"")*('Stammdaten'!$F$6:$F$105=""))</f>
        <v/>
      </c>
    </row>
    <row r="11" ht="20" customHeight="1">
      <c r="A11" s="19" t="n">
        <v>1</v>
      </c>
      <c r="B11" s="20">
        <f>IF('Übungen'!$C6="","(frei – Übung 01)",'Übungen'!$C6)</f>
        <v/>
      </c>
      <c r="C11" s="21">
        <f>IF('Übungen'!$C6="","",Daten!C$6)</f>
        <v/>
      </c>
      <c r="D11" s="22">
        <f>IF('Übungen'!$C6="","",IF(Daten!C$7=0,"",Daten!C$7))</f>
        <v/>
      </c>
      <c r="E11" s="21">
        <f>IF('Übungen'!$C6="","",Daten!C$8)</f>
        <v/>
      </c>
      <c r="F11" s="23">
        <f>'Übungen'!$L6</f>
        <v/>
      </c>
      <c r="G11" s="24">
        <f>'Übungen'!$M6</f>
        <v/>
      </c>
      <c r="H11" s="25">
        <f>'Übungen'!$N6</f>
        <v/>
      </c>
      <c r="J11" s="17" t="inlineStr">
        <is>
          <t>Azubis ohne Status</t>
        </is>
      </c>
      <c r="M11" s="18">
        <f>SUMPRODUCT(('Stammdaten'!$B$6:$B$105&lt;&gt;"")*('Stammdaten'!$G$6:$G$105=""))</f>
        <v/>
      </c>
    </row>
    <row r="12" ht="20" customHeight="1">
      <c r="A12" s="19" t="n">
        <v>2</v>
      </c>
      <c r="B12" s="20">
        <f>IF('Übungen'!$C7="","(frei – Übung 02)",'Übungen'!$C7)</f>
        <v/>
      </c>
      <c r="C12" s="21">
        <f>IF('Übungen'!$C7="","",Daten!D$6)</f>
        <v/>
      </c>
      <c r="D12" s="22">
        <f>IF('Übungen'!$C7="","",IF(Daten!D$7=0,"",Daten!D$7))</f>
        <v/>
      </c>
      <c r="E12" s="21">
        <f>IF('Übungen'!$C7="","",Daten!D$8)</f>
        <v/>
      </c>
      <c r="F12" s="23">
        <f>'Übungen'!$L7</f>
        <v/>
      </c>
      <c r="G12" s="24">
        <f>'Übungen'!$M7</f>
        <v/>
      </c>
      <c r="H12" s="25">
        <f>'Übungen'!$N7</f>
        <v/>
      </c>
      <c r="J12" s="17" t="inlineStr">
        <is>
          <t>Übungen ohne Datum</t>
        </is>
      </c>
      <c r="M12" s="18">
        <f>SUMPRODUCT((Daten!$C$5:$V$5=1)*(Daten!$C$7:$V$7=0))</f>
        <v/>
      </c>
    </row>
    <row r="13" ht="20" customHeight="1">
      <c r="A13" s="19" t="n">
        <v>3</v>
      </c>
      <c r="B13" s="20">
        <f>IF('Übungen'!$C8="","(frei – Übung 03)",'Übungen'!$C8)</f>
        <v/>
      </c>
      <c r="C13" s="21">
        <f>IF('Übungen'!$C8="","",Daten!E$6)</f>
        <v/>
      </c>
      <c r="D13" s="22">
        <f>IF('Übungen'!$C8="","",IF(Daten!E$7=0,"",Daten!E$7))</f>
        <v/>
      </c>
      <c r="E13" s="21">
        <f>IF('Übungen'!$C8="","",Daten!E$8)</f>
        <v/>
      </c>
      <c r="F13" s="23">
        <f>'Übungen'!$L8</f>
        <v/>
      </c>
      <c r="G13" s="24">
        <f>'Übungen'!$M8</f>
        <v/>
      </c>
      <c r="H13" s="25">
        <f>'Übungen'!$N8</f>
        <v/>
      </c>
      <c r="J13" s="17" t="inlineStr">
        <is>
          <t>Übungen ohne Art (Praxis/Theorie)</t>
        </is>
      </c>
      <c r="M13" s="18">
        <f>SUMPRODUCT((Daten!$C$5:$V$5=1)*(Daten!$C$6:$V$6=""))</f>
        <v/>
      </c>
    </row>
    <row r="14" ht="20" customHeight="1">
      <c r="A14" s="19" t="n">
        <v>4</v>
      </c>
      <c r="B14" s="20">
        <f>IF('Übungen'!$C9="","(frei – Übung 04)",'Übungen'!$C9)</f>
        <v/>
      </c>
      <c r="C14" s="21">
        <f>IF('Übungen'!$C9="","",Daten!F$6)</f>
        <v/>
      </c>
      <c r="D14" s="22">
        <f>IF('Übungen'!$C9="","",IF(Daten!F$7=0,"",Daten!F$7))</f>
        <v/>
      </c>
      <c r="E14" s="21">
        <f>IF('Übungen'!$C9="","",Daten!F$8)</f>
        <v/>
      </c>
      <c r="F14" s="23">
        <f>'Übungen'!$L9</f>
        <v/>
      </c>
      <c r="G14" s="24">
        <f>'Übungen'!$M9</f>
        <v/>
      </c>
      <c r="H14" s="25">
        <f>'Übungen'!$N9</f>
        <v/>
      </c>
      <c r="J14" s="17" t="inlineStr">
        <is>
          <t>Übungen ohne Bewertungsparameter</t>
        </is>
      </c>
      <c r="M14" s="18">
        <f>SUMPRODUCT((Daten!$C$5:$V$5=1)*(Daten!$C$13:$V$13=0))</f>
        <v/>
      </c>
    </row>
    <row r="15" ht="20" customHeight="1">
      <c r="A15" s="19" t="n">
        <v>5</v>
      </c>
      <c r="B15" s="20">
        <f>IF('Übungen'!$C10="","(frei – Übung 05)",'Übungen'!$C10)</f>
        <v/>
      </c>
      <c r="C15" s="21">
        <f>IF('Übungen'!$C10="","",Daten!G$6)</f>
        <v/>
      </c>
      <c r="D15" s="22">
        <f>IF('Übungen'!$C10="","",IF(Daten!G$7=0,"",Daten!G$7))</f>
        <v/>
      </c>
      <c r="E15" s="21">
        <f>IF('Übungen'!$C10="","",Daten!G$8)</f>
        <v/>
      </c>
      <c r="F15" s="23">
        <f>'Übungen'!$L10</f>
        <v/>
      </c>
      <c r="G15" s="24">
        <f>'Übungen'!$M10</f>
        <v/>
      </c>
      <c r="H15" s="25">
        <f>'Übungen'!$N10</f>
        <v/>
      </c>
      <c r="J15" s="17" t="inlineStr">
        <is>
          <t>angefangene, unvollständige Zeilen</t>
        </is>
      </c>
      <c r="M15" s="18">
        <f>SUM(Daten!$C$16:$V$16)</f>
        <v/>
      </c>
    </row>
    <row r="16" ht="20" customHeight="1">
      <c r="A16" s="19" t="n">
        <v>6</v>
      </c>
      <c r="B16" s="20">
        <f>IF('Übungen'!$C11="","(frei – Übung 06)",'Übungen'!$C11)</f>
        <v/>
      </c>
      <c r="C16" s="21">
        <f>IF('Übungen'!$C11="","",Daten!H$6)</f>
        <v/>
      </c>
      <c r="D16" s="22">
        <f>IF('Übungen'!$C11="","",IF(Daten!H$7=0,"",Daten!H$7))</f>
        <v/>
      </c>
      <c r="E16" s="21">
        <f>IF('Übungen'!$C11="","",Daten!H$8)</f>
        <v/>
      </c>
      <c r="F16" s="23">
        <f>'Übungen'!$L11</f>
        <v/>
      </c>
      <c r="G16" s="24">
        <f>'Übungen'!$M11</f>
        <v/>
      </c>
      <c r="H16" s="25">
        <f>'Übungen'!$N11</f>
        <v/>
      </c>
      <c r="J16" s="17" t="inlineStr">
        <is>
          <t>ganze Zeile „n.b.“ ohne Grund</t>
        </is>
      </c>
      <c r="M16" s="18">
        <f>SUM(Daten!$C$17:$V$17)</f>
        <v/>
      </c>
    </row>
    <row r="17" ht="20" customHeight="1">
      <c r="A17" s="19" t="n">
        <v>7</v>
      </c>
      <c r="B17" s="20">
        <f>IF('Übungen'!$C12="","(frei – Übung 07)",'Übungen'!$C12)</f>
        <v/>
      </c>
      <c r="C17" s="21">
        <f>IF('Übungen'!$C12="","",Daten!I$6)</f>
        <v/>
      </c>
      <c r="D17" s="22">
        <f>IF('Übungen'!$C12="","",IF(Daten!I$7=0,"",Daten!I$7))</f>
        <v/>
      </c>
      <c r="E17" s="21">
        <f>IF('Übungen'!$C12="","",Daten!I$8)</f>
        <v/>
      </c>
      <c r="F17" s="23">
        <f>'Übungen'!$L12</f>
        <v/>
      </c>
      <c r="G17" s="24">
        <f>'Übungen'!$M12</f>
        <v/>
      </c>
      <c r="H17" s="25">
        <f>'Übungen'!$N12</f>
        <v/>
      </c>
      <c r="J17" s="17" t="inlineStr">
        <is>
          <t>Übungen ohne Kürzel „Bewertet von“</t>
        </is>
      </c>
      <c r="M17" s="18">
        <f>SUM(Daten!$C$18:$V$18)</f>
        <v/>
      </c>
    </row>
    <row r="18" ht="20" customHeight="1">
      <c r="A18" s="19" t="n">
        <v>8</v>
      </c>
      <c r="B18" s="20">
        <f>IF('Übungen'!$C13="","(frei – Übung 08)",'Übungen'!$C13)</f>
        <v/>
      </c>
      <c r="C18" s="21">
        <f>IF('Übungen'!$C13="","",Daten!J$6)</f>
        <v/>
      </c>
      <c r="D18" s="22">
        <f>IF('Übungen'!$C13="","",IF(Daten!J$7=0,"",Daten!J$7))</f>
        <v/>
      </c>
      <c r="E18" s="21">
        <f>IF('Übungen'!$C13="","",Daten!J$8)</f>
        <v/>
      </c>
      <c r="F18" s="23">
        <f>'Übungen'!$L13</f>
        <v/>
      </c>
      <c r="G18" s="24">
        <f>'Übungen'!$M13</f>
        <v/>
      </c>
      <c r="H18" s="25">
        <f>'Übungen'!$N13</f>
        <v/>
      </c>
      <c r="J18" s="17" t="inlineStr">
        <is>
          <t>Azubis mit gleichem Namen</t>
        </is>
      </c>
      <c r="M18" s="18">
        <f>SUMPRODUCT(('Stammdaten'!$J$6:$J$105&lt;&gt;"")*(COUNTIF('Stammdaten'!$J$6:$J$105,'Stammdaten'!$J$6:$J$105&amp;"")&gt;1))</f>
        <v/>
      </c>
    </row>
    <row r="19" ht="20" customHeight="1">
      <c r="A19" s="19" t="n">
        <v>9</v>
      </c>
      <c r="B19" s="20">
        <f>IF('Übungen'!$C14="","(frei – Übung 09)",'Übungen'!$C14)</f>
        <v/>
      </c>
      <c r="C19" s="21">
        <f>IF('Übungen'!$C14="","",Daten!K$6)</f>
        <v/>
      </c>
      <c r="D19" s="22">
        <f>IF('Übungen'!$C14="","",IF(Daten!K$7=0,"",Daten!K$7))</f>
        <v/>
      </c>
      <c r="E19" s="21">
        <f>IF('Übungen'!$C14="","",Daten!K$8)</f>
        <v/>
      </c>
      <c r="F19" s="23">
        <f>'Übungen'!$L14</f>
        <v/>
      </c>
      <c r="G19" s="24">
        <f>'Übungen'!$M14</f>
        <v/>
      </c>
      <c r="H19" s="25">
        <f>'Übungen'!$N14</f>
        <v/>
      </c>
      <c r="J19" s="26">
        <f>" Warnübersicht – zuletzt Note "&amp;WarnNote&amp;" oder schlechter"</f>
        <v/>
      </c>
    </row>
    <row r="20" ht="20" customHeight="1">
      <c r="A20" s="19" t="n">
        <v>10</v>
      </c>
      <c r="B20" s="20">
        <f>IF('Übungen'!$C15="","(frei – Übung 10)",'Übungen'!$C15)</f>
        <v/>
      </c>
      <c r="C20" s="21">
        <f>IF('Übungen'!$C15="","",Daten!L$6)</f>
        <v/>
      </c>
      <c r="D20" s="22">
        <f>IF('Übungen'!$C15="","",IF(Daten!L$7=0,"",Daten!L$7))</f>
        <v/>
      </c>
      <c r="E20" s="21">
        <f>IF('Übungen'!$C15="","",Daten!L$8)</f>
        <v/>
      </c>
      <c r="F20" s="23">
        <f>'Übungen'!$L15</f>
        <v/>
      </c>
      <c r="G20" s="24">
        <f>'Übungen'!$M15</f>
        <v/>
      </c>
      <c r="H20" s="25">
        <f>'Übungen'!$N15</f>
        <v/>
      </c>
      <c r="J20" s="16" t="inlineStr">
        <is>
          <t>Azubi</t>
        </is>
      </c>
      <c r="K20" s="16" t="inlineStr">
        <is>
          <t>LJ / HJ</t>
        </is>
      </c>
      <c r="L20" s="16" t="inlineStr">
        <is>
          <t>Prozent</t>
        </is>
      </c>
      <c r="M20" s="16" t="inlineStr">
        <is>
          <t>IHK-Note</t>
        </is>
      </c>
    </row>
    <row r="21" ht="20" customHeight="1">
      <c r="A21" s="19" t="n">
        <v>11</v>
      </c>
      <c r="B21" s="20">
        <f>IF('Übungen'!$C16="","(frei – Übung 11)",'Übungen'!$C16)</f>
        <v/>
      </c>
      <c r="C21" s="21">
        <f>IF('Übungen'!$C16="","",Daten!M$6)</f>
        <v/>
      </c>
      <c r="D21" s="22">
        <f>IF('Übungen'!$C16="","",IF(Daten!M$7=0,"",Daten!M$7))</f>
        <v/>
      </c>
      <c r="E21" s="21">
        <f>IF('Übungen'!$C16="","",Daten!M$8)</f>
        <v/>
      </c>
      <c r="F21" s="23">
        <f>'Übungen'!$L16</f>
        <v/>
      </c>
      <c r="G21" s="24">
        <f>'Übungen'!$M16</f>
        <v/>
      </c>
      <c r="H21" s="25">
        <f>'Übungen'!$N16</f>
        <v/>
      </c>
      <c r="J21" s="27">
        <f>IF(IFERROR(SMALL(Daten!$H$2347:$H$2446,1),"")="","",INDEX('Stammdaten'!$J$6:$J$105,IFERROR(SMALL(Daten!$H$2347:$H$2446,1),"")))</f>
        <v/>
      </c>
      <c r="K21" s="28">
        <f>IF(IFERROR(SMALL(Daten!$H$2347:$H$2446,1),"")="","",INDEX('Stammdaten'!$H$6:$H$105,IFERROR(SMALL(Daten!$H$2347:$H$2446,1),""))&amp;" / "&amp;INDEX(Daten!$C$2347:$C$2446,IFERROR(SMALL(Daten!$H$2347:$H$2446,1),"")))</f>
        <v/>
      </c>
      <c r="L21" s="24">
        <f>IF(IFERROR(SMALL(Daten!$H$2347:$H$2446,1),"")="","",INDEX(Daten!$D$2347:$D$2446,IFERROR(SMALL(Daten!$H$2347:$H$2446,1),"")))</f>
        <v/>
      </c>
      <c r="M21" s="25">
        <f>IF($L21="","",INDEX(Noten,MAX(1,MIN(COUNT(NGrenze),COUNT(NGrenze)+1-COUNTIF(NGrenze,"&lt;="&amp;$L21))))&amp;" – "&amp;INDEX(NText,MAX(1,MIN(COUNT(NGrenze),COUNT(NGrenze)+1-COUNTIF(NGrenze,"&lt;="&amp;$L21)))))</f>
        <v/>
      </c>
    </row>
    <row r="22" ht="20" customHeight="1">
      <c r="A22" s="19" t="n">
        <v>12</v>
      </c>
      <c r="B22" s="20">
        <f>IF('Übungen'!$C17="","(frei – Übung 12)",'Übungen'!$C17)</f>
        <v/>
      </c>
      <c r="C22" s="21">
        <f>IF('Übungen'!$C17="","",Daten!N$6)</f>
        <v/>
      </c>
      <c r="D22" s="22">
        <f>IF('Übungen'!$C17="","",IF(Daten!N$7=0,"",Daten!N$7))</f>
        <v/>
      </c>
      <c r="E22" s="21">
        <f>IF('Übungen'!$C17="","",Daten!N$8)</f>
        <v/>
      </c>
      <c r="F22" s="23">
        <f>'Übungen'!$L17</f>
        <v/>
      </c>
      <c r="G22" s="24">
        <f>'Übungen'!$M17</f>
        <v/>
      </c>
      <c r="H22" s="25">
        <f>'Übungen'!$N17</f>
        <v/>
      </c>
      <c r="J22" s="27">
        <f>IF(IFERROR(SMALL(Daten!$H$2347:$H$2446,2),"")="","",INDEX('Stammdaten'!$J$6:$J$105,IFERROR(SMALL(Daten!$H$2347:$H$2446,2),"")))</f>
        <v/>
      </c>
      <c r="K22" s="28">
        <f>IF(IFERROR(SMALL(Daten!$H$2347:$H$2446,2),"")="","",INDEX('Stammdaten'!$H$6:$H$105,IFERROR(SMALL(Daten!$H$2347:$H$2446,2),""))&amp;" / "&amp;INDEX(Daten!$C$2347:$C$2446,IFERROR(SMALL(Daten!$H$2347:$H$2446,2),"")))</f>
        <v/>
      </c>
      <c r="L22" s="24">
        <f>IF(IFERROR(SMALL(Daten!$H$2347:$H$2446,2),"")="","",INDEX(Daten!$D$2347:$D$2446,IFERROR(SMALL(Daten!$H$2347:$H$2446,2),"")))</f>
        <v/>
      </c>
      <c r="M22" s="25">
        <f>IF($L22="","",INDEX(Noten,MAX(1,MIN(COUNT(NGrenze),COUNT(NGrenze)+1-COUNTIF(NGrenze,"&lt;="&amp;$L22))))&amp;" – "&amp;INDEX(NText,MAX(1,MIN(COUNT(NGrenze),COUNT(NGrenze)+1-COUNTIF(NGrenze,"&lt;="&amp;$L22)))))</f>
        <v/>
      </c>
    </row>
    <row r="23" ht="20" customHeight="1">
      <c r="A23" s="19" t="n">
        <v>13</v>
      </c>
      <c r="B23" s="20">
        <f>IF('Übungen'!$C18="","(frei – Übung 13)",'Übungen'!$C18)</f>
        <v/>
      </c>
      <c r="C23" s="21">
        <f>IF('Übungen'!$C18="","",Daten!O$6)</f>
        <v/>
      </c>
      <c r="D23" s="22">
        <f>IF('Übungen'!$C18="","",IF(Daten!O$7=0,"",Daten!O$7))</f>
        <v/>
      </c>
      <c r="E23" s="21">
        <f>IF('Übungen'!$C18="","",Daten!O$8)</f>
        <v/>
      </c>
      <c r="F23" s="23">
        <f>'Übungen'!$L18</f>
        <v/>
      </c>
      <c r="G23" s="24">
        <f>'Übungen'!$M18</f>
        <v/>
      </c>
      <c r="H23" s="25">
        <f>'Übungen'!$N18</f>
        <v/>
      </c>
      <c r="J23" s="27">
        <f>IF(IFERROR(SMALL(Daten!$H$2347:$H$2446,3),"")="","",INDEX('Stammdaten'!$J$6:$J$105,IFERROR(SMALL(Daten!$H$2347:$H$2446,3),"")))</f>
        <v/>
      </c>
      <c r="K23" s="28">
        <f>IF(IFERROR(SMALL(Daten!$H$2347:$H$2446,3),"")="","",INDEX('Stammdaten'!$H$6:$H$105,IFERROR(SMALL(Daten!$H$2347:$H$2446,3),""))&amp;" / "&amp;INDEX(Daten!$C$2347:$C$2446,IFERROR(SMALL(Daten!$H$2347:$H$2446,3),"")))</f>
        <v/>
      </c>
      <c r="L23" s="24">
        <f>IF(IFERROR(SMALL(Daten!$H$2347:$H$2446,3),"")="","",INDEX(Daten!$D$2347:$D$2446,IFERROR(SMALL(Daten!$H$2347:$H$2446,3),"")))</f>
        <v/>
      </c>
      <c r="M23" s="25">
        <f>IF($L23="","",INDEX(Noten,MAX(1,MIN(COUNT(NGrenze),COUNT(NGrenze)+1-COUNTIF(NGrenze,"&lt;="&amp;$L23))))&amp;" – "&amp;INDEX(NText,MAX(1,MIN(COUNT(NGrenze),COUNT(NGrenze)+1-COUNTIF(NGrenze,"&lt;="&amp;$L23)))))</f>
        <v/>
      </c>
    </row>
    <row r="24" ht="20" customHeight="1">
      <c r="A24" s="19" t="n">
        <v>14</v>
      </c>
      <c r="B24" s="20">
        <f>IF('Übungen'!$C19="","(frei – Übung 14)",'Übungen'!$C19)</f>
        <v/>
      </c>
      <c r="C24" s="21">
        <f>IF('Übungen'!$C19="","",Daten!P$6)</f>
        <v/>
      </c>
      <c r="D24" s="22">
        <f>IF('Übungen'!$C19="","",IF(Daten!P$7=0,"",Daten!P$7))</f>
        <v/>
      </c>
      <c r="E24" s="21">
        <f>IF('Übungen'!$C19="","",Daten!P$8)</f>
        <v/>
      </c>
      <c r="F24" s="23">
        <f>'Übungen'!$L19</f>
        <v/>
      </c>
      <c r="G24" s="24">
        <f>'Übungen'!$M19</f>
        <v/>
      </c>
      <c r="H24" s="25">
        <f>'Übungen'!$N19</f>
        <v/>
      </c>
      <c r="J24" s="27">
        <f>IF(IFERROR(SMALL(Daten!$H$2347:$H$2446,4),"")="","",INDEX('Stammdaten'!$J$6:$J$105,IFERROR(SMALL(Daten!$H$2347:$H$2446,4),"")))</f>
        <v/>
      </c>
      <c r="K24" s="28">
        <f>IF(IFERROR(SMALL(Daten!$H$2347:$H$2446,4),"")="","",INDEX('Stammdaten'!$H$6:$H$105,IFERROR(SMALL(Daten!$H$2347:$H$2446,4),""))&amp;" / "&amp;INDEX(Daten!$C$2347:$C$2446,IFERROR(SMALL(Daten!$H$2347:$H$2446,4),"")))</f>
        <v/>
      </c>
      <c r="L24" s="24">
        <f>IF(IFERROR(SMALL(Daten!$H$2347:$H$2446,4),"")="","",INDEX(Daten!$D$2347:$D$2446,IFERROR(SMALL(Daten!$H$2347:$H$2446,4),"")))</f>
        <v/>
      </c>
      <c r="M24" s="25">
        <f>IF($L24="","",INDEX(Noten,MAX(1,MIN(COUNT(NGrenze),COUNT(NGrenze)+1-COUNTIF(NGrenze,"&lt;="&amp;$L24))))&amp;" – "&amp;INDEX(NText,MAX(1,MIN(COUNT(NGrenze),COUNT(NGrenze)+1-COUNTIF(NGrenze,"&lt;="&amp;$L24)))))</f>
        <v/>
      </c>
    </row>
    <row r="25" ht="20" customHeight="1">
      <c r="A25" s="19" t="n">
        <v>15</v>
      </c>
      <c r="B25" s="20">
        <f>IF('Übungen'!$C20="","(frei – Übung 15)",'Übungen'!$C20)</f>
        <v/>
      </c>
      <c r="C25" s="21">
        <f>IF('Übungen'!$C20="","",Daten!Q$6)</f>
        <v/>
      </c>
      <c r="D25" s="22">
        <f>IF('Übungen'!$C20="","",IF(Daten!Q$7=0,"",Daten!Q$7))</f>
        <v/>
      </c>
      <c r="E25" s="21">
        <f>IF('Übungen'!$C20="","",Daten!Q$8)</f>
        <v/>
      </c>
      <c r="F25" s="23">
        <f>'Übungen'!$L20</f>
        <v/>
      </c>
      <c r="G25" s="24">
        <f>'Übungen'!$M20</f>
        <v/>
      </c>
      <c r="H25" s="25">
        <f>'Übungen'!$N20</f>
        <v/>
      </c>
      <c r="J25" s="27">
        <f>IF(IFERROR(SMALL(Daten!$H$2347:$H$2446,5),"")="","",INDEX('Stammdaten'!$J$6:$J$105,IFERROR(SMALL(Daten!$H$2347:$H$2446,5),"")))</f>
        <v/>
      </c>
      <c r="K25" s="28">
        <f>IF(IFERROR(SMALL(Daten!$H$2347:$H$2446,5),"")="","",INDEX('Stammdaten'!$H$6:$H$105,IFERROR(SMALL(Daten!$H$2347:$H$2446,5),""))&amp;" / "&amp;INDEX(Daten!$C$2347:$C$2446,IFERROR(SMALL(Daten!$H$2347:$H$2446,5),"")))</f>
        <v/>
      </c>
      <c r="L25" s="24">
        <f>IF(IFERROR(SMALL(Daten!$H$2347:$H$2446,5),"")="","",INDEX(Daten!$D$2347:$D$2446,IFERROR(SMALL(Daten!$H$2347:$H$2446,5),"")))</f>
        <v/>
      </c>
      <c r="M25" s="25">
        <f>IF($L25="","",INDEX(Noten,MAX(1,MIN(COUNT(NGrenze),COUNT(NGrenze)+1-COUNTIF(NGrenze,"&lt;="&amp;$L25))))&amp;" – "&amp;INDEX(NText,MAX(1,MIN(COUNT(NGrenze),COUNT(NGrenze)+1-COUNTIF(NGrenze,"&lt;="&amp;$L25)))))</f>
        <v/>
      </c>
    </row>
    <row r="26" ht="20" customHeight="1">
      <c r="A26" s="19" t="n">
        <v>16</v>
      </c>
      <c r="B26" s="20">
        <f>IF('Übungen'!$C21="","(frei – Übung 16)",'Übungen'!$C21)</f>
        <v/>
      </c>
      <c r="C26" s="21">
        <f>IF('Übungen'!$C21="","",Daten!R$6)</f>
        <v/>
      </c>
      <c r="D26" s="22">
        <f>IF('Übungen'!$C21="","",IF(Daten!R$7=0,"",Daten!R$7))</f>
        <v/>
      </c>
      <c r="E26" s="21">
        <f>IF('Übungen'!$C21="","",Daten!R$8)</f>
        <v/>
      </c>
      <c r="F26" s="23">
        <f>'Übungen'!$L21</f>
        <v/>
      </c>
      <c r="G26" s="24">
        <f>'Übungen'!$M21</f>
        <v/>
      </c>
      <c r="H26" s="25">
        <f>'Übungen'!$N21</f>
        <v/>
      </c>
      <c r="J26" s="27">
        <f>IF(IFERROR(SMALL(Daten!$H$2347:$H$2446,6),"")="","",INDEX('Stammdaten'!$J$6:$J$105,IFERROR(SMALL(Daten!$H$2347:$H$2446,6),"")))</f>
        <v/>
      </c>
      <c r="K26" s="28">
        <f>IF(IFERROR(SMALL(Daten!$H$2347:$H$2446,6),"")="","",INDEX('Stammdaten'!$H$6:$H$105,IFERROR(SMALL(Daten!$H$2347:$H$2446,6),""))&amp;" / "&amp;INDEX(Daten!$C$2347:$C$2446,IFERROR(SMALL(Daten!$H$2347:$H$2446,6),"")))</f>
        <v/>
      </c>
      <c r="L26" s="24">
        <f>IF(IFERROR(SMALL(Daten!$H$2347:$H$2446,6),"")="","",INDEX(Daten!$D$2347:$D$2446,IFERROR(SMALL(Daten!$H$2347:$H$2446,6),"")))</f>
        <v/>
      </c>
      <c r="M26" s="25">
        <f>IF($L26="","",INDEX(Noten,MAX(1,MIN(COUNT(NGrenze),COUNT(NGrenze)+1-COUNTIF(NGrenze,"&lt;="&amp;$L26))))&amp;" – "&amp;INDEX(NText,MAX(1,MIN(COUNT(NGrenze),COUNT(NGrenze)+1-COUNTIF(NGrenze,"&lt;="&amp;$L26)))))</f>
        <v/>
      </c>
    </row>
    <row r="27" ht="20" customHeight="1">
      <c r="A27" s="19" t="n">
        <v>17</v>
      </c>
      <c r="B27" s="20">
        <f>IF('Übungen'!$C22="","(frei – Übung 17)",'Übungen'!$C22)</f>
        <v/>
      </c>
      <c r="C27" s="21">
        <f>IF('Übungen'!$C22="","",Daten!S$6)</f>
        <v/>
      </c>
      <c r="D27" s="22">
        <f>IF('Übungen'!$C22="","",IF(Daten!S$7=0,"",Daten!S$7))</f>
        <v/>
      </c>
      <c r="E27" s="21">
        <f>IF('Übungen'!$C22="","",Daten!S$8)</f>
        <v/>
      </c>
      <c r="F27" s="23">
        <f>'Übungen'!$L22</f>
        <v/>
      </c>
      <c r="G27" s="24">
        <f>'Übungen'!$M22</f>
        <v/>
      </c>
      <c r="H27" s="25">
        <f>'Übungen'!$N22</f>
        <v/>
      </c>
      <c r="J27" s="27">
        <f>IF(IFERROR(SMALL(Daten!$H$2347:$H$2446,7),"")="","",INDEX('Stammdaten'!$J$6:$J$105,IFERROR(SMALL(Daten!$H$2347:$H$2446,7),"")))</f>
        <v/>
      </c>
      <c r="K27" s="28">
        <f>IF(IFERROR(SMALL(Daten!$H$2347:$H$2446,7),"")="","",INDEX('Stammdaten'!$H$6:$H$105,IFERROR(SMALL(Daten!$H$2347:$H$2446,7),""))&amp;" / "&amp;INDEX(Daten!$C$2347:$C$2446,IFERROR(SMALL(Daten!$H$2347:$H$2446,7),"")))</f>
        <v/>
      </c>
      <c r="L27" s="24">
        <f>IF(IFERROR(SMALL(Daten!$H$2347:$H$2446,7),"")="","",INDEX(Daten!$D$2347:$D$2446,IFERROR(SMALL(Daten!$H$2347:$H$2446,7),"")))</f>
        <v/>
      </c>
      <c r="M27" s="25">
        <f>IF($L27="","",INDEX(Noten,MAX(1,MIN(COUNT(NGrenze),COUNT(NGrenze)+1-COUNTIF(NGrenze,"&lt;="&amp;$L27))))&amp;" – "&amp;INDEX(NText,MAX(1,MIN(COUNT(NGrenze),COUNT(NGrenze)+1-COUNTIF(NGrenze,"&lt;="&amp;$L27)))))</f>
        <v/>
      </c>
    </row>
    <row r="28" ht="20" customHeight="1">
      <c r="A28" s="19" t="n">
        <v>18</v>
      </c>
      <c r="B28" s="20">
        <f>IF('Übungen'!$C23="","(frei – Übung 18)",'Übungen'!$C23)</f>
        <v/>
      </c>
      <c r="C28" s="21">
        <f>IF('Übungen'!$C23="","",Daten!T$6)</f>
        <v/>
      </c>
      <c r="D28" s="22">
        <f>IF('Übungen'!$C23="","",IF(Daten!T$7=0,"",Daten!T$7))</f>
        <v/>
      </c>
      <c r="E28" s="21">
        <f>IF('Übungen'!$C23="","",Daten!T$8)</f>
        <v/>
      </c>
      <c r="F28" s="23">
        <f>'Übungen'!$L23</f>
        <v/>
      </c>
      <c r="G28" s="24">
        <f>'Übungen'!$M23</f>
        <v/>
      </c>
      <c r="H28" s="25">
        <f>'Übungen'!$N23</f>
        <v/>
      </c>
      <c r="J28" s="27">
        <f>IF(IFERROR(SMALL(Daten!$H$2347:$H$2446,8),"")="","",INDEX('Stammdaten'!$J$6:$J$105,IFERROR(SMALL(Daten!$H$2347:$H$2446,8),"")))</f>
        <v/>
      </c>
      <c r="K28" s="28">
        <f>IF(IFERROR(SMALL(Daten!$H$2347:$H$2446,8),"")="","",INDEX('Stammdaten'!$H$6:$H$105,IFERROR(SMALL(Daten!$H$2347:$H$2446,8),""))&amp;" / "&amp;INDEX(Daten!$C$2347:$C$2446,IFERROR(SMALL(Daten!$H$2347:$H$2446,8),"")))</f>
        <v/>
      </c>
      <c r="L28" s="24">
        <f>IF(IFERROR(SMALL(Daten!$H$2347:$H$2446,8),"")="","",INDEX(Daten!$D$2347:$D$2446,IFERROR(SMALL(Daten!$H$2347:$H$2446,8),"")))</f>
        <v/>
      </c>
      <c r="M28" s="25">
        <f>IF($L28="","",INDEX(Noten,MAX(1,MIN(COUNT(NGrenze),COUNT(NGrenze)+1-COUNTIF(NGrenze,"&lt;="&amp;$L28))))&amp;" – "&amp;INDEX(NText,MAX(1,MIN(COUNT(NGrenze),COUNT(NGrenze)+1-COUNTIF(NGrenze,"&lt;="&amp;$L28)))))</f>
        <v/>
      </c>
    </row>
    <row r="29" ht="20" customHeight="1">
      <c r="A29" s="19" t="n">
        <v>19</v>
      </c>
      <c r="B29" s="20">
        <f>IF('Übungen'!$C24="","(frei – Übung 19)",'Übungen'!$C24)</f>
        <v/>
      </c>
      <c r="C29" s="21">
        <f>IF('Übungen'!$C24="","",Daten!U$6)</f>
        <v/>
      </c>
      <c r="D29" s="22">
        <f>IF('Übungen'!$C24="","",IF(Daten!U$7=0,"",Daten!U$7))</f>
        <v/>
      </c>
      <c r="E29" s="21">
        <f>IF('Übungen'!$C24="","",Daten!U$8)</f>
        <v/>
      </c>
      <c r="F29" s="23">
        <f>'Übungen'!$L24</f>
        <v/>
      </c>
      <c r="G29" s="24">
        <f>'Übungen'!$M24</f>
        <v/>
      </c>
      <c r="H29" s="25">
        <f>'Übungen'!$N24</f>
        <v/>
      </c>
      <c r="J29" s="27">
        <f>IF(IFERROR(SMALL(Daten!$H$2347:$H$2446,9),"")="","",INDEX('Stammdaten'!$J$6:$J$105,IFERROR(SMALL(Daten!$H$2347:$H$2446,9),"")))</f>
        <v/>
      </c>
      <c r="K29" s="28">
        <f>IF(IFERROR(SMALL(Daten!$H$2347:$H$2446,9),"")="","",INDEX('Stammdaten'!$H$6:$H$105,IFERROR(SMALL(Daten!$H$2347:$H$2446,9),""))&amp;" / "&amp;INDEX(Daten!$C$2347:$C$2446,IFERROR(SMALL(Daten!$H$2347:$H$2446,9),"")))</f>
        <v/>
      </c>
      <c r="L29" s="24">
        <f>IF(IFERROR(SMALL(Daten!$H$2347:$H$2446,9),"")="","",INDEX(Daten!$D$2347:$D$2446,IFERROR(SMALL(Daten!$H$2347:$H$2446,9),"")))</f>
        <v/>
      </c>
      <c r="M29" s="25">
        <f>IF($L29="","",INDEX(Noten,MAX(1,MIN(COUNT(NGrenze),COUNT(NGrenze)+1-COUNTIF(NGrenze,"&lt;="&amp;$L29))))&amp;" – "&amp;INDEX(NText,MAX(1,MIN(COUNT(NGrenze),COUNT(NGrenze)+1-COUNTIF(NGrenze,"&lt;="&amp;$L29)))))</f>
        <v/>
      </c>
    </row>
    <row r="30" ht="20" customHeight="1">
      <c r="A30" s="19" t="n">
        <v>20</v>
      </c>
      <c r="B30" s="20">
        <f>IF('Übungen'!$C25="","(frei – Übung 20)",'Übungen'!$C25)</f>
        <v/>
      </c>
      <c r="C30" s="21">
        <f>IF('Übungen'!$C25="","",Daten!V$6)</f>
        <v/>
      </c>
      <c r="D30" s="22">
        <f>IF('Übungen'!$C25="","",IF(Daten!V$7=0,"",Daten!V$7))</f>
        <v/>
      </c>
      <c r="E30" s="21">
        <f>IF('Übungen'!$C25="","",Daten!V$8)</f>
        <v/>
      </c>
      <c r="F30" s="23">
        <f>'Übungen'!$L25</f>
        <v/>
      </c>
      <c r="G30" s="24">
        <f>'Übungen'!$M25</f>
        <v/>
      </c>
      <c r="H30" s="25">
        <f>'Übungen'!$N25</f>
        <v/>
      </c>
      <c r="J30" s="27">
        <f>IF(IFERROR(SMALL(Daten!$H$2347:$H$2446,10),"")="","",INDEX('Stammdaten'!$J$6:$J$105,IFERROR(SMALL(Daten!$H$2347:$H$2446,10),"")))</f>
        <v/>
      </c>
      <c r="K30" s="28">
        <f>IF(IFERROR(SMALL(Daten!$H$2347:$H$2446,10),"")="","",INDEX('Stammdaten'!$H$6:$H$105,IFERROR(SMALL(Daten!$H$2347:$H$2446,10),""))&amp;" / "&amp;INDEX(Daten!$C$2347:$C$2446,IFERROR(SMALL(Daten!$H$2347:$H$2446,10),"")))</f>
        <v/>
      </c>
      <c r="L30" s="24">
        <f>IF(IFERROR(SMALL(Daten!$H$2347:$H$2446,10),"")="","",INDEX(Daten!$D$2347:$D$2446,IFERROR(SMALL(Daten!$H$2347:$H$2446,10),"")))</f>
        <v/>
      </c>
      <c r="M30" s="25">
        <f>IF($L30="","",INDEX(Noten,MAX(1,MIN(COUNT(NGrenze),COUNT(NGrenze)+1-COUNTIF(NGrenze,"&lt;="&amp;$L30))))&amp;" – "&amp;INDEX(NText,MAX(1,MIN(COUNT(NGrenze),COUNT(NGrenze)+1-COUNTIF(NGrenze,"&lt;="&amp;$L30)))))</f>
        <v/>
      </c>
    </row>
    <row r="31" ht="20" customHeight="1">
      <c r="J31" s="29">
        <f>IF(SUM(Daten!$G$2347:$G$2446)&gt;10,"… und "&amp;(SUM(Daten!$G$2347:$G$2446)-10)&amp;" weitere – vollständige Liste im Blatt „Halbjahr“","")</f>
        <v/>
      </c>
    </row>
    <row r="32" ht="26" customHeight="1">
      <c r="A32" s="26" t="inlineStr">
        <is>
          <t xml:space="preserve"> Farblegende</t>
        </is>
      </c>
      <c r="C32" s="30">
        <f>INDEX(Noten,1)&amp;" – "&amp;INDEX(NText,1)&amp;" (ab "&amp;TEXT(INDEX(NGrenze,1)*100,"0")&amp;" %)"</f>
        <v/>
      </c>
      <c r="E32" s="31">
        <f>INDEX(Noten,2)&amp;" – "&amp;INDEX(NText,2)&amp;" (ab "&amp;TEXT(INDEX(NGrenze,2)*100,"0")&amp;" %)"</f>
        <v/>
      </c>
      <c r="G32" s="32">
        <f>INDEX(Noten,3)&amp;" – "&amp;INDEX(NText,3)&amp;" (ab "&amp;TEXT(INDEX(NGrenze,3)*100,"0")&amp;" %)"</f>
        <v/>
      </c>
      <c r="I32" s="33">
        <f>INDEX(Noten,4)&amp;" – "&amp;INDEX(NText,4)&amp;" (ab "&amp;TEXT(INDEX(NGrenze,4)*100,"0")&amp;" %)"</f>
        <v/>
      </c>
      <c r="K32" s="34">
        <f>INDEX(Noten,5)&amp;" – "&amp;INDEX(NText,5)&amp;" (ab "&amp;TEXT(INDEX(NGrenze,5)*100,"0")&amp;" %)"</f>
        <v/>
      </c>
      <c r="M32" s="35">
        <f>INDEX(Noten,6)&amp;" – "&amp;INDEX(NText,6)&amp;" (ab "&amp;TEXT(INDEX(NGrenze,6)*100,"0")&amp;" %)"</f>
        <v/>
      </c>
    </row>
    <row r="33" ht="8" customHeight="1"/>
    <row r="34" ht="22" customHeight="1">
      <c r="A34" s="36" t="inlineStr">
        <is>
          <t>Farbe und Zahl sagen immer dasselbe – die Datei bleibt in Schwarz-Weiß und für Farbenblinde lesbar. Die Prozentgrenzen stehen im Blatt „Einstellungen“; wer sie dort ändert, ändert die Einfärbung überall mit. Die Datei liegt auf SharePoint: frühere Stände holt man über Datei &gt; Informationen &gt; Versionsverlauf zurück. Die Warnübersicht rechts bezieht sich auf das zuletzt bewertete Halbjahr des jeweiligen Azubis.</t>
        </is>
      </c>
      <c r="B34" s="37" t="n"/>
      <c r="C34" s="37" t="n"/>
      <c r="D34" s="37" t="n"/>
      <c r="E34" s="37" t="n"/>
      <c r="F34" s="37" t="n"/>
      <c r="G34" s="37" t="n"/>
      <c r="H34" s="37" t="n"/>
      <c r="I34" s="37" t="n"/>
      <c r="J34" s="37" t="n"/>
      <c r="K34" s="37" t="n"/>
      <c r="L34" s="37" t="n"/>
      <c r="M34" s="37" t="n"/>
      <c r="N34" s="10" t="n"/>
    </row>
    <row r="35" ht="22" customHeight="1">
      <c r="A35" s="38" t="n"/>
      <c r="B35" s="39" t="n"/>
      <c r="C35" s="39" t="n"/>
      <c r="D35" s="39" t="n"/>
      <c r="E35" s="39" t="n"/>
      <c r="F35" s="39" t="n"/>
      <c r="G35" s="39" t="n"/>
      <c r="H35" s="39" t="n"/>
      <c r="I35" s="39" t="n"/>
      <c r="J35" s="39" t="n"/>
      <c r="K35" s="39" t="n"/>
      <c r="L35" s="39" t="n"/>
      <c r="M35" s="39" t="n"/>
      <c r="N35" s="14" t="n"/>
    </row>
  </sheetData>
  <mergeCells count="40">
    <mergeCell ref="A9:H9"/>
    <mergeCell ref="C6:D6"/>
    <mergeCell ref="J19:N19"/>
    <mergeCell ref="A6:B6"/>
    <mergeCell ref="J11:L11"/>
    <mergeCell ref="C4:D4"/>
    <mergeCell ref="E4:F4"/>
    <mergeCell ref="J9:N9"/>
    <mergeCell ref="J16:L16"/>
    <mergeCell ref="A7:B7"/>
    <mergeCell ref="G7:H7"/>
    <mergeCell ref="I32:J32"/>
    <mergeCell ref="K32:L32"/>
    <mergeCell ref="G6:H6"/>
    <mergeCell ref="J12:L12"/>
    <mergeCell ref="A1:J1"/>
    <mergeCell ref="A3:H3"/>
    <mergeCell ref="J4:K4"/>
    <mergeCell ref="E6:F6"/>
    <mergeCell ref="L4:M4"/>
    <mergeCell ref="A34:N35"/>
    <mergeCell ref="J18:L18"/>
    <mergeCell ref="A32:B32"/>
    <mergeCell ref="J17:L17"/>
    <mergeCell ref="J31:N31"/>
    <mergeCell ref="A4:B4"/>
    <mergeCell ref="G4:H4"/>
    <mergeCell ref="J14:L14"/>
    <mergeCell ref="J3:N3"/>
    <mergeCell ref="C7:D7"/>
    <mergeCell ref="J10:L10"/>
    <mergeCell ref="E7:F7"/>
    <mergeCell ref="C32:D32"/>
    <mergeCell ref="J13:L13"/>
    <mergeCell ref="E32:F32"/>
    <mergeCell ref="G32:H32"/>
    <mergeCell ref="M32:N32"/>
    <mergeCell ref="J6:N7"/>
    <mergeCell ref="A2:J2"/>
    <mergeCell ref="J15:L15"/>
  </mergeCells>
  <conditionalFormatting sqref="J6:N7">
    <cfRule type="expression" priority="1" dxfId="0" stopIfTrue="1">
      <formula>LEFT($J$6,3)="ROT"</formula>
    </cfRule>
    <cfRule type="expression" priority="2" dxfId="1" stopIfTrue="1">
      <formula>LEFT($J$6,4)="GELB"</formula>
    </cfRule>
  </conditionalFormatting>
  <conditionalFormatting sqref="G11:H30">
    <cfRule type="expression" priority="3" dxfId="2" stopIfTrue="1">
      <formula>AND(ISNUMBER($G11),$G11&gt;=INDEX(NGrenze,1))</formula>
    </cfRule>
    <cfRule type="expression" priority="4" dxfId="3" stopIfTrue="1">
      <formula>AND(ISNUMBER($G11),$G11&gt;=INDEX(NGrenze,2))</formula>
    </cfRule>
    <cfRule type="expression" priority="5" dxfId="4" stopIfTrue="1">
      <formula>AND(ISNUMBER($G11),$G11&gt;=INDEX(NGrenze,3))</formula>
    </cfRule>
    <cfRule type="expression" priority="6" dxfId="5" stopIfTrue="1">
      <formula>AND(ISNUMBER($G11),$G11&gt;=INDEX(NGrenze,4))</formula>
    </cfRule>
    <cfRule type="expression" priority="7" dxfId="6" stopIfTrue="1">
      <formula>AND(ISNUMBER($G11),$G11&gt;=INDEX(NGrenze,5))</formula>
    </cfRule>
    <cfRule type="expression" priority="8" dxfId="7" stopIfTrue="1">
      <formula>AND(ISNUMBER($G11),$G11&gt;=INDEX(NGrenze,6))</formula>
    </cfRule>
  </conditionalFormatting>
  <conditionalFormatting sqref="A11:H30">
    <cfRule type="expression" priority="9" dxfId="8">
      <formula>'Übungen'!$C6=""</formula>
    </cfRule>
  </conditionalFormatting>
  <conditionalFormatting sqref="M10">
    <cfRule type="expression" priority="10" dxfId="9">
      <formula>$M10&gt;0</formula>
    </cfRule>
    <cfRule type="expression" priority="11" dxfId="10">
      <formula>$M10=0</formula>
    </cfRule>
  </conditionalFormatting>
  <conditionalFormatting sqref="M11">
    <cfRule type="expression" priority="12" dxfId="11">
      <formula>$M11&gt;0</formula>
    </cfRule>
    <cfRule type="expression" priority="13" dxfId="10">
      <formula>$M11=0</formula>
    </cfRule>
  </conditionalFormatting>
  <conditionalFormatting sqref="M12">
    <cfRule type="expression" priority="14" dxfId="9">
      <formula>$M12&gt;0</formula>
    </cfRule>
    <cfRule type="expression" priority="15" dxfId="10">
      <formula>$M12=0</formula>
    </cfRule>
  </conditionalFormatting>
  <conditionalFormatting sqref="M13">
    <cfRule type="expression" priority="16" dxfId="9">
      <formula>$M13&gt;0</formula>
    </cfRule>
    <cfRule type="expression" priority="17" dxfId="10">
      <formula>$M13=0</formula>
    </cfRule>
  </conditionalFormatting>
  <conditionalFormatting sqref="M14">
    <cfRule type="expression" priority="18" dxfId="9">
      <formula>$M14&gt;0</formula>
    </cfRule>
    <cfRule type="expression" priority="19" dxfId="10">
      <formula>$M14=0</formula>
    </cfRule>
  </conditionalFormatting>
  <conditionalFormatting sqref="M15">
    <cfRule type="expression" priority="20" dxfId="9">
      <formula>$M15&gt;0</formula>
    </cfRule>
    <cfRule type="expression" priority="21" dxfId="10">
      <formula>$M15=0</formula>
    </cfRule>
  </conditionalFormatting>
  <conditionalFormatting sqref="M16">
    <cfRule type="expression" priority="22" dxfId="11">
      <formula>$M16&gt;0</formula>
    </cfRule>
    <cfRule type="expression" priority="23" dxfId="10">
      <formula>$M16=0</formula>
    </cfRule>
  </conditionalFormatting>
  <conditionalFormatting sqref="M17">
    <cfRule type="expression" priority="24" dxfId="11">
      <formula>$M17&gt;0</formula>
    </cfRule>
    <cfRule type="expression" priority="25" dxfId="10">
      <formula>$M17=0</formula>
    </cfRule>
  </conditionalFormatting>
  <conditionalFormatting sqref="M18">
    <cfRule type="expression" priority="26" dxfId="9">
      <formula>$M18&gt;0</formula>
    </cfRule>
    <cfRule type="expression" priority="27" dxfId="10">
      <formula>$M18=0</formula>
    </cfRule>
  </conditionalFormatting>
  <conditionalFormatting sqref="L21:M30">
    <cfRule type="expression" priority="28" dxfId="2" stopIfTrue="1">
      <formula>AND(ISNUMBER($L21),$L21&gt;=INDEX(NGrenze,1))</formula>
    </cfRule>
    <cfRule type="expression" priority="29" dxfId="3" stopIfTrue="1">
      <formula>AND(ISNUMBER($L21),$L21&gt;=INDEX(NGrenze,2))</formula>
    </cfRule>
    <cfRule type="expression" priority="30" dxfId="4" stopIfTrue="1">
      <formula>AND(ISNUMBER($L21),$L21&gt;=INDEX(NGrenze,3))</formula>
    </cfRule>
    <cfRule type="expression" priority="31" dxfId="5" stopIfTrue="1">
      <formula>AND(ISNUMBER($L21),$L21&gt;=INDEX(NGrenze,4))</formula>
    </cfRule>
    <cfRule type="expression" priority="32" dxfId="6" stopIfTrue="1">
      <formula>AND(ISNUMBER($L21),$L21&gt;=INDEX(NGrenze,5))</formula>
    </cfRule>
    <cfRule type="expression" priority="33" dxfId="7" stopIfTrue="1">
      <formula>AND(ISNUMBER($L21),$L21&gt;=INDEX(NGrenze,6))</formula>
    </cfRule>
  </conditionalFormatting>
  <hyperlinks>
    <hyperlink ref="J3" location="Anleitung!A1"/>
    <hyperlink ref="A4" location="'Azubi-Ansicht'!A1"/>
    <hyperlink ref="C4" location="'Gesprächsseite'!A1"/>
    <hyperlink ref="E4" location="Halbjahr!A1"/>
    <hyperlink ref="G4" location="'Übungen'!A1"/>
    <hyperlink ref="J4" location="Stammdaten!A1"/>
    <hyperlink ref="L4" location="Einstellungen!A1"/>
    <hyperlink ref="B11" location="'Übung 01'!A1"/>
    <hyperlink ref="B12" location="'Übung 02'!A1"/>
    <hyperlink ref="B13" location="'Übung 03'!A1"/>
    <hyperlink ref="B14" location="'Übung 04'!A1"/>
    <hyperlink ref="B15" location="'Übung 05'!A1"/>
    <hyperlink ref="B16" location="'Übung 06'!A1"/>
    <hyperlink ref="B17" location="'Übung 07'!A1"/>
    <hyperlink ref="B18" location="'Übung 08'!A1"/>
    <hyperlink ref="B19" location="'Übung 09'!A1"/>
    <hyperlink ref="B20" location="'Übung 10'!A1"/>
    <hyperlink ref="B21" location="'Übung 11'!A1"/>
    <hyperlink ref="B22" location="'Übung 12'!A1"/>
    <hyperlink ref="B23" location="'Übung 13'!A1"/>
    <hyperlink ref="B24" location="'Übung 14'!A1"/>
    <hyperlink ref="B25" location="'Übung 15'!A1"/>
    <hyperlink ref="B26" location="'Übung 16'!A1"/>
    <hyperlink ref="B27" location="'Übung 17'!A1"/>
    <hyperlink ref="B28" location="'Übung 18'!A1"/>
    <hyperlink ref="B29" location="'Übung 19'!A1"/>
    <hyperlink ref="B30" location="'Übung 20'!A1"/>
  </hyperlinks>
  <pageMargins left="0.5" right="0.4" top="0.5" bottom="0.4" header="0.5" footer="0.5"/>
  <pageSetup orientation="landscape" paperSize="9" fitToHeight="0" fitToWidth="1"/>
</worksheet>
</file>

<file path=xl/worksheets/sheet2.xml><?xml version="1.0" encoding="utf-8"?>
<worksheet xmlns="http://schemas.openxmlformats.org/spreadsheetml/2006/main">
  <sheetPr>
    <tabColor rgb="0022395C"/>
    <outlinePr summaryBelow="1" summaryRight="1"/>
    <pageSetUpPr fitToPage="1"/>
  </sheetPr>
  <dimension ref="A1:M100"/>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12" customWidth="1" min="3" max="3"/>
    <col width="13" customWidth="1" min="4" max="4"/>
    <col width="16" customWidth="1" min="5" max="5"/>
    <col width="13" customWidth="1" min="6" max="6"/>
    <col width="16" customWidth="1" min="7" max="7"/>
    <col width="13" customWidth="1" min="8" max="8"/>
    <col width="18" customWidth="1" min="9" max="9"/>
    <col width="19" customWidth="1" min="10" max="10"/>
    <col width="13" customWidth="1" min="11" max="11"/>
    <col width="24" customWidth="1" min="12" max="12"/>
    <col width="2" customWidth="1" min="13" max="13"/>
  </cols>
  <sheetData>
    <row r="1" ht="34" customHeight="1">
      <c r="A1" s="1" t="inlineStr">
        <is>
          <t>Azubi-Ansicht</t>
        </is>
      </c>
      <c r="B1" s="2" t="n"/>
      <c r="C1" s="2" t="n"/>
      <c r="D1" s="2" t="n"/>
      <c r="E1" s="2" t="n"/>
      <c r="F1" s="2" t="n"/>
      <c r="G1" s="2" t="n"/>
      <c r="H1" s="2" t="n"/>
      <c r="I1" s="2" t="n"/>
      <c r="J1" s="40" t="inlineStr">
        <is>
          <t>«  Zurück zur Startseite</t>
        </is>
      </c>
    </row>
    <row r="2" ht="18" customHeight="1">
      <c r="A2" s="3" t="inlineStr">
        <is>
          <t>Alles zu einem Azubi: laufende Projekte, bewertete Übungen, Halbjahre und Verlauf</t>
        </is>
      </c>
      <c r="B2" s="2" t="n"/>
      <c r="C2" s="2" t="n"/>
      <c r="D2" s="2" t="n"/>
      <c r="E2" s="2" t="n"/>
      <c r="F2" s="2" t="n"/>
      <c r="G2" s="2" t="n"/>
      <c r="H2" s="2" t="n"/>
      <c r="I2" s="2" t="n"/>
    </row>
    <row r="3" ht="24" customHeight="1">
      <c r="A3" s="4" t="inlineStr">
        <is>
          <t>Farben:  gelb = hier eintragen   ·   grau-blau = rechnet die Datei selbst   ·   „n.b.“ = nicht bewertet</t>
        </is>
      </c>
    </row>
    <row r="4" ht="26" customHeight="1">
      <c r="A4" s="41" t="inlineStr">
        <is>
          <t xml:space="preserve"> Filter Ausbildungsberuf</t>
        </is>
      </c>
      <c r="C4" s="42" t="inlineStr">
        <is>
          <t>(alle)</t>
        </is>
      </c>
      <c r="F4" s="41" t="inlineStr">
        <is>
          <t xml:space="preserve"> Filter Jahrgang</t>
        </is>
      </c>
      <c r="H4" s="43" t="inlineStr">
        <is>
          <t>(alle)</t>
        </is>
      </c>
      <c r="J4" s="44">
        <f>"Azubis im Filter: "&amp;Daten!$B$2344</f>
        <v/>
      </c>
    </row>
    <row r="5" ht="26" customHeight="1">
      <c r="A5" s="41" t="inlineStr">
        <is>
          <t xml:space="preserve"> Azubi auswählen</t>
        </is>
      </c>
      <c r="C5" s="45" t="inlineStr">
        <is>
          <t>Berger, Lukas</t>
        </is>
      </c>
      <c r="F5" s="46">
        <f>IF(Daten!$B$2340=0,"Bitte oben einen Azubi auswählen – die Liste zeigt nur aktive Azubis, die zum Filter passen.","Ausgewählt: "&amp;Daten!$B$2339)</f>
        <v/>
      </c>
    </row>
    <row r="6" ht="8" customHeight="1"/>
    <row r="7" ht="18" customHeight="1">
      <c r="A7" s="47" t="inlineStr">
        <is>
          <t>Name, Vorname</t>
        </is>
      </c>
      <c r="B7" s="10" t="n"/>
      <c r="C7" s="47" t="inlineStr">
        <is>
          <t>Ausbildungsberuf</t>
        </is>
      </c>
      <c r="D7" s="37" t="n"/>
      <c r="E7" s="10" t="n"/>
      <c r="F7" s="47" t="inlineStr">
        <is>
          <t>Jahrgang</t>
        </is>
      </c>
      <c r="G7" s="10" t="n"/>
      <c r="H7" s="47" t="inlineStr">
        <is>
          <t>Ausbildungsstart</t>
        </is>
      </c>
      <c r="I7" s="10" t="n"/>
      <c r="J7" s="47" t="inlineStr">
        <is>
          <t>Lehrjahr</t>
        </is>
      </c>
      <c r="K7" s="10" t="n"/>
      <c r="L7" s="47" t="inlineStr">
        <is>
          <t>aktuelles Halbjahr</t>
        </is>
      </c>
      <c r="M7" s="10" t="n"/>
    </row>
    <row r="8" ht="30" customHeight="1">
      <c r="A8" s="48">
        <f>IF(Daten!$B$2340=0,"–",INDEX('Stammdaten'!$J$6:$J$105,Daten!$B$2340))</f>
        <v/>
      </c>
      <c r="B8" s="14" t="n"/>
      <c r="C8" s="48">
        <f>IF(Daten!$B$2340=0,"–",INDEX('Stammdaten'!$D$6:$D$105,Daten!$B$2340))</f>
        <v/>
      </c>
      <c r="D8" s="39" t="n"/>
      <c r="E8" s="14" t="n"/>
      <c r="F8" s="49">
        <f>IF(Daten!$B$2340=0,"–",INDEX('Stammdaten'!$E$6:$E$105,Daten!$B$2340))</f>
        <v/>
      </c>
      <c r="G8" s="14" t="n"/>
      <c r="H8" s="50">
        <f>IF(Daten!$B$2340=0,"–",INDEX('Stammdaten'!$F$6:$F$105,Daten!$B$2340))</f>
        <v/>
      </c>
      <c r="I8" s="14" t="n"/>
      <c r="J8" s="48">
        <f>IF(Daten!$B$2340=0,"–",INDEX('Stammdaten'!$H$6:$H$105,Daten!$B$2340))</f>
        <v/>
      </c>
      <c r="K8" s="14" t="n"/>
      <c r="L8" s="48">
        <f>IF(Daten!$B$2340=0,"–",INDEX('Stammdaten'!$I$6:$I$105,Daten!$B$2340))</f>
        <v/>
      </c>
      <c r="M8" s="14" t="n"/>
    </row>
    <row r="9" ht="10" customHeight="1"/>
    <row r="10" ht="28" customHeight="1">
      <c r="A10" s="15" t="inlineStr">
        <is>
          <t xml:space="preserve"> Aktuell laufende Projekte</t>
        </is>
      </c>
    </row>
    <row r="11" ht="28" customHeight="1">
      <c r="A11" s="16" t="inlineStr">
        <is>
          <t>Nr.</t>
        </is>
      </c>
      <c r="B11" s="16" t="inlineStr">
        <is>
          <t>Übung</t>
        </is>
      </c>
      <c r="C11" s="16" t="inlineStr">
        <is>
          <t>Art</t>
        </is>
      </c>
      <c r="D11" s="16" t="inlineStr">
        <is>
          <t>Datum</t>
        </is>
      </c>
      <c r="E11" s="16" t="inlineStr">
        <is>
          <t>Stand Punkte</t>
        </is>
      </c>
      <c r="F11" s="16" t="inlineStr">
        <is>
          <t>von max.</t>
        </is>
      </c>
      <c r="G11" s="16" t="inlineStr">
        <is>
          <t>Prozent</t>
        </is>
      </c>
      <c r="H11" s="16" t="inlineStr">
        <is>
          <t>Halbjahr</t>
        </is>
      </c>
      <c r="I11" s="51" t="inlineStr">
        <is>
          <t>Hinweis</t>
        </is>
      </c>
    </row>
    <row r="12" ht="20" customHeight="1">
      <c r="A12" s="52">
        <f>IFERROR(SMALL(Daten!$C$2336:$V$2336,1),"")</f>
        <v/>
      </c>
      <c r="B12" s="53">
        <f>IF($A12="","",INDEX(Daten!$C$4:$V$4,$A12))</f>
        <v/>
      </c>
      <c r="C12" s="21">
        <f>IF($A12="","",INDEX(Daten!$C$6:$V$6,$A12))</f>
        <v/>
      </c>
      <c r="D12" s="22">
        <f>IF($A12="","",IF(INDEX(Daten!$C$7:$V$7,$A12)=0,"",INDEX(Daten!$C$7:$V$7,$A12)))</f>
        <v/>
      </c>
      <c r="E12" s="54">
        <f>IF($A12="","",INDEX(Daten!$C$335:$V$434,Daten!$B$2340,$A12))</f>
        <v/>
      </c>
      <c r="F12" s="55">
        <f>IF($A12="","",INDEX(Daten!$C$440:$V$539,Daten!$B$2340,$A12))</f>
        <v/>
      </c>
      <c r="G12" s="24">
        <f>IF($A12="","",IF(INDEX(Daten!$C$125:$V$224,Daten!$B$2340,$A12)=0,"",INDEX(Daten!$C$20:$V$119,Daten!$B$2340,$A12)))</f>
        <v/>
      </c>
      <c r="H12" s="21">
        <f>IF($A12="","",IF(INDEX(Daten!$C$230:$V$329,Daten!$B$2340,$A12)=0,"–",INDEX(Daten!$C$230:$V$329,Daten!$B$2340,$A12)))</f>
        <v/>
      </c>
      <c r="I12" s="56">
        <f>IF($A12="","",IF(INDEX(Daten!$C$125:$V$224,Daten!$B$2340,$A12)=1,"Zwischenstand – Übung läuft noch",IF(INDEX(Daten!$C$755:$V$854,Daten!$B$2340,$A12)=0,"noch nichts eingetragen","nicht bewertet"&amp;IF(INDEX(Daten!$C$545:$V$644,Daten!$B$2340,$A12)="",""," ("&amp;INDEX(Daten!$C$545:$V$644,Daten!$B$2340,$A12)&amp;")"))))</f>
        <v/>
      </c>
    </row>
    <row r="13" ht="20" customHeight="1">
      <c r="A13" s="52">
        <f>IFERROR(SMALL(Daten!$C$2336:$V$2336,2),"")</f>
        <v/>
      </c>
      <c r="B13" s="53">
        <f>IF($A13="","",INDEX(Daten!$C$4:$V$4,$A13))</f>
        <v/>
      </c>
      <c r="C13" s="21">
        <f>IF($A13="","",INDEX(Daten!$C$6:$V$6,$A13))</f>
        <v/>
      </c>
      <c r="D13" s="22">
        <f>IF($A13="","",IF(INDEX(Daten!$C$7:$V$7,$A13)=0,"",INDEX(Daten!$C$7:$V$7,$A13)))</f>
        <v/>
      </c>
      <c r="E13" s="54">
        <f>IF($A13="","",INDEX(Daten!$C$335:$V$434,Daten!$B$2340,$A13))</f>
        <v/>
      </c>
      <c r="F13" s="55">
        <f>IF($A13="","",INDEX(Daten!$C$440:$V$539,Daten!$B$2340,$A13))</f>
        <v/>
      </c>
      <c r="G13" s="24">
        <f>IF($A13="","",IF(INDEX(Daten!$C$125:$V$224,Daten!$B$2340,$A13)=0,"",INDEX(Daten!$C$20:$V$119,Daten!$B$2340,$A13)))</f>
        <v/>
      </c>
      <c r="H13" s="21">
        <f>IF($A13="","",IF(INDEX(Daten!$C$230:$V$329,Daten!$B$2340,$A13)=0,"–",INDEX(Daten!$C$230:$V$329,Daten!$B$2340,$A13)))</f>
        <v/>
      </c>
      <c r="I13" s="56">
        <f>IF($A13="","",IF(INDEX(Daten!$C$125:$V$224,Daten!$B$2340,$A13)=1,"Zwischenstand – Übung läuft noch",IF(INDEX(Daten!$C$755:$V$854,Daten!$B$2340,$A13)=0,"noch nichts eingetragen","nicht bewertet"&amp;IF(INDEX(Daten!$C$545:$V$644,Daten!$B$2340,$A13)="",""," ("&amp;INDEX(Daten!$C$545:$V$644,Daten!$B$2340,$A13)&amp;")"))))</f>
        <v/>
      </c>
    </row>
    <row r="14" ht="20" customHeight="1">
      <c r="A14" s="52">
        <f>IFERROR(SMALL(Daten!$C$2336:$V$2336,3),"")</f>
        <v/>
      </c>
      <c r="B14" s="53">
        <f>IF($A14="","",INDEX(Daten!$C$4:$V$4,$A14))</f>
        <v/>
      </c>
      <c r="C14" s="21">
        <f>IF($A14="","",INDEX(Daten!$C$6:$V$6,$A14))</f>
        <v/>
      </c>
      <c r="D14" s="22">
        <f>IF($A14="","",IF(INDEX(Daten!$C$7:$V$7,$A14)=0,"",INDEX(Daten!$C$7:$V$7,$A14)))</f>
        <v/>
      </c>
      <c r="E14" s="54">
        <f>IF($A14="","",INDEX(Daten!$C$335:$V$434,Daten!$B$2340,$A14))</f>
        <v/>
      </c>
      <c r="F14" s="55">
        <f>IF($A14="","",INDEX(Daten!$C$440:$V$539,Daten!$B$2340,$A14))</f>
        <v/>
      </c>
      <c r="G14" s="24">
        <f>IF($A14="","",IF(INDEX(Daten!$C$125:$V$224,Daten!$B$2340,$A14)=0,"",INDEX(Daten!$C$20:$V$119,Daten!$B$2340,$A14)))</f>
        <v/>
      </c>
      <c r="H14" s="21">
        <f>IF($A14="","",IF(INDEX(Daten!$C$230:$V$329,Daten!$B$2340,$A14)=0,"–",INDEX(Daten!$C$230:$V$329,Daten!$B$2340,$A14)))</f>
        <v/>
      </c>
      <c r="I14" s="56">
        <f>IF($A14="","",IF(INDEX(Daten!$C$125:$V$224,Daten!$B$2340,$A14)=1,"Zwischenstand – Übung läuft noch",IF(INDEX(Daten!$C$755:$V$854,Daten!$B$2340,$A14)=0,"noch nichts eingetragen","nicht bewertet"&amp;IF(INDEX(Daten!$C$545:$V$644,Daten!$B$2340,$A14)="",""," ("&amp;INDEX(Daten!$C$545:$V$644,Daten!$B$2340,$A14)&amp;")"))))</f>
        <v/>
      </c>
    </row>
    <row r="15" ht="20" customHeight="1">
      <c r="A15" s="52">
        <f>IFERROR(SMALL(Daten!$C$2336:$V$2336,4),"")</f>
        <v/>
      </c>
      <c r="B15" s="53">
        <f>IF($A15="","",INDEX(Daten!$C$4:$V$4,$A15))</f>
        <v/>
      </c>
      <c r="C15" s="21">
        <f>IF($A15="","",INDEX(Daten!$C$6:$V$6,$A15))</f>
        <v/>
      </c>
      <c r="D15" s="22">
        <f>IF($A15="","",IF(INDEX(Daten!$C$7:$V$7,$A15)=0,"",INDEX(Daten!$C$7:$V$7,$A15)))</f>
        <v/>
      </c>
      <c r="E15" s="54">
        <f>IF($A15="","",INDEX(Daten!$C$335:$V$434,Daten!$B$2340,$A15))</f>
        <v/>
      </c>
      <c r="F15" s="55">
        <f>IF($A15="","",INDEX(Daten!$C$440:$V$539,Daten!$B$2340,$A15))</f>
        <v/>
      </c>
      <c r="G15" s="24">
        <f>IF($A15="","",IF(INDEX(Daten!$C$125:$V$224,Daten!$B$2340,$A15)=0,"",INDEX(Daten!$C$20:$V$119,Daten!$B$2340,$A15)))</f>
        <v/>
      </c>
      <c r="H15" s="21">
        <f>IF($A15="","",IF(INDEX(Daten!$C$230:$V$329,Daten!$B$2340,$A15)=0,"–",INDEX(Daten!$C$230:$V$329,Daten!$B$2340,$A15)))</f>
        <v/>
      </c>
      <c r="I15" s="56">
        <f>IF($A15="","",IF(INDEX(Daten!$C$125:$V$224,Daten!$B$2340,$A15)=1,"Zwischenstand – Übung läuft noch",IF(INDEX(Daten!$C$755:$V$854,Daten!$B$2340,$A15)=0,"noch nichts eingetragen","nicht bewertet"&amp;IF(INDEX(Daten!$C$545:$V$644,Daten!$B$2340,$A15)="",""," ("&amp;INDEX(Daten!$C$545:$V$644,Daten!$B$2340,$A15)&amp;")"))))</f>
        <v/>
      </c>
    </row>
    <row r="16" ht="20" customHeight="1">
      <c r="A16" s="52">
        <f>IFERROR(SMALL(Daten!$C$2336:$V$2336,5),"")</f>
        <v/>
      </c>
      <c r="B16" s="53">
        <f>IF($A16="","",INDEX(Daten!$C$4:$V$4,$A16))</f>
        <v/>
      </c>
      <c r="C16" s="21">
        <f>IF($A16="","",INDEX(Daten!$C$6:$V$6,$A16))</f>
        <v/>
      </c>
      <c r="D16" s="22">
        <f>IF($A16="","",IF(INDEX(Daten!$C$7:$V$7,$A16)=0,"",INDEX(Daten!$C$7:$V$7,$A16)))</f>
        <v/>
      </c>
      <c r="E16" s="54">
        <f>IF($A16="","",INDEX(Daten!$C$335:$V$434,Daten!$B$2340,$A16))</f>
        <v/>
      </c>
      <c r="F16" s="55">
        <f>IF($A16="","",INDEX(Daten!$C$440:$V$539,Daten!$B$2340,$A16))</f>
        <v/>
      </c>
      <c r="G16" s="24">
        <f>IF($A16="","",IF(INDEX(Daten!$C$125:$V$224,Daten!$B$2340,$A16)=0,"",INDEX(Daten!$C$20:$V$119,Daten!$B$2340,$A16)))</f>
        <v/>
      </c>
      <c r="H16" s="21">
        <f>IF($A16="","",IF(INDEX(Daten!$C$230:$V$329,Daten!$B$2340,$A16)=0,"–",INDEX(Daten!$C$230:$V$329,Daten!$B$2340,$A16)))</f>
        <v/>
      </c>
      <c r="I16" s="56">
        <f>IF($A16="","",IF(INDEX(Daten!$C$125:$V$224,Daten!$B$2340,$A16)=1,"Zwischenstand – Übung läuft noch",IF(INDEX(Daten!$C$755:$V$854,Daten!$B$2340,$A16)=0,"noch nichts eingetragen","nicht bewertet"&amp;IF(INDEX(Daten!$C$545:$V$644,Daten!$B$2340,$A16)="",""," ("&amp;INDEX(Daten!$C$545:$V$644,Daten!$B$2340,$A16)&amp;")"))))</f>
        <v/>
      </c>
    </row>
    <row r="17" ht="20" customHeight="1">
      <c r="A17" s="52">
        <f>IFERROR(SMALL(Daten!$C$2336:$V$2336,6),"")</f>
        <v/>
      </c>
      <c r="B17" s="53">
        <f>IF($A17="","",INDEX(Daten!$C$4:$V$4,$A17))</f>
        <v/>
      </c>
      <c r="C17" s="21">
        <f>IF($A17="","",INDEX(Daten!$C$6:$V$6,$A17))</f>
        <v/>
      </c>
      <c r="D17" s="22">
        <f>IF($A17="","",IF(INDEX(Daten!$C$7:$V$7,$A17)=0,"",INDEX(Daten!$C$7:$V$7,$A17)))</f>
        <v/>
      </c>
      <c r="E17" s="54">
        <f>IF($A17="","",INDEX(Daten!$C$335:$V$434,Daten!$B$2340,$A17))</f>
        <v/>
      </c>
      <c r="F17" s="55">
        <f>IF($A17="","",INDEX(Daten!$C$440:$V$539,Daten!$B$2340,$A17))</f>
        <v/>
      </c>
      <c r="G17" s="24">
        <f>IF($A17="","",IF(INDEX(Daten!$C$125:$V$224,Daten!$B$2340,$A17)=0,"",INDEX(Daten!$C$20:$V$119,Daten!$B$2340,$A17)))</f>
        <v/>
      </c>
      <c r="H17" s="21">
        <f>IF($A17="","",IF(INDEX(Daten!$C$230:$V$329,Daten!$B$2340,$A17)=0,"–",INDEX(Daten!$C$230:$V$329,Daten!$B$2340,$A17)))</f>
        <v/>
      </c>
      <c r="I17" s="56">
        <f>IF($A17="","",IF(INDEX(Daten!$C$125:$V$224,Daten!$B$2340,$A17)=1,"Zwischenstand – Übung läuft noch",IF(INDEX(Daten!$C$755:$V$854,Daten!$B$2340,$A17)=0,"noch nichts eingetragen","nicht bewertet"&amp;IF(INDEX(Daten!$C$545:$V$644,Daten!$B$2340,$A17)="",""," ("&amp;INDEX(Daten!$C$545:$V$644,Daten!$B$2340,$A17)&amp;")"))))</f>
        <v/>
      </c>
    </row>
    <row r="18" ht="10" customHeight="1"/>
    <row r="19" ht="28" customHeight="1">
      <c r="A19" s="15" t="inlineStr">
        <is>
          <t xml:space="preserve"> Übungen und Leistungen</t>
        </is>
      </c>
    </row>
    <row r="20" ht="30" customHeight="1">
      <c r="A20" s="16" t="inlineStr">
        <is>
          <t>Nr.</t>
        </is>
      </c>
      <c r="B20" s="16" t="inlineStr">
        <is>
          <t>Übung</t>
        </is>
      </c>
      <c r="C20" s="16" t="inlineStr">
        <is>
          <t>Art</t>
        </is>
      </c>
      <c r="D20" s="16" t="inlineStr">
        <is>
          <t>Datum</t>
        </is>
      </c>
      <c r="E20" s="16" t="inlineStr">
        <is>
          <t>Status</t>
        </is>
      </c>
      <c r="F20" s="16" t="inlineStr">
        <is>
          <t>Punkte</t>
        </is>
      </c>
      <c r="G20" s="16" t="inlineStr">
        <is>
          <t>von max.</t>
        </is>
      </c>
      <c r="H20" s="16" t="inlineStr">
        <is>
          <t>Prozent</t>
        </is>
      </c>
      <c r="I20" s="16" t="inlineStr">
        <is>
          <t>IHK-Note</t>
        </is>
      </c>
      <c r="J20" s="16" t="inlineStr">
        <is>
          <t>zählt?</t>
        </is>
      </c>
      <c r="K20" s="16" t="inlineStr">
        <is>
          <t>Grund</t>
        </is>
      </c>
      <c r="L20" s="16" t="inlineStr">
        <is>
          <t>Bemerkung</t>
        </is>
      </c>
    </row>
    <row r="21" ht="20" customHeight="1">
      <c r="A21" s="19" t="n">
        <v>1</v>
      </c>
      <c r="B21" s="53">
        <f>IF($A21="","",INDEX(Daten!$C$4:$V$4,$A21))</f>
        <v/>
      </c>
      <c r="C21" s="21">
        <f>IF($A21="","",INDEX(Daten!$C$6:$V$6,$A21))</f>
        <v/>
      </c>
      <c r="D21" s="22">
        <f>IF($A21="","",IF(INDEX(Daten!$C$7:$V$7,$A21)=0,"",INDEX(Daten!$C$7:$V$7,$A21)))</f>
        <v/>
      </c>
      <c r="E21" s="21">
        <f>IF($A21="","",INDEX(Daten!$C$8:$V$8,$A21))</f>
        <v/>
      </c>
      <c r="F21" s="54">
        <f>IF($A21="","",IF(INDEX(Daten!$C$125:$V$224,Daten!$B$2340,$A21)=0,"",INDEX(Daten!$C$335:$V$434,Daten!$B$2340,$A21)))</f>
        <v/>
      </c>
      <c r="G21" s="55">
        <f>IF($A21="","",IF(INDEX(Daten!$C$125:$V$224,Daten!$B$2340,$A21)=0,"",INDEX(Daten!$C$440:$V$539,Daten!$B$2340,$A21)))</f>
        <v/>
      </c>
      <c r="H21" s="24">
        <f>IF($A21="","",IF(INDEX(Daten!$C$125:$V$224,Daten!$B$2340,$A21)=0,"",INDEX(Daten!$C$20:$V$119,Daten!$B$2340,$A21)))</f>
        <v/>
      </c>
      <c r="I21" s="25">
        <f>IF($A21="","",IF(INDEX(Daten!$C$125:$V$224,Daten!$B$2340,$A21)=1,INDEX(Noten,MAX(1,MIN(COUNT(NGrenze),COUNT(NGrenze)+1-COUNTIF(NGrenze,"&lt;="&amp;$H21))))&amp;" – "&amp;INDEX(NText,MAX(1,MIN(COUNT(NGrenze),COUNT(NGrenze)+1-COUNTIF(NGrenze,"&lt;="&amp;$H21)))),IF(INDEX(Daten!$C$755:$V$854,Daten!$B$2340,$A21)=0,"","nicht bewertet"&amp;IF(INDEX(Daten!$C$545:$V$644,Daten!$B$2340,$A21)="",""," ("&amp;INDEX(Daten!$C$545:$V$644,Daten!$B$2340,$A21)&amp;")"))))</f>
        <v/>
      </c>
      <c r="J21" s="21">
        <f>IF($A21="","",IF(INDEX(Daten!$C$125:$V$224,Daten!$B$2340,$A21)=0,"–",IF(INDEX(Daten!$C$1595:$V$1694,Daten!$B$2340,$A21)=1,"ja",IF(INDEX(Daten!$C$1280:$V$1379,Daten!$B$2340,$A21)=0,"nein (Wdh.)","noch nicht (läuft)"))))</f>
        <v/>
      </c>
      <c r="K21" s="21">
        <f>IF($A21="","",INDEX(Daten!$C$545:$V$644,Daten!$B$2340,$A21))</f>
        <v/>
      </c>
      <c r="L21" s="57">
        <f>IF($A21="","",INDEX(Daten!$C$1490:$V$1589,Daten!$B$2340,$A21))</f>
        <v/>
      </c>
    </row>
    <row r="22" ht="20" customHeight="1">
      <c r="A22" s="19" t="n">
        <v>2</v>
      </c>
      <c r="B22" s="53">
        <f>IF($A22="","",INDEX(Daten!$C$4:$V$4,$A22))</f>
        <v/>
      </c>
      <c r="C22" s="21">
        <f>IF($A22="","",INDEX(Daten!$C$6:$V$6,$A22))</f>
        <v/>
      </c>
      <c r="D22" s="22">
        <f>IF($A22="","",IF(INDEX(Daten!$C$7:$V$7,$A22)=0,"",INDEX(Daten!$C$7:$V$7,$A22)))</f>
        <v/>
      </c>
      <c r="E22" s="21">
        <f>IF($A22="","",INDEX(Daten!$C$8:$V$8,$A22))</f>
        <v/>
      </c>
      <c r="F22" s="54">
        <f>IF($A22="","",IF(INDEX(Daten!$C$125:$V$224,Daten!$B$2340,$A22)=0,"",INDEX(Daten!$C$335:$V$434,Daten!$B$2340,$A22)))</f>
        <v/>
      </c>
      <c r="G22" s="55">
        <f>IF($A22="","",IF(INDEX(Daten!$C$125:$V$224,Daten!$B$2340,$A22)=0,"",INDEX(Daten!$C$440:$V$539,Daten!$B$2340,$A22)))</f>
        <v/>
      </c>
      <c r="H22" s="24">
        <f>IF($A22="","",IF(INDEX(Daten!$C$125:$V$224,Daten!$B$2340,$A22)=0,"",INDEX(Daten!$C$20:$V$119,Daten!$B$2340,$A22)))</f>
        <v/>
      </c>
      <c r="I22" s="25">
        <f>IF($A22="","",IF(INDEX(Daten!$C$125:$V$224,Daten!$B$2340,$A22)=1,INDEX(Noten,MAX(1,MIN(COUNT(NGrenze),COUNT(NGrenze)+1-COUNTIF(NGrenze,"&lt;="&amp;$H22))))&amp;" – "&amp;INDEX(NText,MAX(1,MIN(COUNT(NGrenze),COUNT(NGrenze)+1-COUNTIF(NGrenze,"&lt;="&amp;$H22)))),IF(INDEX(Daten!$C$755:$V$854,Daten!$B$2340,$A22)=0,"","nicht bewertet"&amp;IF(INDEX(Daten!$C$545:$V$644,Daten!$B$2340,$A22)="",""," ("&amp;INDEX(Daten!$C$545:$V$644,Daten!$B$2340,$A22)&amp;")"))))</f>
        <v/>
      </c>
      <c r="J22" s="21">
        <f>IF($A22="","",IF(INDEX(Daten!$C$125:$V$224,Daten!$B$2340,$A22)=0,"–",IF(INDEX(Daten!$C$1595:$V$1694,Daten!$B$2340,$A22)=1,"ja",IF(INDEX(Daten!$C$1280:$V$1379,Daten!$B$2340,$A22)=0,"nein (Wdh.)","noch nicht (läuft)"))))</f>
        <v/>
      </c>
      <c r="K22" s="21">
        <f>IF($A22="","",INDEX(Daten!$C$545:$V$644,Daten!$B$2340,$A22))</f>
        <v/>
      </c>
      <c r="L22" s="57">
        <f>IF($A22="","",INDEX(Daten!$C$1490:$V$1589,Daten!$B$2340,$A22))</f>
        <v/>
      </c>
    </row>
    <row r="23" ht="20" customHeight="1">
      <c r="A23" s="19" t="n">
        <v>3</v>
      </c>
      <c r="B23" s="53">
        <f>IF($A23="","",INDEX(Daten!$C$4:$V$4,$A23))</f>
        <v/>
      </c>
      <c r="C23" s="21">
        <f>IF($A23="","",INDEX(Daten!$C$6:$V$6,$A23))</f>
        <v/>
      </c>
      <c r="D23" s="22">
        <f>IF($A23="","",IF(INDEX(Daten!$C$7:$V$7,$A23)=0,"",INDEX(Daten!$C$7:$V$7,$A23)))</f>
        <v/>
      </c>
      <c r="E23" s="21">
        <f>IF($A23="","",INDEX(Daten!$C$8:$V$8,$A23))</f>
        <v/>
      </c>
      <c r="F23" s="54">
        <f>IF($A23="","",IF(INDEX(Daten!$C$125:$V$224,Daten!$B$2340,$A23)=0,"",INDEX(Daten!$C$335:$V$434,Daten!$B$2340,$A23)))</f>
        <v/>
      </c>
      <c r="G23" s="55">
        <f>IF($A23="","",IF(INDEX(Daten!$C$125:$V$224,Daten!$B$2340,$A23)=0,"",INDEX(Daten!$C$440:$V$539,Daten!$B$2340,$A23)))</f>
        <v/>
      </c>
      <c r="H23" s="24">
        <f>IF($A23="","",IF(INDEX(Daten!$C$125:$V$224,Daten!$B$2340,$A23)=0,"",INDEX(Daten!$C$20:$V$119,Daten!$B$2340,$A23)))</f>
        <v/>
      </c>
      <c r="I23" s="25">
        <f>IF($A23="","",IF(INDEX(Daten!$C$125:$V$224,Daten!$B$2340,$A23)=1,INDEX(Noten,MAX(1,MIN(COUNT(NGrenze),COUNT(NGrenze)+1-COUNTIF(NGrenze,"&lt;="&amp;$H23))))&amp;" – "&amp;INDEX(NText,MAX(1,MIN(COUNT(NGrenze),COUNT(NGrenze)+1-COUNTIF(NGrenze,"&lt;="&amp;$H23)))),IF(INDEX(Daten!$C$755:$V$854,Daten!$B$2340,$A23)=0,"","nicht bewertet"&amp;IF(INDEX(Daten!$C$545:$V$644,Daten!$B$2340,$A23)="",""," ("&amp;INDEX(Daten!$C$545:$V$644,Daten!$B$2340,$A23)&amp;")"))))</f>
        <v/>
      </c>
      <c r="J23" s="21">
        <f>IF($A23="","",IF(INDEX(Daten!$C$125:$V$224,Daten!$B$2340,$A23)=0,"–",IF(INDEX(Daten!$C$1595:$V$1694,Daten!$B$2340,$A23)=1,"ja",IF(INDEX(Daten!$C$1280:$V$1379,Daten!$B$2340,$A23)=0,"nein (Wdh.)","noch nicht (läuft)"))))</f>
        <v/>
      </c>
      <c r="K23" s="21">
        <f>IF($A23="","",INDEX(Daten!$C$545:$V$644,Daten!$B$2340,$A23))</f>
        <v/>
      </c>
      <c r="L23" s="57">
        <f>IF($A23="","",INDEX(Daten!$C$1490:$V$1589,Daten!$B$2340,$A23))</f>
        <v/>
      </c>
    </row>
    <row r="24" ht="20" customHeight="1">
      <c r="A24" s="19" t="n">
        <v>4</v>
      </c>
      <c r="B24" s="53">
        <f>IF($A24="","",INDEX(Daten!$C$4:$V$4,$A24))</f>
        <v/>
      </c>
      <c r="C24" s="21">
        <f>IF($A24="","",INDEX(Daten!$C$6:$V$6,$A24))</f>
        <v/>
      </c>
      <c r="D24" s="22">
        <f>IF($A24="","",IF(INDEX(Daten!$C$7:$V$7,$A24)=0,"",INDEX(Daten!$C$7:$V$7,$A24)))</f>
        <v/>
      </c>
      <c r="E24" s="21">
        <f>IF($A24="","",INDEX(Daten!$C$8:$V$8,$A24))</f>
        <v/>
      </c>
      <c r="F24" s="54">
        <f>IF($A24="","",IF(INDEX(Daten!$C$125:$V$224,Daten!$B$2340,$A24)=0,"",INDEX(Daten!$C$335:$V$434,Daten!$B$2340,$A24)))</f>
        <v/>
      </c>
      <c r="G24" s="55">
        <f>IF($A24="","",IF(INDEX(Daten!$C$125:$V$224,Daten!$B$2340,$A24)=0,"",INDEX(Daten!$C$440:$V$539,Daten!$B$2340,$A24)))</f>
        <v/>
      </c>
      <c r="H24" s="24">
        <f>IF($A24="","",IF(INDEX(Daten!$C$125:$V$224,Daten!$B$2340,$A24)=0,"",INDEX(Daten!$C$20:$V$119,Daten!$B$2340,$A24)))</f>
        <v/>
      </c>
      <c r="I24" s="25">
        <f>IF($A24="","",IF(INDEX(Daten!$C$125:$V$224,Daten!$B$2340,$A24)=1,INDEX(Noten,MAX(1,MIN(COUNT(NGrenze),COUNT(NGrenze)+1-COUNTIF(NGrenze,"&lt;="&amp;$H24))))&amp;" – "&amp;INDEX(NText,MAX(1,MIN(COUNT(NGrenze),COUNT(NGrenze)+1-COUNTIF(NGrenze,"&lt;="&amp;$H24)))),IF(INDEX(Daten!$C$755:$V$854,Daten!$B$2340,$A24)=0,"","nicht bewertet"&amp;IF(INDEX(Daten!$C$545:$V$644,Daten!$B$2340,$A24)="",""," ("&amp;INDEX(Daten!$C$545:$V$644,Daten!$B$2340,$A24)&amp;")"))))</f>
        <v/>
      </c>
      <c r="J24" s="21">
        <f>IF($A24="","",IF(INDEX(Daten!$C$125:$V$224,Daten!$B$2340,$A24)=0,"–",IF(INDEX(Daten!$C$1595:$V$1694,Daten!$B$2340,$A24)=1,"ja",IF(INDEX(Daten!$C$1280:$V$1379,Daten!$B$2340,$A24)=0,"nein (Wdh.)","noch nicht (läuft)"))))</f>
        <v/>
      </c>
      <c r="K24" s="21">
        <f>IF($A24="","",INDEX(Daten!$C$545:$V$644,Daten!$B$2340,$A24))</f>
        <v/>
      </c>
      <c r="L24" s="57">
        <f>IF($A24="","",INDEX(Daten!$C$1490:$V$1589,Daten!$B$2340,$A24))</f>
        <v/>
      </c>
    </row>
    <row r="25" ht="20" customHeight="1">
      <c r="A25" s="19" t="n">
        <v>5</v>
      </c>
      <c r="B25" s="53">
        <f>IF($A25="","",INDEX(Daten!$C$4:$V$4,$A25))</f>
        <v/>
      </c>
      <c r="C25" s="21">
        <f>IF($A25="","",INDEX(Daten!$C$6:$V$6,$A25))</f>
        <v/>
      </c>
      <c r="D25" s="22">
        <f>IF($A25="","",IF(INDEX(Daten!$C$7:$V$7,$A25)=0,"",INDEX(Daten!$C$7:$V$7,$A25)))</f>
        <v/>
      </c>
      <c r="E25" s="21">
        <f>IF($A25="","",INDEX(Daten!$C$8:$V$8,$A25))</f>
        <v/>
      </c>
      <c r="F25" s="54">
        <f>IF($A25="","",IF(INDEX(Daten!$C$125:$V$224,Daten!$B$2340,$A25)=0,"",INDEX(Daten!$C$335:$V$434,Daten!$B$2340,$A25)))</f>
        <v/>
      </c>
      <c r="G25" s="55">
        <f>IF($A25="","",IF(INDEX(Daten!$C$125:$V$224,Daten!$B$2340,$A25)=0,"",INDEX(Daten!$C$440:$V$539,Daten!$B$2340,$A25)))</f>
        <v/>
      </c>
      <c r="H25" s="24">
        <f>IF($A25="","",IF(INDEX(Daten!$C$125:$V$224,Daten!$B$2340,$A25)=0,"",INDEX(Daten!$C$20:$V$119,Daten!$B$2340,$A25)))</f>
        <v/>
      </c>
      <c r="I25" s="25">
        <f>IF($A25="","",IF(INDEX(Daten!$C$125:$V$224,Daten!$B$2340,$A25)=1,INDEX(Noten,MAX(1,MIN(COUNT(NGrenze),COUNT(NGrenze)+1-COUNTIF(NGrenze,"&lt;="&amp;$H25))))&amp;" – "&amp;INDEX(NText,MAX(1,MIN(COUNT(NGrenze),COUNT(NGrenze)+1-COUNTIF(NGrenze,"&lt;="&amp;$H25)))),IF(INDEX(Daten!$C$755:$V$854,Daten!$B$2340,$A25)=0,"","nicht bewertet"&amp;IF(INDEX(Daten!$C$545:$V$644,Daten!$B$2340,$A25)="",""," ("&amp;INDEX(Daten!$C$545:$V$644,Daten!$B$2340,$A25)&amp;")"))))</f>
        <v/>
      </c>
      <c r="J25" s="21">
        <f>IF($A25="","",IF(INDEX(Daten!$C$125:$V$224,Daten!$B$2340,$A25)=0,"–",IF(INDEX(Daten!$C$1595:$V$1694,Daten!$B$2340,$A25)=1,"ja",IF(INDEX(Daten!$C$1280:$V$1379,Daten!$B$2340,$A25)=0,"nein (Wdh.)","noch nicht (läuft)"))))</f>
        <v/>
      </c>
      <c r="K25" s="21">
        <f>IF($A25="","",INDEX(Daten!$C$545:$V$644,Daten!$B$2340,$A25))</f>
        <v/>
      </c>
      <c r="L25" s="57">
        <f>IF($A25="","",INDEX(Daten!$C$1490:$V$1589,Daten!$B$2340,$A25))</f>
        <v/>
      </c>
    </row>
    <row r="26" ht="20" customHeight="1">
      <c r="A26" s="19" t="n">
        <v>6</v>
      </c>
      <c r="B26" s="53">
        <f>IF($A26="","",INDEX(Daten!$C$4:$V$4,$A26))</f>
        <v/>
      </c>
      <c r="C26" s="21">
        <f>IF($A26="","",INDEX(Daten!$C$6:$V$6,$A26))</f>
        <v/>
      </c>
      <c r="D26" s="22">
        <f>IF($A26="","",IF(INDEX(Daten!$C$7:$V$7,$A26)=0,"",INDEX(Daten!$C$7:$V$7,$A26)))</f>
        <v/>
      </c>
      <c r="E26" s="21">
        <f>IF($A26="","",INDEX(Daten!$C$8:$V$8,$A26))</f>
        <v/>
      </c>
      <c r="F26" s="54">
        <f>IF($A26="","",IF(INDEX(Daten!$C$125:$V$224,Daten!$B$2340,$A26)=0,"",INDEX(Daten!$C$335:$V$434,Daten!$B$2340,$A26)))</f>
        <v/>
      </c>
      <c r="G26" s="55">
        <f>IF($A26="","",IF(INDEX(Daten!$C$125:$V$224,Daten!$B$2340,$A26)=0,"",INDEX(Daten!$C$440:$V$539,Daten!$B$2340,$A26)))</f>
        <v/>
      </c>
      <c r="H26" s="24">
        <f>IF($A26="","",IF(INDEX(Daten!$C$125:$V$224,Daten!$B$2340,$A26)=0,"",INDEX(Daten!$C$20:$V$119,Daten!$B$2340,$A26)))</f>
        <v/>
      </c>
      <c r="I26" s="25">
        <f>IF($A26="","",IF(INDEX(Daten!$C$125:$V$224,Daten!$B$2340,$A26)=1,INDEX(Noten,MAX(1,MIN(COUNT(NGrenze),COUNT(NGrenze)+1-COUNTIF(NGrenze,"&lt;="&amp;$H26))))&amp;" – "&amp;INDEX(NText,MAX(1,MIN(COUNT(NGrenze),COUNT(NGrenze)+1-COUNTIF(NGrenze,"&lt;="&amp;$H26)))),IF(INDEX(Daten!$C$755:$V$854,Daten!$B$2340,$A26)=0,"","nicht bewertet"&amp;IF(INDEX(Daten!$C$545:$V$644,Daten!$B$2340,$A26)="",""," ("&amp;INDEX(Daten!$C$545:$V$644,Daten!$B$2340,$A26)&amp;")"))))</f>
        <v/>
      </c>
      <c r="J26" s="21">
        <f>IF($A26="","",IF(INDEX(Daten!$C$125:$V$224,Daten!$B$2340,$A26)=0,"–",IF(INDEX(Daten!$C$1595:$V$1694,Daten!$B$2340,$A26)=1,"ja",IF(INDEX(Daten!$C$1280:$V$1379,Daten!$B$2340,$A26)=0,"nein (Wdh.)","noch nicht (läuft)"))))</f>
        <v/>
      </c>
      <c r="K26" s="21">
        <f>IF($A26="","",INDEX(Daten!$C$545:$V$644,Daten!$B$2340,$A26))</f>
        <v/>
      </c>
      <c r="L26" s="57">
        <f>IF($A26="","",INDEX(Daten!$C$1490:$V$1589,Daten!$B$2340,$A26))</f>
        <v/>
      </c>
    </row>
    <row r="27" ht="20" customHeight="1">
      <c r="A27" s="19" t="n">
        <v>7</v>
      </c>
      <c r="B27" s="53">
        <f>IF($A27="","",INDEX(Daten!$C$4:$V$4,$A27))</f>
        <v/>
      </c>
      <c r="C27" s="21">
        <f>IF($A27="","",INDEX(Daten!$C$6:$V$6,$A27))</f>
        <v/>
      </c>
      <c r="D27" s="22">
        <f>IF($A27="","",IF(INDEX(Daten!$C$7:$V$7,$A27)=0,"",INDEX(Daten!$C$7:$V$7,$A27)))</f>
        <v/>
      </c>
      <c r="E27" s="21">
        <f>IF($A27="","",INDEX(Daten!$C$8:$V$8,$A27))</f>
        <v/>
      </c>
      <c r="F27" s="54">
        <f>IF($A27="","",IF(INDEX(Daten!$C$125:$V$224,Daten!$B$2340,$A27)=0,"",INDEX(Daten!$C$335:$V$434,Daten!$B$2340,$A27)))</f>
        <v/>
      </c>
      <c r="G27" s="55">
        <f>IF($A27="","",IF(INDEX(Daten!$C$125:$V$224,Daten!$B$2340,$A27)=0,"",INDEX(Daten!$C$440:$V$539,Daten!$B$2340,$A27)))</f>
        <v/>
      </c>
      <c r="H27" s="24">
        <f>IF($A27="","",IF(INDEX(Daten!$C$125:$V$224,Daten!$B$2340,$A27)=0,"",INDEX(Daten!$C$20:$V$119,Daten!$B$2340,$A27)))</f>
        <v/>
      </c>
      <c r="I27" s="25">
        <f>IF($A27="","",IF(INDEX(Daten!$C$125:$V$224,Daten!$B$2340,$A27)=1,INDEX(Noten,MAX(1,MIN(COUNT(NGrenze),COUNT(NGrenze)+1-COUNTIF(NGrenze,"&lt;="&amp;$H27))))&amp;" – "&amp;INDEX(NText,MAX(1,MIN(COUNT(NGrenze),COUNT(NGrenze)+1-COUNTIF(NGrenze,"&lt;="&amp;$H27)))),IF(INDEX(Daten!$C$755:$V$854,Daten!$B$2340,$A27)=0,"","nicht bewertet"&amp;IF(INDEX(Daten!$C$545:$V$644,Daten!$B$2340,$A27)="",""," ("&amp;INDEX(Daten!$C$545:$V$644,Daten!$B$2340,$A27)&amp;")"))))</f>
        <v/>
      </c>
      <c r="J27" s="21">
        <f>IF($A27="","",IF(INDEX(Daten!$C$125:$V$224,Daten!$B$2340,$A27)=0,"–",IF(INDEX(Daten!$C$1595:$V$1694,Daten!$B$2340,$A27)=1,"ja",IF(INDEX(Daten!$C$1280:$V$1379,Daten!$B$2340,$A27)=0,"nein (Wdh.)","noch nicht (läuft)"))))</f>
        <v/>
      </c>
      <c r="K27" s="21">
        <f>IF($A27="","",INDEX(Daten!$C$545:$V$644,Daten!$B$2340,$A27))</f>
        <v/>
      </c>
      <c r="L27" s="57">
        <f>IF($A27="","",INDEX(Daten!$C$1490:$V$1589,Daten!$B$2340,$A27))</f>
        <v/>
      </c>
    </row>
    <row r="28" ht="20" customHeight="1">
      <c r="A28" s="19" t="n">
        <v>8</v>
      </c>
      <c r="B28" s="53">
        <f>IF($A28="","",INDEX(Daten!$C$4:$V$4,$A28))</f>
        <v/>
      </c>
      <c r="C28" s="21">
        <f>IF($A28="","",INDEX(Daten!$C$6:$V$6,$A28))</f>
        <v/>
      </c>
      <c r="D28" s="22">
        <f>IF($A28="","",IF(INDEX(Daten!$C$7:$V$7,$A28)=0,"",INDEX(Daten!$C$7:$V$7,$A28)))</f>
        <v/>
      </c>
      <c r="E28" s="21">
        <f>IF($A28="","",INDEX(Daten!$C$8:$V$8,$A28))</f>
        <v/>
      </c>
      <c r="F28" s="54">
        <f>IF($A28="","",IF(INDEX(Daten!$C$125:$V$224,Daten!$B$2340,$A28)=0,"",INDEX(Daten!$C$335:$V$434,Daten!$B$2340,$A28)))</f>
        <v/>
      </c>
      <c r="G28" s="55">
        <f>IF($A28="","",IF(INDEX(Daten!$C$125:$V$224,Daten!$B$2340,$A28)=0,"",INDEX(Daten!$C$440:$V$539,Daten!$B$2340,$A28)))</f>
        <v/>
      </c>
      <c r="H28" s="24">
        <f>IF($A28="","",IF(INDEX(Daten!$C$125:$V$224,Daten!$B$2340,$A28)=0,"",INDEX(Daten!$C$20:$V$119,Daten!$B$2340,$A28)))</f>
        <v/>
      </c>
      <c r="I28" s="25">
        <f>IF($A28="","",IF(INDEX(Daten!$C$125:$V$224,Daten!$B$2340,$A28)=1,INDEX(Noten,MAX(1,MIN(COUNT(NGrenze),COUNT(NGrenze)+1-COUNTIF(NGrenze,"&lt;="&amp;$H28))))&amp;" – "&amp;INDEX(NText,MAX(1,MIN(COUNT(NGrenze),COUNT(NGrenze)+1-COUNTIF(NGrenze,"&lt;="&amp;$H28)))),IF(INDEX(Daten!$C$755:$V$854,Daten!$B$2340,$A28)=0,"","nicht bewertet"&amp;IF(INDEX(Daten!$C$545:$V$644,Daten!$B$2340,$A28)="",""," ("&amp;INDEX(Daten!$C$545:$V$644,Daten!$B$2340,$A28)&amp;")"))))</f>
        <v/>
      </c>
      <c r="J28" s="21">
        <f>IF($A28="","",IF(INDEX(Daten!$C$125:$V$224,Daten!$B$2340,$A28)=0,"–",IF(INDEX(Daten!$C$1595:$V$1694,Daten!$B$2340,$A28)=1,"ja",IF(INDEX(Daten!$C$1280:$V$1379,Daten!$B$2340,$A28)=0,"nein (Wdh.)","noch nicht (läuft)"))))</f>
        <v/>
      </c>
      <c r="K28" s="21">
        <f>IF($A28="","",INDEX(Daten!$C$545:$V$644,Daten!$B$2340,$A28))</f>
        <v/>
      </c>
      <c r="L28" s="57">
        <f>IF($A28="","",INDEX(Daten!$C$1490:$V$1589,Daten!$B$2340,$A28))</f>
        <v/>
      </c>
    </row>
    <row r="29" ht="20" customHeight="1">
      <c r="A29" s="19" t="n">
        <v>9</v>
      </c>
      <c r="B29" s="53">
        <f>IF($A29="","",INDEX(Daten!$C$4:$V$4,$A29))</f>
        <v/>
      </c>
      <c r="C29" s="21">
        <f>IF($A29="","",INDEX(Daten!$C$6:$V$6,$A29))</f>
        <v/>
      </c>
      <c r="D29" s="22">
        <f>IF($A29="","",IF(INDEX(Daten!$C$7:$V$7,$A29)=0,"",INDEX(Daten!$C$7:$V$7,$A29)))</f>
        <v/>
      </c>
      <c r="E29" s="21">
        <f>IF($A29="","",INDEX(Daten!$C$8:$V$8,$A29))</f>
        <v/>
      </c>
      <c r="F29" s="54">
        <f>IF($A29="","",IF(INDEX(Daten!$C$125:$V$224,Daten!$B$2340,$A29)=0,"",INDEX(Daten!$C$335:$V$434,Daten!$B$2340,$A29)))</f>
        <v/>
      </c>
      <c r="G29" s="55">
        <f>IF($A29="","",IF(INDEX(Daten!$C$125:$V$224,Daten!$B$2340,$A29)=0,"",INDEX(Daten!$C$440:$V$539,Daten!$B$2340,$A29)))</f>
        <v/>
      </c>
      <c r="H29" s="24">
        <f>IF($A29="","",IF(INDEX(Daten!$C$125:$V$224,Daten!$B$2340,$A29)=0,"",INDEX(Daten!$C$20:$V$119,Daten!$B$2340,$A29)))</f>
        <v/>
      </c>
      <c r="I29" s="25">
        <f>IF($A29="","",IF(INDEX(Daten!$C$125:$V$224,Daten!$B$2340,$A29)=1,INDEX(Noten,MAX(1,MIN(COUNT(NGrenze),COUNT(NGrenze)+1-COUNTIF(NGrenze,"&lt;="&amp;$H29))))&amp;" – "&amp;INDEX(NText,MAX(1,MIN(COUNT(NGrenze),COUNT(NGrenze)+1-COUNTIF(NGrenze,"&lt;="&amp;$H29)))),IF(INDEX(Daten!$C$755:$V$854,Daten!$B$2340,$A29)=0,"","nicht bewertet"&amp;IF(INDEX(Daten!$C$545:$V$644,Daten!$B$2340,$A29)="",""," ("&amp;INDEX(Daten!$C$545:$V$644,Daten!$B$2340,$A29)&amp;")"))))</f>
        <v/>
      </c>
      <c r="J29" s="21">
        <f>IF($A29="","",IF(INDEX(Daten!$C$125:$V$224,Daten!$B$2340,$A29)=0,"–",IF(INDEX(Daten!$C$1595:$V$1694,Daten!$B$2340,$A29)=1,"ja",IF(INDEX(Daten!$C$1280:$V$1379,Daten!$B$2340,$A29)=0,"nein (Wdh.)","noch nicht (läuft)"))))</f>
        <v/>
      </c>
      <c r="K29" s="21">
        <f>IF($A29="","",INDEX(Daten!$C$545:$V$644,Daten!$B$2340,$A29))</f>
        <v/>
      </c>
      <c r="L29" s="57">
        <f>IF($A29="","",INDEX(Daten!$C$1490:$V$1589,Daten!$B$2340,$A29))</f>
        <v/>
      </c>
    </row>
    <row r="30" ht="20" customHeight="1">
      <c r="A30" s="19" t="n">
        <v>10</v>
      </c>
      <c r="B30" s="53">
        <f>IF($A30="","",INDEX(Daten!$C$4:$V$4,$A30))</f>
        <v/>
      </c>
      <c r="C30" s="21">
        <f>IF($A30="","",INDEX(Daten!$C$6:$V$6,$A30))</f>
        <v/>
      </c>
      <c r="D30" s="22">
        <f>IF($A30="","",IF(INDEX(Daten!$C$7:$V$7,$A30)=0,"",INDEX(Daten!$C$7:$V$7,$A30)))</f>
        <v/>
      </c>
      <c r="E30" s="21">
        <f>IF($A30="","",INDEX(Daten!$C$8:$V$8,$A30))</f>
        <v/>
      </c>
      <c r="F30" s="54">
        <f>IF($A30="","",IF(INDEX(Daten!$C$125:$V$224,Daten!$B$2340,$A30)=0,"",INDEX(Daten!$C$335:$V$434,Daten!$B$2340,$A30)))</f>
        <v/>
      </c>
      <c r="G30" s="55">
        <f>IF($A30="","",IF(INDEX(Daten!$C$125:$V$224,Daten!$B$2340,$A30)=0,"",INDEX(Daten!$C$440:$V$539,Daten!$B$2340,$A30)))</f>
        <v/>
      </c>
      <c r="H30" s="24">
        <f>IF($A30="","",IF(INDEX(Daten!$C$125:$V$224,Daten!$B$2340,$A30)=0,"",INDEX(Daten!$C$20:$V$119,Daten!$B$2340,$A30)))</f>
        <v/>
      </c>
      <c r="I30" s="25">
        <f>IF($A30="","",IF(INDEX(Daten!$C$125:$V$224,Daten!$B$2340,$A30)=1,INDEX(Noten,MAX(1,MIN(COUNT(NGrenze),COUNT(NGrenze)+1-COUNTIF(NGrenze,"&lt;="&amp;$H30))))&amp;" – "&amp;INDEX(NText,MAX(1,MIN(COUNT(NGrenze),COUNT(NGrenze)+1-COUNTIF(NGrenze,"&lt;="&amp;$H30)))),IF(INDEX(Daten!$C$755:$V$854,Daten!$B$2340,$A30)=0,"","nicht bewertet"&amp;IF(INDEX(Daten!$C$545:$V$644,Daten!$B$2340,$A30)="",""," ("&amp;INDEX(Daten!$C$545:$V$644,Daten!$B$2340,$A30)&amp;")"))))</f>
        <v/>
      </c>
      <c r="J30" s="21">
        <f>IF($A30="","",IF(INDEX(Daten!$C$125:$V$224,Daten!$B$2340,$A30)=0,"–",IF(INDEX(Daten!$C$1595:$V$1694,Daten!$B$2340,$A30)=1,"ja",IF(INDEX(Daten!$C$1280:$V$1379,Daten!$B$2340,$A30)=0,"nein (Wdh.)","noch nicht (läuft)"))))</f>
        <v/>
      </c>
      <c r="K30" s="21">
        <f>IF($A30="","",INDEX(Daten!$C$545:$V$644,Daten!$B$2340,$A30))</f>
        <v/>
      </c>
      <c r="L30" s="57">
        <f>IF($A30="","",INDEX(Daten!$C$1490:$V$1589,Daten!$B$2340,$A30))</f>
        <v/>
      </c>
    </row>
    <row r="31" ht="20" customHeight="1">
      <c r="A31" s="19" t="n">
        <v>11</v>
      </c>
      <c r="B31" s="53">
        <f>IF($A31="","",INDEX(Daten!$C$4:$V$4,$A31))</f>
        <v/>
      </c>
      <c r="C31" s="21">
        <f>IF($A31="","",INDEX(Daten!$C$6:$V$6,$A31))</f>
        <v/>
      </c>
      <c r="D31" s="22">
        <f>IF($A31="","",IF(INDEX(Daten!$C$7:$V$7,$A31)=0,"",INDEX(Daten!$C$7:$V$7,$A31)))</f>
        <v/>
      </c>
      <c r="E31" s="21">
        <f>IF($A31="","",INDEX(Daten!$C$8:$V$8,$A31))</f>
        <v/>
      </c>
      <c r="F31" s="54">
        <f>IF($A31="","",IF(INDEX(Daten!$C$125:$V$224,Daten!$B$2340,$A31)=0,"",INDEX(Daten!$C$335:$V$434,Daten!$B$2340,$A31)))</f>
        <v/>
      </c>
      <c r="G31" s="55">
        <f>IF($A31="","",IF(INDEX(Daten!$C$125:$V$224,Daten!$B$2340,$A31)=0,"",INDEX(Daten!$C$440:$V$539,Daten!$B$2340,$A31)))</f>
        <v/>
      </c>
      <c r="H31" s="24">
        <f>IF($A31="","",IF(INDEX(Daten!$C$125:$V$224,Daten!$B$2340,$A31)=0,"",INDEX(Daten!$C$20:$V$119,Daten!$B$2340,$A31)))</f>
        <v/>
      </c>
      <c r="I31" s="25">
        <f>IF($A31="","",IF(INDEX(Daten!$C$125:$V$224,Daten!$B$2340,$A31)=1,INDEX(Noten,MAX(1,MIN(COUNT(NGrenze),COUNT(NGrenze)+1-COUNTIF(NGrenze,"&lt;="&amp;$H31))))&amp;" – "&amp;INDEX(NText,MAX(1,MIN(COUNT(NGrenze),COUNT(NGrenze)+1-COUNTIF(NGrenze,"&lt;="&amp;$H31)))),IF(INDEX(Daten!$C$755:$V$854,Daten!$B$2340,$A31)=0,"","nicht bewertet"&amp;IF(INDEX(Daten!$C$545:$V$644,Daten!$B$2340,$A31)="",""," ("&amp;INDEX(Daten!$C$545:$V$644,Daten!$B$2340,$A31)&amp;")"))))</f>
        <v/>
      </c>
      <c r="J31" s="21">
        <f>IF($A31="","",IF(INDEX(Daten!$C$125:$V$224,Daten!$B$2340,$A31)=0,"–",IF(INDEX(Daten!$C$1595:$V$1694,Daten!$B$2340,$A31)=1,"ja",IF(INDEX(Daten!$C$1280:$V$1379,Daten!$B$2340,$A31)=0,"nein (Wdh.)","noch nicht (läuft)"))))</f>
        <v/>
      </c>
      <c r="K31" s="21">
        <f>IF($A31="","",INDEX(Daten!$C$545:$V$644,Daten!$B$2340,$A31))</f>
        <v/>
      </c>
      <c r="L31" s="57">
        <f>IF($A31="","",INDEX(Daten!$C$1490:$V$1589,Daten!$B$2340,$A31))</f>
        <v/>
      </c>
    </row>
    <row r="32" ht="20" customHeight="1">
      <c r="A32" s="19" t="n">
        <v>12</v>
      </c>
      <c r="B32" s="53">
        <f>IF($A32="","",INDEX(Daten!$C$4:$V$4,$A32))</f>
        <v/>
      </c>
      <c r="C32" s="21">
        <f>IF($A32="","",INDEX(Daten!$C$6:$V$6,$A32))</f>
        <v/>
      </c>
      <c r="D32" s="22">
        <f>IF($A32="","",IF(INDEX(Daten!$C$7:$V$7,$A32)=0,"",INDEX(Daten!$C$7:$V$7,$A32)))</f>
        <v/>
      </c>
      <c r="E32" s="21">
        <f>IF($A32="","",INDEX(Daten!$C$8:$V$8,$A32))</f>
        <v/>
      </c>
      <c r="F32" s="54">
        <f>IF($A32="","",IF(INDEX(Daten!$C$125:$V$224,Daten!$B$2340,$A32)=0,"",INDEX(Daten!$C$335:$V$434,Daten!$B$2340,$A32)))</f>
        <v/>
      </c>
      <c r="G32" s="55">
        <f>IF($A32="","",IF(INDEX(Daten!$C$125:$V$224,Daten!$B$2340,$A32)=0,"",INDEX(Daten!$C$440:$V$539,Daten!$B$2340,$A32)))</f>
        <v/>
      </c>
      <c r="H32" s="24">
        <f>IF($A32="","",IF(INDEX(Daten!$C$125:$V$224,Daten!$B$2340,$A32)=0,"",INDEX(Daten!$C$20:$V$119,Daten!$B$2340,$A32)))</f>
        <v/>
      </c>
      <c r="I32" s="25">
        <f>IF($A32="","",IF(INDEX(Daten!$C$125:$V$224,Daten!$B$2340,$A32)=1,INDEX(Noten,MAX(1,MIN(COUNT(NGrenze),COUNT(NGrenze)+1-COUNTIF(NGrenze,"&lt;="&amp;$H32))))&amp;" – "&amp;INDEX(NText,MAX(1,MIN(COUNT(NGrenze),COUNT(NGrenze)+1-COUNTIF(NGrenze,"&lt;="&amp;$H32)))),IF(INDEX(Daten!$C$755:$V$854,Daten!$B$2340,$A32)=0,"","nicht bewertet"&amp;IF(INDEX(Daten!$C$545:$V$644,Daten!$B$2340,$A32)="",""," ("&amp;INDEX(Daten!$C$545:$V$644,Daten!$B$2340,$A32)&amp;")"))))</f>
        <v/>
      </c>
      <c r="J32" s="21">
        <f>IF($A32="","",IF(INDEX(Daten!$C$125:$V$224,Daten!$B$2340,$A32)=0,"–",IF(INDEX(Daten!$C$1595:$V$1694,Daten!$B$2340,$A32)=1,"ja",IF(INDEX(Daten!$C$1280:$V$1379,Daten!$B$2340,$A32)=0,"nein (Wdh.)","noch nicht (läuft)"))))</f>
        <v/>
      </c>
      <c r="K32" s="21">
        <f>IF($A32="","",INDEX(Daten!$C$545:$V$644,Daten!$B$2340,$A32))</f>
        <v/>
      </c>
      <c r="L32" s="57">
        <f>IF($A32="","",INDEX(Daten!$C$1490:$V$1589,Daten!$B$2340,$A32))</f>
        <v/>
      </c>
    </row>
    <row r="33" ht="20" customHeight="1">
      <c r="A33" s="19" t="n">
        <v>13</v>
      </c>
      <c r="B33" s="53">
        <f>IF($A33="","",INDEX(Daten!$C$4:$V$4,$A33))</f>
        <v/>
      </c>
      <c r="C33" s="21">
        <f>IF($A33="","",INDEX(Daten!$C$6:$V$6,$A33))</f>
        <v/>
      </c>
      <c r="D33" s="22">
        <f>IF($A33="","",IF(INDEX(Daten!$C$7:$V$7,$A33)=0,"",INDEX(Daten!$C$7:$V$7,$A33)))</f>
        <v/>
      </c>
      <c r="E33" s="21">
        <f>IF($A33="","",INDEX(Daten!$C$8:$V$8,$A33))</f>
        <v/>
      </c>
      <c r="F33" s="54">
        <f>IF($A33="","",IF(INDEX(Daten!$C$125:$V$224,Daten!$B$2340,$A33)=0,"",INDEX(Daten!$C$335:$V$434,Daten!$B$2340,$A33)))</f>
        <v/>
      </c>
      <c r="G33" s="55">
        <f>IF($A33="","",IF(INDEX(Daten!$C$125:$V$224,Daten!$B$2340,$A33)=0,"",INDEX(Daten!$C$440:$V$539,Daten!$B$2340,$A33)))</f>
        <v/>
      </c>
      <c r="H33" s="24">
        <f>IF($A33="","",IF(INDEX(Daten!$C$125:$V$224,Daten!$B$2340,$A33)=0,"",INDEX(Daten!$C$20:$V$119,Daten!$B$2340,$A33)))</f>
        <v/>
      </c>
      <c r="I33" s="25">
        <f>IF($A33="","",IF(INDEX(Daten!$C$125:$V$224,Daten!$B$2340,$A33)=1,INDEX(Noten,MAX(1,MIN(COUNT(NGrenze),COUNT(NGrenze)+1-COUNTIF(NGrenze,"&lt;="&amp;$H33))))&amp;" – "&amp;INDEX(NText,MAX(1,MIN(COUNT(NGrenze),COUNT(NGrenze)+1-COUNTIF(NGrenze,"&lt;="&amp;$H33)))),IF(INDEX(Daten!$C$755:$V$854,Daten!$B$2340,$A33)=0,"","nicht bewertet"&amp;IF(INDEX(Daten!$C$545:$V$644,Daten!$B$2340,$A33)="",""," ("&amp;INDEX(Daten!$C$545:$V$644,Daten!$B$2340,$A33)&amp;")"))))</f>
        <v/>
      </c>
      <c r="J33" s="21">
        <f>IF($A33="","",IF(INDEX(Daten!$C$125:$V$224,Daten!$B$2340,$A33)=0,"–",IF(INDEX(Daten!$C$1595:$V$1694,Daten!$B$2340,$A33)=1,"ja",IF(INDEX(Daten!$C$1280:$V$1379,Daten!$B$2340,$A33)=0,"nein (Wdh.)","noch nicht (läuft)"))))</f>
        <v/>
      </c>
      <c r="K33" s="21">
        <f>IF($A33="","",INDEX(Daten!$C$545:$V$644,Daten!$B$2340,$A33))</f>
        <v/>
      </c>
      <c r="L33" s="57">
        <f>IF($A33="","",INDEX(Daten!$C$1490:$V$1589,Daten!$B$2340,$A33))</f>
        <v/>
      </c>
    </row>
    <row r="34" ht="20" customHeight="1">
      <c r="A34" s="19" t="n">
        <v>14</v>
      </c>
      <c r="B34" s="53">
        <f>IF($A34="","",INDEX(Daten!$C$4:$V$4,$A34))</f>
        <v/>
      </c>
      <c r="C34" s="21">
        <f>IF($A34="","",INDEX(Daten!$C$6:$V$6,$A34))</f>
        <v/>
      </c>
      <c r="D34" s="22">
        <f>IF($A34="","",IF(INDEX(Daten!$C$7:$V$7,$A34)=0,"",INDEX(Daten!$C$7:$V$7,$A34)))</f>
        <v/>
      </c>
      <c r="E34" s="21">
        <f>IF($A34="","",INDEX(Daten!$C$8:$V$8,$A34))</f>
        <v/>
      </c>
      <c r="F34" s="54">
        <f>IF($A34="","",IF(INDEX(Daten!$C$125:$V$224,Daten!$B$2340,$A34)=0,"",INDEX(Daten!$C$335:$V$434,Daten!$B$2340,$A34)))</f>
        <v/>
      </c>
      <c r="G34" s="55">
        <f>IF($A34="","",IF(INDEX(Daten!$C$125:$V$224,Daten!$B$2340,$A34)=0,"",INDEX(Daten!$C$440:$V$539,Daten!$B$2340,$A34)))</f>
        <v/>
      </c>
      <c r="H34" s="24">
        <f>IF($A34="","",IF(INDEX(Daten!$C$125:$V$224,Daten!$B$2340,$A34)=0,"",INDEX(Daten!$C$20:$V$119,Daten!$B$2340,$A34)))</f>
        <v/>
      </c>
      <c r="I34" s="25">
        <f>IF($A34="","",IF(INDEX(Daten!$C$125:$V$224,Daten!$B$2340,$A34)=1,INDEX(Noten,MAX(1,MIN(COUNT(NGrenze),COUNT(NGrenze)+1-COUNTIF(NGrenze,"&lt;="&amp;$H34))))&amp;" – "&amp;INDEX(NText,MAX(1,MIN(COUNT(NGrenze),COUNT(NGrenze)+1-COUNTIF(NGrenze,"&lt;="&amp;$H34)))),IF(INDEX(Daten!$C$755:$V$854,Daten!$B$2340,$A34)=0,"","nicht bewertet"&amp;IF(INDEX(Daten!$C$545:$V$644,Daten!$B$2340,$A34)="",""," ("&amp;INDEX(Daten!$C$545:$V$644,Daten!$B$2340,$A34)&amp;")"))))</f>
        <v/>
      </c>
      <c r="J34" s="21">
        <f>IF($A34="","",IF(INDEX(Daten!$C$125:$V$224,Daten!$B$2340,$A34)=0,"–",IF(INDEX(Daten!$C$1595:$V$1694,Daten!$B$2340,$A34)=1,"ja",IF(INDEX(Daten!$C$1280:$V$1379,Daten!$B$2340,$A34)=0,"nein (Wdh.)","noch nicht (läuft)"))))</f>
        <v/>
      </c>
      <c r="K34" s="21">
        <f>IF($A34="","",INDEX(Daten!$C$545:$V$644,Daten!$B$2340,$A34))</f>
        <v/>
      </c>
      <c r="L34" s="57">
        <f>IF($A34="","",INDEX(Daten!$C$1490:$V$1589,Daten!$B$2340,$A34))</f>
        <v/>
      </c>
    </row>
    <row r="35" ht="20" customHeight="1">
      <c r="A35" s="19" t="n">
        <v>15</v>
      </c>
      <c r="B35" s="53">
        <f>IF($A35="","",INDEX(Daten!$C$4:$V$4,$A35))</f>
        <v/>
      </c>
      <c r="C35" s="21">
        <f>IF($A35="","",INDEX(Daten!$C$6:$V$6,$A35))</f>
        <v/>
      </c>
      <c r="D35" s="22">
        <f>IF($A35="","",IF(INDEX(Daten!$C$7:$V$7,$A35)=0,"",INDEX(Daten!$C$7:$V$7,$A35)))</f>
        <v/>
      </c>
      <c r="E35" s="21">
        <f>IF($A35="","",INDEX(Daten!$C$8:$V$8,$A35))</f>
        <v/>
      </c>
      <c r="F35" s="54">
        <f>IF($A35="","",IF(INDEX(Daten!$C$125:$V$224,Daten!$B$2340,$A35)=0,"",INDEX(Daten!$C$335:$V$434,Daten!$B$2340,$A35)))</f>
        <v/>
      </c>
      <c r="G35" s="55">
        <f>IF($A35="","",IF(INDEX(Daten!$C$125:$V$224,Daten!$B$2340,$A35)=0,"",INDEX(Daten!$C$440:$V$539,Daten!$B$2340,$A35)))</f>
        <v/>
      </c>
      <c r="H35" s="24">
        <f>IF($A35="","",IF(INDEX(Daten!$C$125:$V$224,Daten!$B$2340,$A35)=0,"",INDEX(Daten!$C$20:$V$119,Daten!$B$2340,$A35)))</f>
        <v/>
      </c>
      <c r="I35" s="25">
        <f>IF($A35="","",IF(INDEX(Daten!$C$125:$V$224,Daten!$B$2340,$A35)=1,INDEX(Noten,MAX(1,MIN(COUNT(NGrenze),COUNT(NGrenze)+1-COUNTIF(NGrenze,"&lt;="&amp;$H35))))&amp;" – "&amp;INDEX(NText,MAX(1,MIN(COUNT(NGrenze),COUNT(NGrenze)+1-COUNTIF(NGrenze,"&lt;="&amp;$H35)))),IF(INDEX(Daten!$C$755:$V$854,Daten!$B$2340,$A35)=0,"","nicht bewertet"&amp;IF(INDEX(Daten!$C$545:$V$644,Daten!$B$2340,$A35)="",""," ("&amp;INDEX(Daten!$C$545:$V$644,Daten!$B$2340,$A35)&amp;")"))))</f>
        <v/>
      </c>
      <c r="J35" s="21">
        <f>IF($A35="","",IF(INDEX(Daten!$C$125:$V$224,Daten!$B$2340,$A35)=0,"–",IF(INDEX(Daten!$C$1595:$V$1694,Daten!$B$2340,$A35)=1,"ja",IF(INDEX(Daten!$C$1280:$V$1379,Daten!$B$2340,$A35)=0,"nein (Wdh.)","noch nicht (läuft)"))))</f>
        <v/>
      </c>
      <c r="K35" s="21">
        <f>IF($A35="","",INDEX(Daten!$C$545:$V$644,Daten!$B$2340,$A35))</f>
        <v/>
      </c>
      <c r="L35" s="57">
        <f>IF($A35="","",INDEX(Daten!$C$1490:$V$1589,Daten!$B$2340,$A35))</f>
        <v/>
      </c>
    </row>
    <row r="36" ht="20" customHeight="1">
      <c r="A36" s="19" t="n">
        <v>16</v>
      </c>
      <c r="B36" s="53">
        <f>IF($A36="","",INDEX(Daten!$C$4:$V$4,$A36))</f>
        <v/>
      </c>
      <c r="C36" s="21">
        <f>IF($A36="","",INDEX(Daten!$C$6:$V$6,$A36))</f>
        <v/>
      </c>
      <c r="D36" s="22">
        <f>IF($A36="","",IF(INDEX(Daten!$C$7:$V$7,$A36)=0,"",INDEX(Daten!$C$7:$V$7,$A36)))</f>
        <v/>
      </c>
      <c r="E36" s="21">
        <f>IF($A36="","",INDEX(Daten!$C$8:$V$8,$A36))</f>
        <v/>
      </c>
      <c r="F36" s="54">
        <f>IF($A36="","",IF(INDEX(Daten!$C$125:$V$224,Daten!$B$2340,$A36)=0,"",INDEX(Daten!$C$335:$V$434,Daten!$B$2340,$A36)))</f>
        <v/>
      </c>
      <c r="G36" s="55">
        <f>IF($A36="","",IF(INDEX(Daten!$C$125:$V$224,Daten!$B$2340,$A36)=0,"",INDEX(Daten!$C$440:$V$539,Daten!$B$2340,$A36)))</f>
        <v/>
      </c>
      <c r="H36" s="24">
        <f>IF($A36="","",IF(INDEX(Daten!$C$125:$V$224,Daten!$B$2340,$A36)=0,"",INDEX(Daten!$C$20:$V$119,Daten!$B$2340,$A36)))</f>
        <v/>
      </c>
      <c r="I36" s="25">
        <f>IF($A36="","",IF(INDEX(Daten!$C$125:$V$224,Daten!$B$2340,$A36)=1,INDEX(Noten,MAX(1,MIN(COUNT(NGrenze),COUNT(NGrenze)+1-COUNTIF(NGrenze,"&lt;="&amp;$H36))))&amp;" – "&amp;INDEX(NText,MAX(1,MIN(COUNT(NGrenze),COUNT(NGrenze)+1-COUNTIF(NGrenze,"&lt;="&amp;$H36)))),IF(INDEX(Daten!$C$755:$V$854,Daten!$B$2340,$A36)=0,"","nicht bewertet"&amp;IF(INDEX(Daten!$C$545:$V$644,Daten!$B$2340,$A36)="",""," ("&amp;INDEX(Daten!$C$545:$V$644,Daten!$B$2340,$A36)&amp;")"))))</f>
        <v/>
      </c>
      <c r="J36" s="21">
        <f>IF($A36="","",IF(INDEX(Daten!$C$125:$V$224,Daten!$B$2340,$A36)=0,"–",IF(INDEX(Daten!$C$1595:$V$1694,Daten!$B$2340,$A36)=1,"ja",IF(INDEX(Daten!$C$1280:$V$1379,Daten!$B$2340,$A36)=0,"nein (Wdh.)","noch nicht (läuft)"))))</f>
        <v/>
      </c>
      <c r="K36" s="21">
        <f>IF($A36="","",INDEX(Daten!$C$545:$V$644,Daten!$B$2340,$A36))</f>
        <v/>
      </c>
      <c r="L36" s="57">
        <f>IF($A36="","",INDEX(Daten!$C$1490:$V$1589,Daten!$B$2340,$A36))</f>
        <v/>
      </c>
    </row>
    <row r="37" ht="20" customHeight="1">
      <c r="A37" s="19" t="n">
        <v>17</v>
      </c>
      <c r="B37" s="53">
        <f>IF($A37="","",INDEX(Daten!$C$4:$V$4,$A37))</f>
        <v/>
      </c>
      <c r="C37" s="21">
        <f>IF($A37="","",INDEX(Daten!$C$6:$V$6,$A37))</f>
        <v/>
      </c>
      <c r="D37" s="22">
        <f>IF($A37="","",IF(INDEX(Daten!$C$7:$V$7,$A37)=0,"",INDEX(Daten!$C$7:$V$7,$A37)))</f>
        <v/>
      </c>
      <c r="E37" s="21">
        <f>IF($A37="","",INDEX(Daten!$C$8:$V$8,$A37))</f>
        <v/>
      </c>
      <c r="F37" s="54">
        <f>IF($A37="","",IF(INDEX(Daten!$C$125:$V$224,Daten!$B$2340,$A37)=0,"",INDEX(Daten!$C$335:$V$434,Daten!$B$2340,$A37)))</f>
        <v/>
      </c>
      <c r="G37" s="55">
        <f>IF($A37="","",IF(INDEX(Daten!$C$125:$V$224,Daten!$B$2340,$A37)=0,"",INDEX(Daten!$C$440:$V$539,Daten!$B$2340,$A37)))</f>
        <v/>
      </c>
      <c r="H37" s="24">
        <f>IF($A37="","",IF(INDEX(Daten!$C$125:$V$224,Daten!$B$2340,$A37)=0,"",INDEX(Daten!$C$20:$V$119,Daten!$B$2340,$A37)))</f>
        <v/>
      </c>
      <c r="I37" s="25">
        <f>IF($A37="","",IF(INDEX(Daten!$C$125:$V$224,Daten!$B$2340,$A37)=1,INDEX(Noten,MAX(1,MIN(COUNT(NGrenze),COUNT(NGrenze)+1-COUNTIF(NGrenze,"&lt;="&amp;$H37))))&amp;" – "&amp;INDEX(NText,MAX(1,MIN(COUNT(NGrenze),COUNT(NGrenze)+1-COUNTIF(NGrenze,"&lt;="&amp;$H37)))),IF(INDEX(Daten!$C$755:$V$854,Daten!$B$2340,$A37)=0,"","nicht bewertet"&amp;IF(INDEX(Daten!$C$545:$V$644,Daten!$B$2340,$A37)="",""," ("&amp;INDEX(Daten!$C$545:$V$644,Daten!$B$2340,$A37)&amp;")"))))</f>
        <v/>
      </c>
      <c r="J37" s="21">
        <f>IF($A37="","",IF(INDEX(Daten!$C$125:$V$224,Daten!$B$2340,$A37)=0,"–",IF(INDEX(Daten!$C$1595:$V$1694,Daten!$B$2340,$A37)=1,"ja",IF(INDEX(Daten!$C$1280:$V$1379,Daten!$B$2340,$A37)=0,"nein (Wdh.)","noch nicht (läuft)"))))</f>
        <v/>
      </c>
      <c r="K37" s="21">
        <f>IF($A37="","",INDEX(Daten!$C$545:$V$644,Daten!$B$2340,$A37))</f>
        <v/>
      </c>
      <c r="L37" s="57">
        <f>IF($A37="","",INDEX(Daten!$C$1490:$V$1589,Daten!$B$2340,$A37))</f>
        <v/>
      </c>
    </row>
    <row r="38" ht="20" customHeight="1">
      <c r="A38" s="19" t="n">
        <v>18</v>
      </c>
      <c r="B38" s="53">
        <f>IF($A38="","",INDEX(Daten!$C$4:$V$4,$A38))</f>
        <v/>
      </c>
      <c r="C38" s="21">
        <f>IF($A38="","",INDEX(Daten!$C$6:$V$6,$A38))</f>
        <v/>
      </c>
      <c r="D38" s="22">
        <f>IF($A38="","",IF(INDEX(Daten!$C$7:$V$7,$A38)=0,"",INDEX(Daten!$C$7:$V$7,$A38)))</f>
        <v/>
      </c>
      <c r="E38" s="21">
        <f>IF($A38="","",INDEX(Daten!$C$8:$V$8,$A38))</f>
        <v/>
      </c>
      <c r="F38" s="54">
        <f>IF($A38="","",IF(INDEX(Daten!$C$125:$V$224,Daten!$B$2340,$A38)=0,"",INDEX(Daten!$C$335:$V$434,Daten!$B$2340,$A38)))</f>
        <v/>
      </c>
      <c r="G38" s="55">
        <f>IF($A38="","",IF(INDEX(Daten!$C$125:$V$224,Daten!$B$2340,$A38)=0,"",INDEX(Daten!$C$440:$V$539,Daten!$B$2340,$A38)))</f>
        <v/>
      </c>
      <c r="H38" s="24">
        <f>IF($A38="","",IF(INDEX(Daten!$C$125:$V$224,Daten!$B$2340,$A38)=0,"",INDEX(Daten!$C$20:$V$119,Daten!$B$2340,$A38)))</f>
        <v/>
      </c>
      <c r="I38" s="25">
        <f>IF($A38="","",IF(INDEX(Daten!$C$125:$V$224,Daten!$B$2340,$A38)=1,INDEX(Noten,MAX(1,MIN(COUNT(NGrenze),COUNT(NGrenze)+1-COUNTIF(NGrenze,"&lt;="&amp;$H38))))&amp;" – "&amp;INDEX(NText,MAX(1,MIN(COUNT(NGrenze),COUNT(NGrenze)+1-COUNTIF(NGrenze,"&lt;="&amp;$H38)))),IF(INDEX(Daten!$C$755:$V$854,Daten!$B$2340,$A38)=0,"","nicht bewertet"&amp;IF(INDEX(Daten!$C$545:$V$644,Daten!$B$2340,$A38)="",""," ("&amp;INDEX(Daten!$C$545:$V$644,Daten!$B$2340,$A38)&amp;")"))))</f>
        <v/>
      </c>
      <c r="J38" s="21">
        <f>IF($A38="","",IF(INDEX(Daten!$C$125:$V$224,Daten!$B$2340,$A38)=0,"–",IF(INDEX(Daten!$C$1595:$V$1694,Daten!$B$2340,$A38)=1,"ja",IF(INDEX(Daten!$C$1280:$V$1379,Daten!$B$2340,$A38)=0,"nein (Wdh.)","noch nicht (läuft)"))))</f>
        <v/>
      </c>
      <c r="K38" s="21">
        <f>IF($A38="","",INDEX(Daten!$C$545:$V$644,Daten!$B$2340,$A38))</f>
        <v/>
      </c>
      <c r="L38" s="57">
        <f>IF($A38="","",INDEX(Daten!$C$1490:$V$1589,Daten!$B$2340,$A38))</f>
        <v/>
      </c>
    </row>
    <row r="39" ht="20" customHeight="1">
      <c r="A39" s="19" t="n">
        <v>19</v>
      </c>
      <c r="B39" s="53">
        <f>IF($A39="","",INDEX(Daten!$C$4:$V$4,$A39))</f>
        <v/>
      </c>
      <c r="C39" s="21">
        <f>IF($A39="","",INDEX(Daten!$C$6:$V$6,$A39))</f>
        <v/>
      </c>
      <c r="D39" s="22">
        <f>IF($A39="","",IF(INDEX(Daten!$C$7:$V$7,$A39)=0,"",INDEX(Daten!$C$7:$V$7,$A39)))</f>
        <v/>
      </c>
      <c r="E39" s="21">
        <f>IF($A39="","",INDEX(Daten!$C$8:$V$8,$A39))</f>
        <v/>
      </c>
      <c r="F39" s="54">
        <f>IF($A39="","",IF(INDEX(Daten!$C$125:$V$224,Daten!$B$2340,$A39)=0,"",INDEX(Daten!$C$335:$V$434,Daten!$B$2340,$A39)))</f>
        <v/>
      </c>
      <c r="G39" s="55">
        <f>IF($A39="","",IF(INDEX(Daten!$C$125:$V$224,Daten!$B$2340,$A39)=0,"",INDEX(Daten!$C$440:$V$539,Daten!$B$2340,$A39)))</f>
        <v/>
      </c>
      <c r="H39" s="24">
        <f>IF($A39="","",IF(INDEX(Daten!$C$125:$V$224,Daten!$B$2340,$A39)=0,"",INDEX(Daten!$C$20:$V$119,Daten!$B$2340,$A39)))</f>
        <v/>
      </c>
      <c r="I39" s="25">
        <f>IF($A39="","",IF(INDEX(Daten!$C$125:$V$224,Daten!$B$2340,$A39)=1,INDEX(Noten,MAX(1,MIN(COUNT(NGrenze),COUNT(NGrenze)+1-COUNTIF(NGrenze,"&lt;="&amp;$H39))))&amp;" – "&amp;INDEX(NText,MAX(1,MIN(COUNT(NGrenze),COUNT(NGrenze)+1-COUNTIF(NGrenze,"&lt;="&amp;$H39)))),IF(INDEX(Daten!$C$755:$V$854,Daten!$B$2340,$A39)=0,"","nicht bewertet"&amp;IF(INDEX(Daten!$C$545:$V$644,Daten!$B$2340,$A39)="",""," ("&amp;INDEX(Daten!$C$545:$V$644,Daten!$B$2340,$A39)&amp;")"))))</f>
        <v/>
      </c>
      <c r="J39" s="21">
        <f>IF($A39="","",IF(INDEX(Daten!$C$125:$V$224,Daten!$B$2340,$A39)=0,"–",IF(INDEX(Daten!$C$1595:$V$1694,Daten!$B$2340,$A39)=1,"ja",IF(INDEX(Daten!$C$1280:$V$1379,Daten!$B$2340,$A39)=0,"nein (Wdh.)","noch nicht (läuft)"))))</f>
        <v/>
      </c>
      <c r="K39" s="21">
        <f>IF($A39="","",INDEX(Daten!$C$545:$V$644,Daten!$B$2340,$A39))</f>
        <v/>
      </c>
      <c r="L39" s="57">
        <f>IF($A39="","",INDEX(Daten!$C$1490:$V$1589,Daten!$B$2340,$A39))</f>
        <v/>
      </c>
    </row>
    <row r="40" ht="20" customHeight="1">
      <c r="A40" s="19" t="n">
        <v>20</v>
      </c>
      <c r="B40" s="53">
        <f>IF($A40="","",INDEX(Daten!$C$4:$V$4,$A40))</f>
        <v/>
      </c>
      <c r="C40" s="21">
        <f>IF($A40="","",INDEX(Daten!$C$6:$V$6,$A40))</f>
        <v/>
      </c>
      <c r="D40" s="22">
        <f>IF($A40="","",IF(INDEX(Daten!$C$7:$V$7,$A40)=0,"",INDEX(Daten!$C$7:$V$7,$A40)))</f>
        <v/>
      </c>
      <c r="E40" s="21">
        <f>IF($A40="","",INDEX(Daten!$C$8:$V$8,$A40))</f>
        <v/>
      </c>
      <c r="F40" s="54">
        <f>IF($A40="","",IF(INDEX(Daten!$C$125:$V$224,Daten!$B$2340,$A40)=0,"",INDEX(Daten!$C$335:$V$434,Daten!$B$2340,$A40)))</f>
        <v/>
      </c>
      <c r="G40" s="55">
        <f>IF($A40="","",IF(INDEX(Daten!$C$125:$V$224,Daten!$B$2340,$A40)=0,"",INDEX(Daten!$C$440:$V$539,Daten!$B$2340,$A40)))</f>
        <v/>
      </c>
      <c r="H40" s="24">
        <f>IF($A40="","",IF(INDEX(Daten!$C$125:$V$224,Daten!$B$2340,$A40)=0,"",INDEX(Daten!$C$20:$V$119,Daten!$B$2340,$A40)))</f>
        <v/>
      </c>
      <c r="I40" s="25">
        <f>IF($A40="","",IF(INDEX(Daten!$C$125:$V$224,Daten!$B$2340,$A40)=1,INDEX(Noten,MAX(1,MIN(COUNT(NGrenze),COUNT(NGrenze)+1-COUNTIF(NGrenze,"&lt;="&amp;$H40))))&amp;" – "&amp;INDEX(NText,MAX(1,MIN(COUNT(NGrenze),COUNT(NGrenze)+1-COUNTIF(NGrenze,"&lt;="&amp;$H40)))),IF(INDEX(Daten!$C$755:$V$854,Daten!$B$2340,$A40)=0,"","nicht bewertet"&amp;IF(INDEX(Daten!$C$545:$V$644,Daten!$B$2340,$A40)="",""," ("&amp;INDEX(Daten!$C$545:$V$644,Daten!$B$2340,$A40)&amp;")"))))</f>
        <v/>
      </c>
      <c r="J40" s="21">
        <f>IF($A40="","",IF(INDEX(Daten!$C$125:$V$224,Daten!$B$2340,$A40)=0,"–",IF(INDEX(Daten!$C$1595:$V$1694,Daten!$B$2340,$A40)=1,"ja",IF(INDEX(Daten!$C$1280:$V$1379,Daten!$B$2340,$A40)=0,"nein (Wdh.)","noch nicht (läuft)"))))</f>
        <v/>
      </c>
      <c r="K40" s="21">
        <f>IF($A40="","",INDEX(Daten!$C$545:$V$644,Daten!$B$2340,$A40))</f>
        <v/>
      </c>
      <c r="L40" s="57">
        <f>IF($A40="","",INDEX(Daten!$C$1490:$V$1589,Daten!$B$2340,$A40))</f>
        <v/>
      </c>
    </row>
    <row r="41" ht="10" customHeight="1"/>
    <row r="42" ht="28" customHeight="1">
      <c r="A42" s="15" t="inlineStr">
        <is>
          <t xml:space="preserve"> Halbjahresauswertung für das Gespräch</t>
        </is>
      </c>
    </row>
    <row r="43" ht="30" customHeight="1">
      <c r="A43" s="16" t="inlineStr">
        <is>
          <t>HJ</t>
        </is>
      </c>
      <c r="B43" s="16" t="inlineStr">
        <is>
          <t>Zeitraum ab Ausbildungsstart</t>
        </is>
      </c>
      <c r="C43" s="16" t="inlineStr">
        <is>
          <t>Übungen</t>
        </is>
      </c>
      <c r="D43" s="16" t="inlineStr">
        <is>
          <t>Praxis %</t>
        </is>
      </c>
      <c r="E43" s="16" t="inlineStr">
        <is>
          <t>Praxis Note</t>
        </is>
      </c>
      <c r="F43" s="16" t="inlineStr">
        <is>
          <t>Theorie %</t>
        </is>
      </c>
      <c r="G43" s="16" t="inlineStr">
        <is>
          <t>Theorie Note</t>
        </is>
      </c>
      <c r="H43" s="16" t="inlineStr">
        <is>
          <t>Gesamt %</t>
        </is>
      </c>
      <c r="I43" s="16" t="inlineStr">
        <is>
          <t>Gesamt Note</t>
        </is>
      </c>
      <c r="J43" s="51" t="inlineStr">
        <is>
          <t>Hinweis</t>
        </is>
      </c>
    </row>
    <row r="44" ht="22" customHeight="1">
      <c r="A44" s="58" t="n">
        <v>1</v>
      </c>
      <c r="B44" s="57">
        <f>"Monat "&amp;(1-1)*6+1&amp;" bis "&amp;1*6</f>
        <v/>
      </c>
      <c r="C44" s="23">
        <f>IF(Daten!$B$2340=0,"",INDEX(Daten!$C$1704:$J$1803,Daten!$B$2340,1))</f>
        <v/>
      </c>
      <c r="D44" s="24">
        <f>IF(Daten!$B$2340=0,"",INDEX(Daten!$C$2019:$J$2118,Daten!$B$2340,1))</f>
        <v/>
      </c>
      <c r="E44" s="25">
        <f>IF(NOT(ISNUMBER(D44)),"",INDEX(Noten,MAX(1,MIN(COUNT(NGrenze),COUNT(NGrenze)+1-COUNTIF(NGrenze,"&lt;="&amp;D44))))&amp;" – "&amp;INDEX(NText,MAX(1,MIN(COUNT(NGrenze),COUNT(NGrenze)+1-COUNTIF(NGrenze,"&lt;="&amp;D44)))))</f>
        <v/>
      </c>
      <c r="F44" s="24">
        <f>IF(Daten!$B$2340=0,"",INDEX(Daten!$C$2124:$J$2223,Daten!$B$2340,1))</f>
        <v/>
      </c>
      <c r="G44" s="25">
        <f>IF(NOT(ISNUMBER(F44)),"",INDEX(Noten,MAX(1,MIN(COUNT(NGrenze),COUNT(NGrenze)+1-COUNTIF(NGrenze,"&lt;="&amp;F44))))&amp;" – "&amp;INDEX(NText,MAX(1,MIN(COUNT(NGrenze),COUNT(NGrenze)+1-COUNTIF(NGrenze,"&lt;="&amp;F44)))))</f>
        <v/>
      </c>
      <c r="H44" s="24">
        <f>IF(Daten!$B$2340=0,"",INDEX(Daten!$C$2229:$J$2328,Daten!$B$2340,1))</f>
        <v/>
      </c>
      <c r="I44" s="25">
        <f>IF(NOT(ISNUMBER(H44)),"",INDEX(Noten,MAX(1,MIN(COUNT(NGrenze),COUNT(NGrenze)+1-COUNTIF(NGrenze,"&lt;="&amp;H44))))&amp;" – "&amp;INDEX(NText,MAX(1,MIN(COUNT(NGrenze),COUNT(NGrenze)+1-COUNTIF(NGrenze,"&lt;="&amp;H44)))))</f>
        <v/>
      </c>
      <c r="J44" s="59">
        <f>IF(OR(Daten!$B$2340=0,C44=""),"",IF(C44=0,"keine Bewertung in diesem Halbjahr",IF(C44&lt;SchwelleDB,"wenig Datenbasis ("&amp;C44&amp;" Übung"&amp;IF(C44=1,"","en")&amp;")","")))</f>
        <v/>
      </c>
    </row>
    <row r="45" ht="22" customHeight="1">
      <c r="A45" s="58" t="n">
        <v>2</v>
      </c>
      <c r="B45" s="57">
        <f>"Monat "&amp;(2-1)*6+1&amp;" bis "&amp;2*6</f>
        <v/>
      </c>
      <c r="C45" s="23">
        <f>IF(Daten!$B$2340=0,"",INDEX(Daten!$C$1704:$J$1803,Daten!$B$2340,2))</f>
        <v/>
      </c>
      <c r="D45" s="24">
        <f>IF(Daten!$B$2340=0,"",INDEX(Daten!$C$2019:$J$2118,Daten!$B$2340,2))</f>
        <v/>
      </c>
      <c r="E45" s="25">
        <f>IF(NOT(ISNUMBER(D45)),"",INDEX(Noten,MAX(1,MIN(COUNT(NGrenze),COUNT(NGrenze)+1-COUNTIF(NGrenze,"&lt;="&amp;D45))))&amp;" – "&amp;INDEX(NText,MAX(1,MIN(COUNT(NGrenze),COUNT(NGrenze)+1-COUNTIF(NGrenze,"&lt;="&amp;D45)))))</f>
        <v/>
      </c>
      <c r="F45" s="24">
        <f>IF(Daten!$B$2340=0,"",INDEX(Daten!$C$2124:$J$2223,Daten!$B$2340,2))</f>
        <v/>
      </c>
      <c r="G45" s="25">
        <f>IF(NOT(ISNUMBER(F45)),"",INDEX(Noten,MAX(1,MIN(COUNT(NGrenze),COUNT(NGrenze)+1-COUNTIF(NGrenze,"&lt;="&amp;F45))))&amp;" – "&amp;INDEX(NText,MAX(1,MIN(COUNT(NGrenze),COUNT(NGrenze)+1-COUNTIF(NGrenze,"&lt;="&amp;F45)))))</f>
        <v/>
      </c>
      <c r="H45" s="24">
        <f>IF(Daten!$B$2340=0,"",INDEX(Daten!$C$2229:$J$2328,Daten!$B$2340,2))</f>
        <v/>
      </c>
      <c r="I45" s="25">
        <f>IF(NOT(ISNUMBER(H45)),"",INDEX(Noten,MAX(1,MIN(COUNT(NGrenze),COUNT(NGrenze)+1-COUNTIF(NGrenze,"&lt;="&amp;H45))))&amp;" – "&amp;INDEX(NText,MAX(1,MIN(COUNT(NGrenze),COUNT(NGrenze)+1-COUNTIF(NGrenze,"&lt;="&amp;H45)))))</f>
        <v/>
      </c>
      <c r="J45" s="59">
        <f>IF(OR(Daten!$B$2340=0,C45=""),"",IF(C45=0,"keine Bewertung in diesem Halbjahr",IF(C45&lt;SchwelleDB,"wenig Datenbasis ("&amp;C45&amp;" Übung"&amp;IF(C45=1,"","en")&amp;")","")))</f>
        <v/>
      </c>
    </row>
    <row r="46" ht="22" customHeight="1">
      <c r="A46" s="58" t="n">
        <v>3</v>
      </c>
      <c r="B46" s="57">
        <f>"Monat "&amp;(3-1)*6+1&amp;" bis "&amp;3*6</f>
        <v/>
      </c>
      <c r="C46" s="23">
        <f>IF(Daten!$B$2340=0,"",INDEX(Daten!$C$1704:$J$1803,Daten!$B$2340,3))</f>
        <v/>
      </c>
      <c r="D46" s="24">
        <f>IF(Daten!$B$2340=0,"",INDEX(Daten!$C$2019:$J$2118,Daten!$B$2340,3))</f>
        <v/>
      </c>
      <c r="E46" s="25">
        <f>IF(NOT(ISNUMBER(D46)),"",INDEX(Noten,MAX(1,MIN(COUNT(NGrenze),COUNT(NGrenze)+1-COUNTIF(NGrenze,"&lt;="&amp;D46))))&amp;" – "&amp;INDEX(NText,MAX(1,MIN(COUNT(NGrenze),COUNT(NGrenze)+1-COUNTIF(NGrenze,"&lt;="&amp;D46)))))</f>
        <v/>
      </c>
      <c r="F46" s="24">
        <f>IF(Daten!$B$2340=0,"",INDEX(Daten!$C$2124:$J$2223,Daten!$B$2340,3))</f>
        <v/>
      </c>
      <c r="G46" s="25">
        <f>IF(NOT(ISNUMBER(F46)),"",INDEX(Noten,MAX(1,MIN(COUNT(NGrenze),COUNT(NGrenze)+1-COUNTIF(NGrenze,"&lt;="&amp;F46))))&amp;" – "&amp;INDEX(NText,MAX(1,MIN(COUNT(NGrenze),COUNT(NGrenze)+1-COUNTIF(NGrenze,"&lt;="&amp;F46)))))</f>
        <v/>
      </c>
      <c r="H46" s="24">
        <f>IF(Daten!$B$2340=0,"",INDEX(Daten!$C$2229:$J$2328,Daten!$B$2340,3))</f>
        <v/>
      </c>
      <c r="I46" s="25">
        <f>IF(NOT(ISNUMBER(H46)),"",INDEX(Noten,MAX(1,MIN(COUNT(NGrenze),COUNT(NGrenze)+1-COUNTIF(NGrenze,"&lt;="&amp;H46))))&amp;" – "&amp;INDEX(NText,MAX(1,MIN(COUNT(NGrenze),COUNT(NGrenze)+1-COUNTIF(NGrenze,"&lt;="&amp;H46)))))</f>
        <v/>
      </c>
      <c r="J46" s="59">
        <f>IF(OR(Daten!$B$2340=0,C46=""),"",IF(C46=0,"keine Bewertung in diesem Halbjahr",IF(C46&lt;SchwelleDB,"wenig Datenbasis ("&amp;C46&amp;" Übung"&amp;IF(C46=1,"","en")&amp;")","")))</f>
        <v/>
      </c>
    </row>
    <row r="47" ht="22" customHeight="1">
      <c r="A47" s="58" t="n">
        <v>4</v>
      </c>
      <c r="B47" s="57">
        <f>"Monat "&amp;(4-1)*6+1&amp;" bis "&amp;4*6</f>
        <v/>
      </c>
      <c r="C47" s="23">
        <f>IF(Daten!$B$2340=0,"",INDEX(Daten!$C$1704:$J$1803,Daten!$B$2340,4))</f>
        <v/>
      </c>
      <c r="D47" s="24">
        <f>IF(Daten!$B$2340=0,"",INDEX(Daten!$C$2019:$J$2118,Daten!$B$2340,4))</f>
        <v/>
      </c>
      <c r="E47" s="25">
        <f>IF(NOT(ISNUMBER(D47)),"",INDEX(Noten,MAX(1,MIN(COUNT(NGrenze),COUNT(NGrenze)+1-COUNTIF(NGrenze,"&lt;="&amp;D47))))&amp;" – "&amp;INDEX(NText,MAX(1,MIN(COUNT(NGrenze),COUNT(NGrenze)+1-COUNTIF(NGrenze,"&lt;="&amp;D47)))))</f>
        <v/>
      </c>
      <c r="F47" s="24">
        <f>IF(Daten!$B$2340=0,"",INDEX(Daten!$C$2124:$J$2223,Daten!$B$2340,4))</f>
        <v/>
      </c>
      <c r="G47" s="25">
        <f>IF(NOT(ISNUMBER(F47)),"",INDEX(Noten,MAX(1,MIN(COUNT(NGrenze),COUNT(NGrenze)+1-COUNTIF(NGrenze,"&lt;="&amp;F47))))&amp;" – "&amp;INDEX(NText,MAX(1,MIN(COUNT(NGrenze),COUNT(NGrenze)+1-COUNTIF(NGrenze,"&lt;="&amp;F47)))))</f>
        <v/>
      </c>
      <c r="H47" s="24">
        <f>IF(Daten!$B$2340=0,"",INDEX(Daten!$C$2229:$J$2328,Daten!$B$2340,4))</f>
        <v/>
      </c>
      <c r="I47" s="25">
        <f>IF(NOT(ISNUMBER(H47)),"",INDEX(Noten,MAX(1,MIN(COUNT(NGrenze),COUNT(NGrenze)+1-COUNTIF(NGrenze,"&lt;="&amp;H47))))&amp;" – "&amp;INDEX(NText,MAX(1,MIN(COUNT(NGrenze),COUNT(NGrenze)+1-COUNTIF(NGrenze,"&lt;="&amp;H47)))))</f>
        <v/>
      </c>
      <c r="J47" s="59">
        <f>IF(OR(Daten!$B$2340=0,C47=""),"",IF(C47=0,"keine Bewertung in diesem Halbjahr",IF(C47&lt;SchwelleDB,"wenig Datenbasis ("&amp;C47&amp;" Übung"&amp;IF(C47=1,"","en")&amp;")","")))</f>
        <v/>
      </c>
    </row>
    <row r="48" ht="22" customHeight="1">
      <c r="A48" s="58" t="n">
        <v>5</v>
      </c>
      <c r="B48" s="57">
        <f>"Monat "&amp;(5-1)*6+1&amp;" bis "&amp;5*6</f>
        <v/>
      </c>
      <c r="C48" s="23">
        <f>IF(Daten!$B$2340=0,"",INDEX(Daten!$C$1704:$J$1803,Daten!$B$2340,5))</f>
        <v/>
      </c>
      <c r="D48" s="24">
        <f>IF(Daten!$B$2340=0,"",INDEX(Daten!$C$2019:$J$2118,Daten!$B$2340,5))</f>
        <v/>
      </c>
      <c r="E48" s="25">
        <f>IF(NOT(ISNUMBER(D48)),"",INDEX(Noten,MAX(1,MIN(COUNT(NGrenze),COUNT(NGrenze)+1-COUNTIF(NGrenze,"&lt;="&amp;D48))))&amp;" – "&amp;INDEX(NText,MAX(1,MIN(COUNT(NGrenze),COUNT(NGrenze)+1-COUNTIF(NGrenze,"&lt;="&amp;D48)))))</f>
        <v/>
      </c>
      <c r="F48" s="24">
        <f>IF(Daten!$B$2340=0,"",INDEX(Daten!$C$2124:$J$2223,Daten!$B$2340,5))</f>
        <v/>
      </c>
      <c r="G48" s="25">
        <f>IF(NOT(ISNUMBER(F48)),"",INDEX(Noten,MAX(1,MIN(COUNT(NGrenze),COUNT(NGrenze)+1-COUNTIF(NGrenze,"&lt;="&amp;F48))))&amp;" – "&amp;INDEX(NText,MAX(1,MIN(COUNT(NGrenze),COUNT(NGrenze)+1-COUNTIF(NGrenze,"&lt;="&amp;F48)))))</f>
        <v/>
      </c>
      <c r="H48" s="24">
        <f>IF(Daten!$B$2340=0,"",INDEX(Daten!$C$2229:$J$2328,Daten!$B$2340,5))</f>
        <v/>
      </c>
      <c r="I48" s="25">
        <f>IF(NOT(ISNUMBER(H48)),"",INDEX(Noten,MAX(1,MIN(COUNT(NGrenze),COUNT(NGrenze)+1-COUNTIF(NGrenze,"&lt;="&amp;H48))))&amp;" – "&amp;INDEX(NText,MAX(1,MIN(COUNT(NGrenze),COUNT(NGrenze)+1-COUNTIF(NGrenze,"&lt;="&amp;H48)))))</f>
        <v/>
      </c>
      <c r="J48" s="59">
        <f>IF(OR(Daten!$B$2340=0,C48=""),"",IF(C48=0,"keine Bewertung in diesem Halbjahr",IF(C48&lt;SchwelleDB,"wenig Datenbasis ("&amp;C48&amp;" Übung"&amp;IF(C48=1,"","en")&amp;")","")))</f>
        <v/>
      </c>
    </row>
    <row r="49" ht="22" customHeight="1">
      <c r="A49" s="58" t="n">
        <v>6</v>
      </c>
      <c r="B49" s="57">
        <f>"Monat "&amp;(6-1)*6+1&amp;" bis "&amp;6*6</f>
        <v/>
      </c>
      <c r="C49" s="23">
        <f>IF(Daten!$B$2340=0,"",INDEX(Daten!$C$1704:$J$1803,Daten!$B$2340,6))</f>
        <v/>
      </c>
      <c r="D49" s="24">
        <f>IF(Daten!$B$2340=0,"",INDEX(Daten!$C$2019:$J$2118,Daten!$B$2340,6))</f>
        <v/>
      </c>
      <c r="E49" s="25">
        <f>IF(NOT(ISNUMBER(D49)),"",INDEX(Noten,MAX(1,MIN(COUNT(NGrenze),COUNT(NGrenze)+1-COUNTIF(NGrenze,"&lt;="&amp;D49))))&amp;" – "&amp;INDEX(NText,MAX(1,MIN(COUNT(NGrenze),COUNT(NGrenze)+1-COUNTIF(NGrenze,"&lt;="&amp;D49)))))</f>
        <v/>
      </c>
      <c r="F49" s="24">
        <f>IF(Daten!$B$2340=0,"",INDEX(Daten!$C$2124:$J$2223,Daten!$B$2340,6))</f>
        <v/>
      </c>
      <c r="G49" s="25">
        <f>IF(NOT(ISNUMBER(F49)),"",INDEX(Noten,MAX(1,MIN(COUNT(NGrenze),COUNT(NGrenze)+1-COUNTIF(NGrenze,"&lt;="&amp;F49))))&amp;" – "&amp;INDEX(NText,MAX(1,MIN(COUNT(NGrenze),COUNT(NGrenze)+1-COUNTIF(NGrenze,"&lt;="&amp;F49)))))</f>
        <v/>
      </c>
      <c r="H49" s="24">
        <f>IF(Daten!$B$2340=0,"",INDEX(Daten!$C$2229:$J$2328,Daten!$B$2340,6))</f>
        <v/>
      </c>
      <c r="I49" s="25">
        <f>IF(NOT(ISNUMBER(H49)),"",INDEX(Noten,MAX(1,MIN(COUNT(NGrenze),COUNT(NGrenze)+1-COUNTIF(NGrenze,"&lt;="&amp;H49))))&amp;" – "&amp;INDEX(NText,MAX(1,MIN(COUNT(NGrenze),COUNT(NGrenze)+1-COUNTIF(NGrenze,"&lt;="&amp;H49)))))</f>
        <v/>
      </c>
      <c r="J49" s="59">
        <f>IF(OR(Daten!$B$2340=0,C49=""),"",IF(C49=0,"keine Bewertung in diesem Halbjahr",IF(C49&lt;SchwelleDB,"wenig Datenbasis ("&amp;C49&amp;" Übung"&amp;IF(C49=1,"","en")&amp;")","")))</f>
        <v/>
      </c>
    </row>
    <row r="50" ht="22" customHeight="1">
      <c r="A50" s="58" t="n">
        <v>7</v>
      </c>
      <c r="B50" s="57">
        <f>"Monat "&amp;(7-1)*6+1&amp;" bis "&amp;7*6</f>
        <v/>
      </c>
      <c r="C50" s="23">
        <f>IF(Daten!$B$2340=0,"",INDEX(Daten!$C$1704:$J$1803,Daten!$B$2340,7))</f>
        <v/>
      </c>
      <c r="D50" s="24">
        <f>IF(Daten!$B$2340=0,"",INDEX(Daten!$C$2019:$J$2118,Daten!$B$2340,7))</f>
        <v/>
      </c>
      <c r="E50" s="25">
        <f>IF(NOT(ISNUMBER(D50)),"",INDEX(Noten,MAX(1,MIN(COUNT(NGrenze),COUNT(NGrenze)+1-COUNTIF(NGrenze,"&lt;="&amp;D50))))&amp;" – "&amp;INDEX(NText,MAX(1,MIN(COUNT(NGrenze),COUNT(NGrenze)+1-COUNTIF(NGrenze,"&lt;="&amp;D50)))))</f>
        <v/>
      </c>
      <c r="F50" s="24">
        <f>IF(Daten!$B$2340=0,"",INDEX(Daten!$C$2124:$J$2223,Daten!$B$2340,7))</f>
        <v/>
      </c>
      <c r="G50" s="25">
        <f>IF(NOT(ISNUMBER(F50)),"",INDEX(Noten,MAX(1,MIN(COUNT(NGrenze),COUNT(NGrenze)+1-COUNTIF(NGrenze,"&lt;="&amp;F50))))&amp;" – "&amp;INDEX(NText,MAX(1,MIN(COUNT(NGrenze),COUNT(NGrenze)+1-COUNTIF(NGrenze,"&lt;="&amp;F50)))))</f>
        <v/>
      </c>
      <c r="H50" s="24">
        <f>IF(Daten!$B$2340=0,"",INDEX(Daten!$C$2229:$J$2328,Daten!$B$2340,7))</f>
        <v/>
      </c>
      <c r="I50" s="25">
        <f>IF(NOT(ISNUMBER(H50)),"",INDEX(Noten,MAX(1,MIN(COUNT(NGrenze),COUNT(NGrenze)+1-COUNTIF(NGrenze,"&lt;="&amp;H50))))&amp;" – "&amp;INDEX(NText,MAX(1,MIN(COUNT(NGrenze),COUNT(NGrenze)+1-COUNTIF(NGrenze,"&lt;="&amp;H50)))))</f>
        <v/>
      </c>
      <c r="J50" s="59">
        <f>IF(OR(Daten!$B$2340=0,C50=""),"",IF(C50=0,"keine Bewertung in diesem Halbjahr",IF(C50&lt;SchwelleDB,"wenig Datenbasis ("&amp;C50&amp;" Übung"&amp;IF(C50=1,"","en")&amp;")","")))</f>
        <v/>
      </c>
    </row>
    <row r="51" ht="22" customHeight="1">
      <c r="A51" s="58" t="n">
        <v>8</v>
      </c>
      <c r="B51" s="57">
        <f>"Monat "&amp;(8-1)*6+1&amp;" bis "&amp;8*6</f>
        <v/>
      </c>
      <c r="C51" s="23">
        <f>IF(Daten!$B$2340=0,"",INDEX(Daten!$C$1704:$J$1803,Daten!$B$2340,8))</f>
        <v/>
      </c>
      <c r="D51" s="24">
        <f>IF(Daten!$B$2340=0,"",INDEX(Daten!$C$2019:$J$2118,Daten!$B$2340,8))</f>
        <v/>
      </c>
      <c r="E51" s="25">
        <f>IF(NOT(ISNUMBER(D51)),"",INDEX(Noten,MAX(1,MIN(COUNT(NGrenze),COUNT(NGrenze)+1-COUNTIF(NGrenze,"&lt;="&amp;D51))))&amp;" – "&amp;INDEX(NText,MAX(1,MIN(COUNT(NGrenze),COUNT(NGrenze)+1-COUNTIF(NGrenze,"&lt;="&amp;D51)))))</f>
        <v/>
      </c>
      <c r="F51" s="24">
        <f>IF(Daten!$B$2340=0,"",INDEX(Daten!$C$2124:$J$2223,Daten!$B$2340,8))</f>
        <v/>
      </c>
      <c r="G51" s="25">
        <f>IF(NOT(ISNUMBER(F51)),"",INDEX(Noten,MAX(1,MIN(COUNT(NGrenze),COUNT(NGrenze)+1-COUNTIF(NGrenze,"&lt;="&amp;F51))))&amp;" – "&amp;INDEX(NText,MAX(1,MIN(COUNT(NGrenze),COUNT(NGrenze)+1-COUNTIF(NGrenze,"&lt;="&amp;F51)))))</f>
        <v/>
      </c>
      <c r="H51" s="24">
        <f>IF(Daten!$B$2340=0,"",INDEX(Daten!$C$2229:$J$2328,Daten!$B$2340,8))</f>
        <v/>
      </c>
      <c r="I51" s="25">
        <f>IF(NOT(ISNUMBER(H51)),"",INDEX(Noten,MAX(1,MIN(COUNT(NGrenze),COUNT(NGrenze)+1-COUNTIF(NGrenze,"&lt;="&amp;H51))))&amp;" – "&amp;INDEX(NText,MAX(1,MIN(COUNT(NGrenze),COUNT(NGrenze)+1-COUNTIF(NGrenze,"&lt;="&amp;H51)))))</f>
        <v/>
      </c>
      <c r="J51" s="59">
        <f>IF(OR(Daten!$B$2340=0,C51=""),"",IF(C51=0,"keine Bewertung in diesem Halbjahr",IF(C51&lt;SchwelleDB,"wenig Datenbasis ("&amp;C51&amp;" Übung"&amp;IF(C51=1,"","en")&amp;")","")))</f>
        <v/>
      </c>
    </row>
    <row r="52" ht="10" customHeight="1"/>
    <row r="53" ht="22" customHeight="1">
      <c r="A53" s="36" t="inlineStr">
        <is>
          <t>Das Halbjahr zählt ab dem Ausbildungsstart des Azubis, nicht ab Kalenderjahr. Übungen, bei denen der Azubi nicht bewertet wurde, fehlen hier bewusst – sie werden weder als 0 Punkte noch im Durchschnitt mitgerechnet. Wiederholungen zählen nach der Regel im Übungsblatt (Standard: die letzte Wertung). Übungen mit Status „laufend“ sind Zwischenstände und zählen erst, wenn der Status auf „abgeschlossen“ steht.</t>
        </is>
      </c>
      <c r="B53" s="37" t="n"/>
      <c r="C53" s="37" t="n"/>
      <c r="D53" s="37" t="n"/>
      <c r="E53" s="37" t="n"/>
      <c r="F53" s="37" t="n"/>
      <c r="G53" s="37" t="n"/>
      <c r="H53" s="37" t="n"/>
      <c r="I53" s="37" t="n"/>
      <c r="J53" s="37" t="n"/>
      <c r="K53" s="37" t="n"/>
      <c r="L53" s="37" t="n"/>
      <c r="M53" s="10" t="n"/>
    </row>
    <row r="54" ht="22" customHeight="1">
      <c r="A54" s="38" t="n"/>
      <c r="B54" s="39" t="n"/>
      <c r="C54" s="39" t="n"/>
      <c r="D54" s="39" t="n"/>
      <c r="E54" s="39" t="n"/>
      <c r="F54" s="39" t="n"/>
      <c r="G54" s="39" t="n"/>
      <c r="H54" s="39" t="n"/>
      <c r="I54" s="39" t="n"/>
      <c r="J54" s="39" t="n"/>
      <c r="K54" s="39" t="n"/>
      <c r="L54" s="39" t="n"/>
      <c r="M54" s="14" t="n"/>
    </row>
    <row r="55" ht="10" customHeight="1"/>
    <row r="56" ht="28" customHeight="1">
      <c r="A56" s="15" t="inlineStr">
        <is>
          <t xml:space="preserve"> Verlauf der Prozentwerte</t>
        </is>
      </c>
    </row>
    <row r="78">
      <c r="A78" s="60" t="inlineStr">
        <is>
          <t>Datenquelle für das Diagramm – bitte stehen lassen.</t>
        </is>
      </c>
    </row>
    <row r="80">
      <c r="A80" s="61" t="inlineStr">
        <is>
          <t>Nr.</t>
        </is>
      </c>
      <c r="B80" s="61" t="inlineStr">
        <is>
          <t>Übung</t>
        </is>
      </c>
      <c r="C80" s="61" t="inlineStr">
        <is>
          <t>Azubi</t>
        </is>
      </c>
      <c r="D80" s="61" t="inlineStr">
        <is>
          <t>Jahrgangsdurchschnitt</t>
        </is>
      </c>
    </row>
    <row r="81">
      <c r="A81" s="62">
        <f>IFERROR(SMALL(Daten!$C$2337:$V$2337,1),"")</f>
        <v/>
      </c>
      <c r="B81" s="63">
        <f>IF($A81="","",INDEX(Daten!$C$4:$V$4,$A81))</f>
        <v/>
      </c>
      <c r="C81" s="64">
        <f>IF($A81="",NA(),INDEX(Daten!$C$20:$V$119,Daten!$B$2340,$A81))</f>
        <v/>
      </c>
      <c r="D81" s="64">
        <f>IF($A81="",NA(),IF(SUMPRODUCT(INDEX(Daten!$C$1385:$V$1484,0,$A81),(Daten!$B$20:$B$119=Daten!$B$2338)*1)=0,NA(),SUMPRODUCT(INDEX(Daten!$C$1385:$V$1484,0,$A81),INDEX(Daten!$C$20:$V$119,0,$A81),(Daten!$B$20:$B$119=Daten!$B$2338)*1)/SUMPRODUCT(INDEX(Daten!$C$1385:$V$1484,0,$A81),(Daten!$B$20:$B$119=Daten!$B$2338)*1)))</f>
        <v/>
      </c>
    </row>
    <row r="82">
      <c r="A82" s="62">
        <f>IFERROR(SMALL(Daten!$C$2337:$V$2337,2),"")</f>
        <v/>
      </c>
      <c r="B82" s="63">
        <f>IF($A82="","",INDEX(Daten!$C$4:$V$4,$A82))</f>
        <v/>
      </c>
      <c r="C82" s="64">
        <f>IF($A82="",NA(),INDEX(Daten!$C$20:$V$119,Daten!$B$2340,$A82))</f>
        <v/>
      </c>
      <c r="D82" s="64">
        <f>IF($A82="",NA(),IF(SUMPRODUCT(INDEX(Daten!$C$1385:$V$1484,0,$A82),(Daten!$B$20:$B$119=Daten!$B$2338)*1)=0,NA(),SUMPRODUCT(INDEX(Daten!$C$1385:$V$1484,0,$A82),INDEX(Daten!$C$20:$V$119,0,$A82),(Daten!$B$20:$B$119=Daten!$B$2338)*1)/SUMPRODUCT(INDEX(Daten!$C$1385:$V$1484,0,$A82),(Daten!$B$20:$B$119=Daten!$B$2338)*1)))</f>
        <v/>
      </c>
    </row>
    <row r="83">
      <c r="A83" s="62">
        <f>IFERROR(SMALL(Daten!$C$2337:$V$2337,3),"")</f>
        <v/>
      </c>
      <c r="B83" s="63">
        <f>IF($A83="","",INDEX(Daten!$C$4:$V$4,$A83))</f>
        <v/>
      </c>
      <c r="C83" s="64">
        <f>IF($A83="",NA(),INDEX(Daten!$C$20:$V$119,Daten!$B$2340,$A83))</f>
        <v/>
      </c>
      <c r="D83" s="64">
        <f>IF($A83="",NA(),IF(SUMPRODUCT(INDEX(Daten!$C$1385:$V$1484,0,$A83),(Daten!$B$20:$B$119=Daten!$B$2338)*1)=0,NA(),SUMPRODUCT(INDEX(Daten!$C$1385:$V$1484,0,$A83),INDEX(Daten!$C$20:$V$119,0,$A83),(Daten!$B$20:$B$119=Daten!$B$2338)*1)/SUMPRODUCT(INDEX(Daten!$C$1385:$V$1484,0,$A83),(Daten!$B$20:$B$119=Daten!$B$2338)*1)))</f>
        <v/>
      </c>
    </row>
    <row r="84">
      <c r="A84" s="62">
        <f>IFERROR(SMALL(Daten!$C$2337:$V$2337,4),"")</f>
        <v/>
      </c>
      <c r="B84" s="63">
        <f>IF($A84="","",INDEX(Daten!$C$4:$V$4,$A84))</f>
        <v/>
      </c>
      <c r="C84" s="64">
        <f>IF($A84="",NA(),INDEX(Daten!$C$20:$V$119,Daten!$B$2340,$A84))</f>
        <v/>
      </c>
      <c r="D84" s="64">
        <f>IF($A84="",NA(),IF(SUMPRODUCT(INDEX(Daten!$C$1385:$V$1484,0,$A84),(Daten!$B$20:$B$119=Daten!$B$2338)*1)=0,NA(),SUMPRODUCT(INDEX(Daten!$C$1385:$V$1484,0,$A84),INDEX(Daten!$C$20:$V$119,0,$A84),(Daten!$B$20:$B$119=Daten!$B$2338)*1)/SUMPRODUCT(INDEX(Daten!$C$1385:$V$1484,0,$A84),(Daten!$B$20:$B$119=Daten!$B$2338)*1)))</f>
        <v/>
      </c>
    </row>
    <row r="85">
      <c r="A85" s="62">
        <f>IFERROR(SMALL(Daten!$C$2337:$V$2337,5),"")</f>
        <v/>
      </c>
      <c r="B85" s="63">
        <f>IF($A85="","",INDEX(Daten!$C$4:$V$4,$A85))</f>
        <v/>
      </c>
      <c r="C85" s="64">
        <f>IF($A85="",NA(),INDEX(Daten!$C$20:$V$119,Daten!$B$2340,$A85))</f>
        <v/>
      </c>
      <c r="D85" s="64">
        <f>IF($A85="",NA(),IF(SUMPRODUCT(INDEX(Daten!$C$1385:$V$1484,0,$A85),(Daten!$B$20:$B$119=Daten!$B$2338)*1)=0,NA(),SUMPRODUCT(INDEX(Daten!$C$1385:$V$1484,0,$A85),INDEX(Daten!$C$20:$V$119,0,$A85),(Daten!$B$20:$B$119=Daten!$B$2338)*1)/SUMPRODUCT(INDEX(Daten!$C$1385:$V$1484,0,$A85),(Daten!$B$20:$B$119=Daten!$B$2338)*1)))</f>
        <v/>
      </c>
    </row>
    <row r="86">
      <c r="A86" s="62">
        <f>IFERROR(SMALL(Daten!$C$2337:$V$2337,6),"")</f>
        <v/>
      </c>
      <c r="B86" s="63">
        <f>IF($A86="","",INDEX(Daten!$C$4:$V$4,$A86))</f>
        <v/>
      </c>
      <c r="C86" s="64">
        <f>IF($A86="",NA(),INDEX(Daten!$C$20:$V$119,Daten!$B$2340,$A86))</f>
        <v/>
      </c>
      <c r="D86" s="64">
        <f>IF($A86="",NA(),IF(SUMPRODUCT(INDEX(Daten!$C$1385:$V$1484,0,$A86),(Daten!$B$20:$B$119=Daten!$B$2338)*1)=0,NA(),SUMPRODUCT(INDEX(Daten!$C$1385:$V$1484,0,$A86),INDEX(Daten!$C$20:$V$119,0,$A86),(Daten!$B$20:$B$119=Daten!$B$2338)*1)/SUMPRODUCT(INDEX(Daten!$C$1385:$V$1484,0,$A86),(Daten!$B$20:$B$119=Daten!$B$2338)*1)))</f>
        <v/>
      </c>
    </row>
    <row r="87">
      <c r="A87" s="62">
        <f>IFERROR(SMALL(Daten!$C$2337:$V$2337,7),"")</f>
        <v/>
      </c>
      <c r="B87" s="63">
        <f>IF($A87="","",INDEX(Daten!$C$4:$V$4,$A87))</f>
        <v/>
      </c>
      <c r="C87" s="64">
        <f>IF($A87="",NA(),INDEX(Daten!$C$20:$V$119,Daten!$B$2340,$A87))</f>
        <v/>
      </c>
      <c r="D87" s="64">
        <f>IF($A87="",NA(),IF(SUMPRODUCT(INDEX(Daten!$C$1385:$V$1484,0,$A87),(Daten!$B$20:$B$119=Daten!$B$2338)*1)=0,NA(),SUMPRODUCT(INDEX(Daten!$C$1385:$V$1484,0,$A87),INDEX(Daten!$C$20:$V$119,0,$A87),(Daten!$B$20:$B$119=Daten!$B$2338)*1)/SUMPRODUCT(INDEX(Daten!$C$1385:$V$1484,0,$A87),(Daten!$B$20:$B$119=Daten!$B$2338)*1)))</f>
        <v/>
      </c>
    </row>
    <row r="88">
      <c r="A88" s="62">
        <f>IFERROR(SMALL(Daten!$C$2337:$V$2337,8),"")</f>
        <v/>
      </c>
      <c r="B88" s="63">
        <f>IF($A88="","",INDEX(Daten!$C$4:$V$4,$A88))</f>
        <v/>
      </c>
      <c r="C88" s="64">
        <f>IF($A88="",NA(),INDEX(Daten!$C$20:$V$119,Daten!$B$2340,$A88))</f>
        <v/>
      </c>
      <c r="D88" s="64">
        <f>IF($A88="",NA(),IF(SUMPRODUCT(INDEX(Daten!$C$1385:$V$1484,0,$A88),(Daten!$B$20:$B$119=Daten!$B$2338)*1)=0,NA(),SUMPRODUCT(INDEX(Daten!$C$1385:$V$1484,0,$A88),INDEX(Daten!$C$20:$V$119,0,$A88),(Daten!$B$20:$B$119=Daten!$B$2338)*1)/SUMPRODUCT(INDEX(Daten!$C$1385:$V$1484,0,$A88),(Daten!$B$20:$B$119=Daten!$B$2338)*1)))</f>
        <v/>
      </c>
    </row>
    <row r="89">
      <c r="A89" s="62">
        <f>IFERROR(SMALL(Daten!$C$2337:$V$2337,9),"")</f>
        <v/>
      </c>
      <c r="B89" s="63">
        <f>IF($A89="","",INDEX(Daten!$C$4:$V$4,$A89))</f>
        <v/>
      </c>
      <c r="C89" s="64">
        <f>IF($A89="",NA(),INDEX(Daten!$C$20:$V$119,Daten!$B$2340,$A89))</f>
        <v/>
      </c>
      <c r="D89" s="64">
        <f>IF($A89="",NA(),IF(SUMPRODUCT(INDEX(Daten!$C$1385:$V$1484,0,$A89),(Daten!$B$20:$B$119=Daten!$B$2338)*1)=0,NA(),SUMPRODUCT(INDEX(Daten!$C$1385:$V$1484,0,$A89),INDEX(Daten!$C$20:$V$119,0,$A89),(Daten!$B$20:$B$119=Daten!$B$2338)*1)/SUMPRODUCT(INDEX(Daten!$C$1385:$V$1484,0,$A89),(Daten!$B$20:$B$119=Daten!$B$2338)*1)))</f>
        <v/>
      </c>
    </row>
    <row r="90">
      <c r="A90" s="62">
        <f>IFERROR(SMALL(Daten!$C$2337:$V$2337,10),"")</f>
        <v/>
      </c>
      <c r="B90" s="63">
        <f>IF($A90="","",INDEX(Daten!$C$4:$V$4,$A90))</f>
        <v/>
      </c>
      <c r="C90" s="64">
        <f>IF($A90="",NA(),INDEX(Daten!$C$20:$V$119,Daten!$B$2340,$A90))</f>
        <v/>
      </c>
      <c r="D90" s="64">
        <f>IF($A90="",NA(),IF(SUMPRODUCT(INDEX(Daten!$C$1385:$V$1484,0,$A90),(Daten!$B$20:$B$119=Daten!$B$2338)*1)=0,NA(),SUMPRODUCT(INDEX(Daten!$C$1385:$V$1484,0,$A90),INDEX(Daten!$C$20:$V$119,0,$A90),(Daten!$B$20:$B$119=Daten!$B$2338)*1)/SUMPRODUCT(INDEX(Daten!$C$1385:$V$1484,0,$A90),(Daten!$B$20:$B$119=Daten!$B$2338)*1)))</f>
        <v/>
      </c>
    </row>
    <row r="91">
      <c r="A91" s="62">
        <f>IFERROR(SMALL(Daten!$C$2337:$V$2337,11),"")</f>
        <v/>
      </c>
      <c r="B91" s="63">
        <f>IF($A91="","",INDEX(Daten!$C$4:$V$4,$A91))</f>
        <v/>
      </c>
      <c r="C91" s="64">
        <f>IF($A91="",NA(),INDEX(Daten!$C$20:$V$119,Daten!$B$2340,$A91))</f>
        <v/>
      </c>
      <c r="D91" s="64">
        <f>IF($A91="",NA(),IF(SUMPRODUCT(INDEX(Daten!$C$1385:$V$1484,0,$A91),(Daten!$B$20:$B$119=Daten!$B$2338)*1)=0,NA(),SUMPRODUCT(INDEX(Daten!$C$1385:$V$1484,0,$A91),INDEX(Daten!$C$20:$V$119,0,$A91),(Daten!$B$20:$B$119=Daten!$B$2338)*1)/SUMPRODUCT(INDEX(Daten!$C$1385:$V$1484,0,$A91),(Daten!$B$20:$B$119=Daten!$B$2338)*1)))</f>
        <v/>
      </c>
    </row>
    <row r="92">
      <c r="A92" s="62">
        <f>IFERROR(SMALL(Daten!$C$2337:$V$2337,12),"")</f>
        <v/>
      </c>
      <c r="B92" s="63">
        <f>IF($A92="","",INDEX(Daten!$C$4:$V$4,$A92))</f>
        <v/>
      </c>
      <c r="C92" s="64">
        <f>IF($A92="",NA(),INDEX(Daten!$C$20:$V$119,Daten!$B$2340,$A92))</f>
        <v/>
      </c>
      <c r="D92" s="64">
        <f>IF($A92="",NA(),IF(SUMPRODUCT(INDEX(Daten!$C$1385:$V$1484,0,$A92),(Daten!$B$20:$B$119=Daten!$B$2338)*1)=0,NA(),SUMPRODUCT(INDEX(Daten!$C$1385:$V$1484,0,$A92),INDEX(Daten!$C$20:$V$119,0,$A92),(Daten!$B$20:$B$119=Daten!$B$2338)*1)/SUMPRODUCT(INDEX(Daten!$C$1385:$V$1484,0,$A92),(Daten!$B$20:$B$119=Daten!$B$2338)*1)))</f>
        <v/>
      </c>
    </row>
    <row r="93">
      <c r="A93" s="62">
        <f>IFERROR(SMALL(Daten!$C$2337:$V$2337,13),"")</f>
        <v/>
      </c>
      <c r="B93" s="63">
        <f>IF($A93="","",INDEX(Daten!$C$4:$V$4,$A93))</f>
        <v/>
      </c>
      <c r="C93" s="64">
        <f>IF($A93="",NA(),INDEX(Daten!$C$20:$V$119,Daten!$B$2340,$A93))</f>
        <v/>
      </c>
      <c r="D93" s="64">
        <f>IF($A93="",NA(),IF(SUMPRODUCT(INDEX(Daten!$C$1385:$V$1484,0,$A93),(Daten!$B$20:$B$119=Daten!$B$2338)*1)=0,NA(),SUMPRODUCT(INDEX(Daten!$C$1385:$V$1484,0,$A93),INDEX(Daten!$C$20:$V$119,0,$A93),(Daten!$B$20:$B$119=Daten!$B$2338)*1)/SUMPRODUCT(INDEX(Daten!$C$1385:$V$1484,0,$A93),(Daten!$B$20:$B$119=Daten!$B$2338)*1)))</f>
        <v/>
      </c>
    </row>
    <row r="94">
      <c r="A94" s="62">
        <f>IFERROR(SMALL(Daten!$C$2337:$V$2337,14),"")</f>
        <v/>
      </c>
      <c r="B94" s="63">
        <f>IF($A94="","",INDEX(Daten!$C$4:$V$4,$A94))</f>
        <v/>
      </c>
      <c r="C94" s="64">
        <f>IF($A94="",NA(),INDEX(Daten!$C$20:$V$119,Daten!$B$2340,$A94))</f>
        <v/>
      </c>
      <c r="D94" s="64">
        <f>IF($A94="",NA(),IF(SUMPRODUCT(INDEX(Daten!$C$1385:$V$1484,0,$A94),(Daten!$B$20:$B$119=Daten!$B$2338)*1)=0,NA(),SUMPRODUCT(INDEX(Daten!$C$1385:$V$1484,0,$A94),INDEX(Daten!$C$20:$V$119,0,$A94),(Daten!$B$20:$B$119=Daten!$B$2338)*1)/SUMPRODUCT(INDEX(Daten!$C$1385:$V$1484,0,$A94),(Daten!$B$20:$B$119=Daten!$B$2338)*1)))</f>
        <v/>
      </c>
    </row>
    <row r="95">
      <c r="A95" s="62">
        <f>IFERROR(SMALL(Daten!$C$2337:$V$2337,15),"")</f>
        <v/>
      </c>
      <c r="B95" s="63">
        <f>IF($A95="","",INDEX(Daten!$C$4:$V$4,$A95))</f>
        <v/>
      </c>
      <c r="C95" s="64">
        <f>IF($A95="",NA(),INDEX(Daten!$C$20:$V$119,Daten!$B$2340,$A95))</f>
        <v/>
      </c>
      <c r="D95" s="64">
        <f>IF($A95="",NA(),IF(SUMPRODUCT(INDEX(Daten!$C$1385:$V$1484,0,$A95),(Daten!$B$20:$B$119=Daten!$B$2338)*1)=0,NA(),SUMPRODUCT(INDEX(Daten!$C$1385:$V$1484,0,$A95),INDEX(Daten!$C$20:$V$119,0,$A95),(Daten!$B$20:$B$119=Daten!$B$2338)*1)/SUMPRODUCT(INDEX(Daten!$C$1385:$V$1484,0,$A95),(Daten!$B$20:$B$119=Daten!$B$2338)*1)))</f>
        <v/>
      </c>
    </row>
    <row r="96">
      <c r="A96" s="62">
        <f>IFERROR(SMALL(Daten!$C$2337:$V$2337,16),"")</f>
        <v/>
      </c>
      <c r="B96" s="63">
        <f>IF($A96="","",INDEX(Daten!$C$4:$V$4,$A96))</f>
        <v/>
      </c>
      <c r="C96" s="64">
        <f>IF($A96="",NA(),INDEX(Daten!$C$20:$V$119,Daten!$B$2340,$A96))</f>
        <v/>
      </c>
      <c r="D96" s="64">
        <f>IF($A96="",NA(),IF(SUMPRODUCT(INDEX(Daten!$C$1385:$V$1484,0,$A96),(Daten!$B$20:$B$119=Daten!$B$2338)*1)=0,NA(),SUMPRODUCT(INDEX(Daten!$C$1385:$V$1484,0,$A96),INDEX(Daten!$C$20:$V$119,0,$A96),(Daten!$B$20:$B$119=Daten!$B$2338)*1)/SUMPRODUCT(INDEX(Daten!$C$1385:$V$1484,0,$A96),(Daten!$B$20:$B$119=Daten!$B$2338)*1)))</f>
        <v/>
      </c>
    </row>
    <row r="97">
      <c r="A97" s="62">
        <f>IFERROR(SMALL(Daten!$C$2337:$V$2337,17),"")</f>
        <v/>
      </c>
      <c r="B97" s="63">
        <f>IF($A97="","",INDEX(Daten!$C$4:$V$4,$A97))</f>
        <v/>
      </c>
      <c r="C97" s="64">
        <f>IF($A97="",NA(),INDEX(Daten!$C$20:$V$119,Daten!$B$2340,$A97))</f>
        <v/>
      </c>
      <c r="D97" s="64">
        <f>IF($A97="",NA(),IF(SUMPRODUCT(INDEX(Daten!$C$1385:$V$1484,0,$A97),(Daten!$B$20:$B$119=Daten!$B$2338)*1)=0,NA(),SUMPRODUCT(INDEX(Daten!$C$1385:$V$1484,0,$A97),INDEX(Daten!$C$20:$V$119,0,$A97),(Daten!$B$20:$B$119=Daten!$B$2338)*1)/SUMPRODUCT(INDEX(Daten!$C$1385:$V$1484,0,$A97),(Daten!$B$20:$B$119=Daten!$B$2338)*1)))</f>
        <v/>
      </c>
    </row>
    <row r="98">
      <c r="A98" s="62">
        <f>IFERROR(SMALL(Daten!$C$2337:$V$2337,18),"")</f>
        <v/>
      </c>
      <c r="B98" s="63">
        <f>IF($A98="","",INDEX(Daten!$C$4:$V$4,$A98))</f>
        <v/>
      </c>
      <c r="C98" s="64">
        <f>IF($A98="",NA(),INDEX(Daten!$C$20:$V$119,Daten!$B$2340,$A98))</f>
        <v/>
      </c>
      <c r="D98" s="64">
        <f>IF($A98="",NA(),IF(SUMPRODUCT(INDEX(Daten!$C$1385:$V$1484,0,$A98),(Daten!$B$20:$B$119=Daten!$B$2338)*1)=0,NA(),SUMPRODUCT(INDEX(Daten!$C$1385:$V$1484,0,$A98),INDEX(Daten!$C$20:$V$119,0,$A98),(Daten!$B$20:$B$119=Daten!$B$2338)*1)/SUMPRODUCT(INDEX(Daten!$C$1385:$V$1484,0,$A98),(Daten!$B$20:$B$119=Daten!$B$2338)*1)))</f>
        <v/>
      </c>
    </row>
    <row r="99">
      <c r="A99" s="62">
        <f>IFERROR(SMALL(Daten!$C$2337:$V$2337,19),"")</f>
        <v/>
      </c>
      <c r="B99" s="63">
        <f>IF($A99="","",INDEX(Daten!$C$4:$V$4,$A99))</f>
        <v/>
      </c>
      <c r="C99" s="64">
        <f>IF($A99="",NA(),INDEX(Daten!$C$20:$V$119,Daten!$B$2340,$A99))</f>
        <v/>
      </c>
      <c r="D99" s="64">
        <f>IF($A99="",NA(),IF(SUMPRODUCT(INDEX(Daten!$C$1385:$V$1484,0,$A99),(Daten!$B$20:$B$119=Daten!$B$2338)*1)=0,NA(),SUMPRODUCT(INDEX(Daten!$C$1385:$V$1484,0,$A99),INDEX(Daten!$C$20:$V$119,0,$A99),(Daten!$B$20:$B$119=Daten!$B$2338)*1)/SUMPRODUCT(INDEX(Daten!$C$1385:$V$1484,0,$A99),(Daten!$B$20:$B$119=Daten!$B$2338)*1)))</f>
        <v/>
      </c>
    </row>
    <row r="100">
      <c r="A100" s="62">
        <f>IFERROR(SMALL(Daten!$C$2337:$V$2337,20),"")</f>
        <v/>
      </c>
      <c r="B100" s="63">
        <f>IF($A100="","",INDEX(Daten!$C$4:$V$4,$A100))</f>
        <v/>
      </c>
      <c r="C100" s="64">
        <f>IF($A100="",NA(),INDEX(Daten!$C$20:$V$119,Daten!$B$2340,$A100))</f>
        <v/>
      </c>
      <c r="D100" s="64">
        <f>IF($A100="",NA(),IF(SUMPRODUCT(INDEX(Daten!$C$1385:$V$1484,0,$A100),(Daten!$B$20:$B$119=Daten!$B$2338)*1)=0,NA(),SUMPRODUCT(INDEX(Daten!$C$1385:$V$1484,0,$A100),INDEX(Daten!$C$20:$V$119,0,$A100),(Daten!$B$20:$B$119=Daten!$B$2338)*1)/SUMPRODUCT(INDEX(Daten!$C$1385:$V$1484,0,$A100),(Daten!$B$20:$B$119=Daten!$B$2338)*1)))</f>
        <v/>
      </c>
    </row>
  </sheetData>
  <mergeCells count="46">
    <mergeCell ref="F4:G4"/>
    <mergeCell ref="L7:M7"/>
    <mergeCell ref="I15:M15"/>
    <mergeCell ref="J47:M47"/>
    <mergeCell ref="J43:M43"/>
    <mergeCell ref="J50:M50"/>
    <mergeCell ref="I11:M11"/>
    <mergeCell ref="J46:M46"/>
    <mergeCell ref="H4:I4"/>
    <mergeCell ref="J51:M51"/>
    <mergeCell ref="F7:G7"/>
    <mergeCell ref="A10:M10"/>
    <mergeCell ref="A19:M19"/>
    <mergeCell ref="A2:I2"/>
    <mergeCell ref="A7:B7"/>
    <mergeCell ref="J48:M48"/>
    <mergeCell ref="I16:M16"/>
    <mergeCell ref="C8:E8"/>
    <mergeCell ref="F5:M5"/>
    <mergeCell ref="J44:M44"/>
    <mergeCell ref="C7:E7"/>
    <mergeCell ref="L8:M8"/>
    <mergeCell ref="F8:G8"/>
    <mergeCell ref="I12:M12"/>
    <mergeCell ref="H7:I7"/>
    <mergeCell ref="J7:K7"/>
    <mergeCell ref="A5:B5"/>
    <mergeCell ref="A42:M42"/>
    <mergeCell ref="I14:M14"/>
    <mergeCell ref="A8:B8"/>
    <mergeCell ref="J49:M49"/>
    <mergeCell ref="I17:M17"/>
    <mergeCell ref="A4:B4"/>
    <mergeCell ref="J45:M45"/>
    <mergeCell ref="C5:E5"/>
    <mergeCell ref="A53:M54"/>
    <mergeCell ref="J4:M4"/>
    <mergeCell ref="A56:M56"/>
    <mergeCell ref="A1:I1"/>
    <mergeCell ref="C4:E4"/>
    <mergeCell ref="A3:M3"/>
    <mergeCell ref="I13:M13"/>
    <mergeCell ref="H8:I8"/>
    <mergeCell ref="A78:F78"/>
    <mergeCell ref="J8:K8"/>
    <mergeCell ref="J1:M2"/>
  </mergeCells>
  <conditionalFormatting sqref="H21:I40">
    <cfRule type="expression" priority="1" dxfId="2" stopIfTrue="1">
      <formula>AND(ISNUMBER($H21),$H21&gt;=INDEX(NGrenze,1))</formula>
    </cfRule>
    <cfRule type="expression" priority="2" dxfId="3" stopIfTrue="1">
      <formula>AND(ISNUMBER($H21),$H21&gt;=INDEX(NGrenze,2))</formula>
    </cfRule>
    <cfRule type="expression" priority="3" dxfId="4" stopIfTrue="1">
      <formula>AND(ISNUMBER($H21),$H21&gt;=INDEX(NGrenze,3))</formula>
    </cfRule>
    <cfRule type="expression" priority="4" dxfId="5" stopIfTrue="1">
      <formula>AND(ISNUMBER($H21),$H21&gt;=INDEX(NGrenze,4))</formula>
    </cfRule>
    <cfRule type="expression" priority="5" dxfId="6" stopIfTrue="1">
      <formula>AND(ISNUMBER($H21),$H21&gt;=INDEX(NGrenze,5))</formula>
    </cfRule>
    <cfRule type="expression" priority="6" dxfId="7" stopIfTrue="1">
      <formula>AND(ISNUMBER($H21),$H21&gt;=INDEX(NGrenze,6))</formula>
    </cfRule>
  </conditionalFormatting>
  <conditionalFormatting sqref="A21:L40">
    <cfRule type="expression" priority="7" dxfId="8">
      <formula>INDEX(Daten!$C$5:$V$5,$A21)=0</formula>
    </cfRule>
  </conditionalFormatting>
  <conditionalFormatting sqref="D44:E51">
    <cfRule type="expression" priority="8" dxfId="2" stopIfTrue="1">
      <formula>AND(ISNUMBER($D44),$D44&gt;=INDEX(NGrenze,1))</formula>
    </cfRule>
    <cfRule type="expression" priority="9" dxfId="3" stopIfTrue="1">
      <formula>AND(ISNUMBER($D44),$D44&gt;=INDEX(NGrenze,2))</formula>
    </cfRule>
    <cfRule type="expression" priority="10" dxfId="4" stopIfTrue="1">
      <formula>AND(ISNUMBER($D44),$D44&gt;=INDEX(NGrenze,3))</formula>
    </cfRule>
    <cfRule type="expression" priority="11" dxfId="5" stopIfTrue="1">
      <formula>AND(ISNUMBER($D44),$D44&gt;=INDEX(NGrenze,4))</formula>
    </cfRule>
    <cfRule type="expression" priority="12" dxfId="6" stopIfTrue="1">
      <formula>AND(ISNUMBER($D44),$D44&gt;=INDEX(NGrenze,5))</formula>
    </cfRule>
    <cfRule type="expression" priority="13" dxfId="7" stopIfTrue="1">
      <formula>AND(ISNUMBER($D44),$D44&gt;=INDEX(NGrenze,6))</formula>
    </cfRule>
  </conditionalFormatting>
  <conditionalFormatting sqref="F44:G51">
    <cfRule type="expression" priority="14" dxfId="2" stopIfTrue="1">
      <formula>AND(ISNUMBER($F44),$F44&gt;=INDEX(NGrenze,1))</formula>
    </cfRule>
    <cfRule type="expression" priority="15" dxfId="3" stopIfTrue="1">
      <formula>AND(ISNUMBER($F44),$F44&gt;=INDEX(NGrenze,2))</formula>
    </cfRule>
    <cfRule type="expression" priority="16" dxfId="4" stopIfTrue="1">
      <formula>AND(ISNUMBER($F44),$F44&gt;=INDEX(NGrenze,3))</formula>
    </cfRule>
    <cfRule type="expression" priority="17" dxfId="5" stopIfTrue="1">
      <formula>AND(ISNUMBER($F44),$F44&gt;=INDEX(NGrenze,4))</formula>
    </cfRule>
    <cfRule type="expression" priority="18" dxfId="6" stopIfTrue="1">
      <formula>AND(ISNUMBER($F44),$F44&gt;=INDEX(NGrenze,5))</formula>
    </cfRule>
    <cfRule type="expression" priority="19" dxfId="7" stopIfTrue="1">
      <formula>AND(ISNUMBER($F44),$F44&gt;=INDEX(NGrenze,6))</formula>
    </cfRule>
  </conditionalFormatting>
  <conditionalFormatting sqref="H44:I51">
    <cfRule type="expression" priority="20" dxfId="2" stopIfTrue="1">
      <formula>AND(ISNUMBER($H44),$H44&gt;=INDEX(NGrenze,1))</formula>
    </cfRule>
    <cfRule type="expression" priority="21" dxfId="3" stopIfTrue="1">
      <formula>AND(ISNUMBER($H44),$H44&gt;=INDEX(NGrenze,2))</formula>
    </cfRule>
    <cfRule type="expression" priority="22" dxfId="4" stopIfTrue="1">
      <formula>AND(ISNUMBER($H44),$H44&gt;=INDEX(NGrenze,3))</formula>
    </cfRule>
    <cfRule type="expression" priority="23" dxfId="5" stopIfTrue="1">
      <formula>AND(ISNUMBER($H44),$H44&gt;=INDEX(NGrenze,4))</formula>
    </cfRule>
    <cfRule type="expression" priority="24" dxfId="6" stopIfTrue="1">
      <formula>AND(ISNUMBER($H44),$H44&gt;=INDEX(NGrenze,5))</formula>
    </cfRule>
    <cfRule type="expression" priority="25" dxfId="7" stopIfTrue="1">
      <formula>AND(ISNUMBER($H44),$H44&gt;=INDEX(NGrenze,6))</formula>
    </cfRule>
  </conditionalFormatting>
  <dataValidations count="3">
    <dataValidation sqref="C4" showDropDown="0" showInputMessage="0" showErrorMessage="1" allowBlank="1" errorTitle="Beruf unbekannt" error="Bitte einen Beruf aus der Liste oder „(alle)“ wählen." type="list">
      <formula1>BerufAuswahl</formula1>
    </dataValidation>
    <dataValidation sqref="H4" showDropDown="0" showInputMessage="0" showErrorMessage="1" allowBlank="1" errorTitle="Jahrgang unbekannt" error="Bitte einen Jahrgang aus der Liste oder „(alle)“ wählen." type="list">
      <formula1>JahrAuswahl</formula1>
    </dataValidation>
    <dataValidation sqref="C5" showDropDown="0" showInputMessage="0" showErrorMessage="1" allowBlank="1" errorTitle="Azubi nicht in der Liste" error="Bitte einen Azubi aus der Liste wählen. Steht er nicht darin, Filter oben zurücksetzen oder den Status in den Stammdaten auf „aktiv“ stellen." type="list">
      <formula1>AzubiAuswahl</formula1>
    </dataValidation>
  </dataValidations>
  <hyperlinks>
    <hyperlink ref="J1" location="Start!A1"/>
  </hyperlinks>
  <pageMargins left="0.5" right="0.4" top="0.5" bottom="0.4"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tabColor rgb="000E7C86"/>
    <outlinePr summaryBelow="1" summaryRight="1"/>
    <pageSetUpPr fitToPage="1"/>
  </sheetPr>
  <dimension ref="A1:H50"/>
  <sheetViews>
    <sheetView showGridLines="0" workbookViewId="0">
      <pane ySplit="6" topLeftCell="A7" activePane="bottomLeft" state="frozen"/>
      <selection pane="bottomLeft" activeCell="A1" sqref="A1"/>
    </sheetView>
  </sheetViews>
  <sheetFormatPr baseColWidth="8" defaultRowHeight="15"/>
  <cols>
    <col width="3" customWidth="1" min="1" max="1"/>
    <col width="18" customWidth="1" min="2" max="2"/>
    <col width="16" customWidth="1" min="3" max="3"/>
    <col width="12" customWidth="1" min="4" max="4"/>
    <col width="17" customWidth="1" min="5" max="5"/>
    <col width="13" customWidth="1" min="6" max="6"/>
    <col width="12" customWidth="1" min="7" max="7"/>
    <col width="3" customWidth="1" min="8" max="8"/>
  </cols>
  <sheetData>
    <row r="1" ht="22" customHeight="1">
      <c r="A1" s="65" t="inlineStr">
        <is>
          <t>«  Zurück zur Startseite</t>
        </is>
      </c>
      <c r="E1" s="66" t="inlineStr">
        <is>
          <t>Diese Seite ist für den Ausdruck gedacht: A4 hochkant, eine Seite.</t>
        </is>
      </c>
    </row>
    <row r="2" ht="20" customHeight="1">
      <c r="A2" s="4" t="inlineStr">
        <is>
          <t>Farben:  gelb = hier eintragen   ·   grau-blau = rechnet die Datei selbst   ·   „n.b.“ = nicht bewertet</t>
        </is>
      </c>
    </row>
    <row r="3" ht="32" customHeight="1">
      <c r="A3" s="67" t="inlineStr">
        <is>
          <t>Beurteilungsgespräch</t>
        </is>
      </c>
    </row>
    <row r="4" ht="18" customHeight="1">
      <c r="A4" s="68">
        <f>"Halbjahresgespräch · Halbjahr "&amp;Daten!$B$2343&amp;" · Stand "&amp;RIGHT("0"&amp;DAY(TODAY()),2)&amp;"."&amp;RIGHT("0"&amp;MONTH(TODAY()),2)&amp;"."&amp;YEAR(TODAY())</f>
        <v/>
      </c>
    </row>
    <row r="5" ht="8" customHeight="1"/>
    <row r="6" ht="26" customHeight="1">
      <c r="A6" s="41" t="inlineStr">
        <is>
          <t xml:space="preserve"> Azubi</t>
        </is>
      </c>
      <c r="C6" s="45" t="inlineStr">
        <is>
          <t>Berger, Lukas</t>
        </is>
      </c>
      <c r="E6" s="41" t="inlineStr">
        <is>
          <t xml:space="preserve"> Halbjahr</t>
        </is>
      </c>
      <c r="F6" s="69" t="n">
        <v>4</v>
      </c>
      <c r="G6" s="70">
        <f>IF(Daten!$B$2342=0,"bitte Azubi wählen","")</f>
        <v/>
      </c>
    </row>
    <row r="7" ht="10" customHeight="1"/>
    <row r="8" ht="16" customHeight="1">
      <c r="B8" s="71" t="inlineStr">
        <is>
          <t>Name, Vorname</t>
        </is>
      </c>
      <c r="C8" s="37" t="n"/>
      <c r="D8" s="72" t="inlineStr">
        <is>
          <t>Ausbildungsberuf</t>
        </is>
      </c>
      <c r="E8" s="37" t="n"/>
      <c r="F8" s="37" t="n"/>
      <c r="G8" s="10" t="n"/>
    </row>
    <row r="9" ht="24" customHeight="1">
      <c r="B9" s="73">
        <f>IF(Daten!$B$2342=0,"–",INDEX('Stammdaten'!$J$6:$J$105,Daten!$B$2342))</f>
        <v/>
      </c>
      <c r="C9" s="74" t="n"/>
      <c r="D9" s="75">
        <f>IF(Daten!$B$2342=0,"–",INDEX('Stammdaten'!$D$6:$D$105,Daten!$B$2342))</f>
        <v/>
      </c>
      <c r="E9" s="74" t="n"/>
      <c r="F9" s="74" t="n"/>
      <c r="G9" s="76" t="n"/>
    </row>
    <row r="10" ht="16" customHeight="1">
      <c r="B10" s="77" t="inlineStr">
        <is>
          <t>Jahrgang</t>
        </is>
      </c>
      <c r="C10" s="78" t="inlineStr">
        <is>
          <t>Ausbildungsstart</t>
        </is>
      </c>
      <c r="D10" s="78" t="inlineStr">
        <is>
          <t>Lehrjahr</t>
        </is>
      </c>
      <c r="E10" s="78" t="inlineStr">
        <is>
          <t>Halbjahr</t>
        </is>
      </c>
      <c r="F10" s="78" t="inlineStr">
        <is>
          <t>Status</t>
        </is>
      </c>
      <c r="G10" s="76" t="n"/>
    </row>
    <row r="11" ht="24" customHeight="1">
      <c r="B11" s="79">
        <f>IF(Daten!$B$2342=0,"–",INDEX('Stammdaten'!$E$6:$E$105,Daten!$B$2342))</f>
        <v/>
      </c>
      <c r="C11" s="80">
        <f>IF(Daten!$B$2342=0,"–",INDEX('Stammdaten'!$F$6:$F$105,Daten!$B$2342))</f>
        <v/>
      </c>
      <c r="D11" s="81">
        <f>IF(Daten!$B$2342=0,"–",INDEX('Stammdaten'!$H$6:$H$105,Daten!$B$2342))</f>
        <v/>
      </c>
      <c r="E11" s="81">
        <f>IF(Daten!$B$2342=0,"–",Daten!$B$2343)</f>
        <v/>
      </c>
      <c r="F11" s="81">
        <f>IF(Daten!$B$2342=0,"–",INDEX('Stammdaten'!$G$6:$G$105,Daten!$B$2342))</f>
        <v/>
      </c>
      <c r="G11" s="14" t="n"/>
    </row>
    <row r="12" ht="10" customHeight="1"/>
    <row r="13" ht="26" customHeight="1">
      <c r="A13" s="15" t="inlineStr">
        <is>
          <t xml:space="preserve"> Ergebnis des Halbjahres</t>
        </is>
      </c>
    </row>
    <row r="14" ht="24" customHeight="1">
      <c r="B14" s="16" t="inlineStr">
        <is>
          <t>Bereich</t>
        </is>
      </c>
      <c r="C14" s="16" t="inlineStr">
        <is>
          <t>gewertete Übungen</t>
        </is>
      </c>
      <c r="D14" s="16" t="inlineStr">
        <is>
          <t>Prozent</t>
        </is>
      </c>
      <c r="E14" s="16" t="inlineStr">
        <is>
          <t>IHK-Note</t>
        </is>
      </c>
      <c r="F14" s="51" t="inlineStr">
        <is>
          <t>Hinweis</t>
        </is>
      </c>
    </row>
    <row r="15" ht="24" customHeight="1">
      <c r="B15" s="82" t="inlineStr">
        <is>
          <t>Praxis</t>
        </is>
      </c>
      <c r="C15" s="83">
        <f>IF(OR(Daten!$B$2342=0,Daten!$B$2343&lt;1,Daten!$B$2343&gt;8),"",INDEX(Daten!$C$1809:$J$1908,Daten!$B$2342,Daten!$B$2343))</f>
        <v/>
      </c>
      <c r="D15" s="84">
        <f>IF(OR(Daten!$B$2342=0,Daten!$B$2343&lt;1,Daten!$B$2343&gt;8),"",INDEX(Daten!$C$2019:$J$2118,Daten!$B$2342,Daten!$B$2343))</f>
        <v/>
      </c>
      <c r="E15" s="85">
        <f>IF(NOT(ISNUMBER(D15)),"",INDEX(Noten,MAX(1,MIN(COUNT(NGrenze),COUNT(NGrenze)+1-COUNTIF(NGrenze,"&lt;="&amp;D15))))&amp;" – "&amp;INDEX(NText,MAX(1,MIN(COUNT(NGrenze),COUNT(NGrenze)+1-COUNTIF(NGrenze,"&lt;="&amp;D15)))))</f>
        <v/>
      </c>
      <c r="F15" s="59">
        <f>IF(C15="","",IF(C15=0,"in diesem Halbjahr nicht bewertet",IF(C15&lt;SchwelleDB,"wenig Datenbasis ("&amp;C15&amp;" Übung"&amp;IF(C15=1,"","en")&amp;")","")))</f>
        <v/>
      </c>
    </row>
    <row r="16" ht="24" customHeight="1">
      <c r="B16" s="82" t="inlineStr">
        <is>
          <t>Theorie</t>
        </is>
      </c>
      <c r="C16" s="83">
        <f>IF(OR(Daten!$B$2342=0,Daten!$B$2343&lt;1,Daten!$B$2343&gt;8),"",INDEX(Daten!$C$1914:$J$2013,Daten!$B$2342,Daten!$B$2343))</f>
        <v/>
      </c>
      <c r="D16" s="84">
        <f>IF(OR(Daten!$B$2342=0,Daten!$B$2343&lt;1,Daten!$B$2343&gt;8),"",INDEX(Daten!$C$2124:$J$2223,Daten!$B$2342,Daten!$B$2343))</f>
        <v/>
      </c>
      <c r="E16" s="85">
        <f>IF(NOT(ISNUMBER(D16)),"",INDEX(Noten,MAX(1,MIN(COUNT(NGrenze),COUNT(NGrenze)+1-COUNTIF(NGrenze,"&lt;="&amp;D16))))&amp;" – "&amp;INDEX(NText,MAX(1,MIN(COUNT(NGrenze),COUNT(NGrenze)+1-COUNTIF(NGrenze,"&lt;="&amp;D16)))))</f>
        <v/>
      </c>
      <c r="F16" s="59">
        <f>IF(C16="","",IF(C16=0,"in diesem Halbjahr nicht bewertet",IF(C16&lt;SchwelleDB,"wenig Datenbasis ("&amp;C16&amp;" Übung"&amp;IF(C16=1,"","en")&amp;")","")))</f>
        <v/>
      </c>
    </row>
    <row r="17" ht="24" customHeight="1">
      <c r="B17" s="86" t="inlineStr">
        <is>
          <t>Gesamt</t>
        </is>
      </c>
      <c r="C17" s="83">
        <f>IF(OR(Daten!$B$2342=0,Daten!$B$2343&lt;1,Daten!$B$2343&gt;8),"",INDEX(Daten!$C$1704:$J$1803,Daten!$B$2342,Daten!$B$2343))</f>
        <v/>
      </c>
      <c r="D17" s="87">
        <f>IF(OR(Daten!$B$2342=0,Daten!$B$2343&lt;1,Daten!$B$2343&gt;8),"",INDEX(Daten!$C$2229:$J$2328,Daten!$B$2342,Daten!$B$2343))</f>
        <v/>
      </c>
      <c r="E17" s="88">
        <f>IF(NOT(ISNUMBER(D17)),"",INDEX(Noten,MAX(1,MIN(COUNT(NGrenze),COUNT(NGrenze)+1-COUNTIF(NGrenze,"&lt;="&amp;D17))))&amp;" – "&amp;INDEX(NText,MAX(1,MIN(COUNT(NGrenze),COUNT(NGrenze)+1-COUNTIF(NGrenze,"&lt;="&amp;D17)))))</f>
        <v/>
      </c>
      <c r="F17" s="59">
        <f>IF(C17="","",IF(C17=0,"in diesem Halbjahr nicht bewertet",IF(C17&lt;SchwelleDB,"wenig Datenbasis ("&amp;C17&amp;" Übung"&amp;IF(C17=1,"","en")&amp;")","")))</f>
        <v/>
      </c>
    </row>
    <row r="18" ht="10" customHeight="1"/>
    <row r="19" ht="26" customHeight="1">
      <c r="A19" s="15" t="inlineStr">
        <is>
          <t xml:space="preserve"> Gewertete Übungen in diesem Halbjahr</t>
        </is>
      </c>
    </row>
    <row r="20" ht="26" customHeight="1">
      <c r="B20" s="51" t="inlineStr">
        <is>
          <t>Übung</t>
        </is>
      </c>
      <c r="D20" s="16" t="inlineStr">
        <is>
          <t>Art</t>
        </is>
      </c>
      <c r="E20" s="16" t="inlineStr">
        <is>
          <t>Datum</t>
        </is>
      </c>
      <c r="F20" s="16" t="inlineStr">
        <is>
          <t>Punkte</t>
        </is>
      </c>
      <c r="G20" s="51" t="inlineStr">
        <is>
          <t>Prozent</t>
        </is>
      </c>
    </row>
    <row r="21" ht="21" customHeight="1">
      <c r="A21" s="89">
        <f>IFERROR(SMALL(Daten!$C$2335:$V$2335,1),"")</f>
        <v/>
      </c>
      <c r="B21" s="53">
        <f>IF($A21="","",INDEX(Daten!$C$4:$V$4,$A21))</f>
        <v/>
      </c>
      <c r="D21" s="21">
        <f>IF($A21="","",INDEX(Daten!$C$6:$V$6,$A21))</f>
        <v/>
      </c>
      <c r="E21" s="22">
        <f>IF($A21="","",INDEX(Daten!$C$7:$V$7,$A21))</f>
        <v/>
      </c>
      <c r="F21" s="21">
        <f>IF($A21="","",INDEX(Daten!$C$335:$V$434,Daten!$B$2342,$A21)&amp;" / "&amp;INDEX(Daten!$C$440:$V$539,Daten!$B$2342,$A21))</f>
        <v/>
      </c>
      <c r="G21" s="24">
        <f>IF($A21="","",INDEX(Daten!$C$20:$V$119,Daten!$B$2342,$A21))</f>
        <v/>
      </c>
    </row>
    <row r="22" ht="21" customHeight="1">
      <c r="A22" s="89">
        <f>IFERROR(SMALL(Daten!$C$2335:$V$2335,2),"")</f>
        <v/>
      </c>
      <c r="B22" s="53">
        <f>IF($A22="","",INDEX(Daten!$C$4:$V$4,$A22))</f>
        <v/>
      </c>
      <c r="D22" s="21">
        <f>IF($A22="","",INDEX(Daten!$C$6:$V$6,$A22))</f>
        <v/>
      </c>
      <c r="E22" s="22">
        <f>IF($A22="","",INDEX(Daten!$C$7:$V$7,$A22))</f>
        <v/>
      </c>
      <c r="F22" s="21">
        <f>IF($A22="","",INDEX(Daten!$C$335:$V$434,Daten!$B$2342,$A22)&amp;" / "&amp;INDEX(Daten!$C$440:$V$539,Daten!$B$2342,$A22))</f>
        <v/>
      </c>
      <c r="G22" s="24">
        <f>IF($A22="","",INDEX(Daten!$C$20:$V$119,Daten!$B$2342,$A22))</f>
        <v/>
      </c>
    </row>
    <row r="23" ht="21" customHeight="1">
      <c r="A23" s="89">
        <f>IFERROR(SMALL(Daten!$C$2335:$V$2335,3),"")</f>
        <v/>
      </c>
      <c r="B23" s="53">
        <f>IF($A23="","",INDEX(Daten!$C$4:$V$4,$A23))</f>
        <v/>
      </c>
      <c r="D23" s="21">
        <f>IF($A23="","",INDEX(Daten!$C$6:$V$6,$A23))</f>
        <v/>
      </c>
      <c r="E23" s="22">
        <f>IF($A23="","",INDEX(Daten!$C$7:$V$7,$A23))</f>
        <v/>
      </c>
      <c r="F23" s="21">
        <f>IF($A23="","",INDEX(Daten!$C$335:$V$434,Daten!$B$2342,$A23)&amp;" / "&amp;INDEX(Daten!$C$440:$V$539,Daten!$B$2342,$A23))</f>
        <v/>
      </c>
      <c r="G23" s="24">
        <f>IF($A23="","",INDEX(Daten!$C$20:$V$119,Daten!$B$2342,$A23))</f>
        <v/>
      </c>
    </row>
    <row r="24" ht="21" customHeight="1">
      <c r="A24" s="89">
        <f>IFERROR(SMALL(Daten!$C$2335:$V$2335,4),"")</f>
        <v/>
      </c>
      <c r="B24" s="53">
        <f>IF($A24="","",INDEX(Daten!$C$4:$V$4,$A24))</f>
        <v/>
      </c>
      <c r="D24" s="21">
        <f>IF($A24="","",INDEX(Daten!$C$6:$V$6,$A24))</f>
        <v/>
      </c>
      <c r="E24" s="22">
        <f>IF($A24="","",INDEX(Daten!$C$7:$V$7,$A24))</f>
        <v/>
      </c>
      <c r="F24" s="21">
        <f>IF($A24="","",INDEX(Daten!$C$335:$V$434,Daten!$B$2342,$A24)&amp;" / "&amp;INDEX(Daten!$C$440:$V$539,Daten!$B$2342,$A24))</f>
        <v/>
      </c>
      <c r="G24" s="24">
        <f>IF($A24="","",INDEX(Daten!$C$20:$V$119,Daten!$B$2342,$A24))</f>
        <v/>
      </c>
    </row>
    <row r="25" ht="21" customHeight="1">
      <c r="A25" s="89">
        <f>IFERROR(SMALL(Daten!$C$2335:$V$2335,5),"")</f>
        <v/>
      </c>
      <c r="B25" s="53">
        <f>IF($A25="","",INDEX(Daten!$C$4:$V$4,$A25))</f>
        <v/>
      </c>
      <c r="D25" s="21">
        <f>IF($A25="","",INDEX(Daten!$C$6:$V$6,$A25))</f>
        <v/>
      </c>
      <c r="E25" s="22">
        <f>IF($A25="","",INDEX(Daten!$C$7:$V$7,$A25))</f>
        <v/>
      </c>
      <c r="F25" s="21">
        <f>IF($A25="","",INDEX(Daten!$C$335:$V$434,Daten!$B$2342,$A25)&amp;" / "&amp;INDEX(Daten!$C$440:$V$539,Daten!$B$2342,$A25))</f>
        <v/>
      </c>
      <c r="G25" s="24">
        <f>IF($A25="","",INDEX(Daten!$C$20:$V$119,Daten!$B$2342,$A25))</f>
        <v/>
      </c>
    </row>
    <row r="26" ht="21" customHeight="1">
      <c r="A26" s="89">
        <f>IFERROR(SMALL(Daten!$C$2335:$V$2335,6),"")</f>
        <v/>
      </c>
      <c r="B26" s="53">
        <f>IF($A26="","",INDEX(Daten!$C$4:$V$4,$A26))</f>
        <v/>
      </c>
      <c r="D26" s="21">
        <f>IF($A26="","",INDEX(Daten!$C$6:$V$6,$A26))</f>
        <v/>
      </c>
      <c r="E26" s="22">
        <f>IF($A26="","",INDEX(Daten!$C$7:$V$7,$A26))</f>
        <v/>
      </c>
      <c r="F26" s="21">
        <f>IF($A26="","",INDEX(Daten!$C$335:$V$434,Daten!$B$2342,$A26)&amp;" / "&amp;INDEX(Daten!$C$440:$V$539,Daten!$B$2342,$A26))</f>
        <v/>
      </c>
      <c r="G26" s="24">
        <f>IF($A26="","",INDEX(Daten!$C$20:$V$119,Daten!$B$2342,$A26))</f>
        <v/>
      </c>
    </row>
    <row r="27" ht="21" customHeight="1">
      <c r="A27" s="89">
        <f>IFERROR(SMALL(Daten!$C$2335:$V$2335,7),"")</f>
        <v/>
      </c>
      <c r="B27" s="53">
        <f>IF($A27="","",INDEX(Daten!$C$4:$V$4,$A27))</f>
        <v/>
      </c>
      <c r="D27" s="21">
        <f>IF($A27="","",INDEX(Daten!$C$6:$V$6,$A27))</f>
        <v/>
      </c>
      <c r="E27" s="22">
        <f>IF($A27="","",INDEX(Daten!$C$7:$V$7,$A27))</f>
        <v/>
      </c>
      <c r="F27" s="21">
        <f>IF($A27="","",INDEX(Daten!$C$335:$V$434,Daten!$B$2342,$A27)&amp;" / "&amp;INDEX(Daten!$C$440:$V$539,Daten!$B$2342,$A27))</f>
        <v/>
      </c>
      <c r="G27" s="24">
        <f>IF($A27="","",INDEX(Daten!$C$20:$V$119,Daten!$B$2342,$A27))</f>
        <v/>
      </c>
    </row>
    <row r="28" ht="21" customHeight="1">
      <c r="A28" s="89">
        <f>IFERROR(SMALL(Daten!$C$2335:$V$2335,8),"")</f>
        <v/>
      </c>
      <c r="B28" s="53">
        <f>IF($A28="","",INDEX(Daten!$C$4:$V$4,$A28))</f>
        <v/>
      </c>
      <c r="D28" s="21">
        <f>IF($A28="","",INDEX(Daten!$C$6:$V$6,$A28))</f>
        <v/>
      </c>
      <c r="E28" s="22">
        <f>IF($A28="","",INDEX(Daten!$C$7:$V$7,$A28))</f>
        <v/>
      </c>
      <c r="F28" s="21">
        <f>IF($A28="","",INDEX(Daten!$C$335:$V$434,Daten!$B$2342,$A28)&amp;" / "&amp;INDEX(Daten!$C$440:$V$539,Daten!$B$2342,$A28))</f>
        <v/>
      </c>
      <c r="G28" s="24">
        <f>IF($A28="","",INDEX(Daten!$C$20:$V$119,Daten!$B$2342,$A28))</f>
        <v/>
      </c>
    </row>
    <row r="29" ht="10" customHeight="1"/>
    <row r="30" ht="26" customHeight="1">
      <c r="A30" s="15" t="inlineStr">
        <is>
          <t xml:space="preserve"> Stärken</t>
        </is>
      </c>
    </row>
    <row r="31" ht="20" customHeight="1">
      <c r="B31" s="90" t="n"/>
    </row>
    <row r="32" ht="20" customHeight="1"/>
    <row r="33" ht="20" customHeight="1"/>
    <row r="34" ht="20" customHeight="1"/>
    <row r="36" ht="26" customHeight="1">
      <c r="A36" s="15" t="inlineStr">
        <is>
          <t xml:space="preserve"> Entwicklungsziele bis zum nächsten Gespräch</t>
        </is>
      </c>
    </row>
    <row r="37" ht="20" customHeight="1">
      <c r="B37" s="90" t="n"/>
    </row>
    <row r="38" ht="20" customHeight="1"/>
    <row r="39" ht="20" customHeight="1"/>
    <row r="40" ht="20" customHeight="1"/>
    <row r="42" ht="26" customHeight="1">
      <c r="A42" s="15" t="inlineStr">
        <is>
          <t xml:space="preserve"> Bestätigung</t>
        </is>
      </c>
    </row>
    <row r="43" ht="30" customHeight="1">
      <c r="B43" s="91" t="n"/>
      <c r="C43" s="92" t="n"/>
      <c r="D43" s="93" t="n"/>
      <c r="E43" s="91" t="n"/>
      <c r="F43" s="92" t="n"/>
      <c r="G43" s="93" t="n"/>
    </row>
    <row r="44" ht="16" customHeight="1">
      <c r="B44" s="66" t="inlineStr">
        <is>
          <t>Datum, Unterschrift Azubi</t>
        </is>
      </c>
      <c r="E44" s="66" t="inlineStr">
        <is>
          <t>Datum, Unterschrift Ausbilder/-in</t>
        </is>
      </c>
    </row>
    <row r="45" ht="10" customHeight="1"/>
    <row r="46" ht="20" customHeight="1">
      <c r="A46" s="94" t="inlineStr">
        <is>
          <t xml:space="preserve"> Farblegende</t>
        </is>
      </c>
      <c r="C46" s="30">
        <f>INDEX(Noten,1)&amp;" – "&amp;INDEX(NText,1)</f>
        <v/>
      </c>
      <c r="E46" s="31">
        <f>INDEX(Noten,2)&amp;" – "&amp;INDEX(NText,2)</f>
        <v/>
      </c>
      <c r="G46" s="32">
        <f>INDEX(Noten,3)&amp;" – "&amp;INDEX(NText,3)</f>
        <v/>
      </c>
    </row>
    <row r="47" ht="20" customHeight="1">
      <c r="C47" s="33">
        <f>INDEX(Noten,4)&amp;" – "&amp;INDEX(NText,4)</f>
        <v/>
      </c>
      <c r="E47" s="34">
        <f>INDEX(Noten,5)&amp;" – "&amp;INDEX(NText,5)</f>
        <v/>
      </c>
      <c r="G47" s="35">
        <f>INDEX(Noten,6)&amp;" – "&amp;INDEX(NText,6)</f>
        <v/>
      </c>
    </row>
    <row r="48" ht="13" customHeight="1">
      <c r="A48" s="95" t="inlineStr">
        <is>
          <t>Übungen, bei denen der Azubi nicht bewertet wurde (krank, Urlaub, Berufsschule), sind hier bewusst nicht enthalten – sie zählen weder als 0 Punkte noch im Durchschnitt. Bei einer Wiederholung zählt die im Übungsblatt eingestellte Wertung (Standard: die letzte).</t>
        </is>
      </c>
    </row>
    <row r="49" ht="13" customHeight="1"/>
    <row r="50" ht="13" customHeight="1"/>
  </sheetData>
  <mergeCells count="63">
    <mergeCell ref="G21:H21"/>
    <mergeCell ref="B37:G40"/>
    <mergeCell ref="F11:G11"/>
    <mergeCell ref="A30:H30"/>
    <mergeCell ref="C6:D6"/>
    <mergeCell ref="D9:G9"/>
    <mergeCell ref="A46:B47"/>
    <mergeCell ref="B25:C25"/>
    <mergeCell ref="F10:G10"/>
    <mergeCell ref="D8:G8"/>
    <mergeCell ref="G27:H27"/>
    <mergeCell ref="B22:C22"/>
    <mergeCell ref="A36:H36"/>
    <mergeCell ref="F17:H17"/>
    <mergeCell ref="G23:H23"/>
    <mergeCell ref="B44:D44"/>
    <mergeCell ref="B27:C27"/>
    <mergeCell ref="A6:B6"/>
    <mergeCell ref="A48:H50"/>
    <mergeCell ref="B21:C21"/>
    <mergeCell ref="C47:D47"/>
    <mergeCell ref="B23:C23"/>
    <mergeCell ref="D10"/>
    <mergeCell ref="G28:H28"/>
    <mergeCell ref="G6:H6"/>
    <mergeCell ref="B31:G34"/>
    <mergeCell ref="B8:C8"/>
    <mergeCell ref="A1:D1"/>
    <mergeCell ref="A3:H3"/>
    <mergeCell ref="C46:D46"/>
    <mergeCell ref="F14:H14"/>
    <mergeCell ref="G24:H24"/>
    <mergeCell ref="B43:D43"/>
    <mergeCell ref="E44:G44"/>
    <mergeCell ref="E46:F46"/>
    <mergeCell ref="A2:H2"/>
    <mergeCell ref="B11"/>
    <mergeCell ref="B28:C28"/>
    <mergeCell ref="A42:H42"/>
    <mergeCell ref="D11"/>
    <mergeCell ref="C10"/>
    <mergeCell ref="E10"/>
    <mergeCell ref="E1:H1"/>
    <mergeCell ref="B9:C9"/>
    <mergeCell ref="E43:G43"/>
    <mergeCell ref="G26:H26"/>
    <mergeCell ref="A4:H4"/>
    <mergeCell ref="F16:H16"/>
    <mergeCell ref="G20:H20"/>
    <mergeCell ref="B24:C24"/>
    <mergeCell ref="B26:C26"/>
    <mergeCell ref="G47:H47"/>
    <mergeCell ref="B20:C20"/>
    <mergeCell ref="G25:H25"/>
    <mergeCell ref="C11"/>
    <mergeCell ref="A13:H13"/>
    <mergeCell ref="A19:H19"/>
    <mergeCell ref="B10"/>
    <mergeCell ref="E11"/>
    <mergeCell ref="G22:H22"/>
    <mergeCell ref="G46:H46"/>
    <mergeCell ref="F15:H15"/>
    <mergeCell ref="E47:F47"/>
  </mergeCells>
  <conditionalFormatting sqref="D15:E15">
    <cfRule type="expression" priority="1" dxfId="2" stopIfTrue="1">
      <formula>AND(ISNUMBER($D15),$D15&gt;=INDEX(NGrenze,1))</formula>
    </cfRule>
    <cfRule type="expression" priority="2" dxfId="3" stopIfTrue="1">
      <formula>AND(ISNUMBER($D15),$D15&gt;=INDEX(NGrenze,2))</formula>
    </cfRule>
    <cfRule type="expression" priority="3" dxfId="4" stopIfTrue="1">
      <formula>AND(ISNUMBER($D15),$D15&gt;=INDEX(NGrenze,3))</formula>
    </cfRule>
    <cfRule type="expression" priority="4" dxfId="5" stopIfTrue="1">
      <formula>AND(ISNUMBER($D15),$D15&gt;=INDEX(NGrenze,4))</formula>
    </cfRule>
    <cfRule type="expression" priority="5" dxfId="6" stopIfTrue="1">
      <formula>AND(ISNUMBER($D15),$D15&gt;=INDEX(NGrenze,5))</formula>
    </cfRule>
    <cfRule type="expression" priority="6" dxfId="7" stopIfTrue="1">
      <formula>AND(ISNUMBER($D15),$D15&gt;=INDEX(NGrenze,6))</formula>
    </cfRule>
  </conditionalFormatting>
  <conditionalFormatting sqref="D16:E16">
    <cfRule type="expression" priority="7" dxfId="2" stopIfTrue="1">
      <formula>AND(ISNUMBER($D16),$D16&gt;=INDEX(NGrenze,1))</formula>
    </cfRule>
    <cfRule type="expression" priority="8" dxfId="3" stopIfTrue="1">
      <formula>AND(ISNUMBER($D16),$D16&gt;=INDEX(NGrenze,2))</formula>
    </cfRule>
    <cfRule type="expression" priority="9" dxfId="4" stopIfTrue="1">
      <formula>AND(ISNUMBER($D16),$D16&gt;=INDEX(NGrenze,3))</formula>
    </cfRule>
    <cfRule type="expression" priority="10" dxfId="5" stopIfTrue="1">
      <formula>AND(ISNUMBER($D16),$D16&gt;=INDEX(NGrenze,4))</formula>
    </cfRule>
    <cfRule type="expression" priority="11" dxfId="6" stopIfTrue="1">
      <formula>AND(ISNUMBER($D16),$D16&gt;=INDEX(NGrenze,5))</formula>
    </cfRule>
    <cfRule type="expression" priority="12" dxfId="7" stopIfTrue="1">
      <formula>AND(ISNUMBER($D16),$D16&gt;=INDEX(NGrenze,6))</formula>
    </cfRule>
  </conditionalFormatting>
  <conditionalFormatting sqref="D17:E17">
    <cfRule type="expression" priority="13" dxfId="2" stopIfTrue="1">
      <formula>AND(ISNUMBER($D17),$D17&gt;=INDEX(NGrenze,1))</formula>
    </cfRule>
    <cfRule type="expression" priority="14" dxfId="3" stopIfTrue="1">
      <formula>AND(ISNUMBER($D17),$D17&gt;=INDEX(NGrenze,2))</formula>
    </cfRule>
    <cfRule type="expression" priority="15" dxfId="4" stopIfTrue="1">
      <formula>AND(ISNUMBER($D17),$D17&gt;=INDEX(NGrenze,3))</formula>
    </cfRule>
    <cfRule type="expression" priority="16" dxfId="5" stopIfTrue="1">
      <formula>AND(ISNUMBER($D17),$D17&gt;=INDEX(NGrenze,4))</formula>
    </cfRule>
    <cfRule type="expression" priority="17" dxfId="6" stopIfTrue="1">
      <formula>AND(ISNUMBER($D17),$D17&gt;=INDEX(NGrenze,5))</formula>
    </cfRule>
    <cfRule type="expression" priority="18" dxfId="7" stopIfTrue="1">
      <formula>AND(ISNUMBER($D17),$D17&gt;=INDEX(NGrenze,6))</formula>
    </cfRule>
  </conditionalFormatting>
  <conditionalFormatting sqref="G21:H28">
    <cfRule type="expression" priority="19" dxfId="2" stopIfTrue="1">
      <formula>AND(ISNUMBER($G21),$G21&gt;=INDEX(NGrenze,1))</formula>
    </cfRule>
    <cfRule type="expression" priority="20" dxfId="3" stopIfTrue="1">
      <formula>AND(ISNUMBER($G21),$G21&gt;=INDEX(NGrenze,2))</formula>
    </cfRule>
    <cfRule type="expression" priority="21" dxfId="4" stopIfTrue="1">
      <formula>AND(ISNUMBER($G21),$G21&gt;=INDEX(NGrenze,3))</formula>
    </cfRule>
    <cfRule type="expression" priority="22" dxfId="5" stopIfTrue="1">
      <formula>AND(ISNUMBER($G21),$G21&gt;=INDEX(NGrenze,4))</formula>
    </cfRule>
    <cfRule type="expression" priority="23" dxfId="6" stopIfTrue="1">
      <formula>AND(ISNUMBER($G21),$G21&gt;=INDEX(NGrenze,5))</formula>
    </cfRule>
    <cfRule type="expression" priority="24" dxfId="7" stopIfTrue="1">
      <formula>AND(ISNUMBER($G21),$G21&gt;=INDEX(NGrenze,6))</formula>
    </cfRule>
  </conditionalFormatting>
  <dataValidations count="2">
    <dataValidation sqref="C6" showDropDown="0" showInputMessage="0" showErrorMessage="1" allowBlank="1" errorTitle="Azubi nicht in der Liste" error="Bitte einen aktiven Azubi aus der Liste wählen." type="list">
      <formula1>AzubiAktiv</formula1>
    </dataValidation>
    <dataValidation sqref="F6" showDropDown="0" showInputMessage="0" showErrorMessage="1" allowBlank="0" errorTitle="Halbjahr außerhalb des Bereichs" error="Bitte eine ganze Zahl von 1 bis 8 eingeben." type="whole" operator="between">
      <formula1>1</formula1>
      <formula2>8</formula2>
    </dataValidation>
  </dataValidations>
  <hyperlinks>
    <hyperlink ref="A1" location="Start!A1"/>
  </hyperlinks>
  <pageMargins left="0.6" right="0.5" top="0.6" bottom="0.5" header="0.5" footer="0.5"/>
  <pageSetup orientation="portrait" paperSize="9" fitToHeight="1" fitToWidth="1"/>
</worksheet>
</file>

<file path=xl/worksheets/sheet4.xml><?xml version="1.0" encoding="utf-8"?>
<worksheet xmlns="http://schemas.openxmlformats.org/spreadsheetml/2006/main">
  <sheetPr>
    <tabColor rgb="0022395C"/>
    <outlinePr summaryBelow="1" summaryRight="1"/>
    <pageSetUpPr fitToPage="1"/>
  </sheetPr>
  <dimension ref="A1:P11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5" customWidth="1" min="3" max="3"/>
    <col width="28" customWidth="1" min="4" max="4"/>
    <col width="10" customWidth="1" min="5" max="5"/>
    <col width="8" customWidth="1" min="6" max="6"/>
    <col width="9" customWidth="1" min="7" max="7"/>
    <col width="10" customWidth="1" min="8" max="8"/>
    <col width="18" customWidth="1" min="9" max="9"/>
    <col width="9" customWidth="1" min="10" max="10"/>
    <col width="10" customWidth="1" min="11" max="11"/>
    <col width="18" customWidth="1" min="12" max="12"/>
    <col width="10" customWidth="1" min="13" max="13"/>
    <col width="18" customWidth="1" min="14" max="14"/>
    <col width="22" customWidth="1" min="15" max="15"/>
    <col width="2" customWidth="1" min="16" max="16"/>
  </cols>
  <sheetData>
    <row r="1" ht="34" customHeight="1">
      <c r="A1" s="1" t="inlineStr">
        <is>
          <t>Halbjahresauswertung</t>
        </is>
      </c>
      <c r="B1" s="2" t="n"/>
      <c r="C1" s="2" t="n"/>
      <c r="D1" s="2" t="n"/>
      <c r="E1" s="2" t="n"/>
      <c r="F1" s="2" t="n"/>
      <c r="G1" s="2" t="n"/>
      <c r="H1" s="2" t="n"/>
      <c r="I1" s="2" t="n"/>
      <c r="J1" s="2" t="n"/>
      <c r="K1" s="2" t="n"/>
      <c r="L1" s="2" t="n"/>
      <c r="M1" s="40" t="inlineStr">
        <is>
          <t>«  Zurück zur Startseite</t>
        </is>
      </c>
    </row>
    <row r="2" ht="18" customHeight="1">
      <c r="A2" s="3" t="inlineStr">
        <is>
          <t>Stand aller Azubis für ein Halbjahr – Grundlage für die Beurteilungsgespräche</t>
        </is>
      </c>
      <c r="B2" s="2" t="n"/>
      <c r="C2" s="2" t="n"/>
      <c r="D2" s="2" t="n"/>
      <c r="E2" s="2" t="n"/>
      <c r="F2" s="2" t="n"/>
      <c r="G2" s="2" t="n"/>
      <c r="H2" s="2" t="n"/>
      <c r="I2" s="2" t="n"/>
      <c r="J2" s="2" t="n"/>
      <c r="K2" s="2" t="n"/>
      <c r="L2" s="2" t="n"/>
    </row>
    <row r="3" ht="24" customHeight="1">
      <c r="A3" s="4" t="inlineStr">
        <is>
          <t>Farben:  gelb = hier eintragen   ·   grau-blau = rechnet die Datei selbst   ·   „n.b.“ = nicht bewertet</t>
        </is>
      </c>
    </row>
    <row r="4" ht="28" customHeight="1">
      <c r="A4" s="41" t="inlineStr">
        <is>
          <t xml:space="preserve"> Halbjahr auswählen</t>
        </is>
      </c>
      <c r="C4" s="96" t="n">
        <v>4</v>
      </c>
      <c r="D4" s="46">
        <f>"Halbjahr "&amp;$C$4&amp;" = Monat "&amp;($C$4-1)*6+1&amp;" bis "&amp;$C$4*6&amp;" nach dem jeweiligen Ausbildungsstart. Leere Zeilen bedeuten: in diesem Halbjahr wurde noch nichts bewertet."</f>
        <v/>
      </c>
    </row>
    <row r="5" ht="10" customHeight="1"/>
    <row r="6" ht="34" customHeight="1">
      <c r="A6" s="16" t="inlineStr">
        <is>
          <t>Nr.</t>
        </is>
      </c>
      <c r="B6" s="16" t="inlineStr">
        <is>
          <t>Name</t>
        </is>
      </c>
      <c r="C6" s="16" t="inlineStr">
        <is>
          <t>Vorname</t>
        </is>
      </c>
      <c r="D6" s="16" t="inlineStr">
        <is>
          <t>Ausbildungsberuf</t>
        </is>
      </c>
      <c r="E6" s="16" t="inlineStr">
        <is>
          <t>Jahrgang</t>
        </is>
      </c>
      <c r="F6" s="16" t="inlineStr">
        <is>
          <t>LJ</t>
        </is>
      </c>
      <c r="G6" s="16" t="inlineStr">
        <is>
          <t>Übungen</t>
        </is>
      </c>
      <c r="H6" s="16" t="inlineStr">
        <is>
          <t>Praxis %</t>
        </is>
      </c>
      <c r="I6" s="16" t="inlineStr">
        <is>
          <t>Praxis Note</t>
        </is>
      </c>
      <c r="J6" s="16" t="inlineStr">
        <is>
          <t>Theorie</t>
        </is>
      </c>
      <c r="K6" s="16" t="inlineStr">
        <is>
          <t>Theorie %</t>
        </is>
      </c>
      <c r="L6" s="16" t="inlineStr">
        <is>
          <t>Theorie Note</t>
        </is>
      </c>
      <c r="M6" s="16" t="inlineStr">
        <is>
          <t>Gesamt %</t>
        </is>
      </c>
      <c r="N6" s="16" t="inlineStr">
        <is>
          <t>Gesamt Note</t>
        </is>
      </c>
      <c r="O6" s="16" t="inlineStr">
        <is>
          <t>Hinweis</t>
        </is>
      </c>
    </row>
    <row r="7" ht="22" customHeight="1">
      <c r="A7" s="19">
        <f>IF('Stammdaten'!$B6="","",1)</f>
        <v/>
      </c>
      <c r="B7" s="53">
        <f>IF('Stammdaten'!$B6="","",'Stammdaten'!$B6)</f>
        <v/>
      </c>
      <c r="C7" s="97">
        <f>IF('Stammdaten'!$B6="","",'Stammdaten'!$C6)</f>
        <v/>
      </c>
      <c r="D7" s="97">
        <f>IF('Stammdaten'!$B6="","",'Stammdaten'!$D6)</f>
        <v/>
      </c>
      <c r="E7" s="98">
        <f>IF('Stammdaten'!$B6="","",'Stammdaten'!$E6)</f>
        <v/>
      </c>
      <c r="F7" s="21">
        <f>IF('Stammdaten'!$B6="","",'Stammdaten'!$H6)</f>
        <v/>
      </c>
      <c r="G7" s="23">
        <f>IF('Stammdaten'!$B6="","",INDEX(Daten!$C$1704:$J$1803,1,$C$4))</f>
        <v/>
      </c>
      <c r="H7" s="24">
        <f>IF('Stammdaten'!$B6="","",INDEX(Daten!$C$2019:$J$2118,1,$C$4))</f>
        <v/>
      </c>
      <c r="I7" s="25">
        <f>IF(NOT(ISNUMBER(H7)),"",INDEX(Noten,MAX(1,MIN(COUNT(NGrenze),COUNT(NGrenze)+1-COUNTIF(NGrenze,"&lt;="&amp;H7))))&amp;" – "&amp;INDEX(NText,MAX(1,MIN(COUNT(NGrenze),COUNT(NGrenze)+1-COUNTIF(NGrenze,"&lt;="&amp;H7)))))</f>
        <v/>
      </c>
      <c r="J7" s="98">
        <f>IF('Stammdaten'!$B6="","",INDEX(Daten!$C$1914:$J$2013,1,$C$4))</f>
        <v/>
      </c>
      <c r="K7" s="24">
        <f>IF('Stammdaten'!$B6="","",INDEX(Daten!$C$2124:$J$2223,1,$C$4))</f>
        <v/>
      </c>
      <c r="L7" s="25">
        <f>IF(NOT(ISNUMBER(K7)),"",INDEX(Noten,MAX(1,MIN(COUNT(NGrenze),COUNT(NGrenze)+1-COUNTIF(NGrenze,"&lt;="&amp;K7))))&amp;" – "&amp;INDEX(NText,MAX(1,MIN(COUNT(NGrenze),COUNT(NGrenze)+1-COUNTIF(NGrenze,"&lt;="&amp;K7)))))</f>
        <v/>
      </c>
      <c r="M7" s="24">
        <f>IF('Stammdaten'!$B6="","",INDEX(Daten!$C$2229:$J$2328,1,$C$4))</f>
        <v/>
      </c>
      <c r="N7" s="25">
        <f>IF(NOT(ISNUMBER(M7)),"",INDEX(Noten,MAX(1,MIN(COUNT(NGrenze),COUNT(NGrenze)+1-COUNTIF(NGrenze,"&lt;="&amp;M7))))&amp;" – "&amp;INDEX(NText,MAX(1,MIN(COUNT(NGrenze),COUNT(NGrenze)+1-COUNTIF(NGrenze,"&lt;="&amp;M7)))))</f>
        <v/>
      </c>
      <c r="O7" s="99">
        <f>IF($A7="","",IF($G7=0,"keine Bewertung",IF($G7&lt;SchwelleDB,"wenig Datenbasis","")))&amp;IF(AND($A7&lt;&gt;"",'Stammdaten'!$G6&lt;&gt;"aktiv")," · "&amp;'Stammdaten'!$G6,"")</f>
        <v/>
      </c>
    </row>
    <row r="8" ht="22" customHeight="1">
      <c r="A8" s="19">
        <f>IF('Stammdaten'!$B7="","",2)</f>
        <v/>
      </c>
      <c r="B8" s="53">
        <f>IF('Stammdaten'!$B7="","",'Stammdaten'!$B7)</f>
        <v/>
      </c>
      <c r="C8" s="97">
        <f>IF('Stammdaten'!$B7="","",'Stammdaten'!$C7)</f>
        <v/>
      </c>
      <c r="D8" s="97">
        <f>IF('Stammdaten'!$B7="","",'Stammdaten'!$D7)</f>
        <v/>
      </c>
      <c r="E8" s="98">
        <f>IF('Stammdaten'!$B7="","",'Stammdaten'!$E7)</f>
        <v/>
      </c>
      <c r="F8" s="21">
        <f>IF('Stammdaten'!$B7="","",'Stammdaten'!$H7)</f>
        <v/>
      </c>
      <c r="G8" s="23">
        <f>IF('Stammdaten'!$B7="","",INDEX(Daten!$C$1704:$J$1803,2,$C$4))</f>
        <v/>
      </c>
      <c r="H8" s="24">
        <f>IF('Stammdaten'!$B7="","",INDEX(Daten!$C$2019:$J$2118,2,$C$4))</f>
        <v/>
      </c>
      <c r="I8" s="25">
        <f>IF(NOT(ISNUMBER(H8)),"",INDEX(Noten,MAX(1,MIN(COUNT(NGrenze),COUNT(NGrenze)+1-COUNTIF(NGrenze,"&lt;="&amp;H8))))&amp;" – "&amp;INDEX(NText,MAX(1,MIN(COUNT(NGrenze),COUNT(NGrenze)+1-COUNTIF(NGrenze,"&lt;="&amp;H8)))))</f>
        <v/>
      </c>
      <c r="J8" s="98">
        <f>IF('Stammdaten'!$B7="","",INDEX(Daten!$C$1914:$J$2013,2,$C$4))</f>
        <v/>
      </c>
      <c r="K8" s="24">
        <f>IF('Stammdaten'!$B7="","",INDEX(Daten!$C$2124:$J$2223,2,$C$4))</f>
        <v/>
      </c>
      <c r="L8" s="25">
        <f>IF(NOT(ISNUMBER(K8)),"",INDEX(Noten,MAX(1,MIN(COUNT(NGrenze),COUNT(NGrenze)+1-COUNTIF(NGrenze,"&lt;="&amp;K8))))&amp;" – "&amp;INDEX(NText,MAX(1,MIN(COUNT(NGrenze),COUNT(NGrenze)+1-COUNTIF(NGrenze,"&lt;="&amp;K8)))))</f>
        <v/>
      </c>
      <c r="M8" s="24">
        <f>IF('Stammdaten'!$B7="","",INDEX(Daten!$C$2229:$J$2328,2,$C$4))</f>
        <v/>
      </c>
      <c r="N8" s="25">
        <f>IF(NOT(ISNUMBER(M8)),"",INDEX(Noten,MAX(1,MIN(COUNT(NGrenze),COUNT(NGrenze)+1-COUNTIF(NGrenze,"&lt;="&amp;M8))))&amp;" – "&amp;INDEX(NText,MAX(1,MIN(COUNT(NGrenze),COUNT(NGrenze)+1-COUNTIF(NGrenze,"&lt;="&amp;M8)))))</f>
        <v/>
      </c>
      <c r="O8" s="99">
        <f>IF($A8="","",IF($G8=0,"keine Bewertung",IF($G8&lt;SchwelleDB,"wenig Datenbasis","")))&amp;IF(AND($A8&lt;&gt;"",'Stammdaten'!$G7&lt;&gt;"aktiv")," · "&amp;'Stammdaten'!$G7,"")</f>
        <v/>
      </c>
    </row>
    <row r="9" ht="22" customHeight="1">
      <c r="A9" s="19">
        <f>IF('Stammdaten'!$B8="","",3)</f>
        <v/>
      </c>
      <c r="B9" s="53">
        <f>IF('Stammdaten'!$B8="","",'Stammdaten'!$B8)</f>
        <v/>
      </c>
      <c r="C9" s="97">
        <f>IF('Stammdaten'!$B8="","",'Stammdaten'!$C8)</f>
        <v/>
      </c>
      <c r="D9" s="97">
        <f>IF('Stammdaten'!$B8="","",'Stammdaten'!$D8)</f>
        <v/>
      </c>
      <c r="E9" s="98">
        <f>IF('Stammdaten'!$B8="","",'Stammdaten'!$E8)</f>
        <v/>
      </c>
      <c r="F9" s="21">
        <f>IF('Stammdaten'!$B8="","",'Stammdaten'!$H8)</f>
        <v/>
      </c>
      <c r="G9" s="23">
        <f>IF('Stammdaten'!$B8="","",INDEX(Daten!$C$1704:$J$1803,3,$C$4))</f>
        <v/>
      </c>
      <c r="H9" s="24">
        <f>IF('Stammdaten'!$B8="","",INDEX(Daten!$C$2019:$J$2118,3,$C$4))</f>
        <v/>
      </c>
      <c r="I9" s="25">
        <f>IF(NOT(ISNUMBER(H9)),"",INDEX(Noten,MAX(1,MIN(COUNT(NGrenze),COUNT(NGrenze)+1-COUNTIF(NGrenze,"&lt;="&amp;H9))))&amp;" – "&amp;INDEX(NText,MAX(1,MIN(COUNT(NGrenze),COUNT(NGrenze)+1-COUNTIF(NGrenze,"&lt;="&amp;H9)))))</f>
        <v/>
      </c>
      <c r="J9" s="98">
        <f>IF('Stammdaten'!$B8="","",INDEX(Daten!$C$1914:$J$2013,3,$C$4))</f>
        <v/>
      </c>
      <c r="K9" s="24">
        <f>IF('Stammdaten'!$B8="","",INDEX(Daten!$C$2124:$J$2223,3,$C$4))</f>
        <v/>
      </c>
      <c r="L9" s="25">
        <f>IF(NOT(ISNUMBER(K9)),"",INDEX(Noten,MAX(1,MIN(COUNT(NGrenze),COUNT(NGrenze)+1-COUNTIF(NGrenze,"&lt;="&amp;K9))))&amp;" – "&amp;INDEX(NText,MAX(1,MIN(COUNT(NGrenze),COUNT(NGrenze)+1-COUNTIF(NGrenze,"&lt;="&amp;K9)))))</f>
        <v/>
      </c>
      <c r="M9" s="24">
        <f>IF('Stammdaten'!$B8="","",INDEX(Daten!$C$2229:$J$2328,3,$C$4))</f>
        <v/>
      </c>
      <c r="N9" s="25">
        <f>IF(NOT(ISNUMBER(M9)),"",INDEX(Noten,MAX(1,MIN(COUNT(NGrenze),COUNT(NGrenze)+1-COUNTIF(NGrenze,"&lt;="&amp;M9))))&amp;" – "&amp;INDEX(NText,MAX(1,MIN(COUNT(NGrenze),COUNT(NGrenze)+1-COUNTIF(NGrenze,"&lt;="&amp;M9)))))</f>
        <v/>
      </c>
      <c r="O9" s="99">
        <f>IF($A9="","",IF($G9=0,"keine Bewertung",IF($G9&lt;SchwelleDB,"wenig Datenbasis","")))&amp;IF(AND($A9&lt;&gt;"",'Stammdaten'!$G8&lt;&gt;"aktiv")," · "&amp;'Stammdaten'!$G8,"")</f>
        <v/>
      </c>
    </row>
    <row r="10" ht="22" customHeight="1">
      <c r="A10" s="19">
        <f>IF('Stammdaten'!$B9="","",4)</f>
        <v/>
      </c>
      <c r="B10" s="53">
        <f>IF('Stammdaten'!$B9="","",'Stammdaten'!$B9)</f>
        <v/>
      </c>
      <c r="C10" s="97">
        <f>IF('Stammdaten'!$B9="","",'Stammdaten'!$C9)</f>
        <v/>
      </c>
      <c r="D10" s="97">
        <f>IF('Stammdaten'!$B9="","",'Stammdaten'!$D9)</f>
        <v/>
      </c>
      <c r="E10" s="98">
        <f>IF('Stammdaten'!$B9="","",'Stammdaten'!$E9)</f>
        <v/>
      </c>
      <c r="F10" s="21">
        <f>IF('Stammdaten'!$B9="","",'Stammdaten'!$H9)</f>
        <v/>
      </c>
      <c r="G10" s="23">
        <f>IF('Stammdaten'!$B9="","",INDEX(Daten!$C$1704:$J$1803,4,$C$4))</f>
        <v/>
      </c>
      <c r="H10" s="24">
        <f>IF('Stammdaten'!$B9="","",INDEX(Daten!$C$2019:$J$2118,4,$C$4))</f>
        <v/>
      </c>
      <c r="I10" s="25">
        <f>IF(NOT(ISNUMBER(H10)),"",INDEX(Noten,MAX(1,MIN(COUNT(NGrenze),COUNT(NGrenze)+1-COUNTIF(NGrenze,"&lt;="&amp;H10))))&amp;" – "&amp;INDEX(NText,MAX(1,MIN(COUNT(NGrenze),COUNT(NGrenze)+1-COUNTIF(NGrenze,"&lt;="&amp;H10)))))</f>
        <v/>
      </c>
      <c r="J10" s="98">
        <f>IF('Stammdaten'!$B9="","",INDEX(Daten!$C$1914:$J$2013,4,$C$4))</f>
        <v/>
      </c>
      <c r="K10" s="24">
        <f>IF('Stammdaten'!$B9="","",INDEX(Daten!$C$2124:$J$2223,4,$C$4))</f>
        <v/>
      </c>
      <c r="L10" s="25">
        <f>IF(NOT(ISNUMBER(K10)),"",INDEX(Noten,MAX(1,MIN(COUNT(NGrenze),COUNT(NGrenze)+1-COUNTIF(NGrenze,"&lt;="&amp;K10))))&amp;" – "&amp;INDEX(NText,MAX(1,MIN(COUNT(NGrenze),COUNT(NGrenze)+1-COUNTIF(NGrenze,"&lt;="&amp;K10)))))</f>
        <v/>
      </c>
      <c r="M10" s="24">
        <f>IF('Stammdaten'!$B9="","",INDEX(Daten!$C$2229:$J$2328,4,$C$4))</f>
        <v/>
      </c>
      <c r="N10" s="25">
        <f>IF(NOT(ISNUMBER(M10)),"",INDEX(Noten,MAX(1,MIN(COUNT(NGrenze),COUNT(NGrenze)+1-COUNTIF(NGrenze,"&lt;="&amp;M10))))&amp;" – "&amp;INDEX(NText,MAX(1,MIN(COUNT(NGrenze),COUNT(NGrenze)+1-COUNTIF(NGrenze,"&lt;="&amp;M10)))))</f>
        <v/>
      </c>
      <c r="O10" s="99">
        <f>IF($A10="","",IF($G10=0,"keine Bewertung",IF($G10&lt;SchwelleDB,"wenig Datenbasis","")))&amp;IF(AND($A10&lt;&gt;"",'Stammdaten'!$G9&lt;&gt;"aktiv")," · "&amp;'Stammdaten'!$G9,"")</f>
        <v/>
      </c>
    </row>
    <row r="11" ht="22" customHeight="1">
      <c r="A11" s="19">
        <f>IF('Stammdaten'!$B10="","",5)</f>
        <v/>
      </c>
      <c r="B11" s="53">
        <f>IF('Stammdaten'!$B10="","",'Stammdaten'!$B10)</f>
        <v/>
      </c>
      <c r="C11" s="97">
        <f>IF('Stammdaten'!$B10="","",'Stammdaten'!$C10)</f>
        <v/>
      </c>
      <c r="D11" s="97">
        <f>IF('Stammdaten'!$B10="","",'Stammdaten'!$D10)</f>
        <v/>
      </c>
      <c r="E11" s="98">
        <f>IF('Stammdaten'!$B10="","",'Stammdaten'!$E10)</f>
        <v/>
      </c>
      <c r="F11" s="21">
        <f>IF('Stammdaten'!$B10="","",'Stammdaten'!$H10)</f>
        <v/>
      </c>
      <c r="G11" s="23">
        <f>IF('Stammdaten'!$B10="","",INDEX(Daten!$C$1704:$J$1803,5,$C$4))</f>
        <v/>
      </c>
      <c r="H11" s="24">
        <f>IF('Stammdaten'!$B10="","",INDEX(Daten!$C$2019:$J$2118,5,$C$4))</f>
        <v/>
      </c>
      <c r="I11" s="25">
        <f>IF(NOT(ISNUMBER(H11)),"",INDEX(Noten,MAX(1,MIN(COUNT(NGrenze),COUNT(NGrenze)+1-COUNTIF(NGrenze,"&lt;="&amp;H11))))&amp;" – "&amp;INDEX(NText,MAX(1,MIN(COUNT(NGrenze),COUNT(NGrenze)+1-COUNTIF(NGrenze,"&lt;="&amp;H11)))))</f>
        <v/>
      </c>
      <c r="J11" s="98">
        <f>IF('Stammdaten'!$B10="","",INDEX(Daten!$C$1914:$J$2013,5,$C$4))</f>
        <v/>
      </c>
      <c r="K11" s="24">
        <f>IF('Stammdaten'!$B10="","",INDEX(Daten!$C$2124:$J$2223,5,$C$4))</f>
        <v/>
      </c>
      <c r="L11" s="25">
        <f>IF(NOT(ISNUMBER(K11)),"",INDEX(Noten,MAX(1,MIN(COUNT(NGrenze),COUNT(NGrenze)+1-COUNTIF(NGrenze,"&lt;="&amp;K11))))&amp;" – "&amp;INDEX(NText,MAX(1,MIN(COUNT(NGrenze),COUNT(NGrenze)+1-COUNTIF(NGrenze,"&lt;="&amp;K11)))))</f>
        <v/>
      </c>
      <c r="M11" s="24">
        <f>IF('Stammdaten'!$B10="","",INDEX(Daten!$C$2229:$J$2328,5,$C$4))</f>
        <v/>
      </c>
      <c r="N11" s="25">
        <f>IF(NOT(ISNUMBER(M11)),"",INDEX(Noten,MAX(1,MIN(COUNT(NGrenze),COUNT(NGrenze)+1-COUNTIF(NGrenze,"&lt;="&amp;M11))))&amp;" – "&amp;INDEX(NText,MAX(1,MIN(COUNT(NGrenze),COUNT(NGrenze)+1-COUNTIF(NGrenze,"&lt;="&amp;M11)))))</f>
        <v/>
      </c>
      <c r="O11" s="99">
        <f>IF($A11="","",IF($G11=0,"keine Bewertung",IF($G11&lt;SchwelleDB,"wenig Datenbasis","")))&amp;IF(AND($A11&lt;&gt;"",'Stammdaten'!$G10&lt;&gt;"aktiv")," · "&amp;'Stammdaten'!$G10,"")</f>
        <v/>
      </c>
    </row>
    <row r="12" ht="22" customHeight="1">
      <c r="A12" s="19">
        <f>IF('Stammdaten'!$B11="","",6)</f>
        <v/>
      </c>
      <c r="B12" s="53">
        <f>IF('Stammdaten'!$B11="","",'Stammdaten'!$B11)</f>
        <v/>
      </c>
      <c r="C12" s="97">
        <f>IF('Stammdaten'!$B11="","",'Stammdaten'!$C11)</f>
        <v/>
      </c>
      <c r="D12" s="97">
        <f>IF('Stammdaten'!$B11="","",'Stammdaten'!$D11)</f>
        <v/>
      </c>
      <c r="E12" s="98">
        <f>IF('Stammdaten'!$B11="","",'Stammdaten'!$E11)</f>
        <v/>
      </c>
      <c r="F12" s="21">
        <f>IF('Stammdaten'!$B11="","",'Stammdaten'!$H11)</f>
        <v/>
      </c>
      <c r="G12" s="23">
        <f>IF('Stammdaten'!$B11="","",INDEX(Daten!$C$1704:$J$1803,6,$C$4))</f>
        <v/>
      </c>
      <c r="H12" s="24">
        <f>IF('Stammdaten'!$B11="","",INDEX(Daten!$C$2019:$J$2118,6,$C$4))</f>
        <v/>
      </c>
      <c r="I12" s="25">
        <f>IF(NOT(ISNUMBER(H12)),"",INDEX(Noten,MAX(1,MIN(COUNT(NGrenze),COUNT(NGrenze)+1-COUNTIF(NGrenze,"&lt;="&amp;H12))))&amp;" – "&amp;INDEX(NText,MAX(1,MIN(COUNT(NGrenze),COUNT(NGrenze)+1-COUNTIF(NGrenze,"&lt;="&amp;H12)))))</f>
        <v/>
      </c>
      <c r="J12" s="98">
        <f>IF('Stammdaten'!$B11="","",INDEX(Daten!$C$1914:$J$2013,6,$C$4))</f>
        <v/>
      </c>
      <c r="K12" s="24">
        <f>IF('Stammdaten'!$B11="","",INDEX(Daten!$C$2124:$J$2223,6,$C$4))</f>
        <v/>
      </c>
      <c r="L12" s="25">
        <f>IF(NOT(ISNUMBER(K12)),"",INDEX(Noten,MAX(1,MIN(COUNT(NGrenze),COUNT(NGrenze)+1-COUNTIF(NGrenze,"&lt;="&amp;K12))))&amp;" – "&amp;INDEX(NText,MAX(1,MIN(COUNT(NGrenze),COUNT(NGrenze)+1-COUNTIF(NGrenze,"&lt;="&amp;K12)))))</f>
        <v/>
      </c>
      <c r="M12" s="24">
        <f>IF('Stammdaten'!$B11="","",INDEX(Daten!$C$2229:$J$2328,6,$C$4))</f>
        <v/>
      </c>
      <c r="N12" s="25">
        <f>IF(NOT(ISNUMBER(M12)),"",INDEX(Noten,MAX(1,MIN(COUNT(NGrenze),COUNT(NGrenze)+1-COUNTIF(NGrenze,"&lt;="&amp;M12))))&amp;" – "&amp;INDEX(NText,MAX(1,MIN(COUNT(NGrenze),COUNT(NGrenze)+1-COUNTIF(NGrenze,"&lt;="&amp;M12)))))</f>
        <v/>
      </c>
      <c r="O12" s="99">
        <f>IF($A12="","",IF($G12=0,"keine Bewertung",IF($G12&lt;SchwelleDB,"wenig Datenbasis","")))&amp;IF(AND($A12&lt;&gt;"",'Stammdaten'!$G11&lt;&gt;"aktiv")," · "&amp;'Stammdaten'!$G11,"")</f>
        <v/>
      </c>
    </row>
    <row r="13" ht="22" customHeight="1">
      <c r="A13" s="19">
        <f>IF('Stammdaten'!$B12="","",7)</f>
        <v/>
      </c>
      <c r="B13" s="53">
        <f>IF('Stammdaten'!$B12="","",'Stammdaten'!$B12)</f>
        <v/>
      </c>
      <c r="C13" s="97">
        <f>IF('Stammdaten'!$B12="","",'Stammdaten'!$C12)</f>
        <v/>
      </c>
      <c r="D13" s="97">
        <f>IF('Stammdaten'!$B12="","",'Stammdaten'!$D12)</f>
        <v/>
      </c>
      <c r="E13" s="98">
        <f>IF('Stammdaten'!$B12="","",'Stammdaten'!$E12)</f>
        <v/>
      </c>
      <c r="F13" s="21">
        <f>IF('Stammdaten'!$B12="","",'Stammdaten'!$H12)</f>
        <v/>
      </c>
      <c r="G13" s="23">
        <f>IF('Stammdaten'!$B12="","",INDEX(Daten!$C$1704:$J$1803,7,$C$4))</f>
        <v/>
      </c>
      <c r="H13" s="24">
        <f>IF('Stammdaten'!$B12="","",INDEX(Daten!$C$2019:$J$2118,7,$C$4))</f>
        <v/>
      </c>
      <c r="I13" s="25">
        <f>IF(NOT(ISNUMBER(H13)),"",INDEX(Noten,MAX(1,MIN(COUNT(NGrenze),COUNT(NGrenze)+1-COUNTIF(NGrenze,"&lt;="&amp;H13))))&amp;" – "&amp;INDEX(NText,MAX(1,MIN(COUNT(NGrenze),COUNT(NGrenze)+1-COUNTIF(NGrenze,"&lt;="&amp;H13)))))</f>
        <v/>
      </c>
      <c r="J13" s="98">
        <f>IF('Stammdaten'!$B12="","",INDEX(Daten!$C$1914:$J$2013,7,$C$4))</f>
        <v/>
      </c>
      <c r="K13" s="24">
        <f>IF('Stammdaten'!$B12="","",INDEX(Daten!$C$2124:$J$2223,7,$C$4))</f>
        <v/>
      </c>
      <c r="L13" s="25">
        <f>IF(NOT(ISNUMBER(K13)),"",INDEX(Noten,MAX(1,MIN(COUNT(NGrenze),COUNT(NGrenze)+1-COUNTIF(NGrenze,"&lt;="&amp;K13))))&amp;" – "&amp;INDEX(NText,MAX(1,MIN(COUNT(NGrenze),COUNT(NGrenze)+1-COUNTIF(NGrenze,"&lt;="&amp;K13)))))</f>
        <v/>
      </c>
      <c r="M13" s="24">
        <f>IF('Stammdaten'!$B12="","",INDEX(Daten!$C$2229:$J$2328,7,$C$4))</f>
        <v/>
      </c>
      <c r="N13" s="25">
        <f>IF(NOT(ISNUMBER(M13)),"",INDEX(Noten,MAX(1,MIN(COUNT(NGrenze),COUNT(NGrenze)+1-COUNTIF(NGrenze,"&lt;="&amp;M13))))&amp;" – "&amp;INDEX(NText,MAX(1,MIN(COUNT(NGrenze),COUNT(NGrenze)+1-COUNTIF(NGrenze,"&lt;="&amp;M13)))))</f>
        <v/>
      </c>
      <c r="O13" s="99">
        <f>IF($A13="","",IF($G13=0,"keine Bewertung",IF($G13&lt;SchwelleDB,"wenig Datenbasis","")))&amp;IF(AND($A13&lt;&gt;"",'Stammdaten'!$G12&lt;&gt;"aktiv")," · "&amp;'Stammdaten'!$G12,"")</f>
        <v/>
      </c>
    </row>
    <row r="14" ht="22" customHeight="1">
      <c r="A14" s="19">
        <f>IF('Stammdaten'!$B13="","",8)</f>
        <v/>
      </c>
      <c r="B14" s="53">
        <f>IF('Stammdaten'!$B13="","",'Stammdaten'!$B13)</f>
        <v/>
      </c>
      <c r="C14" s="97">
        <f>IF('Stammdaten'!$B13="","",'Stammdaten'!$C13)</f>
        <v/>
      </c>
      <c r="D14" s="97">
        <f>IF('Stammdaten'!$B13="","",'Stammdaten'!$D13)</f>
        <v/>
      </c>
      <c r="E14" s="98">
        <f>IF('Stammdaten'!$B13="","",'Stammdaten'!$E13)</f>
        <v/>
      </c>
      <c r="F14" s="21">
        <f>IF('Stammdaten'!$B13="","",'Stammdaten'!$H13)</f>
        <v/>
      </c>
      <c r="G14" s="23">
        <f>IF('Stammdaten'!$B13="","",INDEX(Daten!$C$1704:$J$1803,8,$C$4))</f>
        <v/>
      </c>
      <c r="H14" s="24">
        <f>IF('Stammdaten'!$B13="","",INDEX(Daten!$C$2019:$J$2118,8,$C$4))</f>
        <v/>
      </c>
      <c r="I14" s="25">
        <f>IF(NOT(ISNUMBER(H14)),"",INDEX(Noten,MAX(1,MIN(COUNT(NGrenze),COUNT(NGrenze)+1-COUNTIF(NGrenze,"&lt;="&amp;H14))))&amp;" – "&amp;INDEX(NText,MAX(1,MIN(COUNT(NGrenze),COUNT(NGrenze)+1-COUNTIF(NGrenze,"&lt;="&amp;H14)))))</f>
        <v/>
      </c>
      <c r="J14" s="98">
        <f>IF('Stammdaten'!$B13="","",INDEX(Daten!$C$1914:$J$2013,8,$C$4))</f>
        <v/>
      </c>
      <c r="K14" s="24">
        <f>IF('Stammdaten'!$B13="","",INDEX(Daten!$C$2124:$J$2223,8,$C$4))</f>
        <v/>
      </c>
      <c r="L14" s="25">
        <f>IF(NOT(ISNUMBER(K14)),"",INDEX(Noten,MAX(1,MIN(COUNT(NGrenze),COUNT(NGrenze)+1-COUNTIF(NGrenze,"&lt;="&amp;K14))))&amp;" – "&amp;INDEX(NText,MAX(1,MIN(COUNT(NGrenze),COUNT(NGrenze)+1-COUNTIF(NGrenze,"&lt;="&amp;K14)))))</f>
        <v/>
      </c>
      <c r="M14" s="24">
        <f>IF('Stammdaten'!$B13="","",INDEX(Daten!$C$2229:$J$2328,8,$C$4))</f>
        <v/>
      </c>
      <c r="N14" s="25">
        <f>IF(NOT(ISNUMBER(M14)),"",INDEX(Noten,MAX(1,MIN(COUNT(NGrenze),COUNT(NGrenze)+1-COUNTIF(NGrenze,"&lt;="&amp;M14))))&amp;" – "&amp;INDEX(NText,MAX(1,MIN(COUNT(NGrenze),COUNT(NGrenze)+1-COUNTIF(NGrenze,"&lt;="&amp;M14)))))</f>
        <v/>
      </c>
      <c r="O14" s="99">
        <f>IF($A14="","",IF($G14=0,"keine Bewertung",IF($G14&lt;SchwelleDB,"wenig Datenbasis","")))&amp;IF(AND($A14&lt;&gt;"",'Stammdaten'!$G13&lt;&gt;"aktiv")," · "&amp;'Stammdaten'!$G13,"")</f>
        <v/>
      </c>
    </row>
    <row r="15" ht="22" customHeight="1">
      <c r="A15" s="19">
        <f>IF('Stammdaten'!$B14="","",9)</f>
        <v/>
      </c>
      <c r="B15" s="53">
        <f>IF('Stammdaten'!$B14="","",'Stammdaten'!$B14)</f>
        <v/>
      </c>
      <c r="C15" s="97">
        <f>IF('Stammdaten'!$B14="","",'Stammdaten'!$C14)</f>
        <v/>
      </c>
      <c r="D15" s="97">
        <f>IF('Stammdaten'!$B14="","",'Stammdaten'!$D14)</f>
        <v/>
      </c>
      <c r="E15" s="98">
        <f>IF('Stammdaten'!$B14="","",'Stammdaten'!$E14)</f>
        <v/>
      </c>
      <c r="F15" s="21">
        <f>IF('Stammdaten'!$B14="","",'Stammdaten'!$H14)</f>
        <v/>
      </c>
      <c r="G15" s="23">
        <f>IF('Stammdaten'!$B14="","",INDEX(Daten!$C$1704:$J$1803,9,$C$4))</f>
        <v/>
      </c>
      <c r="H15" s="24">
        <f>IF('Stammdaten'!$B14="","",INDEX(Daten!$C$2019:$J$2118,9,$C$4))</f>
        <v/>
      </c>
      <c r="I15" s="25">
        <f>IF(NOT(ISNUMBER(H15)),"",INDEX(Noten,MAX(1,MIN(COUNT(NGrenze),COUNT(NGrenze)+1-COUNTIF(NGrenze,"&lt;="&amp;H15))))&amp;" – "&amp;INDEX(NText,MAX(1,MIN(COUNT(NGrenze),COUNT(NGrenze)+1-COUNTIF(NGrenze,"&lt;="&amp;H15)))))</f>
        <v/>
      </c>
      <c r="J15" s="98">
        <f>IF('Stammdaten'!$B14="","",INDEX(Daten!$C$1914:$J$2013,9,$C$4))</f>
        <v/>
      </c>
      <c r="K15" s="24">
        <f>IF('Stammdaten'!$B14="","",INDEX(Daten!$C$2124:$J$2223,9,$C$4))</f>
        <v/>
      </c>
      <c r="L15" s="25">
        <f>IF(NOT(ISNUMBER(K15)),"",INDEX(Noten,MAX(1,MIN(COUNT(NGrenze),COUNT(NGrenze)+1-COUNTIF(NGrenze,"&lt;="&amp;K15))))&amp;" – "&amp;INDEX(NText,MAX(1,MIN(COUNT(NGrenze),COUNT(NGrenze)+1-COUNTIF(NGrenze,"&lt;="&amp;K15)))))</f>
        <v/>
      </c>
      <c r="M15" s="24">
        <f>IF('Stammdaten'!$B14="","",INDEX(Daten!$C$2229:$J$2328,9,$C$4))</f>
        <v/>
      </c>
      <c r="N15" s="25">
        <f>IF(NOT(ISNUMBER(M15)),"",INDEX(Noten,MAX(1,MIN(COUNT(NGrenze),COUNT(NGrenze)+1-COUNTIF(NGrenze,"&lt;="&amp;M15))))&amp;" – "&amp;INDEX(NText,MAX(1,MIN(COUNT(NGrenze),COUNT(NGrenze)+1-COUNTIF(NGrenze,"&lt;="&amp;M15)))))</f>
        <v/>
      </c>
      <c r="O15" s="99">
        <f>IF($A15="","",IF($G15=0,"keine Bewertung",IF($G15&lt;SchwelleDB,"wenig Datenbasis","")))&amp;IF(AND($A15&lt;&gt;"",'Stammdaten'!$G14&lt;&gt;"aktiv")," · "&amp;'Stammdaten'!$G14,"")</f>
        <v/>
      </c>
    </row>
    <row r="16" ht="22" customHeight="1">
      <c r="A16" s="19">
        <f>IF('Stammdaten'!$B15="","",10)</f>
        <v/>
      </c>
      <c r="B16" s="53">
        <f>IF('Stammdaten'!$B15="","",'Stammdaten'!$B15)</f>
        <v/>
      </c>
      <c r="C16" s="97">
        <f>IF('Stammdaten'!$B15="","",'Stammdaten'!$C15)</f>
        <v/>
      </c>
      <c r="D16" s="97">
        <f>IF('Stammdaten'!$B15="","",'Stammdaten'!$D15)</f>
        <v/>
      </c>
      <c r="E16" s="98">
        <f>IF('Stammdaten'!$B15="","",'Stammdaten'!$E15)</f>
        <v/>
      </c>
      <c r="F16" s="21">
        <f>IF('Stammdaten'!$B15="","",'Stammdaten'!$H15)</f>
        <v/>
      </c>
      <c r="G16" s="23">
        <f>IF('Stammdaten'!$B15="","",INDEX(Daten!$C$1704:$J$1803,10,$C$4))</f>
        <v/>
      </c>
      <c r="H16" s="24">
        <f>IF('Stammdaten'!$B15="","",INDEX(Daten!$C$2019:$J$2118,10,$C$4))</f>
        <v/>
      </c>
      <c r="I16" s="25">
        <f>IF(NOT(ISNUMBER(H16)),"",INDEX(Noten,MAX(1,MIN(COUNT(NGrenze),COUNT(NGrenze)+1-COUNTIF(NGrenze,"&lt;="&amp;H16))))&amp;" – "&amp;INDEX(NText,MAX(1,MIN(COUNT(NGrenze),COUNT(NGrenze)+1-COUNTIF(NGrenze,"&lt;="&amp;H16)))))</f>
        <v/>
      </c>
      <c r="J16" s="98">
        <f>IF('Stammdaten'!$B15="","",INDEX(Daten!$C$1914:$J$2013,10,$C$4))</f>
        <v/>
      </c>
      <c r="K16" s="24">
        <f>IF('Stammdaten'!$B15="","",INDEX(Daten!$C$2124:$J$2223,10,$C$4))</f>
        <v/>
      </c>
      <c r="L16" s="25">
        <f>IF(NOT(ISNUMBER(K16)),"",INDEX(Noten,MAX(1,MIN(COUNT(NGrenze),COUNT(NGrenze)+1-COUNTIF(NGrenze,"&lt;="&amp;K16))))&amp;" – "&amp;INDEX(NText,MAX(1,MIN(COUNT(NGrenze),COUNT(NGrenze)+1-COUNTIF(NGrenze,"&lt;="&amp;K16)))))</f>
        <v/>
      </c>
      <c r="M16" s="24">
        <f>IF('Stammdaten'!$B15="","",INDEX(Daten!$C$2229:$J$2328,10,$C$4))</f>
        <v/>
      </c>
      <c r="N16" s="25">
        <f>IF(NOT(ISNUMBER(M16)),"",INDEX(Noten,MAX(1,MIN(COUNT(NGrenze),COUNT(NGrenze)+1-COUNTIF(NGrenze,"&lt;="&amp;M16))))&amp;" – "&amp;INDEX(NText,MAX(1,MIN(COUNT(NGrenze),COUNT(NGrenze)+1-COUNTIF(NGrenze,"&lt;="&amp;M16)))))</f>
        <v/>
      </c>
      <c r="O16" s="99">
        <f>IF($A16="","",IF($G16=0,"keine Bewertung",IF($G16&lt;SchwelleDB,"wenig Datenbasis","")))&amp;IF(AND($A16&lt;&gt;"",'Stammdaten'!$G15&lt;&gt;"aktiv")," · "&amp;'Stammdaten'!$G15,"")</f>
        <v/>
      </c>
    </row>
    <row r="17" ht="22" customHeight="1">
      <c r="A17" s="19">
        <f>IF('Stammdaten'!$B16="","",11)</f>
        <v/>
      </c>
      <c r="B17" s="53">
        <f>IF('Stammdaten'!$B16="","",'Stammdaten'!$B16)</f>
        <v/>
      </c>
      <c r="C17" s="97">
        <f>IF('Stammdaten'!$B16="","",'Stammdaten'!$C16)</f>
        <v/>
      </c>
      <c r="D17" s="97">
        <f>IF('Stammdaten'!$B16="","",'Stammdaten'!$D16)</f>
        <v/>
      </c>
      <c r="E17" s="98">
        <f>IF('Stammdaten'!$B16="","",'Stammdaten'!$E16)</f>
        <v/>
      </c>
      <c r="F17" s="21">
        <f>IF('Stammdaten'!$B16="","",'Stammdaten'!$H16)</f>
        <v/>
      </c>
      <c r="G17" s="23">
        <f>IF('Stammdaten'!$B16="","",INDEX(Daten!$C$1704:$J$1803,11,$C$4))</f>
        <v/>
      </c>
      <c r="H17" s="24">
        <f>IF('Stammdaten'!$B16="","",INDEX(Daten!$C$2019:$J$2118,11,$C$4))</f>
        <v/>
      </c>
      <c r="I17" s="25">
        <f>IF(NOT(ISNUMBER(H17)),"",INDEX(Noten,MAX(1,MIN(COUNT(NGrenze),COUNT(NGrenze)+1-COUNTIF(NGrenze,"&lt;="&amp;H17))))&amp;" – "&amp;INDEX(NText,MAX(1,MIN(COUNT(NGrenze),COUNT(NGrenze)+1-COUNTIF(NGrenze,"&lt;="&amp;H17)))))</f>
        <v/>
      </c>
      <c r="J17" s="98">
        <f>IF('Stammdaten'!$B16="","",INDEX(Daten!$C$1914:$J$2013,11,$C$4))</f>
        <v/>
      </c>
      <c r="K17" s="24">
        <f>IF('Stammdaten'!$B16="","",INDEX(Daten!$C$2124:$J$2223,11,$C$4))</f>
        <v/>
      </c>
      <c r="L17" s="25">
        <f>IF(NOT(ISNUMBER(K17)),"",INDEX(Noten,MAX(1,MIN(COUNT(NGrenze),COUNT(NGrenze)+1-COUNTIF(NGrenze,"&lt;="&amp;K17))))&amp;" – "&amp;INDEX(NText,MAX(1,MIN(COUNT(NGrenze),COUNT(NGrenze)+1-COUNTIF(NGrenze,"&lt;="&amp;K17)))))</f>
        <v/>
      </c>
      <c r="M17" s="24">
        <f>IF('Stammdaten'!$B16="","",INDEX(Daten!$C$2229:$J$2328,11,$C$4))</f>
        <v/>
      </c>
      <c r="N17" s="25">
        <f>IF(NOT(ISNUMBER(M17)),"",INDEX(Noten,MAX(1,MIN(COUNT(NGrenze),COUNT(NGrenze)+1-COUNTIF(NGrenze,"&lt;="&amp;M17))))&amp;" – "&amp;INDEX(NText,MAX(1,MIN(COUNT(NGrenze),COUNT(NGrenze)+1-COUNTIF(NGrenze,"&lt;="&amp;M17)))))</f>
        <v/>
      </c>
      <c r="O17" s="99">
        <f>IF($A17="","",IF($G17=0,"keine Bewertung",IF($G17&lt;SchwelleDB,"wenig Datenbasis","")))&amp;IF(AND($A17&lt;&gt;"",'Stammdaten'!$G16&lt;&gt;"aktiv")," · "&amp;'Stammdaten'!$G16,"")</f>
        <v/>
      </c>
    </row>
    <row r="18" ht="22" customHeight="1">
      <c r="A18" s="19">
        <f>IF('Stammdaten'!$B17="","",12)</f>
        <v/>
      </c>
      <c r="B18" s="53">
        <f>IF('Stammdaten'!$B17="","",'Stammdaten'!$B17)</f>
        <v/>
      </c>
      <c r="C18" s="97">
        <f>IF('Stammdaten'!$B17="","",'Stammdaten'!$C17)</f>
        <v/>
      </c>
      <c r="D18" s="97">
        <f>IF('Stammdaten'!$B17="","",'Stammdaten'!$D17)</f>
        <v/>
      </c>
      <c r="E18" s="98">
        <f>IF('Stammdaten'!$B17="","",'Stammdaten'!$E17)</f>
        <v/>
      </c>
      <c r="F18" s="21">
        <f>IF('Stammdaten'!$B17="","",'Stammdaten'!$H17)</f>
        <v/>
      </c>
      <c r="G18" s="23">
        <f>IF('Stammdaten'!$B17="","",INDEX(Daten!$C$1704:$J$1803,12,$C$4))</f>
        <v/>
      </c>
      <c r="H18" s="24">
        <f>IF('Stammdaten'!$B17="","",INDEX(Daten!$C$2019:$J$2118,12,$C$4))</f>
        <v/>
      </c>
      <c r="I18" s="25">
        <f>IF(NOT(ISNUMBER(H18)),"",INDEX(Noten,MAX(1,MIN(COUNT(NGrenze),COUNT(NGrenze)+1-COUNTIF(NGrenze,"&lt;="&amp;H18))))&amp;" – "&amp;INDEX(NText,MAX(1,MIN(COUNT(NGrenze),COUNT(NGrenze)+1-COUNTIF(NGrenze,"&lt;="&amp;H18)))))</f>
        <v/>
      </c>
      <c r="J18" s="98">
        <f>IF('Stammdaten'!$B17="","",INDEX(Daten!$C$1914:$J$2013,12,$C$4))</f>
        <v/>
      </c>
      <c r="K18" s="24">
        <f>IF('Stammdaten'!$B17="","",INDEX(Daten!$C$2124:$J$2223,12,$C$4))</f>
        <v/>
      </c>
      <c r="L18" s="25">
        <f>IF(NOT(ISNUMBER(K18)),"",INDEX(Noten,MAX(1,MIN(COUNT(NGrenze),COUNT(NGrenze)+1-COUNTIF(NGrenze,"&lt;="&amp;K18))))&amp;" – "&amp;INDEX(NText,MAX(1,MIN(COUNT(NGrenze),COUNT(NGrenze)+1-COUNTIF(NGrenze,"&lt;="&amp;K18)))))</f>
        <v/>
      </c>
      <c r="M18" s="24">
        <f>IF('Stammdaten'!$B17="","",INDEX(Daten!$C$2229:$J$2328,12,$C$4))</f>
        <v/>
      </c>
      <c r="N18" s="25">
        <f>IF(NOT(ISNUMBER(M18)),"",INDEX(Noten,MAX(1,MIN(COUNT(NGrenze),COUNT(NGrenze)+1-COUNTIF(NGrenze,"&lt;="&amp;M18))))&amp;" – "&amp;INDEX(NText,MAX(1,MIN(COUNT(NGrenze),COUNT(NGrenze)+1-COUNTIF(NGrenze,"&lt;="&amp;M18)))))</f>
        <v/>
      </c>
      <c r="O18" s="99">
        <f>IF($A18="","",IF($G18=0,"keine Bewertung",IF($G18&lt;SchwelleDB,"wenig Datenbasis","")))&amp;IF(AND($A18&lt;&gt;"",'Stammdaten'!$G17&lt;&gt;"aktiv")," · "&amp;'Stammdaten'!$G17,"")</f>
        <v/>
      </c>
    </row>
    <row r="19" ht="22" customHeight="1">
      <c r="A19" s="19">
        <f>IF('Stammdaten'!$B18="","",13)</f>
        <v/>
      </c>
      <c r="B19" s="53">
        <f>IF('Stammdaten'!$B18="","",'Stammdaten'!$B18)</f>
        <v/>
      </c>
      <c r="C19" s="97">
        <f>IF('Stammdaten'!$B18="","",'Stammdaten'!$C18)</f>
        <v/>
      </c>
      <c r="D19" s="97">
        <f>IF('Stammdaten'!$B18="","",'Stammdaten'!$D18)</f>
        <v/>
      </c>
      <c r="E19" s="98">
        <f>IF('Stammdaten'!$B18="","",'Stammdaten'!$E18)</f>
        <v/>
      </c>
      <c r="F19" s="21">
        <f>IF('Stammdaten'!$B18="","",'Stammdaten'!$H18)</f>
        <v/>
      </c>
      <c r="G19" s="23">
        <f>IF('Stammdaten'!$B18="","",INDEX(Daten!$C$1704:$J$1803,13,$C$4))</f>
        <v/>
      </c>
      <c r="H19" s="24">
        <f>IF('Stammdaten'!$B18="","",INDEX(Daten!$C$2019:$J$2118,13,$C$4))</f>
        <v/>
      </c>
      <c r="I19" s="25">
        <f>IF(NOT(ISNUMBER(H19)),"",INDEX(Noten,MAX(1,MIN(COUNT(NGrenze),COUNT(NGrenze)+1-COUNTIF(NGrenze,"&lt;="&amp;H19))))&amp;" – "&amp;INDEX(NText,MAX(1,MIN(COUNT(NGrenze),COUNT(NGrenze)+1-COUNTIF(NGrenze,"&lt;="&amp;H19)))))</f>
        <v/>
      </c>
      <c r="J19" s="98">
        <f>IF('Stammdaten'!$B18="","",INDEX(Daten!$C$1914:$J$2013,13,$C$4))</f>
        <v/>
      </c>
      <c r="K19" s="24">
        <f>IF('Stammdaten'!$B18="","",INDEX(Daten!$C$2124:$J$2223,13,$C$4))</f>
        <v/>
      </c>
      <c r="L19" s="25">
        <f>IF(NOT(ISNUMBER(K19)),"",INDEX(Noten,MAX(1,MIN(COUNT(NGrenze),COUNT(NGrenze)+1-COUNTIF(NGrenze,"&lt;="&amp;K19))))&amp;" – "&amp;INDEX(NText,MAX(1,MIN(COUNT(NGrenze),COUNT(NGrenze)+1-COUNTIF(NGrenze,"&lt;="&amp;K19)))))</f>
        <v/>
      </c>
      <c r="M19" s="24">
        <f>IF('Stammdaten'!$B18="","",INDEX(Daten!$C$2229:$J$2328,13,$C$4))</f>
        <v/>
      </c>
      <c r="N19" s="25">
        <f>IF(NOT(ISNUMBER(M19)),"",INDEX(Noten,MAX(1,MIN(COUNT(NGrenze),COUNT(NGrenze)+1-COUNTIF(NGrenze,"&lt;="&amp;M19))))&amp;" – "&amp;INDEX(NText,MAX(1,MIN(COUNT(NGrenze),COUNT(NGrenze)+1-COUNTIF(NGrenze,"&lt;="&amp;M19)))))</f>
        <v/>
      </c>
      <c r="O19" s="99">
        <f>IF($A19="","",IF($G19=0,"keine Bewertung",IF($G19&lt;SchwelleDB,"wenig Datenbasis","")))&amp;IF(AND($A19&lt;&gt;"",'Stammdaten'!$G18&lt;&gt;"aktiv")," · "&amp;'Stammdaten'!$G18,"")</f>
        <v/>
      </c>
    </row>
    <row r="20" ht="22" customHeight="1">
      <c r="A20" s="19">
        <f>IF('Stammdaten'!$B19="","",14)</f>
        <v/>
      </c>
      <c r="B20" s="53">
        <f>IF('Stammdaten'!$B19="","",'Stammdaten'!$B19)</f>
        <v/>
      </c>
      <c r="C20" s="97">
        <f>IF('Stammdaten'!$B19="","",'Stammdaten'!$C19)</f>
        <v/>
      </c>
      <c r="D20" s="97">
        <f>IF('Stammdaten'!$B19="","",'Stammdaten'!$D19)</f>
        <v/>
      </c>
      <c r="E20" s="98">
        <f>IF('Stammdaten'!$B19="","",'Stammdaten'!$E19)</f>
        <v/>
      </c>
      <c r="F20" s="21">
        <f>IF('Stammdaten'!$B19="","",'Stammdaten'!$H19)</f>
        <v/>
      </c>
      <c r="G20" s="23">
        <f>IF('Stammdaten'!$B19="","",INDEX(Daten!$C$1704:$J$1803,14,$C$4))</f>
        <v/>
      </c>
      <c r="H20" s="24">
        <f>IF('Stammdaten'!$B19="","",INDEX(Daten!$C$2019:$J$2118,14,$C$4))</f>
        <v/>
      </c>
      <c r="I20" s="25">
        <f>IF(NOT(ISNUMBER(H20)),"",INDEX(Noten,MAX(1,MIN(COUNT(NGrenze),COUNT(NGrenze)+1-COUNTIF(NGrenze,"&lt;="&amp;H20))))&amp;" – "&amp;INDEX(NText,MAX(1,MIN(COUNT(NGrenze),COUNT(NGrenze)+1-COUNTIF(NGrenze,"&lt;="&amp;H20)))))</f>
        <v/>
      </c>
      <c r="J20" s="98">
        <f>IF('Stammdaten'!$B19="","",INDEX(Daten!$C$1914:$J$2013,14,$C$4))</f>
        <v/>
      </c>
      <c r="K20" s="24">
        <f>IF('Stammdaten'!$B19="","",INDEX(Daten!$C$2124:$J$2223,14,$C$4))</f>
        <v/>
      </c>
      <c r="L20" s="25">
        <f>IF(NOT(ISNUMBER(K20)),"",INDEX(Noten,MAX(1,MIN(COUNT(NGrenze),COUNT(NGrenze)+1-COUNTIF(NGrenze,"&lt;="&amp;K20))))&amp;" – "&amp;INDEX(NText,MAX(1,MIN(COUNT(NGrenze),COUNT(NGrenze)+1-COUNTIF(NGrenze,"&lt;="&amp;K20)))))</f>
        <v/>
      </c>
      <c r="M20" s="24">
        <f>IF('Stammdaten'!$B19="","",INDEX(Daten!$C$2229:$J$2328,14,$C$4))</f>
        <v/>
      </c>
      <c r="N20" s="25">
        <f>IF(NOT(ISNUMBER(M20)),"",INDEX(Noten,MAX(1,MIN(COUNT(NGrenze),COUNT(NGrenze)+1-COUNTIF(NGrenze,"&lt;="&amp;M20))))&amp;" – "&amp;INDEX(NText,MAX(1,MIN(COUNT(NGrenze),COUNT(NGrenze)+1-COUNTIF(NGrenze,"&lt;="&amp;M20)))))</f>
        <v/>
      </c>
      <c r="O20" s="99">
        <f>IF($A20="","",IF($G20=0,"keine Bewertung",IF($G20&lt;SchwelleDB,"wenig Datenbasis","")))&amp;IF(AND($A20&lt;&gt;"",'Stammdaten'!$G19&lt;&gt;"aktiv")," · "&amp;'Stammdaten'!$G19,"")</f>
        <v/>
      </c>
    </row>
    <row r="21" ht="22" customHeight="1">
      <c r="A21" s="19">
        <f>IF('Stammdaten'!$B20="","",15)</f>
        <v/>
      </c>
      <c r="B21" s="53">
        <f>IF('Stammdaten'!$B20="","",'Stammdaten'!$B20)</f>
        <v/>
      </c>
      <c r="C21" s="97">
        <f>IF('Stammdaten'!$B20="","",'Stammdaten'!$C20)</f>
        <v/>
      </c>
      <c r="D21" s="97">
        <f>IF('Stammdaten'!$B20="","",'Stammdaten'!$D20)</f>
        <v/>
      </c>
      <c r="E21" s="98">
        <f>IF('Stammdaten'!$B20="","",'Stammdaten'!$E20)</f>
        <v/>
      </c>
      <c r="F21" s="21">
        <f>IF('Stammdaten'!$B20="","",'Stammdaten'!$H20)</f>
        <v/>
      </c>
      <c r="G21" s="23">
        <f>IF('Stammdaten'!$B20="","",INDEX(Daten!$C$1704:$J$1803,15,$C$4))</f>
        <v/>
      </c>
      <c r="H21" s="24">
        <f>IF('Stammdaten'!$B20="","",INDEX(Daten!$C$2019:$J$2118,15,$C$4))</f>
        <v/>
      </c>
      <c r="I21" s="25">
        <f>IF(NOT(ISNUMBER(H21)),"",INDEX(Noten,MAX(1,MIN(COUNT(NGrenze),COUNT(NGrenze)+1-COUNTIF(NGrenze,"&lt;="&amp;H21))))&amp;" – "&amp;INDEX(NText,MAX(1,MIN(COUNT(NGrenze),COUNT(NGrenze)+1-COUNTIF(NGrenze,"&lt;="&amp;H21)))))</f>
        <v/>
      </c>
      <c r="J21" s="98">
        <f>IF('Stammdaten'!$B20="","",INDEX(Daten!$C$1914:$J$2013,15,$C$4))</f>
        <v/>
      </c>
      <c r="K21" s="24">
        <f>IF('Stammdaten'!$B20="","",INDEX(Daten!$C$2124:$J$2223,15,$C$4))</f>
        <v/>
      </c>
      <c r="L21" s="25">
        <f>IF(NOT(ISNUMBER(K21)),"",INDEX(Noten,MAX(1,MIN(COUNT(NGrenze),COUNT(NGrenze)+1-COUNTIF(NGrenze,"&lt;="&amp;K21))))&amp;" – "&amp;INDEX(NText,MAX(1,MIN(COUNT(NGrenze),COUNT(NGrenze)+1-COUNTIF(NGrenze,"&lt;="&amp;K21)))))</f>
        <v/>
      </c>
      <c r="M21" s="24">
        <f>IF('Stammdaten'!$B20="","",INDEX(Daten!$C$2229:$J$2328,15,$C$4))</f>
        <v/>
      </c>
      <c r="N21" s="25">
        <f>IF(NOT(ISNUMBER(M21)),"",INDEX(Noten,MAX(1,MIN(COUNT(NGrenze),COUNT(NGrenze)+1-COUNTIF(NGrenze,"&lt;="&amp;M21))))&amp;" – "&amp;INDEX(NText,MAX(1,MIN(COUNT(NGrenze),COUNT(NGrenze)+1-COUNTIF(NGrenze,"&lt;="&amp;M21)))))</f>
        <v/>
      </c>
      <c r="O21" s="99">
        <f>IF($A21="","",IF($G21=0,"keine Bewertung",IF($G21&lt;SchwelleDB,"wenig Datenbasis","")))&amp;IF(AND($A21&lt;&gt;"",'Stammdaten'!$G20&lt;&gt;"aktiv")," · "&amp;'Stammdaten'!$G20,"")</f>
        <v/>
      </c>
    </row>
    <row r="22" ht="22" customHeight="1">
      <c r="A22" s="19">
        <f>IF('Stammdaten'!$B21="","",16)</f>
        <v/>
      </c>
      <c r="B22" s="53">
        <f>IF('Stammdaten'!$B21="","",'Stammdaten'!$B21)</f>
        <v/>
      </c>
      <c r="C22" s="97">
        <f>IF('Stammdaten'!$B21="","",'Stammdaten'!$C21)</f>
        <v/>
      </c>
      <c r="D22" s="97">
        <f>IF('Stammdaten'!$B21="","",'Stammdaten'!$D21)</f>
        <v/>
      </c>
      <c r="E22" s="98">
        <f>IF('Stammdaten'!$B21="","",'Stammdaten'!$E21)</f>
        <v/>
      </c>
      <c r="F22" s="21">
        <f>IF('Stammdaten'!$B21="","",'Stammdaten'!$H21)</f>
        <v/>
      </c>
      <c r="G22" s="23">
        <f>IF('Stammdaten'!$B21="","",INDEX(Daten!$C$1704:$J$1803,16,$C$4))</f>
        <v/>
      </c>
      <c r="H22" s="24">
        <f>IF('Stammdaten'!$B21="","",INDEX(Daten!$C$2019:$J$2118,16,$C$4))</f>
        <v/>
      </c>
      <c r="I22" s="25">
        <f>IF(NOT(ISNUMBER(H22)),"",INDEX(Noten,MAX(1,MIN(COUNT(NGrenze),COUNT(NGrenze)+1-COUNTIF(NGrenze,"&lt;="&amp;H22))))&amp;" – "&amp;INDEX(NText,MAX(1,MIN(COUNT(NGrenze),COUNT(NGrenze)+1-COUNTIF(NGrenze,"&lt;="&amp;H22)))))</f>
        <v/>
      </c>
      <c r="J22" s="98">
        <f>IF('Stammdaten'!$B21="","",INDEX(Daten!$C$1914:$J$2013,16,$C$4))</f>
        <v/>
      </c>
      <c r="K22" s="24">
        <f>IF('Stammdaten'!$B21="","",INDEX(Daten!$C$2124:$J$2223,16,$C$4))</f>
        <v/>
      </c>
      <c r="L22" s="25">
        <f>IF(NOT(ISNUMBER(K22)),"",INDEX(Noten,MAX(1,MIN(COUNT(NGrenze),COUNT(NGrenze)+1-COUNTIF(NGrenze,"&lt;="&amp;K22))))&amp;" – "&amp;INDEX(NText,MAX(1,MIN(COUNT(NGrenze),COUNT(NGrenze)+1-COUNTIF(NGrenze,"&lt;="&amp;K22)))))</f>
        <v/>
      </c>
      <c r="M22" s="24">
        <f>IF('Stammdaten'!$B21="","",INDEX(Daten!$C$2229:$J$2328,16,$C$4))</f>
        <v/>
      </c>
      <c r="N22" s="25">
        <f>IF(NOT(ISNUMBER(M22)),"",INDEX(Noten,MAX(1,MIN(COUNT(NGrenze),COUNT(NGrenze)+1-COUNTIF(NGrenze,"&lt;="&amp;M22))))&amp;" – "&amp;INDEX(NText,MAX(1,MIN(COUNT(NGrenze),COUNT(NGrenze)+1-COUNTIF(NGrenze,"&lt;="&amp;M22)))))</f>
        <v/>
      </c>
      <c r="O22" s="99">
        <f>IF($A22="","",IF($G22=0,"keine Bewertung",IF($G22&lt;SchwelleDB,"wenig Datenbasis","")))&amp;IF(AND($A22&lt;&gt;"",'Stammdaten'!$G21&lt;&gt;"aktiv")," · "&amp;'Stammdaten'!$G21,"")</f>
        <v/>
      </c>
    </row>
    <row r="23" ht="22" customHeight="1">
      <c r="A23" s="19">
        <f>IF('Stammdaten'!$B22="","",17)</f>
        <v/>
      </c>
      <c r="B23" s="53">
        <f>IF('Stammdaten'!$B22="","",'Stammdaten'!$B22)</f>
        <v/>
      </c>
      <c r="C23" s="97">
        <f>IF('Stammdaten'!$B22="","",'Stammdaten'!$C22)</f>
        <v/>
      </c>
      <c r="D23" s="97">
        <f>IF('Stammdaten'!$B22="","",'Stammdaten'!$D22)</f>
        <v/>
      </c>
      <c r="E23" s="98">
        <f>IF('Stammdaten'!$B22="","",'Stammdaten'!$E22)</f>
        <v/>
      </c>
      <c r="F23" s="21">
        <f>IF('Stammdaten'!$B22="","",'Stammdaten'!$H22)</f>
        <v/>
      </c>
      <c r="G23" s="23">
        <f>IF('Stammdaten'!$B22="","",INDEX(Daten!$C$1704:$J$1803,17,$C$4))</f>
        <v/>
      </c>
      <c r="H23" s="24">
        <f>IF('Stammdaten'!$B22="","",INDEX(Daten!$C$2019:$J$2118,17,$C$4))</f>
        <v/>
      </c>
      <c r="I23" s="25">
        <f>IF(NOT(ISNUMBER(H23)),"",INDEX(Noten,MAX(1,MIN(COUNT(NGrenze),COUNT(NGrenze)+1-COUNTIF(NGrenze,"&lt;="&amp;H23))))&amp;" – "&amp;INDEX(NText,MAX(1,MIN(COUNT(NGrenze),COUNT(NGrenze)+1-COUNTIF(NGrenze,"&lt;="&amp;H23)))))</f>
        <v/>
      </c>
      <c r="J23" s="98">
        <f>IF('Stammdaten'!$B22="","",INDEX(Daten!$C$1914:$J$2013,17,$C$4))</f>
        <v/>
      </c>
      <c r="K23" s="24">
        <f>IF('Stammdaten'!$B22="","",INDEX(Daten!$C$2124:$J$2223,17,$C$4))</f>
        <v/>
      </c>
      <c r="L23" s="25">
        <f>IF(NOT(ISNUMBER(K23)),"",INDEX(Noten,MAX(1,MIN(COUNT(NGrenze),COUNT(NGrenze)+1-COUNTIF(NGrenze,"&lt;="&amp;K23))))&amp;" – "&amp;INDEX(NText,MAX(1,MIN(COUNT(NGrenze),COUNT(NGrenze)+1-COUNTIF(NGrenze,"&lt;="&amp;K23)))))</f>
        <v/>
      </c>
      <c r="M23" s="24">
        <f>IF('Stammdaten'!$B22="","",INDEX(Daten!$C$2229:$J$2328,17,$C$4))</f>
        <v/>
      </c>
      <c r="N23" s="25">
        <f>IF(NOT(ISNUMBER(M23)),"",INDEX(Noten,MAX(1,MIN(COUNT(NGrenze),COUNT(NGrenze)+1-COUNTIF(NGrenze,"&lt;="&amp;M23))))&amp;" – "&amp;INDEX(NText,MAX(1,MIN(COUNT(NGrenze),COUNT(NGrenze)+1-COUNTIF(NGrenze,"&lt;="&amp;M23)))))</f>
        <v/>
      </c>
      <c r="O23" s="99">
        <f>IF($A23="","",IF($G23=0,"keine Bewertung",IF($G23&lt;SchwelleDB,"wenig Datenbasis","")))&amp;IF(AND($A23&lt;&gt;"",'Stammdaten'!$G22&lt;&gt;"aktiv")," · "&amp;'Stammdaten'!$G22,"")</f>
        <v/>
      </c>
    </row>
    <row r="24" ht="22" customHeight="1">
      <c r="A24" s="19">
        <f>IF('Stammdaten'!$B23="","",18)</f>
        <v/>
      </c>
      <c r="B24" s="53">
        <f>IF('Stammdaten'!$B23="","",'Stammdaten'!$B23)</f>
        <v/>
      </c>
      <c r="C24" s="97">
        <f>IF('Stammdaten'!$B23="","",'Stammdaten'!$C23)</f>
        <v/>
      </c>
      <c r="D24" s="97">
        <f>IF('Stammdaten'!$B23="","",'Stammdaten'!$D23)</f>
        <v/>
      </c>
      <c r="E24" s="98">
        <f>IF('Stammdaten'!$B23="","",'Stammdaten'!$E23)</f>
        <v/>
      </c>
      <c r="F24" s="21">
        <f>IF('Stammdaten'!$B23="","",'Stammdaten'!$H23)</f>
        <v/>
      </c>
      <c r="G24" s="23">
        <f>IF('Stammdaten'!$B23="","",INDEX(Daten!$C$1704:$J$1803,18,$C$4))</f>
        <v/>
      </c>
      <c r="H24" s="24">
        <f>IF('Stammdaten'!$B23="","",INDEX(Daten!$C$2019:$J$2118,18,$C$4))</f>
        <v/>
      </c>
      <c r="I24" s="25">
        <f>IF(NOT(ISNUMBER(H24)),"",INDEX(Noten,MAX(1,MIN(COUNT(NGrenze),COUNT(NGrenze)+1-COUNTIF(NGrenze,"&lt;="&amp;H24))))&amp;" – "&amp;INDEX(NText,MAX(1,MIN(COUNT(NGrenze),COUNT(NGrenze)+1-COUNTIF(NGrenze,"&lt;="&amp;H24)))))</f>
        <v/>
      </c>
      <c r="J24" s="98">
        <f>IF('Stammdaten'!$B23="","",INDEX(Daten!$C$1914:$J$2013,18,$C$4))</f>
        <v/>
      </c>
      <c r="K24" s="24">
        <f>IF('Stammdaten'!$B23="","",INDEX(Daten!$C$2124:$J$2223,18,$C$4))</f>
        <v/>
      </c>
      <c r="L24" s="25">
        <f>IF(NOT(ISNUMBER(K24)),"",INDEX(Noten,MAX(1,MIN(COUNT(NGrenze),COUNT(NGrenze)+1-COUNTIF(NGrenze,"&lt;="&amp;K24))))&amp;" – "&amp;INDEX(NText,MAX(1,MIN(COUNT(NGrenze),COUNT(NGrenze)+1-COUNTIF(NGrenze,"&lt;="&amp;K24)))))</f>
        <v/>
      </c>
      <c r="M24" s="24">
        <f>IF('Stammdaten'!$B23="","",INDEX(Daten!$C$2229:$J$2328,18,$C$4))</f>
        <v/>
      </c>
      <c r="N24" s="25">
        <f>IF(NOT(ISNUMBER(M24)),"",INDEX(Noten,MAX(1,MIN(COUNT(NGrenze),COUNT(NGrenze)+1-COUNTIF(NGrenze,"&lt;="&amp;M24))))&amp;" – "&amp;INDEX(NText,MAX(1,MIN(COUNT(NGrenze),COUNT(NGrenze)+1-COUNTIF(NGrenze,"&lt;="&amp;M24)))))</f>
        <v/>
      </c>
      <c r="O24" s="99">
        <f>IF($A24="","",IF($G24=0,"keine Bewertung",IF($G24&lt;SchwelleDB,"wenig Datenbasis","")))&amp;IF(AND($A24&lt;&gt;"",'Stammdaten'!$G23&lt;&gt;"aktiv")," · "&amp;'Stammdaten'!$G23,"")</f>
        <v/>
      </c>
    </row>
    <row r="25" ht="22" customHeight="1">
      <c r="A25" s="19">
        <f>IF('Stammdaten'!$B24="","",19)</f>
        <v/>
      </c>
      <c r="B25" s="53">
        <f>IF('Stammdaten'!$B24="","",'Stammdaten'!$B24)</f>
        <v/>
      </c>
      <c r="C25" s="97">
        <f>IF('Stammdaten'!$B24="","",'Stammdaten'!$C24)</f>
        <v/>
      </c>
      <c r="D25" s="97">
        <f>IF('Stammdaten'!$B24="","",'Stammdaten'!$D24)</f>
        <v/>
      </c>
      <c r="E25" s="98">
        <f>IF('Stammdaten'!$B24="","",'Stammdaten'!$E24)</f>
        <v/>
      </c>
      <c r="F25" s="21">
        <f>IF('Stammdaten'!$B24="","",'Stammdaten'!$H24)</f>
        <v/>
      </c>
      <c r="G25" s="23">
        <f>IF('Stammdaten'!$B24="","",INDEX(Daten!$C$1704:$J$1803,19,$C$4))</f>
        <v/>
      </c>
      <c r="H25" s="24">
        <f>IF('Stammdaten'!$B24="","",INDEX(Daten!$C$2019:$J$2118,19,$C$4))</f>
        <v/>
      </c>
      <c r="I25" s="25">
        <f>IF(NOT(ISNUMBER(H25)),"",INDEX(Noten,MAX(1,MIN(COUNT(NGrenze),COUNT(NGrenze)+1-COUNTIF(NGrenze,"&lt;="&amp;H25))))&amp;" – "&amp;INDEX(NText,MAX(1,MIN(COUNT(NGrenze),COUNT(NGrenze)+1-COUNTIF(NGrenze,"&lt;="&amp;H25)))))</f>
        <v/>
      </c>
      <c r="J25" s="98">
        <f>IF('Stammdaten'!$B24="","",INDEX(Daten!$C$1914:$J$2013,19,$C$4))</f>
        <v/>
      </c>
      <c r="K25" s="24">
        <f>IF('Stammdaten'!$B24="","",INDEX(Daten!$C$2124:$J$2223,19,$C$4))</f>
        <v/>
      </c>
      <c r="L25" s="25">
        <f>IF(NOT(ISNUMBER(K25)),"",INDEX(Noten,MAX(1,MIN(COUNT(NGrenze),COUNT(NGrenze)+1-COUNTIF(NGrenze,"&lt;="&amp;K25))))&amp;" – "&amp;INDEX(NText,MAX(1,MIN(COUNT(NGrenze),COUNT(NGrenze)+1-COUNTIF(NGrenze,"&lt;="&amp;K25)))))</f>
        <v/>
      </c>
      <c r="M25" s="24">
        <f>IF('Stammdaten'!$B24="","",INDEX(Daten!$C$2229:$J$2328,19,$C$4))</f>
        <v/>
      </c>
      <c r="N25" s="25">
        <f>IF(NOT(ISNUMBER(M25)),"",INDEX(Noten,MAX(1,MIN(COUNT(NGrenze),COUNT(NGrenze)+1-COUNTIF(NGrenze,"&lt;="&amp;M25))))&amp;" – "&amp;INDEX(NText,MAX(1,MIN(COUNT(NGrenze),COUNT(NGrenze)+1-COUNTIF(NGrenze,"&lt;="&amp;M25)))))</f>
        <v/>
      </c>
      <c r="O25" s="99">
        <f>IF($A25="","",IF($G25=0,"keine Bewertung",IF($G25&lt;SchwelleDB,"wenig Datenbasis","")))&amp;IF(AND($A25&lt;&gt;"",'Stammdaten'!$G24&lt;&gt;"aktiv")," · "&amp;'Stammdaten'!$G24,"")</f>
        <v/>
      </c>
    </row>
    <row r="26" ht="22" customHeight="1">
      <c r="A26" s="19">
        <f>IF('Stammdaten'!$B25="","",20)</f>
        <v/>
      </c>
      <c r="B26" s="53">
        <f>IF('Stammdaten'!$B25="","",'Stammdaten'!$B25)</f>
        <v/>
      </c>
      <c r="C26" s="97">
        <f>IF('Stammdaten'!$B25="","",'Stammdaten'!$C25)</f>
        <v/>
      </c>
      <c r="D26" s="97">
        <f>IF('Stammdaten'!$B25="","",'Stammdaten'!$D25)</f>
        <v/>
      </c>
      <c r="E26" s="98">
        <f>IF('Stammdaten'!$B25="","",'Stammdaten'!$E25)</f>
        <v/>
      </c>
      <c r="F26" s="21">
        <f>IF('Stammdaten'!$B25="","",'Stammdaten'!$H25)</f>
        <v/>
      </c>
      <c r="G26" s="23">
        <f>IF('Stammdaten'!$B25="","",INDEX(Daten!$C$1704:$J$1803,20,$C$4))</f>
        <v/>
      </c>
      <c r="H26" s="24">
        <f>IF('Stammdaten'!$B25="","",INDEX(Daten!$C$2019:$J$2118,20,$C$4))</f>
        <v/>
      </c>
      <c r="I26" s="25">
        <f>IF(NOT(ISNUMBER(H26)),"",INDEX(Noten,MAX(1,MIN(COUNT(NGrenze),COUNT(NGrenze)+1-COUNTIF(NGrenze,"&lt;="&amp;H26))))&amp;" – "&amp;INDEX(NText,MAX(1,MIN(COUNT(NGrenze),COUNT(NGrenze)+1-COUNTIF(NGrenze,"&lt;="&amp;H26)))))</f>
        <v/>
      </c>
      <c r="J26" s="98">
        <f>IF('Stammdaten'!$B25="","",INDEX(Daten!$C$1914:$J$2013,20,$C$4))</f>
        <v/>
      </c>
      <c r="K26" s="24">
        <f>IF('Stammdaten'!$B25="","",INDEX(Daten!$C$2124:$J$2223,20,$C$4))</f>
        <v/>
      </c>
      <c r="L26" s="25">
        <f>IF(NOT(ISNUMBER(K26)),"",INDEX(Noten,MAX(1,MIN(COUNT(NGrenze),COUNT(NGrenze)+1-COUNTIF(NGrenze,"&lt;="&amp;K26))))&amp;" – "&amp;INDEX(NText,MAX(1,MIN(COUNT(NGrenze),COUNT(NGrenze)+1-COUNTIF(NGrenze,"&lt;="&amp;K26)))))</f>
        <v/>
      </c>
      <c r="M26" s="24">
        <f>IF('Stammdaten'!$B25="","",INDEX(Daten!$C$2229:$J$2328,20,$C$4))</f>
        <v/>
      </c>
      <c r="N26" s="25">
        <f>IF(NOT(ISNUMBER(M26)),"",INDEX(Noten,MAX(1,MIN(COUNT(NGrenze),COUNT(NGrenze)+1-COUNTIF(NGrenze,"&lt;="&amp;M26))))&amp;" – "&amp;INDEX(NText,MAX(1,MIN(COUNT(NGrenze),COUNT(NGrenze)+1-COUNTIF(NGrenze,"&lt;="&amp;M26)))))</f>
        <v/>
      </c>
      <c r="O26" s="99">
        <f>IF($A26="","",IF($G26=0,"keine Bewertung",IF($G26&lt;SchwelleDB,"wenig Datenbasis","")))&amp;IF(AND($A26&lt;&gt;"",'Stammdaten'!$G25&lt;&gt;"aktiv")," · "&amp;'Stammdaten'!$G25,"")</f>
        <v/>
      </c>
    </row>
    <row r="27" ht="22" customHeight="1">
      <c r="A27" s="19">
        <f>IF('Stammdaten'!$B26="","",21)</f>
        <v/>
      </c>
      <c r="B27" s="53">
        <f>IF('Stammdaten'!$B26="","",'Stammdaten'!$B26)</f>
        <v/>
      </c>
      <c r="C27" s="97">
        <f>IF('Stammdaten'!$B26="","",'Stammdaten'!$C26)</f>
        <v/>
      </c>
      <c r="D27" s="97">
        <f>IF('Stammdaten'!$B26="","",'Stammdaten'!$D26)</f>
        <v/>
      </c>
      <c r="E27" s="98">
        <f>IF('Stammdaten'!$B26="","",'Stammdaten'!$E26)</f>
        <v/>
      </c>
      <c r="F27" s="21">
        <f>IF('Stammdaten'!$B26="","",'Stammdaten'!$H26)</f>
        <v/>
      </c>
      <c r="G27" s="23">
        <f>IF('Stammdaten'!$B26="","",INDEX(Daten!$C$1704:$J$1803,21,$C$4))</f>
        <v/>
      </c>
      <c r="H27" s="24">
        <f>IF('Stammdaten'!$B26="","",INDEX(Daten!$C$2019:$J$2118,21,$C$4))</f>
        <v/>
      </c>
      <c r="I27" s="25">
        <f>IF(NOT(ISNUMBER(H27)),"",INDEX(Noten,MAX(1,MIN(COUNT(NGrenze),COUNT(NGrenze)+1-COUNTIF(NGrenze,"&lt;="&amp;H27))))&amp;" – "&amp;INDEX(NText,MAX(1,MIN(COUNT(NGrenze),COUNT(NGrenze)+1-COUNTIF(NGrenze,"&lt;="&amp;H27)))))</f>
        <v/>
      </c>
      <c r="J27" s="98">
        <f>IF('Stammdaten'!$B26="","",INDEX(Daten!$C$1914:$J$2013,21,$C$4))</f>
        <v/>
      </c>
      <c r="K27" s="24">
        <f>IF('Stammdaten'!$B26="","",INDEX(Daten!$C$2124:$J$2223,21,$C$4))</f>
        <v/>
      </c>
      <c r="L27" s="25">
        <f>IF(NOT(ISNUMBER(K27)),"",INDEX(Noten,MAX(1,MIN(COUNT(NGrenze),COUNT(NGrenze)+1-COUNTIF(NGrenze,"&lt;="&amp;K27))))&amp;" – "&amp;INDEX(NText,MAX(1,MIN(COUNT(NGrenze),COUNT(NGrenze)+1-COUNTIF(NGrenze,"&lt;="&amp;K27)))))</f>
        <v/>
      </c>
      <c r="M27" s="24">
        <f>IF('Stammdaten'!$B26="","",INDEX(Daten!$C$2229:$J$2328,21,$C$4))</f>
        <v/>
      </c>
      <c r="N27" s="25">
        <f>IF(NOT(ISNUMBER(M27)),"",INDEX(Noten,MAX(1,MIN(COUNT(NGrenze),COUNT(NGrenze)+1-COUNTIF(NGrenze,"&lt;="&amp;M27))))&amp;" – "&amp;INDEX(NText,MAX(1,MIN(COUNT(NGrenze),COUNT(NGrenze)+1-COUNTIF(NGrenze,"&lt;="&amp;M27)))))</f>
        <v/>
      </c>
      <c r="O27" s="99">
        <f>IF($A27="","",IF($G27=0,"keine Bewertung",IF($G27&lt;SchwelleDB,"wenig Datenbasis","")))&amp;IF(AND($A27&lt;&gt;"",'Stammdaten'!$G26&lt;&gt;"aktiv")," · "&amp;'Stammdaten'!$G26,"")</f>
        <v/>
      </c>
    </row>
    <row r="28" ht="22" customHeight="1">
      <c r="A28" s="19">
        <f>IF('Stammdaten'!$B27="","",22)</f>
        <v/>
      </c>
      <c r="B28" s="53">
        <f>IF('Stammdaten'!$B27="","",'Stammdaten'!$B27)</f>
        <v/>
      </c>
      <c r="C28" s="97">
        <f>IF('Stammdaten'!$B27="","",'Stammdaten'!$C27)</f>
        <v/>
      </c>
      <c r="D28" s="97">
        <f>IF('Stammdaten'!$B27="","",'Stammdaten'!$D27)</f>
        <v/>
      </c>
      <c r="E28" s="98">
        <f>IF('Stammdaten'!$B27="","",'Stammdaten'!$E27)</f>
        <v/>
      </c>
      <c r="F28" s="21">
        <f>IF('Stammdaten'!$B27="","",'Stammdaten'!$H27)</f>
        <v/>
      </c>
      <c r="G28" s="23">
        <f>IF('Stammdaten'!$B27="","",INDEX(Daten!$C$1704:$J$1803,22,$C$4))</f>
        <v/>
      </c>
      <c r="H28" s="24">
        <f>IF('Stammdaten'!$B27="","",INDEX(Daten!$C$2019:$J$2118,22,$C$4))</f>
        <v/>
      </c>
      <c r="I28" s="25">
        <f>IF(NOT(ISNUMBER(H28)),"",INDEX(Noten,MAX(1,MIN(COUNT(NGrenze),COUNT(NGrenze)+1-COUNTIF(NGrenze,"&lt;="&amp;H28))))&amp;" – "&amp;INDEX(NText,MAX(1,MIN(COUNT(NGrenze),COUNT(NGrenze)+1-COUNTIF(NGrenze,"&lt;="&amp;H28)))))</f>
        <v/>
      </c>
      <c r="J28" s="98">
        <f>IF('Stammdaten'!$B27="","",INDEX(Daten!$C$1914:$J$2013,22,$C$4))</f>
        <v/>
      </c>
      <c r="K28" s="24">
        <f>IF('Stammdaten'!$B27="","",INDEX(Daten!$C$2124:$J$2223,22,$C$4))</f>
        <v/>
      </c>
      <c r="L28" s="25">
        <f>IF(NOT(ISNUMBER(K28)),"",INDEX(Noten,MAX(1,MIN(COUNT(NGrenze),COUNT(NGrenze)+1-COUNTIF(NGrenze,"&lt;="&amp;K28))))&amp;" – "&amp;INDEX(NText,MAX(1,MIN(COUNT(NGrenze),COUNT(NGrenze)+1-COUNTIF(NGrenze,"&lt;="&amp;K28)))))</f>
        <v/>
      </c>
      <c r="M28" s="24">
        <f>IF('Stammdaten'!$B27="","",INDEX(Daten!$C$2229:$J$2328,22,$C$4))</f>
        <v/>
      </c>
      <c r="N28" s="25">
        <f>IF(NOT(ISNUMBER(M28)),"",INDEX(Noten,MAX(1,MIN(COUNT(NGrenze),COUNT(NGrenze)+1-COUNTIF(NGrenze,"&lt;="&amp;M28))))&amp;" – "&amp;INDEX(NText,MAX(1,MIN(COUNT(NGrenze),COUNT(NGrenze)+1-COUNTIF(NGrenze,"&lt;="&amp;M28)))))</f>
        <v/>
      </c>
      <c r="O28" s="99">
        <f>IF($A28="","",IF($G28=0,"keine Bewertung",IF($G28&lt;SchwelleDB,"wenig Datenbasis","")))&amp;IF(AND($A28&lt;&gt;"",'Stammdaten'!$G27&lt;&gt;"aktiv")," · "&amp;'Stammdaten'!$G27,"")</f>
        <v/>
      </c>
    </row>
    <row r="29" ht="22" customHeight="1">
      <c r="A29" s="19">
        <f>IF('Stammdaten'!$B28="","",23)</f>
        <v/>
      </c>
      <c r="B29" s="53">
        <f>IF('Stammdaten'!$B28="","",'Stammdaten'!$B28)</f>
        <v/>
      </c>
      <c r="C29" s="97">
        <f>IF('Stammdaten'!$B28="","",'Stammdaten'!$C28)</f>
        <v/>
      </c>
      <c r="D29" s="97">
        <f>IF('Stammdaten'!$B28="","",'Stammdaten'!$D28)</f>
        <v/>
      </c>
      <c r="E29" s="98">
        <f>IF('Stammdaten'!$B28="","",'Stammdaten'!$E28)</f>
        <v/>
      </c>
      <c r="F29" s="21">
        <f>IF('Stammdaten'!$B28="","",'Stammdaten'!$H28)</f>
        <v/>
      </c>
      <c r="G29" s="23">
        <f>IF('Stammdaten'!$B28="","",INDEX(Daten!$C$1704:$J$1803,23,$C$4))</f>
        <v/>
      </c>
      <c r="H29" s="24">
        <f>IF('Stammdaten'!$B28="","",INDEX(Daten!$C$2019:$J$2118,23,$C$4))</f>
        <v/>
      </c>
      <c r="I29" s="25">
        <f>IF(NOT(ISNUMBER(H29)),"",INDEX(Noten,MAX(1,MIN(COUNT(NGrenze),COUNT(NGrenze)+1-COUNTIF(NGrenze,"&lt;="&amp;H29))))&amp;" – "&amp;INDEX(NText,MAX(1,MIN(COUNT(NGrenze),COUNT(NGrenze)+1-COUNTIF(NGrenze,"&lt;="&amp;H29)))))</f>
        <v/>
      </c>
      <c r="J29" s="98">
        <f>IF('Stammdaten'!$B28="","",INDEX(Daten!$C$1914:$J$2013,23,$C$4))</f>
        <v/>
      </c>
      <c r="K29" s="24">
        <f>IF('Stammdaten'!$B28="","",INDEX(Daten!$C$2124:$J$2223,23,$C$4))</f>
        <v/>
      </c>
      <c r="L29" s="25">
        <f>IF(NOT(ISNUMBER(K29)),"",INDEX(Noten,MAX(1,MIN(COUNT(NGrenze),COUNT(NGrenze)+1-COUNTIF(NGrenze,"&lt;="&amp;K29))))&amp;" – "&amp;INDEX(NText,MAX(1,MIN(COUNT(NGrenze),COUNT(NGrenze)+1-COUNTIF(NGrenze,"&lt;="&amp;K29)))))</f>
        <v/>
      </c>
      <c r="M29" s="24">
        <f>IF('Stammdaten'!$B28="","",INDEX(Daten!$C$2229:$J$2328,23,$C$4))</f>
        <v/>
      </c>
      <c r="N29" s="25">
        <f>IF(NOT(ISNUMBER(M29)),"",INDEX(Noten,MAX(1,MIN(COUNT(NGrenze),COUNT(NGrenze)+1-COUNTIF(NGrenze,"&lt;="&amp;M29))))&amp;" – "&amp;INDEX(NText,MAX(1,MIN(COUNT(NGrenze),COUNT(NGrenze)+1-COUNTIF(NGrenze,"&lt;="&amp;M29)))))</f>
        <v/>
      </c>
      <c r="O29" s="99">
        <f>IF($A29="","",IF($G29=0,"keine Bewertung",IF($G29&lt;SchwelleDB,"wenig Datenbasis","")))&amp;IF(AND($A29&lt;&gt;"",'Stammdaten'!$G28&lt;&gt;"aktiv")," · "&amp;'Stammdaten'!$G28,"")</f>
        <v/>
      </c>
    </row>
    <row r="30" ht="22" customHeight="1">
      <c r="A30" s="19">
        <f>IF('Stammdaten'!$B29="","",24)</f>
        <v/>
      </c>
      <c r="B30" s="53">
        <f>IF('Stammdaten'!$B29="","",'Stammdaten'!$B29)</f>
        <v/>
      </c>
      <c r="C30" s="97">
        <f>IF('Stammdaten'!$B29="","",'Stammdaten'!$C29)</f>
        <v/>
      </c>
      <c r="D30" s="97">
        <f>IF('Stammdaten'!$B29="","",'Stammdaten'!$D29)</f>
        <v/>
      </c>
      <c r="E30" s="98">
        <f>IF('Stammdaten'!$B29="","",'Stammdaten'!$E29)</f>
        <v/>
      </c>
      <c r="F30" s="21">
        <f>IF('Stammdaten'!$B29="","",'Stammdaten'!$H29)</f>
        <v/>
      </c>
      <c r="G30" s="23">
        <f>IF('Stammdaten'!$B29="","",INDEX(Daten!$C$1704:$J$1803,24,$C$4))</f>
        <v/>
      </c>
      <c r="H30" s="24">
        <f>IF('Stammdaten'!$B29="","",INDEX(Daten!$C$2019:$J$2118,24,$C$4))</f>
        <v/>
      </c>
      <c r="I30" s="25">
        <f>IF(NOT(ISNUMBER(H30)),"",INDEX(Noten,MAX(1,MIN(COUNT(NGrenze),COUNT(NGrenze)+1-COUNTIF(NGrenze,"&lt;="&amp;H30))))&amp;" – "&amp;INDEX(NText,MAX(1,MIN(COUNT(NGrenze),COUNT(NGrenze)+1-COUNTIF(NGrenze,"&lt;="&amp;H30)))))</f>
        <v/>
      </c>
      <c r="J30" s="98">
        <f>IF('Stammdaten'!$B29="","",INDEX(Daten!$C$1914:$J$2013,24,$C$4))</f>
        <v/>
      </c>
      <c r="K30" s="24">
        <f>IF('Stammdaten'!$B29="","",INDEX(Daten!$C$2124:$J$2223,24,$C$4))</f>
        <v/>
      </c>
      <c r="L30" s="25">
        <f>IF(NOT(ISNUMBER(K30)),"",INDEX(Noten,MAX(1,MIN(COUNT(NGrenze),COUNT(NGrenze)+1-COUNTIF(NGrenze,"&lt;="&amp;K30))))&amp;" – "&amp;INDEX(NText,MAX(1,MIN(COUNT(NGrenze),COUNT(NGrenze)+1-COUNTIF(NGrenze,"&lt;="&amp;K30)))))</f>
        <v/>
      </c>
      <c r="M30" s="24">
        <f>IF('Stammdaten'!$B29="","",INDEX(Daten!$C$2229:$J$2328,24,$C$4))</f>
        <v/>
      </c>
      <c r="N30" s="25">
        <f>IF(NOT(ISNUMBER(M30)),"",INDEX(Noten,MAX(1,MIN(COUNT(NGrenze),COUNT(NGrenze)+1-COUNTIF(NGrenze,"&lt;="&amp;M30))))&amp;" – "&amp;INDEX(NText,MAX(1,MIN(COUNT(NGrenze),COUNT(NGrenze)+1-COUNTIF(NGrenze,"&lt;="&amp;M30)))))</f>
        <v/>
      </c>
      <c r="O30" s="99">
        <f>IF($A30="","",IF($G30=0,"keine Bewertung",IF($G30&lt;SchwelleDB,"wenig Datenbasis","")))&amp;IF(AND($A30&lt;&gt;"",'Stammdaten'!$G29&lt;&gt;"aktiv")," · "&amp;'Stammdaten'!$G29,"")</f>
        <v/>
      </c>
    </row>
    <row r="31" ht="22" customHeight="1">
      <c r="A31" s="19">
        <f>IF('Stammdaten'!$B30="","",25)</f>
        <v/>
      </c>
      <c r="B31" s="53">
        <f>IF('Stammdaten'!$B30="","",'Stammdaten'!$B30)</f>
        <v/>
      </c>
      <c r="C31" s="97">
        <f>IF('Stammdaten'!$B30="","",'Stammdaten'!$C30)</f>
        <v/>
      </c>
      <c r="D31" s="97">
        <f>IF('Stammdaten'!$B30="","",'Stammdaten'!$D30)</f>
        <v/>
      </c>
      <c r="E31" s="98">
        <f>IF('Stammdaten'!$B30="","",'Stammdaten'!$E30)</f>
        <v/>
      </c>
      <c r="F31" s="21">
        <f>IF('Stammdaten'!$B30="","",'Stammdaten'!$H30)</f>
        <v/>
      </c>
      <c r="G31" s="23">
        <f>IF('Stammdaten'!$B30="","",INDEX(Daten!$C$1704:$J$1803,25,$C$4))</f>
        <v/>
      </c>
      <c r="H31" s="24">
        <f>IF('Stammdaten'!$B30="","",INDEX(Daten!$C$2019:$J$2118,25,$C$4))</f>
        <v/>
      </c>
      <c r="I31" s="25">
        <f>IF(NOT(ISNUMBER(H31)),"",INDEX(Noten,MAX(1,MIN(COUNT(NGrenze),COUNT(NGrenze)+1-COUNTIF(NGrenze,"&lt;="&amp;H31))))&amp;" – "&amp;INDEX(NText,MAX(1,MIN(COUNT(NGrenze),COUNT(NGrenze)+1-COUNTIF(NGrenze,"&lt;="&amp;H31)))))</f>
        <v/>
      </c>
      <c r="J31" s="98">
        <f>IF('Stammdaten'!$B30="","",INDEX(Daten!$C$1914:$J$2013,25,$C$4))</f>
        <v/>
      </c>
      <c r="K31" s="24">
        <f>IF('Stammdaten'!$B30="","",INDEX(Daten!$C$2124:$J$2223,25,$C$4))</f>
        <v/>
      </c>
      <c r="L31" s="25">
        <f>IF(NOT(ISNUMBER(K31)),"",INDEX(Noten,MAX(1,MIN(COUNT(NGrenze),COUNT(NGrenze)+1-COUNTIF(NGrenze,"&lt;="&amp;K31))))&amp;" – "&amp;INDEX(NText,MAX(1,MIN(COUNT(NGrenze),COUNT(NGrenze)+1-COUNTIF(NGrenze,"&lt;="&amp;K31)))))</f>
        <v/>
      </c>
      <c r="M31" s="24">
        <f>IF('Stammdaten'!$B30="","",INDEX(Daten!$C$2229:$J$2328,25,$C$4))</f>
        <v/>
      </c>
      <c r="N31" s="25">
        <f>IF(NOT(ISNUMBER(M31)),"",INDEX(Noten,MAX(1,MIN(COUNT(NGrenze),COUNT(NGrenze)+1-COUNTIF(NGrenze,"&lt;="&amp;M31))))&amp;" – "&amp;INDEX(NText,MAX(1,MIN(COUNT(NGrenze),COUNT(NGrenze)+1-COUNTIF(NGrenze,"&lt;="&amp;M31)))))</f>
        <v/>
      </c>
      <c r="O31" s="99">
        <f>IF($A31="","",IF($G31=0,"keine Bewertung",IF($G31&lt;SchwelleDB,"wenig Datenbasis","")))&amp;IF(AND($A31&lt;&gt;"",'Stammdaten'!$G30&lt;&gt;"aktiv")," · "&amp;'Stammdaten'!$G30,"")</f>
        <v/>
      </c>
    </row>
    <row r="32" ht="22" customHeight="1">
      <c r="A32" s="19">
        <f>IF('Stammdaten'!$B31="","",26)</f>
        <v/>
      </c>
      <c r="B32" s="53">
        <f>IF('Stammdaten'!$B31="","",'Stammdaten'!$B31)</f>
        <v/>
      </c>
      <c r="C32" s="97">
        <f>IF('Stammdaten'!$B31="","",'Stammdaten'!$C31)</f>
        <v/>
      </c>
      <c r="D32" s="97">
        <f>IF('Stammdaten'!$B31="","",'Stammdaten'!$D31)</f>
        <v/>
      </c>
      <c r="E32" s="98">
        <f>IF('Stammdaten'!$B31="","",'Stammdaten'!$E31)</f>
        <v/>
      </c>
      <c r="F32" s="21">
        <f>IF('Stammdaten'!$B31="","",'Stammdaten'!$H31)</f>
        <v/>
      </c>
      <c r="G32" s="23">
        <f>IF('Stammdaten'!$B31="","",INDEX(Daten!$C$1704:$J$1803,26,$C$4))</f>
        <v/>
      </c>
      <c r="H32" s="24">
        <f>IF('Stammdaten'!$B31="","",INDEX(Daten!$C$2019:$J$2118,26,$C$4))</f>
        <v/>
      </c>
      <c r="I32" s="25">
        <f>IF(NOT(ISNUMBER(H32)),"",INDEX(Noten,MAX(1,MIN(COUNT(NGrenze),COUNT(NGrenze)+1-COUNTIF(NGrenze,"&lt;="&amp;H32))))&amp;" – "&amp;INDEX(NText,MAX(1,MIN(COUNT(NGrenze),COUNT(NGrenze)+1-COUNTIF(NGrenze,"&lt;="&amp;H32)))))</f>
        <v/>
      </c>
      <c r="J32" s="98">
        <f>IF('Stammdaten'!$B31="","",INDEX(Daten!$C$1914:$J$2013,26,$C$4))</f>
        <v/>
      </c>
      <c r="K32" s="24">
        <f>IF('Stammdaten'!$B31="","",INDEX(Daten!$C$2124:$J$2223,26,$C$4))</f>
        <v/>
      </c>
      <c r="L32" s="25">
        <f>IF(NOT(ISNUMBER(K32)),"",INDEX(Noten,MAX(1,MIN(COUNT(NGrenze),COUNT(NGrenze)+1-COUNTIF(NGrenze,"&lt;="&amp;K32))))&amp;" – "&amp;INDEX(NText,MAX(1,MIN(COUNT(NGrenze),COUNT(NGrenze)+1-COUNTIF(NGrenze,"&lt;="&amp;K32)))))</f>
        <v/>
      </c>
      <c r="M32" s="24">
        <f>IF('Stammdaten'!$B31="","",INDEX(Daten!$C$2229:$J$2328,26,$C$4))</f>
        <v/>
      </c>
      <c r="N32" s="25">
        <f>IF(NOT(ISNUMBER(M32)),"",INDEX(Noten,MAX(1,MIN(COUNT(NGrenze),COUNT(NGrenze)+1-COUNTIF(NGrenze,"&lt;="&amp;M32))))&amp;" – "&amp;INDEX(NText,MAX(1,MIN(COUNT(NGrenze),COUNT(NGrenze)+1-COUNTIF(NGrenze,"&lt;="&amp;M32)))))</f>
        <v/>
      </c>
      <c r="O32" s="99">
        <f>IF($A32="","",IF($G32=0,"keine Bewertung",IF($G32&lt;SchwelleDB,"wenig Datenbasis","")))&amp;IF(AND($A32&lt;&gt;"",'Stammdaten'!$G31&lt;&gt;"aktiv")," · "&amp;'Stammdaten'!$G31,"")</f>
        <v/>
      </c>
    </row>
    <row r="33" ht="22" customHeight="1">
      <c r="A33" s="19">
        <f>IF('Stammdaten'!$B32="","",27)</f>
        <v/>
      </c>
      <c r="B33" s="53">
        <f>IF('Stammdaten'!$B32="","",'Stammdaten'!$B32)</f>
        <v/>
      </c>
      <c r="C33" s="97">
        <f>IF('Stammdaten'!$B32="","",'Stammdaten'!$C32)</f>
        <v/>
      </c>
      <c r="D33" s="97">
        <f>IF('Stammdaten'!$B32="","",'Stammdaten'!$D32)</f>
        <v/>
      </c>
      <c r="E33" s="98">
        <f>IF('Stammdaten'!$B32="","",'Stammdaten'!$E32)</f>
        <v/>
      </c>
      <c r="F33" s="21">
        <f>IF('Stammdaten'!$B32="","",'Stammdaten'!$H32)</f>
        <v/>
      </c>
      <c r="G33" s="23">
        <f>IF('Stammdaten'!$B32="","",INDEX(Daten!$C$1704:$J$1803,27,$C$4))</f>
        <v/>
      </c>
      <c r="H33" s="24">
        <f>IF('Stammdaten'!$B32="","",INDEX(Daten!$C$2019:$J$2118,27,$C$4))</f>
        <v/>
      </c>
      <c r="I33" s="25">
        <f>IF(NOT(ISNUMBER(H33)),"",INDEX(Noten,MAX(1,MIN(COUNT(NGrenze),COUNT(NGrenze)+1-COUNTIF(NGrenze,"&lt;="&amp;H33))))&amp;" – "&amp;INDEX(NText,MAX(1,MIN(COUNT(NGrenze),COUNT(NGrenze)+1-COUNTIF(NGrenze,"&lt;="&amp;H33)))))</f>
        <v/>
      </c>
      <c r="J33" s="98">
        <f>IF('Stammdaten'!$B32="","",INDEX(Daten!$C$1914:$J$2013,27,$C$4))</f>
        <v/>
      </c>
      <c r="K33" s="24">
        <f>IF('Stammdaten'!$B32="","",INDEX(Daten!$C$2124:$J$2223,27,$C$4))</f>
        <v/>
      </c>
      <c r="L33" s="25">
        <f>IF(NOT(ISNUMBER(K33)),"",INDEX(Noten,MAX(1,MIN(COUNT(NGrenze),COUNT(NGrenze)+1-COUNTIF(NGrenze,"&lt;="&amp;K33))))&amp;" – "&amp;INDEX(NText,MAX(1,MIN(COUNT(NGrenze),COUNT(NGrenze)+1-COUNTIF(NGrenze,"&lt;="&amp;K33)))))</f>
        <v/>
      </c>
      <c r="M33" s="24">
        <f>IF('Stammdaten'!$B32="","",INDEX(Daten!$C$2229:$J$2328,27,$C$4))</f>
        <v/>
      </c>
      <c r="N33" s="25">
        <f>IF(NOT(ISNUMBER(M33)),"",INDEX(Noten,MAX(1,MIN(COUNT(NGrenze),COUNT(NGrenze)+1-COUNTIF(NGrenze,"&lt;="&amp;M33))))&amp;" – "&amp;INDEX(NText,MAX(1,MIN(COUNT(NGrenze),COUNT(NGrenze)+1-COUNTIF(NGrenze,"&lt;="&amp;M33)))))</f>
        <v/>
      </c>
      <c r="O33" s="99">
        <f>IF($A33="","",IF($G33=0,"keine Bewertung",IF($G33&lt;SchwelleDB,"wenig Datenbasis","")))&amp;IF(AND($A33&lt;&gt;"",'Stammdaten'!$G32&lt;&gt;"aktiv")," · "&amp;'Stammdaten'!$G32,"")</f>
        <v/>
      </c>
    </row>
    <row r="34" ht="22" customHeight="1">
      <c r="A34" s="19">
        <f>IF('Stammdaten'!$B33="","",28)</f>
        <v/>
      </c>
      <c r="B34" s="53">
        <f>IF('Stammdaten'!$B33="","",'Stammdaten'!$B33)</f>
        <v/>
      </c>
      <c r="C34" s="97">
        <f>IF('Stammdaten'!$B33="","",'Stammdaten'!$C33)</f>
        <v/>
      </c>
      <c r="D34" s="97">
        <f>IF('Stammdaten'!$B33="","",'Stammdaten'!$D33)</f>
        <v/>
      </c>
      <c r="E34" s="98">
        <f>IF('Stammdaten'!$B33="","",'Stammdaten'!$E33)</f>
        <v/>
      </c>
      <c r="F34" s="21">
        <f>IF('Stammdaten'!$B33="","",'Stammdaten'!$H33)</f>
        <v/>
      </c>
      <c r="G34" s="23">
        <f>IF('Stammdaten'!$B33="","",INDEX(Daten!$C$1704:$J$1803,28,$C$4))</f>
        <v/>
      </c>
      <c r="H34" s="24">
        <f>IF('Stammdaten'!$B33="","",INDEX(Daten!$C$2019:$J$2118,28,$C$4))</f>
        <v/>
      </c>
      <c r="I34" s="25">
        <f>IF(NOT(ISNUMBER(H34)),"",INDEX(Noten,MAX(1,MIN(COUNT(NGrenze),COUNT(NGrenze)+1-COUNTIF(NGrenze,"&lt;="&amp;H34))))&amp;" – "&amp;INDEX(NText,MAX(1,MIN(COUNT(NGrenze),COUNT(NGrenze)+1-COUNTIF(NGrenze,"&lt;="&amp;H34)))))</f>
        <v/>
      </c>
      <c r="J34" s="98">
        <f>IF('Stammdaten'!$B33="","",INDEX(Daten!$C$1914:$J$2013,28,$C$4))</f>
        <v/>
      </c>
      <c r="K34" s="24">
        <f>IF('Stammdaten'!$B33="","",INDEX(Daten!$C$2124:$J$2223,28,$C$4))</f>
        <v/>
      </c>
      <c r="L34" s="25">
        <f>IF(NOT(ISNUMBER(K34)),"",INDEX(Noten,MAX(1,MIN(COUNT(NGrenze),COUNT(NGrenze)+1-COUNTIF(NGrenze,"&lt;="&amp;K34))))&amp;" – "&amp;INDEX(NText,MAX(1,MIN(COUNT(NGrenze),COUNT(NGrenze)+1-COUNTIF(NGrenze,"&lt;="&amp;K34)))))</f>
        <v/>
      </c>
      <c r="M34" s="24">
        <f>IF('Stammdaten'!$B33="","",INDEX(Daten!$C$2229:$J$2328,28,$C$4))</f>
        <v/>
      </c>
      <c r="N34" s="25">
        <f>IF(NOT(ISNUMBER(M34)),"",INDEX(Noten,MAX(1,MIN(COUNT(NGrenze),COUNT(NGrenze)+1-COUNTIF(NGrenze,"&lt;="&amp;M34))))&amp;" – "&amp;INDEX(NText,MAX(1,MIN(COUNT(NGrenze),COUNT(NGrenze)+1-COUNTIF(NGrenze,"&lt;="&amp;M34)))))</f>
        <v/>
      </c>
      <c r="O34" s="99">
        <f>IF($A34="","",IF($G34=0,"keine Bewertung",IF($G34&lt;SchwelleDB,"wenig Datenbasis","")))&amp;IF(AND($A34&lt;&gt;"",'Stammdaten'!$G33&lt;&gt;"aktiv")," · "&amp;'Stammdaten'!$G33,"")</f>
        <v/>
      </c>
    </row>
    <row r="35" ht="22" customHeight="1">
      <c r="A35" s="19">
        <f>IF('Stammdaten'!$B34="","",29)</f>
        <v/>
      </c>
      <c r="B35" s="53">
        <f>IF('Stammdaten'!$B34="","",'Stammdaten'!$B34)</f>
        <v/>
      </c>
      <c r="C35" s="97">
        <f>IF('Stammdaten'!$B34="","",'Stammdaten'!$C34)</f>
        <v/>
      </c>
      <c r="D35" s="97">
        <f>IF('Stammdaten'!$B34="","",'Stammdaten'!$D34)</f>
        <v/>
      </c>
      <c r="E35" s="98">
        <f>IF('Stammdaten'!$B34="","",'Stammdaten'!$E34)</f>
        <v/>
      </c>
      <c r="F35" s="21">
        <f>IF('Stammdaten'!$B34="","",'Stammdaten'!$H34)</f>
        <v/>
      </c>
      <c r="G35" s="23">
        <f>IF('Stammdaten'!$B34="","",INDEX(Daten!$C$1704:$J$1803,29,$C$4))</f>
        <v/>
      </c>
      <c r="H35" s="24">
        <f>IF('Stammdaten'!$B34="","",INDEX(Daten!$C$2019:$J$2118,29,$C$4))</f>
        <v/>
      </c>
      <c r="I35" s="25">
        <f>IF(NOT(ISNUMBER(H35)),"",INDEX(Noten,MAX(1,MIN(COUNT(NGrenze),COUNT(NGrenze)+1-COUNTIF(NGrenze,"&lt;="&amp;H35))))&amp;" – "&amp;INDEX(NText,MAX(1,MIN(COUNT(NGrenze),COUNT(NGrenze)+1-COUNTIF(NGrenze,"&lt;="&amp;H35)))))</f>
        <v/>
      </c>
      <c r="J35" s="98">
        <f>IF('Stammdaten'!$B34="","",INDEX(Daten!$C$1914:$J$2013,29,$C$4))</f>
        <v/>
      </c>
      <c r="K35" s="24">
        <f>IF('Stammdaten'!$B34="","",INDEX(Daten!$C$2124:$J$2223,29,$C$4))</f>
        <v/>
      </c>
      <c r="L35" s="25">
        <f>IF(NOT(ISNUMBER(K35)),"",INDEX(Noten,MAX(1,MIN(COUNT(NGrenze),COUNT(NGrenze)+1-COUNTIF(NGrenze,"&lt;="&amp;K35))))&amp;" – "&amp;INDEX(NText,MAX(1,MIN(COUNT(NGrenze),COUNT(NGrenze)+1-COUNTIF(NGrenze,"&lt;="&amp;K35)))))</f>
        <v/>
      </c>
      <c r="M35" s="24">
        <f>IF('Stammdaten'!$B34="","",INDEX(Daten!$C$2229:$J$2328,29,$C$4))</f>
        <v/>
      </c>
      <c r="N35" s="25">
        <f>IF(NOT(ISNUMBER(M35)),"",INDEX(Noten,MAX(1,MIN(COUNT(NGrenze),COUNT(NGrenze)+1-COUNTIF(NGrenze,"&lt;="&amp;M35))))&amp;" – "&amp;INDEX(NText,MAX(1,MIN(COUNT(NGrenze),COUNT(NGrenze)+1-COUNTIF(NGrenze,"&lt;="&amp;M35)))))</f>
        <v/>
      </c>
      <c r="O35" s="99">
        <f>IF($A35="","",IF($G35=0,"keine Bewertung",IF($G35&lt;SchwelleDB,"wenig Datenbasis","")))&amp;IF(AND($A35&lt;&gt;"",'Stammdaten'!$G34&lt;&gt;"aktiv")," · "&amp;'Stammdaten'!$G34,"")</f>
        <v/>
      </c>
    </row>
    <row r="36" ht="22" customHeight="1">
      <c r="A36" s="19">
        <f>IF('Stammdaten'!$B35="","",30)</f>
        <v/>
      </c>
      <c r="B36" s="53">
        <f>IF('Stammdaten'!$B35="","",'Stammdaten'!$B35)</f>
        <v/>
      </c>
      <c r="C36" s="97">
        <f>IF('Stammdaten'!$B35="","",'Stammdaten'!$C35)</f>
        <v/>
      </c>
      <c r="D36" s="97">
        <f>IF('Stammdaten'!$B35="","",'Stammdaten'!$D35)</f>
        <v/>
      </c>
      <c r="E36" s="98">
        <f>IF('Stammdaten'!$B35="","",'Stammdaten'!$E35)</f>
        <v/>
      </c>
      <c r="F36" s="21">
        <f>IF('Stammdaten'!$B35="","",'Stammdaten'!$H35)</f>
        <v/>
      </c>
      <c r="G36" s="23">
        <f>IF('Stammdaten'!$B35="","",INDEX(Daten!$C$1704:$J$1803,30,$C$4))</f>
        <v/>
      </c>
      <c r="H36" s="24">
        <f>IF('Stammdaten'!$B35="","",INDEX(Daten!$C$2019:$J$2118,30,$C$4))</f>
        <v/>
      </c>
      <c r="I36" s="25">
        <f>IF(NOT(ISNUMBER(H36)),"",INDEX(Noten,MAX(1,MIN(COUNT(NGrenze),COUNT(NGrenze)+1-COUNTIF(NGrenze,"&lt;="&amp;H36))))&amp;" – "&amp;INDEX(NText,MAX(1,MIN(COUNT(NGrenze),COUNT(NGrenze)+1-COUNTIF(NGrenze,"&lt;="&amp;H36)))))</f>
        <v/>
      </c>
      <c r="J36" s="98">
        <f>IF('Stammdaten'!$B35="","",INDEX(Daten!$C$1914:$J$2013,30,$C$4))</f>
        <v/>
      </c>
      <c r="K36" s="24">
        <f>IF('Stammdaten'!$B35="","",INDEX(Daten!$C$2124:$J$2223,30,$C$4))</f>
        <v/>
      </c>
      <c r="L36" s="25">
        <f>IF(NOT(ISNUMBER(K36)),"",INDEX(Noten,MAX(1,MIN(COUNT(NGrenze),COUNT(NGrenze)+1-COUNTIF(NGrenze,"&lt;="&amp;K36))))&amp;" – "&amp;INDEX(NText,MAX(1,MIN(COUNT(NGrenze),COUNT(NGrenze)+1-COUNTIF(NGrenze,"&lt;="&amp;K36)))))</f>
        <v/>
      </c>
      <c r="M36" s="24">
        <f>IF('Stammdaten'!$B35="","",INDEX(Daten!$C$2229:$J$2328,30,$C$4))</f>
        <v/>
      </c>
      <c r="N36" s="25">
        <f>IF(NOT(ISNUMBER(M36)),"",INDEX(Noten,MAX(1,MIN(COUNT(NGrenze),COUNT(NGrenze)+1-COUNTIF(NGrenze,"&lt;="&amp;M36))))&amp;" – "&amp;INDEX(NText,MAX(1,MIN(COUNT(NGrenze),COUNT(NGrenze)+1-COUNTIF(NGrenze,"&lt;="&amp;M36)))))</f>
        <v/>
      </c>
      <c r="O36" s="99">
        <f>IF($A36="","",IF($G36=0,"keine Bewertung",IF($G36&lt;SchwelleDB,"wenig Datenbasis","")))&amp;IF(AND($A36&lt;&gt;"",'Stammdaten'!$G35&lt;&gt;"aktiv")," · "&amp;'Stammdaten'!$G35,"")</f>
        <v/>
      </c>
    </row>
    <row r="37" ht="22" customHeight="1">
      <c r="A37" s="19">
        <f>IF('Stammdaten'!$B36="","",31)</f>
        <v/>
      </c>
      <c r="B37" s="53">
        <f>IF('Stammdaten'!$B36="","",'Stammdaten'!$B36)</f>
        <v/>
      </c>
      <c r="C37" s="97">
        <f>IF('Stammdaten'!$B36="","",'Stammdaten'!$C36)</f>
        <v/>
      </c>
      <c r="D37" s="97">
        <f>IF('Stammdaten'!$B36="","",'Stammdaten'!$D36)</f>
        <v/>
      </c>
      <c r="E37" s="98">
        <f>IF('Stammdaten'!$B36="","",'Stammdaten'!$E36)</f>
        <v/>
      </c>
      <c r="F37" s="21">
        <f>IF('Stammdaten'!$B36="","",'Stammdaten'!$H36)</f>
        <v/>
      </c>
      <c r="G37" s="23">
        <f>IF('Stammdaten'!$B36="","",INDEX(Daten!$C$1704:$J$1803,31,$C$4))</f>
        <v/>
      </c>
      <c r="H37" s="24">
        <f>IF('Stammdaten'!$B36="","",INDEX(Daten!$C$2019:$J$2118,31,$C$4))</f>
        <v/>
      </c>
      <c r="I37" s="25">
        <f>IF(NOT(ISNUMBER(H37)),"",INDEX(Noten,MAX(1,MIN(COUNT(NGrenze),COUNT(NGrenze)+1-COUNTIF(NGrenze,"&lt;="&amp;H37))))&amp;" – "&amp;INDEX(NText,MAX(1,MIN(COUNT(NGrenze),COUNT(NGrenze)+1-COUNTIF(NGrenze,"&lt;="&amp;H37)))))</f>
        <v/>
      </c>
      <c r="J37" s="98">
        <f>IF('Stammdaten'!$B36="","",INDEX(Daten!$C$1914:$J$2013,31,$C$4))</f>
        <v/>
      </c>
      <c r="K37" s="24">
        <f>IF('Stammdaten'!$B36="","",INDEX(Daten!$C$2124:$J$2223,31,$C$4))</f>
        <v/>
      </c>
      <c r="L37" s="25">
        <f>IF(NOT(ISNUMBER(K37)),"",INDEX(Noten,MAX(1,MIN(COUNT(NGrenze),COUNT(NGrenze)+1-COUNTIF(NGrenze,"&lt;="&amp;K37))))&amp;" – "&amp;INDEX(NText,MAX(1,MIN(COUNT(NGrenze),COUNT(NGrenze)+1-COUNTIF(NGrenze,"&lt;="&amp;K37)))))</f>
        <v/>
      </c>
      <c r="M37" s="24">
        <f>IF('Stammdaten'!$B36="","",INDEX(Daten!$C$2229:$J$2328,31,$C$4))</f>
        <v/>
      </c>
      <c r="N37" s="25">
        <f>IF(NOT(ISNUMBER(M37)),"",INDEX(Noten,MAX(1,MIN(COUNT(NGrenze),COUNT(NGrenze)+1-COUNTIF(NGrenze,"&lt;="&amp;M37))))&amp;" – "&amp;INDEX(NText,MAX(1,MIN(COUNT(NGrenze),COUNT(NGrenze)+1-COUNTIF(NGrenze,"&lt;="&amp;M37)))))</f>
        <v/>
      </c>
      <c r="O37" s="99">
        <f>IF($A37="","",IF($G37=0,"keine Bewertung",IF($G37&lt;SchwelleDB,"wenig Datenbasis","")))&amp;IF(AND($A37&lt;&gt;"",'Stammdaten'!$G36&lt;&gt;"aktiv")," · "&amp;'Stammdaten'!$G36,"")</f>
        <v/>
      </c>
    </row>
    <row r="38" ht="22" customHeight="1">
      <c r="A38" s="19">
        <f>IF('Stammdaten'!$B37="","",32)</f>
        <v/>
      </c>
      <c r="B38" s="53">
        <f>IF('Stammdaten'!$B37="","",'Stammdaten'!$B37)</f>
        <v/>
      </c>
      <c r="C38" s="97">
        <f>IF('Stammdaten'!$B37="","",'Stammdaten'!$C37)</f>
        <v/>
      </c>
      <c r="D38" s="97">
        <f>IF('Stammdaten'!$B37="","",'Stammdaten'!$D37)</f>
        <v/>
      </c>
      <c r="E38" s="98">
        <f>IF('Stammdaten'!$B37="","",'Stammdaten'!$E37)</f>
        <v/>
      </c>
      <c r="F38" s="21">
        <f>IF('Stammdaten'!$B37="","",'Stammdaten'!$H37)</f>
        <v/>
      </c>
      <c r="G38" s="23">
        <f>IF('Stammdaten'!$B37="","",INDEX(Daten!$C$1704:$J$1803,32,$C$4))</f>
        <v/>
      </c>
      <c r="H38" s="24">
        <f>IF('Stammdaten'!$B37="","",INDEX(Daten!$C$2019:$J$2118,32,$C$4))</f>
        <v/>
      </c>
      <c r="I38" s="25">
        <f>IF(NOT(ISNUMBER(H38)),"",INDEX(Noten,MAX(1,MIN(COUNT(NGrenze),COUNT(NGrenze)+1-COUNTIF(NGrenze,"&lt;="&amp;H38))))&amp;" – "&amp;INDEX(NText,MAX(1,MIN(COUNT(NGrenze),COUNT(NGrenze)+1-COUNTIF(NGrenze,"&lt;="&amp;H38)))))</f>
        <v/>
      </c>
      <c r="J38" s="98">
        <f>IF('Stammdaten'!$B37="","",INDEX(Daten!$C$1914:$J$2013,32,$C$4))</f>
        <v/>
      </c>
      <c r="K38" s="24">
        <f>IF('Stammdaten'!$B37="","",INDEX(Daten!$C$2124:$J$2223,32,$C$4))</f>
        <v/>
      </c>
      <c r="L38" s="25">
        <f>IF(NOT(ISNUMBER(K38)),"",INDEX(Noten,MAX(1,MIN(COUNT(NGrenze),COUNT(NGrenze)+1-COUNTIF(NGrenze,"&lt;="&amp;K38))))&amp;" – "&amp;INDEX(NText,MAX(1,MIN(COUNT(NGrenze),COUNT(NGrenze)+1-COUNTIF(NGrenze,"&lt;="&amp;K38)))))</f>
        <v/>
      </c>
      <c r="M38" s="24">
        <f>IF('Stammdaten'!$B37="","",INDEX(Daten!$C$2229:$J$2328,32,$C$4))</f>
        <v/>
      </c>
      <c r="N38" s="25">
        <f>IF(NOT(ISNUMBER(M38)),"",INDEX(Noten,MAX(1,MIN(COUNT(NGrenze),COUNT(NGrenze)+1-COUNTIF(NGrenze,"&lt;="&amp;M38))))&amp;" – "&amp;INDEX(NText,MAX(1,MIN(COUNT(NGrenze),COUNT(NGrenze)+1-COUNTIF(NGrenze,"&lt;="&amp;M38)))))</f>
        <v/>
      </c>
      <c r="O38" s="99">
        <f>IF($A38="","",IF($G38=0,"keine Bewertung",IF($G38&lt;SchwelleDB,"wenig Datenbasis","")))&amp;IF(AND($A38&lt;&gt;"",'Stammdaten'!$G37&lt;&gt;"aktiv")," · "&amp;'Stammdaten'!$G37,"")</f>
        <v/>
      </c>
    </row>
    <row r="39" ht="22" customHeight="1">
      <c r="A39" s="19">
        <f>IF('Stammdaten'!$B38="","",33)</f>
        <v/>
      </c>
      <c r="B39" s="53">
        <f>IF('Stammdaten'!$B38="","",'Stammdaten'!$B38)</f>
        <v/>
      </c>
      <c r="C39" s="97">
        <f>IF('Stammdaten'!$B38="","",'Stammdaten'!$C38)</f>
        <v/>
      </c>
      <c r="D39" s="97">
        <f>IF('Stammdaten'!$B38="","",'Stammdaten'!$D38)</f>
        <v/>
      </c>
      <c r="E39" s="98">
        <f>IF('Stammdaten'!$B38="","",'Stammdaten'!$E38)</f>
        <v/>
      </c>
      <c r="F39" s="21">
        <f>IF('Stammdaten'!$B38="","",'Stammdaten'!$H38)</f>
        <v/>
      </c>
      <c r="G39" s="23">
        <f>IF('Stammdaten'!$B38="","",INDEX(Daten!$C$1704:$J$1803,33,$C$4))</f>
        <v/>
      </c>
      <c r="H39" s="24">
        <f>IF('Stammdaten'!$B38="","",INDEX(Daten!$C$2019:$J$2118,33,$C$4))</f>
        <v/>
      </c>
      <c r="I39" s="25">
        <f>IF(NOT(ISNUMBER(H39)),"",INDEX(Noten,MAX(1,MIN(COUNT(NGrenze),COUNT(NGrenze)+1-COUNTIF(NGrenze,"&lt;="&amp;H39))))&amp;" – "&amp;INDEX(NText,MAX(1,MIN(COUNT(NGrenze),COUNT(NGrenze)+1-COUNTIF(NGrenze,"&lt;="&amp;H39)))))</f>
        <v/>
      </c>
      <c r="J39" s="98">
        <f>IF('Stammdaten'!$B38="","",INDEX(Daten!$C$1914:$J$2013,33,$C$4))</f>
        <v/>
      </c>
      <c r="K39" s="24">
        <f>IF('Stammdaten'!$B38="","",INDEX(Daten!$C$2124:$J$2223,33,$C$4))</f>
        <v/>
      </c>
      <c r="L39" s="25">
        <f>IF(NOT(ISNUMBER(K39)),"",INDEX(Noten,MAX(1,MIN(COUNT(NGrenze),COUNT(NGrenze)+1-COUNTIF(NGrenze,"&lt;="&amp;K39))))&amp;" – "&amp;INDEX(NText,MAX(1,MIN(COUNT(NGrenze),COUNT(NGrenze)+1-COUNTIF(NGrenze,"&lt;="&amp;K39)))))</f>
        <v/>
      </c>
      <c r="M39" s="24">
        <f>IF('Stammdaten'!$B38="","",INDEX(Daten!$C$2229:$J$2328,33,$C$4))</f>
        <v/>
      </c>
      <c r="N39" s="25">
        <f>IF(NOT(ISNUMBER(M39)),"",INDEX(Noten,MAX(1,MIN(COUNT(NGrenze),COUNT(NGrenze)+1-COUNTIF(NGrenze,"&lt;="&amp;M39))))&amp;" – "&amp;INDEX(NText,MAX(1,MIN(COUNT(NGrenze),COUNT(NGrenze)+1-COUNTIF(NGrenze,"&lt;="&amp;M39)))))</f>
        <v/>
      </c>
      <c r="O39" s="99">
        <f>IF($A39="","",IF($G39=0,"keine Bewertung",IF($G39&lt;SchwelleDB,"wenig Datenbasis","")))&amp;IF(AND($A39&lt;&gt;"",'Stammdaten'!$G38&lt;&gt;"aktiv")," · "&amp;'Stammdaten'!$G38,"")</f>
        <v/>
      </c>
    </row>
    <row r="40" ht="22" customHeight="1">
      <c r="A40" s="19">
        <f>IF('Stammdaten'!$B39="","",34)</f>
        <v/>
      </c>
      <c r="B40" s="53">
        <f>IF('Stammdaten'!$B39="","",'Stammdaten'!$B39)</f>
        <v/>
      </c>
      <c r="C40" s="97">
        <f>IF('Stammdaten'!$B39="","",'Stammdaten'!$C39)</f>
        <v/>
      </c>
      <c r="D40" s="97">
        <f>IF('Stammdaten'!$B39="","",'Stammdaten'!$D39)</f>
        <v/>
      </c>
      <c r="E40" s="98">
        <f>IF('Stammdaten'!$B39="","",'Stammdaten'!$E39)</f>
        <v/>
      </c>
      <c r="F40" s="21">
        <f>IF('Stammdaten'!$B39="","",'Stammdaten'!$H39)</f>
        <v/>
      </c>
      <c r="G40" s="23">
        <f>IF('Stammdaten'!$B39="","",INDEX(Daten!$C$1704:$J$1803,34,$C$4))</f>
        <v/>
      </c>
      <c r="H40" s="24">
        <f>IF('Stammdaten'!$B39="","",INDEX(Daten!$C$2019:$J$2118,34,$C$4))</f>
        <v/>
      </c>
      <c r="I40" s="25">
        <f>IF(NOT(ISNUMBER(H40)),"",INDEX(Noten,MAX(1,MIN(COUNT(NGrenze),COUNT(NGrenze)+1-COUNTIF(NGrenze,"&lt;="&amp;H40))))&amp;" – "&amp;INDEX(NText,MAX(1,MIN(COUNT(NGrenze),COUNT(NGrenze)+1-COUNTIF(NGrenze,"&lt;="&amp;H40)))))</f>
        <v/>
      </c>
      <c r="J40" s="98">
        <f>IF('Stammdaten'!$B39="","",INDEX(Daten!$C$1914:$J$2013,34,$C$4))</f>
        <v/>
      </c>
      <c r="K40" s="24">
        <f>IF('Stammdaten'!$B39="","",INDEX(Daten!$C$2124:$J$2223,34,$C$4))</f>
        <v/>
      </c>
      <c r="L40" s="25">
        <f>IF(NOT(ISNUMBER(K40)),"",INDEX(Noten,MAX(1,MIN(COUNT(NGrenze),COUNT(NGrenze)+1-COUNTIF(NGrenze,"&lt;="&amp;K40))))&amp;" – "&amp;INDEX(NText,MAX(1,MIN(COUNT(NGrenze),COUNT(NGrenze)+1-COUNTIF(NGrenze,"&lt;="&amp;K40)))))</f>
        <v/>
      </c>
      <c r="M40" s="24">
        <f>IF('Stammdaten'!$B39="","",INDEX(Daten!$C$2229:$J$2328,34,$C$4))</f>
        <v/>
      </c>
      <c r="N40" s="25">
        <f>IF(NOT(ISNUMBER(M40)),"",INDEX(Noten,MAX(1,MIN(COUNT(NGrenze),COUNT(NGrenze)+1-COUNTIF(NGrenze,"&lt;="&amp;M40))))&amp;" – "&amp;INDEX(NText,MAX(1,MIN(COUNT(NGrenze),COUNT(NGrenze)+1-COUNTIF(NGrenze,"&lt;="&amp;M40)))))</f>
        <v/>
      </c>
      <c r="O40" s="99">
        <f>IF($A40="","",IF($G40=0,"keine Bewertung",IF($G40&lt;SchwelleDB,"wenig Datenbasis","")))&amp;IF(AND($A40&lt;&gt;"",'Stammdaten'!$G39&lt;&gt;"aktiv")," · "&amp;'Stammdaten'!$G39,"")</f>
        <v/>
      </c>
    </row>
    <row r="41" ht="22" customHeight="1">
      <c r="A41" s="19">
        <f>IF('Stammdaten'!$B40="","",35)</f>
        <v/>
      </c>
      <c r="B41" s="53">
        <f>IF('Stammdaten'!$B40="","",'Stammdaten'!$B40)</f>
        <v/>
      </c>
      <c r="C41" s="97">
        <f>IF('Stammdaten'!$B40="","",'Stammdaten'!$C40)</f>
        <v/>
      </c>
      <c r="D41" s="97">
        <f>IF('Stammdaten'!$B40="","",'Stammdaten'!$D40)</f>
        <v/>
      </c>
      <c r="E41" s="98">
        <f>IF('Stammdaten'!$B40="","",'Stammdaten'!$E40)</f>
        <v/>
      </c>
      <c r="F41" s="21">
        <f>IF('Stammdaten'!$B40="","",'Stammdaten'!$H40)</f>
        <v/>
      </c>
      <c r="G41" s="23">
        <f>IF('Stammdaten'!$B40="","",INDEX(Daten!$C$1704:$J$1803,35,$C$4))</f>
        <v/>
      </c>
      <c r="H41" s="24">
        <f>IF('Stammdaten'!$B40="","",INDEX(Daten!$C$2019:$J$2118,35,$C$4))</f>
        <v/>
      </c>
      <c r="I41" s="25">
        <f>IF(NOT(ISNUMBER(H41)),"",INDEX(Noten,MAX(1,MIN(COUNT(NGrenze),COUNT(NGrenze)+1-COUNTIF(NGrenze,"&lt;="&amp;H41))))&amp;" – "&amp;INDEX(NText,MAX(1,MIN(COUNT(NGrenze),COUNT(NGrenze)+1-COUNTIF(NGrenze,"&lt;="&amp;H41)))))</f>
        <v/>
      </c>
      <c r="J41" s="98">
        <f>IF('Stammdaten'!$B40="","",INDEX(Daten!$C$1914:$J$2013,35,$C$4))</f>
        <v/>
      </c>
      <c r="K41" s="24">
        <f>IF('Stammdaten'!$B40="","",INDEX(Daten!$C$2124:$J$2223,35,$C$4))</f>
        <v/>
      </c>
      <c r="L41" s="25">
        <f>IF(NOT(ISNUMBER(K41)),"",INDEX(Noten,MAX(1,MIN(COUNT(NGrenze),COUNT(NGrenze)+1-COUNTIF(NGrenze,"&lt;="&amp;K41))))&amp;" – "&amp;INDEX(NText,MAX(1,MIN(COUNT(NGrenze),COUNT(NGrenze)+1-COUNTIF(NGrenze,"&lt;="&amp;K41)))))</f>
        <v/>
      </c>
      <c r="M41" s="24">
        <f>IF('Stammdaten'!$B40="","",INDEX(Daten!$C$2229:$J$2328,35,$C$4))</f>
        <v/>
      </c>
      <c r="N41" s="25">
        <f>IF(NOT(ISNUMBER(M41)),"",INDEX(Noten,MAX(1,MIN(COUNT(NGrenze),COUNT(NGrenze)+1-COUNTIF(NGrenze,"&lt;="&amp;M41))))&amp;" – "&amp;INDEX(NText,MAX(1,MIN(COUNT(NGrenze),COUNT(NGrenze)+1-COUNTIF(NGrenze,"&lt;="&amp;M41)))))</f>
        <v/>
      </c>
      <c r="O41" s="99">
        <f>IF($A41="","",IF($G41=0,"keine Bewertung",IF($G41&lt;SchwelleDB,"wenig Datenbasis","")))&amp;IF(AND($A41&lt;&gt;"",'Stammdaten'!$G40&lt;&gt;"aktiv")," · "&amp;'Stammdaten'!$G40,"")</f>
        <v/>
      </c>
    </row>
    <row r="42" ht="22" customHeight="1">
      <c r="A42" s="19">
        <f>IF('Stammdaten'!$B41="","",36)</f>
        <v/>
      </c>
      <c r="B42" s="53">
        <f>IF('Stammdaten'!$B41="","",'Stammdaten'!$B41)</f>
        <v/>
      </c>
      <c r="C42" s="97">
        <f>IF('Stammdaten'!$B41="","",'Stammdaten'!$C41)</f>
        <v/>
      </c>
      <c r="D42" s="97">
        <f>IF('Stammdaten'!$B41="","",'Stammdaten'!$D41)</f>
        <v/>
      </c>
      <c r="E42" s="98">
        <f>IF('Stammdaten'!$B41="","",'Stammdaten'!$E41)</f>
        <v/>
      </c>
      <c r="F42" s="21">
        <f>IF('Stammdaten'!$B41="","",'Stammdaten'!$H41)</f>
        <v/>
      </c>
      <c r="G42" s="23">
        <f>IF('Stammdaten'!$B41="","",INDEX(Daten!$C$1704:$J$1803,36,$C$4))</f>
        <v/>
      </c>
      <c r="H42" s="24">
        <f>IF('Stammdaten'!$B41="","",INDEX(Daten!$C$2019:$J$2118,36,$C$4))</f>
        <v/>
      </c>
      <c r="I42" s="25">
        <f>IF(NOT(ISNUMBER(H42)),"",INDEX(Noten,MAX(1,MIN(COUNT(NGrenze),COUNT(NGrenze)+1-COUNTIF(NGrenze,"&lt;="&amp;H42))))&amp;" – "&amp;INDEX(NText,MAX(1,MIN(COUNT(NGrenze),COUNT(NGrenze)+1-COUNTIF(NGrenze,"&lt;="&amp;H42)))))</f>
        <v/>
      </c>
      <c r="J42" s="98">
        <f>IF('Stammdaten'!$B41="","",INDEX(Daten!$C$1914:$J$2013,36,$C$4))</f>
        <v/>
      </c>
      <c r="K42" s="24">
        <f>IF('Stammdaten'!$B41="","",INDEX(Daten!$C$2124:$J$2223,36,$C$4))</f>
        <v/>
      </c>
      <c r="L42" s="25">
        <f>IF(NOT(ISNUMBER(K42)),"",INDEX(Noten,MAX(1,MIN(COUNT(NGrenze),COUNT(NGrenze)+1-COUNTIF(NGrenze,"&lt;="&amp;K42))))&amp;" – "&amp;INDEX(NText,MAX(1,MIN(COUNT(NGrenze),COUNT(NGrenze)+1-COUNTIF(NGrenze,"&lt;="&amp;K42)))))</f>
        <v/>
      </c>
      <c r="M42" s="24">
        <f>IF('Stammdaten'!$B41="","",INDEX(Daten!$C$2229:$J$2328,36,$C$4))</f>
        <v/>
      </c>
      <c r="N42" s="25">
        <f>IF(NOT(ISNUMBER(M42)),"",INDEX(Noten,MAX(1,MIN(COUNT(NGrenze),COUNT(NGrenze)+1-COUNTIF(NGrenze,"&lt;="&amp;M42))))&amp;" – "&amp;INDEX(NText,MAX(1,MIN(COUNT(NGrenze),COUNT(NGrenze)+1-COUNTIF(NGrenze,"&lt;="&amp;M42)))))</f>
        <v/>
      </c>
      <c r="O42" s="99">
        <f>IF($A42="","",IF($G42=0,"keine Bewertung",IF($G42&lt;SchwelleDB,"wenig Datenbasis","")))&amp;IF(AND($A42&lt;&gt;"",'Stammdaten'!$G41&lt;&gt;"aktiv")," · "&amp;'Stammdaten'!$G41,"")</f>
        <v/>
      </c>
    </row>
    <row r="43" ht="22" customHeight="1">
      <c r="A43" s="19">
        <f>IF('Stammdaten'!$B42="","",37)</f>
        <v/>
      </c>
      <c r="B43" s="53">
        <f>IF('Stammdaten'!$B42="","",'Stammdaten'!$B42)</f>
        <v/>
      </c>
      <c r="C43" s="97">
        <f>IF('Stammdaten'!$B42="","",'Stammdaten'!$C42)</f>
        <v/>
      </c>
      <c r="D43" s="97">
        <f>IF('Stammdaten'!$B42="","",'Stammdaten'!$D42)</f>
        <v/>
      </c>
      <c r="E43" s="98">
        <f>IF('Stammdaten'!$B42="","",'Stammdaten'!$E42)</f>
        <v/>
      </c>
      <c r="F43" s="21">
        <f>IF('Stammdaten'!$B42="","",'Stammdaten'!$H42)</f>
        <v/>
      </c>
      <c r="G43" s="23">
        <f>IF('Stammdaten'!$B42="","",INDEX(Daten!$C$1704:$J$1803,37,$C$4))</f>
        <v/>
      </c>
      <c r="H43" s="24">
        <f>IF('Stammdaten'!$B42="","",INDEX(Daten!$C$2019:$J$2118,37,$C$4))</f>
        <v/>
      </c>
      <c r="I43" s="25">
        <f>IF(NOT(ISNUMBER(H43)),"",INDEX(Noten,MAX(1,MIN(COUNT(NGrenze),COUNT(NGrenze)+1-COUNTIF(NGrenze,"&lt;="&amp;H43))))&amp;" – "&amp;INDEX(NText,MAX(1,MIN(COUNT(NGrenze),COUNT(NGrenze)+1-COUNTIF(NGrenze,"&lt;="&amp;H43)))))</f>
        <v/>
      </c>
      <c r="J43" s="98">
        <f>IF('Stammdaten'!$B42="","",INDEX(Daten!$C$1914:$J$2013,37,$C$4))</f>
        <v/>
      </c>
      <c r="K43" s="24">
        <f>IF('Stammdaten'!$B42="","",INDEX(Daten!$C$2124:$J$2223,37,$C$4))</f>
        <v/>
      </c>
      <c r="L43" s="25">
        <f>IF(NOT(ISNUMBER(K43)),"",INDEX(Noten,MAX(1,MIN(COUNT(NGrenze),COUNT(NGrenze)+1-COUNTIF(NGrenze,"&lt;="&amp;K43))))&amp;" – "&amp;INDEX(NText,MAX(1,MIN(COUNT(NGrenze),COUNT(NGrenze)+1-COUNTIF(NGrenze,"&lt;="&amp;K43)))))</f>
        <v/>
      </c>
      <c r="M43" s="24">
        <f>IF('Stammdaten'!$B42="","",INDEX(Daten!$C$2229:$J$2328,37,$C$4))</f>
        <v/>
      </c>
      <c r="N43" s="25">
        <f>IF(NOT(ISNUMBER(M43)),"",INDEX(Noten,MAX(1,MIN(COUNT(NGrenze),COUNT(NGrenze)+1-COUNTIF(NGrenze,"&lt;="&amp;M43))))&amp;" – "&amp;INDEX(NText,MAX(1,MIN(COUNT(NGrenze),COUNT(NGrenze)+1-COUNTIF(NGrenze,"&lt;="&amp;M43)))))</f>
        <v/>
      </c>
      <c r="O43" s="99">
        <f>IF($A43="","",IF($G43=0,"keine Bewertung",IF($G43&lt;SchwelleDB,"wenig Datenbasis","")))&amp;IF(AND($A43&lt;&gt;"",'Stammdaten'!$G42&lt;&gt;"aktiv")," · "&amp;'Stammdaten'!$G42,"")</f>
        <v/>
      </c>
    </row>
    <row r="44" ht="22" customHeight="1">
      <c r="A44" s="19">
        <f>IF('Stammdaten'!$B43="","",38)</f>
        <v/>
      </c>
      <c r="B44" s="53">
        <f>IF('Stammdaten'!$B43="","",'Stammdaten'!$B43)</f>
        <v/>
      </c>
      <c r="C44" s="97">
        <f>IF('Stammdaten'!$B43="","",'Stammdaten'!$C43)</f>
        <v/>
      </c>
      <c r="D44" s="97">
        <f>IF('Stammdaten'!$B43="","",'Stammdaten'!$D43)</f>
        <v/>
      </c>
      <c r="E44" s="98">
        <f>IF('Stammdaten'!$B43="","",'Stammdaten'!$E43)</f>
        <v/>
      </c>
      <c r="F44" s="21">
        <f>IF('Stammdaten'!$B43="","",'Stammdaten'!$H43)</f>
        <v/>
      </c>
      <c r="G44" s="23">
        <f>IF('Stammdaten'!$B43="","",INDEX(Daten!$C$1704:$J$1803,38,$C$4))</f>
        <v/>
      </c>
      <c r="H44" s="24">
        <f>IF('Stammdaten'!$B43="","",INDEX(Daten!$C$2019:$J$2118,38,$C$4))</f>
        <v/>
      </c>
      <c r="I44" s="25">
        <f>IF(NOT(ISNUMBER(H44)),"",INDEX(Noten,MAX(1,MIN(COUNT(NGrenze),COUNT(NGrenze)+1-COUNTIF(NGrenze,"&lt;="&amp;H44))))&amp;" – "&amp;INDEX(NText,MAX(1,MIN(COUNT(NGrenze),COUNT(NGrenze)+1-COUNTIF(NGrenze,"&lt;="&amp;H44)))))</f>
        <v/>
      </c>
      <c r="J44" s="98">
        <f>IF('Stammdaten'!$B43="","",INDEX(Daten!$C$1914:$J$2013,38,$C$4))</f>
        <v/>
      </c>
      <c r="K44" s="24">
        <f>IF('Stammdaten'!$B43="","",INDEX(Daten!$C$2124:$J$2223,38,$C$4))</f>
        <v/>
      </c>
      <c r="L44" s="25">
        <f>IF(NOT(ISNUMBER(K44)),"",INDEX(Noten,MAX(1,MIN(COUNT(NGrenze),COUNT(NGrenze)+1-COUNTIF(NGrenze,"&lt;="&amp;K44))))&amp;" – "&amp;INDEX(NText,MAX(1,MIN(COUNT(NGrenze),COUNT(NGrenze)+1-COUNTIF(NGrenze,"&lt;="&amp;K44)))))</f>
        <v/>
      </c>
      <c r="M44" s="24">
        <f>IF('Stammdaten'!$B43="","",INDEX(Daten!$C$2229:$J$2328,38,$C$4))</f>
        <v/>
      </c>
      <c r="N44" s="25">
        <f>IF(NOT(ISNUMBER(M44)),"",INDEX(Noten,MAX(1,MIN(COUNT(NGrenze),COUNT(NGrenze)+1-COUNTIF(NGrenze,"&lt;="&amp;M44))))&amp;" – "&amp;INDEX(NText,MAX(1,MIN(COUNT(NGrenze),COUNT(NGrenze)+1-COUNTIF(NGrenze,"&lt;="&amp;M44)))))</f>
        <v/>
      </c>
      <c r="O44" s="99">
        <f>IF($A44="","",IF($G44=0,"keine Bewertung",IF($G44&lt;SchwelleDB,"wenig Datenbasis","")))&amp;IF(AND($A44&lt;&gt;"",'Stammdaten'!$G43&lt;&gt;"aktiv")," · "&amp;'Stammdaten'!$G43,"")</f>
        <v/>
      </c>
    </row>
    <row r="45" ht="22" customHeight="1">
      <c r="A45" s="19">
        <f>IF('Stammdaten'!$B44="","",39)</f>
        <v/>
      </c>
      <c r="B45" s="53">
        <f>IF('Stammdaten'!$B44="","",'Stammdaten'!$B44)</f>
        <v/>
      </c>
      <c r="C45" s="97">
        <f>IF('Stammdaten'!$B44="","",'Stammdaten'!$C44)</f>
        <v/>
      </c>
      <c r="D45" s="97">
        <f>IF('Stammdaten'!$B44="","",'Stammdaten'!$D44)</f>
        <v/>
      </c>
      <c r="E45" s="98">
        <f>IF('Stammdaten'!$B44="","",'Stammdaten'!$E44)</f>
        <v/>
      </c>
      <c r="F45" s="21">
        <f>IF('Stammdaten'!$B44="","",'Stammdaten'!$H44)</f>
        <v/>
      </c>
      <c r="G45" s="23">
        <f>IF('Stammdaten'!$B44="","",INDEX(Daten!$C$1704:$J$1803,39,$C$4))</f>
        <v/>
      </c>
      <c r="H45" s="24">
        <f>IF('Stammdaten'!$B44="","",INDEX(Daten!$C$2019:$J$2118,39,$C$4))</f>
        <v/>
      </c>
      <c r="I45" s="25">
        <f>IF(NOT(ISNUMBER(H45)),"",INDEX(Noten,MAX(1,MIN(COUNT(NGrenze),COUNT(NGrenze)+1-COUNTIF(NGrenze,"&lt;="&amp;H45))))&amp;" – "&amp;INDEX(NText,MAX(1,MIN(COUNT(NGrenze),COUNT(NGrenze)+1-COUNTIF(NGrenze,"&lt;="&amp;H45)))))</f>
        <v/>
      </c>
      <c r="J45" s="98">
        <f>IF('Stammdaten'!$B44="","",INDEX(Daten!$C$1914:$J$2013,39,$C$4))</f>
        <v/>
      </c>
      <c r="K45" s="24">
        <f>IF('Stammdaten'!$B44="","",INDEX(Daten!$C$2124:$J$2223,39,$C$4))</f>
        <v/>
      </c>
      <c r="L45" s="25">
        <f>IF(NOT(ISNUMBER(K45)),"",INDEX(Noten,MAX(1,MIN(COUNT(NGrenze),COUNT(NGrenze)+1-COUNTIF(NGrenze,"&lt;="&amp;K45))))&amp;" – "&amp;INDEX(NText,MAX(1,MIN(COUNT(NGrenze),COUNT(NGrenze)+1-COUNTIF(NGrenze,"&lt;="&amp;K45)))))</f>
        <v/>
      </c>
      <c r="M45" s="24">
        <f>IF('Stammdaten'!$B44="","",INDEX(Daten!$C$2229:$J$2328,39,$C$4))</f>
        <v/>
      </c>
      <c r="N45" s="25">
        <f>IF(NOT(ISNUMBER(M45)),"",INDEX(Noten,MAX(1,MIN(COUNT(NGrenze),COUNT(NGrenze)+1-COUNTIF(NGrenze,"&lt;="&amp;M45))))&amp;" – "&amp;INDEX(NText,MAX(1,MIN(COUNT(NGrenze),COUNT(NGrenze)+1-COUNTIF(NGrenze,"&lt;="&amp;M45)))))</f>
        <v/>
      </c>
      <c r="O45" s="99">
        <f>IF($A45="","",IF($G45=0,"keine Bewertung",IF($G45&lt;SchwelleDB,"wenig Datenbasis","")))&amp;IF(AND($A45&lt;&gt;"",'Stammdaten'!$G44&lt;&gt;"aktiv")," · "&amp;'Stammdaten'!$G44,"")</f>
        <v/>
      </c>
    </row>
    <row r="46" ht="22" customHeight="1">
      <c r="A46" s="19">
        <f>IF('Stammdaten'!$B45="","",40)</f>
        <v/>
      </c>
      <c r="B46" s="53">
        <f>IF('Stammdaten'!$B45="","",'Stammdaten'!$B45)</f>
        <v/>
      </c>
      <c r="C46" s="97">
        <f>IF('Stammdaten'!$B45="","",'Stammdaten'!$C45)</f>
        <v/>
      </c>
      <c r="D46" s="97">
        <f>IF('Stammdaten'!$B45="","",'Stammdaten'!$D45)</f>
        <v/>
      </c>
      <c r="E46" s="98">
        <f>IF('Stammdaten'!$B45="","",'Stammdaten'!$E45)</f>
        <v/>
      </c>
      <c r="F46" s="21">
        <f>IF('Stammdaten'!$B45="","",'Stammdaten'!$H45)</f>
        <v/>
      </c>
      <c r="G46" s="23">
        <f>IF('Stammdaten'!$B45="","",INDEX(Daten!$C$1704:$J$1803,40,$C$4))</f>
        <v/>
      </c>
      <c r="H46" s="24">
        <f>IF('Stammdaten'!$B45="","",INDEX(Daten!$C$2019:$J$2118,40,$C$4))</f>
        <v/>
      </c>
      <c r="I46" s="25">
        <f>IF(NOT(ISNUMBER(H46)),"",INDEX(Noten,MAX(1,MIN(COUNT(NGrenze),COUNT(NGrenze)+1-COUNTIF(NGrenze,"&lt;="&amp;H46))))&amp;" – "&amp;INDEX(NText,MAX(1,MIN(COUNT(NGrenze),COUNT(NGrenze)+1-COUNTIF(NGrenze,"&lt;="&amp;H46)))))</f>
        <v/>
      </c>
      <c r="J46" s="98">
        <f>IF('Stammdaten'!$B45="","",INDEX(Daten!$C$1914:$J$2013,40,$C$4))</f>
        <v/>
      </c>
      <c r="K46" s="24">
        <f>IF('Stammdaten'!$B45="","",INDEX(Daten!$C$2124:$J$2223,40,$C$4))</f>
        <v/>
      </c>
      <c r="L46" s="25">
        <f>IF(NOT(ISNUMBER(K46)),"",INDEX(Noten,MAX(1,MIN(COUNT(NGrenze),COUNT(NGrenze)+1-COUNTIF(NGrenze,"&lt;="&amp;K46))))&amp;" – "&amp;INDEX(NText,MAX(1,MIN(COUNT(NGrenze),COUNT(NGrenze)+1-COUNTIF(NGrenze,"&lt;="&amp;K46)))))</f>
        <v/>
      </c>
      <c r="M46" s="24">
        <f>IF('Stammdaten'!$B45="","",INDEX(Daten!$C$2229:$J$2328,40,$C$4))</f>
        <v/>
      </c>
      <c r="N46" s="25">
        <f>IF(NOT(ISNUMBER(M46)),"",INDEX(Noten,MAX(1,MIN(COUNT(NGrenze),COUNT(NGrenze)+1-COUNTIF(NGrenze,"&lt;="&amp;M46))))&amp;" – "&amp;INDEX(NText,MAX(1,MIN(COUNT(NGrenze),COUNT(NGrenze)+1-COUNTIF(NGrenze,"&lt;="&amp;M46)))))</f>
        <v/>
      </c>
      <c r="O46" s="99">
        <f>IF($A46="","",IF($G46=0,"keine Bewertung",IF($G46&lt;SchwelleDB,"wenig Datenbasis","")))&amp;IF(AND($A46&lt;&gt;"",'Stammdaten'!$G45&lt;&gt;"aktiv")," · "&amp;'Stammdaten'!$G45,"")</f>
        <v/>
      </c>
    </row>
    <row r="47" ht="22" customHeight="1">
      <c r="A47" s="19">
        <f>IF('Stammdaten'!$B46="","",41)</f>
        <v/>
      </c>
      <c r="B47" s="53">
        <f>IF('Stammdaten'!$B46="","",'Stammdaten'!$B46)</f>
        <v/>
      </c>
      <c r="C47" s="97">
        <f>IF('Stammdaten'!$B46="","",'Stammdaten'!$C46)</f>
        <v/>
      </c>
      <c r="D47" s="97">
        <f>IF('Stammdaten'!$B46="","",'Stammdaten'!$D46)</f>
        <v/>
      </c>
      <c r="E47" s="98">
        <f>IF('Stammdaten'!$B46="","",'Stammdaten'!$E46)</f>
        <v/>
      </c>
      <c r="F47" s="21">
        <f>IF('Stammdaten'!$B46="","",'Stammdaten'!$H46)</f>
        <v/>
      </c>
      <c r="G47" s="23">
        <f>IF('Stammdaten'!$B46="","",INDEX(Daten!$C$1704:$J$1803,41,$C$4))</f>
        <v/>
      </c>
      <c r="H47" s="24">
        <f>IF('Stammdaten'!$B46="","",INDEX(Daten!$C$2019:$J$2118,41,$C$4))</f>
        <v/>
      </c>
      <c r="I47" s="25">
        <f>IF(NOT(ISNUMBER(H47)),"",INDEX(Noten,MAX(1,MIN(COUNT(NGrenze),COUNT(NGrenze)+1-COUNTIF(NGrenze,"&lt;="&amp;H47))))&amp;" – "&amp;INDEX(NText,MAX(1,MIN(COUNT(NGrenze),COUNT(NGrenze)+1-COUNTIF(NGrenze,"&lt;="&amp;H47)))))</f>
        <v/>
      </c>
      <c r="J47" s="98">
        <f>IF('Stammdaten'!$B46="","",INDEX(Daten!$C$1914:$J$2013,41,$C$4))</f>
        <v/>
      </c>
      <c r="K47" s="24">
        <f>IF('Stammdaten'!$B46="","",INDEX(Daten!$C$2124:$J$2223,41,$C$4))</f>
        <v/>
      </c>
      <c r="L47" s="25">
        <f>IF(NOT(ISNUMBER(K47)),"",INDEX(Noten,MAX(1,MIN(COUNT(NGrenze),COUNT(NGrenze)+1-COUNTIF(NGrenze,"&lt;="&amp;K47))))&amp;" – "&amp;INDEX(NText,MAX(1,MIN(COUNT(NGrenze),COUNT(NGrenze)+1-COUNTIF(NGrenze,"&lt;="&amp;K47)))))</f>
        <v/>
      </c>
      <c r="M47" s="24">
        <f>IF('Stammdaten'!$B46="","",INDEX(Daten!$C$2229:$J$2328,41,$C$4))</f>
        <v/>
      </c>
      <c r="N47" s="25">
        <f>IF(NOT(ISNUMBER(M47)),"",INDEX(Noten,MAX(1,MIN(COUNT(NGrenze),COUNT(NGrenze)+1-COUNTIF(NGrenze,"&lt;="&amp;M47))))&amp;" – "&amp;INDEX(NText,MAX(1,MIN(COUNT(NGrenze),COUNT(NGrenze)+1-COUNTIF(NGrenze,"&lt;="&amp;M47)))))</f>
        <v/>
      </c>
      <c r="O47" s="99">
        <f>IF($A47="","",IF($G47=0,"keine Bewertung",IF($G47&lt;SchwelleDB,"wenig Datenbasis","")))&amp;IF(AND($A47&lt;&gt;"",'Stammdaten'!$G46&lt;&gt;"aktiv")," · "&amp;'Stammdaten'!$G46,"")</f>
        <v/>
      </c>
    </row>
    <row r="48" ht="22" customHeight="1">
      <c r="A48" s="19">
        <f>IF('Stammdaten'!$B47="","",42)</f>
        <v/>
      </c>
      <c r="B48" s="53">
        <f>IF('Stammdaten'!$B47="","",'Stammdaten'!$B47)</f>
        <v/>
      </c>
      <c r="C48" s="97">
        <f>IF('Stammdaten'!$B47="","",'Stammdaten'!$C47)</f>
        <v/>
      </c>
      <c r="D48" s="97">
        <f>IF('Stammdaten'!$B47="","",'Stammdaten'!$D47)</f>
        <v/>
      </c>
      <c r="E48" s="98">
        <f>IF('Stammdaten'!$B47="","",'Stammdaten'!$E47)</f>
        <v/>
      </c>
      <c r="F48" s="21">
        <f>IF('Stammdaten'!$B47="","",'Stammdaten'!$H47)</f>
        <v/>
      </c>
      <c r="G48" s="23">
        <f>IF('Stammdaten'!$B47="","",INDEX(Daten!$C$1704:$J$1803,42,$C$4))</f>
        <v/>
      </c>
      <c r="H48" s="24">
        <f>IF('Stammdaten'!$B47="","",INDEX(Daten!$C$2019:$J$2118,42,$C$4))</f>
        <v/>
      </c>
      <c r="I48" s="25">
        <f>IF(NOT(ISNUMBER(H48)),"",INDEX(Noten,MAX(1,MIN(COUNT(NGrenze),COUNT(NGrenze)+1-COUNTIF(NGrenze,"&lt;="&amp;H48))))&amp;" – "&amp;INDEX(NText,MAX(1,MIN(COUNT(NGrenze),COUNT(NGrenze)+1-COUNTIF(NGrenze,"&lt;="&amp;H48)))))</f>
        <v/>
      </c>
      <c r="J48" s="98">
        <f>IF('Stammdaten'!$B47="","",INDEX(Daten!$C$1914:$J$2013,42,$C$4))</f>
        <v/>
      </c>
      <c r="K48" s="24">
        <f>IF('Stammdaten'!$B47="","",INDEX(Daten!$C$2124:$J$2223,42,$C$4))</f>
        <v/>
      </c>
      <c r="L48" s="25">
        <f>IF(NOT(ISNUMBER(K48)),"",INDEX(Noten,MAX(1,MIN(COUNT(NGrenze),COUNT(NGrenze)+1-COUNTIF(NGrenze,"&lt;="&amp;K48))))&amp;" – "&amp;INDEX(NText,MAX(1,MIN(COUNT(NGrenze),COUNT(NGrenze)+1-COUNTIF(NGrenze,"&lt;="&amp;K48)))))</f>
        <v/>
      </c>
      <c r="M48" s="24">
        <f>IF('Stammdaten'!$B47="","",INDEX(Daten!$C$2229:$J$2328,42,$C$4))</f>
        <v/>
      </c>
      <c r="N48" s="25">
        <f>IF(NOT(ISNUMBER(M48)),"",INDEX(Noten,MAX(1,MIN(COUNT(NGrenze),COUNT(NGrenze)+1-COUNTIF(NGrenze,"&lt;="&amp;M48))))&amp;" – "&amp;INDEX(NText,MAX(1,MIN(COUNT(NGrenze),COUNT(NGrenze)+1-COUNTIF(NGrenze,"&lt;="&amp;M48)))))</f>
        <v/>
      </c>
      <c r="O48" s="99">
        <f>IF($A48="","",IF($G48=0,"keine Bewertung",IF($G48&lt;SchwelleDB,"wenig Datenbasis","")))&amp;IF(AND($A48&lt;&gt;"",'Stammdaten'!$G47&lt;&gt;"aktiv")," · "&amp;'Stammdaten'!$G47,"")</f>
        <v/>
      </c>
    </row>
    <row r="49" ht="22" customHeight="1">
      <c r="A49" s="19">
        <f>IF('Stammdaten'!$B48="","",43)</f>
        <v/>
      </c>
      <c r="B49" s="53">
        <f>IF('Stammdaten'!$B48="","",'Stammdaten'!$B48)</f>
        <v/>
      </c>
      <c r="C49" s="97">
        <f>IF('Stammdaten'!$B48="","",'Stammdaten'!$C48)</f>
        <v/>
      </c>
      <c r="D49" s="97">
        <f>IF('Stammdaten'!$B48="","",'Stammdaten'!$D48)</f>
        <v/>
      </c>
      <c r="E49" s="98">
        <f>IF('Stammdaten'!$B48="","",'Stammdaten'!$E48)</f>
        <v/>
      </c>
      <c r="F49" s="21">
        <f>IF('Stammdaten'!$B48="","",'Stammdaten'!$H48)</f>
        <v/>
      </c>
      <c r="G49" s="23">
        <f>IF('Stammdaten'!$B48="","",INDEX(Daten!$C$1704:$J$1803,43,$C$4))</f>
        <v/>
      </c>
      <c r="H49" s="24">
        <f>IF('Stammdaten'!$B48="","",INDEX(Daten!$C$2019:$J$2118,43,$C$4))</f>
        <v/>
      </c>
      <c r="I49" s="25">
        <f>IF(NOT(ISNUMBER(H49)),"",INDEX(Noten,MAX(1,MIN(COUNT(NGrenze),COUNT(NGrenze)+1-COUNTIF(NGrenze,"&lt;="&amp;H49))))&amp;" – "&amp;INDEX(NText,MAX(1,MIN(COUNT(NGrenze),COUNT(NGrenze)+1-COUNTIF(NGrenze,"&lt;="&amp;H49)))))</f>
        <v/>
      </c>
      <c r="J49" s="98">
        <f>IF('Stammdaten'!$B48="","",INDEX(Daten!$C$1914:$J$2013,43,$C$4))</f>
        <v/>
      </c>
      <c r="K49" s="24">
        <f>IF('Stammdaten'!$B48="","",INDEX(Daten!$C$2124:$J$2223,43,$C$4))</f>
        <v/>
      </c>
      <c r="L49" s="25">
        <f>IF(NOT(ISNUMBER(K49)),"",INDEX(Noten,MAX(1,MIN(COUNT(NGrenze),COUNT(NGrenze)+1-COUNTIF(NGrenze,"&lt;="&amp;K49))))&amp;" – "&amp;INDEX(NText,MAX(1,MIN(COUNT(NGrenze),COUNT(NGrenze)+1-COUNTIF(NGrenze,"&lt;="&amp;K49)))))</f>
        <v/>
      </c>
      <c r="M49" s="24">
        <f>IF('Stammdaten'!$B48="","",INDEX(Daten!$C$2229:$J$2328,43,$C$4))</f>
        <v/>
      </c>
      <c r="N49" s="25">
        <f>IF(NOT(ISNUMBER(M49)),"",INDEX(Noten,MAX(1,MIN(COUNT(NGrenze),COUNT(NGrenze)+1-COUNTIF(NGrenze,"&lt;="&amp;M49))))&amp;" – "&amp;INDEX(NText,MAX(1,MIN(COUNT(NGrenze),COUNT(NGrenze)+1-COUNTIF(NGrenze,"&lt;="&amp;M49)))))</f>
        <v/>
      </c>
      <c r="O49" s="99">
        <f>IF($A49="","",IF($G49=0,"keine Bewertung",IF($G49&lt;SchwelleDB,"wenig Datenbasis","")))&amp;IF(AND($A49&lt;&gt;"",'Stammdaten'!$G48&lt;&gt;"aktiv")," · "&amp;'Stammdaten'!$G48,"")</f>
        <v/>
      </c>
    </row>
    <row r="50" ht="22" customHeight="1">
      <c r="A50" s="19">
        <f>IF('Stammdaten'!$B49="","",44)</f>
        <v/>
      </c>
      <c r="B50" s="53">
        <f>IF('Stammdaten'!$B49="","",'Stammdaten'!$B49)</f>
        <v/>
      </c>
      <c r="C50" s="97">
        <f>IF('Stammdaten'!$B49="","",'Stammdaten'!$C49)</f>
        <v/>
      </c>
      <c r="D50" s="97">
        <f>IF('Stammdaten'!$B49="","",'Stammdaten'!$D49)</f>
        <v/>
      </c>
      <c r="E50" s="98">
        <f>IF('Stammdaten'!$B49="","",'Stammdaten'!$E49)</f>
        <v/>
      </c>
      <c r="F50" s="21">
        <f>IF('Stammdaten'!$B49="","",'Stammdaten'!$H49)</f>
        <v/>
      </c>
      <c r="G50" s="23">
        <f>IF('Stammdaten'!$B49="","",INDEX(Daten!$C$1704:$J$1803,44,$C$4))</f>
        <v/>
      </c>
      <c r="H50" s="24">
        <f>IF('Stammdaten'!$B49="","",INDEX(Daten!$C$2019:$J$2118,44,$C$4))</f>
        <v/>
      </c>
      <c r="I50" s="25">
        <f>IF(NOT(ISNUMBER(H50)),"",INDEX(Noten,MAX(1,MIN(COUNT(NGrenze),COUNT(NGrenze)+1-COUNTIF(NGrenze,"&lt;="&amp;H50))))&amp;" – "&amp;INDEX(NText,MAX(1,MIN(COUNT(NGrenze),COUNT(NGrenze)+1-COUNTIF(NGrenze,"&lt;="&amp;H50)))))</f>
        <v/>
      </c>
      <c r="J50" s="98">
        <f>IF('Stammdaten'!$B49="","",INDEX(Daten!$C$1914:$J$2013,44,$C$4))</f>
        <v/>
      </c>
      <c r="K50" s="24">
        <f>IF('Stammdaten'!$B49="","",INDEX(Daten!$C$2124:$J$2223,44,$C$4))</f>
        <v/>
      </c>
      <c r="L50" s="25">
        <f>IF(NOT(ISNUMBER(K50)),"",INDEX(Noten,MAX(1,MIN(COUNT(NGrenze),COUNT(NGrenze)+1-COUNTIF(NGrenze,"&lt;="&amp;K50))))&amp;" – "&amp;INDEX(NText,MAX(1,MIN(COUNT(NGrenze),COUNT(NGrenze)+1-COUNTIF(NGrenze,"&lt;="&amp;K50)))))</f>
        <v/>
      </c>
      <c r="M50" s="24">
        <f>IF('Stammdaten'!$B49="","",INDEX(Daten!$C$2229:$J$2328,44,$C$4))</f>
        <v/>
      </c>
      <c r="N50" s="25">
        <f>IF(NOT(ISNUMBER(M50)),"",INDEX(Noten,MAX(1,MIN(COUNT(NGrenze),COUNT(NGrenze)+1-COUNTIF(NGrenze,"&lt;="&amp;M50))))&amp;" – "&amp;INDEX(NText,MAX(1,MIN(COUNT(NGrenze),COUNT(NGrenze)+1-COUNTIF(NGrenze,"&lt;="&amp;M50)))))</f>
        <v/>
      </c>
      <c r="O50" s="99">
        <f>IF($A50="","",IF($G50=0,"keine Bewertung",IF($G50&lt;SchwelleDB,"wenig Datenbasis","")))&amp;IF(AND($A50&lt;&gt;"",'Stammdaten'!$G49&lt;&gt;"aktiv")," · "&amp;'Stammdaten'!$G49,"")</f>
        <v/>
      </c>
    </row>
    <row r="51" ht="22" customHeight="1">
      <c r="A51" s="19">
        <f>IF('Stammdaten'!$B50="","",45)</f>
        <v/>
      </c>
      <c r="B51" s="53">
        <f>IF('Stammdaten'!$B50="","",'Stammdaten'!$B50)</f>
        <v/>
      </c>
      <c r="C51" s="97">
        <f>IF('Stammdaten'!$B50="","",'Stammdaten'!$C50)</f>
        <v/>
      </c>
      <c r="D51" s="97">
        <f>IF('Stammdaten'!$B50="","",'Stammdaten'!$D50)</f>
        <v/>
      </c>
      <c r="E51" s="98">
        <f>IF('Stammdaten'!$B50="","",'Stammdaten'!$E50)</f>
        <v/>
      </c>
      <c r="F51" s="21">
        <f>IF('Stammdaten'!$B50="","",'Stammdaten'!$H50)</f>
        <v/>
      </c>
      <c r="G51" s="23">
        <f>IF('Stammdaten'!$B50="","",INDEX(Daten!$C$1704:$J$1803,45,$C$4))</f>
        <v/>
      </c>
      <c r="H51" s="24">
        <f>IF('Stammdaten'!$B50="","",INDEX(Daten!$C$2019:$J$2118,45,$C$4))</f>
        <v/>
      </c>
      <c r="I51" s="25">
        <f>IF(NOT(ISNUMBER(H51)),"",INDEX(Noten,MAX(1,MIN(COUNT(NGrenze),COUNT(NGrenze)+1-COUNTIF(NGrenze,"&lt;="&amp;H51))))&amp;" – "&amp;INDEX(NText,MAX(1,MIN(COUNT(NGrenze),COUNT(NGrenze)+1-COUNTIF(NGrenze,"&lt;="&amp;H51)))))</f>
        <v/>
      </c>
      <c r="J51" s="98">
        <f>IF('Stammdaten'!$B50="","",INDEX(Daten!$C$1914:$J$2013,45,$C$4))</f>
        <v/>
      </c>
      <c r="K51" s="24">
        <f>IF('Stammdaten'!$B50="","",INDEX(Daten!$C$2124:$J$2223,45,$C$4))</f>
        <v/>
      </c>
      <c r="L51" s="25">
        <f>IF(NOT(ISNUMBER(K51)),"",INDEX(Noten,MAX(1,MIN(COUNT(NGrenze),COUNT(NGrenze)+1-COUNTIF(NGrenze,"&lt;="&amp;K51))))&amp;" – "&amp;INDEX(NText,MAX(1,MIN(COUNT(NGrenze),COUNT(NGrenze)+1-COUNTIF(NGrenze,"&lt;="&amp;K51)))))</f>
        <v/>
      </c>
      <c r="M51" s="24">
        <f>IF('Stammdaten'!$B50="","",INDEX(Daten!$C$2229:$J$2328,45,$C$4))</f>
        <v/>
      </c>
      <c r="N51" s="25">
        <f>IF(NOT(ISNUMBER(M51)),"",INDEX(Noten,MAX(1,MIN(COUNT(NGrenze),COUNT(NGrenze)+1-COUNTIF(NGrenze,"&lt;="&amp;M51))))&amp;" – "&amp;INDEX(NText,MAX(1,MIN(COUNT(NGrenze),COUNT(NGrenze)+1-COUNTIF(NGrenze,"&lt;="&amp;M51)))))</f>
        <v/>
      </c>
      <c r="O51" s="99">
        <f>IF($A51="","",IF($G51=0,"keine Bewertung",IF($G51&lt;SchwelleDB,"wenig Datenbasis","")))&amp;IF(AND($A51&lt;&gt;"",'Stammdaten'!$G50&lt;&gt;"aktiv")," · "&amp;'Stammdaten'!$G50,"")</f>
        <v/>
      </c>
    </row>
    <row r="52" ht="22" customHeight="1">
      <c r="A52" s="19">
        <f>IF('Stammdaten'!$B51="","",46)</f>
        <v/>
      </c>
      <c r="B52" s="53">
        <f>IF('Stammdaten'!$B51="","",'Stammdaten'!$B51)</f>
        <v/>
      </c>
      <c r="C52" s="97">
        <f>IF('Stammdaten'!$B51="","",'Stammdaten'!$C51)</f>
        <v/>
      </c>
      <c r="D52" s="97">
        <f>IF('Stammdaten'!$B51="","",'Stammdaten'!$D51)</f>
        <v/>
      </c>
      <c r="E52" s="98">
        <f>IF('Stammdaten'!$B51="","",'Stammdaten'!$E51)</f>
        <v/>
      </c>
      <c r="F52" s="21">
        <f>IF('Stammdaten'!$B51="","",'Stammdaten'!$H51)</f>
        <v/>
      </c>
      <c r="G52" s="23">
        <f>IF('Stammdaten'!$B51="","",INDEX(Daten!$C$1704:$J$1803,46,$C$4))</f>
        <v/>
      </c>
      <c r="H52" s="24">
        <f>IF('Stammdaten'!$B51="","",INDEX(Daten!$C$2019:$J$2118,46,$C$4))</f>
        <v/>
      </c>
      <c r="I52" s="25">
        <f>IF(NOT(ISNUMBER(H52)),"",INDEX(Noten,MAX(1,MIN(COUNT(NGrenze),COUNT(NGrenze)+1-COUNTIF(NGrenze,"&lt;="&amp;H52))))&amp;" – "&amp;INDEX(NText,MAX(1,MIN(COUNT(NGrenze),COUNT(NGrenze)+1-COUNTIF(NGrenze,"&lt;="&amp;H52)))))</f>
        <v/>
      </c>
      <c r="J52" s="98">
        <f>IF('Stammdaten'!$B51="","",INDEX(Daten!$C$1914:$J$2013,46,$C$4))</f>
        <v/>
      </c>
      <c r="K52" s="24">
        <f>IF('Stammdaten'!$B51="","",INDEX(Daten!$C$2124:$J$2223,46,$C$4))</f>
        <v/>
      </c>
      <c r="L52" s="25">
        <f>IF(NOT(ISNUMBER(K52)),"",INDEX(Noten,MAX(1,MIN(COUNT(NGrenze),COUNT(NGrenze)+1-COUNTIF(NGrenze,"&lt;="&amp;K52))))&amp;" – "&amp;INDEX(NText,MAX(1,MIN(COUNT(NGrenze),COUNT(NGrenze)+1-COUNTIF(NGrenze,"&lt;="&amp;K52)))))</f>
        <v/>
      </c>
      <c r="M52" s="24">
        <f>IF('Stammdaten'!$B51="","",INDEX(Daten!$C$2229:$J$2328,46,$C$4))</f>
        <v/>
      </c>
      <c r="N52" s="25">
        <f>IF(NOT(ISNUMBER(M52)),"",INDEX(Noten,MAX(1,MIN(COUNT(NGrenze),COUNT(NGrenze)+1-COUNTIF(NGrenze,"&lt;="&amp;M52))))&amp;" – "&amp;INDEX(NText,MAX(1,MIN(COUNT(NGrenze),COUNT(NGrenze)+1-COUNTIF(NGrenze,"&lt;="&amp;M52)))))</f>
        <v/>
      </c>
      <c r="O52" s="99">
        <f>IF($A52="","",IF($G52=0,"keine Bewertung",IF($G52&lt;SchwelleDB,"wenig Datenbasis","")))&amp;IF(AND($A52&lt;&gt;"",'Stammdaten'!$G51&lt;&gt;"aktiv")," · "&amp;'Stammdaten'!$G51,"")</f>
        <v/>
      </c>
    </row>
    <row r="53" ht="22" customHeight="1">
      <c r="A53" s="19">
        <f>IF('Stammdaten'!$B52="","",47)</f>
        <v/>
      </c>
      <c r="B53" s="53">
        <f>IF('Stammdaten'!$B52="","",'Stammdaten'!$B52)</f>
        <v/>
      </c>
      <c r="C53" s="97">
        <f>IF('Stammdaten'!$B52="","",'Stammdaten'!$C52)</f>
        <v/>
      </c>
      <c r="D53" s="97">
        <f>IF('Stammdaten'!$B52="","",'Stammdaten'!$D52)</f>
        <v/>
      </c>
      <c r="E53" s="98">
        <f>IF('Stammdaten'!$B52="","",'Stammdaten'!$E52)</f>
        <v/>
      </c>
      <c r="F53" s="21">
        <f>IF('Stammdaten'!$B52="","",'Stammdaten'!$H52)</f>
        <v/>
      </c>
      <c r="G53" s="23">
        <f>IF('Stammdaten'!$B52="","",INDEX(Daten!$C$1704:$J$1803,47,$C$4))</f>
        <v/>
      </c>
      <c r="H53" s="24">
        <f>IF('Stammdaten'!$B52="","",INDEX(Daten!$C$2019:$J$2118,47,$C$4))</f>
        <v/>
      </c>
      <c r="I53" s="25">
        <f>IF(NOT(ISNUMBER(H53)),"",INDEX(Noten,MAX(1,MIN(COUNT(NGrenze),COUNT(NGrenze)+1-COUNTIF(NGrenze,"&lt;="&amp;H53))))&amp;" – "&amp;INDEX(NText,MAX(1,MIN(COUNT(NGrenze),COUNT(NGrenze)+1-COUNTIF(NGrenze,"&lt;="&amp;H53)))))</f>
        <v/>
      </c>
      <c r="J53" s="98">
        <f>IF('Stammdaten'!$B52="","",INDEX(Daten!$C$1914:$J$2013,47,$C$4))</f>
        <v/>
      </c>
      <c r="K53" s="24">
        <f>IF('Stammdaten'!$B52="","",INDEX(Daten!$C$2124:$J$2223,47,$C$4))</f>
        <v/>
      </c>
      <c r="L53" s="25">
        <f>IF(NOT(ISNUMBER(K53)),"",INDEX(Noten,MAX(1,MIN(COUNT(NGrenze),COUNT(NGrenze)+1-COUNTIF(NGrenze,"&lt;="&amp;K53))))&amp;" – "&amp;INDEX(NText,MAX(1,MIN(COUNT(NGrenze),COUNT(NGrenze)+1-COUNTIF(NGrenze,"&lt;="&amp;K53)))))</f>
        <v/>
      </c>
      <c r="M53" s="24">
        <f>IF('Stammdaten'!$B52="","",INDEX(Daten!$C$2229:$J$2328,47,$C$4))</f>
        <v/>
      </c>
      <c r="N53" s="25">
        <f>IF(NOT(ISNUMBER(M53)),"",INDEX(Noten,MAX(1,MIN(COUNT(NGrenze),COUNT(NGrenze)+1-COUNTIF(NGrenze,"&lt;="&amp;M53))))&amp;" – "&amp;INDEX(NText,MAX(1,MIN(COUNT(NGrenze),COUNT(NGrenze)+1-COUNTIF(NGrenze,"&lt;="&amp;M53)))))</f>
        <v/>
      </c>
      <c r="O53" s="99">
        <f>IF($A53="","",IF($G53=0,"keine Bewertung",IF($G53&lt;SchwelleDB,"wenig Datenbasis","")))&amp;IF(AND($A53&lt;&gt;"",'Stammdaten'!$G52&lt;&gt;"aktiv")," · "&amp;'Stammdaten'!$G52,"")</f>
        <v/>
      </c>
    </row>
    <row r="54" ht="22" customHeight="1">
      <c r="A54" s="19">
        <f>IF('Stammdaten'!$B53="","",48)</f>
        <v/>
      </c>
      <c r="B54" s="53">
        <f>IF('Stammdaten'!$B53="","",'Stammdaten'!$B53)</f>
        <v/>
      </c>
      <c r="C54" s="97">
        <f>IF('Stammdaten'!$B53="","",'Stammdaten'!$C53)</f>
        <v/>
      </c>
      <c r="D54" s="97">
        <f>IF('Stammdaten'!$B53="","",'Stammdaten'!$D53)</f>
        <v/>
      </c>
      <c r="E54" s="98">
        <f>IF('Stammdaten'!$B53="","",'Stammdaten'!$E53)</f>
        <v/>
      </c>
      <c r="F54" s="21">
        <f>IF('Stammdaten'!$B53="","",'Stammdaten'!$H53)</f>
        <v/>
      </c>
      <c r="G54" s="23">
        <f>IF('Stammdaten'!$B53="","",INDEX(Daten!$C$1704:$J$1803,48,$C$4))</f>
        <v/>
      </c>
      <c r="H54" s="24">
        <f>IF('Stammdaten'!$B53="","",INDEX(Daten!$C$2019:$J$2118,48,$C$4))</f>
        <v/>
      </c>
      <c r="I54" s="25">
        <f>IF(NOT(ISNUMBER(H54)),"",INDEX(Noten,MAX(1,MIN(COUNT(NGrenze),COUNT(NGrenze)+1-COUNTIF(NGrenze,"&lt;="&amp;H54))))&amp;" – "&amp;INDEX(NText,MAX(1,MIN(COUNT(NGrenze),COUNT(NGrenze)+1-COUNTIF(NGrenze,"&lt;="&amp;H54)))))</f>
        <v/>
      </c>
      <c r="J54" s="98">
        <f>IF('Stammdaten'!$B53="","",INDEX(Daten!$C$1914:$J$2013,48,$C$4))</f>
        <v/>
      </c>
      <c r="K54" s="24">
        <f>IF('Stammdaten'!$B53="","",INDEX(Daten!$C$2124:$J$2223,48,$C$4))</f>
        <v/>
      </c>
      <c r="L54" s="25">
        <f>IF(NOT(ISNUMBER(K54)),"",INDEX(Noten,MAX(1,MIN(COUNT(NGrenze),COUNT(NGrenze)+1-COUNTIF(NGrenze,"&lt;="&amp;K54))))&amp;" – "&amp;INDEX(NText,MAX(1,MIN(COUNT(NGrenze),COUNT(NGrenze)+1-COUNTIF(NGrenze,"&lt;="&amp;K54)))))</f>
        <v/>
      </c>
      <c r="M54" s="24">
        <f>IF('Stammdaten'!$B53="","",INDEX(Daten!$C$2229:$J$2328,48,$C$4))</f>
        <v/>
      </c>
      <c r="N54" s="25">
        <f>IF(NOT(ISNUMBER(M54)),"",INDEX(Noten,MAX(1,MIN(COUNT(NGrenze),COUNT(NGrenze)+1-COUNTIF(NGrenze,"&lt;="&amp;M54))))&amp;" – "&amp;INDEX(NText,MAX(1,MIN(COUNT(NGrenze),COUNT(NGrenze)+1-COUNTIF(NGrenze,"&lt;="&amp;M54)))))</f>
        <v/>
      </c>
      <c r="O54" s="99">
        <f>IF($A54="","",IF($G54=0,"keine Bewertung",IF($G54&lt;SchwelleDB,"wenig Datenbasis","")))&amp;IF(AND($A54&lt;&gt;"",'Stammdaten'!$G53&lt;&gt;"aktiv")," · "&amp;'Stammdaten'!$G53,"")</f>
        <v/>
      </c>
    </row>
    <row r="55" ht="22" customHeight="1">
      <c r="A55" s="19">
        <f>IF('Stammdaten'!$B54="","",49)</f>
        <v/>
      </c>
      <c r="B55" s="53">
        <f>IF('Stammdaten'!$B54="","",'Stammdaten'!$B54)</f>
        <v/>
      </c>
      <c r="C55" s="97">
        <f>IF('Stammdaten'!$B54="","",'Stammdaten'!$C54)</f>
        <v/>
      </c>
      <c r="D55" s="97">
        <f>IF('Stammdaten'!$B54="","",'Stammdaten'!$D54)</f>
        <v/>
      </c>
      <c r="E55" s="98">
        <f>IF('Stammdaten'!$B54="","",'Stammdaten'!$E54)</f>
        <v/>
      </c>
      <c r="F55" s="21">
        <f>IF('Stammdaten'!$B54="","",'Stammdaten'!$H54)</f>
        <v/>
      </c>
      <c r="G55" s="23">
        <f>IF('Stammdaten'!$B54="","",INDEX(Daten!$C$1704:$J$1803,49,$C$4))</f>
        <v/>
      </c>
      <c r="H55" s="24">
        <f>IF('Stammdaten'!$B54="","",INDEX(Daten!$C$2019:$J$2118,49,$C$4))</f>
        <v/>
      </c>
      <c r="I55" s="25">
        <f>IF(NOT(ISNUMBER(H55)),"",INDEX(Noten,MAX(1,MIN(COUNT(NGrenze),COUNT(NGrenze)+1-COUNTIF(NGrenze,"&lt;="&amp;H55))))&amp;" – "&amp;INDEX(NText,MAX(1,MIN(COUNT(NGrenze),COUNT(NGrenze)+1-COUNTIF(NGrenze,"&lt;="&amp;H55)))))</f>
        <v/>
      </c>
      <c r="J55" s="98">
        <f>IF('Stammdaten'!$B54="","",INDEX(Daten!$C$1914:$J$2013,49,$C$4))</f>
        <v/>
      </c>
      <c r="K55" s="24">
        <f>IF('Stammdaten'!$B54="","",INDEX(Daten!$C$2124:$J$2223,49,$C$4))</f>
        <v/>
      </c>
      <c r="L55" s="25">
        <f>IF(NOT(ISNUMBER(K55)),"",INDEX(Noten,MAX(1,MIN(COUNT(NGrenze),COUNT(NGrenze)+1-COUNTIF(NGrenze,"&lt;="&amp;K55))))&amp;" – "&amp;INDEX(NText,MAX(1,MIN(COUNT(NGrenze),COUNT(NGrenze)+1-COUNTIF(NGrenze,"&lt;="&amp;K55)))))</f>
        <v/>
      </c>
      <c r="M55" s="24">
        <f>IF('Stammdaten'!$B54="","",INDEX(Daten!$C$2229:$J$2328,49,$C$4))</f>
        <v/>
      </c>
      <c r="N55" s="25">
        <f>IF(NOT(ISNUMBER(M55)),"",INDEX(Noten,MAX(1,MIN(COUNT(NGrenze),COUNT(NGrenze)+1-COUNTIF(NGrenze,"&lt;="&amp;M55))))&amp;" – "&amp;INDEX(NText,MAX(1,MIN(COUNT(NGrenze),COUNT(NGrenze)+1-COUNTIF(NGrenze,"&lt;="&amp;M55)))))</f>
        <v/>
      </c>
      <c r="O55" s="99">
        <f>IF($A55="","",IF($G55=0,"keine Bewertung",IF($G55&lt;SchwelleDB,"wenig Datenbasis","")))&amp;IF(AND($A55&lt;&gt;"",'Stammdaten'!$G54&lt;&gt;"aktiv")," · "&amp;'Stammdaten'!$G54,"")</f>
        <v/>
      </c>
    </row>
    <row r="56" ht="22" customHeight="1">
      <c r="A56" s="19">
        <f>IF('Stammdaten'!$B55="","",50)</f>
        <v/>
      </c>
      <c r="B56" s="53">
        <f>IF('Stammdaten'!$B55="","",'Stammdaten'!$B55)</f>
        <v/>
      </c>
      <c r="C56" s="97">
        <f>IF('Stammdaten'!$B55="","",'Stammdaten'!$C55)</f>
        <v/>
      </c>
      <c r="D56" s="97">
        <f>IF('Stammdaten'!$B55="","",'Stammdaten'!$D55)</f>
        <v/>
      </c>
      <c r="E56" s="98">
        <f>IF('Stammdaten'!$B55="","",'Stammdaten'!$E55)</f>
        <v/>
      </c>
      <c r="F56" s="21">
        <f>IF('Stammdaten'!$B55="","",'Stammdaten'!$H55)</f>
        <v/>
      </c>
      <c r="G56" s="23">
        <f>IF('Stammdaten'!$B55="","",INDEX(Daten!$C$1704:$J$1803,50,$C$4))</f>
        <v/>
      </c>
      <c r="H56" s="24">
        <f>IF('Stammdaten'!$B55="","",INDEX(Daten!$C$2019:$J$2118,50,$C$4))</f>
        <v/>
      </c>
      <c r="I56" s="25">
        <f>IF(NOT(ISNUMBER(H56)),"",INDEX(Noten,MAX(1,MIN(COUNT(NGrenze),COUNT(NGrenze)+1-COUNTIF(NGrenze,"&lt;="&amp;H56))))&amp;" – "&amp;INDEX(NText,MAX(1,MIN(COUNT(NGrenze),COUNT(NGrenze)+1-COUNTIF(NGrenze,"&lt;="&amp;H56)))))</f>
        <v/>
      </c>
      <c r="J56" s="98">
        <f>IF('Stammdaten'!$B55="","",INDEX(Daten!$C$1914:$J$2013,50,$C$4))</f>
        <v/>
      </c>
      <c r="K56" s="24">
        <f>IF('Stammdaten'!$B55="","",INDEX(Daten!$C$2124:$J$2223,50,$C$4))</f>
        <v/>
      </c>
      <c r="L56" s="25">
        <f>IF(NOT(ISNUMBER(K56)),"",INDEX(Noten,MAX(1,MIN(COUNT(NGrenze),COUNT(NGrenze)+1-COUNTIF(NGrenze,"&lt;="&amp;K56))))&amp;" – "&amp;INDEX(NText,MAX(1,MIN(COUNT(NGrenze),COUNT(NGrenze)+1-COUNTIF(NGrenze,"&lt;="&amp;K56)))))</f>
        <v/>
      </c>
      <c r="M56" s="24">
        <f>IF('Stammdaten'!$B55="","",INDEX(Daten!$C$2229:$J$2328,50,$C$4))</f>
        <v/>
      </c>
      <c r="N56" s="25">
        <f>IF(NOT(ISNUMBER(M56)),"",INDEX(Noten,MAX(1,MIN(COUNT(NGrenze),COUNT(NGrenze)+1-COUNTIF(NGrenze,"&lt;="&amp;M56))))&amp;" – "&amp;INDEX(NText,MAX(1,MIN(COUNT(NGrenze),COUNT(NGrenze)+1-COUNTIF(NGrenze,"&lt;="&amp;M56)))))</f>
        <v/>
      </c>
      <c r="O56" s="99">
        <f>IF($A56="","",IF($G56=0,"keine Bewertung",IF($G56&lt;SchwelleDB,"wenig Datenbasis","")))&amp;IF(AND($A56&lt;&gt;"",'Stammdaten'!$G55&lt;&gt;"aktiv")," · "&amp;'Stammdaten'!$G55,"")</f>
        <v/>
      </c>
    </row>
    <row r="57" ht="22" customHeight="1">
      <c r="A57" s="19">
        <f>IF('Stammdaten'!$B56="","",51)</f>
        <v/>
      </c>
      <c r="B57" s="53">
        <f>IF('Stammdaten'!$B56="","",'Stammdaten'!$B56)</f>
        <v/>
      </c>
      <c r="C57" s="97">
        <f>IF('Stammdaten'!$B56="","",'Stammdaten'!$C56)</f>
        <v/>
      </c>
      <c r="D57" s="97">
        <f>IF('Stammdaten'!$B56="","",'Stammdaten'!$D56)</f>
        <v/>
      </c>
      <c r="E57" s="98">
        <f>IF('Stammdaten'!$B56="","",'Stammdaten'!$E56)</f>
        <v/>
      </c>
      <c r="F57" s="21">
        <f>IF('Stammdaten'!$B56="","",'Stammdaten'!$H56)</f>
        <v/>
      </c>
      <c r="G57" s="23">
        <f>IF('Stammdaten'!$B56="","",INDEX(Daten!$C$1704:$J$1803,51,$C$4))</f>
        <v/>
      </c>
      <c r="H57" s="24">
        <f>IF('Stammdaten'!$B56="","",INDEX(Daten!$C$2019:$J$2118,51,$C$4))</f>
        <v/>
      </c>
      <c r="I57" s="25">
        <f>IF(NOT(ISNUMBER(H57)),"",INDEX(Noten,MAX(1,MIN(COUNT(NGrenze),COUNT(NGrenze)+1-COUNTIF(NGrenze,"&lt;="&amp;H57))))&amp;" – "&amp;INDEX(NText,MAX(1,MIN(COUNT(NGrenze),COUNT(NGrenze)+1-COUNTIF(NGrenze,"&lt;="&amp;H57)))))</f>
        <v/>
      </c>
      <c r="J57" s="98">
        <f>IF('Stammdaten'!$B56="","",INDEX(Daten!$C$1914:$J$2013,51,$C$4))</f>
        <v/>
      </c>
      <c r="K57" s="24">
        <f>IF('Stammdaten'!$B56="","",INDEX(Daten!$C$2124:$J$2223,51,$C$4))</f>
        <v/>
      </c>
      <c r="L57" s="25">
        <f>IF(NOT(ISNUMBER(K57)),"",INDEX(Noten,MAX(1,MIN(COUNT(NGrenze),COUNT(NGrenze)+1-COUNTIF(NGrenze,"&lt;="&amp;K57))))&amp;" – "&amp;INDEX(NText,MAX(1,MIN(COUNT(NGrenze),COUNT(NGrenze)+1-COUNTIF(NGrenze,"&lt;="&amp;K57)))))</f>
        <v/>
      </c>
      <c r="M57" s="24">
        <f>IF('Stammdaten'!$B56="","",INDEX(Daten!$C$2229:$J$2328,51,$C$4))</f>
        <v/>
      </c>
      <c r="N57" s="25">
        <f>IF(NOT(ISNUMBER(M57)),"",INDEX(Noten,MAX(1,MIN(COUNT(NGrenze),COUNT(NGrenze)+1-COUNTIF(NGrenze,"&lt;="&amp;M57))))&amp;" – "&amp;INDEX(NText,MAX(1,MIN(COUNT(NGrenze),COUNT(NGrenze)+1-COUNTIF(NGrenze,"&lt;="&amp;M57)))))</f>
        <v/>
      </c>
      <c r="O57" s="99">
        <f>IF($A57="","",IF($G57=0,"keine Bewertung",IF($G57&lt;SchwelleDB,"wenig Datenbasis","")))&amp;IF(AND($A57&lt;&gt;"",'Stammdaten'!$G56&lt;&gt;"aktiv")," · "&amp;'Stammdaten'!$G56,"")</f>
        <v/>
      </c>
    </row>
    <row r="58" ht="22" customHeight="1">
      <c r="A58" s="19">
        <f>IF('Stammdaten'!$B57="","",52)</f>
        <v/>
      </c>
      <c r="B58" s="53">
        <f>IF('Stammdaten'!$B57="","",'Stammdaten'!$B57)</f>
        <v/>
      </c>
      <c r="C58" s="97">
        <f>IF('Stammdaten'!$B57="","",'Stammdaten'!$C57)</f>
        <v/>
      </c>
      <c r="D58" s="97">
        <f>IF('Stammdaten'!$B57="","",'Stammdaten'!$D57)</f>
        <v/>
      </c>
      <c r="E58" s="98">
        <f>IF('Stammdaten'!$B57="","",'Stammdaten'!$E57)</f>
        <v/>
      </c>
      <c r="F58" s="21">
        <f>IF('Stammdaten'!$B57="","",'Stammdaten'!$H57)</f>
        <v/>
      </c>
      <c r="G58" s="23">
        <f>IF('Stammdaten'!$B57="","",INDEX(Daten!$C$1704:$J$1803,52,$C$4))</f>
        <v/>
      </c>
      <c r="H58" s="24">
        <f>IF('Stammdaten'!$B57="","",INDEX(Daten!$C$2019:$J$2118,52,$C$4))</f>
        <v/>
      </c>
      <c r="I58" s="25">
        <f>IF(NOT(ISNUMBER(H58)),"",INDEX(Noten,MAX(1,MIN(COUNT(NGrenze),COUNT(NGrenze)+1-COUNTIF(NGrenze,"&lt;="&amp;H58))))&amp;" – "&amp;INDEX(NText,MAX(1,MIN(COUNT(NGrenze),COUNT(NGrenze)+1-COUNTIF(NGrenze,"&lt;="&amp;H58)))))</f>
        <v/>
      </c>
      <c r="J58" s="98">
        <f>IF('Stammdaten'!$B57="","",INDEX(Daten!$C$1914:$J$2013,52,$C$4))</f>
        <v/>
      </c>
      <c r="K58" s="24">
        <f>IF('Stammdaten'!$B57="","",INDEX(Daten!$C$2124:$J$2223,52,$C$4))</f>
        <v/>
      </c>
      <c r="L58" s="25">
        <f>IF(NOT(ISNUMBER(K58)),"",INDEX(Noten,MAX(1,MIN(COUNT(NGrenze),COUNT(NGrenze)+1-COUNTIF(NGrenze,"&lt;="&amp;K58))))&amp;" – "&amp;INDEX(NText,MAX(1,MIN(COUNT(NGrenze),COUNT(NGrenze)+1-COUNTIF(NGrenze,"&lt;="&amp;K58)))))</f>
        <v/>
      </c>
      <c r="M58" s="24">
        <f>IF('Stammdaten'!$B57="","",INDEX(Daten!$C$2229:$J$2328,52,$C$4))</f>
        <v/>
      </c>
      <c r="N58" s="25">
        <f>IF(NOT(ISNUMBER(M58)),"",INDEX(Noten,MAX(1,MIN(COUNT(NGrenze),COUNT(NGrenze)+1-COUNTIF(NGrenze,"&lt;="&amp;M58))))&amp;" – "&amp;INDEX(NText,MAX(1,MIN(COUNT(NGrenze),COUNT(NGrenze)+1-COUNTIF(NGrenze,"&lt;="&amp;M58)))))</f>
        <v/>
      </c>
      <c r="O58" s="99">
        <f>IF($A58="","",IF($G58=0,"keine Bewertung",IF($G58&lt;SchwelleDB,"wenig Datenbasis","")))&amp;IF(AND($A58&lt;&gt;"",'Stammdaten'!$G57&lt;&gt;"aktiv")," · "&amp;'Stammdaten'!$G57,"")</f>
        <v/>
      </c>
    </row>
    <row r="59" ht="22" customHeight="1">
      <c r="A59" s="19">
        <f>IF('Stammdaten'!$B58="","",53)</f>
        <v/>
      </c>
      <c r="B59" s="53">
        <f>IF('Stammdaten'!$B58="","",'Stammdaten'!$B58)</f>
        <v/>
      </c>
      <c r="C59" s="97">
        <f>IF('Stammdaten'!$B58="","",'Stammdaten'!$C58)</f>
        <v/>
      </c>
      <c r="D59" s="97">
        <f>IF('Stammdaten'!$B58="","",'Stammdaten'!$D58)</f>
        <v/>
      </c>
      <c r="E59" s="98">
        <f>IF('Stammdaten'!$B58="","",'Stammdaten'!$E58)</f>
        <v/>
      </c>
      <c r="F59" s="21">
        <f>IF('Stammdaten'!$B58="","",'Stammdaten'!$H58)</f>
        <v/>
      </c>
      <c r="G59" s="23">
        <f>IF('Stammdaten'!$B58="","",INDEX(Daten!$C$1704:$J$1803,53,$C$4))</f>
        <v/>
      </c>
      <c r="H59" s="24">
        <f>IF('Stammdaten'!$B58="","",INDEX(Daten!$C$2019:$J$2118,53,$C$4))</f>
        <v/>
      </c>
      <c r="I59" s="25">
        <f>IF(NOT(ISNUMBER(H59)),"",INDEX(Noten,MAX(1,MIN(COUNT(NGrenze),COUNT(NGrenze)+1-COUNTIF(NGrenze,"&lt;="&amp;H59))))&amp;" – "&amp;INDEX(NText,MAX(1,MIN(COUNT(NGrenze),COUNT(NGrenze)+1-COUNTIF(NGrenze,"&lt;="&amp;H59)))))</f>
        <v/>
      </c>
      <c r="J59" s="98">
        <f>IF('Stammdaten'!$B58="","",INDEX(Daten!$C$1914:$J$2013,53,$C$4))</f>
        <v/>
      </c>
      <c r="K59" s="24">
        <f>IF('Stammdaten'!$B58="","",INDEX(Daten!$C$2124:$J$2223,53,$C$4))</f>
        <v/>
      </c>
      <c r="L59" s="25">
        <f>IF(NOT(ISNUMBER(K59)),"",INDEX(Noten,MAX(1,MIN(COUNT(NGrenze),COUNT(NGrenze)+1-COUNTIF(NGrenze,"&lt;="&amp;K59))))&amp;" – "&amp;INDEX(NText,MAX(1,MIN(COUNT(NGrenze),COUNT(NGrenze)+1-COUNTIF(NGrenze,"&lt;="&amp;K59)))))</f>
        <v/>
      </c>
      <c r="M59" s="24">
        <f>IF('Stammdaten'!$B58="","",INDEX(Daten!$C$2229:$J$2328,53,$C$4))</f>
        <v/>
      </c>
      <c r="N59" s="25">
        <f>IF(NOT(ISNUMBER(M59)),"",INDEX(Noten,MAX(1,MIN(COUNT(NGrenze),COUNT(NGrenze)+1-COUNTIF(NGrenze,"&lt;="&amp;M59))))&amp;" – "&amp;INDEX(NText,MAX(1,MIN(COUNT(NGrenze),COUNT(NGrenze)+1-COUNTIF(NGrenze,"&lt;="&amp;M59)))))</f>
        <v/>
      </c>
      <c r="O59" s="99">
        <f>IF($A59="","",IF($G59=0,"keine Bewertung",IF($G59&lt;SchwelleDB,"wenig Datenbasis","")))&amp;IF(AND($A59&lt;&gt;"",'Stammdaten'!$G58&lt;&gt;"aktiv")," · "&amp;'Stammdaten'!$G58,"")</f>
        <v/>
      </c>
    </row>
    <row r="60" ht="22" customHeight="1">
      <c r="A60" s="19">
        <f>IF('Stammdaten'!$B59="","",54)</f>
        <v/>
      </c>
      <c r="B60" s="53">
        <f>IF('Stammdaten'!$B59="","",'Stammdaten'!$B59)</f>
        <v/>
      </c>
      <c r="C60" s="97">
        <f>IF('Stammdaten'!$B59="","",'Stammdaten'!$C59)</f>
        <v/>
      </c>
      <c r="D60" s="97">
        <f>IF('Stammdaten'!$B59="","",'Stammdaten'!$D59)</f>
        <v/>
      </c>
      <c r="E60" s="98">
        <f>IF('Stammdaten'!$B59="","",'Stammdaten'!$E59)</f>
        <v/>
      </c>
      <c r="F60" s="21">
        <f>IF('Stammdaten'!$B59="","",'Stammdaten'!$H59)</f>
        <v/>
      </c>
      <c r="G60" s="23">
        <f>IF('Stammdaten'!$B59="","",INDEX(Daten!$C$1704:$J$1803,54,$C$4))</f>
        <v/>
      </c>
      <c r="H60" s="24">
        <f>IF('Stammdaten'!$B59="","",INDEX(Daten!$C$2019:$J$2118,54,$C$4))</f>
        <v/>
      </c>
      <c r="I60" s="25">
        <f>IF(NOT(ISNUMBER(H60)),"",INDEX(Noten,MAX(1,MIN(COUNT(NGrenze),COUNT(NGrenze)+1-COUNTIF(NGrenze,"&lt;="&amp;H60))))&amp;" – "&amp;INDEX(NText,MAX(1,MIN(COUNT(NGrenze),COUNT(NGrenze)+1-COUNTIF(NGrenze,"&lt;="&amp;H60)))))</f>
        <v/>
      </c>
      <c r="J60" s="98">
        <f>IF('Stammdaten'!$B59="","",INDEX(Daten!$C$1914:$J$2013,54,$C$4))</f>
        <v/>
      </c>
      <c r="K60" s="24">
        <f>IF('Stammdaten'!$B59="","",INDEX(Daten!$C$2124:$J$2223,54,$C$4))</f>
        <v/>
      </c>
      <c r="L60" s="25">
        <f>IF(NOT(ISNUMBER(K60)),"",INDEX(Noten,MAX(1,MIN(COUNT(NGrenze),COUNT(NGrenze)+1-COUNTIF(NGrenze,"&lt;="&amp;K60))))&amp;" – "&amp;INDEX(NText,MAX(1,MIN(COUNT(NGrenze),COUNT(NGrenze)+1-COUNTIF(NGrenze,"&lt;="&amp;K60)))))</f>
        <v/>
      </c>
      <c r="M60" s="24">
        <f>IF('Stammdaten'!$B59="","",INDEX(Daten!$C$2229:$J$2328,54,$C$4))</f>
        <v/>
      </c>
      <c r="N60" s="25">
        <f>IF(NOT(ISNUMBER(M60)),"",INDEX(Noten,MAX(1,MIN(COUNT(NGrenze),COUNT(NGrenze)+1-COUNTIF(NGrenze,"&lt;="&amp;M60))))&amp;" – "&amp;INDEX(NText,MAX(1,MIN(COUNT(NGrenze),COUNT(NGrenze)+1-COUNTIF(NGrenze,"&lt;="&amp;M60)))))</f>
        <v/>
      </c>
      <c r="O60" s="99">
        <f>IF($A60="","",IF($G60=0,"keine Bewertung",IF($G60&lt;SchwelleDB,"wenig Datenbasis","")))&amp;IF(AND($A60&lt;&gt;"",'Stammdaten'!$G59&lt;&gt;"aktiv")," · "&amp;'Stammdaten'!$G59,"")</f>
        <v/>
      </c>
    </row>
    <row r="61" ht="22" customHeight="1">
      <c r="A61" s="19">
        <f>IF('Stammdaten'!$B60="","",55)</f>
        <v/>
      </c>
      <c r="B61" s="53">
        <f>IF('Stammdaten'!$B60="","",'Stammdaten'!$B60)</f>
        <v/>
      </c>
      <c r="C61" s="97">
        <f>IF('Stammdaten'!$B60="","",'Stammdaten'!$C60)</f>
        <v/>
      </c>
      <c r="D61" s="97">
        <f>IF('Stammdaten'!$B60="","",'Stammdaten'!$D60)</f>
        <v/>
      </c>
      <c r="E61" s="98">
        <f>IF('Stammdaten'!$B60="","",'Stammdaten'!$E60)</f>
        <v/>
      </c>
      <c r="F61" s="21">
        <f>IF('Stammdaten'!$B60="","",'Stammdaten'!$H60)</f>
        <v/>
      </c>
      <c r="G61" s="23">
        <f>IF('Stammdaten'!$B60="","",INDEX(Daten!$C$1704:$J$1803,55,$C$4))</f>
        <v/>
      </c>
      <c r="H61" s="24">
        <f>IF('Stammdaten'!$B60="","",INDEX(Daten!$C$2019:$J$2118,55,$C$4))</f>
        <v/>
      </c>
      <c r="I61" s="25">
        <f>IF(NOT(ISNUMBER(H61)),"",INDEX(Noten,MAX(1,MIN(COUNT(NGrenze),COUNT(NGrenze)+1-COUNTIF(NGrenze,"&lt;="&amp;H61))))&amp;" – "&amp;INDEX(NText,MAX(1,MIN(COUNT(NGrenze),COUNT(NGrenze)+1-COUNTIF(NGrenze,"&lt;="&amp;H61)))))</f>
        <v/>
      </c>
      <c r="J61" s="98">
        <f>IF('Stammdaten'!$B60="","",INDEX(Daten!$C$1914:$J$2013,55,$C$4))</f>
        <v/>
      </c>
      <c r="K61" s="24">
        <f>IF('Stammdaten'!$B60="","",INDEX(Daten!$C$2124:$J$2223,55,$C$4))</f>
        <v/>
      </c>
      <c r="L61" s="25">
        <f>IF(NOT(ISNUMBER(K61)),"",INDEX(Noten,MAX(1,MIN(COUNT(NGrenze),COUNT(NGrenze)+1-COUNTIF(NGrenze,"&lt;="&amp;K61))))&amp;" – "&amp;INDEX(NText,MAX(1,MIN(COUNT(NGrenze),COUNT(NGrenze)+1-COUNTIF(NGrenze,"&lt;="&amp;K61)))))</f>
        <v/>
      </c>
      <c r="M61" s="24">
        <f>IF('Stammdaten'!$B60="","",INDEX(Daten!$C$2229:$J$2328,55,$C$4))</f>
        <v/>
      </c>
      <c r="N61" s="25">
        <f>IF(NOT(ISNUMBER(M61)),"",INDEX(Noten,MAX(1,MIN(COUNT(NGrenze),COUNT(NGrenze)+1-COUNTIF(NGrenze,"&lt;="&amp;M61))))&amp;" – "&amp;INDEX(NText,MAX(1,MIN(COUNT(NGrenze),COUNT(NGrenze)+1-COUNTIF(NGrenze,"&lt;="&amp;M61)))))</f>
        <v/>
      </c>
      <c r="O61" s="99">
        <f>IF($A61="","",IF($G61=0,"keine Bewertung",IF($G61&lt;SchwelleDB,"wenig Datenbasis","")))&amp;IF(AND($A61&lt;&gt;"",'Stammdaten'!$G60&lt;&gt;"aktiv")," · "&amp;'Stammdaten'!$G60,"")</f>
        <v/>
      </c>
    </row>
    <row r="62" ht="22" customHeight="1">
      <c r="A62" s="19">
        <f>IF('Stammdaten'!$B61="","",56)</f>
        <v/>
      </c>
      <c r="B62" s="53">
        <f>IF('Stammdaten'!$B61="","",'Stammdaten'!$B61)</f>
        <v/>
      </c>
      <c r="C62" s="97">
        <f>IF('Stammdaten'!$B61="","",'Stammdaten'!$C61)</f>
        <v/>
      </c>
      <c r="D62" s="97">
        <f>IF('Stammdaten'!$B61="","",'Stammdaten'!$D61)</f>
        <v/>
      </c>
      <c r="E62" s="98">
        <f>IF('Stammdaten'!$B61="","",'Stammdaten'!$E61)</f>
        <v/>
      </c>
      <c r="F62" s="21">
        <f>IF('Stammdaten'!$B61="","",'Stammdaten'!$H61)</f>
        <v/>
      </c>
      <c r="G62" s="23">
        <f>IF('Stammdaten'!$B61="","",INDEX(Daten!$C$1704:$J$1803,56,$C$4))</f>
        <v/>
      </c>
      <c r="H62" s="24">
        <f>IF('Stammdaten'!$B61="","",INDEX(Daten!$C$2019:$J$2118,56,$C$4))</f>
        <v/>
      </c>
      <c r="I62" s="25">
        <f>IF(NOT(ISNUMBER(H62)),"",INDEX(Noten,MAX(1,MIN(COUNT(NGrenze),COUNT(NGrenze)+1-COUNTIF(NGrenze,"&lt;="&amp;H62))))&amp;" – "&amp;INDEX(NText,MAX(1,MIN(COUNT(NGrenze),COUNT(NGrenze)+1-COUNTIF(NGrenze,"&lt;="&amp;H62)))))</f>
        <v/>
      </c>
      <c r="J62" s="98">
        <f>IF('Stammdaten'!$B61="","",INDEX(Daten!$C$1914:$J$2013,56,$C$4))</f>
        <v/>
      </c>
      <c r="K62" s="24">
        <f>IF('Stammdaten'!$B61="","",INDEX(Daten!$C$2124:$J$2223,56,$C$4))</f>
        <v/>
      </c>
      <c r="L62" s="25">
        <f>IF(NOT(ISNUMBER(K62)),"",INDEX(Noten,MAX(1,MIN(COUNT(NGrenze),COUNT(NGrenze)+1-COUNTIF(NGrenze,"&lt;="&amp;K62))))&amp;" – "&amp;INDEX(NText,MAX(1,MIN(COUNT(NGrenze),COUNT(NGrenze)+1-COUNTIF(NGrenze,"&lt;="&amp;K62)))))</f>
        <v/>
      </c>
      <c r="M62" s="24">
        <f>IF('Stammdaten'!$B61="","",INDEX(Daten!$C$2229:$J$2328,56,$C$4))</f>
        <v/>
      </c>
      <c r="N62" s="25">
        <f>IF(NOT(ISNUMBER(M62)),"",INDEX(Noten,MAX(1,MIN(COUNT(NGrenze),COUNT(NGrenze)+1-COUNTIF(NGrenze,"&lt;="&amp;M62))))&amp;" – "&amp;INDEX(NText,MAX(1,MIN(COUNT(NGrenze),COUNT(NGrenze)+1-COUNTIF(NGrenze,"&lt;="&amp;M62)))))</f>
        <v/>
      </c>
      <c r="O62" s="99">
        <f>IF($A62="","",IF($G62=0,"keine Bewertung",IF($G62&lt;SchwelleDB,"wenig Datenbasis","")))&amp;IF(AND($A62&lt;&gt;"",'Stammdaten'!$G61&lt;&gt;"aktiv")," · "&amp;'Stammdaten'!$G61,"")</f>
        <v/>
      </c>
    </row>
    <row r="63" ht="22" customHeight="1">
      <c r="A63" s="19">
        <f>IF('Stammdaten'!$B62="","",57)</f>
        <v/>
      </c>
      <c r="B63" s="53">
        <f>IF('Stammdaten'!$B62="","",'Stammdaten'!$B62)</f>
        <v/>
      </c>
      <c r="C63" s="97">
        <f>IF('Stammdaten'!$B62="","",'Stammdaten'!$C62)</f>
        <v/>
      </c>
      <c r="D63" s="97">
        <f>IF('Stammdaten'!$B62="","",'Stammdaten'!$D62)</f>
        <v/>
      </c>
      <c r="E63" s="98">
        <f>IF('Stammdaten'!$B62="","",'Stammdaten'!$E62)</f>
        <v/>
      </c>
      <c r="F63" s="21">
        <f>IF('Stammdaten'!$B62="","",'Stammdaten'!$H62)</f>
        <v/>
      </c>
      <c r="G63" s="23">
        <f>IF('Stammdaten'!$B62="","",INDEX(Daten!$C$1704:$J$1803,57,$C$4))</f>
        <v/>
      </c>
      <c r="H63" s="24">
        <f>IF('Stammdaten'!$B62="","",INDEX(Daten!$C$2019:$J$2118,57,$C$4))</f>
        <v/>
      </c>
      <c r="I63" s="25">
        <f>IF(NOT(ISNUMBER(H63)),"",INDEX(Noten,MAX(1,MIN(COUNT(NGrenze),COUNT(NGrenze)+1-COUNTIF(NGrenze,"&lt;="&amp;H63))))&amp;" – "&amp;INDEX(NText,MAX(1,MIN(COUNT(NGrenze),COUNT(NGrenze)+1-COUNTIF(NGrenze,"&lt;="&amp;H63)))))</f>
        <v/>
      </c>
      <c r="J63" s="98">
        <f>IF('Stammdaten'!$B62="","",INDEX(Daten!$C$1914:$J$2013,57,$C$4))</f>
        <v/>
      </c>
      <c r="K63" s="24">
        <f>IF('Stammdaten'!$B62="","",INDEX(Daten!$C$2124:$J$2223,57,$C$4))</f>
        <v/>
      </c>
      <c r="L63" s="25">
        <f>IF(NOT(ISNUMBER(K63)),"",INDEX(Noten,MAX(1,MIN(COUNT(NGrenze),COUNT(NGrenze)+1-COUNTIF(NGrenze,"&lt;="&amp;K63))))&amp;" – "&amp;INDEX(NText,MAX(1,MIN(COUNT(NGrenze),COUNT(NGrenze)+1-COUNTIF(NGrenze,"&lt;="&amp;K63)))))</f>
        <v/>
      </c>
      <c r="M63" s="24">
        <f>IF('Stammdaten'!$B62="","",INDEX(Daten!$C$2229:$J$2328,57,$C$4))</f>
        <v/>
      </c>
      <c r="N63" s="25">
        <f>IF(NOT(ISNUMBER(M63)),"",INDEX(Noten,MAX(1,MIN(COUNT(NGrenze),COUNT(NGrenze)+1-COUNTIF(NGrenze,"&lt;="&amp;M63))))&amp;" – "&amp;INDEX(NText,MAX(1,MIN(COUNT(NGrenze),COUNT(NGrenze)+1-COUNTIF(NGrenze,"&lt;="&amp;M63)))))</f>
        <v/>
      </c>
      <c r="O63" s="99">
        <f>IF($A63="","",IF($G63=0,"keine Bewertung",IF($G63&lt;SchwelleDB,"wenig Datenbasis","")))&amp;IF(AND($A63&lt;&gt;"",'Stammdaten'!$G62&lt;&gt;"aktiv")," · "&amp;'Stammdaten'!$G62,"")</f>
        <v/>
      </c>
    </row>
    <row r="64" ht="22" customHeight="1">
      <c r="A64" s="19">
        <f>IF('Stammdaten'!$B63="","",58)</f>
        <v/>
      </c>
      <c r="B64" s="53">
        <f>IF('Stammdaten'!$B63="","",'Stammdaten'!$B63)</f>
        <v/>
      </c>
      <c r="C64" s="97">
        <f>IF('Stammdaten'!$B63="","",'Stammdaten'!$C63)</f>
        <v/>
      </c>
      <c r="D64" s="97">
        <f>IF('Stammdaten'!$B63="","",'Stammdaten'!$D63)</f>
        <v/>
      </c>
      <c r="E64" s="98">
        <f>IF('Stammdaten'!$B63="","",'Stammdaten'!$E63)</f>
        <v/>
      </c>
      <c r="F64" s="21">
        <f>IF('Stammdaten'!$B63="","",'Stammdaten'!$H63)</f>
        <v/>
      </c>
      <c r="G64" s="23">
        <f>IF('Stammdaten'!$B63="","",INDEX(Daten!$C$1704:$J$1803,58,$C$4))</f>
        <v/>
      </c>
      <c r="H64" s="24">
        <f>IF('Stammdaten'!$B63="","",INDEX(Daten!$C$2019:$J$2118,58,$C$4))</f>
        <v/>
      </c>
      <c r="I64" s="25">
        <f>IF(NOT(ISNUMBER(H64)),"",INDEX(Noten,MAX(1,MIN(COUNT(NGrenze),COUNT(NGrenze)+1-COUNTIF(NGrenze,"&lt;="&amp;H64))))&amp;" – "&amp;INDEX(NText,MAX(1,MIN(COUNT(NGrenze),COUNT(NGrenze)+1-COUNTIF(NGrenze,"&lt;="&amp;H64)))))</f>
        <v/>
      </c>
      <c r="J64" s="98">
        <f>IF('Stammdaten'!$B63="","",INDEX(Daten!$C$1914:$J$2013,58,$C$4))</f>
        <v/>
      </c>
      <c r="K64" s="24">
        <f>IF('Stammdaten'!$B63="","",INDEX(Daten!$C$2124:$J$2223,58,$C$4))</f>
        <v/>
      </c>
      <c r="L64" s="25">
        <f>IF(NOT(ISNUMBER(K64)),"",INDEX(Noten,MAX(1,MIN(COUNT(NGrenze),COUNT(NGrenze)+1-COUNTIF(NGrenze,"&lt;="&amp;K64))))&amp;" – "&amp;INDEX(NText,MAX(1,MIN(COUNT(NGrenze),COUNT(NGrenze)+1-COUNTIF(NGrenze,"&lt;="&amp;K64)))))</f>
        <v/>
      </c>
      <c r="M64" s="24">
        <f>IF('Stammdaten'!$B63="","",INDEX(Daten!$C$2229:$J$2328,58,$C$4))</f>
        <v/>
      </c>
      <c r="N64" s="25">
        <f>IF(NOT(ISNUMBER(M64)),"",INDEX(Noten,MAX(1,MIN(COUNT(NGrenze),COUNT(NGrenze)+1-COUNTIF(NGrenze,"&lt;="&amp;M64))))&amp;" – "&amp;INDEX(NText,MAX(1,MIN(COUNT(NGrenze),COUNT(NGrenze)+1-COUNTIF(NGrenze,"&lt;="&amp;M64)))))</f>
        <v/>
      </c>
      <c r="O64" s="99">
        <f>IF($A64="","",IF($G64=0,"keine Bewertung",IF($G64&lt;SchwelleDB,"wenig Datenbasis","")))&amp;IF(AND($A64&lt;&gt;"",'Stammdaten'!$G63&lt;&gt;"aktiv")," · "&amp;'Stammdaten'!$G63,"")</f>
        <v/>
      </c>
    </row>
    <row r="65" ht="22" customHeight="1">
      <c r="A65" s="19">
        <f>IF('Stammdaten'!$B64="","",59)</f>
        <v/>
      </c>
      <c r="B65" s="53">
        <f>IF('Stammdaten'!$B64="","",'Stammdaten'!$B64)</f>
        <v/>
      </c>
      <c r="C65" s="97">
        <f>IF('Stammdaten'!$B64="","",'Stammdaten'!$C64)</f>
        <v/>
      </c>
      <c r="D65" s="97">
        <f>IF('Stammdaten'!$B64="","",'Stammdaten'!$D64)</f>
        <v/>
      </c>
      <c r="E65" s="98">
        <f>IF('Stammdaten'!$B64="","",'Stammdaten'!$E64)</f>
        <v/>
      </c>
      <c r="F65" s="21">
        <f>IF('Stammdaten'!$B64="","",'Stammdaten'!$H64)</f>
        <v/>
      </c>
      <c r="G65" s="23">
        <f>IF('Stammdaten'!$B64="","",INDEX(Daten!$C$1704:$J$1803,59,$C$4))</f>
        <v/>
      </c>
      <c r="H65" s="24">
        <f>IF('Stammdaten'!$B64="","",INDEX(Daten!$C$2019:$J$2118,59,$C$4))</f>
        <v/>
      </c>
      <c r="I65" s="25">
        <f>IF(NOT(ISNUMBER(H65)),"",INDEX(Noten,MAX(1,MIN(COUNT(NGrenze),COUNT(NGrenze)+1-COUNTIF(NGrenze,"&lt;="&amp;H65))))&amp;" – "&amp;INDEX(NText,MAX(1,MIN(COUNT(NGrenze),COUNT(NGrenze)+1-COUNTIF(NGrenze,"&lt;="&amp;H65)))))</f>
        <v/>
      </c>
      <c r="J65" s="98">
        <f>IF('Stammdaten'!$B64="","",INDEX(Daten!$C$1914:$J$2013,59,$C$4))</f>
        <v/>
      </c>
      <c r="K65" s="24">
        <f>IF('Stammdaten'!$B64="","",INDEX(Daten!$C$2124:$J$2223,59,$C$4))</f>
        <v/>
      </c>
      <c r="L65" s="25">
        <f>IF(NOT(ISNUMBER(K65)),"",INDEX(Noten,MAX(1,MIN(COUNT(NGrenze),COUNT(NGrenze)+1-COUNTIF(NGrenze,"&lt;="&amp;K65))))&amp;" – "&amp;INDEX(NText,MAX(1,MIN(COUNT(NGrenze),COUNT(NGrenze)+1-COUNTIF(NGrenze,"&lt;="&amp;K65)))))</f>
        <v/>
      </c>
      <c r="M65" s="24">
        <f>IF('Stammdaten'!$B64="","",INDEX(Daten!$C$2229:$J$2328,59,$C$4))</f>
        <v/>
      </c>
      <c r="N65" s="25">
        <f>IF(NOT(ISNUMBER(M65)),"",INDEX(Noten,MAX(1,MIN(COUNT(NGrenze),COUNT(NGrenze)+1-COUNTIF(NGrenze,"&lt;="&amp;M65))))&amp;" – "&amp;INDEX(NText,MAX(1,MIN(COUNT(NGrenze),COUNT(NGrenze)+1-COUNTIF(NGrenze,"&lt;="&amp;M65)))))</f>
        <v/>
      </c>
      <c r="O65" s="99">
        <f>IF($A65="","",IF($G65=0,"keine Bewertung",IF($G65&lt;SchwelleDB,"wenig Datenbasis","")))&amp;IF(AND($A65&lt;&gt;"",'Stammdaten'!$G64&lt;&gt;"aktiv")," · "&amp;'Stammdaten'!$G64,"")</f>
        <v/>
      </c>
    </row>
    <row r="66" ht="22" customHeight="1">
      <c r="A66" s="19">
        <f>IF('Stammdaten'!$B65="","",60)</f>
        <v/>
      </c>
      <c r="B66" s="53">
        <f>IF('Stammdaten'!$B65="","",'Stammdaten'!$B65)</f>
        <v/>
      </c>
      <c r="C66" s="97">
        <f>IF('Stammdaten'!$B65="","",'Stammdaten'!$C65)</f>
        <v/>
      </c>
      <c r="D66" s="97">
        <f>IF('Stammdaten'!$B65="","",'Stammdaten'!$D65)</f>
        <v/>
      </c>
      <c r="E66" s="98">
        <f>IF('Stammdaten'!$B65="","",'Stammdaten'!$E65)</f>
        <v/>
      </c>
      <c r="F66" s="21">
        <f>IF('Stammdaten'!$B65="","",'Stammdaten'!$H65)</f>
        <v/>
      </c>
      <c r="G66" s="23">
        <f>IF('Stammdaten'!$B65="","",INDEX(Daten!$C$1704:$J$1803,60,$C$4))</f>
        <v/>
      </c>
      <c r="H66" s="24">
        <f>IF('Stammdaten'!$B65="","",INDEX(Daten!$C$2019:$J$2118,60,$C$4))</f>
        <v/>
      </c>
      <c r="I66" s="25">
        <f>IF(NOT(ISNUMBER(H66)),"",INDEX(Noten,MAX(1,MIN(COUNT(NGrenze),COUNT(NGrenze)+1-COUNTIF(NGrenze,"&lt;="&amp;H66))))&amp;" – "&amp;INDEX(NText,MAX(1,MIN(COUNT(NGrenze),COUNT(NGrenze)+1-COUNTIF(NGrenze,"&lt;="&amp;H66)))))</f>
        <v/>
      </c>
      <c r="J66" s="98">
        <f>IF('Stammdaten'!$B65="","",INDEX(Daten!$C$1914:$J$2013,60,$C$4))</f>
        <v/>
      </c>
      <c r="K66" s="24">
        <f>IF('Stammdaten'!$B65="","",INDEX(Daten!$C$2124:$J$2223,60,$C$4))</f>
        <v/>
      </c>
      <c r="L66" s="25">
        <f>IF(NOT(ISNUMBER(K66)),"",INDEX(Noten,MAX(1,MIN(COUNT(NGrenze),COUNT(NGrenze)+1-COUNTIF(NGrenze,"&lt;="&amp;K66))))&amp;" – "&amp;INDEX(NText,MAX(1,MIN(COUNT(NGrenze),COUNT(NGrenze)+1-COUNTIF(NGrenze,"&lt;="&amp;K66)))))</f>
        <v/>
      </c>
      <c r="M66" s="24">
        <f>IF('Stammdaten'!$B65="","",INDEX(Daten!$C$2229:$J$2328,60,$C$4))</f>
        <v/>
      </c>
      <c r="N66" s="25">
        <f>IF(NOT(ISNUMBER(M66)),"",INDEX(Noten,MAX(1,MIN(COUNT(NGrenze),COUNT(NGrenze)+1-COUNTIF(NGrenze,"&lt;="&amp;M66))))&amp;" – "&amp;INDEX(NText,MAX(1,MIN(COUNT(NGrenze),COUNT(NGrenze)+1-COUNTIF(NGrenze,"&lt;="&amp;M66)))))</f>
        <v/>
      </c>
      <c r="O66" s="99">
        <f>IF($A66="","",IF($G66=0,"keine Bewertung",IF($G66&lt;SchwelleDB,"wenig Datenbasis","")))&amp;IF(AND($A66&lt;&gt;"",'Stammdaten'!$G65&lt;&gt;"aktiv")," · "&amp;'Stammdaten'!$G65,"")</f>
        <v/>
      </c>
    </row>
    <row r="67" ht="22" customHeight="1">
      <c r="A67" s="19">
        <f>IF('Stammdaten'!$B66="","",61)</f>
        <v/>
      </c>
      <c r="B67" s="53">
        <f>IF('Stammdaten'!$B66="","",'Stammdaten'!$B66)</f>
        <v/>
      </c>
      <c r="C67" s="97">
        <f>IF('Stammdaten'!$B66="","",'Stammdaten'!$C66)</f>
        <v/>
      </c>
      <c r="D67" s="97">
        <f>IF('Stammdaten'!$B66="","",'Stammdaten'!$D66)</f>
        <v/>
      </c>
      <c r="E67" s="98">
        <f>IF('Stammdaten'!$B66="","",'Stammdaten'!$E66)</f>
        <v/>
      </c>
      <c r="F67" s="21">
        <f>IF('Stammdaten'!$B66="","",'Stammdaten'!$H66)</f>
        <v/>
      </c>
      <c r="G67" s="23">
        <f>IF('Stammdaten'!$B66="","",INDEX(Daten!$C$1704:$J$1803,61,$C$4))</f>
        <v/>
      </c>
      <c r="H67" s="24">
        <f>IF('Stammdaten'!$B66="","",INDEX(Daten!$C$2019:$J$2118,61,$C$4))</f>
        <v/>
      </c>
      <c r="I67" s="25">
        <f>IF(NOT(ISNUMBER(H67)),"",INDEX(Noten,MAX(1,MIN(COUNT(NGrenze),COUNT(NGrenze)+1-COUNTIF(NGrenze,"&lt;="&amp;H67))))&amp;" – "&amp;INDEX(NText,MAX(1,MIN(COUNT(NGrenze),COUNT(NGrenze)+1-COUNTIF(NGrenze,"&lt;="&amp;H67)))))</f>
        <v/>
      </c>
      <c r="J67" s="98">
        <f>IF('Stammdaten'!$B66="","",INDEX(Daten!$C$1914:$J$2013,61,$C$4))</f>
        <v/>
      </c>
      <c r="K67" s="24">
        <f>IF('Stammdaten'!$B66="","",INDEX(Daten!$C$2124:$J$2223,61,$C$4))</f>
        <v/>
      </c>
      <c r="L67" s="25">
        <f>IF(NOT(ISNUMBER(K67)),"",INDEX(Noten,MAX(1,MIN(COUNT(NGrenze),COUNT(NGrenze)+1-COUNTIF(NGrenze,"&lt;="&amp;K67))))&amp;" – "&amp;INDEX(NText,MAX(1,MIN(COUNT(NGrenze),COUNT(NGrenze)+1-COUNTIF(NGrenze,"&lt;="&amp;K67)))))</f>
        <v/>
      </c>
      <c r="M67" s="24">
        <f>IF('Stammdaten'!$B66="","",INDEX(Daten!$C$2229:$J$2328,61,$C$4))</f>
        <v/>
      </c>
      <c r="N67" s="25">
        <f>IF(NOT(ISNUMBER(M67)),"",INDEX(Noten,MAX(1,MIN(COUNT(NGrenze),COUNT(NGrenze)+1-COUNTIF(NGrenze,"&lt;="&amp;M67))))&amp;" – "&amp;INDEX(NText,MAX(1,MIN(COUNT(NGrenze),COUNT(NGrenze)+1-COUNTIF(NGrenze,"&lt;="&amp;M67)))))</f>
        <v/>
      </c>
      <c r="O67" s="99">
        <f>IF($A67="","",IF($G67=0,"keine Bewertung",IF($G67&lt;SchwelleDB,"wenig Datenbasis","")))&amp;IF(AND($A67&lt;&gt;"",'Stammdaten'!$G66&lt;&gt;"aktiv")," · "&amp;'Stammdaten'!$G66,"")</f>
        <v/>
      </c>
    </row>
    <row r="68" ht="22" customHeight="1">
      <c r="A68" s="19">
        <f>IF('Stammdaten'!$B67="","",62)</f>
        <v/>
      </c>
      <c r="B68" s="53">
        <f>IF('Stammdaten'!$B67="","",'Stammdaten'!$B67)</f>
        <v/>
      </c>
      <c r="C68" s="97">
        <f>IF('Stammdaten'!$B67="","",'Stammdaten'!$C67)</f>
        <v/>
      </c>
      <c r="D68" s="97">
        <f>IF('Stammdaten'!$B67="","",'Stammdaten'!$D67)</f>
        <v/>
      </c>
      <c r="E68" s="98">
        <f>IF('Stammdaten'!$B67="","",'Stammdaten'!$E67)</f>
        <v/>
      </c>
      <c r="F68" s="21">
        <f>IF('Stammdaten'!$B67="","",'Stammdaten'!$H67)</f>
        <v/>
      </c>
      <c r="G68" s="23">
        <f>IF('Stammdaten'!$B67="","",INDEX(Daten!$C$1704:$J$1803,62,$C$4))</f>
        <v/>
      </c>
      <c r="H68" s="24">
        <f>IF('Stammdaten'!$B67="","",INDEX(Daten!$C$2019:$J$2118,62,$C$4))</f>
        <v/>
      </c>
      <c r="I68" s="25">
        <f>IF(NOT(ISNUMBER(H68)),"",INDEX(Noten,MAX(1,MIN(COUNT(NGrenze),COUNT(NGrenze)+1-COUNTIF(NGrenze,"&lt;="&amp;H68))))&amp;" – "&amp;INDEX(NText,MAX(1,MIN(COUNT(NGrenze),COUNT(NGrenze)+1-COUNTIF(NGrenze,"&lt;="&amp;H68)))))</f>
        <v/>
      </c>
      <c r="J68" s="98">
        <f>IF('Stammdaten'!$B67="","",INDEX(Daten!$C$1914:$J$2013,62,$C$4))</f>
        <v/>
      </c>
      <c r="K68" s="24">
        <f>IF('Stammdaten'!$B67="","",INDEX(Daten!$C$2124:$J$2223,62,$C$4))</f>
        <v/>
      </c>
      <c r="L68" s="25">
        <f>IF(NOT(ISNUMBER(K68)),"",INDEX(Noten,MAX(1,MIN(COUNT(NGrenze),COUNT(NGrenze)+1-COUNTIF(NGrenze,"&lt;="&amp;K68))))&amp;" – "&amp;INDEX(NText,MAX(1,MIN(COUNT(NGrenze),COUNT(NGrenze)+1-COUNTIF(NGrenze,"&lt;="&amp;K68)))))</f>
        <v/>
      </c>
      <c r="M68" s="24">
        <f>IF('Stammdaten'!$B67="","",INDEX(Daten!$C$2229:$J$2328,62,$C$4))</f>
        <v/>
      </c>
      <c r="N68" s="25">
        <f>IF(NOT(ISNUMBER(M68)),"",INDEX(Noten,MAX(1,MIN(COUNT(NGrenze),COUNT(NGrenze)+1-COUNTIF(NGrenze,"&lt;="&amp;M68))))&amp;" – "&amp;INDEX(NText,MAX(1,MIN(COUNT(NGrenze),COUNT(NGrenze)+1-COUNTIF(NGrenze,"&lt;="&amp;M68)))))</f>
        <v/>
      </c>
      <c r="O68" s="99">
        <f>IF($A68="","",IF($G68=0,"keine Bewertung",IF($G68&lt;SchwelleDB,"wenig Datenbasis","")))&amp;IF(AND($A68&lt;&gt;"",'Stammdaten'!$G67&lt;&gt;"aktiv")," · "&amp;'Stammdaten'!$G67,"")</f>
        <v/>
      </c>
    </row>
    <row r="69" ht="22" customHeight="1">
      <c r="A69" s="19">
        <f>IF('Stammdaten'!$B68="","",63)</f>
        <v/>
      </c>
      <c r="B69" s="53">
        <f>IF('Stammdaten'!$B68="","",'Stammdaten'!$B68)</f>
        <v/>
      </c>
      <c r="C69" s="97">
        <f>IF('Stammdaten'!$B68="","",'Stammdaten'!$C68)</f>
        <v/>
      </c>
      <c r="D69" s="97">
        <f>IF('Stammdaten'!$B68="","",'Stammdaten'!$D68)</f>
        <v/>
      </c>
      <c r="E69" s="98">
        <f>IF('Stammdaten'!$B68="","",'Stammdaten'!$E68)</f>
        <v/>
      </c>
      <c r="F69" s="21">
        <f>IF('Stammdaten'!$B68="","",'Stammdaten'!$H68)</f>
        <v/>
      </c>
      <c r="G69" s="23">
        <f>IF('Stammdaten'!$B68="","",INDEX(Daten!$C$1704:$J$1803,63,$C$4))</f>
        <v/>
      </c>
      <c r="H69" s="24">
        <f>IF('Stammdaten'!$B68="","",INDEX(Daten!$C$2019:$J$2118,63,$C$4))</f>
        <v/>
      </c>
      <c r="I69" s="25">
        <f>IF(NOT(ISNUMBER(H69)),"",INDEX(Noten,MAX(1,MIN(COUNT(NGrenze),COUNT(NGrenze)+1-COUNTIF(NGrenze,"&lt;="&amp;H69))))&amp;" – "&amp;INDEX(NText,MAX(1,MIN(COUNT(NGrenze),COUNT(NGrenze)+1-COUNTIF(NGrenze,"&lt;="&amp;H69)))))</f>
        <v/>
      </c>
      <c r="J69" s="98">
        <f>IF('Stammdaten'!$B68="","",INDEX(Daten!$C$1914:$J$2013,63,$C$4))</f>
        <v/>
      </c>
      <c r="K69" s="24">
        <f>IF('Stammdaten'!$B68="","",INDEX(Daten!$C$2124:$J$2223,63,$C$4))</f>
        <v/>
      </c>
      <c r="L69" s="25">
        <f>IF(NOT(ISNUMBER(K69)),"",INDEX(Noten,MAX(1,MIN(COUNT(NGrenze),COUNT(NGrenze)+1-COUNTIF(NGrenze,"&lt;="&amp;K69))))&amp;" – "&amp;INDEX(NText,MAX(1,MIN(COUNT(NGrenze),COUNT(NGrenze)+1-COUNTIF(NGrenze,"&lt;="&amp;K69)))))</f>
        <v/>
      </c>
      <c r="M69" s="24">
        <f>IF('Stammdaten'!$B68="","",INDEX(Daten!$C$2229:$J$2328,63,$C$4))</f>
        <v/>
      </c>
      <c r="N69" s="25">
        <f>IF(NOT(ISNUMBER(M69)),"",INDEX(Noten,MAX(1,MIN(COUNT(NGrenze),COUNT(NGrenze)+1-COUNTIF(NGrenze,"&lt;="&amp;M69))))&amp;" – "&amp;INDEX(NText,MAX(1,MIN(COUNT(NGrenze),COUNT(NGrenze)+1-COUNTIF(NGrenze,"&lt;="&amp;M69)))))</f>
        <v/>
      </c>
      <c r="O69" s="99">
        <f>IF($A69="","",IF($G69=0,"keine Bewertung",IF($G69&lt;SchwelleDB,"wenig Datenbasis","")))&amp;IF(AND($A69&lt;&gt;"",'Stammdaten'!$G68&lt;&gt;"aktiv")," · "&amp;'Stammdaten'!$G68,"")</f>
        <v/>
      </c>
    </row>
    <row r="70" ht="22" customHeight="1">
      <c r="A70" s="19">
        <f>IF('Stammdaten'!$B69="","",64)</f>
        <v/>
      </c>
      <c r="B70" s="53">
        <f>IF('Stammdaten'!$B69="","",'Stammdaten'!$B69)</f>
        <v/>
      </c>
      <c r="C70" s="97">
        <f>IF('Stammdaten'!$B69="","",'Stammdaten'!$C69)</f>
        <v/>
      </c>
      <c r="D70" s="97">
        <f>IF('Stammdaten'!$B69="","",'Stammdaten'!$D69)</f>
        <v/>
      </c>
      <c r="E70" s="98">
        <f>IF('Stammdaten'!$B69="","",'Stammdaten'!$E69)</f>
        <v/>
      </c>
      <c r="F70" s="21">
        <f>IF('Stammdaten'!$B69="","",'Stammdaten'!$H69)</f>
        <v/>
      </c>
      <c r="G70" s="23">
        <f>IF('Stammdaten'!$B69="","",INDEX(Daten!$C$1704:$J$1803,64,$C$4))</f>
        <v/>
      </c>
      <c r="H70" s="24">
        <f>IF('Stammdaten'!$B69="","",INDEX(Daten!$C$2019:$J$2118,64,$C$4))</f>
        <v/>
      </c>
      <c r="I70" s="25">
        <f>IF(NOT(ISNUMBER(H70)),"",INDEX(Noten,MAX(1,MIN(COUNT(NGrenze),COUNT(NGrenze)+1-COUNTIF(NGrenze,"&lt;="&amp;H70))))&amp;" – "&amp;INDEX(NText,MAX(1,MIN(COUNT(NGrenze),COUNT(NGrenze)+1-COUNTIF(NGrenze,"&lt;="&amp;H70)))))</f>
        <v/>
      </c>
      <c r="J70" s="98">
        <f>IF('Stammdaten'!$B69="","",INDEX(Daten!$C$1914:$J$2013,64,$C$4))</f>
        <v/>
      </c>
      <c r="K70" s="24">
        <f>IF('Stammdaten'!$B69="","",INDEX(Daten!$C$2124:$J$2223,64,$C$4))</f>
        <v/>
      </c>
      <c r="L70" s="25">
        <f>IF(NOT(ISNUMBER(K70)),"",INDEX(Noten,MAX(1,MIN(COUNT(NGrenze),COUNT(NGrenze)+1-COUNTIF(NGrenze,"&lt;="&amp;K70))))&amp;" – "&amp;INDEX(NText,MAX(1,MIN(COUNT(NGrenze),COUNT(NGrenze)+1-COUNTIF(NGrenze,"&lt;="&amp;K70)))))</f>
        <v/>
      </c>
      <c r="M70" s="24">
        <f>IF('Stammdaten'!$B69="","",INDEX(Daten!$C$2229:$J$2328,64,$C$4))</f>
        <v/>
      </c>
      <c r="N70" s="25">
        <f>IF(NOT(ISNUMBER(M70)),"",INDEX(Noten,MAX(1,MIN(COUNT(NGrenze),COUNT(NGrenze)+1-COUNTIF(NGrenze,"&lt;="&amp;M70))))&amp;" – "&amp;INDEX(NText,MAX(1,MIN(COUNT(NGrenze),COUNT(NGrenze)+1-COUNTIF(NGrenze,"&lt;="&amp;M70)))))</f>
        <v/>
      </c>
      <c r="O70" s="99">
        <f>IF($A70="","",IF($G70=0,"keine Bewertung",IF($G70&lt;SchwelleDB,"wenig Datenbasis","")))&amp;IF(AND($A70&lt;&gt;"",'Stammdaten'!$G69&lt;&gt;"aktiv")," · "&amp;'Stammdaten'!$G69,"")</f>
        <v/>
      </c>
    </row>
    <row r="71" ht="22" customHeight="1">
      <c r="A71" s="19">
        <f>IF('Stammdaten'!$B70="","",65)</f>
        <v/>
      </c>
      <c r="B71" s="53">
        <f>IF('Stammdaten'!$B70="","",'Stammdaten'!$B70)</f>
        <v/>
      </c>
      <c r="C71" s="97">
        <f>IF('Stammdaten'!$B70="","",'Stammdaten'!$C70)</f>
        <v/>
      </c>
      <c r="D71" s="97">
        <f>IF('Stammdaten'!$B70="","",'Stammdaten'!$D70)</f>
        <v/>
      </c>
      <c r="E71" s="98">
        <f>IF('Stammdaten'!$B70="","",'Stammdaten'!$E70)</f>
        <v/>
      </c>
      <c r="F71" s="21">
        <f>IF('Stammdaten'!$B70="","",'Stammdaten'!$H70)</f>
        <v/>
      </c>
      <c r="G71" s="23">
        <f>IF('Stammdaten'!$B70="","",INDEX(Daten!$C$1704:$J$1803,65,$C$4))</f>
        <v/>
      </c>
      <c r="H71" s="24">
        <f>IF('Stammdaten'!$B70="","",INDEX(Daten!$C$2019:$J$2118,65,$C$4))</f>
        <v/>
      </c>
      <c r="I71" s="25">
        <f>IF(NOT(ISNUMBER(H71)),"",INDEX(Noten,MAX(1,MIN(COUNT(NGrenze),COUNT(NGrenze)+1-COUNTIF(NGrenze,"&lt;="&amp;H71))))&amp;" – "&amp;INDEX(NText,MAX(1,MIN(COUNT(NGrenze),COUNT(NGrenze)+1-COUNTIF(NGrenze,"&lt;="&amp;H71)))))</f>
        <v/>
      </c>
      <c r="J71" s="98">
        <f>IF('Stammdaten'!$B70="","",INDEX(Daten!$C$1914:$J$2013,65,$C$4))</f>
        <v/>
      </c>
      <c r="K71" s="24">
        <f>IF('Stammdaten'!$B70="","",INDEX(Daten!$C$2124:$J$2223,65,$C$4))</f>
        <v/>
      </c>
      <c r="L71" s="25">
        <f>IF(NOT(ISNUMBER(K71)),"",INDEX(Noten,MAX(1,MIN(COUNT(NGrenze),COUNT(NGrenze)+1-COUNTIF(NGrenze,"&lt;="&amp;K71))))&amp;" – "&amp;INDEX(NText,MAX(1,MIN(COUNT(NGrenze),COUNT(NGrenze)+1-COUNTIF(NGrenze,"&lt;="&amp;K71)))))</f>
        <v/>
      </c>
      <c r="M71" s="24">
        <f>IF('Stammdaten'!$B70="","",INDEX(Daten!$C$2229:$J$2328,65,$C$4))</f>
        <v/>
      </c>
      <c r="N71" s="25">
        <f>IF(NOT(ISNUMBER(M71)),"",INDEX(Noten,MAX(1,MIN(COUNT(NGrenze),COUNT(NGrenze)+1-COUNTIF(NGrenze,"&lt;="&amp;M71))))&amp;" – "&amp;INDEX(NText,MAX(1,MIN(COUNT(NGrenze),COUNT(NGrenze)+1-COUNTIF(NGrenze,"&lt;="&amp;M71)))))</f>
        <v/>
      </c>
      <c r="O71" s="99">
        <f>IF($A71="","",IF($G71=0,"keine Bewertung",IF($G71&lt;SchwelleDB,"wenig Datenbasis","")))&amp;IF(AND($A71&lt;&gt;"",'Stammdaten'!$G70&lt;&gt;"aktiv")," · "&amp;'Stammdaten'!$G70,"")</f>
        <v/>
      </c>
    </row>
    <row r="72" ht="22" customHeight="1">
      <c r="A72" s="19">
        <f>IF('Stammdaten'!$B71="","",66)</f>
        <v/>
      </c>
      <c r="B72" s="53">
        <f>IF('Stammdaten'!$B71="","",'Stammdaten'!$B71)</f>
        <v/>
      </c>
      <c r="C72" s="97">
        <f>IF('Stammdaten'!$B71="","",'Stammdaten'!$C71)</f>
        <v/>
      </c>
      <c r="D72" s="97">
        <f>IF('Stammdaten'!$B71="","",'Stammdaten'!$D71)</f>
        <v/>
      </c>
      <c r="E72" s="98">
        <f>IF('Stammdaten'!$B71="","",'Stammdaten'!$E71)</f>
        <v/>
      </c>
      <c r="F72" s="21">
        <f>IF('Stammdaten'!$B71="","",'Stammdaten'!$H71)</f>
        <v/>
      </c>
      <c r="G72" s="23">
        <f>IF('Stammdaten'!$B71="","",INDEX(Daten!$C$1704:$J$1803,66,$C$4))</f>
        <v/>
      </c>
      <c r="H72" s="24">
        <f>IF('Stammdaten'!$B71="","",INDEX(Daten!$C$2019:$J$2118,66,$C$4))</f>
        <v/>
      </c>
      <c r="I72" s="25">
        <f>IF(NOT(ISNUMBER(H72)),"",INDEX(Noten,MAX(1,MIN(COUNT(NGrenze),COUNT(NGrenze)+1-COUNTIF(NGrenze,"&lt;="&amp;H72))))&amp;" – "&amp;INDEX(NText,MAX(1,MIN(COUNT(NGrenze),COUNT(NGrenze)+1-COUNTIF(NGrenze,"&lt;="&amp;H72)))))</f>
        <v/>
      </c>
      <c r="J72" s="98">
        <f>IF('Stammdaten'!$B71="","",INDEX(Daten!$C$1914:$J$2013,66,$C$4))</f>
        <v/>
      </c>
      <c r="K72" s="24">
        <f>IF('Stammdaten'!$B71="","",INDEX(Daten!$C$2124:$J$2223,66,$C$4))</f>
        <v/>
      </c>
      <c r="L72" s="25">
        <f>IF(NOT(ISNUMBER(K72)),"",INDEX(Noten,MAX(1,MIN(COUNT(NGrenze),COUNT(NGrenze)+1-COUNTIF(NGrenze,"&lt;="&amp;K72))))&amp;" – "&amp;INDEX(NText,MAX(1,MIN(COUNT(NGrenze),COUNT(NGrenze)+1-COUNTIF(NGrenze,"&lt;="&amp;K72)))))</f>
        <v/>
      </c>
      <c r="M72" s="24">
        <f>IF('Stammdaten'!$B71="","",INDEX(Daten!$C$2229:$J$2328,66,$C$4))</f>
        <v/>
      </c>
      <c r="N72" s="25">
        <f>IF(NOT(ISNUMBER(M72)),"",INDEX(Noten,MAX(1,MIN(COUNT(NGrenze),COUNT(NGrenze)+1-COUNTIF(NGrenze,"&lt;="&amp;M72))))&amp;" – "&amp;INDEX(NText,MAX(1,MIN(COUNT(NGrenze),COUNT(NGrenze)+1-COUNTIF(NGrenze,"&lt;="&amp;M72)))))</f>
        <v/>
      </c>
      <c r="O72" s="99">
        <f>IF($A72="","",IF($G72=0,"keine Bewertung",IF($G72&lt;SchwelleDB,"wenig Datenbasis","")))&amp;IF(AND($A72&lt;&gt;"",'Stammdaten'!$G71&lt;&gt;"aktiv")," · "&amp;'Stammdaten'!$G71,"")</f>
        <v/>
      </c>
    </row>
    <row r="73" ht="22" customHeight="1">
      <c r="A73" s="19">
        <f>IF('Stammdaten'!$B72="","",67)</f>
        <v/>
      </c>
      <c r="B73" s="53">
        <f>IF('Stammdaten'!$B72="","",'Stammdaten'!$B72)</f>
        <v/>
      </c>
      <c r="C73" s="97">
        <f>IF('Stammdaten'!$B72="","",'Stammdaten'!$C72)</f>
        <v/>
      </c>
      <c r="D73" s="97">
        <f>IF('Stammdaten'!$B72="","",'Stammdaten'!$D72)</f>
        <v/>
      </c>
      <c r="E73" s="98">
        <f>IF('Stammdaten'!$B72="","",'Stammdaten'!$E72)</f>
        <v/>
      </c>
      <c r="F73" s="21">
        <f>IF('Stammdaten'!$B72="","",'Stammdaten'!$H72)</f>
        <v/>
      </c>
      <c r="G73" s="23">
        <f>IF('Stammdaten'!$B72="","",INDEX(Daten!$C$1704:$J$1803,67,$C$4))</f>
        <v/>
      </c>
      <c r="H73" s="24">
        <f>IF('Stammdaten'!$B72="","",INDEX(Daten!$C$2019:$J$2118,67,$C$4))</f>
        <v/>
      </c>
      <c r="I73" s="25">
        <f>IF(NOT(ISNUMBER(H73)),"",INDEX(Noten,MAX(1,MIN(COUNT(NGrenze),COUNT(NGrenze)+1-COUNTIF(NGrenze,"&lt;="&amp;H73))))&amp;" – "&amp;INDEX(NText,MAX(1,MIN(COUNT(NGrenze),COUNT(NGrenze)+1-COUNTIF(NGrenze,"&lt;="&amp;H73)))))</f>
        <v/>
      </c>
      <c r="J73" s="98">
        <f>IF('Stammdaten'!$B72="","",INDEX(Daten!$C$1914:$J$2013,67,$C$4))</f>
        <v/>
      </c>
      <c r="K73" s="24">
        <f>IF('Stammdaten'!$B72="","",INDEX(Daten!$C$2124:$J$2223,67,$C$4))</f>
        <v/>
      </c>
      <c r="L73" s="25">
        <f>IF(NOT(ISNUMBER(K73)),"",INDEX(Noten,MAX(1,MIN(COUNT(NGrenze),COUNT(NGrenze)+1-COUNTIF(NGrenze,"&lt;="&amp;K73))))&amp;" – "&amp;INDEX(NText,MAX(1,MIN(COUNT(NGrenze),COUNT(NGrenze)+1-COUNTIF(NGrenze,"&lt;="&amp;K73)))))</f>
        <v/>
      </c>
      <c r="M73" s="24">
        <f>IF('Stammdaten'!$B72="","",INDEX(Daten!$C$2229:$J$2328,67,$C$4))</f>
        <v/>
      </c>
      <c r="N73" s="25">
        <f>IF(NOT(ISNUMBER(M73)),"",INDEX(Noten,MAX(1,MIN(COUNT(NGrenze),COUNT(NGrenze)+1-COUNTIF(NGrenze,"&lt;="&amp;M73))))&amp;" – "&amp;INDEX(NText,MAX(1,MIN(COUNT(NGrenze),COUNT(NGrenze)+1-COUNTIF(NGrenze,"&lt;="&amp;M73)))))</f>
        <v/>
      </c>
      <c r="O73" s="99">
        <f>IF($A73="","",IF($G73=0,"keine Bewertung",IF($G73&lt;SchwelleDB,"wenig Datenbasis","")))&amp;IF(AND($A73&lt;&gt;"",'Stammdaten'!$G72&lt;&gt;"aktiv")," · "&amp;'Stammdaten'!$G72,"")</f>
        <v/>
      </c>
    </row>
    <row r="74" ht="22" customHeight="1">
      <c r="A74" s="19">
        <f>IF('Stammdaten'!$B73="","",68)</f>
        <v/>
      </c>
      <c r="B74" s="53">
        <f>IF('Stammdaten'!$B73="","",'Stammdaten'!$B73)</f>
        <v/>
      </c>
      <c r="C74" s="97">
        <f>IF('Stammdaten'!$B73="","",'Stammdaten'!$C73)</f>
        <v/>
      </c>
      <c r="D74" s="97">
        <f>IF('Stammdaten'!$B73="","",'Stammdaten'!$D73)</f>
        <v/>
      </c>
      <c r="E74" s="98">
        <f>IF('Stammdaten'!$B73="","",'Stammdaten'!$E73)</f>
        <v/>
      </c>
      <c r="F74" s="21">
        <f>IF('Stammdaten'!$B73="","",'Stammdaten'!$H73)</f>
        <v/>
      </c>
      <c r="G74" s="23">
        <f>IF('Stammdaten'!$B73="","",INDEX(Daten!$C$1704:$J$1803,68,$C$4))</f>
        <v/>
      </c>
      <c r="H74" s="24">
        <f>IF('Stammdaten'!$B73="","",INDEX(Daten!$C$2019:$J$2118,68,$C$4))</f>
        <v/>
      </c>
      <c r="I74" s="25">
        <f>IF(NOT(ISNUMBER(H74)),"",INDEX(Noten,MAX(1,MIN(COUNT(NGrenze),COUNT(NGrenze)+1-COUNTIF(NGrenze,"&lt;="&amp;H74))))&amp;" – "&amp;INDEX(NText,MAX(1,MIN(COUNT(NGrenze),COUNT(NGrenze)+1-COUNTIF(NGrenze,"&lt;="&amp;H74)))))</f>
        <v/>
      </c>
      <c r="J74" s="98">
        <f>IF('Stammdaten'!$B73="","",INDEX(Daten!$C$1914:$J$2013,68,$C$4))</f>
        <v/>
      </c>
      <c r="K74" s="24">
        <f>IF('Stammdaten'!$B73="","",INDEX(Daten!$C$2124:$J$2223,68,$C$4))</f>
        <v/>
      </c>
      <c r="L74" s="25">
        <f>IF(NOT(ISNUMBER(K74)),"",INDEX(Noten,MAX(1,MIN(COUNT(NGrenze),COUNT(NGrenze)+1-COUNTIF(NGrenze,"&lt;="&amp;K74))))&amp;" – "&amp;INDEX(NText,MAX(1,MIN(COUNT(NGrenze),COUNT(NGrenze)+1-COUNTIF(NGrenze,"&lt;="&amp;K74)))))</f>
        <v/>
      </c>
      <c r="M74" s="24">
        <f>IF('Stammdaten'!$B73="","",INDEX(Daten!$C$2229:$J$2328,68,$C$4))</f>
        <v/>
      </c>
      <c r="N74" s="25">
        <f>IF(NOT(ISNUMBER(M74)),"",INDEX(Noten,MAX(1,MIN(COUNT(NGrenze),COUNT(NGrenze)+1-COUNTIF(NGrenze,"&lt;="&amp;M74))))&amp;" – "&amp;INDEX(NText,MAX(1,MIN(COUNT(NGrenze),COUNT(NGrenze)+1-COUNTIF(NGrenze,"&lt;="&amp;M74)))))</f>
        <v/>
      </c>
      <c r="O74" s="99">
        <f>IF($A74="","",IF($G74=0,"keine Bewertung",IF($G74&lt;SchwelleDB,"wenig Datenbasis","")))&amp;IF(AND($A74&lt;&gt;"",'Stammdaten'!$G73&lt;&gt;"aktiv")," · "&amp;'Stammdaten'!$G73,"")</f>
        <v/>
      </c>
    </row>
    <row r="75" ht="22" customHeight="1">
      <c r="A75" s="19">
        <f>IF('Stammdaten'!$B74="","",69)</f>
        <v/>
      </c>
      <c r="B75" s="53">
        <f>IF('Stammdaten'!$B74="","",'Stammdaten'!$B74)</f>
        <v/>
      </c>
      <c r="C75" s="97">
        <f>IF('Stammdaten'!$B74="","",'Stammdaten'!$C74)</f>
        <v/>
      </c>
      <c r="D75" s="97">
        <f>IF('Stammdaten'!$B74="","",'Stammdaten'!$D74)</f>
        <v/>
      </c>
      <c r="E75" s="98">
        <f>IF('Stammdaten'!$B74="","",'Stammdaten'!$E74)</f>
        <v/>
      </c>
      <c r="F75" s="21">
        <f>IF('Stammdaten'!$B74="","",'Stammdaten'!$H74)</f>
        <v/>
      </c>
      <c r="G75" s="23">
        <f>IF('Stammdaten'!$B74="","",INDEX(Daten!$C$1704:$J$1803,69,$C$4))</f>
        <v/>
      </c>
      <c r="H75" s="24">
        <f>IF('Stammdaten'!$B74="","",INDEX(Daten!$C$2019:$J$2118,69,$C$4))</f>
        <v/>
      </c>
      <c r="I75" s="25">
        <f>IF(NOT(ISNUMBER(H75)),"",INDEX(Noten,MAX(1,MIN(COUNT(NGrenze),COUNT(NGrenze)+1-COUNTIF(NGrenze,"&lt;="&amp;H75))))&amp;" – "&amp;INDEX(NText,MAX(1,MIN(COUNT(NGrenze),COUNT(NGrenze)+1-COUNTIF(NGrenze,"&lt;="&amp;H75)))))</f>
        <v/>
      </c>
      <c r="J75" s="98">
        <f>IF('Stammdaten'!$B74="","",INDEX(Daten!$C$1914:$J$2013,69,$C$4))</f>
        <v/>
      </c>
      <c r="K75" s="24">
        <f>IF('Stammdaten'!$B74="","",INDEX(Daten!$C$2124:$J$2223,69,$C$4))</f>
        <v/>
      </c>
      <c r="L75" s="25">
        <f>IF(NOT(ISNUMBER(K75)),"",INDEX(Noten,MAX(1,MIN(COUNT(NGrenze),COUNT(NGrenze)+1-COUNTIF(NGrenze,"&lt;="&amp;K75))))&amp;" – "&amp;INDEX(NText,MAX(1,MIN(COUNT(NGrenze),COUNT(NGrenze)+1-COUNTIF(NGrenze,"&lt;="&amp;K75)))))</f>
        <v/>
      </c>
      <c r="M75" s="24">
        <f>IF('Stammdaten'!$B74="","",INDEX(Daten!$C$2229:$J$2328,69,$C$4))</f>
        <v/>
      </c>
      <c r="N75" s="25">
        <f>IF(NOT(ISNUMBER(M75)),"",INDEX(Noten,MAX(1,MIN(COUNT(NGrenze),COUNT(NGrenze)+1-COUNTIF(NGrenze,"&lt;="&amp;M75))))&amp;" – "&amp;INDEX(NText,MAX(1,MIN(COUNT(NGrenze),COUNT(NGrenze)+1-COUNTIF(NGrenze,"&lt;="&amp;M75)))))</f>
        <v/>
      </c>
      <c r="O75" s="99">
        <f>IF($A75="","",IF($G75=0,"keine Bewertung",IF($G75&lt;SchwelleDB,"wenig Datenbasis","")))&amp;IF(AND($A75&lt;&gt;"",'Stammdaten'!$G74&lt;&gt;"aktiv")," · "&amp;'Stammdaten'!$G74,"")</f>
        <v/>
      </c>
    </row>
    <row r="76" ht="22" customHeight="1">
      <c r="A76" s="19">
        <f>IF('Stammdaten'!$B75="","",70)</f>
        <v/>
      </c>
      <c r="B76" s="53">
        <f>IF('Stammdaten'!$B75="","",'Stammdaten'!$B75)</f>
        <v/>
      </c>
      <c r="C76" s="97">
        <f>IF('Stammdaten'!$B75="","",'Stammdaten'!$C75)</f>
        <v/>
      </c>
      <c r="D76" s="97">
        <f>IF('Stammdaten'!$B75="","",'Stammdaten'!$D75)</f>
        <v/>
      </c>
      <c r="E76" s="98">
        <f>IF('Stammdaten'!$B75="","",'Stammdaten'!$E75)</f>
        <v/>
      </c>
      <c r="F76" s="21">
        <f>IF('Stammdaten'!$B75="","",'Stammdaten'!$H75)</f>
        <v/>
      </c>
      <c r="G76" s="23">
        <f>IF('Stammdaten'!$B75="","",INDEX(Daten!$C$1704:$J$1803,70,$C$4))</f>
        <v/>
      </c>
      <c r="H76" s="24">
        <f>IF('Stammdaten'!$B75="","",INDEX(Daten!$C$2019:$J$2118,70,$C$4))</f>
        <v/>
      </c>
      <c r="I76" s="25">
        <f>IF(NOT(ISNUMBER(H76)),"",INDEX(Noten,MAX(1,MIN(COUNT(NGrenze),COUNT(NGrenze)+1-COUNTIF(NGrenze,"&lt;="&amp;H76))))&amp;" – "&amp;INDEX(NText,MAX(1,MIN(COUNT(NGrenze),COUNT(NGrenze)+1-COUNTIF(NGrenze,"&lt;="&amp;H76)))))</f>
        <v/>
      </c>
      <c r="J76" s="98">
        <f>IF('Stammdaten'!$B75="","",INDEX(Daten!$C$1914:$J$2013,70,$C$4))</f>
        <v/>
      </c>
      <c r="K76" s="24">
        <f>IF('Stammdaten'!$B75="","",INDEX(Daten!$C$2124:$J$2223,70,$C$4))</f>
        <v/>
      </c>
      <c r="L76" s="25">
        <f>IF(NOT(ISNUMBER(K76)),"",INDEX(Noten,MAX(1,MIN(COUNT(NGrenze),COUNT(NGrenze)+1-COUNTIF(NGrenze,"&lt;="&amp;K76))))&amp;" – "&amp;INDEX(NText,MAX(1,MIN(COUNT(NGrenze),COUNT(NGrenze)+1-COUNTIF(NGrenze,"&lt;="&amp;K76)))))</f>
        <v/>
      </c>
      <c r="M76" s="24">
        <f>IF('Stammdaten'!$B75="","",INDEX(Daten!$C$2229:$J$2328,70,$C$4))</f>
        <v/>
      </c>
      <c r="N76" s="25">
        <f>IF(NOT(ISNUMBER(M76)),"",INDEX(Noten,MAX(1,MIN(COUNT(NGrenze),COUNT(NGrenze)+1-COUNTIF(NGrenze,"&lt;="&amp;M76))))&amp;" – "&amp;INDEX(NText,MAX(1,MIN(COUNT(NGrenze),COUNT(NGrenze)+1-COUNTIF(NGrenze,"&lt;="&amp;M76)))))</f>
        <v/>
      </c>
      <c r="O76" s="99">
        <f>IF($A76="","",IF($G76=0,"keine Bewertung",IF($G76&lt;SchwelleDB,"wenig Datenbasis","")))&amp;IF(AND($A76&lt;&gt;"",'Stammdaten'!$G75&lt;&gt;"aktiv")," · "&amp;'Stammdaten'!$G75,"")</f>
        <v/>
      </c>
    </row>
    <row r="77" ht="22" customHeight="1">
      <c r="A77" s="19">
        <f>IF('Stammdaten'!$B76="","",71)</f>
        <v/>
      </c>
      <c r="B77" s="53">
        <f>IF('Stammdaten'!$B76="","",'Stammdaten'!$B76)</f>
        <v/>
      </c>
      <c r="C77" s="97">
        <f>IF('Stammdaten'!$B76="","",'Stammdaten'!$C76)</f>
        <v/>
      </c>
      <c r="D77" s="97">
        <f>IF('Stammdaten'!$B76="","",'Stammdaten'!$D76)</f>
        <v/>
      </c>
      <c r="E77" s="98">
        <f>IF('Stammdaten'!$B76="","",'Stammdaten'!$E76)</f>
        <v/>
      </c>
      <c r="F77" s="21">
        <f>IF('Stammdaten'!$B76="","",'Stammdaten'!$H76)</f>
        <v/>
      </c>
      <c r="G77" s="23">
        <f>IF('Stammdaten'!$B76="","",INDEX(Daten!$C$1704:$J$1803,71,$C$4))</f>
        <v/>
      </c>
      <c r="H77" s="24">
        <f>IF('Stammdaten'!$B76="","",INDEX(Daten!$C$2019:$J$2118,71,$C$4))</f>
        <v/>
      </c>
      <c r="I77" s="25">
        <f>IF(NOT(ISNUMBER(H77)),"",INDEX(Noten,MAX(1,MIN(COUNT(NGrenze),COUNT(NGrenze)+1-COUNTIF(NGrenze,"&lt;="&amp;H77))))&amp;" – "&amp;INDEX(NText,MAX(1,MIN(COUNT(NGrenze),COUNT(NGrenze)+1-COUNTIF(NGrenze,"&lt;="&amp;H77)))))</f>
        <v/>
      </c>
      <c r="J77" s="98">
        <f>IF('Stammdaten'!$B76="","",INDEX(Daten!$C$1914:$J$2013,71,$C$4))</f>
        <v/>
      </c>
      <c r="K77" s="24">
        <f>IF('Stammdaten'!$B76="","",INDEX(Daten!$C$2124:$J$2223,71,$C$4))</f>
        <v/>
      </c>
      <c r="L77" s="25">
        <f>IF(NOT(ISNUMBER(K77)),"",INDEX(Noten,MAX(1,MIN(COUNT(NGrenze),COUNT(NGrenze)+1-COUNTIF(NGrenze,"&lt;="&amp;K77))))&amp;" – "&amp;INDEX(NText,MAX(1,MIN(COUNT(NGrenze),COUNT(NGrenze)+1-COUNTIF(NGrenze,"&lt;="&amp;K77)))))</f>
        <v/>
      </c>
      <c r="M77" s="24">
        <f>IF('Stammdaten'!$B76="","",INDEX(Daten!$C$2229:$J$2328,71,$C$4))</f>
        <v/>
      </c>
      <c r="N77" s="25">
        <f>IF(NOT(ISNUMBER(M77)),"",INDEX(Noten,MAX(1,MIN(COUNT(NGrenze),COUNT(NGrenze)+1-COUNTIF(NGrenze,"&lt;="&amp;M77))))&amp;" – "&amp;INDEX(NText,MAX(1,MIN(COUNT(NGrenze),COUNT(NGrenze)+1-COUNTIF(NGrenze,"&lt;="&amp;M77)))))</f>
        <v/>
      </c>
      <c r="O77" s="99">
        <f>IF($A77="","",IF($G77=0,"keine Bewertung",IF($G77&lt;SchwelleDB,"wenig Datenbasis","")))&amp;IF(AND($A77&lt;&gt;"",'Stammdaten'!$G76&lt;&gt;"aktiv")," · "&amp;'Stammdaten'!$G76,"")</f>
        <v/>
      </c>
    </row>
    <row r="78" ht="22" customHeight="1">
      <c r="A78" s="19">
        <f>IF('Stammdaten'!$B77="","",72)</f>
        <v/>
      </c>
      <c r="B78" s="53">
        <f>IF('Stammdaten'!$B77="","",'Stammdaten'!$B77)</f>
        <v/>
      </c>
      <c r="C78" s="97">
        <f>IF('Stammdaten'!$B77="","",'Stammdaten'!$C77)</f>
        <v/>
      </c>
      <c r="D78" s="97">
        <f>IF('Stammdaten'!$B77="","",'Stammdaten'!$D77)</f>
        <v/>
      </c>
      <c r="E78" s="98">
        <f>IF('Stammdaten'!$B77="","",'Stammdaten'!$E77)</f>
        <v/>
      </c>
      <c r="F78" s="21">
        <f>IF('Stammdaten'!$B77="","",'Stammdaten'!$H77)</f>
        <v/>
      </c>
      <c r="G78" s="23">
        <f>IF('Stammdaten'!$B77="","",INDEX(Daten!$C$1704:$J$1803,72,$C$4))</f>
        <v/>
      </c>
      <c r="H78" s="24">
        <f>IF('Stammdaten'!$B77="","",INDEX(Daten!$C$2019:$J$2118,72,$C$4))</f>
        <v/>
      </c>
      <c r="I78" s="25">
        <f>IF(NOT(ISNUMBER(H78)),"",INDEX(Noten,MAX(1,MIN(COUNT(NGrenze),COUNT(NGrenze)+1-COUNTIF(NGrenze,"&lt;="&amp;H78))))&amp;" – "&amp;INDEX(NText,MAX(1,MIN(COUNT(NGrenze),COUNT(NGrenze)+1-COUNTIF(NGrenze,"&lt;="&amp;H78)))))</f>
        <v/>
      </c>
      <c r="J78" s="98">
        <f>IF('Stammdaten'!$B77="","",INDEX(Daten!$C$1914:$J$2013,72,$C$4))</f>
        <v/>
      </c>
      <c r="K78" s="24">
        <f>IF('Stammdaten'!$B77="","",INDEX(Daten!$C$2124:$J$2223,72,$C$4))</f>
        <v/>
      </c>
      <c r="L78" s="25">
        <f>IF(NOT(ISNUMBER(K78)),"",INDEX(Noten,MAX(1,MIN(COUNT(NGrenze),COUNT(NGrenze)+1-COUNTIF(NGrenze,"&lt;="&amp;K78))))&amp;" – "&amp;INDEX(NText,MAX(1,MIN(COUNT(NGrenze),COUNT(NGrenze)+1-COUNTIF(NGrenze,"&lt;="&amp;K78)))))</f>
        <v/>
      </c>
      <c r="M78" s="24">
        <f>IF('Stammdaten'!$B77="","",INDEX(Daten!$C$2229:$J$2328,72,$C$4))</f>
        <v/>
      </c>
      <c r="N78" s="25">
        <f>IF(NOT(ISNUMBER(M78)),"",INDEX(Noten,MAX(1,MIN(COUNT(NGrenze),COUNT(NGrenze)+1-COUNTIF(NGrenze,"&lt;="&amp;M78))))&amp;" – "&amp;INDEX(NText,MAX(1,MIN(COUNT(NGrenze),COUNT(NGrenze)+1-COUNTIF(NGrenze,"&lt;="&amp;M78)))))</f>
        <v/>
      </c>
      <c r="O78" s="99">
        <f>IF($A78="","",IF($G78=0,"keine Bewertung",IF($G78&lt;SchwelleDB,"wenig Datenbasis","")))&amp;IF(AND($A78&lt;&gt;"",'Stammdaten'!$G77&lt;&gt;"aktiv")," · "&amp;'Stammdaten'!$G77,"")</f>
        <v/>
      </c>
    </row>
    <row r="79" ht="22" customHeight="1">
      <c r="A79" s="19">
        <f>IF('Stammdaten'!$B78="","",73)</f>
        <v/>
      </c>
      <c r="B79" s="53">
        <f>IF('Stammdaten'!$B78="","",'Stammdaten'!$B78)</f>
        <v/>
      </c>
      <c r="C79" s="97">
        <f>IF('Stammdaten'!$B78="","",'Stammdaten'!$C78)</f>
        <v/>
      </c>
      <c r="D79" s="97">
        <f>IF('Stammdaten'!$B78="","",'Stammdaten'!$D78)</f>
        <v/>
      </c>
      <c r="E79" s="98">
        <f>IF('Stammdaten'!$B78="","",'Stammdaten'!$E78)</f>
        <v/>
      </c>
      <c r="F79" s="21">
        <f>IF('Stammdaten'!$B78="","",'Stammdaten'!$H78)</f>
        <v/>
      </c>
      <c r="G79" s="23">
        <f>IF('Stammdaten'!$B78="","",INDEX(Daten!$C$1704:$J$1803,73,$C$4))</f>
        <v/>
      </c>
      <c r="H79" s="24">
        <f>IF('Stammdaten'!$B78="","",INDEX(Daten!$C$2019:$J$2118,73,$C$4))</f>
        <v/>
      </c>
      <c r="I79" s="25">
        <f>IF(NOT(ISNUMBER(H79)),"",INDEX(Noten,MAX(1,MIN(COUNT(NGrenze),COUNT(NGrenze)+1-COUNTIF(NGrenze,"&lt;="&amp;H79))))&amp;" – "&amp;INDEX(NText,MAX(1,MIN(COUNT(NGrenze),COUNT(NGrenze)+1-COUNTIF(NGrenze,"&lt;="&amp;H79)))))</f>
        <v/>
      </c>
      <c r="J79" s="98">
        <f>IF('Stammdaten'!$B78="","",INDEX(Daten!$C$1914:$J$2013,73,$C$4))</f>
        <v/>
      </c>
      <c r="K79" s="24">
        <f>IF('Stammdaten'!$B78="","",INDEX(Daten!$C$2124:$J$2223,73,$C$4))</f>
        <v/>
      </c>
      <c r="L79" s="25">
        <f>IF(NOT(ISNUMBER(K79)),"",INDEX(Noten,MAX(1,MIN(COUNT(NGrenze),COUNT(NGrenze)+1-COUNTIF(NGrenze,"&lt;="&amp;K79))))&amp;" – "&amp;INDEX(NText,MAX(1,MIN(COUNT(NGrenze),COUNT(NGrenze)+1-COUNTIF(NGrenze,"&lt;="&amp;K79)))))</f>
        <v/>
      </c>
      <c r="M79" s="24">
        <f>IF('Stammdaten'!$B78="","",INDEX(Daten!$C$2229:$J$2328,73,$C$4))</f>
        <v/>
      </c>
      <c r="N79" s="25">
        <f>IF(NOT(ISNUMBER(M79)),"",INDEX(Noten,MAX(1,MIN(COUNT(NGrenze),COUNT(NGrenze)+1-COUNTIF(NGrenze,"&lt;="&amp;M79))))&amp;" – "&amp;INDEX(NText,MAX(1,MIN(COUNT(NGrenze),COUNT(NGrenze)+1-COUNTIF(NGrenze,"&lt;="&amp;M79)))))</f>
        <v/>
      </c>
      <c r="O79" s="99">
        <f>IF($A79="","",IF($G79=0,"keine Bewertung",IF($G79&lt;SchwelleDB,"wenig Datenbasis","")))&amp;IF(AND($A79&lt;&gt;"",'Stammdaten'!$G78&lt;&gt;"aktiv")," · "&amp;'Stammdaten'!$G78,"")</f>
        <v/>
      </c>
    </row>
    <row r="80" ht="22" customHeight="1">
      <c r="A80" s="19">
        <f>IF('Stammdaten'!$B79="","",74)</f>
        <v/>
      </c>
      <c r="B80" s="53">
        <f>IF('Stammdaten'!$B79="","",'Stammdaten'!$B79)</f>
        <v/>
      </c>
      <c r="C80" s="97">
        <f>IF('Stammdaten'!$B79="","",'Stammdaten'!$C79)</f>
        <v/>
      </c>
      <c r="D80" s="97">
        <f>IF('Stammdaten'!$B79="","",'Stammdaten'!$D79)</f>
        <v/>
      </c>
      <c r="E80" s="98">
        <f>IF('Stammdaten'!$B79="","",'Stammdaten'!$E79)</f>
        <v/>
      </c>
      <c r="F80" s="21">
        <f>IF('Stammdaten'!$B79="","",'Stammdaten'!$H79)</f>
        <v/>
      </c>
      <c r="G80" s="23">
        <f>IF('Stammdaten'!$B79="","",INDEX(Daten!$C$1704:$J$1803,74,$C$4))</f>
        <v/>
      </c>
      <c r="H80" s="24">
        <f>IF('Stammdaten'!$B79="","",INDEX(Daten!$C$2019:$J$2118,74,$C$4))</f>
        <v/>
      </c>
      <c r="I80" s="25">
        <f>IF(NOT(ISNUMBER(H80)),"",INDEX(Noten,MAX(1,MIN(COUNT(NGrenze),COUNT(NGrenze)+1-COUNTIF(NGrenze,"&lt;="&amp;H80))))&amp;" – "&amp;INDEX(NText,MAX(1,MIN(COUNT(NGrenze),COUNT(NGrenze)+1-COUNTIF(NGrenze,"&lt;="&amp;H80)))))</f>
        <v/>
      </c>
      <c r="J80" s="98">
        <f>IF('Stammdaten'!$B79="","",INDEX(Daten!$C$1914:$J$2013,74,$C$4))</f>
        <v/>
      </c>
      <c r="K80" s="24">
        <f>IF('Stammdaten'!$B79="","",INDEX(Daten!$C$2124:$J$2223,74,$C$4))</f>
        <v/>
      </c>
      <c r="L80" s="25">
        <f>IF(NOT(ISNUMBER(K80)),"",INDEX(Noten,MAX(1,MIN(COUNT(NGrenze),COUNT(NGrenze)+1-COUNTIF(NGrenze,"&lt;="&amp;K80))))&amp;" – "&amp;INDEX(NText,MAX(1,MIN(COUNT(NGrenze),COUNT(NGrenze)+1-COUNTIF(NGrenze,"&lt;="&amp;K80)))))</f>
        <v/>
      </c>
      <c r="M80" s="24">
        <f>IF('Stammdaten'!$B79="","",INDEX(Daten!$C$2229:$J$2328,74,$C$4))</f>
        <v/>
      </c>
      <c r="N80" s="25">
        <f>IF(NOT(ISNUMBER(M80)),"",INDEX(Noten,MAX(1,MIN(COUNT(NGrenze),COUNT(NGrenze)+1-COUNTIF(NGrenze,"&lt;="&amp;M80))))&amp;" – "&amp;INDEX(NText,MAX(1,MIN(COUNT(NGrenze),COUNT(NGrenze)+1-COUNTIF(NGrenze,"&lt;="&amp;M80)))))</f>
        <v/>
      </c>
      <c r="O80" s="99">
        <f>IF($A80="","",IF($G80=0,"keine Bewertung",IF($G80&lt;SchwelleDB,"wenig Datenbasis","")))&amp;IF(AND($A80&lt;&gt;"",'Stammdaten'!$G79&lt;&gt;"aktiv")," · "&amp;'Stammdaten'!$G79,"")</f>
        <v/>
      </c>
    </row>
    <row r="81" ht="22" customHeight="1">
      <c r="A81" s="19">
        <f>IF('Stammdaten'!$B80="","",75)</f>
        <v/>
      </c>
      <c r="B81" s="53">
        <f>IF('Stammdaten'!$B80="","",'Stammdaten'!$B80)</f>
        <v/>
      </c>
      <c r="C81" s="97">
        <f>IF('Stammdaten'!$B80="","",'Stammdaten'!$C80)</f>
        <v/>
      </c>
      <c r="D81" s="97">
        <f>IF('Stammdaten'!$B80="","",'Stammdaten'!$D80)</f>
        <v/>
      </c>
      <c r="E81" s="98">
        <f>IF('Stammdaten'!$B80="","",'Stammdaten'!$E80)</f>
        <v/>
      </c>
      <c r="F81" s="21">
        <f>IF('Stammdaten'!$B80="","",'Stammdaten'!$H80)</f>
        <v/>
      </c>
      <c r="G81" s="23">
        <f>IF('Stammdaten'!$B80="","",INDEX(Daten!$C$1704:$J$1803,75,$C$4))</f>
        <v/>
      </c>
      <c r="H81" s="24">
        <f>IF('Stammdaten'!$B80="","",INDEX(Daten!$C$2019:$J$2118,75,$C$4))</f>
        <v/>
      </c>
      <c r="I81" s="25">
        <f>IF(NOT(ISNUMBER(H81)),"",INDEX(Noten,MAX(1,MIN(COUNT(NGrenze),COUNT(NGrenze)+1-COUNTIF(NGrenze,"&lt;="&amp;H81))))&amp;" – "&amp;INDEX(NText,MAX(1,MIN(COUNT(NGrenze),COUNT(NGrenze)+1-COUNTIF(NGrenze,"&lt;="&amp;H81)))))</f>
        <v/>
      </c>
      <c r="J81" s="98">
        <f>IF('Stammdaten'!$B80="","",INDEX(Daten!$C$1914:$J$2013,75,$C$4))</f>
        <v/>
      </c>
      <c r="K81" s="24">
        <f>IF('Stammdaten'!$B80="","",INDEX(Daten!$C$2124:$J$2223,75,$C$4))</f>
        <v/>
      </c>
      <c r="L81" s="25">
        <f>IF(NOT(ISNUMBER(K81)),"",INDEX(Noten,MAX(1,MIN(COUNT(NGrenze),COUNT(NGrenze)+1-COUNTIF(NGrenze,"&lt;="&amp;K81))))&amp;" – "&amp;INDEX(NText,MAX(1,MIN(COUNT(NGrenze),COUNT(NGrenze)+1-COUNTIF(NGrenze,"&lt;="&amp;K81)))))</f>
        <v/>
      </c>
      <c r="M81" s="24">
        <f>IF('Stammdaten'!$B80="","",INDEX(Daten!$C$2229:$J$2328,75,$C$4))</f>
        <v/>
      </c>
      <c r="N81" s="25">
        <f>IF(NOT(ISNUMBER(M81)),"",INDEX(Noten,MAX(1,MIN(COUNT(NGrenze),COUNT(NGrenze)+1-COUNTIF(NGrenze,"&lt;="&amp;M81))))&amp;" – "&amp;INDEX(NText,MAX(1,MIN(COUNT(NGrenze),COUNT(NGrenze)+1-COUNTIF(NGrenze,"&lt;="&amp;M81)))))</f>
        <v/>
      </c>
      <c r="O81" s="99">
        <f>IF($A81="","",IF($G81=0,"keine Bewertung",IF($G81&lt;SchwelleDB,"wenig Datenbasis","")))&amp;IF(AND($A81&lt;&gt;"",'Stammdaten'!$G80&lt;&gt;"aktiv")," · "&amp;'Stammdaten'!$G80,"")</f>
        <v/>
      </c>
    </row>
    <row r="82" ht="22" customHeight="1">
      <c r="A82" s="19">
        <f>IF('Stammdaten'!$B81="","",76)</f>
        <v/>
      </c>
      <c r="B82" s="53">
        <f>IF('Stammdaten'!$B81="","",'Stammdaten'!$B81)</f>
        <v/>
      </c>
      <c r="C82" s="97">
        <f>IF('Stammdaten'!$B81="","",'Stammdaten'!$C81)</f>
        <v/>
      </c>
      <c r="D82" s="97">
        <f>IF('Stammdaten'!$B81="","",'Stammdaten'!$D81)</f>
        <v/>
      </c>
      <c r="E82" s="98">
        <f>IF('Stammdaten'!$B81="","",'Stammdaten'!$E81)</f>
        <v/>
      </c>
      <c r="F82" s="21">
        <f>IF('Stammdaten'!$B81="","",'Stammdaten'!$H81)</f>
        <v/>
      </c>
      <c r="G82" s="23">
        <f>IF('Stammdaten'!$B81="","",INDEX(Daten!$C$1704:$J$1803,76,$C$4))</f>
        <v/>
      </c>
      <c r="H82" s="24">
        <f>IF('Stammdaten'!$B81="","",INDEX(Daten!$C$2019:$J$2118,76,$C$4))</f>
        <v/>
      </c>
      <c r="I82" s="25">
        <f>IF(NOT(ISNUMBER(H82)),"",INDEX(Noten,MAX(1,MIN(COUNT(NGrenze),COUNT(NGrenze)+1-COUNTIF(NGrenze,"&lt;="&amp;H82))))&amp;" – "&amp;INDEX(NText,MAX(1,MIN(COUNT(NGrenze),COUNT(NGrenze)+1-COUNTIF(NGrenze,"&lt;="&amp;H82)))))</f>
        <v/>
      </c>
      <c r="J82" s="98">
        <f>IF('Stammdaten'!$B81="","",INDEX(Daten!$C$1914:$J$2013,76,$C$4))</f>
        <v/>
      </c>
      <c r="K82" s="24">
        <f>IF('Stammdaten'!$B81="","",INDEX(Daten!$C$2124:$J$2223,76,$C$4))</f>
        <v/>
      </c>
      <c r="L82" s="25">
        <f>IF(NOT(ISNUMBER(K82)),"",INDEX(Noten,MAX(1,MIN(COUNT(NGrenze),COUNT(NGrenze)+1-COUNTIF(NGrenze,"&lt;="&amp;K82))))&amp;" – "&amp;INDEX(NText,MAX(1,MIN(COUNT(NGrenze),COUNT(NGrenze)+1-COUNTIF(NGrenze,"&lt;="&amp;K82)))))</f>
        <v/>
      </c>
      <c r="M82" s="24">
        <f>IF('Stammdaten'!$B81="","",INDEX(Daten!$C$2229:$J$2328,76,$C$4))</f>
        <v/>
      </c>
      <c r="N82" s="25">
        <f>IF(NOT(ISNUMBER(M82)),"",INDEX(Noten,MAX(1,MIN(COUNT(NGrenze),COUNT(NGrenze)+1-COUNTIF(NGrenze,"&lt;="&amp;M82))))&amp;" – "&amp;INDEX(NText,MAX(1,MIN(COUNT(NGrenze),COUNT(NGrenze)+1-COUNTIF(NGrenze,"&lt;="&amp;M82)))))</f>
        <v/>
      </c>
      <c r="O82" s="99">
        <f>IF($A82="","",IF($G82=0,"keine Bewertung",IF($G82&lt;SchwelleDB,"wenig Datenbasis","")))&amp;IF(AND($A82&lt;&gt;"",'Stammdaten'!$G81&lt;&gt;"aktiv")," · "&amp;'Stammdaten'!$G81,"")</f>
        <v/>
      </c>
    </row>
    <row r="83" ht="22" customHeight="1">
      <c r="A83" s="19">
        <f>IF('Stammdaten'!$B82="","",77)</f>
        <v/>
      </c>
      <c r="B83" s="53">
        <f>IF('Stammdaten'!$B82="","",'Stammdaten'!$B82)</f>
        <v/>
      </c>
      <c r="C83" s="97">
        <f>IF('Stammdaten'!$B82="","",'Stammdaten'!$C82)</f>
        <v/>
      </c>
      <c r="D83" s="97">
        <f>IF('Stammdaten'!$B82="","",'Stammdaten'!$D82)</f>
        <v/>
      </c>
      <c r="E83" s="98">
        <f>IF('Stammdaten'!$B82="","",'Stammdaten'!$E82)</f>
        <v/>
      </c>
      <c r="F83" s="21">
        <f>IF('Stammdaten'!$B82="","",'Stammdaten'!$H82)</f>
        <v/>
      </c>
      <c r="G83" s="23">
        <f>IF('Stammdaten'!$B82="","",INDEX(Daten!$C$1704:$J$1803,77,$C$4))</f>
        <v/>
      </c>
      <c r="H83" s="24">
        <f>IF('Stammdaten'!$B82="","",INDEX(Daten!$C$2019:$J$2118,77,$C$4))</f>
        <v/>
      </c>
      <c r="I83" s="25">
        <f>IF(NOT(ISNUMBER(H83)),"",INDEX(Noten,MAX(1,MIN(COUNT(NGrenze),COUNT(NGrenze)+1-COUNTIF(NGrenze,"&lt;="&amp;H83))))&amp;" – "&amp;INDEX(NText,MAX(1,MIN(COUNT(NGrenze),COUNT(NGrenze)+1-COUNTIF(NGrenze,"&lt;="&amp;H83)))))</f>
        <v/>
      </c>
      <c r="J83" s="98">
        <f>IF('Stammdaten'!$B82="","",INDEX(Daten!$C$1914:$J$2013,77,$C$4))</f>
        <v/>
      </c>
      <c r="K83" s="24">
        <f>IF('Stammdaten'!$B82="","",INDEX(Daten!$C$2124:$J$2223,77,$C$4))</f>
        <v/>
      </c>
      <c r="L83" s="25">
        <f>IF(NOT(ISNUMBER(K83)),"",INDEX(Noten,MAX(1,MIN(COUNT(NGrenze),COUNT(NGrenze)+1-COUNTIF(NGrenze,"&lt;="&amp;K83))))&amp;" – "&amp;INDEX(NText,MAX(1,MIN(COUNT(NGrenze),COUNT(NGrenze)+1-COUNTIF(NGrenze,"&lt;="&amp;K83)))))</f>
        <v/>
      </c>
      <c r="M83" s="24">
        <f>IF('Stammdaten'!$B82="","",INDEX(Daten!$C$2229:$J$2328,77,$C$4))</f>
        <v/>
      </c>
      <c r="N83" s="25">
        <f>IF(NOT(ISNUMBER(M83)),"",INDEX(Noten,MAX(1,MIN(COUNT(NGrenze),COUNT(NGrenze)+1-COUNTIF(NGrenze,"&lt;="&amp;M83))))&amp;" – "&amp;INDEX(NText,MAX(1,MIN(COUNT(NGrenze),COUNT(NGrenze)+1-COUNTIF(NGrenze,"&lt;="&amp;M83)))))</f>
        <v/>
      </c>
      <c r="O83" s="99">
        <f>IF($A83="","",IF($G83=0,"keine Bewertung",IF($G83&lt;SchwelleDB,"wenig Datenbasis","")))&amp;IF(AND($A83&lt;&gt;"",'Stammdaten'!$G82&lt;&gt;"aktiv")," · "&amp;'Stammdaten'!$G82,"")</f>
        <v/>
      </c>
    </row>
    <row r="84" ht="22" customHeight="1">
      <c r="A84" s="19">
        <f>IF('Stammdaten'!$B83="","",78)</f>
        <v/>
      </c>
      <c r="B84" s="53">
        <f>IF('Stammdaten'!$B83="","",'Stammdaten'!$B83)</f>
        <v/>
      </c>
      <c r="C84" s="97">
        <f>IF('Stammdaten'!$B83="","",'Stammdaten'!$C83)</f>
        <v/>
      </c>
      <c r="D84" s="97">
        <f>IF('Stammdaten'!$B83="","",'Stammdaten'!$D83)</f>
        <v/>
      </c>
      <c r="E84" s="98">
        <f>IF('Stammdaten'!$B83="","",'Stammdaten'!$E83)</f>
        <v/>
      </c>
      <c r="F84" s="21">
        <f>IF('Stammdaten'!$B83="","",'Stammdaten'!$H83)</f>
        <v/>
      </c>
      <c r="G84" s="23">
        <f>IF('Stammdaten'!$B83="","",INDEX(Daten!$C$1704:$J$1803,78,$C$4))</f>
        <v/>
      </c>
      <c r="H84" s="24">
        <f>IF('Stammdaten'!$B83="","",INDEX(Daten!$C$2019:$J$2118,78,$C$4))</f>
        <v/>
      </c>
      <c r="I84" s="25">
        <f>IF(NOT(ISNUMBER(H84)),"",INDEX(Noten,MAX(1,MIN(COUNT(NGrenze),COUNT(NGrenze)+1-COUNTIF(NGrenze,"&lt;="&amp;H84))))&amp;" – "&amp;INDEX(NText,MAX(1,MIN(COUNT(NGrenze),COUNT(NGrenze)+1-COUNTIF(NGrenze,"&lt;="&amp;H84)))))</f>
        <v/>
      </c>
      <c r="J84" s="98">
        <f>IF('Stammdaten'!$B83="","",INDEX(Daten!$C$1914:$J$2013,78,$C$4))</f>
        <v/>
      </c>
      <c r="K84" s="24">
        <f>IF('Stammdaten'!$B83="","",INDEX(Daten!$C$2124:$J$2223,78,$C$4))</f>
        <v/>
      </c>
      <c r="L84" s="25">
        <f>IF(NOT(ISNUMBER(K84)),"",INDEX(Noten,MAX(1,MIN(COUNT(NGrenze),COUNT(NGrenze)+1-COUNTIF(NGrenze,"&lt;="&amp;K84))))&amp;" – "&amp;INDEX(NText,MAX(1,MIN(COUNT(NGrenze),COUNT(NGrenze)+1-COUNTIF(NGrenze,"&lt;="&amp;K84)))))</f>
        <v/>
      </c>
      <c r="M84" s="24">
        <f>IF('Stammdaten'!$B83="","",INDEX(Daten!$C$2229:$J$2328,78,$C$4))</f>
        <v/>
      </c>
      <c r="N84" s="25">
        <f>IF(NOT(ISNUMBER(M84)),"",INDEX(Noten,MAX(1,MIN(COUNT(NGrenze),COUNT(NGrenze)+1-COUNTIF(NGrenze,"&lt;="&amp;M84))))&amp;" – "&amp;INDEX(NText,MAX(1,MIN(COUNT(NGrenze),COUNT(NGrenze)+1-COUNTIF(NGrenze,"&lt;="&amp;M84)))))</f>
        <v/>
      </c>
      <c r="O84" s="99">
        <f>IF($A84="","",IF($G84=0,"keine Bewertung",IF($G84&lt;SchwelleDB,"wenig Datenbasis","")))&amp;IF(AND($A84&lt;&gt;"",'Stammdaten'!$G83&lt;&gt;"aktiv")," · "&amp;'Stammdaten'!$G83,"")</f>
        <v/>
      </c>
    </row>
    <row r="85" ht="22" customHeight="1">
      <c r="A85" s="19">
        <f>IF('Stammdaten'!$B84="","",79)</f>
        <v/>
      </c>
      <c r="B85" s="53">
        <f>IF('Stammdaten'!$B84="","",'Stammdaten'!$B84)</f>
        <v/>
      </c>
      <c r="C85" s="97">
        <f>IF('Stammdaten'!$B84="","",'Stammdaten'!$C84)</f>
        <v/>
      </c>
      <c r="D85" s="97">
        <f>IF('Stammdaten'!$B84="","",'Stammdaten'!$D84)</f>
        <v/>
      </c>
      <c r="E85" s="98">
        <f>IF('Stammdaten'!$B84="","",'Stammdaten'!$E84)</f>
        <v/>
      </c>
      <c r="F85" s="21">
        <f>IF('Stammdaten'!$B84="","",'Stammdaten'!$H84)</f>
        <v/>
      </c>
      <c r="G85" s="23">
        <f>IF('Stammdaten'!$B84="","",INDEX(Daten!$C$1704:$J$1803,79,$C$4))</f>
        <v/>
      </c>
      <c r="H85" s="24">
        <f>IF('Stammdaten'!$B84="","",INDEX(Daten!$C$2019:$J$2118,79,$C$4))</f>
        <v/>
      </c>
      <c r="I85" s="25">
        <f>IF(NOT(ISNUMBER(H85)),"",INDEX(Noten,MAX(1,MIN(COUNT(NGrenze),COUNT(NGrenze)+1-COUNTIF(NGrenze,"&lt;="&amp;H85))))&amp;" – "&amp;INDEX(NText,MAX(1,MIN(COUNT(NGrenze),COUNT(NGrenze)+1-COUNTIF(NGrenze,"&lt;="&amp;H85)))))</f>
        <v/>
      </c>
      <c r="J85" s="98">
        <f>IF('Stammdaten'!$B84="","",INDEX(Daten!$C$1914:$J$2013,79,$C$4))</f>
        <v/>
      </c>
      <c r="K85" s="24">
        <f>IF('Stammdaten'!$B84="","",INDEX(Daten!$C$2124:$J$2223,79,$C$4))</f>
        <v/>
      </c>
      <c r="L85" s="25">
        <f>IF(NOT(ISNUMBER(K85)),"",INDEX(Noten,MAX(1,MIN(COUNT(NGrenze),COUNT(NGrenze)+1-COUNTIF(NGrenze,"&lt;="&amp;K85))))&amp;" – "&amp;INDEX(NText,MAX(1,MIN(COUNT(NGrenze),COUNT(NGrenze)+1-COUNTIF(NGrenze,"&lt;="&amp;K85)))))</f>
        <v/>
      </c>
      <c r="M85" s="24">
        <f>IF('Stammdaten'!$B84="","",INDEX(Daten!$C$2229:$J$2328,79,$C$4))</f>
        <v/>
      </c>
      <c r="N85" s="25">
        <f>IF(NOT(ISNUMBER(M85)),"",INDEX(Noten,MAX(1,MIN(COUNT(NGrenze),COUNT(NGrenze)+1-COUNTIF(NGrenze,"&lt;="&amp;M85))))&amp;" – "&amp;INDEX(NText,MAX(1,MIN(COUNT(NGrenze),COUNT(NGrenze)+1-COUNTIF(NGrenze,"&lt;="&amp;M85)))))</f>
        <v/>
      </c>
      <c r="O85" s="99">
        <f>IF($A85="","",IF($G85=0,"keine Bewertung",IF($G85&lt;SchwelleDB,"wenig Datenbasis","")))&amp;IF(AND($A85&lt;&gt;"",'Stammdaten'!$G84&lt;&gt;"aktiv")," · "&amp;'Stammdaten'!$G84,"")</f>
        <v/>
      </c>
    </row>
    <row r="86" ht="22" customHeight="1">
      <c r="A86" s="19">
        <f>IF('Stammdaten'!$B85="","",80)</f>
        <v/>
      </c>
      <c r="B86" s="53">
        <f>IF('Stammdaten'!$B85="","",'Stammdaten'!$B85)</f>
        <v/>
      </c>
      <c r="C86" s="97">
        <f>IF('Stammdaten'!$B85="","",'Stammdaten'!$C85)</f>
        <v/>
      </c>
      <c r="D86" s="97">
        <f>IF('Stammdaten'!$B85="","",'Stammdaten'!$D85)</f>
        <v/>
      </c>
      <c r="E86" s="98">
        <f>IF('Stammdaten'!$B85="","",'Stammdaten'!$E85)</f>
        <v/>
      </c>
      <c r="F86" s="21">
        <f>IF('Stammdaten'!$B85="","",'Stammdaten'!$H85)</f>
        <v/>
      </c>
      <c r="G86" s="23">
        <f>IF('Stammdaten'!$B85="","",INDEX(Daten!$C$1704:$J$1803,80,$C$4))</f>
        <v/>
      </c>
      <c r="H86" s="24">
        <f>IF('Stammdaten'!$B85="","",INDEX(Daten!$C$2019:$J$2118,80,$C$4))</f>
        <v/>
      </c>
      <c r="I86" s="25">
        <f>IF(NOT(ISNUMBER(H86)),"",INDEX(Noten,MAX(1,MIN(COUNT(NGrenze),COUNT(NGrenze)+1-COUNTIF(NGrenze,"&lt;="&amp;H86))))&amp;" – "&amp;INDEX(NText,MAX(1,MIN(COUNT(NGrenze),COUNT(NGrenze)+1-COUNTIF(NGrenze,"&lt;="&amp;H86)))))</f>
        <v/>
      </c>
      <c r="J86" s="98">
        <f>IF('Stammdaten'!$B85="","",INDEX(Daten!$C$1914:$J$2013,80,$C$4))</f>
        <v/>
      </c>
      <c r="K86" s="24">
        <f>IF('Stammdaten'!$B85="","",INDEX(Daten!$C$2124:$J$2223,80,$C$4))</f>
        <v/>
      </c>
      <c r="L86" s="25">
        <f>IF(NOT(ISNUMBER(K86)),"",INDEX(Noten,MAX(1,MIN(COUNT(NGrenze),COUNT(NGrenze)+1-COUNTIF(NGrenze,"&lt;="&amp;K86))))&amp;" – "&amp;INDEX(NText,MAX(1,MIN(COUNT(NGrenze),COUNT(NGrenze)+1-COUNTIF(NGrenze,"&lt;="&amp;K86)))))</f>
        <v/>
      </c>
      <c r="M86" s="24">
        <f>IF('Stammdaten'!$B85="","",INDEX(Daten!$C$2229:$J$2328,80,$C$4))</f>
        <v/>
      </c>
      <c r="N86" s="25">
        <f>IF(NOT(ISNUMBER(M86)),"",INDEX(Noten,MAX(1,MIN(COUNT(NGrenze),COUNT(NGrenze)+1-COUNTIF(NGrenze,"&lt;="&amp;M86))))&amp;" – "&amp;INDEX(NText,MAX(1,MIN(COUNT(NGrenze),COUNT(NGrenze)+1-COUNTIF(NGrenze,"&lt;="&amp;M86)))))</f>
        <v/>
      </c>
      <c r="O86" s="99">
        <f>IF($A86="","",IF($G86=0,"keine Bewertung",IF($G86&lt;SchwelleDB,"wenig Datenbasis","")))&amp;IF(AND($A86&lt;&gt;"",'Stammdaten'!$G85&lt;&gt;"aktiv")," · "&amp;'Stammdaten'!$G85,"")</f>
        <v/>
      </c>
    </row>
    <row r="87" ht="22" customHeight="1">
      <c r="A87" s="19">
        <f>IF('Stammdaten'!$B86="","",81)</f>
        <v/>
      </c>
      <c r="B87" s="53">
        <f>IF('Stammdaten'!$B86="","",'Stammdaten'!$B86)</f>
        <v/>
      </c>
      <c r="C87" s="97">
        <f>IF('Stammdaten'!$B86="","",'Stammdaten'!$C86)</f>
        <v/>
      </c>
      <c r="D87" s="97">
        <f>IF('Stammdaten'!$B86="","",'Stammdaten'!$D86)</f>
        <v/>
      </c>
      <c r="E87" s="98">
        <f>IF('Stammdaten'!$B86="","",'Stammdaten'!$E86)</f>
        <v/>
      </c>
      <c r="F87" s="21">
        <f>IF('Stammdaten'!$B86="","",'Stammdaten'!$H86)</f>
        <v/>
      </c>
      <c r="G87" s="23">
        <f>IF('Stammdaten'!$B86="","",INDEX(Daten!$C$1704:$J$1803,81,$C$4))</f>
        <v/>
      </c>
      <c r="H87" s="24">
        <f>IF('Stammdaten'!$B86="","",INDEX(Daten!$C$2019:$J$2118,81,$C$4))</f>
        <v/>
      </c>
      <c r="I87" s="25">
        <f>IF(NOT(ISNUMBER(H87)),"",INDEX(Noten,MAX(1,MIN(COUNT(NGrenze),COUNT(NGrenze)+1-COUNTIF(NGrenze,"&lt;="&amp;H87))))&amp;" – "&amp;INDEX(NText,MAX(1,MIN(COUNT(NGrenze),COUNT(NGrenze)+1-COUNTIF(NGrenze,"&lt;="&amp;H87)))))</f>
        <v/>
      </c>
      <c r="J87" s="98">
        <f>IF('Stammdaten'!$B86="","",INDEX(Daten!$C$1914:$J$2013,81,$C$4))</f>
        <v/>
      </c>
      <c r="K87" s="24">
        <f>IF('Stammdaten'!$B86="","",INDEX(Daten!$C$2124:$J$2223,81,$C$4))</f>
        <v/>
      </c>
      <c r="L87" s="25">
        <f>IF(NOT(ISNUMBER(K87)),"",INDEX(Noten,MAX(1,MIN(COUNT(NGrenze),COUNT(NGrenze)+1-COUNTIF(NGrenze,"&lt;="&amp;K87))))&amp;" – "&amp;INDEX(NText,MAX(1,MIN(COUNT(NGrenze),COUNT(NGrenze)+1-COUNTIF(NGrenze,"&lt;="&amp;K87)))))</f>
        <v/>
      </c>
      <c r="M87" s="24">
        <f>IF('Stammdaten'!$B86="","",INDEX(Daten!$C$2229:$J$2328,81,$C$4))</f>
        <v/>
      </c>
      <c r="N87" s="25">
        <f>IF(NOT(ISNUMBER(M87)),"",INDEX(Noten,MAX(1,MIN(COUNT(NGrenze),COUNT(NGrenze)+1-COUNTIF(NGrenze,"&lt;="&amp;M87))))&amp;" – "&amp;INDEX(NText,MAX(1,MIN(COUNT(NGrenze),COUNT(NGrenze)+1-COUNTIF(NGrenze,"&lt;="&amp;M87)))))</f>
        <v/>
      </c>
      <c r="O87" s="99">
        <f>IF($A87="","",IF($G87=0,"keine Bewertung",IF($G87&lt;SchwelleDB,"wenig Datenbasis","")))&amp;IF(AND($A87&lt;&gt;"",'Stammdaten'!$G86&lt;&gt;"aktiv")," · "&amp;'Stammdaten'!$G86,"")</f>
        <v/>
      </c>
    </row>
    <row r="88" ht="22" customHeight="1">
      <c r="A88" s="19">
        <f>IF('Stammdaten'!$B87="","",82)</f>
        <v/>
      </c>
      <c r="B88" s="53">
        <f>IF('Stammdaten'!$B87="","",'Stammdaten'!$B87)</f>
        <v/>
      </c>
      <c r="C88" s="97">
        <f>IF('Stammdaten'!$B87="","",'Stammdaten'!$C87)</f>
        <v/>
      </c>
      <c r="D88" s="97">
        <f>IF('Stammdaten'!$B87="","",'Stammdaten'!$D87)</f>
        <v/>
      </c>
      <c r="E88" s="98">
        <f>IF('Stammdaten'!$B87="","",'Stammdaten'!$E87)</f>
        <v/>
      </c>
      <c r="F88" s="21">
        <f>IF('Stammdaten'!$B87="","",'Stammdaten'!$H87)</f>
        <v/>
      </c>
      <c r="G88" s="23">
        <f>IF('Stammdaten'!$B87="","",INDEX(Daten!$C$1704:$J$1803,82,$C$4))</f>
        <v/>
      </c>
      <c r="H88" s="24">
        <f>IF('Stammdaten'!$B87="","",INDEX(Daten!$C$2019:$J$2118,82,$C$4))</f>
        <v/>
      </c>
      <c r="I88" s="25">
        <f>IF(NOT(ISNUMBER(H88)),"",INDEX(Noten,MAX(1,MIN(COUNT(NGrenze),COUNT(NGrenze)+1-COUNTIF(NGrenze,"&lt;="&amp;H88))))&amp;" – "&amp;INDEX(NText,MAX(1,MIN(COUNT(NGrenze),COUNT(NGrenze)+1-COUNTIF(NGrenze,"&lt;="&amp;H88)))))</f>
        <v/>
      </c>
      <c r="J88" s="98">
        <f>IF('Stammdaten'!$B87="","",INDEX(Daten!$C$1914:$J$2013,82,$C$4))</f>
        <v/>
      </c>
      <c r="K88" s="24">
        <f>IF('Stammdaten'!$B87="","",INDEX(Daten!$C$2124:$J$2223,82,$C$4))</f>
        <v/>
      </c>
      <c r="L88" s="25">
        <f>IF(NOT(ISNUMBER(K88)),"",INDEX(Noten,MAX(1,MIN(COUNT(NGrenze),COUNT(NGrenze)+1-COUNTIF(NGrenze,"&lt;="&amp;K88))))&amp;" – "&amp;INDEX(NText,MAX(1,MIN(COUNT(NGrenze),COUNT(NGrenze)+1-COUNTIF(NGrenze,"&lt;="&amp;K88)))))</f>
        <v/>
      </c>
      <c r="M88" s="24">
        <f>IF('Stammdaten'!$B87="","",INDEX(Daten!$C$2229:$J$2328,82,$C$4))</f>
        <v/>
      </c>
      <c r="N88" s="25">
        <f>IF(NOT(ISNUMBER(M88)),"",INDEX(Noten,MAX(1,MIN(COUNT(NGrenze),COUNT(NGrenze)+1-COUNTIF(NGrenze,"&lt;="&amp;M88))))&amp;" – "&amp;INDEX(NText,MAX(1,MIN(COUNT(NGrenze),COUNT(NGrenze)+1-COUNTIF(NGrenze,"&lt;="&amp;M88)))))</f>
        <v/>
      </c>
      <c r="O88" s="99">
        <f>IF($A88="","",IF($G88=0,"keine Bewertung",IF($G88&lt;SchwelleDB,"wenig Datenbasis","")))&amp;IF(AND($A88&lt;&gt;"",'Stammdaten'!$G87&lt;&gt;"aktiv")," · "&amp;'Stammdaten'!$G87,"")</f>
        <v/>
      </c>
    </row>
    <row r="89" ht="22" customHeight="1">
      <c r="A89" s="19">
        <f>IF('Stammdaten'!$B88="","",83)</f>
        <v/>
      </c>
      <c r="B89" s="53">
        <f>IF('Stammdaten'!$B88="","",'Stammdaten'!$B88)</f>
        <v/>
      </c>
      <c r="C89" s="97">
        <f>IF('Stammdaten'!$B88="","",'Stammdaten'!$C88)</f>
        <v/>
      </c>
      <c r="D89" s="97">
        <f>IF('Stammdaten'!$B88="","",'Stammdaten'!$D88)</f>
        <v/>
      </c>
      <c r="E89" s="98">
        <f>IF('Stammdaten'!$B88="","",'Stammdaten'!$E88)</f>
        <v/>
      </c>
      <c r="F89" s="21">
        <f>IF('Stammdaten'!$B88="","",'Stammdaten'!$H88)</f>
        <v/>
      </c>
      <c r="G89" s="23">
        <f>IF('Stammdaten'!$B88="","",INDEX(Daten!$C$1704:$J$1803,83,$C$4))</f>
        <v/>
      </c>
      <c r="H89" s="24">
        <f>IF('Stammdaten'!$B88="","",INDEX(Daten!$C$2019:$J$2118,83,$C$4))</f>
        <v/>
      </c>
      <c r="I89" s="25">
        <f>IF(NOT(ISNUMBER(H89)),"",INDEX(Noten,MAX(1,MIN(COUNT(NGrenze),COUNT(NGrenze)+1-COUNTIF(NGrenze,"&lt;="&amp;H89))))&amp;" – "&amp;INDEX(NText,MAX(1,MIN(COUNT(NGrenze),COUNT(NGrenze)+1-COUNTIF(NGrenze,"&lt;="&amp;H89)))))</f>
        <v/>
      </c>
      <c r="J89" s="98">
        <f>IF('Stammdaten'!$B88="","",INDEX(Daten!$C$1914:$J$2013,83,$C$4))</f>
        <v/>
      </c>
      <c r="K89" s="24">
        <f>IF('Stammdaten'!$B88="","",INDEX(Daten!$C$2124:$J$2223,83,$C$4))</f>
        <v/>
      </c>
      <c r="L89" s="25">
        <f>IF(NOT(ISNUMBER(K89)),"",INDEX(Noten,MAX(1,MIN(COUNT(NGrenze),COUNT(NGrenze)+1-COUNTIF(NGrenze,"&lt;="&amp;K89))))&amp;" – "&amp;INDEX(NText,MAX(1,MIN(COUNT(NGrenze),COUNT(NGrenze)+1-COUNTIF(NGrenze,"&lt;="&amp;K89)))))</f>
        <v/>
      </c>
      <c r="M89" s="24">
        <f>IF('Stammdaten'!$B88="","",INDEX(Daten!$C$2229:$J$2328,83,$C$4))</f>
        <v/>
      </c>
      <c r="N89" s="25">
        <f>IF(NOT(ISNUMBER(M89)),"",INDEX(Noten,MAX(1,MIN(COUNT(NGrenze),COUNT(NGrenze)+1-COUNTIF(NGrenze,"&lt;="&amp;M89))))&amp;" – "&amp;INDEX(NText,MAX(1,MIN(COUNT(NGrenze),COUNT(NGrenze)+1-COUNTIF(NGrenze,"&lt;="&amp;M89)))))</f>
        <v/>
      </c>
      <c r="O89" s="99">
        <f>IF($A89="","",IF($G89=0,"keine Bewertung",IF($G89&lt;SchwelleDB,"wenig Datenbasis","")))&amp;IF(AND($A89&lt;&gt;"",'Stammdaten'!$G88&lt;&gt;"aktiv")," · "&amp;'Stammdaten'!$G88,"")</f>
        <v/>
      </c>
    </row>
    <row r="90" ht="22" customHeight="1">
      <c r="A90" s="19">
        <f>IF('Stammdaten'!$B89="","",84)</f>
        <v/>
      </c>
      <c r="B90" s="53">
        <f>IF('Stammdaten'!$B89="","",'Stammdaten'!$B89)</f>
        <v/>
      </c>
      <c r="C90" s="97">
        <f>IF('Stammdaten'!$B89="","",'Stammdaten'!$C89)</f>
        <v/>
      </c>
      <c r="D90" s="97">
        <f>IF('Stammdaten'!$B89="","",'Stammdaten'!$D89)</f>
        <v/>
      </c>
      <c r="E90" s="98">
        <f>IF('Stammdaten'!$B89="","",'Stammdaten'!$E89)</f>
        <v/>
      </c>
      <c r="F90" s="21">
        <f>IF('Stammdaten'!$B89="","",'Stammdaten'!$H89)</f>
        <v/>
      </c>
      <c r="G90" s="23">
        <f>IF('Stammdaten'!$B89="","",INDEX(Daten!$C$1704:$J$1803,84,$C$4))</f>
        <v/>
      </c>
      <c r="H90" s="24">
        <f>IF('Stammdaten'!$B89="","",INDEX(Daten!$C$2019:$J$2118,84,$C$4))</f>
        <v/>
      </c>
      <c r="I90" s="25">
        <f>IF(NOT(ISNUMBER(H90)),"",INDEX(Noten,MAX(1,MIN(COUNT(NGrenze),COUNT(NGrenze)+1-COUNTIF(NGrenze,"&lt;="&amp;H90))))&amp;" – "&amp;INDEX(NText,MAX(1,MIN(COUNT(NGrenze),COUNT(NGrenze)+1-COUNTIF(NGrenze,"&lt;="&amp;H90)))))</f>
        <v/>
      </c>
      <c r="J90" s="98">
        <f>IF('Stammdaten'!$B89="","",INDEX(Daten!$C$1914:$J$2013,84,$C$4))</f>
        <v/>
      </c>
      <c r="K90" s="24">
        <f>IF('Stammdaten'!$B89="","",INDEX(Daten!$C$2124:$J$2223,84,$C$4))</f>
        <v/>
      </c>
      <c r="L90" s="25">
        <f>IF(NOT(ISNUMBER(K90)),"",INDEX(Noten,MAX(1,MIN(COUNT(NGrenze),COUNT(NGrenze)+1-COUNTIF(NGrenze,"&lt;="&amp;K90))))&amp;" – "&amp;INDEX(NText,MAX(1,MIN(COUNT(NGrenze),COUNT(NGrenze)+1-COUNTIF(NGrenze,"&lt;="&amp;K90)))))</f>
        <v/>
      </c>
      <c r="M90" s="24">
        <f>IF('Stammdaten'!$B89="","",INDEX(Daten!$C$2229:$J$2328,84,$C$4))</f>
        <v/>
      </c>
      <c r="N90" s="25">
        <f>IF(NOT(ISNUMBER(M90)),"",INDEX(Noten,MAX(1,MIN(COUNT(NGrenze),COUNT(NGrenze)+1-COUNTIF(NGrenze,"&lt;="&amp;M90))))&amp;" – "&amp;INDEX(NText,MAX(1,MIN(COUNT(NGrenze),COUNT(NGrenze)+1-COUNTIF(NGrenze,"&lt;="&amp;M90)))))</f>
        <v/>
      </c>
      <c r="O90" s="99">
        <f>IF($A90="","",IF($G90=0,"keine Bewertung",IF($G90&lt;SchwelleDB,"wenig Datenbasis","")))&amp;IF(AND($A90&lt;&gt;"",'Stammdaten'!$G89&lt;&gt;"aktiv")," · "&amp;'Stammdaten'!$G89,"")</f>
        <v/>
      </c>
    </row>
    <row r="91" ht="22" customHeight="1">
      <c r="A91" s="19">
        <f>IF('Stammdaten'!$B90="","",85)</f>
        <v/>
      </c>
      <c r="B91" s="53">
        <f>IF('Stammdaten'!$B90="","",'Stammdaten'!$B90)</f>
        <v/>
      </c>
      <c r="C91" s="97">
        <f>IF('Stammdaten'!$B90="","",'Stammdaten'!$C90)</f>
        <v/>
      </c>
      <c r="D91" s="97">
        <f>IF('Stammdaten'!$B90="","",'Stammdaten'!$D90)</f>
        <v/>
      </c>
      <c r="E91" s="98">
        <f>IF('Stammdaten'!$B90="","",'Stammdaten'!$E90)</f>
        <v/>
      </c>
      <c r="F91" s="21">
        <f>IF('Stammdaten'!$B90="","",'Stammdaten'!$H90)</f>
        <v/>
      </c>
      <c r="G91" s="23">
        <f>IF('Stammdaten'!$B90="","",INDEX(Daten!$C$1704:$J$1803,85,$C$4))</f>
        <v/>
      </c>
      <c r="H91" s="24">
        <f>IF('Stammdaten'!$B90="","",INDEX(Daten!$C$2019:$J$2118,85,$C$4))</f>
        <v/>
      </c>
      <c r="I91" s="25">
        <f>IF(NOT(ISNUMBER(H91)),"",INDEX(Noten,MAX(1,MIN(COUNT(NGrenze),COUNT(NGrenze)+1-COUNTIF(NGrenze,"&lt;="&amp;H91))))&amp;" – "&amp;INDEX(NText,MAX(1,MIN(COUNT(NGrenze),COUNT(NGrenze)+1-COUNTIF(NGrenze,"&lt;="&amp;H91)))))</f>
        <v/>
      </c>
      <c r="J91" s="98">
        <f>IF('Stammdaten'!$B90="","",INDEX(Daten!$C$1914:$J$2013,85,$C$4))</f>
        <v/>
      </c>
      <c r="K91" s="24">
        <f>IF('Stammdaten'!$B90="","",INDEX(Daten!$C$2124:$J$2223,85,$C$4))</f>
        <v/>
      </c>
      <c r="L91" s="25">
        <f>IF(NOT(ISNUMBER(K91)),"",INDEX(Noten,MAX(1,MIN(COUNT(NGrenze),COUNT(NGrenze)+1-COUNTIF(NGrenze,"&lt;="&amp;K91))))&amp;" – "&amp;INDEX(NText,MAX(1,MIN(COUNT(NGrenze),COUNT(NGrenze)+1-COUNTIF(NGrenze,"&lt;="&amp;K91)))))</f>
        <v/>
      </c>
      <c r="M91" s="24">
        <f>IF('Stammdaten'!$B90="","",INDEX(Daten!$C$2229:$J$2328,85,$C$4))</f>
        <v/>
      </c>
      <c r="N91" s="25">
        <f>IF(NOT(ISNUMBER(M91)),"",INDEX(Noten,MAX(1,MIN(COUNT(NGrenze),COUNT(NGrenze)+1-COUNTIF(NGrenze,"&lt;="&amp;M91))))&amp;" – "&amp;INDEX(NText,MAX(1,MIN(COUNT(NGrenze),COUNT(NGrenze)+1-COUNTIF(NGrenze,"&lt;="&amp;M91)))))</f>
        <v/>
      </c>
      <c r="O91" s="99">
        <f>IF($A91="","",IF($G91=0,"keine Bewertung",IF($G91&lt;SchwelleDB,"wenig Datenbasis","")))&amp;IF(AND($A91&lt;&gt;"",'Stammdaten'!$G90&lt;&gt;"aktiv")," · "&amp;'Stammdaten'!$G90,"")</f>
        <v/>
      </c>
    </row>
    <row r="92" ht="22" customHeight="1">
      <c r="A92" s="19">
        <f>IF('Stammdaten'!$B91="","",86)</f>
        <v/>
      </c>
      <c r="B92" s="53">
        <f>IF('Stammdaten'!$B91="","",'Stammdaten'!$B91)</f>
        <v/>
      </c>
      <c r="C92" s="97">
        <f>IF('Stammdaten'!$B91="","",'Stammdaten'!$C91)</f>
        <v/>
      </c>
      <c r="D92" s="97">
        <f>IF('Stammdaten'!$B91="","",'Stammdaten'!$D91)</f>
        <v/>
      </c>
      <c r="E92" s="98">
        <f>IF('Stammdaten'!$B91="","",'Stammdaten'!$E91)</f>
        <v/>
      </c>
      <c r="F92" s="21">
        <f>IF('Stammdaten'!$B91="","",'Stammdaten'!$H91)</f>
        <v/>
      </c>
      <c r="G92" s="23">
        <f>IF('Stammdaten'!$B91="","",INDEX(Daten!$C$1704:$J$1803,86,$C$4))</f>
        <v/>
      </c>
      <c r="H92" s="24">
        <f>IF('Stammdaten'!$B91="","",INDEX(Daten!$C$2019:$J$2118,86,$C$4))</f>
        <v/>
      </c>
      <c r="I92" s="25">
        <f>IF(NOT(ISNUMBER(H92)),"",INDEX(Noten,MAX(1,MIN(COUNT(NGrenze),COUNT(NGrenze)+1-COUNTIF(NGrenze,"&lt;="&amp;H92))))&amp;" – "&amp;INDEX(NText,MAX(1,MIN(COUNT(NGrenze),COUNT(NGrenze)+1-COUNTIF(NGrenze,"&lt;="&amp;H92)))))</f>
        <v/>
      </c>
      <c r="J92" s="98">
        <f>IF('Stammdaten'!$B91="","",INDEX(Daten!$C$1914:$J$2013,86,$C$4))</f>
        <v/>
      </c>
      <c r="K92" s="24">
        <f>IF('Stammdaten'!$B91="","",INDEX(Daten!$C$2124:$J$2223,86,$C$4))</f>
        <v/>
      </c>
      <c r="L92" s="25">
        <f>IF(NOT(ISNUMBER(K92)),"",INDEX(Noten,MAX(1,MIN(COUNT(NGrenze),COUNT(NGrenze)+1-COUNTIF(NGrenze,"&lt;="&amp;K92))))&amp;" – "&amp;INDEX(NText,MAX(1,MIN(COUNT(NGrenze),COUNT(NGrenze)+1-COUNTIF(NGrenze,"&lt;="&amp;K92)))))</f>
        <v/>
      </c>
      <c r="M92" s="24">
        <f>IF('Stammdaten'!$B91="","",INDEX(Daten!$C$2229:$J$2328,86,$C$4))</f>
        <v/>
      </c>
      <c r="N92" s="25">
        <f>IF(NOT(ISNUMBER(M92)),"",INDEX(Noten,MAX(1,MIN(COUNT(NGrenze),COUNT(NGrenze)+1-COUNTIF(NGrenze,"&lt;="&amp;M92))))&amp;" – "&amp;INDEX(NText,MAX(1,MIN(COUNT(NGrenze),COUNT(NGrenze)+1-COUNTIF(NGrenze,"&lt;="&amp;M92)))))</f>
        <v/>
      </c>
      <c r="O92" s="99">
        <f>IF($A92="","",IF($G92=0,"keine Bewertung",IF($G92&lt;SchwelleDB,"wenig Datenbasis","")))&amp;IF(AND($A92&lt;&gt;"",'Stammdaten'!$G91&lt;&gt;"aktiv")," · "&amp;'Stammdaten'!$G91,"")</f>
        <v/>
      </c>
    </row>
    <row r="93" ht="22" customHeight="1">
      <c r="A93" s="19">
        <f>IF('Stammdaten'!$B92="","",87)</f>
        <v/>
      </c>
      <c r="B93" s="53">
        <f>IF('Stammdaten'!$B92="","",'Stammdaten'!$B92)</f>
        <v/>
      </c>
      <c r="C93" s="97">
        <f>IF('Stammdaten'!$B92="","",'Stammdaten'!$C92)</f>
        <v/>
      </c>
      <c r="D93" s="97">
        <f>IF('Stammdaten'!$B92="","",'Stammdaten'!$D92)</f>
        <v/>
      </c>
      <c r="E93" s="98">
        <f>IF('Stammdaten'!$B92="","",'Stammdaten'!$E92)</f>
        <v/>
      </c>
      <c r="F93" s="21">
        <f>IF('Stammdaten'!$B92="","",'Stammdaten'!$H92)</f>
        <v/>
      </c>
      <c r="G93" s="23">
        <f>IF('Stammdaten'!$B92="","",INDEX(Daten!$C$1704:$J$1803,87,$C$4))</f>
        <v/>
      </c>
      <c r="H93" s="24">
        <f>IF('Stammdaten'!$B92="","",INDEX(Daten!$C$2019:$J$2118,87,$C$4))</f>
        <v/>
      </c>
      <c r="I93" s="25">
        <f>IF(NOT(ISNUMBER(H93)),"",INDEX(Noten,MAX(1,MIN(COUNT(NGrenze),COUNT(NGrenze)+1-COUNTIF(NGrenze,"&lt;="&amp;H93))))&amp;" – "&amp;INDEX(NText,MAX(1,MIN(COUNT(NGrenze),COUNT(NGrenze)+1-COUNTIF(NGrenze,"&lt;="&amp;H93)))))</f>
        <v/>
      </c>
      <c r="J93" s="98">
        <f>IF('Stammdaten'!$B92="","",INDEX(Daten!$C$1914:$J$2013,87,$C$4))</f>
        <v/>
      </c>
      <c r="K93" s="24">
        <f>IF('Stammdaten'!$B92="","",INDEX(Daten!$C$2124:$J$2223,87,$C$4))</f>
        <v/>
      </c>
      <c r="L93" s="25">
        <f>IF(NOT(ISNUMBER(K93)),"",INDEX(Noten,MAX(1,MIN(COUNT(NGrenze),COUNT(NGrenze)+1-COUNTIF(NGrenze,"&lt;="&amp;K93))))&amp;" – "&amp;INDEX(NText,MAX(1,MIN(COUNT(NGrenze),COUNT(NGrenze)+1-COUNTIF(NGrenze,"&lt;="&amp;K93)))))</f>
        <v/>
      </c>
      <c r="M93" s="24">
        <f>IF('Stammdaten'!$B92="","",INDEX(Daten!$C$2229:$J$2328,87,$C$4))</f>
        <v/>
      </c>
      <c r="N93" s="25">
        <f>IF(NOT(ISNUMBER(M93)),"",INDEX(Noten,MAX(1,MIN(COUNT(NGrenze),COUNT(NGrenze)+1-COUNTIF(NGrenze,"&lt;="&amp;M93))))&amp;" – "&amp;INDEX(NText,MAX(1,MIN(COUNT(NGrenze),COUNT(NGrenze)+1-COUNTIF(NGrenze,"&lt;="&amp;M93)))))</f>
        <v/>
      </c>
      <c r="O93" s="99">
        <f>IF($A93="","",IF($G93=0,"keine Bewertung",IF($G93&lt;SchwelleDB,"wenig Datenbasis","")))&amp;IF(AND($A93&lt;&gt;"",'Stammdaten'!$G92&lt;&gt;"aktiv")," · "&amp;'Stammdaten'!$G92,"")</f>
        <v/>
      </c>
    </row>
    <row r="94" ht="22" customHeight="1">
      <c r="A94" s="19">
        <f>IF('Stammdaten'!$B93="","",88)</f>
        <v/>
      </c>
      <c r="B94" s="53">
        <f>IF('Stammdaten'!$B93="","",'Stammdaten'!$B93)</f>
        <v/>
      </c>
      <c r="C94" s="97">
        <f>IF('Stammdaten'!$B93="","",'Stammdaten'!$C93)</f>
        <v/>
      </c>
      <c r="D94" s="97">
        <f>IF('Stammdaten'!$B93="","",'Stammdaten'!$D93)</f>
        <v/>
      </c>
      <c r="E94" s="98">
        <f>IF('Stammdaten'!$B93="","",'Stammdaten'!$E93)</f>
        <v/>
      </c>
      <c r="F94" s="21">
        <f>IF('Stammdaten'!$B93="","",'Stammdaten'!$H93)</f>
        <v/>
      </c>
      <c r="G94" s="23">
        <f>IF('Stammdaten'!$B93="","",INDEX(Daten!$C$1704:$J$1803,88,$C$4))</f>
        <v/>
      </c>
      <c r="H94" s="24">
        <f>IF('Stammdaten'!$B93="","",INDEX(Daten!$C$2019:$J$2118,88,$C$4))</f>
        <v/>
      </c>
      <c r="I94" s="25">
        <f>IF(NOT(ISNUMBER(H94)),"",INDEX(Noten,MAX(1,MIN(COUNT(NGrenze),COUNT(NGrenze)+1-COUNTIF(NGrenze,"&lt;="&amp;H94))))&amp;" – "&amp;INDEX(NText,MAX(1,MIN(COUNT(NGrenze),COUNT(NGrenze)+1-COUNTIF(NGrenze,"&lt;="&amp;H94)))))</f>
        <v/>
      </c>
      <c r="J94" s="98">
        <f>IF('Stammdaten'!$B93="","",INDEX(Daten!$C$1914:$J$2013,88,$C$4))</f>
        <v/>
      </c>
      <c r="K94" s="24">
        <f>IF('Stammdaten'!$B93="","",INDEX(Daten!$C$2124:$J$2223,88,$C$4))</f>
        <v/>
      </c>
      <c r="L94" s="25">
        <f>IF(NOT(ISNUMBER(K94)),"",INDEX(Noten,MAX(1,MIN(COUNT(NGrenze),COUNT(NGrenze)+1-COUNTIF(NGrenze,"&lt;="&amp;K94))))&amp;" – "&amp;INDEX(NText,MAX(1,MIN(COUNT(NGrenze),COUNT(NGrenze)+1-COUNTIF(NGrenze,"&lt;="&amp;K94)))))</f>
        <v/>
      </c>
      <c r="M94" s="24">
        <f>IF('Stammdaten'!$B93="","",INDEX(Daten!$C$2229:$J$2328,88,$C$4))</f>
        <v/>
      </c>
      <c r="N94" s="25">
        <f>IF(NOT(ISNUMBER(M94)),"",INDEX(Noten,MAX(1,MIN(COUNT(NGrenze),COUNT(NGrenze)+1-COUNTIF(NGrenze,"&lt;="&amp;M94))))&amp;" – "&amp;INDEX(NText,MAX(1,MIN(COUNT(NGrenze),COUNT(NGrenze)+1-COUNTIF(NGrenze,"&lt;="&amp;M94)))))</f>
        <v/>
      </c>
      <c r="O94" s="99">
        <f>IF($A94="","",IF($G94=0,"keine Bewertung",IF($G94&lt;SchwelleDB,"wenig Datenbasis","")))&amp;IF(AND($A94&lt;&gt;"",'Stammdaten'!$G93&lt;&gt;"aktiv")," · "&amp;'Stammdaten'!$G93,"")</f>
        <v/>
      </c>
    </row>
    <row r="95" ht="22" customHeight="1">
      <c r="A95" s="19">
        <f>IF('Stammdaten'!$B94="","",89)</f>
        <v/>
      </c>
      <c r="B95" s="53">
        <f>IF('Stammdaten'!$B94="","",'Stammdaten'!$B94)</f>
        <v/>
      </c>
      <c r="C95" s="97">
        <f>IF('Stammdaten'!$B94="","",'Stammdaten'!$C94)</f>
        <v/>
      </c>
      <c r="D95" s="97">
        <f>IF('Stammdaten'!$B94="","",'Stammdaten'!$D94)</f>
        <v/>
      </c>
      <c r="E95" s="98">
        <f>IF('Stammdaten'!$B94="","",'Stammdaten'!$E94)</f>
        <v/>
      </c>
      <c r="F95" s="21">
        <f>IF('Stammdaten'!$B94="","",'Stammdaten'!$H94)</f>
        <v/>
      </c>
      <c r="G95" s="23">
        <f>IF('Stammdaten'!$B94="","",INDEX(Daten!$C$1704:$J$1803,89,$C$4))</f>
        <v/>
      </c>
      <c r="H95" s="24">
        <f>IF('Stammdaten'!$B94="","",INDEX(Daten!$C$2019:$J$2118,89,$C$4))</f>
        <v/>
      </c>
      <c r="I95" s="25">
        <f>IF(NOT(ISNUMBER(H95)),"",INDEX(Noten,MAX(1,MIN(COUNT(NGrenze),COUNT(NGrenze)+1-COUNTIF(NGrenze,"&lt;="&amp;H95))))&amp;" – "&amp;INDEX(NText,MAX(1,MIN(COUNT(NGrenze),COUNT(NGrenze)+1-COUNTIF(NGrenze,"&lt;="&amp;H95)))))</f>
        <v/>
      </c>
      <c r="J95" s="98">
        <f>IF('Stammdaten'!$B94="","",INDEX(Daten!$C$1914:$J$2013,89,$C$4))</f>
        <v/>
      </c>
      <c r="K95" s="24">
        <f>IF('Stammdaten'!$B94="","",INDEX(Daten!$C$2124:$J$2223,89,$C$4))</f>
        <v/>
      </c>
      <c r="L95" s="25">
        <f>IF(NOT(ISNUMBER(K95)),"",INDEX(Noten,MAX(1,MIN(COUNT(NGrenze),COUNT(NGrenze)+1-COUNTIF(NGrenze,"&lt;="&amp;K95))))&amp;" – "&amp;INDEX(NText,MAX(1,MIN(COUNT(NGrenze),COUNT(NGrenze)+1-COUNTIF(NGrenze,"&lt;="&amp;K95)))))</f>
        <v/>
      </c>
      <c r="M95" s="24">
        <f>IF('Stammdaten'!$B94="","",INDEX(Daten!$C$2229:$J$2328,89,$C$4))</f>
        <v/>
      </c>
      <c r="N95" s="25">
        <f>IF(NOT(ISNUMBER(M95)),"",INDEX(Noten,MAX(1,MIN(COUNT(NGrenze),COUNT(NGrenze)+1-COUNTIF(NGrenze,"&lt;="&amp;M95))))&amp;" – "&amp;INDEX(NText,MAX(1,MIN(COUNT(NGrenze),COUNT(NGrenze)+1-COUNTIF(NGrenze,"&lt;="&amp;M95)))))</f>
        <v/>
      </c>
      <c r="O95" s="99">
        <f>IF($A95="","",IF($G95=0,"keine Bewertung",IF($G95&lt;SchwelleDB,"wenig Datenbasis","")))&amp;IF(AND($A95&lt;&gt;"",'Stammdaten'!$G94&lt;&gt;"aktiv")," · "&amp;'Stammdaten'!$G94,"")</f>
        <v/>
      </c>
    </row>
    <row r="96" ht="22" customHeight="1">
      <c r="A96" s="19">
        <f>IF('Stammdaten'!$B95="","",90)</f>
        <v/>
      </c>
      <c r="B96" s="53">
        <f>IF('Stammdaten'!$B95="","",'Stammdaten'!$B95)</f>
        <v/>
      </c>
      <c r="C96" s="97">
        <f>IF('Stammdaten'!$B95="","",'Stammdaten'!$C95)</f>
        <v/>
      </c>
      <c r="D96" s="97">
        <f>IF('Stammdaten'!$B95="","",'Stammdaten'!$D95)</f>
        <v/>
      </c>
      <c r="E96" s="98">
        <f>IF('Stammdaten'!$B95="","",'Stammdaten'!$E95)</f>
        <v/>
      </c>
      <c r="F96" s="21">
        <f>IF('Stammdaten'!$B95="","",'Stammdaten'!$H95)</f>
        <v/>
      </c>
      <c r="G96" s="23">
        <f>IF('Stammdaten'!$B95="","",INDEX(Daten!$C$1704:$J$1803,90,$C$4))</f>
        <v/>
      </c>
      <c r="H96" s="24">
        <f>IF('Stammdaten'!$B95="","",INDEX(Daten!$C$2019:$J$2118,90,$C$4))</f>
        <v/>
      </c>
      <c r="I96" s="25">
        <f>IF(NOT(ISNUMBER(H96)),"",INDEX(Noten,MAX(1,MIN(COUNT(NGrenze),COUNT(NGrenze)+1-COUNTIF(NGrenze,"&lt;="&amp;H96))))&amp;" – "&amp;INDEX(NText,MAX(1,MIN(COUNT(NGrenze),COUNT(NGrenze)+1-COUNTIF(NGrenze,"&lt;="&amp;H96)))))</f>
        <v/>
      </c>
      <c r="J96" s="98">
        <f>IF('Stammdaten'!$B95="","",INDEX(Daten!$C$1914:$J$2013,90,$C$4))</f>
        <v/>
      </c>
      <c r="K96" s="24">
        <f>IF('Stammdaten'!$B95="","",INDEX(Daten!$C$2124:$J$2223,90,$C$4))</f>
        <v/>
      </c>
      <c r="L96" s="25">
        <f>IF(NOT(ISNUMBER(K96)),"",INDEX(Noten,MAX(1,MIN(COUNT(NGrenze),COUNT(NGrenze)+1-COUNTIF(NGrenze,"&lt;="&amp;K96))))&amp;" – "&amp;INDEX(NText,MAX(1,MIN(COUNT(NGrenze),COUNT(NGrenze)+1-COUNTIF(NGrenze,"&lt;="&amp;K96)))))</f>
        <v/>
      </c>
      <c r="M96" s="24">
        <f>IF('Stammdaten'!$B95="","",INDEX(Daten!$C$2229:$J$2328,90,$C$4))</f>
        <v/>
      </c>
      <c r="N96" s="25">
        <f>IF(NOT(ISNUMBER(M96)),"",INDEX(Noten,MAX(1,MIN(COUNT(NGrenze),COUNT(NGrenze)+1-COUNTIF(NGrenze,"&lt;="&amp;M96))))&amp;" – "&amp;INDEX(NText,MAX(1,MIN(COUNT(NGrenze),COUNT(NGrenze)+1-COUNTIF(NGrenze,"&lt;="&amp;M96)))))</f>
        <v/>
      </c>
      <c r="O96" s="99">
        <f>IF($A96="","",IF($G96=0,"keine Bewertung",IF($G96&lt;SchwelleDB,"wenig Datenbasis","")))&amp;IF(AND($A96&lt;&gt;"",'Stammdaten'!$G95&lt;&gt;"aktiv")," · "&amp;'Stammdaten'!$G95,"")</f>
        <v/>
      </c>
    </row>
    <row r="97" ht="22" customHeight="1">
      <c r="A97" s="19">
        <f>IF('Stammdaten'!$B96="","",91)</f>
        <v/>
      </c>
      <c r="B97" s="53">
        <f>IF('Stammdaten'!$B96="","",'Stammdaten'!$B96)</f>
        <v/>
      </c>
      <c r="C97" s="97">
        <f>IF('Stammdaten'!$B96="","",'Stammdaten'!$C96)</f>
        <v/>
      </c>
      <c r="D97" s="97">
        <f>IF('Stammdaten'!$B96="","",'Stammdaten'!$D96)</f>
        <v/>
      </c>
      <c r="E97" s="98">
        <f>IF('Stammdaten'!$B96="","",'Stammdaten'!$E96)</f>
        <v/>
      </c>
      <c r="F97" s="21">
        <f>IF('Stammdaten'!$B96="","",'Stammdaten'!$H96)</f>
        <v/>
      </c>
      <c r="G97" s="23">
        <f>IF('Stammdaten'!$B96="","",INDEX(Daten!$C$1704:$J$1803,91,$C$4))</f>
        <v/>
      </c>
      <c r="H97" s="24">
        <f>IF('Stammdaten'!$B96="","",INDEX(Daten!$C$2019:$J$2118,91,$C$4))</f>
        <v/>
      </c>
      <c r="I97" s="25">
        <f>IF(NOT(ISNUMBER(H97)),"",INDEX(Noten,MAX(1,MIN(COUNT(NGrenze),COUNT(NGrenze)+1-COUNTIF(NGrenze,"&lt;="&amp;H97))))&amp;" – "&amp;INDEX(NText,MAX(1,MIN(COUNT(NGrenze),COUNT(NGrenze)+1-COUNTIF(NGrenze,"&lt;="&amp;H97)))))</f>
        <v/>
      </c>
      <c r="J97" s="98">
        <f>IF('Stammdaten'!$B96="","",INDEX(Daten!$C$1914:$J$2013,91,$C$4))</f>
        <v/>
      </c>
      <c r="K97" s="24">
        <f>IF('Stammdaten'!$B96="","",INDEX(Daten!$C$2124:$J$2223,91,$C$4))</f>
        <v/>
      </c>
      <c r="L97" s="25">
        <f>IF(NOT(ISNUMBER(K97)),"",INDEX(Noten,MAX(1,MIN(COUNT(NGrenze),COUNT(NGrenze)+1-COUNTIF(NGrenze,"&lt;="&amp;K97))))&amp;" – "&amp;INDEX(NText,MAX(1,MIN(COUNT(NGrenze),COUNT(NGrenze)+1-COUNTIF(NGrenze,"&lt;="&amp;K97)))))</f>
        <v/>
      </c>
      <c r="M97" s="24">
        <f>IF('Stammdaten'!$B96="","",INDEX(Daten!$C$2229:$J$2328,91,$C$4))</f>
        <v/>
      </c>
      <c r="N97" s="25">
        <f>IF(NOT(ISNUMBER(M97)),"",INDEX(Noten,MAX(1,MIN(COUNT(NGrenze),COUNT(NGrenze)+1-COUNTIF(NGrenze,"&lt;="&amp;M97))))&amp;" – "&amp;INDEX(NText,MAX(1,MIN(COUNT(NGrenze),COUNT(NGrenze)+1-COUNTIF(NGrenze,"&lt;="&amp;M97)))))</f>
        <v/>
      </c>
      <c r="O97" s="99">
        <f>IF($A97="","",IF($G97=0,"keine Bewertung",IF($G97&lt;SchwelleDB,"wenig Datenbasis","")))&amp;IF(AND($A97&lt;&gt;"",'Stammdaten'!$G96&lt;&gt;"aktiv")," · "&amp;'Stammdaten'!$G96,"")</f>
        <v/>
      </c>
    </row>
    <row r="98" ht="22" customHeight="1">
      <c r="A98" s="19">
        <f>IF('Stammdaten'!$B97="","",92)</f>
        <v/>
      </c>
      <c r="B98" s="53">
        <f>IF('Stammdaten'!$B97="","",'Stammdaten'!$B97)</f>
        <v/>
      </c>
      <c r="C98" s="97">
        <f>IF('Stammdaten'!$B97="","",'Stammdaten'!$C97)</f>
        <v/>
      </c>
      <c r="D98" s="97">
        <f>IF('Stammdaten'!$B97="","",'Stammdaten'!$D97)</f>
        <v/>
      </c>
      <c r="E98" s="98">
        <f>IF('Stammdaten'!$B97="","",'Stammdaten'!$E97)</f>
        <v/>
      </c>
      <c r="F98" s="21">
        <f>IF('Stammdaten'!$B97="","",'Stammdaten'!$H97)</f>
        <v/>
      </c>
      <c r="G98" s="23">
        <f>IF('Stammdaten'!$B97="","",INDEX(Daten!$C$1704:$J$1803,92,$C$4))</f>
        <v/>
      </c>
      <c r="H98" s="24">
        <f>IF('Stammdaten'!$B97="","",INDEX(Daten!$C$2019:$J$2118,92,$C$4))</f>
        <v/>
      </c>
      <c r="I98" s="25">
        <f>IF(NOT(ISNUMBER(H98)),"",INDEX(Noten,MAX(1,MIN(COUNT(NGrenze),COUNT(NGrenze)+1-COUNTIF(NGrenze,"&lt;="&amp;H98))))&amp;" – "&amp;INDEX(NText,MAX(1,MIN(COUNT(NGrenze),COUNT(NGrenze)+1-COUNTIF(NGrenze,"&lt;="&amp;H98)))))</f>
        <v/>
      </c>
      <c r="J98" s="98">
        <f>IF('Stammdaten'!$B97="","",INDEX(Daten!$C$1914:$J$2013,92,$C$4))</f>
        <v/>
      </c>
      <c r="K98" s="24">
        <f>IF('Stammdaten'!$B97="","",INDEX(Daten!$C$2124:$J$2223,92,$C$4))</f>
        <v/>
      </c>
      <c r="L98" s="25">
        <f>IF(NOT(ISNUMBER(K98)),"",INDEX(Noten,MAX(1,MIN(COUNT(NGrenze),COUNT(NGrenze)+1-COUNTIF(NGrenze,"&lt;="&amp;K98))))&amp;" – "&amp;INDEX(NText,MAX(1,MIN(COUNT(NGrenze),COUNT(NGrenze)+1-COUNTIF(NGrenze,"&lt;="&amp;K98)))))</f>
        <v/>
      </c>
      <c r="M98" s="24">
        <f>IF('Stammdaten'!$B97="","",INDEX(Daten!$C$2229:$J$2328,92,$C$4))</f>
        <v/>
      </c>
      <c r="N98" s="25">
        <f>IF(NOT(ISNUMBER(M98)),"",INDEX(Noten,MAX(1,MIN(COUNT(NGrenze),COUNT(NGrenze)+1-COUNTIF(NGrenze,"&lt;="&amp;M98))))&amp;" – "&amp;INDEX(NText,MAX(1,MIN(COUNT(NGrenze),COUNT(NGrenze)+1-COUNTIF(NGrenze,"&lt;="&amp;M98)))))</f>
        <v/>
      </c>
      <c r="O98" s="99">
        <f>IF($A98="","",IF($G98=0,"keine Bewertung",IF($G98&lt;SchwelleDB,"wenig Datenbasis","")))&amp;IF(AND($A98&lt;&gt;"",'Stammdaten'!$G97&lt;&gt;"aktiv")," · "&amp;'Stammdaten'!$G97,"")</f>
        <v/>
      </c>
    </row>
    <row r="99" ht="22" customHeight="1">
      <c r="A99" s="19">
        <f>IF('Stammdaten'!$B98="","",93)</f>
        <v/>
      </c>
      <c r="B99" s="53">
        <f>IF('Stammdaten'!$B98="","",'Stammdaten'!$B98)</f>
        <v/>
      </c>
      <c r="C99" s="97">
        <f>IF('Stammdaten'!$B98="","",'Stammdaten'!$C98)</f>
        <v/>
      </c>
      <c r="D99" s="97">
        <f>IF('Stammdaten'!$B98="","",'Stammdaten'!$D98)</f>
        <v/>
      </c>
      <c r="E99" s="98">
        <f>IF('Stammdaten'!$B98="","",'Stammdaten'!$E98)</f>
        <v/>
      </c>
      <c r="F99" s="21">
        <f>IF('Stammdaten'!$B98="","",'Stammdaten'!$H98)</f>
        <v/>
      </c>
      <c r="G99" s="23">
        <f>IF('Stammdaten'!$B98="","",INDEX(Daten!$C$1704:$J$1803,93,$C$4))</f>
        <v/>
      </c>
      <c r="H99" s="24">
        <f>IF('Stammdaten'!$B98="","",INDEX(Daten!$C$2019:$J$2118,93,$C$4))</f>
        <v/>
      </c>
      <c r="I99" s="25">
        <f>IF(NOT(ISNUMBER(H99)),"",INDEX(Noten,MAX(1,MIN(COUNT(NGrenze),COUNT(NGrenze)+1-COUNTIF(NGrenze,"&lt;="&amp;H99))))&amp;" – "&amp;INDEX(NText,MAX(1,MIN(COUNT(NGrenze),COUNT(NGrenze)+1-COUNTIF(NGrenze,"&lt;="&amp;H99)))))</f>
        <v/>
      </c>
      <c r="J99" s="98">
        <f>IF('Stammdaten'!$B98="","",INDEX(Daten!$C$1914:$J$2013,93,$C$4))</f>
        <v/>
      </c>
      <c r="K99" s="24">
        <f>IF('Stammdaten'!$B98="","",INDEX(Daten!$C$2124:$J$2223,93,$C$4))</f>
        <v/>
      </c>
      <c r="L99" s="25">
        <f>IF(NOT(ISNUMBER(K99)),"",INDEX(Noten,MAX(1,MIN(COUNT(NGrenze),COUNT(NGrenze)+1-COUNTIF(NGrenze,"&lt;="&amp;K99))))&amp;" – "&amp;INDEX(NText,MAX(1,MIN(COUNT(NGrenze),COUNT(NGrenze)+1-COUNTIF(NGrenze,"&lt;="&amp;K99)))))</f>
        <v/>
      </c>
      <c r="M99" s="24">
        <f>IF('Stammdaten'!$B98="","",INDEX(Daten!$C$2229:$J$2328,93,$C$4))</f>
        <v/>
      </c>
      <c r="N99" s="25">
        <f>IF(NOT(ISNUMBER(M99)),"",INDEX(Noten,MAX(1,MIN(COUNT(NGrenze),COUNT(NGrenze)+1-COUNTIF(NGrenze,"&lt;="&amp;M99))))&amp;" – "&amp;INDEX(NText,MAX(1,MIN(COUNT(NGrenze),COUNT(NGrenze)+1-COUNTIF(NGrenze,"&lt;="&amp;M99)))))</f>
        <v/>
      </c>
      <c r="O99" s="99">
        <f>IF($A99="","",IF($G99=0,"keine Bewertung",IF($G99&lt;SchwelleDB,"wenig Datenbasis","")))&amp;IF(AND($A99&lt;&gt;"",'Stammdaten'!$G98&lt;&gt;"aktiv")," · "&amp;'Stammdaten'!$G98,"")</f>
        <v/>
      </c>
    </row>
    <row r="100" ht="22" customHeight="1">
      <c r="A100" s="19">
        <f>IF('Stammdaten'!$B99="","",94)</f>
        <v/>
      </c>
      <c r="B100" s="53">
        <f>IF('Stammdaten'!$B99="","",'Stammdaten'!$B99)</f>
        <v/>
      </c>
      <c r="C100" s="97">
        <f>IF('Stammdaten'!$B99="","",'Stammdaten'!$C99)</f>
        <v/>
      </c>
      <c r="D100" s="97">
        <f>IF('Stammdaten'!$B99="","",'Stammdaten'!$D99)</f>
        <v/>
      </c>
      <c r="E100" s="98">
        <f>IF('Stammdaten'!$B99="","",'Stammdaten'!$E99)</f>
        <v/>
      </c>
      <c r="F100" s="21">
        <f>IF('Stammdaten'!$B99="","",'Stammdaten'!$H99)</f>
        <v/>
      </c>
      <c r="G100" s="23">
        <f>IF('Stammdaten'!$B99="","",INDEX(Daten!$C$1704:$J$1803,94,$C$4))</f>
        <v/>
      </c>
      <c r="H100" s="24">
        <f>IF('Stammdaten'!$B99="","",INDEX(Daten!$C$2019:$J$2118,94,$C$4))</f>
        <v/>
      </c>
      <c r="I100" s="25">
        <f>IF(NOT(ISNUMBER(H100)),"",INDEX(Noten,MAX(1,MIN(COUNT(NGrenze),COUNT(NGrenze)+1-COUNTIF(NGrenze,"&lt;="&amp;H100))))&amp;" – "&amp;INDEX(NText,MAX(1,MIN(COUNT(NGrenze),COUNT(NGrenze)+1-COUNTIF(NGrenze,"&lt;="&amp;H100)))))</f>
        <v/>
      </c>
      <c r="J100" s="98">
        <f>IF('Stammdaten'!$B99="","",INDEX(Daten!$C$1914:$J$2013,94,$C$4))</f>
        <v/>
      </c>
      <c r="K100" s="24">
        <f>IF('Stammdaten'!$B99="","",INDEX(Daten!$C$2124:$J$2223,94,$C$4))</f>
        <v/>
      </c>
      <c r="L100" s="25">
        <f>IF(NOT(ISNUMBER(K100)),"",INDEX(Noten,MAX(1,MIN(COUNT(NGrenze),COUNT(NGrenze)+1-COUNTIF(NGrenze,"&lt;="&amp;K100))))&amp;" – "&amp;INDEX(NText,MAX(1,MIN(COUNT(NGrenze),COUNT(NGrenze)+1-COUNTIF(NGrenze,"&lt;="&amp;K100)))))</f>
        <v/>
      </c>
      <c r="M100" s="24">
        <f>IF('Stammdaten'!$B99="","",INDEX(Daten!$C$2229:$J$2328,94,$C$4))</f>
        <v/>
      </c>
      <c r="N100" s="25">
        <f>IF(NOT(ISNUMBER(M100)),"",INDEX(Noten,MAX(1,MIN(COUNT(NGrenze),COUNT(NGrenze)+1-COUNTIF(NGrenze,"&lt;="&amp;M100))))&amp;" – "&amp;INDEX(NText,MAX(1,MIN(COUNT(NGrenze),COUNT(NGrenze)+1-COUNTIF(NGrenze,"&lt;="&amp;M100)))))</f>
        <v/>
      </c>
      <c r="O100" s="99">
        <f>IF($A100="","",IF($G100=0,"keine Bewertung",IF($G100&lt;SchwelleDB,"wenig Datenbasis","")))&amp;IF(AND($A100&lt;&gt;"",'Stammdaten'!$G99&lt;&gt;"aktiv")," · "&amp;'Stammdaten'!$G99,"")</f>
        <v/>
      </c>
    </row>
    <row r="101" ht="22" customHeight="1">
      <c r="A101" s="19">
        <f>IF('Stammdaten'!$B100="","",95)</f>
        <v/>
      </c>
      <c r="B101" s="53">
        <f>IF('Stammdaten'!$B100="","",'Stammdaten'!$B100)</f>
        <v/>
      </c>
      <c r="C101" s="97">
        <f>IF('Stammdaten'!$B100="","",'Stammdaten'!$C100)</f>
        <v/>
      </c>
      <c r="D101" s="97">
        <f>IF('Stammdaten'!$B100="","",'Stammdaten'!$D100)</f>
        <v/>
      </c>
      <c r="E101" s="98">
        <f>IF('Stammdaten'!$B100="","",'Stammdaten'!$E100)</f>
        <v/>
      </c>
      <c r="F101" s="21">
        <f>IF('Stammdaten'!$B100="","",'Stammdaten'!$H100)</f>
        <v/>
      </c>
      <c r="G101" s="23">
        <f>IF('Stammdaten'!$B100="","",INDEX(Daten!$C$1704:$J$1803,95,$C$4))</f>
        <v/>
      </c>
      <c r="H101" s="24">
        <f>IF('Stammdaten'!$B100="","",INDEX(Daten!$C$2019:$J$2118,95,$C$4))</f>
        <v/>
      </c>
      <c r="I101" s="25">
        <f>IF(NOT(ISNUMBER(H101)),"",INDEX(Noten,MAX(1,MIN(COUNT(NGrenze),COUNT(NGrenze)+1-COUNTIF(NGrenze,"&lt;="&amp;H101))))&amp;" – "&amp;INDEX(NText,MAX(1,MIN(COUNT(NGrenze),COUNT(NGrenze)+1-COUNTIF(NGrenze,"&lt;="&amp;H101)))))</f>
        <v/>
      </c>
      <c r="J101" s="98">
        <f>IF('Stammdaten'!$B100="","",INDEX(Daten!$C$1914:$J$2013,95,$C$4))</f>
        <v/>
      </c>
      <c r="K101" s="24">
        <f>IF('Stammdaten'!$B100="","",INDEX(Daten!$C$2124:$J$2223,95,$C$4))</f>
        <v/>
      </c>
      <c r="L101" s="25">
        <f>IF(NOT(ISNUMBER(K101)),"",INDEX(Noten,MAX(1,MIN(COUNT(NGrenze),COUNT(NGrenze)+1-COUNTIF(NGrenze,"&lt;="&amp;K101))))&amp;" – "&amp;INDEX(NText,MAX(1,MIN(COUNT(NGrenze),COUNT(NGrenze)+1-COUNTIF(NGrenze,"&lt;="&amp;K101)))))</f>
        <v/>
      </c>
      <c r="M101" s="24">
        <f>IF('Stammdaten'!$B100="","",INDEX(Daten!$C$2229:$J$2328,95,$C$4))</f>
        <v/>
      </c>
      <c r="N101" s="25">
        <f>IF(NOT(ISNUMBER(M101)),"",INDEX(Noten,MAX(1,MIN(COUNT(NGrenze),COUNT(NGrenze)+1-COUNTIF(NGrenze,"&lt;="&amp;M101))))&amp;" – "&amp;INDEX(NText,MAX(1,MIN(COUNT(NGrenze),COUNT(NGrenze)+1-COUNTIF(NGrenze,"&lt;="&amp;M101)))))</f>
        <v/>
      </c>
      <c r="O101" s="99">
        <f>IF($A101="","",IF($G101=0,"keine Bewertung",IF($G101&lt;SchwelleDB,"wenig Datenbasis","")))&amp;IF(AND($A101&lt;&gt;"",'Stammdaten'!$G100&lt;&gt;"aktiv")," · "&amp;'Stammdaten'!$G100,"")</f>
        <v/>
      </c>
    </row>
    <row r="102" ht="22" customHeight="1">
      <c r="A102" s="19">
        <f>IF('Stammdaten'!$B101="","",96)</f>
        <v/>
      </c>
      <c r="B102" s="53">
        <f>IF('Stammdaten'!$B101="","",'Stammdaten'!$B101)</f>
        <v/>
      </c>
      <c r="C102" s="97">
        <f>IF('Stammdaten'!$B101="","",'Stammdaten'!$C101)</f>
        <v/>
      </c>
      <c r="D102" s="97">
        <f>IF('Stammdaten'!$B101="","",'Stammdaten'!$D101)</f>
        <v/>
      </c>
      <c r="E102" s="98">
        <f>IF('Stammdaten'!$B101="","",'Stammdaten'!$E101)</f>
        <v/>
      </c>
      <c r="F102" s="21">
        <f>IF('Stammdaten'!$B101="","",'Stammdaten'!$H101)</f>
        <v/>
      </c>
      <c r="G102" s="23">
        <f>IF('Stammdaten'!$B101="","",INDEX(Daten!$C$1704:$J$1803,96,$C$4))</f>
        <v/>
      </c>
      <c r="H102" s="24">
        <f>IF('Stammdaten'!$B101="","",INDEX(Daten!$C$2019:$J$2118,96,$C$4))</f>
        <v/>
      </c>
      <c r="I102" s="25">
        <f>IF(NOT(ISNUMBER(H102)),"",INDEX(Noten,MAX(1,MIN(COUNT(NGrenze),COUNT(NGrenze)+1-COUNTIF(NGrenze,"&lt;="&amp;H102))))&amp;" – "&amp;INDEX(NText,MAX(1,MIN(COUNT(NGrenze),COUNT(NGrenze)+1-COUNTIF(NGrenze,"&lt;="&amp;H102)))))</f>
        <v/>
      </c>
      <c r="J102" s="98">
        <f>IF('Stammdaten'!$B101="","",INDEX(Daten!$C$1914:$J$2013,96,$C$4))</f>
        <v/>
      </c>
      <c r="K102" s="24">
        <f>IF('Stammdaten'!$B101="","",INDEX(Daten!$C$2124:$J$2223,96,$C$4))</f>
        <v/>
      </c>
      <c r="L102" s="25">
        <f>IF(NOT(ISNUMBER(K102)),"",INDEX(Noten,MAX(1,MIN(COUNT(NGrenze),COUNT(NGrenze)+1-COUNTIF(NGrenze,"&lt;="&amp;K102))))&amp;" – "&amp;INDEX(NText,MAX(1,MIN(COUNT(NGrenze),COUNT(NGrenze)+1-COUNTIF(NGrenze,"&lt;="&amp;K102)))))</f>
        <v/>
      </c>
      <c r="M102" s="24">
        <f>IF('Stammdaten'!$B101="","",INDEX(Daten!$C$2229:$J$2328,96,$C$4))</f>
        <v/>
      </c>
      <c r="N102" s="25">
        <f>IF(NOT(ISNUMBER(M102)),"",INDEX(Noten,MAX(1,MIN(COUNT(NGrenze),COUNT(NGrenze)+1-COUNTIF(NGrenze,"&lt;="&amp;M102))))&amp;" – "&amp;INDEX(NText,MAX(1,MIN(COUNT(NGrenze),COUNT(NGrenze)+1-COUNTIF(NGrenze,"&lt;="&amp;M102)))))</f>
        <v/>
      </c>
      <c r="O102" s="99">
        <f>IF($A102="","",IF($G102=0,"keine Bewertung",IF($G102&lt;SchwelleDB,"wenig Datenbasis","")))&amp;IF(AND($A102&lt;&gt;"",'Stammdaten'!$G101&lt;&gt;"aktiv")," · "&amp;'Stammdaten'!$G101,"")</f>
        <v/>
      </c>
    </row>
    <row r="103" ht="22" customHeight="1">
      <c r="A103" s="19">
        <f>IF('Stammdaten'!$B102="","",97)</f>
        <v/>
      </c>
      <c r="B103" s="53">
        <f>IF('Stammdaten'!$B102="","",'Stammdaten'!$B102)</f>
        <v/>
      </c>
      <c r="C103" s="97">
        <f>IF('Stammdaten'!$B102="","",'Stammdaten'!$C102)</f>
        <v/>
      </c>
      <c r="D103" s="97">
        <f>IF('Stammdaten'!$B102="","",'Stammdaten'!$D102)</f>
        <v/>
      </c>
      <c r="E103" s="98">
        <f>IF('Stammdaten'!$B102="","",'Stammdaten'!$E102)</f>
        <v/>
      </c>
      <c r="F103" s="21">
        <f>IF('Stammdaten'!$B102="","",'Stammdaten'!$H102)</f>
        <v/>
      </c>
      <c r="G103" s="23">
        <f>IF('Stammdaten'!$B102="","",INDEX(Daten!$C$1704:$J$1803,97,$C$4))</f>
        <v/>
      </c>
      <c r="H103" s="24">
        <f>IF('Stammdaten'!$B102="","",INDEX(Daten!$C$2019:$J$2118,97,$C$4))</f>
        <v/>
      </c>
      <c r="I103" s="25">
        <f>IF(NOT(ISNUMBER(H103)),"",INDEX(Noten,MAX(1,MIN(COUNT(NGrenze),COUNT(NGrenze)+1-COUNTIF(NGrenze,"&lt;="&amp;H103))))&amp;" – "&amp;INDEX(NText,MAX(1,MIN(COUNT(NGrenze),COUNT(NGrenze)+1-COUNTIF(NGrenze,"&lt;="&amp;H103)))))</f>
        <v/>
      </c>
      <c r="J103" s="98">
        <f>IF('Stammdaten'!$B102="","",INDEX(Daten!$C$1914:$J$2013,97,$C$4))</f>
        <v/>
      </c>
      <c r="K103" s="24">
        <f>IF('Stammdaten'!$B102="","",INDEX(Daten!$C$2124:$J$2223,97,$C$4))</f>
        <v/>
      </c>
      <c r="L103" s="25">
        <f>IF(NOT(ISNUMBER(K103)),"",INDEX(Noten,MAX(1,MIN(COUNT(NGrenze),COUNT(NGrenze)+1-COUNTIF(NGrenze,"&lt;="&amp;K103))))&amp;" – "&amp;INDEX(NText,MAX(1,MIN(COUNT(NGrenze),COUNT(NGrenze)+1-COUNTIF(NGrenze,"&lt;="&amp;K103)))))</f>
        <v/>
      </c>
      <c r="M103" s="24">
        <f>IF('Stammdaten'!$B102="","",INDEX(Daten!$C$2229:$J$2328,97,$C$4))</f>
        <v/>
      </c>
      <c r="N103" s="25">
        <f>IF(NOT(ISNUMBER(M103)),"",INDEX(Noten,MAX(1,MIN(COUNT(NGrenze),COUNT(NGrenze)+1-COUNTIF(NGrenze,"&lt;="&amp;M103))))&amp;" – "&amp;INDEX(NText,MAX(1,MIN(COUNT(NGrenze),COUNT(NGrenze)+1-COUNTIF(NGrenze,"&lt;="&amp;M103)))))</f>
        <v/>
      </c>
      <c r="O103" s="99">
        <f>IF($A103="","",IF($G103=0,"keine Bewertung",IF($G103&lt;SchwelleDB,"wenig Datenbasis","")))&amp;IF(AND($A103&lt;&gt;"",'Stammdaten'!$G102&lt;&gt;"aktiv")," · "&amp;'Stammdaten'!$G102,"")</f>
        <v/>
      </c>
    </row>
    <row r="104" ht="22" customHeight="1">
      <c r="A104" s="19">
        <f>IF('Stammdaten'!$B103="","",98)</f>
        <v/>
      </c>
      <c r="B104" s="53">
        <f>IF('Stammdaten'!$B103="","",'Stammdaten'!$B103)</f>
        <v/>
      </c>
      <c r="C104" s="97">
        <f>IF('Stammdaten'!$B103="","",'Stammdaten'!$C103)</f>
        <v/>
      </c>
      <c r="D104" s="97">
        <f>IF('Stammdaten'!$B103="","",'Stammdaten'!$D103)</f>
        <v/>
      </c>
      <c r="E104" s="98">
        <f>IF('Stammdaten'!$B103="","",'Stammdaten'!$E103)</f>
        <v/>
      </c>
      <c r="F104" s="21">
        <f>IF('Stammdaten'!$B103="","",'Stammdaten'!$H103)</f>
        <v/>
      </c>
      <c r="G104" s="23">
        <f>IF('Stammdaten'!$B103="","",INDEX(Daten!$C$1704:$J$1803,98,$C$4))</f>
        <v/>
      </c>
      <c r="H104" s="24">
        <f>IF('Stammdaten'!$B103="","",INDEX(Daten!$C$2019:$J$2118,98,$C$4))</f>
        <v/>
      </c>
      <c r="I104" s="25">
        <f>IF(NOT(ISNUMBER(H104)),"",INDEX(Noten,MAX(1,MIN(COUNT(NGrenze),COUNT(NGrenze)+1-COUNTIF(NGrenze,"&lt;="&amp;H104))))&amp;" – "&amp;INDEX(NText,MAX(1,MIN(COUNT(NGrenze),COUNT(NGrenze)+1-COUNTIF(NGrenze,"&lt;="&amp;H104)))))</f>
        <v/>
      </c>
      <c r="J104" s="98">
        <f>IF('Stammdaten'!$B103="","",INDEX(Daten!$C$1914:$J$2013,98,$C$4))</f>
        <v/>
      </c>
      <c r="K104" s="24">
        <f>IF('Stammdaten'!$B103="","",INDEX(Daten!$C$2124:$J$2223,98,$C$4))</f>
        <v/>
      </c>
      <c r="L104" s="25">
        <f>IF(NOT(ISNUMBER(K104)),"",INDEX(Noten,MAX(1,MIN(COUNT(NGrenze),COUNT(NGrenze)+1-COUNTIF(NGrenze,"&lt;="&amp;K104))))&amp;" – "&amp;INDEX(NText,MAX(1,MIN(COUNT(NGrenze),COUNT(NGrenze)+1-COUNTIF(NGrenze,"&lt;="&amp;K104)))))</f>
        <v/>
      </c>
      <c r="M104" s="24">
        <f>IF('Stammdaten'!$B103="","",INDEX(Daten!$C$2229:$J$2328,98,$C$4))</f>
        <v/>
      </c>
      <c r="N104" s="25">
        <f>IF(NOT(ISNUMBER(M104)),"",INDEX(Noten,MAX(1,MIN(COUNT(NGrenze),COUNT(NGrenze)+1-COUNTIF(NGrenze,"&lt;="&amp;M104))))&amp;" – "&amp;INDEX(NText,MAX(1,MIN(COUNT(NGrenze),COUNT(NGrenze)+1-COUNTIF(NGrenze,"&lt;="&amp;M104)))))</f>
        <v/>
      </c>
      <c r="O104" s="99">
        <f>IF($A104="","",IF($G104=0,"keine Bewertung",IF($G104&lt;SchwelleDB,"wenig Datenbasis","")))&amp;IF(AND($A104&lt;&gt;"",'Stammdaten'!$G103&lt;&gt;"aktiv")," · "&amp;'Stammdaten'!$G103,"")</f>
        <v/>
      </c>
    </row>
    <row r="105" ht="22" customHeight="1">
      <c r="A105" s="19">
        <f>IF('Stammdaten'!$B104="","",99)</f>
        <v/>
      </c>
      <c r="B105" s="53">
        <f>IF('Stammdaten'!$B104="","",'Stammdaten'!$B104)</f>
        <v/>
      </c>
      <c r="C105" s="97">
        <f>IF('Stammdaten'!$B104="","",'Stammdaten'!$C104)</f>
        <v/>
      </c>
      <c r="D105" s="97">
        <f>IF('Stammdaten'!$B104="","",'Stammdaten'!$D104)</f>
        <v/>
      </c>
      <c r="E105" s="98">
        <f>IF('Stammdaten'!$B104="","",'Stammdaten'!$E104)</f>
        <v/>
      </c>
      <c r="F105" s="21">
        <f>IF('Stammdaten'!$B104="","",'Stammdaten'!$H104)</f>
        <v/>
      </c>
      <c r="G105" s="23">
        <f>IF('Stammdaten'!$B104="","",INDEX(Daten!$C$1704:$J$1803,99,$C$4))</f>
        <v/>
      </c>
      <c r="H105" s="24">
        <f>IF('Stammdaten'!$B104="","",INDEX(Daten!$C$2019:$J$2118,99,$C$4))</f>
        <v/>
      </c>
      <c r="I105" s="25">
        <f>IF(NOT(ISNUMBER(H105)),"",INDEX(Noten,MAX(1,MIN(COUNT(NGrenze),COUNT(NGrenze)+1-COUNTIF(NGrenze,"&lt;="&amp;H105))))&amp;" – "&amp;INDEX(NText,MAX(1,MIN(COUNT(NGrenze),COUNT(NGrenze)+1-COUNTIF(NGrenze,"&lt;="&amp;H105)))))</f>
        <v/>
      </c>
      <c r="J105" s="98">
        <f>IF('Stammdaten'!$B104="","",INDEX(Daten!$C$1914:$J$2013,99,$C$4))</f>
        <v/>
      </c>
      <c r="K105" s="24">
        <f>IF('Stammdaten'!$B104="","",INDEX(Daten!$C$2124:$J$2223,99,$C$4))</f>
        <v/>
      </c>
      <c r="L105" s="25">
        <f>IF(NOT(ISNUMBER(K105)),"",INDEX(Noten,MAX(1,MIN(COUNT(NGrenze),COUNT(NGrenze)+1-COUNTIF(NGrenze,"&lt;="&amp;K105))))&amp;" – "&amp;INDEX(NText,MAX(1,MIN(COUNT(NGrenze),COUNT(NGrenze)+1-COUNTIF(NGrenze,"&lt;="&amp;K105)))))</f>
        <v/>
      </c>
      <c r="M105" s="24">
        <f>IF('Stammdaten'!$B104="","",INDEX(Daten!$C$2229:$J$2328,99,$C$4))</f>
        <v/>
      </c>
      <c r="N105" s="25">
        <f>IF(NOT(ISNUMBER(M105)),"",INDEX(Noten,MAX(1,MIN(COUNT(NGrenze),COUNT(NGrenze)+1-COUNTIF(NGrenze,"&lt;="&amp;M105))))&amp;" – "&amp;INDEX(NText,MAX(1,MIN(COUNT(NGrenze),COUNT(NGrenze)+1-COUNTIF(NGrenze,"&lt;="&amp;M105)))))</f>
        <v/>
      </c>
      <c r="O105" s="99">
        <f>IF($A105="","",IF($G105=0,"keine Bewertung",IF($G105&lt;SchwelleDB,"wenig Datenbasis","")))&amp;IF(AND($A105&lt;&gt;"",'Stammdaten'!$G104&lt;&gt;"aktiv")," · "&amp;'Stammdaten'!$G104,"")</f>
        <v/>
      </c>
    </row>
    <row r="106" ht="22" customHeight="1">
      <c r="A106" s="19">
        <f>IF('Stammdaten'!$B105="","",100)</f>
        <v/>
      </c>
      <c r="B106" s="53">
        <f>IF('Stammdaten'!$B105="","",'Stammdaten'!$B105)</f>
        <v/>
      </c>
      <c r="C106" s="97">
        <f>IF('Stammdaten'!$B105="","",'Stammdaten'!$C105)</f>
        <v/>
      </c>
      <c r="D106" s="97">
        <f>IF('Stammdaten'!$B105="","",'Stammdaten'!$D105)</f>
        <v/>
      </c>
      <c r="E106" s="98">
        <f>IF('Stammdaten'!$B105="","",'Stammdaten'!$E105)</f>
        <v/>
      </c>
      <c r="F106" s="21">
        <f>IF('Stammdaten'!$B105="","",'Stammdaten'!$H105)</f>
        <v/>
      </c>
      <c r="G106" s="23">
        <f>IF('Stammdaten'!$B105="","",INDEX(Daten!$C$1704:$J$1803,100,$C$4))</f>
        <v/>
      </c>
      <c r="H106" s="24">
        <f>IF('Stammdaten'!$B105="","",INDEX(Daten!$C$2019:$J$2118,100,$C$4))</f>
        <v/>
      </c>
      <c r="I106" s="25">
        <f>IF(NOT(ISNUMBER(H106)),"",INDEX(Noten,MAX(1,MIN(COUNT(NGrenze),COUNT(NGrenze)+1-COUNTIF(NGrenze,"&lt;="&amp;H106))))&amp;" – "&amp;INDEX(NText,MAX(1,MIN(COUNT(NGrenze),COUNT(NGrenze)+1-COUNTIF(NGrenze,"&lt;="&amp;H106)))))</f>
        <v/>
      </c>
      <c r="J106" s="98">
        <f>IF('Stammdaten'!$B105="","",INDEX(Daten!$C$1914:$J$2013,100,$C$4))</f>
        <v/>
      </c>
      <c r="K106" s="24">
        <f>IF('Stammdaten'!$B105="","",INDEX(Daten!$C$2124:$J$2223,100,$C$4))</f>
        <v/>
      </c>
      <c r="L106" s="25">
        <f>IF(NOT(ISNUMBER(K106)),"",INDEX(Noten,MAX(1,MIN(COUNT(NGrenze),COUNT(NGrenze)+1-COUNTIF(NGrenze,"&lt;="&amp;K106))))&amp;" – "&amp;INDEX(NText,MAX(1,MIN(COUNT(NGrenze),COUNT(NGrenze)+1-COUNTIF(NGrenze,"&lt;="&amp;K106)))))</f>
        <v/>
      </c>
      <c r="M106" s="24">
        <f>IF('Stammdaten'!$B105="","",INDEX(Daten!$C$2229:$J$2328,100,$C$4))</f>
        <v/>
      </c>
      <c r="N106" s="25">
        <f>IF(NOT(ISNUMBER(M106)),"",INDEX(Noten,MAX(1,MIN(COUNT(NGrenze),COUNT(NGrenze)+1-COUNTIF(NGrenze,"&lt;="&amp;M106))))&amp;" – "&amp;INDEX(NText,MAX(1,MIN(COUNT(NGrenze),COUNT(NGrenze)+1-COUNTIF(NGrenze,"&lt;="&amp;M106)))))</f>
        <v/>
      </c>
      <c r="O106" s="99">
        <f>IF($A106="","",IF($G106=0,"keine Bewertung",IF($G106&lt;SchwelleDB,"wenig Datenbasis","")))&amp;IF(AND($A106&lt;&gt;"",'Stammdaten'!$G105&lt;&gt;"aktiv")," · "&amp;'Stammdaten'!$G105,"")</f>
        <v/>
      </c>
    </row>
    <row r="107" ht="10" customHeight="1"/>
    <row r="108" ht="24" customHeight="1">
      <c r="A108" s="26" t="inlineStr">
        <is>
          <t xml:space="preserve"> Farblegende</t>
        </is>
      </c>
      <c r="H108" s="30">
        <f>INDEX(Noten,1)&amp;" – "&amp;INDEX(NText,1)&amp;" (ab "&amp;TEXT(INDEX(NGrenze,1)*100,"0")&amp;" %)"</f>
        <v/>
      </c>
      <c r="I108" s="31">
        <f>INDEX(Noten,2)&amp;" – "&amp;INDEX(NText,2)&amp;" (ab "&amp;TEXT(INDEX(NGrenze,2)*100,"0")&amp;" %)"</f>
        <v/>
      </c>
      <c r="J108" s="32">
        <f>INDEX(Noten,3)&amp;" – "&amp;INDEX(NText,3)&amp;" (ab "&amp;TEXT(INDEX(NGrenze,3)*100,"0")&amp;" %)"</f>
        <v/>
      </c>
      <c r="K108" s="33">
        <f>INDEX(Noten,4)&amp;" – "&amp;INDEX(NText,4)&amp;" (ab "&amp;TEXT(INDEX(NGrenze,4)*100,"0")&amp;" %)"</f>
        <v/>
      </c>
      <c r="L108" s="34">
        <f>INDEX(Noten,5)&amp;" – "&amp;INDEX(NText,5)&amp;" (ab "&amp;TEXT(INDEX(NGrenze,5)*100,"0")&amp;" %)"</f>
        <v/>
      </c>
      <c r="M108" s="35">
        <f>INDEX(Noten,6)&amp;" – "&amp;INDEX(NText,6)&amp;" (ab "&amp;TEXT(INDEX(NGrenze,6)*100,"0")&amp;" %)"</f>
        <v/>
      </c>
    </row>
    <row r="110" ht="22" customHeight="1">
      <c r="A110" s="36" t="inlineStr">
        <is>
          <t>Gesamt = Mittel der Prozentwerte aller gewerteten Übungen des Halbjahres, jede Übung mit ihrem Gewicht. Steht in den Einstellungen „Gewichtung Praxis/Theorie verwenden = ja“, werden stattdessen Praxis und Theorie getrennt gemittelt und mit den dort hinterlegten Gewichten zusammengezogen. Für das Gespräch: Blatt „Gesprächsseite“ öffnen, Azubi und Halbjahr wählen, ausdrucken.</t>
        </is>
      </c>
      <c r="B110" s="37" t="n"/>
      <c r="C110" s="37" t="n"/>
      <c r="D110" s="37" t="n"/>
      <c r="E110" s="37" t="n"/>
      <c r="F110" s="37" t="n"/>
      <c r="G110" s="37" t="n"/>
      <c r="H110" s="37" t="n"/>
      <c r="I110" s="37" t="n"/>
      <c r="J110" s="37" t="n"/>
      <c r="K110" s="37" t="n"/>
      <c r="L110" s="37" t="n"/>
      <c r="M110" s="37" t="n"/>
      <c r="N110" s="37" t="n"/>
      <c r="O110" s="37" t="n"/>
      <c r="P110" s="10" t="n"/>
    </row>
    <row r="111" ht="22" customHeight="1">
      <c r="A111" s="38" t="n"/>
      <c r="B111" s="39" t="n"/>
      <c r="C111" s="39" t="n"/>
      <c r="D111" s="39" t="n"/>
      <c r="E111" s="39" t="n"/>
      <c r="F111" s="39" t="n"/>
      <c r="G111" s="39" t="n"/>
      <c r="H111" s="39" t="n"/>
      <c r="I111" s="39" t="n"/>
      <c r="J111" s="39" t="n"/>
      <c r="K111" s="39" t="n"/>
      <c r="L111" s="39" t="n"/>
      <c r="M111" s="39" t="n"/>
      <c r="N111" s="39" t="n"/>
      <c r="O111" s="39" t="n"/>
      <c r="P111" s="14" t="n"/>
    </row>
  </sheetData>
  <mergeCells count="8">
    <mergeCell ref="A4:B4"/>
    <mergeCell ref="A2:L2"/>
    <mergeCell ref="D4:P4"/>
    <mergeCell ref="A1:L1"/>
    <mergeCell ref="A110:P111"/>
    <mergeCell ref="A3:P3"/>
    <mergeCell ref="A108:G108"/>
    <mergeCell ref="M1:P2"/>
  </mergeCells>
  <conditionalFormatting sqref="H7:I106">
    <cfRule type="expression" priority="1" dxfId="2" stopIfTrue="1">
      <formula>AND(ISNUMBER($H7),$H7&gt;=INDEX(NGrenze,1))</formula>
    </cfRule>
    <cfRule type="expression" priority="2" dxfId="3" stopIfTrue="1">
      <formula>AND(ISNUMBER($H7),$H7&gt;=INDEX(NGrenze,2))</formula>
    </cfRule>
    <cfRule type="expression" priority="3" dxfId="4" stopIfTrue="1">
      <formula>AND(ISNUMBER($H7),$H7&gt;=INDEX(NGrenze,3))</formula>
    </cfRule>
    <cfRule type="expression" priority="4" dxfId="5" stopIfTrue="1">
      <formula>AND(ISNUMBER($H7),$H7&gt;=INDEX(NGrenze,4))</formula>
    </cfRule>
    <cfRule type="expression" priority="5" dxfId="6" stopIfTrue="1">
      <formula>AND(ISNUMBER($H7),$H7&gt;=INDEX(NGrenze,5))</formula>
    </cfRule>
    <cfRule type="expression" priority="6" dxfId="7" stopIfTrue="1">
      <formula>AND(ISNUMBER($H7),$H7&gt;=INDEX(NGrenze,6))</formula>
    </cfRule>
  </conditionalFormatting>
  <conditionalFormatting sqref="K7:L106">
    <cfRule type="expression" priority="7" dxfId="2" stopIfTrue="1">
      <formula>AND(ISNUMBER($K7),$K7&gt;=INDEX(NGrenze,1))</formula>
    </cfRule>
    <cfRule type="expression" priority="8" dxfId="3" stopIfTrue="1">
      <formula>AND(ISNUMBER($K7),$K7&gt;=INDEX(NGrenze,2))</formula>
    </cfRule>
    <cfRule type="expression" priority="9" dxfId="4" stopIfTrue="1">
      <formula>AND(ISNUMBER($K7),$K7&gt;=INDEX(NGrenze,3))</formula>
    </cfRule>
    <cfRule type="expression" priority="10" dxfId="5" stopIfTrue="1">
      <formula>AND(ISNUMBER($K7),$K7&gt;=INDEX(NGrenze,4))</formula>
    </cfRule>
    <cfRule type="expression" priority="11" dxfId="6" stopIfTrue="1">
      <formula>AND(ISNUMBER($K7),$K7&gt;=INDEX(NGrenze,5))</formula>
    </cfRule>
    <cfRule type="expression" priority="12" dxfId="7" stopIfTrue="1">
      <formula>AND(ISNUMBER($K7),$K7&gt;=INDEX(NGrenze,6))</formula>
    </cfRule>
  </conditionalFormatting>
  <conditionalFormatting sqref="M7:N106">
    <cfRule type="expression" priority="13" dxfId="2" stopIfTrue="1">
      <formula>AND(ISNUMBER($M7),$M7&gt;=INDEX(NGrenze,1))</formula>
    </cfRule>
    <cfRule type="expression" priority="14" dxfId="3" stopIfTrue="1">
      <formula>AND(ISNUMBER($M7),$M7&gt;=INDEX(NGrenze,2))</formula>
    </cfRule>
    <cfRule type="expression" priority="15" dxfId="4" stopIfTrue="1">
      <formula>AND(ISNUMBER($M7),$M7&gt;=INDEX(NGrenze,3))</formula>
    </cfRule>
    <cfRule type="expression" priority="16" dxfId="5" stopIfTrue="1">
      <formula>AND(ISNUMBER($M7),$M7&gt;=INDEX(NGrenze,4))</formula>
    </cfRule>
    <cfRule type="expression" priority="17" dxfId="6" stopIfTrue="1">
      <formula>AND(ISNUMBER($M7),$M7&gt;=INDEX(NGrenze,5))</formula>
    </cfRule>
    <cfRule type="expression" priority="18" dxfId="7" stopIfTrue="1">
      <formula>AND(ISNUMBER($M7),$M7&gt;=INDEX(NGrenze,6))</formula>
    </cfRule>
  </conditionalFormatting>
  <conditionalFormatting sqref="A7:G106">
    <cfRule type="expression" priority="19" dxfId="8">
      <formula>'Stammdaten'!$G6&lt;&gt;"aktiv"</formula>
    </cfRule>
  </conditionalFormatting>
  <dataValidations count="1">
    <dataValidation sqref="C4" showDropDown="0" showInputMessage="1" showErrorMessage="1" allowBlank="0" errorTitle="Halbjahr außerhalb des Bereichs" error="Bitte eine ganze Zahl von 1 bis 8 eingeben." promptTitle="Halbjahr" prompt="1 = die ersten sechs Monate nach Ausbildungsstart, 2 = Monat 7 bis 12 usw." type="whole" operator="between">
      <formula1>1</formula1>
      <formula2>8</formula2>
    </dataValidation>
  </dataValidations>
  <hyperlinks>
    <hyperlink ref="M1" location="Start!A1"/>
  </hyperlinks>
  <pageMargins left="0.5" right="0.4" top="0.5" bottom="0.4" header="0.5" footer="0.5"/>
  <pageSetup orientation="landscape" paperSize="9" fitToHeight="0" fitToWidth="1"/>
</worksheet>
</file>

<file path=xl/worksheets/sheet5.xml><?xml version="1.0" encoding="utf-8"?>
<worksheet xmlns="http://schemas.openxmlformats.org/spreadsheetml/2006/main">
  <sheetPr>
    <tabColor rgb="0022395C"/>
    <outlinePr summaryBelow="1" summaryRight="1"/>
    <pageSetUpPr fitToPage="1"/>
  </sheetPr>
  <dimension ref="A1:P2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0" customWidth="1" min="3" max="3"/>
    <col width="11" customWidth="1" min="4" max="4"/>
    <col width="13" customWidth="1" min="5" max="5"/>
    <col width="15" customWidth="1" min="6" max="6"/>
    <col width="12" customWidth="1" min="7" max="7"/>
    <col width="9" customWidth="1" min="8" max="8"/>
    <col width="22" customWidth="1" min="9" max="9"/>
    <col width="11" customWidth="1" min="10" max="10"/>
    <col width="11" customWidth="1" min="11" max="11"/>
    <col width="11" customWidth="1" min="12" max="12"/>
    <col width="11" customWidth="1" min="13" max="13"/>
    <col width="20" customWidth="1" min="14" max="14"/>
    <col width="34" customWidth="1" min="15" max="15"/>
    <col width="3" customWidth="1" min="16" max="16"/>
  </cols>
  <sheetData>
    <row r="1" ht="34" customHeight="1">
      <c r="A1" s="1" t="inlineStr">
        <is>
          <t>Übungen verwalten</t>
        </is>
      </c>
      <c r="B1" s="2" t="n"/>
      <c r="C1" s="2" t="n"/>
      <c r="D1" s="2" t="n"/>
      <c r="E1" s="2" t="n"/>
      <c r="F1" s="2" t="n"/>
      <c r="G1" s="2" t="n"/>
      <c r="H1" s="2" t="n"/>
      <c r="I1" s="2" t="n"/>
      <c r="J1" s="2" t="n"/>
      <c r="K1" s="2" t="n"/>
      <c r="L1" s="2" t="n"/>
      <c r="M1" s="40" t="inlineStr">
        <is>
          <t>«  Zurück zur Startseite</t>
        </is>
      </c>
    </row>
    <row r="2" ht="18" customHeight="1">
      <c r="A2" s="3" t="inlineStr">
        <is>
          <t>Ein Name in Spalte „Übungsname“ schaltet das zugehörige Übungsblatt frei – alles Weitere wird dort eingetragen</t>
        </is>
      </c>
      <c r="B2" s="2" t="n"/>
      <c r="C2" s="2" t="n"/>
      <c r="D2" s="2" t="n"/>
      <c r="E2" s="2" t="n"/>
      <c r="F2" s="2" t="n"/>
      <c r="G2" s="2" t="n"/>
      <c r="H2" s="2" t="n"/>
      <c r="I2" s="2" t="n"/>
      <c r="J2" s="2" t="n"/>
      <c r="K2" s="2" t="n"/>
      <c r="L2" s="2" t="n"/>
    </row>
    <row r="3" ht="24" customHeight="1">
      <c r="A3" s="4" t="inlineStr">
        <is>
          <t>Farben:  gelb = hier eintragen   ·   grau-blau = rechnet die Datei selbst   ·   „n.b.“ = nicht bewertet</t>
        </is>
      </c>
    </row>
    <row r="4" ht="10" customHeight="1"/>
    <row r="5" ht="34" customHeight="1">
      <c r="A5" s="100" t="inlineStr">
        <is>
          <t>Nr.</t>
        </is>
      </c>
      <c r="B5" s="100" t="inlineStr">
        <is>
          <t>Blatt</t>
        </is>
      </c>
      <c r="C5" s="100" t="inlineStr">
        <is>
          <t>Übungsname</t>
        </is>
      </c>
      <c r="D5" s="100" t="inlineStr">
        <is>
          <t>Art</t>
        </is>
      </c>
      <c r="E5" s="100" t="inlineStr">
        <is>
          <t>Datum</t>
        </is>
      </c>
      <c r="F5" s="100" t="inlineStr">
        <is>
          <t>Status</t>
        </is>
      </c>
      <c r="G5" s="100" t="inlineStr">
        <is>
          <t>Bewertet von</t>
        </is>
      </c>
      <c r="H5" s="100" t="inlineStr">
        <is>
          <t>Gewicht</t>
        </is>
      </c>
      <c r="I5" s="100" t="inlineStr">
        <is>
          <t>Wiederholung von</t>
        </is>
      </c>
      <c r="J5" s="100" t="inlineStr">
        <is>
          <t>Parameter</t>
        </is>
      </c>
      <c r="K5" s="100" t="inlineStr">
        <is>
          <t>max. Pkt.</t>
        </is>
      </c>
      <c r="L5" s="100" t="inlineStr">
        <is>
          <t>bewertet</t>
        </is>
      </c>
      <c r="M5" s="100" t="inlineStr">
        <is>
          <t>Ø Prozent</t>
        </is>
      </c>
      <c r="N5" s="100" t="inlineStr">
        <is>
          <t>Ø Note</t>
        </is>
      </c>
      <c r="O5" s="100" t="inlineStr">
        <is>
          <t>Hinweis</t>
        </is>
      </c>
    </row>
    <row r="6" ht="22" customHeight="1">
      <c r="A6" s="19">
        <f>ROW()-5</f>
        <v/>
      </c>
      <c r="B6" s="101" t="inlineStr">
        <is>
          <t>Übung 01</t>
        </is>
      </c>
      <c r="C6" s="42" t="inlineStr">
        <is>
          <t>Bohren und Senken</t>
        </is>
      </c>
      <c r="D6" s="102">
        <f>IF($C6="","",IF('Übung 01'!$H$3="","— fehlt —",'Übung 01'!$H$3))</f>
        <v/>
      </c>
      <c r="E6" s="103">
        <f>IF(OR($C6="",'Übung 01'!$L$3=""),"",'Übung 01'!$L$3)</f>
        <v/>
      </c>
      <c r="F6" s="102">
        <f>IF($C6="","",IF('Übung 01'!$C$4="","— fehlt —",'Übung 01'!$C$4))</f>
        <v/>
      </c>
      <c r="G6" s="102">
        <f>IF($C6="","",'Übung 01'!$H$4)</f>
        <v/>
      </c>
      <c r="H6" s="104">
        <f>IF($C6="","",IF('Übung 01'!$L$4="",1,'Übung 01'!$L$4))</f>
        <v/>
      </c>
      <c r="I6" s="105">
        <f>IF(OR($C6="",'Übung 01'!$Q$4=""),"",'Übung 01'!$Q$4)</f>
        <v/>
      </c>
      <c r="J6" s="106">
        <f>IF($C6="","",COUNTIF('Übung 01'!$D$11:$D$35,"&gt;0"))</f>
        <v/>
      </c>
      <c r="K6" s="104">
        <f>IF($C6="","",SUM('Übung 01'!$D$11:$D$35))</f>
        <v/>
      </c>
      <c r="L6" s="107">
        <f>IF($C6="","",SUM(INDEX(Daten!$C$1385:$V$1484,0,1)))</f>
        <v/>
      </c>
      <c r="M6" s="24">
        <f>IF(OR($C6="",$L6=0),"",SUMPRODUCT(INDEX(Daten!$C$1385:$V$1484,0,1),INDEX(Daten!$C$20:$V$119,0,1))/$L6)</f>
        <v/>
      </c>
      <c r="N6" s="108">
        <f>IF($M6="","",INDEX(Noten,MAX(1,MIN(COUNT(NGrenze),COUNT(NGrenze)+1-COUNTIF(NGrenze,"&lt;="&amp;$M6))))&amp;" – "&amp;INDEX(NText,MAX(1,MIN(COUNT(NGrenze),COUNT(NGrenze)+1-COUNTIF(NGrenze,"&lt;="&amp;$M6)))))</f>
        <v/>
      </c>
      <c r="O6" s="109">
        <f>IF($C6="","frei",IF(LEN(IF('Übung 01'!$H$3="","Art fehlt. ","")&amp;IF('Übung 01'!$L$3="","Datum fehlt. ","")&amp;IF('Übung 01'!$C$4="","Status fehlt. ","")&amp;IF('Übung 01'!$H$4="","Kürzel fehlt. ","")&amp;IF(COUNTIF('Übung 01'!$D$11:$D$35,"&gt;0")=0,"Parameter fehlen. ",""))=0,"vollständig","Bitte ergänzen: "&amp;IF('Übung 01'!$H$3="","Art fehlt. ","")&amp;IF('Übung 01'!$L$3="","Datum fehlt. ","")&amp;IF('Übung 01'!$C$4="","Status fehlt. ","")&amp;IF('Übung 01'!$H$4="","Kürzel fehlt. ","")&amp;IF(COUNTIF('Übung 01'!$D$11:$D$35,"&gt;0")=0,"Parameter fehlen. ","")))</f>
        <v/>
      </c>
    </row>
    <row r="7" ht="22" customHeight="1">
      <c r="A7" s="19">
        <f>ROW()-5</f>
        <v/>
      </c>
      <c r="B7" s="101" t="inlineStr">
        <is>
          <t>Übung 02</t>
        </is>
      </c>
      <c r="C7" s="42" t="inlineStr">
        <is>
          <t>Grundlagen Elektrotechnik</t>
        </is>
      </c>
      <c r="D7" s="102">
        <f>IF($C7="","",IF('Übung 02'!$H$3="","— fehlt —",'Übung 02'!$H$3))</f>
        <v/>
      </c>
      <c r="E7" s="103">
        <f>IF(OR($C7="",'Übung 02'!$L$3=""),"",'Übung 02'!$L$3)</f>
        <v/>
      </c>
      <c r="F7" s="102">
        <f>IF($C7="","",IF('Übung 02'!$C$4="","— fehlt —",'Übung 02'!$C$4))</f>
        <v/>
      </c>
      <c r="G7" s="102">
        <f>IF($C7="","",'Übung 02'!$H$4)</f>
        <v/>
      </c>
      <c r="H7" s="104">
        <f>IF($C7="","",IF('Übung 02'!$L$4="",1,'Übung 02'!$L$4))</f>
        <v/>
      </c>
      <c r="I7" s="105">
        <f>IF(OR($C7="",'Übung 02'!$Q$4=""),"",'Übung 02'!$Q$4)</f>
        <v/>
      </c>
      <c r="J7" s="106">
        <f>IF($C7="","",COUNTIF('Übung 02'!$D$11:$D$35,"&gt;0"))</f>
        <v/>
      </c>
      <c r="K7" s="104">
        <f>IF($C7="","",SUM('Übung 02'!$D$11:$D$35))</f>
        <v/>
      </c>
      <c r="L7" s="107">
        <f>IF($C7="","",SUM(INDEX(Daten!$C$1385:$V$1484,0,2)))</f>
        <v/>
      </c>
      <c r="M7" s="24">
        <f>IF(OR($C7="",$L7=0),"",SUMPRODUCT(INDEX(Daten!$C$1385:$V$1484,0,2),INDEX(Daten!$C$20:$V$119,0,2))/$L7)</f>
        <v/>
      </c>
      <c r="N7" s="108">
        <f>IF($M7="","",INDEX(Noten,MAX(1,MIN(COUNT(NGrenze),COUNT(NGrenze)+1-COUNTIF(NGrenze,"&lt;="&amp;$M7))))&amp;" – "&amp;INDEX(NText,MAX(1,MIN(COUNT(NGrenze),COUNT(NGrenze)+1-COUNTIF(NGrenze,"&lt;="&amp;$M7)))))</f>
        <v/>
      </c>
      <c r="O7" s="109">
        <f>IF($C7="","frei",IF(LEN(IF('Übung 02'!$H$3="","Art fehlt. ","")&amp;IF('Übung 02'!$L$3="","Datum fehlt. ","")&amp;IF('Übung 02'!$C$4="","Status fehlt. ","")&amp;IF('Übung 02'!$H$4="","Kürzel fehlt. ","")&amp;IF(COUNTIF('Übung 02'!$D$11:$D$35,"&gt;0")=0,"Parameter fehlen. ",""))=0,"vollständig","Bitte ergänzen: "&amp;IF('Übung 02'!$H$3="","Art fehlt. ","")&amp;IF('Übung 02'!$L$3="","Datum fehlt. ","")&amp;IF('Übung 02'!$C$4="","Status fehlt. ","")&amp;IF('Übung 02'!$H$4="","Kürzel fehlt. ","")&amp;IF(COUNTIF('Übung 02'!$D$11:$D$35,"&gt;0")=0,"Parameter fehlen. ","")))</f>
        <v/>
      </c>
    </row>
    <row r="8" ht="22" customHeight="1">
      <c r="A8" s="19">
        <f>ROW()-5</f>
        <v/>
      </c>
      <c r="B8" s="101" t="inlineStr">
        <is>
          <t>Übung 03</t>
        </is>
      </c>
      <c r="C8" s="42" t="inlineStr">
        <is>
          <t>Leitungen verlegen</t>
        </is>
      </c>
      <c r="D8" s="102">
        <f>IF($C8="","",IF('Übung 03'!$H$3="","— fehlt —",'Übung 03'!$H$3))</f>
        <v/>
      </c>
      <c r="E8" s="103">
        <f>IF(OR($C8="",'Übung 03'!$L$3=""),"",'Übung 03'!$L$3)</f>
        <v/>
      </c>
      <c r="F8" s="102">
        <f>IF($C8="","",IF('Übung 03'!$C$4="","— fehlt —",'Übung 03'!$C$4))</f>
        <v/>
      </c>
      <c r="G8" s="102">
        <f>IF($C8="","",'Übung 03'!$H$4)</f>
        <v/>
      </c>
      <c r="H8" s="104">
        <f>IF($C8="","",IF('Übung 03'!$L$4="",1,'Übung 03'!$L$4))</f>
        <v/>
      </c>
      <c r="I8" s="105">
        <f>IF(OR($C8="",'Übung 03'!$Q$4=""),"",'Übung 03'!$Q$4)</f>
        <v/>
      </c>
      <c r="J8" s="106">
        <f>IF($C8="","",COUNTIF('Übung 03'!$D$11:$D$35,"&gt;0"))</f>
        <v/>
      </c>
      <c r="K8" s="104">
        <f>IF($C8="","",SUM('Übung 03'!$D$11:$D$35))</f>
        <v/>
      </c>
      <c r="L8" s="107">
        <f>IF($C8="","",SUM(INDEX(Daten!$C$1385:$V$1484,0,3)))</f>
        <v/>
      </c>
      <c r="M8" s="24">
        <f>IF(OR($C8="",$L8=0),"",SUMPRODUCT(INDEX(Daten!$C$1385:$V$1484,0,3),INDEX(Daten!$C$20:$V$119,0,3))/$L8)</f>
        <v/>
      </c>
      <c r="N8" s="108">
        <f>IF($M8="","",INDEX(Noten,MAX(1,MIN(COUNT(NGrenze),COUNT(NGrenze)+1-COUNTIF(NGrenze,"&lt;="&amp;$M8))))&amp;" – "&amp;INDEX(NText,MAX(1,MIN(COUNT(NGrenze),COUNT(NGrenze)+1-COUNTIF(NGrenze,"&lt;="&amp;$M8)))))</f>
        <v/>
      </c>
      <c r="O8" s="109">
        <f>IF($C8="","frei",IF(LEN(IF('Übung 03'!$H$3="","Art fehlt. ","")&amp;IF('Übung 03'!$L$3="","Datum fehlt. ","")&amp;IF('Übung 03'!$C$4="","Status fehlt. ","")&amp;IF('Übung 03'!$H$4="","Kürzel fehlt. ","")&amp;IF(COUNTIF('Übung 03'!$D$11:$D$35,"&gt;0")=0,"Parameter fehlen. ",""))=0,"vollständig","Bitte ergänzen: "&amp;IF('Übung 03'!$H$3="","Art fehlt. ","")&amp;IF('Übung 03'!$L$3="","Datum fehlt. ","")&amp;IF('Übung 03'!$C$4="","Status fehlt. ","")&amp;IF('Übung 03'!$H$4="","Kürzel fehlt. ","")&amp;IF(COUNTIF('Übung 03'!$D$11:$D$35,"&gt;0")=0,"Parameter fehlen. ","")))</f>
        <v/>
      </c>
    </row>
    <row r="9" ht="22" customHeight="1">
      <c r="A9" s="19">
        <f>ROW()-5</f>
        <v/>
      </c>
      <c r="B9" s="101" t="inlineStr">
        <is>
          <t>Übung 04</t>
        </is>
      </c>
      <c r="C9" s="42" t="inlineStr">
        <is>
          <t>Bohren und Senken – Nachholtermin</t>
        </is>
      </c>
      <c r="D9" s="102">
        <f>IF($C9="","",IF('Übung 04'!$H$3="","— fehlt —",'Übung 04'!$H$3))</f>
        <v/>
      </c>
      <c r="E9" s="103">
        <f>IF(OR($C9="",'Übung 04'!$L$3=""),"",'Übung 04'!$L$3)</f>
        <v/>
      </c>
      <c r="F9" s="102">
        <f>IF($C9="","",IF('Übung 04'!$C$4="","— fehlt —",'Übung 04'!$C$4))</f>
        <v/>
      </c>
      <c r="G9" s="102">
        <f>IF($C9="","",'Übung 04'!$H$4)</f>
        <v/>
      </c>
      <c r="H9" s="104">
        <f>IF($C9="","",IF('Übung 04'!$L$4="",1,'Übung 04'!$L$4))</f>
        <v/>
      </c>
      <c r="I9" s="105">
        <f>IF(OR($C9="",'Übung 04'!$Q$4=""),"",'Übung 04'!$Q$4)</f>
        <v/>
      </c>
      <c r="J9" s="106">
        <f>IF($C9="","",COUNTIF('Übung 04'!$D$11:$D$35,"&gt;0"))</f>
        <v/>
      </c>
      <c r="K9" s="104">
        <f>IF($C9="","",SUM('Übung 04'!$D$11:$D$35))</f>
        <v/>
      </c>
      <c r="L9" s="107">
        <f>IF($C9="","",SUM(INDEX(Daten!$C$1385:$V$1484,0,4)))</f>
        <v/>
      </c>
      <c r="M9" s="24">
        <f>IF(OR($C9="",$L9=0),"",SUMPRODUCT(INDEX(Daten!$C$1385:$V$1484,0,4),INDEX(Daten!$C$20:$V$119,0,4))/$L9)</f>
        <v/>
      </c>
      <c r="N9" s="108">
        <f>IF($M9="","",INDEX(Noten,MAX(1,MIN(COUNT(NGrenze),COUNT(NGrenze)+1-COUNTIF(NGrenze,"&lt;="&amp;$M9))))&amp;" – "&amp;INDEX(NText,MAX(1,MIN(COUNT(NGrenze),COUNT(NGrenze)+1-COUNTIF(NGrenze,"&lt;="&amp;$M9)))))</f>
        <v/>
      </c>
      <c r="O9" s="109">
        <f>IF($C9="","frei",IF(LEN(IF('Übung 04'!$H$3="","Art fehlt. ","")&amp;IF('Übung 04'!$L$3="","Datum fehlt. ","")&amp;IF('Übung 04'!$C$4="","Status fehlt. ","")&amp;IF('Übung 04'!$H$4="","Kürzel fehlt. ","")&amp;IF(COUNTIF('Übung 04'!$D$11:$D$35,"&gt;0")=0,"Parameter fehlen. ",""))=0,"vollständig","Bitte ergänzen: "&amp;IF('Übung 04'!$H$3="","Art fehlt. ","")&amp;IF('Übung 04'!$L$3="","Datum fehlt. ","")&amp;IF('Übung 04'!$C$4="","Status fehlt. ","")&amp;IF('Übung 04'!$H$4="","Kürzel fehlt. ","")&amp;IF(COUNTIF('Übung 04'!$D$11:$D$35,"&gt;0")=0,"Parameter fehlen. ","")))</f>
        <v/>
      </c>
    </row>
    <row r="10" ht="22" customHeight="1">
      <c r="A10" s="19">
        <f>ROW()-5</f>
        <v/>
      </c>
      <c r="B10" s="101" t="inlineStr">
        <is>
          <t>Übung 05</t>
        </is>
      </c>
      <c r="C10" s="42" t="n"/>
      <c r="D10" s="102">
        <f>IF($C10="","",IF('Übung 05'!$H$3="","— fehlt —",'Übung 05'!$H$3))</f>
        <v/>
      </c>
      <c r="E10" s="103">
        <f>IF(OR($C10="",'Übung 05'!$L$3=""),"",'Übung 05'!$L$3)</f>
        <v/>
      </c>
      <c r="F10" s="102">
        <f>IF($C10="","",IF('Übung 05'!$C$4="","— fehlt —",'Übung 05'!$C$4))</f>
        <v/>
      </c>
      <c r="G10" s="102">
        <f>IF($C10="","",'Übung 05'!$H$4)</f>
        <v/>
      </c>
      <c r="H10" s="104">
        <f>IF($C10="","",IF('Übung 05'!$L$4="",1,'Übung 05'!$L$4))</f>
        <v/>
      </c>
      <c r="I10" s="105">
        <f>IF(OR($C10="",'Übung 05'!$Q$4=""),"",'Übung 05'!$Q$4)</f>
        <v/>
      </c>
      <c r="J10" s="106">
        <f>IF($C10="","",COUNTIF('Übung 05'!$D$11:$D$35,"&gt;0"))</f>
        <v/>
      </c>
      <c r="K10" s="104">
        <f>IF($C10="","",SUM('Übung 05'!$D$11:$D$35))</f>
        <v/>
      </c>
      <c r="L10" s="107">
        <f>IF($C10="","",SUM(INDEX(Daten!$C$1385:$V$1484,0,5)))</f>
        <v/>
      </c>
      <c r="M10" s="24">
        <f>IF(OR($C10="",$L10=0),"",SUMPRODUCT(INDEX(Daten!$C$1385:$V$1484,0,5),INDEX(Daten!$C$20:$V$119,0,5))/$L10)</f>
        <v/>
      </c>
      <c r="N10" s="108">
        <f>IF($M10="","",INDEX(Noten,MAX(1,MIN(COUNT(NGrenze),COUNT(NGrenze)+1-COUNTIF(NGrenze,"&lt;="&amp;$M10))))&amp;" – "&amp;INDEX(NText,MAX(1,MIN(COUNT(NGrenze),COUNT(NGrenze)+1-COUNTIF(NGrenze,"&lt;="&amp;$M10)))))</f>
        <v/>
      </c>
      <c r="O10" s="109">
        <f>IF($C10="","frei",IF(LEN(IF('Übung 05'!$H$3="","Art fehlt. ","")&amp;IF('Übung 05'!$L$3="","Datum fehlt. ","")&amp;IF('Übung 05'!$C$4="","Status fehlt. ","")&amp;IF('Übung 05'!$H$4="","Kürzel fehlt. ","")&amp;IF(COUNTIF('Übung 05'!$D$11:$D$35,"&gt;0")=0,"Parameter fehlen. ",""))=0,"vollständig","Bitte ergänzen: "&amp;IF('Übung 05'!$H$3="","Art fehlt. ","")&amp;IF('Übung 05'!$L$3="","Datum fehlt. ","")&amp;IF('Übung 05'!$C$4="","Status fehlt. ","")&amp;IF('Übung 05'!$H$4="","Kürzel fehlt. ","")&amp;IF(COUNTIF('Übung 05'!$D$11:$D$35,"&gt;0")=0,"Parameter fehlen. ","")))</f>
        <v/>
      </c>
    </row>
    <row r="11" ht="22" customHeight="1">
      <c r="A11" s="19">
        <f>ROW()-5</f>
        <v/>
      </c>
      <c r="B11" s="101" t="inlineStr">
        <is>
          <t>Übung 06</t>
        </is>
      </c>
      <c r="C11" s="42" t="n"/>
      <c r="D11" s="102">
        <f>IF($C11="","",IF('Übung 06'!$H$3="","— fehlt —",'Übung 06'!$H$3))</f>
        <v/>
      </c>
      <c r="E11" s="103">
        <f>IF(OR($C11="",'Übung 06'!$L$3=""),"",'Übung 06'!$L$3)</f>
        <v/>
      </c>
      <c r="F11" s="102">
        <f>IF($C11="","",IF('Übung 06'!$C$4="","— fehlt —",'Übung 06'!$C$4))</f>
        <v/>
      </c>
      <c r="G11" s="102">
        <f>IF($C11="","",'Übung 06'!$H$4)</f>
        <v/>
      </c>
      <c r="H11" s="104">
        <f>IF($C11="","",IF('Übung 06'!$L$4="",1,'Übung 06'!$L$4))</f>
        <v/>
      </c>
      <c r="I11" s="105">
        <f>IF(OR($C11="",'Übung 06'!$Q$4=""),"",'Übung 06'!$Q$4)</f>
        <v/>
      </c>
      <c r="J11" s="106">
        <f>IF($C11="","",COUNTIF('Übung 06'!$D$11:$D$35,"&gt;0"))</f>
        <v/>
      </c>
      <c r="K11" s="104">
        <f>IF($C11="","",SUM('Übung 06'!$D$11:$D$35))</f>
        <v/>
      </c>
      <c r="L11" s="107">
        <f>IF($C11="","",SUM(INDEX(Daten!$C$1385:$V$1484,0,6)))</f>
        <v/>
      </c>
      <c r="M11" s="24">
        <f>IF(OR($C11="",$L11=0),"",SUMPRODUCT(INDEX(Daten!$C$1385:$V$1484,0,6),INDEX(Daten!$C$20:$V$119,0,6))/$L11)</f>
        <v/>
      </c>
      <c r="N11" s="108">
        <f>IF($M11="","",INDEX(Noten,MAX(1,MIN(COUNT(NGrenze),COUNT(NGrenze)+1-COUNTIF(NGrenze,"&lt;="&amp;$M11))))&amp;" – "&amp;INDEX(NText,MAX(1,MIN(COUNT(NGrenze),COUNT(NGrenze)+1-COUNTIF(NGrenze,"&lt;="&amp;$M11)))))</f>
        <v/>
      </c>
      <c r="O11" s="109">
        <f>IF($C11="","frei",IF(LEN(IF('Übung 06'!$H$3="","Art fehlt. ","")&amp;IF('Übung 06'!$L$3="","Datum fehlt. ","")&amp;IF('Übung 06'!$C$4="","Status fehlt. ","")&amp;IF('Übung 06'!$H$4="","Kürzel fehlt. ","")&amp;IF(COUNTIF('Übung 06'!$D$11:$D$35,"&gt;0")=0,"Parameter fehlen. ",""))=0,"vollständig","Bitte ergänzen: "&amp;IF('Übung 06'!$H$3="","Art fehlt. ","")&amp;IF('Übung 06'!$L$3="","Datum fehlt. ","")&amp;IF('Übung 06'!$C$4="","Status fehlt. ","")&amp;IF('Übung 06'!$H$4="","Kürzel fehlt. ","")&amp;IF(COUNTIF('Übung 06'!$D$11:$D$35,"&gt;0")=0,"Parameter fehlen. ","")))</f>
        <v/>
      </c>
    </row>
    <row r="12" ht="22" customHeight="1">
      <c r="A12" s="19">
        <f>ROW()-5</f>
        <v/>
      </c>
      <c r="B12" s="101" t="inlineStr">
        <is>
          <t>Übung 07</t>
        </is>
      </c>
      <c r="C12" s="42" t="n"/>
      <c r="D12" s="102">
        <f>IF($C12="","",IF('Übung 07'!$H$3="","— fehlt —",'Übung 07'!$H$3))</f>
        <v/>
      </c>
      <c r="E12" s="103">
        <f>IF(OR($C12="",'Übung 07'!$L$3=""),"",'Übung 07'!$L$3)</f>
        <v/>
      </c>
      <c r="F12" s="102">
        <f>IF($C12="","",IF('Übung 07'!$C$4="","— fehlt —",'Übung 07'!$C$4))</f>
        <v/>
      </c>
      <c r="G12" s="102">
        <f>IF($C12="","",'Übung 07'!$H$4)</f>
        <v/>
      </c>
      <c r="H12" s="104">
        <f>IF($C12="","",IF('Übung 07'!$L$4="",1,'Übung 07'!$L$4))</f>
        <v/>
      </c>
      <c r="I12" s="105">
        <f>IF(OR($C12="",'Übung 07'!$Q$4=""),"",'Übung 07'!$Q$4)</f>
        <v/>
      </c>
      <c r="J12" s="106">
        <f>IF($C12="","",COUNTIF('Übung 07'!$D$11:$D$35,"&gt;0"))</f>
        <v/>
      </c>
      <c r="K12" s="104">
        <f>IF($C12="","",SUM('Übung 07'!$D$11:$D$35))</f>
        <v/>
      </c>
      <c r="L12" s="107">
        <f>IF($C12="","",SUM(INDEX(Daten!$C$1385:$V$1484,0,7)))</f>
        <v/>
      </c>
      <c r="M12" s="24">
        <f>IF(OR($C12="",$L12=0),"",SUMPRODUCT(INDEX(Daten!$C$1385:$V$1484,0,7),INDEX(Daten!$C$20:$V$119,0,7))/$L12)</f>
        <v/>
      </c>
      <c r="N12" s="108">
        <f>IF($M12="","",INDEX(Noten,MAX(1,MIN(COUNT(NGrenze),COUNT(NGrenze)+1-COUNTIF(NGrenze,"&lt;="&amp;$M12))))&amp;" – "&amp;INDEX(NText,MAX(1,MIN(COUNT(NGrenze),COUNT(NGrenze)+1-COUNTIF(NGrenze,"&lt;="&amp;$M12)))))</f>
        <v/>
      </c>
      <c r="O12" s="109">
        <f>IF($C12="","frei",IF(LEN(IF('Übung 07'!$H$3="","Art fehlt. ","")&amp;IF('Übung 07'!$L$3="","Datum fehlt. ","")&amp;IF('Übung 07'!$C$4="","Status fehlt. ","")&amp;IF('Übung 07'!$H$4="","Kürzel fehlt. ","")&amp;IF(COUNTIF('Übung 07'!$D$11:$D$35,"&gt;0")=0,"Parameter fehlen. ",""))=0,"vollständig","Bitte ergänzen: "&amp;IF('Übung 07'!$H$3="","Art fehlt. ","")&amp;IF('Übung 07'!$L$3="","Datum fehlt. ","")&amp;IF('Übung 07'!$C$4="","Status fehlt. ","")&amp;IF('Übung 07'!$H$4="","Kürzel fehlt. ","")&amp;IF(COUNTIF('Übung 07'!$D$11:$D$35,"&gt;0")=0,"Parameter fehlen. ","")))</f>
        <v/>
      </c>
    </row>
    <row r="13" ht="22" customHeight="1">
      <c r="A13" s="19">
        <f>ROW()-5</f>
        <v/>
      </c>
      <c r="B13" s="101" t="inlineStr">
        <is>
          <t>Übung 08</t>
        </is>
      </c>
      <c r="C13" s="42" t="n"/>
      <c r="D13" s="102">
        <f>IF($C13="","",IF('Übung 08'!$H$3="","— fehlt —",'Übung 08'!$H$3))</f>
        <v/>
      </c>
      <c r="E13" s="103">
        <f>IF(OR($C13="",'Übung 08'!$L$3=""),"",'Übung 08'!$L$3)</f>
        <v/>
      </c>
      <c r="F13" s="102">
        <f>IF($C13="","",IF('Übung 08'!$C$4="","— fehlt —",'Übung 08'!$C$4))</f>
        <v/>
      </c>
      <c r="G13" s="102">
        <f>IF($C13="","",'Übung 08'!$H$4)</f>
        <v/>
      </c>
      <c r="H13" s="104">
        <f>IF($C13="","",IF('Übung 08'!$L$4="",1,'Übung 08'!$L$4))</f>
        <v/>
      </c>
      <c r="I13" s="105">
        <f>IF(OR($C13="",'Übung 08'!$Q$4=""),"",'Übung 08'!$Q$4)</f>
        <v/>
      </c>
      <c r="J13" s="106">
        <f>IF($C13="","",COUNTIF('Übung 08'!$D$11:$D$35,"&gt;0"))</f>
        <v/>
      </c>
      <c r="K13" s="104">
        <f>IF($C13="","",SUM('Übung 08'!$D$11:$D$35))</f>
        <v/>
      </c>
      <c r="L13" s="107">
        <f>IF($C13="","",SUM(INDEX(Daten!$C$1385:$V$1484,0,8)))</f>
        <v/>
      </c>
      <c r="M13" s="24">
        <f>IF(OR($C13="",$L13=0),"",SUMPRODUCT(INDEX(Daten!$C$1385:$V$1484,0,8),INDEX(Daten!$C$20:$V$119,0,8))/$L13)</f>
        <v/>
      </c>
      <c r="N13" s="108">
        <f>IF($M13="","",INDEX(Noten,MAX(1,MIN(COUNT(NGrenze),COUNT(NGrenze)+1-COUNTIF(NGrenze,"&lt;="&amp;$M13))))&amp;" – "&amp;INDEX(NText,MAX(1,MIN(COUNT(NGrenze),COUNT(NGrenze)+1-COUNTIF(NGrenze,"&lt;="&amp;$M13)))))</f>
        <v/>
      </c>
      <c r="O13" s="109">
        <f>IF($C13="","frei",IF(LEN(IF('Übung 08'!$H$3="","Art fehlt. ","")&amp;IF('Übung 08'!$L$3="","Datum fehlt. ","")&amp;IF('Übung 08'!$C$4="","Status fehlt. ","")&amp;IF('Übung 08'!$H$4="","Kürzel fehlt. ","")&amp;IF(COUNTIF('Übung 08'!$D$11:$D$35,"&gt;0")=0,"Parameter fehlen. ",""))=0,"vollständig","Bitte ergänzen: "&amp;IF('Übung 08'!$H$3="","Art fehlt. ","")&amp;IF('Übung 08'!$L$3="","Datum fehlt. ","")&amp;IF('Übung 08'!$C$4="","Status fehlt. ","")&amp;IF('Übung 08'!$H$4="","Kürzel fehlt. ","")&amp;IF(COUNTIF('Übung 08'!$D$11:$D$35,"&gt;0")=0,"Parameter fehlen. ","")))</f>
        <v/>
      </c>
    </row>
    <row r="14" ht="22" customHeight="1">
      <c r="A14" s="19">
        <f>ROW()-5</f>
        <v/>
      </c>
      <c r="B14" s="101" t="inlineStr">
        <is>
          <t>Übung 09</t>
        </is>
      </c>
      <c r="C14" s="42" t="n"/>
      <c r="D14" s="102">
        <f>IF($C14="","",IF('Übung 09'!$H$3="","— fehlt —",'Übung 09'!$H$3))</f>
        <v/>
      </c>
      <c r="E14" s="103">
        <f>IF(OR($C14="",'Übung 09'!$L$3=""),"",'Übung 09'!$L$3)</f>
        <v/>
      </c>
      <c r="F14" s="102">
        <f>IF($C14="","",IF('Übung 09'!$C$4="","— fehlt —",'Übung 09'!$C$4))</f>
        <v/>
      </c>
      <c r="G14" s="102">
        <f>IF($C14="","",'Übung 09'!$H$4)</f>
        <v/>
      </c>
      <c r="H14" s="104">
        <f>IF($C14="","",IF('Übung 09'!$L$4="",1,'Übung 09'!$L$4))</f>
        <v/>
      </c>
      <c r="I14" s="105">
        <f>IF(OR($C14="",'Übung 09'!$Q$4=""),"",'Übung 09'!$Q$4)</f>
        <v/>
      </c>
      <c r="J14" s="106">
        <f>IF($C14="","",COUNTIF('Übung 09'!$D$11:$D$35,"&gt;0"))</f>
        <v/>
      </c>
      <c r="K14" s="104">
        <f>IF($C14="","",SUM('Übung 09'!$D$11:$D$35))</f>
        <v/>
      </c>
      <c r="L14" s="107">
        <f>IF($C14="","",SUM(INDEX(Daten!$C$1385:$V$1484,0,9)))</f>
        <v/>
      </c>
      <c r="M14" s="24">
        <f>IF(OR($C14="",$L14=0),"",SUMPRODUCT(INDEX(Daten!$C$1385:$V$1484,0,9),INDEX(Daten!$C$20:$V$119,0,9))/$L14)</f>
        <v/>
      </c>
      <c r="N14" s="108">
        <f>IF($M14="","",INDEX(Noten,MAX(1,MIN(COUNT(NGrenze),COUNT(NGrenze)+1-COUNTIF(NGrenze,"&lt;="&amp;$M14))))&amp;" – "&amp;INDEX(NText,MAX(1,MIN(COUNT(NGrenze),COUNT(NGrenze)+1-COUNTIF(NGrenze,"&lt;="&amp;$M14)))))</f>
        <v/>
      </c>
      <c r="O14" s="109">
        <f>IF($C14="","frei",IF(LEN(IF('Übung 09'!$H$3="","Art fehlt. ","")&amp;IF('Übung 09'!$L$3="","Datum fehlt. ","")&amp;IF('Übung 09'!$C$4="","Status fehlt. ","")&amp;IF('Übung 09'!$H$4="","Kürzel fehlt. ","")&amp;IF(COUNTIF('Übung 09'!$D$11:$D$35,"&gt;0")=0,"Parameter fehlen. ",""))=0,"vollständig","Bitte ergänzen: "&amp;IF('Übung 09'!$H$3="","Art fehlt. ","")&amp;IF('Übung 09'!$L$3="","Datum fehlt. ","")&amp;IF('Übung 09'!$C$4="","Status fehlt. ","")&amp;IF('Übung 09'!$H$4="","Kürzel fehlt. ","")&amp;IF(COUNTIF('Übung 09'!$D$11:$D$35,"&gt;0")=0,"Parameter fehlen. ","")))</f>
        <v/>
      </c>
    </row>
    <row r="15" ht="22" customHeight="1">
      <c r="A15" s="19">
        <f>ROW()-5</f>
        <v/>
      </c>
      <c r="B15" s="101" t="inlineStr">
        <is>
          <t>Übung 10</t>
        </is>
      </c>
      <c r="C15" s="42" t="n"/>
      <c r="D15" s="102">
        <f>IF($C15="","",IF('Übung 10'!$H$3="","— fehlt —",'Übung 10'!$H$3))</f>
        <v/>
      </c>
      <c r="E15" s="103">
        <f>IF(OR($C15="",'Übung 10'!$L$3=""),"",'Übung 10'!$L$3)</f>
        <v/>
      </c>
      <c r="F15" s="102">
        <f>IF($C15="","",IF('Übung 10'!$C$4="","— fehlt —",'Übung 10'!$C$4))</f>
        <v/>
      </c>
      <c r="G15" s="102">
        <f>IF($C15="","",'Übung 10'!$H$4)</f>
        <v/>
      </c>
      <c r="H15" s="104">
        <f>IF($C15="","",IF('Übung 10'!$L$4="",1,'Übung 10'!$L$4))</f>
        <v/>
      </c>
      <c r="I15" s="105">
        <f>IF(OR($C15="",'Übung 10'!$Q$4=""),"",'Übung 10'!$Q$4)</f>
        <v/>
      </c>
      <c r="J15" s="106">
        <f>IF($C15="","",COUNTIF('Übung 10'!$D$11:$D$35,"&gt;0"))</f>
        <v/>
      </c>
      <c r="K15" s="104">
        <f>IF($C15="","",SUM('Übung 10'!$D$11:$D$35))</f>
        <v/>
      </c>
      <c r="L15" s="107">
        <f>IF($C15="","",SUM(INDEX(Daten!$C$1385:$V$1484,0,10)))</f>
        <v/>
      </c>
      <c r="M15" s="24">
        <f>IF(OR($C15="",$L15=0),"",SUMPRODUCT(INDEX(Daten!$C$1385:$V$1484,0,10),INDEX(Daten!$C$20:$V$119,0,10))/$L15)</f>
        <v/>
      </c>
      <c r="N15" s="108">
        <f>IF($M15="","",INDEX(Noten,MAX(1,MIN(COUNT(NGrenze),COUNT(NGrenze)+1-COUNTIF(NGrenze,"&lt;="&amp;$M15))))&amp;" – "&amp;INDEX(NText,MAX(1,MIN(COUNT(NGrenze),COUNT(NGrenze)+1-COUNTIF(NGrenze,"&lt;="&amp;$M15)))))</f>
        <v/>
      </c>
      <c r="O15" s="109">
        <f>IF($C15="","frei",IF(LEN(IF('Übung 10'!$H$3="","Art fehlt. ","")&amp;IF('Übung 10'!$L$3="","Datum fehlt. ","")&amp;IF('Übung 10'!$C$4="","Status fehlt. ","")&amp;IF('Übung 10'!$H$4="","Kürzel fehlt. ","")&amp;IF(COUNTIF('Übung 10'!$D$11:$D$35,"&gt;0")=0,"Parameter fehlen. ",""))=0,"vollständig","Bitte ergänzen: "&amp;IF('Übung 10'!$H$3="","Art fehlt. ","")&amp;IF('Übung 10'!$L$3="","Datum fehlt. ","")&amp;IF('Übung 10'!$C$4="","Status fehlt. ","")&amp;IF('Übung 10'!$H$4="","Kürzel fehlt. ","")&amp;IF(COUNTIF('Übung 10'!$D$11:$D$35,"&gt;0")=0,"Parameter fehlen. ","")))</f>
        <v/>
      </c>
    </row>
    <row r="16" ht="22" customHeight="1">
      <c r="A16" s="19">
        <f>ROW()-5</f>
        <v/>
      </c>
      <c r="B16" s="101" t="inlineStr">
        <is>
          <t>Übung 11</t>
        </is>
      </c>
      <c r="C16" s="42" t="n"/>
      <c r="D16" s="102">
        <f>IF($C16="","",IF('Übung 11'!$H$3="","— fehlt —",'Übung 11'!$H$3))</f>
        <v/>
      </c>
      <c r="E16" s="103">
        <f>IF(OR($C16="",'Übung 11'!$L$3=""),"",'Übung 11'!$L$3)</f>
        <v/>
      </c>
      <c r="F16" s="102">
        <f>IF($C16="","",IF('Übung 11'!$C$4="","— fehlt —",'Übung 11'!$C$4))</f>
        <v/>
      </c>
      <c r="G16" s="102">
        <f>IF($C16="","",'Übung 11'!$H$4)</f>
        <v/>
      </c>
      <c r="H16" s="104">
        <f>IF($C16="","",IF('Übung 11'!$L$4="",1,'Übung 11'!$L$4))</f>
        <v/>
      </c>
      <c r="I16" s="105">
        <f>IF(OR($C16="",'Übung 11'!$Q$4=""),"",'Übung 11'!$Q$4)</f>
        <v/>
      </c>
      <c r="J16" s="106">
        <f>IF($C16="","",COUNTIF('Übung 11'!$D$11:$D$35,"&gt;0"))</f>
        <v/>
      </c>
      <c r="K16" s="104">
        <f>IF($C16="","",SUM('Übung 11'!$D$11:$D$35))</f>
        <v/>
      </c>
      <c r="L16" s="107">
        <f>IF($C16="","",SUM(INDEX(Daten!$C$1385:$V$1484,0,11)))</f>
        <v/>
      </c>
      <c r="M16" s="24">
        <f>IF(OR($C16="",$L16=0),"",SUMPRODUCT(INDEX(Daten!$C$1385:$V$1484,0,11),INDEX(Daten!$C$20:$V$119,0,11))/$L16)</f>
        <v/>
      </c>
      <c r="N16" s="108">
        <f>IF($M16="","",INDEX(Noten,MAX(1,MIN(COUNT(NGrenze),COUNT(NGrenze)+1-COUNTIF(NGrenze,"&lt;="&amp;$M16))))&amp;" – "&amp;INDEX(NText,MAX(1,MIN(COUNT(NGrenze),COUNT(NGrenze)+1-COUNTIF(NGrenze,"&lt;="&amp;$M16)))))</f>
        <v/>
      </c>
      <c r="O16" s="109">
        <f>IF($C16="","frei",IF(LEN(IF('Übung 11'!$H$3="","Art fehlt. ","")&amp;IF('Übung 11'!$L$3="","Datum fehlt. ","")&amp;IF('Übung 11'!$C$4="","Status fehlt. ","")&amp;IF('Übung 11'!$H$4="","Kürzel fehlt. ","")&amp;IF(COUNTIF('Übung 11'!$D$11:$D$35,"&gt;0")=0,"Parameter fehlen. ",""))=0,"vollständig","Bitte ergänzen: "&amp;IF('Übung 11'!$H$3="","Art fehlt. ","")&amp;IF('Übung 11'!$L$3="","Datum fehlt. ","")&amp;IF('Übung 11'!$C$4="","Status fehlt. ","")&amp;IF('Übung 11'!$H$4="","Kürzel fehlt. ","")&amp;IF(COUNTIF('Übung 11'!$D$11:$D$35,"&gt;0")=0,"Parameter fehlen. ","")))</f>
        <v/>
      </c>
    </row>
    <row r="17" ht="22" customHeight="1">
      <c r="A17" s="19">
        <f>ROW()-5</f>
        <v/>
      </c>
      <c r="B17" s="101" t="inlineStr">
        <is>
          <t>Übung 12</t>
        </is>
      </c>
      <c r="C17" s="42" t="n"/>
      <c r="D17" s="102">
        <f>IF($C17="","",IF('Übung 12'!$H$3="","— fehlt —",'Übung 12'!$H$3))</f>
        <v/>
      </c>
      <c r="E17" s="103">
        <f>IF(OR($C17="",'Übung 12'!$L$3=""),"",'Übung 12'!$L$3)</f>
        <v/>
      </c>
      <c r="F17" s="102">
        <f>IF($C17="","",IF('Übung 12'!$C$4="","— fehlt —",'Übung 12'!$C$4))</f>
        <v/>
      </c>
      <c r="G17" s="102">
        <f>IF($C17="","",'Übung 12'!$H$4)</f>
        <v/>
      </c>
      <c r="H17" s="104">
        <f>IF($C17="","",IF('Übung 12'!$L$4="",1,'Übung 12'!$L$4))</f>
        <v/>
      </c>
      <c r="I17" s="105">
        <f>IF(OR($C17="",'Übung 12'!$Q$4=""),"",'Übung 12'!$Q$4)</f>
        <v/>
      </c>
      <c r="J17" s="106">
        <f>IF($C17="","",COUNTIF('Übung 12'!$D$11:$D$35,"&gt;0"))</f>
        <v/>
      </c>
      <c r="K17" s="104">
        <f>IF($C17="","",SUM('Übung 12'!$D$11:$D$35))</f>
        <v/>
      </c>
      <c r="L17" s="107">
        <f>IF($C17="","",SUM(INDEX(Daten!$C$1385:$V$1484,0,12)))</f>
        <v/>
      </c>
      <c r="M17" s="24">
        <f>IF(OR($C17="",$L17=0),"",SUMPRODUCT(INDEX(Daten!$C$1385:$V$1484,0,12),INDEX(Daten!$C$20:$V$119,0,12))/$L17)</f>
        <v/>
      </c>
      <c r="N17" s="108">
        <f>IF($M17="","",INDEX(Noten,MAX(1,MIN(COUNT(NGrenze),COUNT(NGrenze)+1-COUNTIF(NGrenze,"&lt;="&amp;$M17))))&amp;" – "&amp;INDEX(NText,MAX(1,MIN(COUNT(NGrenze),COUNT(NGrenze)+1-COUNTIF(NGrenze,"&lt;="&amp;$M17)))))</f>
        <v/>
      </c>
      <c r="O17" s="109">
        <f>IF($C17="","frei",IF(LEN(IF('Übung 12'!$H$3="","Art fehlt. ","")&amp;IF('Übung 12'!$L$3="","Datum fehlt. ","")&amp;IF('Übung 12'!$C$4="","Status fehlt. ","")&amp;IF('Übung 12'!$H$4="","Kürzel fehlt. ","")&amp;IF(COUNTIF('Übung 12'!$D$11:$D$35,"&gt;0")=0,"Parameter fehlen. ",""))=0,"vollständig","Bitte ergänzen: "&amp;IF('Übung 12'!$H$3="","Art fehlt. ","")&amp;IF('Übung 12'!$L$3="","Datum fehlt. ","")&amp;IF('Übung 12'!$C$4="","Status fehlt. ","")&amp;IF('Übung 12'!$H$4="","Kürzel fehlt. ","")&amp;IF(COUNTIF('Übung 12'!$D$11:$D$35,"&gt;0")=0,"Parameter fehlen. ","")))</f>
        <v/>
      </c>
    </row>
    <row r="18" ht="22" customHeight="1">
      <c r="A18" s="19">
        <f>ROW()-5</f>
        <v/>
      </c>
      <c r="B18" s="101" t="inlineStr">
        <is>
          <t>Übung 13</t>
        </is>
      </c>
      <c r="C18" s="42" t="n"/>
      <c r="D18" s="102">
        <f>IF($C18="","",IF('Übung 13'!$H$3="","— fehlt —",'Übung 13'!$H$3))</f>
        <v/>
      </c>
      <c r="E18" s="103">
        <f>IF(OR($C18="",'Übung 13'!$L$3=""),"",'Übung 13'!$L$3)</f>
        <v/>
      </c>
      <c r="F18" s="102">
        <f>IF($C18="","",IF('Übung 13'!$C$4="","— fehlt —",'Übung 13'!$C$4))</f>
        <v/>
      </c>
      <c r="G18" s="102">
        <f>IF($C18="","",'Übung 13'!$H$4)</f>
        <v/>
      </c>
      <c r="H18" s="104">
        <f>IF($C18="","",IF('Übung 13'!$L$4="",1,'Übung 13'!$L$4))</f>
        <v/>
      </c>
      <c r="I18" s="105">
        <f>IF(OR($C18="",'Übung 13'!$Q$4=""),"",'Übung 13'!$Q$4)</f>
        <v/>
      </c>
      <c r="J18" s="106">
        <f>IF($C18="","",COUNTIF('Übung 13'!$D$11:$D$35,"&gt;0"))</f>
        <v/>
      </c>
      <c r="K18" s="104">
        <f>IF($C18="","",SUM('Übung 13'!$D$11:$D$35))</f>
        <v/>
      </c>
      <c r="L18" s="107">
        <f>IF($C18="","",SUM(INDEX(Daten!$C$1385:$V$1484,0,13)))</f>
        <v/>
      </c>
      <c r="M18" s="24">
        <f>IF(OR($C18="",$L18=0),"",SUMPRODUCT(INDEX(Daten!$C$1385:$V$1484,0,13),INDEX(Daten!$C$20:$V$119,0,13))/$L18)</f>
        <v/>
      </c>
      <c r="N18" s="108">
        <f>IF($M18="","",INDEX(Noten,MAX(1,MIN(COUNT(NGrenze),COUNT(NGrenze)+1-COUNTIF(NGrenze,"&lt;="&amp;$M18))))&amp;" – "&amp;INDEX(NText,MAX(1,MIN(COUNT(NGrenze),COUNT(NGrenze)+1-COUNTIF(NGrenze,"&lt;="&amp;$M18)))))</f>
        <v/>
      </c>
      <c r="O18" s="109">
        <f>IF($C18="","frei",IF(LEN(IF('Übung 13'!$H$3="","Art fehlt. ","")&amp;IF('Übung 13'!$L$3="","Datum fehlt. ","")&amp;IF('Übung 13'!$C$4="","Status fehlt. ","")&amp;IF('Übung 13'!$H$4="","Kürzel fehlt. ","")&amp;IF(COUNTIF('Übung 13'!$D$11:$D$35,"&gt;0")=0,"Parameter fehlen. ",""))=0,"vollständig","Bitte ergänzen: "&amp;IF('Übung 13'!$H$3="","Art fehlt. ","")&amp;IF('Übung 13'!$L$3="","Datum fehlt. ","")&amp;IF('Übung 13'!$C$4="","Status fehlt. ","")&amp;IF('Übung 13'!$H$4="","Kürzel fehlt. ","")&amp;IF(COUNTIF('Übung 13'!$D$11:$D$35,"&gt;0")=0,"Parameter fehlen. ","")))</f>
        <v/>
      </c>
    </row>
    <row r="19" ht="22" customHeight="1">
      <c r="A19" s="19">
        <f>ROW()-5</f>
        <v/>
      </c>
      <c r="B19" s="101" t="inlineStr">
        <is>
          <t>Übung 14</t>
        </is>
      </c>
      <c r="C19" s="42" t="n"/>
      <c r="D19" s="102">
        <f>IF($C19="","",IF('Übung 14'!$H$3="","— fehlt —",'Übung 14'!$H$3))</f>
        <v/>
      </c>
      <c r="E19" s="103">
        <f>IF(OR($C19="",'Übung 14'!$L$3=""),"",'Übung 14'!$L$3)</f>
        <v/>
      </c>
      <c r="F19" s="102">
        <f>IF($C19="","",IF('Übung 14'!$C$4="","— fehlt —",'Übung 14'!$C$4))</f>
        <v/>
      </c>
      <c r="G19" s="102">
        <f>IF($C19="","",'Übung 14'!$H$4)</f>
        <v/>
      </c>
      <c r="H19" s="104">
        <f>IF($C19="","",IF('Übung 14'!$L$4="",1,'Übung 14'!$L$4))</f>
        <v/>
      </c>
      <c r="I19" s="105">
        <f>IF(OR($C19="",'Übung 14'!$Q$4=""),"",'Übung 14'!$Q$4)</f>
        <v/>
      </c>
      <c r="J19" s="106">
        <f>IF($C19="","",COUNTIF('Übung 14'!$D$11:$D$35,"&gt;0"))</f>
        <v/>
      </c>
      <c r="K19" s="104">
        <f>IF($C19="","",SUM('Übung 14'!$D$11:$D$35))</f>
        <v/>
      </c>
      <c r="L19" s="107">
        <f>IF($C19="","",SUM(INDEX(Daten!$C$1385:$V$1484,0,14)))</f>
        <v/>
      </c>
      <c r="M19" s="24">
        <f>IF(OR($C19="",$L19=0),"",SUMPRODUCT(INDEX(Daten!$C$1385:$V$1484,0,14),INDEX(Daten!$C$20:$V$119,0,14))/$L19)</f>
        <v/>
      </c>
      <c r="N19" s="108">
        <f>IF($M19="","",INDEX(Noten,MAX(1,MIN(COUNT(NGrenze),COUNT(NGrenze)+1-COUNTIF(NGrenze,"&lt;="&amp;$M19))))&amp;" – "&amp;INDEX(NText,MAX(1,MIN(COUNT(NGrenze),COUNT(NGrenze)+1-COUNTIF(NGrenze,"&lt;="&amp;$M19)))))</f>
        <v/>
      </c>
      <c r="O19" s="109">
        <f>IF($C19="","frei",IF(LEN(IF('Übung 14'!$H$3="","Art fehlt. ","")&amp;IF('Übung 14'!$L$3="","Datum fehlt. ","")&amp;IF('Übung 14'!$C$4="","Status fehlt. ","")&amp;IF('Übung 14'!$H$4="","Kürzel fehlt. ","")&amp;IF(COUNTIF('Übung 14'!$D$11:$D$35,"&gt;0")=0,"Parameter fehlen. ",""))=0,"vollständig","Bitte ergänzen: "&amp;IF('Übung 14'!$H$3="","Art fehlt. ","")&amp;IF('Übung 14'!$L$3="","Datum fehlt. ","")&amp;IF('Übung 14'!$C$4="","Status fehlt. ","")&amp;IF('Übung 14'!$H$4="","Kürzel fehlt. ","")&amp;IF(COUNTIF('Übung 14'!$D$11:$D$35,"&gt;0")=0,"Parameter fehlen. ","")))</f>
        <v/>
      </c>
    </row>
    <row r="20" ht="22" customHeight="1">
      <c r="A20" s="19">
        <f>ROW()-5</f>
        <v/>
      </c>
      <c r="B20" s="101" t="inlineStr">
        <is>
          <t>Übung 15</t>
        </is>
      </c>
      <c r="C20" s="42" t="n"/>
      <c r="D20" s="102">
        <f>IF($C20="","",IF('Übung 15'!$H$3="","— fehlt —",'Übung 15'!$H$3))</f>
        <v/>
      </c>
      <c r="E20" s="103">
        <f>IF(OR($C20="",'Übung 15'!$L$3=""),"",'Übung 15'!$L$3)</f>
        <v/>
      </c>
      <c r="F20" s="102">
        <f>IF($C20="","",IF('Übung 15'!$C$4="","— fehlt —",'Übung 15'!$C$4))</f>
        <v/>
      </c>
      <c r="G20" s="102">
        <f>IF($C20="","",'Übung 15'!$H$4)</f>
        <v/>
      </c>
      <c r="H20" s="104">
        <f>IF($C20="","",IF('Übung 15'!$L$4="",1,'Übung 15'!$L$4))</f>
        <v/>
      </c>
      <c r="I20" s="105">
        <f>IF(OR($C20="",'Übung 15'!$Q$4=""),"",'Übung 15'!$Q$4)</f>
        <v/>
      </c>
      <c r="J20" s="106">
        <f>IF($C20="","",COUNTIF('Übung 15'!$D$11:$D$35,"&gt;0"))</f>
        <v/>
      </c>
      <c r="K20" s="104">
        <f>IF($C20="","",SUM('Übung 15'!$D$11:$D$35))</f>
        <v/>
      </c>
      <c r="L20" s="107">
        <f>IF($C20="","",SUM(INDEX(Daten!$C$1385:$V$1484,0,15)))</f>
        <v/>
      </c>
      <c r="M20" s="24">
        <f>IF(OR($C20="",$L20=0),"",SUMPRODUCT(INDEX(Daten!$C$1385:$V$1484,0,15),INDEX(Daten!$C$20:$V$119,0,15))/$L20)</f>
        <v/>
      </c>
      <c r="N20" s="108">
        <f>IF($M20="","",INDEX(Noten,MAX(1,MIN(COUNT(NGrenze),COUNT(NGrenze)+1-COUNTIF(NGrenze,"&lt;="&amp;$M20))))&amp;" – "&amp;INDEX(NText,MAX(1,MIN(COUNT(NGrenze),COUNT(NGrenze)+1-COUNTIF(NGrenze,"&lt;="&amp;$M20)))))</f>
        <v/>
      </c>
      <c r="O20" s="109">
        <f>IF($C20="","frei",IF(LEN(IF('Übung 15'!$H$3="","Art fehlt. ","")&amp;IF('Übung 15'!$L$3="","Datum fehlt. ","")&amp;IF('Übung 15'!$C$4="","Status fehlt. ","")&amp;IF('Übung 15'!$H$4="","Kürzel fehlt. ","")&amp;IF(COUNTIF('Übung 15'!$D$11:$D$35,"&gt;0")=0,"Parameter fehlen. ",""))=0,"vollständig","Bitte ergänzen: "&amp;IF('Übung 15'!$H$3="","Art fehlt. ","")&amp;IF('Übung 15'!$L$3="","Datum fehlt. ","")&amp;IF('Übung 15'!$C$4="","Status fehlt. ","")&amp;IF('Übung 15'!$H$4="","Kürzel fehlt. ","")&amp;IF(COUNTIF('Übung 15'!$D$11:$D$35,"&gt;0")=0,"Parameter fehlen. ","")))</f>
        <v/>
      </c>
    </row>
    <row r="21" ht="22" customHeight="1">
      <c r="A21" s="19">
        <f>ROW()-5</f>
        <v/>
      </c>
      <c r="B21" s="101" t="inlineStr">
        <is>
          <t>Übung 16</t>
        </is>
      </c>
      <c r="C21" s="42" t="n"/>
      <c r="D21" s="102">
        <f>IF($C21="","",IF('Übung 16'!$H$3="","— fehlt —",'Übung 16'!$H$3))</f>
        <v/>
      </c>
      <c r="E21" s="103">
        <f>IF(OR($C21="",'Übung 16'!$L$3=""),"",'Übung 16'!$L$3)</f>
        <v/>
      </c>
      <c r="F21" s="102">
        <f>IF($C21="","",IF('Übung 16'!$C$4="","— fehlt —",'Übung 16'!$C$4))</f>
        <v/>
      </c>
      <c r="G21" s="102">
        <f>IF($C21="","",'Übung 16'!$H$4)</f>
        <v/>
      </c>
      <c r="H21" s="104">
        <f>IF($C21="","",IF('Übung 16'!$L$4="",1,'Übung 16'!$L$4))</f>
        <v/>
      </c>
      <c r="I21" s="105">
        <f>IF(OR($C21="",'Übung 16'!$Q$4=""),"",'Übung 16'!$Q$4)</f>
        <v/>
      </c>
      <c r="J21" s="106">
        <f>IF($C21="","",COUNTIF('Übung 16'!$D$11:$D$35,"&gt;0"))</f>
        <v/>
      </c>
      <c r="K21" s="104">
        <f>IF($C21="","",SUM('Übung 16'!$D$11:$D$35))</f>
        <v/>
      </c>
      <c r="L21" s="107">
        <f>IF($C21="","",SUM(INDEX(Daten!$C$1385:$V$1484,0,16)))</f>
        <v/>
      </c>
      <c r="M21" s="24">
        <f>IF(OR($C21="",$L21=0),"",SUMPRODUCT(INDEX(Daten!$C$1385:$V$1484,0,16),INDEX(Daten!$C$20:$V$119,0,16))/$L21)</f>
        <v/>
      </c>
      <c r="N21" s="108">
        <f>IF($M21="","",INDEX(Noten,MAX(1,MIN(COUNT(NGrenze),COUNT(NGrenze)+1-COUNTIF(NGrenze,"&lt;="&amp;$M21))))&amp;" – "&amp;INDEX(NText,MAX(1,MIN(COUNT(NGrenze),COUNT(NGrenze)+1-COUNTIF(NGrenze,"&lt;="&amp;$M21)))))</f>
        <v/>
      </c>
      <c r="O21" s="109">
        <f>IF($C21="","frei",IF(LEN(IF('Übung 16'!$H$3="","Art fehlt. ","")&amp;IF('Übung 16'!$L$3="","Datum fehlt. ","")&amp;IF('Übung 16'!$C$4="","Status fehlt. ","")&amp;IF('Übung 16'!$H$4="","Kürzel fehlt. ","")&amp;IF(COUNTIF('Übung 16'!$D$11:$D$35,"&gt;0")=0,"Parameter fehlen. ",""))=0,"vollständig","Bitte ergänzen: "&amp;IF('Übung 16'!$H$3="","Art fehlt. ","")&amp;IF('Übung 16'!$L$3="","Datum fehlt. ","")&amp;IF('Übung 16'!$C$4="","Status fehlt. ","")&amp;IF('Übung 16'!$H$4="","Kürzel fehlt. ","")&amp;IF(COUNTIF('Übung 16'!$D$11:$D$35,"&gt;0")=0,"Parameter fehlen. ","")))</f>
        <v/>
      </c>
    </row>
    <row r="22" ht="22" customHeight="1">
      <c r="A22" s="19">
        <f>ROW()-5</f>
        <v/>
      </c>
      <c r="B22" s="101" t="inlineStr">
        <is>
          <t>Übung 17</t>
        </is>
      </c>
      <c r="C22" s="42" t="n"/>
      <c r="D22" s="102">
        <f>IF($C22="","",IF('Übung 17'!$H$3="","— fehlt —",'Übung 17'!$H$3))</f>
        <v/>
      </c>
      <c r="E22" s="103">
        <f>IF(OR($C22="",'Übung 17'!$L$3=""),"",'Übung 17'!$L$3)</f>
        <v/>
      </c>
      <c r="F22" s="102">
        <f>IF($C22="","",IF('Übung 17'!$C$4="","— fehlt —",'Übung 17'!$C$4))</f>
        <v/>
      </c>
      <c r="G22" s="102">
        <f>IF($C22="","",'Übung 17'!$H$4)</f>
        <v/>
      </c>
      <c r="H22" s="104">
        <f>IF($C22="","",IF('Übung 17'!$L$4="",1,'Übung 17'!$L$4))</f>
        <v/>
      </c>
      <c r="I22" s="105">
        <f>IF(OR($C22="",'Übung 17'!$Q$4=""),"",'Übung 17'!$Q$4)</f>
        <v/>
      </c>
      <c r="J22" s="106">
        <f>IF($C22="","",COUNTIF('Übung 17'!$D$11:$D$35,"&gt;0"))</f>
        <v/>
      </c>
      <c r="K22" s="104">
        <f>IF($C22="","",SUM('Übung 17'!$D$11:$D$35))</f>
        <v/>
      </c>
      <c r="L22" s="107">
        <f>IF($C22="","",SUM(INDEX(Daten!$C$1385:$V$1484,0,17)))</f>
        <v/>
      </c>
      <c r="M22" s="24">
        <f>IF(OR($C22="",$L22=0),"",SUMPRODUCT(INDEX(Daten!$C$1385:$V$1484,0,17),INDEX(Daten!$C$20:$V$119,0,17))/$L22)</f>
        <v/>
      </c>
      <c r="N22" s="108">
        <f>IF($M22="","",INDEX(Noten,MAX(1,MIN(COUNT(NGrenze),COUNT(NGrenze)+1-COUNTIF(NGrenze,"&lt;="&amp;$M22))))&amp;" – "&amp;INDEX(NText,MAX(1,MIN(COUNT(NGrenze),COUNT(NGrenze)+1-COUNTIF(NGrenze,"&lt;="&amp;$M22)))))</f>
        <v/>
      </c>
      <c r="O22" s="109">
        <f>IF($C22="","frei",IF(LEN(IF('Übung 17'!$H$3="","Art fehlt. ","")&amp;IF('Übung 17'!$L$3="","Datum fehlt. ","")&amp;IF('Übung 17'!$C$4="","Status fehlt. ","")&amp;IF('Übung 17'!$H$4="","Kürzel fehlt. ","")&amp;IF(COUNTIF('Übung 17'!$D$11:$D$35,"&gt;0")=0,"Parameter fehlen. ",""))=0,"vollständig","Bitte ergänzen: "&amp;IF('Übung 17'!$H$3="","Art fehlt. ","")&amp;IF('Übung 17'!$L$3="","Datum fehlt. ","")&amp;IF('Übung 17'!$C$4="","Status fehlt. ","")&amp;IF('Übung 17'!$H$4="","Kürzel fehlt. ","")&amp;IF(COUNTIF('Übung 17'!$D$11:$D$35,"&gt;0")=0,"Parameter fehlen. ","")))</f>
        <v/>
      </c>
    </row>
    <row r="23" ht="22" customHeight="1">
      <c r="A23" s="19">
        <f>ROW()-5</f>
        <v/>
      </c>
      <c r="B23" s="101" t="inlineStr">
        <is>
          <t>Übung 18</t>
        </is>
      </c>
      <c r="C23" s="42" t="n"/>
      <c r="D23" s="102">
        <f>IF($C23="","",IF('Übung 18'!$H$3="","— fehlt —",'Übung 18'!$H$3))</f>
        <v/>
      </c>
      <c r="E23" s="103">
        <f>IF(OR($C23="",'Übung 18'!$L$3=""),"",'Übung 18'!$L$3)</f>
        <v/>
      </c>
      <c r="F23" s="102">
        <f>IF($C23="","",IF('Übung 18'!$C$4="","— fehlt —",'Übung 18'!$C$4))</f>
        <v/>
      </c>
      <c r="G23" s="102">
        <f>IF($C23="","",'Übung 18'!$H$4)</f>
        <v/>
      </c>
      <c r="H23" s="104">
        <f>IF($C23="","",IF('Übung 18'!$L$4="",1,'Übung 18'!$L$4))</f>
        <v/>
      </c>
      <c r="I23" s="105">
        <f>IF(OR($C23="",'Übung 18'!$Q$4=""),"",'Übung 18'!$Q$4)</f>
        <v/>
      </c>
      <c r="J23" s="106">
        <f>IF($C23="","",COUNTIF('Übung 18'!$D$11:$D$35,"&gt;0"))</f>
        <v/>
      </c>
      <c r="K23" s="104">
        <f>IF($C23="","",SUM('Übung 18'!$D$11:$D$35))</f>
        <v/>
      </c>
      <c r="L23" s="107">
        <f>IF($C23="","",SUM(INDEX(Daten!$C$1385:$V$1484,0,18)))</f>
        <v/>
      </c>
      <c r="M23" s="24">
        <f>IF(OR($C23="",$L23=0),"",SUMPRODUCT(INDEX(Daten!$C$1385:$V$1484,0,18),INDEX(Daten!$C$20:$V$119,0,18))/$L23)</f>
        <v/>
      </c>
      <c r="N23" s="108">
        <f>IF($M23="","",INDEX(Noten,MAX(1,MIN(COUNT(NGrenze),COUNT(NGrenze)+1-COUNTIF(NGrenze,"&lt;="&amp;$M23))))&amp;" – "&amp;INDEX(NText,MAX(1,MIN(COUNT(NGrenze),COUNT(NGrenze)+1-COUNTIF(NGrenze,"&lt;="&amp;$M23)))))</f>
        <v/>
      </c>
      <c r="O23" s="109">
        <f>IF($C23="","frei",IF(LEN(IF('Übung 18'!$H$3="","Art fehlt. ","")&amp;IF('Übung 18'!$L$3="","Datum fehlt. ","")&amp;IF('Übung 18'!$C$4="","Status fehlt. ","")&amp;IF('Übung 18'!$H$4="","Kürzel fehlt. ","")&amp;IF(COUNTIF('Übung 18'!$D$11:$D$35,"&gt;0")=0,"Parameter fehlen. ",""))=0,"vollständig","Bitte ergänzen: "&amp;IF('Übung 18'!$H$3="","Art fehlt. ","")&amp;IF('Übung 18'!$L$3="","Datum fehlt. ","")&amp;IF('Übung 18'!$C$4="","Status fehlt. ","")&amp;IF('Übung 18'!$H$4="","Kürzel fehlt. ","")&amp;IF(COUNTIF('Übung 18'!$D$11:$D$35,"&gt;0")=0,"Parameter fehlen. ","")))</f>
        <v/>
      </c>
    </row>
    <row r="24" ht="22" customHeight="1">
      <c r="A24" s="19">
        <f>ROW()-5</f>
        <v/>
      </c>
      <c r="B24" s="101" t="inlineStr">
        <is>
          <t>Übung 19</t>
        </is>
      </c>
      <c r="C24" s="42" t="n"/>
      <c r="D24" s="102">
        <f>IF($C24="","",IF('Übung 19'!$H$3="","— fehlt —",'Übung 19'!$H$3))</f>
        <v/>
      </c>
      <c r="E24" s="103">
        <f>IF(OR($C24="",'Übung 19'!$L$3=""),"",'Übung 19'!$L$3)</f>
        <v/>
      </c>
      <c r="F24" s="102">
        <f>IF($C24="","",IF('Übung 19'!$C$4="","— fehlt —",'Übung 19'!$C$4))</f>
        <v/>
      </c>
      <c r="G24" s="102">
        <f>IF($C24="","",'Übung 19'!$H$4)</f>
        <v/>
      </c>
      <c r="H24" s="104">
        <f>IF($C24="","",IF('Übung 19'!$L$4="",1,'Übung 19'!$L$4))</f>
        <v/>
      </c>
      <c r="I24" s="105">
        <f>IF(OR($C24="",'Übung 19'!$Q$4=""),"",'Übung 19'!$Q$4)</f>
        <v/>
      </c>
      <c r="J24" s="106">
        <f>IF($C24="","",COUNTIF('Übung 19'!$D$11:$D$35,"&gt;0"))</f>
        <v/>
      </c>
      <c r="K24" s="104">
        <f>IF($C24="","",SUM('Übung 19'!$D$11:$D$35))</f>
        <v/>
      </c>
      <c r="L24" s="107">
        <f>IF($C24="","",SUM(INDEX(Daten!$C$1385:$V$1484,0,19)))</f>
        <v/>
      </c>
      <c r="M24" s="24">
        <f>IF(OR($C24="",$L24=0),"",SUMPRODUCT(INDEX(Daten!$C$1385:$V$1484,0,19),INDEX(Daten!$C$20:$V$119,0,19))/$L24)</f>
        <v/>
      </c>
      <c r="N24" s="108">
        <f>IF($M24="","",INDEX(Noten,MAX(1,MIN(COUNT(NGrenze),COUNT(NGrenze)+1-COUNTIF(NGrenze,"&lt;="&amp;$M24))))&amp;" – "&amp;INDEX(NText,MAX(1,MIN(COUNT(NGrenze),COUNT(NGrenze)+1-COUNTIF(NGrenze,"&lt;="&amp;$M24)))))</f>
        <v/>
      </c>
      <c r="O24" s="109">
        <f>IF($C24="","frei",IF(LEN(IF('Übung 19'!$H$3="","Art fehlt. ","")&amp;IF('Übung 19'!$L$3="","Datum fehlt. ","")&amp;IF('Übung 19'!$C$4="","Status fehlt. ","")&amp;IF('Übung 19'!$H$4="","Kürzel fehlt. ","")&amp;IF(COUNTIF('Übung 19'!$D$11:$D$35,"&gt;0")=0,"Parameter fehlen. ",""))=0,"vollständig","Bitte ergänzen: "&amp;IF('Übung 19'!$H$3="","Art fehlt. ","")&amp;IF('Übung 19'!$L$3="","Datum fehlt. ","")&amp;IF('Übung 19'!$C$4="","Status fehlt. ","")&amp;IF('Übung 19'!$H$4="","Kürzel fehlt. ","")&amp;IF(COUNTIF('Übung 19'!$D$11:$D$35,"&gt;0")=0,"Parameter fehlen. ","")))</f>
        <v/>
      </c>
    </row>
    <row r="25" ht="22" customHeight="1">
      <c r="A25" s="19">
        <f>ROW()-5</f>
        <v/>
      </c>
      <c r="B25" s="101" t="inlineStr">
        <is>
          <t>Übung 20</t>
        </is>
      </c>
      <c r="C25" s="42" t="n"/>
      <c r="D25" s="102">
        <f>IF($C25="","",IF('Übung 20'!$H$3="","— fehlt —",'Übung 20'!$H$3))</f>
        <v/>
      </c>
      <c r="E25" s="103">
        <f>IF(OR($C25="",'Übung 20'!$L$3=""),"",'Übung 20'!$L$3)</f>
        <v/>
      </c>
      <c r="F25" s="102">
        <f>IF($C25="","",IF('Übung 20'!$C$4="","— fehlt —",'Übung 20'!$C$4))</f>
        <v/>
      </c>
      <c r="G25" s="102">
        <f>IF($C25="","",'Übung 20'!$H$4)</f>
        <v/>
      </c>
      <c r="H25" s="104">
        <f>IF($C25="","",IF('Übung 20'!$L$4="",1,'Übung 20'!$L$4))</f>
        <v/>
      </c>
      <c r="I25" s="105">
        <f>IF(OR($C25="",'Übung 20'!$Q$4=""),"",'Übung 20'!$Q$4)</f>
        <v/>
      </c>
      <c r="J25" s="106">
        <f>IF($C25="","",COUNTIF('Übung 20'!$D$11:$D$35,"&gt;0"))</f>
        <v/>
      </c>
      <c r="K25" s="104">
        <f>IF($C25="","",SUM('Übung 20'!$D$11:$D$35))</f>
        <v/>
      </c>
      <c r="L25" s="107">
        <f>IF($C25="","",SUM(INDEX(Daten!$C$1385:$V$1484,0,20)))</f>
        <v/>
      </c>
      <c r="M25" s="24">
        <f>IF(OR($C25="",$L25=0),"",SUMPRODUCT(INDEX(Daten!$C$1385:$V$1484,0,20),INDEX(Daten!$C$20:$V$119,0,20))/$L25)</f>
        <v/>
      </c>
      <c r="N25" s="108">
        <f>IF($M25="","",INDEX(Noten,MAX(1,MIN(COUNT(NGrenze),COUNT(NGrenze)+1-COUNTIF(NGrenze,"&lt;="&amp;$M25))))&amp;" – "&amp;INDEX(NText,MAX(1,MIN(COUNT(NGrenze),COUNT(NGrenze)+1-COUNTIF(NGrenze,"&lt;="&amp;$M25)))))</f>
        <v/>
      </c>
      <c r="O25" s="109">
        <f>IF($C25="","frei",IF(LEN(IF('Übung 20'!$H$3="","Art fehlt. ","")&amp;IF('Übung 20'!$L$3="","Datum fehlt. ","")&amp;IF('Übung 20'!$C$4="","Status fehlt. ","")&amp;IF('Übung 20'!$H$4="","Kürzel fehlt. ","")&amp;IF(COUNTIF('Übung 20'!$D$11:$D$35,"&gt;0")=0,"Parameter fehlen. ",""))=0,"vollständig","Bitte ergänzen: "&amp;IF('Übung 20'!$H$3="","Art fehlt. ","")&amp;IF('Übung 20'!$L$3="","Datum fehlt. ","")&amp;IF('Übung 20'!$C$4="","Status fehlt. ","")&amp;IF('Übung 20'!$H$4="","Kürzel fehlt. ","")&amp;IF(COUNTIF('Übung 20'!$D$11:$D$35,"&gt;0")=0,"Parameter fehlen. ","")))</f>
        <v/>
      </c>
    </row>
    <row r="27" ht="22" customHeight="1">
      <c r="A27" s="36" t="inlineStr">
        <is>
          <t>So legen Sie eine neue Übung an: 1. Hier in einer freien Zeile den Übungsnamen eintragen.  2. Auf den Blattnamen links klicken.  3. Dort Art, Datum, Status, Kürzel und die Bewertungsparameter mit Höchstpunktzahl eintragen.  4. Punkte je Azubi eintragen.  Werden mehr als 20 Übungen gebraucht, das Blatt „Vorlage“ kopieren (Rechtsklick auf den Blattreiter &gt; Verschieben oder kopieren &gt; Kopie erstellen).</t>
        </is>
      </c>
      <c r="B27" s="37" t="n"/>
      <c r="C27" s="37" t="n"/>
      <c r="D27" s="37" t="n"/>
      <c r="E27" s="37" t="n"/>
      <c r="F27" s="37" t="n"/>
      <c r="G27" s="37" t="n"/>
      <c r="H27" s="37" t="n"/>
      <c r="I27" s="37" t="n"/>
      <c r="J27" s="37" t="n"/>
      <c r="K27" s="37" t="n"/>
      <c r="L27" s="37" t="n"/>
      <c r="M27" s="37" t="n"/>
      <c r="N27" s="37" t="n"/>
      <c r="O27" s="10" t="n"/>
    </row>
    <row r="28" ht="22" customHeight="1">
      <c r="A28" s="110" t="n"/>
      <c r="B28" s="74" t="n"/>
      <c r="C28" s="74" t="n"/>
      <c r="D28" s="74" t="n"/>
      <c r="E28" s="74" t="n"/>
      <c r="F28" s="74" t="n"/>
      <c r="G28" s="74" t="n"/>
      <c r="H28" s="74" t="n"/>
      <c r="I28" s="74" t="n"/>
      <c r="J28" s="74" t="n"/>
      <c r="K28" s="74" t="n"/>
      <c r="L28" s="74" t="n"/>
      <c r="M28" s="74" t="n"/>
      <c r="N28" s="74" t="n"/>
      <c r="O28" s="76" t="n"/>
    </row>
    <row r="29" ht="22" customHeight="1">
      <c r="A29" s="38" t="n"/>
      <c r="B29" s="39" t="n"/>
      <c r="C29" s="39" t="n"/>
      <c r="D29" s="39" t="n"/>
      <c r="E29" s="39" t="n"/>
      <c r="F29" s="39" t="n"/>
      <c r="G29" s="39" t="n"/>
      <c r="H29" s="39" t="n"/>
      <c r="I29" s="39" t="n"/>
      <c r="J29" s="39" t="n"/>
      <c r="K29" s="39" t="n"/>
      <c r="L29" s="39" t="n"/>
      <c r="M29" s="39" t="n"/>
      <c r="N29" s="39" t="n"/>
      <c r="O29" s="14" t="n"/>
    </row>
  </sheetData>
  <mergeCells count="5">
    <mergeCell ref="A2:L2"/>
    <mergeCell ref="A1:L1"/>
    <mergeCell ref="A27:O29"/>
    <mergeCell ref="A3:P3"/>
    <mergeCell ref="M1:P2"/>
  </mergeCells>
  <conditionalFormatting sqref="M6:N25">
    <cfRule type="expression" priority="1" dxfId="2" stopIfTrue="1">
      <formula>AND(ISNUMBER($M6),$M6&gt;=INDEX(NGrenze,1))</formula>
    </cfRule>
    <cfRule type="expression" priority="2" dxfId="3" stopIfTrue="1">
      <formula>AND(ISNUMBER($M6),$M6&gt;=INDEX(NGrenze,2))</formula>
    </cfRule>
    <cfRule type="expression" priority="3" dxfId="4" stopIfTrue="1">
      <formula>AND(ISNUMBER($M6),$M6&gt;=INDEX(NGrenze,3))</formula>
    </cfRule>
    <cfRule type="expression" priority="4" dxfId="5" stopIfTrue="1">
      <formula>AND(ISNUMBER($M6),$M6&gt;=INDEX(NGrenze,4))</formula>
    </cfRule>
    <cfRule type="expression" priority="5" dxfId="6" stopIfTrue="1">
      <formula>AND(ISNUMBER($M6),$M6&gt;=INDEX(NGrenze,5))</formula>
    </cfRule>
    <cfRule type="expression" priority="6" dxfId="7" stopIfTrue="1">
      <formula>AND(ISNUMBER($M6),$M6&gt;=INDEX(NGrenze,6))</formula>
    </cfRule>
  </conditionalFormatting>
  <conditionalFormatting sqref="A6:O25">
    <cfRule type="expression" priority="7" dxfId="12">
      <formula>$C6=""</formula>
    </cfRule>
  </conditionalFormatting>
  <hyperlinks>
    <hyperlink ref="M1" location="Start!A1"/>
    <hyperlink ref="B6" location="'Übung 01'!A1"/>
    <hyperlink ref="B7" location="'Übung 02'!A1"/>
    <hyperlink ref="B8" location="'Übung 03'!A1"/>
    <hyperlink ref="B9" location="'Übung 04'!A1"/>
    <hyperlink ref="B10" location="'Übung 05'!A1"/>
    <hyperlink ref="B11" location="'Übung 06'!A1"/>
    <hyperlink ref="B12" location="'Übung 07'!A1"/>
    <hyperlink ref="B13" location="'Übung 08'!A1"/>
    <hyperlink ref="B14" location="'Übung 09'!A1"/>
    <hyperlink ref="B15" location="'Übung 10'!A1"/>
    <hyperlink ref="B16" location="'Übung 11'!A1"/>
    <hyperlink ref="B17" location="'Übung 12'!A1"/>
    <hyperlink ref="B18" location="'Übung 13'!A1"/>
    <hyperlink ref="B19" location="'Übung 14'!A1"/>
    <hyperlink ref="B20" location="'Übung 15'!A1"/>
    <hyperlink ref="B21" location="'Übung 16'!A1"/>
    <hyperlink ref="B22" location="'Übung 17'!A1"/>
    <hyperlink ref="B23" location="'Übung 18'!A1"/>
    <hyperlink ref="B24" location="'Übung 19'!A1"/>
    <hyperlink ref="B25" location="'Übung 20'!A1"/>
  </hyperlinks>
  <pageMargins left="0.5" right="0.4" top="0.5" bottom="0.4" header="0.5" footer="0.5"/>
  <pageSetup orientation="landscape" paperSize="9" fitToHeight="0" fitToWidth="1"/>
</worksheet>
</file>

<file path=xl/worksheets/sheet6.xml><?xml version="1.0" encoding="utf-8"?>
<worksheet xmlns="http://schemas.openxmlformats.org/spreadsheetml/2006/main">
  <sheetPr>
    <tabColor rgb="0022395C"/>
    <outlinePr summaryBelow="1" summaryRight="1"/>
    <pageSetUpPr fitToPage="1"/>
  </sheetPr>
  <dimension ref="A1:M10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6" customWidth="1" min="3" max="3"/>
    <col width="32" customWidth="1" min="4" max="4"/>
    <col width="10" customWidth="1" min="5" max="5"/>
    <col width="16" customWidth="1" min="6" max="6"/>
    <col width="15" customWidth="1" min="7" max="7"/>
    <col width="10" customWidth="1" min="8" max="8"/>
    <col width="10" customWidth="1" min="9" max="9"/>
    <col width="26" customWidth="1" min="10" max="10"/>
    <col width="26" customWidth="1" min="11" max="11"/>
    <col width="24" customWidth="1" min="12" max="12"/>
    <col width="3" customWidth="1" min="13" max="13"/>
  </cols>
  <sheetData>
    <row r="1" ht="34" customHeight="1">
      <c r="A1" s="1" t="inlineStr">
        <is>
          <t>Azubi-Stammdaten</t>
        </is>
      </c>
      <c r="B1" s="2" t="n"/>
      <c r="C1" s="2" t="n"/>
      <c r="D1" s="2" t="n"/>
      <c r="E1" s="2" t="n"/>
      <c r="F1" s="2" t="n"/>
      <c r="G1" s="2" t="n"/>
      <c r="H1" s="2" t="n"/>
      <c r="I1" s="2" t="n"/>
      <c r="J1" s="40" t="inlineStr">
        <is>
          <t>«  Zurück zur Startseite</t>
        </is>
      </c>
    </row>
    <row r="2" ht="18" customHeight="1">
      <c r="A2" s="3" t="inlineStr">
        <is>
          <t>Eine Zeile je Azubi, fest mit den Übungsblättern verbunden – nicht sortieren, nichts löschen, nur den Status ändern</t>
        </is>
      </c>
      <c r="B2" s="2" t="n"/>
      <c r="C2" s="2" t="n"/>
      <c r="D2" s="2" t="n"/>
      <c r="E2" s="2" t="n"/>
      <c r="F2" s="2" t="n"/>
      <c r="G2" s="2" t="n"/>
      <c r="H2" s="2" t="n"/>
      <c r="I2" s="2" t="n"/>
    </row>
    <row r="3" ht="24" customHeight="1">
      <c r="A3" s="4" t="inlineStr">
        <is>
          <t>Farben:  gelb = hier eintragen   ·   grau-blau = rechnet die Datei selbst   ·   „n.b.“ = nicht bewertet</t>
        </is>
      </c>
    </row>
    <row r="4" ht="10" customHeight="1"/>
    <row r="5" ht="34" customHeight="1">
      <c r="A5" s="100" t="inlineStr">
        <is>
          <t>Nr.</t>
        </is>
      </c>
      <c r="B5" s="100" t="inlineStr">
        <is>
          <t>Name</t>
        </is>
      </c>
      <c r="C5" s="100" t="inlineStr">
        <is>
          <t>Vorname</t>
        </is>
      </c>
      <c r="D5" s="100" t="inlineStr">
        <is>
          <t>Ausbildungsberuf</t>
        </is>
      </c>
      <c r="E5" s="100" t="inlineStr">
        <is>
          <t>Jahrgang</t>
        </is>
      </c>
      <c r="F5" s="100" t="inlineStr">
        <is>
          <t>Ausbildungsstart</t>
        </is>
      </c>
      <c r="G5" s="100" t="inlineStr">
        <is>
          <t>Status</t>
        </is>
      </c>
      <c r="H5" s="100" t="inlineStr">
        <is>
          <t>Lehrjahr</t>
        </is>
      </c>
      <c r="I5" s="100" t="inlineStr">
        <is>
          <t>akt. HJ</t>
        </is>
      </c>
      <c r="J5" s="100" t="inlineStr">
        <is>
          <t>Anzeigename</t>
        </is>
      </c>
      <c r="K5" s="100" t="inlineStr">
        <is>
          <t>Bemerkung</t>
        </is>
      </c>
      <c r="L5" s="100" t="inlineStr">
        <is>
          <t>Platz im Übungsblatt</t>
        </is>
      </c>
    </row>
    <row r="6" ht="22" customHeight="1">
      <c r="A6" s="111">
        <f>ROW()-5</f>
        <v/>
      </c>
      <c r="B6" s="112" t="inlineStr">
        <is>
          <t>Berger</t>
        </is>
      </c>
      <c r="C6" s="112" t="inlineStr">
        <is>
          <t>Lukas</t>
        </is>
      </c>
      <c r="D6" s="112" t="inlineStr">
        <is>
          <t>Elektroniker/-in für Betriebstechnik</t>
        </is>
      </c>
      <c r="E6" s="113">
        <f>IF($F6="","",YEAR($F6))</f>
        <v/>
      </c>
      <c r="F6" s="114" t="n">
        <v>45536</v>
      </c>
      <c r="G6" s="115" t="inlineStr">
        <is>
          <t>aktiv</t>
        </is>
      </c>
      <c r="H6" s="116">
        <f>IF(OR($B6="",$F6=""),"",IF(TODAY()&lt;$F6,0,INT(DATEDIF($F6,TODAY(),"m")/12)+1))</f>
        <v/>
      </c>
      <c r="I6" s="117">
        <f>IF(OR($B6="",$F6=""),"",IF(TODAY()&lt;$F6,0,INT(DATEDIF($F6,TODAY(),"m")/6)+1))</f>
        <v/>
      </c>
      <c r="J6" s="118">
        <f>IF($B6="","",$B6&amp;", "&amp;$C6)</f>
        <v/>
      </c>
      <c r="K6" s="112" t="n"/>
      <c r="L6" s="111">
        <f>"Block "&amp;(INT((ROW()-6)/25)+1)&amp;" · Spalte "&amp;SUBSTITUTE(ADDRESS(1,ROW()-1+INT((ROW()-6)/25),4),"1","")</f>
        <v/>
      </c>
    </row>
    <row r="7" ht="22" customHeight="1">
      <c r="A7" s="19">
        <f>ROW()-5</f>
        <v/>
      </c>
      <c r="B7" s="119" t="inlineStr">
        <is>
          <t>Demir</t>
        </is>
      </c>
      <c r="C7" s="119" t="inlineStr">
        <is>
          <t>Elif</t>
        </is>
      </c>
      <c r="D7" s="119" t="inlineStr">
        <is>
          <t>Elektroniker/-in für Betriebstechnik</t>
        </is>
      </c>
      <c r="E7" s="83">
        <f>IF($F7="","",YEAR($F7))</f>
        <v/>
      </c>
      <c r="F7" s="120" t="n">
        <v>45536</v>
      </c>
      <c r="G7" s="121" t="inlineStr">
        <is>
          <t>aktiv</t>
        </is>
      </c>
      <c r="H7" s="122">
        <f>IF(OR($B7="",$F7=""),"",IF(TODAY()&lt;$F7,0,INT(DATEDIF($F7,TODAY(),"m")/12)+1))</f>
        <v/>
      </c>
      <c r="I7" s="123">
        <f>IF(OR($B7="",$F7=""),"",IF(TODAY()&lt;$F7,0,INT(DATEDIF($F7,TODAY(),"m")/6)+1))</f>
        <v/>
      </c>
      <c r="J7" s="124">
        <f>IF($B7="","",$B7&amp;", "&amp;$C7)</f>
        <v/>
      </c>
      <c r="K7" s="119" t="n"/>
      <c r="L7" s="19">
        <f>"Block "&amp;(INT((ROW()-6)/25)+1)&amp;" · Spalte "&amp;SUBSTITUTE(ADDRESS(1,ROW()-1+INT((ROW()-6)/25),4),"1","")</f>
        <v/>
      </c>
    </row>
    <row r="8" ht="22" customHeight="1">
      <c r="A8" s="19">
        <f>ROW()-5</f>
        <v/>
      </c>
      <c r="B8" s="119" t="inlineStr">
        <is>
          <t>Hoffmann</t>
        </is>
      </c>
      <c r="C8" s="119" t="inlineStr">
        <is>
          <t>Jonas</t>
        </is>
      </c>
      <c r="D8" s="119" t="inlineStr">
        <is>
          <t>Industriemechaniker/-in</t>
        </is>
      </c>
      <c r="E8" s="83">
        <f>IF($F8="","",YEAR($F8))</f>
        <v/>
      </c>
      <c r="F8" s="120" t="n">
        <v>45901</v>
      </c>
      <c r="G8" s="121" t="inlineStr">
        <is>
          <t>aktiv</t>
        </is>
      </c>
      <c r="H8" s="122">
        <f>IF(OR($B8="",$F8=""),"",IF(TODAY()&lt;$F8,0,INT(DATEDIF($F8,TODAY(),"m")/12)+1))</f>
        <v/>
      </c>
      <c r="I8" s="123">
        <f>IF(OR($B8="",$F8=""),"",IF(TODAY()&lt;$F8,0,INT(DATEDIF($F8,TODAY(),"m")/6)+1))</f>
        <v/>
      </c>
      <c r="J8" s="124">
        <f>IF($B8="","",$B8&amp;", "&amp;$C8)</f>
        <v/>
      </c>
      <c r="K8" s="119" t="n"/>
      <c r="L8" s="19">
        <f>"Block "&amp;(INT((ROW()-6)/25)+1)&amp;" · Spalte "&amp;SUBSTITUTE(ADDRESS(1,ROW()-1+INT((ROW()-6)/25),4),"1","")</f>
        <v/>
      </c>
    </row>
    <row r="9" ht="22" customHeight="1">
      <c r="A9" s="19">
        <f>ROW()-5</f>
        <v/>
      </c>
      <c r="B9" s="119" t="inlineStr">
        <is>
          <t>Novak</t>
        </is>
      </c>
      <c r="C9" s="119" t="inlineStr">
        <is>
          <t>Mira</t>
        </is>
      </c>
      <c r="D9" s="119" t="inlineStr">
        <is>
          <t>Industriemechaniker/-in</t>
        </is>
      </c>
      <c r="E9" s="83">
        <f>IF($F9="","",YEAR($F9))</f>
        <v/>
      </c>
      <c r="F9" s="120" t="n">
        <v>45901</v>
      </c>
      <c r="G9" s="121" t="inlineStr">
        <is>
          <t>aktiv</t>
        </is>
      </c>
      <c r="H9" s="122">
        <f>IF(OR($B9="",$F9=""),"",IF(TODAY()&lt;$F9,0,INT(DATEDIF($F9,TODAY(),"m")/12)+1))</f>
        <v/>
      </c>
      <c r="I9" s="123">
        <f>IF(OR($B9="",$F9=""),"",IF(TODAY()&lt;$F9,0,INT(DATEDIF($F9,TODAY(),"m")/6)+1))</f>
        <v/>
      </c>
      <c r="J9" s="124">
        <f>IF($B9="","",$B9&amp;", "&amp;$C9)</f>
        <v/>
      </c>
      <c r="K9" s="119" t="n"/>
      <c r="L9" s="19">
        <f>"Block "&amp;(INT((ROW()-6)/25)+1)&amp;" · Spalte "&amp;SUBSTITUTE(ADDRESS(1,ROW()-1+INT((ROW()-6)/25),4),"1","")</f>
        <v/>
      </c>
    </row>
    <row r="10" ht="22" customHeight="1">
      <c r="A10" s="19">
        <f>ROW()-5</f>
        <v/>
      </c>
      <c r="B10" s="119" t="n"/>
      <c r="C10" s="119" t="n"/>
      <c r="D10" s="119" t="n"/>
      <c r="E10" s="83">
        <f>IF($F10="","",YEAR($F10))</f>
        <v/>
      </c>
      <c r="F10" s="120" t="n"/>
      <c r="G10" s="121" t="n"/>
      <c r="H10" s="122">
        <f>IF(OR($B10="",$F10=""),"",IF(TODAY()&lt;$F10,0,INT(DATEDIF($F10,TODAY(),"m")/12)+1))</f>
        <v/>
      </c>
      <c r="I10" s="123">
        <f>IF(OR($B10="",$F10=""),"",IF(TODAY()&lt;$F10,0,INT(DATEDIF($F10,TODAY(),"m")/6)+1))</f>
        <v/>
      </c>
      <c r="J10" s="124">
        <f>IF($B10="","",$B10&amp;", "&amp;$C10)</f>
        <v/>
      </c>
      <c r="K10" s="119" t="n"/>
      <c r="L10" s="19">
        <f>"Block "&amp;(INT((ROW()-6)/25)+1)&amp;" · Spalte "&amp;SUBSTITUTE(ADDRESS(1,ROW()-1+INT((ROW()-6)/25),4),"1","")</f>
        <v/>
      </c>
    </row>
    <row r="11" ht="22" customHeight="1">
      <c r="A11" s="19">
        <f>ROW()-5</f>
        <v/>
      </c>
      <c r="B11" s="119" t="n"/>
      <c r="C11" s="119" t="n"/>
      <c r="D11" s="119" t="n"/>
      <c r="E11" s="83">
        <f>IF($F11="","",YEAR($F11))</f>
        <v/>
      </c>
      <c r="F11" s="120" t="n"/>
      <c r="G11" s="121" t="n"/>
      <c r="H11" s="122">
        <f>IF(OR($B11="",$F11=""),"",IF(TODAY()&lt;$F11,0,INT(DATEDIF($F11,TODAY(),"m")/12)+1))</f>
        <v/>
      </c>
      <c r="I11" s="123">
        <f>IF(OR($B11="",$F11=""),"",IF(TODAY()&lt;$F11,0,INT(DATEDIF($F11,TODAY(),"m")/6)+1))</f>
        <v/>
      </c>
      <c r="J11" s="124">
        <f>IF($B11="","",$B11&amp;", "&amp;$C11)</f>
        <v/>
      </c>
      <c r="K11" s="119" t="n"/>
      <c r="L11" s="19">
        <f>"Block "&amp;(INT((ROW()-6)/25)+1)&amp;" · Spalte "&amp;SUBSTITUTE(ADDRESS(1,ROW()-1+INT((ROW()-6)/25),4),"1","")</f>
        <v/>
      </c>
    </row>
    <row r="12" ht="22" customHeight="1">
      <c r="A12" s="19">
        <f>ROW()-5</f>
        <v/>
      </c>
      <c r="B12" s="119" t="n"/>
      <c r="C12" s="119" t="n"/>
      <c r="D12" s="119" t="n"/>
      <c r="E12" s="83">
        <f>IF($F12="","",YEAR($F12))</f>
        <v/>
      </c>
      <c r="F12" s="120" t="n"/>
      <c r="G12" s="121" t="n"/>
      <c r="H12" s="122">
        <f>IF(OR($B12="",$F12=""),"",IF(TODAY()&lt;$F12,0,INT(DATEDIF($F12,TODAY(),"m")/12)+1))</f>
        <v/>
      </c>
      <c r="I12" s="123">
        <f>IF(OR($B12="",$F12=""),"",IF(TODAY()&lt;$F12,0,INT(DATEDIF($F12,TODAY(),"m")/6)+1))</f>
        <v/>
      </c>
      <c r="J12" s="124">
        <f>IF($B12="","",$B12&amp;", "&amp;$C12)</f>
        <v/>
      </c>
      <c r="K12" s="119" t="n"/>
      <c r="L12" s="19">
        <f>"Block "&amp;(INT((ROW()-6)/25)+1)&amp;" · Spalte "&amp;SUBSTITUTE(ADDRESS(1,ROW()-1+INT((ROW()-6)/25),4),"1","")</f>
        <v/>
      </c>
    </row>
    <row r="13" ht="22" customHeight="1">
      <c r="A13" s="19">
        <f>ROW()-5</f>
        <v/>
      </c>
      <c r="B13" s="119" t="n"/>
      <c r="C13" s="119" t="n"/>
      <c r="D13" s="119" t="n"/>
      <c r="E13" s="83">
        <f>IF($F13="","",YEAR($F13))</f>
        <v/>
      </c>
      <c r="F13" s="120" t="n"/>
      <c r="G13" s="121" t="n"/>
      <c r="H13" s="122">
        <f>IF(OR($B13="",$F13=""),"",IF(TODAY()&lt;$F13,0,INT(DATEDIF($F13,TODAY(),"m")/12)+1))</f>
        <v/>
      </c>
      <c r="I13" s="123">
        <f>IF(OR($B13="",$F13=""),"",IF(TODAY()&lt;$F13,0,INT(DATEDIF($F13,TODAY(),"m")/6)+1))</f>
        <v/>
      </c>
      <c r="J13" s="124">
        <f>IF($B13="","",$B13&amp;", "&amp;$C13)</f>
        <v/>
      </c>
      <c r="K13" s="119" t="n"/>
      <c r="L13" s="19">
        <f>"Block "&amp;(INT((ROW()-6)/25)+1)&amp;" · Spalte "&amp;SUBSTITUTE(ADDRESS(1,ROW()-1+INT((ROW()-6)/25),4),"1","")</f>
        <v/>
      </c>
    </row>
    <row r="14" ht="22" customHeight="1">
      <c r="A14" s="19">
        <f>ROW()-5</f>
        <v/>
      </c>
      <c r="B14" s="119" t="n"/>
      <c r="C14" s="119" t="n"/>
      <c r="D14" s="119" t="n"/>
      <c r="E14" s="83">
        <f>IF($F14="","",YEAR($F14))</f>
        <v/>
      </c>
      <c r="F14" s="120" t="n"/>
      <c r="G14" s="121" t="n"/>
      <c r="H14" s="122">
        <f>IF(OR($B14="",$F14=""),"",IF(TODAY()&lt;$F14,0,INT(DATEDIF($F14,TODAY(),"m")/12)+1))</f>
        <v/>
      </c>
      <c r="I14" s="123">
        <f>IF(OR($B14="",$F14=""),"",IF(TODAY()&lt;$F14,0,INT(DATEDIF($F14,TODAY(),"m")/6)+1))</f>
        <v/>
      </c>
      <c r="J14" s="124">
        <f>IF($B14="","",$B14&amp;", "&amp;$C14)</f>
        <v/>
      </c>
      <c r="K14" s="119" t="n"/>
      <c r="L14" s="19">
        <f>"Block "&amp;(INT((ROW()-6)/25)+1)&amp;" · Spalte "&amp;SUBSTITUTE(ADDRESS(1,ROW()-1+INT((ROW()-6)/25),4),"1","")</f>
        <v/>
      </c>
    </row>
    <row r="15" ht="22" customHeight="1">
      <c r="A15" s="19">
        <f>ROW()-5</f>
        <v/>
      </c>
      <c r="B15" s="119" t="n"/>
      <c r="C15" s="119" t="n"/>
      <c r="D15" s="119" t="n"/>
      <c r="E15" s="83">
        <f>IF($F15="","",YEAR($F15))</f>
        <v/>
      </c>
      <c r="F15" s="120" t="n"/>
      <c r="G15" s="121" t="n"/>
      <c r="H15" s="122">
        <f>IF(OR($B15="",$F15=""),"",IF(TODAY()&lt;$F15,0,INT(DATEDIF($F15,TODAY(),"m")/12)+1))</f>
        <v/>
      </c>
      <c r="I15" s="123">
        <f>IF(OR($B15="",$F15=""),"",IF(TODAY()&lt;$F15,0,INT(DATEDIF($F15,TODAY(),"m")/6)+1))</f>
        <v/>
      </c>
      <c r="J15" s="124">
        <f>IF($B15="","",$B15&amp;", "&amp;$C15)</f>
        <v/>
      </c>
      <c r="K15" s="119" t="n"/>
      <c r="L15" s="19">
        <f>"Block "&amp;(INT((ROW()-6)/25)+1)&amp;" · Spalte "&amp;SUBSTITUTE(ADDRESS(1,ROW()-1+INT((ROW()-6)/25),4),"1","")</f>
        <v/>
      </c>
    </row>
    <row r="16" ht="22" customHeight="1">
      <c r="A16" s="19">
        <f>ROW()-5</f>
        <v/>
      </c>
      <c r="B16" s="119" t="n"/>
      <c r="C16" s="119" t="n"/>
      <c r="D16" s="119" t="n"/>
      <c r="E16" s="83">
        <f>IF($F16="","",YEAR($F16))</f>
        <v/>
      </c>
      <c r="F16" s="120" t="n"/>
      <c r="G16" s="121" t="n"/>
      <c r="H16" s="122">
        <f>IF(OR($B16="",$F16=""),"",IF(TODAY()&lt;$F16,0,INT(DATEDIF($F16,TODAY(),"m")/12)+1))</f>
        <v/>
      </c>
      <c r="I16" s="123">
        <f>IF(OR($B16="",$F16=""),"",IF(TODAY()&lt;$F16,0,INT(DATEDIF($F16,TODAY(),"m")/6)+1))</f>
        <v/>
      </c>
      <c r="J16" s="124">
        <f>IF($B16="","",$B16&amp;", "&amp;$C16)</f>
        <v/>
      </c>
      <c r="K16" s="119" t="n"/>
      <c r="L16" s="19">
        <f>"Block "&amp;(INT((ROW()-6)/25)+1)&amp;" · Spalte "&amp;SUBSTITUTE(ADDRESS(1,ROW()-1+INT((ROW()-6)/25),4),"1","")</f>
        <v/>
      </c>
    </row>
    <row r="17" ht="22" customHeight="1">
      <c r="A17" s="19">
        <f>ROW()-5</f>
        <v/>
      </c>
      <c r="B17" s="119" t="n"/>
      <c r="C17" s="119" t="n"/>
      <c r="D17" s="119" t="n"/>
      <c r="E17" s="83">
        <f>IF($F17="","",YEAR($F17))</f>
        <v/>
      </c>
      <c r="F17" s="120" t="n"/>
      <c r="G17" s="121" t="n"/>
      <c r="H17" s="122">
        <f>IF(OR($B17="",$F17=""),"",IF(TODAY()&lt;$F17,0,INT(DATEDIF($F17,TODAY(),"m")/12)+1))</f>
        <v/>
      </c>
      <c r="I17" s="123">
        <f>IF(OR($B17="",$F17=""),"",IF(TODAY()&lt;$F17,0,INT(DATEDIF($F17,TODAY(),"m")/6)+1))</f>
        <v/>
      </c>
      <c r="J17" s="124">
        <f>IF($B17="","",$B17&amp;", "&amp;$C17)</f>
        <v/>
      </c>
      <c r="K17" s="119" t="n"/>
      <c r="L17" s="19">
        <f>"Block "&amp;(INT((ROW()-6)/25)+1)&amp;" · Spalte "&amp;SUBSTITUTE(ADDRESS(1,ROW()-1+INT((ROW()-6)/25),4),"1","")</f>
        <v/>
      </c>
    </row>
    <row r="18" ht="22" customHeight="1">
      <c r="A18" s="19">
        <f>ROW()-5</f>
        <v/>
      </c>
      <c r="B18" s="119" t="n"/>
      <c r="C18" s="119" t="n"/>
      <c r="D18" s="119" t="n"/>
      <c r="E18" s="83">
        <f>IF($F18="","",YEAR($F18))</f>
        <v/>
      </c>
      <c r="F18" s="120" t="n"/>
      <c r="G18" s="121" t="n"/>
      <c r="H18" s="122">
        <f>IF(OR($B18="",$F18=""),"",IF(TODAY()&lt;$F18,0,INT(DATEDIF($F18,TODAY(),"m")/12)+1))</f>
        <v/>
      </c>
      <c r="I18" s="123">
        <f>IF(OR($B18="",$F18=""),"",IF(TODAY()&lt;$F18,0,INT(DATEDIF($F18,TODAY(),"m")/6)+1))</f>
        <v/>
      </c>
      <c r="J18" s="124">
        <f>IF($B18="","",$B18&amp;", "&amp;$C18)</f>
        <v/>
      </c>
      <c r="K18" s="119" t="n"/>
      <c r="L18" s="19">
        <f>"Block "&amp;(INT((ROW()-6)/25)+1)&amp;" · Spalte "&amp;SUBSTITUTE(ADDRESS(1,ROW()-1+INT((ROW()-6)/25),4),"1","")</f>
        <v/>
      </c>
    </row>
    <row r="19" ht="22" customHeight="1">
      <c r="A19" s="19">
        <f>ROW()-5</f>
        <v/>
      </c>
      <c r="B19" s="119" t="n"/>
      <c r="C19" s="119" t="n"/>
      <c r="D19" s="119" t="n"/>
      <c r="E19" s="83">
        <f>IF($F19="","",YEAR($F19))</f>
        <v/>
      </c>
      <c r="F19" s="120" t="n"/>
      <c r="G19" s="121" t="n"/>
      <c r="H19" s="122">
        <f>IF(OR($B19="",$F19=""),"",IF(TODAY()&lt;$F19,0,INT(DATEDIF($F19,TODAY(),"m")/12)+1))</f>
        <v/>
      </c>
      <c r="I19" s="123">
        <f>IF(OR($B19="",$F19=""),"",IF(TODAY()&lt;$F19,0,INT(DATEDIF($F19,TODAY(),"m")/6)+1))</f>
        <v/>
      </c>
      <c r="J19" s="124">
        <f>IF($B19="","",$B19&amp;", "&amp;$C19)</f>
        <v/>
      </c>
      <c r="K19" s="119" t="n"/>
      <c r="L19" s="19">
        <f>"Block "&amp;(INT((ROW()-6)/25)+1)&amp;" · Spalte "&amp;SUBSTITUTE(ADDRESS(1,ROW()-1+INT((ROW()-6)/25),4),"1","")</f>
        <v/>
      </c>
    </row>
    <row r="20" ht="22" customHeight="1">
      <c r="A20" s="19">
        <f>ROW()-5</f>
        <v/>
      </c>
      <c r="B20" s="119" t="n"/>
      <c r="C20" s="119" t="n"/>
      <c r="D20" s="119" t="n"/>
      <c r="E20" s="83">
        <f>IF($F20="","",YEAR($F20))</f>
        <v/>
      </c>
      <c r="F20" s="120" t="n"/>
      <c r="G20" s="121" t="n"/>
      <c r="H20" s="122">
        <f>IF(OR($B20="",$F20=""),"",IF(TODAY()&lt;$F20,0,INT(DATEDIF($F20,TODAY(),"m")/12)+1))</f>
        <v/>
      </c>
      <c r="I20" s="123">
        <f>IF(OR($B20="",$F20=""),"",IF(TODAY()&lt;$F20,0,INT(DATEDIF($F20,TODAY(),"m")/6)+1))</f>
        <v/>
      </c>
      <c r="J20" s="124">
        <f>IF($B20="","",$B20&amp;", "&amp;$C20)</f>
        <v/>
      </c>
      <c r="K20" s="119" t="n"/>
      <c r="L20" s="19">
        <f>"Block "&amp;(INT((ROW()-6)/25)+1)&amp;" · Spalte "&amp;SUBSTITUTE(ADDRESS(1,ROW()-1+INT((ROW()-6)/25),4),"1","")</f>
        <v/>
      </c>
    </row>
    <row r="21" ht="22" customHeight="1">
      <c r="A21" s="19">
        <f>ROW()-5</f>
        <v/>
      </c>
      <c r="B21" s="119" t="n"/>
      <c r="C21" s="119" t="n"/>
      <c r="D21" s="119" t="n"/>
      <c r="E21" s="83">
        <f>IF($F21="","",YEAR($F21))</f>
        <v/>
      </c>
      <c r="F21" s="120" t="n"/>
      <c r="G21" s="121" t="n"/>
      <c r="H21" s="122">
        <f>IF(OR($B21="",$F21=""),"",IF(TODAY()&lt;$F21,0,INT(DATEDIF($F21,TODAY(),"m")/12)+1))</f>
        <v/>
      </c>
      <c r="I21" s="123">
        <f>IF(OR($B21="",$F21=""),"",IF(TODAY()&lt;$F21,0,INT(DATEDIF($F21,TODAY(),"m")/6)+1))</f>
        <v/>
      </c>
      <c r="J21" s="124">
        <f>IF($B21="","",$B21&amp;", "&amp;$C21)</f>
        <v/>
      </c>
      <c r="K21" s="119" t="n"/>
      <c r="L21" s="19">
        <f>"Block "&amp;(INT((ROW()-6)/25)+1)&amp;" · Spalte "&amp;SUBSTITUTE(ADDRESS(1,ROW()-1+INT((ROW()-6)/25),4),"1","")</f>
        <v/>
      </c>
    </row>
    <row r="22" ht="22" customHeight="1">
      <c r="A22" s="19">
        <f>ROW()-5</f>
        <v/>
      </c>
      <c r="B22" s="119" t="n"/>
      <c r="C22" s="119" t="n"/>
      <c r="D22" s="119" t="n"/>
      <c r="E22" s="83">
        <f>IF($F22="","",YEAR($F22))</f>
        <v/>
      </c>
      <c r="F22" s="120" t="n"/>
      <c r="G22" s="121" t="n"/>
      <c r="H22" s="122">
        <f>IF(OR($B22="",$F22=""),"",IF(TODAY()&lt;$F22,0,INT(DATEDIF($F22,TODAY(),"m")/12)+1))</f>
        <v/>
      </c>
      <c r="I22" s="123">
        <f>IF(OR($B22="",$F22=""),"",IF(TODAY()&lt;$F22,0,INT(DATEDIF($F22,TODAY(),"m")/6)+1))</f>
        <v/>
      </c>
      <c r="J22" s="124">
        <f>IF($B22="","",$B22&amp;", "&amp;$C22)</f>
        <v/>
      </c>
      <c r="K22" s="119" t="n"/>
      <c r="L22" s="19">
        <f>"Block "&amp;(INT((ROW()-6)/25)+1)&amp;" · Spalte "&amp;SUBSTITUTE(ADDRESS(1,ROW()-1+INT((ROW()-6)/25),4),"1","")</f>
        <v/>
      </c>
    </row>
    <row r="23" ht="22" customHeight="1">
      <c r="A23" s="19">
        <f>ROW()-5</f>
        <v/>
      </c>
      <c r="B23" s="119" t="n"/>
      <c r="C23" s="119" t="n"/>
      <c r="D23" s="119" t="n"/>
      <c r="E23" s="83">
        <f>IF($F23="","",YEAR($F23))</f>
        <v/>
      </c>
      <c r="F23" s="120" t="n"/>
      <c r="G23" s="121" t="n"/>
      <c r="H23" s="122">
        <f>IF(OR($B23="",$F23=""),"",IF(TODAY()&lt;$F23,0,INT(DATEDIF($F23,TODAY(),"m")/12)+1))</f>
        <v/>
      </c>
      <c r="I23" s="123">
        <f>IF(OR($B23="",$F23=""),"",IF(TODAY()&lt;$F23,0,INT(DATEDIF($F23,TODAY(),"m")/6)+1))</f>
        <v/>
      </c>
      <c r="J23" s="124">
        <f>IF($B23="","",$B23&amp;", "&amp;$C23)</f>
        <v/>
      </c>
      <c r="K23" s="119" t="n"/>
      <c r="L23" s="19">
        <f>"Block "&amp;(INT((ROW()-6)/25)+1)&amp;" · Spalte "&amp;SUBSTITUTE(ADDRESS(1,ROW()-1+INT((ROW()-6)/25),4),"1","")</f>
        <v/>
      </c>
    </row>
    <row r="24" ht="22" customHeight="1">
      <c r="A24" s="19">
        <f>ROW()-5</f>
        <v/>
      </c>
      <c r="B24" s="119" t="n"/>
      <c r="C24" s="119" t="n"/>
      <c r="D24" s="119" t="n"/>
      <c r="E24" s="83">
        <f>IF($F24="","",YEAR($F24))</f>
        <v/>
      </c>
      <c r="F24" s="120" t="n"/>
      <c r="G24" s="121" t="n"/>
      <c r="H24" s="122">
        <f>IF(OR($B24="",$F24=""),"",IF(TODAY()&lt;$F24,0,INT(DATEDIF($F24,TODAY(),"m")/12)+1))</f>
        <v/>
      </c>
      <c r="I24" s="123">
        <f>IF(OR($B24="",$F24=""),"",IF(TODAY()&lt;$F24,0,INT(DATEDIF($F24,TODAY(),"m")/6)+1))</f>
        <v/>
      </c>
      <c r="J24" s="124">
        <f>IF($B24="","",$B24&amp;", "&amp;$C24)</f>
        <v/>
      </c>
      <c r="K24" s="119" t="n"/>
      <c r="L24" s="19">
        <f>"Block "&amp;(INT((ROW()-6)/25)+1)&amp;" · Spalte "&amp;SUBSTITUTE(ADDRESS(1,ROW()-1+INT((ROW()-6)/25),4),"1","")</f>
        <v/>
      </c>
    </row>
    <row r="25" ht="22" customHeight="1">
      <c r="A25" s="19">
        <f>ROW()-5</f>
        <v/>
      </c>
      <c r="B25" s="119" t="n"/>
      <c r="C25" s="119" t="n"/>
      <c r="D25" s="119" t="n"/>
      <c r="E25" s="83">
        <f>IF($F25="","",YEAR($F25))</f>
        <v/>
      </c>
      <c r="F25" s="120" t="n"/>
      <c r="G25" s="121" t="n"/>
      <c r="H25" s="122">
        <f>IF(OR($B25="",$F25=""),"",IF(TODAY()&lt;$F25,0,INT(DATEDIF($F25,TODAY(),"m")/12)+1))</f>
        <v/>
      </c>
      <c r="I25" s="123">
        <f>IF(OR($B25="",$F25=""),"",IF(TODAY()&lt;$F25,0,INT(DATEDIF($F25,TODAY(),"m")/6)+1))</f>
        <v/>
      </c>
      <c r="J25" s="124">
        <f>IF($B25="","",$B25&amp;", "&amp;$C25)</f>
        <v/>
      </c>
      <c r="K25" s="119" t="n"/>
      <c r="L25" s="19">
        <f>"Block "&amp;(INT((ROW()-6)/25)+1)&amp;" · Spalte "&amp;SUBSTITUTE(ADDRESS(1,ROW()-1+INT((ROW()-6)/25),4),"1","")</f>
        <v/>
      </c>
    </row>
    <row r="26" ht="22" customHeight="1">
      <c r="A26" s="19">
        <f>ROW()-5</f>
        <v/>
      </c>
      <c r="B26" s="119" t="n"/>
      <c r="C26" s="119" t="n"/>
      <c r="D26" s="119" t="n"/>
      <c r="E26" s="83">
        <f>IF($F26="","",YEAR($F26))</f>
        <v/>
      </c>
      <c r="F26" s="120" t="n"/>
      <c r="G26" s="121" t="n"/>
      <c r="H26" s="122">
        <f>IF(OR($B26="",$F26=""),"",IF(TODAY()&lt;$F26,0,INT(DATEDIF($F26,TODAY(),"m")/12)+1))</f>
        <v/>
      </c>
      <c r="I26" s="123">
        <f>IF(OR($B26="",$F26=""),"",IF(TODAY()&lt;$F26,0,INT(DATEDIF($F26,TODAY(),"m")/6)+1))</f>
        <v/>
      </c>
      <c r="J26" s="124">
        <f>IF($B26="","",$B26&amp;", "&amp;$C26)</f>
        <v/>
      </c>
      <c r="K26" s="119" t="n"/>
      <c r="L26" s="19">
        <f>"Block "&amp;(INT((ROW()-6)/25)+1)&amp;" · Spalte "&amp;SUBSTITUTE(ADDRESS(1,ROW()-1+INT((ROW()-6)/25),4),"1","")</f>
        <v/>
      </c>
    </row>
    <row r="27" ht="22" customHeight="1">
      <c r="A27" s="19">
        <f>ROW()-5</f>
        <v/>
      </c>
      <c r="B27" s="119" t="n"/>
      <c r="C27" s="119" t="n"/>
      <c r="D27" s="119" t="n"/>
      <c r="E27" s="83">
        <f>IF($F27="","",YEAR($F27))</f>
        <v/>
      </c>
      <c r="F27" s="120" t="n"/>
      <c r="G27" s="121" t="n"/>
      <c r="H27" s="122">
        <f>IF(OR($B27="",$F27=""),"",IF(TODAY()&lt;$F27,0,INT(DATEDIF($F27,TODAY(),"m")/12)+1))</f>
        <v/>
      </c>
      <c r="I27" s="123">
        <f>IF(OR($B27="",$F27=""),"",IF(TODAY()&lt;$F27,0,INT(DATEDIF($F27,TODAY(),"m")/6)+1))</f>
        <v/>
      </c>
      <c r="J27" s="124">
        <f>IF($B27="","",$B27&amp;", "&amp;$C27)</f>
        <v/>
      </c>
      <c r="K27" s="119" t="n"/>
      <c r="L27" s="19">
        <f>"Block "&amp;(INT((ROW()-6)/25)+1)&amp;" · Spalte "&amp;SUBSTITUTE(ADDRESS(1,ROW()-1+INT((ROW()-6)/25),4),"1","")</f>
        <v/>
      </c>
    </row>
    <row r="28" ht="22" customHeight="1">
      <c r="A28" s="19">
        <f>ROW()-5</f>
        <v/>
      </c>
      <c r="B28" s="119" t="n"/>
      <c r="C28" s="119" t="n"/>
      <c r="D28" s="119" t="n"/>
      <c r="E28" s="83">
        <f>IF($F28="","",YEAR($F28))</f>
        <v/>
      </c>
      <c r="F28" s="120" t="n"/>
      <c r="G28" s="121" t="n"/>
      <c r="H28" s="122">
        <f>IF(OR($B28="",$F28=""),"",IF(TODAY()&lt;$F28,0,INT(DATEDIF($F28,TODAY(),"m")/12)+1))</f>
        <v/>
      </c>
      <c r="I28" s="123">
        <f>IF(OR($B28="",$F28=""),"",IF(TODAY()&lt;$F28,0,INT(DATEDIF($F28,TODAY(),"m")/6)+1))</f>
        <v/>
      </c>
      <c r="J28" s="124">
        <f>IF($B28="","",$B28&amp;", "&amp;$C28)</f>
        <v/>
      </c>
      <c r="K28" s="119" t="n"/>
      <c r="L28" s="19">
        <f>"Block "&amp;(INT((ROW()-6)/25)+1)&amp;" · Spalte "&amp;SUBSTITUTE(ADDRESS(1,ROW()-1+INT((ROW()-6)/25),4),"1","")</f>
        <v/>
      </c>
    </row>
    <row r="29" ht="22" customHeight="1">
      <c r="A29" s="19">
        <f>ROW()-5</f>
        <v/>
      </c>
      <c r="B29" s="119" t="n"/>
      <c r="C29" s="119" t="n"/>
      <c r="D29" s="119" t="n"/>
      <c r="E29" s="83">
        <f>IF($F29="","",YEAR($F29))</f>
        <v/>
      </c>
      <c r="F29" s="120" t="n"/>
      <c r="G29" s="121" t="n"/>
      <c r="H29" s="122">
        <f>IF(OR($B29="",$F29=""),"",IF(TODAY()&lt;$F29,0,INT(DATEDIF($F29,TODAY(),"m")/12)+1))</f>
        <v/>
      </c>
      <c r="I29" s="123">
        <f>IF(OR($B29="",$F29=""),"",IF(TODAY()&lt;$F29,0,INT(DATEDIF($F29,TODAY(),"m")/6)+1))</f>
        <v/>
      </c>
      <c r="J29" s="124">
        <f>IF($B29="","",$B29&amp;", "&amp;$C29)</f>
        <v/>
      </c>
      <c r="K29" s="119" t="n"/>
      <c r="L29" s="19">
        <f>"Block "&amp;(INT((ROW()-6)/25)+1)&amp;" · Spalte "&amp;SUBSTITUTE(ADDRESS(1,ROW()-1+INT((ROW()-6)/25),4),"1","")</f>
        <v/>
      </c>
    </row>
    <row r="30" ht="22" customHeight="1">
      <c r="A30" s="19">
        <f>ROW()-5</f>
        <v/>
      </c>
      <c r="B30" s="119" t="n"/>
      <c r="C30" s="119" t="n"/>
      <c r="D30" s="119" t="n"/>
      <c r="E30" s="83">
        <f>IF($F30="","",YEAR($F30))</f>
        <v/>
      </c>
      <c r="F30" s="120" t="n"/>
      <c r="G30" s="121" t="n"/>
      <c r="H30" s="122">
        <f>IF(OR($B30="",$F30=""),"",IF(TODAY()&lt;$F30,0,INT(DATEDIF($F30,TODAY(),"m")/12)+1))</f>
        <v/>
      </c>
      <c r="I30" s="123">
        <f>IF(OR($B30="",$F30=""),"",IF(TODAY()&lt;$F30,0,INT(DATEDIF($F30,TODAY(),"m")/6)+1))</f>
        <v/>
      </c>
      <c r="J30" s="124">
        <f>IF($B30="","",$B30&amp;", "&amp;$C30)</f>
        <v/>
      </c>
      <c r="K30" s="119" t="n"/>
      <c r="L30" s="19">
        <f>"Block "&amp;(INT((ROW()-6)/25)+1)&amp;" · Spalte "&amp;SUBSTITUTE(ADDRESS(1,ROW()-1+INT((ROW()-6)/25),4),"1","")</f>
        <v/>
      </c>
    </row>
    <row r="31" ht="22" customHeight="1">
      <c r="A31" s="111">
        <f>ROW()-5</f>
        <v/>
      </c>
      <c r="B31" s="112" t="n"/>
      <c r="C31" s="112" t="n"/>
      <c r="D31" s="112" t="n"/>
      <c r="E31" s="113">
        <f>IF($F31="","",YEAR($F31))</f>
        <v/>
      </c>
      <c r="F31" s="114" t="n"/>
      <c r="G31" s="115" t="n"/>
      <c r="H31" s="116">
        <f>IF(OR($B31="",$F31=""),"",IF(TODAY()&lt;$F31,0,INT(DATEDIF($F31,TODAY(),"m")/12)+1))</f>
        <v/>
      </c>
      <c r="I31" s="117">
        <f>IF(OR($B31="",$F31=""),"",IF(TODAY()&lt;$F31,0,INT(DATEDIF($F31,TODAY(),"m")/6)+1))</f>
        <v/>
      </c>
      <c r="J31" s="118">
        <f>IF($B31="","",$B31&amp;", "&amp;$C31)</f>
        <v/>
      </c>
      <c r="K31" s="112" t="n"/>
      <c r="L31" s="111">
        <f>"Block "&amp;(INT((ROW()-6)/25)+1)&amp;" · Spalte "&amp;SUBSTITUTE(ADDRESS(1,ROW()-1+INT((ROW()-6)/25),4),"1","")</f>
        <v/>
      </c>
    </row>
    <row r="32" ht="22" customHeight="1">
      <c r="A32" s="19">
        <f>ROW()-5</f>
        <v/>
      </c>
      <c r="B32" s="119" t="n"/>
      <c r="C32" s="119" t="n"/>
      <c r="D32" s="119" t="n"/>
      <c r="E32" s="83">
        <f>IF($F32="","",YEAR($F32))</f>
        <v/>
      </c>
      <c r="F32" s="120" t="n"/>
      <c r="G32" s="121" t="n"/>
      <c r="H32" s="122">
        <f>IF(OR($B32="",$F32=""),"",IF(TODAY()&lt;$F32,0,INT(DATEDIF($F32,TODAY(),"m")/12)+1))</f>
        <v/>
      </c>
      <c r="I32" s="123">
        <f>IF(OR($B32="",$F32=""),"",IF(TODAY()&lt;$F32,0,INT(DATEDIF($F32,TODAY(),"m")/6)+1))</f>
        <v/>
      </c>
      <c r="J32" s="124">
        <f>IF($B32="","",$B32&amp;", "&amp;$C32)</f>
        <v/>
      </c>
      <c r="K32" s="119" t="n"/>
      <c r="L32" s="19">
        <f>"Block "&amp;(INT((ROW()-6)/25)+1)&amp;" · Spalte "&amp;SUBSTITUTE(ADDRESS(1,ROW()-1+INT((ROW()-6)/25),4),"1","")</f>
        <v/>
      </c>
    </row>
    <row r="33" ht="22" customHeight="1">
      <c r="A33" s="19">
        <f>ROW()-5</f>
        <v/>
      </c>
      <c r="B33" s="119" t="n"/>
      <c r="C33" s="119" t="n"/>
      <c r="D33" s="119" t="n"/>
      <c r="E33" s="83">
        <f>IF($F33="","",YEAR($F33))</f>
        <v/>
      </c>
      <c r="F33" s="120" t="n"/>
      <c r="G33" s="121" t="n"/>
      <c r="H33" s="122">
        <f>IF(OR($B33="",$F33=""),"",IF(TODAY()&lt;$F33,0,INT(DATEDIF($F33,TODAY(),"m")/12)+1))</f>
        <v/>
      </c>
      <c r="I33" s="123">
        <f>IF(OR($B33="",$F33=""),"",IF(TODAY()&lt;$F33,0,INT(DATEDIF($F33,TODAY(),"m")/6)+1))</f>
        <v/>
      </c>
      <c r="J33" s="124">
        <f>IF($B33="","",$B33&amp;", "&amp;$C33)</f>
        <v/>
      </c>
      <c r="K33" s="119" t="n"/>
      <c r="L33" s="19">
        <f>"Block "&amp;(INT((ROW()-6)/25)+1)&amp;" · Spalte "&amp;SUBSTITUTE(ADDRESS(1,ROW()-1+INT((ROW()-6)/25),4),"1","")</f>
        <v/>
      </c>
    </row>
    <row r="34" ht="22" customHeight="1">
      <c r="A34" s="19">
        <f>ROW()-5</f>
        <v/>
      </c>
      <c r="B34" s="119" t="n"/>
      <c r="C34" s="119" t="n"/>
      <c r="D34" s="119" t="n"/>
      <c r="E34" s="83">
        <f>IF($F34="","",YEAR($F34))</f>
        <v/>
      </c>
      <c r="F34" s="120" t="n"/>
      <c r="G34" s="121" t="n"/>
      <c r="H34" s="122">
        <f>IF(OR($B34="",$F34=""),"",IF(TODAY()&lt;$F34,0,INT(DATEDIF($F34,TODAY(),"m")/12)+1))</f>
        <v/>
      </c>
      <c r="I34" s="123">
        <f>IF(OR($B34="",$F34=""),"",IF(TODAY()&lt;$F34,0,INT(DATEDIF($F34,TODAY(),"m")/6)+1))</f>
        <v/>
      </c>
      <c r="J34" s="124">
        <f>IF($B34="","",$B34&amp;", "&amp;$C34)</f>
        <v/>
      </c>
      <c r="K34" s="119" t="n"/>
      <c r="L34" s="19">
        <f>"Block "&amp;(INT((ROW()-6)/25)+1)&amp;" · Spalte "&amp;SUBSTITUTE(ADDRESS(1,ROW()-1+INT((ROW()-6)/25),4),"1","")</f>
        <v/>
      </c>
    </row>
    <row r="35" ht="22" customHeight="1">
      <c r="A35" s="19">
        <f>ROW()-5</f>
        <v/>
      </c>
      <c r="B35" s="119" t="n"/>
      <c r="C35" s="119" t="n"/>
      <c r="D35" s="119" t="n"/>
      <c r="E35" s="83">
        <f>IF($F35="","",YEAR($F35))</f>
        <v/>
      </c>
      <c r="F35" s="120" t="n"/>
      <c r="G35" s="121" t="n"/>
      <c r="H35" s="122">
        <f>IF(OR($B35="",$F35=""),"",IF(TODAY()&lt;$F35,0,INT(DATEDIF($F35,TODAY(),"m")/12)+1))</f>
        <v/>
      </c>
      <c r="I35" s="123">
        <f>IF(OR($B35="",$F35=""),"",IF(TODAY()&lt;$F35,0,INT(DATEDIF($F35,TODAY(),"m")/6)+1))</f>
        <v/>
      </c>
      <c r="J35" s="124">
        <f>IF($B35="","",$B35&amp;", "&amp;$C35)</f>
        <v/>
      </c>
      <c r="K35" s="119" t="n"/>
      <c r="L35" s="19">
        <f>"Block "&amp;(INT((ROW()-6)/25)+1)&amp;" · Spalte "&amp;SUBSTITUTE(ADDRESS(1,ROW()-1+INT((ROW()-6)/25),4),"1","")</f>
        <v/>
      </c>
    </row>
    <row r="36" ht="22" customHeight="1">
      <c r="A36" s="19">
        <f>ROW()-5</f>
        <v/>
      </c>
      <c r="B36" s="119" t="n"/>
      <c r="C36" s="119" t="n"/>
      <c r="D36" s="119" t="n"/>
      <c r="E36" s="83">
        <f>IF($F36="","",YEAR($F36))</f>
        <v/>
      </c>
      <c r="F36" s="120" t="n"/>
      <c r="G36" s="121" t="n"/>
      <c r="H36" s="122">
        <f>IF(OR($B36="",$F36=""),"",IF(TODAY()&lt;$F36,0,INT(DATEDIF($F36,TODAY(),"m")/12)+1))</f>
        <v/>
      </c>
      <c r="I36" s="123">
        <f>IF(OR($B36="",$F36=""),"",IF(TODAY()&lt;$F36,0,INT(DATEDIF($F36,TODAY(),"m")/6)+1))</f>
        <v/>
      </c>
      <c r="J36" s="124">
        <f>IF($B36="","",$B36&amp;", "&amp;$C36)</f>
        <v/>
      </c>
      <c r="K36" s="119" t="n"/>
      <c r="L36" s="19">
        <f>"Block "&amp;(INT((ROW()-6)/25)+1)&amp;" · Spalte "&amp;SUBSTITUTE(ADDRESS(1,ROW()-1+INT((ROW()-6)/25),4),"1","")</f>
        <v/>
      </c>
    </row>
    <row r="37" ht="22" customHeight="1">
      <c r="A37" s="19">
        <f>ROW()-5</f>
        <v/>
      </c>
      <c r="B37" s="119" t="n"/>
      <c r="C37" s="119" t="n"/>
      <c r="D37" s="119" t="n"/>
      <c r="E37" s="83">
        <f>IF($F37="","",YEAR($F37))</f>
        <v/>
      </c>
      <c r="F37" s="120" t="n"/>
      <c r="G37" s="121" t="n"/>
      <c r="H37" s="122">
        <f>IF(OR($B37="",$F37=""),"",IF(TODAY()&lt;$F37,0,INT(DATEDIF($F37,TODAY(),"m")/12)+1))</f>
        <v/>
      </c>
      <c r="I37" s="123">
        <f>IF(OR($B37="",$F37=""),"",IF(TODAY()&lt;$F37,0,INT(DATEDIF($F37,TODAY(),"m")/6)+1))</f>
        <v/>
      </c>
      <c r="J37" s="124">
        <f>IF($B37="","",$B37&amp;", "&amp;$C37)</f>
        <v/>
      </c>
      <c r="K37" s="119" t="n"/>
      <c r="L37" s="19">
        <f>"Block "&amp;(INT((ROW()-6)/25)+1)&amp;" · Spalte "&amp;SUBSTITUTE(ADDRESS(1,ROW()-1+INT((ROW()-6)/25),4),"1","")</f>
        <v/>
      </c>
    </row>
    <row r="38" ht="22" customHeight="1">
      <c r="A38" s="19">
        <f>ROW()-5</f>
        <v/>
      </c>
      <c r="B38" s="119" t="n"/>
      <c r="C38" s="119" t="n"/>
      <c r="D38" s="119" t="n"/>
      <c r="E38" s="83">
        <f>IF($F38="","",YEAR($F38))</f>
        <v/>
      </c>
      <c r="F38" s="120" t="n"/>
      <c r="G38" s="121" t="n"/>
      <c r="H38" s="122">
        <f>IF(OR($B38="",$F38=""),"",IF(TODAY()&lt;$F38,0,INT(DATEDIF($F38,TODAY(),"m")/12)+1))</f>
        <v/>
      </c>
      <c r="I38" s="123">
        <f>IF(OR($B38="",$F38=""),"",IF(TODAY()&lt;$F38,0,INT(DATEDIF($F38,TODAY(),"m")/6)+1))</f>
        <v/>
      </c>
      <c r="J38" s="124">
        <f>IF($B38="","",$B38&amp;", "&amp;$C38)</f>
        <v/>
      </c>
      <c r="K38" s="119" t="n"/>
      <c r="L38" s="19">
        <f>"Block "&amp;(INT((ROW()-6)/25)+1)&amp;" · Spalte "&amp;SUBSTITUTE(ADDRESS(1,ROW()-1+INT((ROW()-6)/25),4),"1","")</f>
        <v/>
      </c>
    </row>
    <row r="39" ht="22" customHeight="1">
      <c r="A39" s="19">
        <f>ROW()-5</f>
        <v/>
      </c>
      <c r="B39" s="119" t="n"/>
      <c r="C39" s="119" t="n"/>
      <c r="D39" s="119" t="n"/>
      <c r="E39" s="83">
        <f>IF($F39="","",YEAR($F39))</f>
        <v/>
      </c>
      <c r="F39" s="120" t="n"/>
      <c r="G39" s="121" t="n"/>
      <c r="H39" s="122">
        <f>IF(OR($B39="",$F39=""),"",IF(TODAY()&lt;$F39,0,INT(DATEDIF($F39,TODAY(),"m")/12)+1))</f>
        <v/>
      </c>
      <c r="I39" s="123">
        <f>IF(OR($B39="",$F39=""),"",IF(TODAY()&lt;$F39,0,INT(DATEDIF($F39,TODAY(),"m")/6)+1))</f>
        <v/>
      </c>
      <c r="J39" s="124">
        <f>IF($B39="","",$B39&amp;", "&amp;$C39)</f>
        <v/>
      </c>
      <c r="K39" s="119" t="n"/>
      <c r="L39" s="19">
        <f>"Block "&amp;(INT((ROW()-6)/25)+1)&amp;" · Spalte "&amp;SUBSTITUTE(ADDRESS(1,ROW()-1+INT((ROW()-6)/25),4),"1","")</f>
        <v/>
      </c>
    </row>
    <row r="40" ht="22" customHeight="1">
      <c r="A40" s="19">
        <f>ROW()-5</f>
        <v/>
      </c>
      <c r="B40" s="119" t="n"/>
      <c r="C40" s="119" t="n"/>
      <c r="D40" s="119" t="n"/>
      <c r="E40" s="83">
        <f>IF($F40="","",YEAR($F40))</f>
        <v/>
      </c>
      <c r="F40" s="120" t="n"/>
      <c r="G40" s="121" t="n"/>
      <c r="H40" s="122">
        <f>IF(OR($B40="",$F40=""),"",IF(TODAY()&lt;$F40,0,INT(DATEDIF($F40,TODAY(),"m")/12)+1))</f>
        <v/>
      </c>
      <c r="I40" s="123">
        <f>IF(OR($B40="",$F40=""),"",IF(TODAY()&lt;$F40,0,INT(DATEDIF($F40,TODAY(),"m")/6)+1))</f>
        <v/>
      </c>
      <c r="J40" s="124">
        <f>IF($B40="","",$B40&amp;", "&amp;$C40)</f>
        <v/>
      </c>
      <c r="K40" s="119" t="n"/>
      <c r="L40" s="19">
        <f>"Block "&amp;(INT((ROW()-6)/25)+1)&amp;" · Spalte "&amp;SUBSTITUTE(ADDRESS(1,ROW()-1+INT((ROW()-6)/25),4),"1","")</f>
        <v/>
      </c>
    </row>
    <row r="41" ht="22" customHeight="1">
      <c r="A41" s="19">
        <f>ROW()-5</f>
        <v/>
      </c>
      <c r="B41" s="119" t="n"/>
      <c r="C41" s="119" t="n"/>
      <c r="D41" s="119" t="n"/>
      <c r="E41" s="83">
        <f>IF($F41="","",YEAR($F41))</f>
        <v/>
      </c>
      <c r="F41" s="120" t="n"/>
      <c r="G41" s="121" t="n"/>
      <c r="H41" s="122">
        <f>IF(OR($B41="",$F41=""),"",IF(TODAY()&lt;$F41,0,INT(DATEDIF($F41,TODAY(),"m")/12)+1))</f>
        <v/>
      </c>
      <c r="I41" s="123">
        <f>IF(OR($B41="",$F41=""),"",IF(TODAY()&lt;$F41,0,INT(DATEDIF($F41,TODAY(),"m")/6)+1))</f>
        <v/>
      </c>
      <c r="J41" s="124">
        <f>IF($B41="","",$B41&amp;", "&amp;$C41)</f>
        <v/>
      </c>
      <c r="K41" s="119" t="n"/>
      <c r="L41" s="19">
        <f>"Block "&amp;(INT((ROW()-6)/25)+1)&amp;" · Spalte "&amp;SUBSTITUTE(ADDRESS(1,ROW()-1+INT((ROW()-6)/25),4),"1","")</f>
        <v/>
      </c>
    </row>
    <row r="42" ht="22" customHeight="1">
      <c r="A42" s="19">
        <f>ROW()-5</f>
        <v/>
      </c>
      <c r="B42" s="119" t="n"/>
      <c r="C42" s="119" t="n"/>
      <c r="D42" s="119" t="n"/>
      <c r="E42" s="83">
        <f>IF($F42="","",YEAR($F42))</f>
        <v/>
      </c>
      <c r="F42" s="120" t="n"/>
      <c r="G42" s="121" t="n"/>
      <c r="H42" s="122">
        <f>IF(OR($B42="",$F42=""),"",IF(TODAY()&lt;$F42,0,INT(DATEDIF($F42,TODAY(),"m")/12)+1))</f>
        <v/>
      </c>
      <c r="I42" s="123">
        <f>IF(OR($B42="",$F42=""),"",IF(TODAY()&lt;$F42,0,INT(DATEDIF($F42,TODAY(),"m")/6)+1))</f>
        <v/>
      </c>
      <c r="J42" s="124">
        <f>IF($B42="","",$B42&amp;", "&amp;$C42)</f>
        <v/>
      </c>
      <c r="K42" s="119" t="n"/>
      <c r="L42" s="19">
        <f>"Block "&amp;(INT((ROW()-6)/25)+1)&amp;" · Spalte "&amp;SUBSTITUTE(ADDRESS(1,ROW()-1+INT((ROW()-6)/25),4),"1","")</f>
        <v/>
      </c>
    </row>
    <row r="43" ht="22" customHeight="1">
      <c r="A43" s="19">
        <f>ROW()-5</f>
        <v/>
      </c>
      <c r="B43" s="119" t="n"/>
      <c r="C43" s="119" t="n"/>
      <c r="D43" s="119" t="n"/>
      <c r="E43" s="83">
        <f>IF($F43="","",YEAR($F43))</f>
        <v/>
      </c>
      <c r="F43" s="120" t="n"/>
      <c r="G43" s="121" t="n"/>
      <c r="H43" s="122">
        <f>IF(OR($B43="",$F43=""),"",IF(TODAY()&lt;$F43,0,INT(DATEDIF($F43,TODAY(),"m")/12)+1))</f>
        <v/>
      </c>
      <c r="I43" s="123">
        <f>IF(OR($B43="",$F43=""),"",IF(TODAY()&lt;$F43,0,INT(DATEDIF($F43,TODAY(),"m")/6)+1))</f>
        <v/>
      </c>
      <c r="J43" s="124">
        <f>IF($B43="","",$B43&amp;", "&amp;$C43)</f>
        <v/>
      </c>
      <c r="K43" s="119" t="n"/>
      <c r="L43" s="19">
        <f>"Block "&amp;(INT((ROW()-6)/25)+1)&amp;" · Spalte "&amp;SUBSTITUTE(ADDRESS(1,ROW()-1+INT((ROW()-6)/25),4),"1","")</f>
        <v/>
      </c>
    </row>
    <row r="44" ht="22" customHeight="1">
      <c r="A44" s="19">
        <f>ROW()-5</f>
        <v/>
      </c>
      <c r="B44" s="119" t="n"/>
      <c r="C44" s="119" t="n"/>
      <c r="D44" s="119" t="n"/>
      <c r="E44" s="83">
        <f>IF($F44="","",YEAR($F44))</f>
        <v/>
      </c>
      <c r="F44" s="120" t="n"/>
      <c r="G44" s="121" t="n"/>
      <c r="H44" s="122">
        <f>IF(OR($B44="",$F44=""),"",IF(TODAY()&lt;$F44,0,INT(DATEDIF($F44,TODAY(),"m")/12)+1))</f>
        <v/>
      </c>
      <c r="I44" s="123">
        <f>IF(OR($B44="",$F44=""),"",IF(TODAY()&lt;$F44,0,INT(DATEDIF($F44,TODAY(),"m")/6)+1))</f>
        <v/>
      </c>
      <c r="J44" s="124">
        <f>IF($B44="","",$B44&amp;", "&amp;$C44)</f>
        <v/>
      </c>
      <c r="K44" s="119" t="n"/>
      <c r="L44" s="19">
        <f>"Block "&amp;(INT((ROW()-6)/25)+1)&amp;" · Spalte "&amp;SUBSTITUTE(ADDRESS(1,ROW()-1+INT((ROW()-6)/25),4),"1","")</f>
        <v/>
      </c>
    </row>
    <row r="45" ht="22" customHeight="1">
      <c r="A45" s="19">
        <f>ROW()-5</f>
        <v/>
      </c>
      <c r="B45" s="119" t="n"/>
      <c r="C45" s="119" t="n"/>
      <c r="D45" s="119" t="n"/>
      <c r="E45" s="83">
        <f>IF($F45="","",YEAR($F45))</f>
        <v/>
      </c>
      <c r="F45" s="120" t="n"/>
      <c r="G45" s="121" t="n"/>
      <c r="H45" s="122">
        <f>IF(OR($B45="",$F45=""),"",IF(TODAY()&lt;$F45,0,INT(DATEDIF($F45,TODAY(),"m")/12)+1))</f>
        <v/>
      </c>
      <c r="I45" s="123">
        <f>IF(OR($B45="",$F45=""),"",IF(TODAY()&lt;$F45,0,INT(DATEDIF($F45,TODAY(),"m")/6)+1))</f>
        <v/>
      </c>
      <c r="J45" s="124">
        <f>IF($B45="","",$B45&amp;", "&amp;$C45)</f>
        <v/>
      </c>
      <c r="K45" s="119" t="n"/>
      <c r="L45" s="19">
        <f>"Block "&amp;(INT((ROW()-6)/25)+1)&amp;" · Spalte "&amp;SUBSTITUTE(ADDRESS(1,ROW()-1+INT((ROW()-6)/25),4),"1","")</f>
        <v/>
      </c>
    </row>
    <row r="46" ht="22" customHeight="1">
      <c r="A46" s="19">
        <f>ROW()-5</f>
        <v/>
      </c>
      <c r="B46" s="119" t="n"/>
      <c r="C46" s="119" t="n"/>
      <c r="D46" s="119" t="n"/>
      <c r="E46" s="83">
        <f>IF($F46="","",YEAR($F46))</f>
        <v/>
      </c>
      <c r="F46" s="120" t="n"/>
      <c r="G46" s="121" t="n"/>
      <c r="H46" s="122">
        <f>IF(OR($B46="",$F46=""),"",IF(TODAY()&lt;$F46,0,INT(DATEDIF($F46,TODAY(),"m")/12)+1))</f>
        <v/>
      </c>
      <c r="I46" s="123">
        <f>IF(OR($B46="",$F46=""),"",IF(TODAY()&lt;$F46,0,INT(DATEDIF($F46,TODAY(),"m")/6)+1))</f>
        <v/>
      </c>
      <c r="J46" s="124">
        <f>IF($B46="","",$B46&amp;", "&amp;$C46)</f>
        <v/>
      </c>
      <c r="K46" s="119" t="n"/>
      <c r="L46" s="19">
        <f>"Block "&amp;(INT((ROW()-6)/25)+1)&amp;" · Spalte "&amp;SUBSTITUTE(ADDRESS(1,ROW()-1+INT((ROW()-6)/25),4),"1","")</f>
        <v/>
      </c>
    </row>
    <row r="47" ht="22" customHeight="1">
      <c r="A47" s="19">
        <f>ROW()-5</f>
        <v/>
      </c>
      <c r="B47" s="119" t="n"/>
      <c r="C47" s="119" t="n"/>
      <c r="D47" s="119" t="n"/>
      <c r="E47" s="83">
        <f>IF($F47="","",YEAR($F47))</f>
        <v/>
      </c>
      <c r="F47" s="120" t="n"/>
      <c r="G47" s="121" t="n"/>
      <c r="H47" s="122">
        <f>IF(OR($B47="",$F47=""),"",IF(TODAY()&lt;$F47,0,INT(DATEDIF($F47,TODAY(),"m")/12)+1))</f>
        <v/>
      </c>
      <c r="I47" s="123">
        <f>IF(OR($B47="",$F47=""),"",IF(TODAY()&lt;$F47,0,INT(DATEDIF($F47,TODAY(),"m")/6)+1))</f>
        <v/>
      </c>
      <c r="J47" s="124">
        <f>IF($B47="","",$B47&amp;", "&amp;$C47)</f>
        <v/>
      </c>
      <c r="K47" s="119" t="n"/>
      <c r="L47" s="19">
        <f>"Block "&amp;(INT((ROW()-6)/25)+1)&amp;" · Spalte "&amp;SUBSTITUTE(ADDRESS(1,ROW()-1+INT((ROW()-6)/25),4),"1","")</f>
        <v/>
      </c>
    </row>
    <row r="48" ht="22" customHeight="1">
      <c r="A48" s="19">
        <f>ROW()-5</f>
        <v/>
      </c>
      <c r="B48" s="119" t="n"/>
      <c r="C48" s="119" t="n"/>
      <c r="D48" s="119" t="n"/>
      <c r="E48" s="83">
        <f>IF($F48="","",YEAR($F48))</f>
        <v/>
      </c>
      <c r="F48" s="120" t="n"/>
      <c r="G48" s="121" t="n"/>
      <c r="H48" s="122">
        <f>IF(OR($B48="",$F48=""),"",IF(TODAY()&lt;$F48,0,INT(DATEDIF($F48,TODAY(),"m")/12)+1))</f>
        <v/>
      </c>
      <c r="I48" s="123">
        <f>IF(OR($B48="",$F48=""),"",IF(TODAY()&lt;$F48,0,INT(DATEDIF($F48,TODAY(),"m")/6)+1))</f>
        <v/>
      </c>
      <c r="J48" s="124">
        <f>IF($B48="","",$B48&amp;", "&amp;$C48)</f>
        <v/>
      </c>
      <c r="K48" s="119" t="n"/>
      <c r="L48" s="19">
        <f>"Block "&amp;(INT((ROW()-6)/25)+1)&amp;" · Spalte "&amp;SUBSTITUTE(ADDRESS(1,ROW()-1+INT((ROW()-6)/25),4),"1","")</f>
        <v/>
      </c>
    </row>
    <row r="49" ht="22" customHeight="1">
      <c r="A49" s="19">
        <f>ROW()-5</f>
        <v/>
      </c>
      <c r="B49" s="119" t="n"/>
      <c r="C49" s="119" t="n"/>
      <c r="D49" s="119" t="n"/>
      <c r="E49" s="83">
        <f>IF($F49="","",YEAR($F49))</f>
        <v/>
      </c>
      <c r="F49" s="120" t="n"/>
      <c r="G49" s="121" t="n"/>
      <c r="H49" s="122">
        <f>IF(OR($B49="",$F49=""),"",IF(TODAY()&lt;$F49,0,INT(DATEDIF($F49,TODAY(),"m")/12)+1))</f>
        <v/>
      </c>
      <c r="I49" s="123">
        <f>IF(OR($B49="",$F49=""),"",IF(TODAY()&lt;$F49,0,INT(DATEDIF($F49,TODAY(),"m")/6)+1))</f>
        <v/>
      </c>
      <c r="J49" s="124">
        <f>IF($B49="","",$B49&amp;", "&amp;$C49)</f>
        <v/>
      </c>
      <c r="K49" s="119" t="n"/>
      <c r="L49" s="19">
        <f>"Block "&amp;(INT((ROW()-6)/25)+1)&amp;" · Spalte "&amp;SUBSTITUTE(ADDRESS(1,ROW()-1+INT((ROW()-6)/25),4),"1","")</f>
        <v/>
      </c>
    </row>
    <row r="50" ht="22" customHeight="1">
      <c r="A50" s="19">
        <f>ROW()-5</f>
        <v/>
      </c>
      <c r="B50" s="119" t="n"/>
      <c r="C50" s="119" t="n"/>
      <c r="D50" s="119" t="n"/>
      <c r="E50" s="83">
        <f>IF($F50="","",YEAR($F50))</f>
        <v/>
      </c>
      <c r="F50" s="120" t="n"/>
      <c r="G50" s="121" t="n"/>
      <c r="H50" s="122">
        <f>IF(OR($B50="",$F50=""),"",IF(TODAY()&lt;$F50,0,INT(DATEDIF($F50,TODAY(),"m")/12)+1))</f>
        <v/>
      </c>
      <c r="I50" s="123">
        <f>IF(OR($B50="",$F50=""),"",IF(TODAY()&lt;$F50,0,INT(DATEDIF($F50,TODAY(),"m")/6)+1))</f>
        <v/>
      </c>
      <c r="J50" s="124">
        <f>IF($B50="","",$B50&amp;", "&amp;$C50)</f>
        <v/>
      </c>
      <c r="K50" s="119" t="n"/>
      <c r="L50" s="19">
        <f>"Block "&amp;(INT((ROW()-6)/25)+1)&amp;" · Spalte "&amp;SUBSTITUTE(ADDRESS(1,ROW()-1+INT((ROW()-6)/25),4),"1","")</f>
        <v/>
      </c>
    </row>
    <row r="51" ht="22" customHeight="1">
      <c r="A51" s="19">
        <f>ROW()-5</f>
        <v/>
      </c>
      <c r="B51" s="119" t="n"/>
      <c r="C51" s="119" t="n"/>
      <c r="D51" s="119" t="n"/>
      <c r="E51" s="83">
        <f>IF($F51="","",YEAR($F51))</f>
        <v/>
      </c>
      <c r="F51" s="120" t="n"/>
      <c r="G51" s="121" t="n"/>
      <c r="H51" s="122">
        <f>IF(OR($B51="",$F51=""),"",IF(TODAY()&lt;$F51,0,INT(DATEDIF($F51,TODAY(),"m")/12)+1))</f>
        <v/>
      </c>
      <c r="I51" s="123">
        <f>IF(OR($B51="",$F51=""),"",IF(TODAY()&lt;$F51,0,INT(DATEDIF($F51,TODAY(),"m")/6)+1))</f>
        <v/>
      </c>
      <c r="J51" s="124">
        <f>IF($B51="","",$B51&amp;", "&amp;$C51)</f>
        <v/>
      </c>
      <c r="K51" s="119" t="n"/>
      <c r="L51" s="19">
        <f>"Block "&amp;(INT((ROW()-6)/25)+1)&amp;" · Spalte "&amp;SUBSTITUTE(ADDRESS(1,ROW()-1+INT((ROW()-6)/25),4),"1","")</f>
        <v/>
      </c>
    </row>
    <row r="52" ht="22" customHeight="1">
      <c r="A52" s="19">
        <f>ROW()-5</f>
        <v/>
      </c>
      <c r="B52" s="119" t="n"/>
      <c r="C52" s="119" t="n"/>
      <c r="D52" s="119" t="n"/>
      <c r="E52" s="83">
        <f>IF($F52="","",YEAR($F52))</f>
        <v/>
      </c>
      <c r="F52" s="120" t="n"/>
      <c r="G52" s="121" t="n"/>
      <c r="H52" s="122">
        <f>IF(OR($B52="",$F52=""),"",IF(TODAY()&lt;$F52,0,INT(DATEDIF($F52,TODAY(),"m")/12)+1))</f>
        <v/>
      </c>
      <c r="I52" s="123">
        <f>IF(OR($B52="",$F52=""),"",IF(TODAY()&lt;$F52,0,INT(DATEDIF($F52,TODAY(),"m")/6)+1))</f>
        <v/>
      </c>
      <c r="J52" s="124">
        <f>IF($B52="","",$B52&amp;", "&amp;$C52)</f>
        <v/>
      </c>
      <c r="K52" s="119" t="n"/>
      <c r="L52" s="19">
        <f>"Block "&amp;(INT((ROW()-6)/25)+1)&amp;" · Spalte "&amp;SUBSTITUTE(ADDRESS(1,ROW()-1+INT((ROW()-6)/25),4),"1","")</f>
        <v/>
      </c>
    </row>
    <row r="53" ht="22" customHeight="1">
      <c r="A53" s="19">
        <f>ROW()-5</f>
        <v/>
      </c>
      <c r="B53" s="119" t="n"/>
      <c r="C53" s="119" t="n"/>
      <c r="D53" s="119" t="n"/>
      <c r="E53" s="83">
        <f>IF($F53="","",YEAR($F53))</f>
        <v/>
      </c>
      <c r="F53" s="120" t="n"/>
      <c r="G53" s="121" t="n"/>
      <c r="H53" s="122">
        <f>IF(OR($B53="",$F53=""),"",IF(TODAY()&lt;$F53,0,INT(DATEDIF($F53,TODAY(),"m")/12)+1))</f>
        <v/>
      </c>
      <c r="I53" s="123">
        <f>IF(OR($B53="",$F53=""),"",IF(TODAY()&lt;$F53,0,INT(DATEDIF($F53,TODAY(),"m")/6)+1))</f>
        <v/>
      </c>
      <c r="J53" s="124">
        <f>IF($B53="","",$B53&amp;", "&amp;$C53)</f>
        <v/>
      </c>
      <c r="K53" s="119" t="n"/>
      <c r="L53" s="19">
        <f>"Block "&amp;(INT((ROW()-6)/25)+1)&amp;" · Spalte "&amp;SUBSTITUTE(ADDRESS(1,ROW()-1+INT((ROW()-6)/25),4),"1","")</f>
        <v/>
      </c>
    </row>
    <row r="54" ht="22" customHeight="1">
      <c r="A54" s="19">
        <f>ROW()-5</f>
        <v/>
      </c>
      <c r="B54" s="119" t="n"/>
      <c r="C54" s="119" t="n"/>
      <c r="D54" s="119" t="n"/>
      <c r="E54" s="83">
        <f>IF($F54="","",YEAR($F54))</f>
        <v/>
      </c>
      <c r="F54" s="120" t="n"/>
      <c r="G54" s="121" t="n"/>
      <c r="H54" s="122">
        <f>IF(OR($B54="",$F54=""),"",IF(TODAY()&lt;$F54,0,INT(DATEDIF($F54,TODAY(),"m")/12)+1))</f>
        <v/>
      </c>
      <c r="I54" s="123">
        <f>IF(OR($B54="",$F54=""),"",IF(TODAY()&lt;$F54,0,INT(DATEDIF($F54,TODAY(),"m")/6)+1))</f>
        <v/>
      </c>
      <c r="J54" s="124">
        <f>IF($B54="","",$B54&amp;", "&amp;$C54)</f>
        <v/>
      </c>
      <c r="K54" s="119" t="n"/>
      <c r="L54" s="19">
        <f>"Block "&amp;(INT((ROW()-6)/25)+1)&amp;" · Spalte "&amp;SUBSTITUTE(ADDRESS(1,ROW()-1+INT((ROW()-6)/25),4),"1","")</f>
        <v/>
      </c>
    </row>
    <row r="55" ht="22" customHeight="1">
      <c r="A55" s="19">
        <f>ROW()-5</f>
        <v/>
      </c>
      <c r="B55" s="119" t="n"/>
      <c r="C55" s="119" t="n"/>
      <c r="D55" s="119" t="n"/>
      <c r="E55" s="83">
        <f>IF($F55="","",YEAR($F55))</f>
        <v/>
      </c>
      <c r="F55" s="120" t="n"/>
      <c r="G55" s="121" t="n"/>
      <c r="H55" s="122">
        <f>IF(OR($B55="",$F55=""),"",IF(TODAY()&lt;$F55,0,INT(DATEDIF($F55,TODAY(),"m")/12)+1))</f>
        <v/>
      </c>
      <c r="I55" s="123">
        <f>IF(OR($B55="",$F55=""),"",IF(TODAY()&lt;$F55,0,INT(DATEDIF($F55,TODAY(),"m")/6)+1))</f>
        <v/>
      </c>
      <c r="J55" s="124">
        <f>IF($B55="","",$B55&amp;", "&amp;$C55)</f>
        <v/>
      </c>
      <c r="K55" s="119" t="n"/>
      <c r="L55" s="19">
        <f>"Block "&amp;(INT((ROW()-6)/25)+1)&amp;" · Spalte "&amp;SUBSTITUTE(ADDRESS(1,ROW()-1+INT((ROW()-6)/25),4),"1","")</f>
        <v/>
      </c>
    </row>
    <row r="56" ht="22" customHeight="1">
      <c r="A56" s="111">
        <f>ROW()-5</f>
        <v/>
      </c>
      <c r="B56" s="112" t="n"/>
      <c r="C56" s="112" t="n"/>
      <c r="D56" s="112" t="n"/>
      <c r="E56" s="113">
        <f>IF($F56="","",YEAR($F56))</f>
        <v/>
      </c>
      <c r="F56" s="114" t="n"/>
      <c r="G56" s="115" t="n"/>
      <c r="H56" s="116">
        <f>IF(OR($B56="",$F56=""),"",IF(TODAY()&lt;$F56,0,INT(DATEDIF($F56,TODAY(),"m")/12)+1))</f>
        <v/>
      </c>
      <c r="I56" s="117">
        <f>IF(OR($B56="",$F56=""),"",IF(TODAY()&lt;$F56,0,INT(DATEDIF($F56,TODAY(),"m")/6)+1))</f>
        <v/>
      </c>
      <c r="J56" s="118">
        <f>IF($B56="","",$B56&amp;", "&amp;$C56)</f>
        <v/>
      </c>
      <c r="K56" s="112" t="n"/>
      <c r="L56" s="111">
        <f>"Block "&amp;(INT((ROW()-6)/25)+1)&amp;" · Spalte "&amp;SUBSTITUTE(ADDRESS(1,ROW()-1+INT((ROW()-6)/25),4),"1","")</f>
        <v/>
      </c>
    </row>
    <row r="57" ht="22" customHeight="1">
      <c r="A57" s="19">
        <f>ROW()-5</f>
        <v/>
      </c>
      <c r="B57" s="119" t="n"/>
      <c r="C57" s="119" t="n"/>
      <c r="D57" s="119" t="n"/>
      <c r="E57" s="83">
        <f>IF($F57="","",YEAR($F57))</f>
        <v/>
      </c>
      <c r="F57" s="120" t="n"/>
      <c r="G57" s="121" t="n"/>
      <c r="H57" s="122">
        <f>IF(OR($B57="",$F57=""),"",IF(TODAY()&lt;$F57,0,INT(DATEDIF($F57,TODAY(),"m")/12)+1))</f>
        <v/>
      </c>
      <c r="I57" s="123">
        <f>IF(OR($B57="",$F57=""),"",IF(TODAY()&lt;$F57,0,INT(DATEDIF($F57,TODAY(),"m")/6)+1))</f>
        <v/>
      </c>
      <c r="J57" s="124">
        <f>IF($B57="","",$B57&amp;", "&amp;$C57)</f>
        <v/>
      </c>
      <c r="K57" s="119" t="n"/>
      <c r="L57" s="19">
        <f>"Block "&amp;(INT((ROW()-6)/25)+1)&amp;" · Spalte "&amp;SUBSTITUTE(ADDRESS(1,ROW()-1+INT((ROW()-6)/25),4),"1","")</f>
        <v/>
      </c>
    </row>
    <row r="58" ht="22" customHeight="1">
      <c r="A58" s="19">
        <f>ROW()-5</f>
        <v/>
      </c>
      <c r="B58" s="119" t="n"/>
      <c r="C58" s="119" t="n"/>
      <c r="D58" s="119" t="n"/>
      <c r="E58" s="83">
        <f>IF($F58="","",YEAR($F58))</f>
        <v/>
      </c>
      <c r="F58" s="120" t="n"/>
      <c r="G58" s="121" t="n"/>
      <c r="H58" s="122">
        <f>IF(OR($B58="",$F58=""),"",IF(TODAY()&lt;$F58,0,INT(DATEDIF($F58,TODAY(),"m")/12)+1))</f>
        <v/>
      </c>
      <c r="I58" s="123">
        <f>IF(OR($B58="",$F58=""),"",IF(TODAY()&lt;$F58,0,INT(DATEDIF($F58,TODAY(),"m")/6)+1))</f>
        <v/>
      </c>
      <c r="J58" s="124">
        <f>IF($B58="","",$B58&amp;", "&amp;$C58)</f>
        <v/>
      </c>
      <c r="K58" s="119" t="n"/>
      <c r="L58" s="19">
        <f>"Block "&amp;(INT((ROW()-6)/25)+1)&amp;" · Spalte "&amp;SUBSTITUTE(ADDRESS(1,ROW()-1+INT((ROW()-6)/25),4),"1","")</f>
        <v/>
      </c>
    </row>
    <row r="59" ht="22" customHeight="1">
      <c r="A59" s="19">
        <f>ROW()-5</f>
        <v/>
      </c>
      <c r="B59" s="119" t="n"/>
      <c r="C59" s="119" t="n"/>
      <c r="D59" s="119" t="n"/>
      <c r="E59" s="83">
        <f>IF($F59="","",YEAR($F59))</f>
        <v/>
      </c>
      <c r="F59" s="120" t="n"/>
      <c r="G59" s="121" t="n"/>
      <c r="H59" s="122">
        <f>IF(OR($B59="",$F59=""),"",IF(TODAY()&lt;$F59,0,INT(DATEDIF($F59,TODAY(),"m")/12)+1))</f>
        <v/>
      </c>
      <c r="I59" s="123">
        <f>IF(OR($B59="",$F59=""),"",IF(TODAY()&lt;$F59,0,INT(DATEDIF($F59,TODAY(),"m")/6)+1))</f>
        <v/>
      </c>
      <c r="J59" s="124">
        <f>IF($B59="","",$B59&amp;", "&amp;$C59)</f>
        <v/>
      </c>
      <c r="K59" s="119" t="n"/>
      <c r="L59" s="19">
        <f>"Block "&amp;(INT((ROW()-6)/25)+1)&amp;" · Spalte "&amp;SUBSTITUTE(ADDRESS(1,ROW()-1+INT((ROW()-6)/25),4),"1","")</f>
        <v/>
      </c>
    </row>
    <row r="60" ht="22" customHeight="1">
      <c r="A60" s="19">
        <f>ROW()-5</f>
        <v/>
      </c>
      <c r="B60" s="119" t="n"/>
      <c r="C60" s="119" t="n"/>
      <c r="D60" s="119" t="n"/>
      <c r="E60" s="83">
        <f>IF($F60="","",YEAR($F60))</f>
        <v/>
      </c>
      <c r="F60" s="120" t="n"/>
      <c r="G60" s="121" t="n"/>
      <c r="H60" s="122">
        <f>IF(OR($B60="",$F60=""),"",IF(TODAY()&lt;$F60,0,INT(DATEDIF($F60,TODAY(),"m")/12)+1))</f>
        <v/>
      </c>
      <c r="I60" s="123">
        <f>IF(OR($B60="",$F60=""),"",IF(TODAY()&lt;$F60,0,INT(DATEDIF($F60,TODAY(),"m")/6)+1))</f>
        <v/>
      </c>
      <c r="J60" s="124">
        <f>IF($B60="","",$B60&amp;", "&amp;$C60)</f>
        <v/>
      </c>
      <c r="K60" s="119" t="n"/>
      <c r="L60" s="19">
        <f>"Block "&amp;(INT((ROW()-6)/25)+1)&amp;" · Spalte "&amp;SUBSTITUTE(ADDRESS(1,ROW()-1+INT((ROW()-6)/25),4),"1","")</f>
        <v/>
      </c>
    </row>
    <row r="61" ht="22" customHeight="1">
      <c r="A61" s="19">
        <f>ROW()-5</f>
        <v/>
      </c>
      <c r="B61" s="119" t="n"/>
      <c r="C61" s="119" t="n"/>
      <c r="D61" s="119" t="n"/>
      <c r="E61" s="83">
        <f>IF($F61="","",YEAR($F61))</f>
        <v/>
      </c>
      <c r="F61" s="120" t="n"/>
      <c r="G61" s="121" t="n"/>
      <c r="H61" s="122">
        <f>IF(OR($B61="",$F61=""),"",IF(TODAY()&lt;$F61,0,INT(DATEDIF($F61,TODAY(),"m")/12)+1))</f>
        <v/>
      </c>
      <c r="I61" s="123">
        <f>IF(OR($B61="",$F61=""),"",IF(TODAY()&lt;$F61,0,INT(DATEDIF($F61,TODAY(),"m")/6)+1))</f>
        <v/>
      </c>
      <c r="J61" s="124">
        <f>IF($B61="","",$B61&amp;", "&amp;$C61)</f>
        <v/>
      </c>
      <c r="K61" s="119" t="n"/>
      <c r="L61" s="19">
        <f>"Block "&amp;(INT((ROW()-6)/25)+1)&amp;" · Spalte "&amp;SUBSTITUTE(ADDRESS(1,ROW()-1+INT((ROW()-6)/25),4),"1","")</f>
        <v/>
      </c>
    </row>
    <row r="62" ht="22" customHeight="1">
      <c r="A62" s="19">
        <f>ROW()-5</f>
        <v/>
      </c>
      <c r="B62" s="119" t="n"/>
      <c r="C62" s="119" t="n"/>
      <c r="D62" s="119" t="n"/>
      <c r="E62" s="83">
        <f>IF($F62="","",YEAR($F62))</f>
        <v/>
      </c>
      <c r="F62" s="120" t="n"/>
      <c r="G62" s="121" t="n"/>
      <c r="H62" s="122">
        <f>IF(OR($B62="",$F62=""),"",IF(TODAY()&lt;$F62,0,INT(DATEDIF($F62,TODAY(),"m")/12)+1))</f>
        <v/>
      </c>
      <c r="I62" s="123">
        <f>IF(OR($B62="",$F62=""),"",IF(TODAY()&lt;$F62,0,INT(DATEDIF($F62,TODAY(),"m")/6)+1))</f>
        <v/>
      </c>
      <c r="J62" s="124">
        <f>IF($B62="","",$B62&amp;", "&amp;$C62)</f>
        <v/>
      </c>
      <c r="K62" s="119" t="n"/>
      <c r="L62" s="19">
        <f>"Block "&amp;(INT((ROW()-6)/25)+1)&amp;" · Spalte "&amp;SUBSTITUTE(ADDRESS(1,ROW()-1+INT((ROW()-6)/25),4),"1","")</f>
        <v/>
      </c>
    </row>
    <row r="63" ht="22" customHeight="1">
      <c r="A63" s="19">
        <f>ROW()-5</f>
        <v/>
      </c>
      <c r="B63" s="119" t="n"/>
      <c r="C63" s="119" t="n"/>
      <c r="D63" s="119" t="n"/>
      <c r="E63" s="83">
        <f>IF($F63="","",YEAR($F63))</f>
        <v/>
      </c>
      <c r="F63" s="120" t="n"/>
      <c r="G63" s="121" t="n"/>
      <c r="H63" s="122">
        <f>IF(OR($B63="",$F63=""),"",IF(TODAY()&lt;$F63,0,INT(DATEDIF($F63,TODAY(),"m")/12)+1))</f>
        <v/>
      </c>
      <c r="I63" s="123">
        <f>IF(OR($B63="",$F63=""),"",IF(TODAY()&lt;$F63,0,INT(DATEDIF($F63,TODAY(),"m")/6)+1))</f>
        <v/>
      </c>
      <c r="J63" s="124">
        <f>IF($B63="","",$B63&amp;", "&amp;$C63)</f>
        <v/>
      </c>
      <c r="K63" s="119" t="n"/>
      <c r="L63" s="19">
        <f>"Block "&amp;(INT((ROW()-6)/25)+1)&amp;" · Spalte "&amp;SUBSTITUTE(ADDRESS(1,ROW()-1+INT((ROW()-6)/25),4),"1","")</f>
        <v/>
      </c>
    </row>
    <row r="64" ht="22" customHeight="1">
      <c r="A64" s="19">
        <f>ROW()-5</f>
        <v/>
      </c>
      <c r="B64" s="119" t="n"/>
      <c r="C64" s="119" t="n"/>
      <c r="D64" s="119" t="n"/>
      <c r="E64" s="83">
        <f>IF($F64="","",YEAR($F64))</f>
        <v/>
      </c>
      <c r="F64" s="120" t="n"/>
      <c r="G64" s="121" t="n"/>
      <c r="H64" s="122">
        <f>IF(OR($B64="",$F64=""),"",IF(TODAY()&lt;$F64,0,INT(DATEDIF($F64,TODAY(),"m")/12)+1))</f>
        <v/>
      </c>
      <c r="I64" s="123">
        <f>IF(OR($B64="",$F64=""),"",IF(TODAY()&lt;$F64,0,INT(DATEDIF($F64,TODAY(),"m")/6)+1))</f>
        <v/>
      </c>
      <c r="J64" s="124">
        <f>IF($B64="","",$B64&amp;", "&amp;$C64)</f>
        <v/>
      </c>
      <c r="K64" s="119" t="n"/>
      <c r="L64" s="19">
        <f>"Block "&amp;(INT((ROW()-6)/25)+1)&amp;" · Spalte "&amp;SUBSTITUTE(ADDRESS(1,ROW()-1+INT((ROW()-6)/25),4),"1","")</f>
        <v/>
      </c>
    </row>
    <row r="65" ht="22" customHeight="1">
      <c r="A65" s="19">
        <f>ROW()-5</f>
        <v/>
      </c>
      <c r="B65" s="119" t="n"/>
      <c r="C65" s="119" t="n"/>
      <c r="D65" s="119" t="n"/>
      <c r="E65" s="83">
        <f>IF($F65="","",YEAR($F65))</f>
        <v/>
      </c>
      <c r="F65" s="120" t="n"/>
      <c r="G65" s="121" t="n"/>
      <c r="H65" s="122">
        <f>IF(OR($B65="",$F65=""),"",IF(TODAY()&lt;$F65,0,INT(DATEDIF($F65,TODAY(),"m")/12)+1))</f>
        <v/>
      </c>
      <c r="I65" s="123">
        <f>IF(OR($B65="",$F65=""),"",IF(TODAY()&lt;$F65,0,INT(DATEDIF($F65,TODAY(),"m")/6)+1))</f>
        <v/>
      </c>
      <c r="J65" s="124">
        <f>IF($B65="","",$B65&amp;", "&amp;$C65)</f>
        <v/>
      </c>
      <c r="K65" s="119" t="n"/>
      <c r="L65" s="19">
        <f>"Block "&amp;(INT((ROW()-6)/25)+1)&amp;" · Spalte "&amp;SUBSTITUTE(ADDRESS(1,ROW()-1+INT((ROW()-6)/25),4),"1","")</f>
        <v/>
      </c>
    </row>
    <row r="66" ht="22" customHeight="1">
      <c r="A66" s="19">
        <f>ROW()-5</f>
        <v/>
      </c>
      <c r="B66" s="119" t="n"/>
      <c r="C66" s="119" t="n"/>
      <c r="D66" s="119" t="n"/>
      <c r="E66" s="83">
        <f>IF($F66="","",YEAR($F66))</f>
        <v/>
      </c>
      <c r="F66" s="120" t="n"/>
      <c r="G66" s="121" t="n"/>
      <c r="H66" s="122">
        <f>IF(OR($B66="",$F66=""),"",IF(TODAY()&lt;$F66,0,INT(DATEDIF($F66,TODAY(),"m")/12)+1))</f>
        <v/>
      </c>
      <c r="I66" s="123">
        <f>IF(OR($B66="",$F66=""),"",IF(TODAY()&lt;$F66,0,INT(DATEDIF($F66,TODAY(),"m")/6)+1))</f>
        <v/>
      </c>
      <c r="J66" s="124">
        <f>IF($B66="","",$B66&amp;", "&amp;$C66)</f>
        <v/>
      </c>
      <c r="K66" s="119" t="n"/>
      <c r="L66" s="19">
        <f>"Block "&amp;(INT((ROW()-6)/25)+1)&amp;" · Spalte "&amp;SUBSTITUTE(ADDRESS(1,ROW()-1+INT((ROW()-6)/25),4),"1","")</f>
        <v/>
      </c>
    </row>
    <row r="67" ht="22" customHeight="1">
      <c r="A67" s="19">
        <f>ROW()-5</f>
        <v/>
      </c>
      <c r="B67" s="119" t="n"/>
      <c r="C67" s="119" t="n"/>
      <c r="D67" s="119" t="n"/>
      <c r="E67" s="83">
        <f>IF($F67="","",YEAR($F67))</f>
        <v/>
      </c>
      <c r="F67" s="120" t="n"/>
      <c r="G67" s="121" t="n"/>
      <c r="H67" s="122">
        <f>IF(OR($B67="",$F67=""),"",IF(TODAY()&lt;$F67,0,INT(DATEDIF($F67,TODAY(),"m")/12)+1))</f>
        <v/>
      </c>
      <c r="I67" s="123">
        <f>IF(OR($B67="",$F67=""),"",IF(TODAY()&lt;$F67,0,INT(DATEDIF($F67,TODAY(),"m")/6)+1))</f>
        <v/>
      </c>
      <c r="J67" s="124">
        <f>IF($B67="","",$B67&amp;", "&amp;$C67)</f>
        <v/>
      </c>
      <c r="K67" s="119" t="n"/>
      <c r="L67" s="19">
        <f>"Block "&amp;(INT((ROW()-6)/25)+1)&amp;" · Spalte "&amp;SUBSTITUTE(ADDRESS(1,ROW()-1+INT((ROW()-6)/25),4),"1","")</f>
        <v/>
      </c>
    </row>
    <row r="68" ht="22" customHeight="1">
      <c r="A68" s="19">
        <f>ROW()-5</f>
        <v/>
      </c>
      <c r="B68" s="119" t="n"/>
      <c r="C68" s="119" t="n"/>
      <c r="D68" s="119" t="n"/>
      <c r="E68" s="83">
        <f>IF($F68="","",YEAR($F68))</f>
        <v/>
      </c>
      <c r="F68" s="120" t="n"/>
      <c r="G68" s="121" t="n"/>
      <c r="H68" s="122">
        <f>IF(OR($B68="",$F68=""),"",IF(TODAY()&lt;$F68,0,INT(DATEDIF($F68,TODAY(),"m")/12)+1))</f>
        <v/>
      </c>
      <c r="I68" s="123">
        <f>IF(OR($B68="",$F68=""),"",IF(TODAY()&lt;$F68,0,INT(DATEDIF($F68,TODAY(),"m")/6)+1))</f>
        <v/>
      </c>
      <c r="J68" s="124">
        <f>IF($B68="","",$B68&amp;", "&amp;$C68)</f>
        <v/>
      </c>
      <c r="K68" s="119" t="n"/>
      <c r="L68" s="19">
        <f>"Block "&amp;(INT((ROW()-6)/25)+1)&amp;" · Spalte "&amp;SUBSTITUTE(ADDRESS(1,ROW()-1+INT((ROW()-6)/25),4),"1","")</f>
        <v/>
      </c>
    </row>
    <row r="69" ht="22" customHeight="1">
      <c r="A69" s="19">
        <f>ROW()-5</f>
        <v/>
      </c>
      <c r="B69" s="119" t="n"/>
      <c r="C69" s="119" t="n"/>
      <c r="D69" s="119" t="n"/>
      <c r="E69" s="83">
        <f>IF($F69="","",YEAR($F69))</f>
        <v/>
      </c>
      <c r="F69" s="120" t="n"/>
      <c r="G69" s="121" t="n"/>
      <c r="H69" s="122">
        <f>IF(OR($B69="",$F69=""),"",IF(TODAY()&lt;$F69,0,INT(DATEDIF($F69,TODAY(),"m")/12)+1))</f>
        <v/>
      </c>
      <c r="I69" s="123">
        <f>IF(OR($B69="",$F69=""),"",IF(TODAY()&lt;$F69,0,INT(DATEDIF($F69,TODAY(),"m")/6)+1))</f>
        <v/>
      </c>
      <c r="J69" s="124">
        <f>IF($B69="","",$B69&amp;", "&amp;$C69)</f>
        <v/>
      </c>
      <c r="K69" s="119" t="n"/>
      <c r="L69" s="19">
        <f>"Block "&amp;(INT((ROW()-6)/25)+1)&amp;" · Spalte "&amp;SUBSTITUTE(ADDRESS(1,ROW()-1+INT((ROW()-6)/25),4),"1","")</f>
        <v/>
      </c>
    </row>
    <row r="70" ht="22" customHeight="1">
      <c r="A70" s="19">
        <f>ROW()-5</f>
        <v/>
      </c>
      <c r="B70" s="119" t="n"/>
      <c r="C70" s="119" t="n"/>
      <c r="D70" s="119" t="n"/>
      <c r="E70" s="83">
        <f>IF($F70="","",YEAR($F70))</f>
        <v/>
      </c>
      <c r="F70" s="120" t="n"/>
      <c r="G70" s="121" t="n"/>
      <c r="H70" s="122">
        <f>IF(OR($B70="",$F70=""),"",IF(TODAY()&lt;$F70,0,INT(DATEDIF($F70,TODAY(),"m")/12)+1))</f>
        <v/>
      </c>
      <c r="I70" s="123">
        <f>IF(OR($B70="",$F70=""),"",IF(TODAY()&lt;$F70,0,INT(DATEDIF($F70,TODAY(),"m")/6)+1))</f>
        <v/>
      </c>
      <c r="J70" s="124">
        <f>IF($B70="","",$B70&amp;", "&amp;$C70)</f>
        <v/>
      </c>
      <c r="K70" s="119" t="n"/>
      <c r="L70" s="19">
        <f>"Block "&amp;(INT((ROW()-6)/25)+1)&amp;" · Spalte "&amp;SUBSTITUTE(ADDRESS(1,ROW()-1+INT((ROW()-6)/25),4),"1","")</f>
        <v/>
      </c>
    </row>
    <row r="71" ht="22" customHeight="1">
      <c r="A71" s="19">
        <f>ROW()-5</f>
        <v/>
      </c>
      <c r="B71" s="119" t="n"/>
      <c r="C71" s="119" t="n"/>
      <c r="D71" s="119" t="n"/>
      <c r="E71" s="83">
        <f>IF($F71="","",YEAR($F71))</f>
        <v/>
      </c>
      <c r="F71" s="120" t="n"/>
      <c r="G71" s="121" t="n"/>
      <c r="H71" s="122">
        <f>IF(OR($B71="",$F71=""),"",IF(TODAY()&lt;$F71,0,INT(DATEDIF($F71,TODAY(),"m")/12)+1))</f>
        <v/>
      </c>
      <c r="I71" s="123">
        <f>IF(OR($B71="",$F71=""),"",IF(TODAY()&lt;$F71,0,INT(DATEDIF($F71,TODAY(),"m")/6)+1))</f>
        <v/>
      </c>
      <c r="J71" s="124">
        <f>IF($B71="","",$B71&amp;", "&amp;$C71)</f>
        <v/>
      </c>
      <c r="K71" s="119" t="n"/>
      <c r="L71" s="19">
        <f>"Block "&amp;(INT((ROW()-6)/25)+1)&amp;" · Spalte "&amp;SUBSTITUTE(ADDRESS(1,ROW()-1+INT((ROW()-6)/25),4),"1","")</f>
        <v/>
      </c>
    </row>
    <row r="72" ht="22" customHeight="1">
      <c r="A72" s="19">
        <f>ROW()-5</f>
        <v/>
      </c>
      <c r="B72" s="119" t="n"/>
      <c r="C72" s="119" t="n"/>
      <c r="D72" s="119" t="n"/>
      <c r="E72" s="83">
        <f>IF($F72="","",YEAR($F72))</f>
        <v/>
      </c>
      <c r="F72" s="120" t="n"/>
      <c r="G72" s="121" t="n"/>
      <c r="H72" s="122">
        <f>IF(OR($B72="",$F72=""),"",IF(TODAY()&lt;$F72,0,INT(DATEDIF($F72,TODAY(),"m")/12)+1))</f>
        <v/>
      </c>
      <c r="I72" s="123">
        <f>IF(OR($B72="",$F72=""),"",IF(TODAY()&lt;$F72,0,INT(DATEDIF($F72,TODAY(),"m")/6)+1))</f>
        <v/>
      </c>
      <c r="J72" s="124">
        <f>IF($B72="","",$B72&amp;", "&amp;$C72)</f>
        <v/>
      </c>
      <c r="K72" s="119" t="n"/>
      <c r="L72" s="19">
        <f>"Block "&amp;(INT((ROW()-6)/25)+1)&amp;" · Spalte "&amp;SUBSTITUTE(ADDRESS(1,ROW()-1+INT((ROW()-6)/25),4),"1","")</f>
        <v/>
      </c>
    </row>
    <row r="73" ht="22" customHeight="1">
      <c r="A73" s="19">
        <f>ROW()-5</f>
        <v/>
      </c>
      <c r="B73" s="119" t="n"/>
      <c r="C73" s="119" t="n"/>
      <c r="D73" s="119" t="n"/>
      <c r="E73" s="83">
        <f>IF($F73="","",YEAR($F73))</f>
        <v/>
      </c>
      <c r="F73" s="120" t="n"/>
      <c r="G73" s="121" t="n"/>
      <c r="H73" s="122">
        <f>IF(OR($B73="",$F73=""),"",IF(TODAY()&lt;$F73,0,INT(DATEDIF($F73,TODAY(),"m")/12)+1))</f>
        <v/>
      </c>
      <c r="I73" s="123">
        <f>IF(OR($B73="",$F73=""),"",IF(TODAY()&lt;$F73,0,INT(DATEDIF($F73,TODAY(),"m")/6)+1))</f>
        <v/>
      </c>
      <c r="J73" s="124">
        <f>IF($B73="","",$B73&amp;", "&amp;$C73)</f>
        <v/>
      </c>
      <c r="K73" s="119" t="n"/>
      <c r="L73" s="19">
        <f>"Block "&amp;(INT((ROW()-6)/25)+1)&amp;" · Spalte "&amp;SUBSTITUTE(ADDRESS(1,ROW()-1+INT((ROW()-6)/25),4),"1","")</f>
        <v/>
      </c>
    </row>
    <row r="74" ht="22" customHeight="1">
      <c r="A74" s="19">
        <f>ROW()-5</f>
        <v/>
      </c>
      <c r="B74" s="119" t="n"/>
      <c r="C74" s="119" t="n"/>
      <c r="D74" s="119" t="n"/>
      <c r="E74" s="83">
        <f>IF($F74="","",YEAR($F74))</f>
        <v/>
      </c>
      <c r="F74" s="120" t="n"/>
      <c r="G74" s="121" t="n"/>
      <c r="H74" s="122">
        <f>IF(OR($B74="",$F74=""),"",IF(TODAY()&lt;$F74,0,INT(DATEDIF($F74,TODAY(),"m")/12)+1))</f>
        <v/>
      </c>
      <c r="I74" s="123">
        <f>IF(OR($B74="",$F74=""),"",IF(TODAY()&lt;$F74,0,INT(DATEDIF($F74,TODAY(),"m")/6)+1))</f>
        <v/>
      </c>
      <c r="J74" s="124">
        <f>IF($B74="","",$B74&amp;", "&amp;$C74)</f>
        <v/>
      </c>
      <c r="K74" s="119" t="n"/>
      <c r="L74" s="19">
        <f>"Block "&amp;(INT((ROW()-6)/25)+1)&amp;" · Spalte "&amp;SUBSTITUTE(ADDRESS(1,ROW()-1+INT((ROW()-6)/25),4),"1","")</f>
        <v/>
      </c>
    </row>
    <row r="75" ht="22" customHeight="1">
      <c r="A75" s="19">
        <f>ROW()-5</f>
        <v/>
      </c>
      <c r="B75" s="119" t="n"/>
      <c r="C75" s="119" t="n"/>
      <c r="D75" s="119" t="n"/>
      <c r="E75" s="83">
        <f>IF($F75="","",YEAR($F75))</f>
        <v/>
      </c>
      <c r="F75" s="120" t="n"/>
      <c r="G75" s="121" t="n"/>
      <c r="H75" s="122">
        <f>IF(OR($B75="",$F75=""),"",IF(TODAY()&lt;$F75,0,INT(DATEDIF($F75,TODAY(),"m")/12)+1))</f>
        <v/>
      </c>
      <c r="I75" s="123">
        <f>IF(OR($B75="",$F75=""),"",IF(TODAY()&lt;$F75,0,INT(DATEDIF($F75,TODAY(),"m")/6)+1))</f>
        <v/>
      </c>
      <c r="J75" s="124">
        <f>IF($B75="","",$B75&amp;", "&amp;$C75)</f>
        <v/>
      </c>
      <c r="K75" s="119" t="n"/>
      <c r="L75" s="19">
        <f>"Block "&amp;(INT((ROW()-6)/25)+1)&amp;" · Spalte "&amp;SUBSTITUTE(ADDRESS(1,ROW()-1+INT((ROW()-6)/25),4),"1","")</f>
        <v/>
      </c>
    </row>
    <row r="76" ht="22" customHeight="1">
      <c r="A76" s="19">
        <f>ROW()-5</f>
        <v/>
      </c>
      <c r="B76" s="119" t="n"/>
      <c r="C76" s="119" t="n"/>
      <c r="D76" s="119" t="n"/>
      <c r="E76" s="83">
        <f>IF($F76="","",YEAR($F76))</f>
        <v/>
      </c>
      <c r="F76" s="120" t="n"/>
      <c r="G76" s="121" t="n"/>
      <c r="H76" s="122">
        <f>IF(OR($B76="",$F76=""),"",IF(TODAY()&lt;$F76,0,INT(DATEDIF($F76,TODAY(),"m")/12)+1))</f>
        <v/>
      </c>
      <c r="I76" s="123">
        <f>IF(OR($B76="",$F76=""),"",IF(TODAY()&lt;$F76,0,INT(DATEDIF($F76,TODAY(),"m")/6)+1))</f>
        <v/>
      </c>
      <c r="J76" s="124">
        <f>IF($B76="","",$B76&amp;", "&amp;$C76)</f>
        <v/>
      </c>
      <c r="K76" s="119" t="n"/>
      <c r="L76" s="19">
        <f>"Block "&amp;(INT((ROW()-6)/25)+1)&amp;" · Spalte "&amp;SUBSTITUTE(ADDRESS(1,ROW()-1+INT((ROW()-6)/25),4),"1","")</f>
        <v/>
      </c>
    </row>
    <row r="77" ht="22" customHeight="1">
      <c r="A77" s="19">
        <f>ROW()-5</f>
        <v/>
      </c>
      <c r="B77" s="119" t="n"/>
      <c r="C77" s="119" t="n"/>
      <c r="D77" s="119" t="n"/>
      <c r="E77" s="83">
        <f>IF($F77="","",YEAR($F77))</f>
        <v/>
      </c>
      <c r="F77" s="120" t="n"/>
      <c r="G77" s="121" t="n"/>
      <c r="H77" s="122">
        <f>IF(OR($B77="",$F77=""),"",IF(TODAY()&lt;$F77,0,INT(DATEDIF($F77,TODAY(),"m")/12)+1))</f>
        <v/>
      </c>
      <c r="I77" s="123">
        <f>IF(OR($B77="",$F77=""),"",IF(TODAY()&lt;$F77,0,INT(DATEDIF($F77,TODAY(),"m")/6)+1))</f>
        <v/>
      </c>
      <c r="J77" s="124">
        <f>IF($B77="","",$B77&amp;", "&amp;$C77)</f>
        <v/>
      </c>
      <c r="K77" s="119" t="n"/>
      <c r="L77" s="19">
        <f>"Block "&amp;(INT((ROW()-6)/25)+1)&amp;" · Spalte "&amp;SUBSTITUTE(ADDRESS(1,ROW()-1+INT((ROW()-6)/25),4),"1","")</f>
        <v/>
      </c>
    </row>
    <row r="78" ht="22" customHeight="1">
      <c r="A78" s="19">
        <f>ROW()-5</f>
        <v/>
      </c>
      <c r="B78" s="119" t="n"/>
      <c r="C78" s="119" t="n"/>
      <c r="D78" s="119" t="n"/>
      <c r="E78" s="83">
        <f>IF($F78="","",YEAR($F78))</f>
        <v/>
      </c>
      <c r="F78" s="120" t="n"/>
      <c r="G78" s="121" t="n"/>
      <c r="H78" s="122">
        <f>IF(OR($B78="",$F78=""),"",IF(TODAY()&lt;$F78,0,INT(DATEDIF($F78,TODAY(),"m")/12)+1))</f>
        <v/>
      </c>
      <c r="I78" s="123">
        <f>IF(OR($B78="",$F78=""),"",IF(TODAY()&lt;$F78,0,INT(DATEDIF($F78,TODAY(),"m")/6)+1))</f>
        <v/>
      </c>
      <c r="J78" s="124">
        <f>IF($B78="","",$B78&amp;", "&amp;$C78)</f>
        <v/>
      </c>
      <c r="K78" s="119" t="n"/>
      <c r="L78" s="19">
        <f>"Block "&amp;(INT((ROW()-6)/25)+1)&amp;" · Spalte "&amp;SUBSTITUTE(ADDRESS(1,ROW()-1+INT((ROW()-6)/25),4),"1","")</f>
        <v/>
      </c>
    </row>
    <row r="79" ht="22" customHeight="1">
      <c r="A79" s="19">
        <f>ROW()-5</f>
        <v/>
      </c>
      <c r="B79" s="119" t="n"/>
      <c r="C79" s="119" t="n"/>
      <c r="D79" s="119" t="n"/>
      <c r="E79" s="83">
        <f>IF($F79="","",YEAR($F79))</f>
        <v/>
      </c>
      <c r="F79" s="120" t="n"/>
      <c r="G79" s="121" t="n"/>
      <c r="H79" s="122">
        <f>IF(OR($B79="",$F79=""),"",IF(TODAY()&lt;$F79,0,INT(DATEDIF($F79,TODAY(),"m")/12)+1))</f>
        <v/>
      </c>
      <c r="I79" s="123">
        <f>IF(OR($B79="",$F79=""),"",IF(TODAY()&lt;$F79,0,INT(DATEDIF($F79,TODAY(),"m")/6)+1))</f>
        <v/>
      </c>
      <c r="J79" s="124">
        <f>IF($B79="","",$B79&amp;", "&amp;$C79)</f>
        <v/>
      </c>
      <c r="K79" s="119" t="n"/>
      <c r="L79" s="19">
        <f>"Block "&amp;(INT((ROW()-6)/25)+1)&amp;" · Spalte "&amp;SUBSTITUTE(ADDRESS(1,ROW()-1+INT((ROW()-6)/25),4),"1","")</f>
        <v/>
      </c>
    </row>
    <row r="80" ht="22" customHeight="1">
      <c r="A80" s="19">
        <f>ROW()-5</f>
        <v/>
      </c>
      <c r="B80" s="119" t="n"/>
      <c r="C80" s="119" t="n"/>
      <c r="D80" s="119" t="n"/>
      <c r="E80" s="83">
        <f>IF($F80="","",YEAR($F80))</f>
        <v/>
      </c>
      <c r="F80" s="120" t="n"/>
      <c r="G80" s="121" t="n"/>
      <c r="H80" s="122">
        <f>IF(OR($B80="",$F80=""),"",IF(TODAY()&lt;$F80,0,INT(DATEDIF($F80,TODAY(),"m")/12)+1))</f>
        <v/>
      </c>
      <c r="I80" s="123">
        <f>IF(OR($B80="",$F80=""),"",IF(TODAY()&lt;$F80,0,INT(DATEDIF($F80,TODAY(),"m")/6)+1))</f>
        <v/>
      </c>
      <c r="J80" s="124">
        <f>IF($B80="","",$B80&amp;", "&amp;$C80)</f>
        <v/>
      </c>
      <c r="K80" s="119" t="n"/>
      <c r="L80" s="19">
        <f>"Block "&amp;(INT((ROW()-6)/25)+1)&amp;" · Spalte "&amp;SUBSTITUTE(ADDRESS(1,ROW()-1+INT((ROW()-6)/25),4),"1","")</f>
        <v/>
      </c>
    </row>
    <row r="81" ht="22" customHeight="1">
      <c r="A81" s="111">
        <f>ROW()-5</f>
        <v/>
      </c>
      <c r="B81" s="112" t="n"/>
      <c r="C81" s="112" t="n"/>
      <c r="D81" s="112" t="n"/>
      <c r="E81" s="113">
        <f>IF($F81="","",YEAR($F81))</f>
        <v/>
      </c>
      <c r="F81" s="114" t="n"/>
      <c r="G81" s="115" t="n"/>
      <c r="H81" s="116">
        <f>IF(OR($B81="",$F81=""),"",IF(TODAY()&lt;$F81,0,INT(DATEDIF($F81,TODAY(),"m")/12)+1))</f>
        <v/>
      </c>
      <c r="I81" s="117">
        <f>IF(OR($B81="",$F81=""),"",IF(TODAY()&lt;$F81,0,INT(DATEDIF($F81,TODAY(),"m")/6)+1))</f>
        <v/>
      </c>
      <c r="J81" s="118">
        <f>IF($B81="","",$B81&amp;", "&amp;$C81)</f>
        <v/>
      </c>
      <c r="K81" s="112" t="n"/>
      <c r="L81" s="111">
        <f>"Block "&amp;(INT((ROW()-6)/25)+1)&amp;" · Spalte "&amp;SUBSTITUTE(ADDRESS(1,ROW()-1+INT((ROW()-6)/25),4),"1","")</f>
        <v/>
      </c>
    </row>
    <row r="82" ht="22" customHeight="1">
      <c r="A82" s="19">
        <f>ROW()-5</f>
        <v/>
      </c>
      <c r="B82" s="119" t="n"/>
      <c r="C82" s="119" t="n"/>
      <c r="D82" s="119" t="n"/>
      <c r="E82" s="83">
        <f>IF($F82="","",YEAR($F82))</f>
        <v/>
      </c>
      <c r="F82" s="120" t="n"/>
      <c r="G82" s="121" t="n"/>
      <c r="H82" s="122">
        <f>IF(OR($B82="",$F82=""),"",IF(TODAY()&lt;$F82,0,INT(DATEDIF($F82,TODAY(),"m")/12)+1))</f>
        <v/>
      </c>
      <c r="I82" s="123">
        <f>IF(OR($B82="",$F82=""),"",IF(TODAY()&lt;$F82,0,INT(DATEDIF($F82,TODAY(),"m")/6)+1))</f>
        <v/>
      </c>
      <c r="J82" s="124">
        <f>IF($B82="","",$B82&amp;", "&amp;$C82)</f>
        <v/>
      </c>
      <c r="K82" s="119" t="n"/>
      <c r="L82" s="19">
        <f>"Block "&amp;(INT((ROW()-6)/25)+1)&amp;" · Spalte "&amp;SUBSTITUTE(ADDRESS(1,ROW()-1+INT((ROW()-6)/25),4),"1","")</f>
        <v/>
      </c>
    </row>
    <row r="83" ht="22" customHeight="1">
      <c r="A83" s="19">
        <f>ROW()-5</f>
        <v/>
      </c>
      <c r="B83" s="119" t="n"/>
      <c r="C83" s="119" t="n"/>
      <c r="D83" s="119" t="n"/>
      <c r="E83" s="83">
        <f>IF($F83="","",YEAR($F83))</f>
        <v/>
      </c>
      <c r="F83" s="120" t="n"/>
      <c r="G83" s="121" t="n"/>
      <c r="H83" s="122">
        <f>IF(OR($B83="",$F83=""),"",IF(TODAY()&lt;$F83,0,INT(DATEDIF($F83,TODAY(),"m")/12)+1))</f>
        <v/>
      </c>
      <c r="I83" s="123">
        <f>IF(OR($B83="",$F83=""),"",IF(TODAY()&lt;$F83,0,INT(DATEDIF($F83,TODAY(),"m")/6)+1))</f>
        <v/>
      </c>
      <c r="J83" s="124">
        <f>IF($B83="","",$B83&amp;", "&amp;$C83)</f>
        <v/>
      </c>
      <c r="K83" s="119" t="n"/>
      <c r="L83" s="19">
        <f>"Block "&amp;(INT((ROW()-6)/25)+1)&amp;" · Spalte "&amp;SUBSTITUTE(ADDRESS(1,ROW()-1+INT((ROW()-6)/25),4),"1","")</f>
        <v/>
      </c>
    </row>
    <row r="84" ht="22" customHeight="1">
      <c r="A84" s="19">
        <f>ROW()-5</f>
        <v/>
      </c>
      <c r="B84" s="119" t="n"/>
      <c r="C84" s="119" t="n"/>
      <c r="D84" s="119" t="n"/>
      <c r="E84" s="83">
        <f>IF($F84="","",YEAR($F84))</f>
        <v/>
      </c>
      <c r="F84" s="120" t="n"/>
      <c r="G84" s="121" t="n"/>
      <c r="H84" s="122">
        <f>IF(OR($B84="",$F84=""),"",IF(TODAY()&lt;$F84,0,INT(DATEDIF($F84,TODAY(),"m")/12)+1))</f>
        <v/>
      </c>
      <c r="I84" s="123">
        <f>IF(OR($B84="",$F84=""),"",IF(TODAY()&lt;$F84,0,INT(DATEDIF($F84,TODAY(),"m")/6)+1))</f>
        <v/>
      </c>
      <c r="J84" s="124">
        <f>IF($B84="","",$B84&amp;", "&amp;$C84)</f>
        <v/>
      </c>
      <c r="K84" s="119" t="n"/>
      <c r="L84" s="19">
        <f>"Block "&amp;(INT((ROW()-6)/25)+1)&amp;" · Spalte "&amp;SUBSTITUTE(ADDRESS(1,ROW()-1+INT((ROW()-6)/25),4),"1","")</f>
        <v/>
      </c>
    </row>
    <row r="85" ht="22" customHeight="1">
      <c r="A85" s="19">
        <f>ROW()-5</f>
        <v/>
      </c>
      <c r="B85" s="119" t="n"/>
      <c r="C85" s="119" t="n"/>
      <c r="D85" s="119" t="n"/>
      <c r="E85" s="83">
        <f>IF($F85="","",YEAR($F85))</f>
        <v/>
      </c>
      <c r="F85" s="120" t="n"/>
      <c r="G85" s="121" t="n"/>
      <c r="H85" s="122">
        <f>IF(OR($B85="",$F85=""),"",IF(TODAY()&lt;$F85,0,INT(DATEDIF($F85,TODAY(),"m")/12)+1))</f>
        <v/>
      </c>
      <c r="I85" s="123">
        <f>IF(OR($B85="",$F85=""),"",IF(TODAY()&lt;$F85,0,INT(DATEDIF($F85,TODAY(),"m")/6)+1))</f>
        <v/>
      </c>
      <c r="J85" s="124">
        <f>IF($B85="","",$B85&amp;", "&amp;$C85)</f>
        <v/>
      </c>
      <c r="K85" s="119" t="n"/>
      <c r="L85" s="19">
        <f>"Block "&amp;(INT((ROW()-6)/25)+1)&amp;" · Spalte "&amp;SUBSTITUTE(ADDRESS(1,ROW()-1+INT((ROW()-6)/25),4),"1","")</f>
        <v/>
      </c>
    </row>
    <row r="86" ht="22" customHeight="1">
      <c r="A86" s="19">
        <f>ROW()-5</f>
        <v/>
      </c>
      <c r="B86" s="119" t="n"/>
      <c r="C86" s="119" t="n"/>
      <c r="D86" s="119" t="n"/>
      <c r="E86" s="83">
        <f>IF($F86="","",YEAR($F86))</f>
        <v/>
      </c>
      <c r="F86" s="120" t="n"/>
      <c r="G86" s="121" t="n"/>
      <c r="H86" s="122">
        <f>IF(OR($B86="",$F86=""),"",IF(TODAY()&lt;$F86,0,INT(DATEDIF($F86,TODAY(),"m")/12)+1))</f>
        <v/>
      </c>
      <c r="I86" s="123">
        <f>IF(OR($B86="",$F86=""),"",IF(TODAY()&lt;$F86,0,INT(DATEDIF($F86,TODAY(),"m")/6)+1))</f>
        <v/>
      </c>
      <c r="J86" s="124">
        <f>IF($B86="","",$B86&amp;", "&amp;$C86)</f>
        <v/>
      </c>
      <c r="K86" s="119" t="n"/>
      <c r="L86" s="19">
        <f>"Block "&amp;(INT((ROW()-6)/25)+1)&amp;" · Spalte "&amp;SUBSTITUTE(ADDRESS(1,ROW()-1+INT((ROW()-6)/25),4),"1","")</f>
        <v/>
      </c>
    </row>
    <row r="87" ht="22" customHeight="1">
      <c r="A87" s="19">
        <f>ROW()-5</f>
        <v/>
      </c>
      <c r="B87" s="119" t="n"/>
      <c r="C87" s="119" t="n"/>
      <c r="D87" s="119" t="n"/>
      <c r="E87" s="83">
        <f>IF($F87="","",YEAR($F87))</f>
        <v/>
      </c>
      <c r="F87" s="120" t="n"/>
      <c r="G87" s="121" t="n"/>
      <c r="H87" s="122">
        <f>IF(OR($B87="",$F87=""),"",IF(TODAY()&lt;$F87,0,INT(DATEDIF($F87,TODAY(),"m")/12)+1))</f>
        <v/>
      </c>
      <c r="I87" s="123">
        <f>IF(OR($B87="",$F87=""),"",IF(TODAY()&lt;$F87,0,INT(DATEDIF($F87,TODAY(),"m")/6)+1))</f>
        <v/>
      </c>
      <c r="J87" s="124">
        <f>IF($B87="","",$B87&amp;", "&amp;$C87)</f>
        <v/>
      </c>
      <c r="K87" s="119" t="n"/>
      <c r="L87" s="19">
        <f>"Block "&amp;(INT((ROW()-6)/25)+1)&amp;" · Spalte "&amp;SUBSTITUTE(ADDRESS(1,ROW()-1+INT((ROW()-6)/25),4),"1","")</f>
        <v/>
      </c>
    </row>
    <row r="88" ht="22" customHeight="1">
      <c r="A88" s="19">
        <f>ROW()-5</f>
        <v/>
      </c>
      <c r="B88" s="119" t="n"/>
      <c r="C88" s="119" t="n"/>
      <c r="D88" s="119" t="n"/>
      <c r="E88" s="83">
        <f>IF($F88="","",YEAR($F88))</f>
        <v/>
      </c>
      <c r="F88" s="120" t="n"/>
      <c r="G88" s="121" t="n"/>
      <c r="H88" s="122">
        <f>IF(OR($B88="",$F88=""),"",IF(TODAY()&lt;$F88,0,INT(DATEDIF($F88,TODAY(),"m")/12)+1))</f>
        <v/>
      </c>
      <c r="I88" s="123">
        <f>IF(OR($B88="",$F88=""),"",IF(TODAY()&lt;$F88,0,INT(DATEDIF($F88,TODAY(),"m")/6)+1))</f>
        <v/>
      </c>
      <c r="J88" s="124">
        <f>IF($B88="","",$B88&amp;", "&amp;$C88)</f>
        <v/>
      </c>
      <c r="K88" s="119" t="n"/>
      <c r="L88" s="19">
        <f>"Block "&amp;(INT((ROW()-6)/25)+1)&amp;" · Spalte "&amp;SUBSTITUTE(ADDRESS(1,ROW()-1+INT((ROW()-6)/25),4),"1","")</f>
        <v/>
      </c>
    </row>
    <row r="89" ht="22" customHeight="1">
      <c r="A89" s="19">
        <f>ROW()-5</f>
        <v/>
      </c>
      <c r="B89" s="119" t="n"/>
      <c r="C89" s="119" t="n"/>
      <c r="D89" s="119" t="n"/>
      <c r="E89" s="83">
        <f>IF($F89="","",YEAR($F89))</f>
        <v/>
      </c>
      <c r="F89" s="120" t="n"/>
      <c r="G89" s="121" t="n"/>
      <c r="H89" s="122">
        <f>IF(OR($B89="",$F89=""),"",IF(TODAY()&lt;$F89,0,INT(DATEDIF($F89,TODAY(),"m")/12)+1))</f>
        <v/>
      </c>
      <c r="I89" s="123">
        <f>IF(OR($B89="",$F89=""),"",IF(TODAY()&lt;$F89,0,INT(DATEDIF($F89,TODAY(),"m")/6)+1))</f>
        <v/>
      </c>
      <c r="J89" s="124">
        <f>IF($B89="","",$B89&amp;", "&amp;$C89)</f>
        <v/>
      </c>
      <c r="K89" s="119" t="n"/>
      <c r="L89" s="19">
        <f>"Block "&amp;(INT((ROW()-6)/25)+1)&amp;" · Spalte "&amp;SUBSTITUTE(ADDRESS(1,ROW()-1+INT((ROW()-6)/25),4),"1","")</f>
        <v/>
      </c>
    </row>
    <row r="90" ht="22" customHeight="1">
      <c r="A90" s="19">
        <f>ROW()-5</f>
        <v/>
      </c>
      <c r="B90" s="119" t="n"/>
      <c r="C90" s="119" t="n"/>
      <c r="D90" s="119" t="n"/>
      <c r="E90" s="83">
        <f>IF($F90="","",YEAR($F90))</f>
        <v/>
      </c>
      <c r="F90" s="120" t="n"/>
      <c r="G90" s="121" t="n"/>
      <c r="H90" s="122">
        <f>IF(OR($B90="",$F90=""),"",IF(TODAY()&lt;$F90,0,INT(DATEDIF($F90,TODAY(),"m")/12)+1))</f>
        <v/>
      </c>
      <c r="I90" s="123">
        <f>IF(OR($B90="",$F90=""),"",IF(TODAY()&lt;$F90,0,INT(DATEDIF($F90,TODAY(),"m")/6)+1))</f>
        <v/>
      </c>
      <c r="J90" s="124">
        <f>IF($B90="","",$B90&amp;", "&amp;$C90)</f>
        <v/>
      </c>
      <c r="K90" s="119" t="n"/>
      <c r="L90" s="19">
        <f>"Block "&amp;(INT((ROW()-6)/25)+1)&amp;" · Spalte "&amp;SUBSTITUTE(ADDRESS(1,ROW()-1+INT((ROW()-6)/25),4),"1","")</f>
        <v/>
      </c>
    </row>
    <row r="91" ht="22" customHeight="1">
      <c r="A91" s="19">
        <f>ROW()-5</f>
        <v/>
      </c>
      <c r="B91" s="119" t="n"/>
      <c r="C91" s="119" t="n"/>
      <c r="D91" s="119" t="n"/>
      <c r="E91" s="83">
        <f>IF($F91="","",YEAR($F91))</f>
        <v/>
      </c>
      <c r="F91" s="120" t="n"/>
      <c r="G91" s="121" t="n"/>
      <c r="H91" s="122">
        <f>IF(OR($B91="",$F91=""),"",IF(TODAY()&lt;$F91,0,INT(DATEDIF($F91,TODAY(),"m")/12)+1))</f>
        <v/>
      </c>
      <c r="I91" s="123">
        <f>IF(OR($B91="",$F91=""),"",IF(TODAY()&lt;$F91,0,INT(DATEDIF($F91,TODAY(),"m")/6)+1))</f>
        <v/>
      </c>
      <c r="J91" s="124">
        <f>IF($B91="","",$B91&amp;", "&amp;$C91)</f>
        <v/>
      </c>
      <c r="K91" s="119" t="n"/>
      <c r="L91" s="19">
        <f>"Block "&amp;(INT((ROW()-6)/25)+1)&amp;" · Spalte "&amp;SUBSTITUTE(ADDRESS(1,ROW()-1+INT((ROW()-6)/25),4),"1","")</f>
        <v/>
      </c>
    </row>
    <row r="92" ht="22" customHeight="1">
      <c r="A92" s="19">
        <f>ROW()-5</f>
        <v/>
      </c>
      <c r="B92" s="119" t="n"/>
      <c r="C92" s="119" t="n"/>
      <c r="D92" s="119" t="n"/>
      <c r="E92" s="83">
        <f>IF($F92="","",YEAR($F92))</f>
        <v/>
      </c>
      <c r="F92" s="120" t="n"/>
      <c r="G92" s="121" t="n"/>
      <c r="H92" s="122">
        <f>IF(OR($B92="",$F92=""),"",IF(TODAY()&lt;$F92,0,INT(DATEDIF($F92,TODAY(),"m")/12)+1))</f>
        <v/>
      </c>
      <c r="I92" s="123">
        <f>IF(OR($B92="",$F92=""),"",IF(TODAY()&lt;$F92,0,INT(DATEDIF($F92,TODAY(),"m")/6)+1))</f>
        <v/>
      </c>
      <c r="J92" s="124">
        <f>IF($B92="","",$B92&amp;", "&amp;$C92)</f>
        <v/>
      </c>
      <c r="K92" s="119" t="n"/>
      <c r="L92" s="19">
        <f>"Block "&amp;(INT((ROW()-6)/25)+1)&amp;" · Spalte "&amp;SUBSTITUTE(ADDRESS(1,ROW()-1+INT((ROW()-6)/25),4),"1","")</f>
        <v/>
      </c>
    </row>
    <row r="93" ht="22" customHeight="1">
      <c r="A93" s="19">
        <f>ROW()-5</f>
        <v/>
      </c>
      <c r="B93" s="119" t="n"/>
      <c r="C93" s="119" t="n"/>
      <c r="D93" s="119" t="n"/>
      <c r="E93" s="83">
        <f>IF($F93="","",YEAR($F93))</f>
        <v/>
      </c>
      <c r="F93" s="120" t="n"/>
      <c r="G93" s="121" t="n"/>
      <c r="H93" s="122">
        <f>IF(OR($B93="",$F93=""),"",IF(TODAY()&lt;$F93,0,INT(DATEDIF($F93,TODAY(),"m")/12)+1))</f>
        <v/>
      </c>
      <c r="I93" s="123">
        <f>IF(OR($B93="",$F93=""),"",IF(TODAY()&lt;$F93,0,INT(DATEDIF($F93,TODAY(),"m")/6)+1))</f>
        <v/>
      </c>
      <c r="J93" s="124">
        <f>IF($B93="","",$B93&amp;", "&amp;$C93)</f>
        <v/>
      </c>
      <c r="K93" s="119" t="n"/>
      <c r="L93" s="19">
        <f>"Block "&amp;(INT((ROW()-6)/25)+1)&amp;" · Spalte "&amp;SUBSTITUTE(ADDRESS(1,ROW()-1+INT((ROW()-6)/25),4),"1","")</f>
        <v/>
      </c>
    </row>
    <row r="94" ht="22" customHeight="1">
      <c r="A94" s="19">
        <f>ROW()-5</f>
        <v/>
      </c>
      <c r="B94" s="119" t="n"/>
      <c r="C94" s="119" t="n"/>
      <c r="D94" s="119" t="n"/>
      <c r="E94" s="83">
        <f>IF($F94="","",YEAR($F94))</f>
        <v/>
      </c>
      <c r="F94" s="120" t="n"/>
      <c r="G94" s="121" t="n"/>
      <c r="H94" s="122">
        <f>IF(OR($B94="",$F94=""),"",IF(TODAY()&lt;$F94,0,INT(DATEDIF($F94,TODAY(),"m")/12)+1))</f>
        <v/>
      </c>
      <c r="I94" s="123">
        <f>IF(OR($B94="",$F94=""),"",IF(TODAY()&lt;$F94,0,INT(DATEDIF($F94,TODAY(),"m")/6)+1))</f>
        <v/>
      </c>
      <c r="J94" s="124">
        <f>IF($B94="","",$B94&amp;", "&amp;$C94)</f>
        <v/>
      </c>
      <c r="K94" s="119" t="n"/>
      <c r="L94" s="19">
        <f>"Block "&amp;(INT((ROW()-6)/25)+1)&amp;" · Spalte "&amp;SUBSTITUTE(ADDRESS(1,ROW()-1+INT((ROW()-6)/25),4),"1","")</f>
        <v/>
      </c>
    </row>
    <row r="95" ht="22" customHeight="1">
      <c r="A95" s="19">
        <f>ROW()-5</f>
        <v/>
      </c>
      <c r="B95" s="119" t="n"/>
      <c r="C95" s="119" t="n"/>
      <c r="D95" s="119" t="n"/>
      <c r="E95" s="83">
        <f>IF($F95="","",YEAR($F95))</f>
        <v/>
      </c>
      <c r="F95" s="120" t="n"/>
      <c r="G95" s="121" t="n"/>
      <c r="H95" s="122">
        <f>IF(OR($B95="",$F95=""),"",IF(TODAY()&lt;$F95,0,INT(DATEDIF($F95,TODAY(),"m")/12)+1))</f>
        <v/>
      </c>
      <c r="I95" s="123">
        <f>IF(OR($B95="",$F95=""),"",IF(TODAY()&lt;$F95,0,INT(DATEDIF($F95,TODAY(),"m")/6)+1))</f>
        <v/>
      </c>
      <c r="J95" s="124">
        <f>IF($B95="","",$B95&amp;", "&amp;$C95)</f>
        <v/>
      </c>
      <c r="K95" s="119" t="n"/>
      <c r="L95" s="19">
        <f>"Block "&amp;(INT((ROW()-6)/25)+1)&amp;" · Spalte "&amp;SUBSTITUTE(ADDRESS(1,ROW()-1+INT((ROW()-6)/25),4),"1","")</f>
        <v/>
      </c>
    </row>
    <row r="96" ht="22" customHeight="1">
      <c r="A96" s="19">
        <f>ROW()-5</f>
        <v/>
      </c>
      <c r="B96" s="119" t="n"/>
      <c r="C96" s="119" t="n"/>
      <c r="D96" s="119" t="n"/>
      <c r="E96" s="83">
        <f>IF($F96="","",YEAR($F96))</f>
        <v/>
      </c>
      <c r="F96" s="120" t="n"/>
      <c r="G96" s="121" t="n"/>
      <c r="H96" s="122">
        <f>IF(OR($B96="",$F96=""),"",IF(TODAY()&lt;$F96,0,INT(DATEDIF($F96,TODAY(),"m")/12)+1))</f>
        <v/>
      </c>
      <c r="I96" s="123">
        <f>IF(OR($B96="",$F96=""),"",IF(TODAY()&lt;$F96,0,INT(DATEDIF($F96,TODAY(),"m")/6)+1))</f>
        <v/>
      </c>
      <c r="J96" s="124">
        <f>IF($B96="","",$B96&amp;", "&amp;$C96)</f>
        <v/>
      </c>
      <c r="K96" s="119" t="n"/>
      <c r="L96" s="19">
        <f>"Block "&amp;(INT((ROW()-6)/25)+1)&amp;" · Spalte "&amp;SUBSTITUTE(ADDRESS(1,ROW()-1+INT((ROW()-6)/25),4),"1","")</f>
        <v/>
      </c>
    </row>
    <row r="97" ht="22" customHeight="1">
      <c r="A97" s="19">
        <f>ROW()-5</f>
        <v/>
      </c>
      <c r="B97" s="119" t="n"/>
      <c r="C97" s="119" t="n"/>
      <c r="D97" s="119" t="n"/>
      <c r="E97" s="83">
        <f>IF($F97="","",YEAR($F97))</f>
        <v/>
      </c>
      <c r="F97" s="120" t="n"/>
      <c r="G97" s="121" t="n"/>
      <c r="H97" s="122">
        <f>IF(OR($B97="",$F97=""),"",IF(TODAY()&lt;$F97,0,INT(DATEDIF($F97,TODAY(),"m")/12)+1))</f>
        <v/>
      </c>
      <c r="I97" s="123">
        <f>IF(OR($B97="",$F97=""),"",IF(TODAY()&lt;$F97,0,INT(DATEDIF($F97,TODAY(),"m")/6)+1))</f>
        <v/>
      </c>
      <c r="J97" s="124">
        <f>IF($B97="","",$B97&amp;", "&amp;$C97)</f>
        <v/>
      </c>
      <c r="K97" s="119" t="n"/>
      <c r="L97" s="19">
        <f>"Block "&amp;(INT((ROW()-6)/25)+1)&amp;" · Spalte "&amp;SUBSTITUTE(ADDRESS(1,ROW()-1+INT((ROW()-6)/25),4),"1","")</f>
        <v/>
      </c>
    </row>
    <row r="98" ht="22" customHeight="1">
      <c r="A98" s="19">
        <f>ROW()-5</f>
        <v/>
      </c>
      <c r="B98" s="119" t="n"/>
      <c r="C98" s="119" t="n"/>
      <c r="D98" s="119" t="n"/>
      <c r="E98" s="83">
        <f>IF($F98="","",YEAR($F98))</f>
        <v/>
      </c>
      <c r="F98" s="120" t="n"/>
      <c r="G98" s="121" t="n"/>
      <c r="H98" s="122">
        <f>IF(OR($B98="",$F98=""),"",IF(TODAY()&lt;$F98,0,INT(DATEDIF($F98,TODAY(),"m")/12)+1))</f>
        <v/>
      </c>
      <c r="I98" s="123">
        <f>IF(OR($B98="",$F98=""),"",IF(TODAY()&lt;$F98,0,INT(DATEDIF($F98,TODAY(),"m")/6)+1))</f>
        <v/>
      </c>
      <c r="J98" s="124">
        <f>IF($B98="","",$B98&amp;", "&amp;$C98)</f>
        <v/>
      </c>
      <c r="K98" s="119" t="n"/>
      <c r="L98" s="19">
        <f>"Block "&amp;(INT((ROW()-6)/25)+1)&amp;" · Spalte "&amp;SUBSTITUTE(ADDRESS(1,ROW()-1+INT((ROW()-6)/25),4),"1","")</f>
        <v/>
      </c>
    </row>
    <row r="99" ht="22" customHeight="1">
      <c r="A99" s="19">
        <f>ROW()-5</f>
        <v/>
      </c>
      <c r="B99" s="119" t="n"/>
      <c r="C99" s="119" t="n"/>
      <c r="D99" s="119" t="n"/>
      <c r="E99" s="83">
        <f>IF($F99="","",YEAR($F99))</f>
        <v/>
      </c>
      <c r="F99" s="120" t="n"/>
      <c r="G99" s="121" t="n"/>
      <c r="H99" s="122">
        <f>IF(OR($B99="",$F99=""),"",IF(TODAY()&lt;$F99,0,INT(DATEDIF($F99,TODAY(),"m")/12)+1))</f>
        <v/>
      </c>
      <c r="I99" s="123">
        <f>IF(OR($B99="",$F99=""),"",IF(TODAY()&lt;$F99,0,INT(DATEDIF($F99,TODAY(),"m")/6)+1))</f>
        <v/>
      </c>
      <c r="J99" s="124">
        <f>IF($B99="","",$B99&amp;", "&amp;$C99)</f>
        <v/>
      </c>
      <c r="K99" s="119" t="n"/>
      <c r="L99" s="19">
        <f>"Block "&amp;(INT((ROW()-6)/25)+1)&amp;" · Spalte "&amp;SUBSTITUTE(ADDRESS(1,ROW()-1+INT((ROW()-6)/25),4),"1","")</f>
        <v/>
      </c>
    </row>
    <row r="100" ht="22" customHeight="1">
      <c r="A100" s="19">
        <f>ROW()-5</f>
        <v/>
      </c>
      <c r="B100" s="119" t="n"/>
      <c r="C100" s="119" t="n"/>
      <c r="D100" s="119" t="n"/>
      <c r="E100" s="83">
        <f>IF($F100="","",YEAR($F100))</f>
        <v/>
      </c>
      <c r="F100" s="120" t="n"/>
      <c r="G100" s="121" t="n"/>
      <c r="H100" s="122">
        <f>IF(OR($B100="",$F100=""),"",IF(TODAY()&lt;$F100,0,INT(DATEDIF($F100,TODAY(),"m")/12)+1))</f>
        <v/>
      </c>
      <c r="I100" s="123">
        <f>IF(OR($B100="",$F100=""),"",IF(TODAY()&lt;$F100,0,INT(DATEDIF($F100,TODAY(),"m")/6)+1))</f>
        <v/>
      </c>
      <c r="J100" s="124">
        <f>IF($B100="","",$B100&amp;", "&amp;$C100)</f>
        <v/>
      </c>
      <c r="K100" s="119" t="n"/>
      <c r="L100" s="19">
        <f>"Block "&amp;(INT((ROW()-6)/25)+1)&amp;" · Spalte "&amp;SUBSTITUTE(ADDRESS(1,ROW()-1+INT((ROW()-6)/25),4),"1","")</f>
        <v/>
      </c>
    </row>
    <row r="101" ht="22" customHeight="1">
      <c r="A101" s="19">
        <f>ROW()-5</f>
        <v/>
      </c>
      <c r="B101" s="119" t="n"/>
      <c r="C101" s="119" t="n"/>
      <c r="D101" s="119" t="n"/>
      <c r="E101" s="83">
        <f>IF($F101="","",YEAR($F101))</f>
        <v/>
      </c>
      <c r="F101" s="120" t="n"/>
      <c r="G101" s="121" t="n"/>
      <c r="H101" s="122">
        <f>IF(OR($B101="",$F101=""),"",IF(TODAY()&lt;$F101,0,INT(DATEDIF($F101,TODAY(),"m")/12)+1))</f>
        <v/>
      </c>
      <c r="I101" s="123">
        <f>IF(OR($B101="",$F101=""),"",IF(TODAY()&lt;$F101,0,INT(DATEDIF($F101,TODAY(),"m")/6)+1))</f>
        <v/>
      </c>
      <c r="J101" s="124">
        <f>IF($B101="","",$B101&amp;", "&amp;$C101)</f>
        <v/>
      </c>
      <c r="K101" s="119" t="n"/>
      <c r="L101" s="19">
        <f>"Block "&amp;(INT((ROW()-6)/25)+1)&amp;" · Spalte "&amp;SUBSTITUTE(ADDRESS(1,ROW()-1+INT((ROW()-6)/25),4),"1","")</f>
        <v/>
      </c>
    </row>
    <row r="102" ht="22" customHeight="1">
      <c r="A102" s="19">
        <f>ROW()-5</f>
        <v/>
      </c>
      <c r="B102" s="119" t="n"/>
      <c r="C102" s="119" t="n"/>
      <c r="D102" s="119" t="n"/>
      <c r="E102" s="83">
        <f>IF($F102="","",YEAR($F102))</f>
        <v/>
      </c>
      <c r="F102" s="120" t="n"/>
      <c r="G102" s="121" t="n"/>
      <c r="H102" s="122">
        <f>IF(OR($B102="",$F102=""),"",IF(TODAY()&lt;$F102,0,INT(DATEDIF($F102,TODAY(),"m")/12)+1))</f>
        <v/>
      </c>
      <c r="I102" s="123">
        <f>IF(OR($B102="",$F102=""),"",IF(TODAY()&lt;$F102,0,INT(DATEDIF($F102,TODAY(),"m")/6)+1))</f>
        <v/>
      </c>
      <c r="J102" s="124">
        <f>IF($B102="","",$B102&amp;", "&amp;$C102)</f>
        <v/>
      </c>
      <c r="K102" s="119" t="n"/>
      <c r="L102" s="19">
        <f>"Block "&amp;(INT((ROW()-6)/25)+1)&amp;" · Spalte "&amp;SUBSTITUTE(ADDRESS(1,ROW()-1+INT((ROW()-6)/25),4),"1","")</f>
        <v/>
      </c>
    </row>
    <row r="103" ht="22" customHeight="1">
      <c r="A103" s="19">
        <f>ROW()-5</f>
        <v/>
      </c>
      <c r="B103" s="119" t="n"/>
      <c r="C103" s="119" t="n"/>
      <c r="D103" s="119" t="n"/>
      <c r="E103" s="83">
        <f>IF($F103="","",YEAR($F103))</f>
        <v/>
      </c>
      <c r="F103" s="120" t="n"/>
      <c r="G103" s="121" t="n"/>
      <c r="H103" s="122">
        <f>IF(OR($B103="",$F103=""),"",IF(TODAY()&lt;$F103,0,INT(DATEDIF($F103,TODAY(),"m")/12)+1))</f>
        <v/>
      </c>
      <c r="I103" s="123">
        <f>IF(OR($B103="",$F103=""),"",IF(TODAY()&lt;$F103,0,INT(DATEDIF($F103,TODAY(),"m")/6)+1))</f>
        <v/>
      </c>
      <c r="J103" s="124">
        <f>IF($B103="","",$B103&amp;", "&amp;$C103)</f>
        <v/>
      </c>
      <c r="K103" s="119" t="n"/>
      <c r="L103" s="19">
        <f>"Block "&amp;(INT((ROW()-6)/25)+1)&amp;" · Spalte "&amp;SUBSTITUTE(ADDRESS(1,ROW()-1+INT((ROW()-6)/25),4),"1","")</f>
        <v/>
      </c>
    </row>
    <row r="104" ht="22" customHeight="1">
      <c r="A104" s="19">
        <f>ROW()-5</f>
        <v/>
      </c>
      <c r="B104" s="119" t="n"/>
      <c r="C104" s="119" t="n"/>
      <c r="D104" s="119" t="n"/>
      <c r="E104" s="83">
        <f>IF($F104="","",YEAR($F104))</f>
        <v/>
      </c>
      <c r="F104" s="120" t="n"/>
      <c r="G104" s="121" t="n"/>
      <c r="H104" s="122">
        <f>IF(OR($B104="",$F104=""),"",IF(TODAY()&lt;$F104,0,INT(DATEDIF($F104,TODAY(),"m")/12)+1))</f>
        <v/>
      </c>
      <c r="I104" s="123">
        <f>IF(OR($B104="",$F104=""),"",IF(TODAY()&lt;$F104,0,INT(DATEDIF($F104,TODAY(),"m")/6)+1))</f>
        <v/>
      </c>
      <c r="J104" s="124">
        <f>IF($B104="","",$B104&amp;", "&amp;$C104)</f>
        <v/>
      </c>
      <c r="K104" s="119" t="n"/>
      <c r="L104" s="19">
        <f>"Block "&amp;(INT((ROW()-6)/25)+1)&amp;" · Spalte "&amp;SUBSTITUTE(ADDRESS(1,ROW()-1+INT((ROW()-6)/25),4),"1","")</f>
        <v/>
      </c>
    </row>
    <row r="105" ht="22" customHeight="1">
      <c r="A105" s="19">
        <f>ROW()-5</f>
        <v/>
      </c>
      <c r="B105" s="119" t="n"/>
      <c r="C105" s="119" t="n"/>
      <c r="D105" s="119" t="n"/>
      <c r="E105" s="83">
        <f>IF($F105="","",YEAR($F105))</f>
        <v/>
      </c>
      <c r="F105" s="120" t="n"/>
      <c r="G105" s="121" t="n"/>
      <c r="H105" s="122">
        <f>IF(OR($B105="",$F105=""),"",IF(TODAY()&lt;$F105,0,INT(DATEDIF($F105,TODAY(),"m")/12)+1))</f>
        <v/>
      </c>
      <c r="I105" s="123">
        <f>IF(OR($B105="",$F105=""),"",IF(TODAY()&lt;$F105,0,INT(DATEDIF($F105,TODAY(),"m")/6)+1))</f>
        <v/>
      </c>
      <c r="J105" s="124">
        <f>IF($B105="","",$B105&amp;", "&amp;$C105)</f>
        <v/>
      </c>
      <c r="K105" s="119" t="n"/>
      <c r="L105" s="19">
        <f>"Block "&amp;(INT((ROW()-6)/25)+1)&amp;" · Spalte "&amp;SUBSTITUTE(ADDRESS(1,ROW()-1+INT((ROW()-6)/25),4),"1","")</f>
        <v/>
      </c>
    </row>
    <row r="107" ht="20" customHeight="1">
      <c r="A107" s="36" t="inlineStr">
        <is>
          <t>Wichtig: Jede Zeile ist fest mit einer Spalte auf den Übungsblättern verbunden. Bitte keine Zeilen sortieren, einfügen oder löschen – sonst wandern vorhandene Noten zum falschen Azubi. Neue Azubis kommen in die nächste freie Zeile; wer die Ausbildung verlässt, behält seine Zeile und bekommt nur einen anderen Status. Je 25 Zeilen bilden einen Jahrgangsblock – die Linien zeigen, wo einer anfängt. Tragen Sie einen neuen Jahrgang am besten in den nächsten freien Block ein: auf den Übungsblättern steht er dann als geschlossener Spaltenblock, den man mit einem Klick zuklappen kann. Mehr als 100 Azubis: siehe Blatt „Anleitung“, Abschnitt 7.</t>
        </is>
      </c>
      <c r="B107" s="37" t="n"/>
      <c r="C107" s="37" t="n"/>
      <c r="D107" s="37" t="n"/>
      <c r="E107" s="37" t="n"/>
      <c r="F107" s="37" t="n"/>
      <c r="G107" s="37" t="n"/>
      <c r="H107" s="37" t="n"/>
      <c r="I107" s="37" t="n"/>
      <c r="J107" s="37" t="n"/>
      <c r="K107" s="37" t="n"/>
      <c r="L107" s="10" t="n"/>
    </row>
    <row r="108" ht="20" customHeight="1">
      <c r="A108" s="110" t="n"/>
      <c r="B108" s="74" t="n"/>
      <c r="C108" s="74" t="n"/>
      <c r="D108" s="74" t="n"/>
      <c r="E108" s="74" t="n"/>
      <c r="F108" s="74" t="n"/>
      <c r="G108" s="74" t="n"/>
      <c r="H108" s="74" t="n"/>
      <c r="I108" s="74" t="n"/>
      <c r="J108" s="74" t="n"/>
      <c r="K108" s="74" t="n"/>
      <c r="L108" s="76" t="n"/>
    </row>
    <row r="109" ht="20" customHeight="1">
      <c r="A109" s="38" t="n"/>
      <c r="B109" s="39" t="n"/>
      <c r="C109" s="39" t="n"/>
      <c r="D109" s="39" t="n"/>
      <c r="E109" s="39" t="n"/>
      <c r="F109" s="39" t="n"/>
      <c r="G109" s="39" t="n"/>
      <c r="H109" s="39" t="n"/>
      <c r="I109" s="39" t="n"/>
      <c r="J109" s="39" t="n"/>
      <c r="K109" s="39" t="n"/>
      <c r="L109" s="14" t="n"/>
    </row>
  </sheetData>
  <mergeCells count="5">
    <mergeCell ref="A2:I2"/>
    <mergeCell ref="A1:I1"/>
    <mergeCell ref="A107:L109"/>
    <mergeCell ref="A3:M3"/>
    <mergeCell ref="J1:M2"/>
  </mergeCells>
  <conditionalFormatting sqref="F6:F105">
    <cfRule type="expression" priority="1" dxfId="13">
      <formula>AND($B6&lt;&gt;"",$F6="")</formula>
    </cfRule>
  </conditionalFormatting>
  <conditionalFormatting sqref="J6:J105">
    <cfRule type="expression" priority="2" dxfId="13" stopIfTrue="1">
      <formula>AND($J6&lt;&gt;"",COUNTIF($J$6:$J$105,$J6&amp;"")&gt;1)</formula>
    </cfRule>
  </conditionalFormatting>
  <conditionalFormatting sqref="A6:L105">
    <cfRule type="expression" priority="3" dxfId="14">
      <formula>$G6="ausgeschieden"</formula>
    </cfRule>
  </conditionalFormatting>
  <dataValidations count="3">
    <dataValidation sqref="D6:D105" showDropDown="0" showInputMessage="0" showErrorMessage="1" allowBlank="1" errorTitle="Beruf nicht bekannt" error="Bitte einen Beruf aus der Liste wählen. Neue Berufe trägt man im Blatt „Einstellungen“ ein." type="list">
      <formula1>Berufe</formula1>
    </dataValidation>
    <dataValidation sqref="G6:G105" showDropDown="0" showInputMessage="1" showErrorMessage="1" allowBlank="1" errorTitle="Status nicht bekannt" error="Bitte aktiv, ausgeschieden oder fertig wählen." promptTitle="Status" prompt="aktiv = wird in Auswertungen gezeigt. ausgeschieden/fertig = Daten bleiben erhalten, erscheinen aber nicht mehr in den Auswahllisten." type="list">
      <formula1>"aktiv,ausgeschieden,fertig"</formula1>
    </dataValidation>
    <dataValidation sqref="F6:F105" showDropDown="0" showInputMessage="1" showErrorMessage="1" allowBlank="1" errorTitle="Datum nicht lesbar" error="Bitte ein Datum im Format TT.MM.JJJJ eingeben, z. B. 01.09.2025." promptTitle="Ausbildungsstart" prompt="In der Regel der 01.09. des Einstellungsjahres. Daraus berechnet die Datei Jahrgang, Lehrjahr und Halbjahr." type="date" operator="greaterThan">
      <formula1>DATE(1990,1,1)</formula1>
    </dataValidation>
  </dataValidations>
  <hyperlinks>
    <hyperlink ref="J1" location="Start!A1"/>
  </hyperlinks>
  <pageMargins left="0.5" right="0.4" top="0.5" bottom="0.4" header="0.5" footer="0.5"/>
  <pageSetup orientation="landscape" paperSize="9" fitToHeight="0" fitToWidth="1"/>
</worksheet>
</file>

<file path=xl/worksheets/sheet7.xml><?xml version="1.0" encoding="utf-8"?>
<worksheet xmlns="http://schemas.openxmlformats.org/spreadsheetml/2006/main">
  <sheetPr>
    <tabColor rgb="0034557F"/>
    <outlinePr summaryBelow="1" summaryRight="1"/>
    <pageSetUpPr fitToPage="1"/>
  </sheetPr>
  <dimension ref="A1:F38"/>
  <sheetViews>
    <sheetView showGridLines="0" workbookViewId="0">
      <pane ySplit="2" topLeftCell="A3" activePane="bottomLeft" state="frozen"/>
      <selection pane="bottomLeft" activeCell="A1" sqref="A1"/>
    </sheetView>
  </sheetViews>
  <sheetFormatPr baseColWidth="8" defaultRowHeight="15"/>
  <cols>
    <col width="3" customWidth="1" min="1" max="1"/>
    <col width="30" customWidth="1" min="2" max="2"/>
    <col width="16" customWidth="1" min="3" max="3"/>
    <col width="22" customWidth="1" min="4" max="4"/>
    <col width="12" customWidth="1" min="5" max="5"/>
    <col width="46" customWidth="1" min="6" max="6"/>
  </cols>
  <sheetData>
    <row r="1" ht="34" customHeight="1">
      <c r="A1" s="1" t="inlineStr">
        <is>
          <t>Einstellungen</t>
        </is>
      </c>
      <c r="B1" s="2" t="n"/>
      <c r="C1" s="2" t="n"/>
      <c r="D1" s="2" t="n"/>
      <c r="E1" s="2" t="n"/>
      <c r="F1" s="40" t="inlineStr">
        <is>
          <t>«  Zurück zur Startseite</t>
        </is>
      </c>
    </row>
    <row r="2" ht="18" customHeight="1">
      <c r="A2" s="3" t="inlineStr">
        <is>
          <t>Zentrale Stellschrauben – wirken sofort in der ganzen Datei</t>
        </is>
      </c>
      <c r="B2" s="2" t="n"/>
      <c r="C2" s="2" t="n"/>
      <c r="D2" s="2" t="n"/>
      <c r="E2" s="2" t="n"/>
    </row>
    <row r="3" ht="24" customHeight="1">
      <c r="A3" s="4" t="inlineStr">
        <is>
          <t>Farben:  gelb = hier eintragen   ·   grau-blau = rechnet die Datei selbst   ·   „n.b.“ = nicht bewertet</t>
        </is>
      </c>
    </row>
    <row r="4" ht="10" customHeight="1"/>
    <row r="5" ht="26" customHeight="1">
      <c r="B5" s="15" t="inlineStr">
        <is>
          <t>Notenschlüssel (IHK)</t>
        </is>
      </c>
    </row>
    <row r="6" ht="22" customHeight="1">
      <c r="B6" s="51" t="inlineStr">
        <is>
          <t>Note</t>
        </is>
      </c>
      <c r="C6" s="51" t="inlineStr">
        <is>
          <t>ab Prozent</t>
        </is>
      </c>
      <c r="D6" s="51" t="inlineStr">
        <is>
          <t>Kurztext</t>
        </is>
      </c>
      <c r="E6" s="51" t="inlineStr">
        <is>
          <t>Farbe</t>
        </is>
      </c>
      <c r="F6" s="51" t="inlineStr">
        <is>
          <t>Bedeutung</t>
        </is>
      </c>
    </row>
    <row r="7" ht="22" customHeight="1">
      <c r="B7" s="69" t="n">
        <v>1</v>
      </c>
      <c r="C7" s="125" t="n">
        <v>0.92</v>
      </c>
      <c r="D7" s="119" t="inlineStr">
        <is>
          <t>sehr gut</t>
        </is>
      </c>
      <c r="E7" s="126" t="inlineStr">
        <is>
          <t>Note 1</t>
        </is>
      </c>
      <c r="F7" s="127" t="inlineStr">
        <is>
          <t>sehr gut – Spitzenleistung</t>
        </is>
      </c>
    </row>
    <row r="8" ht="22" customHeight="1">
      <c r="B8" s="69" t="n">
        <v>2</v>
      </c>
      <c r="C8" s="125" t="n">
        <v>0.8100000000000001</v>
      </c>
      <c r="D8" s="119" t="inlineStr">
        <is>
          <t>gut</t>
        </is>
      </c>
      <c r="E8" s="128" t="inlineStr">
        <is>
          <t>Note 2</t>
        </is>
      </c>
      <c r="F8" s="127" t="inlineStr">
        <is>
          <t>gut – sicher über Erwartung</t>
        </is>
      </c>
    </row>
    <row r="9" ht="22" customHeight="1">
      <c r="B9" s="69" t="n">
        <v>3</v>
      </c>
      <c r="C9" s="125" t="n">
        <v>0.67</v>
      </c>
      <c r="D9" s="119" t="inlineStr">
        <is>
          <t>befriedigend</t>
        </is>
      </c>
      <c r="E9" s="129" t="inlineStr">
        <is>
          <t>Note 3</t>
        </is>
      </c>
      <c r="F9" s="127" t="inlineStr">
        <is>
          <t>befriedigend – im Blick behalten</t>
        </is>
      </c>
    </row>
    <row r="10" ht="22" customHeight="1">
      <c r="B10" s="69" t="n">
        <v>4</v>
      </c>
      <c r="C10" s="125" t="n">
        <v>0.5</v>
      </c>
      <c r="D10" s="119" t="inlineStr">
        <is>
          <t>ausreichend</t>
        </is>
      </c>
      <c r="E10" s="130" t="inlineStr">
        <is>
          <t>Note 4</t>
        </is>
      </c>
      <c r="F10" s="127" t="inlineStr">
        <is>
          <t>ausreichend – gefährdet, Gespräch empfohlen</t>
        </is>
      </c>
    </row>
    <row r="11" ht="22" customHeight="1">
      <c r="B11" s="69" t="n">
        <v>5</v>
      </c>
      <c r="C11" s="125" t="n">
        <v>0.3</v>
      </c>
      <c r="D11" s="119" t="inlineStr">
        <is>
          <t>mangelhaft</t>
        </is>
      </c>
      <c r="E11" s="131" t="inlineStr">
        <is>
          <t>Note 5</t>
        </is>
      </c>
      <c r="F11" s="127" t="inlineStr">
        <is>
          <t>mangelhaft – nicht bestanden</t>
        </is>
      </c>
    </row>
    <row r="12" ht="22" customHeight="1">
      <c r="B12" s="69" t="n">
        <v>6</v>
      </c>
      <c r="C12" s="125" t="n">
        <v>0</v>
      </c>
      <c r="D12" s="119" t="inlineStr">
        <is>
          <t>ungenügend</t>
        </is>
      </c>
      <c r="E12" s="132" t="inlineStr">
        <is>
          <t>Note 6</t>
        </is>
      </c>
      <c r="F12" s="127" t="inlineStr">
        <is>
          <t>ungenügend – nicht bestanden</t>
        </is>
      </c>
    </row>
    <row r="13" ht="28" customHeight="1">
      <c r="B13" s="4" t="inlineStr">
        <is>
          <t>Die Grenzen gelten „ab“ (92 % → Note 1). Reihenfolge Note 1 oben bis Note 6 unten bitte beibehalten – alle Formeln und Farben lesen die Tabelle von oben nach unten.</t>
        </is>
      </c>
    </row>
    <row r="14" ht="10" customHeight="1"/>
    <row r="15" ht="26" customHeight="1">
      <c r="B15" s="15" t="inlineStr">
        <is>
          <t>Grundeinstellungen</t>
        </is>
      </c>
    </row>
    <row r="16" ht="30" customHeight="1">
      <c r="B16" s="133" t="inlineStr">
        <is>
          <t>Punkte je Parameter (Standard)</t>
        </is>
      </c>
      <c r="C16" s="134" t="n">
        <v>10</v>
      </c>
      <c r="D16" s="135" t="inlineStr">
        <is>
          <t>Wird auf neuen Übungsblättern als Höchstpunktzahl vorgeschlagen.</t>
        </is>
      </c>
    </row>
    <row r="17" ht="30" customHeight="1">
      <c r="B17" s="133" t="inlineStr">
        <is>
          <t>Schwelle „wenig Datenbasis“</t>
        </is>
      </c>
      <c r="C17" s="134" t="n">
        <v>3</v>
      </c>
      <c r="D17" s="135" t="inlineStr">
        <is>
          <t>Unter so vielen bewerteten Übungen erscheint neben der Halbjahresnote ein Vermerk. Die Berechnung ändert sich dadurch nicht.</t>
        </is>
      </c>
    </row>
    <row r="18" ht="30" customHeight="1">
      <c r="B18" s="133" t="inlineStr">
        <is>
          <t>Gewichtung Praxis/Theorie verwenden?</t>
        </is>
      </c>
      <c r="C18" s="69" t="inlineStr">
        <is>
          <t>nein</t>
        </is>
      </c>
      <c r="D18" s="135" t="inlineStr">
        <is>
          <t>nein = alle Übungen zählen gleich (Mittel der Prozentwerte). ja = Praxis und Theorie werden getrennt gemittelt und mit den Gewichten unten zusammengezogen.</t>
        </is>
      </c>
    </row>
    <row r="19" ht="30" customHeight="1">
      <c r="B19" s="133" t="inlineStr">
        <is>
          <t>Gewicht Praxis</t>
        </is>
      </c>
      <c r="C19" s="136" t="n">
        <v>0.7</v>
      </c>
      <c r="D19" s="135" t="inlineStr">
        <is>
          <t>Nur wirksam, wenn oben „ja“ steht.</t>
        </is>
      </c>
    </row>
    <row r="20" ht="30" customHeight="1">
      <c r="B20" s="133" t="inlineStr">
        <is>
          <t>Gewicht Theorie</t>
        </is>
      </c>
      <c r="C20" s="136" t="n">
        <v>0.3</v>
      </c>
      <c r="D20" s="135" t="inlineStr">
        <is>
          <t>Nur wirksam, wenn oben „ja“ steht.</t>
        </is>
      </c>
    </row>
    <row r="21" ht="30" customHeight="1">
      <c r="B21" s="133" t="inlineStr">
        <is>
          <t>Standard-Wertung bei Wiederholung</t>
        </is>
      </c>
      <c r="C21" s="69" t="inlineStr">
        <is>
          <t>letzte</t>
        </is>
      </c>
      <c r="D21" s="135" t="inlineStr">
        <is>
          <t>Gilt, solange auf dem Wiederholungsblatt beim Azubi nichts anderes steht: letzte / beste / keine.</t>
        </is>
      </c>
    </row>
    <row r="22" ht="30" customHeight="1">
      <c r="B22" s="133" t="inlineStr">
        <is>
          <t>Warnschwelle (Note ab …)</t>
        </is>
      </c>
      <c r="C22" s="134" t="n">
        <v>4</v>
      </c>
      <c r="D22" s="135" t="inlineStr">
        <is>
          <t>Ab dieser Halbjahresnote erscheint der Azubi in der Warnübersicht auf der Startseite.</t>
        </is>
      </c>
    </row>
    <row r="23" ht="10" customHeight="1"/>
    <row r="24" ht="26" customHeight="1">
      <c r="B24" s="15" t="inlineStr">
        <is>
          <t>Ausbildungsberufe (Auswahl in den Stammdaten)</t>
        </is>
      </c>
    </row>
    <row r="25" ht="20" customHeight="1">
      <c r="B25" s="119" t="inlineStr">
        <is>
          <t>Elektroniker/-in für Betriebstechnik</t>
        </is>
      </c>
      <c r="C25" s="137" t="inlineStr">
        <is>
          <t>Freie Zeilen bleiben leer – sie erscheinen dann als leerer Eintrag in der Auswahlliste.</t>
        </is>
      </c>
    </row>
    <row r="26" ht="20" customHeight="1">
      <c r="B26" s="119" t="inlineStr">
        <is>
          <t>Industriemechaniker/-in</t>
        </is>
      </c>
    </row>
    <row r="27" ht="20" customHeight="1">
      <c r="B27" s="119" t="inlineStr">
        <is>
          <t>Mechatroniker/-in</t>
        </is>
      </c>
    </row>
    <row r="28" ht="20" customHeight="1">
      <c r="B28" s="119" t="inlineStr">
        <is>
          <t>Fachkraft für Metalltechnik</t>
        </is>
      </c>
    </row>
    <row r="29" ht="20" customHeight="1">
      <c r="B29" s="119" t="n"/>
    </row>
    <row r="30" ht="20" customHeight="1">
      <c r="B30" s="119" t="n"/>
    </row>
    <row r="31" ht="20" customHeight="1">
      <c r="B31" s="119" t="n"/>
    </row>
    <row r="32" ht="20" customHeight="1">
      <c r="B32" s="119" t="n"/>
    </row>
    <row r="33" ht="20" customHeight="1">
      <c r="B33" s="119" t="n"/>
    </row>
    <row r="34" ht="20" customHeight="1">
      <c r="B34" s="119" t="n"/>
    </row>
    <row r="36" ht="22" customHeight="1">
      <c r="B36" s="36" t="inlineStr">
        <is>
          <t>Farben ändern: Die Prozentgrenzen oben wirken sofort auf alle Einfärbungen. Die Farbtöne selbst liegen in der bedingten Formatierung der Blätter (Start &gt; Bedingte Formatierung &gt; Regeln verwalten). Ohne Makros lässt sich ein Farbton nicht aus einer Zelle steuern – deshalb steht neben jeder Farbe immer auch die Note als Zahl mit Kurztext.</t>
        </is>
      </c>
      <c r="C36" s="37" t="n"/>
      <c r="D36" s="37" t="n"/>
      <c r="E36" s="37" t="n"/>
      <c r="F36" s="10" t="n"/>
    </row>
    <row r="37" ht="22" customHeight="1">
      <c r="B37" s="110" t="n"/>
      <c r="C37" s="74" t="n"/>
      <c r="D37" s="74" t="n"/>
      <c r="E37" s="74" t="n"/>
      <c r="F37" s="76" t="n"/>
    </row>
    <row r="38" ht="22" customHeight="1">
      <c r="B38" s="38" t="n"/>
      <c r="C38" s="39" t="n"/>
      <c r="D38" s="39" t="n"/>
      <c r="E38" s="39" t="n"/>
      <c r="F38" s="14" t="n"/>
    </row>
  </sheetData>
  <mergeCells count="17">
    <mergeCell ref="D21:F21"/>
    <mergeCell ref="D19:F19"/>
    <mergeCell ref="B24:F24"/>
    <mergeCell ref="A2:E2"/>
    <mergeCell ref="B15:F15"/>
    <mergeCell ref="D22:F22"/>
    <mergeCell ref="B5:F5"/>
    <mergeCell ref="D18:F18"/>
    <mergeCell ref="A1:E1"/>
    <mergeCell ref="D17:F17"/>
    <mergeCell ref="B36:F38"/>
    <mergeCell ref="F1:F2"/>
    <mergeCell ref="C25:F25"/>
    <mergeCell ref="A3:F3"/>
    <mergeCell ref="D20:F20"/>
    <mergeCell ref="D16:F16"/>
    <mergeCell ref="B13:F13"/>
  </mergeCells>
  <dataValidations count="2">
    <dataValidation sqref="C18" showDropDown="0" showInputMessage="0" showErrorMessage="0" allowBlank="0" type="list">
      <formula1>"ja,nein"</formula1>
    </dataValidation>
    <dataValidation sqref="C21" showDropDown="0" showInputMessage="0" showErrorMessage="0" allowBlank="0" type="list">
      <formula1>"letzte,beste,keine"</formula1>
    </dataValidation>
  </dataValidations>
  <hyperlinks>
    <hyperlink ref="F1" location="Start!A1"/>
  </hyperlinks>
  <pageMargins left="0.5" right="0.4" top="0.5" bottom="0.4" header="0.5" footer="0.5"/>
  <pageSetup orientation="portrait" paperSize="9" fitToHeight="0" fitToWidth="1"/>
</worksheet>
</file>

<file path=xl/worksheets/sheet8.xml><?xml version="1.0" encoding="utf-8"?>
<worksheet xmlns="http://schemas.openxmlformats.org/spreadsheetml/2006/main">
  <sheetPr>
    <tabColor rgb="0034557F"/>
    <outlinePr summaryBelow="1" summaryRight="1"/>
    <pageSetUpPr fitToPage="1"/>
  </sheetPr>
  <dimension ref="A1:D61"/>
  <sheetViews>
    <sheetView showGridLines="0" workbookViewId="0">
      <pane ySplit="3" topLeftCell="A4" activePane="bottomLeft" state="frozen"/>
      <selection pane="bottomLeft" activeCell="A1" sqref="A1"/>
    </sheetView>
  </sheetViews>
  <sheetFormatPr baseColWidth="8" defaultRowHeight="15"/>
  <cols>
    <col width="3" customWidth="1" min="1" max="1"/>
    <col width="5" customWidth="1" min="2" max="2"/>
    <col width="86" customWidth="1" min="3" max="3"/>
    <col width="3" customWidth="1" min="4" max="4"/>
  </cols>
  <sheetData>
    <row r="1" ht="22" customHeight="1">
      <c r="A1" s="65" t="inlineStr">
        <is>
          <t>«  Zurück zur Startseite</t>
        </is>
      </c>
    </row>
    <row r="2" ht="20" customHeight="1"/>
    <row r="3" ht="26" customHeight="1">
      <c r="A3" s="67" t="inlineStr">
        <is>
          <t>So arbeiten Sie mit dieser Datei</t>
        </is>
      </c>
    </row>
    <row r="4" ht="15" customHeight="1">
      <c r="B4" s="138" t="inlineStr">
        <is>
          <t>Gelb hinterlegte Felder werden ausgefüllt. Grau-blaue Felder rechnet die Datei selbst – dort bitte nichts hineinschreiben. Auf jedem Blatt oben rechts führt ein Link zurück zur Startseite.</t>
        </is>
      </c>
      <c r="C4" s="10" t="n"/>
    </row>
    <row r="5" ht="15" customHeight="1">
      <c r="B5" s="38" t="n"/>
      <c r="C5" s="14" t="n"/>
    </row>
    <row r="6" ht="7" customHeight="1"/>
    <row r="7" ht="22" customHeight="1">
      <c r="A7" s="139" t="inlineStr">
        <is>
          <t xml:space="preserve"> 1. Eine Note eintragen</t>
        </is>
      </c>
    </row>
    <row r="8" ht="17" customHeight="1">
      <c r="B8" s="140" t="inlineStr">
        <is>
          <t>1.</t>
        </is>
      </c>
      <c r="C8" s="141" t="inlineStr">
        <is>
          <t>Auf der Startseite in der Liste „Übungen“ auf den Namen der Übung klicken.</t>
        </is>
      </c>
    </row>
    <row r="9" ht="30" customHeight="1">
      <c r="B9" s="140" t="inlineStr">
        <is>
          <t>2.</t>
        </is>
      </c>
      <c r="C9" s="141" t="inlineStr">
        <is>
          <t>Der Azubi steht in einer Spalte, die Bewertungsparameter untereinander. In seiner Spalte je Parameter die Punkte eintragen.</t>
        </is>
      </c>
    </row>
    <row r="10" ht="30" customHeight="1">
      <c r="B10" s="140" t="inlineStr">
        <is>
          <t>3.</t>
        </is>
      </c>
      <c r="C10" s="141" t="inlineStr">
        <is>
          <t>Nicht gebrauchte Jahrgänge zuklappen: über jedem Block sitzt oben eine Schaltfläche mit Minus, Plus holt ihn zurück.</t>
        </is>
      </c>
    </row>
    <row r="11" ht="17" customHeight="1">
      <c r="B11" s="140" t="inlineStr">
        <is>
          <t>4.</t>
        </is>
      </c>
      <c r="C11" s="141" t="inlineStr">
        <is>
          <t>Punkte, Prozent und IHK-Note stehen oben über der Spalte und laufen beim Scrollen mit.</t>
        </is>
      </c>
    </row>
    <row r="12" ht="30" customHeight="1">
      <c r="B12" s="140" t="inlineStr">
        <is>
          <t>5.</t>
        </is>
      </c>
      <c r="C12" s="141" t="inlineStr">
        <is>
          <t>Ist die Übung fertig bewertet, oben im Kopf den Status auf „abgeschlossen“ stellen. Erst dann zählt sie für das Halbjahr.</t>
        </is>
      </c>
    </row>
    <row r="13" ht="7" customHeight="1"/>
    <row r="14" ht="22" customHeight="1">
      <c r="A14" s="139" t="inlineStr">
        <is>
          <t xml:space="preserve"> 2. Eine neue Übung anlegen</t>
        </is>
      </c>
    </row>
    <row r="15" ht="17" customHeight="1">
      <c r="B15" s="140" t="inlineStr">
        <is>
          <t>1.</t>
        </is>
      </c>
      <c r="C15" s="141" t="inlineStr">
        <is>
          <t>Startseite &gt; „Übungen verwalten“ öffnen.</t>
        </is>
      </c>
    </row>
    <row r="16" ht="30" customHeight="1">
      <c r="B16" s="140" t="inlineStr">
        <is>
          <t>2.</t>
        </is>
      </c>
      <c r="C16" s="141" t="inlineStr">
        <is>
          <t>In der ersten freien Zeile den Übungsnamen eintragen. Damit ist das zugehörige Blatt freigeschaltet.</t>
        </is>
      </c>
    </row>
    <row r="17" ht="17" customHeight="1">
      <c r="B17" s="140" t="inlineStr">
        <is>
          <t>3.</t>
        </is>
      </c>
      <c r="C17" s="141" t="inlineStr">
        <is>
          <t>Links in der Zeile auf den Blattnamen klicken.</t>
        </is>
      </c>
    </row>
    <row r="18" ht="30" customHeight="1">
      <c r="B18" s="140" t="inlineStr">
        <is>
          <t>4.</t>
        </is>
      </c>
      <c r="C18" s="141" t="inlineStr">
        <is>
          <t>Im Kopf des Blattes eintragen: Art (Praxis oder Theorie), Datum, Status und Ihr Kürzel bei „Bewertet von“.</t>
        </is>
      </c>
    </row>
    <row r="19" ht="30" customHeight="1">
      <c r="B19" s="140" t="inlineStr">
        <is>
          <t>5.</t>
        </is>
      </c>
      <c r="C19" s="141" t="inlineStr">
        <is>
          <t>Untereinander die Prüfpunkte eintragen, daneben den Bewertungshorizont (z. B. „10 von 10 Bohrungen korrekt“). Die Höchstpunktzahl in Spalte D darf überschrieben werden.</t>
        </is>
      </c>
    </row>
    <row r="20" ht="7" customHeight="1"/>
    <row r="21" ht="22" customHeight="1">
      <c r="A21" s="139" t="inlineStr">
        <is>
          <t xml:space="preserve"> 3. Einen Azubi aufnehmen</t>
        </is>
      </c>
    </row>
    <row r="22" ht="17" customHeight="1">
      <c r="B22" s="140" t="inlineStr">
        <is>
          <t>1.</t>
        </is>
      </c>
      <c r="C22" s="141" t="inlineStr">
        <is>
          <t>Startseite &gt; „Stammdaten“ öffnen.</t>
        </is>
      </c>
    </row>
    <row r="23" ht="30" customHeight="1">
      <c r="B23" s="140" t="inlineStr">
        <is>
          <t>2.</t>
        </is>
      </c>
      <c r="C23" s="141" t="inlineStr">
        <is>
          <t>In der ersten freien Zeile Name, Vorname, Beruf und Ausbildungsstart (meist der 01.09.) eintragen, Status „aktiv“.</t>
        </is>
      </c>
    </row>
    <row r="24" ht="43" customHeight="1">
      <c r="B24" s="140" t="inlineStr">
        <is>
          <t>3.</t>
        </is>
      </c>
      <c r="C24" s="141" t="inlineStr">
        <is>
          <t>Jahrgang, Lehrjahr und Halbjahr rechnet die Datei selbst. Der Azubi erscheint sofort als Spalte auf allen Übungsblättern. Mehrere Lehrjahre dürfen gemischt untereinander stehen.</t>
        </is>
      </c>
    </row>
    <row r="25" ht="30" customHeight="1">
      <c r="B25" s="140" t="inlineStr">
        <is>
          <t>4.</t>
        </is>
      </c>
      <c r="C25" s="141" t="inlineStr">
        <is>
          <t>Zeilen nie sortieren, einfügen oder löschen: jede Zeile gehört fest zu einer Spalte der Übungsblätter, beim Sortieren wandern die Noten zum falschen Azubi.</t>
        </is>
      </c>
    </row>
    <row r="26" ht="30" customHeight="1">
      <c r="B26" s="140" t="inlineStr">
        <is>
          <t>5.</t>
        </is>
      </c>
      <c r="C26" s="141" t="inlineStr">
        <is>
          <t>Je 25 Zeilen bilden einen Jahrgangsblock (siehe Linien). Neuen Jahrgang in den nächsten freien Block eintragen.</t>
        </is>
      </c>
    </row>
    <row r="27" ht="30" customHeight="1">
      <c r="B27" s="140" t="inlineStr">
        <is>
          <t>6.</t>
        </is>
      </c>
      <c r="C27" s="141" t="inlineStr">
        <is>
          <t>Verlässt jemand die Ausbildung: nichts löschen, nur den Status auf „ausgeschieden“ oder „fertig“ setzen.</t>
        </is>
      </c>
    </row>
    <row r="28" ht="7" customHeight="1"/>
    <row r="29" ht="22" customHeight="1">
      <c r="A29" s="139" t="inlineStr">
        <is>
          <t xml:space="preserve"> 4. Nicht-Teilnahme eintragen</t>
        </is>
      </c>
    </row>
    <row r="30" ht="30" customHeight="1">
      <c r="B30" s="140" t="inlineStr">
        <is>
          <t>1.</t>
        </is>
      </c>
      <c r="C30" s="141" t="inlineStr">
        <is>
          <t>War ein Azubi bei einzelnen Prüfpunkten nicht dabei: in das Punktefeld „n.b.“ schreiben. Dieser Punkt fällt dann aus Summe und Höchstpunktzahl heraus.</t>
        </is>
      </c>
    </row>
    <row r="31" ht="30" customHeight="1">
      <c r="B31" s="140" t="inlineStr">
        <is>
          <t>2.</t>
        </is>
      </c>
      <c r="C31" s="141" t="inlineStr">
        <is>
          <t>War er bei der ganzen Übung nicht dabei: in alle Punktefelder seiner Spalte „n.b.“ schreiben.</t>
        </is>
      </c>
    </row>
    <row r="32" ht="30" customHeight="1">
      <c r="B32" s="140" t="inlineStr">
        <is>
          <t>3.</t>
        </is>
      </c>
      <c r="C32" s="141" t="inlineStr">
        <is>
          <t>Unter dem Parameterblock in der Zeile „Grund (n.b.)“ krank, Urlaub, Berufsschule oder sonstiges wählen; eine Zeile tiefer steht „Bemerkung“ für eine Notiz.</t>
        </is>
      </c>
    </row>
    <row r="33" ht="17" customHeight="1">
      <c r="B33" s="140" t="inlineStr">
        <is>
          <t>4.</t>
        </is>
      </c>
      <c r="C33" s="141" t="inlineStr">
        <is>
          <t>Die Übung zählt für ihn dann nirgends mit – auch nicht als 0 Punkte.</t>
        </is>
      </c>
    </row>
    <row r="34" ht="7" customHeight="1"/>
    <row r="35" ht="22" customHeight="1">
      <c r="A35" s="139" t="inlineStr">
        <is>
          <t xml:space="preserve"> 5. Eine frühere Version zurückholen (SharePoint)</t>
        </is>
      </c>
    </row>
    <row r="36" ht="30" customHeight="1">
      <c r="B36" s="140" t="inlineStr">
        <is>
          <t>1.</t>
        </is>
      </c>
      <c r="C36" s="141" t="inlineStr">
        <is>
          <t>Ist etwas durcheinandergeraten, ist nichts verloren: SharePoint speichert jede Version.</t>
        </is>
      </c>
    </row>
    <row r="37" ht="30" customHeight="1">
      <c r="B37" s="140" t="inlineStr">
        <is>
          <t>2.</t>
        </is>
      </c>
      <c r="C37" s="141" t="inlineStr">
        <is>
          <t>In Excel: Datei &gt; Informationen &gt; Versionsverlauf. Im Browser: rechte Maustaste auf die Datei &gt; Versionsverlauf.</t>
        </is>
      </c>
    </row>
    <row r="38" ht="17" customHeight="1">
      <c r="B38" s="140" t="inlineStr">
        <is>
          <t>3.</t>
        </is>
      </c>
      <c r="C38" s="141" t="inlineStr">
        <is>
          <t>Die gewünschte Version anklicken, ansehen und bei Bedarf „Wiederherstellen“ wählen.</t>
        </is>
      </c>
    </row>
    <row r="39" ht="7" customHeight="1"/>
    <row r="40" ht="22" customHeight="1">
      <c r="A40" s="139" t="inlineStr">
        <is>
          <t xml:space="preserve"> 6. Nachholen und Wiederholen</t>
        </is>
      </c>
    </row>
    <row r="41" ht="17" customHeight="1">
      <c r="B41" s="140" t="inlineStr">
        <is>
          <t>1.</t>
        </is>
      </c>
      <c r="C41" s="141" t="inlineStr">
        <is>
          <t>Den Nachholtermin als ganz normale neue Übung anlegen (Schritt 2).</t>
        </is>
      </c>
    </row>
    <row r="42" ht="17" customHeight="1">
      <c r="B42" s="140" t="inlineStr">
        <is>
          <t>2.</t>
        </is>
      </c>
      <c r="C42" s="141" t="inlineStr">
        <is>
          <t>Im Kopf dieses Blattes bei „Wiederholung von“ die ursprüngliche Übung auswählen.</t>
        </is>
      </c>
    </row>
    <row r="43" ht="43" customHeight="1">
      <c r="B43" s="140" t="inlineStr">
        <is>
          <t>3.</t>
        </is>
      </c>
      <c r="C43" s="141" t="inlineStr">
        <is>
          <t>Standardmäßig zählt die letzte Wertung. Soll bei einem einzelnen Azubi die beste zählen oder gar keine Wiederholungswertung, in seiner Spalte unten in der Zeile „Wertung bei Wiederholung“ beste oder keine wählen.</t>
        </is>
      </c>
    </row>
    <row r="44" ht="17" customHeight="1">
      <c r="B44" s="140" t="inlineStr">
        <is>
          <t>4.</t>
        </is>
      </c>
      <c r="C44" s="141" t="inlineStr">
        <is>
          <t>In der Azubi-Ansicht zeigt die Spalte „zählt?“, welcher Versuch gewertet wird.</t>
        </is>
      </c>
    </row>
    <row r="45" ht="7" customHeight="1"/>
    <row r="46" ht="22" customHeight="1">
      <c r="A46" s="139" t="inlineStr">
        <is>
          <t xml:space="preserve"> 7. Das Halbjahresgespräch vorbereiten</t>
        </is>
      </c>
    </row>
    <row r="47" ht="17" customHeight="1">
      <c r="B47" s="140" t="inlineStr">
        <is>
          <t>1.</t>
        </is>
      </c>
      <c r="C47" s="141" t="inlineStr">
        <is>
          <t>Startseite &gt; „Gesprächsseite“ öffnen, oben Azubi und Halbjahr wählen.</t>
        </is>
      </c>
    </row>
    <row r="48" ht="17" customHeight="1">
      <c r="B48" s="140" t="inlineStr">
        <is>
          <t>2.</t>
        </is>
      </c>
      <c r="C48" s="141" t="inlineStr">
        <is>
          <t>Die Seite ist für A4 hochkant eingerichtet: Datei &gt; Drucken genügt.</t>
        </is>
      </c>
    </row>
    <row r="49" ht="56" customHeight="1">
      <c r="B49" s="140" t="inlineStr">
        <is>
          <t>3.</t>
        </is>
      </c>
      <c r="C49" s="141" t="inlineStr">
        <is>
          <t>Wichtig beim gleichzeitigen Arbeiten: Die Auswahlfelder oben auf der Gesprächsseite, in der Azubi-Ansicht und im Blatt „Halbjahr“ sind für alle dieselben Zellen. Stellt ein Kollege dort gerade jemand anderen ein, ändert sich Ihre Ansicht mit. Vor dem Drucken deshalb bitte kurz prüfen, ob oben noch der richtige Name steht.</t>
        </is>
      </c>
    </row>
    <row r="50" ht="17" customHeight="1">
      <c r="B50" s="140" t="inlineStr">
        <is>
          <t>4.</t>
        </is>
      </c>
      <c r="C50" s="141" t="inlineStr">
        <is>
          <t>Ein Überblick über alle Azubis eines Halbjahres steht auf dem Blatt „Halbjahr“.</t>
        </is>
      </c>
    </row>
    <row r="51" ht="7" customHeight="1"/>
    <row r="52" ht="22" customHeight="1">
      <c r="A52" s="139" t="inlineStr">
        <is>
          <t xml:space="preserve"> 8. Wenn der Platz nicht reicht</t>
        </is>
      </c>
    </row>
    <row r="53" ht="43" customHeight="1">
      <c r="B53" s="140" t="inlineStr">
        <is>
          <t>1.</t>
        </is>
      </c>
      <c r="C53" s="141" t="inlineStr">
        <is>
          <t>Mehr als 20 Übungen: Blattreiter „Vorlage“ mit der rechten Maustaste anklicken &gt; Verschieben oder kopieren &gt; Kopie erstellen. Auf dem kopierten Blatt wird der Übungsname von Hand eingetragen; in den Auswertungen erscheint es nicht automatisch.</t>
        </is>
      </c>
    </row>
    <row r="54" ht="43" customHeight="1">
      <c r="B54" s="140" t="inlineStr">
        <is>
          <t>2.</t>
        </is>
      </c>
      <c r="C54" s="141" t="inlineStr">
        <is>
          <t>Platz ist für 100 Azubis, also vier Jahrgänge zu je 25. Wird es mehr, bitte kurz Bescheid geben – dafür muss die Datei einmal neu erzeugt werden, die Daten bleiben erhalten.</t>
        </is>
      </c>
    </row>
    <row r="55" ht="7" customHeight="1"/>
    <row r="56" ht="22" customHeight="1">
      <c r="A56" s="139" t="inlineStr">
        <is>
          <t xml:space="preserve"> 9. Was die Farben bedeuten</t>
        </is>
      </c>
    </row>
    <row r="57" ht="30" customHeight="1">
      <c r="B57" s="140" t="inlineStr">
        <is>
          <t>1.</t>
        </is>
      </c>
      <c r="C57" s="141" t="inlineStr">
        <is>
          <t>Die Einfärbung folgt dem IHK-Notenschlüssel: dunkelgrün = Note 1, hellgrün = 2, gelb = 3, orange = 4, rot = 5, dunkelrot = 6.</t>
        </is>
      </c>
    </row>
    <row r="58" ht="30" customHeight="1">
      <c r="B58" s="140" t="inlineStr">
        <is>
          <t>2.</t>
        </is>
      </c>
      <c r="C58" s="141" t="inlineStr">
        <is>
          <t>Neben der Farbe steht immer die Note als Zahl mit Kurztext – der Ausdruck in Schwarz-Weiß bleibt damit lesbar.</t>
        </is>
      </c>
    </row>
    <row r="59" ht="30" customHeight="1">
      <c r="B59" s="140" t="inlineStr">
        <is>
          <t>3.</t>
        </is>
      </c>
      <c r="C59" s="141" t="inlineStr">
        <is>
          <t>Die Prozentgrenzen stehen im Blatt „Einstellungen“. Wer sie dort ändert, ändert die Einfärbung in der ganzen Datei mit.</t>
        </is>
      </c>
    </row>
    <row r="60" ht="15" customHeight="1">
      <c r="B60" s="138" t="inlineStr">
        <is>
          <t>Die Datei enthält keine Makros. Mehrere Kollegen können sie gleichzeitig bearbeiten, auch in Excel im Browser.</t>
        </is>
      </c>
      <c r="C60" s="10" t="n"/>
    </row>
    <row r="61" ht="15" customHeight="1">
      <c r="B61" s="38" t="n"/>
      <c r="C61" s="14" t="n"/>
    </row>
  </sheetData>
  <mergeCells count="13">
    <mergeCell ref="A1:D1"/>
    <mergeCell ref="A40:D40"/>
    <mergeCell ref="A56:D56"/>
    <mergeCell ref="B60:C61"/>
    <mergeCell ref="A35:D35"/>
    <mergeCell ref="A3:D3"/>
    <mergeCell ref="A21:D21"/>
    <mergeCell ref="A29:D29"/>
    <mergeCell ref="A7:D7"/>
    <mergeCell ref="A52:D52"/>
    <mergeCell ref="A46:D46"/>
    <mergeCell ref="A14:D14"/>
    <mergeCell ref="B4:C5"/>
  </mergeCells>
  <hyperlinks>
    <hyperlink ref="A1" location="Start!A1"/>
  </hyperlinks>
  <pageMargins left="0.75" right="0.75" top="1" bottom="1" header="0.5" footer="0.5"/>
  <pageSetup orientation="portrait" paperSize="9" fitToHeight="0" fitToWidth="1"/>
  <rowBreaks count="1" manualBreakCount="1">
    <brk id="38" min="0" max="16383" man="1"/>
  </rowBreaks>
</worksheet>
</file>

<file path=xl/worksheets/sheet9.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01</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6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IF('Übungen'!$C6="","",'Übungen'!$C6)</f>
        <v/>
      </c>
      <c r="F3" s="145" t="inlineStr">
        <is>
          <t xml:space="preserve"> Art</t>
        </is>
      </c>
      <c r="H3" s="147" t="inlineStr">
        <is>
          <t>Praxis</t>
        </is>
      </c>
      <c r="J3" s="145" t="inlineStr">
        <is>
          <t xml:space="preserve"> Datum</t>
        </is>
      </c>
      <c r="L3" s="148" t="n">
        <v>46093</v>
      </c>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inlineStr">
        <is>
          <t>abgeschlossen</t>
        </is>
      </c>
      <c r="F4" s="145" t="inlineStr">
        <is>
          <t xml:space="preserve"> Bewertet von</t>
        </is>
      </c>
      <c r="H4" s="147" t="inlineStr">
        <is>
          <t>MS</t>
        </is>
      </c>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inlineStr">
        <is>
          <t>Maßhaltigkeit</t>
        </is>
      </c>
      <c r="C11" s="158" t="inlineStr">
        <is>
          <t>Alle Maße in Toleranz ±0,1 mm</t>
        </is>
      </c>
      <c r="D11" s="159">
        <f>IF($B11="",0,PktStd)</f>
        <v/>
      </c>
      <c r="E11" s="160" t="n">
        <v>9</v>
      </c>
      <c r="F11" s="160" t="n">
        <v>10</v>
      </c>
      <c r="G11" s="160" t="inlineStr">
        <is>
          <t>n.b.</t>
        </is>
      </c>
      <c r="H11" s="160" t="n">
        <v>6</v>
      </c>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inlineStr">
        <is>
          <t>Bohrungen korrekt</t>
        </is>
      </c>
      <c r="C12" s="158" t="inlineStr">
        <is>
          <t>10 von 10 Bohrungen korrekt</t>
        </is>
      </c>
      <c r="D12" s="159">
        <f>IF($B12="",0,PktStd)</f>
        <v/>
      </c>
      <c r="E12" s="160" t="n">
        <v>10</v>
      </c>
      <c r="F12" s="160" t="n">
        <v>10</v>
      </c>
      <c r="G12" s="160" t="inlineStr">
        <is>
          <t>n.b.</t>
        </is>
      </c>
      <c r="H12" s="160" t="n">
        <v>5</v>
      </c>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inlineStr">
        <is>
          <t>Senkungen</t>
        </is>
      </c>
      <c r="C13" s="158" t="inlineStr">
        <is>
          <t>Senkwinkel und Tiefe gleichmäßig</t>
        </is>
      </c>
      <c r="D13" s="159">
        <f>IF($B13="",0,PktStd)</f>
        <v/>
      </c>
      <c r="E13" s="160" t="n">
        <v>8</v>
      </c>
      <c r="F13" s="160" t="n">
        <v>9</v>
      </c>
      <c r="G13" s="160" t="inlineStr">
        <is>
          <t>n.b.</t>
        </is>
      </c>
      <c r="H13" s="160" t="n">
        <v>7</v>
      </c>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inlineStr">
        <is>
          <t>Oberfläche</t>
        </is>
      </c>
      <c r="C14" s="158" t="inlineStr">
        <is>
          <t>Grat entfernt, keine Riefen</t>
        </is>
      </c>
      <c r="D14" s="159">
        <f>IF($B14="",0,PktStd)</f>
        <v/>
      </c>
      <c r="E14" s="160" t="n">
        <v>7</v>
      </c>
      <c r="F14" s="160" t="n">
        <v>9</v>
      </c>
      <c r="G14" s="160" t="inlineStr">
        <is>
          <t>n.b.</t>
        </is>
      </c>
      <c r="H14" s="160" t="n">
        <v>6</v>
      </c>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inlineStr">
        <is>
          <t>Arbeitssicherheit</t>
        </is>
      </c>
      <c r="C15" s="158" t="inlineStr">
        <is>
          <t>PSA getragen, Maschine gesichert</t>
        </is>
      </c>
      <c r="D15" s="159">
        <f>IF($B15="",0,PktStd)</f>
        <v/>
      </c>
      <c r="E15" s="160" t="n">
        <v>10</v>
      </c>
      <c r="F15" s="160" t="n">
        <v>10</v>
      </c>
      <c r="G15" s="160" t="inlineStr">
        <is>
          <t>n.b.</t>
        </is>
      </c>
      <c r="H15" s="160" t="n">
        <v>8</v>
      </c>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inlineStr">
        <is>
          <t>krank</t>
        </is>
      </c>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inlineStr">
        <is>
          <t>Sauber gearbeitet, etwas langsam.</t>
        </is>
      </c>
      <c r="F41" s="164" t="inlineStr">
        <is>
          <t>Vorbildlich.</t>
        </is>
      </c>
      <c r="G41" s="164" t="inlineStr">
        <is>
          <t>Nachholtermin vereinbart.</t>
        </is>
      </c>
      <c r="H41" s="164" t="inlineStr">
        <is>
          <t>Bohrbild üben, Sicherheit war in Ordnung.</t>
        </is>
      </c>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0.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02</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7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IF('Übungen'!$C7="","",'Übungen'!$C7)</f>
        <v/>
      </c>
      <c r="F3" s="145" t="inlineStr">
        <is>
          <t xml:space="preserve"> Art</t>
        </is>
      </c>
      <c r="H3" s="147" t="inlineStr">
        <is>
          <t>Theorie</t>
        </is>
      </c>
      <c r="J3" s="145" t="inlineStr">
        <is>
          <t xml:space="preserve"> Datum</t>
        </is>
      </c>
      <c r="L3" s="148" t="n">
        <v>46136</v>
      </c>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inlineStr">
        <is>
          <t>abgeschlossen</t>
        </is>
      </c>
      <c r="F4" s="145" t="inlineStr">
        <is>
          <t xml:space="preserve"> Bewertet von</t>
        </is>
      </c>
      <c r="H4" s="147" t="inlineStr">
        <is>
          <t>AB</t>
        </is>
      </c>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inlineStr">
        <is>
          <t>Ohmsches Gesetz</t>
        </is>
      </c>
      <c r="C11" s="158" t="inlineStr">
        <is>
          <t>6 von 6 Aufgaben richtig</t>
        </is>
      </c>
      <c r="D11" s="159">
        <f>IF($B11="",0,PktStd)</f>
        <v/>
      </c>
      <c r="E11" s="160" t="n">
        <v>8</v>
      </c>
      <c r="F11" s="160" t="n">
        <v>9</v>
      </c>
      <c r="G11" s="160" t="n">
        <v>7</v>
      </c>
      <c r="H11" s="160" t="n">
        <v>5</v>
      </c>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inlineStr">
        <is>
          <t>Reihenschaltung</t>
        </is>
      </c>
      <c r="C12" s="158" t="inlineStr">
        <is>
          <t>5 von 5 Aufgaben richtig</t>
        </is>
      </c>
      <c r="D12" s="159">
        <f>IF($B12="",0,PktStd)</f>
        <v/>
      </c>
      <c r="E12" s="160" t="n">
        <v>9</v>
      </c>
      <c r="F12" s="160" t="n">
        <v>10</v>
      </c>
      <c r="G12" s="160" t="n">
        <v>6</v>
      </c>
      <c r="H12" s="160" t="n">
        <v>6</v>
      </c>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inlineStr">
        <is>
          <t>Parallelschaltung</t>
        </is>
      </c>
      <c r="C13" s="158" t="inlineStr">
        <is>
          <t>5 von 5 Aufgaben richtig</t>
        </is>
      </c>
      <c r="D13" s="159">
        <f>IF($B13="",0,PktStd)</f>
        <v/>
      </c>
      <c r="E13" s="160" t="n">
        <v>7</v>
      </c>
      <c r="F13" s="160" t="n">
        <v>9</v>
      </c>
      <c r="G13" s="160" t="n">
        <v>8</v>
      </c>
      <c r="H13" s="160" t="inlineStr">
        <is>
          <t>n.b.</t>
        </is>
      </c>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inlineStr">
        <is>
          <t>Leistungsberechnung</t>
        </is>
      </c>
      <c r="C14" s="158" t="inlineStr">
        <is>
          <t>10 von 10 Aufgaben richtig</t>
        </is>
      </c>
      <c r="D14" s="159" t="n">
        <v>20</v>
      </c>
      <c r="E14" s="160" t="n">
        <v>15</v>
      </c>
      <c r="F14" s="160" t="n">
        <v>18</v>
      </c>
      <c r="G14" s="160" t="n">
        <v>12</v>
      </c>
      <c r="H14" s="160" t="n">
        <v>10</v>
      </c>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inlineStr">
        <is>
          <t>Berufsschule</t>
        </is>
      </c>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inlineStr">
        <is>
          <t>Leistungsberechnung wiederholen.</t>
        </is>
      </c>
      <c r="H41" s="164" t="inlineStr">
        <is>
          <t>Aufgabenteil fiel wegen Berufsschule aus.</t>
        </is>
      </c>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1.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03</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8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IF('Übungen'!$C8="","",'Übungen'!$C8)</f>
        <v/>
      </c>
      <c r="F3" s="145" t="inlineStr">
        <is>
          <t xml:space="preserve"> Art</t>
        </is>
      </c>
      <c r="H3" s="147" t="inlineStr">
        <is>
          <t>Praxis</t>
        </is>
      </c>
      <c r="J3" s="145" t="inlineStr">
        <is>
          <t xml:space="preserve"> Datum</t>
        </is>
      </c>
      <c r="L3" s="148" t="n">
        <v>46297</v>
      </c>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inlineStr">
        <is>
          <t>laufend</t>
        </is>
      </c>
      <c r="F4" s="145" t="inlineStr">
        <is>
          <t xml:space="preserve"> Bewertet von</t>
        </is>
      </c>
      <c r="H4" s="147" t="inlineStr">
        <is>
          <t>MS</t>
        </is>
      </c>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inlineStr">
        <is>
          <t>Verlegeart</t>
        </is>
      </c>
      <c r="C11" s="158" t="inlineStr">
        <is>
          <t>Vorgabe eingehalten</t>
        </is>
      </c>
      <c r="D11" s="159">
        <f>IF($B11="",0,PktStd)</f>
        <v/>
      </c>
      <c r="E11" s="160" t="n">
        <v>10</v>
      </c>
      <c r="F11" s="160" t="n">
        <v>8</v>
      </c>
      <c r="G11" s="160" t="n">
        <v>6</v>
      </c>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inlineStr">
        <is>
          <t>Befestigung</t>
        </is>
      </c>
      <c r="C12" s="158" t="inlineStr">
        <is>
          <t>Abstände nach Vorgabe</t>
        </is>
      </c>
      <c r="D12" s="159">
        <f>IF($B12="",0,PktStd)</f>
        <v/>
      </c>
      <c r="E12" s="160" t="n">
        <v>9</v>
      </c>
      <c r="F12" s="160" t="n">
        <v>8</v>
      </c>
      <c r="G12" s="160" t="n">
        <v>5</v>
      </c>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inlineStr">
        <is>
          <t>Biegeradien</t>
        </is>
      </c>
      <c r="C13" s="158" t="inlineStr">
        <is>
          <t>Mindestradien eingehalten</t>
        </is>
      </c>
      <c r="D13" s="159">
        <f>IF($B13="",0,PktStd)</f>
        <v/>
      </c>
      <c r="E13" s="160" t="n">
        <v>9</v>
      </c>
      <c r="F13" s="160" t="n">
        <v>9</v>
      </c>
      <c r="G13" s="160" t="n">
        <v>6</v>
      </c>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inlineStr">
        <is>
          <t>Ordnung/Sauberkeit</t>
        </is>
      </c>
      <c r="C14" s="158" t="inlineStr">
        <is>
          <t>Arbeitsplatz aufgeräumt</t>
        </is>
      </c>
      <c r="D14" s="159">
        <f>IF($B14="",0,PktStd)</f>
        <v/>
      </c>
      <c r="E14" s="160" t="n">
        <v>10</v>
      </c>
      <c r="F14" s="160" t="n">
        <v>8</v>
      </c>
      <c r="G14" s="160" t="n">
        <v>6</v>
      </c>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inlineStr">
        <is>
          <t>Nach der Krankheit noch unsicher.</t>
        </is>
      </c>
      <c r="H41" s="164" t="inlineStr">
        <is>
          <t>Noch nicht bewertet.</t>
        </is>
      </c>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2.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04</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9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IF('Übungen'!$C9="","",'Übungen'!$C9)</f>
        <v/>
      </c>
      <c r="F3" s="145" t="inlineStr">
        <is>
          <t xml:space="preserve"> Art</t>
        </is>
      </c>
      <c r="H3" s="147" t="inlineStr">
        <is>
          <t>Praxis</t>
        </is>
      </c>
      <c r="J3" s="145" t="inlineStr">
        <is>
          <t xml:space="preserve"> Datum</t>
        </is>
      </c>
      <c r="L3" s="148" t="n">
        <v>46182</v>
      </c>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inlineStr">
        <is>
          <t>abgeschlossen</t>
        </is>
      </c>
      <c r="F4" s="145" t="inlineStr">
        <is>
          <t xml:space="preserve"> Bewertet von</t>
        </is>
      </c>
      <c r="H4" s="147" t="inlineStr">
        <is>
          <t>MS</t>
        </is>
      </c>
      <c r="J4" s="145" t="inlineStr">
        <is>
          <t xml:space="preserve"> Gewicht</t>
        </is>
      </c>
      <c r="L4" s="150" t="n">
        <v>1</v>
      </c>
      <c r="N4" s="145" t="inlineStr">
        <is>
          <t xml:space="preserve"> Wiederholung von</t>
        </is>
      </c>
      <c r="Q4" s="149" t="inlineStr">
        <is>
          <t>Bohren und Senken</t>
        </is>
      </c>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inlineStr">
        <is>
          <t>Maßhaltigkeit</t>
        </is>
      </c>
      <c r="C11" s="158" t="inlineStr">
        <is>
          <t>Alle Maße in Toleranz ±0,1 mm</t>
        </is>
      </c>
      <c r="D11" s="159">
        <f>IF($B11="",0,PktStd)</f>
        <v/>
      </c>
      <c r="E11" s="160" t="n"/>
      <c r="F11" s="160" t="n"/>
      <c r="G11" s="160" t="n">
        <v>8</v>
      </c>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inlineStr">
        <is>
          <t>Bohrungen korrekt</t>
        </is>
      </c>
      <c r="C12" s="158" t="inlineStr">
        <is>
          <t>10 von 10 Bohrungen korrekt</t>
        </is>
      </c>
      <c r="D12" s="159">
        <f>IF($B12="",0,PktStd)</f>
        <v/>
      </c>
      <c r="E12" s="160" t="n"/>
      <c r="F12" s="160" t="n"/>
      <c r="G12" s="160" t="n">
        <v>9</v>
      </c>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inlineStr">
        <is>
          <t>Senkungen</t>
        </is>
      </c>
      <c r="C13" s="158" t="inlineStr">
        <is>
          <t>Senkwinkel und Tiefe gleichmäßig</t>
        </is>
      </c>
      <c r="D13" s="159">
        <f>IF($B13="",0,PktStd)</f>
        <v/>
      </c>
      <c r="E13" s="160" t="n"/>
      <c r="F13" s="160" t="n"/>
      <c r="G13" s="160" t="n">
        <v>8</v>
      </c>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inlineStr">
        <is>
          <t>Oberfläche</t>
        </is>
      </c>
      <c r="C14" s="158" t="inlineStr">
        <is>
          <t>Grat entfernt, keine Riefen</t>
        </is>
      </c>
      <c r="D14" s="159">
        <f>IF($B14="",0,PktStd)</f>
        <v/>
      </c>
      <c r="E14" s="160" t="n"/>
      <c r="F14" s="160" t="n"/>
      <c r="G14" s="160" t="n">
        <v>7</v>
      </c>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inlineStr">
        <is>
          <t>Arbeitssicherheit</t>
        </is>
      </c>
      <c r="C15" s="158" t="inlineStr">
        <is>
          <t>PSA getragen, Maschine gesichert</t>
        </is>
      </c>
      <c r="D15" s="159">
        <f>IF($B15="",0,PktStd)</f>
        <v/>
      </c>
      <c r="E15" s="160" t="n"/>
      <c r="F15" s="160" t="n"/>
      <c r="G15" s="160" t="n">
        <v>9</v>
      </c>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inlineStr">
        <is>
          <t>Nachholtermin nach Krankheit.</t>
        </is>
      </c>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3.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05</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10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IF('Übungen'!$C10="","",'Übungen'!$C10)</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4.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06</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11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IF('Übungen'!$C11="","",'Übungen'!$C11)</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5.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07</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12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IF('Übungen'!$C12="","",'Übungen'!$C12)</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6.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08</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13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IF('Übungen'!$C13="","",'Übungen'!$C13)</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7.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09</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14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IF('Übungen'!$C14="","",'Übungen'!$C14)</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8.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10</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15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IF('Übungen'!$C15="","",'Übungen'!$C15)</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19.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11</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16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IF('Übungen'!$C16="","",'Übungen'!$C16)</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0.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12</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17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IF('Übungen'!$C17="","",'Übungen'!$C17)</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1.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13</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18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IF('Übungen'!$C18="","",'Übungen'!$C18)</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2.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14</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19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IF('Übungen'!$C19="","",'Übungen'!$C19)</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3.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15</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20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IF('Übungen'!$C20="","",'Übungen'!$C20)</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4.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16</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21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IF('Übungen'!$C21="","",'Übungen'!$C21)</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5.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17</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22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IF('Übungen'!$C22="","",'Übungen'!$C22)</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6.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18</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23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IF('Übungen'!$C23="","",'Übungen'!$C23)</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7.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19</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24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IF('Übungen'!$C24="","",'Übungen'!$C24)</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8.xml><?xml version="1.0" encoding="utf-8"?>
<worksheet xmlns="http://schemas.openxmlformats.org/spreadsheetml/2006/main">
  <sheetPr>
    <tabColor rgb="000E7C86"/>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Übung 20</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IF($C$3="","FREI – noch nicht belegt. Zum Freischalten im Blatt ›Übungen verwalten‹ in Zeile 25 einen Übungsnamen eintragen.","Belegt · "&amp;$C$3&amp;IF($H$3=""," · Art fehlt"," · "&amp;$H$3)&amp;IF($L$3=""," · Datum fehlt"," · "&amp;RIGHT("0"&amp;DAY($L$3),2)&amp;"."&amp;RIGHT("0"&amp;MONTH($L$3),2)&amp;"."&amp;YEAR($L$3))&amp;IF($C$4=""," · Status fehlt"," · "&amp;$C$4)&amp;IF(COUNTIF($D$11:$D$35,"&gt;0")=0," · noch keine Parameter"," · "&amp;COUNTIF($D$11:$D$35,"&gt;0")&amp;" Parameter, max. "&amp;SUM($D$11:$D$35)&amp;" Punkte"))</f>
        <v/>
      </c>
    </row>
    <row r="3" ht="18" customHeight="1">
      <c r="A3" s="145" t="inlineStr">
        <is>
          <t xml:space="preserve"> Übungsname</t>
        </is>
      </c>
      <c r="C3" s="146">
        <f>IF('Übungen'!$C25="","",'Übungen'!$C25)</f>
        <v/>
      </c>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A2:DD2">
    <cfRule type="expression" priority="1" dxfId="15" stopIfTrue="1">
      <formula>$C$3=""</formula>
    </cfRule>
  </conditionalFormatting>
  <conditionalFormatting sqref="A5:DD42">
    <cfRule type="expression" priority="2" dxfId="16" stopIfTrue="1">
      <formula>$C$3=""</formula>
    </cfRule>
  </conditionalFormatting>
  <conditionalFormatting sqref="E5:AC42 AE5:BC42 BE5:CC42 CE5:DC42">
    <cfRule type="expression" priority="3" dxfId="17" stopIfTrue="1">
      <formula>E$5=""</formula>
    </cfRule>
  </conditionalFormatting>
  <conditionalFormatting sqref="A11:DC35">
    <cfRule type="expression" priority="4" dxfId="17" stopIfTrue="1">
      <formula>$B11=""</formula>
    </cfRule>
  </conditionalFormatting>
  <conditionalFormatting sqref="E8:DC9">
    <cfRule type="expression" priority="5" dxfId="2" stopIfTrue="1">
      <formula>AND(ISNUMBER(E$8),E$8&gt;=INDEX(NGrenze,1))</formula>
    </cfRule>
    <cfRule type="expression" priority="6" dxfId="3" stopIfTrue="1">
      <formula>AND(ISNUMBER(E$8),E$8&gt;=INDEX(NGrenze,2))</formula>
    </cfRule>
    <cfRule type="expression" priority="7" dxfId="4" stopIfTrue="1">
      <formula>AND(ISNUMBER(E$8),E$8&gt;=INDEX(NGrenze,3))</formula>
    </cfRule>
    <cfRule type="expression" priority="8" dxfId="5" stopIfTrue="1">
      <formula>AND(ISNUMBER(E$8),E$8&gt;=INDEX(NGrenze,4))</formula>
    </cfRule>
    <cfRule type="expression" priority="9" dxfId="6" stopIfTrue="1">
      <formula>AND(ISNUMBER(E$8),E$8&gt;=INDEX(NGrenze,5))</formula>
    </cfRule>
    <cfRule type="expression" priority="10" dxfId="7" stopIfTrue="1">
      <formula>AND(ISNUMBER(E$8),E$8&gt;=INDEX(NGrenze,6))</formula>
    </cfRule>
  </conditionalFormatting>
  <conditionalFormatting sqref="E11:DC35">
    <cfRule type="expression" priority="11" dxfId="18" stopIfTrue="1">
      <formula>EXACT(E11,"n.b.")</formula>
    </cfRule>
    <cfRule type="expression" priority="12" dxfId="13">
      <formula>AND(ISNUMBER(E11),E11&gt;$D11)</formula>
    </cfRule>
  </conditionalFormatting>
  <conditionalFormatting sqref="E5:DC6">
    <cfRule type="expression" priority="13" dxfId="19">
      <formula>AND(E$5&lt;&gt;"",COUNT(E$11:E$35)+COUNTIF(E$11:E$35,"n.b.")&gt;0,COUNT(E$11:E$35)+COUNTIF(E$11:E$35,"n.b.")&lt;COUNTIF($D$11:$D$35,"&gt;0"))</formula>
    </cfRule>
    <cfRule type="expression" priority="14" dxfId="20">
      <formula>AND(E$5&lt;&gt;"",E$43&lt;&gt;"aktiv")</formula>
    </cfRule>
  </conditionalFormatting>
  <dataValidations count="9">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Q4" showDropDown="0" showInputMessage="0" showErrorMessage="1" allowBlank="1" errorTitle="Übung nicht gefunden" error="Bitte eine Übung aus der Liste wählen oder das Feld leer lassen." type="list">
      <formula1>'Übungen'!$C$6:$C$25</formula1>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29.xml><?xml version="1.0" encoding="utf-8"?>
<worksheet xmlns="http://schemas.openxmlformats.org/spreadsheetml/2006/main">
  <sheetPr>
    <tabColor rgb="0034557F"/>
    <outlinePr summaryBelow="1" summaryRight="1"/>
    <pageSetUpPr/>
  </sheetPr>
  <dimension ref="A1:DD49"/>
  <sheetViews>
    <sheetView showGridLines="0" workbookViewId="0">
      <pane xSplit="4" ySplit="10" topLeftCell="E11"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4" customWidth="1" min="3" max="3"/>
    <col width="9" customWidth="1" min="4" max="4"/>
    <col outlineLevel="1" width="15" customWidth="1" min="5" max="5"/>
    <col outlineLevel="1" width="15" customWidth="1" min="6" max="6"/>
    <col outlineLevel="1" width="15" customWidth="1" min="7" max="7"/>
    <col outlineLevel="1" width="15" customWidth="1" min="8" max="8"/>
    <col outlineLevel="1" width="15" customWidth="1" min="9" max="9"/>
    <col outlineLevel="1" width="15" customWidth="1" min="10" max="10"/>
    <col outlineLevel="1" width="15" customWidth="1" min="11" max="11"/>
    <col outlineLevel="1" width="15" customWidth="1" min="12" max="12"/>
    <col outlineLevel="1" width="15" customWidth="1" min="13" max="13"/>
    <col outlineLevel="1" width="15" customWidth="1" min="14" max="14"/>
    <col outlineLevel="1" width="15" customWidth="1" min="15" max="15"/>
    <col outlineLevel="1" width="15" customWidth="1" min="16" max="16"/>
    <col outlineLevel="1" width="15" customWidth="1" min="17" max="17"/>
    <col outlineLevel="1" width="15" customWidth="1" min="18" max="18"/>
    <col outlineLevel="1" width="15" customWidth="1" min="19" max="19"/>
    <col outlineLevel="1" width="15" customWidth="1" min="20" max="20"/>
    <col outlineLevel="1" width="15" customWidth="1" min="21" max="21"/>
    <col outlineLevel="1" width="15" customWidth="1" min="22" max="22"/>
    <col outlineLevel="1" width="15" customWidth="1" min="23" max="23"/>
    <col outlineLevel="1" width="15" customWidth="1" min="24" max="24"/>
    <col outlineLevel="1" width="15" customWidth="1" min="25" max="25"/>
    <col outlineLevel="1" width="15" customWidth="1" min="26" max="26"/>
    <col outlineLevel="1" width="15" customWidth="1" min="27" max="27"/>
    <col outlineLevel="1" width="15" customWidth="1" min="28" max="28"/>
    <col outlineLevel="1" width="15" customWidth="1" min="29" max="29"/>
    <col width="2" customWidth="1" min="30" max="30"/>
    <col outlineLevel="1" width="15" customWidth="1" min="31" max="31"/>
    <col outlineLevel="1" width="15" customWidth="1" min="32" max="32"/>
    <col outlineLevel="1" width="15" customWidth="1" min="33" max="33"/>
    <col outlineLevel="1" width="15" customWidth="1" min="34" max="34"/>
    <col outlineLevel="1" width="15" customWidth="1" min="35" max="35"/>
    <col outlineLevel="1" width="15" customWidth="1" min="36" max="36"/>
    <col outlineLevel="1" width="15" customWidth="1" min="37" max="37"/>
    <col outlineLevel="1" width="15" customWidth="1" min="38" max="38"/>
    <col outlineLevel="1" width="15" customWidth="1" min="39" max="39"/>
    <col outlineLevel="1" width="15" customWidth="1" min="40" max="40"/>
    <col outlineLevel="1" width="15" customWidth="1" min="41" max="41"/>
    <col outlineLevel="1" width="15" customWidth="1" min="42" max="42"/>
    <col outlineLevel="1" width="15" customWidth="1" min="43" max="43"/>
    <col outlineLevel="1" width="15" customWidth="1" min="44" max="44"/>
    <col outlineLevel="1" width="15" customWidth="1" min="45" max="45"/>
    <col outlineLevel="1" width="15" customWidth="1" min="46" max="46"/>
    <col outlineLevel="1" width="15" customWidth="1" min="47" max="47"/>
    <col outlineLevel="1" width="15" customWidth="1" min="48" max="48"/>
    <col outlineLevel="1" width="15" customWidth="1" min="49" max="49"/>
    <col outlineLevel="1" width="15" customWidth="1" min="50" max="50"/>
    <col outlineLevel="1" width="15" customWidth="1" min="51" max="51"/>
    <col outlineLevel="1" width="15" customWidth="1" min="52" max="52"/>
    <col outlineLevel="1" width="15" customWidth="1" min="53" max="53"/>
    <col outlineLevel="1" width="15" customWidth="1" min="54" max="54"/>
    <col outlineLevel="1" width="15" customWidth="1" min="55" max="55"/>
    <col width="2" customWidth="1" min="56" max="56"/>
    <col outlineLevel="1" width="15" customWidth="1" min="57" max="57"/>
    <col outlineLevel="1" width="15" customWidth="1" min="58" max="58"/>
    <col outlineLevel="1" width="15" customWidth="1" min="59" max="59"/>
    <col outlineLevel="1" width="15" customWidth="1" min="60" max="60"/>
    <col outlineLevel="1" width="15" customWidth="1" min="61" max="61"/>
    <col outlineLevel="1" width="15" customWidth="1" min="62" max="62"/>
    <col outlineLevel="1" width="15" customWidth="1" min="63" max="63"/>
    <col outlineLevel="1" width="15" customWidth="1" min="64" max="64"/>
    <col outlineLevel="1" width="15" customWidth="1" min="65" max="65"/>
    <col outlineLevel="1" width="15" customWidth="1" min="66" max="66"/>
    <col outlineLevel="1" width="15" customWidth="1" min="67" max="67"/>
    <col outlineLevel="1" width="15" customWidth="1" min="68" max="68"/>
    <col outlineLevel="1" width="15" customWidth="1" min="69" max="69"/>
    <col outlineLevel="1" width="15" customWidth="1" min="70" max="70"/>
    <col outlineLevel="1" width="15" customWidth="1" min="71" max="71"/>
    <col outlineLevel="1" width="15" customWidth="1" min="72" max="72"/>
    <col outlineLevel="1" width="15" customWidth="1" min="73" max="73"/>
    <col outlineLevel="1" width="15" customWidth="1" min="74" max="74"/>
    <col outlineLevel="1" width="15" customWidth="1" min="75" max="75"/>
    <col outlineLevel="1" width="15" customWidth="1" min="76" max="76"/>
    <col outlineLevel="1" width="15" customWidth="1" min="77" max="77"/>
    <col outlineLevel="1" width="15" customWidth="1" min="78" max="78"/>
    <col outlineLevel="1" width="15" customWidth="1" min="79" max="79"/>
    <col outlineLevel="1" width="15" customWidth="1" min="80" max="80"/>
    <col outlineLevel="1" width="15" customWidth="1" min="81" max="81"/>
    <col width="2" customWidth="1" min="82" max="82"/>
    <col outlineLevel="1" width="15" customWidth="1" min="83" max="83"/>
    <col outlineLevel="1" width="15" customWidth="1" min="84" max="84"/>
    <col outlineLevel="1" width="15" customWidth="1" min="85" max="85"/>
    <col outlineLevel="1" width="15" customWidth="1" min="86" max="86"/>
    <col outlineLevel="1" width="15" customWidth="1" min="87" max="87"/>
    <col outlineLevel="1" width="15" customWidth="1" min="88" max="88"/>
    <col outlineLevel="1" width="15" customWidth="1" min="89" max="89"/>
    <col outlineLevel="1" width="15" customWidth="1" min="90" max="90"/>
    <col outlineLevel="1" width="15" customWidth="1" min="91" max="91"/>
    <col outlineLevel="1" width="15" customWidth="1" min="92" max="92"/>
    <col outlineLevel="1" width="15" customWidth="1" min="93" max="93"/>
    <col outlineLevel="1" width="15" customWidth="1" min="94" max="94"/>
    <col outlineLevel="1" width="15" customWidth="1" min="95" max="95"/>
    <col outlineLevel="1" width="15" customWidth="1" min="96" max="96"/>
    <col outlineLevel="1" width="15" customWidth="1" min="97" max="97"/>
    <col outlineLevel="1" width="15" customWidth="1" min="98" max="98"/>
    <col outlineLevel="1" width="15" customWidth="1" min="99" max="99"/>
    <col outlineLevel="1" width="15" customWidth="1" min="100" max="100"/>
    <col outlineLevel="1" width="15" customWidth="1" min="101" max="101"/>
    <col outlineLevel="1" width="15" customWidth="1" min="102" max="102"/>
    <col outlineLevel="1" width="15" customWidth="1" min="103" max="103"/>
    <col outlineLevel="1" width="15" customWidth="1" min="104" max="104"/>
    <col outlineLevel="1" width="15" customWidth="1" min="105" max="105"/>
    <col outlineLevel="1" width="15" customWidth="1" min="106" max="106"/>
    <col outlineLevel="1" width="15" customWidth="1" min="107" max="107"/>
    <col width="2" customWidth="1" min="108" max="108"/>
  </cols>
  <sheetData>
    <row r="1" ht="22" customHeight="1">
      <c r="A1" s="142" t="inlineStr">
        <is>
          <t>Vorlage für weitere Übungen</t>
        </is>
      </c>
      <c r="B1" s="2" t="n"/>
      <c r="C1" s="2" t="n"/>
      <c r="D1" s="2" t="n"/>
      <c r="E1" s="2" t="n"/>
      <c r="F1" s="2" t="n"/>
      <c r="G1" s="2" t="n"/>
      <c r="H1" s="2" t="n"/>
      <c r="I1" s="2" t="n"/>
      <c r="J1" s="2" t="n"/>
      <c r="K1" s="2" t="n"/>
      <c r="L1" s="2" t="n"/>
      <c r="M1" s="143" t="inlineStr">
        <is>
          <t>«  Zurück zur Startseite</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row>
    <row r="2" ht="16" customHeight="1">
      <c r="A2" s="144">
        <f>"VORLAGE – dieses Blatt wird in keiner Auswertung mitgezählt. Für eine 21. Übung: Blattreiter rechts anklicken &gt; Verschieben oder kopieren &gt; Kopie erstellen."</f>
        <v/>
      </c>
    </row>
    <row r="3" ht="18" customHeight="1">
      <c r="A3" s="145" t="inlineStr">
        <is>
          <t xml:space="preserve"> Übungsname</t>
        </is>
      </c>
      <c r="C3" s="149" t="n"/>
      <c r="F3" s="145" t="inlineStr">
        <is>
          <t xml:space="preserve"> Art</t>
        </is>
      </c>
      <c r="H3" s="147" t="n"/>
      <c r="J3" s="145" t="inlineStr">
        <is>
          <t xml:space="preserve"> Datum</t>
        </is>
      </c>
      <c r="L3" s="148" t="n"/>
      <c r="N3" s="66" t="inlineStr">
        <is>
          <t>Bewertungsparameter untereinander, Azubis nebeneinander. Je 25 Spalten bilden einen Jahrgangsblock; über den Schaltflächen am oberen Rand lässt sich ein Block zuklappen.</t>
        </is>
      </c>
    </row>
    <row r="4" ht="18" customHeight="1">
      <c r="A4" s="145" t="inlineStr">
        <is>
          <t xml:space="preserve"> Status</t>
        </is>
      </c>
      <c r="C4" s="149" t="n"/>
      <c r="F4" s="145" t="inlineStr">
        <is>
          <t xml:space="preserve"> Bewertet von</t>
        </is>
      </c>
      <c r="H4" s="147" t="n"/>
      <c r="J4" s="145" t="inlineStr">
        <is>
          <t xml:space="preserve"> Gewicht</t>
        </is>
      </c>
      <c r="L4" s="150" t="n">
        <v>1</v>
      </c>
      <c r="N4" s="145" t="inlineStr">
        <is>
          <t xml:space="preserve"> Wiederholung von</t>
        </is>
      </c>
      <c r="Q4" s="149" t="n"/>
      <c r="T4" s="66" t="inlineStr">
        <is>
          <t>Nur ausfüllen, wenn dies der Nachhol- oder Wiederholtermin einer anderen Übung ist.</t>
        </is>
      </c>
    </row>
    <row r="5" ht="20" customHeight="1">
      <c r="A5" s="145" t="inlineStr">
        <is>
          <t xml:space="preserve"> Name</t>
        </is>
      </c>
      <c r="E5" s="151">
        <f>IF('Stammdaten'!$B6="","",'Stammdaten'!$B6)</f>
        <v/>
      </c>
      <c r="F5" s="151">
        <f>IF('Stammdaten'!$B7="","",'Stammdaten'!$B7)</f>
        <v/>
      </c>
      <c r="G5" s="151">
        <f>IF('Stammdaten'!$B8="","",'Stammdaten'!$B8)</f>
        <v/>
      </c>
      <c r="H5" s="151">
        <f>IF('Stammdaten'!$B9="","",'Stammdaten'!$B9)</f>
        <v/>
      </c>
      <c r="I5" s="151">
        <f>IF('Stammdaten'!$B10="","",'Stammdaten'!$B10)</f>
        <v/>
      </c>
      <c r="J5" s="151">
        <f>IF('Stammdaten'!$B11="","",'Stammdaten'!$B11)</f>
        <v/>
      </c>
      <c r="K5" s="151">
        <f>IF('Stammdaten'!$B12="","",'Stammdaten'!$B12)</f>
        <v/>
      </c>
      <c r="L5" s="151">
        <f>IF('Stammdaten'!$B13="","",'Stammdaten'!$B13)</f>
        <v/>
      </c>
      <c r="M5" s="151">
        <f>IF('Stammdaten'!$B14="","",'Stammdaten'!$B14)</f>
        <v/>
      </c>
      <c r="N5" s="151">
        <f>IF('Stammdaten'!$B15="","",'Stammdaten'!$B15)</f>
        <v/>
      </c>
      <c r="O5" s="151">
        <f>IF('Stammdaten'!$B16="","",'Stammdaten'!$B16)</f>
        <v/>
      </c>
      <c r="P5" s="151">
        <f>IF('Stammdaten'!$B17="","",'Stammdaten'!$B17)</f>
        <v/>
      </c>
      <c r="Q5" s="151">
        <f>IF('Stammdaten'!$B18="","",'Stammdaten'!$B18)</f>
        <v/>
      </c>
      <c r="R5" s="151">
        <f>IF('Stammdaten'!$B19="","",'Stammdaten'!$B19)</f>
        <v/>
      </c>
      <c r="S5" s="151">
        <f>IF('Stammdaten'!$B20="","",'Stammdaten'!$B20)</f>
        <v/>
      </c>
      <c r="T5" s="151">
        <f>IF('Stammdaten'!$B21="","",'Stammdaten'!$B21)</f>
        <v/>
      </c>
      <c r="U5" s="151">
        <f>IF('Stammdaten'!$B22="","",'Stammdaten'!$B22)</f>
        <v/>
      </c>
      <c r="V5" s="151">
        <f>IF('Stammdaten'!$B23="","",'Stammdaten'!$B23)</f>
        <v/>
      </c>
      <c r="W5" s="151">
        <f>IF('Stammdaten'!$B24="","",'Stammdaten'!$B24)</f>
        <v/>
      </c>
      <c r="X5" s="151">
        <f>IF('Stammdaten'!$B25="","",'Stammdaten'!$B25)</f>
        <v/>
      </c>
      <c r="Y5" s="151">
        <f>IF('Stammdaten'!$B26="","",'Stammdaten'!$B26)</f>
        <v/>
      </c>
      <c r="Z5" s="151">
        <f>IF('Stammdaten'!$B27="","",'Stammdaten'!$B27)</f>
        <v/>
      </c>
      <c r="AA5" s="151">
        <f>IF('Stammdaten'!$B28="","",'Stammdaten'!$B28)</f>
        <v/>
      </c>
      <c r="AB5" s="151">
        <f>IF('Stammdaten'!$B29="","",'Stammdaten'!$B29)</f>
        <v/>
      </c>
      <c r="AC5" s="151">
        <f>IF('Stammdaten'!$B30="","",'Stammdaten'!$B30)</f>
        <v/>
      </c>
      <c r="AE5" s="151">
        <f>IF('Stammdaten'!$B31="","",'Stammdaten'!$B31)</f>
        <v/>
      </c>
      <c r="AF5" s="151">
        <f>IF('Stammdaten'!$B32="","",'Stammdaten'!$B32)</f>
        <v/>
      </c>
      <c r="AG5" s="151">
        <f>IF('Stammdaten'!$B33="","",'Stammdaten'!$B33)</f>
        <v/>
      </c>
      <c r="AH5" s="151">
        <f>IF('Stammdaten'!$B34="","",'Stammdaten'!$B34)</f>
        <v/>
      </c>
      <c r="AI5" s="151">
        <f>IF('Stammdaten'!$B35="","",'Stammdaten'!$B35)</f>
        <v/>
      </c>
      <c r="AJ5" s="151">
        <f>IF('Stammdaten'!$B36="","",'Stammdaten'!$B36)</f>
        <v/>
      </c>
      <c r="AK5" s="151">
        <f>IF('Stammdaten'!$B37="","",'Stammdaten'!$B37)</f>
        <v/>
      </c>
      <c r="AL5" s="151">
        <f>IF('Stammdaten'!$B38="","",'Stammdaten'!$B38)</f>
        <v/>
      </c>
      <c r="AM5" s="151">
        <f>IF('Stammdaten'!$B39="","",'Stammdaten'!$B39)</f>
        <v/>
      </c>
      <c r="AN5" s="151">
        <f>IF('Stammdaten'!$B40="","",'Stammdaten'!$B40)</f>
        <v/>
      </c>
      <c r="AO5" s="151">
        <f>IF('Stammdaten'!$B41="","",'Stammdaten'!$B41)</f>
        <v/>
      </c>
      <c r="AP5" s="151">
        <f>IF('Stammdaten'!$B42="","",'Stammdaten'!$B42)</f>
        <v/>
      </c>
      <c r="AQ5" s="151">
        <f>IF('Stammdaten'!$B43="","",'Stammdaten'!$B43)</f>
        <v/>
      </c>
      <c r="AR5" s="151">
        <f>IF('Stammdaten'!$B44="","",'Stammdaten'!$B44)</f>
        <v/>
      </c>
      <c r="AS5" s="151">
        <f>IF('Stammdaten'!$B45="","",'Stammdaten'!$B45)</f>
        <v/>
      </c>
      <c r="AT5" s="151">
        <f>IF('Stammdaten'!$B46="","",'Stammdaten'!$B46)</f>
        <v/>
      </c>
      <c r="AU5" s="151">
        <f>IF('Stammdaten'!$B47="","",'Stammdaten'!$B47)</f>
        <v/>
      </c>
      <c r="AV5" s="151">
        <f>IF('Stammdaten'!$B48="","",'Stammdaten'!$B48)</f>
        <v/>
      </c>
      <c r="AW5" s="151">
        <f>IF('Stammdaten'!$B49="","",'Stammdaten'!$B49)</f>
        <v/>
      </c>
      <c r="AX5" s="151">
        <f>IF('Stammdaten'!$B50="","",'Stammdaten'!$B50)</f>
        <v/>
      </c>
      <c r="AY5" s="151">
        <f>IF('Stammdaten'!$B51="","",'Stammdaten'!$B51)</f>
        <v/>
      </c>
      <c r="AZ5" s="151">
        <f>IF('Stammdaten'!$B52="","",'Stammdaten'!$B52)</f>
        <v/>
      </c>
      <c r="BA5" s="151">
        <f>IF('Stammdaten'!$B53="","",'Stammdaten'!$B53)</f>
        <v/>
      </c>
      <c r="BB5" s="151">
        <f>IF('Stammdaten'!$B54="","",'Stammdaten'!$B54)</f>
        <v/>
      </c>
      <c r="BC5" s="151">
        <f>IF('Stammdaten'!$B55="","",'Stammdaten'!$B55)</f>
        <v/>
      </c>
      <c r="BE5" s="151">
        <f>IF('Stammdaten'!$B56="","",'Stammdaten'!$B56)</f>
        <v/>
      </c>
      <c r="BF5" s="151">
        <f>IF('Stammdaten'!$B57="","",'Stammdaten'!$B57)</f>
        <v/>
      </c>
      <c r="BG5" s="151">
        <f>IF('Stammdaten'!$B58="","",'Stammdaten'!$B58)</f>
        <v/>
      </c>
      <c r="BH5" s="151">
        <f>IF('Stammdaten'!$B59="","",'Stammdaten'!$B59)</f>
        <v/>
      </c>
      <c r="BI5" s="151">
        <f>IF('Stammdaten'!$B60="","",'Stammdaten'!$B60)</f>
        <v/>
      </c>
      <c r="BJ5" s="151">
        <f>IF('Stammdaten'!$B61="","",'Stammdaten'!$B61)</f>
        <v/>
      </c>
      <c r="BK5" s="151">
        <f>IF('Stammdaten'!$B62="","",'Stammdaten'!$B62)</f>
        <v/>
      </c>
      <c r="BL5" s="151">
        <f>IF('Stammdaten'!$B63="","",'Stammdaten'!$B63)</f>
        <v/>
      </c>
      <c r="BM5" s="151">
        <f>IF('Stammdaten'!$B64="","",'Stammdaten'!$B64)</f>
        <v/>
      </c>
      <c r="BN5" s="151">
        <f>IF('Stammdaten'!$B65="","",'Stammdaten'!$B65)</f>
        <v/>
      </c>
      <c r="BO5" s="151">
        <f>IF('Stammdaten'!$B66="","",'Stammdaten'!$B66)</f>
        <v/>
      </c>
      <c r="BP5" s="151">
        <f>IF('Stammdaten'!$B67="","",'Stammdaten'!$B67)</f>
        <v/>
      </c>
      <c r="BQ5" s="151">
        <f>IF('Stammdaten'!$B68="","",'Stammdaten'!$B68)</f>
        <v/>
      </c>
      <c r="BR5" s="151">
        <f>IF('Stammdaten'!$B69="","",'Stammdaten'!$B69)</f>
        <v/>
      </c>
      <c r="BS5" s="151">
        <f>IF('Stammdaten'!$B70="","",'Stammdaten'!$B70)</f>
        <v/>
      </c>
      <c r="BT5" s="151">
        <f>IF('Stammdaten'!$B71="","",'Stammdaten'!$B71)</f>
        <v/>
      </c>
      <c r="BU5" s="151">
        <f>IF('Stammdaten'!$B72="","",'Stammdaten'!$B72)</f>
        <v/>
      </c>
      <c r="BV5" s="151">
        <f>IF('Stammdaten'!$B73="","",'Stammdaten'!$B73)</f>
        <v/>
      </c>
      <c r="BW5" s="151">
        <f>IF('Stammdaten'!$B74="","",'Stammdaten'!$B74)</f>
        <v/>
      </c>
      <c r="BX5" s="151">
        <f>IF('Stammdaten'!$B75="","",'Stammdaten'!$B75)</f>
        <v/>
      </c>
      <c r="BY5" s="151">
        <f>IF('Stammdaten'!$B76="","",'Stammdaten'!$B76)</f>
        <v/>
      </c>
      <c r="BZ5" s="151">
        <f>IF('Stammdaten'!$B77="","",'Stammdaten'!$B77)</f>
        <v/>
      </c>
      <c r="CA5" s="151">
        <f>IF('Stammdaten'!$B78="","",'Stammdaten'!$B78)</f>
        <v/>
      </c>
      <c r="CB5" s="151">
        <f>IF('Stammdaten'!$B79="","",'Stammdaten'!$B79)</f>
        <v/>
      </c>
      <c r="CC5" s="151">
        <f>IF('Stammdaten'!$B80="","",'Stammdaten'!$B80)</f>
        <v/>
      </c>
      <c r="CE5" s="151">
        <f>IF('Stammdaten'!$B81="","",'Stammdaten'!$B81)</f>
        <v/>
      </c>
      <c r="CF5" s="151">
        <f>IF('Stammdaten'!$B82="","",'Stammdaten'!$B82)</f>
        <v/>
      </c>
      <c r="CG5" s="151">
        <f>IF('Stammdaten'!$B83="","",'Stammdaten'!$B83)</f>
        <v/>
      </c>
      <c r="CH5" s="151">
        <f>IF('Stammdaten'!$B84="","",'Stammdaten'!$B84)</f>
        <v/>
      </c>
      <c r="CI5" s="151">
        <f>IF('Stammdaten'!$B85="","",'Stammdaten'!$B85)</f>
        <v/>
      </c>
      <c r="CJ5" s="151">
        <f>IF('Stammdaten'!$B86="","",'Stammdaten'!$B86)</f>
        <v/>
      </c>
      <c r="CK5" s="151">
        <f>IF('Stammdaten'!$B87="","",'Stammdaten'!$B87)</f>
        <v/>
      </c>
      <c r="CL5" s="151">
        <f>IF('Stammdaten'!$B88="","",'Stammdaten'!$B88)</f>
        <v/>
      </c>
      <c r="CM5" s="151">
        <f>IF('Stammdaten'!$B89="","",'Stammdaten'!$B89)</f>
        <v/>
      </c>
      <c r="CN5" s="151">
        <f>IF('Stammdaten'!$B90="","",'Stammdaten'!$B90)</f>
        <v/>
      </c>
      <c r="CO5" s="151">
        <f>IF('Stammdaten'!$B91="","",'Stammdaten'!$B91)</f>
        <v/>
      </c>
      <c r="CP5" s="151">
        <f>IF('Stammdaten'!$B92="","",'Stammdaten'!$B92)</f>
        <v/>
      </c>
      <c r="CQ5" s="151">
        <f>IF('Stammdaten'!$B93="","",'Stammdaten'!$B93)</f>
        <v/>
      </c>
      <c r="CR5" s="151">
        <f>IF('Stammdaten'!$B94="","",'Stammdaten'!$B94)</f>
        <v/>
      </c>
      <c r="CS5" s="151">
        <f>IF('Stammdaten'!$B95="","",'Stammdaten'!$B95)</f>
        <v/>
      </c>
      <c r="CT5" s="151">
        <f>IF('Stammdaten'!$B96="","",'Stammdaten'!$B96)</f>
        <v/>
      </c>
      <c r="CU5" s="151">
        <f>IF('Stammdaten'!$B97="","",'Stammdaten'!$B97)</f>
        <v/>
      </c>
      <c r="CV5" s="151">
        <f>IF('Stammdaten'!$B98="","",'Stammdaten'!$B98)</f>
        <v/>
      </c>
      <c r="CW5" s="151">
        <f>IF('Stammdaten'!$B99="","",'Stammdaten'!$B99)</f>
        <v/>
      </c>
      <c r="CX5" s="151">
        <f>IF('Stammdaten'!$B100="","",'Stammdaten'!$B100)</f>
        <v/>
      </c>
      <c r="CY5" s="151">
        <f>IF('Stammdaten'!$B101="","",'Stammdaten'!$B101)</f>
        <v/>
      </c>
      <c r="CZ5" s="151">
        <f>IF('Stammdaten'!$B102="","",'Stammdaten'!$B102)</f>
        <v/>
      </c>
      <c r="DA5" s="151">
        <f>IF('Stammdaten'!$B103="","",'Stammdaten'!$B103)</f>
        <v/>
      </c>
      <c r="DB5" s="151">
        <f>IF('Stammdaten'!$B104="","",'Stammdaten'!$B104)</f>
        <v/>
      </c>
      <c r="DC5" s="151">
        <f>IF('Stammdaten'!$B105="","",'Stammdaten'!$B105)</f>
        <v/>
      </c>
    </row>
    <row r="6" ht="15" customHeight="1">
      <c r="A6" s="152" t="inlineStr">
        <is>
          <t xml:space="preserve"> Vorname · Lehrjahr</t>
        </is>
      </c>
      <c r="E6" s="21">
        <f>IF('Stammdaten'!$B6="","",'Stammdaten'!$C6&amp;IF(E$39&gt;0," · LJ "&amp;(INT((E$39-1)/2)+1),""))</f>
        <v/>
      </c>
      <c r="F6" s="21">
        <f>IF('Stammdaten'!$B7="","",'Stammdaten'!$C7&amp;IF(F$39&gt;0," · LJ "&amp;(INT((F$39-1)/2)+1),""))</f>
        <v/>
      </c>
      <c r="G6" s="21">
        <f>IF('Stammdaten'!$B8="","",'Stammdaten'!$C8&amp;IF(G$39&gt;0," · LJ "&amp;(INT((G$39-1)/2)+1),""))</f>
        <v/>
      </c>
      <c r="H6" s="21">
        <f>IF('Stammdaten'!$B9="","",'Stammdaten'!$C9&amp;IF(H$39&gt;0," · LJ "&amp;(INT((H$39-1)/2)+1),""))</f>
        <v/>
      </c>
      <c r="I6" s="21">
        <f>IF('Stammdaten'!$B10="","",'Stammdaten'!$C10&amp;IF(I$39&gt;0," · LJ "&amp;(INT((I$39-1)/2)+1),""))</f>
        <v/>
      </c>
      <c r="J6" s="21">
        <f>IF('Stammdaten'!$B11="","",'Stammdaten'!$C11&amp;IF(J$39&gt;0," · LJ "&amp;(INT((J$39-1)/2)+1),""))</f>
        <v/>
      </c>
      <c r="K6" s="21">
        <f>IF('Stammdaten'!$B12="","",'Stammdaten'!$C12&amp;IF(K$39&gt;0," · LJ "&amp;(INT((K$39-1)/2)+1),""))</f>
        <v/>
      </c>
      <c r="L6" s="21">
        <f>IF('Stammdaten'!$B13="","",'Stammdaten'!$C13&amp;IF(L$39&gt;0," · LJ "&amp;(INT((L$39-1)/2)+1),""))</f>
        <v/>
      </c>
      <c r="M6" s="21">
        <f>IF('Stammdaten'!$B14="","",'Stammdaten'!$C14&amp;IF(M$39&gt;0," · LJ "&amp;(INT((M$39-1)/2)+1),""))</f>
        <v/>
      </c>
      <c r="N6" s="21">
        <f>IF('Stammdaten'!$B15="","",'Stammdaten'!$C15&amp;IF(N$39&gt;0," · LJ "&amp;(INT((N$39-1)/2)+1),""))</f>
        <v/>
      </c>
      <c r="O6" s="21">
        <f>IF('Stammdaten'!$B16="","",'Stammdaten'!$C16&amp;IF(O$39&gt;0," · LJ "&amp;(INT((O$39-1)/2)+1),""))</f>
        <v/>
      </c>
      <c r="P6" s="21">
        <f>IF('Stammdaten'!$B17="","",'Stammdaten'!$C17&amp;IF(P$39&gt;0," · LJ "&amp;(INT((P$39-1)/2)+1),""))</f>
        <v/>
      </c>
      <c r="Q6" s="21">
        <f>IF('Stammdaten'!$B18="","",'Stammdaten'!$C18&amp;IF(Q$39&gt;0," · LJ "&amp;(INT((Q$39-1)/2)+1),""))</f>
        <v/>
      </c>
      <c r="R6" s="21">
        <f>IF('Stammdaten'!$B19="","",'Stammdaten'!$C19&amp;IF(R$39&gt;0," · LJ "&amp;(INT((R$39-1)/2)+1),""))</f>
        <v/>
      </c>
      <c r="S6" s="21">
        <f>IF('Stammdaten'!$B20="","",'Stammdaten'!$C20&amp;IF(S$39&gt;0," · LJ "&amp;(INT((S$39-1)/2)+1),""))</f>
        <v/>
      </c>
      <c r="T6" s="21">
        <f>IF('Stammdaten'!$B21="","",'Stammdaten'!$C21&amp;IF(T$39&gt;0," · LJ "&amp;(INT((T$39-1)/2)+1),""))</f>
        <v/>
      </c>
      <c r="U6" s="21">
        <f>IF('Stammdaten'!$B22="","",'Stammdaten'!$C22&amp;IF(U$39&gt;0," · LJ "&amp;(INT((U$39-1)/2)+1),""))</f>
        <v/>
      </c>
      <c r="V6" s="21">
        <f>IF('Stammdaten'!$B23="","",'Stammdaten'!$C23&amp;IF(V$39&gt;0," · LJ "&amp;(INT((V$39-1)/2)+1),""))</f>
        <v/>
      </c>
      <c r="W6" s="21">
        <f>IF('Stammdaten'!$B24="","",'Stammdaten'!$C24&amp;IF(W$39&gt;0," · LJ "&amp;(INT((W$39-1)/2)+1),""))</f>
        <v/>
      </c>
      <c r="X6" s="21">
        <f>IF('Stammdaten'!$B25="","",'Stammdaten'!$C25&amp;IF(X$39&gt;0," · LJ "&amp;(INT((X$39-1)/2)+1),""))</f>
        <v/>
      </c>
      <c r="Y6" s="21">
        <f>IF('Stammdaten'!$B26="","",'Stammdaten'!$C26&amp;IF(Y$39&gt;0," · LJ "&amp;(INT((Y$39-1)/2)+1),""))</f>
        <v/>
      </c>
      <c r="Z6" s="21">
        <f>IF('Stammdaten'!$B27="","",'Stammdaten'!$C27&amp;IF(Z$39&gt;0," · LJ "&amp;(INT((Z$39-1)/2)+1),""))</f>
        <v/>
      </c>
      <c r="AA6" s="21">
        <f>IF('Stammdaten'!$B28="","",'Stammdaten'!$C28&amp;IF(AA$39&gt;0," · LJ "&amp;(INT((AA$39-1)/2)+1),""))</f>
        <v/>
      </c>
      <c r="AB6" s="21">
        <f>IF('Stammdaten'!$B29="","",'Stammdaten'!$C29&amp;IF(AB$39&gt;0," · LJ "&amp;(INT((AB$39-1)/2)+1),""))</f>
        <v/>
      </c>
      <c r="AC6" s="21">
        <f>IF('Stammdaten'!$B30="","",'Stammdaten'!$C30&amp;IF(AC$39&gt;0," · LJ "&amp;(INT((AC$39-1)/2)+1),""))</f>
        <v/>
      </c>
      <c r="AE6" s="21">
        <f>IF('Stammdaten'!$B31="","",'Stammdaten'!$C31&amp;IF(AE$39&gt;0," · LJ "&amp;(INT((AE$39-1)/2)+1),""))</f>
        <v/>
      </c>
      <c r="AF6" s="21">
        <f>IF('Stammdaten'!$B32="","",'Stammdaten'!$C32&amp;IF(AF$39&gt;0," · LJ "&amp;(INT((AF$39-1)/2)+1),""))</f>
        <v/>
      </c>
      <c r="AG6" s="21">
        <f>IF('Stammdaten'!$B33="","",'Stammdaten'!$C33&amp;IF(AG$39&gt;0," · LJ "&amp;(INT((AG$39-1)/2)+1),""))</f>
        <v/>
      </c>
      <c r="AH6" s="21">
        <f>IF('Stammdaten'!$B34="","",'Stammdaten'!$C34&amp;IF(AH$39&gt;0," · LJ "&amp;(INT((AH$39-1)/2)+1),""))</f>
        <v/>
      </c>
      <c r="AI6" s="21">
        <f>IF('Stammdaten'!$B35="","",'Stammdaten'!$C35&amp;IF(AI$39&gt;0," · LJ "&amp;(INT((AI$39-1)/2)+1),""))</f>
        <v/>
      </c>
      <c r="AJ6" s="21">
        <f>IF('Stammdaten'!$B36="","",'Stammdaten'!$C36&amp;IF(AJ$39&gt;0," · LJ "&amp;(INT((AJ$39-1)/2)+1),""))</f>
        <v/>
      </c>
      <c r="AK6" s="21">
        <f>IF('Stammdaten'!$B37="","",'Stammdaten'!$C37&amp;IF(AK$39&gt;0," · LJ "&amp;(INT((AK$39-1)/2)+1),""))</f>
        <v/>
      </c>
      <c r="AL6" s="21">
        <f>IF('Stammdaten'!$B38="","",'Stammdaten'!$C38&amp;IF(AL$39&gt;0," · LJ "&amp;(INT((AL$39-1)/2)+1),""))</f>
        <v/>
      </c>
      <c r="AM6" s="21">
        <f>IF('Stammdaten'!$B39="","",'Stammdaten'!$C39&amp;IF(AM$39&gt;0," · LJ "&amp;(INT((AM$39-1)/2)+1),""))</f>
        <v/>
      </c>
      <c r="AN6" s="21">
        <f>IF('Stammdaten'!$B40="","",'Stammdaten'!$C40&amp;IF(AN$39&gt;0," · LJ "&amp;(INT((AN$39-1)/2)+1),""))</f>
        <v/>
      </c>
      <c r="AO6" s="21">
        <f>IF('Stammdaten'!$B41="","",'Stammdaten'!$C41&amp;IF(AO$39&gt;0," · LJ "&amp;(INT((AO$39-1)/2)+1),""))</f>
        <v/>
      </c>
      <c r="AP6" s="21">
        <f>IF('Stammdaten'!$B42="","",'Stammdaten'!$C42&amp;IF(AP$39&gt;0," · LJ "&amp;(INT((AP$39-1)/2)+1),""))</f>
        <v/>
      </c>
      <c r="AQ6" s="21">
        <f>IF('Stammdaten'!$B43="","",'Stammdaten'!$C43&amp;IF(AQ$39&gt;0," · LJ "&amp;(INT((AQ$39-1)/2)+1),""))</f>
        <v/>
      </c>
      <c r="AR6" s="21">
        <f>IF('Stammdaten'!$B44="","",'Stammdaten'!$C44&amp;IF(AR$39&gt;0," · LJ "&amp;(INT((AR$39-1)/2)+1),""))</f>
        <v/>
      </c>
      <c r="AS6" s="21">
        <f>IF('Stammdaten'!$B45="","",'Stammdaten'!$C45&amp;IF(AS$39&gt;0," · LJ "&amp;(INT((AS$39-1)/2)+1),""))</f>
        <v/>
      </c>
      <c r="AT6" s="21">
        <f>IF('Stammdaten'!$B46="","",'Stammdaten'!$C46&amp;IF(AT$39&gt;0," · LJ "&amp;(INT((AT$39-1)/2)+1),""))</f>
        <v/>
      </c>
      <c r="AU6" s="21">
        <f>IF('Stammdaten'!$B47="","",'Stammdaten'!$C47&amp;IF(AU$39&gt;0," · LJ "&amp;(INT((AU$39-1)/2)+1),""))</f>
        <v/>
      </c>
      <c r="AV6" s="21">
        <f>IF('Stammdaten'!$B48="","",'Stammdaten'!$C48&amp;IF(AV$39&gt;0," · LJ "&amp;(INT((AV$39-1)/2)+1),""))</f>
        <v/>
      </c>
      <c r="AW6" s="21">
        <f>IF('Stammdaten'!$B49="","",'Stammdaten'!$C49&amp;IF(AW$39&gt;0," · LJ "&amp;(INT((AW$39-1)/2)+1),""))</f>
        <v/>
      </c>
      <c r="AX6" s="21">
        <f>IF('Stammdaten'!$B50="","",'Stammdaten'!$C50&amp;IF(AX$39&gt;0," · LJ "&amp;(INT((AX$39-1)/2)+1),""))</f>
        <v/>
      </c>
      <c r="AY6" s="21">
        <f>IF('Stammdaten'!$B51="","",'Stammdaten'!$C51&amp;IF(AY$39&gt;0," · LJ "&amp;(INT((AY$39-1)/2)+1),""))</f>
        <v/>
      </c>
      <c r="AZ6" s="21">
        <f>IF('Stammdaten'!$B52="","",'Stammdaten'!$C52&amp;IF(AZ$39&gt;0," · LJ "&amp;(INT((AZ$39-1)/2)+1),""))</f>
        <v/>
      </c>
      <c r="BA6" s="21">
        <f>IF('Stammdaten'!$B53="","",'Stammdaten'!$C53&amp;IF(BA$39&gt;0," · LJ "&amp;(INT((BA$39-1)/2)+1),""))</f>
        <v/>
      </c>
      <c r="BB6" s="21">
        <f>IF('Stammdaten'!$B54="","",'Stammdaten'!$C54&amp;IF(BB$39&gt;0," · LJ "&amp;(INT((BB$39-1)/2)+1),""))</f>
        <v/>
      </c>
      <c r="BC6" s="21">
        <f>IF('Stammdaten'!$B55="","",'Stammdaten'!$C55&amp;IF(BC$39&gt;0," · LJ "&amp;(INT((BC$39-1)/2)+1),""))</f>
        <v/>
      </c>
      <c r="BE6" s="21">
        <f>IF('Stammdaten'!$B56="","",'Stammdaten'!$C56&amp;IF(BE$39&gt;0," · LJ "&amp;(INT((BE$39-1)/2)+1),""))</f>
        <v/>
      </c>
      <c r="BF6" s="21">
        <f>IF('Stammdaten'!$B57="","",'Stammdaten'!$C57&amp;IF(BF$39&gt;0," · LJ "&amp;(INT((BF$39-1)/2)+1),""))</f>
        <v/>
      </c>
      <c r="BG6" s="21">
        <f>IF('Stammdaten'!$B58="","",'Stammdaten'!$C58&amp;IF(BG$39&gt;0," · LJ "&amp;(INT((BG$39-1)/2)+1),""))</f>
        <v/>
      </c>
      <c r="BH6" s="21">
        <f>IF('Stammdaten'!$B59="","",'Stammdaten'!$C59&amp;IF(BH$39&gt;0," · LJ "&amp;(INT((BH$39-1)/2)+1),""))</f>
        <v/>
      </c>
      <c r="BI6" s="21">
        <f>IF('Stammdaten'!$B60="","",'Stammdaten'!$C60&amp;IF(BI$39&gt;0," · LJ "&amp;(INT((BI$39-1)/2)+1),""))</f>
        <v/>
      </c>
      <c r="BJ6" s="21">
        <f>IF('Stammdaten'!$B61="","",'Stammdaten'!$C61&amp;IF(BJ$39&gt;0," · LJ "&amp;(INT((BJ$39-1)/2)+1),""))</f>
        <v/>
      </c>
      <c r="BK6" s="21">
        <f>IF('Stammdaten'!$B62="","",'Stammdaten'!$C62&amp;IF(BK$39&gt;0," · LJ "&amp;(INT((BK$39-1)/2)+1),""))</f>
        <v/>
      </c>
      <c r="BL6" s="21">
        <f>IF('Stammdaten'!$B63="","",'Stammdaten'!$C63&amp;IF(BL$39&gt;0," · LJ "&amp;(INT((BL$39-1)/2)+1),""))</f>
        <v/>
      </c>
      <c r="BM6" s="21">
        <f>IF('Stammdaten'!$B64="","",'Stammdaten'!$C64&amp;IF(BM$39&gt;0," · LJ "&amp;(INT((BM$39-1)/2)+1),""))</f>
        <v/>
      </c>
      <c r="BN6" s="21">
        <f>IF('Stammdaten'!$B65="","",'Stammdaten'!$C65&amp;IF(BN$39&gt;0," · LJ "&amp;(INT((BN$39-1)/2)+1),""))</f>
        <v/>
      </c>
      <c r="BO6" s="21">
        <f>IF('Stammdaten'!$B66="","",'Stammdaten'!$C66&amp;IF(BO$39&gt;0," · LJ "&amp;(INT((BO$39-1)/2)+1),""))</f>
        <v/>
      </c>
      <c r="BP6" s="21">
        <f>IF('Stammdaten'!$B67="","",'Stammdaten'!$C67&amp;IF(BP$39&gt;0," · LJ "&amp;(INT((BP$39-1)/2)+1),""))</f>
        <v/>
      </c>
      <c r="BQ6" s="21">
        <f>IF('Stammdaten'!$B68="","",'Stammdaten'!$C68&amp;IF(BQ$39&gt;0," · LJ "&amp;(INT((BQ$39-1)/2)+1),""))</f>
        <v/>
      </c>
      <c r="BR6" s="21">
        <f>IF('Stammdaten'!$B69="","",'Stammdaten'!$C69&amp;IF(BR$39&gt;0," · LJ "&amp;(INT((BR$39-1)/2)+1),""))</f>
        <v/>
      </c>
      <c r="BS6" s="21">
        <f>IF('Stammdaten'!$B70="","",'Stammdaten'!$C70&amp;IF(BS$39&gt;0," · LJ "&amp;(INT((BS$39-1)/2)+1),""))</f>
        <v/>
      </c>
      <c r="BT6" s="21">
        <f>IF('Stammdaten'!$B71="","",'Stammdaten'!$C71&amp;IF(BT$39&gt;0," · LJ "&amp;(INT((BT$39-1)/2)+1),""))</f>
        <v/>
      </c>
      <c r="BU6" s="21">
        <f>IF('Stammdaten'!$B72="","",'Stammdaten'!$C72&amp;IF(BU$39&gt;0," · LJ "&amp;(INT((BU$39-1)/2)+1),""))</f>
        <v/>
      </c>
      <c r="BV6" s="21">
        <f>IF('Stammdaten'!$B73="","",'Stammdaten'!$C73&amp;IF(BV$39&gt;0," · LJ "&amp;(INT((BV$39-1)/2)+1),""))</f>
        <v/>
      </c>
      <c r="BW6" s="21">
        <f>IF('Stammdaten'!$B74="","",'Stammdaten'!$C74&amp;IF(BW$39&gt;0," · LJ "&amp;(INT((BW$39-1)/2)+1),""))</f>
        <v/>
      </c>
      <c r="BX6" s="21">
        <f>IF('Stammdaten'!$B75="","",'Stammdaten'!$C75&amp;IF(BX$39&gt;0," · LJ "&amp;(INT((BX$39-1)/2)+1),""))</f>
        <v/>
      </c>
      <c r="BY6" s="21">
        <f>IF('Stammdaten'!$B76="","",'Stammdaten'!$C76&amp;IF(BY$39&gt;0," · LJ "&amp;(INT((BY$39-1)/2)+1),""))</f>
        <v/>
      </c>
      <c r="BZ6" s="21">
        <f>IF('Stammdaten'!$B77="","",'Stammdaten'!$C77&amp;IF(BZ$39&gt;0," · LJ "&amp;(INT((BZ$39-1)/2)+1),""))</f>
        <v/>
      </c>
      <c r="CA6" s="21">
        <f>IF('Stammdaten'!$B78="","",'Stammdaten'!$C78&amp;IF(CA$39&gt;0," · LJ "&amp;(INT((CA$39-1)/2)+1),""))</f>
        <v/>
      </c>
      <c r="CB6" s="21">
        <f>IF('Stammdaten'!$B79="","",'Stammdaten'!$C79&amp;IF(CB$39&gt;0," · LJ "&amp;(INT((CB$39-1)/2)+1),""))</f>
        <v/>
      </c>
      <c r="CC6" s="21">
        <f>IF('Stammdaten'!$B80="","",'Stammdaten'!$C80&amp;IF(CC$39&gt;0," · LJ "&amp;(INT((CC$39-1)/2)+1),""))</f>
        <v/>
      </c>
      <c r="CE6" s="21">
        <f>IF('Stammdaten'!$B81="","",'Stammdaten'!$C81&amp;IF(CE$39&gt;0," · LJ "&amp;(INT((CE$39-1)/2)+1),""))</f>
        <v/>
      </c>
      <c r="CF6" s="21">
        <f>IF('Stammdaten'!$B82="","",'Stammdaten'!$C82&amp;IF(CF$39&gt;0," · LJ "&amp;(INT((CF$39-1)/2)+1),""))</f>
        <v/>
      </c>
      <c r="CG6" s="21">
        <f>IF('Stammdaten'!$B83="","",'Stammdaten'!$C83&amp;IF(CG$39&gt;0," · LJ "&amp;(INT((CG$39-1)/2)+1),""))</f>
        <v/>
      </c>
      <c r="CH6" s="21">
        <f>IF('Stammdaten'!$B84="","",'Stammdaten'!$C84&amp;IF(CH$39&gt;0," · LJ "&amp;(INT((CH$39-1)/2)+1),""))</f>
        <v/>
      </c>
      <c r="CI6" s="21">
        <f>IF('Stammdaten'!$B85="","",'Stammdaten'!$C85&amp;IF(CI$39&gt;0," · LJ "&amp;(INT((CI$39-1)/2)+1),""))</f>
        <v/>
      </c>
      <c r="CJ6" s="21">
        <f>IF('Stammdaten'!$B86="","",'Stammdaten'!$C86&amp;IF(CJ$39&gt;0," · LJ "&amp;(INT((CJ$39-1)/2)+1),""))</f>
        <v/>
      </c>
      <c r="CK6" s="21">
        <f>IF('Stammdaten'!$B87="","",'Stammdaten'!$C87&amp;IF(CK$39&gt;0," · LJ "&amp;(INT((CK$39-1)/2)+1),""))</f>
        <v/>
      </c>
      <c r="CL6" s="21">
        <f>IF('Stammdaten'!$B88="","",'Stammdaten'!$C88&amp;IF(CL$39&gt;0," · LJ "&amp;(INT((CL$39-1)/2)+1),""))</f>
        <v/>
      </c>
      <c r="CM6" s="21">
        <f>IF('Stammdaten'!$B89="","",'Stammdaten'!$C89&amp;IF(CM$39&gt;0," · LJ "&amp;(INT((CM$39-1)/2)+1),""))</f>
        <v/>
      </c>
      <c r="CN6" s="21">
        <f>IF('Stammdaten'!$B90="","",'Stammdaten'!$C90&amp;IF(CN$39&gt;0," · LJ "&amp;(INT((CN$39-1)/2)+1),""))</f>
        <v/>
      </c>
      <c r="CO6" s="21">
        <f>IF('Stammdaten'!$B91="","",'Stammdaten'!$C91&amp;IF(CO$39&gt;0," · LJ "&amp;(INT((CO$39-1)/2)+1),""))</f>
        <v/>
      </c>
      <c r="CP6" s="21">
        <f>IF('Stammdaten'!$B92="","",'Stammdaten'!$C92&amp;IF(CP$39&gt;0," · LJ "&amp;(INT((CP$39-1)/2)+1),""))</f>
        <v/>
      </c>
      <c r="CQ6" s="21">
        <f>IF('Stammdaten'!$B93="","",'Stammdaten'!$C93&amp;IF(CQ$39&gt;0," · LJ "&amp;(INT((CQ$39-1)/2)+1),""))</f>
        <v/>
      </c>
      <c r="CR6" s="21">
        <f>IF('Stammdaten'!$B94="","",'Stammdaten'!$C94&amp;IF(CR$39&gt;0," · LJ "&amp;(INT((CR$39-1)/2)+1),""))</f>
        <v/>
      </c>
      <c r="CS6" s="21">
        <f>IF('Stammdaten'!$B95="","",'Stammdaten'!$C95&amp;IF(CS$39&gt;0," · LJ "&amp;(INT((CS$39-1)/2)+1),""))</f>
        <v/>
      </c>
      <c r="CT6" s="21">
        <f>IF('Stammdaten'!$B96="","",'Stammdaten'!$C96&amp;IF(CT$39&gt;0," · LJ "&amp;(INT((CT$39-1)/2)+1),""))</f>
        <v/>
      </c>
      <c r="CU6" s="21">
        <f>IF('Stammdaten'!$B97="","",'Stammdaten'!$C97&amp;IF(CU$39&gt;0," · LJ "&amp;(INT((CU$39-1)/2)+1),""))</f>
        <v/>
      </c>
      <c r="CV6" s="21">
        <f>IF('Stammdaten'!$B98="","",'Stammdaten'!$C98&amp;IF(CV$39&gt;0," · LJ "&amp;(INT((CV$39-1)/2)+1),""))</f>
        <v/>
      </c>
      <c r="CW6" s="21">
        <f>IF('Stammdaten'!$B99="","",'Stammdaten'!$C99&amp;IF(CW$39&gt;0," · LJ "&amp;(INT((CW$39-1)/2)+1),""))</f>
        <v/>
      </c>
      <c r="CX6" s="21">
        <f>IF('Stammdaten'!$B100="","",'Stammdaten'!$C100&amp;IF(CX$39&gt;0," · LJ "&amp;(INT((CX$39-1)/2)+1),""))</f>
        <v/>
      </c>
      <c r="CY6" s="21">
        <f>IF('Stammdaten'!$B101="","",'Stammdaten'!$C101&amp;IF(CY$39&gt;0," · LJ "&amp;(INT((CY$39-1)/2)+1),""))</f>
        <v/>
      </c>
      <c r="CZ6" s="21">
        <f>IF('Stammdaten'!$B102="","",'Stammdaten'!$C102&amp;IF(CZ$39&gt;0," · LJ "&amp;(INT((CZ$39-1)/2)+1),""))</f>
        <v/>
      </c>
      <c r="DA6" s="21">
        <f>IF('Stammdaten'!$B103="","",'Stammdaten'!$C103&amp;IF(DA$39&gt;0," · LJ "&amp;(INT((DA$39-1)/2)+1),""))</f>
        <v/>
      </c>
      <c r="DB6" s="21">
        <f>IF('Stammdaten'!$B104="","",'Stammdaten'!$C104&amp;IF(DB$39&gt;0," · LJ "&amp;(INT((DB$39-1)/2)+1),""))</f>
        <v/>
      </c>
      <c r="DC6" s="21">
        <f>IF('Stammdaten'!$B105="","",'Stammdaten'!$C105&amp;IF(DC$39&gt;0," · LJ "&amp;(INT((DC$39-1)/2)+1),""))</f>
        <v/>
      </c>
    </row>
    <row r="7" ht="15" customHeight="1">
      <c r="A7" s="152" t="inlineStr">
        <is>
          <t xml:space="preserve"> Punkte</t>
        </is>
      </c>
      <c r="E7" s="21">
        <f>IF(E$37="","",E$37&amp;" / "&amp;E$38)</f>
        <v/>
      </c>
      <c r="F7" s="21">
        <f>IF(F$37="","",F$37&amp;" / "&amp;F$38)</f>
        <v/>
      </c>
      <c r="G7" s="21">
        <f>IF(G$37="","",G$37&amp;" / "&amp;G$38)</f>
        <v/>
      </c>
      <c r="H7" s="21">
        <f>IF(H$37="","",H$37&amp;" / "&amp;H$38)</f>
        <v/>
      </c>
      <c r="I7" s="21">
        <f>IF(I$37="","",I$37&amp;" / "&amp;I$38)</f>
        <v/>
      </c>
      <c r="J7" s="21">
        <f>IF(J$37="","",J$37&amp;" / "&amp;J$38)</f>
        <v/>
      </c>
      <c r="K7" s="21">
        <f>IF(K$37="","",K$37&amp;" / "&amp;K$38)</f>
        <v/>
      </c>
      <c r="L7" s="21">
        <f>IF(L$37="","",L$37&amp;" / "&amp;L$38)</f>
        <v/>
      </c>
      <c r="M7" s="21">
        <f>IF(M$37="","",M$37&amp;" / "&amp;M$38)</f>
        <v/>
      </c>
      <c r="N7" s="21">
        <f>IF(N$37="","",N$37&amp;" / "&amp;N$38)</f>
        <v/>
      </c>
      <c r="O7" s="21">
        <f>IF(O$37="","",O$37&amp;" / "&amp;O$38)</f>
        <v/>
      </c>
      <c r="P7" s="21">
        <f>IF(P$37="","",P$37&amp;" / "&amp;P$38)</f>
        <v/>
      </c>
      <c r="Q7" s="21">
        <f>IF(Q$37="","",Q$37&amp;" / "&amp;Q$38)</f>
        <v/>
      </c>
      <c r="R7" s="21">
        <f>IF(R$37="","",R$37&amp;" / "&amp;R$38)</f>
        <v/>
      </c>
      <c r="S7" s="21">
        <f>IF(S$37="","",S$37&amp;" / "&amp;S$38)</f>
        <v/>
      </c>
      <c r="T7" s="21">
        <f>IF(T$37="","",T$37&amp;" / "&amp;T$38)</f>
        <v/>
      </c>
      <c r="U7" s="21">
        <f>IF(U$37="","",U$37&amp;" / "&amp;U$38)</f>
        <v/>
      </c>
      <c r="V7" s="21">
        <f>IF(V$37="","",V$37&amp;" / "&amp;V$38)</f>
        <v/>
      </c>
      <c r="W7" s="21">
        <f>IF(W$37="","",W$37&amp;" / "&amp;W$38)</f>
        <v/>
      </c>
      <c r="X7" s="21">
        <f>IF(X$37="","",X$37&amp;" / "&amp;X$38)</f>
        <v/>
      </c>
      <c r="Y7" s="21">
        <f>IF(Y$37="","",Y$37&amp;" / "&amp;Y$38)</f>
        <v/>
      </c>
      <c r="Z7" s="21">
        <f>IF(Z$37="","",Z$37&amp;" / "&amp;Z$38)</f>
        <v/>
      </c>
      <c r="AA7" s="21">
        <f>IF(AA$37="","",AA$37&amp;" / "&amp;AA$38)</f>
        <v/>
      </c>
      <c r="AB7" s="21">
        <f>IF(AB$37="","",AB$37&amp;" / "&amp;AB$38)</f>
        <v/>
      </c>
      <c r="AC7" s="21">
        <f>IF(AC$37="","",AC$37&amp;" / "&amp;AC$38)</f>
        <v/>
      </c>
      <c r="AE7" s="21">
        <f>IF(AE$37="","",AE$37&amp;" / "&amp;AE$38)</f>
        <v/>
      </c>
      <c r="AF7" s="21">
        <f>IF(AF$37="","",AF$37&amp;" / "&amp;AF$38)</f>
        <v/>
      </c>
      <c r="AG7" s="21">
        <f>IF(AG$37="","",AG$37&amp;" / "&amp;AG$38)</f>
        <v/>
      </c>
      <c r="AH7" s="21">
        <f>IF(AH$37="","",AH$37&amp;" / "&amp;AH$38)</f>
        <v/>
      </c>
      <c r="AI7" s="21">
        <f>IF(AI$37="","",AI$37&amp;" / "&amp;AI$38)</f>
        <v/>
      </c>
      <c r="AJ7" s="21">
        <f>IF(AJ$37="","",AJ$37&amp;" / "&amp;AJ$38)</f>
        <v/>
      </c>
      <c r="AK7" s="21">
        <f>IF(AK$37="","",AK$37&amp;" / "&amp;AK$38)</f>
        <v/>
      </c>
      <c r="AL7" s="21">
        <f>IF(AL$37="","",AL$37&amp;" / "&amp;AL$38)</f>
        <v/>
      </c>
      <c r="AM7" s="21">
        <f>IF(AM$37="","",AM$37&amp;" / "&amp;AM$38)</f>
        <v/>
      </c>
      <c r="AN7" s="21">
        <f>IF(AN$37="","",AN$37&amp;" / "&amp;AN$38)</f>
        <v/>
      </c>
      <c r="AO7" s="21">
        <f>IF(AO$37="","",AO$37&amp;" / "&amp;AO$38)</f>
        <v/>
      </c>
      <c r="AP7" s="21">
        <f>IF(AP$37="","",AP$37&amp;" / "&amp;AP$38)</f>
        <v/>
      </c>
      <c r="AQ7" s="21">
        <f>IF(AQ$37="","",AQ$37&amp;" / "&amp;AQ$38)</f>
        <v/>
      </c>
      <c r="AR7" s="21">
        <f>IF(AR$37="","",AR$37&amp;" / "&amp;AR$38)</f>
        <v/>
      </c>
      <c r="AS7" s="21">
        <f>IF(AS$37="","",AS$37&amp;" / "&amp;AS$38)</f>
        <v/>
      </c>
      <c r="AT7" s="21">
        <f>IF(AT$37="","",AT$37&amp;" / "&amp;AT$38)</f>
        <v/>
      </c>
      <c r="AU7" s="21">
        <f>IF(AU$37="","",AU$37&amp;" / "&amp;AU$38)</f>
        <v/>
      </c>
      <c r="AV7" s="21">
        <f>IF(AV$37="","",AV$37&amp;" / "&amp;AV$38)</f>
        <v/>
      </c>
      <c r="AW7" s="21">
        <f>IF(AW$37="","",AW$37&amp;" / "&amp;AW$38)</f>
        <v/>
      </c>
      <c r="AX7" s="21">
        <f>IF(AX$37="","",AX$37&amp;" / "&amp;AX$38)</f>
        <v/>
      </c>
      <c r="AY7" s="21">
        <f>IF(AY$37="","",AY$37&amp;" / "&amp;AY$38)</f>
        <v/>
      </c>
      <c r="AZ7" s="21">
        <f>IF(AZ$37="","",AZ$37&amp;" / "&amp;AZ$38)</f>
        <v/>
      </c>
      <c r="BA7" s="21">
        <f>IF(BA$37="","",BA$37&amp;" / "&amp;BA$38)</f>
        <v/>
      </c>
      <c r="BB7" s="21">
        <f>IF(BB$37="","",BB$37&amp;" / "&amp;BB$38)</f>
        <v/>
      </c>
      <c r="BC7" s="21">
        <f>IF(BC$37="","",BC$37&amp;" / "&amp;BC$38)</f>
        <v/>
      </c>
      <c r="BE7" s="21">
        <f>IF(BE$37="","",BE$37&amp;" / "&amp;BE$38)</f>
        <v/>
      </c>
      <c r="BF7" s="21">
        <f>IF(BF$37="","",BF$37&amp;" / "&amp;BF$38)</f>
        <v/>
      </c>
      <c r="BG7" s="21">
        <f>IF(BG$37="","",BG$37&amp;" / "&amp;BG$38)</f>
        <v/>
      </c>
      <c r="BH7" s="21">
        <f>IF(BH$37="","",BH$37&amp;" / "&amp;BH$38)</f>
        <v/>
      </c>
      <c r="BI7" s="21">
        <f>IF(BI$37="","",BI$37&amp;" / "&amp;BI$38)</f>
        <v/>
      </c>
      <c r="BJ7" s="21">
        <f>IF(BJ$37="","",BJ$37&amp;" / "&amp;BJ$38)</f>
        <v/>
      </c>
      <c r="BK7" s="21">
        <f>IF(BK$37="","",BK$37&amp;" / "&amp;BK$38)</f>
        <v/>
      </c>
      <c r="BL7" s="21">
        <f>IF(BL$37="","",BL$37&amp;" / "&amp;BL$38)</f>
        <v/>
      </c>
      <c r="BM7" s="21">
        <f>IF(BM$37="","",BM$37&amp;" / "&amp;BM$38)</f>
        <v/>
      </c>
      <c r="BN7" s="21">
        <f>IF(BN$37="","",BN$37&amp;" / "&amp;BN$38)</f>
        <v/>
      </c>
      <c r="BO7" s="21">
        <f>IF(BO$37="","",BO$37&amp;" / "&amp;BO$38)</f>
        <v/>
      </c>
      <c r="BP7" s="21">
        <f>IF(BP$37="","",BP$37&amp;" / "&amp;BP$38)</f>
        <v/>
      </c>
      <c r="BQ7" s="21">
        <f>IF(BQ$37="","",BQ$37&amp;" / "&amp;BQ$38)</f>
        <v/>
      </c>
      <c r="BR7" s="21">
        <f>IF(BR$37="","",BR$37&amp;" / "&amp;BR$38)</f>
        <v/>
      </c>
      <c r="BS7" s="21">
        <f>IF(BS$37="","",BS$37&amp;" / "&amp;BS$38)</f>
        <v/>
      </c>
      <c r="BT7" s="21">
        <f>IF(BT$37="","",BT$37&amp;" / "&amp;BT$38)</f>
        <v/>
      </c>
      <c r="BU7" s="21">
        <f>IF(BU$37="","",BU$37&amp;" / "&amp;BU$38)</f>
        <v/>
      </c>
      <c r="BV7" s="21">
        <f>IF(BV$37="","",BV$37&amp;" / "&amp;BV$38)</f>
        <v/>
      </c>
      <c r="BW7" s="21">
        <f>IF(BW$37="","",BW$37&amp;" / "&amp;BW$38)</f>
        <v/>
      </c>
      <c r="BX7" s="21">
        <f>IF(BX$37="","",BX$37&amp;" / "&amp;BX$38)</f>
        <v/>
      </c>
      <c r="BY7" s="21">
        <f>IF(BY$37="","",BY$37&amp;" / "&amp;BY$38)</f>
        <v/>
      </c>
      <c r="BZ7" s="21">
        <f>IF(BZ$37="","",BZ$37&amp;" / "&amp;BZ$38)</f>
        <v/>
      </c>
      <c r="CA7" s="21">
        <f>IF(CA$37="","",CA$37&amp;" / "&amp;CA$38)</f>
        <v/>
      </c>
      <c r="CB7" s="21">
        <f>IF(CB$37="","",CB$37&amp;" / "&amp;CB$38)</f>
        <v/>
      </c>
      <c r="CC7" s="21">
        <f>IF(CC$37="","",CC$37&amp;" / "&amp;CC$38)</f>
        <v/>
      </c>
      <c r="CE7" s="21">
        <f>IF(CE$37="","",CE$37&amp;" / "&amp;CE$38)</f>
        <v/>
      </c>
      <c r="CF7" s="21">
        <f>IF(CF$37="","",CF$37&amp;" / "&amp;CF$38)</f>
        <v/>
      </c>
      <c r="CG7" s="21">
        <f>IF(CG$37="","",CG$37&amp;" / "&amp;CG$38)</f>
        <v/>
      </c>
      <c r="CH7" s="21">
        <f>IF(CH$37="","",CH$37&amp;" / "&amp;CH$38)</f>
        <v/>
      </c>
      <c r="CI7" s="21">
        <f>IF(CI$37="","",CI$37&amp;" / "&amp;CI$38)</f>
        <v/>
      </c>
      <c r="CJ7" s="21">
        <f>IF(CJ$37="","",CJ$37&amp;" / "&amp;CJ$38)</f>
        <v/>
      </c>
      <c r="CK7" s="21">
        <f>IF(CK$37="","",CK$37&amp;" / "&amp;CK$38)</f>
        <v/>
      </c>
      <c r="CL7" s="21">
        <f>IF(CL$37="","",CL$37&amp;" / "&amp;CL$38)</f>
        <v/>
      </c>
      <c r="CM7" s="21">
        <f>IF(CM$37="","",CM$37&amp;" / "&amp;CM$38)</f>
        <v/>
      </c>
      <c r="CN7" s="21">
        <f>IF(CN$37="","",CN$37&amp;" / "&amp;CN$38)</f>
        <v/>
      </c>
      <c r="CO7" s="21">
        <f>IF(CO$37="","",CO$37&amp;" / "&amp;CO$38)</f>
        <v/>
      </c>
      <c r="CP7" s="21">
        <f>IF(CP$37="","",CP$37&amp;" / "&amp;CP$38)</f>
        <v/>
      </c>
      <c r="CQ7" s="21">
        <f>IF(CQ$37="","",CQ$37&amp;" / "&amp;CQ$38)</f>
        <v/>
      </c>
      <c r="CR7" s="21">
        <f>IF(CR$37="","",CR$37&amp;" / "&amp;CR$38)</f>
        <v/>
      </c>
      <c r="CS7" s="21">
        <f>IF(CS$37="","",CS$37&amp;" / "&amp;CS$38)</f>
        <v/>
      </c>
      <c r="CT7" s="21">
        <f>IF(CT$37="","",CT$37&amp;" / "&amp;CT$38)</f>
        <v/>
      </c>
      <c r="CU7" s="21">
        <f>IF(CU$37="","",CU$37&amp;" / "&amp;CU$38)</f>
        <v/>
      </c>
      <c r="CV7" s="21">
        <f>IF(CV$37="","",CV$37&amp;" / "&amp;CV$38)</f>
        <v/>
      </c>
      <c r="CW7" s="21">
        <f>IF(CW$37="","",CW$37&amp;" / "&amp;CW$38)</f>
        <v/>
      </c>
      <c r="CX7" s="21">
        <f>IF(CX$37="","",CX$37&amp;" / "&amp;CX$38)</f>
        <v/>
      </c>
      <c r="CY7" s="21">
        <f>IF(CY$37="","",CY$37&amp;" / "&amp;CY$38)</f>
        <v/>
      </c>
      <c r="CZ7" s="21">
        <f>IF(CZ$37="","",CZ$37&amp;" / "&amp;CZ$38)</f>
        <v/>
      </c>
      <c r="DA7" s="21">
        <f>IF(DA$37="","",DA$37&amp;" / "&amp;DA$38)</f>
        <v/>
      </c>
      <c r="DB7" s="21">
        <f>IF(DB$37="","",DB$37&amp;" / "&amp;DB$38)</f>
        <v/>
      </c>
      <c r="DC7" s="21">
        <f>IF(DC$37="","",DC$37&amp;" / "&amp;DC$38)</f>
        <v/>
      </c>
    </row>
    <row r="8" ht="18" customHeight="1">
      <c r="A8" s="145" t="inlineStr">
        <is>
          <t xml:space="preserve"> Prozent</t>
        </is>
      </c>
      <c r="E8" s="84">
        <f>IF(OR(E$37="",E$38=""),"",IF(E$38=0,"",E$37/E$38))</f>
        <v/>
      </c>
      <c r="F8" s="84">
        <f>IF(OR(F$37="",F$38=""),"",IF(F$38=0,"",F$37/F$38))</f>
        <v/>
      </c>
      <c r="G8" s="84">
        <f>IF(OR(G$37="",G$38=""),"",IF(G$38=0,"",G$37/G$38))</f>
        <v/>
      </c>
      <c r="H8" s="84">
        <f>IF(OR(H$37="",H$38=""),"",IF(H$38=0,"",H$37/H$38))</f>
        <v/>
      </c>
      <c r="I8" s="84">
        <f>IF(OR(I$37="",I$38=""),"",IF(I$38=0,"",I$37/I$38))</f>
        <v/>
      </c>
      <c r="J8" s="84">
        <f>IF(OR(J$37="",J$38=""),"",IF(J$38=0,"",J$37/J$38))</f>
        <v/>
      </c>
      <c r="K8" s="84">
        <f>IF(OR(K$37="",K$38=""),"",IF(K$38=0,"",K$37/K$38))</f>
        <v/>
      </c>
      <c r="L8" s="84">
        <f>IF(OR(L$37="",L$38=""),"",IF(L$38=0,"",L$37/L$38))</f>
        <v/>
      </c>
      <c r="M8" s="84">
        <f>IF(OR(M$37="",M$38=""),"",IF(M$38=0,"",M$37/M$38))</f>
        <v/>
      </c>
      <c r="N8" s="84">
        <f>IF(OR(N$37="",N$38=""),"",IF(N$38=0,"",N$37/N$38))</f>
        <v/>
      </c>
      <c r="O8" s="84">
        <f>IF(OR(O$37="",O$38=""),"",IF(O$38=0,"",O$37/O$38))</f>
        <v/>
      </c>
      <c r="P8" s="84">
        <f>IF(OR(P$37="",P$38=""),"",IF(P$38=0,"",P$37/P$38))</f>
        <v/>
      </c>
      <c r="Q8" s="84">
        <f>IF(OR(Q$37="",Q$38=""),"",IF(Q$38=0,"",Q$37/Q$38))</f>
        <v/>
      </c>
      <c r="R8" s="84">
        <f>IF(OR(R$37="",R$38=""),"",IF(R$38=0,"",R$37/R$38))</f>
        <v/>
      </c>
      <c r="S8" s="84">
        <f>IF(OR(S$37="",S$38=""),"",IF(S$38=0,"",S$37/S$38))</f>
        <v/>
      </c>
      <c r="T8" s="84">
        <f>IF(OR(T$37="",T$38=""),"",IF(T$38=0,"",T$37/T$38))</f>
        <v/>
      </c>
      <c r="U8" s="84">
        <f>IF(OR(U$37="",U$38=""),"",IF(U$38=0,"",U$37/U$38))</f>
        <v/>
      </c>
      <c r="V8" s="84">
        <f>IF(OR(V$37="",V$38=""),"",IF(V$38=0,"",V$37/V$38))</f>
        <v/>
      </c>
      <c r="W8" s="84">
        <f>IF(OR(W$37="",W$38=""),"",IF(W$38=0,"",W$37/W$38))</f>
        <v/>
      </c>
      <c r="X8" s="84">
        <f>IF(OR(X$37="",X$38=""),"",IF(X$38=0,"",X$37/X$38))</f>
        <v/>
      </c>
      <c r="Y8" s="84">
        <f>IF(OR(Y$37="",Y$38=""),"",IF(Y$38=0,"",Y$37/Y$38))</f>
        <v/>
      </c>
      <c r="Z8" s="84">
        <f>IF(OR(Z$37="",Z$38=""),"",IF(Z$38=0,"",Z$37/Z$38))</f>
        <v/>
      </c>
      <c r="AA8" s="84">
        <f>IF(OR(AA$37="",AA$38=""),"",IF(AA$38=0,"",AA$37/AA$38))</f>
        <v/>
      </c>
      <c r="AB8" s="84">
        <f>IF(OR(AB$37="",AB$38=""),"",IF(AB$38=0,"",AB$37/AB$38))</f>
        <v/>
      </c>
      <c r="AC8" s="84">
        <f>IF(OR(AC$37="",AC$38=""),"",IF(AC$38=0,"",AC$37/AC$38))</f>
        <v/>
      </c>
      <c r="AE8" s="84">
        <f>IF(OR(AE$37="",AE$38=""),"",IF(AE$38=0,"",AE$37/AE$38))</f>
        <v/>
      </c>
      <c r="AF8" s="84">
        <f>IF(OR(AF$37="",AF$38=""),"",IF(AF$38=0,"",AF$37/AF$38))</f>
        <v/>
      </c>
      <c r="AG8" s="84">
        <f>IF(OR(AG$37="",AG$38=""),"",IF(AG$38=0,"",AG$37/AG$38))</f>
        <v/>
      </c>
      <c r="AH8" s="84">
        <f>IF(OR(AH$37="",AH$38=""),"",IF(AH$38=0,"",AH$37/AH$38))</f>
        <v/>
      </c>
      <c r="AI8" s="84">
        <f>IF(OR(AI$37="",AI$38=""),"",IF(AI$38=0,"",AI$37/AI$38))</f>
        <v/>
      </c>
      <c r="AJ8" s="84">
        <f>IF(OR(AJ$37="",AJ$38=""),"",IF(AJ$38=0,"",AJ$37/AJ$38))</f>
        <v/>
      </c>
      <c r="AK8" s="84">
        <f>IF(OR(AK$37="",AK$38=""),"",IF(AK$38=0,"",AK$37/AK$38))</f>
        <v/>
      </c>
      <c r="AL8" s="84">
        <f>IF(OR(AL$37="",AL$38=""),"",IF(AL$38=0,"",AL$37/AL$38))</f>
        <v/>
      </c>
      <c r="AM8" s="84">
        <f>IF(OR(AM$37="",AM$38=""),"",IF(AM$38=0,"",AM$37/AM$38))</f>
        <v/>
      </c>
      <c r="AN8" s="84">
        <f>IF(OR(AN$37="",AN$38=""),"",IF(AN$38=0,"",AN$37/AN$38))</f>
        <v/>
      </c>
      <c r="AO8" s="84">
        <f>IF(OR(AO$37="",AO$38=""),"",IF(AO$38=0,"",AO$37/AO$38))</f>
        <v/>
      </c>
      <c r="AP8" s="84">
        <f>IF(OR(AP$37="",AP$38=""),"",IF(AP$38=0,"",AP$37/AP$38))</f>
        <v/>
      </c>
      <c r="AQ8" s="84">
        <f>IF(OR(AQ$37="",AQ$38=""),"",IF(AQ$38=0,"",AQ$37/AQ$38))</f>
        <v/>
      </c>
      <c r="AR8" s="84">
        <f>IF(OR(AR$37="",AR$38=""),"",IF(AR$38=0,"",AR$37/AR$38))</f>
        <v/>
      </c>
      <c r="AS8" s="84">
        <f>IF(OR(AS$37="",AS$38=""),"",IF(AS$38=0,"",AS$37/AS$38))</f>
        <v/>
      </c>
      <c r="AT8" s="84">
        <f>IF(OR(AT$37="",AT$38=""),"",IF(AT$38=0,"",AT$37/AT$38))</f>
        <v/>
      </c>
      <c r="AU8" s="84">
        <f>IF(OR(AU$37="",AU$38=""),"",IF(AU$38=0,"",AU$37/AU$38))</f>
        <v/>
      </c>
      <c r="AV8" s="84">
        <f>IF(OR(AV$37="",AV$38=""),"",IF(AV$38=0,"",AV$37/AV$38))</f>
        <v/>
      </c>
      <c r="AW8" s="84">
        <f>IF(OR(AW$37="",AW$38=""),"",IF(AW$38=0,"",AW$37/AW$38))</f>
        <v/>
      </c>
      <c r="AX8" s="84">
        <f>IF(OR(AX$37="",AX$38=""),"",IF(AX$38=0,"",AX$37/AX$38))</f>
        <v/>
      </c>
      <c r="AY8" s="84">
        <f>IF(OR(AY$37="",AY$38=""),"",IF(AY$38=0,"",AY$37/AY$38))</f>
        <v/>
      </c>
      <c r="AZ8" s="84">
        <f>IF(OR(AZ$37="",AZ$38=""),"",IF(AZ$38=0,"",AZ$37/AZ$38))</f>
        <v/>
      </c>
      <c r="BA8" s="84">
        <f>IF(OR(BA$37="",BA$38=""),"",IF(BA$38=0,"",BA$37/BA$38))</f>
        <v/>
      </c>
      <c r="BB8" s="84">
        <f>IF(OR(BB$37="",BB$38=""),"",IF(BB$38=0,"",BB$37/BB$38))</f>
        <v/>
      </c>
      <c r="BC8" s="84">
        <f>IF(OR(BC$37="",BC$38=""),"",IF(BC$38=0,"",BC$37/BC$38))</f>
        <v/>
      </c>
      <c r="BE8" s="84">
        <f>IF(OR(BE$37="",BE$38=""),"",IF(BE$38=0,"",BE$37/BE$38))</f>
        <v/>
      </c>
      <c r="BF8" s="84">
        <f>IF(OR(BF$37="",BF$38=""),"",IF(BF$38=0,"",BF$37/BF$38))</f>
        <v/>
      </c>
      <c r="BG8" s="84">
        <f>IF(OR(BG$37="",BG$38=""),"",IF(BG$38=0,"",BG$37/BG$38))</f>
        <v/>
      </c>
      <c r="BH8" s="84">
        <f>IF(OR(BH$37="",BH$38=""),"",IF(BH$38=0,"",BH$37/BH$38))</f>
        <v/>
      </c>
      <c r="BI8" s="84">
        <f>IF(OR(BI$37="",BI$38=""),"",IF(BI$38=0,"",BI$37/BI$38))</f>
        <v/>
      </c>
      <c r="BJ8" s="84">
        <f>IF(OR(BJ$37="",BJ$38=""),"",IF(BJ$38=0,"",BJ$37/BJ$38))</f>
        <v/>
      </c>
      <c r="BK8" s="84">
        <f>IF(OR(BK$37="",BK$38=""),"",IF(BK$38=0,"",BK$37/BK$38))</f>
        <v/>
      </c>
      <c r="BL8" s="84">
        <f>IF(OR(BL$37="",BL$38=""),"",IF(BL$38=0,"",BL$37/BL$38))</f>
        <v/>
      </c>
      <c r="BM8" s="84">
        <f>IF(OR(BM$37="",BM$38=""),"",IF(BM$38=0,"",BM$37/BM$38))</f>
        <v/>
      </c>
      <c r="BN8" s="84">
        <f>IF(OR(BN$37="",BN$38=""),"",IF(BN$38=0,"",BN$37/BN$38))</f>
        <v/>
      </c>
      <c r="BO8" s="84">
        <f>IF(OR(BO$37="",BO$38=""),"",IF(BO$38=0,"",BO$37/BO$38))</f>
        <v/>
      </c>
      <c r="BP8" s="84">
        <f>IF(OR(BP$37="",BP$38=""),"",IF(BP$38=0,"",BP$37/BP$38))</f>
        <v/>
      </c>
      <c r="BQ8" s="84">
        <f>IF(OR(BQ$37="",BQ$38=""),"",IF(BQ$38=0,"",BQ$37/BQ$38))</f>
        <v/>
      </c>
      <c r="BR8" s="84">
        <f>IF(OR(BR$37="",BR$38=""),"",IF(BR$38=0,"",BR$37/BR$38))</f>
        <v/>
      </c>
      <c r="BS8" s="84">
        <f>IF(OR(BS$37="",BS$38=""),"",IF(BS$38=0,"",BS$37/BS$38))</f>
        <v/>
      </c>
      <c r="BT8" s="84">
        <f>IF(OR(BT$37="",BT$38=""),"",IF(BT$38=0,"",BT$37/BT$38))</f>
        <v/>
      </c>
      <c r="BU8" s="84">
        <f>IF(OR(BU$37="",BU$38=""),"",IF(BU$38=0,"",BU$37/BU$38))</f>
        <v/>
      </c>
      <c r="BV8" s="84">
        <f>IF(OR(BV$37="",BV$38=""),"",IF(BV$38=0,"",BV$37/BV$38))</f>
        <v/>
      </c>
      <c r="BW8" s="84">
        <f>IF(OR(BW$37="",BW$38=""),"",IF(BW$38=0,"",BW$37/BW$38))</f>
        <v/>
      </c>
      <c r="BX8" s="84">
        <f>IF(OR(BX$37="",BX$38=""),"",IF(BX$38=0,"",BX$37/BX$38))</f>
        <v/>
      </c>
      <c r="BY8" s="84">
        <f>IF(OR(BY$37="",BY$38=""),"",IF(BY$38=0,"",BY$37/BY$38))</f>
        <v/>
      </c>
      <c r="BZ8" s="84">
        <f>IF(OR(BZ$37="",BZ$38=""),"",IF(BZ$38=0,"",BZ$37/BZ$38))</f>
        <v/>
      </c>
      <c r="CA8" s="84">
        <f>IF(OR(CA$37="",CA$38=""),"",IF(CA$38=0,"",CA$37/CA$38))</f>
        <v/>
      </c>
      <c r="CB8" s="84">
        <f>IF(OR(CB$37="",CB$38=""),"",IF(CB$38=0,"",CB$37/CB$38))</f>
        <v/>
      </c>
      <c r="CC8" s="84">
        <f>IF(OR(CC$37="",CC$38=""),"",IF(CC$38=0,"",CC$37/CC$38))</f>
        <v/>
      </c>
      <c r="CE8" s="84">
        <f>IF(OR(CE$37="",CE$38=""),"",IF(CE$38=0,"",CE$37/CE$38))</f>
        <v/>
      </c>
      <c r="CF8" s="84">
        <f>IF(OR(CF$37="",CF$38=""),"",IF(CF$38=0,"",CF$37/CF$38))</f>
        <v/>
      </c>
      <c r="CG8" s="84">
        <f>IF(OR(CG$37="",CG$38=""),"",IF(CG$38=0,"",CG$37/CG$38))</f>
        <v/>
      </c>
      <c r="CH8" s="84">
        <f>IF(OR(CH$37="",CH$38=""),"",IF(CH$38=0,"",CH$37/CH$38))</f>
        <v/>
      </c>
      <c r="CI8" s="84">
        <f>IF(OR(CI$37="",CI$38=""),"",IF(CI$38=0,"",CI$37/CI$38))</f>
        <v/>
      </c>
      <c r="CJ8" s="84">
        <f>IF(OR(CJ$37="",CJ$38=""),"",IF(CJ$38=0,"",CJ$37/CJ$38))</f>
        <v/>
      </c>
      <c r="CK8" s="84">
        <f>IF(OR(CK$37="",CK$38=""),"",IF(CK$38=0,"",CK$37/CK$38))</f>
        <v/>
      </c>
      <c r="CL8" s="84">
        <f>IF(OR(CL$37="",CL$38=""),"",IF(CL$38=0,"",CL$37/CL$38))</f>
        <v/>
      </c>
      <c r="CM8" s="84">
        <f>IF(OR(CM$37="",CM$38=""),"",IF(CM$38=0,"",CM$37/CM$38))</f>
        <v/>
      </c>
      <c r="CN8" s="84">
        <f>IF(OR(CN$37="",CN$38=""),"",IF(CN$38=0,"",CN$37/CN$38))</f>
        <v/>
      </c>
      <c r="CO8" s="84">
        <f>IF(OR(CO$37="",CO$38=""),"",IF(CO$38=0,"",CO$37/CO$38))</f>
        <v/>
      </c>
      <c r="CP8" s="84">
        <f>IF(OR(CP$37="",CP$38=""),"",IF(CP$38=0,"",CP$37/CP$38))</f>
        <v/>
      </c>
      <c r="CQ8" s="84">
        <f>IF(OR(CQ$37="",CQ$38=""),"",IF(CQ$38=0,"",CQ$37/CQ$38))</f>
        <v/>
      </c>
      <c r="CR8" s="84">
        <f>IF(OR(CR$37="",CR$38=""),"",IF(CR$38=0,"",CR$37/CR$38))</f>
        <v/>
      </c>
      <c r="CS8" s="84">
        <f>IF(OR(CS$37="",CS$38=""),"",IF(CS$38=0,"",CS$37/CS$38))</f>
        <v/>
      </c>
      <c r="CT8" s="84">
        <f>IF(OR(CT$37="",CT$38=""),"",IF(CT$38=0,"",CT$37/CT$38))</f>
        <v/>
      </c>
      <c r="CU8" s="84">
        <f>IF(OR(CU$37="",CU$38=""),"",IF(CU$38=0,"",CU$37/CU$38))</f>
        <v/>
      </c>
      <c r="CV8" s="84">
        <f>IF(OR(CV$37="",CV$38=""),"",IF(CV$38=0,"",CV$37/CV$38))</f>
        <v/>
      </c>
      <c r="CW8" s="84">
        <f>IF(OR(CW$37="",CW$38=""),"",IF(CW$38=0,"",CW$37/CW$38))</f>
        <v/>
      </c>
      <c r="CX8" s="84">
        <f>IF(OR(CX$37="",CX$38=""),"",IF(CX$38=0,"",CX$37/CX$38))</f>
        <v/>
      </c>
      <c r="CY8" s="84">
        <f>IF(OR(CY$37="",CY$38=""),"",IF(CY$38=0,"",CY$37/CY$38))</f>
        <v/>
      </c>
      <c r="CZ8" s="84">
        <f>IF(OR(CZ$37="",CZ$38=""),"",IF(CZ$38=0,"",CZ$37/CZ$38))</f>
        <v/>
      </c>
      <c r="DA8" s="84">
        <f>IF(OR(DA$37="",DA$38=""),"",IF(DA$38=0,"",DA$37/DA$38))</f>
        <v/>
      </c>
      <c r="DB8" s="84">
        <f>IF(OR(DB$37="",DB$38=""),"",IF(DB$38=0,"",DB$37/DB$38))</f>
        <v/>
      </c>
      <c r="DC8" s="84">
        <f>IF(OR(DC$37="",DC$38=""),"",IF(DC$38=0,"",DC$37/DC$38))</f>
        <v/>
      </c>
    </row>
    <row r="9" ht="24" customHeight="1">
      <c r="A9" s="145" t="inlineStr">
        <is>
          <t xml:space="preserve"> IHK-Note</t>
        </is>
      </c>
      <c r="E9" s="153">
        <f>IF(E$5="","",IF(COUNT(E$11:E$35)&gt;0,INDEX(Noten,MAX(1,MIN(COUNT(NGrenze),COUNT(NGrenze)+1-COUNTIF(NGrenze,"&lt;="&amp;E$8))))&amp;" – "&amp;INDEX(NText,MAX(1,MIN(COUNT(NGrenze),COUNT(NGrenze)+1-COUNTIF(NGrenze,"&lt;="&amp;E$8)))),IF(COUNTIF(E$11:E$35,"n.b.")&gt;0,"n.b."&amp;IF(E$40=""," (Grund fehlt)"," ("&amp;E$40&amp;")"),"")))</f>
        <v/>
      </c>
      <c r="F9" s="153">
        <f>IF(F$5="","",IF(COUNT(F$11:F$35)&gt;0,INDEX(Noten,MAX(1,MIN(COUNT(NGrenze),COUNT(NGrenze)+1-COUNTIF(NGrenze,"&lt;="&amp;F$8))))&amp;" – "&amp;INDEX(NText,MAX(1,MIN(COUNT(NGrenze),COUNT(NGrenze)+1-COUNTIF(NGrenze,"&lt;="&amp;F$8)))),IF(COUNTIF(F$11:F$35,"n.b.")&gt;0,"n.b."&amp;IF(F$40=""," (Grund fehlt)"," ("&amp;F$40&amp;")"),"")))</f>
        <v/>
      </c>
      <c r="G9" s="153">
        <f>IF(G$5="","",IF(COUNT(G$11:G$35)&gt;0,INDEX(Noten,MAX(1,MIN(COUNT(NGrenze),COUNT(NGrenze)+1-COUNTIF(NGrenze,"&lt;="&amp;G$8))))&amp;" – "&amp;INDEX(NText,MAX(1,MIN(COUNT(NGrenze),COUNT(NGrenze)+1-COUNTIF(NGrenze,"&lt;="&amp;G$8)))),IF(COUNTIF(G$11:G$35,"n.b.")&gt;0,"n.b."&amp;IF(G$40=""," (Grund fehlt)"," ("&amp;G$40&amp;")"),"")))</f>
        <v/>
      </c>
      <c r="H9" s="153">
        <f>IF(H$5="","",IF(COUNT(H$11:H$35)&gt;0,INDEX(Noten,MAX(1,MIN(COUNT(NGrenze),COUNT(NGrenze)+1-COUNTIF(NGrenze,"&lt;="&amp;H$8))))&amp;" – "&amp;INDEX(NText,MAX(1,MIN(COUNT(NGrenze),COUNT(NGrenze)+1-COUNTIF(NGrenze,"&lt;="&amp;H$8)))),IF(COUNTIF(H$11:H$35,"n.b.")&gt;0,"n.b."&amp;IF(H$40=""," (Grund fehlt)"," ("&amp;H$40&amp;")"),"")))</f>
        <v/>
      </c>
      <c r="I9" s="153">
        <f>IF(I$5="","",IF(COUNT(I$11:I$35)&gt;0,INDEX(Noten,MAX(1,MIN(COUNT(NGrenze),COUNT(NGrenze)+1-COUNTIF(NGrenze,"&lt;="&amp;I$8))))&amp;" – "&amp;INDEX(NText,MAX(1,MIN(COUNT(NGrenze),COUNT(NGrenze)+1-COUNTIF(NGrenze,"&lt;="&amp;I$8)))),IF(COUNTIF(I$11:I$35,"n.b.")&gt;0,"n.b."&amp;IF(I$40=""," (Grund fehlt)"," ("&amp;I$40&amp;")"),"")))</f>
        <v/>
      </c>
      <c r="J9" s="153">
        <f>IF(J$5="","",IF(COUNT(J$11:J$35)&gt;0,INDEX(Noten,MAX(1,MIN(COUNT(NGrenze),COUNT(NGrenze)+1-COUNTIF(NGrenze,"&lt;="&amp;J$8))))&amp;" – "&amp;INDEX(NText,MAX(1,MIN(COUNT(NGrenze),COUNT(NGrenze)+1-COUNTIF(NGrenze,"&lt;="&amp;J$8)))),IF(COUNTIF(J$11:J$35,"n.b.")&gt;0,"n.b."&amp;IF(J$40=""," (Grund fehlt)"," ("&amp;J$40&amp;")"),"")))</f>
        <v/>
      </c>
      <c r="K9" s="153">
        <f>IF(K$5="","",IF(COUNT(K$11:K$35)&gt;0,INDEX(Noten,MAX(1,MIN(COUNT(NGrenze),COUNT(NGrenze)+1-COUNTIF(NGrenze,"&lt;="&amp;K$8))))&amp;" – "&amp;INDEX(NText,MAX(1,MIN(COUNT(NGrenze),COUNT(NGrenze)+1-COUNTIF(NGrenze,"&lt;="&amp;K$8)))),IF(COUNTIF(K$11:K$35,"n.b.")&gt;0,"n.b."&amp;IF(K$40=""," (Grund fehlt)"," ("&amp;K$40&amp;")"),"")))</f>
        <v/>
      </c>
      <c r="L9" s="153">
        <f>IF(L$5="","",IF(COUNT(L$11:L$35)&gt;0,INDEX(Noten,MAX(1,MIN(COUNT(NGrenze),COUNT(NGrenze)+1-COUNTIF(NGrenze,"&lt;="&amp;L$8))))&amp;" – "&amp;INDEX(NText,MAX(1,MIN(COUNT(NGrenze),COUNT(NGrenze)+1-COUNTIF(NGrenze,"&lt;="&amp;L$8)))),IF(COUNTIF(L$11:L$35,"n.b.")&gt;0,"n.b."&amp;IF(L$40=""," (Grund fehlt)"," ("&amp;L$40&amp;")"),"")))</f>
        <v/>
      </c>
      <c r="M9" s="153">
        <f>IF(M$5="","",IF(COUNT(M$11:M$35)&gt;0,INDEX(Noten,MAX(1,MIN(COUNT(NGrenze),COUNT(NGrenze)+1-COUNTIF(NGrenze,"&lt;="&amp;M$8))))&amp;" – "&amp;INDEX(NText,MAX(1,MIN(COUNT(NGrenze),COUNT(NGrenze)+1-COUNTIF(NGrenze,"&lt;="&amp;M$8)))),IF(COUNTIF(M$11:M$35,"n.b.")&gt;0,"n.b."&amp;IF(M$40=""," (Grund fehlt)"," ("&amp;M$40&amp;")"),"")))</f>
        <v/>
      </c>
      <c r="N9" s="153">
        <f>IF(N$5="","",IF(COUNT(N$11:N$35)&gt;0,INDEX(Noten,MAX(1,MIN(COUNT(NGrenze),COUNT(NGrenze)+1-COUNTIF(NGrenze,"&lt;="&amp;N$8))))&amp;" – "&amp;INDEX(NText,MAX(1,MIN(COUNT(NGrenze),COUNT(NGrenze)+1-COUNTIF(NGrenze,"&lt;="&amp;N$8)))),IF(COUNTIF(N$11:N$35,"n.b.")&gt;0,"n.b."&amp;IF(N$40=""," (Grund fehlt)"," ("&amp;N$40&amp;")"),"")))</f>
        <v/>
      </c>
      <c r="O9" s="153">
        <f>IF(O$5="","",IF(COUNT(O$11:O$35)&gt;0,INDEX(Noten,MAX(1,MIN(COUNT(NGrenze),COUNT(NGrenze)+1-COUNTIF(NGrenze,"&lt;="&amp;O$8))))&amp;" – "&amp;INDEX(NText,MAX(1,MIN(COUNT(NGrenze),COUNT(NGrenze)+1-COUNTIF(NGrenze,"&lt;="&amp;O$8)))),IF(COUNTIF(O$11:O$35,"n.b.")&gt;0,"n.b."&amp;IF(O$40=""," (Grund fehlt)"," ("&amp;O$40&amp;")"),"")))</f>
        <v/>
      </c>
      <c r="P9" s="153">
        <f>IF(P$5="","",IF(COUNT(P$11:P$35)&gt;0,INDEX(Noten,MAX(1,MIN(COUNT(NGrenze),COUNT(NGrenze)+1-COUNTIF(NGrenze,"&lt;="&amp;P$8))))&amp;" – "&amp;INDEX(NText,MAX(1,MIN(COUNT(NGrenze),COUNT(NGrenze)+1-COUNTIF(NGrenze,"&lt;="&amp;P$8)))),IF(COUNTIF(P$11:P$35,"n.b.")&gt;0,"n.b."&amp;IF(P$40=""," (Grund fehlt)"," ("&amp;P$40&amp;")"),"")))</f>
        <v/>
      </c>
      <c r="Q9" s="153">
        <f>IF(Q$5="","",IF(COUNT(Q$11:Q$35)&gt;0,INDEX(Noten,MAX(1,MIN(COUNT(NGrenze),COUNT(NGrenze)+1-COUNTIF(NGrenze,"&lt;="&amp;Q$8))))&amp;" – "&amp;INDEX(NText,MAX(1,MIN(COUNT(NGrenze),COUNT(NGrenze)+1-COUNTIF(NGrenze,"&lt;="&amp;Q$8)))),IF(COUNTIF(Q$11:Q$35,"n.b.")&gt;0,"n.b."&amp;IF(Q$40=""," (Grund fehlt)"," ("&amp;Q$40&amp;")"),"")))</f>
        <v/>
      </c>
      <c r="R9" s="153">
        <f>IF(R$5="","",IF(COUNT(R$11:R$35)&gt;0,INDEX(Noten,MAX(1,MIN(COUNT(NGrenze),COUNT(NGrenze)+1-COUNTIF(NGrenze,"&lt;="&amp;R$8))))&amp;" – "&amp;INDEX(NText,MAX(1,MIN(COUNT(NGrenze),COUNT(NGrenze)+1-COUNTIF(NGrenze,"&lt;="&amp;R$8)))),IF(COUNTIF(R$11:R$35,"n.b.")&gt;0,"n.b."&amp;IF(R$40=""," (Grund fehlt)"," ("&amp;R$40&amp;")"),"")))</f>
        <v/>
      </c>
      <c r="S9" s="153">
        <f>IF(S$5="","",IF(COUNT(S$11:S$35)&gt;0,INDEX(Noten,MAX(1,MIN(COUNT(NGrenze),COUNT(NGrenze)+1-COUNTIF(NGrenze,"&lt;="&amp;S$8))))&amp;" – "&amp;INDEX(NText,MAX(1,MIN(COUNT(NGrenze),COUNT(NGrenze)+1-COUNTIF(NGrenze,"&lt;="&amp;S$8)))),IF(COUNTIF(S$11:S$35,"n.b.")&gt;0,"n.b."&amp;IF(S$40=""," (Grund fehlt)"," ("&amp;S$40&amp;")"),"")))</f>
        <v/>
      </c>
      <c r="T9" s="153">
        <f>IF(T$5="","",IF(COUNT(T$11:T$35)&gt;0,INDEX(Noten,MAX(1,MIN(COUNT(NGrenze),COUNT(NGrenze)+1-COUNTIF(NGrenze,"&lt;="&amp;T$8))))&amp;" – "&amp;INDEX(NText,MAX(1,MIN(COUNT(NGrenze),COUNT(NGrenze)+1-COUNTIF(NGrenze,"&lt;="&amp;T$8)))),IF(COUNTIF(T$11:T$35,"n.b.")&gt;0,"n.b."&amp;IF(T$40=""," (Grund fehlt)"," ("&amp;T$40&amp;")"),"")))</f>
        <v/>
      </c>
      <c r="U9" s="153">
        <f>IF(U$5="","",IF(COUNT(U$11:U$35)&gt;0,INDEX(Noten,MAX(1,MIN(COUNT(NGrenze),COUNT(NGrenze)+1-COUNTIF(NGrenze,"&lt;="&amp;U$8))))&amp;" – "&amp;INDEX(NText,MAX(1,MIN(COUNT(NGrenze),COUNT(NGrenze)+1-COUNTIF(NGrenze,"&lt;="&amp;U$8)))),IF(COUNTIF(U$11:U$35,"n.b.")&gt;0,"n.b."&amp;IF(U$40=""," (Grund fehlt)"," ("&amp;U$40&amp;")"),"")))</f>
        <v/>
      </c>
      <c r="V9" s="153">
        <f>IF(V$5="","",IF(COUNT(V$11:V$35)&gt;0,INDEX(Noten,MAX(1,MIN(COUNT(NGrenze),COUNT(NGrenze)+1-COUNTIF(NGrenze,"&lt;="&amp;V$8))))&amp;" – "&amp;INDEX(NText,MAX(1,MIN(COUNT(NGrenze),COUNT(NGrenze)+1-COUNTIF(NGrenze,"&lt;="&amp;V$8)))),IF(COUNTIF(V$11:V$35,"n.b.")&gt;0,"n.b."&amp;IF(V$40=""," (Grund fehlt)"," ("&amp;V$40&amp;")"),"")))</f>
        <v/>
      </c>
      <c r="W9" s="153">
        <f>IF(W$5="","",IF(COUNT(W$11:W$35)&gt;0,INDEX(Noten,MAX(1,MIN(COUNT(NGrenze),COUNT(NGrenze)+1-COUNTIF(NGrenze,"&lt;="&amp;W$8))))&amp;" – "&amp;INDEX(NText,MAX(1,MIN(COUNT(NGrenze),COUNT(NGrenze)+1-COUNTIF(NGrenze,"&lt;="&amp;W$8)))),IF(COUNTIF(W$11:W$35,"n.b.")&gt;0,"n.b."&amp;IF(W$40=""," (Grund fehlt)"," ("&amp;W$40&amp;")"),"")))</f>
        <v/>
      </c>
      <c r="X9" s="153">
        <f>IF(X$5="","",IF(COUNT(X$11:X$35)&gt;0,INDEX(Noten,MAX(1,MIN(COUNT(NGrenze),COUNT(NGrenze)+1-COUNTIF(NGrenze,"&lt;="&amp;X$8))))&amp;" – "&amp;INDEX(NText,MAX(1,MIN(COUNT(NGrenze),COUNT(NGrenze)+1-COUNTIF(NGrenze,"&lt;="&amp;X$8)))),IF(COUNTIF(X$11:X$35,"n.b.")&gt;0,"n.b."&amp;IF(X$40=""," (Grund fehlt)"," ("&amp;X$40&amp;")"),"")))</f>
        <v/>
      </c>
      <c r="Y9" s="153">
        <f>IF(Y$5="","",IF(COUNT(Y$11:Y$35)&gt;0,INDEX(Noten,MAX(1,MIN(COUNT(NGrenze),COUNT(NGrenze)+1-COUNTIF(NGrenze,"&lt;="&amp;Y$8))))&amp;" – "&amp;INDEX(NText,MAX(1,MIN(COUNT(NGrenze),COUNT(NGrenze)+1-COUNTIF(NGrenze,"&lt;="&amp;Y$8)))),IF(COUNTIF(Y$11:Y$35,"n.b.")&gt;0,"n.b."&amp;IF(Y$40=""," (Grund fehlt)"," ("&amp;Y$40&amp;")"),"")))</f>
        <v/>
      </c>
      <c r="Z9" s="153">
        <f>IF(Z$5="","",IF(COUNT(Z$11:Z$35)&gt;0,INDEX(Noten,MAX(1,MIN(COUNT(NGrenze),COUNT(NGrenze)+1-COUNTIF(NGrenze,"&lt;="&amp;Z$8))))&amp;" – "&amp;INDEX(NText,MAX(1,MIN(COUNT(NGrenze),COUNT(NGrenze)+1-COUNTIF(NGrenze,"&lt;="&amp;Z$8)))),IF(COUNTIF(Z$11:Z$35,"n.b.")&gt;0,"n.b."&amp;IF(Z$40=""," (Grund fehlt)"," ("&amp;Z$40&amp;")"),"")))</f>
        <v/>
      </c>
      <c r="AA9" s="153">
        <f>IF(AA$5="","",IF(COUNT(AA$11:AA$35)&gt;0,INDEX(Noten,MAX(1,MIN(COUNT(NGrenze),COUNT(NGrenze)+1-COUNTIF(NGrenze,"&lt;="&amp;AA$8))))&amp;" – "&amp;INDEX(NText,MAX(1,MIN(COUNT(NGrenze),COUNT(NGrenze)+1-COUNTIF(NGrenze,"&lt;="&amp;AA$8)))),IF(COUNTIF(AA$11:AA$35,"n.b.")&gt;0,"n.b."&amp;IF(AA$40=""," (Grund fehlt)"," ("&amp;AA$40&amp;")"),"")))</f>
        <v/>
      </c>
      <c r="AB9" s="153">
        <f>IF(AB$5="","",IF(COUNT(AB$11:AB$35)&gt;0,INDEX(Noten,MAX(1,MIN(COUNT(NGrenze),COUNT(NGrenze)+1-COUNTIF(NGrenze,"&lt;="&amp;AB$8))))&amp;" – "&amp;INDEX(NText,MAX(1,MIN(COUNT(NGrenze),COUNT(NGrenze)+1-COUNTIF(NGrenze,"&lt;="&amp;AB$8)))),IF(COUNTIF(AB$11:AB$35,"n.b.")&gt;0,"n.b."&amp;IF(AB$40=""," (Grund fehlt)"," ("&amp;AB$40&amp;")"),"")))</f>
        <v/>
      </c>
      <c r="AC9" s="153">
        <f>IF(AC$5="","",IF(COUNT(AC$11:AC$35)&gt;0,INDEX(Noten,MAX(1,MIN(COUNT(NGrenze),COUNT(NGrenze)+1-COUNTIF(NGrenze,"&lt;="&amp;AC$8))))&amp;" – "&amp;INDEX(NText,MAX(1,MIN(COUNT(NGrenze),COUNT(NGrenze)+1-COUNTIF(NGrenze,"&lt;="&amp;AC$8)))),IF(COUNTIF(AC$11:AC$35,"n.b.")&gt;0,"n.b."&amp;IF(AC$40=""," (Grund fehlt)"," ("&amp;AC$40&amp;")"),"")))</f>
        <v/>
      </c>
      <c r="AE9" s="153">
        <f>IF(AE$5="","",IF(COUNT(AE$11:AE$35)&gt;0,INDEX(Noten,MAX(1,MIN(COUNT(NGrenze),COUNT(NGrenze)+1-COUNTIF(NGrenze,"&lt;="&amp;AE$8))))&amp;" – "&amp;INDEX(NText,MAX(1,MIN(COUNT(NGrenze),COUNT(NGrenze)+1-COUNTIF(NGrenze,"&lt;="&amp;AE$8)))),IF(COUNTIF(AE$11:AE$35,"n.b.")&gt;0,"n.b."&amp;IF(AE$40=""," (Grund fehlt)"," ("&amp;AE$40&amp;")"),"")))</f>
        <v/>
      </c>
      <c r="AF9" s="153">
        <f>IF(AF$5="","",IF(COUNT(AF$11:AF$35)&gt;0,INDEX(Noten,MAX(1,MIN(COUNT(NGrenze),COUNT(NGrenze)+1-COUNTIF(NGrenze,"&lt;="&amp;AF$8))))&amp;" – "&amp;INDEX(NText,MAX(1,MIN(COUNT(NGrenze),COUNT(NGrenze)+1-COUNTIF(NGrenze,"&lt;="&amp;AF$8)))),IF(COUNTIF(AF$11:AF$35,"n.b.")&gt;0,"n.b."&amp;IF(AF$40=""," (Grund fehlt)"," ("&amp;AF$40&amp;")"),"")))</f>
        <v/>
      </c>
      <c r="AG9" s="153">
        <f>IF(AG$5="","",IF(COUNT(AG$11:AG$35)&gt;0,INDEX(Noten,MAX(1,MIN(COUNT(NGrenze),COUNT(NGrenze)+1-COUNTIF(NGrenze,"&lt;="&amp;AG$8))))&amp;" – "&amp;INDEX(NText,MAX(1,MIN(COUNT(NGrenze),COUNT(NGrenze)+1-COUNTIF(NGrenze,"&lt;="&amp;AG$8)))),IF(COUNTIF(AG$11:AG$35,"n.b.")&gt;0,"n.b."&amp;IF(AG$40=""," (Grund fehlt)"," ("&amp;AG$40&amp;")"),"")))</f>
        <v/>
      </c>
      <c r="AH9" s="153">
        <f>IF(AH$5="","",IF(COUNT(AH$11:AH$35)&gt;0,INDEX(Noten,MAX(1,MIN(COUNT(NGrenze),COUNT(NGrenze)+1-COUNTIF(NGrenze,"&lt;="&amp;AH$8))))&amp;" – "&amp;INDEX(NText,MAX(1,MIN(COUNT(NGrenze),COUNT(NGrenze)+1-COUNTIF(NGrenze,"&lt;="&amp;AH$8)))),IF(COUNTIF(AH$11:AH$35,"n.b.")&gt;0,"n.b."&amp;IF(AH$40=""," (Grund fehlt)"," ("&amp;AH$40&amp;")"),"")))</f>
        <v/>
      </c>
      <c r="AI9" s="153">
        <f>IF(AI$5="","",IF(COUNT(AI$11:AI$35)&gt;0,INDEX(Noten,MAX(1,MIN(COUNT(NGrenze),COUNT(NGrenze)+1-COUNTIF(NGrenze,"&lt;="&amp;AI$8))))&amp;" – "&amp;INDEX(NText,MAX(1,MIN(COUNT(NGrenze),COUNT(NGrenze)+1-COUNTIF(NGrenze,"&lt;="&amp;AI$8)))),IF(COUNTIF(AI$11:AI$35,"n.b.")&gt;0,"n.b."&amp;IF(AI$40=""," (Grund fehlt)"," ("&amp;AI$40&amp;")"),"")))</f>
        <v/>
      </c>
      <c r="AJ9" s="153">
        <f>IF(AJ$5="","",IF(COUNT(AJ$11:AJ$35)&gt;0,INDEX(Noten,MAX(1,MIN(COUNT(NGrenze),COUNT(NGrenze)+1-COUNTIF(NGrenze,"&lt;="&amp;AJ$8))))&amp;" – "&amp;INDEX(NText,MAX(1,MIN(COUNT(NGrenze),COUNT(NGrenze)+1-COUNTIF(NGrenze,"&lt;="&amp;AJ$8)))),IF(COUNTIF(AJ$11:AJ$35,"n.b.")&gt;0,"n.b."&amp;IF(AJ$40=""," (Grund fehlt)"," ("&amp;AJ$40&amp;")"),"")))</f>
        <v/>
      </c>
      <c r="AK9" s="153">
        <f>IF(AK$5="","",IF(COUNT(AK$11:AK$35)&gt;0,INDEX(Noten,MAX(1,MIN(COUNT(NGrenze),COUNT(NGrenze)+1-COUNTIF(NGrenze,"&lt;="&amp;AK$8))))&amp;" – "&amp;INDEX(NText,MAX(1,MIN(COUNT(NGrenze),COUNT(NGrenze)+1-COUNTIF(NGrenze,"&lt;="&amp;AK$8)))),IF(COUNTIF(AK$11:AK$35,"n.b.")&gt;0,"n.b."&amp;IF(AK$40=""," (Grund fehlt)"," ("&amp;AK$40&amp;")"),"")))</f>
        <v/>
      </c>
      <c r="AL9" s="153">
        <f>IF(AL$5="","",IF(COUNT(AL$11:AL$35)&gt;0,INDEX(Noten,MAX(1,MIN(COUNT(NGrenze),COUNT(NGrenze)+1-COUNTIF(NGrenze,"&lt;="&amp;AL$8))))&amp;" – "&amp;INDEX(NText,MAX(1,MIN(COUNT(NGrenze),COUNT(NGrenze)+1-COUNTIF(NGrenze,"&lt;="&amp;AL$8)))),IF(COUNTIF(AL$11:AL$35,"n.b.")&gt;0,"n.b."&amp;IF(AL$40=""," (Grund fehlt)"," ("&amp;AL$40&amp;")"),"")))</f>
        <v/>
      </c>
      <c r="AM9" s="153">
        <f>IF(AM$5="","",IF(COUNT(AM$11:AM$35)&gt;0,INDEX(Noten,MAX(1,MIN(COUNT(NGrenze),COUNT(NGrenze)+1-COUNTIF(NGrenze,"&lt;="&amp;AM$8))))&amp;" – "&amp;INDEX(NText,MAX(1,MIN(COUNT(NGrenze),COUNT(NGrenze)+1-COUNTIF(NGrenze,"&lt;="&amp;AM$8)))),IF(COUNTIF(AM$11:AM$35,"n.b.")&gt;0,"n.b."&amp;IF(AM$40=""," (Grund fehlt)"," ("&amp;AM$40&amp;")"),"")))</f>
        <v/>
      </c>
      <c r="AN9" s="153">
        <f>IF(AN$5="","",IF(COUNT(AN$11:AN$35)&gt;0,INDEX(Noten,MAX(1,MIN(COUNT(NGrenze),COUNT(NGrenze)+1-COUNTIF(NGrenze,"&lt;="&amp;AN$8))))&amp;" – "&amp;INDEX(NText,MAX(1,MIN(COUNT(NGrenze),COUNT(NGrenze)+1-COUNTIF(NGrenze,"&lt;="&amp;AN$8)))),IF(COUNTIF(AN$11:AN$35,"n.b.")&gt;0,"n.b."&amp;IF(AN$40=""," (Grund fehlt)"," ("&amp;AN$40&amp;")"),"")))</f>
        <v/>
      </c>
      <c r="AO9" s="153">
        <f>IF(AO$5="","",IF(COUNT(AO$11:AO$35)&gt;0,INDEX(Noten,MAX(1,MIN(COUNT(NGrenze),COUNT(NGrenze)+1-COUNTIF(NGrenze,"&lt;="&amp;AO$8))))&amp;" – "&amp;INDEX(NText,MAX(1,MIN(COUNT(NGrenze),COUNT(NGrenze)+1-COUNTIF(NGrenze,"&lt;="&amp;AO$8)))),IF(COUNTIF(AO$11:AO$35,"n.b.")&gt;0,"n.b."&amp;IF(AO$40=""," (Grund fehlt)"," ("&amp;AO$40&amp;")"),"")))</f>
        <v/>
      </c>
      <c r="AP9" s="153">
        <f>IF(AP$5="","",IF(COUNT(AP$11:AP$35)&gt;0,INDEX(Noten,MAX(1,MIN(COUNT(NGrenze),COUNT(NGrenze)+1-COUNTIF(NGrenze,"&lt;="&amp;AP$8))))&amp;" – "&amp;INDEX(NText,MAX(1,MIN(COUNT(NGrenze),COUNT(NGrenze)+1-COUNTIF(NGrenze,"&lt;="&amp;AP$8)))),IF(COUNTIF(AP$11:AP$35,"n.b.")&gt;0,"n.b."&amp;IF(AP$40=""," (Grund fehlt)"," ("&amp;AP$40&amp;")"),"")))</f>
        <v/>
      </c>
      <c r="AQ9" s="153">
        <f>IF(AQ$5="","",IF(COUNT(AQ$11:AQ$35)&gt;0,INDEX(Noten,MAX(1,MIN(COUNT(NGrenze),COUNT(NGrenze)+1-COUNTIF(NGrenze,"&lt;="&amp;AQ$8))))&amp;" – "&amp;INDEX(NText,MAX(1,MIN(COUNT(NGrenze),COUNT(NGrenze)+1-COUNTIF(NGrenze,"&lt;="&amp;AQ$8)))),IF(COUNTIF(AQ$11:AQ$35,"n.b.")&gt;0,"n.b."&amp;IF(AQ$40=""," (Grund fehlt)"," ("&amp;AQ$40&amp;")"),"")))</f>
        <v/>
      </c>
      <c r="AR9" s="153">
        <f>IF(AR$5="","",IF(COUNT(AR$11:AR$35)&gt;0,INDEX(Noten,MAX(1,MIN(COUNT(NGrenze),COUNT(NGrenze)+1-COUNTIF(NGrenze,"&lt;="&amp;AR$8))))&amp;" – "&amp;INDEX(NText,MAX(1,MIN(COUNT(NGrenze),COUNT(NGrenze)+1-COUNTIF(NGrenze,"&lt;="&amp;AR$8)))),IF(COUNTIF(AR$11:AR$35,"n.b.")&gt;0,"n.b."&amp;IF(AR$40=""," (Grund fehlt)"," ("&amp;AR$40&amp;")"),"")))</f>
        <v/>
      </c>
      <c r="AS9" s="153">
        <f>IF(AS$5="","",IF(COUNT(AS$11:AS$35)&gt;0,INDEX(Noten,MAX(1,MIN(COUNT(NGrenze),COUNT(NGrenze)+1-COUNTIF(NGrenze,"&lt;="&amp;AS$8))))&amp;" – "&amp;INDEX(NText,MAX(1,MIN(COUNT(NGrenze),COUNT(NGrenze)+1-COUNTIF(NGrenze,"&lt;="&amp;AS$8)))),IF(COUNTIF(AS$11:AS$35,"n.b.")&gt;0,"n.b."&amp;IF(AS$40=""," (Grund fehlt)"," ("&amp;AS$40&amp;")"),"")))</f>
        <v/>
      </c>
      <c r="AT9" s="153">
        <f>IF(AT$5="","",IF(COUNT(AT$11:AT$35)&gt;0,INDEX(Noten,MAX(1,MIN(COUNT(NGrenze),COUNT(NGrenze)+1-COUNTIF(NGrenze,"&lt;="&amp;AT$8))))&amp;" – "&amp;INDEX(NText,MAX(1,MIN(COUNT(NGrenze),COUNT(NGrenze)+1-COUNTIF(NGrenze,"&lt;="&amp;AT$8)))),IF(COUNTIF(AT$11:AT$35,"n.b.")&gt;0,"n.b."&amp;IF(AT$40=""," (Grund fehlt)"," ("&amp;AT$40&amp;")"),"")))</f>
        <v/>
      </c>
      <c r="AU9" s="153">
        <f>IF(AU$5="","",IF(COUNT(AU$11:AU$35)&gt;0,INDEX(Noten,MAX(1,MIN(COUNT(NGrenze),COUNT(NGrenze)+1-COUNTIF(NGrenze,"&lt;="&amp;AU$8))))&amp;" – "&amp;INDEX(NText,MAX(1,MIN(COUNT(NGrenze),COUNT(NGrenze)+1-COUNTIF(NGrenze,"&lt;="&amp;AU$8)))),IF(COUNTIF(AU$11:AU$35,"n.b.")&gt;0,"n.b."&amp;IF(AU$40=""," (Grund fehlt)"," ("&amp;AU$40&amp;")"),"")))</f>
        <v/>
      </c>
      <c r="AV9" s="153">
        <f>IF(AV$5="","",IF(COUNT(AV$11:AV$35)&gt;0,INDEX(Noten,MAX(1,MIN(COUNT(NGrenze),COUNT(NGrenze)+1-COUNTIF(NGrenze,"&lt;="&amp;AV$8))))&amp;" – "&amp;INDEX(NText,MAX(1,MIN(COUNT(NGrenze),COUNT(NGrenze)+1-COUNTIF(NGrenze,"&lt;="&amp;AV$8)))),IF(COUNTIF(AV$11:AV$35,"n.b.")&gt;0,"n.b."&amp;IF(AV$40=""," (Grund fehlt)"," ("&amp;AV$40&amp;")"),"")))</f>
        <v/>
      </c>
      <c r="AW9" s="153">
        <f>IF(AW$5="","",IF(COUNT(AW$11:AW$35)&gt;0,INDEX(Noten,MAX(1,MIN(COUNT(NGrenze),COUNT(NGrenze)+1-COUNTIF(NGrenze,"&lt;="&amp;AW$8))))&amp;" – "&amp;INDEX(NText,MAX(1,MIN(COUNT(NGrenze),COUNT(NGrenze)+1-COUNTIF(NGrenze,"&lt;="&amp;AW$8)))),IF(COUNTIF(AW$11:AW$35,"n.b.")&gt;0,"n.b."&amp;IF(AW$40=""," (Grund fehlt)"," ("&amp;AW$40&amp;")"),"")))</f>
        <v/>
      </c>
      <c r="AX9" s="153">
        <f>IF(AX$5="","",IF(COUNT(AX$11:AX$35)&gt;0,INDEX(Noten,MAX(1,MIN(COUNT(NGrenze),COUNT(NGrenze)+1-COUNTIF(NGrenze,"&lt;="&amp;AX$8))))&amp;" – "&amp;INDEX(NText,MAX(1,MIN(COUNT(NGrenze),COUNT(NGrenze)+1-COUNTIF(NGrenze,"&lt;="&amp;AX$8)))),IF(COUNTIF(AX$11:AX$35,"n.b.")&gt;0,"n.b."&amp;IF(AX$40=""," (Grund fehlt)"," ("&amp;AX$40&amp;")"),"")))</f>
        <v/>
      </c>
      <c r="AY9" s="153">
        <f>IF(AY$5="","",IF(COUNT(AY$11:AY$35)&gt;0,INDEX(Noten,MAX(1,MIN(COUNT(NGrenze),COUNT(NGrenze)+1-COUNTIF(NGrenze,"&lt;="&amp;AY$8))))&amp;" – "&amp;INDEX(NText,MAX(1,MIN(COUNT(NGrenze),COUNT(NGrenze)+1-COUNTIF(NGrenze,"&lt;="&amp;AY$8)))),IF(COUNTIF(AY$11:AY$35,"n.b.")&gt;0,"n.b."&amp;IF(AY$40=""," (Grund fehlt)"," ("&amp;AY$40&amp;")"),"")))</f>
        <v/>
      </c>
      <c r="AZ9" s="153">
        <f>IF(AZ$5="","",IF(COUNT(AZ$11:AZ$35)&gt;0,INDEX(Noten,MAX(1,MIN(COUNT(NGrenze),COUNT(NGrenze)+1-COUNTIF(NGrenze,"&lt;="&amp;AZ$8))))&amp;" – "&amp;INDEX(NText,MAX(1,MIN(COUNT(NGrenze),COUNT(NGrenze)+1-COUNTIF(NGrenze,"&lt;="&amp;AZ$8)))),IF(COUNTIF(AZ$11:AZ$35,"n.b.")&gt;0,"n.b."&amp;IF(AZ$40=""," (Grund fehlt)"," ("&amp;AZ$40&amp;")"),"")))</f>
        <v/>
      </c>
      <c r="BA9" s="153">
        <f>IF(BA$5="","",IF(COUNT(BA$11:BA$35)&gt;0,INDEX(Noten,MAX(1,MIN(COUNT(NGrenze),COUNT(NGrenze)+1-COUNTIF(NGrenze,"&lt;="&amp;BA$8))))&amp;" – "&amp;INDEX(NText,MAX(1,MIN(COUNT(NGrenze),COUNT(NGrenze)+1-COUNTIF(NGrenze,"&lt;="&amp;BA$8)))),IF(COUNTIF(BA$11:BA$35,"n.b.")&gt;0,"n.b."&amp;IF(BA$40=""," (Grund fehlt)"," ("&amp;BA$40&amp;")"),"")))</f>
        <v/>
      </c>
      <c r="BB9" s="153">
        <f>IF(BB$5="","",IF(COUNT(BB$11:BB$35)&gt;0,INDEX(Noten,MAX(1,MIN(COUNT(NGrenze),COUNT(NGrenze)+1-COUNTIF(NGrenze,"&lt;="&amp;BB$8))))&amp;" – "&amp;INDEX(NText,MAX(1,MIN(COUNT(NGrenze),COUNT(NGrenze)+1-COUNTIF(NGrenze,"&lt;="&amp;BB$8)))),IF(COUNTIF(BB$11:BB$35,"n.b.")&gt;0,"n.b."&amp;IF(BB$40=""," (Grund fehlt)"," ("&amp;BB$40&amp;")"),"")))</f>
        <v/>
      </c>
      <c r="BC9" s="153">
        <f>IF(BC$5="","",IF(COUNT(BC$11:BC$35)&gt;0,INDEX(Noten,MAX(1,MIN(COUNT(NGrenze),COUNT(NGrenze)+1-COUNTIF(NGrenze,"&lt;="&amp;BC$8))))&amp;" – "&amp;INDEX(NText,MAX(1,MIN(COUNT(NGrenze),COUNT(NGrenze)+1-COUNTIF(NGrenze,"&lt;="&amp;BC$8)))),IF(COUNTIF(BC$11:BC$35,"n.b.")&gt;0,"n.b."&amp;IF(BC$40=""," (Grund fehlt)"," ("&amp;BC$40&amp;")"),"")))</f>
        <v/>
      </c>
      <c r="BE9" s="153">
        <f>IF(BE$5="","",IF(COUNT(BE$11:BE$35)&gt;0,INDEX(Noten,MAX(1,MIN(COUNT(NGrenze),COUNT(NGrenze)+1-COUNTIF(NGrenze,"&lt;="&amp;BE$8))))&amp;" – "&amp;INDEX(NText,MAX(1,MIN(COUNT(NGrenze),COUNT(NGrenze)+1-COUNTIF(NGrenze,"&lt;="&amp;BE$8)))),IF(COUNTIF(BE$11:BE$35,"n.b.")&gt;0,"n.b."&amp;IF(BE$40=""," (Grund fehlt)"," ("&amp;BE$40&amp;")"),"")))</f>
        <v/>
      </c>
      <c r="BF9" s="153">
        <f>IF(BF$5="","",IF(COUNT(BF$11:BF$35)&gt;0,INDEX(Noten,MAX(1,MIN(COUNT(NGrenze),COUNT(NGrenze)+1-COUNTIF(NGrenze,"&lt;="&amp;BF$8))))&amp;" – "&amp;INDEX(NText,MAX(1,MIN(COUNT(NGrenze),COUNT(NGrenze)+1-COUNTIF(NGrenze,"&lt;="&amp;BF$8)))),IF(COUNTIF(BF$11:BF$35,"n.b.")&gt;0,"n.b."&amp;IF(BF$40=""," (Grund fehlt)"," ("&amp;BF$40&amp;")"),"")))</f>
        <v/>
      </c>
      <c r="BG9" s="153">
        <f>IF(BG$5="","",IF(COUNT(BG$11:BG$35)&gt;0,INDEX(Noten,MAX(1,MIN(COUNT(NGrenze),COUNT(NGrenze)+1-COUNTIF(NGrenze,"&lt;="&amp;BG$8))))&amp;" – "&amp;INDEX(NText,MAX(1,MIN(COUNT(NGrenze),COUNT(NGrenze)+1-COUNTIF(NGrenze,"&lt;="&amp;BG$8)))),IF(COUNTIF(BG$11:BG$35,"n.b.")&gt;0,"n.b."&amp;IF(BG$40=""," (Grund fehlt)"," ("&amp;BG$40&amp;")"),"")))</f>
        <v/>
      </c>
      <c r="BH9" s="153">
        <f>IF(BH$5="","",IF(COUNT(BH$11:BH$35)&gt;0,INDEX(Noten,MAX(1,MIN(COUNT(NGrenze),COUNT(NGrenze)+1-COUNTIF(NGrenze,"&lt;="&amp;BH$8))))&amp;" – "&amp;INDEX(NText,MAX(1,MIN(COUNT(NGrenze),COUNT(NGrenze)+1-COUNTIF(NGrenze,"&lt;="&amp;BH$8)))),IF(COUNTIF(BH$11:BH$35,"n.b.")&gt;0,"n.b."&amp;IF(BH$40=""," (Grund fehlt)"," ("&amp;BH$40&amp;")"),"")))</f>
        <v/>
      </c>
      <c r="BI9" s="153">
        <f>IF(BI$5="","",IF(COUNT(BI$11:BI$35)&gt;0,INDEX(Noten,MAX(1,MIN(COUNT(NGrenze),COUNT(NGrenze)+1-COUNTIF(NGrenze,"&lt;="&amp;BI$8))))&amp;" – "&amp;INDEX(NText,MAX(1,MIN(COUNT(NGrenze),COUNT(NGrenze)+1-COUNTIF(NGrenze,"&lt;="&amp;BI$8)))),IF(COUNTIF(BI$11:BI$35,"n.b.")&gt;0,"n.b."&amp;IF(BI$40=""," (Grund fehlt)"," ("&amp;BI$40&amp;")"),"")))</f>
        <v/>
      </c>
      <c r="BJ9" s="153">
        <f>IF(BJ$5="","",IF(COUNT(BJ$11:BJ$35)&gt;0,INDEX(Noten,MAX(1,MIN(COUNT(NGrenze),COUNT(NGrenze)+1-COUNTIF(NGrenze,"&lt;="&amp;BJ$8))))&amp;" – "&amp;INDEX(NText,MAX(1,MIN(COUNT(NGrenze),COUNT(NGrenze)+1-COUNTIF(NGrenze,"&lt;="&amp;BJ$8)))),IF(COUNTIF(BJ$11:BJ$35,"n.b.")&gt;0,"n.b."&amp;IF(BJ$40=""," (Grund fehlt)"," ("&amp;BJ$40&amp;")"),"")))</f>
        <v/>
      </c>
      <c r="BK9" s="153">
        <f>IF(BK$5="","",IF(COUNT(BK$11:BK$35)&gt;0,INDEX(Noten,MAX(1,MIN(COUNT(NGrenze),COUNT(NGrenze)+1-COUNTIF(NGrenze,"&lt;="&amp;BK$8))))&amp;" – "&amp;INDEX(NText,MAX(1,MIN(COUNT(NGrenze),COUNT(NGrenze)+1-COUNTIF(NGrenze,"&lt;="&amp;BK$8)))),IF(COUNTIF(BK$11:BK$35,"n.b.")&gt;0,"n.b."&amp;IF(BK$40=""," (Grund fehlt)"," ("&amp;BK$40&amp;")"),"")))</f>
        <v/>
      </c>
      <c r="BL9" s="153">
        <f>IF(BL$5="","",IF(COUNT(BL$11:BL$35)&gt;0,INDEX(Noten,MAX(1,MIN(COUNT(NGrenze),COUNT(NGrenze)+1-COUNTIF(NGrenze,"&lt;="&amp;BL$8))))&amp;" – "&amp;INDEX(NText,MAX(1,MIN(COUNT(NGrenze),COUNT(NGrenze)+1-COUNTIF(NGrenze,"&lt;="&amp;BL$8)))),IF(COUNTIF(BL$11:BL$35,"n.b.")&gt;0,"n.b."&amp;IF(BL$40=""," (Grund fehlt)"," ("&amp;BL$40&amp;")"),"")))</f>
        <v/>
      </c>
      <c r="BM9" s="153">
        <f>IF(BM$5="","",IF(COUNT(BM$11:BM$35)&gt;0,INDEX(Noten,MAX(1,MIN(COUNT(NGrenze),COUNT(NGrenze)+1-COUNTIF(NGrenze,"&lt;="&amp;BM$8))))&amp;" – "&amp;INDEX(NText,MAX(1,MIN(COUNT(NGrenze),COUNT(NGrenze)+1-COUNTIF(NGrenze,"&lt;="&amp;BM$8)))),IF(COUNTIF(BM$11:BM$35,"n.b.")&gt;0,"n.b."&amp;IF(BM$40=""," (Grund fehlt)"," ("&amp;BM$40&amp;")"),"")))</f>
        <v/>
      </c>
      <c r="BN9" s="153">
        <f>IF(BN$5="","",IF(COUNT(BN$11:BN$35)&gt;0,INDEX(Noten,MAX(1,MIN(COUNT(NGrenze),COUNT(NGrenze)+1-COUNTIF(NGrenze,"&lt;="&amp;BN$8))))&amp;" – "&amp;INDEX(NText,MAX(1,MIN(COUNT(NGrenze),COUNT(NGrenze)+1-COUNTIF(NGrenze,"&lt;="&amp;BN$8)))),IF(COUNTIF(BN$11:BN$35,"n.b.")&gt;0,"n.b."&amp;IF(BN$40=""," (Grund fehlt)"," ("&amp;BN$40&amp;")"),"")))</f>
        <v/>
      </c>
      <c r="BO9" s="153">
        <f>IF(BO$5="","",IF(COUNT(BO$11:BO$35)&gt;0,INDEX(Noten,MAX(1,MIN(COUNT(NGrenze),COUNT(NGrenze)+1-COUNTIF(NGrenze,"&lt;="&amp;BO$8))))&amp;" – "&amp;INDEX(NText,MAX(1,MIN(COUNT(NGrenze),COUNT(NGrenze)+1-COUNTIF(NGrenze,"&lt;="&amp;BO$8)))),IF(COUNTIF(BO$11:BO$35,"n.b.")&gt;0,"n.b."&amp;IF(BO$40=""," (Grund fehlt)"," ("&amp;BO$40&amp;")"),"")))</f>
        <v/>
      </c>
      <c r="BP9" s="153">
        <f>IF(BP$5="","",IF(COUNT(BP$11:BP$35)&gt;0,INDEX(Noten,MAX(1,MIN(COUNT(NGrenze),COUNT(NGrenze)+1-COUNTIF(NGrenze,"&lt;="&amp;BP$8))))&amp;" – "&amp;INDEX(NText,MAX(1,MIN(COUNT(NGrenze),COUNT(NGrenze)+1-COUNTIF(NGrenze,"&lt;="&amp;BP$8)))),IF(COUNTIF(BP$11:BP$35,"n.b.")&gt;0,"n.b."&amp;IF(BP$40=""," (Grund fehlt)"," ("&amp;BP$40&amp;")"),"")))</f>
        <v/>
      </c>
      <c r="BQ9" s="153">
        <f>IF(BQ$5="","",IF(COUNT(BQ$11:BQ$35)&gt;0,INDEX(Noten,MAX(1,MIN(COUNT(NGrenze),COUNT(NGrenze)+1-COUNTIF(NGrenze,"&lt;="&amp;BQ$8))))&amp;" – "&amp;INDEX(NText,MAX(1,MIN(COUNT(NGrenze),COUNT(NGrenze)+1-COUNTIF(NGrenze,"&lt;="&amp;BQ$8)))),IF(COUNTIF(BQ$11:BQ$35,"n.b.")&gt;0,"n.b."&amp;IF(BQ$40=""," (Grund fehlt)"," ("&amp;BQ$40&amp;")"),"")))</f>
        <v/>
      </c>
      <c r="BR9" s="153">
        <f>IF(BR$5="","",IF(COUNT(BR$11:BR$35)&gt;0,INDEX(Noten,MAX(1,MIN(COUNT(NGrenze),COUNT(NGrenze)+1-COUNTIF(NGrenze,"&lt;="&amp;BR$8))))&amp;" – "&amp;INDEX(NText,MAX(1,MIN(COUNT(NGrenze),COUNT(NGrenze)+1-COUNTIF(NGrenze,"&lt;="&amp;BR$8)))),IF(COUNTIF(BR$11:BR$35,"n.b.")&gt;0,"n.b."&amp;IF(BR$40=""," (Grund fehlt)"," ("&amp;BR$40&amp;")"),"")))</f>
        <v/>
      </c>
      <c r="BS9" s="153">
        <f>IF(BS$5="","",IF(COUNT(BS$11:BS$35)&gt;0,INDEX(Noten,MAX(1,MIN(COUNT(NGrenze),COUNT(NGrenze)+1-COUNTIF(NGrenze,"&lt;="&amp;BS$8))))&amp;" – "&amp;INDEX(NText,MAX(1,MIN(COUNT(NGrenze),COUNT(NGrenze)+1-COUNTIF(NGrenze,"&lt;="&amp;BS$8)))),IF(COUNTIF(BS$11:BS$35,"n.b.")&gt;0,"n.b."&amp;IF(BS$40=""," (Grund fehlt)"," ("&amp;BS$40&amp;")"),"")))</f>
        <v/>
      </c>
      <c r="BT9" s="153">
        <f>IF(BT$5="","",IF(COUNT(BT$11:BT$35)&gt;0,INDEX(Noten,MAX(1,MIN(COUNT(NGrenze),COUNT(NGrenze)+1-COUNTIF(NGrenze,"&lt;="&amp;BT$8))))&amp;" – "&amp;INDEX(NText,MAX(1,MIN(COUNT(NGrenze),COUNT(NGrenze)+1-COUNTIF(NGrenze,"&lt;="&amp;BT$8)))),IF(COUNTIF(BT$11:BT$35,"n.b.")&gt;0,"n.b."&amp;IF(BT$40=""," (Grund fehlt)"," ("&amp;BT$40&amp;")"),"")))</f>
        <v/>
      </c>
      <c r="BU9" s="153">
        <f>IF(BU$5="","",IF(COUNT(BU$11:BU$35)&gt;0,INDEX(Noten,MAX(1,MIN(COUNT(NGrenze),COUNT(NGrenze)+1-COUNTIF(NGrenze,"&lt;="&amp;BU$8))))&amp;" – "&amp;INDEX(NText,MAX(1,MIN(COUNT(NGrenze),COUNT(NGrenze)+1-COUNTIF(NGrenze,"&lt;="&amp;BU$8)))),IF(COUNTIF(BU$11:BU$35,"n.b.")&gt;0,"n.b."&amp;IF(BU$40=""," (Grund fehlt)"," ("&amp;BU$40&amp;")"),"")))</f>
        <v/>
      </c>
      <c r="BV9" s="153">
        <f>IF(BV$5="","",IF(COUNT(BV$11:BV$35)&gt;0,INDEX(Noten,MAX(1,MIN(COUNT(NGrenze),COUNT(NGrenze)+1-COUNTIF(NGrenze,"&lt;="&amp;BV$8))))&amp;" – "&amp;INDEX(NText,MAX(1,MIN(COUNT(NGrenze),COUNT(NGrenze)+1-COUNTIF(NGrenze,"&lt;="&amp;BV$8)))),IF(COUNTIF(BV$11:BV$35,"n.b.")&gt;0,"n.b."&amp;IF(BV$40=""," (Grund fehlt)"," ("&amp;BV$40&amp;")"),"")))</f>
        <v/>
      </c>
      <c r="BW9" s="153">
        <f>IF(BW$5="","",IF(COUNT(BW$11:BW$35)&gt;0,INDEX(Noten,MAX(1,MIN(COUNT(NGrenze),COUNT(NGrenze)+1-COUNTIF(NGrenze,"&lt;="&amp;BW$8))))&amp;" – "&amp;INDEX(NText,MAX(1,MIN(COUNT(NGrenze),COUNT(NGrenze)+1-COUNTIF(NGrenze,"&lt;="&amp;BW$8)))),IF(COUNTIF(BW$11:BW$35,"n.b.")&gt;0,"n.b."&amp;IF(BW$40=""," (Grund fehlt)"," ("&amp;BW$40&amp;")"),"")))</f>
        <v/>
      </c>
      <c r="BX9" s="153">
        <f>IF(BX$5="","",IF(COUNT(BX$11:BX$35)&gt;0,INDEX(Noten,MAX(1,MIN(COUNT(NGrenze),COUNT(NGrenze)+1-COUNTIF(NGrenze,"&lt;="&amp;BX$8))))&amp;" – "&amp;INDEX(NText,MAX(1,MIN(COUNT(NGrenze),COUNT(NGrenze)+1-COUNTIF(NGrenze,"&lt;="&amp;BX$8)))),IF(COUNTIF(BX$11:BX$35,"n.b.")&gt;0,"n.b."&amp;IF(BX$40=""," (Grund fehlt)"," ("&amp;BX$40&amp;")"),"")))</f>
        <v/>
      </c>
      <c r="BY9" s="153">
        <f>IF(BY$5="","",IF(COUNT(BY$11:BY$35)&gt;0,INDEX(Noten,MAX(1,MIN(COUNT(NGrenze),COUNT(NGrenze)+1-COUNTIF(NGrenze,"&lt;="&amp;BY$8))))&amp;" – "&amp;INDEX(NText,MAX(1,MIN(COUNT(NGrenze),COUNT(NGrenze)+1-COUNTIF(NGrenze,"&lt;="&amp;BY$8)))),IF(COUNTIF(BY$11:BY$35,"n.b.")&gt;0,"n.b."&amp;IF(BY$40=""," (Grund fehlt)"," ("&amp;BY$40&amp;")"),"")))</f>
        <v/>
      </c>
      <c r="BZ9" s="153">
        <f>IF(BZ$5="","",IF(COUNT(BZ$11:BZ$35)&gt;0,INDEX(Noten,MAX(1,MIN(COUNT(NGrenze),COUNT(NGrenze)+1-COUNTIF(NGrenze,"&lt;="&amp;BZ$8))))&amp;" – "&amp;INDEX(NText,MAX(1,MIN(COUNT(NGrenze),COUNT(NGrenze)+1-COUNTIF(NGrenze,"&lt;="&amp;BZ$8)))),IF(COUNTIF(BZ$11:BZ$35,"n.b.")&gt;0,"n.b."&amp;IF(BZ$40=""," (Grund fehlt)"," ("&amp;BZ$40&amp;")"),"")))</f>
        <v/>
      </c>
      <c r="CA9" s="153">
        <f>IF(CA$5="","",IF(COUNT(CA$11:CA$35)&gt;0,INDEX(Noten,MAX(1,MIN(COUNT(NGrenze),COUNT(NGrenze)+1-COUNTIF(NGrenze,"&lt;="&amp;CA$8))))&amp;" – "&amp;INDEX(NText,MAX(1,MIN(COUNT(NGrenze),COUNT(NGrenze)+1-COUNTIF(NGrenze,"&lt;="&amp;CA$8)))),IF(COUNTIF(CA$11:CA$35,"n.b.")&gt;0,"n.b."&amp;IF(CA$40=""," (Grund fehlt)"," ("&amp;CA$40&amp;")"),"")))</f>
        <v/>
      </c>
      <c r="CB9" s="153">
        <f>IF(CB$5="","",IF(COUNT(CB$11:CB$35)&gt;0,INDEX(Noten,MAX(1,MIN(COUNT(NGrenze),COUNT(NGrenze)+1-COUNTIF(NGrenze,"&lt;="&amp;CB$8))))&amp;" – "&amp;INDEX(NText,MAX(1,MIN(COUNT(NGrenze),COUNT(NGrenze)+1-COUNTIF(NGrenze,"&lt;="&amp;CB$8)))),IF(COUNTIF(CB$11:CB$35,"n.b.")&gt;0,"n.b."&amp;IF(CB$40=""," (Grund fehlt)"," ("&amp;CB$40&amp;")"),"")))</f>
        <v/>
      </c>
      <c r="CC9" s="153">
        <f>IF(CC$5="","",IF(COUNT(CC$11:CC$35)&gt;0,INDEX(Noten,MAX(1,MIN(COUNT(NGrenze),COUNT(NGrenze)+1-COUNTIF(NGrenze,"&lt;="&amp;CC$8))))&amp;" – "&amp;INDEX(NText,MAX(1,MIN(COUNT(NGrenze),COUNT(NGrenze)+1-COUNTIF(NGrenze,"&lt;="&amp;CC$8)))),IF(COUNTIF(CC$11:CC$35,"n.b.")&gt;0,"n.b."&amp;IF(CC$40=""," (Grund fehlt)"," ("&amp;CC$40&amp;")"),"")))</f>
        <v/>
      </c>
      <c r="CE9" s="153">
        <f>IF(CE$5="","",IF(COUNT(CE$11:CE$35)&gt;0,INDEX(Noten,MAX(1,MIN(COUNT(NGrenze),COUNT(NGrenze)+1-COUNTIF(NGrenze,"&lt;="&amp;CE$8))))&amp;" – "&amp;INDEX(NText,MAX(1,MIN(COUNT(NGrenze),COUNT(NGrenze)+1-COUNTIF(NGrenze,"&lt;="&amp;CE$8)))),IF(COUNTIF(CE$11:CE$35,"n.b.")&gt;0,"n.b."&amp;IF(CE$40=""," (Grund fehlt)"," ("&amp;CE$40&amp;")"),"")))</f>
        <v/>
      </c>
      <c r="CF9" s="153">
        <f>IF(CF$5="","",IF(COUNT(CF$11:CF$35)&gt;0,INDEX(Noten,MAX(1,MIN(COUNT(NGrenze),COUNT(NGrenze)+1-COUNTIF(NGrenze,"&lt;="&amp;CF$8))))&amp;" – "&amp;INDEX(NText,MAX(1,MIN(COUNT(NGrenze),COUNT(NGrenze)+1-COUNTIF(NGrenze,"&lt;="&amp;CF$8)))),IF(COUNTIF(CF$11:CF$35,"n.b.")&gt;0,"n.b."&amp;IF(CF$40=""," (Grund fehlt)"," ("&amp;CF$40&amp;")"),"")))</f>
        <v/>
      </c>
      <c r="CG9" s="153">
        <f>IF(CG$5="","",IF(COUNT(CG$11:CG$35)&gt;0,INDEX(Noten,MAX(1,MIN(COUNT(NGrenze),COUNT(NGrenze)+1-COUNTIF(NGrenze,"&lt;="&amp;CG$8))))&amp;" – "&amp;INDEX(NText,MAX(1,MIN(COUNT(NGrenze),COUNT(NGrenze)+1-COUNTIF(NGrenze,"&lt;="&amp;CG$8)))),IF(COUNTIF(CG$11:CG$35,"n.b.")&gt;0,"n.b."&amp;IF(CG$40=""," (Grund fehlt)"," ("&amp;CG$40&amp;")"),"")))</f>
        <v/>
      </c>
      <c r="CH9" s="153">
        <f>IF(CH$5="","",IF(COUNT(CH$11:CH$35)&gt;0,INDEX(Noten,MAX(1,MIN(COUNT(NGrenze),COUNT(NGrenze)+1-COUNTIF(NGrenze,"&lt;="&amp;CH$8))))&amp;" – "&amp;INDEX(NText,MAX(1,MIN(COUNT(NGrenze),COUNT(NGrenze)+1-COUNTIF(NGrenze,"&lt;="&amp;CH$8)))),IF(COUNTIF(CH$11:CH$35,"n.b.")&gt;0,"n.b."&amp;IF(CH$40=""," (Grund fehlt)"," ("&amp;CH$40&amp;")"),"")))</f>
        <v/>
      </c>
      <c r="CI9" s="153">
        <f>IF(CI$5="","",IF(COUNT(CI$11:CI$35)&gt;0,INDEX(Noten,MAX(1,MIN(COUNT(NGrenze),COUNT(NGrenze)+1-COUNTIF(NGrenze,"&lt;="&amp;CI$8))))&amp;" – "&amp;INDEX(NText,MAX(1,MIN(COUNT(NGrenze),COUNT(NGrenze)+1-COUNTIF(NGrenze,"&lt;="&amp;CI$8)))),IF(COUNTIF(CI$11:CI$35,"n.b.")&gt;0,"n.b."&amp;IF(CI$40=""," (Grund fehlt)"," ("&amp;CI$40&amp;")"),"")))</f>
        <v/>
      </c>
      <c r="CJ9" s="153">
        <f>IF(CJ$5="","",IF(COUNT(CJ$11:CJ$35)&gt;0,INDEX(Noten,MAX(1,MIN(COUNT(NGrenze),COUNT(NGrenze)+1-COUNTIF(NGrenze,"&lt;="&amp;CJ$8))))&amp;" – "&amp;INDEX(NText,MAX(1,MIN(COUNT(NGrenze),COUNT(NGrenze)+1-COUNTIF(NGrenze,"&lt;="&amp;CJ$8)))),IF(COUNTIF(CJ$11:CJ$35,"n.b.")&gt;0,"n.b."&amp;IF(CJ$40=""," (Grund fehlt)"," ("&amp;CJ$40&amp;")"),"")))</f>
        <v/>
      </c>
      <c r="CK9" s="153">
        <f>IF(CK$5="","",IF(COUNT(CK$11:CK$35)&gt;0,INDEX(Noten,MAX(1,MIN(COUNT(NGrenze),COUNT(NGrenze)+1-COUNTIF(NGrenze,"&lt;="&amp;CK$8))))&amp;" – "&amp;INDEX(NText,MAX(1,MIN(COUNT(NGrenze),COUNT(NGrenze)+1-COUNTIF(NGrenze,"&lt;="&amp;CK$8)))),IF(COUNTIF(CK$11:CK$35,"n.b.")&gt;0,"n.b."&amp;IF(CK$40=""," (Grund fehlt)"," ("&amp;CK$40&amp;")"),"")))</f>
        <v/>
      </c>
      <c r="CL9" s="153">
        <f>IF(CL$5="","",IF(COUNT(CL$11:CL$35)&gt;0,INDEX(Noten,MAX(1,MIN(COUNT(NGrenze),COUNT(NGrenze)+1-COUNTIF(NGrenze,"&lt;="&amp;CL$8))))&amp;" – "&amp;INDEX(NText,MAX(1,MIN(COUNT(NGrenze),COUNT(NGrenze)+1-COUNTIF(NGrenze,"&lt;="&amp;CL$8)))),IF(COUNTIF(CL$11:CL$35,"n.b.")&gt;0,"n.b."&amp;IF(CL$40=""," (Grund fehlt)"," ("&amp;CL$40&amp;")"),"")))</f>
        <v/>
      </c>
      <c r="CM9" s="153">
        <f>IF(CM$5="","",IF(COUNT(CM$11:CM$35)&gt;0,INDEX(Noten,MAX(1,MIN(COUNT(NGrenze),COUNT(NGrenze)+1-COUNTIF(NGrenze,"&lt;="&amp;CM$8))))&amp;" – "&amp;INDEX(NText,MAX(1,MIN(COUNT(NGrenze),COUNT(NGrenze)+1-COUNTIF(NGrenze,"&lt;="&amp;CM$8)))),IF(COUNTIF(CM$11:CM$35,"n.b.")&gt;0,"n.b."&amp;IF(CM$40=""," (Grund fehlt)"," ("&amp;CM$40&amp;")"),"")))</f>
        <v/>
      </c>
      <c r="CN9" s="153">
        <f>IF(CN$5="","",IF(COUNT(CN$11:CN$35)&gt;0,INDEX(Noten,MAX(1,MIN(COUNT(NGrenze),COUNT(NGrenze)+1-COUNTIF(NGrenze,"&lt;="&amp;CN$8))))&amp;" – "&amp;INDEX(NText,MAX(1,MIN(COUNT(NGrenze),COUNT(NGrenze)+1-COUNTIF(NGrenze,"&lt;="&amp;CN$8)))),IF(COUNTIF(CN$11:CN$35,"n.b.")&gt;0,"n.b."&amp;IF(CN$40=""," (Grund fehlt)"," ("&amp;CN$40&amp;")"),"")))</f>
        <v/>
      </c>
      <c r="CO9" s="153">
        <f>IF(CO$5="","",IF(COUNT(CO$11:CO$35)&gt;0,INDEX(Noten,MAX(1,MIN(COUNT(NGrenze),COUNT(NGrenze)+1-COUNTIF(NGrenze,"&lt;="&amp;CO$8))))&amp;" – "&amp;INDEX(NText,MAX(1,MIN(COUNT(NGrenze),COUNT(NGrenze)+1-COUNTIF(NGrenze,"&lt;="&amp;CO$8)))),IF(COUNTIF(CO$11:CO$35,"n.b.")&gt;0,"n.b."&amp;IF(CO$40=""," (Grund fehlt)"," ("&amp;CO$40&amp;")"),"")))</f>
        <v/>
      </c>
      <c r="CP9" s="153">
        <f>IF(CP$5="","",IF(COUNT(CP$11:CP$35)&gt;0,INDEX(Noten,MAX(1,MIN(COUNT(NGrenze),COUNT(NGrenze)+1-COUNTIF(NGrenze,"&lt;="&amp;CP$8))))&amp;" – "&amp;INDEX(NText,MAX(1,MIN(COUNT(NGrenze),COUNT(NGrenze)+1-COUNTIF(NGrenze,"&lt;="&amp;CP$8)))),IF(COUNTIF(CP$11:CP$35,"n.b.")&gt;0,"n.b."&amp;IF(CP$40=""," (Grund fehlt)"," ("&amp;CP$40&amp;")"),"")))</f>
        <v/>
      </c>
      <c r="CQ9" s="153">
        <f>IF(CQ$5="","",IF(COUNT(CQ$11:CQ$35)&gt;0,INDEX(Noten,MAX(1,MIN(COUNT(NGrenze),COUNT(NGrenze)+1-COUNTIF(NGrenze,"&lt;="&amp;CQ$8))))&amp;" – "&amp;INDEX(NText,MAX(1,MIN(COUNT(NGrenze),COUNT(NGrenze)+1-COUNTIF(NGrenze,"&lt;="&amp;CQ$8)))),IF(COUNTIF(CQ$11:CQ$35,"n.b.")&gt;0,"n.b."&amp;IF(CQ$40=""," (Grund fehlt)"," ("&amp;CQ$40&amp;")"),"")))</f>
        <v/>
      </c>
      <c r="CR9" s="153">
        <f>IF(CR$5="","",IF(COUNT(CR$11:CR$35)&gt;0,INDEX(Noten,MAX(1,MIN(COUNT(NGrenze),COUNT(NGrenze)+1-COUNTIF(NGrenze,"&lt;="&amp;CR$8))))&amp;" – "&amp;INDEX(NText,MAX(1,MIN(COUNT(NGrenze),COUNT(NGrenze)+1-COUNTIF(NGrenze,"&lt;="&amp;CR$8)))),IF(COUNTIF(CR$11:CR$35,"n.b.")&gt;0,"n.b."&amp;IF(CR$40=""," (Grund fehlt)"," ("&amp;CR$40&amp;")"),"")))</f>
        <v/>
      </c>
      <c r="CS9" s="153">
        <f>IF(CS$5="","",IF(COUNT(CS$11:CS$35)&gt;0,INDEX(Noten,MAX(1,MIN(COUNT(NGrenze),COUNT(NGrenze)+1-COUNTIF(NGrenze,"&lt;="&amp;CS$8))))&amp;" – "&amp;INDEX(NText,MAX(1,MIN(COUNT(NGrenze),COUNT(NGrenze)+1-COUNTIF(NGrenze,"&lt;="&amp;CS$8)))),IF(COUNTIF(CS$11:CS$35,"n.b.")&gt;0,"n.b."&amp;IF(CS$40=""," (Grund fehlt)"," ("&amp;CS$40&amp;")"),"")))</f>
        <v/>
      </c>
      <c r="CT9" s="153">
        <f>IF(CT$5="","",IF(COUNT(CT$11:CT$35)&gt;0,INDEX(Noten,MAX(1,MIN(COUNT(NGrenze),COUNT(NGrenze)+1-COUNTIF(NGrenze,"&lt;="&amp;CT$8))))&amp;" – "&amp;INDEX(NText,MAX(1,MIN(COUNT(NGrenze),COUNT(NGrenze)+1-COUNTIF(NGrenze,"&lt;="&amp;CT$8)))),IF(COUNTIF(CT$11:CT$35,"n.b.")&gt;0,"n.b."&amp;IF(CT$40=""," (Grund fehlt)"," ("&amp;CT$40&amp;")"),"")))</f>
        <v/>
      </c>
      <c r="CU9" s="153">
        <f>IF(CU$5="","",IF(COUNT(CU$11:CU$35)&gt;0,INDEX(Noten,MAX(1,MIN(COUNT(NGrenze),COUNT(NGrenze)+1-COUNTIF(NGrenze,"&lt;="&amp;CU$8))))&amp;" – "&amp;INDEX(NText,MAX(1,MIN(COUNT(NGrenze),COUNT(NGrenze)+1-COUNTIF(NGrenze,"&lt;="&amp;CU$8)))),IF(COUNTIF(CU$11:CU$35,"n.b.")&gt;0,"n.b."&amp;IF(CU$40=""," (Grund fehlt)"," ("&amp;CU$40&amp;")"),"")))</f>
        <v/>
      </c>
      <c r="CV9" s="153">
        <f>IF(CV$5="","",IF(COUNT(CV$11:CV$35)&gt;0,INDEX(Noten,MAX(1,MIN(COUNT(NGrenze),COUNT(NGrenze)+1-COUNTIF(NGrenze,"&lt;="&amp;CV$8))))&amp;" – "&amp;INDEX(NText,MAX(1,MIN(COUNT(NGrenze),COUNT(NGrenze)+1-COUNTIF(NGrenze,"&lt;="&amp;CV$8)))),IF(COUNTIF(CV$11:CV$35,"n.b.")&gt;0,"n.b."&amp;IF(CV$40=""," (Grund fehlt)"," ("&amp;CV$40&amp;")"),"")))</f>
        <v/>
      </c>
      <c r="CW9" s="153">
        <f>IF(CW$5="","",IF(COUNT(CW$11:CW$35)&gt;0,INDEX(Noten,MAX(1,MIN(COUNT(NGrenze),COUNT(NGrenze)+1-COUNTIF(NGrenze,"&lt;="&amp;CW$8))))&amp;" – "&amp;INDEX(NText,MAX(1,MIN(COUNT(NGrenze),COUNT(NGrenze)+1-COUNTIF(NGrenze,"&lt;="&amp;CW$8)))),IF(COUNTIF(CW$11:CW$35,"n.b.")&gt;0,"n.b."&amp;IF(CW$40=""," (Grund fehlt)"," ("&amp;CW$40&amp;")"),"")))</f>
        <v/>
      </c>
      <c r="CX9" s="153">
        <f>IF(CX$5="","",IF(COUNT(CX$11:CX$35)&gt;0,INDEX(Noten,MAX(1,MIN(COUNT(NGrenze),COUNT(NGrenze)+1-COUNTIF(NGrenze,"&lt;="&amp;CX$8))))&amp;" – "&amp;INDEX(NText,MAX(1,MIN(COUNT(NGrenze),COUNT(NGrenze)+1-COUNTIF(NGrenze,"&lt;="&amp;CX$8)))),IF(COUNTIF(CX$11:CX$35,"n.b.")&gt;0,"n.b."&amp;IF(CX$40=""," (Grund fehlt)"," ("&amp;CX$40&amp;")"),"")))</f>
        <v/>
      </c>
      <c r="CY9" s="153">
        <f>IF(CY$5="","",IF(COUNT(CY$11:CY$35)&gt;0,INDEX(Noten,MAX(1,MIN(COUNT(NGrenze),COUNT(NGrenze)+1-COUNTIF(NGrenze,"&lt;="&amp;CY$8))))&amp;" – "&amp;INDEX(NText,MAX(1,MIN(COUNT(NGrenze),COUNT(NGrenze)+1-COUNTIF(NGrenze,"&lt;="&amp;CY$8)))),IF(COUNTIF(CY$11:CY$35,"n.b.")&gt;0,"n.b."&amp;IF(CY$40=""," (Grund fehlt)"," ("&amp;CY$40&amp;")"),"")))</f>
        <v/>
      </c>
      <c r="CZ9" s="153">
        <f>IF(CZ$5="","",IF(COUNT(CZ$11:CZ$35)&gt;0,INDEX(Noten,MAX(1,MIN(COUNT(NGrenze),COUNT(NGrenze)+1-COUNTIF(NGrenze,"&lt;="&amp;CZ$8))))&amp;" – "&amp;INDEX(NText,MAX(1,MIN(COUNT(NGrenze),COUNT(NGrenze)+1-COUNTIF(NGrenze,"&lt;="&amp;CZ$8)))),IF(COUNTIF(CZ$11:CZ$35,"n.b.")&gt;0,"n.b."&amp;IF(CZ$40=""," (Grund fehlt)"," ("&amp;CZ$40&amp;")"),"")))</f>
        <v/>
      </c>
      <c r="DA9" s="153">
        <f>IF(DA$5="","",IF(COUNT(DA$11:DA$35)&gt;0,INDEX(Noten,MAX(1,MIN(COUNT(NGrenze),COUNT(NGrenze)+1-COUNTIF(NGrenze,"&lt;="&amp;DA$8))))&amp;" – "&amp;INDEX(NText,MAX(1,MIN(COUNT(NGrenze),COUNT(NGrenze)+1-COUNTIF(NGrenze,"&lt;="&amp;DA$8)))),IF(COUNTIF(DA$11:DA$35,"n.b.")&gt;0,"n.b."&amp;IF(DA$40=""," (Grund fehlt)"," ("&amp;DA$40&amp;")"),"")))</f>
        <v/>
      </c>
      <c r="DB9" s="153">
        <f>IF(DB$5="","",IF(COUNT(DB$11:DB$35)&gt;0,INDEX(Noten,MAX(1,MIN(COUNT(NGrenze),COUNT(NGrenze)+1-COUNTIF(NGrenze,"&lt;="&amp;DB$8))))&amp;" – "&amp;INDEX(NText,MAX(1,MIN(COUNT(NGrenze),COUNT(NGrenze)+1-COUNTIF(NGrenze,"&lt;="&amp;DB$8)))),IF(COUNTIF(DB$11:DB$35,"n.b.")&gt;0,"n.b."&amp;IF(DB$40=""," (Grund fehlt)"," ("&amp;DB$40&amp;")"),"")))</f>
        <v/>
      </c>
      <c r="DC9" s="153">
        <f>IF(DC$5="","",IF(COUNT(DC$11:DC$35)&gt;0,INDEX(Noten,MAX(1,MIN(COUNT(NGrenze),COUNT(NGrenze)+1-COUNTIF(NGrenze,"&lt;="&amp;DC$8))))&amp;" – "&amp;INDEX(NText,MAX(1,MIN(COUNT(NGrenze),COUNT(NGrenze)+1-COUNTIF(NGrenze,"&lt;="&amp;DC$8)))),IF(COUNTIF(DC$11:DC$35,"n.b.")&gt;0,"n.b."&amp;IF(DC$40=""," (Grund fehlt)"," ("&amp;DC$40&amp;")"),"")))</f>
        <v/>
      </c>
    </row>
    <row r="10" ht="24" customHeight="1">
      <c r="A10" s="154" t="inlineStr">
        <is>
          <t>Nr.</t>
        </is>
      </c>
      <c r="B10" s="154" t="inlineStr">
        <is>
          <t>Bewertungsparameter</t>
        </is>
      </c>
      <c r="C10" s="154" t="inlineStr">
        <is>
          <t>Bewertungshorizont</t>
        </is>
      </c>
      <c r="D10" s="154" t="inlineStr">
        <is>
          <t>max. Pkt.</t>
        </is>
      </c>
      <c r="E10" s="155" t="inlineStr">
        <is>
          <t>Punkte je Azubi eintragen – „n.b.“ für nicht bewertet</t>
        </is>
      </c>
    </row>
    <row r="11" ht="24" customHeight="1">
      <c r="A11" s="156">
        <f>IF($B11="","",ROW()-10)</f>
        <v/>
      </c>
      <c r="B11" s="157" t="n"/>
      <c r="C11" s="158" t="n"/>
      <c r="D11" s="159">
        <f>IF($B11="",0,PktStd)</f>
        <v/>
      </c>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E11" s="160" t="n"/>
      <c r="AF11" s="160" t="n"/>
      <c r="AG11" s="160" t="n"/>
      <c r="AH11" s="160" t="n"/>
      <c r="AI11" s="160" t="n"/>
      <c r="AJ11" s="160" t="n"/>
      <c r="AK11" s="160" t="n"/>
      <c r="AL11" s="160" t="n"/>
      <c r="AM11" s="160" t="n"/>
      <c r="AN11" s="160" t="n"/>
      <c r="AO11" s="160" t="n"/>
      <c r="AP11" s="160" t="n"/>
      <c r="AQ11" s="160" t="n"/>
      <c r="AR11" s="160" t="n"/>
      <c r="AS11" s="160" t="n"/>
      <c r="AT11" s="160" t="n"/>
      <c r="AU11" s="160" t="n"/>
      <c r="AV11" s="160" t="n"/>
      <c r="AW11" s="160" t="n"/>
      <c r="AX11" s="160" t="n"/>
      <c r="AY11" s="160" t="n"/>
      <c r="AZ11" s="160" t="n"/>
      <c r="BA11" s="160" t="n"/>
      <c r="BB11" s="160" t="n"/>
      <c r="BC11" s="160" t="n"/>
      <c r="BE11" s="160" t="n"/>
      <c r="BF11" s="160" t="n"/>
      <c r="BG11" s="160" t="n"/>
      <c r="BH11" s="160" t="n"/>
      <c r="BI11" s="160" t="n"/>
      <c r="BJ11" s="160" t="n"/>
      <c r="BK11" s="160" t="n"/>
      <c r="BL11" s="160" t="n"/>
      <c r="BM11" s="160" t="n"/>
      <c r="BN11" s="160" t="n"/>
      <c r="BO11" s="160" t="n"/>
      <c r="BP11" s="160" t="n"/>
      <c r="BQ11" s="160" t="n"/>
      <c r="BR11" s="160" t="n"/>
      <c r="BS11" s="160" t="n"/>
      <c r="BT11" s="160" t="n"/>
      <c r="BU11" s="160" t="n"/>
      <c r="BV11" s="160" t="n"/>
      <c r="BW11" s="160" t="n"/>
      <c r="BX11" s="160" t="n"/>
      <c r="BY11" s="160" t="n"/>
      <c r="BZ11" s="160" t="n"/>
      <c r="CA11" s="160" t="n"/>
      <c r="CB11" s="160" t="n"/>
      <c r="CC11" s="160" t="n"/>
      <c r="CE11" s="160" t="n"/>
      <c r="CF11" s="160" t="n"/>
      <c r="CG11" s="160" t="n"/>
      <c r="CH11" s="160" t="n"/>
      <c r="CI11" s="160" t="n"/>
      <c r="CJ11" s="160" t="n"/>
      <c r="CK11" s="160" t="n"/>
      <c r="CL11" s="160" t="n"/>
      <c r="CM11" s="160" t="n"/>
      <c r="CN11" s="160" t="n"/>
      <c r="CO11" s="160" t="n"/>
      <c r="CP11" s="160" t="n"/>
      <c r="CQ11" s="160" t="n"/>
      <c r="CR11" s="160" t="n"/>
      <c r="CS11" s="160" t="n"/>
      <c r="CT11" s="160" t="n"/>
      <c r="CU11" s="160" t="n"/>
      <c r="CV11" s="160" t="n"/>
      <c r="CW11" s="160" t="n"/>
      <c r="CX11" s="160" t="n"/>
      <c r="CY11" s="160" t="n"/>
      <c r="CZ11" s="160" t="n"/>
      <c r="DA11" s="160" t="n"/>
      <c r="DB11" s="160" t="n"/>
      <c r="DC11" s="160" t="n"/>
    </row>
    <row r="12" ht="24" customHeight="1">
      <c r="A12" s="156">
        <f>IF($B12="","",ROW()-10)</f>
        <v/>
      </c>
      <c r="B12" s="157" t="n"/>
      <c r="C12" s="158" t="n"/>
      <c r="D12" s="159">
        <f>IF($B12="",0,PktStd)</f>
        <v/>
      </c>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E12" s="160" t="n"/>
      <c r="AF12" s="160" t="n"/>
      <c r="AG12" s="160" t="n"/>
      <c r="AH12" s="160" t="n"/>
      <c r="AI12" s="160" t="n"/>
      <c r="AJ12" s="160" t="n"/>
      <c r="AK12" s="160" t="n"/>
      <c r="AL12" s="160" t="n"/>
      <c r="AM12" s="160" t="n"/>
      <c r="AN12" s="160" t="n"/>
      <c r="AO12" s="160" t="n"/>
      <c r="AP12" s="160" t="n"/>
      <c r="AQ12" s="160" t="n"/>
      <c r="AR12" s="160" t="n"/>
      <c r="AS12" s="160" t="n"/>
      <c r="AT12" s="160" t="n"/>
      <c r="AU12" s="160" t="n"/>
      <c r="AV12" s="160" t="n"/>
      <c r="AW12" s="160" t="n"/>
      <c r="AX12" s="160" t="n"/>
      <c r="AY12" s="160" t="n"/>
      <c r="AZ12" s="160" t="n"/>
      <c r="BA12" s="160" t="n"/>
      <c r="BB12" s="160" t="n"/>
      <c r="BC12" s="160" t="n"/>
      <c r="BE12" s="160" t="n"/>
      <c r="BF12" s="160" t="n"/>
      <c r="BG12" s="160" t="n"/>
      <c r="BH12" s="160" t="n"/>
      <c r="BI12" s="160" t="n"/>
      <c r="BJ12" s="160" t="n"/>
      <c r="BK12" s="160" t="n"/>
      <c r="BL12" s="160" t="n"/>
      <c r="BM12" s="160" t="n"/>
      <c r="BN12" s="160" t="n"/>
      <c r="BO12" s="160" t="n"/>
      <c r="BP12" s="160" t="n"/>
      <c r="BQ12" s="160" t="n"/>
      <c r="BR12" s="160" t="n"/>
      <c r="BS12" s="160" t="n"/>
      <c r="BT12" s="160" t="n"/>
      <c r="BU12" s="160" t="n"/>
      <c r="BV12" s="160" t="n"/>
      <c r="BW12" s="160" t="n"/>
      <c r="BX12" s="160" t="n"/>
      <c r="BY12" s="160" t="n"/>
      <c r="BZ12" s="160" t="n"/>
      <c r="CA12" s="160" t="n"/>
      <c r="CB12" s="160" t="n"/>
      <c r="CC12" s="160" t="n"/>
      <c r="CE12" s="160" t="n"/>
      <c r="CF12" s="160" t="n"/>
      <c r="CG12" s="160" t="n"/>
      <c r="CH12" s="160" t="n"/>
      <c r="CI12" s="160" t="n"/>
      <c r="CJ12" s="160" t="n"/>
      <c r="CK12" s="160" t="n"/>
      <c r="CL12" s="160" t="n"/>
      <c r="CM12" s="160" t="n"/>
      <c r="CN12" s="160" t="n"/>
      <c r="CO12" s="160" t="n"/>
      <c r="CP12" s="160" t="n"/>
      <c r="CQ12" s="160" t="n"/>
      <c r="CR12" s="160" t="n"/>
      <c r="CS12" s="160" t="n"/>
      <c r="CT12" s="160" t="n"/>
      <c r="CU12" s="160" t="n"/>
      <c r="CV12" s="160" t="n"/>
      <c r="CW12" s="160" t="n"/>
      <c r="CX12" s="160" t="n"/>
      <c r="CY12" s="160" t="n"/>
      <c r="CZ12" s="160" t="n"/>
      <c r="DA12" s="160" t="n"/>
      <c r="DB12" s="160" t="n"/>
      <c r="DC12" s="160" t="n"/>
    </row>
    <row r="13" ht="24" customHeight="1">
      <c r="A13" s="156">
        <f>IF($B13="","",ROW()-10)</f>
        <v/>
      </c>
      <c r="B13" s="157" t="n"/>
      <c r="C13" s="158" t="n"/>
      <c r="D13" s="159">
        <f>IF($B13="",0,PktStd)</f>
        <v/>
      </c>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E13" s="160" t="n"/>
      <c r="AF13" s="160" t="n"/>
      <c r="AG13" s="160" t="n"/>
      <c r="AH13" s="160" t="n"/>
      <c r="AI13" s="160" t="n"/>
      <c r="AJ13" s="160" t="n"/>
      <c r="AK13" s="160" t="n"/>
      <c r="AL13" s="160" t="n"/>
      <c r="AM13" s="160" t="n"/>
      <c r="AN13" s="160" t="n"/>
      <c r="AO13" s="160" t="n"/>
      <c r="AP13" s="160" t="n"/>
      <c r="AQ13" s="160" t="n"/>
      <c r="AR13" s="160" t="n"/>
      <c r="AS13" s="160" t="n"/>
      <c r="AT13" s="160" t="n"/>
      <c r="AU13" s="160" t="n"/>
      <c r="AV13" s="160" t="n"/>
      <c r="AW13" s="160" t="n"/>
      <c r="AX13" s="160" t="n"/>
      <c r="AY13" s="160" t="n"/>
      <c r="AZ13" s="160" t="n"/>
      <c r="BA13" s="160" t="n"/>
      <c r="BB13" s="160" t="n"/>
      <c r="BC13" s="160" t="n"/>
      <c r="BE13" s="160" t="n"/>
      <c r="BF13" s="160" t="n"/>
      <c r="BG13" s="160" t="n"/>
      <c r="BH13" s="160" t="n"/>
      <c r="BI13" s="160" t="n"/>
      <c r="BJ13" s="160" t="n"/>
      <c r="BK13" s="160" t="n"/>
      <c r="BL13" s="160" t="n"/>
      <c r="BM13" s="160" t="n"/>
      <c r="BN13" s="160" t="n"/>
      <c r="BO13" s="160" t="n"/>
      <c r="BP13" s="160" t="n"/>
      <c r="BQ13" s="160" t="n"/>
      <c r="BR13" s="160" t="n"/>
      <c r="BS13" s="160" t="n"/>
      <c r="BT13" s="160" t="n"/>
      <c r="BU13" s="160" t="n"/>
      <c r="BV13" s="160" t="n"/>
      <c r="BW13" s="160" t="n"/>
      <c r="BX13" s="160" t="n"/>
      <c r="BY13" s="160" t="n"/>
      <c r="BZ13" s="160" t="n"/>
      <c r="CA13" s="160" t="n"/>
      <c r="CB13" s="160" t="n"/>
      <c r="CC13" s="160" t="n"/>
      <c r="CE13" s="160" t="n"/>
      <c r="CF13" s="160" t="n"/>
      <c r="CG13" s="160" t="n"/>
      <c r="CH13" s="160" t="n"/>
      <c r="CI13" s="160" t="n"/>
      <c r="CJ13" s="160" t="n"/>
      <c r="CK13" s="160" t="n"/>
      <c r="CL13" s="160" t="n"/>
      <c r="CM13" s="160" t="n"/>
      <c r="CN13" s="160" t="n"/>
      <c r="CO13" s="160" t="n"/>
      <c r="CP13" s="160" t="n"/>
      <c r="CQ13" s="160" t="n"/>
      <c r="CR13" s="160" t="n"/>
      <c r="CS13" s="160" t="n"/>
      <c r="CT13" s="160" t="n"/>
      <c r="CU13" s="160" t="n"/>
      <c r="CV13" s="160" t="n"/>
      <c r="CW13" s="160" t="n"/>
      <c r="CX13" s="160" t="n"/>
      <c r="CY13" s="160" t="n"/>
      <c r="CZ13" s="160" t="n"/>
      <c r="DA13" s="160" t="n"/>
      <c r="DB13" s="160" t="n"/>
      <c r="DC13" s="160" t="n"/>
    </row>
    <row r="14" ht="24" customHeight="1">
      <c r="A14" s="156">
        <f>IF($B14="","",ROW()-10)</f>
        <v/>
      </c>
      <c r="B14" s="157" t="n"/>
      <c r="C14" s="158" t="n"/>
      <c r="D14" s="159">
        <f>IF($B14="",0,PktStd)</f>
        <v/>
      </c>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E14" s="160" t="n"/>
      <c r="AF14" s="160" t="n"/>
      <c r="AG14" s="160" t="n"/>
      <c r="AH14" s="160" t="n"/>
      <c r="AI14" s="160" t="n"/>
      <c r="AJ14" s="160" t="n"/>
      <c r="AK14" s="160" t="n"/>
      <c r="AL14" s="160" t="n"/>
      <c r="AM14" s="160" t="n"/>
      <c r="AN14" s="160" t="n"/>
      <c r="AO14" s="160" t="n"/>
      <c r="AP14" s="160" t="n"/>
      <c r="AQ14" s="160" t="n"/>
      <c r="AR14" s="160" t="n"/>
      <c r="AS14" s="160" t="n"/>
      <c r="AT14" s="160" t="n"/>
      <c r="AU14" s="160" t="n"/>
      <c r="AV14" s="160" t="n"/>
      <c r="AW14" s="160" t="n"/>
      <c r="AX14" s="160" t="n"/>
      <c r="AY14" s="160" t="n"/>
      <c r="AZ14" s="160" t="n"/>
      <c r="BA14" s="160" t="n"/>
      <c r="BB14" s="160" t="n"/>
      <c r="BC14" s="160" t="n"/>
      <c r="BE14" s="160" t="n"/>
      <c r="BF14" s="160" t="n"/>
      <c r="BG14" s="160" t="n"/>
      <c r="BH14" s="160" t="n"/>
      <c r="BI14" s="160" t="n"/>
      <c r="BJ14" s="160" t="n"/>
      <c r="BK14" s="160" t="n"/>
      <c r="BL14" s="160" t="n"/>
      <c r="BM14" s="160" t="n"/>
      <c r="BN14" s="160" t="n"/>
      <c r="BO14" s="160" t="n"/>
      <c r="BP14" s="160" t="n"/>
      <c r="BQ14" s="160" t="n"/>
      <c r="BR14" s="160" t="n"/>
      <c r="BS14" s="160" t="n"/>
      <c r="BT14" s="160" t="n"/>
      <c r="BU14" s="160" t="n"/>
      <c r="BV14" s="160" t="n"/>
      <c r="BW14" s="160" t="n"/>
      <c r="BX14" s="160" t="n"/>
      <c r="BY14" s="160" t="n"/>
      <c r="BZ14" s="160" t="n"/>
      <c r="CA14" s="160" t="n"/>
      <c r="CB14" s="160" t="n"/>
      <c r="CC14" s="160" t="n"/>
      <c r="CE14" s="160" t="n"/>
      <c r="CF14" s="160" t="n"/>
      <c r="CG14" s="160" t="n"/>
      <c r="CH14" s="160" t="n"/>
      <c r="CI14" s="160" t="n"/>
      <c r="CJ14" s="160" t="n"/>
      <c r="CK14" s="160" t="n"/>
      <c r="CL14" s="160" t="n"/>
      <c r="CM14" s="160" t="n"/>
      <c r="CN14" s="160" t="n"/>
      <c r="CO14" s="160" t="n"/>
      <c r="CP14" s="160" t="n"/>
      <c r="CQ14" s="160" t="n"/>
      <c r="CR14" s="160" t="n"/>
      <c r="CS14" s="160" t="n"/>
      <c r="CT14" s="160" t="n"/>
      <c r="CU14" s="160" t="n"/>
      <c r="CV14" s="160" t="n"/>
      <c r="CW14" s="160" t="n"/>
      <c r="CX14" s="160" t="n"/>
      <c r="CY14" s="160" t="n"/>
      <c r="CZ14" s="160" t="n"/>
      <c r="DA14" s="160" t="n"/>
      <c r="DB14" s="160" t="n"/>
      <c r="DC14" s="160" t="n"/>
    </row>
    <row r="15" ht="24" customHeight="1">
      <c r="A15" s="156">
        <f>IF($B15="","",ROW()-10)</f>
        <v/>
      </c>
      <c r="B15" s="157" t="n"/>
      <c r="C15" s="158" t="n"/>
      <c r="D15" s="159">
        <f>IF($B15="",0,PktStd)</f>
        <v/>
      </c>
      <c r="E15" s="160" t="n"/>
      <c r="F15" s="160" t="n"/>
      <c r="G15" s="160" t="n"/>
      <c r="H15" s="160" t="n"/>
      <c r="I15" s="160" t="n"/>
      <c r="J15" s="160" t="n"/>
      <c r="K15" s="160" t="n"/>
      <c r="L15" s="160" t="n"/>
      <c r="M15" s="160" t="n"/>
      <c r="N15" s="160" t="n"/>
      <c r="O15" s="160" t="n"/>
      <c r="P15" s="160" t="n"/>
      <c r="Q15" s="160" t="n"/>
      <c r="R15" s="160" t="n"/>
      <c r="S15" s="160" t="n"/>
      <c r="T15" s="160" t="n"/>
      <c r="U15" s="160" t="n"/>
      <c r="V15" s="160" t="n"/>
      <c r="W15" s="160" t="n"/>
      <c r="X15" s="160" t="n"/>
      <c r="Y15" s="160" t="n"/>
      <c r="Z15" s="160" t="n"/>
      <c r="AA15" s="160" t="n"/>
      <c r="AB15" s="160" t="n"/>
      <c r="AC15" s="160" t="n"/>
      <c r="AE15" s="160" t="n"/>
      <c r="AF15" s="160" t="n"/>
      <c r="AG15" s="160" t="n"/>
      <c r="AH15" s="160" t="n"/>
      <c r="AI15" s="160" t="n"/>
      <c r="AJ15" s="160" t="n"/>
      <c r="AK15" s="160" t="n"/>
      <c r="AL15" s="160" t="n"/>
      <c r="AM15" s="160" t="n"/>
      <c r="AN15" s="160" t="n"/>
      <c r="AO15" s="160" t="n"/>
      <c r="AP15" s="160" t="n"/>
      <c r="AQ15" s="160" t="n"/>
      <c r="AR15" s="160" t="n"/>
      <c r="AS15" s="160" t="n"/>
      <c r="AT15" s="160" t="n"/>
      <c r="AU15" s="160" t="n"/>
      <c r="AV15" s="160" t="n"/>
      <c r="AW15" s="160" t="n"/>
      <c r="AX15" s="160" t="n"/>
      <c r="AY15" s="160" t="n"/>
      <c r="AZ15" s="160" t="n"/>
      <c r="BA15" s="160" t="n"/>
      <c r="BB15" s="160" t="n"/>
      <c r="BC15" s="160" t="n"/>
      <c r="BE15" s="160" t="n"/>
      <c r="BF15" s="160" t="n"/>
      <c r="BG15" s="160" t="n"/>
      <c r="BH15" s="160" t="n"/>
      <c r="BI15" s="160" t="n"/>
      <c r="BJ15" s="160" t="n"/>
      <c r="BK15" s="160" t="n"/>
      <c r="BL15" s="160" t="n"/>
      <c r="BM15" s="160" t="n"/>
      <c r="BN15" s="160" t="n"/>
      <c r="BO15" s="160" t="n"/>
      <c r="BP15" s="160" t="n"/>
      <c r="BQ15" s="160" t="n"/>
      <c r="BR15" s="160" t="n"/>
      <c r="BS15" s="160" t="n"/>
      <c r="BT15" s="160" t="n"/>
      <c r="BU15" s="160" t="n"/>
      <c r="BV15" s="160" t="n"/>
      <c r="BW15" s="160" t="n"/>
      <c r="BX15" s="160" t="n"/>
      <c r="BY15" s="160" t="n"/>
      <c r="BZ15" s="160" t="n"/>
      <c r="CA15" s="160" t="n"/>
      <c r="CB15" s="160" t="n"/>
      <c r="CC15" s="160" t="n"/>
      <c r="CE15" s="160" t="n"/>
      <c r="CF15" s="160" t="n"/>
      <c r="CG15" s="160" t="n"/>
      <c r="CH15" s="160" t="n"/>
      <c r="CI15" s="160" t="n"/>
      <c r="CJ15" s="160" t="n"/>
      <c r="CK15" s="160" t="n"/>
      <c r="CL15" s="160" t="n"/>
      <c r="CM15" s="160" t="n"/>
      <c r="CN15" s="160" t="n"/>
      <c r="CO15" s="160" t="n"/>
      <c r="CP15" s="160" t="n"/>
      <c r="CQ15" s="160" t="n"/>
      <c r="CR15" s="160" t="n"/>
      <c r="CS15" s="160" t="n"/>
      <c r="CT15" s="160" t="n"/>
      <c r="CU15" s="160" t="n"/>
      <c r="CV15" s="160" t="n"/>
      <c r="CW15" s="160" t="n"/>
      <c r="CX15" s="160" t="n"/>
      <c r="CY15" s="160" t="n"/>
      <c r="CZ15" s="160" t="n"/>
      <c r="DA15" s="160" t="n"/>
      <c r="DB15" s="160" t="n"/>
      <c r="DC15" s="160" t="n"/>
    </row>
    <row r="16" ht="24" customHeight="1">
      <c r="A16" s="156">
        <f>IF($B16="","",ROW()-10)</f>
        <v/>
      </c>
      <c r="B16" s="157" t="n"/>
      <c r="C16" s="158" t="n"/>
      <c r="D16" s="159">
        <f>IF($B16="",0,PktStd)</f>
        <v/>
      </c>
      <c r="E16" s="160" t="n"/>
      <c r="F16" s="160" t="n"/>
      <c r="G16" s="160" t="n"/>
      <c r="H16" s="160" t="n"/>
      <c r="I16" s="160" t="n"/>
      <c r="J16" s="160" t="n"/>
      <c r="K16" s="160" t="n"/>
      <c r="L16" s="160" t="n"/>
      <c r="M16" s="160" t="n"/>
      <c r="N16" s="160" t="n"/>
      <c r="O16" s="160" t="n"/>
      <c r="P16" s="160" t="n"/>
      <c r="Q16" s="160" t="n"/>
      <c r="R16" s="160" t="n"/>
      <c r="S16" s="160" t="n"/>
      <c r="T16" s="160" t="n"/>
      <c r="U16" s="160" t="n"/>
      <c r="V16" s="160" t="n"/>
      <c r="W16" s="160" t="n"/>
      <c r="X16" s="160" t="n"/>
      <c r="Y16" s="160" t="n"/>
      <c r="Z16" s="160" t="n"/>
      <c r="AA16" s="160" t="n"/>
      <c r="AB16" s="160" t="n"/>
      <c r="AC16" s="160" t="n"/>
      <c r="AE16" s="160" t="n"/>
      <c r="AF16" s="160" t="n"/>
      <c r="AG16" s="160" t="n"/>
      <c r="AH16" s="160" t="n"/>
      <c r="AI16" s="160" t="n"/>
      <c r="AJ16" s="160" t="n"/>
      <c r="AK16" s="160" t="n"/>
      <c r="AL16" s="160" t="n"/>
      <c r="AM16" s="160" t="n"/>
      <c r="AN16" s="160" t="n"/>
      <c r="AO16" s="160" t="n"/>
      <c r="AP16" s="160" t="n"/>
      <c r="AQ16" s="160" t="n"/>
      <c r="AR16" s="160" t="n"/>
      <c r="AS16" s="160" t="n"/>
      <c r="AT16" s="160" t="n"/>
      <c r="AU16" s="160" t="n"/>
      <c r="AV16" s="160" t="n"/>
      <c r="AW16" s="160" t="n"/>
      <c r="AX16" s="160" t="n"/>
      <c r="AY16" s="160" t="n"/>
      <c r="AZ16" s="160" t="n"/>
      <c r="BA16" s="160" t="n"/>
      <c r="BB16" s="160" t="n"/>
      <c r="BC16" s="160" t="n"/>
      <c r="BE16" s="160" t="n"/>
      <c r="BF16" s="160" t="n"/>
      <c r="BG16" s="160" t="n"/>
      <c r="BH16" s="160" t="n"/>
      <c r="BI16" s="160" t="n"/>
      <c r="BJ16" s="160" t="n"/>
      <c r="BK16" s="160" t="n"/>
      <c r="BL16" s="160" t="n"/>
      <c r="BM16" s="160" t="n"/>
      <c r="BN16" s="160" t="n"/>
      <c r="BO16" s="160" t="n"/>
      <c r="BP16" s="160" t="n"/>
      <c r="BQ16" s="160" t="n"/>
      <c r="BR16" s="160" t="n"/>
      <c r="BS16" s="160" t="n"/>
      <c r="BT16" s="160" t="n"/>
      <c r="BU16" s="160" t="n"/>
      <c r="BV16" s="160" t="n"/>
      <c r="BW16" s="160" t="n"/>
      <c r="BX16" s="160" t="n"/>
      <c r="BY16" s="160" t="n"/>
      <c r="BZ16" s="160" t="n"/>
      <c r="CA16" s="160" t="n"/>
      <c r="CB16" s="160" t="n"/>
      <c r="CC16" s="160" t="n"/>
      <c r="CE16" s="160" t="n"/>
      <c r="CF16" s="160" t="n"/>
      <c r="CG16" s="160" t="n"/>
      <c r="CH16" s="160" t="n"/>
      <c r="CI16" s="160" t="n"/>
      <c r="CJ16" s="160" t="n"/>
      <c r="CK16" s="160" t="n"/>
      <c r="CL16" s="160" t="n"/>
      <c r="CM16" s="160" t="n"/>
      <c r="CN16" s="160" t="n"/>
      <c r="CO16" s="160" t="n"/>
      <c r="CP16" s="160" t="n"/>
      <c r="CQ16" s="160" t="n"/>
      <c r="CR16" s="160" t="n"/>
      <c r="CS16" s="160" t="n"/>
      <c r="CT16" s="160" t="n"/>
      <c r="CU16" s="160" t="n"/>
      <c r="CV16" s="160" t="n"/>
      <c r="CW16" s="160" t="n"/>
      <c r="CX16" s="160" t="n"/>
      <c r="CY16" s="160" t="n"/>
      <c r="CZ16" s="160" t="n"/>
      <c r="DA16" s="160" t="n"/>
      <c r="DB16" s="160" t="n"/>
      <c r="DC16" s="160" t="n"/>
    </row>
    <row r="17" ht="24" customHeight="1">
      <c r="A17" s="156">
        <f>IF($B17="","",ROW()-10)</f>
        <v/>
      </c>
      <c r="B17" s="157" t="n"/>
      <c r="C17" s="158" t="n"/>
      <c r="D17" s="159">
        <f>IF($B17="",0,PktStd)</f>
        <v/>
      </c>
      <c r="E17" s="160" t="n"/>
      <c r="F17" s="160" t="n"/>
      <c r="G17" s="160" t="n"/>
      <c r="H17" s="160" t="n"/>
      <c r="I17" s="160" t="n"/>
      <c r="J17" s="160" t="n"/>
      <c r="K17" s="160" t="n"/>
      <c r="L17" s="160" t="n"/>
      <c r="M17" s="160" t="n"/>
      <c r="N17" s="160" t="n"/>
      <c r="O17" s="160" t="n"/>
      <c r="P17" s="160" t="n"/>
      <c r="Q17" s="160" t="n"/>
      <c r="R17" s="160" t="n"/>
      <c r="S17" s="160" t="n"/>
      <c r="T17" s="160" t="n"/>
      <c r="U17" s="160" t="n"/>
      <c r="V17" s="160" t="n"/>
      <c r="W17" s="160" t="n"/>
      <c r="X17" s="160" t="n"/>
      <c r="Y17" s="160" t="n"/>
      <c r="Z17" s="160" t="n"/>
      <c r="AA17" s="160" t="n"/>
      <c r="AB17" s="160" t="n"/>
      <c r="AC17" s="160" t="n"/>
      <c r="AE17" s="160" t="n"/>
      <c r="AF17" s="160" t="n"/>
      <c r="AG17" s="160" t="n"/>
      <c r="AH17" s="160" t="n"/>
      <c r="AI17" s="160" t="n"/>
      <c r="AJ17" s="160" t="n"/>
      <c r="AK17" s="160" t="n"/>
      <c r="AL17" s="160" t="n"/>
      <c r="AM17" s="160" t="n"/>
      <c r="AN17" s="160" t="n"/>
      <c r="AO17" s="160" t="n"/>
      <c r="AP17" s="160" t="n"/>
      <c r="AQ17" s="160" t="n"/>
      <c r="AR17" s="160" t="n"/>
      <c r="AS17" s="160" t="n"/>
      <c r="AT17" s="160" t="n"/>
      <c r="AU17" s="160" t="n"/>
      <c r="AV17" s="160" t="n"/>
      <c r="AW17" s="160" t="n"/>
      <c r="AX17" s="160" t="n"/>
      <c r="AY17" s="160" t="n"/>
      <c r="AZ17" s="160" t="n"/>
      <c r="BA17" s="160" t="n"/>
      <c r="BB17" s="160" t="n"/>
      <c r="BC17" s="160" t="n"/>
      <c r="BE17" s="160" t="n"/>
      <c r="BF17" s="160" t="n"/>
      <c r="BG17" s="160" t="n"/>
      <c r="BH17" s="160" t="n"/>
      <c r="BI17" s="160" t="n"/>
      <c r="BJ17" s="160" t="n"/>
      <c r="BK17" s="160" t="n"/>
      <c r="BL17" s="160" t="n"/>
      <c r="BM17" s="160" t="n"/>
      <c r="BN17" s="160" t="n"/>
      <c r="BO17" s="160" t="n"/>
      <c r="BP17" s="160" t="n"/>
      <c r="BQ17" s="160" t="n"/>
      <c r="BR17" s="160" t="n"/>
      <c r="BS17" s="160" t="n"/>
      <c r="BT17" s="160" t="n"/>
      <c r="BU17" s="160" t="n"/>
      <c r="BV17" s="160" t="n"/>
      <c r="BW17" s="160" t="n"/>
      <c r="BX17" s="160" t="n"/>
      <c r="BY17" s="160" t="n"/>
      <c r="BZ17" s="160" t="n"/>
      <c r="CA17" s="160" t="n"/>
      <c r="CB17" s="160" t="n"/>
      <c r="CC17" s="160" t="n"/>
      <c r="CE17" s="160" t="n"/>
      <c r="CF17" s="160" t="n"/>
      <c r="CG17" s="160" t="n"/>
      <c r="CH17" s="160" t="n"/>
      <c r="CI17" s="160" t="n"/>
      <c r="CJ17" s="160" t="n"/>
      <c r="CK17" s="160" t="n"/>
      <c r="CL17" s="160" t="n"/>
      <c r="CM17" s="160" t="n"/>
      <c r="CN17" s="160" t="n"/>
      <c r="CO17" s="160" t="n"/>
      <c r="CP17" s="160" t="n"/>
      <c r="CQ17" s="160" t="n"/>
      <c r="CR17" s="160" t="n"/>
      <c r="CS17" s="160" t="n"/>
      <c r="CT17" s="160" t="n"/>
      <c r="CU17" s="160" t="n"/>
      <c r="CV17" s="160" t="n"/>
      <c r="CW17" s="160" t="n"/>
      <c r="CX17" s="160" t="n"/>
      <c r="CY17" s="160" t="n"/>
      <c r="CZ17" s="160" t="n"/>
      <c r="DA17" s="160" t="n"/>
      <c r="DB17" s="160" t="n"/>
      <c r="DC17" s="160" t="n"/>
    </row>
    <row r="18" ht="24" customHeight="1">
      <c r="A18" s="156">
        <f>IF($B18="","",ROW()-10)</f>
        <v/>
      </c>
      <c r="B18" s="157" t="n"/>
      <c r="C18" s="158" t="n"/>
      <c r="D18" s="159">
        <f>IF($B18="",0,PktStd)</f>
        <v/>
      </c>
      <c r="E18" s="160" t="n"/>
      <c r="F18" s="160" t="n"/>
      <c r="G18" s="160" t="n"/>
      <c r="H18" s="160" t="n"/>
      <c r="I18" s="160" t="n"/>
      <c r="J18" s="160" t="n"/>
      <c r="K18" s="160" t="n"/>
      <c r="L18" s="160" t="n"/>
      <c r="M18" s="160" t="n"/>
      <c r="N18" s="160" t="n"/>
      <c r="O18" s="160" t="n"/>
      <c r="P18" s="160" t="n"/>
      <c r="Q18" s="160" t="n"/>
      <c r="R18" s="160" t="n"/>
      <c r="S18" s="160" t="n"/>
      <c r="T18" s="160" t="n"/>
      <c r="U18" s="160" t="n"/>
      <c r="V18" s="160" t="n"/>
      <c r="W18" s="160" t="n"/>
      <c r="X18" s="160" t="n"/>
      <c r="Y18" s="160" t="n"/>
      <c r="Z18" s="160" t="n"/>
      <c r="AA18" s="160" t="n"/>
      <c r="AB18" s="160" t="n"/>
      <c r="AC18" s="160" t="n"/>
      <c r="AE18" s="160" t="n"/>
      <c r="AF18" s="160" t="n"/>
      <c r="AG18" s="160" t="n"/>
      <c r="AH18" s="160" t="n"/>
      <c r="AI18" s="160" t="n"/>
      <c r="AJ18" s="160" t="n"/>
      <c r="AK18" s="160" t="n"/>
      <c r="AL18" s="160" t="n"/>
      <c r="AM18" s="160" t="n"/>
      <c r="AN18" s="160" t="n"/>
      <c r="AO18" s="160" t="n"/>
      <c r="AP18" s="160" t="n"/>
      <c r="AQ18" s="160" t="n"/>
      <c r="AR18" s="160" t="n"/>
      <c r="AS18" s="160" t="n"/>
      <c r="AT18" s="160" t="n"/>
      <c r="AU18" s="160" t="n"/>
      <c r="AV18" s="160" t="n"/>
      <c r="AW18" s="160" t="n"/>
      <c r="AX18" s="160" t="n"/>
      <c r="AY18" s="160" t="n"/>
      <c r="AZ18" s="160" t="n"/>
      <c r="BA18" s="160" t="n"/>
      <c r="BB18" s="160" t="n"/>
      <c r="BC18" s="160" t="n"/>
      <c r="BE18" s="160" t="n"/>
      <c r="BF18" s="160" t="n"/>
      <c r="BG18" s="160" t="n"/>
      <c r="BH18" s="160" t="n"/>
      <c r="BI18" s="160" t="n"/>
      <c r="BJ18" s="160" t="n"/>
      <c r="BK18" s="160" t="n"/>
      <c r="BL18" s="160" t="n"/>
      <c r="BM18" s="160" t="n"/>
      <c r="BN18" s="160" t="n"/>
      <c r="BO18" s="160" t="n"/>
      <c r="BP18" s="160" t="n"/>
      <c r="BQ18" s="160" t="n"/>
      <c r="BR18" s="160" t="n"/>
      <c r="BS18" s="160" t="n"/>
      <c r="BT18" s="160" t="n"/>
      <c r="BU18" s="160" t="n"/>
      <c r="BV18" s="160" t="n"/>
      <c r="BW18" s="160" t="n"/>
      <c r="BX18" s="160" t="n"/>
      <c r="BY18" s="160" t="n"/>
      <c r="BZ18" s="160" t="n"/>
      <c r="CA18" s="160" t="n"/>
      <c r="CB18" s="160" t="n"/>
      <c r="CC18" s="160" t="n"/>
      <c r="CE18" s="160" t="n"/>
      <c r="CF18" s="160" t="n"/>
      <c r="CG18" s="160" t="n"/>
      <c r="CH18" s="160" t="n"/>
      <c r="CI18" s="160" t="n"/>
      <c r="CJ18" s="160" t="n"/>
      <c r="CK18" s="160" t="n"/>
      <c r="CL18" s="160" t="n"/>
      <c r="CM18" s="160" t="n"/>
      <c r="CN18" s="160" t="n"/>
      <c r="CO18" s="160" t="n"/>
      <c r="CP18" s="160" t="n"/>
      <c r="CQ18" s="160" t="n"/>
      <c r="CR18" s="160" t="n"/>
      <c r="CS18" s="160" t="n"/>
      <c r="CT18" s="160" t="n"/>
      <c r="CU18" s="160" t="n"/>
      <c r="CV18" s="160" t="n"/>
      <c r="CW18" s="160" t="n"/>
      <c r="CX18" s="160" t="n"/>
      <c r="CY18" s="160" t="n"/>
      <c r="CZ18" s="160" t="n"/>
      <c r="DA18" s="160" t="n"/>
      <c r="DB18" s="160" t="n"/>
      <c r="DC18" s="160" t="n"/>
    </row>
    <row r="19" ht="24" customHeight="1">
      <c r="A19" s="156">
        <f>IF($B19="","",ROW()-10)</f>
        <v/>
      </c>
      <c r="B19" s="157" t="n"/>
      <c r="C19" s="158" t="n"/>
      <c r="D19" s="159">
        <f>IF($B19="",0,PktStd)</f>
        <v/>
      </c>
      <c r="E19" s="160" t="n"/>
      <c r="F19" s="160" t="n"/>
      <c r="G19" s="160" t="n"/>
      <c r="H19" s="160" t="n"/>
      <c r="I19" s="160" t="n"/>
      <c r="J19" s="160" t="n"/>
      <c r="K19" s="160" t="n"/>
      <c r="L19" s="160" t="n"/>
      <c r="M19" s="160" t="n"/>
      <c r="N19" s="160" t="n"/>
      <c r="O19" s="160" t="n"/>
      <c r="P19" s="160" t="n"/>
      <c r="Q19" s="160" t="n"/>
      <c r="R19" s="160" t="n"/>
      <c r="S19" s="160" t="n"/>
      <c r="T19" s="160" t="n"/>
      <c r="U19" s="160" t="n"/>
      <c r="V19" s="160" t="n"/>
      <c r="W19" s="160" t="n"/>
      <c r="X19" s="160" t="n"/>
      <c r="Y19" s="160" t="n"/>
      <c r="Z19" s="160" t="n"/>
      <c r="AA19" s="160" t="n"/>
      <c r="AB19" s="160" t="n"/>
      <c r="AC19" s="160" t="n"/>
      <c r="AE19" s="160" t="n"/>
      <c r="AF19" s="160" t="n"/>
      <c r="AG19" s="160" t="n"/>
      <c r="AH19" s="160" t="n"/>
      <c r="AI19" s="160" t="n"/>
      <c r="AJ19" s="160" t="n"/>
      <c r="AK19" s="160" t="n"/>
      <c r="AL19" s="160" t="n"/>
      <c r="AM19" s="160" t="n"/>
      <c r="AN19" s="160" t="n"/>
      <c r="AO19" s="160" t="n"/>
      <c r="AP19" s="160" t="n"/>
      <c r="AQ19" s="160" t="n"/>
      <c r="AR19" s="160" t="n"/>
      <c r="AS19" s="160" t="n"/>
      <c r="AT19" s="160" t="n"/>
      <c r="AU19" s="160" t="n"/>
      <c r="AV19" s="160" t="n"/>
      <c r="AW19" s="160" t="n"/>
      <c r="AX19" s="160" t="n"/>
      <c r="AY19" s="160" t="n"/>
      <c r="AZ19" s="160" t="n"/>
      <c r="BA19" s="160" t="n"/>
      <c r="BB19" s="160" t="n"/>
      <c r="BC19" s="160" t="n"/>
      <c r="BE19" s="160" t="n"/>
      <c r="BF19" s="160" t="n"/>
      <c r="BG19" s="160" t="n"/>
      <c r="BH19" s="160" t="n"/>
      <c r="BI19" s="160" t="n"/>
      <c r="BJ19" s="160" t="n"/>
      <c r="BK19" s="160" t="n"/>
      <c r="BL19" s="160" t="n"/>
      <c r="BM19" s="160" t="n"/>
      <c r="BN19" s="160" t="n"/>
      <c r="BO19" s="160" t="n"/>
      <c r="BP19" s="160" t="n"/>
      <c r="BQ19" s="160" t="n"/>
      <c r="BR19" s="160" t="n"/>
      <c r="BS19" s="160" t="n"/>
      <c r="BT19" s="160" t="n"/>
      <c r="BU19" s="160" t="n"/>
      <c r="BV19" s="160" t="n"/>
      <c r="BW19" s="160" t="n"/>
      <c r="BX19" s="160" t="n"/>
      <c r="BY19" s="160" t="n"/>
      <c r="BZ19" s="160" t="n"/>
      <c r="CA19" s="160" t="n"/>
      <c r="CB19" s="160" t="n"/>
      <c r="CC19" s="160" t="n"/>
      <c r="CE19" s="160" t="n"/>
      <c r="CF19" s="160" t="n"/>
      <c r="CG19" s="160" t="n"/>
      <c r="CH19" s="160" t="n"/>
      <c r="CI19" s="160" t="n"/>
      <c r="CJ19" s="160" t="n"/>
      <c r="CK19" s="160" t="n"/>
      <c r="CL19" s="160" t="n"/>
      <c r="CM19" s="160" t="n"/>
      <c r="CN19" s="160" t="n"/>
      <c r="CO19" s="160" t="n"/>
      <c r="CP19" s="160" t="n"/>
      <c r="CQ19" s="160" t="n"/>
      <c r="CR19" s="160" t="n"/>
      <c r="CS19" s="160" t="n"/>
      <c r="CT19" s="160" t="n"/>
      <c r="CU19" s="160" t="n"/>
      <c r="CV19" s="160" t="n"/>
      <c r="CW19" s="160" t="n"/>
      <c r="CX19" s="160" t="n"/>
      <c r="CY19" s="160" t="n"/>
      <c r="CZ19" s="160" t="n"/>
      <c r="DA19" s="160" t="n"/>
      <c r="DB19" s="160" t="n"/>
      <c r="DC19" s="160" t="n"/>
    </row>
    <row r="20" ht="24" customHeight="1">
      <c r="A20" s="156">
        <f>IF($B20="","",ROW()-10)</f>
        <v/>
      </c>
      <c r="B20" s="157" t="n"/>
      <c r="C20" s="158" t="n"/>
      <c r="D20" s="159">
        <f>IF($B20="",0,PktStd)</f>
        <v/>
      </c>
      <c r="E20" s="160" t="n"/>
      <c r="F20" s="160" t="n"/>
      <c r="G20" s="160" t="n"/>
      <c r="H20" s="160" t="n"/>
      <c r="I20" s="160" t="n"/>
      <c r="J20" s="160" t="n"/>
      <c r="K20" s="160" t="n"/>
      <c r="L20" s="160" t="n"/>
      <c r="M20" s="160" t="n"/>
      <c r="N20" s="160" t="n"/>
      <c r="O20" s="160" t="n"/>
      <c r="P20" s="160" t="n"/>
      <c r="Q20" s="160" t="n"/>
      <c r="R20" s="160" t="n"/>
      <c r="S20" s="160" t="n"/>
      <c r="T20" s="160" t="n"/>
      <c r="U20" s="160" t="n"/>
      <c r="V20" s="160" t="n"/>
      <c r="W20" s="160" t="n"/>
      <c r="X20" s="160" t="n"/>
      <c r="Y20" s="160" t="n"/>
      <c r="Z20" s="160" t="n"/>
      <c r="AA20" s="160" t="n"/>
      <c r="AB20" s="160" t="n"/>
      <c r="AC20" s="160" t="n"/>
      <c r="AE20" s="160" t="n"/>
      <c r="AF20" s="160" t="n"/>
      <c r="AG20" s="160" t="n"/>
      <c r="AH20" s="160" t="n"/>
      <c r="AI20" s="160" t="n"/>
      <c r="AJ20" s="160" t="n"/>
      <c r="AK20" s="160" t="n"/>
      <c r="AL20" s="160" t="n"/>
      <c r="AM20" s="160" t="n"/>
      <c r="AN20" s="160" t="n"/>
      <c r="AO20" s="160" t="n"/>
      <c r="AP20" s="160" t="n"/>
      <c r="AQ20" s="160" t="n"/>
      <c r="AR20" s="160" t="n"/>
      <c r="AS20" s="160" t="n"/>
      <c r="AT20" s="160" t="n"/>
      <c r="AU20" s="160" t="n"/>
      <c r="AV20" s="160" t="n"/>
      <c r="AW20" s="160" t="n"/>
      <c r="AX20" s="160" t="n"/>
      <c r="AY20" s="160" t="n"/>
      <c r="AZ20" s="160" t="n"/>
      <c r="BA20" s="160" t="n"/>
      <c r="BB20" s="160" t="n"/>
      <c r="BC20" s="160" t="n"/>
      <c r="BE20" s="160" t="n"/>
      <c r="BF20" s="160" t="n"/>
      <c r="BG20" s="160" t="n"/>
      <c r="BH20" s="160" t="n"/>
      <c r="BI20" s="160" t="n"/>
      <c r="BJ20" s="160" t="n"/>
      <c r="BK20" s="160" t="n"/>
      <c r="BL20" s="160" t="n"/>
      <c r="BM20" s="160" t="n"/>
      <c r="BN20" s="160" t="n"/>
      <c r="BO20" s="160" t="n"/>
      <c r="BP20" s="160" t="n"/>
      <c r="BQ20" s="160" t="n"/>
      <c r="BR20" s="160" t="n"/>
      <c r="BS20" s="160" t="n"/>
      <c r="BT20" s="160" t="n"/>
      <c r="BU20" s="160" t="n"/>
      <c r="BV20" s="160" t="n"/>
      <c r="BW20" s="160" t="n"/>
      <c r="BX20" s="160" t="n"/>
      <c r="BY20" s="160" t="n"/>
      <c r="BZ20" s="160" t="n"/>
      <c r="CA20" s="160" t="n"/>
      <c r="CB20" s="160" t="n"/>
      <c r="CC20" s="160" t="n"/>
      <c r="CE20" s="160" t="n"/>
      <c r="CF20" s="160" t="n"/>
      <c r="CG20" s="160" t="n"/>
      <c r="CH20" s="160" t="n"/>
      <c r="CI20" s="160" t="n"/>
      <c r="CJ20" s="160" t="n"/>
      <c r="CK20" s="160" t="n"/>
      <c r="CL20" s="160" t="n"/>
      <c r="CM20" s="160" t="n"/>
      <c r="CN20" s="160" t="n"/>
      <c r="CO20" s="160" t="n"/>
      <c r="CP20" s="160" t="n"/>
      <c r="CQ20" s="160" t="n"/>
      <c r="CR20" s="160" t="n"/>
      <c r="CS20" s="160" t="n"/>
      <c r="CT20" s="160" t="n"/>
      <c r="CU20" s="160" t="n"/>
      <c r="CV20" s="160" t="n"/>
      <c r="CW20" s="160" t="n"/>
      <c r="CX20" s="160" t="n"/>
      <c r="CY20" s="160" t="n"/>
      <c r="CZ20" s="160" t="n"/>
      <c r="DA20" s="160" t="n"/>
      <c r="DB20" s="160" t="n"/>
      <c r="DC20" s="160" t="n"/>
    </row>
    <row r="21" ht="24" customHeight="1">
      <c r="A21" s="156">
        <f>IF($B21="","",ROW()-10)</f>
        <v/>
      </c>
      <c r="B21" s="157" t="n"/>
      <c r="C21" s="158" t="n"/>
      <c r="D21" s="159">
        <f>IF($B21="",0,PktStd)</f>
        <v/>
      </c>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row>
    <row r="22" ht="24" customHeight="1">
      <c r="A22" s="156">
        <f>IF($B22="","",ROW()-10)</f>
        <v/>
      </c>
      <c r="B22" s="157" t="n"/>
      <c r="C22" s="158" t="n"/>
      <c r="D22" s="159">
        <f>IF($B22="",0,PktStd)</f>
        <v/>
      </c>
      <c r="E22" s="160" t="n"/>
      <c r="F22" s="160" t="n"/>
      <c r="G22" s="160" t="n"/>
      <c r="H22" s="160" t="n"/>
      <c r="I22" s="160" t="n"/>
      <c r="J22" s="160" t="n"/>
      <c r="K22" s="160" t="n"/>
      <c r="L22" s="160" t="n"/>
      <c r="M22" s="160" t="n"/>
      <c r="N22" s="160" t="n"/>
      <c r="O22" s="160" t="n"/>
      <c r="P22" s="160" t="n"/>
      <c r="Q22" s="160" t="n"/>
      <c r="R22" s="160" t="n"/>
      <c r="S22" s="160" t="n"/>
      <c r="T22" s="160" t="n"/>
      <c r="U22" s="160" t="n"/>
      <c r="V22" s="160" t="n"/>
      <c r="W22" s="160" t="n"/>
      <c r="X22" s="160" t="n"/>
      <c r="Y22" s="160" t="n"/>
      <c r="Z22" s="160" t="n"/>
      <c r="AA22" s="160" t="n"/>
      <c r="AB22" s="160" t="n"/>
      <c r="AC22" s="160" t="n"/>
      <c r="AE22" s="160" t="n"/>
      <c r="AF22" s="160" t="n"/>
      <c r="AG22" s="160" t="n"/>
      <c r="AH22" s="160" t="n"/>
      <c r="AI22" s="160" t="n"/>
      <c r="AJ22" s="160" t="n"/>
      <c r="AK22" s="160" t="n"/>
      <c r="AL22" s="160" t="n"/>
      <c r="AM22" s="160" t="n"/>
      <c r="AN22" s="160" t="n"/>
      <c r="AO22" s="160" t="n"/>
      <c r="AP22" s="160" t="n"/>
      <c r="AQ22" s="160" t="n"/>
      <c r="AR22" s="160" t="n"/>
      <c r="AS22" s="160" t="n"/>
      <c r="AT22" s="160" t="n"/>
      <c r="AU22" s="160" t="n"/>
      <c r="AV22" s="160" t="n"/>
      <c r="AW22" s="160" t="n"/>
      <c r="AX22" s="160" t="n"/>
      <c r="AY22" s="160" t="n"/>
      <c r="AZ22" s="160" t="n"/>
      <c r="BA22" s="160" t="n"/>
      <c r="BB22" s="160" t="n"/>
      <c r="BC22" s="160" t="n"/>
      <c r="BE22" s="160" t="n"/>
      <c r="BF22" s="160" t="n"/>
      <c r="BG22" s="160" t="n"/>
      <c r="BH22" s="160" t="n"/>
      <c r="BI22" s="160" t="n"/>
      <c r="BJ22" s="160" t="n"/>
      <c r="BK22" s="160" t="n"/>
      <c r="BL22" s="160" t="n"/>
      <c r="BM22" s="160" t="n"/>
      <c r="BN22" s="160" t="n"/>
      <c r="BO22" s="160" t="n"/>
      <c r="BP22" s="160" t="n"/>
      <c r="BQ22" s="160" t="n"/>
      <c r="BR22" s="160" t="n"/>
      <c r="BS22" s="160" t="n"/>
      <c r="BT22" s="160" t="n"/>
      <c r="BU22" s="160" t="n"/>
      <c r="BV22" s="160" t="n"/>
      <c r="BW22" s="160" t="n"/>
      <c r="BX22" s="160" t="n"/>
      <c r="BY22" s="160" t="n"/>
      <c r="BZ22" s="160" t="n"/>
      <c r="CA22" s="160" t="n"/>
      <c r="CB22" s="160" t="n"/>
      <c r="CC22" s="160" t="n"/>
      <c r="CE22" s="160" t="n"/>
      <c r="CF22" s="160" t="n"/>
      <c r="CG22" s="160" t="n"/>
      <c r="CH22" s="160" t="n"/>
      <c r="CI22" s="160" t="n"/>
      <c r="CJ22" s="160" t="n"/>
      <c r="CK22" s="160" t="n"/>
      <c r="CL22" s="160" t="n"/>
      <c r="CM22" s="160" t="n"/>
      <c r="CN22" s="160" t="n"/>
      <c r="CO22" s="160" t="n"/>
      <c r="CP22" s="160" t="n"/>
      <c r="CQ22" s="160" t="n"/>
      <c r="CR22" s="160" t="n"/>
      <c r="CS22" s="160" t="n"/>
      <c r="CT22" s="160" t="n"/>
      <c r="CU22" s="160" t="n"/>
      <c r="CV22" s="160" t="n"/>
      <c r="CW22" s="160" t="n"/>
      <c r="CX22" s="160" t="n"/>
      <c r="CY22" s="160" t="n"/>
      <c r="CZ22" s="160" t="n"/>
      <c r="DA22" s="160" t="n"/>
      <c r="DB22" s="160" t="n"/>
      <c r="DC22" s="160" t="n"/>
    </row>
    <row r="23" ht="24" customHeight="1">
      <c r="A23" s="156">
        <f>IF($B23="","",ROW()-10)</f>
        <v/>
      </c>
      <c r="B23" s="157" t="n"/>
      <c r="C23" s="158" t="n"/>
      <c r="D23" s="159">
        <f>IF($B23="",0,PktStd)</f>
        <v/>
      </c>
      <c r="E23" s="160" t="n"/>
      <c r="F23" s="160" t="n"/>
      <c r="G23" s="160" t="n"/>
      <c r="H23" s="160" t="n"/>
      <c r="I23" s="160" t="n"/>
      <c r="J23" s="160" t="n"/>
      <c r="K23" s="160" t="n"/>
      <c r="L23" s="160" t="n"/>
      <c r="M23" s="160" t="n"/>
      <c r="N23" s="160" t="n"/>
      <c r="O23" s="160" t="n"/>
      <c r="P23" s="160" t="n"/>
      <c r="Q23" s="160" t="n"/>
      <c r="R23" s="160" t="n"/>
      <c r="S23" s="160" t="n"/>
      <c r="T23" s="160" t="n"/>
      <c r="U23" s="160" t="n"/>
      <c r="V23" s="160" t="n"/>
      <c r="W23" s="160" t="n"/>
      <c r="X23" s="160" t="n"/>
      <c r="Y23" s="160" t="n"/>
      <c r="Z23" s="160" t="n"/>
      <c r="AA23" s="160" t="n"/>
      <c r="AB23" s="160" t="n"/>
      <c r="AC23" s="160" t="n"/>
      <c r="AE23" s="160" t="n"/>
      <c r="AF23" s="160" t="n"/>
      <c r="AG23" s="160" t="n"/>
      <c r="AH23" s="160" t="n"/>
      <c r="AI23" s="160" t="n"/>
      <c r="AJ23" s="160" t="n"/>
      <c r="AK23" s="160" t="n"/>
      <c r="AL23" s="160" t="n"/>
      <c r="AM23" s="160" t="n"/>
      <c r="AN23" s="160" t="n"/>
      <c r="AO23" s="160" t="n"/>
      <c r="AP23" s="160" t="n"/>
      <c r="AQ23" s="160" t="n"/>
      <c r="AR23" s="160" t="n"/>
      <c r="AS23" s="160" t="n"/>
      <c r="AT23" s="160" t="n"/>
      <c r="AU23" s="160" t="n"/>
      <c r="AV23" s="160" t="n"/>
      <c r="AW23" s="160" t="n"/>
      <c r="AX23" s="160" t="n"/>
      <c r="AY23" s="160" t="n"/>
      <c r="AZ23" s="160" t="n"/>
      <c r="BA23" s="160" t="n"/>
      <c r="BB23" s="160" t="n"/>
      <c r="BC23" s="160" t="n"/>
      <c r="BE23" s="160" t="n"/>
      <c r="BF23" s="160" t="n"/>
      <c r="BG23" s="160" t="n"/>
      <c r="BH23" s="160" t="n"/>
      <c r="BI23" s="160" t="n"/>
      <c r="BJ23" s="160" t="n"/>
      <c r="BK23" s="160" t="n"/>
      <c r="BL23" s="160" t="n"/>
      <c r="BM23" s="160" t="n"/>
      <c r="BN23" s="160" t="n"/>
      <c r="BO23" s="160" t="n"/>
      <c r="BP23" s="160" t="n"/>
      <c r="BQ23" s="160" t="n"/>
      <c r="BR23" s="160" t="n"/>
      <c r="BS23" s="160" t="n"/>
      <c r="BT23" s="160" t="n"/>
      <c r="BU23" s="160" t="n"/>
      <c r="BV23" s="160" t="n"/>
      <c r="BW23" s="160" t="n"/>
      <c r="BX23" s="160" t="n"/>
      <c r="BY23" s="160" t="n"/>
      <c r="BZ23" s="160" t="n"/>
      <c r="CA23" s="160" t="n"/>
      <c r="CB23" s="160" t="n"/>
      <c r="CC23" s="160" t="n"/>
      <c r="CE23" s="160" t="n"/>
      <c r="CF23" s="160" t="n"/>
      <c r="CG23" s="160" t="n"/>
      <c r="CH23" s="160" t="n"/>
      <c r="CI23" s="160" t="n"/>
      <c r="CJ23" s="160" t="n"/>
      <c r="CK23" s="160" t="n"/>
      <c r="CL23" s="160" t="n"/>
      <c r="CM23" s="160" t="n"/>
      <c r="CN23" s="160" t="n"/>
      <c r="CO23" s="160" t="n"/>
      <c r="CP23" s="160" t="n"/>
      <c r="CQ23" s="160" t="n"/>
      <c r="CR23" s="160" t="n"/>
      <c r="CS23" s="160" t="n"/>
      <c r="CT23" s="160" t="n"/>
      <c r="CU23" s="160" t="n"/>
      <c r="CV23" s="160" t="n"/>
      <c r="CW23" s="160" t="n"/>
      <c r="CX23" s="160" t="n"/>
      <c r="CY23" s="160" t="n"/>
      <c r="CZ23" s="160" t="n"/>
      <c r="DA23" s="160" t="n"/>
      <c r="DB23" s="160" t="n"/>
      <c r="DC23" s="160" t="n"/>
    </row>
    <row r="24" ht="24" customHeight="1">
      <c r="A24" s="156">
        <f>IF($B24="","",ROW()-10)</f>
        <v/>
      </c>
      <c r="B24" s="157" t="n"/>
      <c r="C24" s="158" t="n"/>
      <c r="D24" s="159">
        <f>IF($B24="",0,PktStd)</f>
        <v/>
      </c>
      <c r="E24" s="160" t="n"/>
      <c r="F24" s="160" t="n"/>
      <c r="G24" s="160" t="n"/>
      <c r="H24" s="160" t="n"/>
      <c r="I24" s="160" t="n"/>
      <c r="J24" s="160" t="n"/>
      <c r="K24" s="160" t="n"/>
      <c r="L24" s="160" t="n"/>
      <c r="M24" s="160" t="n"/>
      <c r="N24" s="160" t="n"/>
      <c r="O24" s="160" t="n"/>
      <c r="P24" s="160" t="n"/>
      <c r="Q24" s="160" t="n"/>
      <c r="R24" s="160" t="n"/>
      <c r="S24" s="160" t="n"/>
      <c r="T24" s="160" t="n"/>
      <c r="U24" s="160" t="n"/>
      <c r="V24" s="160" t="n"/>
      <c r="W24" s="160" t="n"/>
      <c r="X24" s="160" t="n"/>
      <c r="Y24" s="160" t="n"/>
      <c r="Z24" s="160" t="n"/>
      <c r="AA24" s="160" t="n"/>
      <c r="AB24" s="160" t="n"/>
      <c r="AC24" s="160" t="n"/>
      <c r="AE24" s="160" t="n"/>
      <c r="AF24" s="160" t="n"/>
      <c r="AG24" s="160" t="n"/>
      <c r="AH24" s="160" t="n"/>
      <c r="AI24" s="160" t="n"/>
      <c r="AJ24" s="160" t="n"/>
      <c r="AK24" s="160" t="n"/>
      <c r="AL24" s="160" t="n"/>
      <c r="AM24" s="160" t="n"/>
      <c r="AN24" s="160" t="n"/>
      <c r="AO24" s="160" t="n"/>
      <c r="AP24" s="160" t="n"/>
      <c r="AQ24" s="160" t="n"/>
      <c r="AR24" s="160" t="n"/>
      <c r="AS24" s="160" t="n"/>
      <c r="AT24" s="160" t="n"/>
      <c r="AU24" s="160" t="n"/>
      <c r="AV24" s="160" t="n"/>
      <c r="AW24" s="160" t="n"/>
      <c r="AX24" s="160" t="n"/>
      <c r="AY24" s="160" t="n"/>
      <c r="AZ24" s="160" t="n"/>
      <c r="BA24" s="160" t="n"/>
      <c r="BB24" s="160" t="n"/>
      <c r="BC24" s="160" t="n"/>
      <c r="BE24" s="160" t="n"/>
      <c r="BF24" s="160" t="n"/>
      <c r="BG24" s="160" t="n"/>
      <c r="BH24" s="160" t="n"/>
      <c r="BI24" s="160" t="n"/>
      <c r="BJ24" s="160" t="n"/>
      <c r="BK24" s="160" t="n"/>
      <c r="BL24" s="160" t="n"/>
      <c r="BM24" s="160" t="n"/>
      <c r="BN24" s="160" t="n"/>
      <c r="BO24" s="160" t="n"/>
      <c r="BP24" s="160" t="n"/>
      <c r="BQ24" s="160" t="n"/>
      <c r="BR24" s="160" t="n"/>
      <c r="BS24" s="160" t="n"/>
      <c r="BT24" s="160" t="n"/>
      <c r="BU24" s="160" t="n"/>
      <c r="BV24" s="160" t="n"/>
      <c r="BW24" s="160" t="n"/>
      <c r="BX24" s="160" t="n"/>
      <c r="BY24" s="160" t="n"/>
      <c r="BZ24" s="160" t="n"/>
      <c r="CA24" s="160" t="n"/>
      <c r="CB24" s="160" t="n"/>
      <c r="CC24" s="160" t="n"/>
      <c r="CE24" s="160" t="n"/>
      <c r="CF24" s="160" t="n"/>
      <c r="CG24" s="160" t="n"/>
      <c r="CH24" s="160" t="n"/>
      <c r="CI24" s="160" t="n"/>
      <c r="CJ24" s="160" t="n"/>
      <c r="CK24" s="160" t="n"/>
      <c r="CL24" s="160" t="n"/>
      <c r="CM24" s="160" t="n"/>
      <c r="CN24" s="160" t="n"/>
      <c r="CO24" s="160" t="n"/>
      <c r="CP24" s="160" t="n"/>
      <c r="CQ24" s="160" t="n"/>
      <c r="CR24" s="160" t="n"/>
      <c r="CS24" s="160" t="n"/>
      <c r="CT24" s="160" t="n"/>
      <c r="CU24" s="160" t="n"/>
      <c r="CV24" s="160" t="n"/>
      <c r="CW24" s="160" t="n"/>
      <c r="CX24" s="160" t="n"/>
      <c r="CY24" s="160" t="n"/>
      <c r="CZ24" s="160" t="n"/>
      <c r="DA24" s="160" t="n"/>
      <c r="DB24" s="160" t="n"/>
      <c r="DC24" s="160" t="n"/>
    </row>
    <row r="25" ht="24" customHeight="1">
      <c r="A25" s="156">
        <f>IF($B25="","",ROW()-10)</f>
        <v/>
      </c>
      <c r="B25" s="157" t="n"/>
      <c r="C25" s="158" t="n"/>
      <c r="D25" s="159">
        <f>IF($B25="",0,PktStd)</f>
        <v/>
      </c>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E25" s="160" t="n"/>
      <c r="AF25" s="160" t="n"/>
      <c r="AG25" s="160" t="n"/>
      <c r="AH25" s="160" t="n"/>
      <c r="AI25" s="160" t="n"/>
      <c r="AJ25" s="160" t="n"/>
      <c r="AK25" s="160" t="n"/>
      <c r="AL25" s="160" t="n"/>
      <c r="AM25" s="160" t="n"/>
      <c r="AN25" s="160" t="n"/>
      <c r="AO25" s="160" t="n"/>
      <c r="AP25" s="160" t="n"/>
      <c r="AQ25" s="160" t="n"/>
      <c r="AR25" s="160" t="n"/>
      <c r="AS25" s="160" t="n"/>
      <c r="AT25" s="160" t="n"/>
      <c r="AU25" s="160" t="n"/>
      <c r="AV25" s="160" t="n"/>
      <c r="AW25" s="160" t="n"/>
      <c r="AX25" s="160" t="n"/>
      <c r="AY25" s="160" t="n"/>
      <c r="AZ25" s="160" t="n"/>
      <c r="BA25" s="160" t="n"/>
      <c r="BB25" s="160" t="n"/>
      <c r="BC25" s="160" t="n"/>
      <c r="BE25" s="160" t="n"/>
      <c r="BF25" s="160" t="n"/>
      <c r="BG25" s="160" t="n"/>
      <c r="BH25" s="160" t="n"/>
      <c r="BI25" s="160" t="n"/>
      <c r="BJ25" s="160" t="n"/>
      <c r="BK25" s="160" t="n"/>
      <c r="BL25" s="160" t="n"/>
      <c r="BM25" s="160" t="n"/>
      <c r="BN25" s="160" t="n"/>
      <c r="BO25" s="160" t="n"/>
      <c r="BP25" s="160" t="n"/>
      <c r="BQ25" s="160" t="n"/>
      <c r="BR25" s="160" t="n"/>
      <c r="BS25" s="160" t="n"/>
      <c r="BT25" s="160" t="n"/>
      <c r="BU25" s="160" t="n"/>
      <c r="BV25" s="160" t="n"/>
      <c r="BW25" s="160" t="n"/>
      <c r="BX25" s="160" t="n"/>
      <c r="BY25" s="160" t="n"/>
      <c r="BZ25" s="160" t="n"/>
      <c r="CA25" s="160" t="n"/>
      <c r="CB25" s="160" t="n"/>
      <c r="CC25" s="160" t="n"/>
      <c r="CE25" s="160" t="n"/>
      <c r="CF25" s="160" t="n"/>
      <c r="CG25" s="160" t="n"/>
      <c r="CH25" s="160" t="n"/>
      <c r="CI25" s="160" t="n"/>
      <c r="CJ25" s="160" t="n"/>
      <c r="CK25" s="160" t="n"/>
      <c r="CL25" s="160" t="n"/>
      <c r="CM25" s="160" t="n"/>
      <c r="CN25" s="160" t="n"/>
      <c r="CO25" s="160" t="n"/>
      <c r="CP25" s="160" t="n"/>
      <c r="CQ25" s="160" t="n"/>
      <c r="CR25" s="160" t="n"/>
      <c r="CS25" s="160" t="n"/>
      <c r="CT25" s="160" t="n"/>
      <c r="CU25" s="160" t="n"/>
      <c r="CV25" s="160" t="n"/>
      <c r="CW25" s="160" t="n"/>
      <c r="CX25" s="160" t="n"/>
      <c r="CY25" s="160" t="n"/>
      <c r="CZ25" s="160" t="n"/>
      <c r="DA25" s="160" t="n"/>
      <c r="DB25" s="160" t="n"/>
      <c r="DC25" s="160" t="n"/>
    </row>
    <row r="26" ht="24" customHeight="1">
      <c r="A26" s="156">
        <f>IF($B26="","",ROW()-10)</f>
        <v/>
      </c>
      <c r="B26" s="157" t="n"/>
      <c r="C26" s="158" t="n"/>
      <c r="D26" s="159">
        <f>IF($B26="",0,PktStd)</f>
        <v/>
      </c>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E26" s="160" t="n"/>
      <c r="AF26" s="160" t="n"/>
      <c r="AG26" s="160" t="n"/>
      <c r="AH26" s="160" t="n"/>
      <c r="AI26" s="160" t="n"/>
      <c r="AJ26" s="160" t="n"/>
      <c r="AK26" s="160" t="n"/>
      <c r="AL26" s="160" t="n"/>
      <c r="AM26" s="160" t="n"/>
      <c r="AN26" s="160" t="n"/>
      <c r="AO26" s="160" t="n"/>
      <c r="AP26" s="160" t="n"/>
      <c r="AQ26" s="160" t="n"/>
      <c r="AR26" s="160" t="n"/>
      <c r="AS26" s="160" t="n"/>
      <c r="AT26" s="160" t="n"/>
      <c r="AU26" s="160" t="n"/>
      <c r="AV26" s="160" t="n"/>
      <c r="AW26" s="160" t="n"/>
      <c r="AX26" s="160" t="n"/>
      <c r="AY26" s="160" t="n"/>
      <c r="AZ26" s="160" t="n"/>
      <c r="BA26" s="160" t="n"/>
      <c r="BB26" s="160" t="n"/>
      <c r="BC26" s="160" t="n"/>
      <c r="BE26" s="160" t="n"/>
      <c r="BF26" s="160" t="n"/>
      <c r="BG26" s="160" t="n"/>
      <c r="BH26" s="160" t="n"/>
      <c r="BI26" s="160" t="n"/>
      <c r="BJ26" s="160" t="n"/>
      <c r="BK26" s="160" t="n"/>
      <c r="BL26" s="160" t="n"/>
      <c r="BM26" s="160" t="n"/>
      <c r="BN26" s="160" t="n"/>
      <c r="BO26" s="160" t="n"/>
      <c r="BP26" s="160" t="n"/>
      <c r="BQ26" s="160" t="n"/>
      <c r="BR26" s="160" t="n"/>
      <c r="BS26" s="160" t="n"/>
      <c r="BT26" s="160" t="n"/>
      <c r="BU26" s="160" t="n"/>
      <c r="BV26" s="160" t="n"/>
      <c r="BW26" s="160" t="n"/>
      <c r="BX26" s="160" t="n"/>
      <c r="BY26" s="160" t="n"/>
      <c r="BZ26" s="160" t="n"/>
      <c r="CA26" s="160" t="n"/>
      <c r="CB26" s="160" t="n"/>
      <c r="CC26" s="160" t="n"/>
      <c r="CE26" s="160" t="n"/>
      <c r="CF26" s="160" t="n"/>
      <c r="CG26" s="160" t="n"/>
      <c r="CH26" s="160" t="n"/>
      <c r="CI26" s="160" t="n"/>
      <c r="CJ26" s="160" t="n"/>
      <c r="CK26" s="160" t="n"/>
      <c r="CL26" s="160" t="n"/>
      <c r="CM26" s="160" t="n"/>
      <c r="CN26" s="160" t="n"/>
      <c r="CO26" s="160" t="n"/>
      <c r="CP26" s="160" t="n"/>
      <c r="CQ26" s="160" t="n"/>
      <c r="CR26" s="160" t="n"/>
      <c r="CS26" s="160" t="n"/>
      <c r="CT26" s="160" t="n"/>
      <c r="CU26" s="160" t="n"/>
      <c r="CV26" s="160" t="n"/>
      <c r="CW26" s="160" t="n"/>
      <c r="CX26" s="160" t="n"/>
      <c r="CY26" s="160" t="n"/>
      <c r="CZ26" s="160" t="n"/>
      <c r="DA26" s="160" t="n"/>
      <c r="DB26" s="160" t="n"/>
      <c r="DC26" s="160" t="n"/>
    </row>
    <row r="27" ht="24" customHeight="1">
      <c r="A27" s="156">
        <f>IF($B27="","",ROW()-10)</f>
        <v/>
      </c>
      <c r="B27" s="157" t="n"/>
      <c r="C27" s="158" t="n"/>
      <c r="D27" s="159">
        <f>IF($B27="",0,PktStd)</f>
        <v/>
      </c>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E27" s="160" t="n"/>
      <c r="AF27" s="160" t="n"/>
      <c r="AG27" s="160" t="n"/>
      <c r="AH27" s="160" t="n"/>
      <c r="AI27" s="160" t="n"/>
      <c r="AJ27" s="160" t="n"/>
      <c r="AK27" s="160" t="n"/>
      <c r="AL27" s="160" t="n"/>
      <c r="AM27" s="160" t="n"/>
      <c r="AN27" s="160" t="n"/>
      <c r="AO27" s="160" t="n"/>
      <c r="AP27" s="160" t="n"/>
      <c r="AQ27" s="160" t="n"/>
      <c r="AR27" s="160" t="n"/>
      <c r="AS27" s="160" t="n"/>
      <c r="AT27" s="160" t="n"/>
      <c r="AU27" s="160" t="n"/>
      <c r="AV27" s="160" t="n"/>
      <c r="AW27" s="160" t="n"/>
      <c r="AX27" s="160" t="n"/>
      <c r="AY27" s="160" t="n"/>
      <c r="AZ27" s="160" t="n"/>
      <c r="BA27" s="160" t="n"/>
      <c r="BB27" s="160" t="n"/>
      <c r="BC27" s="160" t="n"/>
      <c r="BE27" s="160" t="n"/>
      <c r="BF27" s="160" t="n"/>
      <c r="BG27" s="160" t="n"/>
      <c r="BH27" s="160" t="n"/>
      <c r="BI27" s="160" t="n"/>
      <c r="BJ27" s="160" t="n"/>
      <c r="BK27" s="160" t="n"/>
      <c r="BL27" s="160" t="n"/>
      <c r="BM27" s="160" t="n"/>
      <c r="BN27" s="160" t="n"/>
      <c r="BO27" s="160" t="n"/>
      <c r="BP27" s="160" t="n"/>
      <c r="BQ27" s="160" t="n"/>
      <c r="BR27" s="160" t="n"/>
      <c r="BS27" s="160" t="n"/>
      <c r="BT27" s="160" t="n"/>
      <c r="BU27" s="160" t="n"/>
      <c r="BV27" s="160" t="n"/>
      <c r="BW27" s="160" t="n"/>
      <c r="BX27" s="160" t="n"/>
      <c r="BY27" s="160" t="n"/>
      <c r="BZ27" s="160" t="n"/>
      <c r="CA27" s="160" t="n"/>
      <c r="CB27" s="160" t="n"/>
      <c r="CC27" s="160" t="n"/>
      <c r="CE27" s="160" t="n"/>
      <c r="CF27" s="160" t="n"/>
      <c r="CG27" s="160" t="n"/>
      <c r="CH27" s="160" t="n"/>
      <c r="CI27" s="160" t="n"/>
      <c r="CJ27" s="160" t="n"/>
      <c r="CK27" s="160" t="n"/>
      <c r="CL27" s="160" t="n"/>
      <c r="CM27" s="160" t="n"/>
      <c r="CN27" s="160" t="n"/>
      <c r="CO27" s="160" t="n"/>
      <c r="CP27" s="160" t="n"/>
      <c r="CQ27" s="160" t="n"/>
      <c r="CR27" s="160" t="n"/>
      <c r="CS27" s="160" t="n"/>
      <c r="CT27" s="160" t="n"/>
      <c r="CU27" s="160" t="n"/>
      <c r="CV27" s="160" t="n"/>
      <c r="CW27" s="160" t="n"/>
      <c r="CX27" s="160" t="n"/>
      <c r="CY27" s="160" t="n"/>
      <c r="CZ27" s="160" t="n"/>
      <c r="DA27" s="160" t="n"/>
      <c r="DB27" s="160" t="n"/>
      <c r="DC27" s="160" t="n"/>
    </row>
    <row r="28" ht="24" customHeight="1">
      <c r="A28" s="156">
        <f>IF($B28="","",ROW()-10)</f>
        <v/>
      </c>
      <c r="B28" s="157" t="n"/>
      <c r="C28" s="158" t="n"/>
      <c r="D28" s="159">
        <f>IF($B28="",0,PktStd)</f>
        <v/>
      </c>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E28" s="160" t="n"/>
      <c r="AF28" s="160" t="n"/>
      <c r="AG28" s="160" t="n"/>
      <c r="AH28" s="160" t="n"/>
      <c r="AI28" s="160" t="n"/>
      <c r="AJ28" s="160" t="n"/>
      <c r="AK28" s="160" t="n"/>
      <c r="AL28" s="160" t="n"/>
      <c r="AM28" s="160" t="n"/>
      <c r="AN28" s="160" t="n"/>
      <c r="AO28" s="160" t="n"/>
      <c r="AP28" s="160" t="n"/>
      <c r="AQ28" s="160" t="n"/>
      <c r="AR28" s="160" t="n"/>
      <c r="AS28" s="160" t="n"/>
      <c r="AT28" s="160" t="n"/>
      <c r="AU28" s="160" t="n"/>
      <c r="AV28" s="160" t="n"/>
      <c r="AW28" s="160" t="n"/>
      <c r="AX28" s="160" t="n"/>
      <c r="AY28" s="160" t="n"/>
      <c r="AZ28" s="160" t="n"/>
      <c r="BA28" s="160" t="n"/>
      <c r="BB28" s="160" t="n"/>
      <c r="BC28" s="160" t="n"/>
      <c r="BE28" s="160" t="n"/>
      <c r="BF28" s="160" t="n"/>
      <c r="BG28" s="160" t="n"/>
      <c r="BH28" s="160" t="n"/>
      <c r="BI28" s="160" t="n"/>
      <c r="BJ28" s="160" t="n"/>
      <c r="BK28" s="160" t="n"/>
      <c r="BL28" s="160" t="n"/>
      <c r="BM28" s="160" t="n"/>
      <c r="BN28" s="160" t="n"/>
      <c r="BO28" s="160" t="n"/>
      <c r="BP28" s="160" t="n"/>
      <c r="BQ28" s="160" t="n"/>
      <c r="BR28" s="160" t="n"/>
      <c r="BS28" s="160" t="n"/>
      <c r="BT28" s="160" t="n"/>
      <c r="BU28" s="160" t="n"/>
      <c r="BV28" s="160" t="n"/>
      <c r="BW28" s="160" t="n"/>
      <c r="BX28" s="160" t="n"/>
      <c r="BY28" s="160" t="n"/>
      <c r="BZ28" s="160" t="n"/>
      <c r="CA28" s="160" t="n"/>
      <c r="CB28" s="160" t="n"/>
      <c r="CC28" s="160" t="n"/>
      <c r="CE28" s="160" t="n"/>
      <c r="CF28" s="160" t="n"/>
      <c r="CG28" s="160" t="n"/>
      <c r="CH28" s="160" t="n"/>
      <c r="CI28" s="160" t="n"/>
      <c r="CJ28" s="160" t="n"/>
      <c r="CK28" s="160" t="n"/>
      <c r="CL28" s="160" t="n"/>
      <c r="CM28" s="160" t="n"/>
      <c r="CN28" s="160" t="n"/>
      <c r="CO28" s="160" t="n"/>
      <c r="CP28" s="160" t="n"/>
      <c r="CQ28" s="160" t="n"/>
      <c r="CR28" s="160" t="n"/>
      <c r="CS28" s="160" t="n"/>
      <c r="CT28" s="160" t="n"/>
      <c r="CU28" s="160" t="n"/>
      <c r="CV28" s="160" t="n"/>
      <c r="CW28" s="160" t="n"/>
      <c r="CX28" s="160" t="n"/>
      <c r="CY28" s="160" t="n"/>
      <c r="CZ28" s="160" t="n"/>
      <c r="DA28" s="160" t="n"/>
      <c r="DB28" s="160" t="n"/>
      <c r="DC28" s="160" t="n"/>
    </row>
    <row r="29" ht="24" customHeight="1">
      <c r="A29" s="156">
        <f>IF($B29="","",ROW()-10)</f>
        <v/>
      </c>
      <c r="B29" s="157" t="n"/>
      <c r="C29" s="158" t="n"/>
      <c r="D29" s="159">
        <f>IF($B29="",0,PktStd)</f>
        <v/>
      </c>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E29" s="160" t="n"/>
      <c r="AF29" s="160" t="n"/>
      <c r="AG29" s="160" t="n"/>
      <c r="AH29" s="160" t="n"/>
      <c r="AI29" s="160" t="n"/>
      <c r="AJ29" s="160" t="n"/>
      <c r="AK29" s="160" t="n"/>
      <c r="AL29" s="160" t="n"/>
      <c r="AM29" s="160" t="n"/>
      <c r="AN29" s="160" t="n"/>
      <c r="AO29" s="160" t="n"/>
      <c r="AP29" s="160" t="n"/>
      <c r="AQ29" s="160" t="n"/>
      <c r="AR29" s="160" t="n"/>
      <c r="AS29" s="160" t="n"/>
      <c r="AT29" s="160" t="n"/>
      <c r="AU29" s="160" t="n"/>
      <c r="AV29" s="160" t="n"/>
      <c r="AW29" s="160" t="n"/>
      <c r="AX29" s="160" t="n"/>
      <c r="AY29" s="160" t="n"/>
      <c r="AZ29" s="160" t="n"/>
      <c r="BA29" s="160" t="n"/>
      <c r="BB29" s="160" t="n"/>
      <c r="BC29" s="160" t="n"/>
      <c r="BE29" s="160" t="n"/>
      <c r="BF29" s="160" t="n"/>
      <c r="BG29" s="160" t="n"/>
      <c r="BH29" s="160" t="n"/>
      <c r="BI29" s="160" t="n"/>
      <c r="BJ29" s="160" t="n"/>
      <c r="BK29" s="160" t="n"/>
      <c r="BL29" s="160" t="n"/>
      <c r="BM29" s="160" t="n"/>
      <c r="BN29" s="160" t="n"/>
      <c r="BO29" s="160" t="n"/>
      <c r="BP29" s="160" t="n"/>
      <c r="BQ29" s="160" t="n"/>
      <c r="BR29" s="160" t="n"/>
      <c r="BS29" s="160" t="n"/>
      <c r="BT29" s="160" t="n"/>
      <c r="BU29" s="160" t="n"/>
      <c r="BV29" s="160" t="n"/>
      <c r="BW29" s="160" t="n"/>
      <c r="BX29" s="160" t="n"/>
      <c r="BY29" s="160" t="n"/>
      <c r="BZ29" s="160" t="n"/>
      <c r="CA29" s="160" t="n"/>
      <c r="CB29" s="160" t="n"/>
      <c r="CC29" s="160" t="n"/>
      <c r="CE29" s="160" t="n"/>
      <c r="CF29" s="160" t="n"/>
      <c r="CG29" s="160" t="n"/>
      <c r="CH29" s="160" t="n"/>
      <c r="CI29" s="160" t="n"/>
      <c r="CJ29" s="160" t="n"/>
      <c r="CK29" s="160" t="n"/>
      <c r="CL29" s="160" t="n"/>
      <c r="CM29" s="160" t="n"/>
      <c r="CN29" s="160" t="n"/>
      <c r="CO29" s="160" t="n"/>
      <c r="CP29" s="160" t="n"/>
      <c r="CQ29" s="160" t="n"/>
      <c r="CR29" s="160" t="n"/>
      <c r="CS29" s="160" t="n"/>
      <c r="CT29" s="160" t="n"/>
      <c r="CU29" s="160" t="n"/>
      <c r="CV29" s="160" t="n"/>
      <c r="CW29" s="160" t="n"/>
      <c r="CX29" s="160" t="n"/>
      <c r="CY29" s="160" t="n"/>
      <c r="CZ29" s="160" t="n"/>
      <c r="DA29" s="160" t="n"/>
      <c r="DB29" s="160" t="n"/>
      <c r="DC29" s="160" t="n"/>
    </row>
    <row r="30" ht="24" customHeight="1">
      <c r="A30" s="156">
        <f>IF($B30="","",ROW()-10)</f>
        <v/>
      </c>
      <c r="B30" s="157" t="n"/>
      <c r="C30" s="158" t="n"/>
      <c r="D30" s="159">
        <f>IF($B30="",0,PktStd)</f>
        <v/>
      </c>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E30" s="160" t="n"/>
      <c r="AF30" s="160" t="n"/>
      <c r="AG30" s="160" t="n"/>
      <c r="AH30" s="160" t="n"/>
      <c r="AI30" s="160" t="n"/>
      <c r="AJ30" s="160" t="n"/>
      <c r="AK30" s="160" t="n"/>
      <c r="AL30" s="160" t="n"/>
      <c r="AM30" s="160" t="n"/>
      <c r="AN30" s="160" t="n"/>
      <c r="AO30" s="160" t="n"/>
      <c r="AP30" s="160" t="n"/>
      <c r="AQ30" s="160" t="n"/>
      <c r="AR30" s="160" t="n"/>
      <c r="AS30" s="160" t="n"/>
      <c r="AT30" s="160" t="n"/>
      <c r="AU30" s="160" t="n"/>
      <c r="AV30" s="160" t="n"/>
      <c r="AW30" s="160" t="n"/>
      <c r="AX30" s="160" t="n"/>
      <c r="AY30" s="160" t="n"/>
      <c r="AZ30" s="160" t="n"/>
      <c r="BA30" s="160" t="n"/>
      <c r="BB30" s="160" t="n"/>
      <c r="BC30" s="160" t="n"/>
      <c r="BE30" s="160" t="n"/>
      <c r="BF30" s="160" t="n"/>
      <c r="BG30" s="160" t="n"/>
      <c r="BH30" s="160" t="n"/>
      <c r="BI30" s="160" t="n"/>
      <c r="BJ30" s="160" t="n"/>
      <c r="BK30" s="160" t="n"/>
      <c r="BL30" s="160" t="n"/>
      <c r="BM30" s="160" t="n"/>
      <c r="BN30" s="160" t="n"/>
      <c r="BO30" s="160" t="n"/>
      <c r="BP30" s="160" t="n"/>
      <c r="BQ30" s="160" t="n"/>
      <c r="BR30" s="160" t="n"/>
      <c r="BS30" s="160" t="n"/>
      <c r="BT30" s="160" t="n"/>
      <c r="BU30" s="160" t="n"/>
      <c r="BV30" s="160" t="n"/>
      <c r="BW30" s="160" t="n"/>
      <c r="BX30" s="160" t="n"/>
      <c r="BY30" s="160" t="n"/>
      <c r="BZ30" s="160" t="n"/>
      <c r="CA30" s="160" t="n"/>
      <c r="CB30" s="160" t="n"/>
      <c r="CC30" s="160" t="n"/>
      <c r="CE30" s="160" t="n"/>
      <c r="CF30" s="160" t="n"/>
      <c r="CG30" s="160" t="n"/>
      <c r="CH30" s="160" t="n"/>
      <c r="CI30" s="160" t="n"/>
      <c r="CJ30" s="160" t="n"/>
      <c r="CK30" s="160" t="n"/>
      <c r="CL30" s="160" t="n"/>
      <c r="CM30" s="160" t="n"/>
      <c r="CN30" s="160" t="n"/>
      <c r="CO30" s="160" t="n"/>
      <c r="CP30" s="160" t="n"/>
      <c r="CQ30" s="160" t="n"/>
      <c r="CR30" s="160" t="n"/>
      <c r="CS30" s="160" t="n"/>
      <c r="CT30" s="160" t="n"/>
      <c r="CU30" s="160" t="n"/>
      <c r="CV30" s="160" t="n"/>
      <c r="CW30" s="160" t="n"/>
      <c r="CX30" s="160" t="n"/>
      <c r="CY30" s="160" t="n"/>
      <c r="CZ30" s="160" t="n"/>
      <c r="DA30" s="160" t="n"/>
      <c r="DB30" s="160" t="n"/>
      <c r="DC30" s="160" t="n"/>
    </row>
    <row r="31" ht="24" customHeight="1">
      <c r="A31" s="156">
        <f>IF($B31="","",ROW()-10)</f>
        <v/>
      </c>
      <c r="B31" s="157" t="n"/>
      <c r="C31" s="158" t="n"/>
      <c r="D31" s="159">
        <f>IF($B31="",0,PktStd)</f>
        <v/>
      </c>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E31" s="160" t="n"/>
      <c r="AF31" s="160" t="n"/>
      <c r="AG31" s="160" t="n"/>
      <c r="AH31" s="160" t="n"/>
      <c r="AI31" s="160" t="n"/>
      <c r="AJ31" s="160" t="n"/>
      <c r="AK31" s="160" t="n"/>
      <c r="AL31" s="160" t="n"/>
      <c r="AM31" s="160" t="n"/>
      <c r="AN31" s="160" t="n"/>
      <c r="AO31" s="160" t="n"/>
      <c r="AP31" s="160" t="n"/>
      <c r="AQ31" s="160" t="n"/>
      <c r="AR31" s="160" t="n"/>
      <c r="AS31" s="160" t="n"/>
      <c r="AT31" s="160" t="n"/>
      <c r="AU31" s="160" t="n"/>
      <c r="AV31" s="160" t="n"/>
      <c r="AW31" s="160" t="n"/>
      <c r="AX31" s="160" t="n"/>
      <c r="AY31" s="160" t="n"/>
      <c r="AZ31" s="160" t="n"/>
      <c r="BA31" s="160" t="n"/>
      <c r="BB31" s="160" t="n"/>
      <c r="BC31" s="160" t="n"/>
      <c r="BE31" s="160" t="n"/>
      <c r="BF31" s="160" t="n"/>
      <c r="BG31" s="160" t="n"/>
      <c r="BH31" s="160" t="n"/>
      <c r="BI31" s="160" t="n"/>
      <c r="BJ31" s="160" t="n"/>
      <c r="BK31" s="160" t="n"/>
      <c r="BL31" s="160" t="n"/>
      <c r="BM31" s="160" t="n"/>
      <c r="BN31" s="160" t="n"/>
      <c r="BO31" s="160" t="n"/>
      <c r="BP31" s="160" t="n"/>
      <c r="BQ31" s="160" t="n"/>
      <c r="BR31" s="160" t="n"/>
      <c r="BS31" s="160" t="n"/>
      <c r="BT31" s="160" t="n"/>
      <c r="BU31" s="160" t="n"/>
      <c r="BV31" s="160" t="n"/>
      <c r="BW31" s="160" t="n"/>
      <c r="BX31" s="160" t="n"/>
      <c r="BY31" s="160" t="n"/>
      <c r="BZ31" s="160" t="n"/>
      <c r="CA31" s="160" t="n"/>
      <c r="CB31" s="160" t="n"/>
      <c r="CC31" s="160" t="n"/>
      <c r="CE31" s="160" t="n"/>
      <c r="CF31" s="160" t="n"/>
      <c r="CG31" s="160" t="n"/>
      <c r="CH31" s="160" t="n"/>
      <c r="CI31" s="160" t="n"/>
      <c r="CJ31" s="160" t="n"/>
      <c r="CK31" s="160" t="n"/>
      <c r="CL31" s="160" t="n"/>
      <c r="CM31" s="160" t="n"/>
      <c r="CN31" s="160" t="n"/>
      <c r="CO31" s="160" t="n"/>
      <c r="CP31" s="160" t="n"/>
      <c r="CQ31" s="160" t="n"/>
      <c r="CR31" s="160" t="n"/>
      <c r="CS31" s="160" t="n"/>
      <c r="CT31" s="160" t="n"/>
      <c r="CU31" s="160" t="n"/>
      <c r="CV31" s="160" t="n"/>
      <c r="CW31" s="160" t="n"/>
      <c r="CX31" s="160" t="n"/>
      <c r="CY31" s="160" t="n"/>
      <c r="CZ31" s="160" t="n"/>
      <c r="DA31" s="160" t="n"/>
      <c r="DB31" s="160" t="n"/>
      <c r="DC31" s="160" t="n"/>
    </row>
    <row r="32" ht="24" customHeight="1">
      <c r="A32" s="156">
        <f>IF($B32="","",ROW()-10)</f>
        <v/>
      </c>
      <c r="B32" s="157" t="n"/>
      <c r="C32" s="158" t="n"/>
      <c r="D32" s="159">
        <f>IF($B32="",0,PktStd)</f>
        <v/>
      </c>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E32" s="160" t="n"/>
      <c r="AF32" s="160" t="n"/>
      <c r="AG32" s="160" t="n"/>
      <c r="AH32" s="160" t="n"/>
      <c r="AI32" s="160" t="n"/>
      <c r="AJ32" s="160" t="n"/>
      <c r="AK32" s="160" t="n"/>
      <c r="AL32" s="160" t="n"/>
      <c r="AM32" s="160" t="n"/>
      <c r="AN32" s="160" t="n"/>
      <c r="AO32" s="160" t="n"/>
      <c r="AP32" s="160" t="n"/>
      <c r="AQ32" s="160" t="n"/>
      <c r="AR32" s="160" t="n"/>
      <c r="AS32" s="160" t="n"/>
      <c r="AT32" s="160" t="n"/>
      <c r="AU32" s="160" t="n"/>
      <c r="AV32" s="160" t="n"/>
      <c r="AW32" s="160" t="n"/>
      <c r="AX32" s="160" t="n"/>
      <c r="AY32" s="160" t="n"/>
      <c r="AZ32" s="160" t="n"/>
      <c r="BA32" s="160" t="n"/>
      <c r="BB32" s="160" t="n"/>
      <c r="BC32" s="160" t="n"/>
      <c r="BE32" s="160" t="n"/>
      <c r="BF32" s="160" t="n"/>
      <c r="BG32" s="160" t="n"/>
      <c r="BH32" s="160" t="n"/>
      <c r="BI32" s="160" t="n"/>
      <c r="BJ32" s="160" t="n"/>
      <c r="BK32" s="160" t="n"/>
      <c r="BL32" s="160" t="n"/>
      <c r="BM32" s="160" t="n"/>
      <c r="BN32" s="160" t="n"/>
      <c r="BO32" s="160" t="n"/>
      <c r="BP32" s="160" t="n"/>
      <c r="BQ32" s="160" t="n"/>
      <c r="BR32" s="160" t="n"/>
      <c r="BS32" s="160" t="n"/>
      <c r="BT32" s="160" t="n"/>
      <c r="BU32" s="160" t="n"/>
      <c r="BV32" s="160" t="n"/>
      <c r="BW32" s="160" t="n"/>
      <c r="BX32" s="160" t="n"/>
      <c r="BY32" s="160" t="n"/>
      <c r="BZ32" s="160" t="n"/>
      <c r="CA32" s="160" t="n"/>
      <c r="CB32" s="160" t="n"/>
      <c r="CC32" s="160" t="n"/>
      <c r="CE32" s="160" t="n"/>
      <c r="CF32" s="160" t="n"/>
      <c r="CG32" s="160" t="n"/>
      <c r="CH32" s="160" t="n"/>
      <c r="CI32" s="160" t="n"/>
      <c r="CJ32" s="160" t="n"/>
      <c r="CK32" s="160" t="n"/>
      <c r="CL32" s="160" t="n"/>
      <c r="CM32" s="160" t="n"/>
      <c r="CN32" s="160" t="n"/>
      <c r="CO32" s="160" t="n"/>
      <c r="CP32" s="160" t="n"/>
      <c r="CQ32" s="160" t="n"/>
      <c r="CR32" s="160" t="n"/>
      <c r="CS32" s="160" t="n"/>
      <c r="CT32" s="160" t="n"/>
      <c r="CU32" s="160" t="n"/>
      <c r="CV32" s="160" t="n"/>
      <c r="CW32" s="160" t="n"/>
      <c r="CX32" s="160" t="n"/>
      <c r="CY32" s="160" t="n"/>
      <c r="CZ32" s="160" t="n"/>
      <c r="DA32" s="160" t="n"/>
      <c r="DB32" s="160" t="n"/>
      <c r="DC32" s="160" t="n"/>
    </row>
    <row r="33" ht="24" customHeight="1">
      <c r="A33" s="156">
        <f>IF($B33="","",ROW()-10)</f>
        <v/>
      </c>
      <c r="B33" s="157" t="n"/>
      <c r="C33" s="158" t="n"/>
      <c r="D33" s="159">
        <f>IF($B33="",0,PktStd)</f>
        <v/>
      </c>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E33" s="160" t="n"/>
      <c r="AF33" s="160" t="n"/>
      <c r="AG33" s="160" t="n"/>
      <c r="AH33" s="160" t="n"/>
      <c r="AI33" s="160" t="n"/>
      <c r="AJ33" s="160" t="n"/>
      <c r="AK33" s="160" t="n"/>
      <c r="AL33" s="160" t="n"/>
      <c r="AM33" s="160" t="n"/>
      <c r="AN33" s="160" t="n"/>
      <c r="AO33" s="160" t="n"/>
      <c r="AP33" s="160" t="n"/>
      <c r="AQ33" s="160" t="n"/>
      <c r="AR33" s="160" t="n"/>
      <c r="AS33" s="160" t="n"/>
      <c r="AT33" s="160" t="n"/>
      <c r="AU33" s="160" t="n"/>
      <c r="AV33" s="160" t="n"/>
      <c r="AW33" s="160" t="n"/>
      <c r="AX33" s="160" t="n"/>
      <c r="AY33" s="160" t="n"/>
      <c r="AZ33" s="160" t="n"/>
      <c r="BA33" s="160" t="n"/>
      <c r="BB33" s="160" t="n"/>
      <c r="BC33" s="160" t="n"/>
      <c r="BE33" s="160" t="n"/>
      <c r="BF33" s="160" t="n"/>
      <c r="BG33" s="160" t="n"/>
      <c r="BH33" s="160" t="n"/>
      <c r="BI33" s="160" t="n"/>
      <c r="BJ33" s="160" t="n"/>
      <c r="BK33" s="160" t="n"/>
      <c r="BL33" s="160" t="n"/>
      <c r="BM33" s="160" t="n"/>
      <c r="BN33" s="160" t="n"/>
      <c r="BO33" s="160" t="n"/>
      <c r="BP33" s="160" t="n"/>
      <c r="BQ33" s="160" t="n"/>
      <c r="BR33" s="160" t="n"/>
      <c r="BS33" s="160" t="n"/>
      <c r="BT33" s="160" t="n"/>
      <c r="BU33" s="160" t="n"/>
      <c r="BV33" s="160" t="n"/>
      <c r="BW33" s="160" t="n"/>
      <c r="BX33" s="160" t="n"/>
      <c r="BY33" s="160" t="n"/>
      <c r="BZ33" s="160" t="n"/>
      <c r="CA33" s="160" t="n"/>
      <c r="CB33" s="160" t="n"/>
      <c r="CC33" s="160" t="n"/>
      <c r="CE33" s="160" t="n"/>
      <c r="CF33" s="160" t="n"/>
      <c r="CG33" s="160" t="n"/>
      <c r="CH33" s="160" t="n"/>
      <c r="CI33" s="160" t="n"/>
      <c r="CJ33" s="160" t="n"/>
      <c r="CK33" s="160" t="n"/>
      <c r="CL33" s="160" t="n"/>
      <c r="CM33" s="160" t="n"/>
      <c r="CN33" s="160" t="n"/>
      <c r="CO33" s="160" t="n"/>
      <c r="CP33" s="160" t="n"/>
      <c r="CQ33" s="160" t="n"/>
      <c r="CR33" s="160" t="n"/>
      <c r="CS33" s="160" t="n"/>
      <c r="CT33" s="160" t="n"/>
      <c r="CU33" s="160" t="n"/>
      <c r="CV33" s="160" t="n"/>
      <c r="CW33" s="160" t="n"/>
      <c r="CX33" s="160" t="n"/>
      <c r="CY33" s="160" t="n"/>
      <c r="CZ33" s="160" t="n"/>
      <c r="DA33" s="160" t="n"/>
      <c r="DB33" s="160" t="n"/>
      <c r="DC33" s="160" t="n"/>
    </row>
    <row r="34" ht="24" customHeight="1">
      <c r="A34" s="156">
        <f>IF($B34="","",ROW()-10)</f>
        <v/>
      </c>
      <c r="B34" s="157" t="n"/>
      <c r="C34" s="158" t="n"/>
      <c r="D34" s="159">
        <f>IF($B34="",0,PktStd)</f>
        <v/>
      </c>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E34" s="160" t="n"/>
      <c r="AF34" s="160" t="n"/>
      <c r="AG34" s="160" t="n"/>
      <c r="AH34" s="160" t="n"/>
      <c r="AI34" s="160" t="n"/>
      <c r="AJ34" s="160" t="n"/>
      <c r="AK34" s="160" t="n"/>
      <c r="AL34" s="160" t="n"/>
      <c r="AM34" s="160" t="n"/>
      <c r="AN34" s="160" t="n"/>
      <c r="AO34" s="160" t="n"/>
      <c r="AP34" s="160" t="n"/>
      <c r="AQ34" s="160" t="n"/>
      <c r="AR34" s="160" t="n"/>
      <c r="AS34" s="160" t="n"/>
      <c r="AT34" s="160" t="n"/>
      <c r="AU34" s="160" t="n"/>
      <c r="AV34" s="160" t="n"/>
      <c r="AW34" s="160" t="n"/>
      <c r="AX34" s="160" t="n"/>
      <c r="AY34" s="160" t="n"/>
      <c r="AZ34" s="160" t="n"/>
      <c r="BA34" s="160" t="n"/>
      <c r="BB34" s="160" t="n"/>
      <c r="BC34" s="160" t="n"/>
      <c r="BE34" s="160" t="n"/>
      <c r="BF34" s="160" t="n"/>
      <c r="BG34" s="160" t="n"/>
      <c r="BH34" s="160" t="n"/>
      <c r="BI34" s="160" t="n"/>
      <c r="BJ34" s="160" t="n"/>
      <c r="BK34" s="160" t="n"/>
      <c r="BL34" s="160" t="n"/>
      <c r="BM34" s="160" t="n"/>
      <c r="BN34" s="160" t="n"/>
      <c r="BO34" s="160" t="n"/>
      <c r="BP34" s="160" t="n"/>
      <c r="BQ34" s="160" t="n"/>
      <c r="BR34" s="160" t="n"/>
      <c r="BS34" s="160" t="n"/>
      <c r="BT34" s="160" t="n"/>
      <c r="BU34" s="160" t="n"/>
      <c r="BV34" s="160" t="n"/>
      <c r="BW34" s="160" t="n"/>
      <c r="BX34" s="160" t="n"/>
      <c r="BY34" s="160" t="n"/>
      <c r="BZ34" s="160" t="n"/>
      <c r="CA34" s="160" t="n"/>
      <c r="CB34" s="160" t="n"/>
      <c r="CC34" s="160" t="n"/>
      <c r="CE34" s="160" t="n"/>
      <c r="CF34" s="160" t="n"/>
      <c r="CG34" s="160" t="n"/>
      <c r="CH34" s="160" t="n"/>
      <c r="CI34" s="160" t="n"/>
      <c r="CJ34" s="160" t="n"/>
      <c r="CK34" s="160" t="n"/>
      <c r="CL34" s="160" t="n"/>
      <c r="CM34" s="160" t="n"/>
      <c r="CN34" s="160" t="n"/>
      <c r="CO34" s="160" t="n"/>
      <c r="CP34" s="160" t="n"/>
      <c r="CQ34" s="160" t="n"/>
      <c r="CR34" s="160" t="n"/>
      <c r="CS34" s="160" t="n"/>
      <c r="CT34" s="160" t="n"/>
      <c r="CU34" s="160" t="n"/>
      <c r="CV34" s="160" t="n"/>
      <c r="CW34" s="160" t="n"/>
      <c r="CX34" s="160" t="n"/>
      <c r="CY34" s="160" t="n"/>
      <c r="CZ34" s="160" t="n"/>
      <c r="DA34" s="160" t="n"/>
      <c r="DB34" s="160" t="n"/>
      <c r="DC34" s="160" t="n"/>
    </row>
    <row r="35" ht="24" customHeight="1">
      <c r="A35" s="156">
        <f>IF($B35="","",ROW()-10)</f>
        <v/>
      </c>
      <c r="B35" s="157" t="n"/>
      <c r="C35" s="158" t="n"/>
      <c r="D35" s="159">
        <f>IF($B35="",0,PktStd)</f>
        <v/>
      </c>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row>
    <row r="37" ht="20" customHeight="1">
      <c r="A37" s="145" t="inlineStr">
        <is>
          <t xml:space="preserve"> Summe</t>
        </is>
      </c>
      <c r="E37" s="161">
        <f>IF(OR(E$5="",COUNT(E$11:E$35)=0),"",SUM(E$11:E$35))</f>
        <v/>
      </c>
      <c r="F37" s="161">
        <f>IF(OR(F$5="",COUNT(F$11:F$35)=0),"",SUM(F$11:F$35))</f>
        <v/>
      </c>
      <c r="G37" s="161">
        <f>IF(OR(G$5="",COUNT(G$11:G$35)=0),"",SUM(G$11:G$35))</f>
        <v/>
      </c>
      <c r="H37" s="161">
        <f>IF(OR(H$5="",COUNT(H$11:H$35)=0),"",SUM(H$11:H$35))</f>
        <v/>
      </c>
      <c r="I37" s="161">
        <f>IF(OR(I$5="",COUNT(I$11:I$35)=0),"",SUM(I$11:I$35))</f>
        <v/>
      </c>
      <c r="J37" s="161">
        <f>IF(OR(J$5="",COUNT(J$11:J$35)=0),"",SUM(J$11:J$35))</f>
        <v/>
      </c>
      <c r="K37" s="161">
        <f>IF(OR(K$5="",COUNT(K$11:K$35)=0),"",SUM(K$11:K$35))</f>
        <v/>
      </c>
      <c r="L37" s="161">
        <f>IF(OR(L$5="",COUNT(L$11:L$35)=0),"",SUM(L$11:L$35))</f>
        <v/>
      </c>
      <c r="M37" s="161">
        <f>IF(OR(M$5="",COUNT(M$11:M$35)=0),"",SUM(M$11:M$35))</f>
        <v/>
      </c>
      <c r="N37" s="161">
        <f>IF(OR(N$5="",COUNT(N$11:N$35)=0),"",SUM(N$11:N$35))</f>
        <v/>
      </c>
      <c r="O37" s="161">
        <f>IF(OR(O$5="",COUNT(O$11:O$35)=0),"",SUM(O$11:O$35))</f>
        <v/>
      </c>
      <c r="P37" s="161">
        <f>IF(OR(P$5="",COUNT(P$11:P$35)=0),"",SUM(P$11:P$35))</f>
        <v/>
      </c>
      <c r="Q37" s="161">
        <f>IF(OR(Q$5="",COUNT(Q$11:Q$35)=0),"",SUM(Q$11:Q$35))</f>
        <v/>
      </c>
      <c r="R37" s="161">
        <f>IF(OR(R$5="",COUNT(R$11:R$35)=0),"",SUM(R$11:R$35))</f>
        <v/>
      </c>
      <c r="S37" s="161">
        <f>IF(OR(S$5="",COUNT(S$11:S$35)=0),"",SUM(S$11:S$35))</f>
        <v/>
      </c>
      <c r="T37" s="161">
        <f>IF(OR(T$5="",COUNT(T$11:T$35)=0),"",SUM(T$11:T$35))</f>
        <v/>
      </c>
      <c r="U37" s="161">
        <f>IF(OR(U$5="",COUNT(U$11:U$35)=0),"",SUM(U$11:U$35))</f>
        <v/>
      </c>
      <c r="V37" s="161">
        <f>IF(OR(V$5="",COUNT(V$11:V$35)=0),"",SUM(V$11:V$35))</f>
        <v/>
      </c>
      <c r="W37" s="161">
        <f>IF(OR(W$5="",COUNT(W$11:W$35)=0),"",SUM(W$11:W$35))</f>
        <v/>
      </c>
      <c r="X37" s="161">
        <f>IF(OR(X$5="",COUNT(X$11:X$35)=0),"",SUM(X$11:X$35))</f>
        <v/>
      </c>
      <c r="Y37" s="161">
        <f>IF(OR(Y$5="",COUNT(Y$11:Y$35)=0),"",SUM(Y$11:Y$35))</f>
        <v/>
      </c>
      <c r="Z37" s="161">
        <f>IF(OR(Z$5="",COUNT(Z$11:Z$35)=0),"",SUM(Z$11:Z$35))</f>
        <v/>
      </c>
      <c r="AA37" s="161">
        <f>IF(OR(AA$5="",COUNT(AA$11:AA$35)=0),"",SUM(AA$11:AA$35))</f>
        <v/>
      </c>
      <c r="AB37" s="161">
        <f>IF(OR(AB$5="",COUNT(AB$11:AB$35)=0),"",SUM(AB$11:AB$35))</f>
        <v/>
      </c>
      <c r="AC37" s="161">
        <f>IF(OR(AC$5="",COUNT(AC$11:AC$35)=0),"",SUM(AC$11:AC$35))</f>
        <v/>
      </c>
      <c r="AE37" s="161">
        <f>IF(OR(AE$5="",COUNT(AE$11:AE$35)=0),"",SUM(AE$11:AE$35))</f>
        <v/>
      </c>
      <c r="AF37" s="161">
        <f>IF(OR(AF$5="",COUNT(AF$11:AF$35)=0),"",SUM(AF$11:AF$35))</f>
        <v/>
      </c>
      <c r="AG37" s="161">
        <f>IF(OR(AG$5="",COUNT(AG$11:AG$35)=0),"",SUM(AG$11:AG$35))</f>
        <v/>
      </c>
      <c r="AH37" s="161">
        <f>IF(OR(AH$5="",COUNT(AH$11:AH$35)=0),"",SUM(AH$11:AH$35))</f>
        <v/>
      </c>
      <c r="AI37" s="161">
        <f>IF(OR(AI$5="",COUNT(AI$11:AI$35)=0),"",SUM(AI$11:AI$35))</f>
        <v/>
      </c>
      <c r="AJ37" s="161">
        <f>IF(OR(AJ$5="",COUNT(AJ$11:AJ$35)=0),"",SUM(AJ$11:AJ$35))</f>
        <v/>
      </c>
      <c r="AK37" s="161">
        <f>IF(OR(AK$5="",COUNT(AK$11:AK$35)=0),"",SUM(AK$11:AK$35))</f>
        <v/>
      </c>
      <c r="AL37" s="161">
        <f>IF(OR(AL$5="",COUNT(AL$11:AL$35)=0),"",SUM(AL$11:AL$35))</f>
        <v/>
      </c>
      <c r="AM37" s="161">
        <f>IF(OR(AM$5="",COUNT(AM$11:AM$35)=0),"",SUM(AM$11:AM$35))</f>
        <v/>
      </c>
      <c r="AN37" s="161">
        <f>IF(OR(AN$5="",COUNT(AN$11:AN$35)=0),"",SUM(AN$11:AN$35))</f>
        <v/>
      </c>
      <c r="AO37" s="161">
        <f>IF(OR(AO$5="",COUNT(AO$11:AO$35)=0),"",SUM(AO$11:AO$35))</f>
        <v/>
      </c>
      <c r="AP37" s="161">
        <f>IF(OR(AP$5="",COUNT(AP$11:AP$35)=0),"",SUM(AP$11:AP$35))</f>
        <v/>
      </c>
      <c r="AQ37" s="161">
        <f>IF(OR(AQ$5="",COUNT(AQ$11:AQ$35)=0),"",SUM(AQ$11:AQ$35))</f>
        <v/>
      </c>
      <c r="AR37" s="161">
        <f>IF(OR(AR$5="",COUNT(AR$11:AR$35)=0),"",SUM(AR$11:AR$35))</f>
        <v/>
      </c>
      <c r="AS37" s="161">
        <f>IF(OR(AS$5="",COUNT(AS$11:AS$35)=0),"",SUM(AS$11:AS$35))</f>
        <v/>
      </c>
      <c r="AT37" s="161">
        <f>IF(OR(AT$5="",COUNT(AT$11:AT$35)=0),"",SUM(AT$11:AT$35))</f>
        <v/>
      </c>
      <c r="AU37" s="161">
        <f>IF(OR(AU$5="",COUNT(AU$11:AU$35)=0),"",SUM(AU$11:AU$35))</f>
        <v/>
      </c>
      <c r="AV37" s="161">
        <f>IF(OR(AV$5="",COUNT(AV$11:AV$35)=0),"",SUM(AV$11:AV$35))</f>
        <v/>
      </c>
      <c r="AW37" s="161">
        <f>IF(OR(AW$5="",COUNT(AW$11:AW$35)=0),"",SUM(AW$11:AW$35))</f>
        <v/>
      </c>
      <c r="AX37" s="161">
        <f>IF(OR(AX$5="",COUNT(AX$11:AX$35)=0),"",SUM(AX$11:AX$35))</f>
        <v/>
      </c>
      <c r="AY37" s="161">
        <f>IF(OR(AY$5="",COUNT(AY$11:AY$35)=0),"",SUM(AY$11:AY$35))</f>
        <v/>
      </c>
      <c r="AZ37" s="161">
        <f>IF(OR(AZ$5="",COUNT(AZ$11:AZ$35)=0),"",SUM(AZ$11:AZ$35))</f>
        <v/>
      </c>
      <c r="BA37" s="161">
        <f>IF(OR(BA$5="",COUNT(BA$11:BA$35)=0),"",SUM(BA$11:BA$35))</f>
        <v/>
      </c>
      <c r="BB37" s="161">
        <f>IF(OR(BB$5="",COUNT(BB$11:BB$35)=0),"",SUM(BB$11:BB$35))</f>
        <v/>
      </c>
      <c r="BC37" s="161">
        <f>IF(OR(BC$5="",COUNT(BC$11:BC$35)=0),"",SUM(BC$11:BC$35))</f>
        <v/>
      </c>
      <c r="BE37" s="161">
        <f>IF(OR(BE$5="",COUNT(BE$11:BE$35)=0),"",SUM(BE$11:BE$35))</f>
        <v/>
      </c>
      <c r="BF37" s="161">
        <f>IF(OR(BF$5="",COUNT(BF$11:BF$35)=0),"",SUM(BF$11:BF$35))</f>
        <v/>
      </c>
      <c r="BG37" s="161">
        <f>IF(OR(BG$5="",COUNT(BG$11:BG$35)=0),"",SUM(BG$11:BG$35))</f>
        <v/>
      </c>
      <c r="BH37" s="161">
        <f>IF(OR(BH$5="",COUNT(BH$11:BH$35)=0),"",SUM(BH$11:BH$35))</f>
        <v/>
      </c>
      <c r="BI37" s="161">
        <f>IF(OR(BI$5="",COUNT(BI$11:BI$35)=0),"",SUM(BI$11:BI$35))</f>
        <v/>
      </c>
      <c r="BJ37" s="161">
        <f>IF(OR(BJ$5="",COUNT(BJ$11:BJ$35)=0),"",SUM(BJ$11:BJ$35))</f>
        <v/>
      </c>
      <c r="BK37" s="161">
        <f>IF(OR(BK$5="",COUNT(BK$11:BK$35)=0),"",SUM(BK$11:BK$35))</f>
        <v/>
      </c>
      <c r="BL37" s="161">
        <f>IF(OR(BL$5="",COUNT(BL$11:BL$35)=0),"",SUM(BL$11:BL$35))</f>
        <v/>
      </c>
      <c r="BM37" s="161">
        <f>IF(OR(BM$5="",COUNT(BM$11:BM$35)=0),"",SUM(BM$11:BM$35))</f>
        <v/>
      </c>
      <c r="BN37" s="161">
        <f>IF(OR(BN$5="",COUNT(BN$11:BN$35)=0),"",SUM(BN$11:BN$35))</f>
        <v/>
      </c>
      <c r="BO37" s="161">
        <f>IF(OR(BO$5="",COUNT(BO$11:BO$35)=0),"",SUM(BO$11:BO$35))</f>
        <v/>
      </c>
      <c r="BP37" s="161">
        <f>IF(OR(BP$5="",COUNT(BP$11:BP$35)=0),"",SUM(BP$11:BP$35))</f>
        <v/>
      </c>
      <c r="BQ37" s="161">
        <f>IF(OR(BQ$5="",COUNT(BQ$11:BQ$35)=0),"",SUM(BQ$11:BQ$35))</f>
        <v/>
      </c>
      <c r="BR37" s="161">
        <f>IF(OR(BR$5="",COUNT(BR$11:BR$35)=0),"",SUM(BR$11:BR$35))</f>
        <v/>
      </c>
      <c r="BS37" s="161">
        <f>IF(OR(BS$5="",COUNT(BS$11:BS$35)=0),"",SUM(BS$11:BS$35))</f>
        <v/>
      </c>
      <c r="BT37" s="161">
        <f>IF(OR(BT$5="",COUNT(BT$11:BT$35)=0),"",SUM(BT$11:BT$35))</f>
        <v/>
      </c>
      <c r="BU37" s="161">
        <f>IF(OR(BU$5="",COUNT(BU$11:BU$35)=0),"",SUM(BU$11:BU$35))</f>
        <v/>
      </c>
      <c r="BV37" s="161">
        <f>IF(OR(BV$5="",COUNT(BV$11:BV$35)=0),"",SUM(BV$11:BV$35))</f>
        <v/>
      </c>
      <c r="BW37" s="161">
        <f>IF(OR(BW$5="",COUNT(BW$11:BW$35)=0),"",SUM(BW$11:BW$35))</f>
        <v/>
      </c>
      <c r="BX37" s="161">
        <f>IF(OR(BX$5="",COUNT(BX$11:BX$35)=0),"",SUM(BX$11:BX$35))</f>
        <v/>
      </c>
      <c r="BY37" s="161">
        <f>IF(OR(BY$5="",COUNT(BY$11:BY$35)=0),"",SUM(BY$11:BY$35))</f>
        <v/>
      </c>
      <c r="BZ37" s="161">
        <f>IF(OR(BZ$5="",COUNT(BZ$11:BZ$35)=0),"",SUM(BZ$11:BZ$35))</f>
        <v/>
      </c>
      <c r="CA37" s="161">
        <f>IF(OR(CA$5="",COUNT(CA$11:CA$35)=0),"",SUM(CA$11:CA$35))</f>
        <v/>
      </c>
      <c r="CB37" s="161">
        <f>IF(OR(CB$5="",COUNT(CB$11:CB$35)=0),"",SUM(CB$11:CB$35))</f>
        <v/>
      </c>
      <c r="CC37" s="161">
        <f>IF(OR(CC$5="",COUNT(CC$11:CC$35)=0),"",SUM(CC$11:CC$35))</f>
        <v/>
      </c>
      <c r="CE37" s="161">
        <f>IF(OR(CE$5="",COUNT(CE$11:CE$35)=0),"",SUM(CE$11:CE$35))</f>
        <v/>
      </c>
      <c r="CF37" s="161">
        <f>IF(OR(CF$5="",COUNT(CF$11:CF$35)=0),"",SUM(CF$11:CF$35))</f>
        <v/>
      </c>
      <c r="CG37" s="161">
        <f>IF(OR(CG$5="",COUNT(CG$11:CG$35)=0),"",SUM(CG$11:CG$35))</f>
        <v/>
      </c>
      <c r="CH37" s="161">
        <f>IF(OR(CH$5="",COUNT(CH$11:CH$35)=0),"",SUM(CH$11:CH$35))</f>
        <v/>
      </c>
      <c r="CI37" s="161">
        <f>IF(OR(CI$5="",COUNT(CI$11:CI$35)=0),"",SUM(CI$11:CI$35))</f>
        <v/>
      </c>
      <c r="CJ37" s="161">
        <f>IF(OR(CJ$5="",COUNT(CJ$11:CJ$35)=0),"",SUM(CJ$11:CJ$35))</f>
        <v/>
      </c>
      <c r="CK37" s="161">
        <f>IF(OR(CK$5="",COUNT(CK$11:CK$35)=0),"",SUM(CK$11:CK$35))</f>
        <v/>
      </c>
      <c r="CL37" s="161">
        <f>IF(OR(CL$5="",COUNT(CL$11:CL$35)=0),"",SUM(CL$11:CL$35))</f>
        <v/>
      </c>
      <c r="CM37" s="161">
        <f>IF(OR(CM$5="",COUNT(CM$11:CM$35)=0),"",SUM(CM$11:CM$35))</f>
        <v/>
      </c>
      <c r="CN37" s="161">
        <f>IF(OR(CN$5="",COUNT(CN$11:CN$35)=0),"",SUM(CN$11:CN$35))</f>
        <v/>
      </c>
      <c r="CO37" s="161">
        <f>IF(OR(CO$5="",COUNT(CO$11:CO$35)=0),"",SUM(CO$11:CO$35))</f>
        <v/>
      </c>
      <c r="CP37" s="161">
        <f>IF(OR(CP$5="",COUNT(CP$11:CP$35)=0),"",SUM(CP$11:CP$35))</f>
        <v/>
      </c>
      <c r="CQ37" s="161">
        <f>IF(OR(CQ$5="",COUNT(CQ$11:CQ$35)=0),"",SUM(CQ$11:CQ$35))</f>
        <v/>
      </c>
      <c r="CR37" s="161">
        <f>IF(OR(CR$5="",COUNT(CR$11:CR$35)=0),"",SUM(CR$11:CR$35))</f>
        <v/>
      </c>
      <c r="CS37" s="161">
        <f>IF(OR(CS$5="",COUNT(CS$11:CS$35)=0),"",SUM(CS$11:CS$35))</f>
        <v/>
      </c>
      <c r="CT37" s="161">
        <f>IF(OR(CT$5="",COUNT(CT$11:CT$35)=0),"",SUM(CT$11:CT$35))</f>
        <v/>
      </c>
      <c r="CU37" s="161">
        <f>IF(OR(CU$5="",COUNT(CU$11:CU$35)=0),"",SUM(CU$11:CU$35))</f>
        <v/>
      </c>
      <c r="CV37" s="161">
        <f>IF(OR(CV$5="",COUNT(CV$11:CV$35)=0),"",SUM(CV$11:CV$35))</f>
        <v/>
      </c>
      <c r="CW37" s="161">
        <f>IF(OR(CW$5="",COUNT(CW$11:CW$35)=0),"",SUM(CW$11:CW$35))</f>
        <v/>
      </c>
      <c r="CX37" s="161">
        <f>IF(OR(CX$5="",COUNT(CX$11:CX$35)=0),"",SUM(CX$11:CX$35))</f>
        <v/>
      </c>
      <c r="CY37" s="161">
        <f>IF(OR(CY$5="",COUNT(CY$11:CY$35)=0),"",SUM(CY$11:CY$35))</f>
        <v/>
      </c>
      <c r="CZ37" s="161">
        <f>IF(OR(CZ$5="",COUNT(CZ$11:CZ$35)=0),"",SUM(CZ$11:CZ$35))</f>
        <v/>
      </c>
      <c r="DA37" s="161">
        <f>IF(OR(DA$5="",COUNT(DA$11:DA$35)=0),"",SUM(DA$11:DA$35))</f>
        <v/>
      </c>
      <c r="DB37" s="161">
        <f>IF(OR(DB$5="",COUNT(DB$11:DB$35)=0),"",SUM(DB$11:DB$35))</f>
        <v/>
      </c>
      <c r="DC37" s="161">
        <f>IF(OR(DC$5="",COUNT(DC$11:DC$35)=0),"",SUM(DC$11:DC$35))</f>
        <v/>
      </c>
    </row>
    <row r="38" ht="20" customHeight="1">
      <c r="A38" s="152" t="inlineStr">
        <is>
          <t xml:space="preserve"> von max.</t>
        </is>
      </c>
      <c r="E38" s="55">
        <f>IF(E$37="","",SUMPRODUCT(--ISNUMBER(E$11:E$35),$D$11:$D$35))</f>
        <v/>
      </c>
      <c r="F38" s="55">
        <f>IF(F$37="","",SUMPRODUCT(--ISNUMBER(F$11:F$35),$D$11:$D$35))</f>
        <v/>
      </c>
      <c r="G38" s="55">
        <f>IF(G$37="","",SUMPRODUCT(--ISNUMBER(G$11:G$35),$D$11:$D$35))</f>
        <v/>
      </c>
      <c r="H38" s="55">
        <f>IF(H$37="","",SUMPRODUCT(--ISNUMBER(H$11:H$35),$D$11:$D$35))</f>
        <v/>
      </c>
      <c r="I38" s="55">
        <f>IF(I$37="","",SUMPRODUCT(--ISNUMBER(I$11:I$35),$D$11:$D$35))</f>
        <v/>
      </c>
      <c r="J38" s="55">
        <f>IF(J$37="","",SUMPRODUCT(--ISNUMBER(J$11:J$35),$D$11:$D$35))</f>
        <v/>
      </c>
      <c r="K38" s="55">
        <f>IF(K$37="","",SUMPRODUCT(--ISNUMBER(K$11:K$35),$D$11:$D$35))</f>
        <v/>
      </c>
      <c r="L38" s="55">
        <f>IF(L$37="","",SUMPRODUCT(--ISNUMBER(L$11:L$35),$D$11:$D$35))</f>
        <v/>
      </c>
      <c r="M38" s="55">
        <f>IF(M$37="","",SUMPRODUCT(--ISNUMBER(M$11:M$35),$D$11:$D$35))</f>
        <v/>
      </c>
      <c r="N38" s="55">
        <f>IF(N$37="","",SUMPRODUCT(--ISNUMBER(N$11:N$35),$D$11:$D$35))</f>
        <v/>
      </c>
      <c r="O38" s="55">
        <f>IF(O$37="","",SUMPRODUCT(--ISNUMBER(O$11:O$35),$D$11:$D$35))</f>
        <v/>
      </c>
      <c r="P38" s="55">
        <f>IF(P$37="","",SUMPRODUCT(--ISNUMBER(P$11:P$35),$D$11:$D$35))</f>
        <v/>
      </c>
      <c r="Q38" s="55">
        <f>IF(Q$37="","",SUMPRODUCT(--ISNUMBER(Q$11:Q$35),$D$11:$D$35))</f>
        <v/>
      </c>
      <c r="R38" s="55">
        <f>IF(R$37="","",SUMPRODUCT(--ISNUMBER(R$11:R$35),$D$11:$D$35))</f>
        <v/>
      </c>
      <c r="S38" s="55">
        <f>IF(S$37="","",SUMPRODUCT(--ISNUMBER(S$11:S$35),$D$11:$D$35))</f>
        <v/>
      </c>
      <c r="T38" s="55">
        <f>IF(T$37="","",SUMPRODUCT(--ISNUMBER(T$11:T$35),$D$11:$D$35))</f>
        <v/>
      </c>
      <c r="U38" s="55">
        <f>IF(U$37="","",SUMPRODUCT(--ISNUMBER(U$11:U$35),$D$11:$D$35))</f>
        <v/>
      </c>
      <c r="V38" s="55">
        <f>IF(V$37="","",SUMPRODUCT(--ISNUMBER(V$11:V$35),$D$11:$D$35))</f>
        <v/>
      </c>
      <c r="W38" s="55">
        <f>IF(W$37="","",SUMPRODUCT(--ISNUMBER(W$11:W$35),$D$11:$D$35))</f>
        <v/>
      </c>
      <c r="X38" s="55">
        <f>IF(X$37="","",SUMPRODUCT(--ISNUMBER(X$11:X$35),$D$11:$D$35))</f>
        <v/>
      </c>
      <c r="Y38" s="55">
        <f>IF(Y$37="","",SUMPRODUCT(--ISNUMBER(Y$11:Y$35),$D$11:$D$35))</f>
        <v/>
      </c>
      <c r="Z38" s="55">
        <f>IF(Z$37="","",SUMPRODUCT(--ISNUMBER(Z$11:Z$35),$D$11:$D$35))</f>
        <v/>
      </c>
      <c r="AA38" s="55">
        <f>IF(AA$37="","",SUMPRODUCT(--ISNUMBER(AA$11:AA$35),$D$11:$D$35))</f>
        <v/>
      </c>
      <c r="AB38" s="55">
        <f>IF(AB$37="","",SUMPRODUCT(--ISNUMBER(AB$11:AB$35),$D$11:$D$35))</f>
        <v/>
      </c>
      <c r="AC38" s="55">
        <f>IF(AC$37="","",SUMPRODUCT(--ISNUMBER(AC$11:AC$35),$D$11:$D$35))</f>
        <v/>
      </c>
      <c r="AE38" s="55">
        <f>IF(AE$37="","",SUMPRODUCT(--ISNUMBER(AE$11:AE$35),$D$11:$D$35))</f>
        <v/>
      </c>
      <c r="AF38" s="55">
        <f>IF(AF$37="","",SUMPRODUCT(--ISNUMBER(AF$11:AF$35),$D$11:$D$35))</f>
        <v/>
      </c>
      <c r="AG38" s="55">
        <f>IF(AG$37="","",SUMPRODUCT(--ISNUMBER(AG$11:AG$35),$D$11:$D$35))</f>
        <v/>
      </c>
      <c r="AH38" s="55">
        <f>IF(AH$37="","",SUMPRODUCT(--ISNUMBER(AH$11:AH$35),$D$11:$D$35))</f>
        <v/>
      </c>
      <c r="AI38" s="55">
        <f>IF(AI$37="","",SUMPRODUCT(--ISNUMBER(AI$11:AI$35),$D$11:$D$35))</f>
        <v/>
      </c>
      <c r="AJ38" s="55">
        <f>IF(AJ$37="","",SUMPRODUCT(--ISNUMBER(AJ$11:AJ$35),$D$11:$D$35))</f>
        <v/>
      </c>
      <c r="AK38" s="55">
        <f>IF(AK$37="","",SUMPRODUCT(--ISNUMBER(AK$11:AK$35),$D$11:$D$35))</f>
        <v/>
      </c>
      <c r="AL38" s="55">
        <f>IF(AL$37="","",SUMPRODUCT(--ISNUMBER(AL$11:AL$35),$D$11:$D$35))</f>
        <v/>
      </c>
      <c r="AM38" s="55">
        <f>IF(AM$37="","",SUMPRODUCT(--ISNUMBER(AM$11:AM$35),$D$11:$D$35))</f>
        <v/>
      </c>
      <c r="AN38" s="55">
        <f>IF(AN$37="","",SUMPRODUCT(--ISNUMBER(AN$11:AN$35),$D$11:$D$35))</f>
        <v/>
      </c>
      <c r="AO38" s="55">
        <f>IF(AO$37="","",SUMPRODUCT(--ISNUMBER(AO$11:AO$35),$D$11:$D$35))</f>
        <v/>
      </c>
      <c r="AP38" s="55">
        <f>IF(AP$37="","",SUMPRODUCT(--ISNUMBER(AP$11:AP$35),$D$11:$D$35))</f>
        <v/>
      </c>
      <c r="AQ38" s="55">
        <f>IF(AQ$37="","",SUMPRODUCT(--ISNUMBER(AQ$11:AQ$35),$D$11:$D$35))</f>
        <v/>
      </c>
      <c r="AR38" s="55">
        <f>IF(AR$37="","",SUMPRODUCT(--ISNUMBER(AR$11:AR$35),$D$11:$D$35))</f>
        <v/>
      </c>
      <c r="AS38" s="55">
        <f>IF(AS$37="","",SUMPRODUCT(--ISNUMBER(AS$11:AS$35),$D$11:$D$35))</f>
        <v/>
      </c>
      <c r="AT38" s="55">
        <f>IF(AT$37="","",SUMPRODUCT(--ISNUMBER(AT$11:AT$35),$D$11:$D$35))</f>
        <v/>
      </c>
      <c r="AU38" s="55">
        <f>IF(AU$37="","",SUMPRODUCT(--ISNUMBER(AU$11:AU$35),$D$11:$D$35))</f>
        <v/>
      </c>
      <c r="AV38" s="55">
        <f>IF(AV$37="","",SUMPRODUCT(--ISNUMBER(AV$11:AV$35),$D$11:$D$35))</f>
        <v/>
      </c>
      <c r="AW38" s="55">
        <f>IF(AW$37="","",SUMPRODUCT(--ISNUMBER(AW$11:AW$35),$D$11:$D$35))</f>
        <v/>
      </c>
      <c r="AX38" s="55">
        <f>IF(AX$37="","",SUMPRODUCT(--ISNUMBER(AX$11:AX$35),$D$11:$D$35))</f>
        <v/>
      </c>
      <c r="AY38" s="55">
        <f>IF(AY$37="","",SUMPRODUCT(--ISNUMBER(AY$11:AY$35),$D$11:$D$35))</f>
        <v/>
      </c>
      <c r="AZ38" s="55">
        <f>IF(AZ$37="","",SUMPRODUCT(--ISNUMBER(AZ$11:AZ$35),$D$11:$D$35))</f>
        <v/>
      </c>
      <c r="BA38" s="55">
        <f>IF(BA$37="","",SUMPRODUCT(--ISNUMBER(BA$11:BA$35),$D$11:$D$35))</f>
        <v/>
      </c>
      <c r="BB38" s="55">
        <f>IF(BB$37="","",SUMPRODUCT(--ISNUMBER(BB$11:BB$35),$D$11:$D$35))</f>
        <v/>
      </c>
      <c r="BC38" s="55">
        <f>IF(BC$37="","",SUMPRODUCT(--ISNUMBER(BC$11:BC$35),$D$11:$D$35))</f>
        <v/>
      </c>
      <c r="BE38" s="55">
        <f>IF(BE$37="","",SUMPRODUCT(--ISNUMBER(BE$11:BE$35),$D$11:$D$35))</f>
        <v/>
      </c>
      <c r="BF38" s="55">
        <f>IF(BF$37="","",SUMPRODUCT(--ISNUMBER(BF$11:BF$35),$D$11:$D$35))</f>
        <v/>
      </c>
      <c r="BG38" s="55">
        <f>IF(BG$37="","",SUMPRODUCT(--ISNUMBER(BG$11:BG$35),$D$11:$D$35))</f>
        <v/>
      </c>
      <c r="BH38" s="55">
        <f>IF(BH$37="","",SUMPRODUCT(--ISNUMBER(BH$11:BH$35),$D$11:$D$35))</f>
        <v/>
      </c>
      <c r="BI38" s="55">
        <f>IF(BI$37="","",SUMPRODUCT(--ISNUMBER(BI$11:BI$35),$D$11:$D$35))</f>
        <v/>
      </c>
      <c r="BJ38" s="55">
        <f>IF(BJ$37="","",SUMPRODUCT(--ISNUMBER(BJ$11:BJ$35),$D$11:$D$35))</f>
        <v/>
      </c>
      <c r="BK38" s="55">
        <f>IF(BK$37="","",SUMPRODUCT(--ISNUMBER(BK$11:BK$35),$D$11:$D$35))</f>
        <v/>
      </c>
      <c r="BL38" s="55">
        <f>IF(BL$37="","",SUMPRODUCT(--ISNUMBER(BL$11:BL$35),$D$11:$D$35))</f>
        <v/>
      </c>
      <c r="BM38" s="55">
        <f>IF(BM$37="","",SUMPRODUCT(--ISNUMBER(BM$11:BM$35),$D$11:$D$35))</f>
        <v/>
      </c>
      <c r="BN38" s="55">
        <f>IF(BN$37="","",SUMPRODUCT(--ISNUMBER(BN$11:BN$35),$D$11:$D$35))</f>
        <v/>
      </c>
      <c r="BO38" s="55">
        <f>IF(BO$37="","",SUMPRODUCT(--ISNUMBER(BO$11:BO$35),$D$11:$D$35))</f>
        <v/>
      </c>
      <c r="BP38" s="55">
        <f>IF(BP$37="","",SUMPRODUCT(--ISNUMBER(BP$11:BP$35),$D$11:$D$35))</f>
        <v/>
      </c>
      <c r="BQ38" s="55">
        <f>IF(BQ$37="","",SUMPRODUCT(--ISNUMBER(BQ$11:BQ$35),$D$11:$D$35))</f>
        <v/>
      </c>
      <c r="BR38" s="55">
        <f>IF(BR$37="","",SUMPRODUCT(--ISNUMBER(BR$11:BR$35),$D$11:$D$35))</f>
        <v/>
      </c>
      <c r="BS38" s="55">
        <f>IF(BS$37="","",SUMPRODUCT(--ISNUMBER(BS$11:BS$35),$D$11:$D$35))</f>
        <v/>
      </c>
      <c r="BT38" s="55">
        <f>IF(BT$37="","",SUMPRODUCT(--ISNUMBER(BT$11:BT$35),$D$11:$D$35))</f>
        <v/>
      </c>
      <c r="BU38" s="55">
        <f>IF(BU$37="","",SUMPRODUCT(--ISNUMBER(BU$11:BU$35),$D$11:$D$35))</f>
        <v/>
      </c>
      <c r="BV38" s="55">
        <f>IF(BV$37="","",SUMPRODUCT(--ISNUMBER(BV$11:BV$35),$D$11:$D$35))</f>
        <v/>
      </c>
      <c r="BW38" s="55">
        <f>IF(BW$37="","",SUMPRODUCT(--ISNUMBER(BW$11:BW$35),$D$11:$D$35))</f>
        <v/>
      </c>
      <c r="BX38" s="55">
        <f>IF(BX$37="","",SUMPRODUCT(--ISNUMBER(BX$11:BX$35),$D$11:$D$35))</f>
        <v/>
      </c>
      <c r="BY38" s="55">
        <f>IF(BY$37="","",SUMPRODUCT(--ISNUMBER(BY$11:BY$35),$D$11:$D$35))</f>
        <v/>
      </c>
      <c r="BZ38" s="55">
        <f>IF(BZ$37="","",SUMPRODUCT(--ISNUMBER(BZ$11:BZ$35),$D$11:$D$35))</f>
        <v/>
      </c>
      <c r="CA38" s="55">
        <f>IF(CA$37="","",SUMPRODUCT(--ISNUMBER(CA$11:CA$35),$D$11:$D$35))</f>
        <v/>
      </c>
      <c r="CB38" s="55">
        <f>IF(CB$37="","",SUMPRODUCT(--ISNUMBER(CB$11:CB$35),$D$11:$D$35))</f>
        <v/>
      </c>
      <c r="CC38" s="55">
        <f>IF(CC$37="","",SUMPRODUCT(--ISNUMBER(CC$11:CC$35),$D$11:$D$35))</f>
        <v/>
      </c>
      <c r="CE38" s="55">
        <f>IF(CE$37="","",SUMPRODUCT(--ISNUMBER(CE$11:CE$35),$D$11:$D$35))</f>
        <v/>
      </c>
      <c r="CF38" s="55">
        <f>IF(CF$37="","",SUMPRODUCT(--ISNUMBER(CF$11:CF$35),$D$11:$D$35))</f>
        <v/>
      </c>
      <c r="CG38" s="55">
        <f>IF(CG$37="","",SUMPRODUCT(--ISNUMBER(CG$11:CG$35),$D$11:$D$35))</f>
        <v/>
      </c>
      <c r="CH38" s="55">
        <f>IF(CH$37="","",SUMPRODUCT(--ISNUMBER(CH$11:CH$35),$D$11:$D$35))</f>
        <v/>
      </c>
      <c r="CI38" s="55">
        <f>IF(CI$37="","",SUMPRODUCT(--ISNUMBER(CI$11:CI$35),$D$11:$D$35))</f>
        <v/>
      </c>
      <c r="CJ38" s="55">
        <f>IF(CJ$37="","",SUMPRODUCT(--ISNUMBER(CJ$11:CJ$35),$D$11:$D$35))</f>
        <v/>
      </c>
      <c r="CK38" s="55">
        <f>IF(CK$37="","",SUMPRODUCT(--ISNUMBER(CK$11:CK$35),$D$11:$D$35))</f>
        <v/>
      </c>
      <c r="CL38" s="55">
        <f>IF(CL$37="","",SUMPRODUCT(--ISNUMBER(CL$11:CL$35),$D$11:$D$35))</f>
        <v/>
      </c>
      <c r="CM38" s="55">
        <f>IF(CM$37="","",SUMPRODUCT(--ISNUMBER(CM$11:CM$35),$D$11:$D$35))</f>
        <v/>
      </c>
      <c r="CN38" s="55">
        <f>IF(CN$37="","",SUMPRODUCT(--ISNUMBER(CN$11:CN$35),$D$11:$D$35))</f>
        <v/>
      </c>
      <c r="CO38" s="55">
        <f>IF(CO$37="","",SUMPRODUCT(--ISNUMBER(CO$11:CO$35),$D$11:$D$35))</f>
        <v/>
      </c>
      <c r="CP38" s="55">
        <f>IF(CP$37="","",SUMPRODUCT(--ISNUMBER(CP$11:CP$35),$D$11:$D$35))</f>
        <v/>
      </c>
      <c r="CQ38" s="55">
        <f>IF(CQ$37="","",SUMPRODUCT(--ISNUMBER(CQ$11:CQ$35),$D$11:$D$35))</f>
        <v/>
      </c>
      <c r="CR38" s="55">
        <f>IF(CR$37="","",SUMPRODUCT(--ISNUMBER(CR$11:CR$35),$D$11:$D$35))</f>
        <v/>
      </c>
      <c r="CS38" s="55">
        <f>IF(CS$37="","",SUMPRODUCT(--ISNUMBER(CS$11:CS$35),$D$11:$D$35))</f>
        <v/>
      </c>
      <c r="CT38" s="55">
        <f>IF(CT$37="","",SUMPRODUCT(--ISNUMBER(CT$11:CT$35),$D$11:$D$35))</f>
        <v/>
      </c>
      <c r="CU38" s="55">
        <f>IF(CU$37="","",SUMPRODUCT(--ISNUMBER(CU$11:CU$35),$D$11:$D$35))</f>
        <v/>
      </c>
      <c r="CV38" s="55">
        <f>IF(CV$37="","",SUMPRODUCT(--ISNUMBER(CV$11:CV$35),$D$11:$D$35))</f>
        <v/>
      </c>
      <c r="CW38" s="55">
        <f>IF(CW$37="","",SUMPRODUCT(--ISNUMBER(CW$11:CW$35),$D$11:$D$35))</f>
        <v/>
      </c>
      <c r="CX38" s="55">
        <f>IF(CX$37="","",SUMPRODUCT(--ISNUMBER(CX$11:CX$35),$D$11:$D$35))</f>
        <v/>
      </c>
      <c r="CY38" s="55">
        <f>IF(CY$37="","",SUMPRODUCT(--ISNUMBER(CY$11:CY$35),$D$11:$D$35))</f>
        <v/>
      </c>
      <c r="CZ38" s="55">
        <f>IF(CZ$37="","",SUMPRODUCT(--ISNUMBER(CZ$11:CZ$35),$D$11:$D$35))</f>
        <v/>
      </c>
      <c r="DA38" s="55">
        <f>IF(DA$37="","",SUMPRODUCT(--ISNUMBER(DA$11:DA$35),$D$11:$D$35))</f>
        <v/>
      </c>
      <c r="DB38" s="55">
        <f>IF(DB$37="","",SUMPRODUCT(--ISNUMBER(DB$11:DB$35),$D$11:$D$35))</f>
        <v/>
      </c>
      <c r="DC38" s="55">
        <f>IF(DC$37="","",SUMPRODUCT(--ISNUMBER(DC$11:DC$35),$D$11:$D$35))</f>
        <v/>
      </c>
    </row>
    <row r="39" ht="20" customHeight="1">
      <c r="A39" s="152" t="inlineStr">
        <is>
          <t xml:space="preserve"> Halbjahr</t>
        </is>
      </c>
      <c r="E39" s="162">
        <f>IF(E$5="","",IF(OR($L$3="",'Stammdaten'!$F6=""),0,IF($L$3&lt;'Stammdaten'!$F6,0,INT(DATEDIF('Stammdaten'!$F6,$L$3,"m")/6)+1)))</f>
        <v/>
      </c>
      <c r="F39" s="162">
        <f>IF(F$5="","",IF(OR($L$3="",'Stammdaten'!$F7=""),0,IF($L$3&lt;'Stammdaten'!$F7,0,INT(DATEDIF('Stammdaten'!$F7,$L$3,"m")/6)+1)))</f>
        <v/>
      </c>
      <c r="G39" s="162">
        <f>IF(G$5="","",IF(OR($L$3="",'Stammdaten'!$F8=""),0,IF($L$3&lt;'Stammdaten'!$F8,0,INT(DATEDIF('Stammdaten'!$F8,$L$3,"m")/6)+1)))</f>
        <v/>
      </c>
      <c r="H39" s="162">
        <f>IF(H$5="","",IF(OR($L$3="",'Stammdaten'!$F9=""),0,IF($L$3&lt;'Stammdaten'!$F9,0,INT(DATEDIF('Stammdaten'!$F9,$L$3,"m")/6)+1)))</f>
        <v/>
      </c>
      <c r="I39" s="162">
        <f>IF(I$5="","",IF(OR($L$3="",'Stammdaten'!$F10=""),0,IF($L$3&lt;'Stammdaten'!$F10,0,INT(DATEDIF('Stammdaten'!$F10,$L$3,"m")/6)+1)))</f>
        <v/>
      </c>
      <c r="J39" s="162">
        <f>IF(J$5="","",IF(OR($L$3="",'Stammdaten'!$F11=""),0,IF($L$3&lt;'Stammdaten'!$F11,0,INT(DATEDIF('Stammdaten'!$F11,$L$3,"m")/6)+1)))</f>
        <v/>
      </c>
      <c r="K39" s="162">
        <f>IF(K$5="","",IF(OR($L$3="",'Stammdaten'!$F12=""),0,IF($L$3&lt;'Stammdaten'!$F12,0,INT(DATEDIF('Stammdaten'!$F12,$L$3,"m")/6)+1)))</f>
        <v/>
      </c>
      <c r="L39" s="162">
        <f>IF(L$5="","",IF(OR($L$3="",'Stammdaten'!$F13=""),0,IF($L$3&lt;'Stammdaten'!$F13,0,INT(DATEDIF('Stammdaten'!$F13,$L$3,"m")/6)+1)))</f>
        <v/>
      </c>
      <c r="M39" s="162">
        <f>IF(M$5="","",IF(OR($L$3="",'Stammdaten'!$F14=""),0,IF($L$3&lt;'Stammdaten'!$F14,0,INT(DATEDIF('Stammdaten'!$F14,$L$3,"m")/6)+1)))</f>
        <v/>
      </c>
      <c r="N39" s="162">
        <f>IF(N$5="","",IF(OR($L$3="",'Stammdaten'!$F15=""),0,IF($L$3&lt;'Stammdaten'!$F15,0,INT(DATEDIF('Stammdaten'!$F15,$L$3,"m")/6)+1)))</f>
        <v/>
      </c>
      <c r="O39" s="162">
        <f>IF(O$5="","",IF(OR($L$3="",'Stammdaten'!$F16=""),0,IF($L$3&lt;'Stammdaten'!$F16,0,INT(DATEDIF('Stammdaten'!$F16,$L$3,"m")/6)+1)))</f>
        <v/>
      </c>
      <c r="P39" s="162">
        <f>IF(P$5="","",IF(OR($L$3="",'Stammdaten'!$F17=""),0,IF($L$3&lt;'Stammdaten'!$F17,0,INT(DATEDIF('Stammdaten'!$F17,$L$3,"m")/6)+1)))</f>
        <v/>
      </c>
      <c r="Q39" s="162">
        <f>IF(Q$5="","",IF(OR($L$3="",'Stammdaten'!$F18=""),0,IF($L$3&lt;'Stammdaten'!$F18,0,INT(DATEDIF('Stammdaten'!$F18,$L$3,"m")/6)+1)))</f>
        <v/>
      </c>
      <c r="R39" s="162">
        <f>IF(R$5="","",IF(OR($L$3="",'Stammdaten'!$F19=""),0,IF($L$3&lt;'Stammdaten'!$F19,0,INT(DATEDIF('Stammdaten'!$F19,$L$3,"m")/6)+1)))</f>
        <v/>
      </c>
      <c r="S39" s="162">
        <f>IF(S$5="","",IF(OR($L$3="",'Stammdaten'!$F20=""),0,IF($L$3&lt;'Stammdaten'!$F20,0,INT(DATEDIF('Stammdaten'!$F20,$L$3,"m")/6)+1)))</f>
        <v/>
      </c>
      <c r="T39" s="162">
        <f>IF(T$5="","",IF(OR($L$3="",'Stammdaten'!$F21=""),0,IF($L$3&lt;'Stammdaten'!$F21,0,INT(DATEDIF('Stammdaten'!$F21,$L$3,"m")/6)+1)))</f>
        <v/>
      </c>
      <c r="U39" s="162">
        <f>IF(U$5="","",IF(OR($L$3="",'Stammdaten'!$F22=""),0,IF($L$3&lt;'Stammdaten'!$F22,0,INT(DATEDIF('Stammdaten'!$F22,$L$3,"m")/6)+1)))</f>
        <v/>
      </c>
      <c r="V39" s="162">
        <f>IF(V$5="","",IF(OR($L$3="",'Stammdaten'!$F23=""),0,IF($L$3&lt;'Stammdaten'!$F23,0,INT(DATEDIF('Stammdaten'!$F23,$L$3,"m")/6)+1)))</f>
        <v/>
      </c>
      <c r="W39" s="162">
        <f>IF(W$5="","",IF(OR($L$3="",'Stammdaten'!$F24=""),0,IF($L$3&lt;'Stammdaten'!$F24,0,INT(DATEDIF('Stammdaten'!$F24,$L$3,"m")/6)+1)))</f>
        <v/>
      </c>
      <c r="X39" s="162">
        <f>IF(X$5="","",IF(OR($L$3="",'Stammdaten'!$F25=""),0,IF($L$3&lt;'Stammdaten'!$F25,0,INT(DATEDIF('Stammdaten'!$F25,$L$3,"m")/6)+1)))</f>
        <v/>
      </c>
      <c r="Y39" s="162">
        <f>IF(Y$5="","",IF(OR($L$3="",'Stammdaten'!$F26=""),0,IF($L$3&lt;'Stammdaten'!$F26,0,INT(DATEDIF('Stammdaten'!$F26,$L$3,"m")/6)+1)))</f>
        <v/>
      </c>
      <c r="Z39" s="162">
        <f>IF(Z$5="","",IF(OR($L$3="",'Stammdaten'!$F27=""),0,IF($L$3&lt;'Stammdaten'!$F27,0,INT(DATEDIF('Stammdaten'!$F27,$L$3,"m")/6)+1)))</f>
        <v/>
      </c>
      <c r="AA39" s="162">
        <f>IF(AA$5="","",IF(OR($L$3="",'Stammdaten'!$F28=""),0,IF($L$3&lt;'Stammdaten'!$F28,0,INT(DATEDIF('Stammdaten'!$F28,$L$3,"m")/6)+1)))</f>
        <v/>
      </c>
      <c r="AB39" s="162">
        <f>IF(AB$5="","",IF(OR($L$3="",'Stammdaten'!$F29=""),0,IF($L$3&lt;'Stammdaten'!$F29,0,INT(DATEDIF('Stammdaten'!$F29,$L$3,"m")/6)+1)))</f>
        <v/>
      </c>
      <c r="AC39" s="162">
        <f>IF(AC$5="","",IF(OR($L$3="",'Stammdaten'!$F30=""),0,IF($L$3&lt;'Stammdaten'!$F30,0,INT(DATEDIF('Stammdaten'!$F30,$L$3,"m")/6)+1)))</f>
        <v/>
      </c>
      <c r="AE39" s="162">
        <f>IF(AE$5="","",IF(OR($L$3="",'Stammdaten'!$F31=""),0,IF($L$3&lt;'Stammdaten'!$F31,0,INT(DATEDIF('Stammdaten'!$F31,$L$3,"m")/6)+1)))</f>
        <v/>
      </c>
      <c r="AF39" s="162">
        <f>IF(AF$5="","",IF(OR($L$3="",'Stammdaten'!$F32=""),0,IF($L$3&lt;'Stammdaten'!$F32,0,INT(DATEDIF('Stammdaten'!$F32,$L$3,"m")/6)+1)))</f>
        <v/>
      </c>
      <c r="AG39" s="162">
        <f>IF(AG$5="","",IF(OR($L$3="",'Stammdaten'!$F33=""),0,IF($L$3&lt;'Stammdaten'!$F33,0,INT(DATEDIF('Stammdaten'!$F33,$L$3,"m")/6)+1)))</f>
        <v/>
      </c>
      <c r="AH39" s="162">
        <f>IF(AH$5="","",IF(OR($L$3="",'Stammdaten'!$F34=""),0,IF($L$3&lt;'Stammdaten'!$F34,0,INT(DATEDIF('Stammdaten'!$F34,$L$3,"m")/6)+1)))</f>
        <v/>
      </c>
      <c r="AI39" s="162">
        <f>IF(AI$5="","",IF(OR($L$3="",'Stammdaten'!$F35=""),0,IF($L$3&lt;'Stammdaten'!$F35,0,INT(DATEDIF('Stammdaten'!$F35,$L$3,"m")/6)+1)))</f>
        <v/>
      </c>
      <c r="AJ39" s="162">
        <f>IF(AJ$5="","",IF(OR($L$3="",'Stammdaten'!$F36=""),0,IF($L$3&lt;'Stammdaten'!$F36,0,INT(DATEDIF('Stammdaten'!$F36,$L$3,"m")/6)+1)))</f>
        <v/>
      </c>
      <c r="AK39" s="162">
        <f>IF(AK$5="","",IF(OR($L$3="",'Stammdaten'!$F37=""),0,IF($L$3&lt;'Stammdaten'!$F37,0,INT(DATEDIF('Stammdaten'!$F37,$L$3,"m")/6)+1)))</f>
        <v/>
      </c>
      <c r="AL39" s="162">
        <f>IF(AL$5="","",IF(OR($L$3="",'Stammdaten'!$F38=""),0,IF($L$3&lt;'Stammdaten'!$F38,0,INT(DATEDIF('Stammdaten'!$F38,$L$3,"m")/6)+1)))</f>
        <v/>
      </c>
      <c r="AM39" s="162">
        <f>IF(AM$5="","",IF(OR($L$3="",'Stammdaten'!$F39=""),0,IF($L$3&lt;'Stammdaten'!$F39,0,INT(DATEDIF('Stammdaten'!$F39,$L$3,"m")/6)+1)))</f>
        <v/>
      </c>
      <c r="AN39" s="162">
        <f>IF(AN$5="","",IF(OR($L$3="",'Stammdaten'!$F40=""),0,IF($L$3&lt;'Stammdaten'!$F40,0,INT(DATEDIF('Stammdaten'!$F40,$L$3,"m")/6)+1)))</f>
        <v/>
      </c>
      <c r="AO39" s="162">
        <f>IF(AO$5="","",IF(OR($L$3="",'Stammdaten'!$F41=""),0,IF($L$3&lt;'Stammdaten'!$F41,0,INT(DATEDIF('Stammdaten'!$F41,$L$3,"m")/6)+1)))</f>
        <v/>
      </c>
      <c r="AP39" s="162">
        <f>IF(AP$5="","",IF(OR($L$3="",'Stammdaten'!$F42=""),0,IF($L$3&lt;'Stammdaten'!$F42,0,INT(DATEDIF('Stammdaten'!$F42,$L$3,"m")/6)+1)))</f>
        <v/>
      </c>
      <c r="AQ39" s="162">
        <f>IF(AQ$5="","",IF(OR($L$3="",'Stammdaten'!$F43=""),0,IF($L$3&lt;'Stammdaten'!$F43,0,INT(DATEDIF('Stammdaten'!$F43,$L$3,"m")/6)+1)))</f>
        <v/>
      </c>
      <c r="AR39" s="162">
        <f>IF(AR$5="","",IF(OR($L$3="",'Stammdaten'!$F44=""),0,IF($L$3&lt;'Stammdaten'!$F44,0,INT(DATEDIF('Stammdaten'!$F44,$L$3,"m")/6)+1)))</f>
        <v/>
      </c>
      <c r="AS39" s="162">
        <f>IF(AS$5="","",IF(OR($L$3="",'Stammdaten'!$F45=""),0,IF($L$3&lt;'Stammdaten'!$F45,0,INT(DATEDIF('Stammdaten'!$F45,$L$3,"m")/6)+1)))</f>
        <v/>
      </c>
      <c r="AT39" s="162">
        <f>IF(AT$5="","",IF(OR($L$3="",'Stammdaten'!$F46=""),0,IF($L$3&lt;'Stammdaten'!$F46,0,INT(DATEDIF('Stammdaten'!$F46,$L$3,"m")/6)+1)))</f>
        <v/>
      </c>
      <c r="AU39" s="162">
        <f>IF(AU$5="","",IF(OR($L$3="",'Stammdaten'!$F47=""),0,IF($L$3&lt;'Stammdaten'!$F47,0,INT(DATEDIF('Stammdaten'!$F47,$L$3,"m")/6)+1)))</f>
        <v/>
      </c>
      <c r="AV39" s="162">
        <f>IF(AV$5="","",IF(OR($L$3="",'Stammdaten'!$F48=""),0,IF($L$3&lt;'Stammdaten'!$F48,0,INT(DATEDIF('Stammdaten'!$F48,$L$3,"m")/6)+1)))</f>
        <v/>
      </c>
      <c r="AW39" s="162">
        <f>IF(AW$5="","",IF(OR($L$3="",'Stammdaten'!$F49=""),0,IF($L$3&lt;'Stammdaten'!$F49,0,INT(DATEDIF('Stammdaten'!$F49,$L$3,"m")/6)+1)))</f>
        <v/>
      </c>
      <c r="AX39" s="162">
        <f>IF(AX$5="","",IF(OR($L$3="",'Stammdaten'!$F50=""),0,IF($L$3&lt;'Stammdaten'!$F50,0,INT(DATEDIF('Stammdaten'!$F50,$L$3,"m")/6)+1)))</f>
        <v/>
      </c>
      <c r="AY39" s="162">
        <f>IF(AY$5="","",IF(OR($L$3="",'Stammdaten'!$F51=""),0,IF($L$3&lt;'Stammdaten'!$F51,0,INT(DATEDIF('Stammdaten'!$F51,$L$3,"m")/6)+1)))</f>
        <v/>
      </c>
      <c r="AZ39" s="162">
        <f>IF(AZ$5="","",IF(OR($L$3="",'Stammdaten'!$F52=""),0,IF($L$3&lt;'Stammdaten'!$F52,0,INT(DATEDIF('Stammdaten'!$F52,$L$3,"m")/6)+1)))</f>
        <v/>
      </c>
      <c r="BA39" s="162">
        <f>IF(BA$5="","",IF(OR($L$3="",'Stammdaten'!$F53=""),0,IF($L$3&lt;'Stammdaten'!$F53,0,INT(DATEDIF('Stammdaten'!$F53,$L$3,"m")/6)+1)))</f>
        <v/>
      </c>
      <c r="BB39" s="162">
        <f>IF(BB$5="","",IF(OR($L$3="",'Stammdaten'!$F54=""),0,IF($L$3&lt;'Stammdaten'!$F54,0,INT(DATEDIF('Stammdaten'!$F54,$L$3,"m")/6)+1)))</f>
        <v/>
      </c>
      <c r="BC39" s="162">
        <f>IF(BC$5="","",IF(OR($L$3="",'Stammdaten'!$F55=""),0,IF($L$3&lt;'Stammdaten'!$F55,0,INT(DATEDIF('Stammdaten'!$F55,$L$3,"m")/6)+1)))</f>
        <v/>
      </c>
      <c r="BE39" s="162">
        <f>IF(BE$5="","",IF(OR($L$3="",'Stammdaten'!$F56=""),0,IF($L$3&lt;'Stammdaten'!$F56,0,INT(DATEDIF('Stammdaten'!$F56,$L$3,"m")/6)+1)))</f>
        <v/>
      </c>
      <c r="BF39" s="162">
        <f>IF(BF$5="","",IF(OR($L$3="",'Stammdaten'!$F57=""),0,IF($L$3&lt;'Stammdaten'!$F57,0,INT(DATEDIF('Stammdaten'!$F57,$L$3,"m")/6)+1)))</f>
        <v/>
      </c>
      <c r="BG39" s="162">
        <f>IF(BG$5="","",IF(OR($L$3="",'Stammdaten'!$F58=""),0,IF($L$3&lt;'Stammdaten'!$F58,0,INT(DATEDIF('Stammdaten'!$F58,$L$3,"m")/6)+1)))</f>
        <v/>
      </c>
      <c r="BH39" s="162">
        <f>IF(BH$5="","",IF(OR($L$3="",'Stammdaten'!$F59=""),0,IF($L$3&lt;'Stammdaten'!$F59,0,INT(DATEDIF('Stammdaten'!$F59,$L$3,"m")/6)+1)))</f>
        <v/>
      </c>
      <c r="BI39" s="162">
        <f>IF(BI$5="","",IF(OR($L$3="",'Stammdaten'!$F60=""),0,IF($L$3&lt;'Stammdaten'!$F60,0,INT(DATEDIF('Stammdaten'!$F60,$L$3,"m")/6)+1)))</f>
        <v/>
      </c>
      <c r="BJ39" s="162">
        <f>IF(BJ$5="","",IF(OR($L$3="",'Stammdaten'!$F61=""),0,IF($L$3&lt;'Stammdaten'!$F61,0,INT(DATEDIF('Stammdaten'!$F61,$L$3,"m")/6)+1)))</f>
        <v/>
      </c>
      <c r="BK39" s="162">
        <f>IF(BK$5="","",IF(OR($L$3="",'Stammdaten'!$F62=""),0,IF($L$3&lt;'Stammdaten'!$F62,0,INT(DATEDIF('Stammdaten'!$F62,$L$3,"m")/6)+1)))</f>
        <v/>
      </c>
      <c r="BL39" s="162">
        <f>IF(BL$5="","",IF(OR($L$3="",'Stammdaten'!$F63=""),0,IF($L$3&lt;'Stammdaten'!$F63,0,INT(DATEDIF('Stammdaten'!$F63,$L$3,"m")/6)+1)))</f>
        <v/>
      </c>
      <c r="BM39" s="162">
        <f>IF(BM$5="","",IF(OR($L$3="",'Stammdaten'!$F64=""),0,IF($L$3&lt;'Stammdaten'!$F64,0,INT(DATEDIF('Stammdaten'!$F64,$L$3,"m")/6)+1)))</f>
        <v/>
      </c>
      <c r="BN39" s="162">
        <f>IF(BN$5="","",IF(OR($L$3="",'Stammdaten'!$F65=""),0,IF($L$3&lt;'Stammdaten'!$F65,0,INT(DATEDIF('Stammdaten'!$F65,$L$3,"m")/6)+1)))</f>
        <v/>
      </c>
      <c r="BO39" s="162">
        <f>IF(BO$5="","",IF(OR($L$3="",'Stammdaten'!$F66=""),0,IF($L$3&lt;'Stammdaten'!$F66,0,INT(DATEDIF('Stammdaten'!$F66,$L$3,"m")/6)+1)))</f>
        <v/>
      </c>
      <c r="BP39" s="162">
        <f>IF(BP$5="","",IF(OR($L$3="",'Stammdaten'!$F67=""),0,IF($L$3&lt;'Stammdaten'!$F67,0,INT(DATEDIF('Stammdaten'!$F67,$L$3,"m")/6)+1)))</f>
        <v/>
      </c>
      <c r="BQ39" s="162">
        <f>IF(BQ$5="","",IF(OR($L$3="",'Stammdaten'!$F68=""),0,IF($L$3&lt;'Stammdaten'!$F68,0,INT(DATEDIF('Stammdaten'!$F68,$L$3,"m")/6)+1)))</f>
        <v/>
      </c>
      <c r="BR39" s="162">
        <f>IF(BR$5="","",IF(OR($L$3="",'Stammdaten'!$F69=""),0,IF($L$3&lt;'Stammdaten'!$F69,0,INT(DATEDIF('Stammdaten'!$F69,$L$3,"m")/6)+1)))</f>
        <v/>
      </c>
      <c r="BS39" s="162">
        <f>IF(BS$5="","",IF(OR($L$3="",'Stammdaten'!$F70=""),0,IF($L$3&lt;'Stammdaten'!$F70,0,INT(DATEDIF('Stammdaten'!$F70,$L$3,"m")/6)+1)))</f>
        <v/>
      </c>
      <c r="BT39" s="162">
        <f>IF(BT$5="","",IF(OR($L$3="",'Stammdaten'!$F71=""),0,IF($L$3&lt;'Stammdaten'!$F71,0,INT(DATEDIF('Stammdaten'!$F71,$L$3,"m")/6)+1)))</f>
        <v/>
      </c>
      <c r="BU39" s="162">
        <f>IF(BU$5="","",IF(OR($L$3="",'Stammdaten'!$F72=""),0,IF($L$3&lt;'Stammdaten'!$F72,0,INT(DATEDIF('Stammdaten'!$F72,$L$3,"m")/6)+1)))</f>
        <v/>
      </c>
      <c r="BV39" s="162">
        <f>IF(BV$5="","",IF(OR($L$3="",'Stammdaten'!$F73=""),0,IF($L$3&lt;'Stammdaten'!$F73,0,INT(DATEDIF('Stammdaten'!$F73,$L$3,"m")/6)+1)))</f>
        <v/>
      </c>
      <c r="BW39" s="162">
        <f>IF(BW$5="","",IF(OR($L$3="",'Stammdaten'!$F74=""),0,IF($L$3&lt;'Stammdaten'!$F74,0,INT(DATEDIF('Stammdaten'!$F74,$L$3,"m")/6)+1)))</f>
        <v/>
      </c>
      <c r="BX39" s="162">
        <f>IF(BX$5="","",IF(OR($L$3="",'Stammdaten'!$F75=""),0,IF($L$3&lt;'Stammdaten'!$F75,0,INT(DATEDIF('Stammdaten'!$F75,$L$3,"m")/6)+1)))</f>
        <v/>
      </c>
      <c r="BY39" s="162">
        <f>IF(BY$5="","",IF(OR($L$3="",'Stammdaten'!$F76=""),0,IF($L$3&lt;'Stammdaten'!$F76,0,INT(DATEDIF('Stammdaten'!$F76,$L$3,"m")/6)+1)))</f>
        <v/>
      </c>
      <c r="BZ39" s="162">
        <f>IF(BZ$5="","",IF(OR($L$3="",'Stammdaten'!$F77=""),0,IF($L$3&lt;'Stammdaten'!$F77,0,INT(DATEDIF('Stammdaten'!$F77,$L$3,"m")/6)+1)))</f>
        <v/>
      </c>
      <c r="CA39" s="162">
        <f>IF(CA$5="","",IF(OR($L$3="",'Stammdaten'!$F78=""),0,IF($L$3&lt;'Stammdaten'!$F78,0,INT(DATEDIF('Stammdaten'!$F78,$L$3,"m")/6)+1)))</f>
        <v/>
      </c>
      <c r="CB39" s="162">
        <f>IF(CB$5="","",IF(OR($L$3="",'Stammdaten'!$F79=""),0,IF($L$3&lt;'Stammdaten'!$F79,0,INT(DATEDIF('Stammdaten'!$F79,$L$3,"m")/6)+1)))</f>
        <v/>
      </c>
      <c r="CC39" s="162">
        <f>IF(CC$5="","",IF(OR($L$3="",'Stammdaten'!$F80=""),0,IF($L$3&lt;'Stammdaten'!$F80,0,INT(DATEDIF('Stammdaten'!$F80,$L$3,"m")/6)+1)))</f>
        <v/>
      </c>
      <c r="CE39" s="162">
        <f>IF(CE$5="","",IF(OR($L$3="",'Stammdaten'!$F81=""),0,IF($L$3&lt;'Stammdaten'!$F81,0,INT(DATEDIF('Stammdaten'!$F81,$L$3,"m")/6)+1)))</f>
        <v/>
      </c>
      <c r="CF39" s="162">
        <f>IF(CF$5="","",IF(OR($L$3="",'Stammdaten'!$F82=""),0,IF($L$3&lt;'Stammdaten'!$F82,0,INT(DATEDIF('Stammdaten'!$F82,$L$3,"m")/6)+1)))</f>
        <v/>
      </c>
      <c r="CG39" s="162">
        <f>IF(CG$5="","",IF(OR($L$3="",'Stammdaten'!$F83=""),0,IF($L$3&lt;'Stammdaten'!$F83,0,INT(DATEDIF('Stammdaten'!$F83,$L$3,"m")/6)+1)))</f>
        <v/>
      </c>
      <c r="CH39" s="162">
        <f>IF(CH$5="","",IF(OR($L$3="",'Stammdaten'!$F84=""),0,IF($L$3&lt;'Stammdaten'!$F84,0,INT(DATEDIF('Stammdaten'!$F84,$L$3,"m")/6)+1)))</f>
        <v/>
      </c>
      <c r="CI39" s="162">
        <f>IF(CI$5="","",IF(OR($L$3="",'Stammdaten'!$F85=""),0,IF($L$3&lt;'Stammdaten'!$F85,0,INT(DATEDIF('Stammdaten'!$F85,$L$3,"m")/6)+1)))</f>
        <v/>
      </c>
      <c r="CJ39" s="162">
        <f>IF(CJ$5="","",IF(OR($L$3="",'Stammdaten'!$F86=""),0,IF($L$3&lt;'Stammdaten'!$F86,0,INT(DATEDIF('Stammdaten'!$F86,$L$3,"m")/6)+1)))</f>
        <v/>
      </c>
      <c r="CK39" s="162">
        <f>IF(CK$5="","",IF(OR($L$3="",'Stammdaten'!$F87=""),0,IF($L$3&lt;'Stammdaten'!$F87,0,INT(DATEDIF('Stammdaten'!$F87,$L$3,"m")/6)+1)))</f>
        <v/>
      </c>
      <c r="CL39" s="162">
        <f>IF(CL$5="","",IF(OR($L$3="",'Stammdaten'!$F88=""),0,IF($L$3&lt;'Stammdaten'!$F88,0,INT(DATEDIF('Stammdaten'!$F88,$L$3,"m")/6)+1)))</f>
        <v/>
      </c>
      <c r="CM39" s="162">
        <f>IF(CM$5="","",IF(OR($L$3="",'Stammdaten'!$F89=""),0,IF($L$3&lt;'Stammdaten'!$F89,0,INT(DATEDIF('Stammdaten'!$F89,$L$3,"m")/6)+1)))</f>
        <v/>
      </c>
      <c r="CN39" s="162">
        <f>IF(CN$5="","",IF(OR($L$3="",'Stammdaten'!$F90=""),0,IF($L$3&lt;'Stammdaten'!$F90,0,INT(DATEDIF('Stammdaten'!$F90,$L$3,"m")/6)+1)))</f>
        <v/>
      </c>
      <c r="CO39" s="162">
        <f>IF(CO$5="","",IF(OR($L$3="",'Stammdaten'!$F91=""),0,IF($L$3&lt;'Stammdaten'!$F91,0,INT(DATEDIF('Stammdaten'!$F91,$L$3,"m")/6)+1)))</f>
        <v/>
      </c>
      <c r="CP39" s="162">
        <f>IF(CP$5="","",IF(OR($L$3="",'Stammdaten'!$F92=""),0,IF($L$3&lt;'Stammdaten'!$F92,0,INT(DATEDIF('Stammdaten'!$F92,$L$3,"m")/6)+1)))</f>
        <v/>
      </c>
      <c r="CQ39" s="162">
        <f>IF(CQ$5="","",IF(OR($L$3="",'Stammdaten'!$F93=""),0,IF($L$3&lt;'Stammdaten'!$F93,0,INT(DATEDIF('Stammdaten'!$F93,$L$3,"m")/6)+1)))</f>
        <v/>
      </c>
      <c r="CR39" s="162">
        <f>IF(CR$5="","",IF(OR($L$3="",'Stammdaten'!$F94=""),0,IF($L$3&lt;'Stammdaten'!$F94,0,INT(DATEDIF('Stammdaten'!$F94,$L$3,"m")/6)+1)))</f>
        <v/>
      </c>
      <c r="CS39" s="162">
        <f>IF(CS$5="","",IF(OR($L$3="",'Stammdaten'!$F95=""),0,IF($L$3&lt;'Stammdaten'!$F95,0,INT(DATEDIF('Stammdaten'!$F95,$L$3,"m")/6)+1)))</f>
        <v/>
      </c>
      <c r="CT39" s="162">
        <f>IF(CT$5="","",IF(OR($L$3="",'Stammdaten'!$F96=""),0,IF($L$3&lt;'Stammdaten'!$F96,0,INT(DATEDIF('Stammdaten'!$F96,$L$3,"m")/6)+1)))</f>
        <v/>
      </c>
      <c r="CU39" s="162">
        <f>IF(CU$5="","",IF(OR($L$3="",'Stammdaten'!$F97=""),0,IF($L$3&lt;'Stammdaten'!$F97,0,INT(DATEDIF('Stammdaten'!$F97,$L$3,"m")/6)+1)))</f>
        <v/>
      </c>
      <c r="CV39" s="162">
        <f>IF(CV$5="","",IF(OR($L$3="",'Stammdaten'!$F98=""),0,IF($L$3&lt;'Stammdaten'!$F98,0,INT(DATEDIF('Stammdaten'!$F98,$L$3,"m")/6)+1)))</f>
        <v/>
      </c>
      <c r="CW39" s="162">
        <f>IF(CW$5="","",IF(OR($L$3="",'Stammdaten'!$F99=""),0,IF($L$3&lt;'Stammdaten'!$F99,0,INT(DATEDIF('Stammdaten'!$F99,$L$3,"m")/6)+1)))</f>
        <v/>
      </c>
      <c r="CX39" s="162">
        <f>IF(CX$5="","",IF(OR($L$3="",'Stammdaten'!$F100=""),0,IF($L$3&lt;'Stammdaten'!$F100,0,INT(DATEDIF('Stammdaten'!$F100,$L$3,"m")/6)+1)))</f>
        <v/>
      </c>
      <c r="CY39" s="162">
        <f>IF(CY$5="","",IF(OR($L$3="",'Stammdaten'!$F101=""),0,IF($L$3&lt;'Stammdaten'!$F101,0,INT(DATEDIF('Stammdaten'!$F101,$L$3,"m")/6)+1)))</f>
        <v/>
      </c>
      <c r="CZ39" s="162">
        <f>IF(CZ$5="","",IF(OR($L$3="",'Stammdaten'!$F102=""),0,IF($L$3&lt;'Stammdaten'!$F102,0,INT(DATEDIF('Stammdaten'!$F102,$L$3,"m")/6)+1)))</f>
        <v/>
      </c>
      <c r="DA39" s="162">
        <f>IF(DA$5="","",IF(OR($L$3="",'Stammdaten'!$F103=""),0,IF($L$3&lt;'Stammdaten'!$F103,0,INT(DATEDIF('Stammdaten'!$F103,$L$3,"m")/6)+1)))</f>
        <v/>
      </c>
      <c r="DB39" s="162">
        <f>IF(DB$5="","",IF(OR($L$3="",'Stammdaten'!$F104=""),0,IF($L$3&lt;'Stammdaten'!$F104,0,INT(DATEDIF('Stammdaten'!$F104,$L$3,"m")/6)+1)))</f>
        <v/>
      </c>
      <c r="DC39" s="162">
        <f>IF(DC$5="","",IF(OR($L$3="",'Stammdaten'!$F105=""),0,IF($L$3&lt;'Stammdaten'!$F105,0,INT(DATEDIF('Stammdaten'!$F105,$L$3,"m")/6)+1)))</f>
        <v/>
      </c>
    </row>
    <row r="40" ht="20" customHeight="1">
      <c r="A40" s="152" t="inlineStr">
        <is>
          <t xml:space="preserve"> Grund (n.b.)</t>
        </is>
      </c>
      <c r="E40" s="163" t="n"/>
      <c r="F40" s="163" t="n"/>
      <c r="G40" s="163" t="n"/>
      <c r="H40" s="163" t="n"/>
      <c r="I40" s="163" t="n"/>
      <c r="J40" s="163" t="n"/>
      <c r="K40" s="163" t="n"/>
      <c r="L40" s="163" t="n"/>
      <c r="M40" s="163" t="n"/>
      <c r="N40" s="163" t="n"/>
      <c r="O40" s="163" t="n"/>
      <c r="P40" s="163" t="n"/>
      <c r="Q40" s="163" t="n"/>
      <c r="R40" s="163" t="n"/>
      <c r="S40" s="163" t="n"/>
      <c r="T40" s="163" t="n"/>
      <c r="U40" s="163" t="n"/>
      <c r="V40" s="163" t="n"/>
      <c r="W40" s="163" t="n"/>
      <c r="X40" s="163" t="n"/>
      <c r="Y40" s="163" t="n"/>
      <c r="Z40" s="163" t="n"/>
      <c r="AA40" s="163" t="n"/>
      <c r="AB40" s="163" t="n"/>
      <c r="AC40" s="163" t="n"/>
      <c r="AE40" s="163" t="n"/>
      <c r="AF40" s="163" t="n"/>
      <c r="AG40" s="163" t="n"/>
      <c r="AH40" s="163" t="n"/>
      <c r="AI40" s="163" t="n"/>
      <c r="AJ40" s="163" t="n"/>
      <c r="AK40" s="163" t="n"/>
      <c r="AL40" s="163" t="n"/>
      <c r="AM40" s="163" t="n"/>
      <c r="AN40" s="163" t="n"/>
      <c r="AO40" s="163" t="n"/>
      <c r="AP40" s="163" t="n"/>
      <c r="AQ40" s="163" t="n"/>
      <c r="AR40" s="163" t="n"/>
      <c r="AS40" s="163" t="n"/>
      <c r="AT40" s="163" t="n"/>
      <c r="AU40" s="163" t="n"/>
      <c r="AV40" s="163" t="n"/>
      <c r="AW40" s="163" t="n"/>
      <c r="AX40" s="163" t="n"/>
      <c r="AY40" s="163" t="n"/>
      <c r="AZ40" s="163" t="n"/>
      <c r="BA40" s="163" t="n"/>
      <c r="BB40" s="163" t="n"/>
      <c r="BC40" s="163" t="n"/>
      <c r="BE40" s="163" t="n"/>
      <c r="BF40" s="163" t="n"/>
      <c r="BG40" s="163" t="n"/>
      <c r="BH40" s="163" t="n"/>
      <c r="BI40" s="163" t="n"/>
      <c r="BJ40" s="163" t="n"/>
      <c r="BK40" s="163" t="n"/>
      <c r="BL40" s="163" t="n"/>
      <c r="BM40" s="163" t="n"/>
      <c r="BN40" s="163" t="n"/>
      <c r="BO40" s="163" t="n"/>
      <c r="BP40" s="163" t="n"/>
      <c r="BQ40" s="163" t="n"/>
      <c r="BR40" s="163" t="n"/>
      <c r="BS40" s="163" t="n"/>
      <c r="BT40" s="163" t="n"/>
      <c r="BU40" s="163" t="n"/>
      <c r="BV40" s="163" t="n"/>
      <c r="BW40" s="163" t="n"/>
      <c r="BX40" s="163" t="n"/>
      <c r="BY40" s="163" t="n"/>
      <c r="BZ40" s="163" t="n"/>
      <c r="CA40" s="163" t="n"/>
      <c r="CB40" s="163" t="n"/>
      <c r="CC40" s="163" t="n"/>
      <c r="CE40" s="163" t="n"/>
      <c r="CF40" s="163" t="n"/>
      <c r="CG40" s="163" t="n"/>
      <c r="CH40" s="163" t="n"/>
      <c r="CI40" s="163" t="n"/>
      <c r="CJ40" s="163" t="n"/>
      <c r="CK40" s="163" t="n"/>
      <c r="CL40" s="163" t="n"/>
      <c r="CM40" s="163" t="n"/>
      <c r="CN40" s="163" t="n"/>
      <c r="CO40" s="163" t="n"/>
      <c r="CP40" s="163" t="n"/>
      <c r="CQ40" s="163" t="n"/>
      <c r="CR40" s="163" t="n"/>
      <c r="CS40" s="163" t="n"/>
      <c r="CT40" s="163" t="n"/>
      <c r="CU40" s="163" t="n"/>
      <c r="CV40" s="163" t="n"/>
      <c r="CW40" s="163" t="n"/>
      <c r="CX40" s="163" t="n"/>
      <c r="CY40" s="163" t="n"/>
      <c r="CZ40" s="163" t="n"/>
      <c r="DA40" s="163" t="n"/>
      <c r="DB40" s="163" t="n"/>
      <c r="DC40" s="163" t="n"/>
    </row>
    <row r="41" ht="34" customHeight="1">
      <c r="A41" s="152" t="inlineStr">
        <is>
          <t xml:space="preserve"> Bemerkung</t>
        </is>
      </c>
      <c r="E41" s="164" t="n"/>
      <c r="F41" s="164" t="n"/>
      <c r="G41" s="164" t="n"/>
      <c r="H41" s="164"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row>
    <row r="42" ht="20" customHeight="1">
      <c r="A42" s="152" t="inlineStr">
        <is>
          <t xml:space="preserve"> Wertung bei Wiederholung</t>
        </is>
      </c>
      <c r="E42" s="163" t="n"/>
      <c r="F42" s="163" t="n"/>
      <c r="G42" s="163" t="n"/>
      <c r="H42" s="163" t="n"/>
      <c r="I42" s="163" t="n"/>
      <c r="J42" s="163" t="n"/>
      <c r="K42" s="163" t="n"/>
      <c r="L42" s="163" t="n"/>
      <c r="M42" s="163" t="n"/>
      <c r="N42" s="163" t="n"/>
      <c r="O42" s="163" t="n"/>
      <c r="P42" s="163" t="n"/>
      <c r="Q42" s="163" t="n"/>
      <c r="R42" s="163" t="n"/>
      <c r="S42" s="163" t="n"/>
      <c r="T42" s="163" t="n"/>
      <c r="U42" s="163" t="n"/>
      <c r="V42" s="163" t="n"/>
      <c r="W42" s="163" t="n"/>
      <c r="X42" s="163" t="n"/>
      <c r="Y42" s="163" t="n"/>
      <c r="Z42" s="163" t="n"/>
      <c r="AA42" s="163" t="n"/>
      <c r="AB42" s="163" t="n"/>
      <c r="AC42" s="163" t="n"/>
      <c r="AE42" s="163" t="n"/>
      <c r="AF42" s="163" t="n"/>
      <c r="AG42" s="163" t="n"/>
      <c r="AH42" s="163" t="n"/>
      <c r="AI42" s="163" t="n"/>
      <c r="AJ42" s="163" t="n"/>
      <c r="AK42" s="163" t="n"/>
      <c r="AL42" s="163" t="n"/>
      <c r="AM42" s="163" t="n"/>
      <c r="AN42" s="163" t="n"/>
      <c r="AO42" s="163" t="n"/>
      <c r="AP42" s="163" t="n"/>
      <c r="AQ42" s="163" t="n"/>
      <c r="AR42" s="163" t="n"/>
      <c r="AS42" s="163" t="n"/>
      <c r="AT42" s="163" t="n"/>
      <c r="AU42" s="163" t="n"/>
      <c r="AV42" s="163" t="n"/>
      <c r="AW42" s="163" t="n"/>
      <c r="AX42" s="163" t="n"/>
      <c r="AY42" s="163" t="n"/>
      <c r="AZ42" s="163" t="n"/>
      <c r="BA42" s="163" t="n"/>
      <c r="BB42" s="163" t="n"/>
      <c r="BC42" s="163" t="n"/>
      <c r="BE42" s="163" t="n"/>
      <c r="BF42" s="163" t="n"/>
      <c r="BG42" s="163" t="n"/>
      <c r="BH42" s="163" t="n"/>
      <c r="BI42" s="163" t="n"/>
      <c r="BJ42" s="163" t="n"/>
      <c r="BK42" s="163" t="n"/>
      <c r="BL42" s="163" t="n"/>
      <c r="BM42" s="163" t="n"/>
      <c r="BN42" s="163" t="n"/>
      <c r="BO42" s="163" t="n"/>
      <c r="BP42" s="163" t="n"/>
      <c r="BQ42" s="163" t="n"/>
      <c r="BR42" s="163" t="n"/>
      <c r="BS42" s="163" t="n"/>
      <c r="BT42" s="163" t="n"/>
      <c r="BU42" s="163" t="n"/>
      <c r="BV42" s="163" t="n"/>
      <c r="BW42" s="163" t="n"/>
      <c r="BX42" s="163" t="n"/>
      <c r="BY42" s="163" t="n"/>
      <c r="BZ42" s="163" t="n"/>
      <c r="CA42" s="163" t="n"/>
      <c r="CB42" s="163" t="n"/>
      <c r="CC42" s="163" t="n"/>
      <c r="CE42" s="163" t="n"/>
      <c r="CF42" s="163" t="n"/>
      <c r="CG42" s="163" t="n"/>
      <c r="CH42" s="163" t="n"/>
      <c r="CI42" s="163" t="n"/>
      <c r="CJ42" s="163" t="n"/>
      <c r="CK42" s="163" t="n"/>
      <c r="CL42" s="163" t="n"/>
      <c r="CM42" s="163" t="n"/>
      <c r="CN42" s="163" t="n"/>
      <c r="CO42" s="163" t="n"/>
      <c r="CP42" s="163" t="n"/>
      <c r="CQ42" s="163" t="n"/>
      <c r="CR42" s="163" t="n"/>
      <c r="CS42" s="163" t="n"/>
      <c r="CT42" s="163" t="n"/>
      <c r="CU42" s="163" t="n"/>
      <c r="CV42" s="163" t="n"/>
      <c r="CW42" s="163" t="n"/>
      <c r="CX42" s="163" t="n"/>
      <c r="CY42" s="163" t="n"/>
      <c r="CZ42" s="163" t="n"/>
      <c r="DA42" s="163" t="n"/>
      <c r="DB42" s="163" t="n"/>
      <c r="DC42" s="163" t="n"/>
    </row>
    <row r="43" ht="20" customHeight="1">
      <c r="A43" s="165" t="inlineStr">
        <is>
          <t xml:space="preserve"> Status des Azubis</t>
        </is>
      </c>
      <c r="E43" s="166">
        <f>IF('Stammdaten'!$B6="","",'Stammdaten'!$G6)</f>
        <v/>
      </c>
      <c r="F43" s="166">
        <f>IF('Stammdaten'!$B7="","",'Stammdaten'!$G7)</f>
        <v/>
      </c>
      <c r="G43" s="166">
        <f>IF('Stammdaten'!$B8="","",'Stammdaten'!$G8)</f>
        <v/>
      </c>
      <c r="H43" s="166">
        <f>IF('Stammdaten'!$B9="","",'Stammdaten'!$G9)</f>
        <v/>
      </c>
      <c r="I43" s="166">
        <f>IF('Stammdaten'!$B10="","",'Stammdaten'!$G10)</f>
        <v/>
      </c>
      <c r="J43" s="166">
        <f>IF('Stammdaten'!$B11="","",'Stammdaten'!$G11)</f>
        <v/>
      </c>
      <c r="K43" s="166">
        <f>IF('Stammdaten'!$B12="","",'Stammdaten'!$G12)</f>
        <v/>
      </c>
      <c r="L43" s="166">
        <f>IF('Stammdaten'!$B13="","",'Stammdaten'!$G13)</f>
        <v/>
      </c>
      <c r="M43" s="166">
        <f>IF('Stammdaten'!$B14="","",'Stammdaten'!$G14)</f>
        <v/>
      </c>
      <c r="N43" s="166">
        <f>IF('Stammdaten'!$B15="","",'Stammdaten'!$G15)</f>
        <v/>
      </c>
      <c r="O43" s="166">
        <f>IF('Stammdaten'!$B16="","",'Stammdaten'!$G16)</f>
        <v/>
      </c>
      <c r="P43" s="166">
        <f>IF('Stammdaten'!$B17="","",'Stammdaten'!$G17)</f>
        <v/>
      </c>
      <c r="Q43" s="166">
        <f>IF('Stammdaten'!$B18="","",'Stammdaten'!$G18)</f>
        <v/>
      </c>
      <c r="R43" s="166">
        <f>IF('Stammdaten'!$B19="","",'Stammdaten'!$G19)</f>
        <v/>
      </c>
      <c r="S43" s="166">
        <f>IF('Stammdaten'!$B20="","",'Stammdaten'!$G20)</f>
        <v/>
      </c>
      <c r="T43" s="166">
        <f>IF('Stammdaten'!$B21="","",'Stammdaten'!$G21)</f>
        <v/>
      </c>
      <c r="U43" s="166">
        <f>IF('Stammdaten'!$B22="","",'Stammdaten'!$G22)</f>
        <v/>
      </c>
      <c r="V43" s="166">
        <f>IF('Stammdaten'!$B23="","",'Stammdaten'!$G23)</f>
        <v/>
      </c>
      <c r="W43" s="166">
        <f>IF('Stammdaten'!$B24="","",'Stammdaten'!$G24)</f>
        <v/>
      </c>
      <c r="X43" s="166">
        <f>IF('Stammdaten'!$B25="","",'Stammdaten'!$G25)</f>
        <v/>
      </c>
      <c r="Y43" s="166">
        <f>IF('Stammdaten'!$B26="","",'Stammdaten'!$G26)</f>
        <v/>
      </c>
      <c r="Z43" s="166">
        <f>IF('Stammdaten'!$B27="","",'Stammdaten'!$G27)</f>
        <v/>
      </c>
      <c r="AA43" s="166">
        <f>IF('Stammdaten'!$B28="","",'Stammdaten'!$G28)</f>
        <v/>
      </c>
      <c r="AB43" s="166">
        <f>IF('Stammdaten'!$B29="","",'Stammdaten'!$G29)</f>
        <v/>
      </c>
      <c r="AC43" s="166">
        <f>IF('Stammdaten'!$B30="","",'Stammdaten'!$G30)</f>
        <v/>
      </c>
      <c r="AE43" s="166">
        <f>IF('Stammdaten'!$B31="","",'Stammdaten'!$G31)</f>
        <v/>
      </c>
      <c r="AF43" s="166">
        <f>IF('Stammdaten'!$B32="","",'Stammdaten'!$G32)</f>
        <v/>
      </c>
      <c r="AG43" s="166">
        <f>IF('Stammdaten'!$B33="","",'Stammdaten'!$G33)</f>
        <v/>
      </c>
      <c r="AH43" s="166">
        <f>IF('Stammdaten'!$B34="","",'Stammdaten'!$G34)</f>
        <v/>
      </c>
      <c r="AI43" s="166">
        <f>IF('Stammdaten'!$B35="","",'Stammdaten'!$G35)</f>
        <v/>
      </c>
      <c r="AJ43" s="166">
        <f>IF('Stammdaten'!$B36="","",'Stammdaten'!$G36)</f>
        <v/>
      </c>
      <c r="AK43" s="166">
        <f>IF('Stammdaten'!$B37="","",'Stammdaten'!$G37)</f>
        <v/>
      </c>
      <c r="AL43" s="166">
        <f>IF('Stammdaten'!$B38="","",'Stammdaten'!$G38)</f>
        <v/>
      </c>
      <c r="AM43" s="166">
        <f>IF('Stammdaten'!$B39="","",'Stammdaten'!$G39)</f>
        <v/>
      </c>
      <c r="AN43" s="166">
        <f>IF('Stammdaten'!$B40="","",'Stammdaten'!$G40)</f>
        <v/>
      </c>
      <c r="AO43" s="166">
        <f>IF('Stammdaten'!$B41="","",'Stammdaten'!$G41)</f>
        <v/>
      </c>
      <c r="AP43" s="166">
        <f>IF('Stammdaten'!$B42="","",'Stammdaten'!$G42)</f>
        <v/>
      </c>
      <c r="AQ43" s="166">
        <f>IF('Stammdaten'!$B43="","",'Stammdaten'!$G43)</f>
        <v/>
      </c>
      <c r="AR43" s="166">
        <f>IF('Stammdaten'!$B44="","",'Stammdaten'!$G44)</f>
        <v/>
      </c>
      <c r="AS43" s="166">
        <f>IF('Stammdaten'!$B45="","",'Stammdaten'!$G45)</f>
        <v/>
      </c>
      <c r="AT43" s="166">
        <f>IF('Stammdaten'!$B46="","",'Stammdaten'!$G46)</f>
        <v/>
      </c>
      <c r="AU43" s="166">
        <f>IF('Stammdaten'!$B47="","",'Stammdaten'!$G47)</f>
        <v/>
      </c>
      <c r="AV43" s="166">
        <f>IF('Stammdaten'!$B48="","",'Stammdaten'!$G48)</f>
        <v/>
      </c>
      <c r="AW43" s="166">
        <f>IF('Stammdaten'!$B49="","",'Stammdaten'!$G49)</f>
        <v/>
      </c>
      <c r="AX43" s="166">
        <f>IF('Stammdaten'!$B50="","",'Stammdaten'!$G50)</f>
        <v/>
      </c>
      <c r="AY43" s="166">
        <f>IF('Stammdaten'!$B51="","",'Stammdaten'!$G51)</f>
        <v/>
      </c>
      <c r="AZ43" s="166">
        <f>IF('Stammdaten'!$B52="","",'Stammdaten'!$G52)</f>
        <v/>
      </c>
      <c r="BA43" s="166">
        <f>IF('Stammdaten'!$B53="","",'Stammdaten'!$G53)</f>
        <v/>
      </c>
      <c r="BB43" s="166">
        <f>IF('Stammdaten'!$B54="","",'Stammdaten'!$G54)</f>
        <v/>
      </c>
      <c r="BC43" s="166">
        <f>IF('Stammdaten'!$B55="","",'Stammdaten'!$G55)</f>
        <v/>
      </c>
      <c r="BE43" s="166">
        <f>IF('Stammdaten'!$B56="","",'Stammdaten'!$G56)</f>
        <v/>
      </c>
      <c r="BF43" s="166">
        <f>IF('Stammdaten'!$B57="","",'Stammdaten'!$G57)</f>
        <v/>
      </c>
      <c r="BG43" s="166">
        <f>IF('Stammdaten'!$B58="","",'Stammdaten'!$G58)</f>
        <v/>
      </c>
      <c r="BH43" s="166">
        <f>IF('Stammdaten'!$B59="","",'Stammdaten'!$G59)</f>
        <v/>
      </c>
      <c r="BI43" s="166">
        <f>IF('Stammdaten'!$B60="","",'Stammdaten'!$G60)</f>
        <v/>
      </c>
      <c r="BJ43" s="166">
        <f>IF('Stammdaten'!$B61="","",'Stammdaten'!$G61)</f>
        <v/>
      </c>
      <c r="BK43" s="166">
        <f>IF('Stammdaten'!$B62="","",'Stammdaten'!$G62)</f>
        <v/>
      </c>
      <c r="BL43" s="166">
        <f>IF('Stammdaten'!$B63="","",'Stammdaten'!$G63)</f>
        <v/>
      </c>
      <c r="BM43" s="166">
        <f>IF('Stammdaten'!$B64="","",'Stammdaten'!$G64)</f>
        <v/>
      </c>
      <c r="BN43" s="166">
        <f>IF('Stammdaten'!$B65="","",'Stammdaten'!$G65)</f>
        <v/>
      </c>
      <c r="BO43" s="166">
        <f>IF('Stammdaten'!$B66="","",'Stammdaten'!$G66)</f>
        <v/>
      </c>
      <c r="BP43" s="166">
        <f>IF('Stammdaten'!$B67="","",'Stammdaten'!$G67)</f>
        <v/>
      </c>
      <c r="BQ43" s="166">
        <f>IF('Stammdaten'!$B68="","",'Stammdaten'!$G68)</f>
        <v/>
      </c>
      <c r="BR43" s="166">
        <f>IF('Stammdaten'!$B69="","",'Stammdaten'!$G69)</f>
        <v/>
      </c>
      <c r="BS43" s="166">
        <f>IF('Stammdaten'!$B70="","",'Stammdaten'!$G70)</f>
        <v/>
      </c>
      <c r="BT43" s="166">
        <f>IF('Stammdaten'!$B71="","",'Stammdaten'!$G71)</f>
        <v/>
      </c>
      <c r="BU43" s="166">
        <f>IF('Stammdaten'!$B72="","",'Stammdaten'!$G72)</f>
        <v/>
      </c>
      <c r="BV43" s="166">
        <f>IF('Stammdaten'!$B73="","",'Stammdaten'!$G73)</f>
        <v/>
      </c>
      <c r="BW43" s="166">
        <f>IF('Stammdaten'!$B74="","",'Stammdaten'!$G74)</f>
        <v/>
      </c>
      <c r="BX43" s="166">
        <f>IF('Stammdaten'!$B75="","",'Stammdaten'!$G75)</f>
        <v/>
      </c>
      <c r="BY43" s="166">
        <f>IF('Stammdaten'!$B76="","",'Stammdaten'!$G76)</f>
        <v/>
      </c>
      <c r="BZ43" s="166">
        <f>IF('Stammdaten'!$B77="","",'Stammdaten'!$G77)</f>
        <v/>
      </c>
      <c r="CA43" s="166">
        <f>IF('Stammdaten'!$B78="","",'Stammdaten'!$G78)</f>
        <v/>
      </c>
      <c r="CB43" s="166">
        <f>IF('Stammdaten'!$B79="","",'Stammdaten'!$G79)</f>
        <v/>
      </c>
      <c r="CC43" s="166">
        <f>IF('Stammdaten'!$B80="","",'Stammdaten'!$G80)</f>
        <v/>
      </c>
      <c r="CE43" s="166">
        <f>IF('Stammdaten'!$B81="","",'Stammdaten'!$G81)</f>
        <v/>
      </c>
      <c r="CF43" s="166">
        <f>IF('Stammdaten'!$B82="","",'Stammdaten'!$G82)</f>
        <v/>
      </c>
      <c r="CG43" s="166">
        <f>IF('Stammdaten'!$B83="","",'Stammdaten'!$G83)</f>
        <v/>
      </c>
      <c r="CH43" s="166">
        <f>IF('Stammdaten'!$B84="","",'Stammdaten'!$G84)</f>
        <v/>
      </c>
      <c r="CI43" s="166">
        <f>IF('Stammdaten'!$B85="","",'Stammdaten'!$G85)</f>
        <v/>
      </c>
      <c r="CJ43" s="166">
        <f>IF('Stammdaten'!$B86="","",'Stammdaten'!$G86)</f>
        <v/>
      </c>
      <c r="CK43" s="166">
        <f>IF('Stammdaten'!$B87="","",'Stammdaten'!$G87)</f>
        <v/>
      </c>
      <c r="CL43" s="166">
        <f>IF('Stammdaten'!$B88="","",'Stammdaten'!$G88)</f>
        <v/>
      </c>
      <c r="CM43" s="166">
        <f>IF('Stammdaten'!$B89="","",'Stammdaten'!$G89)</f>
        <v/>
      </c>
      <c r="CN43" s="166">
        <f>IF('Stammdaten'!$B90="","",'Stammdaten'!$G90)</f>
        <v/>
      </c>
      <c r="CO43" s="166">
        <f>IF('Stammdaten'!$B91="","",'Stammdaten'!$G91)</f>
        <v/>
      </c>
      <c r="CP43" s="166">
        <f>IF('Stammdaten'!$B92="","",'Stammdaten'!$G92)</f>
        <v/>
      </c>
      <c r="CQ43" s="166">
        <f>IF('Stammdaten'!$B93="","",'Stammdaten'!$G93)</f>
        <v/>
      </c>
      <c r="CR43" s="166">
        <f>IF('Stammdaten'!$B94="","",'Stammdaten'!$G94)</f>
        <v/>
      </c>
      <c r="CS43" s="166">
        <f>IF('Stammdaten'!$B95="","",'Stammdaten'!$G95)</f>
        <v/>
      </c>
      <c r="CT43" s="166">
        <f>IF('Stammdaten'!$B96="","",'Stammdaten'!$G96)</f>
        <v/>
      </c>
      <c r="CU43" s="166">
        <f>IF('Stammdaten'!$B97="","",'Stammdaten'!$G97)</f>
        <v/>
      </c>
      <c r="CV43" s="166">
        <f>IF('Stammdaten'!$B98="","",'Stammdaten'!$G98)</f>
        <v/>
      </c>
      <c r="CW43" s="166">
        <f>IF('Stammdaten'!$B99="","",'Stammdaten'!$G99)</f>
        <v/>
      </c>
      <c r="CX43" s="166">
        <f>IF('Stammdaten'!$B100="","",'Stammdaten'!$G100)</f>
        <v/>
      </c>
      <c r="CY43" s="166">
        <f>IF('Stammdaten'!$B101="","",'Stammdaten'!$G101)</f>
        <v/>
      </c>
      <c r="CZ43" s="166">
        <f>IF('Stammdaten'!$B102="","",'Stammdaten'!$G102)</f>
        <v/>
      </c>
      <c r="DA43" s="166">
        <f>IF('Stammdaten'!$B103="","",'Stammdaten'!$G103)</f>
        <v/>
      </c>
      <c r="DB43" s="166">
        <f>IF('Stammdaten'!$B104="","",'Stammdaten'!$G104)</f>
        <v/>
      </c>
      <c r="DC43" s="166">
        <f>IF('Stammdaten'!$B105="","",'Stammdaten'!$G105)</f>
        <v/>
      </c>
    </row>
    <row r="45" ht="22" customHeight="1">
      <c r="A45" s="4" t="inlineStr">
        <is>
          <t>Farben:  gelb = hier eintragen   ·   grau-blau = rechnet die Datei selbst   ·   „n.b.“ = nicht bewertet</t>
        </is>
      </c>
    </row>
    <row r="46" ht="22" customHeight="1">
      <c r="A46" s="94" t="inlineStr">
        <is>
          <t xml:space="preserve"> Farblegende</t>
        </is>
      </c>
      <c r="C46" s="30">
        <f>INDEX(Noten,1)&amp;" – "&amp;INDEX(NText,1)&amp;" (ab "&amp;TEXT(INDEX(NGrenze,1)*100,"0")&amp;" %)"</f>
        <v/>
      </c>
      <c r="E46" s="31">
        <f>INDEX(Noten,2)&amp;" – "&amp;INDEX(NText,2)&amp;" (ab "&amp;TEXT(INDEX(NGrenze,2)*100,"0")&amp;" %)"</f>
        <v/>
      </c>
      <c r="G46" s="32">
        <f>INDEX(Noten,3)&amp;" – "&amp;INDEX(NText,3)&amp;" (ab "&amp;TEXT(INDEX(NGrenze,3)*100,"0")&amp;" %)"</f>
        <v/>
      </c>
      <c r="I46" s="33">
        <f>INDEX(Noten,4)&amp;" – "&amp;INDEX(NText,4)&amp;" (ab "&amp;TEXT(INDEX(NGrenze,4)*100,"0")&amp;" %)"</f>
        <v/>
      </c>
      <c r="K46" s="34">
        <f>INDEX(Noten,5)&amp;" – "&amp;INDEX(NText,5)&amp;" (ab "&amp;TEXT(INDEX(NGrenze,5)*100,"0")&amp;" %)"</f>
        <v/>
      </c>
      <c r="M46" s="35">
        <f>INDEX(Noten,6)&amp;" – "&amp;INDEX(NText,6)&amp;" (ab "&amp;TEXT(INDEX(NGrenze,6)*100,"0")&amp;" %)"</f>
        <v/>
      </c>
      <c r="O46" s="167" t="inlineStr">
        <is>
          <t>Farbe und Zahl sagen dasselbe – der Ausdruck in Schwarz-Weiß bleibt lesbar. Gedruckt wird der erste Jahrgangsblock (25 Spalten); für einen anderen Block dessen Spalten markieren und „Auswahl drucken“ wählen.</t>
        </is>
      </c>
    </row>
    <row r="48" ht="20" customHeight="1">
      <c r="A48" s="36" t="inlineStr">
        <is>
          <t>Nicht bewertet: Einzelne Punktefelder mit „n.b.“ fallen aus Summe und Höchstpunktzahl heraus. Steht in der ganzen Spalte eines Azubis nur „n.b.“, zählt die Übung für ihn nirgends mit – weder als 0 Punkte noch im Durchschnitt, in der Halbjahresnote oder in der Warnübersicht. Bitte zusätzlich unten in der Zeile „Grund (n.b.)“ den Grund wählen.</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0" t="n"/>
    </row>
    <row r="49" ht="20" customHeight="1">
      <c r="A49" s="38"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39" t="n"/>
      <c r="BM49" s="39" t="n"/>
      <c r="BN49" s="39" t="n"/>
      <c r="BO49" s="39" t="n"/>
      <c r="BP49" s="39" t="n"/>
      <c r="BQ49" s="39" t="n"/>
      <c r="BR49" s="39" t="n"/>
      <c r="BS49" s="39" t="n"/>
      <c r="BT49" s="39" t="n"/>
      <c r="BU49" s="39" t="n"/>
      <c r="BV49" s="39" t="n"/>
      <c r="BW49" s="39" t="n"/>
      <c r="BX49" s="39" t="n"/>
      <c r="BY49" s="39" t="n"/>
      <c r="BZ49" s="39" t="n"/>
      <c r="CA49" s="39" t="n"/>
      <c r="CB49" s="39" t="n"/>
      <c r="CC49" s="39" t="n"/>
      <c r="CD49" s="39" t="n"/>
      <c r="CE49" s="39" t="n"/>
      <c r="CF49" s="39" t="n"/>
      <c r="CG49" s="39" t="n"/>
      <c r="CH49" s="39" t="n"/>
      <c r="CI49" s="39" t="n"/>
      <c r="CJ49" s="39" t="n"/>
      <c r="CK49" s="39" t="n"/>
      <c r="CL49" s="39" t="n"/>
      <c r="CM49" s="39" t="n"/>
      <c r="CN49" s="39" t="n"/>
      <c r="CO49" s="39" t="n"/>
      <c r="CP49" s="39" t="n"/>
      <c r="CQ49" s="39" t="n"/>
      <c r="CR49" s="39" t="n"/>
      <c r="CS49" s="39" t="n"/>
      <c r="CT49" s="39" t="n"/>
      <c r="CU49" s="39" t="n"/>
      <c r="CV49" s="39" t="n"/>
      <c r="CW49" s="39" t="n"/>
      <c r="CX49" s="39" t="n"/>
      <c r="CY49" s="39" t="n"/>
      <c r="CZ49" s="39" t="n"/>
      <c r="DA49" s="39" t="n"/>
      <c r="DB49" s="39" t="n"/>
      <c r="DC49" s="39" t="n"/>
      <c r="DD49" s="14" t="n"/>
    </row>
  </sheetData>
  <mergeCells count="42">
    <mergeCell ref="F4:G4"/>
    <mergeCell ref="A5:D5"/>
    <mergeCell ref="A8:D8"/>
    <mergeCell ref="I46:J46"/>
    <mergeCell ref="A38:D38"/>
    <mergeCell ref="Q4:S4"/>
    <mergeCell ref="A43:D43"/>
    <mergeCell ref="H4:I4"/>
    <mergeCell ref="M1:Q1"/>
    <mergeCell ref="F3:G3"/>
    <mergeCell ref="L3:M3"/>
    <mergeCell ref="E10:DC10"/>
    <mergeCell ref="A9:D9"/>
    <mergeCell ref="A40:D40"/>
    <mergeCell ref="A39:D39"/>
    <mergeCell ref="A46:B46"/>
    <mergeCell ref="A45:DD45"/>
    <mergeCell ref="K46:L46"/>
    <mergeCell ref="O46:DD46"/>
    <mergeCell ref="A3:B3"/>
    <mergeCell ref="J4:K4"/>
    <mergeCell ref="C46:D46"/>
    <mergeCell ref="L4:M4"/>
    <mergeCell ref="A6:D6"/>
    <mergeCell ref="E46:F46"/>
    <mergeCell ref="M46:N46"/>
    <mergeCell ref="A7:D7"/>
    <mergeCell ref="C3:E3"/>
    <mergeCell ref="A41:D41"/>
    <mergeCell ref="N4:P4"/>
    <mergeCell ref="T4:DD4"/>
    <mergeCell ref="H3:I3"/>
    <mergeCell ref="A4:B4"/>
    <mergeCell ref="J3:K3"/>
    <mergeCell ref="A37:D37"/>
    <mergeCell ref="N3:DD3"/>
    <mergeCell ref="A2:DD2"/>
    <mergeCell ref="A1:L1"/>
    <mergeCell ref="C4:E4"/>
    <mergeCell ref="A48:DD49"/>
    <mergeCell ref="G46:H46"/>
    <mergeCell ref="A42:D42"/>
  </mergeCells>
  <conditionalFormatting sqref="E5:AC42 AE5:BC42 BE5:CC42 CE5:DC42">
    <cfRule type="expression" priority="1" dxfId="17" stopIfTrue="1">
      <formula>E$5=""</formula>
    </cfRule>
  </conditionalFormatting>
  <conditionalFormatting sqref="A11:DC35">
    <cfRule type="expression" priority="2" dxfId="17" stopIfTrue="1">
      <formula>$B11=""</formula>
    </cfRule>
  </conditionalFormatting>
  <conditionalFormatting sqref="E8:DC9">
    <cfRule type="expression" priority="3" dxfId="2" stopIfTrue="1">
      <formula>AND(ISNUMBER(E$8),E$8&gt;=INDEX(NGrenze,1))</formula>
    </cfRule>
    <cfRule type="expression" priority="4" dxfId="3" stopIfTrue="1">
      <formula>AND(ISNUMBER(E$8),E$8&gt;=INDEX(NGrenze,2))</formula>
    </cfRule>
    <cfRule type="expression" priority="5" dxfId="4" stopIfTrue="1">
      <formula>AND(ISNUMBER(E$8),E$8&gt;=INDEX(NGrenze,3))</formula>
    </cfRule>
    <cfRule type="expression" priority="6" dxfId="5" stopIfTrue="1">
      <formula>AND(ISNUMBER(E$8),E$8&gt;=INDEX(NGrenze,4))</formula>
    </cfRule>
    <cfRule type="expression" priority="7" dxfId="6" stopIfTrue="1">
      <formula>AND(ISNUMBER(E$8),E$8&gt;=INDEX(NGrenze,5))</formula>
    </cfRule>
    <cfRule type="expression" priority="8" dxfId="7" stopIfTrue="1">
      <formula>AND(ISNUMBER(E$8),E$8&gt;=INDEX(NGrenze,6))</formula>
    </cfRule>
  </conditionalFormatting>
  <conditionalFormatting sqref="E11:DC35">
    <cfRule type="expression" priority="9" dxfId="18" stopIfTrue="1">
      <formula>EXACT(E11,"n.b.")</formula>
    </cfRule>
    <cfRule type="expression" priority="10" dxfId="13">
      <formula>AND(ISNUMBER(E11),E11&gt;$D11)</formula>
    </cfRule>
  </conditionalFormatting>
  <conditionalFormatting sqref="E5:DC6">
    <cfRule type="expression" priority="11" dxfId="19">
      <formula>AND(E$5&lt;&gt;"",COUNT(E$11:E$35)+COUNTIF(E$11:E$35,"n.b.")&gt;0,COUNT(E$11:E$35)+COUNTIF(E$11:E$35,"n.b.")&lt;COUNTIF($D$11:$D$35,"&gt;0"))</formula>
    </cfRule>
    <cfRule type="expression" priority="12" dxfId="20">
      <formula>AND(E$5&lt;&gt;"",E$43&lt;&gt;"aktiv")</formula>
    </cfRule>
  </conditionalFormatting>
  <dataValidations count="8">
    <dataValidation sqref="H3" showDropDown="0" showInputMessage="1" showErrorMessage="1" allowBlank="1" errorTitle="Art nicht bekannt" error="Bitte Praxis oder Theorie wählen." promptTitle="Art der Übung" prompt="Praxis = praktische Übung, Theorie = schriftlicher Test." type="list">
      <formula1>"Praxis,Theorie"</formula1>
    </dataValidation>
    <dataValidation sqref="C4" showDropDown="0" showInputMessage="0" showErrorMessage="1" allowBlank="1" errorTitle="Status nicht bekannt" error="Bitte laufend oder abgeschlossen wählen." type="list">
      <formula1>"laufend,abgeschlossen"</formula1>
    </dataValidation>
    <dataValidation sqref="L3" showDropDown="0" showInputMessage="0" showErrorMessage="1" allowBlank="1" errorTitle="Datum nicht lesbar" error="Bitte ein Datum im Format TT.MM.JJJJ eingeben, z. B. 12.03.2026." type="date" operator="greaterThan">
      <formula1>DATE(1990,1,1)</formula1>
    </dataValidation>
    <dataValidation sqref="L4" showDropDown="0" showInputMessage="0" showErrorMessage="1" allowBlank="1" errorTitle="Gewicht außerhalb des Bereichs" error="Bitte eine Zahl zwischen 0,1 und 10 eingeben. 1 = normal." type="decimal" operator="between">
      <formula1>0.1</formula1>
      <formula2>10</formula2>
    </dataValidation>
    <dataValidation sqref="D11:D35" showDropDown="0" showInputMessage="0" showErrorMessage="1" allowBlank="1" errorTitle="Höchstpunktzahl nicht gültig" error="Bitte eine Zahl zwischen 0 und 1000 eingeben." type="decimal" operator="between">
      <formula1>0</formula1>
      <formula2>1000</formula2>
    </dataValidation>
    <dataValidation sqref="E11:DC35" showDropDown="0" showInputMessage="1" showErrorMessage="1" allowBlank="1" errorTitle="Eingabe nicht möglich" error="Erlaubt sind: eine Zahl von 0 bis zur Höchstpunktzahl in Spalte D – oder n.b. für „nicht bewertet“.&#10;Steht in Spalte D noch keine Punktzahl, bitte zuerst links in dieser Zeile den Parameter eintragen." promptTitle="Punkte eintragen" prompt="Zahl eingeben – oder n.b., wenn der Azubi hier nicht bewertet wurde." type="custom">
      <formula1>OR(EXACT(E11,"n.b."),AND(ISNUMBER(E11),E11&gt;=0,E11&lt;=$D11))</formula1>
    </dataValidation>
    <dataValidation sqref="E40:DC40" showDropDown="0" showInputMessage="1" showErrorMessage="1" allowBlank="1" errorTitle="Grund nicht bekannt" error="Bitte krank, Urlaub, Berufsschule oder sonstiges wählen." promptTitle="Grund für n.b." prompt="Nur ausfüllen, wenn der Azubi bei dieser Übung nicht bewertet wurde." type="list">
      <formula1>"krank,Urlaub,Berufsschule,sonstiges"</formula1>
    </dataValidation>
    <dataValidation sqref="E42:DC42" showDropDown="0" showInputMessage="1" showErrorMessage="1" allowBlank="1" errorTitle="Wertung nicht bekannt" error="Bitte letzte, beste oder keine wählen." promptTitle="Wertung bei Wiederholung" prompt="Nur auf einem Wiederholungsblatt nötig. Leer = Standard aus den Einstellungen." type="list">
      <formula1>"letzte,beste,keine"</formula1>
    </dataValidation>
  </dataValidations>
  <hyperlinks>
    <hyperlink ref="M1" location="Start!A1"/>
  </hyperlinks>
  <pageMargins left="0.4" right="0.4" top="0.5" bottom="0.4" header="0.5" footer="0.5"/>
  <pageSetup orientation="landscape" paperSize="9"/>
</worksheet>
</file>

<file path=xl/worksheets/sheet30.xml><?xml version="1.0" encoding="utf-8"?>
<worksheet xmlns="http://schemas.openxmlformats.org/spreadsheetml/2006/main">
  <sheetPr>
    <tabColor rgb="008A94A6"/>
    <outlinePr summaryBelow="1" summaryRight="1"/>
    <pageSetUpPr/>
  </sheetPr>
  <dimension ref="A1:V2779"/>
  <sheetViews>
    <sheetView showGridLines="0" workbookViewId="0">
      <selection activeCell="A1" sqref="A1"/>
    </sheetView>
  </sheetViews>
  <sheetFormatPr baseColWidth="8" defaultRowHeight="15"/>
  <cols>
    <col width="7" customWidth="1" min="1" max="1"/>
    <col width="9"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ht="26" customHeight="1">
      <c r="A1" s="168" t="inlineStr">
        <is>
          <t>Technisches Rechenblatt – bitte nichts von Hand ändern. Alle Werte entstehen aus den Übungsblättern und den Stammdaten.</t>
        </is>
      </c>
    </row>
    <row r="3">
      <c r="A3" s="66" t="inlineStr">
        <is>
          <t>Nr.</t>
        </is>
      </c>
      <c r="C3" s="169" t="n">
        <v>1</v>
      </c>
      <c r="D3" s="169" t="n">
        <v>2</v>
      </c>
      <c r="E3" s="169" t="n">
        <v>3</v>
      </c>
      <c r="F3" s="169" t="n">
        <v>4</v>
      </c>
      <c r="G3" s="169" t="n">
        <v>5</v>
      </c>
      <c r="H3" s="169" t="n">
        <v>6</v>
      </c>
      <c r="I3" s="169" t="n">
        <v>7</v>
      </c>
      <c r="J3" s="169" t="n">
        <v>8</v>
      </c>
      <c r="K3" s="169" t="n">
        <v>9</v>
      </c>
      <c r="L3" s="169" t="n">
        <v>10</v>
      </c>
      <c r="M3" s="169" t="n">
        <v>11</v>
      </c>
      <c r="N3" s="169" t="n">
        <v>12</v>
      </c>
      <c r="O3" s="169" t="n">
        <v>13</v>
      </c>
      <c r="P3" s="169" t="n">
        <v>14</v>
      </c>
      <c r="Q3" s="169" t="n">
        <v>15</v>
      </c>
      <c r="R3" s="169" t="n">
        <v>16</v>
      </c>
      <c r="S3" s="169" t="n">
        <v>17</v>
      </c>
      <c r="T3" s="169" t="n">
        <v>18</v>
      </c>
      <c r="U3" s="169" t="n">
        <v>19</v>
      </c>
      <c r="V3" s="169" t="n">
        <v>20</v>
      </c>
    </row>
    <row r="4">
      <c r="A4" s="66" t="inlineStr">
        <is>
          <t>Übungsname</t>
        </is>
      </c>
      <c r="C4" s="63">
        <f>IF('Übungen'!$C6="","",'Übungen'!$C6)</f>
        <v/>
      </c>
      <c r="D4" s="63">
        <f>IF('Übungen'!$C7="","",'Übungen'!$C7)</f>
        <v/>
      </c>
      <c r="E4" s="63">
        <f>IF('Übungen'!$C8="","",'Übungen'!$C8)</f>
        <v/>
      </c>
      <c r="F4" s="63">
        <f>IF('Übungen'!$C9="","",'Übungen'!$C9)</f>
        <v/>
      </c>
      <c r="G4" s="63">
        <f>IF('Übungen'!$C10="","",'Übungen'!$C10)</f>
        <v/>
      </c>
      <c r="H4" s="63">
        <f>IF('Übungen'!$C11="","",'Übungen'!$C11)</f>
        <v/>
      </c>
      <c r="I4" s="63">
        <f>IF('Übungen'!$C12="","",'Übungen'!$C12)</f>
        <v/>
      </c>
      <c r="J4" s="63">
        <f>IF('Übungen'!$C13="","",'Übungen'!$C13)</f>
        <v/>
      </c>
      <c r="K4" s="63">
        <f>IF('Übungen'!$C14="","",'Übungen'!$C14)</f>
        <v/>
      </c>
      <c r="L4" s="63">
        <f>IF('Übungen'!$C15="","",'Übungen'!$C15)</f>
        <v/>
      </c>
      <c r="M4" s="63">
        <f>IF('Übungen'!$C16="","",'Übungen'!$C16)</f>
        <v/>
      </c>
      <c r="N4" s="63">
        <f>IF('Übungen'!$C17="","",'Übungen'!$C17)</f>
        <v/>
      </c>
      <c r="O4" s="63">
        <f>IF('Übungen'!$C18="","",'Übungen'!$C18)</f>
        <v/>
      </c>
      <c r="P4" s="63">
        <f>IF('Übungen'!$C19="","",'Übungen'!$C19)</f>
        <v/>
      </c>
      <c r="Q4" s="63">
        <f>IF('Übungen'!$C20="","",'Übungen'!$C20)</f>
        <v/>
      </c>
      <c r="R4" s="63">
        <f>IF('Übungen'!$C21="","",'Übungen'!$C21)</f>
        <v/>
      </c>
      <c r="S4" s="63">
        <f>IF('Übungen'!$C22="","",'Übungen'!$C22)</f>
        <v/>
      </c>
      <c r="T4" s="63">
        <f>IF('Übungen'!$C23="","",'Übungen'!$C23)</f>
        <v/>
      </c>
      <c r="U4" s="63">
        <f>IF('Übungen'!$C24="","",'Übungen'!$C24)</f>
        <v/>
      </c>
      <c r="V4" s="63">
        <f>IF('Übungen'!$C25="","",'Übungen'!$C25)</f>
        <v/>
      </c>
    </row>
    <row r="5">
      <c r="A5" s="66" t="inlineStr">
        <is>
          <t>belegt</t>
        </is>
      </c>
      <c r="C5" s="62">
        <f>IF(C4="",0,1)</f>
        <v/>
      </c>
      <c r="D5" s="62">
        <f>IF(D4="",0,1)</f>
        <v/>
      </c>
      <c r="E5" s="62">
        <f>IF(E4="",0,1)</f>
        <v/>
      </c>
      <c r="F5" s="62">
        <f>IF(F4="",0,1)</f>
        <v/>
      </c>
      <c r="G5" s="62">
        <f>IF(G4="",0,1)</f>
        <v/>
      </c>
      <c r="H5" s="62">
        <f>IF(H4="",0,1)</f>
        <v/>
      </c>
      <c r="I5" s="62">
        <f>IF(I4="",0,1)</f>
        <v/>
      </c>
      <c r="J5" s="62">
        <f>IF(J4="",0,1)</f>
        <v/>
      </c>
      <c r="K5" s="62">
        <f>IF(K4="",0,1)</f>
        <v/>
      </c>
      <c r="L5" s="62">
        <f>IF(L4="",0,1)</f>
        <v/>
      </c>
      <c r="M5" s="62">
        <f>IF(M4="",0,1)</f>
        <v/>
      </c>
      <c r="N5" s="62">
        <f>IF(N4="",0,1)</f>
        <v/>
      </c>
      <c r="O5" s="62">
        <f>IF(O4="",0,1)</f>
        <v/>
      </c>
      <c r="P5" s="62">
        <f>IF(P4="",0,1)</f>
        <v/>
      </c>
      <c r="Q5" s="62">
        <f>IF(Q4="",0,1)</f>
        <v/>
      </c>
      <c r="R5" s="62">
        <f>IF(R4="",0,1)</f>
        <v/>
      </c>
      <c r="S5" s="62">
        <f>IF(S4="",0,1)</f>
        <v/>
      </c>
      <c r="T5" s="62">
        <f>IF(T4="",0,1)</f>
        <v/>
      </c>
      <c r="U5" s="62">
        <f>IF(U4="",0,1)</f>
        <v/>
      </c>
      <c r="V5" s="62">
        <f>IF(V4="",0,1)</f>
        <v/>
      </c>
    </row>
    <row r="6">
      <c r="A6" s="66" t="inlineStr">
        <is>
          <t>Art</t>
        </is>
      </c>
      <c r="C6" s="62">
        <f>IF(C5=0,"",'Übung 01'!$H$3)</f>
        <v/>
      </c>
      <c r="D6" s="62">
        <f>IF(D5=0,"",'Übung 02'!$H$3)</f>
        <v/>
      </c>
      <c r="E6" s="62">
        <f>IF(E5=0,"",'Übung 03'!$H$3)</f>
        <v/>
      </c>
      <c r="F6" s="62">
        <f>IF(F5=0,"",'Übung 04'!$H$3)</f>
        <v/>
      </c>
      <c r="G6" s="62">
        <f>IF(G5=0,"",'Übung 05'!$H$3)</f>
        <v/>
      </c>
      <c r="H6" s="62">
        <f>IF(H5=0,"",'Übung 06'!$H$3)</f>
        <v/>
      </c>
      <c r="I6" s="62">
        <f>IF(I5=0,"",'Übung 07'!$H$3)</f>
        <v/>
      </c>
      <c r="J6" s="62">
        <f>IF(J5=0,"",'Übung 08'!$H$3)</f>
        <v/>
      </c>
      <c r="K6" s="62">
        <f>IF(K5=0,"",'Übung 09'!$H$3)</f>
        <v/>
      </c>
      <c r="L6" s="62">
        <f>IF(L5=0,"",'Übung 10'!$H$3)</f>
        <v/>
      </c>
      <c r="M6" s="62">
        <f>IF(M5=0,"",'Übung 11'!$H$3)</f>
        <v/>
      </c>
      <c r="N6" s="62">
        <f>IF(N5=0,"",'Übung 12'!$H$3)</f>
        <v/>
      </c>
      <c r="O6" s="62">
        <f>IF(O5=0,"",'Übung 13'!$H$3)</f>
        <v/>
      </c>
      <c r="P6" s="62">
        <f>IF(P5=0,"",'Übung 14'!$H$3)</f>
        <v/>
      </c>
      <c r="Q6" s="62">
        <f>IF(Q5=0,"",'Übung 15'!$H$3)</f>
        <v/>
      </c>
      <c r="R6" s="62">
        <f>IF(R5=0,"",'Übung 16'!$H$3)</f>
        <v/>
      </c>
      <c r="S6" s="62">
        <f>IF(S5=0,"",'Übung 17'!$H$3)</f>
        <v/>
      </c>
      <c r="T6" s="62">
        <f>IF(T5=0,"",'Übung 18'!$H$3)</f>
        <v/>
      </c>
      <c r="U6" s="62">
        <f>IF(U5=0,"",'Übung 19'!$H$3)</f>
        <v/>
      </c>
      <c r="V6" s="62">
        <f>IF(V5=0,"",'Übung 20'!$H$3)</f>
        <v/>
      </c>
    </row>
    <row r="7">
      <c r="A7" s="66" t="inlineStr">
        <is>
          <t>Datum</t>
        </is>
      </c>
      <c r="C7" s="170">
        <f>IF(OR(C5=0,'Übung 01'!$L$3=""),0,'Übung 01'!$L$3)</f>
        <v/>
      </c>
      <c r="D7" s="170">
        <f>IF(OR(D5=0,'Übung 02'!$L$3=""),0,'Übung 02'!$L$3)</f>
        <v/>
      </c>
      <c r="E7" s="170">
        <f>IF(OR(E5=0,'Übung 03'!$L$3=""),0,'Übung 03'!$L$3)</f>
        <v/>
      </c>
      <c r="F7" s="170">
        <f>IF(OR(F5=0,'Übung 04'!$L$3=""),0,'Übung 04'!$L$3)</f>
        <v/>
      </c>
      <c r="G7" s="170">
        <f>IF(OR(G5=0,'Übung 05'!$L$3=""),0,'Übung 05'!$L$3)</f>
        <v/>
      </c>
      <c r="H7" s="170">
        <f>IF(OR(H5=0,'Übung 06'!$L$3=""),0,'Übung 06'!$L$3)</f>
        <v/>
      </c>
      <c r="I7" s="170">
        <f>IF(OR(I5=0,'Übung 07'!$L$3=""),0,'Übung 07'!$L$3)</f>
        <v/>
      </c>
      <c r="J7" s="170">
        <f>IF(OR(J5=0,'Übung 08'!$L$3=""),0,'Übung 08'!$L$3)</f>
        <v/>
      </c>
      <c r="K7" s="170">
        <f>IF(OR(K5=0,'Übung 09'!$L$3=""),0,'Übung 09'!$L$3)</f>
        <v/>
      </c>
      <c r="L7" s="170">
        <f>IF(OR(L5=0,'Übung 10'!$L$3=""),0,'Übung 10'!$L$3)</f>
        <v/>
      </c>
      <c r="M7" s="170">
        <f>IF(OR(M5=0,'Übung 11'!$L$3=""),0,'Übung 11'!$L$3)</f>
        <v/>
      </c>
      <c r="N7" s="170">
        <f>IF(OR(N5=0,'Übung 12'!$L$3=""),0,'Übung 12'!$L$3)</f>
        <v/>
      </c>
      <c r="O7" s="170">
        <f>IF(OR(O5=0,'Übung 13'!$L$3=""),0,'Übung 13'!$L$3)</f>
        <v/>
      </c>
      <c r="P7" s="170">
        <f>IF(OR(P5=0,'Übung 14'!$L$3=""),0,'Übung 14'!$L$3)</f>
        <v/>
      </c>
      <c r="Q7" s="170">
        <f>IF(OR(Q5=0,'Übung 15'!$L$3=""),0,'Übung 15'!$L$3)</f>
        <v/>
      </c>
      <c r="R7" s="170">
        <f>IF(OR(R5=0,'Übung 16'!$L$3=""),0,'Übung 16'!$L$3)</f>
        <v/>
      </c>
      <c r="S7" s="170">
        <f>IF(OR(S5=0,'Übung 17'!$L$3=""),0,'Übung 17'!$L$3)</f>
        <v/>
      </c>
      <c r="T7" s="170">
        <f>IF(OR(T5=0,'Übung 18'!$L$3=""),0,'Übung 18'!$L$3)</f>
        <v/>
      </c>
      <c r="U7" s="170">
        <f>IF(OR(U5=0,'Übung 19'!$L$3=""),0,'Übung 19'!$L$3)</f>
        <v/>
      </c>
      <c r="V7" s="170">
        <f>IF(OR(V5=0,'Übung 20'!$L$3=""),0,'Übung 20'!$L$3)</f>
        <v/>
      </c>
    </row>
    <row r="8">
      <c r="A8" s="66" t="inlineStr">
        <is>
          <t>Status</t>
        </is>
      </c>
      <c r="C8" s="62">
        <f>IF(C5=0,"",'Übung 01'!$C$4)</f>
        <v/>
      </c>
      <c r="D8" s="62">
        <f>IF(D5=0,"",'Übung 02'!$C$4)</f>
        <v/>
      </c>
      <c r="E8" s="62">
        <f>IF(E5=0,"",'Übung 03'!$C$4)</f>
        <v/>
      </c>
      <c r="F8" s="62">
        <f>IF(F5=0,"",'Übung 04'!$C$4)</f>
        <v/>
      </c>
      <c r="G8" s="62">
        <f>IF(G5=0,"",'Übung 05'!$C$4)</f>
        <v/>
      </c>
      <c r="H8" s="62">
        <f>IF(H5=0,"",'Übung 06'!$C$4)</f>
        <v/>
      </c>
      <c r="I8" s="62">
        <f>IF(I5=0,"",'Übung 07'!$C$4)</f>
        <v/>
      </c>
      <c r="J8" s="62">
        <f>IF(J5=0,"",'Übung 08'!$C$4)</f>
        <v/>
      </c>
      <c r="K8" s="62">
        <f>IF(K5=0,"",'Übung 09'!$C$4)</f>
        <v/>
      </c>
      <c r="L8" s="62">
        <f>IF(L5=0,"",'Übung 10'!$C$4)</f>
        <v/>
      </c>
      <c r="M8" s="62">
        <f>IF(M5=0,"",'Übung 11'!$C$4)</f>
        <v/>
      </c>
      <c r="N8" s="62">
        <f>IF(N5=0,"",'Übung 12'!$C$4)</f>
        <v/>
      </c>
      <c r="O8" s="62">
        <f>IF(O5=0,"",'Übung 13'!$C$4)</f>
        <v/>
      </c>
      <c r="P8" s="62">
        <f>IF(P5=0,"",'Übung 14'!$C$4)</f>
        <v/>
      </c>
      <c r="Q8" s="62">
        <f>IF(Q5=0,"",'Übung 15'!$C$4)</f>
        <v/>
      </c>
      <c r="R8" s="62">
        <f>IF(R5=0,"",'Übung 16'!$C$4)</f>
        <v/>
      </c>
      <c r="S8" s="62">
        <f>IF(S5=0,"",'Übung 17'!$C$4)</f>
        <v/>
      </c>
      <c r="T8" s="62">
        <f>IF(T5=0,"",'Übung 18'!$C$4)</f>
        <v/>
      </c>
      <c r="U8" s="62">
        <f>IF(U5=0,"",'Übung 19'!$C$4)</f>
        <v/>
      </c>
      <c r="V8" s="62">
        <f>IF(V5=0,"",'Übung 20'!$C$4)</f>
        <v/>
      </c>
    </row>
    <row r="9">
      <c r="A9" s="66" t="inlineStr">
        <is>
          <t>Gewicht</t>
        </is>
      </c>
      <c r="C9" s="62">
        <f>IF(C5=0,0,IF('Übung 01'!$L$4="",1,'Übung 01'!$L$4))</f>
        <v/>
      </c>
      <c r="D9" s="62">
        <f>IF(D5=0,0,IF('Übung 02'!$L$4="",1,'Übung 02'!$L$4))</f>
        <v/>
      </c>
      <c r="E9" s="62">
        <f>IF(E5=0,0,IF('Übung 03'!$L$4="",1,'Übung 03'!$L$4))</f>
        <v/>
      </c>
      <c r="F9" s="62">
        <f>IF(F5=0,0,IF('Übung 04'!$L$4="",1,'Übung 04'!$L$4))</f>
        <v/>
      </c>
      <c r="G9" s="62">
        <f>IF(G5=0,0,IF('Übung 05'!$L$4="",1,'Übung 05'!$L$4))</f>
        <v/>
      </c>
      <c r="H9" s="62">
        <f>IF(H5=0,0,IF('Übung 06'!$L$4="",1,'Übung 06'!$L$4))</f>
        <v/>
      </c>
      <c r="I9" s="62">
        <f>IF(I5=0,0,IF('Übung 07'!$L$4="",1,'Übung 07'!$L$4))</f>
        <v/>
      </c>
      <c r="J9" s="62">
        <f>IF(J5=0,0,IF('Übung 08'!$L$4="",1,'Übung 08'!$L$4))</f>
        <v/>
      </c>
      <c r="K9" s="62">
        <f>IF(K5=0,0,IF('Übung 09'!$L$4="",1,'Übung 09'!$L$4))</f>
        <v/>
      </c>
      <c r="L9" s="62">
        <f>IF(L5=0,0,IF('Übung 10'!$L$4="",1,'Übung 10'!$L$4))</f>
        <v/>
      </c>
      <c r="M9" s="62">
        <f>IF(M5=0,0,IF('Übung 11'!$L$4="",1,'Übung 11'!$L$4))</f>
        <v/>
      </c>
      <c r="N9" s="62">
        <f>IF(N5=0,0,IF('Übung 12'!$L$4="",1,'Übung 12'!$L$4))</f>
        <v/>
      </c>
      <c r="O9" s="62">
        <f>IF(O5=0,0,IF('Übung 13'!$L$4="",1,'Übung 13'!$L$4))</f>
        <v/>
      </c>
      <c r="P9" s="62">
        <f>IF(P5=0,0,IF('Übung 14'!$L$4="",1,'Übung 14'!$L$4))</f>
        <v/>
      </c>
      <c r="Q9" s="62">
        <f>IF(Q5=0,0,IF('Übung 15'!$L$4="",1,'Übung 15'!$L$4))</f>
        <v/>
      </c>
      <c r="R9" s="62">
        <f>IF(R5=0,0,IF('Übung 16'!$L$4="",1,'Übung 16'!$L$4))</f>
        <v/>
      </c>
      <c r="S9" s="62">
        <f>IF(S5=0,0,IF('Übung 17'!$L$4="",1,'Übung 17'!$L$4))</f>
        <v/>
      </c>
      <c r="T9" s="62">
        <f>IF(T5=0,0,IF('Übung 18'!$L$4="",1,'Übung 18'!$L$4))</f>
        <v/>
      </c>
      <c r="U9" s="62">
        <f>IF(U5=0,0,IF('Übung 19'!$L$4="",1,'Übung 19'!$L$4))</f>
        <v/>
      </c>
      <c r="V9" s="62">
        <f>IF(V5=0,0,IF('Übung 20'!$L$4="",1,'Übung 20'!$L$4))</f>
        <v/>
      </c>
    </row>
    <row r="10">
      <c r="A10" s="66" t="inlineStr">
        <is>
          <t>Wdh. von</t>
        </is>
      </c>
      <c r="C10" s="63">
        <f>IF(C5=0,"",'Übung 01'!$Q$4)</f>
        <v/>
      </c>
      <c r="D10" s="63">
        <f>IF(D5=0,"",'Übung 02'!$Q$4)</f>
        <v/>
      </c>
      <c r="E10" s="63">
        <f>IF(E5=0,"",'Übung 03'!$Q$4)</f>
        <v/>
      </c>
      <c r="F10" s="63">
        <f>IF(F5=0,"",'Übung 04'!$Q$4)</f>
        <v/>
      </c>
      <c r="G10" s="63">
        <f>IF(G5=0,"",'Übung 05'!$Q$4)</f>
        <v/>
      </c>
      <c r="H10" s="63">
        <f>IF(H5=0,"",'Übung 06'!$Q$4)</f>
        <v/>
      </c>
      <c r="I10" s="63">
        <f>IF(I5=0,"",'Übung 07'!$Q$4)</f>
        <v/>
      </c>
      <c r="J10" s="63">
        <f>IF(J5=0,"",'Übung 08'!$Q$4)</f>
        <v/>
      </c>
      <c r="K10" s="63">
        <f>IF(K5=0,"",'Übung 09'!$Q$4)</f>
        <v/>
      </c>
      <c r="L10" s="63">
        <f>IF(L5=0,"",'Übung 10'!$Q$4)</f>
        <v/>
      </c>
      <c r="M10" s="63">
        <f>IF(M5=0,"",'Übung 11'!$Q$4)</f>
        <v/>
      </c>
      <c r="N10" s="63">
        <f>IF(N5=0,"",'Übung 12'!$Q$4)</f>
        <v/>
      </c>
      <c r="O10" s="63">
        <f>IF(O5=0,"",'Übung 13'!$Q$4)</f>
        <v/>
      </c>
      <c r="P10" s="63">
        <f>IF(P5=0,"",'Übung 14'!$Q$4)</f>
        <v/>
      </c>
      <c r="Q10" s="63">
        <f>IF(Q5=0,"",'Übung 15'!$Q$4)</f>
        <v/>
      </c>
      <c r="R10" s="63">
        <f>IF(R5=0,"",'Übung 16'!$Q$4)</f>
        <v/>
      </c>
      <c r="S10" s="63">
        <f>IF(S5=0,"",'Übung 17'!$Q$4)</f>
        <v/>
      </c>
      <c r="T10" s="63">
        <f>IF(T5=0,"",'Übung 18'!$Q$4)</f>
        <v/>
      </c>
      <c r="U10" s="63">
        <f>IF(U5=0,"",'Übung 19'!$Q$4)</f>
        <v/>
      </c>
      <c r="V10" s="63">
        <f>IF(V5=0,"",'Übung 20'!$Q$4)</f>
        <v/>
      </c>
    </row>
    <row r="11">
      <c r="A11" s="66" t="inlineStr">
        <is>
          <t>Wdh.-Index</t>
        </is>
      </c>
      <c r="C11" s="62">
        <f>IF(C10="",0,IFERROR(MATCH(C10,$C$4:$V$4,0),0))</f>
        <v/>
      </c>
      <c r="D11" s="62">
        <f>IF(D10="",0,IFERROR(MATCH(D10,$C$4:$V$4,0),0))</f>
        <v/>
      </c>
      <c r="E11" s="62">
        <f>IF(E10="",0,IFERROR(MATCH(E10,$C$4:$V$4,0),0))</f>
        <v/>
      </c>
      <c r="F11" s="62">
        <f>IF(F10="",0,IFERROR(MATCH(F10,$C$4:$V$4,0),0))</f>
        <v/>
      </c>
      <c r="G11" s="62">
        <f>IF(G10="",0,IFERROR(MATCH(G10,$C$4:$V$4,0),0))</f>
        <v/>
      </c>
      <c r="H11" s="62">
        <f>IF(H10="",0,IFERROR(MATCH(H10,$C$4:$V$4,0),0))</f>
        <v/>
      </c>
      <c r="I11" s="62">
        <f>IF(I10="",0,IFERROR(MATCH(I10,$C$4:$V$4,0),0))</f>
        <v/>
      </c>
      <c r="J11" s="62">
        <f>IF(J10="",0,IFERROR(MATCH(J10,$C$4:$V$4,0),0))</f>
        <v/>
      </c>
      <c r="K11" s="62">
        <f>IF(K10="",0,IFERROR(MATCH(K10,$C$4:$V$4,0),0))</f>
        <v/>
      </c>
      <c r="L11" s="62">
        <f>IF(L10="",0,IFERROR(MATCH(L10,$C$4:$V$4,0),0))</f>
        <v/>
      </c>
      <c r="M11" s="62">
        <f>IF(M10="",0,IFERROR(MATCH(M10,$C$4:$V$4,0),0))</f>
        <v/>
      </c>
      <c r="N11" s="62">
        <f>IF(N10="",0,IFERROR(MATCH(N10,$C$4:$V$4,0),0))</f>
        <v/>
      </c>
      <c r="O11" s="62">
        <f>IF(O10="",0,IFERROR(MATCH(O10,$C$4:$V$4,0),0))</f>
        <v/>
      </c>
      <c r="P11" s="62">
        <f>IF(P10="",0,IFERROR(MATCH(P10,$C$4:$V$4,0),0))</f>
        <v/>
      </c>
      <c r="Q11" s="62">
        <f>IF(Q10="",0,IFERROR(MATCH(Q10,$C$4:$V$4,0),0))</f>
        <v/>
      </c>
      <c r="R11" s="62">
        <f>IF(R10="",0,IFERROR(MATCH(R10,$C$4:$V$4,0),0))</f>
        <v/>
      </c>
      <c r="S11" s="62">
        <f>IF(S10="",0,IFERROR(MATCH(S10,$C$4:$V$4,0),0))</f>
        <v/>
      </c>
      <c r="T11" s="62">
        <f>IF(T10="",0,IFERROR(MATCH(T10,$C$4:$V$4,0),0))</f>
        <v/>
      </c>
      <c r="U11" s="62">
        <f>IF(U10="",0,IFERROR(MATCH(U10,$C$4:$V$4,0),0))</f>
        <v/>
      </c>
      <c r="V11" s="62">
        <f>IF(V10="",0,IFERROR(MATCH(V10,$C$4:$V$4,0),0))</f>
        <v/>
      </c>
    </row>
    <row r="12">
      <c r="A12" s="66" t="inlineStr">
        <is>
          <t>Gruppenkopf</t>
        </is>
      </c>
      <c r="C12" s="62">
        <f>IF(C11=0,C3,IF(INDEX($C$11:$V$11,C11)=0,C11,INDEX($C$11:$V$11,C11)))</f>
        <v/>
      </c>
      <c r="D12" s="62">
        <f>IF(D11=0,D3,IF(INDEX($C$11:$V$11,D11)=0,D11,INDEX($C$11:$V$11,D11)))</f>
        <v/>
      </c>
      <c r="E12" s="62">
        <f>IF(E11=0,E3,IF(INDEX($C$11:$V$11,E11)=0,E11,INDEX($C$11:$V$11,E11)))</f>
        <v/>
      </c>
      <c r="F12" s="62">
        <f>IF(F11=0,F3,IF(INDEX($C$11:$V$11,F11)=0,F11,INDEX($C$11:$V$11,F11)))</f>
        <v/>
      </c>
      <c r="G12" s="62">
        <f>IF(G11=0,G3,IF(INDEX($C$11:$V$11,G11)=0,G11,INDEX($C$11:$V$11,G11)))</f>
        <v/>
      </c>
      <c r="H12" s="62">
        <f>IF(H11=0,H3,IF(INDEX($C$11:$V$11,H11)=0,H11,INDEX($C$11:$V$11,H11)))</f>
        <v/>
      </c>
      <c r="I12" s="62">
        <f>IF(I11=0,I3,IF(INDEX($C$11:$V$11,I11)=0,I11,INDEX($C$11:$V$11,I11)))</f>
        <v/>
      </c>
      <c r="J12" s="62">
        <f>IF(J11=0,J3,IF(INDEX($C$11:$V$11,J11)=0,J11,INDEX($C$11:$V$11,J11)))</f>
        <v/>
      </c>
      <c r="K12" s="62">
        <f>IF(K11=0,K3,IF(INDEX($C$11:$V$11,K11)=0,K11,INDEX($C$11:$V$11,K11)))</f>
        <v/>
      </c>
      <c r="L12" s="62">
        <f>IF(L11=0,L3,IF(INDEX($C$11:$V$11,L11)=0,L11,INDEX($C$11:$V$11,L11)))</f>
        <v/>
      </c>
      <c r="M12" s="62">
        <f>IF(M11=0,M3,IF(INDEX($C$11:$V$11,M11)=0,M11,INDEX($C$11:$V$11,M11)))</f>
        <v/>
      </c>
      <c r="N12" s="62">
        <f>IF(N11=0,N3,IF(INDEX($C$11:$V$11,N11)=0,N11,INDEX($C$11:$V$11,N11)))</f>
        <v/>
      </c>
      <c r="O12" s="62">
        <f>IF(O11=0,O3,IF(INDEX($C$11:$V$11,O11)=0,O11,INDEX($C$11:$V$11,O11)))</f>
        <v/>
      </c>
      <c r="P12" s="62">
        <f>IF(P11=0,P3,IF(INDEX($C$11:$V$11,P11)=0,P11,INDEX($C$11:$V$11,P11)))</f>
        <v/>
      </c>
      <c r="Q12" s="62">
        <f>IF(Q11=0,Q3,IF(INDEX($C$11:$V$11,Q11)=0,Q11,INDEX($C$11:$V$11,Q11)))</f>
        <v/>
      </c>
      <c r="R12" s="62">
        <f>IF(R11=0,R3,IF(INDEX($C$11:$V$11,R11)=0,R11,INDEX($C$11:$V$11,R11)))</f>
        <v/>
      </c>
      <c r="S12" s="62">
        <f>IF(S11=0,S3,IF(INDEX($C$11:$V$11,S11)=0,S11,INDEX($C$11:$V$11,S11)))</f>
        <v/>
      </c>
      <c r="T12" s="62">
        <f>IF(T11=0,T3,IF(INDEX($C$11:$V$11,T11)=0,T11,INDEX($C$11:$V$11,T11)))</f>
        <v/>
      </c>
      <c r="U12" s="62">
        <f>IF(U11=0,U3,IF(INDEX($C$11:$V$11,U11)=0,U11,INDEX($C$11:$V$11,U11)))</f>
        <v/>
      </c>
      <c r="V12" s="62">
        <f>IF(V11=0,V3,IF(INDEX($C$11:$V$11,V11)=0,V11,INDEX($C$11:$V$11,V11)))</f>
        <v/>
      </c>
    </row>
    <row r="13">
      <c r="A13" s="66" t="inlineStr">
        <is>
          <t>Parameter</t>
        </is>
      </c>
      <c r="C13" s="62">
        <f>IF(C5=0,0,COUNTIF('Übung 01'!$D$11:$D$35,"&gt;0"))</f>
        <v/>
      </c>
      <c r="D13" s="62">
        <f>IF(D5=0,0,COUNTIF('Übung 02'!$D$11:$D$35,"&gt;0"))</f>
        <v/>
      </c>
      <c r="E13" s="62">
        <f>IF(E5=0,0,COUNTIF('Übung 03'!$D$11:$D$35,"&gt;0"))</f>
        <v/>
      </c>
      <c r="F13" s="62">
        <f>IF(F5=0,0,COUNTIF('Übung 04'!$D$11:$D$35,"&gt;0"))</f>
        <v/>
      </c>
      <c r="G13" s="62">
        <f>IF(G5=0,0,COUNTIF('Übung 05'!$D$11:$D$35,"&gt;0"))</f>
        <v/>
      </c>
      <c r="H13" s="62">
        <f>IF(H5=0,0,COUNTIF('Übung 06'!$D$11:$D$35,"&gt;0"))</f>
        <v/>
      </c>
      <c r="I13" s="62">
        <f>IF(I5=0,0,COUNTIF('Übung 07'!$D$11:$D$35,"&gt;0"))</f>
        <v/>
      </c>
      <c r="J13" s="62">
        <f>IF(J5=0,0,COUNTIF('Übung 08'!$D$11:$D$35,"&gt;0"))</f>
        <v/>
      </c>
      <c r="K13" s="62">
        <f>IF(K5=0,0,COUNTIF('Übung 09'!$D$11:$D$35,"&gt;0"))</f>
        <v/>
      </c>
      <c r="L13" s="62">
        <f>IF(L5=0,0,COUNTIF('Übung 10'!$D$11:$D$35,"&gt;0"))</f>
        <v/>
      </c>
      <c r="M13" s="62">
        <f>IF(M5=0,0,COUNTIF('Übung 11'!$D$11:$D$35,"&gt;0"))</f>
        <v/>
      </c>
      <c r="N13" s="62">
        <f>IF(N5=0,0,COUNTIF('Übung 12'!$D$11:$D$35,"&gt;0"))</f>
        <v/>
      </c>
      <c r="O13" s="62">
        <f>IF(O5=0,0,COUNTIF('Übung 13'!$D$11:$D$35,"&gt;0"))</f>
        <v/>
      </c>
      <c r="P13" s="62">
        <f>IF(P5=0,0,COUNTIF('Übung 14'!$D$11:$D$35,"&gt;0"))</f>
        <v/>
      </c>
      <c r="Q13" s="62">
        <f>IF(Q5=0,0,COUNTIF('Übung 15'!$D$11:$D$35,"&gt;0"))</f>
        <v/>
      </c>
      <c r="R13" s="62">
        <f>IF(R5=0,0,COUNTIF('Übung 16'!$D$11:$D$35,"&gt;0"))</f>
        <v/>
      </c>
      <c r="S13" s="62">
        <f>IF(S5=0,0,COUNTIF('Übung 17'!$D$11:$D$35,"&gt;0"))</f>
        <v/>
      </c>
      <c r="T13" s="62">
        <f>IF(T5=0,0,COUNTIF('Übung 18'!$D$11:$D$35,"&gt;0"))</f>
        <v/>
      </c>
      <c r="U13" s="62">
        <f>IF(U5=0,0,COUNTIF('Übung 19'!$D$11:$D$35,"&gt;0"))</f>
        <v/>
      </c>
      <c r="V13" s="62">
        <f>IF(V5=0,0,COUNTIF('Übung 20'!$D$11:$D$35,"&gt;0"))</f>
        <v/>
      </c>
    </row>
    <row r="14">
      <c r="A14" s="66" t="inlineStr">
        <is>
          <t>letzte Wdh.</t>
        </is>
      </c>
      <c r="C14" s="62">
        <f>SUMPRODUCT(MAX(($C$12:$V$12=C$12)*($C$11:$V$11&gt;0)*$C$3:$V$3))</f>
        <v/>
      </c>
      <c r="D14" s="62">
        <f>SUMPRODUCT(MAX(($C$12:$V$12=D$12)*($C$11:$V$11&gt;0)*$C$3:$V$3))</f>
        <v/>
      </c>
      <c r="E14" s="62">
        <f>SUMPRODUCT(MAX(($C$12:$V$12=E$12)*($C$11:$V$11&gt;0)*$C$3:$V$3))</f>
        <v/>
      </c>
      <c r="F14" s="62">
        <f>SUMPRODUCT(MAX(($C$12:$V$12=F$12)*($C$11:$V$11&gt;0)*$C$3:$V$3))</f>
        <v/>
      </c>
      <c r="G14" s="62">
        <f>SUMPRODUCT(MAX(($C$12:$V$12=G$12)*($C$11:$V$11&gt;0)*$C$3:$V$3))</f>
        <v/>
      </c>
      <c r="H14" s="62">
        <f>SUMPRODUCT(MAX(($C$12:$V$12=H$12)*($C$11:$V$11&gt;0)*$C$3:$V$3))</f>
        <v/>
      </c>
      <c r="I14" s="62">
        <f>SUMPRODUCT(MAX(($C$12:$V$12=I$12)*($C$11:$V$11&gt;0)*$C$3:$V$3))</f>
        <v/>
      </c>
      <c r="J14" s="62">
        <f>SUMPRODUCT(MAX(($C$12:$V$12=J$12)*($C$11:$V$11&gt;0)*$C$3:$V$3))</f>
        <v/>
      </c>
      <c r="K14" s="62">
        <f>SUMPRODUCT(MAX(($C$12:$V$12=K$12)*($C$11:$V$11&gt;0)*$C$3:$V$3))</f>
        <v/>
      </c>
      <c r="L14" s="62">
        <f>SUMPRODUCT(MAX(($C$12:$V$12=L$12)*($C$11:$V$11&gt;0)*$C$3:$V$3))</f>
        <v/>
      </c>
      <c r="M14" s="62">
        <f>SUMPRODUCT(MAX(($C$12:$V$12=M$12)*($C$11:$V$11&gt;0)*$C$3:$V$3))</f>
        <v/>
      </c>
      <c r="N14" s="62">
        <f>SUMPRODUCT(MAX(($C$12:$V$12=N$12)*($C$11:$V$11&gt;0)*$C$3:$V$3))</f>
        <v/>
      </c>
      <c r="O14" s="62">
        <f>SUMPRODUCT(MAX(($C$12:$V$12=O$12)*($C$11:$V$11&gt;0)*$C$3:$V$3))</f>
        <v/>
      </c>
      <c r="P14" s="62">
        <f>SUMPRODUCT(MAX(($C$12:$V$12=P$12)*($C$11:$V$11&gt;0)*$C$3:$V$3))</f>
        <v/>
      </c>
      <c r="Q14" s="62">
        <f>SUMPRODUCT(MAX(($C$12:$V$12=Q$12)*($C$11:$V$11&gt;0)*$C$3:$V$3))</f>
        <v/>
      </c>
      <c r="R14" s="62">
        <f>SUMPRODUCT(MAX(($C$12:$V$12=R$12)*($C$11:$V$11&gt;0)*$C$3:$V$3))</f>
        <v/>
      </c>
      <c r="S14" s="62">
        <f>SUMPRODUCT(MAX(($C$12:$V$12=S$12)*($C$11:$V$11&gt;0)*$C$3:$V$3))</f>
        <v/>
      </c>
      <c r="T14" s="62">
        <f>SUMPRODUCT(MAX(($C$12:$V$12=T$12)*($C$11:$V$11&gt;0)*$C$3:$V$3))</f>
        <v/>
      </c>
      <c r="U14" s="62">
        <f>SUMPRODUCT(MAX(($C$12:$V$12=U$12)*($C$11:$V$11&gt;0)*$C$3:$V$3))</f>
        <v/>
      </c>
      <c r="V14" s="62">
        <f>SUMPRODUCT(MAX(($C$12:$V$12=V$12)*($C$11:$V$11&gt;0)*$C$3:$V$3))</f>
        <v/>
      </c>
    </row>
    <row r="15">
      <c r="A15" s="66" t="inlineStr">
        <is>
          <t>Gruppengröße</t>
        </is>
      </c>
      <c r="C15" s="62">
        <f>SUMPRODUCT(($C$12:$V$12=C$12)*($C$5:$V$5=1))</f>
        <v/>
      </c>
      <c r="D15" s="62">
        <f>SUMPRODUCT(($C$12:$V$12=D$12)*($C$5:$V$5=1))</f>
        <v/>
      </c>
      <c r="E15" s="62">
        <f>SUMPRODUCT(($C$12:$V$12=E$12)*($C$5:$V$5=1))</f>
        <v/>
      </c>
      <c r="F15" s="62">
        <f>SUMPRODUCT(($C$12:$V$12=F$12)*($C$5:$V$5=1))</f>
        <v/>
      </c>
      <c r="G15" s="62">
        <f>SUMPRODUCT(($C$12:$V$12=G$12)*($C$5:$V$5=1))</f>
        <v/>
      </c>
      <c r="H15" s="62">
        <f>SUMPRODUCT(($C$12:$V$12=H$12)*($C$5:$V$5=1))</f>
        <v/>
      </c>
      <c r="I15" s="62">
        <f>SUMPRODUCT(($C$12:$V$12=I$12)*($C$5:$V$5=1))</f>
        <v/>
      </c>
      <c r="J15" s="62">
        <f>SUMPRODUCT(($C$12:$V$12=J$12)*($C$5:$V$5=1))</f>
        <v/>
      </c>
      <c r="K15" s="62">
        <f>SUMPRODUCT(($C$12:$V$12=K$12)*($C$5:$V$5=1))</f>
        <v/>
      </c>
      <c r="L15" s="62">
        <f>SUMPRODUCT(($C$12:$V$12=L$12)*($C$5:$V$5=1))</f>
        <v/>
      </c>
      <c r="M15" s="62">
        <f>SUMPRODUCT(($C$12:$V$12=M$12)*($C$5:$V$5=1))</f>
        <v/>
      </c>
      <c r="N15" s="62">
        <f>SUMPRODUCT(($C$12:$V$12=N$12)*($C$5:$V$5=1))</f>
        <v/>
      </c>
      <c r="O15" s="62">
        <f>SUMPRODUCT(($C$12:$V$12=O$12)*($C$5:$V$5=1))</f>
        <v/>
      </c>
      <c r="P15" s="62">
        <f>SUMPRODUCT(($C$12:$V$12=P$12)*($C$5:$V$5=1))</f>
        <v/>
      </c>
      <c r="Q15" s="62">
        <f>SUMPRODUCT(($C$12:$V$12=Q$12)*($C$5:$V$5=1))</f>
        <v/>
      </c>
      <c r="R15" s="62">
        <f>SUMPRODUCT(($C$12:$V$12=R$12)*($C$5:$V$5=1))</f>
        <v/>
      </c>
      <c r="S15" s="62">
        <f>SUMPRODUCT(($C$12:$V$12=S$12)*($C$5:$V$5=1))</f>
        <v/>
      </c>
      <c r="T15" s="62">
        <f>SUMPRODUCT(($C$12:$V$12=T$12)*($C$5:$V$5=1))</f>
        <v/>
      </c>
      <c r="U15" s="62">
        <f>SUMPRODUCT(($C$12:$V$12=U$12)*($C$5:$V$5=1))</f>
        <v/>
      </c>
      <c r="V15" s="62">
        <f>SUMPRODUCT(($C$12:$V$12=V$12)*($C$5:$V$5=1))</f>
        <v/>
      </c>
    </row>
    <row r="16">
      <c r="A16" s="66" t="inlineStr">
        <is>
          <t>unvollständig</t>
        </is>
      </c>
      <c r="C16" s="62">
        <f>SUMPRODUCT(($C$755:$C$854&gt;0)*($C$755:$C$854&lt;C$13)*$A$20:$A$119)</f>
        <v/>
      </c>
      <c r="D16" s="62">
        <f>SUMPRODUCT(($D$755:$D$854&gt;0)*($D$755:$D$854&lt;D$13)*$A$20:$A$119)</f>
        <v/>
      </c>
      <c r="E16" s="62">
        <f>SUMPRODUCT(($E$755:$E$854&gt;0)*($E$755:$E$854&lt;E$13)*$A$20:$A$119)</f>
        <v/>
      </c>
      <c r="F16" s="62">
        <f>SUMPRODUCT(($F$755:$F$854&gt;0)*($F$755:$F$854&lt;F$13)*$A$20:$A$119)</f>
        <v/>
      </c>
      <c r="G16" s="62">
        <f>SUMPRODUCT(($G$755:$G$854&gt;0)*($G$755:$G$854&lt;G$13)*$A$20:$A$119)</f>
        <v/>
      </c>
      <c r="H16" s="62">
        <f>SUMPRODUCT(($H$755:$H$854&gt;0)*($H$755:$H$854&lt;H$13)*$A$20:$A$119)</f>
        <v/>
      </c>
      <c r="I16" s="62">
        <f>SUMPRODUCT(($I$755:$I$854&gt;0)*($I$755:$I$854&lt;I$13)*$A$20:$A$119)</f>
        <v/>
      </c>
      <c r="J16" s="62">
        <f>SUMPRODUCT(($J$755:$J$854&gt;0)*($J$755:$J$854&lt;J$13)*$A$20:$A$119)</f>
        <v/>
      </c>
      <c r="K16" s="62">
        <f>SUMPRODUCT(($K$755:$K$854&gt;0)*($K$755:$K$854&lt;K$13)*$A$20:$A$119)</f>
        <v/>
      </c>
      <c r="L16" s="62">
        <f>SUMPRODUCT(($L$755:$L$854&gt;0)*($L$755:$L$854&lt;L$13)*$A$20:$A$119)</f>
        <v/>
      </c>
      <c r="M16" s="62">
        <f>SUMPRODUCT(($M$755:$M$854&gt;0)*($M$755:$M$854&lt;M$13)*$A$20:$A$119)</f>
        <v/>
      </c>
      <c r="N16" s="62">
        <f>SUMPRODUCT(($N$755:$N$854&gt;0)*($N$755:$N$854&lt;N$13)*$A$20:$A$119)</f>
        <v/>
      </c>
      <c r="O16" s="62">
        <f>SUMPRODUCT(($O$755:$O$854&gt;0)*($O$755:$O$854&lt;O$13)*$A$20:$A$119)</f>
        <v/>
      </c>
      <c r="P16" s="62">
        <f>SUMPRODUCT(($P$755:$P$854&gt;0)*($P$755:$P$854&lt;P$13)*$A$20:$A$119)</f>
        <v/>
      </c>
      <c r="Q16" s="62">
        <f>SUMPRODUCT(($Q$755:$Q$854&gt;0)*($Q$755:$Q$854&lt;Q$13)*$A$20:$A$119)</f>
        <v/>
      </c>
      <c r="R16" s="62">
        <f>SUMPRODUCT(($R$755:$R$854&gt;0)*($R$755:$R$854&lt;R$13)*$A$20:$A$119)</f>
        <v/>
      </c>
      <c r="S16" s="62">
        <f>SUMPRODUCT(($S$755:$S$854&gt;0)*($S$755:$S$854&lt;S$13)*$A$20:$A$119)</f>
        <v/>
      </c>
      <c r="T16" s="62">
        <f>SUMPRODUCT(($T$755:$T$854&gt;0)*($T$755:$T$854&lt;T$13)*$A$20:$A$119)</f>
        <v/>
      </c>
      <c r="U16" s="62">
        <f>SUMPRODUCT(($U$755:$U$854&gt;0)*($U$755:$U$854&lt;U$13)*$A$20:$A$119)</f>
        <v/>
      </c>
      <c r="V16" s="62">
        <f>SUMPRODUCT(($V$755:$V$854&gt;0)*($V$755:$V$854&lt;V$13)*$A$20:$A$119)</f>
        <v/>
      </c>
    </row>
    <row r="17">
      <c r="A17" s="66" t="inlineStr">
        <is>
          <t>n.b. ohne Grund</t>
        </is>
      </c>
      <c r="C17" s="62">
        <f>SUMPRODUCT((C$13&gt;0)*($C$755:$C$854=C$13)*($C$125:$C$224=0)*($C$545:$C$644="")*$A$20:$A$119)</f>
        <v/>
      </c>
      <c r="D17" s="62">
        <f>SUMPRODUCT((D$13&gt;0)*($D$755:$D$854=D$13)*($D$125:$D$224=0)*($D$545:$D$644="")*$A$20:$A$119)</f>
        <v/>
      </c>
      <c r="E17" s="62">
        <f>SUMPRODUCT((E$13&gt;0)*($E$755:$E$854=E$13)*($E$125:$E$224=0)*($E$545:$E$644="")*$A$20:$A$119)</f>
        <v/>
      </c>
      <c r="F17" s="62">
        <f>SUMPRODUCT((F$13&gt;0)*($F$755:$F$854=F$13)*($F$125:$F$224=0)*($F$545:$F$644="")*$A$20:$A$119)</f>
        <v/>
      </c>
      <c r="G17" s="62">
        <f>SUMPRODUCT((G$13&gt;0)*($G$755:$G$854=G$13)*($G$125:$G$224=0)*($G$545:$G$644="")*$A$20:$A$119)</f>
        <v/>
      </c>
      <c r="H17" s="62">
        <f>SUMPRODUCT((H$13&gt;0)*($H$755:$H$854=H$13)*($H$125:$H$224=0)*($H$545:$H$644="")*$A$20:$A$119)</f>
        <v/>
      </c>
      <c r="I17" s="62">
        <f>SUMPRODUCT((I$13&gt;0)*($I$755:$I$854=I$13)*($I$125:$I$224=0)*($I$545:$I$644="")*$A$20:$A$119)</f>
        <v/>
      </c>
      <c r="J17" s="62">
        <f>SUMPRODUCT((J$13&gt;0)*($J$755:$J$854=J$13)*($J$125:$J$224=0)*($J$545:$J$644="")*$A$20:$A$119)</f>
        <v/>
      </c>
      <c r="K17" s="62">
        <f>SUMPRODUCT((K$13&gt;0)*($K$755:$K$854=K$13)*($K$125:$K$224=0)*($K$545:$K$644="")*$A$20:$A$119)</f>
        <v/>
      </c>
      <c r="L17" s="62">
        <f>SUMPRODUCT((L$13&gt;0)*($L$755:$L$854=L$13)*($L$125:$L$224=0)*($L$545:$L$644="")*$A$20:$A$119)</f>
        <v/>
      </c>
      <c r="M17" s="62">
        <f>SUMPRODUCT((M$13&gt;0)*($M$755:$M$854=M$13)*($M$125:$M$224=0)*($M$545:$M$644="")*$A$20:$A$119)</f>
        <v/>
      </c>
      <c r="N17" s="62">
        <f>SUMPRODUCT((N$13&gt;0)*($N$755:$N$854=N$13)*($N$125:$N$224=0)*($N$545:$N$644="")*$A$20:$A$119)</f>
        <v/>
      </c>
      <c r="O17" s="62">
        <f>SUMPRODUCT((O$13&gt;0)*($O$755:$O$854=O$13)*($O$125:$O$224=0)*($O$545:$O$644="")*$A$20:$A$119)</f>
        <v/>
      </c>
      <c r="P17" s="62">
        <f>SUMPRODUCT((P$13&gt;0)*($P$755:$P$854=P$13)*($P$125:$P$224=0)*($P$545:$P$644="")*$A$20:$A$119)</f>
        <v/>
      </c>
      <c r="Q17" s="62">
        <f>SUMPRODUCT((Q$13&gt;0)*($Q$755:$Q$854=Q$13)*($Q$125:$Q$224=0)*($Q$545:$Q$644="")*$A$20:$A$119)</f>
        <v/>
      </c>
      <c r="R17" s="62">
        <f>SUMPRODUCT((R$13&gt;0)*($R$755:$R$854=R$13)*($R$125:$R$224=0)*($R$545:$R$644="")*$A$20:$A$119)</f>
        <v/>
      </c>
      <c r="S17" s="62">
        <f>SUMPRODUCT((S$13&gt;0)*($S$755:$S$854=S$13)*($S$125:$S$224=0)*($S$545:$S$644="")*$A$20:$A$119)</f>
        <v/>
      </c>
      <c r="T17" s="62">
        <f>SUMPRODUCT((T$13&gt;0)*($T$755:$T$854=T$13)*($T$125:$T$224=0)*($T$545:$T$644="")*$A$20:$A$119)</f>
        <v/>
      </c>
      <c r="U17" s="62">
        <f>SUMPRODUCT((U$13&gt;0)*($U$755:$U$854=U$13)*($U$125:$U$224=0)*($U$545:$U$644="")*$A$20:$A$119)</f>
        <v/>
      </c>
      <c r="V17" s="62">
        <f>SUMPRODUCT((V$13&gt;0)*($V$755:$V$854=V$13)*($V$125:$V$224=0)*($V$545:$V$644="")*$A$20:$A$119)</f>
        <v/>
      </c>
    </row>
    <row r="18">
      <c r="A18" s="66" t="inlineStr">
        <is>
          <t>ohne Kürzel</t>
        </is>
      </c>
      <c r="C18" s="62">
        <f>IF(C5=0,0,IF('Übung 01'!$H$4="",1,0))</f>
        <v/>
      </c>
      <c r="D18" s="62">
        <f>IF(D5=0,0,IF('Übung 02'!$H$4="",1,0))</f>
        <v/>
      </c>
      <c r="E18" s="62">
        <f>IF(E5=0,0,IF('Übung 03'!$H$4="",1,0))</f>
        <v/>
      </c>
      <c r="F18" s="62">
        <f>IF(F5=0,0,IF('Übung 04'!$H$4="",1,0))</f>
        <v/>
      </c>
      <c r="G18" s="62">
        <f>IF(G5=0,0,IF('Übung 05'!$H$4="",1,0))</f>
        <v/>
      </c>
      <c r="H18" s="62">
        <f>IF(H5=0,0,IF('Übung 06'!$H$4="",1,0))</f>
        <v/>
      </c>
      <c r="I18" s="62">
        <f>IF(I5=0,0,IF('Übung 07'!$H$4="",1,0))</f>
        <v/>
      </c>
      <c r="J18" s="62">
        <f>IF(J5=0,0,IF('Übung 08'!$H$4="",1,0))</f>
        <v/>
      </c>
      <c r="K18" s="62">
        <f>IF(K5=0,0,IF('Übung 09'!$H$4="",1,0))</f>
        <v/>
      </c>
      <c r="L18" s="62">
        <f>IF(L5=0,0,IF('Übung 10'!$H$4="",1,0))</f>
        <v/>
      </c>
      <c r="M18" s="62">
        <f>IF(M5=0,0,IF('Übung 11'!$H$4="",1,0))</f>
        <v/>
      </c>
      <c r="N18" s="62">
        <f>IF(N5=0,0,IF('Übung 12'!$H$4="",1,0))</f>
        <v/>
      </c>
      <c r="O18" s="62">
        <f>IF(O5=0,0,IF('Übung 13'!$H$4="",1,0))</f>
        <v/>
      </c>
      <c r="P18" s="62">
        <f>IF(P5=0,0,IF('Übung 14'!$H$4="",1,0))</f>
        <v/>
      </c>
      <c r="Q18" s="62">
        <f>IF(Q5=0,0,IF('Übung 15'!$H$4="",1,0))</f>
        <v/>
      </c>
      <c r="R18" s="62">
        <f>IF(R5=0,0,IF('Übung 16'!$H$4="",1,0))</f>
        <v/>
      </c>
      <c r="S18" s="62">
        <f>IF(S5=0,0,IF('Übung 17'!$H$4="",1,0))</f>
        <v/>
      </c>
      <c r="T18" s="62">
        <f>IF(T5=0,0,IF('Übung 18'!$H$4="",1,0))</f>
        <v/>
      </c>
      <c r="U18" s="62">
        <f>IF(U5=0,0,IF('Übung 19'!$H$4="",1,0))</f>
        <v/>
      </c>
      <c r="V18" s="62">
        <f>IF(V5=0,0,IF('Übung 20'!$H$4="",1,0))</f>
        <v/>
      </c>
    </row>
    <row r="19">
      <c r="A19" s="171" t="inlineStr">
        <is>
          <t>Prozent</t>
        </is>
      </c>
    </row>
    <row r="20">
      <c r="A20" s="62">
        <f>IF('Stammdaten'!$G6="aktiv",1,0)</f>
        <v/>
      </c>
      <c r="B20" s="172">
        <f>IF('Stammdaten'!$E6="",0,'Stammdaten'!$E6)</f>
        <v/>
      </c>
      <c r="C20" s="64">
        <f>IF(ISNUMBER('Übung 01'!E$8),'Übung 01'!E$8,0)</f>
        <v/>
      </c>
      <c r="D20" s="64">
        <f>IF(ISNUMBER('Übung 02'!E$8),'Übung 02'!E$8,0)</f>
        <v/>
      </c>
      <c r="E20" s="64">
        <f>IF(ISNUMBER('Übung 03'!E$8),'Übung 03'!E$8,0)</f>
        <v/>
      </c>
      <c r="F20" s="64">
        <f>IF(ISNUMBER('Übung 04'!E$8),'Übung 04'!E$8,0)</f>
        <v/>
      </c>
      <c r="G20" s="64">
        <f>IF(ISNUMBER('Übung 05'!E$8),'Übung 05'!E$8,0)</f>
        <v/>
      </c>
      <c r="H20" s="64">
        <f>IF(ISNUMBER('Übung 06'!E$8),'Übung 06'!E$8,0)</f>
        <v/>
      </c>
      <c r="I20" s="64">
        <f>IF(ISNUMBER('Übung 07'!E$8),'Übung 07'!E$8,0)</f>
        <v/>
      </c>
      <c r="J20" s="64">
        <f>IF(ISNUMBER('Übung 08'!E$8),'Übung 08'!E$8,0)</f>
        <v/>
      </c>
      <c r="K20" s="64">
        <f>IF(ISNUMBER('Übung 09'!E$8),'Übung 09'!E$8,0)</f>
        <v/>
      </c>
      <c r="L20" s="64">
        <f>IF(ISNUMBER('Übung 10'!E$8),'Übung 10'!E$8,0)</f>
        <v/>
      </c>
      <c r="M20" s="64">
        <f>IF(ISNUMBER('Übung 11'!E$8),'Übung 11'!E$8,0)</f>
        <v/>
      </c>
      <c r="N20" s="64">
        <f>IF(ISNUMBER('Übung 12'!E$8),'Übung 12'!E$8,0)</f>
        <v/>
      </c>
      <c r="O20" s="64">
        <f>IF(ISNUMBER('Übung 13'!E$8),'Übung 13'!E$8,0)</f>
        <v/>
      </c>
      <c r="P20" s="64">
        <f>IF(ISNUMBER('Übung 14'!E$8),'Übung 14'!E$8,0)</f>
        <v/>
      </c>
      <c r="Q20" s="64">
        <f>IF(ISNUMBER('Übung 15'!E$8),'Übung 15'!E$8,0)</f>
        <v/>
      </c>
      <c r="R20" s="64">
        <f>IF(ISNUMBER('Übung 16'!E$8),'Übung 16'!E$8,0)</f>
        <v/>
      </c>
      <c r="S20" s="64">
        <f>IF(ISNUMBER('Übung 17'!E$8),'Übung 17'!E$8,0)</f>
        <v/>
      </c>
      <c r="T20" s="64">
        <f>IF(ISNUMBER('Übung 18'!E$8),'Übung 18'!E$8,0)</f>
        <v/>
      </c>
      <c r="U20" s="64">
        <f>IF(ISNUMBER('Übung 19'!E$8),'Übung 19'!E$8,0)</f>
        <v/>
      </c>
      <c r="V20" s="64">
        <f>IF(ISNUMBER('Übung 20'!E$8),'Übung 20'!E$8,0)</f>
        <v/>
      </c>
    </row>
    <row r="21">
      <c r="A21" s="62">
        <f>IF('Stammdaten'!$G7="aktiv",1,0)</f>
        <v/>
      </c>
      <c r="B21" s="172">
        <f>IF('Stammdaten'!$E7="",0,'Stammdaten'!$E7)</f>
        <v/>
      </c>
      <c r="C21" s="64">
        <f>IF(ISNUMBER('Übung 01'!F$8),'Übung 01'!F$8,0)</f>
        <v/>
      </c>
      <c r="D21" s="64">
        <f>IF(ISNUMBER('Übung 02'!F$8),'Übung 02'!F$8,0)</f>
        <v/>
      </c>
      <c r="E21" s="64">
        <f>IF(ISNUMBER('Übung 03'!F$8),'Übung 03'!F$8,0)</f>
        <v/>
      </c>
      <c r="F21" s="64">
        <f>IF(ISNUMBER('Übung 04'!F$8),'Übung 04'!F$8,0)</f>
        <v/>
      </c>
      <c r="G21" s="64">
        <f>IF(ISNUMBER('Übung 05'!F$8),'Übung 05'!F$8,0)</f>
        <v/>
      </c>
      <c r="H21" s="64">
        <f>IF(ISNUMBER('Übung 06'!F$8),'Übung 06'!F$8,0)</f>
        <v/>
      </c>
      <c r="I21" s="64">
        <f>IF(ISNUMBER('Übung 07'!F$8),'Übung 07'!F$8,0)</f>
        <v/>
      </c>
      <c r="J21" s="64">
        <f>IF(ISNUMBER('Übung 08'!F$8),'Übung 08'!F$8,0)</f>
        <v/>
      </c>
      <c r="K21" s="64">
        <f>IF(ISNUMBER('Übung 09'!F$8),'Übung 09'!F$8,0)</f>
        <v/>
      </c>
      <c r="L21" s="64">
        <f>IF(ISNUMBER('Übung 10'!F$8),'Übung 10'!F$8,0)</f>
        <v/>
      </c>
      <c r="M21" s="64">
        <f>IF(ISNUMBER('Übung 11'!F$8),'Übung 11'!F$8,0)</f>
        <v/>
      </c>
      <c r="N21" s="64">
        <f>IF(ISNUMBER('Übung 12'!F$8),'Übung 12'!F$8,0)</f>
        <v/>
      </c>
      <c r="O21" s="64">
        <f>IF(ISNUMBER('Übung 13'!F$8),'Übung 13'!F$8,0)</f>
        <v/>
      </c>
      <c r="P21" s="64">
        <f>IF(ISNUMBER('Übung 14'!F$8),'Übung 14'!F$8,0)</f>
        <v/>
      </c>
      <c r="Q21" s="64">
        <f>IF(ISNUMBER('Übung 15'!F$8),'Übung 15'!F$8,0)</f>
        <v/>
      </c>
      <c r="R21" s="64">
        <f>IF(ISNUMBER('Übung 16'!F$8),'Übung 16'!F$8,0)</f>
        <v/>
      </c>
      <c r="S21" s="64">
        <f>IF(ISNUMBER('Übung 17'!F$8),'Übung 17'!F$8,0)</f>
        <v/>
      </c>
      <c r="T21" s="64">
        <f>IF(ISNUMBER('Übung 18'!F$8),'Übung 18'!F$8,0)</f>
        <v/>
      </c>
      <c r="U21" s="64">
        <f>IF(ISNUMBER('Übung 19'!F$8),'Übung 19'!F$8,0)</f>
        <v/>
      </c>
      <c r="V21" s="64">
        <f>IF(ISNUMBER('Übung 20'!F$8),'Übung 20'!F$8,0)</f>
        <v/>
      </c>
    </row>
    <row r="22">
      <c r="A22" s="62">
        <f>IF('Stammdaten'!$G8="aktiv",1,0)</f>
        <v/>
      </c>
      <c r="B22" s="172">
        <f>IF('Stammdaten'!$E8="",0,'Stammdaten'!$E8)</f>
        <v/>
      </c>
      <c r="C22" s="64">
        <f>IF(ISNUMBER('Übung 01'!G$8),'Übung 01'!G$8,0)</f>
        <v/>
      </c>
      <c r="D22" s="64">
        <f>IF(ISNUMBER('Übung 02'!G$8),'Übung 02'!G$8,0)</f>
        <v/>
      </c>
      <c r="E22" s="64">
        <f>IF(ISNUMBER('Übung 03'!G$8),'Übung 03'!G$8,0)</f>
        <v/>
      </c>
      <c r="F22" s="64">
        <f>IF(ISNUMBER('Übung 04'!G$8),'Übung 04'!G$8,0)</f>
        <v/>
      </c>
      <c r="G22" s="64">
        <f>IF(ISNUMBER('Übung 05'!G$8),'Übung 05'!G$8,0)</f>
        <v/>
      </c>
      <c r="H22" s="64">
        <f>IF(ISNUMBER('Übung 06'!G$8),'Übung 06'!G$8,0)</f>
        <v/>
      </c>
      <c r="I22" s="64">
        <f>IF(ISNUMBER('Übung 07'!G$8),'Übung 07'!G$8,0)</f>
        <v/>
      </c>
      <c r="J22" s="64">
        <f>IF(ISNUMBER('Übung 08'!G$8),'Übung 08'!G$8,0)</f>
        <v/>
      </c>
      <c r="K22" s="64">
        <f>IF(ISNUMBER('Übung 09'!G$8),'Übung 09'!G$8,0)</f>
        <v/>
      </c>
      <c r="L22" s="64">
        <f>IF(ISNUMBER('Übung 10'!G$8),'Übung 10'!G$8,0)</f>
        <v/>
      </c>
      <c r="M22" s="64">
        <f>IF(ISNUMBER('Übung 11'!G$8),'Übung 11'!G$8,0)</f>
        <v/>
      </c>
      <c r="N22" s="64">
        <f>IF(ISNUMBER('Übung 12'!G$8),'Übung 12'!G$8,0)</f>
        <v/>
      </c>
      <c r="O22" s="64">
        <f>IF(ISNUMBER('Übung 13'!G$8),'Übung 13'!G$8,0)</f>
        <v/>
      </c>
      <c r="P22" s="64">
        <f>IF(ISNUMBER('Übung 14'!G$8),'Übung 14'!G$8,0)</f>
        <v/>
      </c>
      <c r="Q22" s="64">
        <f>IF(ISNUMBER('Übung 15'!G$8),'Übung 15'!G$8,0)</f>
        <v/>
      </c>
      <c r="R22" s="64">
        <f>IF(ISNUMBER('Übung 16'!G$8),'Übung 16'!G$8,0)</f>
        <v/>
      </c>
      <c r="S22" s="64">
        <f>IF(ISNUMBER('Übung 17'!G$8),'Übung 17'!G$8,0)</f>
        <v/>
      </c>
      <c r="T22" s="64">
        <f>IF(ISNUMBER('Übung 18'!G$8),'Übung 18'!G$8,0)</f>
        <v/>
      </c>
      <c r="U22" s="64">
        <f>IF(ISNUMBER('Übung 19'!G$8),'Übung 19'!G$8,0)</f>
        <v/>
      </c>
      <c r="V22" s="64">
        <f>IF(ISNUMBER('Übung 20'!G$8),'Übung 20'!G$8,0)</f>
        <v/>
      </c>
    </row>
    <row r="23">
      <c r="A23" s="62">
        <f>IF('Stammdaten'!$G9="aktiv",1,0)</f>
        <v/>
      </c>
      <c r="B23" s="172">
        <f>IF('Stammdaten'!$E9="",0,'Stammdaten'!$E9)</f>
        <v/>
      </c>
      <c r="C23" s="64">
        <f>IF(ISNUMBER('Übung 01'!H$8),'Übung 01'!H$8,0)</f>
        <v/>
      </c>
      <c r="D23" s="64">
        <f>IF(ISNUMBER('Übung 02'!H$8),'Übung 02'!H$8,0)</f>
        <v/>
      </c>
      <c r="E23" s="64">
        <f>IF(ISNUMBER('Übung 03'!H$8),'Übung 03'!H$8,0)</f>
        <v/>
      </c>
      <c r="F23" s="64">
        <f>IF(ISNUMBER('Übung 04'!H$8),'Übung 04'!H$8,0)</f>
        <v/>
      </c>
      <c r="G23" s="64">
        <f>IF(ISNUMBER('Übung 05'!H$8),'Übung 05'!H$8,0)</f>
        <v/>
      </c>
      <c r="H23" s="64">
        <f>IF(ISNUMBER('Übung 06'!H$8),'Übung 06'!H$8,0)</f>
        <v/>
      </c>
      <c r="I23" s="64">
        <f>IF(ISNUMBER('Übung 07'!H$8),'Übung 07'!H$8,0)</f>
        <v/>
      </c>
      <c r="J23" s="64">
        <f>IF(ISNUMBER('Übung 08'!H$8),'Übung 08'!H$8,0)</f>
        <v/>
      </c>
      <c r="K23" s="64">
        <f>IF(ISNUMBER('Übung 09'!H$8),'Übung 09'!H$8,0)</f>
        <v/>
      </c>
      <c r="L23" s="64">
        <f>IF(ISNUMBER('Übung 10'!H$8),'Übung 10'!H$8,0)</f>
        <v/>
      </c>
      <c r="M23" s="64">
        <f>IF(ISNUMBER('Übung 11'!H$8),'Übung 11'!H$8,0)</f>
        <v/>
      </c>
      <c r="N23" s="64">
        <f>IF(ISNUMBER('Übung 12'!H$8),'Übung 12'!H$8,0)</f>
        <v/>
      </c>
      <c r="O23" s="64">
        <f>IF(ISNUMBER('Übung 13'!H$8),'Übung 13'!H$8,0)</f>
        <v/>
      </c>
      <c r="P23" s="64">
        <f>IF(ISNUMBER('Übung 14'!H$8),'Übung 14'!H$8,0)</f>
        <v/>
      </c>
      <c r="Q23" s="64">
        <f>IF(ISNUMBER('Übung 15'!H$8),'Übung 15'!H$8,0)</f>
        <v/>
      </c>
      <c r="R23" s="64">
        <f>IF(ISNUMBER('Übung 16'!H$8),'Übung 16'!H$8,0)</f>
        <v/>
      </c>
      <c r="S23" s="64">
        <f>IF(ISNUMBER('Übung 17'!H$8),'Übung 17'!H$8,0)</f>
        <v/>
      </c>
      <c r="T23" s="64">
        <f>IF(ISNUMBER('Übung 18'!H$8),'Übung 18'!H$8,0)</f>
        <v/>
      </c>
      <c r="U23" s="64">
        <f>IF(ISNUMBER('Übung 19'!H$8),'Übung 19'!H$8,0)</f>
        <v/>
      </c>
      <c r="V23" s="64">
        <f>IF(ISNUMBER('Übung 20'!H$8),'Übung 20'!H$8,0)</f>
        <v/>
      </c>
    </row>
    <row r="24">
      <c r="A24" s="62">
        <f>IF('Stammdaten'!$G10="aktiv",1,0)</f>
        <v/>
      </c>
      <c r="B24" s="172">
        <f>IF('Stammdaten'!$E10="",0,'Stammdaten'!$E10)</f>
        <v/>
      </c>
      <c r="C24" s="64">
        <f>IF(ISNUMBER('Übung 01'!I$8),'Übung 01'!I$8,0)</f>
        <v/>
      </c>
      <c r="D24" s="64">
        <f>IF(ISNUMBER('Übung 02'!I$8),'Übung 02'!I$8,0)</f>
        <v/>
      </c>
      <c r="E24" s="64">
        <f>IF(ISNUMBER('Übung 03'!I$8),'Übung 03'!I$8,0)</f>
        <v/>
      </c>
      <c r="F24" s="64">
        <f>IF(ISNUMBER('Übung 04'!I$8),'Übung 04'!I$8,0)</f>
        <v/>
      </c>
      <c r="G24" s="64">
        <f>IF(ISNUMBER('Übung 05'!I$8),'Übung 05'!I$8,0)</f>
        <v/>
      </c>
      <c r="H24" s="64">
        <f>IF(ISNUMBER('Übung 06'!I$8),'Übung 06'!I$8,0)</f>
        <v/>
      </c>
      <c r="I24" s="64">
        <f>IF(ISNUMBER('Übung 07'!I$8),'Übung 07'!I$8,0)</f>
        <v/>
      </c>
      <c r="J24" s="64">
        <f>IF(ISNUMBER('Übung 08'!I$8),'Übung 08'!I$8,0)</f>
        <v/>
      </c>
      <c r="K24" s="64">
        <f>IF(ISNUMBER('Übung 09'!I$8),'Übung 09'!I$8,0)</f>
        <v/>
      </c>
      <c r="L24" s="64">
        <f>IF(ISNUMBER('Übung 10'!I$8),'Übung 10'!I$8,0)</f>
        <v/>
      </c>
      <c r="M24" s="64">
        <f>IF(ISNUMBER('Übung 11'!I$8),'Übung 11'!I$8,0)</f>
        <v/>
      </c>
      <c r="N24" s="64">
        <f>IF(ISNUMBER('Übung 12'!I$8),'Übung 12'!I$8,0)</f>
        <v/>
      </c>
      <c r="O24" s="64">
        <f>IF(ISNUMBER('Übung 13'!I$8),'Übung 13'!I$8,0)</f>
        <v/>
      </c>
      <c r="P24" s="64">
        <f>IF(ISNUMBER('Übung 14'!I$8),'Übung 14'!I$8,0)</f>
        <v/>
      </c>
      <c r="Q24" s="64">
        <f>IF(ISNUMBER('Übung 15'!I$8),'Übung 15'!I$8,0)</f>
        <v/>
      </c>
      <c r="R24" s="64">
        <f>IF(ISNUMBER('Übung 16'!I$8),'Übung 16'!I$8,0)</f>
        <v/>
      </c>
      <c r="S24" s="64">
        <f>IF(ISNUMBER('Übung 17'!I$8),'Übung 17'!I$8,0)</f>
        <v/>
      </c>
      <c r="T24" s="64">
        <f>IF(ISNUMBER('Übung 18'!I$8),'Übung 18'!I$8,0)</f>
        <v/>
      </c>
      <c r="U24" s="64">
        <f>IF(ISNUMBER('Übung 19'!I$8),'Übung 19'!I$8,0)</f>
        <v/>
      </c>
      <c r="V24" s="64">
        <f>IF(ISNUMBER('Übung 20'!I$8),'Übung 20'!I$8,0)</f>
        <v/>
      </c>
    </row>
    <row r="25">
      <c r="A25" s="62">
        <f>IF('Stammdaten'!$G11="aktiv",1,0)</f>
        <v/>
      </c>
      <c r="B25" s="172">
        <f>IF('Stammdaten'!$E11="",0,'Stammdaten'!$E11)</f>
        <v/>
      </c>
      <c r="C25" s="64">
        <f>IF(ISNUMBER('Übung 01'!J$8),'Übung 01'!J$8,0)</f>
        <v/>
      </c>
      <c r="D25" s="64">
        <f>IF(ISNUMBER('Übung 02'!J$8),'Übung 02'!J$8,0)</f>
        <v/>
      </c>
      <c r="E25" s="64">
        <f>IF(ISNUMBER('Übung 03'!J$8),'Übung 03'!J$8,0)</f>
        <v/>
      </c>
      <c r="F25" s="64">
        <f>IF(ISNUMBER('Übung 04'!J$8),'Übung 04'!J$8,0)</f>
        <v/>
      </c>
      <c r="G25" s="64">
        <f>IF(ISNUMBER('Übung 05'!J$8),'Übung 05'!J$8,0)</f>
        <v/>
      </c>
      <c r="H25" s="64">
        <f>IF(ISNUMBER('Übung 06'!J$8),'Übung 06'!J$8,0)</f>
        <v/>
      </c>
      <c r="I25" s="64">
        <f>IF(ISNUMBER('Übung 07'!J$8),'Übung 07'!J$8,0)</f>
        <v/>
      </c>
      <c r="J25" s="64">
        <f>IF(ISNUMBER('Übung 08'!J$8),'Übung 08'!J$8,0)</f>
        <v/>
      </c>
      <c r="K25" s="64">
        <f>IF(ISNUMBER('Übung 09'!J$8),'Übung 09'!J$8,0)</f>
        <v/>
      </c>
      <c r="L25" s="64">
        <f>IF(ISNUMBER('Übung 10'!J$8),'Übung 10'!J$8,0)</f>
        <v/>
      </c>
      <c r="M25" s="64">
        <f>IF(ISNUMBER('Übung 11'!J$8),'Übung 11'!J$8,0)</f>
        <v/>
      </c>
      <c r="N25" s="64">
        <f>IF(ISNUMBER('Übung 12'!J$8),'Übung 12'!J$8,0)</f>
        <v/>
      </c>
      <c r="O25" s="64">
        <f>IF(ISNUMBER('Übung 13'!J$8),'Übung 13'!J$8,0)</f>
        <v/>
      </c>
      <c r="P25" s="64">
        <f>IF(ISNUMBER('Übung 14'!J$8),'Übung 14'!J$8,0)</f>
        <v/>
      </c>
      <c r="Q25" s="64">
        <f>IF(ISNUMBER('Übung 15'!J$8),'Übung 15'!J$8,0)</f>
        <v/>
      </c>
      <c r="R25" s="64">
        <f>IF(ISNUMBER('Übung 16'!J$8),'Übung 16'!J$8,0)</f>
        <v/>
      </c>
      <c r="S25" s="64">
        <f>IF(ISNUMBER('Übung 17'!J$8),'Übung 17'!J$8,0)</f>
        <v/>
      </c>
      <c r="T25" s="64">
        <f>IF(ISNUMBER('Übung 18'!J$8),'Übung 18'!J$8,0)</f>
        <v/>
      </c>
      <c r="U25" s="64">
        <f>IF(ISNUMBER('Übung 19'!J$8),'Übung 19'!J$8,0)</f>
        <v/>
      </c>
      <c r="V25" s="64">
        <f>IF(ISNUMBER('Übung 20'!J$8),'Übung 20'!J$8,0)</f>
        <v/>
      </c>
    </row>
    <row r="26">
      <c r="A26" s="62">
        <f>IF('Stammdaten'!$G12="aktiv",1,0)</f>
        <v/>
      </c>
      <c r="B26" s="172">
        <f>IF('Stammdaten'!$E12="",0,'Stammdaten'!$E12)</f>
        <v/>
      </c>
      <c r="C26" s="64">
        <f>IF(ISNUMBER('Übung 01'!K$8),'Übung 01'!K$8,0)</f>
        <v/>
      </c>
      <c r="D26" s="64">
        <f>IF(ISNUMBER('Übung 02'!K$8),'Übung 02'!K$8,0)</f>
        <v/>
      </c>
      <c r="E26" s="64">
        <f>IF(ISNUMBER('Übung 03'!K$8),'Übung 03'!K$8,0)</f>
        <v/>
      </c>
      <c r="F26" s="64">
        <f>IF(ISNUMBER('Übung 04'!K$8),'Übung 04'!K$8,0)</f>
        <v/>
      </c>
      <c r="G26" s="64">
        <f>IF(ISNUMBER('Übung 05'!K$8),'Übung 05'!K$8,0)</f>
        <v/>
      </c>
      <c r="H26" s="64">
        <f>IF(ISNUMBER('Übung 06'!K$8),'Übung 06'!K$8,0)</f>
        <v/>
      </c>
      <c r="I26" s="64">
        <f>IF(ISNUMBER('Übung 07'!K$8),'Übung 07'!K$8,0)</f>
        <v/>
      </c>
      <c r="J26" s="64">
        <f>IF(ISNUMBER('Übung 08'!K$8),'Übung 08'!K$8,0)</f>
        <v/>
      </c>
      <c r="K26" s="64">
        <f>IF(ISNUMBER('Übung 09'!K$8),'Übung 09'!K$8,0)</f>
        <v/>
      </c>
      <c r="L26" s="64">
        <f>IF(ISNUMBER('Übung 10'!K$8),'Übung 10'!K$8,0)</f>
        <v/>
      </c>
      <c r="M26" s="64">
        <f>IF(ISNUMBER('Übung 11'!K$8),'Übung 11'!K$8,0)</f>
        <v/>
      </c>
      <c r="N26" s="64">
        <f>IF(ISNUMBER('Übung 12'!K$8),'Übung 12'!K$8,0)</f>
        <v/>
      </c>
      <c r="O26" s="64">
        <f>IF(ISNUMBER('Übung 13'!K$8),'Übung 13'!K$8,0)</f>
        <v/>
      </c>
      <c r="P26" s="64">
        <f>IF(ISNUMBER('Übung 14'!K$8),'Übung 14'!K$8,0)</f>
        <v/>
      </c>
      <c r="Q26" s="64">
        <f>IF(ISNUMBER('Übung 15'!K$8),'Übung 15'!K$8,0)</f>
        <v/>
      </c>
      <c r="R26" s="64">
        <f>IF(ISNUMBER('Übung 16'!K$8),'Übung 16'!K$8,0)</f>
        <v/>
      </c>
      <c r="S26" s="64">
        <f>IF(ISNUMBER('Übung 17'!K$8),'Übung 17'!K$8,0)</f>
        <v/>
      </c>
      <c r="T26" s="64">
        <f>IF(ISNUMBER('Übung 18'!K$8),'Übung 18'!K$8,0)</f>
        <v/>
      </c>
      <c r="U26" s="64">
        <f>IF(ISNUMBER('Übung 19'!K$8),'Übung 19'!K$8,0)</f>
        <v/>
      </c>
      <c r="V26" s="64">
        <f>IF(ISNUMBER('Übung 20'!K$8),'Übung 20'!K$8,0)</f>
        <v/>
      </c>
    </row>
    <row r="27">
      <c r="A27" s="62">
        <f>IF('Stammdaten'!$G13="aktiv",1,0)</f>
        <v/>
      </c>
      <c r="B27" s="172">
        <f>IF('Stammdaten'!$E13="",0,'Stammdaten'!$E13)</f>
        <v/>
      </c>
      <c r="C27" s="64">
        <f>IF(ISNUMBER('Übung 01'!L$8),'Übung 01'!L$8,0)</f>
        <v/>
      </c>
      <c r="D27" s="64">
        <f>IF(ISNUMBER('Übung 02'!L$8),'Übung 02'!L$8,0)</f>
        <v/>
      </c>
      <c r="E27" s="64">
        <f>IF(ISNUMBER('Übung 03'!L$8),'Übung 03'!L$8,0)</f>
        <v/>
      </c>
      <c r="F27" s="64">
        <f>IF(ISNUMBER('Übung 04'!L$8),'Übung 04'!L$8,0)</f>
        <v/>
      </c>
      <c r="G27" s="64">
        <f>IF(ISNUMBER('Übung 05'!L$8),'Übung 05'!L$8,0)</f>
        <v/>
      </c>
      <c r="H27" s="64">
        <f>IF(ISNUMBER('Übung 06'!L$8),'Übung 06'!L$8,0)</f>
        <v/>
      </c>
      <c r="I27" s="64">
        <f>IF(ISNUMBER('Übung 07'!L$8),'Übung 07'!L$8,0)</f>
        <v/>
      </c>
      <c r="J27" s="64">
        <f>IF(ISNUMBER('Übung 08'!L$8),'Übung 08'!L$8,0)</f>
        <v/>
      </c>
      <c r="K27" s="64">
        <f>IF(ISNUMBER('Übung 09'!L$8),'Übung 09'!L$8,0)</f>
        <v/>
      </c>
      <c r="L27" s="64">
        <f>IF(ISNUMBER('Übung 10'!L$8),'Übung 10'!L$8,0)</f>
        <v/>
      </c>
      <c r="M27" s="64">
        <f>IF(ISNUMBER('Übung 11'!L$8),'Übung 11'!L$8,0)</f>
        <v/>
      </c>
      <c r="N27" s="64">
        <f>IF(ISNUMBER('Übung 12'!L$8),'Übung 12'!L$8,0)</f>
        <v/>
      </c>
      <c r="O27" s="64">
        <f>IF(ISNUMBER('Übung 13'!L$8),'Übung 13'!L$8,0)</f>
        <v/>
      </c>
      <c r="P27" s="64">
        <f>IF(ISNUMBER('Übung 14'!L$8),'Übung 14'!L$8,0)</f>
        <v/>
      </c>
      <c r="Q27" s="64">
        <f>IF(ISNUMBER('Übung 15'!L$8),'Übung 15'!L$8,0)</f>
        <v/>
      </c>
      <c r="R27" s="64">
        <f>IF(ISNUMBER('Übung 16'!L$8),'Übung 16'!L$8,0)</f>
        <v/>
      </c>
      <c r="S27" s="64">
        <f>IF(ISNUMBER('Übung 17'!L$8),'Übung 17'!L$8,0)</f>
        <v/>
      </c>
      <c r="T27" s="64">
        <f>IF(ISNUMBER('Übung 18'!L$8),'Übung 18'!L$8,0)</f>
        <v/>
      </c>
      <c r="U27" s="64">
        <f>IF(ISNUMBER('Übung 19'!L$8),'Übung 19'!L$8,0)</f>
        <v/>
      </c>
      <c r="V27" s="64">
        <f>IF(ISNUMBER('Übung 20'!L$8),'Übung 20'!L$8,0)</f>
        <v/>
      </c>
    </row>
    <row r="28">
      <c r="A28" s="62">
        <f>IF('Stammdaten'!$G14="aktiv",1,0)</f>
        <v/>
      </c>
      <c r="B28" s="172">
        <f>IF('Stammdaten'!$E14="",0,'Stammdaten'!$E14)</f>
        <v/>
      </c>
      <c r="C28" s="64">
        <f>IF(ISNUMBER('Übung 01'!M$8),'Übung 01'!M$8,0)</f>
        <v/>
      </c>
      <c r="D28" s="64">
        <f>IF(ISNUMBER('Übung 02'!M$8),'Übung 02'!M$8,0)</f>
        <v/>
      </c>
      <c r="E28" s="64">
        <f>IF(ISNUMBER('Übung 03'!M$8),'Übung 03'!M$8,0)</f>
        <v/>
      </c>
      <c r="F28" s="64">
        <f>IF(ISNUMBER('Übung 04'!M$8),'Übung 04'!M$8,0)</f>
        <v/>
      </c>
      <c r="G28" s="64">
        <f>IF(ISNUMBER('Übung 05'!M$8),'Übung 05'!M$8,0)</f>
        <v/>
      </c>
      <c r="H28" s="64">
        <f>IF(ISNUMBER('Übung 06'!M$8),'Übung 06'!M$8,0)</f>
        <v/>
      </c>
      <c r="I28" s="64">
        <f>IF(ISNUMBER('Übung 07'!M$8),'Übung 07'!M$8,0)</f>
        <v/>
      </c>
      <c r="J28" s="64">
        <f>IF(ISNUMBER('Übung 08'!M$8),'Übung 08'!M$8,0)</f>
        <v/>
      </c>
      <c r="K28" s="64">
        <f>IF(ISNUMBER('Übung 09'!M$8),'Übung 09'!M$8,0)</f>
        <v/>
      </c>
      <c r="L28" s="64">
        <f>IF(ISNUMBER('Übung 10'!M$8),'Übung 10'!M$8,0)</f>
        <v/>
      </c>
      <c r="M28" s="64">
        <f>IF(ISNUMBER('Übung 11'!M$8),'Übung 11'!M$8,0)</f>
        <v/>
      </c>
      <c r="N28" s="64">
        <f>IF(ISNUMBER('Übung 12'!M$8),'Übung 12'!M$8,0)</f>
        <v/>
      </c>
      <c r="O28" s="64">
        <f>IF(ISNUMBER('Übung 13'!M$8),'Übung 13'!M$8,0)</f>
        <v/>
      </c>
      <c r="P28" s="64">
        <f>IF(ISNUMBER('Übung 14'!M$8),'Übung 14'!M$8,0)</f>
        <v/>
      </c>
      <c r="Q28" s="64">
        <f>IF(ISNUMBER('Übung 15'!M$8),'Übung 15'!M$8,0)</f>
        <v/>
      </c>
      <c r="R28" s="64">
        <f>IF(ISNUMBER('Übung 16'!M$8),'Übung 16'!M$8,0)</f>
        <v/>
      </c>
      <c r="S28" s="64">
        <f>IF(ISNUMBER('Übung 17'!M$8),'Übung 17'!M$8,0)</f>
        <v/>
      </c>
      <c r="T28" s="64">
        <f>IF(ISNUMBER('Übung 18'!M$8),'Übung 18'!M$8,0)</f>
        <v/>
      </c>
      <c r="U28" s="64">
        <f>IF(ISNUMBER('Übung 19'!M$8),'Übung 19'!M$8,0)</f>
        <v/>
      </c>
      <c r="V28" s="64">
        <f>IF(ISNUMBER('Übung 20'!M$8),'Übung 20'!M$8,0)</f>
        <v/>
      </c>
    </row>
    <row r="29">
      <c r="A29" s="62">
        <f>IF('Stammdaten'!$G15="aktiv",1,0)</f>
        <v/>
      </c>
      <c r="B29" s="172">
        <f>IF('Stammdaten'!$E15="",0,'Stammdaten'!$E15)</f>
        <v/>
      </c>
      <c r="C29" s="64">
        <f>IF(ISNUMBER('Übung 01'!N$8),'Übung 01'!N$8,0)</f>
        <v/>
      </c>
      <c r="D29" s="64">
        <f>IF(ISNUMBER('Übung 02'!N$8),'Übung 02'!N$8,0)</f>
        <v/>
      </c>
      <c r="E29" s="64">
        <f>IF(ISNUMBER('Übung 03'!N$8),'Übung 03'!N$8,0)</f>
        <v/>
      </c>
      <c r="F29" s="64">
        <f>IF(ISNUMBER('Übung 04'!N$8),'Übung 04'!N$8,0)</f>
        <v/>
      </c>
      <c r="G29" s="64">
        <f>IF(ISNUMBER('Übung 05'!N$8),'Übung 05'!N$8,0)</f>
        <v/>
      </c>
      <c r="H29" s="64">
        <f>IF(ISNUMBER('Übung 06'!N$8),'Übung 06'!N$8,0)</f>
        <v/>
      </c>
      <c r="I29" s="64">
        <f>IF(ISNUMBER('Übung 07'!N$8),'Übung 07'!N$8,0)</f>
        <v/>
      </c>
      <c r="J29" s="64">
        <f>IF(ISNUMBER('Übung 08'!N$8),'Übung 08'!N$8,0)</f>
        <v/>
      </c>
      <c r="K29" s="64">
        <f>IF(ISNUMBER('Übung 09'!N$8),'Übung 09'!N$8,0)</f>
        <v/>
      </c>
      <c r="L29" s="64">
        <f>IF(ISNUMBER('Übung 10'!N$8),'Übung 10'!N$8,0)</f>
        <v/>
      </c>
      <c r="M29" s="64">
        <f>IF(ISNUMBER('Übung 11'!N$8),'Übung 11'!N$8,0)</f>
        <v/>
      </c>
      <c r="N29" s="64">
        <f>IF(ISNUMBER('Übung 12'!N$8),'Übung 12'!N$8,0)</f>
        <v/>
      </c>
      <c r="O29" s="64">
        <f>IF(ISNUMBER('Übung 13'!N$8),'Übung 13'!N$8,0)</f>
        <v/>
      </c>
      <c r="P29" s="64">
        <f>IF(ISNUMBER('Übung 14'!N$8),'Übung 14'!N$8,0)</f>
        <v/>
      </c>
      <c r="Q29" s="64">
        <f>IF(ISNUMBER('Übung 15'!N$8),'Übung 15'!N$8,0)</f>
        <v/>
      </c>
      <c r="R29" s="64">
        <f>IF(ISNUMBER('Übung 16'!N$8),'Übung 16'!N$8,0)</f>
        <v/>
      </c>
      <c r="S29" s="64">
        <f>IF(ISNUMBER('Übung 17'!N$8),'Übung 17'!N$8,0)</f>
        <v/>
      </c>
      <c r="T29" s="64">
        <f>IF(ISNUMBER('Übung 18'!N$8),'Übung 18'!N$8,0)</f>
        <v/>
      </c>
      <c r="U29" s="64">
        <f>IF(ISNUMBER('Übung 19'!N$8),'Übung 19'!N$8,0)</f>
        <v/>
      </c>
      <c r="V29" s="64">
        <f>IF(ISNUMBER('Übung 20'!N$8),'Übung 20'!N$8,0)</f>
        <v/>
      </c>
    </row>
    <row r="30">
      <c r="A30" s="62">
        <f>IF('Stammdaten'!$G16="aktiv",1,0)</f>
        <v/>
      </c>
      <c r="B30" s="172">
        <f>IF('Stammdaten'!$E16="",0,'Stammdaten'!$E16)</f>
        <v/>
      </c>
      <c r="C30" s="64">
        <f>IF(ISNUMBER('Übung 01'!O$8),'Übung 01'!O$8,0)</f>
        <v/>
      </c>
      <c r="D30" s="64">
        <f>IF(ISNUMBER('Übung 02'!O$8),'Übung 02'!O$8,0)</f>
        <v/>
      </c>
      <c r="E30" s="64">
        <f>IF(ISNUMBER('Übung 03'!O$8),'Übung 03'!O$8,0)</f>
        <v/>
      </c>
      <c r="F30" s="64">
        <f>IF(ISNUMBER('Übung 04'!O$8),'Übung 04'!O$8,0)</f>
        <v/>
      </c>
      <c r="G30" s="64">
        <f>IF(ISNUMBER('Übung 05'!O$8),'Übung 05'!O$8,0)</f>
        <v/>
      </c>
      <c r="H30" s="64">
        <f>IF(ISNUMBER('Übung 06'!O$8),'Übung 06'!O$8,0)</f>
        <v/>
      </c>
      <c r="I30" s="64">
        <f>IF(ISNUMBER('Übung 07'!O$8),'Übung 07'!O$8,0)</f>
        <v/>
      </c>
      <c r="J30" s="64">
        <f>IF(ISNUMBER('Übung 08'!O$8),'Übung 08'!O$8,0)</f>
        <v/>
      </c>
      <c r="K30" s="64">
        <f>IF(ISNUMBER('Übung 09'!O$8),'Übung 09'!O$8,0)</f>
        <v/>
      </c>
      <c r="L30" s="64">
        <f>IF(ISNUMBER('Übung 10'!O$8),'Übung 10'!O$8,0)</f>
        <v/>
      </c>
      <c r="M30" s="64">
        <f>IF(ISNUMBER('Übung 11'!O$8),'Übung 11'!O$8,0)</f>
        <v/>
      </c>
      <c r="N30" s="64">
        <f>IF(ISNUMBER('Übung 12'!O$8),'Übung 12'!O$8,0)</f>
        <v/>
      </c>
      <c r="O30" s="64">
        <f>IF(ISNUMBER('Übung 13'!O$8),'Übung 13'!O$8,0)</f>
        <v/>
      </c>
      <c r="P30" s="64">
        <f>IF(ISNUMBER('Übung 14'!O$8),'Übung 14'!O$8,0)</f>
        <v/>
      </c>
      <c r="Q30" s="64">
        <f>IF(ISNUMBER('Übung 15'!O$8),'Übung 15'!O$8,0)</f>
        <v/>
      </c>
      <c r="R30" s="64">
        <f>IF(ISNUMBER('Übung 16'!O$8),'Übung 16'!O$8,0)</f>
        <v/>
      </c>
      <c r="S30" s="64">
        <f>IF(ISNUMBER('Übung 17'!O$8),'Übung 17'!O$8,0)</f>
        <v/>
      </c>
      <c r="T30" s="64">
        <f>IF(ISNUMBER('Übung 18'!O$8),'Übung 18'!O$8,0)</f>
        <v/>
      </c>
      <c r="U30" s="64">
        <f>IF(ISNUMBER('Übung 19'!O$8),'Übung 19'!O$8,0)</f>
        <v/>
      </c>
      <c r="V30" s="64">
        <f>IF(ISNUMBER('Übung 20'!O$8),'Übung 20'!O$8,0)</f>
        <v/>
      </c>
    </row>
    <row r="31">
      <c r="A31" s="62">
        <f>IF('Stammdaten'!$G17="aktiv",1,0)</f>
        <v/>
      </c>
      <c r="B31" s="172">
        <f>IF('Stammdaten'!$E17="",0,'Stammdaten'!$E17)</f>
        <v/>
      </c>
      <c r="C31" s="64">
        <f>IF(ISNUMBER('Übung 01'!P$8),'Übung 01'!P$8,0)</f>
        <v/>
      </c>
      <c r="D31" s="64">
        <f>IF(ISNUMBER('Übung 02'!P$8),'Übung 02'!P$8,0)</f>
        <v/>
      </c>
      <c r="E31" s="64">
        <f>IF(ISNUMBER('Übung 03'!P$8),'Übung 03'!P$8,0)</f>
        <v/>
      </c>
      <c r="F31" s="64">
        <f>IF(ISNUMBER('Übung 04'!P$8),'Übung 04'!P$8,0)</f>
        <v/>
      </c>
      <c r="G31" s="64">
        <f>IF(ISNUMBER('Übung 05'!P$8),'Übung 05'!P$8,0)</f>
        <v/>
      </c>
      <c r="H31" s="64">
        <f>IF(ISNUMBER('Übung 06'!P$8),'Übung 06'!P$8,0)</f>
        <v/>
      </c>
      <c r="I31" s="64">
        <f>IF(ISNUMBER('Übung 07'!P$8),'Übung 07'!P$8,0)</f>
        <v/>
      </c>
      <c r="J31" s="64">
        <f>IF(ISNUMBER('Übung 08'!P$8),'Übung 08'!P$8,0)</f>
        <v/>
      </c>
      <c r="K31" s="64">
        <f>IF(ISNUMBER('Übung 09'!P$8),'Übung 09'!P$8,0)</f>
        <v/>
      </c>
      <c r="L31" s="64">
        <f>IF(ISNUMBER('Übung 10'!P$8),'Übung 10'!P$8,0)</f>
        <v/>
      </c>
      <c r="M31" s="64">
        <f>IF(ISNUMBER('Übung 11'!P$8),'Übung 11'!P$8,0)</f>
        <v/>
      </c>
      <c r="N31" s="64">
        <f>IF(ISNUMBER('Übung 12'!P$8),'Übung 12'!P$8,0)</f>
        <v/>
      </c>
      <c r="O31" s="64">
        <f>IF(ISNUMBER('Übung 13'!P$8),'Übung 13'!P$8,0)</f>
        <v/>
      </c>
      <c r="P31" s="64">
        <f>IF(ISNUMBER('Übung 14'!P$8),'Übung 14'!P$8,0)</f>
        <v/>
      </c>
      <c r="Q31" s="64">
        <f>IF(ISNUMBER('Übung 15'!P$8),'Übung 15'!P$8,0)</f>
        <v/>
      </c>
      <c r="R31" s="64">
        <f>IF(ISNUMBER('Übung 16'!P$8),'Übung 16'!P$8,0)</f>
        <v/>
      </c>
      <c r="S31" s="64">
        <f>IF(ISNUMBER('Übung 17'!P$8),'Übung 17'!P$8,0)</f>
        <v/>
      </c>
      <c r="T31" s="64">
        <f>IF(ISNUMBER('Übung 18'!P$8),'Übung 18'!P$8,0)</f>
        <v/>
      </c>
      <c r="U31" s="64">
        <f>IF(ISNUMBER('Übung 19'!P$8),'Übung 19'!P$8,0)</f>
        <v/>
      </c>
      <c r="V31" s="64">
        <f>IF(ISNUMBER('Übung 20'!P$8),'Übung 20'!P$8,0)</f>
        <v/>
      </c>
    </row>
    <row r="32">
      <c r="A32" s="62">
        <f>IF('Stammdaten'!$G18="aktiv",1,0)</f>
        <v/>
      </c>
      <c r="B32" s="172">
        <f>IF('Stammdaten'!$E18="",0,'Stammdaten'!$E18)</f>
        <v/>
      </c>
      <c r="C32" s="64">
        <f>IF(ISNUMBER('Übung 01'!Q$8),'Übung 01'!Q$8,0)</f>
        <v/>
      </c>
      <c r="D32" s="64">
        <f>IF(ISNUMBER('Übung 02'!Q$8),'Übung 02'!Q$8,0)</f>
        <v/>
      </c>
      <c r="E32" s="64">
        <f>IF(ISNUMBER('Übung 03'!Q$8),'Übung 03'!Q$8,0)</f>
        <v/>
      </c>
      <c r="F32" s="64">
        <f>IF(ISNUMBER('Übung 04'!Q$8),'Übung 04'!Q$8,0)</f>
        <v/>
      </c>
      <c r="G32" s="64">
        <f>IF(ISNUMBER('Übung 05'!Q$8),'Übung 05'!Q$8,0)</f>
        <v/>
      </c>
      <c r="H32" s="64">
        <f>IF(ISNUMBER('Übung 06'!Q$8),'Übung 06'!Q$8,0)</f>
        <v/>
      </c>
      <c r="I32" s="64">
        <f>IF(ISNUMBER('Übung 07'!Q$8),'Übung 07'!Q$8,0)</f>
        <v/>
      </c>
      <c r="J32" s="64">
        <f>IF(ISNUMBER('Übung 08'!Q$8),'Übung 08'!Q$8,0)</f>
        <v/>
      </c>
      <c r="K32" s="64">
        <f>IF(ISNUMBER('Übung 09'!Q$8),'Übung 09'!Q$8,0)</f>
        <v/>
      </c>
      <c r="L32" s="64">
        <f>IF(ISNUMBER('Übung 10'!Q$8),'Übung 10'!Q$8,0)</f>
        <v/>
      </c>
      <c r="M32" s="64">
        <f>IF(ISNUMBER('Übung 11'!Q$8),'Übung 11'!Q$8,0)</f>
        <v/>
      </c>
      <c r="N32" s="64">
        <f>IF(ISNUMBER('Übung 12'!Q$8),'Übung 12'!Q$8,0)</f>
        <v/>
      </c>
      <c r="O32" s="64">
        <f>IF(ISNUMBER('Übung 13'!Q$8),'Übung 13'!Q$8,0)</f>
        <v/>
      </c>
      <c r="P32" s="64">
        <f>IF(ISNUMBER('Übung 14'!Q$8),'Übung 14'!Q$8,0)</f>
        <v/>
      </c>
      <c r="Q32" s="64">
        <f>IF(ISNUMBER('Übung 15'!Q$8),'Übung 15'!Q$8,0)</f>
        <v/>
      </c>
      <c r="R32" s="64">
        <f>IF(ISNUMBER('Übung 16'!Q$8),'Übung 16'!Q$8,0)</f>
        <v/>
      </c>
      <c r="S32" s="64">
        <f>IF(ISNUMBER('Übung 17'!Q$8),'Übung 17'!Q$8,0)</f>
        <v/>
      </c>
      <c r="T32" s="64">
        <f>IF(ISNUMBER('Übung 18'!Q$8),'Übung 18'!Q$8,0)</f>
        <v/>
      </c>
      <c r="U32" s="64">
        <f>IF(ISNUMBER('Übung 19'!Q$8),'Übung 19'!Q$8,0)</f>
        <v/>
      </c>
      <c r="V32" s="64">
        <f>IF(ISNUMBER('Übung 20'!Q$8),'Übung 20'!Q$8,0)</f>
        <v/>
      </c>
    </row>
    <row r="33">
      <c r="A33" s="62">
        <f>IF('Stammdaten'!$G19="aktiv",1,0)</f>
        <v/>
      </c>
      <c r="B33" s="172">
        <f>IF('Stammdaten'!$E19="",0,'Stammdaten'!$E19)</f>
        <v/>
      </c>
      <c r="C33" s="64">
        <f>IF(ISNUMBER('Übung 01'!R$8),'Übung 01'!R$8,0)</f>
        <v/>
      </c>
      <c r="D33" s="64">
        <f>IF(ISNUMBER('Übung 02'!R$8),'Übung 02'!R$8,0)</f>
        <v/>
      </c>
      <c r="E33" s="64">
        <f>IF(ISNUMBER('Übung 03'!R$8),'Übung 03'!R$8,0)</f>
        <v/>
      </c>
      <c r="F33" s="64">
        <f>IF(ISNUMBER('Übung 04'!R$8),'Übung 04'!R$8,0)</f>
        <v/>
      </c>
      <c r="G33" s="64">
        <f>IF(ISNUMBER('Übung 05'!R$8),'Übung 05'!R$8,0)</f>
        <v/>
      </c>
      <c r="H33" s="64">
        <f>IF(ISNUMBER('Übung 06'!R$8),'Übung 06'!R$8,0)</f>
        <v/>
      </c>
      <c r="I33" s="64">
        <f>IF(ISNUMBER('Übung 07'!R$8),'Übung 07'!R$8,0)</f>
        <v/>
      </c>
      <c r="J33" s="64">
        <f>IF(ISNUMBER('Übung 08'!R$8),'Übung 08'!R$8,0)</f>
        <v/>
      </c>
      <c r="K33" s="64">
        <f>IF(ISNUMBER('Übung 09'!R$8),'Übung 09'!R$8,0)</f>
        <v/>
      </c>
      <c r="L33" s="64">
        <f>IF(ISNUMBER('Übung 10'!R$8),'Übung 10'!R$8,0)</f>
        <v/>
      </c>
      <c r="M33" s="64">
        <f>IF(ISNUMBER('Übung 11'!R$8),'Übung 11'!R$8,0)</f>
        <v/>
      </c>
      <c r="N33" s="64">
        <f>IF(ISNUMBER('Übung 12'!R$8),'Übung 12'!R$8,0)</f>
        <v/>
      </c>
      <c r="O33" s="64">
        <f>IF(ISNUMBER('Übung 13'!R$8),'Übung 13'!R$8,0)</f>
        <v/>
      </c>
      <c r="P33" s="64">
        <f>IF(ISNUMBER('Übung 14'!R$8),'Übung 14'!R$8,0)</f>
        <v/>
      </c>
      <c r="Q33" s="64">
        <f>IF(ISNUMBER('Übung 15'!R$8),'Übung 15'!R$8,0)</f>
        <v/>
      </c>
      <c r="R33" s="64">
        <f>IF(ISNUMBER('Übung 16'!R$8),'Übung 16'!R$8,0)</f>
        <v/>
      </c>
      <c r="S33" s="64">
        <f>IF(ISNUMBER('Übung 17'!R$8),'Übung 17'!R$8,0)</f>
        <v/>
      </c>
      <c r="T33" s="64">
        <f>IF(ISNUMBER('Übung 18'!R$8),'Übung 18'!R$8,0)</f>
        <v/>
      </c>
      <c r="U33" s="64">
        <f>IF(ISNUMBER('Übung 19'!R$8),'Übung 19'!R$8,0)</f>
        <v/>
      </c>
      <c r="V33" s="64">
        <f>IF(ISNUMBER('Übung 20'!R$8),'Übung 20'!R$8,0)</f>
        <v/>
      </c>
    </row>
    <row r="34">
      <c r="A34" s="62">
        <f>IF('Stammdaten'!$G20="aktiv",1,0)</f>
        <v/>
      </c>
      <c r="B34" s="172">
        <f>IF('Stammdaten'!$E20="",0,'Stammdaten'!$E20)</f>
        <v/>
      </c>
      <c r="C34" s="64">
        <f>IF(ISNUMBER('Übung 01'!S$8),'Übung 01'!S$8,0)</f>
        <v/>
      </c>
      <c r="D34" s="64">
        <f>IF(ISNUMBER('Übung 02'!S$8),'Übung 02'!S$8,0)</f>
        <v/>
      </c>
      <c r="E34" s="64">
        <f>IF(ISNUMBER('Übung 03'!S$8),'Übung 03'!S$8,0)</f>
        <v/>
      </c>
      <c r="F34" s="64">
        <f>IF(ISNUMBER('Übung 04'!S$8),'Übung 04'!S$8,0)</f>
        <v/>
      </c>
      <c r="G34" s="64">
        <f>IF(ISNUMBER('Übung 05'!S$8),'Übung 05'!S$8,0)</f>
        <v/>
      </c>
      <c r="H34" s="64">
        <f>IF(ISNUMBER('Übung 06'!S$8),'Übung 06'!S$8,0)</f>
        <v/>
      </c>
      <c r="I34" s="64">
        <f>IF(ISNUMBER('Übung 07'!S$8),'Übung 07'!S$8,0)</f>
        <v/>
      </c>
      <c r="J34" s="64">
        <f>IF(ISNUMBER('Übung 08'!S$8),'Übung 08'!S$8,0)</f>
        <v/>
      </c>
      <c r="K34" s="64">
        <f>IF(ISNUMBER('Übung 09'!S$8),'Übung 09'!S$8,0)</f>
        <v/>
      </c>
      <c r="L34" s="64">
        <f>IF(ISNUMBER('Übung 10'!S$8),'Übung 10'!S$8,0)</f>
        <v/>
      </c>
      <c r="M34" s="64">
        <f>IF(ISNUMBER('Übung 11'!S$8),'Übung 11'!S$8,0)</f>
        <v/>
      </c>
      <c r="N34" s="64">
        <f>IF(ISNUMBER('Übung 12'!S$8),'Übung 12'!S$8,0)</f>
        <v/>
      </c>
      <c r="O34" s="64">
        <f>IF(ISNUMBER('Übung 13'!S$8),'Übung 13'!S$8,0)</f>
        <v/>
      </c>
      <c r="P34" s="64">
        <f>IF(ISNUMBER('Übung 14'!S$8),'Übung 14'!S$8,0)</f>
        <v/>
      </c>
      <c r="Q34" s="64">
        <f>IF(ISNUMBER('Übung 15'!S$8),'Übung 15'!S$8,0)</f>
        <v/>
      </c>
      <c r="R34" s="64">
        <f>IF(ISNUMBER('Übung 16'!S$8),'Übung 16'!S$8,0)</f>
        <v/>
      </c>
      <c r="S34" s="64">
        <f>IF(ISNUMBER('Übung 17'!S$8),'Übung 17'!S$8,0)</f>
        <v/>
      </c>
      <c r="T34" s="64">
        <f>IF(ISNUMBER('Übung 18'!S$8),'Übung 18'!S$8,0)</f>
        <v/>
      </c>
      <c r="U34" s="64">
        <f>IF(ISNUMBER('Übung 19'!S$8),'Übung 19'!S$8,0)</f>
        <v/>
      </c>
      <c r="V34" s="64">
        <f>IF(ISNUMBER('Übung 20'!S$8),'Übung 20'!S$8,0)</f>
        <v/>
      </c>
    </row>
    <row r="35">
      <c r="A35" s="62">
        <f>IF('Stammdaten'!$G21="aktiv",1,0)</f>
        <v/>
      </c>
      <c r="B35" s="172">
        <f>IF('Stammdaten'!$E21="",0,'Stammdaten'!$E21)</f>
        <v/>
      </c>
      <c r="C35" s="64">
        <f>IF(ISNUMBER('Übung 01'!T$8),'Übung 01'!T$8,0)</f>
        <v/>
      </c>
      <c r="D35" s="64">
        <f>IF(ISNUMBER('Übung 02'!T$8),'Übung 02'!T$8,0)</f>
        <v/>
      </c>
      <c r="E35" s="64">
        <f>IF(ISNUMBER('Übung 03'!T$8),'Übung 03'!T$8,0)</f>
        <v/>
      </c>
      <c r="F35" s="64">
        <f>IF(ISNUMBER('Übung 04'!T$8),'Übung 04'!T$8,0)</f>
        <v/>
      </c>
      <c r="G35" s="64">
        <f>IF(ISNUMBER('Übung 05'!T$8),'Übung 05'!T$8,0)</f>
        <v/>
      </c>
      <c r="H35" s="64">
        <f>IF(ISNUMBER('Übung 06'!T$8),'Übung 06'!T$8,0)</f>
        <v/>
      </c>
      <c r="I35" s="64">
        <f>IF(ISNUMBER('Übung 07'!T$8),'Übung 07'!T$8,0)</f>
        <v/>
      </c>
      <c r="J35" s="64">
        <f>IF(ISNUMBER('Übung 08'!T$8),'Übung 08'!T$8,0)</f>
        <v/>
      </c>
      <c r="K35" s="64">
        <f>IF(ISNUMBER('Übung 09'!T$8),'Übung 09'!T$8,0)</f>
        <v/>
      </c>
      <c r="L35" s="64">
        <f>IF(ISNUMBER('Übung 10'!T$8),'Übung 10'!T$8,0)</f>
        <v/>
      </c>
      <c r="M35" s="64">
        <f>IF(ISNUMBER('Übung 11'!T$8),'Übung 11'!T$8,0)</f>
        <v/>
      </c>
      <c r="N35" s="64">
        <f>IF(ISNUMBER('Übung 12'!T$8),'Übung 12'!T$8,0)</f>
        <v/>
      </c>
      <c r="O35" s="64">
        <f>IF(ISNUMBER('Übung 13'!T$8),'Übung 13'!T$8,0)</f>
        <v/>
      </c>
      <c r="P35" s="64">
        <f>IF(ISNUMBER('Übung 14'!T$8),'Übung 14'!T$8,0)</f>
        <v/>
      </c>
      <c r="Q35" s="64">
        <f>IF(ISNUMBER('Übung 15'!T$8),'Übung 15'!T$8,0)</f>
        <v/>
      </c>
      <c r="R35" s="64">
        <f>IF(ISNUMBER('Übung 16'!T$8),'Übung 16'!T$8,0)</f>
        <v/>
      </c>
      <c r="S35" s="64">
        <f>IF(ISNUMBER('Übung 17'!T$8),'Übung 17'!T$8,0)</f>
        <v/>
      </c>
      <c r="T35" s="64">
        <f>IF(ISNUMBER('Übung 18'!T$8),'Übung 18'!T$8,0)</f>
        <v/>
      </c>
      <c r="U35" s="64">
        <f>IF(ISNUMBER('Übung 19'!T$8),'Übung 19'!T$8,0)</f>
        <v/>
      </c>
      <c r="V35" s="64">
        <f>IF(ISNUMBER('Übung 20'!T$8),'Übung 20'!T$8,0)</f>
        <v/>
      </c>
    </row>
    <row r="36">
      <c r="A36" s="62">
        <f>IF('Stammdaten'!$G22="aktiv",1,0)</f>
        <v/>
      </c>
      <c r="B36" s="172">
        <f>IF('Stammdaten'!$E22="",0,'Stammdaten'!$E22)</f>
        <v/>
      </c>
      <c r="C36" s="64">
        <f>IF(ISNUMBER('Übung 01'!U$8),'Übung 01'!U$8,0)</f>
        <v/>
      </c>
      <c r="D36" s="64">
        <f>IF(ISNUMBER('Übung 02'!U$8),'Übung 02'!U$8,0)</f>
        <v/>
      </c>
      <c r="E36" s="64">
        <f>IF(ISNUMBER('Übung 03'!U$8),'Übung 03'!U$8,0)</f>
        <v/>
      </c>
      <c r="F36" s="64">
        <f>IF(ISNUMBER('Übung 04'!U$8),'Übung 04'!U$8,0)</f>
        <v/>
      </c>
      <c r="G36" s="64">
        <f>IF(ISNUMBER('Übung 05'!U$8),'Übung 05'!U$8,0)</f>
        <v/>
      </c>
      <c r="H36" s="64">
        <f>IF(ISNUMBER('Übung 06'!U$8),'Übung 06'!U$8,0)</f>
        <v/>
      </c>
      <c r="I36" s="64">
        <f>IF(ISNUMBER('Übung 07'!U$8),'Übung 07'!U$8,0)</f>
        <v/>
      </c>
      <c r="J36" s="64">
        <f>IF(ISNUMBER('Übung 08'!U$8),'Übung 08'!U$8,0)</f>
        <v/>
      </c>
      <c r="K36" s="64">
        <f>IF(ISNUMBER('Übung 09'!U$8),'Übung 09'!U$8,0)</f>
        <v/>
      </c>
      <c r="L36" s="64">
        <f>IF(ISNUMBER('Übung 10'!U$8),'Übung 10'!U$8,0)</f>
        <v/>
      </c>
      <c r="M36" s="64">
        <f>IF(ISNUMBER('Übung 11'!U$8),'Übung 11'!U$8,0)</f>
        <v/>
      </c>
      <c r="N36" s="64">
        <f>IF(ISNUMBER('Übung 12'!U$8),'Übung 12'!U$8,0)</f>
        <v/>
      </c>
      <c r="O36" s="64">
        <f>IF(ISNUMBER('Übung 13'!U$8),'Übung 13'!U$8,0)</f>
        <v/>
      </c>
      <c r="P36" s="64">
        <f>IF(ISNUMBER('Übung 14'!U$8),'Übung 14'!U$8,0)</f>
        <v/>
      </c>
      <c r="Q36" s="64">
        <f>IF(ISNUMBER('Übung 15'!U$8),'Übung 15'!U$8,0)</f>
        <v/>
      </c>
      <c r="R36" s="64">
        <f>IF(ISNUMBER('Übung 16'!U$8),'Übung 16'!U$8,0)</f>
        <v/>
      </c>
      <c r="S36" s="64">
        <f>IF(ISNUMBER('Übung 17'!U$8),'Übung 17'!U$8,0)</f>
        <v/>
      </c>
      <c r="T36" s="64">
        <f>IF(ISNUMBER('Übung 18'!U$8),'Übung 18'!U$8,0)</f>
        <v/>
      </c>
      <c r="U36" s="64">
        <f>IF(ISNUMBER('Übung 19'!U$8),'Übung 19'!U$8,0)</f>
        <v/>
      </c>
      <c r="V36" s="64">
        <f>IF(ISNUMBER('Übung 20'!U$8),'Übung 20'!U$8,0)</f>
        <v/>
      </c>
    </row>
    <row r="37">
      <c r="A37" s="62">
        <f>IF('Stammdaten'!$G23="aktiv",1,0)</f>
        <v/>
      </c>
      <c r="B37" s="172">
        <f>IF('Stammdaten'!$E23="",0,'Stammdaten'!$E23)</f>
        <v/>
      </c>
      <c r="C37" s="64">
        <f>IF(ISNUMBER('Übung 01'!V$8),'Übung 01'!V$8,0)</f>
        <v/>
      </c>
      <c r="D37" s="64">
        <f>IF(ISNUMBER('Übung 02'!V$8),'Übung 02'!V$8,0)</f>
        <v/>
      </c>
      <c r="E37" s="64">
        <f>IF(ISNUMBER('Übung 03'!V$8),'Übung 03'!V$8,0)</f>
        <v/>
      </c>
      <c r="F37" s="64">
        <f>IF(ISNUMBER('Übung 04'!V$8),'Übung 04'!V$8,0)</f>
        <v/>
      </c>
      <c r="G37" s="64">
        <f>IF(ISNUMBER('Übung 05'!V$8),'Übung 05'!V$8,0)</f>
        <v/>
      </c>
      <c r="H37" s="64">
        <f>IF(ISNUMBER('Übung 06'!V$8),'Übung 06'!V$8,0)</f>
        <v/>
      </c>
      <c r="I37" s="64">
        <f>IF(ISNUMBER('Übung 07'!V$8),'Übung 07'!V$8,0)</f>
        <v/>
      </c>
      <c r="J37" s="64">
        <f>IF(ISNUMBER('Übung 08'!V$8),'Übung 08'!V$8,0)</f>
        <v/>
      </c>
      <c r="K37" s="64">
        <f>IF(ISNUMBER('Übung 09'!V$8),'Übung 09'!V$8,0)</f>
        <v/>
      </c>
      <c r="L37" s="64">
        <f>IF(ISNUMBER('Übung 10'!V$8),'Übung 10'!V$8,0)</f>
        <v/>
      </c>
      <c r="M37" s="64">
        <f>IF(ISNUMBER('Übung 11'!V$8),'Übung 11'!V$8,0)</f>
        <v/>
      </c>
      <c r="N37" s="64">
        <f>IF(ISNUMBER('Übung 12'!V$8),'Übung 12'!V$8,0)</f>
        <v/>
      </c>
      <c r="O37" s="64">
        <f>IF(ISNUMBER('Übung 13'!V$8),'Übung 13'!V$8,0)</f>
        <v/>
      </c>
      <c r="P37" s="64">
        <f>IF(ISNUMBER('Übung 14'!V$8),'Übung 14'!V$8,0)</f>
        <v/>
      </c>
      <c r="Q37" s="64">
        <f>IF(ISNUMBER('Übung 15'!V$8),'Übung 15'!V$8,0)</f>
        <v/>
      </c>
      <c r="R37" s="64">
        <f>IF(ISNUMBER('Übung 16'!V$8),'Übung 16'!V$8,0)</f>
        <v/>
      </c>
      <c r="S37" s="64">
        <f>IF(ISNUMBER('Übung 17'!V$8),'Übung 17'!V$8,0)</f>
        <v/>
      </c>
      <c r="T37" s="64">
        <f>IF(ISNUMBER('Übung 18'!V$8),'Übung 18'!V$8,0)</f>
        <v/>
      </c>
      <c r="U37" s="64">
        <f>IF(ISNUMBER('Übung 19'!V$8),'Übung 19'!V$8,0)</f>
        <v/>
      </c>
      <c r="V37" s="64">
        <f>IF(ISNUMBER('Übung 20'!V$8),'Übung 20'!V$8,0)</f>
        <v/>
      </c>
    </row>
    <row r="38">
      <c r="A38" s="62">
        <f>IF('Stammdaten'!$G24="aktiv",1,0)</f>
        <v/>
      </c>
      <c r="B38" s="172">
        <f>IF('Stammdaten'!$E24="",0,'Stammdaten'!$E24)</f>
        <v/>
      </c>
      <c r="C38" s="64">
        <f>IF(ISNUMBER('Übung 01'!W$8),'Übung 01'!W$8,0)</f>
        <v/>
      </c>
      <c r="D38" s="64">
        <f>IF(ISNUMBER('Übung 02'!W$8),'Übung 02'!W$8,0)</f>
        <v/>
      </c>
      <c r="E38" s="64">
        <f>IF(ISNUMBER('Übung 03'!W$8),'Übung 03'!W$8,0)</f>
        <v/>
      </c>
      <c r="F38" s="64">
        <f>IF(ISNUMBER('Übung 04'!W$8),'Übung 04'!W$8,0)</f>
        <v/>
      </c>
      <c r="G38" s="64">
        <f>IF(ISNUMBER('Übung 05'!W$8),'Übung 05'!W$8,0)</f>
        <v/>
      </c>
      <c r="H38" s="64">
        <f>IF(ISNUMBER('Übung 06'!W$8),'Übung 06'!W$8,0)</f>
        <v/>
      </c>
      <c r="I38" s="64">
        <f>IF(ISNUMBER('Übung 07'!W$8),'Übung 07'!W$8,0)</f>
        <v/>
      </c>
      <c r="J38" s="64">
        <f>IF(ISNUMBER('Übung 08'!W$8),'Übung 08'!W$8,0)</f>
        <v/>
      </c>
      <c r="K38" s="64">
        <f>IF(ISNUMBER('Übung 09'!W$8),'Übung 09'!W$8,0)</f>
        <v/>
      </c>
      <c r="L38" s="64">
        <f>IF(ISNUMBER('Übung 10'!W$8),'Übung 10'!W$8,0)</f>
        <v/>
      </c>
      <c r="M38" s="64">
        <f>IF(ISNUMBER('Übung 11'!W$8),'Übung 11'!W$8,0)</f>
        <v/>
      </c>
      <c r="N38" s="64">
        <f>IF(ISNUMBER('Übung 12'!W$8),'Übung 12'!W$8,0)</f>
        <v/>
      </c>
      <c r="O38" s="64">
        <f>IF(ISNUMBER('Übung 13'!W$8),'Übung 13'!W$8,0)</f>
        <v/>
      </c>
      <c r="P38" s="64">
        <f>IF(ISNUMBER('Übung 14'!W$8),'Übung 14'!W$8,0)</f>
        <v/>
      </c>
      <c r="Q38" s="64">
        <f>IF(ISNUMBER('Übung 15'!W$8),'Übung 15'!W$8,0)</f>
        <v/>
      </c>
      <c r="R38" s="64">
        <f>IF(ISNUMBER('Übung 16'!W$8),'Übung 16'!W$8,0)</f>
        <v/>
      </c>
      <c r="S38" s="64">
        <f>IF(ISNUMBER('Übung 17'!W$8),'Übung 17'!W$8,0)</f>
        <v/>
      </c>
      <c r="T38" s="64">
        <f>IF(ISNUMBER('Übung 18'!W$8),'Übung 18'!W$8,0)</f>
        <v/>
      </c>
      <c r="U38" s="64">
        <f>IF(ISNUMBER('Übung 19'!W$8),'Übung 19'!W$8,0)</f>
        <v/>
      </c>
      <c r="V38" s="64">
        <f>IF(ISNUMBER('Übung 20'!W$8),'Übung 20'!W$8,0)</f>
        <v/>
      </c>
    </row>
    <row r="39">
      <c r="A39" s="62">
        <f>IF('Stammdaten'!$G25="aktiv",1,0)</f>
        <v/>
      </c>
      <c r="B39" s="172">
        <f>IF('Stammdaten'!$E25="",0,'Stammdaten'!$E25)</f>
        <v/>
      </c>
      <c r="C39" s="64">
        <f>IF(ISNUMBER('Übung 01'!X$8),'Übung 01'!X$8,0)</f>
        <v/>
      </c>
      <c r="D39" s="64">
        <f>IF(ISNUMBER('Übung 02'!X$8),'Übung 02'!X$8,0)</f>
        <v/>
      </c>
      <c r="E39" s="64">
        <f>IF(ISNUMBER('Übung 03'!X$8),'Übung 03'!X$8,0)</f>
        <v/>
      </c>
      <c r="F39" s="64">
        <f>IF(ISNUMBER('Übung 04'!X$8),'Übung 04'!X$8,0)</f>
        <v/>
      </c>
      <c r="G39" s="64">
        <f>IF(ISNUMBER('Übung 05'!X$8),'Übung 05'!X$8,0)</f>
        <v/>
      </c>
      <c r="H39" s="64">
        <f>IF(ISNUMBER('Übung 06'!X$8),'Übung 06'!X$8,0)</f>
        <v/>
      </c>
      <c r="I39" s="64">
        <f>IF(ISNUMBER('Übung 07'!X$8),'Übung 07'!X$8,0)</f>
        <v/>
      </c>
      <c r="J39" s="64">
        <f>IF(ISNUMBER('Übung 08'!X$8),'Übung 08'!X$8,0)</f>
        <v/>
      </c>
      <c r="K39" s="64">
        <f>IF(ISNUMBER('Übung 09'!X$8),'Übung 09'!X$8,0)</f>
        <v/>
      </c>
      <c r="L39" s="64">
        <f>IF(ISNUMBER('Übung 10'!X$8),'Übung 10'!X$8,0)</f>
        <v/>
      </c>
      <c r="M39" s="64">
        <f>IF(ISNUMBER('Übung 11'!X$8),'Übung 11'!X$8,0)</f>
        <v/>
      </c>
      <c r="N39" s="64">
        <f>IF(ISNUMBER('Übung 12'!X$8),'Übung 12'!X$8,0)</f>
        <v/>
      </c>
      <c r="O39" s="64">
        <f>IF(ISNUMBER('Übung 13'!X$8),'Übung 13'!X$8,0)</f>
        <v/>
      </c>
      <c r="P39" s="64">
        <f>IF(ISNUMBER('Übung 14'!X$8),'Übung 14'!X$8,0)</f>
        <v/>
      </c>
      <c r="Q39" s="64">
        <f>IF(ISNUMBER('Übung 15'!X$8),'Übung 15'!X$8,0)</f>
        <v/>
      </c>
      <c r="R39" s="64">
        <f>IF(ISNUMBER('Übung 16'!X$8),'Übung 16'!X$8,0)</f>
        <v/>
      </c>
      <c r="S39" s="64">
        <f>IF(ISNUMBER('Übung 17'!X$8),'Übung 17'!X$8,0)</f>
        <v/>
      </c>
      <c r="T39" s="64">
        <f>IF(ISNUMBER('Übung 18'!X$8),'Übung 18'!X$8,0)</f>
        <v/>
      </c>
      <c r="U39" s="64">
        <f>IF(ISNUMBER('Übung 19'!X$8),'Übung 19'!X$8,0)</f>
        <v/>
      </c>
      <c r="V39" s="64">
        <f>IF(ISNUMBER('Übung 20'!X$8),'Übung 20'!X$8,0)</f>
        <v/>
      </c>
    </row>
    <row r="40">
      <c r="A40" s="62">
        <f>IF('Stammdaten'!$G26="aktiv",1,0)</f>
        <v/>
      </c>
      <c r="B40" s="172">
        <f>IF('Stammdaten'!$E26="",0,'Stammdaten'!$E26)</f>
        <v/>
      </c>
      <c r="C40" s="64">
        <f>IF(ISNUMBER('Übung 01'!Y$8),'Übung 01'!Y$8,0)</f>
        <v/>
      </c>
      <c r="D40" s="64">
        <f>IF(ISNUMBER('Übung 02'!Y$8),'Übung 02'!Y$8,0)</f>
        <v/>
      </c>
      <c r="E40" s="64">
        <f>IF(ISNUMBER('Übung 03'!Y$8),'Übung 03'!Y$8,0)</f>
        <v/>
      </c>
      <c r="F40" s="64">
        <f>IF(ISNUMBER('Übung 04'!Y$8),'Übung 04'!Y$8,0)</f>
        <v/>
      </c>
      <c r="G40" s="64">
        <f>IF(ISNUMBER('Übung 05'!Y$8),'Übung 05'!Y$8,0)</f>
        <v/>
      </c>
      <c r="H40" s="64">
        <f>IF(ISNUMBER('Übung 06'!Y$8),'Übung 06'!Y$8,0)</f>
        <v/>
      </c>
      <c r="I40" s="64">
        <f>IF(ISNUMBER('Übung 07'!Y$8),'Übung 07'!Y$8,0)</f>
        <v/>
      </c>
      <c r="J40" s="64">
        <f>IF(ISNUMBER('Übung 08'!Y$8),'Übung 08'!Y$8,0)</f>
        <v/>
      </c>
      <c r="K40" s="64">
        <f>IF(ISNUMBER('Übung 09'!Y$8),'Übung 09'!Y$8,0)</f>
        <v/>
      </c>
      <c r="L40" s="64">
        <f>IF(ISNUMBER('Übung 10'!Y$8),'Übung 10'!Y$8,0)</f>
        <v/>
      </c>
      <c r="M40" s="64">
        <f>IF(ISNUMBER('Übung 11'!Y$8),'Übung 11'!Y$8,0)</f>
        <v/>
      </c>
      <c r="N40" s="64">
        <f>IF(ISNUMBER('Übung 12'!Y$8),'Übung 12'!Y$8,0)</f>
        <v/>
      </c>
      <c r="O40" s="64">
        <f>IF(ISNUMBER('Übung 13'!Y$8),'Übung 13'!Y$8,0)</f>
        <v/>
      </c>
      <c r="P40" s="64">
        <f>IF(ISNUMBER('Übung 14'!Y$8),'Übung 14'!Y$8,0)</f>
        <v/>
      </c>
      <c r="Q40" s="64">
        <f>IF(ISNUMBER('Übung 15'!Y$8),'Übung 15'!Y$8,0)</f>
        <v/>
      </c>
      <c r="R40" s="64">
        <f>IF(ISNUMBER('Übung 16'!Y$8),'Übung 16'!Y$8,0)</f>
        <v/>
      </c>
      <c r="S40" s="64">
        <f>IF(ISNUMBER('Übung 17'!Y$8),'Übung 17'!Y$8,0)</f>
        <v/>
      </c>
      <c r="T40" s="64">
        <f>IF(ISNUMBER('Übung 18'!Y$8),'Übung 18'!Y$8,0)</f>
        <v/>
      </c>
      <c r="U40" s="64">
        <f>IF(ISNUMBER('Übung 19'!Y$8),'Übung 19'!Y$8,0)</f>
        <v/>
      </c>
      <c r="V40" s="64">
        <f>IF(ISNUMBER('Übung 20'!Y$8),'Übung 20'!Y$8,0)</f>
        <v/>
      </c>
    </row>
    <row r="41">
      <c r="A41" s="62">
        <f>IF('Stammdaten'!$G27="aktiv",1,0)</f>
        <v/>
      </c>
      <c r="B41" s="172">
        <f>IF('Stammdaten'!$E27="",0,'Stammdaten'!$E27)</f>
        <v/>
      </c>
      <c r="C41" s="64">
        <f>IF(ISNUMBER('Übung 01'!Z$8),'Übung 01'!Z$8,0)</f>
        <v/>
      </c>
      <c r="D41" s="64">
        <f>IF(ISNUMBER('Übung 02'!Z$8),'Übung 02'!Z$8,0)</f>
        <v/>
      </c>
      <c r="E41" s="64">
        <f>IF(ISNUMBER('Übung 03'!Z$8),'Übung 03'!Z$8,0)</f>
        <v/>
      </c>
      <c r="F41" s="64">
        <f>IF(ISNUMBER('Übung 04'!Z$8),'Übung 04'!Z$8,0)</f>
        <v/>
      </c>
      <c r="G41" s="64">
        <f>IF(ISNUMBER('Übung 05'!Z$8),'Übung 05'!Z$8,0)</f>
        <v/>
      </c>
      <c r="H41" s="64">
        <f>IF(ISNUMBER('Übung 06'!Z$8),'Übung 06'!Z$8,0)</f>
        <v/>
      </c>
      <c r="I41" s="64">
        <f>IF(ISNUMBER('Übung 07'!Z$8),'Übung 07'!Z$8,0)</f>
        <v/>
      </c>
      <c r="J41" s="64">
        <f>IF(ISNUMBER('Übung 08'!Z$8),'Übung 08'!Z$8,0)</f>
        <v/>
      </c>
      <c r="K41" s="64">
        <f>IF(ISNUMBER('Übung 09'!Z$8),'Übung 09'!Z$8,0)</f>
        <v/>
      </c>
      <c r="L41" s="64">
        <f>IF(ISNUMBER('Übung 10'!Z$8),'Übung 10'!Z$8,0)</f>
        <v/>
      </c>
      <c r="M41" s="64">
        <f>IF(ISNUMBER('Übung 11'!Z$8),'Übung 11'!Z$8,0)</f>
        <v/>
      </c>
      <c r="N41" s="64">
        <f>IF(ISNUMBER('Übung 12'!Z$8),'Übung 12'!Z$8,0)</f>
        <v/>
      </c>
      <c r="O41" s="64">
        <f>IF(ISNUMBER('Übung 13'!Z$8),'Übung 13'!Z$8,0)</f>
        <v/>
      </c>
      <c r="P41" s="64">
        <f>IF(ISNUMBER('Übung 14'!Z$8),'Übung 14'!Z$8,0)</f>
        <v/>
      </c>
      <c r="Q41" s="64">
        <f>IF(ISNUMBER('Übung 15'!Z$8),'Übung 15'!Z$8,0)</f>
        <v/>
      </c>
      <c r="R41" s="64">
        <f>IF(ISNUMBER('Übung 16'!Z$8),'Übung 16'!Z$8,0)</f>
        <v/>
      </c>
      <c r="S41" s="64">
        <f>IF(ISNUMBER('Übung 17'!Z$8),'Übung 17'!Z$8,0)</f>
        <v/>
      </c>
      <c r="T41" s="64">
        <f>IF(ISNUMBER('Übung 18'!Z$8),'Übung 18'!Z$8,0)</f>
        <v/>
      </c>
      <c r="U41" s="64">
        <f>IF(ISNUMBER('Übung 19'!Z$8),'Übung 19'!Z$8,0)</f>
        <v/>
      </c>
      <c r="V41" s="64">
        <f>IF(ISNUMBER('Übung 20'!Z$8),'Übung 20'!Z$8,0)</f>
        <v/>
      </c>
    </row>
    <row r="42">
      <c r="A42" s="62">
        <f>IF('Stammdaten'!$G28="aktiv",1,0)</f>
        <v/>
      </c>
      <c r="B42" s="172">
        <f>IF('Stammdaten'!$E28="",0,'Stammdaten'!$E28)</f>
        <v/>
      </c>
      <c r="C42" s="64">
        <f>IF(ISNUMBER('Übung 01'!AA$8),'Übung 01'!AA$8,0)</f>
        <v/>
      </c>
      <c r="D42" s="64">
        <f>IF(ISNUMBER('Übung 02'!AA$8),'Übung 02'!AA$8,0)</f>
        <v/>
      </c>
      <c r="E42" s="64">
        <f>IF(ISNUMBER('Übung 03'!AA$8),'Übung 03'!AA$8,0)</f>
        <v/>
      </c>
      <c r="F42" s="64">
        <f>IF(ISNUMBER('Übung 04'!AA$8),'Übung 04'!AA$8,0)</f>
        <v/>
      </c>
      <c r="G42" s="64">
        <f>IF(ISNUMBER('Übung 05'!AA$8),'Übung 05'!AA$8,0)</f>
        <v/>
      </c>
      <c r="H42" s="64">
        <f>IF(ISNUMBER('Übung 06'!AA$8),'Übung 06'!AA$8,0)</f>
        <v/>
      </c>
      <c r="I42" s="64">
        <f>IF(ISNUMBER('Übung 07'!AA$8),'Übung 07'!AA$8,0)</f>
        <v/>
      </c>
      <c r="J42" s="64">
        <f>IF(ISNUMBER('Übung 08'!AA$8),'Übung 08'!AA$8,0)</f>
        <v/>
      </c>
      <c r="K42" s="64">
        <f>IF(ISNUMBER('Übung 09'!AA$8),'Übung 09'!AA$8,0)</f>
        <v/>
      </c>
      <c r="L42" s="64">
        <f>IF(ISNUMBER('Übung 10'!AA$8),'Übung 10'!AA$8,0)</f>
        <v/>
      </c>
      <c r="M42" s="64">
        <f>IF(ISNUMBER('Übung 11'!AA$8),'Übung 11'!AA$8,0)</f>
        <v/>
      </c>
      <c r="N42" s="64">
        <f>IF(ISNUMBER('Übung 12'!AA$8),'Übung 12'!AA$8,0)</f>
        <v/>
      </c>
      <c r="O42" s="64">
        <f>IF(ISNUMBER('Übung 13'!AA$8),'Übung 13'!AA$8,0)</f>
        <v/>
      </c>
      <c r="P42" s="64">
        <f>IF(ISNUMBER('Übung 14'!AA$8),'Übung 14'!AA$8,0)</f>
        <v/>
      </c>
      <c r="Q42" s="64">
        <f>IF(ISNUMBER('Übung 15'!AA$8),'Übung 15'!AA$8,0)</f>
        <v/>
      </c>
      <c r="R42" s="64">
        <f>IF(ISNUMBER('Übung 16'!AA$8),'Übung 16'!AA$8,0)</f>
        <v/>
      </c>
      <c r="S42" s="64">
        <f>IF(ISNUMBER('Übung 17'!AA$8),'Übung 17'!AA$8,0)</f>
        <v/>
      </c>
      <c r="T42" s="64">
        <f>IF(ISNUMBER('Übung 18'!AA$8),'Übung 18'!AA$8,0)</f>
        <v/>
      </c>
      <c r="U42" s="64">
        <f>IF(ISNUMBER('Übung 19'!AA$8),'Übung 19'!AA$8,0)</f>
        <v/>
      </c>
      <c r="V42" s="64">
        <f>IF(ISNUMBER('Übung 20'!AA$8),'Übung 20'!AA$8,0)</f>
        <v/>
      </c>
    </row>
    <row r="43">
      <c r="A43" s="62">
        <f>IF('Stammdaten'!$G29="aktiv",1,0)</f>
        <v/>
      </c>
      <c r="B43" s="172">
        <f>IF('Stammdaten'!$E29="",0,'Stammdaten'!$E29)</f>
        <v/>
      </c>
      <c r="C43" s="64">
        <f>IF(ISNUMBER('Übung 01'!AB$8),'Übung 01'!AB$8,0)</f>
        <v/>
      </c>
      <c r="D43" s="64">
        <f>IF(ISNUMBER('Übung 02'!AB$8),'Übung 02'!AB$8,0)</f>
        <v/>
      </c>
      <c r="E43" s="64">
        <f>IF(ISNUMBER('Übung 03'!AB$8),'Übung 03'!AB$8,0)</f>
        <v/>
      </c>
      <c r="F43" s="64">
        <f>IF(ISNUMBER('Übung 04'!AB$8),'Übung 04'!AB$8,0)</f>
        <v/>
      </c>
      <c r="G43" s="64">
        <f>IF(ISNUMBER('Übung 05'!AB$8),'Übung 05'!AB$8,0)</f>
        <v/>
      </c>
      <c r="H43" s="64">
        <f>IF(ISNUMBER('Übung 06'!AB$8),'Übung 06'!AB$8,0)</f>
        <v/>
      </c>
      <c r="I43" s="64">
        <f>IF(ISNUMBER('Übung 07'!AB$8),'Übung 07'!AB$8,0)</f>
        <v/>
      </c>
      <c r="J43" s="64">
        <f>IF(ISNUMBER('Übung 08'!AB$8),'Übung 08'!AB$8,0)</f>
        <v/>
      </c>
      <c r="K43" s="64">
        <f>IF(ISNUMBER('Übung 09'!AB$8),'Übung 09'!AB$8,0)</f>
        <v/>
      </c>
      <c r="L43" s="64">
        <f>IF(ISNUMBER('Übung 10'!AB$8),'Übung 10'!AB$8,0)</f>
        <v/>
      </c>
      <c r="M43" s="64">
        <f>IF(ISNUMBER('Übung 11'!AB$8),'Übung 11'!AB$8,0)</f>
        <v/>
      </c>
      <c r="N43" s="64">
        <f>IF(ISNUMBER('Übung 12'!AB$8),'Übung 12'!AB$8,0)</f>
        <v/>
      </c>
      <c r="O43" s="64">
        <f>IF(ISNUMBER('Übung 13'!AB$8),'Übung 13'!AB$8,0)</f>
        <v/>
      </c>
      <c r="P43" s="64">
        <f>IF(ISNUMBER('Übung 14'!AB$8),'Übung 14'!AB$8,0)</f>
        <v/>
      </c>
      <c r="Q43" s="64">
        <f>IF(ISNUMBER('Übung 15'!AB$8),'Übung 15'!AB$8,0)</f>
        <v/>
      </c>
      <c r="R43" s="64">
        <f>IF(ISNUMBER('Übung 16'!AB$8),'Übung 16'!AB$8,0)</f>
        <v/>
      </c>
      <c r="S43" s="64">
        <f>IF(ISNUMBER('Übung 17'!AB$8),'Übung 17'!AB$8,0)</f>
        <v/>
      </c>
      <c r="T43" s="64">
        <f>IF(ISNUMBER('Übung 18'!AB$8),'Übung 18'!AB$8,0)</f>
        <v/>
      </c>
      <c r="U43" s="64">
        <f>IF(ISNUMBER('Übung 19'!AB$8),'Übung 19'!AB$8,0)</f>
        <v/>
      </c>
      <c r="V43" s="64">
        <f>IF(ISNUMBER('Übung 20'!AB$8),'Übung 20'!AB$8,0)</f>
        <v/>
      </c>
    </row>
    <row r="44">
      <c r="A44" s="62">
        <f>IF('Stammdaten'!$G30="aktiv",1,0)</f>
        <v/>
      </c>
      <c r="B44" s="172">
        <f>IF('Stammdaten'!$E30="",0,'Stammdaten'!$E30)</f>
        <v/>
      </c>
      <c r="C44" s="64">
        <f>IF(ISNUMBER('Übung 01'!AC$8),'Übung 01'!AC$8,0)</f>
        <v/>
      </c>
      <c r="D44" s="64">
        <f>IF(ISNUMBER('Übung 02'!AC$8),'Übung 02'!AC$8,0)</f>
        <v/>
      </c>
      <c r="E44" s="64">
        <f>IF(ISNUMBER('Übung 03'!AC$8),'Übung 03'!AC$8,0)</f>
        <v/>
      </c>
      <c r="F44" s="64">
        <f>IF(ISNUMBER('Übung 04'!AC$8),'Übung 04'!AC$8,0)</f>
        <v/>
      </c>
      <c r="G44" s="64">
        <f>IF(ISNUMBER('Übung 05'!AC$8),'Übung 05'!AC$8,0)</f>
        <v/>
      </c>
      <c r="H44" s="64">
        <f>IF(ISNUMBER('Übung 06'!AC$8),'Übung 06'!AC$8,0)</f>
        <v/>
      </c>
      <c r="I44" s="64">
        <f>IF(ISNUMBER('Übung 07'!AC$8),'Übung 07'!AC$8,0)</f>
        <v/>
      </c>
      <c r="J44" s="64">
        <f>IF(ISNUMBER('Übung 08'!AC$8),'Übung 08'!AC$8,0)</f>
        <v/>
      </c>
      <c r="K44" s="64">
        <f>IF(ISNUMBER('Übung 09'!AC$8),'Übung 09'!AC$8,0)</f>
        <v/>
      </c>
      <c r="L44" s="64">
        <f>IF(ISNUMBER('Übung 10'!AC$8),'Übung 10'!AC$8,0)</f>
        <v/>
      </c>
      <c r="M44" s="64">
        <f>IF(ISNUMBER('Übung 11'!AC$8),'Übung 11'!AC$8,0)</f>
        <v/>
      </c>
      <c r="N44" s="64">
        <f>IF(ISNUMBER('Übung 12'!AC$8),'Übung 12'!AC$8,0)</f>
        <v/>
      </c>
      <c r="O44" s="64">
        <f>IF(ISNUMBER('Übung 13'!AC$8),'Übung 13'!AC$8,0)</f>
        <v/>
      </c>
      <c r="P44" s="64">
        <f>IF(ISNUMBER('Übung 14'!AC$8),'Übung 14'!AC$8,0)</f>
        <v/>
      </c>
      <c r="Q44" s="64">
        <f>IF(ISNUMBER('Übung 15'!AC$8),'Übung 15'!AC$8,0)</f>
        <v/>
      </c>
      <c r="R44" s="64">
        <f>IF(ISNUMBER('Übung 16'!AC$8),'Übung 16'!AC$8,0)</f>
        <v/>
      </c>
      <c r="S44" s="64">
        <f>IF(ISNUMBER('Übung 17'!AC$8),'Übung 17'!AC$8,0)</f>
        <v/>
      </c>
      <c r="T44" s="64">
        <f>IF(ISNUMBER('Übung 18'!AC$8),'Übung 18'!AC$8,0)</f>
        <v/>
      </c>
      <c r="U44" s="64">
        <f>IF(ISNUMBER('Übung 19'!AC$8),'Übung 19'!AC$8,0)</f>
        <v/>
      </c>
      <c r="V44" s="64">
        <f>IF(ISNUMBER('Übung 20'!AC$8),'Übung 20'!AC$8,0)</f>
        <v/>
      </c>
    </row>
    <row r="45">
      <c r="A45" s="62">
        <f>IF('Stammdaten'!$G31="aktiv",1,0)</f>
        <v/>
      </c>
      <c r="B45" s="172">
        <f>IF('Stammdaten'!$E31="",0,'Stammdaten'!$E31)</f>
        <v/>
      </c>
      <c r="C45" s="64">
        <f>IF(ISNUMBER('Übung 01'!AE$8),'Übung 01'!AE$8,0)</f>
        <v/>
      </c>
      <c r="D45" s="64">
        <f>IF(ISNUMBER('Übung 02'!AE$8),'Übung 02'!AE$8,0)</f>
        <v/>
      </c>
      <c r="E45" s="64">
        <f>IF(ISNUMBER('Übung 03'!AE$8),'Übung 03'!AE$8,0)</f>
        <v/>
      </c>
      <c r="F45" s="64">
        <f>IF(ISNUMBER('Übung 04'!AE$8),'Übung 04'!AE$8,0)</f>
        <v/>
      </c>
      <c r="G45" s="64">
        <f>IF(ISNUMBER('Übung 05'!AE$8),'Übung 05'!AE$8,0)</f>
        <v/>
      </c>
      <c r="H45" s="64">
        <f>IF(ISNUMBER('Übung 06'!AE$8),'Übung 06'!AE$8,0)</f>
        <v/>
      </c>
      <c r="I45" s="64">
        <f>IF(ISNUMBER('Übung 07'!AE$8),'Übung 07'!AE$8,0)</f>
        <v/>
      </c>
      <c r="J45" s="64">
        <f>IF(ISNUMBER('Übung 08'!AE$8),'Übung 08'!AE$8,0)</f>
        <v/>
      </c>
      <c r="K45" s="64">
        <f>IF(ISNUMBER('Übung 09'!AE$8),'Übung 09'!AE$8,0)</f>
        <v/>
      </c>
      <c r="L45" s="64">
        <f>IF(ISNUMBER('Übung 10'!AE$8),'Übung 10'!AE$8,0)</f>
        <v/>
      </c>
      <c r="M45" s="64">
        <f>IF(ISNUMBER('Übung 11'!AE$8),'Übung 11'!AE$8,0)</f>
        <v/>
      </c>
      <c r="N45" s="64">
        <f>IF(ISNUMBER('Übung 12'!AE$8),'Übung 12'!AE$8,0)</f>
        <v/>
      </c>
      <c r="O45" s="64">
        <f>IF(ISNUMBER('Übung 13'!AE$8),'Übung 13'!AE$8,0)</f>
        <v/>
      </c>
      <c r="P45" s="64">
        <f>IF(ISNUMBER('Übung 14'!AE$8),'Übung 14'!AE$8,0)</f>
        <v/>
      </c>
      <c r="Q45" s="64">
        <f>IF(ISNUMBER('Übung 15'!AE$8),'Übung 15'!AE$8,0)</f>
        <v/>
      </c>
      <c r="R45" s="64">
        <f>IF(ISNUMBER('Übung 16'!AE$8),'Übung 16'!AE$8,0)</f>
        <v/>
      </c>
      <c r="S45" s="64">
        <f>IF(ISNUMBER('Übung 17'!AE$8),'Übung 17'!AE$8,0)</f>
        <v/>
      </c>
      <c r="T45" s="64">
        <f>IF(ISNUMBER('Übung 18'!AE$8),'Übung 18'!AE$8,0)</f>
        <v/>
      </c>
      <c r="U45" s="64">
        <f>IF(ISNUMBER('Übung 19'!AE$8),'Übung 19'!AE$8,0)</f>
        <v/>
      </c>
      <c r="V45" s="64">
        <f>IF(ISNUMBER('Übung 20'!AE$8),'Übung 20'!AE$8,0)</f>
        <v/>
      </c>
    </row>
    <row r="46">
      <c r="A46" s="62">
        <f>IF('Stammdaten'!$G32="aktiv",1,0)</f>
        <v/>
      </c>
      <c r="B46" s="172">
        <f>IF('Stammdaten'!$E32="",0,'Stammdaten'!$E32)</f>
        <v/>
      </c>
      <c r="C46" s="64">
        <f>IF(ISNUMBER('Übung 01'!AF$8),'Übung 01'!AF$8,0)</f>
        <v/>
      </c>
      <c r="D46" s="64">
        <f>IF(ISNUMBER('Übung 02'!AF$8),'Übung 02'!AF$8,0)</f>
        <v/>
      </c>
      <c r="E46" s="64">
        <f>IF(ISNUMBER('Übung 03'!AF$8),'Übung 03'!AF$8,0)</f>
        <v/>
      </c>
      <c r="F46" s="64">
        <f>IF(ISNUMBER('Übung 04'!AF$8),'Übung 04'!AF$8,0)</f>
        <v/>
      </c>
      <c r="G46" s="64">
        <f>IF(ISNUMBER('Übung 05'!AF$8),'Übung 05'!AF$8,0)</f>
        <v/>
      </c>
      <c r="H46" s="64">
        <f>IF(ISNUMBER('Übung 06'!AF$8),'Übung 06'!AF$8,0)</f>
        <v/>
      </c>
      <c r="I46" s="64">
        <f>IF(ISNUMBER('Übung 07'!AF$8),'Übung 07'!AF$8,0)</f>
        <v/>
      </c>
      <c r="J46" s="64">
        <f>IF(ISNUMBER('Übung 08'!AF$8),'Übung 08'!AF$8,0)</f>
        <v/>
      </c>
      <c r="K46" s="64">
        <f>IF(ISNUMBER('Übung 09'!AF$8),'Übung 09'!AF$8,0)</f>
        <v/>
      </c>
      <c r="L46" s="64">
        <f>IF(ISNUMBER('Übung 10'!AF$8),'Übung 10'!AF$8,0)</f>
        <v/>
      </c>
      <c r="M46" s="64">
        <f>IF(ISNUMBER('Übung 11'!AF$8),'Übung 11'!AF$8,0)</f>
        <v/>
      </c>
      <c r="N46" s="64">
        <f>IF(ISNUMBER('Übung 12'!AF$8),'Übung 12'!AF$8,0)</f>
        <v/>
      </c>
      <c r="O46" s="64">
        <f>IF(ISNUMBER('Übung 13'!AF$8),'Übung 13'!AF$8,0)</f>
        <v/>
      </c>
      <c r="P46" s="64">
        <f>IF(ISNUMBER('Übung 14'!AF$8),'Übung 14'!AF$8,0)</f>
        <v/>
      </c>
      <c r="Q46" s="64">
        <f>IF(ISNUMBER('Übung 15'!AF$8),'Übung 15'!AF$8,0)</f>
        <v/>
      </c>
      <c r="R46" s="64">
        <f>IF(ISNUMBER('Übung 16'!AF$8),'Übung 16'!AF$8,0)</f>
        <v/>
      </c>
      <c r="S46" s="64">
        <f>IF(ISNUMBER('Übung 17'!AF$8),'Übung 17'!AF$8,0)</f>
        <v/>
      </c>
      <c r="T46" s="64">
        <f>IF(ISNUMBER('Übung 18'!AF$8),'Übung 18'!AF$8,0)</f>
        <v/>
      </c>
      <c r="U46" s="64">
        <f>IF(ISNUMBER('Übung 19'!AF$8),'Übung 19'!AF$8,0)</f>
        <v/>
      </c>
      <c r="V46" s="64">
        <f>IF(ISNUMBER('Übung 20'!AF$8),'Übung 20'!AF$8,0)</f>
        <v/>
      </c>
    </row>
    <row r="47">
      <c r="A47" s="62">
        <f>IF('Stammdaten'!$G33="aktiv",1,0)</f>
        <v/>
      </c>
      <c r="B47" s="172">
        <f>IF('Stammdaten'!$E33="",0,'Stammdaten'!$E33)</f>
        <v/>
      </c>
      <c r="C47" s="64">
        <f>IF(ISNUMBER('Übung 01'!AG$8),'Übung 01'!AG$8,0)</f>
        <v/>
      </c>
      <c r="D47" s="64">
        <f>IF(ISNUMBER('Übung 02'!AG$8),'Übung 02'!AG$8,0)</f>
        <v/>
      </c>
      <c r="E47" s="64">
        <f>IF(ISNUMBER('Übung 03'!AG$8),'Übung 03'!AG$8,0)</f>
        <v/>
      </c>
      <c r="F47" s="64">
        <f>IF(ISNUMBER('Übung 04'!AG$8),'Übung 04'!AG$8,0)</f>
        <v/>
      </c>
      <c r="G47" s="64">
        <f>IF(ISNUMBER('Übung 05'!AG$8),'Übung 05'!AG$8,0)</f>
        <v/>
      </c>
      <c r="H47" s="64">
        <f>IF(ISNUMBER('Übung 06'!AG$8),'Übung 06'!AG$8,0)</f>
        <v/>
      </c>
      <c r="I47" s="64">
        <f>IF(ISNUMBER('Übung 07'!AG$8),'Übung 07'!AG$8,0)</f>
        <v/>
      </c>
      <c r="J47" s="64">
        <f>IF(ISNUMBER('Übung 08'!AG$8),'Übung 08'!AG$8,0)</f>
        <v/>
      </c>
      <c r="K47" s="64">
        <f>IF(ISNUMBER('Übung 09'!AG$8),'Übung 09'!AG$8,0)</f>
        <v/>
      </c>
      <c r="L47" s="64">
        <f>IF(ISNUMBER('Übung 10'!AG$8),'Übung 10'!AG$8,0)</f>
        <v/>
      </c>
      <c r="M47" s="64">
        <f>IF(ISNUMBER('Übung 11'!AG$8),'Übung 11'!AG$8,0)</f>
        <v/>
      </c>
      <c r="N47" s="64">
        <f>IF(ISNUMBER('Übung 12'!AG$8),'Übung 12'!AG$8,0)</f>
        <v/>
      </c>
      <c r="O47" s="64">
        <f>IF(ISNUMBER('Übung 13'!AG$8),'Übung 13'!AG$8,0)</f>
        <v/>
      </c>
      <c r="P47" s="64">
        <f>IF(ISNUMBER('Übung 14'!AG$8),'Übung 14'!AG$8,0)</f>
        <v/>
      </c>
      <c r="Q47" s="64">
        <f>IF(ISNUMBER('Übung 15'!AG$8),'Übung 15'!AG$8,0)</f>
        <v/>
      </c>
      <c r="R47" s="64">
        <f>IF(ISNUMBER('Übung 16'!AG$8),'Übung 16'!AG$8,0)</f>
        <v/>
      </c>
      <c r="S47" s="64">
        <f>IF(ISNUMBER('Übung 17'!AG$8),'Übung 17'!AG$8,0)</f>
        <v/>
      </c>
      <c r="T47" s="64">
        <f>IF(ISNUMBER('Übung 18'!AG$8),'Übung 18'!AG$8,0)</f>
        <v/>
      </c>
      <c r="U47" s="64">
        <f>IF(ISNUMBER('Übung 19'!AG$8),'Übung 19'!AG$8,0)</f>
        <v/>
      </c>
      <c r="V47" s="64">
        <f>IF(ISNUMBER('Übung 20'!AG$8),'Übung 20'!AG$8,0)</f>
        <v/>
      </c>
    </row>
    <row r="48">
      <c r="A48" s="62">
        <f>IF('Stammdaten'!$G34="aktiv",1,0)</f>
        <v/>
      </c>
      <c r="B48" s="172">
        <f>IF('Stammdaten'!$E34="",0,'Stammdaten'!$E34)</f>
        <v/>
      </c>
      <c r="C48" s="64">
        <f>IF(ISNUMBER('Übung 01'!AH$8),'Übung 01'!AH$8,0)</f>
        <v/>
      </c>
      <c r="D48" s="64">
        <f>IF(ISNUMBER('Übung 02'!AH$8),'Übung 02'!AH$8,0)</f>
        <v/>
      </c>
      <c r="E48" s="64">
        <f>IF(ISNUMBER('Übung 03'!AH$8),'Übung 03'!AH$8,0)</f>
        <v/>
      </c>
      <c r="F48" s="64">
        <f>IF(ISNUMBER('Übung 04'!AH$8),'Übung 04'!AH$8,0)</f>
        <v/>
      </c>
      <c r="G48" s="64">
        <f>IF(ISNUMBER('Übung 05'!AH$8),'Übung 05'!AH$8,0)</f>
        <v/>
      </c>
      <c r="H48" s="64">
        <f>IF(ISNUMBER('Übung 06'!AH$8),'Übung 06'!AH$8,0)</f>
        <v/>
      </c>
      <c r="I48" s="64">
        <f>IF(ISNUMBER('Übung 07'!AH$8),'Übung 07'!AH$8,0)</f>
        <v/>
      </c>
      <c r="J48" s="64">
        <f>IF(ISNUMBER('Übung 08'!AH$8),'Übung 08'!AH$8,0)</f>
        <v/>
      </c>
      <c r="K48" s="64">
        <f>IF(ISNUMBER('Übung 09'!AH$8),'Übung 09'!AH$8,0)</f>
        <v/>
      </c>
      <c r="L48" s="64">
        <f>IF(ISNUMBER('Übung 10'!AH$8),'Übung 10'!AH$8,0)</f>
        <v/>
      </c>
      <c r="M48" s="64">
        <f>IF(ISNUMBER('Übung 11'!AH$8),'Übung 11'!AH$8,0)</f>
        <v/>
      </c>
      <c r="N48" s="64">
        <f>IF(ISNUMBER('Übung 12'!AH$8),'Übung 12'!AH$8,0)</f>
        <v/>
      </c>
      <c r="O48" s="64">
        <f>IF(ISNUMBER('Übung 13'!AH$8),'Übung 13'!AH$8,0)</f>
        <v/>
      </c>
      <c r="P48" s="64">
        <f>IF(ISNUMBER('Übung 14'!AH$8),'Übung 14'!AH$8,0)</f>
        <v/>
      </c>
      <c r="Q48" s="64">
        <f>IF(ISNUMBER('Übung 15'!AH$8),'Übung 15'!AH$8,0)</f>
        <v/>
      </c>
      <c r="R48" s="64">
        <f>IF(ISNUMBER('Übung 16'!AH$8),'Übung 16'!AH$8,0)</f>
        <v/>
      </c>
      <c r="S48" s="64">
        <f>IF(ISNUMBER('Übung 17'!AH$8),'Übung 17'!AH$8,0)</f>
        <v/>
      </c>
      <c r="T48" s="64">
        <f>IF(ISNUMBER('Übung 18'!AH$8),'Übung 18'!AH$8,0)</f>
        <v/>
      </c>
      <c r="U48" s="64">
        <f>IF(ISNUMBER('Übung 19'!AH$8),'Übung 19'!AH$8,0)</f>
        <v/>
      </c>
      <c r="V48" s="64">
        <f>IF(ISNUMBER('Übung 20'!AH$8),'Übung 20'!AH$8,0)</f>
        <v/>
      </c>
    </row>
    <row r="49">
      <c r="A49" s="62">
        <f>IF('Stammdaten'!$G35="aktiv",1,0)</f>
        <v/>
      </c>
      <c r="B49" s="172">
        <f>IF('Stammdaten'!$E35="",0,'Stammdaten'!$E35)</f>
        <v/>
      </c>
      <c r="C49" s="64">
        <f>IF(ISNUMBER('Übung 01'!AI$8),'Übung 01'!AI$8,0)</f>
        <v/>
      </c>
      <c r="D49" s="64">
        <f>IF(ISNUMBER('Übung 02'!AI$8),'Übung 02'!AI$8,0)</f>
        <v/>
      </c>
      <c r="E49" s="64">
        <f>IF(ISNUMBER('Übung 03'!AI$8),'Übung 03'!AI$8,0)</f>
        <v/>
      </c>
      <c r="F49" s="64">
        <f>IF(ISNUMBER('Übung 04'!AI$8),'Übung 04'!AI$8,0)</f>
        <v/>
      </c>
      <c r="G49" s="64">
        <f>IF(ISNUMBER('Übung 05'!AI$8),'Übung 05'!AI$8,0)</f>
        <v/>
      </c>
      <c r="H49" s="64">
        <f>IF(ISNUMBER('Übung 06'!AI$8),'Übung 06'!AI$8,0)</f>
        <v/>
      </c>
      <c r="I49" s="64">
        <f>IF(ISNUMBER('Übung 07'!AI$8),'Übung 07'!AI$8,0)</f>
        <v/>
      </c>
      <c r="J49" s="64">
        <f>IF(ISNUMBER('Übung 08'!AI$8),'Übung 08'!AI$8,0)</f>
        <v/>
      </c>
      <c r="K49" s="64">
        <f>IF(ISNUMBER('Übung 09'!AI$8),'Übung 09'!AI$8,0)</f>
        <v/>
      </c>
      <c r="L49" s="64">
        <f>IF(ISNUMBER('Übung 10'!AI$8),'Übung 10'!AI$8,0)</f>
        <v/>
      </c>
      <c r="M49" s="64">
        <f>IF(ISNUMBER('Übung 11'!AI$8),'Übung 11'!AI$8,0)</f>
        <v/>
      </c>
      <c r="N49" s="64">
        <f>IF(ISNUMBER('Übung 12'!AI$8),'Übung 12'!AI$8,0)</f>
        <v/>
      </c>
      <c r="O49" s="64">
        <f>IF(ISNUMBER('Übung 13'!AI$8),'Übung 13'!AI$8,0)</f>
        <v/>
      </c>
      <c r="P49" s="64">
        <f>IF(ISNUMBER('Übung 14'!AI$8),'Übung 14'!AI$8,0)</f>
        <v/>
      </c>
      <c r="Q49" s="64">
        <f>IF(ISNUMBER('Übung 15'!AI$8),'Übung 15'!AI$8,0)</f>
        <v/>
      </c>
      <c r="R49" s="64">
        <f>IF(ISNUMBER('Übung 16'!AI$8),'Übung 16'!AI$8,0)</f>
        <v/>
      </c>
      <c r="S49" s="64">
        <f>IF(ISNUMBER('Übung 17'!AI$8),'Übung 17'!AI$8,0)</f>
        <v/>
      </c>
      <c r="T49" s="64">
        <f>IF(ISNUMBER('Übung 18'!AI$8),'Übung 18'!AI$8,0)</f>
        <v/>
      </c>
      <c r="U49" s="64">
        <f>IF(ISNUMBER('Übung 19'!AI$8),'Übung 19'!AI$8,0)</f>
        <v/>
      </c>
      <c r="V49" s="64">
        <f>IF(ISNUMBER('Übung 20'!AI$8),'Übung 20'!AI$8,0)</f>
        <v/>
      </c>
    </row>
    <row r="50">
      <c r="A50" s="62">
        <f>IF('Stammdaten'!$G36="aktiv",1,0)</f>
        <v/>
      </c>
      <c r="B50" s="172">
        <f>IF('Stammdaten'!$E36="",0,'Stammdaten'!$E36)</f>
        <v/>
      </c>
      <c r="C50" s="64">
        <f>IF(ISNUMBER('Übung 01'!AJ$8),'Übung 01'!AJ$8,0)</f>
        <v/>
      </c>
      <c r="D50" s="64">
        <f>IF(ISNUMBER('Übung 02'!AJ$8),'Übung 02'!AJ$8,0)</f>
        <v/>
      </c>
      <c r="E50" s="64">
        <f>IF(ISNUMBER('Übung 03'!AJ$8),'Übung 03'!AJ$8,0)</f>
        <v/>
      </c>
      <c r="F50" s="64">
        <f>IF(ISNUMBER('Übung 04'!AJ$8),'Übung 04'!AJ$8,0)</f>
        <v/>
      </c>
      <c r="G50" s="64">
        <f>IF(ISNUMBER('Übung 05'!AJ$8),'Übung 05'!AJ$8,0)</f>
        <v/>
      </c>
      <c r="H50" s="64">
        <f>IF(ISNUMBER('Übung 06'!AJ$8),'Übung 06'!AJ$8,0)</f>
        <v/>
      </c>
      <c r="I50" s="64">
        <f>IF(ISNUMBER('Übung 07'!AJ$8),'Übung 07'!AJ$8,0)</f>
        <v/>
      </c>
      <c r="J50" s="64">
        <f>IF(ISNUMBER('Übung 08'!AJ$8),'Übung 08'!AJ$8,0)</f>
        <v/>
      </c>
      <c r="K50" s="64">
        <f>IF(ISNUMBER('Übung 09'!AJ$8),'Übung 09'!AJ$8,0)</f>
        <v/>
      </c>
      <c r="L50" s="64">
        <f>IF(ISNUMBER('Übung 10'!AJ$8),'Übung 10'!AJ$8,0)</f>
        <v/>
      </c>
      <c r="M50" s="64">
        <f>IF(ISNUMBER('Übung 11'!AJ$8),'Übung 11'!AJ$8,0)</f>
        <v/>
      </c>
      <c r="N50" s="64">
        <f>IF(ISNUMBER('Übung 12'!AJ$8),'Übung 12'!AJ$8,0)</f>
        <v/>
      </c>
      <c r="O50" s="64">
        <f>IF(ISNUMBER('Übung 13'!AJ$8),'Übung 13'!AJ$8,0)</f>
        <v/>
      </c>
      <c r="P50" s="64">
        <f>IF(ISNUMBER('Übung 14'!AJ$8),'Übung 14'!AJ$8,0)</f>
        <v/>
      </c>
      <c r="Q50" s="64">
        <f>IF(ISNUMBER('Übung 15'!AJ$8),'Übung 15'!AJ$8,0)</f>
        <v/>
      </c>
      <c r="R50" s="64">
        <f>IF(ISNUMBER('Übung 16'!AJ$8),'Übung 16'!AJ$8,0)</f>
        <v/>
      </c>
      <c r="S50" s="64">
        <f>IF(ISNUMBER('Übung 17'!AJ$8),'Übung 17'!AJ$8,0)</f>
        <v/>
      </c>
      <c r="T50" s="64">
        <f>IF(ISNUMBER('Übung 18'!AJ$8),'Übung 18'!AJ$8,0)</f>
        <v/>
      </c>
      <c r="U50" s="64">
        <f>IF(ISNUMBER('Übung 19'!AJ$8),'Übung 19'!AJ$8,0)</f>
        <v/>
      </c>
      <c r="V50" s="64">
        <f>IF(ISNUMBER('Übung 20'!AJ$8),'Übung 20'!AJ$8,0)</f>
        <v/>
      </c>
    </row>
    <row r="51">
      <c r="A51" s="62">
        <f>IF('Stammdaten'!$G37="aktiv",1,0)</f>
        <v/>
      </c>
      <c r="B51" s="172">
        <f>IF('Stammdaten'!$E37="",0,'Stammdaten'!$E37)</f>
        <v/>
      </c>
      <c r="C51" s="64">
        <f>IF(ISNUMBER('Übung 01'!AK$8),'Übung 01'!AK$8,0)</f>
        <v/>
      </c>
      <c r="D51" s="64">
        <f>IF(ISNUMBER('Übung 02'!AK$8),'Übung 02'!AK$8,0)</f>
        <v/>
      </c>
      <c r="E51" s="64">
        <f>IF(ISNUMBER('Übung 03'!AK$8),'Übung 03'!AK$8,0)</f>
        <v/>
      </c>
      <c r="F51" s="64">
        <f>IF(ISNUMBER('Übung 04'!AK$8),'Übung 04'!AK$8,0)</f>
        <v/>
      </c>
      <c r="G51" s="64">
        <f>IF(ISNUMBER('Übung 05'!AK$8),'Übung 05'!AK$8,0)</f>
        <v/>
      </c>
      <c r="H51" s="64">
        <f>IF(ISNUMBER('Übung 06'!AK$8),'Übung 06'!AK$8,0)</f>
        <v/>
      </c>
      <c r="I51" s="64">
        <f>IF(ISNUMBER('Übung 07'!AK$8),'Übung 07'!AK$8,0)</f>
        <v/>
      </c>
      <c r="J51" s="64">
        <f>IF(ISNUMBER('Übung 08'!AK$8),'Übung 08'!AK$8,0)</f>
        <v/>
      </c>
      <c r="K51" s="64">
        <f>IF(ISNUMBER('Übung 09'!AK$8),'Übung 09'!AK$8,0)</f>
        <v/>
      </c>
      <c r="L51" s="64">
        <f>IF(ISNUMBER('Übung 10'!AK$8),'Übung 10'!AK$8,0)</f>
        <v/>
      </c>
      <c r="M51" s="64">
        <f>IF(ISNUMBER('Übung 11'!AK$8),'Übung 11'!AK$8,0)</f>
        <v/>
      </c>
      <c r="N51" s="64">
        <f>IF(ISNUMBER('Übung 12'!AK$8),'Übung 12'!AK$8,0)</f>
        <v/>
      </c>
      <c r="O51" s="64">
        <f>IF(ISNUMBER('Übung 13'!AK$8),'Übung 13'!AK$8,0)</f>
        <v/>
      </c>
      <c r="P51" s="64">
        <f>IF(ISNUMBER('Übung 14'!AK$8),'Übung 14'!AK$8,0)</f>
        <v/>
      </c>
      <c r="Q51" s="64">
        <f>IF(ISNUMBER('Übung 15'!AK$8),'Übung 15'!AK$8,0)</f>
        <v/>
      </c>
      <c r="R51" s="64">
        <f>IF(ISNUMBER('Übung 16'!AK$8),'Übung 16'!AK$8,0)</f>
        <v/>
      </c>
      <c r="S51" s="64">
        <f>IF(ISNUMBER('Übung 17'!AK$8),'Übung 17'!AK$8,0)</f>
        <v/>
      </c>
      <c r="T51" s="64">
        <f>IF(ISNUMBER('Übung 18'!AK$8),'Übung 18'!AK$8,0)</f>
        <v/>
      </c>
      <c r="U51" s="64">
        <f>IF(ISNUMBER('Übung 19'!AK$8),'Übung 19'!AK$8,0)</f>
        <v/>
      </c>
      <c r="V51" s="64">
        <f>IF(ISNUMBER('Übung 20'!AK$8),'Übung 20'!AK$8,0)</f>
        <v/>
      </c>
    </row>
    <row r="52">
      <c r="A52" s="62">
        <f>IF('Stammdaten'!$G38="aktiv",1,0)</f>
        <v/>
      </c>
      <c r="B52" s="172">
        <f>IF('Stammdaten'!$E38="",0,'Stammdaten'!$E38)</f>
        <v/>
      </c>
      <c r="C52" s="64">
        <f>IF(ISNUMBER('Übung 01'!AL$8),'Übung 01'!AL$8,0)</f>
        <v/>
      </c>
      <c r="D52" s="64">
        <f>IF(ISNUMBER('Übung 02'!AL$8),'Übung 02'!AL$8,0)</f>
        <v/>
      </c>
      <c r="E52" s="64">
        <f>IF(ISNUMBER('Übung 03'!AL$8),'Übung 03'!AL$8,0)</f>
        <v/>
      </c>
      <c r="F52" s="64">
        <f>IF(ISNUMBER('Übung 04'!AL$8),'Übung 04'!AL$8,0)</f>
        <v/>
      </c>
      <c r="G52" s="64">
        <f>IF(ISNUMBER('Übung 05'!AL$8),'Übung 05'!AL$8,0)</f>
        <v/>
      </c>
      <c r="H52" s="64">
        <f>IF(ISNUMBER('Übung 06'!AL$8),'Übung 06'!AL$8,0)</f>
        <v/>
      </c>
      <c r="I52" s="64">
        <f>IF(ISNUMBER('Übung 07'!AL$8),'Übung 07'!AL$8,0)</f>
        <v/>
      </c>
      <c r="J52" s="64">
        <f>IF(ISNUMBER('Übung 08'!AL$8),'Übung 08'!AL$8,0)</f>
        <v/>
      </c>
      <c r="K52" s="64">
        <f>IF(ISNUMBER('Übung 09'!AL$8),'Übung 09'!AL$8,0)</f>
        <v/>
      </c>
      <c r="L52" s="64">
        <f>IF(ISNUMBER('Übung 10'!AL$8),'Übung 10'!AL$8,0)</f>
        <v/>
      </c>
      <c r="M52" s="64">
        <f>IF(ISNUMBER('Übung 11'!AL$8),'Übung 11'!AL$8,0)</f>
        <v/>
      </c>
      <c r="N52" s="64">
        <f>IF(ISNUMBER('Übung 12'!AL$8),'Übung 12'!AL$8,0)</f>
        <v/>
      </c>
      <c r="O52" s="64">
        <f>IF(ISNUMBER('Übung 13'!AL$8),'Übung 13'!AL$8,0)</f>
        <v/>
      </c>
      <c r="P52" s="64">
        <f>IF(ISNUMBER('Übung 14'!AL$8),'Übung 14'!AL$8,0)</f>
        <v/>
      </c>
      <c r="Q52" s="64">
        <f>IF(ISNUMBER('Übung 15'!AL$8),'Übung 15'!AL$8,0)</f>
        <v/>
      </c>
      <c r="R52" s="64">
        <f>IF(ISNUMBER('Übung 16'!AL$8),'Übung 16'!AL$8,0)</f>
        <v/>
      </c>
      <c r="S52" s="64">
        <f>IF(ISNUMBER('Übung 17'!AL$8),'Übung 17'!AL$8,0)</f>
        <v/>
      </c>
      <c r="T52" s="64">
        <f>IF(ISNUMBER('Übung 18'!AL$8),'Übung 18'!AL$8,0)</f>
        <v/>
      </c>
      <c r="U52" s="64">
        <f>IF(ISNUMBER('Übung 19'!AL$8),'Übung 19'!AL$8,0)</f>
        <v/>
      </c>
      <c r="V52" s="64">
        <f>IF(ISNUMBER('Übung 20'!AL$8),'Übung 20'!AL$8,0)</f>
        <v/>
      </c>
    </row>
    <row r="53">
      <c r="A53" s="62">
        <f>IF('Stammdaten'!$G39="aktiv",1,0)</f>
        <v/>
      </c>
      <c r="B53" s="172">
        <f>IF('Stammdaten'!$E39="",0,'Stammdaten'!$E39)</f>
        <v/>
      </c>
      <c r="C53" s="64">
        <f>IF(ISNUMBER('Übung 01'!AM$8),'Übung 01'!AM$8,0)</f>
        <v/>
      </c>
      <c r="D53" s="64">
        <f>IF(ISNUMBER('Übung 02'!AM$8),'Übung 02'!AM$8,0)</f>
        <v/>
      </c>
      <c r="E53" s="64">
        <f>IF(ISNUMBER('Übung 03'!AM$8),'Übung 03'!AM$8,0)</f>
        <v/>
      </c>
      <c r="F53" s="64">
        <f>IF(ISNUMBER('Übung 04'!AM$8),'Übung 04'!AM$8,0)</f>
        <v/>
      </c>
      <c r="G53" s="64">
        <f>IF(ISNUMBER('Übung 05'!AM$8),'Übung 05'!AM$8,0)</f>
        <v/>
      </c>
      <c r="H53" s="64">
        <f>IF(ISNUMBER('Übung 06'!AM$8),'Übung 06'!AM$8,0)</f>
        <v/>
      </c>
      <c r="I53" s="64">
        <f>IF(ISNUMBER('Übung 07'!AM$8),'Übung 07'!AM$8,0)</f>
        <v/>
      </c>
      <c r="J53" s="64">
        <f>IF(ISNUMBER('Übung 08'!AM$8),'Übung 08'!AM$8,0)</f>
        <v/>
      </c>
      <c r="K53" s="64">
        <f>IF(ISNUMBER('Übung 09'!AM$8),'Übung 09'!AM$8,0)</f>
        <v/>
      </c>
      <c r="L53" s="64">
        <f>IF(ISNUMBER('Übung 10'!AM$8),'Übung 10'!AM$8,0)</f>
        <v/>
      </c>
      <c r="M53" s="64">
        <f>IF(ISNUMBER('Übung 11'!AM$8),'Übung 11'!AM$8,0)</f>
        <v/>
      </c>
      <c r="N53" s="64">
        <f>IF(ISNUMBER('Übung 12'!AM$8),'Übung 12'!AM$8,0)</f>
        <v/>
      </c>
      <c r="O53" s="64">
        <f>IF(ISNUMBER('Übung 13'!AM$8),'Übung 13'!AM$8,0)</f>
        <v/>
      </c>
      <c r="P53" s="64">
        <f>IF(ISNUMBER('Übung 14'!AM$8),'Übung 14'!AM$8,0)</f>
        <v/>
      </c>
      <c r="Q53" s="64">
        <f>IF(ISNUMBER('Übung 15'!AM$8),'Übung 15'!AM$8,0)</f>
        <v/>
      </c>
      <c r="R53" s="64">
        <f>IF(ISNUMBER('Übung 16'!AM$8),'Übung 16'!AM$8,0)</f>
        <v/>
      </c>
      <c r="S53" s="64">
        <f>IF(ISNUMBER('Übung 17'!AM$8),'Übung 17'!AM$8,0)</f>
        <v/>
      </c>
      <c r="T53" s="64">
        <f>IF(ISNUMBER('Übung 18'!AM$8),'Übung 18'!AM$8,0)</f>
        <v/>
      </c>
      <c r="U53" s="64">
        <f>IF(ISNUMBER('Übung 19'!AM$8),'Übung 19'!AM$8,0)</f>
        <v/>
      </c>
      <c r="V53" s="64">
        <f>IF(ISNUMBER('Übung 20'!AM$8),'Übung 20'!AM$8,0)</f>
        <v/>
      </c>
    </row>
    <row r="54">
      <c r="A54" s="62">
        <f>IF('Stammdaten'!$G40="aktiv",1,0)</f>
        <v/>
      </c>
      <c r="B54" s="172">
        <f>IF('Stammdaten'!$E40="",0,'Stammdaten'!$E40)</f>
        <v/>
      </c>
      <c r="C54" s="64">
        <f>IF(ISNUMBER('Übung 01'!AN$8),'Übung 01'!AN$8,0)</f>
        <v/>
      </c>
      <c r="D54" s="64">
        <f>IF(ISNUMBER('Übung 02'!AN$8),'Übung 02'!AN$8,0)</f>
        <v/>
      </c>
      <c r="E54" s="64">
        <f>IF(ISNUMBER('Übung 03'!AN$8),'Übung 03'!AN$8,0)</f>
        <v/>
      </c>
      <c r="F54" s="64">
        <f>IF(ISNUMBER('Übung 04'!AN$8),'Übung 04'!AN$8,0)</f>
        <v/>
      </c>
      <c r="G54" s="64">
        <f>IF(ISNUMBER('Übung 05'!AN$8),'Übung 05'!AN$8,0)</f>
        <v/>
      </c>
      <c r="H54" s="64">
        <f>IF(ISNUMBER('Übung 06'!AN$8),'Übung 06'!AN$8,0)</f>
        <v/>
      </c>
      <c r="I54" s="64">
        <f>IF(ISNUMBER('Übung 07'!AN$8),'Übung 07'!AN$8,0)</f>
        <v/>
      </c>
      <c r="J54" s="64">
        <f>IF(ISNUMBER('Übung 08'!AN$8),'Übung 08'!AN$8,0)</f>
        <v/>
      </c>
      <c r="K54" s="64">
        <f>IF(ISNUMBER('Übung 09'!AN$8),'Übung 09'!AN$8,0)</f>
        <v/>
      </c>
      <c r="L54" s="64">
        <f>IF(ISNUMBER('Übung 10'!AN$8),'Übung 10'!AN$8,0)</f>
        <v/>
      </c>
      <c r="M54" s="64">
        <f>IF(ISNUMBER('Übung 11'!AN$8),'Übung 11'!AN$8,0)</f>
        <v/>
      </c>
      <c r="N54" s="64">
        <f>IF(ISNUMBER('Übung 12'!AN$8),'Übung 12'!AN$8,0)</f>
        <v/>
      </c>
      <c r="O54" s="64">
        <f>IF(ISNUMBER('Übung 13'!AN$8),'Übung 13'!AN$8,0)</f>
        <v/>
      </c>
      <c r="P54" s="64">
        <f>IF(ISNUMBER('Übung 14'!AN$8),'Übung 14'!AN$8,0)</f>
        <v/>
      </c>
      <c r="Q54" s="64">
        <f>IF(ISNUMBER('Übung 15'!AN$8),'Übung 15'!AN$8,0)</f>
        <v/>
      </c>
      <c r="R54" s="64">
        <f>IF(ISNUMBER('Übung 16'!AN$8),'Übung 16'!AN$8,0)</f>
        <v/>
      </c>
      <c r="S54" s="64">
        <f>IF(ISNUMBER('Übung 17'!AN$8),'Übung 17'!AN$8,0)</f>
        <v/>
      </c>
      <c r="T54" s="64">
        <f>IF(ISNUMBER('Übung 18'!AN$8),'Übung 18'!AN$8,0)</f>
        <v/>
      </c>
      <c r="U54" s="64">
        <f>IF(ISNUMBER('Übung 19'!AN$8),'Übung 19'!AN$8,0)</f>
        <v/>
      </c>
      <c r="V54" s="64">
        <f>IF(ISNUMBER('Übung 20'!AN$8),'Übung 20'!AN$8,0)</f>
        <v/>
      </c>
    </row>
    <row r="55">
      <c r="A55" s="62">
        <f>IF('Stammdaten'!$G41="aktiv",1,0)</f>
        <v/>
      </c>
      <c r="B55" s="172">
        <f>IF('Stammdaten'!$E41="",0,'Stammdaten'!$E41)</f>
        <v/>
      </c>
      <c r="C55" s="64">
        <f>IF(ISNUMBER('Übung 01'!AO$8),'Übung 01'!AO$8,0)</f>
        <v/>
      </c>
      <c r="D55" s="64">
        <f>IF(ISNUMBER('Übung 02'!AO$8),'Übung 02'!AO$8,0)</f>
        <v/>
      </c>
      <c r="E55" s="64">
        <f>IF(ISNUMBER('Übung 03'!AO$8),'Übung 03'!AO$8,0)</f>
        <v/>
      </c>
      <c r="F55" s="64">
        <f>IF(ISNUMBER('Übung 04'!AO$8),'Übung 04'!AO$8,0)</f>
        <v/>
      </c>
      <c r="G55" s="64">
        <f>IF(ISNUMBER('Übung 05'!AO$8),'Übung 05'!AO$8,0)</f>
        <v/>
      </c>
      <c r="H55" s="64">
        <f>IF(ISNUMBER('Übung 06'!AO$8),'Übung 06'!AO$8,0)</f>
        <v/>
      </c>
      <c r="I55" s="64">
        <f>IF(ISNUMBER('Übung 07'!AO$8),'Übung 07'!AO$8,0)</f>
        <v/>
      </c>
      <c r="J55" s="64">
        <f>IF(ISNUMBER('Übung 08'!AO$8),'Übung 08'!AO$8,0)</f>
        <v/>
      </c>
      <c r="K55" s="64">
        <f>IF(ISNUMBER('Übung 09'!AO$8),'Übung 09'!AO$8,0)</f>
        <v/>
      </c>
      <c r="L55" s="64">
        <f>IF(ISNUMBER('Übung 10'!AO$8),'Übung 10'!AO$8,0)</f>
        <v/>
      </c>
      <c r="M55" s="64">
        <f>IF(ISNUMBER('Übung 11'!AO$8),'Übung 11'!AO$8,0)</f>
        <v/>
      </c>
      <c r="N55" s="64">
        <f>IF(ISNUMBER('Übung 12'!AO$8),'Übung 12'!AO$8,0)</f>
        <v/>
      </c>
      <c r="O55" s="64">
        <f>IF(ISNUMBER('Übung 13'!AO$8),'Übung 13'!AO$8,0)</f>
        <v/>
      </c>
      <c r="P55" s="64">
        <f>IF(ISNUMBER('Übung 14'!AO$8),'Übung 14'!AO$8,0)</f>
        <v/>
      </c>
      <c r="Q55" s="64">
        <f>IF(ISNUMBER('Übung 15'!AO$8),'Übung 15'!AO$8,0)</f>
        <v/>
      </c>
      <c r="R55" s="64">
        <f>IF(ISNUMBER('Übung 16'!AO$8),'Übung 16'!AO$8,0)</f>
        <v/>
      </c>
      <c r="S55" s="64">
        <f>IF(ISNUMBER('Übung 17'!AO$8),'Übung 17'!AO$8,0)</f>
        <v/>
      </c>
      <c r="T55" s="64">
        <f>IF(ISNUMBER('Übung 18'!AO$8),'Übung 18'!AO$8,0)</f>
        <v/>
      </c>
      <c r="U55" s="64">
        <f>IF(ISNUMBER('Übung 19'!AO$8),'Übung 19'!AO$8,0)</f>
        <v/>
      </c>
      <c r="V55" s="64">
        <f>IF(ISNUMBER('Übung 20'!AO$8),'Übung 20'!AO$8,0)</f>
        <v/>
      </c>
    </row>
    <row r="56">
      <c r="A56" s="62">
        <f>IF('Stammdaten'!$G42="aktiv",1,0)</f>
        <v/>
      </c>
      <c r="B56" s="172">
        <f>IF('Stammdaten'!$E42="",0,'Stammdaten'!$E42)</f>
        <v/>
      </c>
      <c r="C56" s="64">
        <f>IF(ISNUMBER('Übung 01'!AP$8),'Übung 01'!AP$8,0)</f>
        <v/>
      </c>
      <c r="D56" s="64">
        <f>IF(ISNUMBER('Übung 02'!AP$8),'Übung 02'!AP$8,0)</f>
        <v/>
      </c>
      <c r="E56" s="64">
        <f>IF(ISNUMBER('Übung 03'!AP$8),'Übung 03'!AP$8,0)</f>
        <v/>
      </c>
      <c r="F56" s="64">
        <f>IF(ISNUMBER('Übung 04'!AP$8),'Übung 04'!AP$8,0)</f>
        <v/>
      </c>
      <c r="G56" s="64">
        <f>IF(ISNUMBER('Übung 05'!AP$8),'Übung 05'!AP$8,0)</f>
        <v/>
      </c>
      <c r="H56" s="64">
        <f>IF(ISNUMBER('Übung 06'!AP$8),'Übung 06'!AP$8,0)</f>
        <v/>
      </c>
      <c r="I56" s="64">
        <f>IF(ISNUMBER('Übung 07'!AP$8),'Übung 07'!AP$8,0)</f>
        <v/>
      </c>
      <c r="J56" s="64">
        <f>IF(ISNUMBER('Übung 08'!AP$8),'Übung 08'!AP$8,0)</f>
        <v/>
      </c>
      <c r="K56" s="64">
        <f>IF(ISNUMBER('Übung 09'!AP$8),'Übung 09'!AP$8,0)</f>
        <v/>
      </c>
      <c r="L56" s="64">
        <f>IF(ISNUMBER('Übung 10'!AP$8),'Übung 10'!AP$8,0)</f>
        <v/>
      </c>
      <c r="M56" s="64">
        <f>IF(ISNUMBER('Übung 11'!AP$8),'Übung 11'!AP$8,0)</f>
        <v/>
      </c>
      <c r="N56" s="64">
        <f>IF(ISNUMBER('Übung 12'!AP$8),'Übung 12'!AP$8,0)</f>
        <v/>
      </c>
      <c r="O56" s="64">
        <f>IF(ISNUMBER('Übung 13'!AP$8),'Übung 13'!AP$8,0)</f>
        <v/>
      </c>
      <c r="P56" s="64">
        <f>IF(ISNUMBER('Übung 14'!AP$8),'Übung 14'!AP$8,0)</f>
        <v/>
      </c>
      <c r="Q56" s="64">
        <f>IF(ISNUMBER('Übung 15'!AP$8),'Übung 15'!AP$8,0)</f>
        <v/>
      </c>
      <c r="R56" s="64">
        <f>IF(ISNUMBER('Übung 16'!AP$8),'Übung 16'!AP$8,0)</f>
        <v/>
      </c>
      <c r="S56" s="64">
        <f>IF(ISNUMBER('Übung 17'!AP$8),'Übung 17'!AP$8,0)</f>
        <v/>
      </c>
      <c r="T56" s="64">
        <f>IF(ISNUMBER('Übung 18'!AP$8),'Übung 18'!AP$8,0)</f>
        <v/>
      </c>
      <c r="U56" s="64">
        <f>IF(ISNUMBER('Übung 19'!AP$8),'Übung 19'!AP$8,0)</f>
        <v/>
      </c>
      <c r="V56" s="64">
        <f>IF(ISNUMBER('Übung 20'!AP$8),'Übung 20'!AP$8,0)</f>
        <v/>
      </c>
    </row>
    <row r="57">
      <c r="A57" s="62">
        <f>IF('Stammdaten'!$G43="aktiv",1,0)</f>
        <v/>
      </c>
      <c r="B57" s="172">
        <f>IF('Stammdaten'!$E43="",0,'Stammdaten'!$E43)</f>
        <v/>
      </c>
      <c r="C57" s="64">
        <f>IF(ISNUMBER('Übung 01'!AQ$8),'Übung 01'!AQ$8,0)</f>
        <v/>
      </c>
      <c r="D57" s="64">
        <f>IF(ISNUMBER('Übung 02'!AQ$8),'Übung 02'!AQ$8,0)</f>
        <v/>
      </c>
      <c r="E57" s="64">
        <f>IF(ISNUMBER('Übung 03'!AQ$8),'Übung 03'!AQ$8,0)</f>
        <v/>
      </c>
      <c r="F57" s="64">
        <f>IF(ISNUMBER('Übung 04'!AQ$8),'Übung 04'!AQ$8,0)</f>
        <v/>
      </c>
      <c r="G57" s="64">
        <f>IF(ISNUMBER('Übung 05'!AQ$8),'Übung 05'!AQ$8,0)</f>
        <v/>
      </c>
      <c r="H57" s="64">
        <f>IF(ISNUMBER('Übung 06'!AQ$8),'Übung 06'!AQ$8,0)</f>
        <v/>
      </c>
      <c r="I57" s="64">
        <f>IF(ISNUMBER('Übung 07'!AQ$8),'Übung 07'!AQ$8,0)</f>
        <v/>
      </c>
      <c r="J57" s="64">
        <f>IF(ISNUMBER('Übung 08'!AQ$8),'Übung 08'!AQ$8,0)</f>
        <v/>
      </c>
      <c r="K57" s="64">
        <f>IF(ISNUMBER('Übung 09'!AQ$8),'Übung 09'!AQ$8,0)</f>
        <v/>
      </c>
      <c r="L57" s="64">
        <f>IF(ISNUMBER('Übung 10'!AQ$8),'Übung 10'!AQ$8,0)</f>
        <v/>
      </c>
      <c r="M57" s="64">
        <f>IF(ISNUMBER('Übung 11'!AQ$8),'Übung 11'!AQ$8,0)</f>
        <v/>
      </c>
      <c r="N57" s="64">
        <f>IF(ISNUMBER('Übung 12'!AQ$8),'Übung 12'!AQ$8,0)</f>
        <v/>
      </c>
      <c r="O57" s="64">
        <f>IF(ISNUMBER('Übung 13'!AQ$8),'Übung 13'!AQ$8,0)</f>
        <v/>
      </c>
      <c r="P57" s="64">
        <f>IF(ISNUMBER('Übung 14'!AQ$8),'Übung 14'!AQ$8,0)</f>
        <v/>
      </c>
      <c r="Q57" s="64">
        <f>IF(ISNUMBER('Übung 15'!AQ$8),'Übung 15'!AQ$8,0)</f>
        <v/>
      </c>
      <c r="R57" s="64">
        <f>IF(ISNUMBER('Übung 16'!AQ$8),'Übung 16'!AQ$8,0)</f>
        <v/>
      </c>
      <c r="S57" s="64">
        <f>IF(ISNUMBER('Übung 17'!AQ$8),'Übung 17'!AQ$8,0)</f>
        <v/>
      </c>
      <c r="T57" s="64">
        <f>IF(ISNUMBER('Übung 18'!AQ$8),'Übung 18'!AQ$8,0)</f>
        <v/>
      </c>
      <c r="U57" s="64">
        <f>IF(ISNUMBER('Übung 19'!AQ$8),'Übung 19'!AQ$8,0)</f>
        <v/>
      </c>
      <c r="V57" s="64">
        <f>IF(ISNUMBER('Übung 20'!AQ$8),'Übung 20'!AQ$8,0)</f>
        <v/>
      </c>
    </row>
    <row r="58">
      <c r="A58" s="62">
        <f>IF('Stammdaten'!$G44="aktiv",1,0)</f>
        <v/>
      </c>
      <c r="B58" s="172">
        <f>IF('Stammdaten'!$E44="",0,'Stammdaten'!$E44)</f>
        <v/>
      </c>
      <c r="C58" s="64">
        <f>IF(ISNUMBER('Übung 01'!AR$8),'Übung 01'!AR$8,0)</f>
        <v/>
      </c>
      <c r="D58" s="64">
        <f>IF(ISNUMBER('Übung 02'!AR$8),'Übung 02'!AR$8,0)</f>
        <v/>
      </c>
      <c r="E58" s="64">
        <f>IF(ISNUMBER('Übung 03'!AR$8),'Übung 03'!AR$8,0)</f>
        <v/>
      </c>
      <c r="F58" s="64">
        <f>IF(ISNUMBER('Übung 04'!AR$8),'Übung 04'!AR$8,0)</f>
        <v/>
      </c>
      <c r="G58" s="64">
        <f>IF(ISNUMBER('Übung 05'!AR$8),'Übung 05'!AR$8,0)</f>
        <v/>
      </c>
      <c r="H58" s="64">
        <f>IF(ISNUMBER('Übung 06'!AR$8),'Übung 06'!AR$8,0)</f>
        <v/>
      </c>
      <c r="I58" s="64">
        <f>IF(ISNUMBER('Übung 07'!AR$8),'Übung 07'!AR$8,0)</f>
        <v/>
      </c>
      <c r="J58" s="64">
        <f>IF(ISNUMBER('Übung 08'!AR$8),'Übung 08'!AR$8,0)</f>
        <v/>
      </c>
      <c r="K58" s="64">
        <f>IF(ISNUMBER('Übung 09'!AR$8),'Übung 09'!AR$8,0)</f>
        <v/>
      </c>
      <c r="L58" s="64">
        <f>IF(ISNUMBER('Übung 10'!AR$8),'Übung 10'!AR$8,0)</f>
        <v/>
      </c>
      <c r="M58" s="64">
        <f>IF(ISNUMBER('Übung 11'!AR$8),'Übung 11'!AR$8,0)</f>
        <v/>
      </c>
      <c r="N58" s="64">
        <f>IF(ISNUMBER('Übung 12'!AR$8),'Übung 12'!AR$8,0)</f>
        <v/>
      </c>
      <c r="O58" s="64">
        <f>IF(ISNUMBER('Übung 13'!AR$8),'Übung 13'!AR$8,0)</f>
        <v/>
      </c>
      <c r="P58" s="64">
        <f>IF(ISNUMBER('Übung 14'!AR$8),'Übung 14'!AR$8,0)</f>
        <v/>
      </c>
      <c r="Q58" s="64">
        <f>IF(ISNUMBER('Übung 15'!AR$8),'Übung 15'!AR$8,0)</f>
        <v/>
      </c>
      <c r="R58" s="64">
        <f>IF(ISNUMBER('Übung 16'!AR$8),'Übung 16'!AR$8,0)</f>
        <v/>
      </c>
      <c r="S58" s="64">
        <f>IF(ISNUMBER('Übung 17'!AR$8),'Übung 17'!AR$8,0)</f>
        <v/>
      </c>
      <c r="T58" s="64">
        <f>IF(ISNUMBER('Übung 18'!AR$8),'Übung 18'!AR$8,0)</f>
        <v/>
      </c>
      <c r="U58" s="64">
        <f>IF(ISNUMBER('Übung 19'!AR$8),'Übung 19'!AR$8,0)</f>
        <v/>
      </c>
      <c r="V58" s="64">
        <f>IF(ISNUMBER('Übung 20'!AR$8),'Übung 20'!AR$8,0)</f>
        <v/>
      </c>
    </row>
    <row r="59">
      <c r="A59" s="62">
        <f>IF('Stammdaten'!$G45="aktiv",1,0)</f>
        <v/>
      </c>
      <c r="B59" s="172">
        <f>IF('Stammdaten'!$E45="",0,'Stammdaten'!$E45)</f>
        <v/>
      </c>
      <c r="C59" s="64">
        <f>IF(ISNUMBER('Übung 01'!AS$8),'Übung 01'!AS$8,0)</f>
        <v/>
      </c>
      <c r="D59" s="64">
        <f>IF(ISNUMBER('Übung 02'!AS$8),'Übung 02'!AS$8,0)</f>
        <v/>
      </c>
      <c r="E59" s="64">
        <f>IF(ISNUMBER('Übung 03'!AS$8),'Übung 03'!AS$8,0)</f>
        <v/>
      </c>
      <c r="F59" s="64">
        <f>IF(ISNUMBER('Übung 04'!AS$8),'Übung 04'!AS$8,0)</f>
        <v/>
      </c>
      <c r="G59" s="64">
        <f>IF(ISNUMBER('Übung 05'!AS$8),'Übung 05'!AS$8,0)</f>
        <v/>
      </c>
      <c r="H59" s="64">
        <f>IF(ISNUMBER('Übung 06'!AS$8),'Übung 06'!AS$8,0)</f>
        <v/>
      </c>
      <c r="I59" s="64">
        <f>IF(ISNUMBER('Übung 07'!AS$8),'Übung 07'!AS$8,0)</f>
        <v/>
      </c>
      <c r="J59" s="64">
        <f>IF(ISNUMBER('Übung 08'!AS$8),'Übung 08'!AS$8,0)</f>
        <v/>
      </c>
      <c r="K59" s="64">
        <f>IF(ISNUMBER('Übung 09'!AS$8),'Übung 09'!AS$8,0)</f>
        <v/>
      </c>
      <c r="L59" s="64">
        <f>IF(ISNUMBER('Übung 10'!AS$8),'Übung 10'!AS$8,0)</f>
        <v/>
      </c>
      <c r="M59" s="64">
        <f>IF(ISNUMBER('Übung 11'!AS$8),'Übung 11'!AS$8,0)</f>
        <v/>
      </c>
      <c r="N59" s="64">
        <f>IF(ISNUMBER('Übung 12'!AS$8),'Übung 12'!AS$8,0)</f>
        <v/>
      </c>
      <c r="O59" s="64">
        <f>IF(ISNUMBER('Übung 13'!AS$8),'Übung 13'!AS$8,0)</f>
        <v/>
      </c>
      <c r="P59" s="64">
        <f>IF(ISNUMBER('Übung 14'!AS$8),'Übung 14'!AS$8,0)</f>
        <v/>
      </c>
      <c r="Q59" s="64">
        <f>IF(ISNUMBER('Übung 15'!AS$8),'Übung 15'!AS$8,0)</f>
        <v/>
      </c>
      <c r="R59" s="64">
        <f>IF(ISNUMBER('Übung 16'!AS$8),'Übung 16'!AS$8,0)</f>
        <v/>
      </c>
      <c r="S59" s="64">
        <f>IF(ISNUMBER('Übung 17'!AS$8),'Übung 17'!AS$8,0)</f>
        <v/>
      </c>
      <c r="T59" s="64">
        <f>IF(ISNUMBER('Übung 18'!AS$8),'Übung 18'!AS$8,0)</f>
        <v/>
      </c>
      <c r="U59" s="64">
        <f>IF(ISNUMBER('Übung 19'!AS$8),'Übung 19'!AS$8,0)</f>
        <v/>
      </c>
      <c r="V59" s="64">
        <f>IF(ISNUMBER('Übung 20'!AS$8),'Übung 20'!AS$8,0)</f>
        <v/>
      </c>
    </row>
    <row r="60">
      <c r="A60" s="62">
        <f>IF('Stammdaten'!$G46="aktiv",1,0)</f>
        <v/>
      </c>
      <c r="B60" s="172">
        <f>IF('Stammdaten'!$E46="",0,'Stammdaten'!$E46)</f>
        <v/>
      </c>
      <c r="C60" s="64">
        <f>IF(ISNUMBER('Übung 01'!AT$8),'Übung 01'!AT$8,0)</f>
        <v/>
      </c>
      <c r="D60" s="64">
        <f>IF(ISNUMBER('Übung 02'!AT$8),'Übung 02'!AT$8,0)</f>
        <v/>
      </c>
      <c r="E60" s="64">
        <f>IF(ISNUMBER('Übung 03'!AT$8),'Übung 03'!AT$8,0)</f>
        <v/>
      </c>
      <c r="F60" s="64">
        <f>IF(ISNUMBER('Übung 04'!AT$8),'Übung 04'!AT$8,0)</f>
        <v/>
      </c>
      <c r="G60" s="64">
        <f>IF(ISNUMBER('Übung 05'!AT$8),'Übung 05'!AT$8,0)</f>
        <v/>
      </c>
      <c r="H60" s="64">
        <f>IF(ISNUMBER('Übung 06'!AT$8),'Übung 06'!AT$8,0)</f>
        <v/>
      </c>
      <c r="I60" s="64">
        <f>IF(ISNUMBER('Übung 07'!AT$8),'Übung 07'!AT$8,0)</f>
        <v/>
      </c>
      <c r="J60" s="64">
        <f>IF(ISNUMBER('Übung 08'!AT$8),'Übung 08'!AT$8,0)</f>
        <v/>
      </c>
      <c r="K60" s="64">
        <f>IF(ISNUMBER('Übung 09'!AT$8),'Übung 09'!AT$8,0)</f>
        <v/>
      </c>
      <c r="L60" s="64">
        <f>IF(ISNUMBER('Übung 10'!AT$8),'Übung 10'!AT$8,0)</f>
        <v/>
      </c>
      <c r="M60" s="64">
        <f>IF(ISNUMBER('Übung 11'!AT$8),'Übung 11'!AT$8,0)</f>
        <v/>
      </c>
      <c r="N60" s="64">
        <f>IF(ISNUMBER('Übung 12'!AT$8),'Übung 12'!AT$8,0)</f>
        <v/>
      </c>
      <c r="O60" s="64">
        <f>IF(ISNUMBER('Übung 13'!AT$8),'Übung 13'!AT$8,0)</f>
        <v/>
      </c>
      <c r="P60" s="64">
        <f>IF(ISNUMBER('Übung 14'!AT$8),'Übung 14'!AT$8,0)</f>
        <v/>
      </c>
      <c r="Q60" s="64">
        <f>IF(ISNUMBER('Übung 15'!AT$8),'Übung 15'!AT$8,0)</f>
        <v/>
      </c>
      <c r="R60" s="64">
        <f>IF(ISNUMBER('Übung 16'!AT$8),'Übung 16'!AT$8,0)</f>
        <v/>
      </c>
      <c r="S60" s="64">
        <f>IF(ISNUMBER('Übung 17'!AT$8),'Übung 17'!AT$8,0)</f>
        <v/>
      </c>
      <c r="T60" s="64">
        <f>IF(ISNUMBER('Übung 18'!AT$8),'Übung 18'!AT$8,0)</f>
        <v/>
      </c>
      <c r="U60" s="64">
        <f>IF(ISNUMBER('Übung 19'!AT$8),'Übung 19'!AT$8,0)</f>
        <v/>
      </c>
      <c r="V60" s="64">
        <f>IF(ISNUMBER('Übung 20'!AT$8),'Übung 20'!AT$8,0)</f>
        <v/>
      </c>
    </row>
    <row r="61">
      <c r="A61" s="62">
        <f>IF('Stammdaten'!$G47="aktiv",1,0)</f>
        <v/>
      </c>
      <c r="B61" s="172">
        <f>IF('Stammdaten'!$E47="",0,'Stammdaten'!$E47)</f>
        <v/>
      </c>
      <c r="C61" s="64">
        <f>IF(ISNUMBER('Übung 01'!AU$8),'Übung 01'!AU$8,0)</f>
        <v/>
      </c>
      <c r="D61" s="64">
        <f>IF(ISNUMBER('Übung 02'!AU$8),'Übung 02'!AU$8,0)</f>
        <v/>
      </c>
      <c r="E61" s="64">
        <f>IF(ISNUMBER('Übung 03'!AU$8),'Übung 03'!AU$8,0)</f>
        <v/>
      </c>
      <c r="F61" s="64">
        <f>IF(ISNUMBER('Übung 04'!AU$8),'Übung 04'!AU$8,0)</f>
        <v/>
      </c>
      <c r="G61" s="64">
        <f>IF(ISNUMBER('Übung 05'!AU$8),'Übung 05'!AU$8,0)</f>
        <v/>
      </c>
      <c r="H61" s="64">
        <f>IF(ISNUMBER('Übung 06'!AU$8),'Übung 06'!AU$8,0)</f>
        <v/>
      </c>
      <c r="I61" s="64">
        <f>IF(ISNUMBER('Übung 07'!AU$8),'Übung 07'!AU$8,0)</f>
        <v/>
      </c>
      <c r="J61" s="64">
        <f>IF(ISNUMBER('Übung 08'!AU$8),'Übung 08'!AU$8,0)</f>
        <v/>
      </c>
      <c r="K61" s="64">
        <f>IF(ISNUMBER('Übung 09'!AU$8),'Übung 09'!AU$8,0)</f>
        <v/>
      </c>
      <c r="L61" s="64">
        <f>IF(ISNUMBER('Übung 10'!AU$8),'Übung 10'!AU$8,0)</f>
        <v/>
      </c>
      <c r="M61" s="64">
        <f>IF(ISNUMBER('Übung 11'!AU$8),'Übung 11'!AU$8,0)</f>
        <v/>
      </c>
      <c r="N61" s="64">
        <f>IF(ISNUMBER('Übung 12'!AU$8),'Übung 12'!AU$8,0)</f>
        <v/>
      </c>
      <c r="O61" s="64">
        <f>IF(ISNUMBER('Übung 13'!AU$8),'Übung 13'!AU$8,0)</f>
        <v/>
      </c>
      <c r="P61" s="64">
        <f>IF(ISNUMBER('Übung 14'!AU$8),'Übung 14'!AU$8,0)</f>
        <v/>
      </c>
      <c r="Q61" s="64">
        <f>IF(ISNUMBER('Übung 15'!AU$8),'Übung 15'!AU$8,0)</f>
        <v/>
      </c>
      <c r="R61" s="64">
        <f>IF(ISNUMBER('Übung 16'!AU$8),'Übung 16'!AU$8,0)</f>
        <v/>
      </c>
      <c r="S61" s="64">
        <f>IF(ISNUMBER('Übung 17'!AU$8),'Übung 17'!AU$8,0)</f>
        <v/>
      </c>
      <c r="T61" s="64">
        <f>IF(ISNUMBER('Übung 18'!AU$8),'Übung 18'!AU$8,0)</f>
        <v/>
      </c>
      <c r="U61" s="64">
        <f>IF(ISNUMBER('Übung 19'!AU$8),'Übung 19'!AU$8,0)</f>
        <v/>
      </c>
      <c r="V61" s="64">
        <f>IF(ISNUMBER('Übung 20'!AU$8),'Übung 20'!AU$8,0)</f>
        <v/>
      </c>
    </row>
    <row r="62">
      <c r="A62" s="62">
        <f>IF('Stammdaten'!$G48="aktiv",1,0)</f>
        <v/>
      </c>
      <c r="B62" s="172">
        <f>IF('Stammdaten'!$E48="",0,'Stammdaten'!$E48)</f>
        <v/>
      </c>
      <c r="C62" s="64">
        <f>IF(ISNUMBER('Übung 01'!AV$8),'Übung 01'!AV$8,0)</f>
        <v/>
      </c>
      <c r="D62" s="64">
        <f>IF(ISNUMBER('Übung 02'!AV$8),'Übung 02'!AV$8,0)</f>
        <v/>
      </c>
      <c r="E62" s="64">
        <f>IF(ISNUMBER('Übung 03'!AV$8),'Übung 03'!AV$8,0)</f>
        <v/>
      </c>
      <c r="F62" s="64">
        <f>IF(ISNUMBER('Übung 04'!AV$8),'Übung 04'!AV$8,0)</f>
        <v/>
      </c>
      <c r="G62" s="64">
        <f>IF(ISNUMBER('Übung 05'!AV$8),'Übung 05'!AV$8,0)</f>
        <v/>
      </c>
      <c r="H62" s="64">
        <f>IF(ISNUMBER('Übung 06'!AV$8),'Übung 06'!AV$8,0)</f>
        <v/>
      </c>
      <c r="I62" s="64">
        <f>IF(ISNUMBER('Übung 07'!AV$8),'Übung 07'!AV$8,0)</f>
        <v/>
      </c>
      <c r="J62" s="64">
        <f>IF(ISNUMBER('Übung 08'!AV$8),'Übung 08'!AV$8,0)</f>
        <v/>
      </c>
      <c r="K62" s="64">
        <f>IF(ISNUMBER('Übung 09'!AV$8),'Übung 09'!AV$8,0)</f>
        <v/>
      </c>
      <c r="L62" s="64">
        <f>IF(ISNUMBER('Übung 10'!AV$8),'Übung 10'!AV$8,0)</f>
        <v/>
      </c>
      <c r="M62" s="64">
        <f>IF(ISNUMBER('Übung 11'!AV$8),'Übung 11'!AV$8,0)</f>
        <v/>
      </c>
      <c r="N62" s="64">
        <f>IF(ISNUMBER('Übung 12'!AV$8),'Übung 12'!AV$8,0)</f>
        <v/>
      </c>
      <c r="O62" s="64">
        <f>IF(ISNUMBER('Übung 13'!AV$8),'Übung 13'!AV$8,0)</f>
        <v/>
      </c>
      <c r="P62" s="64">
        <f>IF(ISNUMBER('Übung 14'!AV$8),'Übung 14'!AV$8,0)</f>
        <v/>
      </c>
      <c r="Q62" s="64">
        <f>IF(ISNUMBER('Übung 15'!AV$8),'Übung 15'!AV$8,0)</f>
        <v/>
      </c>
      <c r="R62" s="64">
        <f>IF(ISNUMBER('Übung 16'!AV$8),'Übung 16'!AV$8,0)</f>
        <v/>
      </c>
      <c r="S62" s="64">
        <f>IF(ISNUMBER('Übung 17'!AV$8),'Übung 17'!AV$8,0)</f>
        <v/>
      </c>
      <c r="T62" s="64">
        <f>IF(ISNUMBER('Übung 18'!AV$8),'Übung 18'!AV$8,0)</f>
        <v/>
      </c>
      <c r="U62" s="64">
        <f>IF(ISNUMBER('Übung 19'!AV$8),'Übung 19'!AV$8,0)</f>
        <v/>
      </c>
      <c r="V62" s="64">
        <f>IF(ISNUMBER('Übung 20'!AV$8),'Übung 20'!AV$8,0)</f>
        <v/>
      </c>
    </row>
    <row r="63">
      <c r="A63" s="62">
        <f>IF('Stammdaten'!$G49="aktiv",1,0)</f>
        <v/>
      </c>
      <c r="B63" s="172">
        <f>IF('Stammdaten'!$E49="",0,'Stammdaten'!$E49)</f>
        <v/>
      </c>
      <c r="C63" s="64">
        <f>IF(ISNUMBER('Übung 01'!AW$8),'Übung 01'!AW$8,0)</f>
        <v/>
      </c>
      <c r="D63" s="64">
        <f>IF(ISNUMBER('Übung 02'!AW$8),'Übung 02'!AW$8,0)</f>
        <v/>
      </c>
      <c r="E63" s="64">
        <f>IF(ISNUMBER('Übung 03'!AW$8),'Übung 03'!AW$8,0)</f>
        <v/>
      </c>
      <c r="F63" s="64">
        <f>IF(ISNUMBER('Übung 04'!AW$8),'Übung 04'!AW$8,0)</f>
        <v/>
      </c>
      <c r="G63" s="64">
        <f>IF(ISNUMBER('Übung 05'!AW$8),'Übung 05'!AW$8,0)</f>
        <v/>
      </c>
      <c r="H63" s="64">
        <f>IF(ISNUMBER('Übung 06'!AW$8),'Übung 06'!AW$8,0)</f>
        <v/>
      </c>
      <c r="I63" s="64">
        <f>IF(ISNUMBER('Übung 07'!AW$8),'Übung 07'!AW$8,0)</f>
        <v/>
      </c>
      <c r="J63" s="64">
        <f>IF(ISNUMBER('Übung 08'!AW$8),'Übung 08'!AW$8,0)</f>
        <v/>
      </c>
      <c r="K63" s="64">
        <f>IF(ISNUMBER('Übung 09'!AW$8),'Übung 09'!AW$8,0)</f>
        <v/>
      </c>
      <c r="L63" s="64">
        <f>IF(ISNUMBER('Übung 10'!AW$8),'Übung 10'!AW$8,0)</f>
        <v/>
      </c>
      <c r="M63" s="64">
        <f>IF(ISNUMBER('Übung 11'!AW$8),'Übung 11'!AW$8,0)</f>
        <v/>
      </c>
      <c r="N63" s="64">
        <f>IF(ISNUMBER('Übung 12'!AW$8),'Übung 12'!AW$8,0)</f>
        <v/>
      </c>
      <c r="O63" s="64">
        <f>IF(ISNUMBER('Übung 13'!AW$8),'Übung 13'!AW$8,0)</f>
        <v/>
      </c>
      <c r="P63" s="64">
        <f>IF(ISNUMBER('Übung 14'!AW$8),'Übung 14'!AW$8,0)</f>
        <v/>
      </c>
      <c r="Q63" s="64">
        <f>IF(ISNUMBER('Übung 15'!AW$8),'Übung 15'!AW$8,0)</f>
        <v/>
      </c>
      <c r="R63" s="64">
        <f>IF(ISNUMBER('Übung 16'!AW$8),'Übung 16'!AW$8,0)</f>
        <v/>
      </c>
      <c r="S63" s="64">
        <f>IF(ISNUMBER('Übung 17'!AW$8),'Übung 17'!AW$8,0)</f>
        <v/>
      </c>
      <c r="T63" s="64">
        <f>IF(ISNUMBER('Übung 18'!AW$8),'Übung 18'!AW$8,0)</f>
        <v/>
      </c>
      <c r="U63" s="64">
        <f>IF(ISNUMBER('Übung 19'!AW$8),'Übung 19'!AW$8,0)</f>
        <v/>
      </c>
      <c r="V63" s="64">
        <f>IF(ISNUMBER('Übung 20'!AW$8),'Übung 20'!AW$8,0)</f>
        <v/>
      </c>
    </row>
    <row r="64">
      <c r="A64" s="62">
        <f>IF('Stammdaten'!$G50="aktiv",1,0)</f>
        <v/>
      </c>
      <c r="B64" s="172">
        <f>IF('Stammdaten'!$E50="",0,'Stammdaten'!$E50)</f>
        <v/>
      </c>
      <c r="C64" s="64">
        <f>IF(ISNUMBER('Übung 01'!AX$8),'Übung 01'!AX$8,0)</f>
        <v/>
      </c>
      <c r="D64" s="64">
        <f>IF(ISNUMBER('Übung 02'!AX$8),'Übung 02'!AX$8,0)</f>
        <v/>
      </c>
      <c r="E64" s="64">
        <f>IF(ISNUMBER('Übung 03'!AX$8),'Übung 03'!AX$8,0)</f>
        <v/>
      </c>
      <c r="F64" s="64">
        <f>IF(ISNUMBER('Übung 04'!AX$8),'Übung 04'!AX$8,0)</f>
        <v/>
      </c>
      <c r="G64" s="64">
        <f>IF(ISNUMBER('Übung 05'!AX$8),'Übung 05'!AX$8,0)</f>
        <v/>
      </c>
      <c r="H64" s="64">
        <f>IF(ISNUMBER('Übung 06'!AX$8),'Übung 06'!AX$8,0)</f>
        <v/>
      </c>
      <c r="I64" s="64">
        <f>IF(ISNUMBER('Übung 07'!AX$8),'Übung 07'!AX$8,0)</f>
        <v/>
      </c>
      <c r="J64" s="64">
        <f>IF(ISNUMBER('Übung 08'!AX$8),'Übung 08'!AX$8,0)</f>
        <v/>
      </c>
      <c r="K64" s="64">
        <f>IF(ISNUMBER('Übung 09'!AX$8),'Übung 09'!AX$8,0)</f>
        <v/>
      </c>
      <c r="L64" s="64">
        <f>IF(ISNUMBER('Übung 10'!AX$8),'Übung 10'!AX$8,0)</f>
        <v/>
      </c>
      <c r="M64" s="64">
        <f>IF(ISNUMBER('Übung 11'!AX$8),'Übung 11'!AX$8,0)</f>
        <v/>
      </c>
      <c r="N64" s="64">
        <f>IF(ISNUMBER('Übung 12'!AX$8),'Übung 12'!AX$8,0)</f>
        <v/>
      </c>
      <c r="O64" s="64">
        <f>IF(ISNUMBER('Übung 13'!AX$8),'Übung 13'!AX$8,0)</f>
        <v/>
      </c>
      <c r="P64" s="64">
        <f>IF(ISNUMBER('Übung 14'!AX$8),'Übung 14'!AX$8,0)</f>
        <v/>
      </c>
      <c r="Q64" s="64">
        <f>IF(ISNUMBER('Übung 15'!AX$8),'Übung 15'!AX$8,0)</f>
        <v/>
      </c>
      <c r="R64" s="64">
        <f>IF(ISNUMBER('Übung 16'!AX$8),'Übung 16'!AX$8,0)</f>
        <v/>
      </c>
      <c r="S64" s="64">
        <f>IF(ISNUMBER('Übung 17'!AX$8),'Übung 17'!AX$8,0)</f>
        <v/>
      </c>
      <c r="T64" s="64">
        <f>IF(ISNUMBER('Übung 18'!AX$8),'Übung 18'!AX$8,0)</f>
        <v/>
      </c>
      <c r="U64" s="64">
        <f>IF(ISNUMBER('Übung 19'!AX$8),'Übung 19'!AX$8,0)</f>
        <v/>
      </c>
      <c r="V64" s="64">
        <f>IF(ISNUMBER('Übung 20'!AX$8),'Übung 20'!AX$8,0)</f>
        <v/>
      </c>
    </row>
    <row r="65">
      <c r="A65" s="62">
        <f>IF('Stammdaten'!$G51="aktiv",1,0)</f>
        <v/>
      </c>
      <c r="B65" s="172">
        <f>IF('Stammdaten'!$E51="",0,'Stammdaten'!$E51)</f>
        <v/>
      </c>
      <c r="C65" s="64">
        <f>IF(ISNUMBER('Übung 01'!AY$8),'Übung 01'!AY$8,0)</f>
        <v/>
      </c>
      <c r="D65" s="64">
        <f>IF(ISNUMBER('Übung 02'!AY$8),'Übung 02'!AY$8,0)</f>
        <v/>
      </c>
      <c r="E65" s="64">
        <f>IF(ISNUMBER('Übung 03'!AY$8),'Übung 03'!AY$8,0)</f>
        <v/>
      </c>
      <c r="F65" s="64">
        <f>IF(ISNUMBER('Übung 04'!AY$8),'Übung 04'!AY$8,0)</f>
        <v/>
      </c>
      <c r="G65" s="64">
        <f>IF(ISNUMBER('Übung 05'!AY$8),'Übung 05'!AY$8,0)</f>
        <v/>
      </c>
      <c r="H65" s="64">
        <f>IF(ISNUMBER('Übung 06'!AY$8),'Übung 06'!AY$8,0)</f>
        <v/>
      </c>
      <c r="I65" s="64">
        <f>IF(ISNUMBER('Übung 07'!AY$8),'Übung 07'!AY$8,0)</f>
        <v/>
      </c>
      <c r="J65" s="64">
        <f>IF(ISNUMBER('Übung 08'!AY$8),'Übung 08'!AY$8,0)</f>
        <v/>
      </c>
      <c r="K65" s="64">
        <f>IF(ISNUMBER('Übung 09'!AY$8),'Übung 09'!AY$8,0)</f>
        <v/>
      </c>
      <c r="L65" s="64">
        <f>IF(ISNUMBER('Übung 10'!AY$8),'Übung 10'!AY$8,0)</f>
        <v/>
      </c>
      <c r="M65" s="64">
        <f>IF(ISNUMBER('Übung 11'!AY$8),'Übung 11'!AY$8,0)</f>
        <v/>
      </c>
      <c r="N65" s="64">
        <f>IF(ISNUMBER('Übung 12'!AY$8),'Übung 12'!AY$8,0)</f>
        <v/>
      </c>
      <c r="O65" s="64">
        <f>IF(ISNUMBER('Übung 13'!AY$8),'Übung 13'!AY$8,0)</f>
        <v/>
      </c>
      <c r="P65" s="64">
        <f>IF(ISNUMBER('Übung 14'!AY$8),'Übung 14'!AY$8,0)</f>
        <v/>
      </c>
      <c r="Q65" s="64">
        <f>IF(ISNUMBER('Übung 15'!AY$8),'Übung 15'!AY$8,0)</f>
        <v/>
      </c>
      <c r="R65" s="64">
        <f>IF(ISNUMBER('Übung 16'!AY$8),'Übung 16'!AY$8,0)</f>
        <v/>
      </c>
      <c r="S65" s="64">
        <f>IF(ISNUMBER('Übung 17'!AY$8),'Übung 17'!AY$8,0)</f>
        <v/>
      </c>
      <c r="T65" s="64">
        <f>IF(ISNUMBER('Übung 18'!AY$8),'Übung 18'!AY$8,0)</f>
        <v/>
      </c>
      <c r="U65" s="64">
        <f>IF(ISNUMBER('Übung 19'!AY$8),'Übung 19'!AY$8,0)</f>
        <v/>
      </c>
      <c r="V65" s="64">
        <f>IF(ISNUMBER('Übung 20'!AY$8),'Übung 20'!AY$8,0)</f>
        <v/>
      </c>
    </row>
    <row r="66">
      <c r="A66" s="62">
        <f>IF('Stammdaten'!$G52="aktiv",1,0)</f>
        <v/>
      </c>
      <c r="B66" s="172">
        <f>IF('Stammdaten'!$E52="",0,'Stammdaten'!$E52)</f>
        <v/>
      </c>
      <c r="C66" s="64">
        <f>IF(ISNUMBER('Übung 01'!AZ$8),'Übung 01'!AZ$8,0)</f>
        <v/>
      </c>
      <c r="D66" s="64">
        <f>IF(ISNUMBER('Übung 02'!AZ$8),'Übung 02'!AZ$8,0)</f>
        <v/>
      </c>
      <c r="E66" s="64">
        <f>IF(ISNUMBER('Übung 03'!AZ$8),'Übung 03'!AZ$8,0)</f>
        <v/>
      </c>
      <c r="F66" s="64">
        <f>IF(ISNUMBER('Übung 04'!AZ$8),'Übung 04'!AZ$8,0)</f>
        <v/>
      </c>
      <c r="G66" s="64">
        <f>IF(ISNUMBER('Übung 05'!AZ$8),'Übung 05'!AZ$8,0)</f>
        <v/>
      </c>
      <c r="H66" s="64">
        <f>IF(ISNUMBER('Übung 06'!AZ$8),'Übung 06'!AZ$8,0)</f>
        <v/>
      </c>
      <c r="I66" s="64">
        <f>IF(ISNUMBER('Übung 07'!AZ$8),'Übung 07'!AZ$8,0)</f>
        <v/>
      </c>
      <c r="J66" s="64">
        <f>IF(ISNUMBER('Übung 08'!AZ$8),'Übung 08'!AZ$8,0)</f>
        <v/>
      </c>
      <c r="K66" s="64">
        <f>IF(ISNUMBER('Übung 09'!AZ$8),'Übung 09'!AZ$8,0)</f>
        <v/>
      </c>
      <c r="L66" s="64">
        <f>IF(ISNUMBER('Übung 10'!AZ$8),'Übung 10'!AZ$8,0)</f>
        <v/>
      </c>
      <c r="M66" s="64">
        <f>IF(ISNUMBER('Übung 11'!AZ$8),'Übung 11'!AZ$8,0)</f>
        <v/>
      </c>
      <c r="N66" s="64">
        <f>IF(ISNUMBER('Übung 12'!AZ$8),'Übung 12'!AZ$8,0)</f>
        <v/>
      </c>
      <c r="O66" s="64">
        <f>IF(ISNUMBER('Übung 13'!AZ$8),'Übung 13'!AZ$8,0)</f>
        <v/>
      </c>
      <c r="P66" s="64">
        <f>IF(ISNUMBER('Übung 14'!AZ$8),'Übung 14'!AZ$8,0)</f>
        <v/>
      </c>
      <c r="Q66" s="64">
        <f>IF(ISNUMBER('Übung 15'!AZ$8),'Übung 15'!AZ$8,0)</f>
        <v/>
      </c>
      <c r="R66" s="64">
        <f>IF(ISNUMBER('Übung 16'!AZ$8),'Übung 16'!AZ$8,0)</f>
        <v/>
      </c>
      <c r="S66" s="64">
        <f>IF(ISNUMBER('Übung 17'!AZ$8),'Übung 17'!AZ$8,0)</f>
        <v/>
      </c>
      <c r="T66" s="64">
        <f>IF(ISNUMBER('Übung 18'!AZ$8),'Übung 18'!AZ$8,0)</f>
        <v/>
      </c>
      <c r="U66" s="64">
        <f>IF(ISNUMBER('Übung 19'!AZ$8),'Übung 19'!AZ$8,0)</f>
        <v/>
      </c>
      <c r="V66" s="64">
        <f>IF(ISNUMBER('Übung 20'!AZ$8),'Übung 20'!AZ$8,0)</f>
        <v/>
      </c>
    </row>
    <row r="67">
      <c r="A67" s="62">
        <f>IF('Stammdaten'!$G53="aktiv",1,0)</f>
        <v/>
      </c>
      <c r="B67" s="172">
        <f>IF('Stammdaten'!$E53="",0,'Stammdaten'!$E53)</f>
        <v/>
      </c>
      <c r="C67" s="64">
        <f>IF(ISNUMBER('Übung 01'!BA$8),'Übung 01'!BA$8,0)</f>
        <v/>
      </c>
      <c r="D67" s="64">
        <f>IF(ISNUMBER('Übung 02'!BA$8),'Übung 02'!BA$8,0)</f>
        <v/>
      </c>
      <c r="E67" s="64">
        <f>IF(ISNUMBER('Übung 03'!BA$8),'Übung 03'!BA$8,0)</f>
        <v/>
      </c>
      <c r="F67" s="64">
        <f>IF(ISNUMBER('Übung 04'!BA$8),'Übung 04'!BA$8,0)</f>
        <v/>
      </c>
      <c r="G67" s="64">
        <f>IF(ISNUMBER('Übung 05'!BA$8),'Übung 05'!BA$8,0)</f>
        <v/>
      </c>
      <c r="H67" s="64">
        <f>IF(ISNUMBER('Übung 06'!BA$8),'Übung 06'!BA$8,0)</f>
        <v/>
      </c>
      <c r="I67" s="64">
        <f>IF(ISNUMBER('Übung 07'!BA$8),'Übung 07'!BA$8,0)</f>
        <v/>
      </c>
      <c r="J67" s="64">
        <f>IF(ISNUMBER('Übung 08'!BA$8),'Übung 08'!BA$8,0)</f>
        <v/>
      </c>
      <c r="K67" s="64">
        <f>IF(ISNUMBER('Übung 09'!BA$8),'Übung 09'!BA$8,0)</f>
        <v/>
      </c>
      <c r="L67" s="64">
        <f>IF(ISNUMBER('Übung 10'!BA$8),'Übung 10'!BA$8,0)</f>
        <v/>
      </c>
      <c r="M67" s="64">
        <f>IF(ISNUMBER('Übung 11'!BA$8),'Übung 11'!BA$8,0)</f>
        <v/>
      </c>
      <c r="N67" s="64">
        <f>IF(ISNUMBER('Übung 12'!BA$8),'Übung 12'!BA$8,0)</f>
        <v/>
      </c>
      <c r="O67" s="64">
        <f>IF(ISNUMBER('Übung 13'!BA$8),'Übung 13'!BA$8,0)</f>
        <v/>
      </c>
      <c r="P67" s="64">
        <f>IF(ISNUMBER('Übung 14'!BA$8),'Übung 14'!BA$8,0)</f>
        <v/>
      </c>
      <c r="Q67" s="64">
        <f>IF(ISNUMBER('Übung 15'!BA$8),'Übung 15'!BA$8,0)</f>
        <v/>
      </c>
      <c r="R67" s="64">
        <f>IF(ISNUMBER('Übung 16'!BA$8),'Übung 16'!BA$8,0)</f>
        <v/>
      </c>
      <c r="S67" s="64">
        <f>IF(ISNUMBER('Übung 17'!BA$8),'Übung 17'!BA$8,0)</f>
        <v/>
      </c>
      <c r="T67" s="64">
        <f>IF(ISNUMBER('Übung 18'!BA$8),'Übung 18'!BA$8,0)</f>
        <v/>
      </c>
      <c r="U67" s="64">
        <f>IF(ISNUMBER('Übung 19'!BA$8),'Übung 19'!BA$8,0)</f>
        <v/>
      </c>
      <c r="V67" s="64">
        <f>IF(ISNUMBER('Übung 20'!BA$8),'Übung 20'!BA$8,0)</f>
        <v/>
      </c>
    </row>
    <row r="68">
      <c r="A68" s="62">
        <f>IF('Stammdaten'!$G54="aktiv",1,0)</f>
        <v/>
      </c>
      <c r="B68" s="172">
        <f>IF('Stammdaten'!$E54="",0,'Stammdaten'!$E54)</f>
        <v/>
      </c>
      <c r="C68" s="64">
        <f>IF(ISNUMBER('Übung 01'!BB$8),'Übung 01'!BB$8,0)</f>
        <v/>
      </c>
      <c r="D68" s="64">
        <f>IF(ISNUMBER('Übung 02'!BB$8),'Übung 02'!BB$8,0)</f>
        <v/>
      </c>
      <c r="E68" s="64">
        <f>IF(ISNUMBER('Übung 03'!BB$8),'Übung 03'!BB$8,0)</f>
        <v/>
      </c>
      <c r="F68" s="64">
        <f>IF(ISNUMBER('Übung 04'!BB$8),'Übung 04'!BB$8,0)</f>
        <v/>
      </c>
      <c r="G68" s="64">
        <f>IF(ISNUMBER('Übung 05'!BB$8),'Übung 05'!BB$8,0)</f>
        <v/>
      </c>
      <c r="H68" s="64">
        <f>IF(ISNUMBER('Übung 06'!BB$8),'Übung 06'!BB$8,0)</f>
        <v/>
      </c>
      <c r="I68" s="64">
        <f>IF(ISNUMBER('Übung 07'!BB$8),'Übung 07'!BB$8,0)</f>
        <v/>
      </c>
      <c r="J68" s="64">
        <f>IF(ISNUMBER('Übung 08'!BB$8),'Übung 08'!BB$8,0)</f>
        <v/>
      </c>
      <c r="K68" s="64">
        <f>IF(ISNUMBER('Übung 09'!BB$8),'Übung 09'!BB$8,0)</f>
        <v/>
      </c>
      <c r="L68" s="64">
        <f>IF(ISNUMBER('Übung 10'!BB$8),'Übung 10'!BB$8,0)</f>
        <v/>
      </c>
      <c r="M68" s="64">
        <f>IF(ISNUMBER('Übung 11'!BB$8),'Übung 11'!BB$8,0)</f>
        <v/>
      </c>
      <c r="N68" s="64">
        <f>IF(ISNUMBER('Übung 12'!BB$8),'Übung 12'!BB$8,0)</f>
        <v/>
      </c>
      <c r="O68" s="64">
        <f>IF(ISNUMBER('Übung 13'!BB$8),'Übung 13'!BB$8,0)</f>
        <v/>
      </c>
      <c r="P68" s="64">
        <f>IF(ISNUMBER('Übung 14'!BB$8),'Übung 14'!BB$8,0)</f>
        <v/>
      </c>
      <c r="Q68" s="64">
        <f>IF(ISNUMBER('Übung 15'!BB$8),'Übung 15'!BB$8,0)</f>
        <v/>
      </c>
      <c r="R68" s="64">
        <f>IF(ISNUMBER('Übung 16'!BB$8),'Übung 16'!BB$8,0)</f>
        <v/>
      </c>
      <c r="S68" s="64">
        <f>IF(ISNUMBER('Übung 17'!BB$8),'Übung 17'!BB$8,0)</f>
        <v/>
      </c>
      <c r="T68" s="64">
        <f>IF(ISNUMBER('Übung 18'!BB$8),'Übung 18'!BB$8,0)</f>
        <v/>
      </c>
      <c r="U68" s="64">
        <f>IF(ISNUMBER('Übung 19'!BB$8),'Übung 19'!BB$8,0)</f>
        <v/>
      </c>
      <c r="V68" s="64">
        <f>IF(ISNUMBER('Übung 20'!BB$8),'Übung 20'!BB$8,0)</f>
        <v/>
      </c>
    </row>
    <row r="69">
      <c r="A69" s="62">
        <f>IF('Stammdaten'!$G55="aktiv",1,0)</f>
        <v/>
      </c>
      <c r="B69" s="172">
        <f>IF('Stammdaten'!$E55="",0,'Stammdaten'!$E55)</f>
        <v/>
      </c>
      <c r="C69" s="64">
        <f>IF(ISNUMBER('Übung 01'!BC$8),'Übung 01'!BC$8,0)</f>
        <v/>
      </c>
      <c r="D69" s="64">
        <f>IF(ISNUMBER('Übung 02'!BC$8),'Übung 02'!BC$8,0)</f>
        <v/>
      </c>
      <c r="E69" s="64">
        <f>IF(ISNUMBER('Übung 03'!BC$8),'Übung 03'!BC$8,0)</f>
        <v/>
      </c>
      <c r="F69" s="64">
        <f>IF(ISNUMBER('Übung 04'!BC$8),'Übung 04'!BC$8,0)</f>
        <v/>
      </c>
      <c r="G69" s="64">
        <f>IF(ISNUMBER('Übung 05'!BC$8),'Übung 05'!BC$8,0)</f>
        <v/>
      </c>
      <c r="H69" s="64">
        <f>IF(ISNUMBER('Übung 06'!BC$8),'Übung 06'!BC$8,0)</f>
        <v/>
      </c>
      <c r="I69" s="64">
        <f>IF(ISNUMBER('Übung 07'!BC$8),'Übung 07'!BC$8,0)</f>
        <v/>
      </c>
      <c r="J69" s="64">
        <f>IF(ISNUMBER('Übung 08'!BC$8),'Übung 08'!BC$8,0)</f>
        <v/>
      </c>
      <c r="K69" s="64">
        <f>IF(ISNUMBER('Übung 09'!BC$8),'Übung 09'!BC$8,0)</f>
        <v/>
      </c>
      <c r="L69" s="64">
        <f>IF(ISNUMBER('Übung 10'!BC$8),'Übung 10'!BC$8,0)</f>
        <v/>
      </c>
      <c r="M69" s="64">
        <f>IF(ISNUMBER('Übung 11'!BC$8),'Übung 11'!BC$8,0)</f>
        <v/>
      </c>
      <c r="N69" s="64">
        <f>IF(ISNUMBER('Übung 12'!BC$8),'Übung 12'!BC$8,0)</f>
        <v/>
      </c>
      <c r="O69" s="64">
        <f>IF(ISNUMBER('Übung 13'!BC$8),'Übung 13'!BC$8,0)</f>
        <v/>
      </c>
      <c r="P69" s="64">
        <f>IF(ISNUMBER('Übung 14'!BC$8),'Übung 14'!BC$8,0)</f>
        <v/>
      </c>
      <c r="Q69" s="64">
        <f>IF(ISNUMBER('Übung 15'!BC$8),'Übung 15'!BC$8,0)</f>
        <v/>
      </c>
      <c r="R69" s="64">
        <f>IF(ISNUMBER('Übung 16'!BC$8),'Übung 16'!BC$8,0)</f>
        <v/>
      </c>
      <c r="S69" s="64">
        <f>IF(ISNUMBER('Übung 17'!BC$8),'Übung 17'!BC$8,0)</f>
        <v/>
      </c>
      <c r="T69" s="64">
        <f>IF(ISNUMBER('Übung 18'!BC$8),'Übung 18'!BC$8,0)</f>
        <v/>
      </c>
      <c r="U69" s="64">
        <f>IF(ISNUMBER('Übung 19'!BC$8),'Übung 19'!BC$8,0)</f>
        <v/>
      </c>
      <c r="V69" s="64">
        <f>IF(ISNUMBER('Übung 20'!BC$8),'Übung 20'!BC$8,0)</f>
        <v/>
      </c>
    </row>
    <row r="70">
      <c r="A70" s="62">
        <f>IF('Stammdaten'!$G56="aktiv",1,0)</f>
        <v/>
      </c>
      <c r="B70" s="172">
        <f>IF('Stammdaten'!$E56="",0,'Stammdaten'!$E56)</f>
        <v/>
      </c>
      <c r="C70" s="64">
        <f>IF(ISNUMBER('Übung 01'!BE$8),'Übung 01'!BE$8,0)</f>
        <v/>
      </c>
      <c r="D70" s="64">
        <f>IF(ISNUMBER('Übung 02'!BE$8),'Übung 02'!BE$8,0)</f>
        <v/>
      </c>
      <c r="E70" s="64">
        <f>IF(ISNUMBER('Übung 03'!BE$8),'Übung 03'!BE$8,0)</f>
        <v/>
      </c>
      <c r="F70" s="64">
        <f>IF(ISNUMBER('Übung 04'!BE$8),'Übung 04'!BE$8,0)</f>
        <v/>
      </c>
      <c r="G70" s="64">
        <f>IF(ISNUMBER('Übung 05'!BE$8),'Übung 05'!BE$8,0)</f>
        <v/>
      </c>
      <c r="H70" s="64">
        <f>IF(ISNUMBER('Übung 06'!BE$8),'Übung 06'!BE$8,0)</f>
        <v/>
      </c>
      <c r="I70" s="64">
        <f>IF(ISNUMBER('Übung 07'!BE$8),'Übung 07'!BE$8,0)</f>
        <v/>
      </c>
      <c r="J70" s="64">
        <f>IF(ISNUMBER('Übung 08'!BE$8),'Übung 08'!BE$8,0)</f>
        <v/>
      </c>
      <c r="K70" s="64">
        <f>IF(ISNUMBER('Übung 09'!BE$8),'Übung 09'!BE$8,0)</f>
        <v/>
      </c>
      <c r="L70" s="64">
        <f>IF(ISNUMBER('Übung 10'!BE$8),'Übung 10'!BE$8,0)</f>
        <v/>
      </c>
      <c r="M70" s="64">
        <f>IF(ISNUMBER('Übung 11'!BE$8),'Übung 11'!BE$8,0)</f>
        <v/>
      </c>
      <c r="N70" s="64">
        <f>IF(ISNUMBER('Übung 12'!BE$8),'Übung 12'!BE$8,0)</f>
        <v/>
      </c>
      <c r="O70" s="64">
        <f>IF(ISNUMBER('Übung 13'!BE$8),'Übung 13'!BE$8,0)</f>
        <v/>
      </c>
      <c r="P70" s="64">
        <f>IF(ISNUMBER('Übung 14'!BE$8),'Übung 14'!BE$8,0)</f>
        <v/>
      </c>
      <c r="Q70" s="64">
        <f>IF(ISNUMBER('Übung 15'!BE$8),'Übung 15'!BE$8,0)</f>
        <v/>
      </c>
      <c r="R70" s="64">
        <f>IF(ISNUMBER('Übung 16'!BE$8),'Übung 16'!BE$8,0)</f>
        <v/>
      </c>
      <c r="S70" s="64">
        <f>IF(ISNUMBER('Übung 17'!BE$8),'Übung 17'!BE$8,0)</f>
        <v/>
      </c>
      <c r="T70" s="64">
        <f>IF(ISNUMBER('Übung 18'!BE$8),'Übung 18'!BE$8,0)</f>
        <v/>
      </c>
      <c r="U70" s="64">
        <f>IF(ISNUMBER('Übung 19'!BE$8),'Übung 19'!BE$8,0)</f>
        <v/>
      </c>
      <c r="V70" s="64">
        <f>IF(ISNUMBER('Übung 20'!BE$8),'Übung 20'!BE$8,0)</f>
        <v/>
      </c>
    </row>
    <row r="71">
      <c r="A71" s="62">
        <f>IF('Stammdaten'!$G57="aktiv",1,0)</f>
        <v/>
      </c>
      <c r="B71" s="172">
        <f>IF('Stammdaten'!$E57="",0,'Stammdaten'!$E57)</f>
        <v/>
      </c>
      <c r="C71" s="64">
        <f>IF(ISNUMBER('Übung 01'!BF$8),'Übung 01'!BF$8,0)</f>
        <v/>
      </c>
      <c r="D71" s="64">
        <f>IF(ISNUMBER('Übung 02'!BF$8),'Übung 02'!BF$8,0)</f>
        <v/>
      </c>
      <c r="E71" s="64">
        <f>IF(ISNUMBER('Übung 03'!BF$8),'Übung 03'!BF$8,0)</f>
        <v/>
      </c>
      <c r="F71" s="64">
        <f>IF(ISNUMBER('Übung 04'!BF$8),'Übung 04'!BF$8,0)</f>
        <v/>
      </c>
      <c r="G71" s="64">
        <f>IF(ISNUMBER('Übung 05'!BF$8),'Übung 05'!BF$8,0)</f>
        <v/>
      </c>
      <c r="H71" s="64">
        <f>IF(ISNUMBER('Übung 06'!BF$8),'Übung 06'!BF$8,0)</f>
        <v/>
      </c>
      <c r="I71" s="64">
        <f>IF(ISNUMBER('Übung 07'!BF$8),'Übung 07'!BF$8,0)</f>
        <v/>
      </c>
      <c r="J71" s="64">
        <f>IF(ISNUMBER('Übung 08'!BF$8),'Übung 08'!BF$8,0)</f>
        <v/>
      </c>
      <c r="K71" s="64">
        <f>IF(ISNUMBER('Übung 09'!BF$8),'Übung 09'!BF$8,0)</f>
        <v/>
      </c>
      <c r="L71" s="64">
        <f>IF(ISNUMBER('Übung 10'!BF$8),'Übung 10'!BF$8,0)</f>
        <v/>
      </c>
      <c r="M71" s="64">
        <f>IF(ISNUMBER('Übung 11'!BF$8),'Übung 11'!BF$8,0)</f>
        <v/>
      </c>
      <c r="N71" s="64">
        <f>IF(ISNUMBER('Übung 12'!BF$8),'Übung 12'!BF$8,0)</f>
        <v/>
      </c>
      <c r="O71" s="64">
        <f>IF(ISNUMBER('Übung 13'!BF$8),'Übung 13'!BF$8,0)</f>
        <v/>
      </c>
      <c r="P71" s="64">
        <f>IF(ISNUMBER('Übung 14'!BF$8),'Übung 14'!BF$8,0)</f>
        <v/>
      </c>
      <c r="Q71" s="64">
        <f>IF(ISNUMBER('Übung 15'!BF$8),'Übung 15'!BF$8,0)</f>
        <v/>
      </c>
      <c r="R71" s="64">
        <f>IF(ISNUMBER('Übung 16'!BF$8),'Übung 16'!BF$8,0)</f>
        <v/>
      </c>
      <c r="S71" s="64">
        <f>IF(ISNUMBER('Übung 17'!BF$8),'Übung 17'!BF$8,0)</f>
        <v/>
      </c>
      <c r="T71" s="64">
        <f>IF(ISNUMBER('Übung 18'!BF$8),'Übung 18'!BF$8,0)</f>
        <v/>
      </c>
      <c r="U71" s="64">
        <f>IF(ISNUMBER('Übung 19'!BF$8),'Übung 19'!BF$8,0)</f>
        <v/>
      </c>
      <c r="V71" s="64">
        <f>IF(ISNUMBER('Übung 20'!BF$8),'Übung 20'!BF$8,0)</f>
        <v/>
      </c>
    </row>
    <row r="72">
      <c r="A72" s="62">
        <f>IF('Stammdaten'!$G58="aktiv",1,0)</f>
        <v/>
      </c>
      <c r="B72" s="172">
        <f>IF('Stammdaten'!$E58="",0,'Stammdaten'!$E58)</f>
        <v/>
      </c>
      <c r="C72" s="64">
        <f>IF(ISNUMBER('Übung 01'!BG$8),'Übung 01'!BG$8,0)</f>
        <v/>
      </c>
      <c r="D72" s="64">
        <f>IF(ISNUMBER('Übung 02'!BG$8),'Übung 02'!BG$8,0)</f>
        <v/>
      </c>
      <c r="E72" s="64">
        <f>IF(ISNUMBER('Übung 03'!BG$8),'Übung 03'!BG$8,0)</f>
        <v/>
      </c>
      <c r="F72" s="64">
        <f>IF(ISNUMBER('Übung 04'!BG$8),'Übung 04'!BG$8,0)</f>
        <v/>
      </c>
      <c r="G72" s="64">
        <f>IF(ISNUMBER('Übung 05'!BG$8),'Übung 05'!BG$8,0)</f>
        <v/>
      </c>
      <c r="H72" s="64">
        <f>IF(ISNUMBER('Übung 06'!BG$8),'Übung 06'!BG$8,0)</f>
        <v/>
      </c>
      <c r="I72" s="64">
        <f>IF(ISNUMBER('Übung 07'!BG$8),'Übung 07'!BG$8,0)</f>
        <v/>
      </c>
      <c r="J72" s="64">
        <f>IF(ISNUMBER('Übung 08'!BG$8),'Übung 08'!BG$8,0)</f>
        <v/>
      </c>
      <c r="K72" s="64">
        <f>IF(ISNUMBER('Übung 09'!BG$8),'Übung 09'!BG$8,0)</f>
        <v/>
      </c>
      <c r="L72" s="64">
        <f>IF(ISNUMBER('Übung 10'!BG$8),'Übung 10'!BG$8,0)</f>
        <v/>
      </c>
      <c r="M72" s="64">
        <f>IF(ISNUMBER('Übung 11'!BG$8),'Übung 11'!BG$8,0)</f>
        <v/>
      </c>
      <c r="N72" s="64">
        <f>IF(ISNUMBER('Übung 12'!BG$8),'Übung 12'!BG$8,0)</f>
        <v/>
      </c>
      <c r="O72" s="64">
        <f>IF(ISNUMBER('Übung 13'!BG$8),'Übung 13'!BG$8,0)</f>
        <v/>
      </c>
      <c r="P72" s="64">
        <f>IF(ISNUMBER('Übung 14'!BG$8),'Übung 14'!BG$8,0)</f>
        <v/>
      </c>
      <c r="Q72" s="64">
        <f>IF(ISNUMBER('Übung 15'!BG$8),'Übung 15'!BG$8,0)</f>
        <v/>
      </c>
      <c r="R72" s="64">
        <f>IF(ISNUMBER('Übung 16'!BG$8),'Übung 16'!BG$8,0)</f>
        <v/>
      </c>
      <c r="S72" s="64">
        <f>IF(ISNUMBER('Übung 17'!BG$8),'Übung 17'!BG$8,0)</f>
        <v/>
      </c>
      <c r="T72" s="64">
        <f>IF(ISNUMBER('Übung 18'!BG$8),'Übung 18'!BG$8,0)</f>
        <v/>
      </c>
      <c r="U72" s="64">
        <f>IF(ISNUMBER('Übung 19'!BG$8),'Übung 19'!BG$8,0)</f>
        <v/>
      </c>
      <c r="V72" s="64">
        <f>IF(ISNUMBER('Übung 20'!BG$8),'Übung 20'!BG$8,0)</f>
        <v/>
      </c>
    </row>
    <row r="73">
      <c r="A73" s="62">
        <f>IF('Stammdaten'!$G59="aktiv",1,0)</f>
        <v/>
      </c>
      <c r="B73" s="172">
        <f>IF('Stammdaten'!$E59="",0,'Stammdaten'!$E59)</f>
        <v/>
      </c>
      <c r="C73" s="64">
        <f>IF(ISNUMBER('Übung 01'!BH$8),'Übung 01'!BH$8,0)</f>
        <v/>
      </c>
      <c r="D73" s="64">
        <f>IF(ISNUMBER('Übung 02'!BH$8),'Übung 02'!BH$8,0)</f>
        <v/>
      </c>
      <c r="E73" s="64">
        <f>IF(ISNUMBER('Übung 03'!BH$8),'Übung 03'!BH$8,0)</f>
        <v/>
      </c>
      <c r="F73" s="64">
        <f>IF(ISNUMBER('Übung 04'!BH$8),'Übung 04'!BH$8,0)</f>
        <v/>
      </c>
      <c r="G73" s="64">
        <f>IF(ISNUMBER('Übung 05'!BH$8),'Übung 05'!BH$8,0)</f>
        <v/>
      </c>
      <c r="H73" s="64">
        <f>IF(ISNUMBER('Übung 06'!BH$8),'Übung 06'!BH$8,0)</f>
        <v/>
      </c>
      <c r="I73" s="64">
        <f>IF(ISNUMBER('Übung 07'!BH$8),'Übung 07'!BH$8,0)</f>
        <v/>
      </c>
      <c r="J73" s="64">
        <f>IF(ISNUMBER('Übung 08'!BH$8),'Übung 08'!BH$8,0)</f>
        <v/>
      </c>
      <c r="K73" s="64">
        <f>IF(ISNUMBER('Übung 09'!BH$8),'Übung 09'!BH$8,0)</f>
        <v/>
      </c>
      <c r="L73" s="64">
        <f>IF(ISNUMBER('Übung 10'!BH$8),'Übung 10'!BH$8,0)</f>
        <v/>
      </c>
      <c r="M73" s="64">
        <f>IF(ISNUMBER('Übung 11'!BH$8),'Übung 11'!BH$8,0)</f>
        <v/>
      </c>
      <c r="N73" s="64">
        <f>IF(ISNUMBER('Übung 12'!BH$8),'Übung 12'!BH$8,0)</f>
        <v/>
      </c>
      <c r="O73" s="64">
        <f>IF(ISNUMBER('Übung 13'!BH$8),'Übung 13'!BH$8,0)</f>
        <v/>
      </c>
      <c r="P73" s="64">
        <f>IF(ISNUMBER('Übung 14'!BH$8),'Übung 14'!BH$8,0)</f>
        <v/>
      </c>
      <c r="Q73" s="64">
        <f>IF(ISNUMBER('Übung 15'!BH$8),'Übung 15'!BH$8,0)</f>
        <v/>
      </c>
      <c r="R73" s="64">
        <f>IF(ISNUMBER('Übung 16'!BH$8),'Übung 16'!BH$8,0)</f>
        <v/>
      </c>
      <c r="S73" s="64">
        <f>IF(ISNUMBER('Übung 17'!BH$8),'Übung 17'!BH$8,0)</f>
        <v/>
      </c>
      <c r="T73" s="64">
        <f>IF(ISNUMBER('Übung 18'!BH$8),'Übung 18'!BH$8,0)</f>
        <v/>
      </c>
      <c r="U73" s="64">
        <f>IF(ISNUMBER('Übung 19'!BH$8),'Übung 19'!BH$8,0)</f>
        <v/>
      </c>
      <c r="V73" s="64">
        <f>IF(ISNUMBER('Übung 20'!BH$8),'Übung 20'!BH$8,0)</f>
        <v/>
      </c>
    </row>
    <row r="74">
      <c r="A74" s="62">
        <f>IF('Stammdaten'!$G60="aktiv",1,0)</f>
        <v/>
      </c>
      <c r="B74" s="172">
        <f>IF('Stammdaten'!$E60="",0,'Stammdaten'!$E60)</f>
        <v/>
      </c>
      <c r="C74" s="64">
        <f>IF(ISNUMBER('Übung 01'!BI$8),'Übung 01'!BI$8,0)</f>
        <v/>
      </c>
      <c r="D74" s="64">
        <f>IF(ISNUMBER('Übung 02'!BI$8),'Übung 02'!BI$8,0)</f>
        <v/>
      </c>
      <c r="E74" s="64">
        <f>IF(ISNUMBER('Übung 03'!BI$8),'Übung 03'!BI$8,0)</f>
        <v/>
      </c>
      <c r="F74" s="64">
        <f>IF(ISNUMBER('Übung 04'!BI$8),'Übung 04'!BI$8,0)</f>
        <v/>
      </c>
      <c r="G74" s="64">
        <f>IF(ISNUMBER('Übung 05'!BI$8),'Übung 05'!BI$8,0)</f>
        <v/>
      </c>
      <c r="H74" s="64">
        <f>IF(ISNUMBER('Übung 06'!BI$8),'Übung 06'!BI$8,0)</f>
        <v/>
      </c>
      <c r="I74" s="64">
        <f>IF(ISNUMBER('Übung 07'!BI$8),'Übung 07'!BI$8,0)</f>
        <v/>
      </c>
      <c r="J74" s="64">
        <f>IF(ISNUMBER('Übung 08'!BI$8),'Übung 08'!BI$8,0)</f>
        <v/>
      </c>
      <c r="K74" s="64">
        <f>IF(ISNUMBER('Übung 09'!BI$8),'Übung 09'!BI$8,0)</f>
        <v/>
      </c>
      <c r="L74" s="64">
        <f>IF(ISNUMBER('Übung 10'!BI$8),'Übung 10'!BI$8,0)</f>
        <v/>
      </c>
      <c r="M74" s="64">
        <f>IF(ISNUMBER('Übung 11'!BI$8),'Übung 11'!BI$8,0)</f>
        <v/>
      </c>
      <c r="N74" s="64">
        <f>IF(ISNUMBER('Übung 12'!BI$8),'Übung 12'!BI$8,0)</f>
        <v/>
      </c>
      <c r="O74" s="64">
        <f>IF(ISNUMBER('Übung 13'!BI$8),'Übung 13'!BI$8,0)</f>
        <v/>
      </c>
      <c r="P74" s="64">
        <f>IF(ISNUMBER('Übung 14'!BI$8),'Übung 14'!BI$8,0)</f>
        <v/>
      </c>
      <c r="Q74" s="64">
        <f>IF(ISNUMBER('Übung 15'!BI$8),'Übung 15'!BI$8,0)</f>
        <v/>
      </c>
      <c r="R74" s="64">
        <f>IF(ISNUMBER('Übung 16'!BI$8),'Übung 16'!BI$8,0)</f>
        <v/>
      </c>
      <c r="S74" s="64">
        <f>IF(ISNUMBER('Übung 17'!BI$8),'Übung 17'!BI$8,0)</f>
        <v/>
      </c>
      <c r="T74" s="64">
        <f>IF(ISNUMBER('Übung 18'!BI$8),'Übung 18'!BI$8,0)</f>
        <v/>
      </c>
      <c r="U74" s="64">
        <f>IF(ISNUMBER('Übung 19'!BI$8),'Übung 19'!BI$8,0)</f>
        <v/>
      </c>
      <c r="V74" s="64">
        <f>IF(ISNUMBER('Übung 20'!BI$8),'Übung 20'!BI$8,0)</f>
        <v/>
      </c>
    </row>
    <row r="75">
      <c r="A75" s="62">
        <f>IF('Stammdaten'!$G61="aktiv",1,0)</f>
        <v/>
      </c>
      <c r="B75" s="172">
        <f>IF('Stammdaten'!$E61="",0,'Stammdaten'!$E61)</f>
        <v/>
      </c>
      <c r="C75" s="64">
        <f>IF(ISNUMBER('Übung 01'!BJ$8),'Übung 01'!BJ$8,0)</f>
        <v/>
      </c>
      <c r="D75" s="64">
        <f>IF(ISNUMBER('Übung 02'!BJ$8),'Übung 02'!BJ$8,0)</f>
        <v/>
      </c>
      <c r="E75" s="64">
        <f>IF(ISNUMBER('Übung 03'!BJ$8),'Übung 03'!BJ$8,0)</f>
        <v/>
      </c>
      <c r="F75" s="64">
        <f>IF(ISNUMBER('Übung 04'!BJ$8),'Übung 04'!BJ$8,0)</f>
        <v/>
      </c>
      <c r="G75" s="64">
        <f>IF(ISNUMBER('Übung 05'!BJ$8),'Übung 05'!BJ$8,0)</f>
        <v/>
      </c>
      <c r="H75" s="64">
        <f>IF(ISNUMBER('Übung 06'!BJ$8),'Übung 06'!BJ$8,0)</f>
        <v/>
      </c>
      <c r="I75" s="64">
        <f>IF(ISNUMBER('Übung 07'!BJ$8),'Übung 07'!BJ$8,0)</f>
        <v/>
      </c>
      <c r="J75" s="64">
        <f>IF(ISNUMBER('Übung 08'!BJ$8),'Übung 08'!BJ$8,0)</f>
        <v/>
      </c>
      <c r="K75" s="64">
        <f>IF(ISNUMBER('Übung 09'!BJ$8),'Übung 09'!BJ$8,0)</f>
        <v/>
      </c>
      <c r="L75" s="64">
        <f>IF(ISNUMBER('Übung 10'!BJ$8),'Übung 10'!BJ$8,0)</f>
        <v/>
      </c>
      <c r="M75" s="64">
        <f>IF(ISNUMBER('Übung 11'!BJ$8),'Übung 11'!BJ$8,0)</f>
        <v/>
      </c>
      <c r="N75" s="64">
        <f>IF(ISNUMBER('Übung 12'!BJ$8),'Übung 12'!BJ$8,0)</f>
        <v/>
      </c>
      <c r="O75" s="64">
        <f>IF(ISNUMBER('Übung 13'!BJ$8),'Übung 13'!BJ$8,0)</f>
        <v/>
      </c>
      <c r="P75" s="64">
        <f>IF(ISNUMBER('Übung 14'!BJ$8),'Übung 14'!BJ$8,0)</f>
        <v/>
      </c>
      <c r="Q75" s="64">
        <f>IF(ISNUMBER('Übung 15'!BJ$8),'Übung 15'!BJ$8,0)</f>
        <v/>
      </c>
      <c r="R75" s="64">
        <f>IF(ISNUMBER('Übung 16'!BJ$8),'Übung 16'!BJ$8,0)</f>
        <v/>
      </c>
      <c r="S75" s="64">
        <f>IF(ISNUMBER('Übung 17'!BJ$8),'Übung 17'!BJ$8,0)</f>
        <v/>
      </c>
      <c r="T75" s="64">
        <f>IF(ISNUMBER('Übung 18'!BJ$8),'Übung 18'!BJ$8,0)</f>
        <v/>
      </c>
      <c r="U75" s="64">
        <f>IF(ISNUMBER('Übung 19'!BJ$8),'Übung 19'!BJ$8,0)</f>
        <v/>
      </c>
      <c r="V75" s="64">
        <f>IF(ISNUMBER('Übung 20'!BJ$8),'Übung 20'!BJ$8,0)</f>
        <v/>
      </c>
    </row>
    <row r="76">
      <c r="A76" s="62">
        <f>IF('Stammdaten'!$G62="aktiv",1,0)</f>
        <v/>
      </c>
      <c r="B76" s="172">
        <f>IF('Stammdaten'!$E62="",0,'Stammdaten'!$E62)</f>
        <v/>
      </c>
      <c r="C76" s="64">
        <f>IF(ISNUMBER('Übung 01'!BK$8),'Übung 01'!BK$8,0)</f>
        <v/>
      </c>
      <c r="D76" s="64">
        <f>IF(ISNUMBER('Übung 02'!BK$8),'Übung 02'!BK$8,0)</f>
        <v/>
      </c>
      <c r="E76" s="64">
        <f>IF(ISNUMBER('Übung 03'!BK$8),'Übung 03'!BK$8,0)</f>
        <v/>
      </c>
      <c r="F76" s="64">
        <f>IF(ISNUMBER('Übung 04'!BK$8),'Übung 04'!BK$8,0)</f>
        <v/>
      </c>
      <c r="G76" s="64">
        <f>IF(ISNUMBER('Übung 05'!BK$8),'Übung 05'!BK$8,0)</f>
        <v/>
      </c>
      <c r="H76" s="64">
        <f>IF(ISNUMBER('Übung 06'!BK$8),'Übung 06'!BK$8,0)</f>
        <v/>
      </c>
      <c r="I76" s="64">
        <f>IF(ISNUMBER('Übung 07'!BK$8),'Übung 07'!BK$8,0)</f>
        <v/>
      </c>
      <c r="J76" s="64">
        <f>IF(ISNUMBER('Übung 08'!BK$8),'Übung 08'!BK$8,0)</f>
        <v/>
      </c>
      <c r="K76" s="64">
        <f>IF(ISNUMBER('Übung 09'!BK$8),'Übung 09'!BK$8,0)</f>
        <v/>
      </c>
      <c r="L76" s="64">
        <f>IF(ISNUMBER('Übung 10'!BK$8),'Übung 10'!BK$8,0)</f>
        <v/>
      </c>
      <c r="M76" s="64">
        <f>IF(ISNUMBER('Übung 11'!BK$8),'Übung 11'!BK$8,0)</f>
        <v/>
      </c>
      <c r="N76" s="64">
        <f>IF(ISNUMBER('Übung 12'!BK$8),'Übung 12'!BK$8,0)</f>
        <v/>
      </c>
      <c r="O76" s="64">
        <f>IF(ISNUMBER('Übung 13'!BK$8),'Übung 13'!BK$8,0)</f>
        <v/>
      </c>
      <c r="P76" s="64">
        <f>IF(ISNUMBER('Übung 14'!BK$8),'Übung 14'!BK$8,0)</f>
        <v/>
      </c>
      <c r="Q76" s="64">
        <f>IF(ISNUMBER('Übung 15'!BK$8),'Übung 15'!BK$8,0)</f>
        <v/>
      </c>
      <c r="R76" s="64">
        <f>IF(ISNUMBER('Übung 16'!BK$8),'Übung 16'!BK$8,0)</f>
        <v/>
      </c>
      <c r="S76" s="64">
        <f>IF(ISNUMBER('Übung 17'!BK$8),'Übung 17'!BK$8,0)</f>
        <v/>
      </c>
      <c r="T76" s="64">
        <f>IF(ISNUMBER('Übung 18'!BK$8),'Übung 18'!BK$8,0)</f>
        <v/>
      </c>
      <c r="U76" s="64">
        <f>IF(ISNUMBER('Übung 19'!BK$8),'Übung 19'!BK$8,0)</f>
        <v/>
      </c>
      <c r="V76" s="64">
        <f>IF(ISNUMBER('Übung 20'!BK$8),'Übung 20'!BK$8,0)</f>
        <v/>
      </c>
    </row>
    <row r="77">
      <c r="A77" s="62">
        <f>IF('Stammdaten'!$G63="aktiv",1,0)</f>
        <v/>
      </c>
      <c r="B77" s="172">
        <f>IF('Stammdaten'!$E63="",0,'Stammdaten'!$E63)</f>
        <v/>
      </c>
      <c r="C77" s="64">
        <f>IF(ISNUMBER('Übung 01'!BL$8),'Übung 01'!BL$8,0)</f>
        <v/>
      </c>
      <c r="D77" s="64">
        <f>IF(ISNUMBER('Übung 02'!BL$8),'Übung 02'!BL$8,0)</f>
        <v/>
      </c>
      <c r="E77" s="64">
        <f>IF(ISNUMBER('Übung 03'!BL$8),'Übung 03'!BL$8,0)</f>
        <v/>
      </c>
      <c r="F77" s="64">
        <f>IF(ISNUMBER('Übung 04'!BL$8),'Übung 04'!BL$8,0)</f>
        <v/>
      </c>
      <c r="G77" s="64">
        <f>IF(ISNUMBER('Übung 05'!BL$8),'Übung 05'!BL$8,0)</f>
        <v/>
      </c>
      <c r="H77" s="64">
        <f>IF(ISNUMBER('Übung 06'!BL$8),'Übung 06'!BL$8,0)</f>
        <v/>
      </c>
      <c r="I77" s="64">
        <f>IF(ISNUMBER('Übung 07'!BL$8),'Übung 07'!BL$8,0)</f>
        <v/>
      </c>
      <c r="J77" s="64">
        <f>IF(ISNUMBER('Übung 08'!BL$8),'Übung 08'!BL$8,0)</f>
        <v/>
      </c>
      <c r="K77" s="64">
        <f>IF(ISNUMBER('Übung 09'!BL$8),'Übung 09'!BL$8,0)</f>
        <v/>
      </c>
      <c r="L77" s="64">
        <f>IF(ISNUMBER('Übung 10'!BL$8),'Übung 10'!BL$8,0)</f>
        <v/>
      </c>
      <c r="M77" s="64">
        <f>IF(ISNUMBER('Übung 11'!BL$8),'Übung 11'!BL$8,0)</f>
        <v/>
      </c>
      <c r="N77" s="64">
        <f>IF(ISNUMBER('Übung 12'!BL$8),'Übung 12'!BL$8,0)</f>
        <v/>
      </c>
      <c r="O77" s="64">
        <f>IF(ISNUMBER('Übung 13'!BL$8),'Übung 13'!BL$8,0)</f>
        <v/>
      </c>
      <c r="P77" s="64">
        <f>IF(ISNUMBER('Übung 14'!BL$8),'Übung 14'!BL$8,0)</f>
        <v/>
      </c>
      <c r="Q77" s="64">
        <f>IF(ISNUMBER('Übung 15'!BL$8),'Übung 15'!BL$8,0)</f>
        <v/>
      </c>
      <c r="R77" s="64">
        <f>IF(ISNUMBER('Übung 16'!BL$8),'Übung 16'!BL$8,0)</f>
        <v/>
      </c>
      <c r="S77" s="64">
        <f>IF(ISNUMBER('Übung 17'!BL$8),'Übung 17'!BL$8,0)</f>
        <v/>
      </c>
      <c r="T77" s="64">
        <f>IF(ISNUMBER('Übung 18'!BL$8),'Übung 18'!BL$8,0)</f>
        <v/>
      </c>
      <c r="U77" s="64">
        <f>IF(ISNUMBER('Übung 19'!BL$8),'Übung 19'!BL$8,0)</f>
        <v/>
      </c>
      <c r="V77" s="64">
        <f>IF(ISNUMBER('Übung 20'!BL$8),'Übung 20'!BL$8,0)</f>
        <v/>
      </c>
    </row>
    <row r="78">
      <c r="A78" s="62">
        <f>IF('Stammdaten'!$G64="aktiv",1,0)</f>
        <v/>
      </c>
      <c r="B78" s="172">
        <f>IF('Stammdaten'!$E64="",0,'Stammdaten'!$E64)</f>
        <v/>
      </c>
      <c r="C78" s="64">
        <f>IF(ISNUMBER('Übung 01'!BM$8),'Übung 01'!BM$8,0)</f>
        <v/>
      </c>
      <c r="D78" s="64">
        <f>IF(ISNUMBER('Übung 02'!BM$8),'Übung 02'!BM$8,0)</f>
        <v/>
      </c>
      <c r="E78" s="64">
        <f>IF(ISNUMBER('Übung 03'!BM$8),'Übung 03'!BM$8,0)</f>
        <v/>
      </c>
      <c r="F78" s="64">
        <f>IF(ISNUMBER('Übung 04'!BM$8),'Übung 04'!BM$8,0)</f>
        <v/>
      </c>
      <c r="G78" s="64">
        <f>IF(ISNUMBER('Übung 05'!BM$8),'Übung 05'!BM$8,0)</f>
        <v/>
      </c>
      <c r="H78" s="64">
        <f>IF(ISNUMBER('Übung 06'!BM$8),'Übung 06'!BM$8,0)</f>
        <v/>
      </c>
      <c r="I78" s="64">
        <f>IF(ISNUMBER('Übung 07'!BM$8),'Übung 07'!BM$8,0)</f>
        <v/>
      </c>
      <c r="J78" s="64">
        <f>IF(ISNUMBER('Übung 08'!BM$8),'Übung 08'!BM$8,0)</f>
        <v/>
      </c>
      <c r="K78" s="64">
        <f>IF(ISNUMBER('Übung 09'!BM$8),'Übung 09'!BM$8,0)</f>
        <v/>
      </c>
      <c r="L78" s="64">
        <f>IF(ISNUMBER('Übung 10'!BM$8),'Übung 10'!BM$8,0)</f>
        <v/>
      </c>
      <c r="M78" s="64">
        <f>IF(ISNUMBER('Übung 11'!BM$8),'Übung 11'!BM$8,0)</f>
        <v/>
      </c>
      <c r="N78" s="64">
        <f>IF(ISNUMBER('Übung 12'!BM$8),'Übung 12'!BM$8,0)</f>
        <v/>
      </c>
      <c r="O78" s="64">
        <f>IF(ISNUMBER('Übung 13'!BM$8),'Übung 13'!BM$8,0)</f>
        <v/>
      </c>
      <c r="P78" s="64">
        <f>IF(ISNUMBER('Übung 14'!BM$8),'Übung 14'!BM$8,0)</f>
        <v/>
      </c>
      <c r="Q78" s="64">
        <f>IF(ISNUMBER('Übung 15'!BM$8),'Übung 15'!BM$8,0)</f>
        <v/>
      </c>
      <c r="R78" s="64">
        <f>IF(ISNUMBER('Übung 16'!BM$8),'Übung 16'!BM$8,0)</f>
        <v/>
      </c>
      <c r="S78" s="64">
        <f>IF(ISNUMBER('Übung 17'!BM$8),'Übung 17'!BM$8,0)</f>
        <v/>
      </c>
      <c r="T78" s="64">
        <f>IF(ISNUMBER('Übung 18'!BM$8),'Übung 18'!BM$8,0)</f>
        <v/>
      </c>
      <c r="U78" s="64">
        <f>IF(ISNUMBER('Übung 19'!BM$8),'Übung 19'!BM$8,0)</f>
        <v/>
      </c>
      <c r="V78" s="64">
        <f>IF(ISNUMBER('Übung 20'!BM$8),'Übung 20'!BM$8,0)</f>
        <v/>
      </c>
    </row>
    <row r="79">
      <c r="A79" s="62">
        <f>IF('Stammdaten'!$G65="aktiv",1,0)</f>
        <v/>
      </c>
      <c r="B79" s="172">
        <f>IF('Stammdaten'!$E65="",0,'Stammdaten'!$E65)</f>
        <v/>
      </c>
      <c r="C79" s="64">
        <f>IF(ISNUMBER('Übung 01'!BN$8),'Übung 01'!BN$8,0)</f>
        <v/>
      </c>
      <c r="D79" s="64">
        <f>IF(ISNUMBER('Übung 02'!BN$8),'Übung 02'!BN$8,0)</f>
        <v/>
      </c>
      <c r="E79" s="64">
        <f>IF(ISNUMBER('Übung 03'!BN$8),'Übung 03'!BN$8,0)</f>
        <v/>
      </c>
      <c r="F79" s="64">
        <f>IF(ISNUMBER('Übung 04'!BN$8),'Übung 04'!BN$8,0)</f>
        <v/>
      </c>
      <c r="G79" s="64">
        <f>IF(ISNUMBER('Übung 05'!BN$8),'Übung 05'!BN$8,0)</f>
        <v/>
      </c>
      <c r="H79" s="64">
        <f>IF(ISNUMBER('Übung 06'!BN$8),'Übung 06'!BN$8,0)</f>
        <v/>
      </c>
      <c r="I79" s="64">
        <f>IF(ISNUMBER('Übung 07'!BN$8),'Übung 07'!BN$8,0)</f>
        <v/>
      </c>
      <c r="J79" s="64">
        <f>IF(ISNUMBER('Übung 08'!BN$8),'Übung 08'!BN$8,0)</f>
        <v/>
      </c>
      <c r="K79" s="64">
        <f>IF(ISNUMBER('Übung 09'!BN$8),'Übung 09'!BN$8,0)</f>
        <v/>
      </c>
      <c r="L79" s="64">
        <f>IF(ISNUMBER('Übung 10'!BN$8),'Übung 10'!BN$8,0)</f>
        <v/>
      </c>
      <c r="M79" s="64">
        <f>IF(ISNUMBER('Übung 11'!BN$8),'Übung 11'!BN$8,0)</f>
        <v/>
      </c>
      <c r="N79" s="64">
        <f>IF(ISNUMBER('Übung 12'!BN$8),'Übung 12'!BN$8,0)</f>
        <v/>
      </c>
      <c r="O79" s="64">
        <f>IF(ISNUMBER('Übung 13'!BN$8),'Übung 13'!BN$8,0)</f>
        <v/>
      </c>
      <c r="P79" s="64">
        <f>IF(ISNUMBER('Übung 14'!BN$8),'Übung 14'!BN$8,0)</f>
        <v/>
      </c>
      <c r="Q79" s="64">
        <f>IF(ISNUMBER('Übung 15'!BN$8),'Übung 15'!BN$8,0)</f>
        <v/>
      </c>
      <c r="R79" s="64">
        <f>IF(ISNUMBER('Übung 16'!BN$8),'Übung 16'!BN$8,0)</f>
        <v/>
      </c>
      <c r="S79" s="64">
        <f>IF(ISNUMBER('Übung 17'!BN$8),'Übung 17'!BN$8,0)</f>
        <v/>
      </c>
      <c r="T79" s="64">
        <f>IF(ISNUMBER('Übung 18'!BN$8),'Übung 18'!BN$8,0)</f>
        <v/>
      </c>
      <c r="U79" s="64">
        <f>IF(ISNUMBER('Übung 19'!BN$8),'Übung 19'!BN$8,0)</f>
        <v/>
      </c>
      <c r="V79" s="64">
        <f>IF(ISNUMBER('Übung 20'!BN$8),'Übung 20'!BN$8,0)</f>
        <v/>
      </c>
    </row>
    <row r="80">
      <c r="A80" s="62">
        <f>IF('Stammdaten'!$G66="aktiv",1,0)</f>
        <v/>
      </c>
      <c r="B80" s="172">
        <f>IF('Stammdaten'!$E66="",0,'Stammdaten'!$E66)</f>
        <v/>
      </c>
      <c r="C80" s="64">
        <f>IF(ISNUMBER('Übung 01'!BO$8),'Übung 01'!BO$8,0)</f>
        <v/>
      </c>
      <c r="D80" s="64">
        <f>IF(ISNUMBER('Übung 02'!BO$8),'Übung 02'!BO$8,0)</f>
        <v/>
      </c>
      <c r="E80" s="64">
        <f>IF(ISNUMBER('Übung 03'!BO$8),'Übung 03'!BO$8,0)</f>
        <v/>
      </c>
      <c r="F80" s="64">
        <f>IF(ISNUMBER('Übung 04'!BO$8),'Übung 04'!BO$8,0)</f>
        <v/>
      </c>
      <c r="G80" s="64">
        <f>IF(ISNUMBER('Übung 05'!BO$8),'Übung 05'!BO$8,0)</f>
        <v/>
      </c>
      <c r="H80" s="64">
        <f>IF(ISNUMBER('Übung 06'!BO$8),'Übung 06'!BO$8,0)</f>
        <v/>
      </c>
      <c r="I80" s="64">
        <f>IF(ISNUMBER('Übung 07'!BO$8),'Übung 07'!BO$8,0)</f>
        <v/>
      </c>
      <c r="J80" s="64">
        <f>IF(ISNUMBER('Übung 08'!BO$8),'Übung 08'!BO$8,0)</f>
        <v/>
      </c>
      <c r="K80" s="64">
        <f>IF(ISNUMBER('Übung 09'!BO$8),'Übung 09'!BO$8,0)</f>
        <v/>
      </c>
      <c r="L80" s="64">
        <f>IF(ISNUMBER('Übung 10'!BO$8),'Übung 10'!BO$8,0)</f>
        <v/>
      </c>
      <c r="M80" s="64">
        <f>IF(ISNUMBER('Übung 11'!BO$8),'Übung 11'!BO$8,0)</f>
        <v/>
      </c>
      <c r="N80" s="64">
        <f>IF(ISNUMBER('Übung 12'!BO$8),'Übung 12'!BO$8,0)</f>
        <v/>
      </c>
      <c r="O80" s="64">
        <f>IF(ISNUMBER('Übung 13'!BO$8),'Übung 13'!BO$8,0)</f>
        <v/>
      </c>
      <c r="P80" s="64">
        <f>IF(ISNUMBER('Übung 14'!BO$8),'Übung 14'!BO$8,0)</f>
        <v/>
      </c>
      <c r="Q80" s="64">
        <f>IF(ISNUMBER('Übung 15'!BO$8),'Übung 15'!BO$8,0)</f>
        <v/>
      </c>
      <c r="R80" s="64">
        <f>IF(ISNUMBER('Übung 16'!BO$8),'Übung 16'!BO$8,0)</f>
        <v/>
      </c>
      <c r="S80" s="64">
        <f>IF(ISNUMBER('Übung 17'!BO$8),'Übung 17'!BO$8,0)</f>
        <v/>
      </c>
      <c r="T80" s="64">
        <f>IF(ISNUMBER('Übung 18'!BO$8),'Übung 18'!BO$8,0)</f>
        <v/>
      </c>
      <c r="U80" s="64">
        <f>IF(ISNUMBER('Übung 19'!BO$8),'Übung 19'!BO$8,0)</f>
        <v/>
      </c>
      <c r="V80" s="64">
        <f>IF(ISNUMBER('Übung 20'!BO$8),'Übung 20'!BO$8,0)</f>
        <v/>
      </c>
    </row>
    <row r="81">
      <c r="A81" s="62">
        <f>IF('Stammdaten'!$G67="aktiv",1,0)</f>
        <v/>
      </c>
      <c r="B81" s="172">
        <f>IF('Stammdaten'!$E67="",0,'Stammdaten'!$E67)</f>
        <v/>
      </c>
      <c r="C81" s="64">
        <f>IF(ISNUMBER('Übung 01'!BP$8),'Übung 01'!BP$8,0)</f>
        <v/>
      </c>
      <c r="D81" s="64">
        <f>IF(ISNUMBER('Übung 02'!BP$8),'Übung 02'!BP$8,0)</f>
        <v/>
      </c>
      <c r="E81" s="64">
        <f>IF(ISNUMBER('Übung 03'!BP$8),'Übung 03'!BP$8,0)</f>
        <v/>
      </c>
      <c r="F81" s="64">
        <f>IF(ISNUMBER('Übung 04'!BP$8),'Übung 04'!BP$8,0)</f>
        <v/>
      </c>
      <c r="G81" s="64">
        <f>IF(ISNUMBER('Übung 05'!BP$8),'Übung 05'!BP$8,0)</f>
        <v/>
      </c>
      <c r="H81" s="64">
        <f>IF(ISNUMBER('Übung 06'!BP$8),'Übung 06'!BP$8,0)</f>
        <v/>
      </c>
      <c r="I81" s="64">
        <f>IF(ISNUMBER('Übung 07'!BP$8),'Übung 07'!BP$8,0)</f>
        <v/>
      </c>
      <c r="J81" s="64">
        <f>IF(ISNUMBER('Übung 08'!BP$8),'Übung 08'!BP$8,0)</f>
        <v/>
      </c>
      <c r="K81" s="64">
        <f>IF(ISNUMBER('Übung 09'!BP$8),'Übung 09'!BP$8,0)</f>
        <v/>
      </c>
      <c r="L81" s="64">
        <f>IF(ISNUMBER('Übung 10'!BP$8),'Übung 10'!BP$8,0)</f>
        <v/>
      </c>
      <c r="M81" s="64">
        <f>IF(ISNUMBER('Übung 11'!BP$8),'Übung 11'!BP$8,0)</f>
        <v/>
      </c>
      <c r="N81" s="64">
        <f>IF(ISNUMBER('Übung 12'!BP$8),'Übung 12'!BP$8,0)</f>
        <v/>
      </c>
      <c r="O81" s="64">
        <f>IF(ISNUMBER('Übung 13'!BP$8),'Übung 13'!BP$8,0)</f>
        <v/>
      </c>
      <c r="P81" s="64">
        <f>IF(ISNUMBER('Übung 14'!BP$8),'Übung 14'!BP$8,0)</f>
        <v/>
      </c>
      <c r="Q81" s="64">
        <f>IF(ISNUMBER('Übung 15'!BP$8),'Übung 15'!BP$8,0)</f>
        <v/>
      </c>
      <c r="R81" s="64">
        <f>IF(ISNUMBER('Übung 16'!BP$8),'Übung 16'!BP$8,0)</f>
        <v/>
      </c>
      <c r="S81" s="64">
        <f>IF(ISNUMBER('Übung 17'!BP$8),'Übung 17'!BP$8,0)</f>
        <v/>
      </c>
      <c r="T81" s="64">
        <f>IF(ISNUMBER('Übung 18'!BP$8),'Übung 18'!BP$8,0)</f>
        <v/>
      </c>
      <c r="U81" s="64">
        <f>IF(ISNUMBER('Übung 19'!BP$8),'Übung 19'!BP$8,0)</f>
        <v/>
      </c>
      <c r="V81" s="64">
        <f>IF(ISNUMBER('Übung 20'!BP$8),'Übung 20'!BP$8,0)</f>
        <v/>
      </c>
    </row>
    <row r="82">
      <c r="A82" s="62">
        <f>IF('Stammdaten'!$G68="aktiv",1,0)</f>
        <v/>
      </c>
      <c r="B82" s="172">
        <f>IF('Stammdaten'!$E68="",0,'Stammdaten'!$E68)</f>
        <v/>
      </c>
      <c r="C82" s="64">
        <f>IF(ISNUMBER('Übung 01'!BQ$8),'Übung 01'!BQ$8,0)</f>
        <v/>
      </c>
      <c r="D82" s="64">
        <f>IF(ISNUMBER('Übung 02'!BQ$8),'Übung 02'!BQ$8,0)</f>
        <v/>
      </c>
      <c r="E82" s="64">
        <f>IF(ISNUMBER('Übung 03'!BQ$8),'Übung 03'!BQ$8,0)</f>
        <v/>
      </c>
      <c r="F82" s="64">
        <f>IF(ISNUMBER('Übung 04'!BQ$8),'Übung 04'!BQ$8,0)</f>
        <v/>
      </c>
      <c r="G82" s="64">
        <f>IF(ISNUMBER('Übung 05'!BQ$8),'Übung 05'!BQ$8,0)</f>
        <v/>
      </c>
      <c r="H82" s="64">
        <f>IF(ISNUMBER('Übung 06'!BQ$8),'Übung 06'!BQ$8,0)</f>
        <v/>
      </c>
      <c r="I82" s="64">
        <f>IF(ISNUMBER('Übung 07'!BQ$8),'Übung 07'!BQ$8,0)</f>
        <v/>
      </c>
      <c r="J82" s="64">
        <f>IF(ISNUMBER('Übung 08'!BQ$8),'Übung 08'!BQ$8,0)</f>
        <v/>
      </c>
      <c r="K82" s="64">
        <f>IF(ISNUMBER('Übung 09'!BQ$8),'Übung 09'!BQ$8,0)</f>
        <v/>
      </c>
      <c r="L82" s="64">
        <f>IF(ISNUMBER('Übung 10'!BQ$8),'Übung 10'!BQ$8,0)</f>
        <v/>
      </c>
      <c r="M82" s="64">
        <f>IF(ISNUMBER('Übung 11'!BQ$8),'Übung 11'!BQ$8,0)</f>
        <v/>
      </c>
      <c r="N82" s="64">
        <f>IF(ISNUMBER('Übung 12'!BQ$8),'Übung 12'!BQ$8,0)</f>
        <v/>
      </c>
      <c r="O82" s="64">
        <f>IF(ISNUMBER('Übung 13'!BQ$8),'Übung 13'!BQ$8,0)</f>
        <v/>
      </c>
      <c r="P82" s="64">
        <f>IF(ISNUMBER('Übung 14'!BQ$8),'Übung 14'!BQ$8,0)</f>
        <v/>
      </c>
      <c r="Q82" s="64">
        <f>IF(ISNUMBER('Übung 15'!BQ$8),'Übung 15'!BQ$8,0)</f>
        <v/>
      </c>
      <c r="R82" s="64">
        <f>IF(ISNUMBER('Übung 16'!BQ$8),'Übung 16'!BQ$8,0)</f>
        <v/>
      </c>
      <c r="S82" s="64">
        <f>IF(ISNUMBER('Übung 17'!BQ$8),'Übung 17'!BQ$8,0)</f>
        <v/>
      </c>
      <c r="T82" s="64">
        <f>IF(ISNUMBER('Übung 18'!BQ$8),'Übung 18'!BQ$8,0)</f>
        <v/>
      </c>
      <c r="U82" s="64">
        <f>IF(ISNUMBER('Übung 19'!BQ$8),'Übung 19'!BQ$8,0)</f>
        <v/>
      </c>
      <c r="V82" s="64">
        <f>IF(ISNUMBER('Übung 20'!BQ$8),'Übung 20'!BQ$8,0)</f>
        <v/>
      </c>
    </row>
    <row r="83">
      <c r="A83" s="62">
        <f>IF('Stammdaten'!$G69="aktiv",1,0)</f>
        <v/>
      </c>
      <c r="B83" s="172">
        <f>IF('Stammdaten'!$E69="",0,'Stammdaten'!$E69)</f>
        <v/>
      </c>
      <c r="C83" s="64">
        <f>IF(ISNUMBER('Übung 01'!BR$8),'Übung 01'!BR$8,0)</f>
        <v/>
      </c>
      <c r="D83" s="64">
        <f>IF(ISNUMBER('Übung 02'!BR$8),'Übung 02'!BR$8,0)</f>
        <v/>
      </c>
      <c r="E83" s="64">
        <f>IF(ISNUMBER('Übung 03'!BR$8),'Übung 03'!BR$8,0)</f>
        <v/>
      </c>
      <c r="F83" s="64">
        <f>IF(ISNUMBER('Übung 04'!BR$8),'Übung 04'!BR$8,0)</f>
        <v/>
      </c>
      <c r="G83" s="64">
        <f>IF(ISNUMBER('Übung 05'!BR$8),'Übung 05'!BR$8,0)</f>
        <v/>
      </c>
      <c r="H83" s="64">
        <f>IF(ISNUMBER('Übung 06'!BR$8),'Übung 06'!BR$8,0)</f>
        <v/>
      </c>
      <c r="I83" s="64">
        <f>IF(ISNUMBER('Übung 07'!BR$8),'Übung 07'!BR$8,0)</f>
        <v/>
      </c>
      <c r="J83" s="64">
        <f>IF(ISNUMBER('Übung 08'!BR$8),'Übung 08'!BR$8,0)</f>
        <v/>
      </c>
      <c r="K83" s="64">
        <f>IF(ISNUMBER('Übung 09'!BR$8),'Übung 09'!BR$8,0)</f>
        <v/>
      </c>
      <c r="L83" s="64">
        <f>IF(ISNUMBER('Übung 10'!BR$8),'Übung 10'!BR$8,0)</f>
        <v/>
      </c>
      <c r="M83" s="64">
        <f>IF(ISNUMBER('Übung 11'!BR$8),'Übung 11'!BR$8,0)</f>
        <v/>
      </c>
      <c r="N83" s="64">
        <f>IF(ISNUMBER('Übung 12'!BR$8),'Übung 12'!BR$8,0)</f>
        <v/>
      </c>
      <c r="O83" s="64">
        <f>IF(ISNUMBER('Übung 13'!BR$8),'Übung 13'!BR$8,0)</f>
        <v/>
      </c>
      <c r="P83" s="64">
        <f>IF(ISNUMBER('Übung 14'!BR$8),'Übung 14'!BR$8,0)</f>
        <v/>
      </c>
      <c r="Q83" s="64">
        <f>IF(ISNUMBER('Übung 15'!BR$8),'Übung 15'!BR$8,0)</f>
        <v/>
      </c>
      <c r="R83" s="64">
        <f>IF(ISNUMBER('Übung 16'!BR$8),'Übung 16'!BR$8,0)</f>
        <v/>
      </c>
      <c r="S83" s="64">
        <f>IF(ISNUMBER('Übung 17'!BR$8),'Übung 17'!BR$8,0)</f>
        <v/>
      </c>
      <c r="T83" s="64">
        <f>IF(ISNUMBER('Übung 18'!BR$8),'Übung 18'!BR$8,0)</f>
        <v/>
      </c>
      <c r="U83" s="64">
        <f>IF(ISNUMBER('Übung 19'!BR$8),'Übung 19'!BR$8,0)</f>
        <v/>
      </c>
      <c r="V83" s="64">
        <f>IF(ISNUMBER('Übung 20'!BR$8),'Übung 20'!BR$8,0)</f>
        <v/>
      </c>
    </row>
    <row r="84">
      <c r="A84" s="62">
        <f>IF('Stammdaten'!$G70="aktiv",1,0)</f>
        <v/>
      </c>
      <c r="B84" s="172">
        <f>IF('Stammdaten'!$E70="",0,'Stammdaten'!$E70)</f>
        <v/>
      </c>
      <c r="C84" s="64">
        <f>IF(ISNUMBER('Übung 01'!BS$8),'Übung 01'!BS$8,0)</f>
        <v/>
      </c>
      <c r="D84" s="64">
        <f>IF(ISNUMBER('Übung 02'!BS$8),'Übung 02'!BS$8,0)</f>
        <v/>
      </c>
      <c r="E84" s="64">
        <f>IF(ISNUMBER('Übung 03'!BS$8),'Übung 03'!BS$8,0)</f>
        <v/>
      </c>
      <c r="F84" s="64">
        <f>IF(ISNUMBER('Übung 04'!BS$8),'Übung 04'!BS$8,0)</f>
        <v/>
      </c>
      <c r="G84" s="64">
        <f>IF(ISNUMBER('Übung 05'!BS$8),'Übung 05'!BS$8,0)</f>
        <v/>
      </c>
      <c r="H84" s="64">
        <f>IF(ISNUMBER('Übung 06'!BS$8),'Übung 06'!BS$8,0)</f>
        <v/>
      </c>
      <c r="I84" s="64">
        <f>IF(ISNUMBER('Übung 07'!BS$8),'Übung 07'!BS$8,0)</f>
        <v/>
      </c>
      <c r="J84" s="64">
        <f>IF(ISNUMBER('Übung 08'!BS$8),'Übung 08'!BS$8,0)</f>
        <v/>
      </c>
      <c r="K84" s="64">
        <f>IF(ISNUMBER('Übung 09'!BS$8),'Übung 09'!BS$8,0)</f>
        <v/>
      </c>
      <c r="L84" s="64">
        <f>IF(ISNUMBER('Übung 10'!BS$8),'Übung 10'!BS$8,0)</f>
        <v/>
      </c>
      <c r="M84" s="64">
        <f>IF(ISNUMBER('Übung 11'!BS$8),'Übung 11'!BS$8,0)</f>
        <v/>
      </c>
      <c r="N84" s="64">
        <f>IF(ISNUMBER('Übung 12'!BS$8),'Übung 12'!BS$8,0)</f>
        <v/>
      </c>
      <c r="O84" s="64">
        <f>IF(ISNUMBER('Übung 13'!BS$8),'Übung 13'!BS$8,0)</f>
        <v/>
      </c>
      <c r="P84" s="64">
        <f>IF(ISNUMBER('Übung 14'!BS$8),'Übung 14'!BS$8,0)</f>
        <v/>
      </c>
      <c r="Q84" s="64">
        <f>IF(ISNUMBER('Übung 15'!BS$8),'Übung 15'!BS$8,0)</f>
        <v/>
      </c>
      <c r="R84" s="64">
        <f>IF(ISNUMBER('Übung 16'!BS$8),'Übung 16'!BS$8,0)</f>
        <v/>
      </c>
      <c r="S84" s="64">
        <f>IF(ISNUMBER('Übung 17'!BS$8),'Übung 17'!BS$8,0)</f>
        <v/>
      </c>
      <c r="T84" s="64">
        <f>IF(ISNUMBER('Übung 18'!BS$8),'Übung 18'!BS$8,0)</f>
        <v/>
      </c>
      <c r="U84" s="64">
        <f>IF(ISNUMBER('Übung 19'!BS$8),'Übung 19'!BS$8,0)</f>
        <v/>
      </c>
      <c r="V84" s="64">
        <f>IF(ISNUMBER('Übung 20'!BS$8),'Übung 20'!BS$8,0)</f>
        <v/>
      </c>
    </row>
    <row r="85">
      <c r="A85" s="62">
        <f>IF('Stammdaten'!$G71="aktiv",1,0)</f>
        <v/>
      </c>
      <c r="B85" s="172">
        <f>IF('Stammdaten'!$E71="",0,'Stammdaten'!$E71)</f>
        <v/>
      </c>
      <c r="C85" s="64">
        <f>IF(ISNUMBER('Übung 01'!BT$8),'Übung 01'!BT$8,0)</f>
        <v/>
      </c>
      <c r="D85" s="64">
        <f>IF(ISNUMBER('Übung 02'!BT$8),'Übung 02'!BT$8,0)</f>
        <v/>
      </c>
      <c r="E85" s="64">
        <f>IF(ISNUMBER('Übung 03'!BT$8),'Übung 03'!BT$8,0)</f>
        <v/>
      </c>
      <c r="F85" s="64">
        <f>IF(ISNUMBER('Übung 04'!BT$8),'Übung 04'!BT$8,0)</f>
        <v/>
      </c>
      <c r="G85" s="64">
        <f>IF(ISNUMBER('Übung 05'!BT$8),'Übung 05'!BT$8,0)</f>
        <v/>
      </c>
      <c r="H85" s="64">
        <f>IF(ISNUMBER('Übung 06'!BT$8),'Übung 06'!BT$8,0)</f>
        <v/>
      </c>
      <c r="I85" s="64">
        <f>IF(ISNUMBER('Übung 07'!BT$8),'Übung 07'!BT$8,0)</f>
        <v/>
      </c>
      <c r="J85" s="64">
        <f>IF(ISNUMBER('Übung 08'!BT$8),'Übung 08'!BT$8,0)</f>
        <v/>
      </c>
      <c r="K85" s="64">
        <f>IF(ISNUMBER('Übung 09'!BT$8),'Übung 09'!BT$8,0)</f>
        <v/>
      </c>
      <c r="L85" s="64">
        <f>IF(ISNUMBER('Übung 10'!BT$8),'Übung 10'!BT$8,0)</f>
        <v/>
      </c>
      <c r="M85" s="64">
        <f>IF(ISNUMBER('Übung 11'!BT$8),'Übung 11'!BT$8,0)</f>
        <v/>
      </c>
      <c r="N85" s="64">
        <f>IF(ISNUMBER('Übung 12'!BT$8),'Übung 12'!BT$8,0)</f>
        <v/>
      </c>
      <c r="O85" s="64">
        <f>IF(ISNUMBER('Übung 13'!BT$8),'Übung 13'!BT$8,0)</f>
        <v/>
      </c>
      <c r="P85" s="64">
        <f>IF(ISNUMBER('Übung 14'!BT$8),'Übung 14'!BT$8,0)</f>
        <v/>
      </c>
      <c r="Q85" s="64">
        <f>IF(ISNUMBER('Übung 15'!BT$8),'Übung 15'!BT$8,0)</f>
        <v/>
      </c>
      <c r="R85" s="64">
        <f>IF(ISNUMBER('Übung 16'!BT$8),'Übung 16'!BT$8,0)</f>
        <v/>
      </c>
      <c r="S85" s="64">
        <f>IF(ISNUMBER('Übung 17'!BT$8),'Übung 17'!BT$8,0)</f>
        <v/>
      </c>
      <c r="T85" s="64">
        <f>IF(ISNUMBER('Übung 18'!BT$8),'Übung 18'!BT$8,0)</f>
        <v/>
      </c>
      <c r="U85" s="64">
        <f>IF(ISNUMBER('Übung 19'!BT$8),'Übung 19'!BT$8,0)</f>
        <v/>
      </c>
      <c r="V85" s="64">
        <f>IF(ISNUMBER('Übung 20'!BT$8),'Übung 20'!BT$8,0)</f>
        <v/>
      </c>
    </row>
    <row r="86">
      <c r="A86" s="62">
        <f>IF('Stammdaten'!$G72="aktiv",1,0)</f>
        <v/>
      </c>
      <c r="B86" s="172">
        <f>IF('Stammdaten'!$E72="",0,'Stammdaten'!$E72)</f>
        <v/>
      </c>
      <c r="C86" s="64">
        <f>IF(ISNUMBER('Übung 01'!BU$8),'Übung 01'!BU$8,0)</f>
        <v/>
      </c>
      <c r="D86" s="64">
        <f>IF(ISNUMBER('Übung 02'!BU$8),'Übung 02'!BU$8,0)</f>
        <v/>
      </c>
      <c r="E86" s="64">
        <f>IF(ISNUMBER('Übung 03'!BU$8),'Übung 03'!BU$8,0)</f>
        <v/>
      </c>
      <c r="F86" s="64">
        <f>IF(ISNUMBER('Übung 04'!BU$8),'Übung 04'!BU$8,0)</f>
        <v/>
      </c>
      <c r="G86" s="64">
        <f>IF(ISNUMBER('Übung 05'!BU$8),'Übung 05'!BU$8,0)</f>
        <v/>
      </c>
      <c r="H86" s="64">
        <f>IF(ISNUMBER('Übung 06'!BU$8),'Übung 06'!BU$8,0)</f>
        <v/>
      </c>
      <c r="I86" s="64">
        <f>IF(ISNUMBER('Übung 07'!BU$8),'Übung 07'!BU$8,0)</f>
        <v/>
      </c>
      <c r="J86" s="64">
        <f>IF(ISNUMBER('Übung 08'!BU$8),'Übung 08'!BU$8,0)</f>
        <v/>
      </c>
      <c r="K86" s="64">
        <f>IF(ISNUMBER('Übung 09'!BU$8),'Übung 09'!BU$8,0)</f>
        <v/>
      </c>
      <c r="L86" s="64">
        <f>IF(ISNUMBER('Übung 10'!BU$8),'Übung 10'!BU$8,0)</f>
        <v/>
      </c>
      <c r="M86" s="64">
        <f>IF(ISNUMBER('Übung 11'!BU$8),'Übung 11'!BU$8,0)</f>
        <v/>
      </c>
      <c r="N86" s="64">
        <f>IF(ISNUMBER('Übung 12'!BU$8),'Übung 12'!BU$8,0)</f>
        <v/>
      </c>
      <c r="O86" s="64">
        <f>IF(ISNUMBER('Übung 13'!BU$8),'Übung 13'!BU$8,0)</f>
        <v/>
      </c>
      <c r="P86" s="64">
        <f>IF(ISNUMBER('Übung 14'!BU$8),'Übung 14'!BU$8,0)</f>
        <v/>
      </c>
      <c r="Q86" s="64">
        <f>IF(ISNUMBER('Übung 15'!BU$8),'Übung 15'!BU$8,0)</f>
        <v/>
      </c>
      <c r="R86" s="64">
        <f>IF(ISNUMBER('Übung 16'!BU$8),'Übung 16'!BU$8,0)</f>
        <v/>
      </c>
      <c r="S86" s="64">
        <f>IF(ISNUMBER('Übung 17'!BU$8),'Übung 17'!BU$8,0)</f>
        <v/>
      </c>
      <c r="T86" s="64">
        <f>IF(ISNUMBER('Übung 18'!BU$8),'Übung 18'!BU$8,0)</f>
        <v/>
      </c>
      <c r="U86" s="64">
        <f>IF(ISNUMBER('Übung 19'!BU$8),'Übung 19'!BU$8,0)</f>
        <v/>
      </c>
      <c r="V86" s="64">
        <f>IF(ISNUMBER('Übung 20'!BU$8),'Übung 20'!BU$8,0)</f>
        <v/>
      </c>
    </row>
    <row r="87">
      <c r="A87" s="62">
        <f>IF('Stammdaten'!$G73="aktiv",1,0)</f>
        <v/>
      </c>
      <c r="B87" s="172">
        <f>IF('Stammdaten'!$E73="",0,'Stammdaten'!$E73)</f>
        <v/>
      </c>
      <c r="C87" s="64">
        <f>IF(ISNUMBER('Übung 01'!BV$8),'Übung 01'!BV$8,0)</f>
        <v/>
      </c>
      <c r="D87" s="64">
        <f>IF(ISNUMBER('Übung 02'!BV$8),'Übung 02'!BV$8,0)</f>
        <v/>
      </c>
      <c r="E87" s="64">
        <f>IF(ISNUMBER('Übung 03'!BV$8),'Übung 03'!BV$8,0)</f>
        <v/>
      </c>
      <c r="F87" s="64">
        <f>IF(ISNUMBER('Übung 04'!BV$8),'Übung 04'!BV$8,0)</f>
        <v/>
      </c>
      <c r="G87" s="64">
        <f>IF(ISNUMBER('Übung 05'!BV$8),'Übung 05'!BV$8,0)</f>
        <v/>
      </c>
      <c r="H87" s="64">
        <f>IF(ISNUMBER('Übung 06'!BV$8),'Übung 06'!BV$8,0)</f>
        <v/>
      </c>
      <c r="I87" s="64">
        <f>IF(ISNUMBER('Übung 07'!BV$8),'Übung 07'!BV$8,0)</f>
        <v/>
      </c>
      <c r="J87" s="64">
        <f>IF(ISNUMBER('Übung 08'!BV$8),'Übung 08'!BV$8,0)</f>
        <v/>
      </c>
      <c r="K87" s="64">
        <f>IF(ISNUMBER('Übung 09'!BV$8),'Übung 09'!BV$8,0)</f>
        <v/>
      </c>
      <c r="L87" s="64">
        <f>IF(ISNUMBER('Übung 10'!BV$8),'Übung 10'!BV$8,0)</f>
        <v/>
      </c>
      <c r="M87" s="64">
        <f>IF(ISNUMBER('Übung 11'!BV$8),'Übung 11'!BV$8,0)</f>
        <v/>
      </c>
      <c r="N87" s="64">
        <f>IF(ISNUMBER('Übung 12'!BV$8),'Übung 12'!BV$8,0)</f>
        <v/>
      </c>
      <c r="O87" s="64">
        <f>IF(ISNUMBER('Übung 13'!BV$8),'Übung 13'!BV$8,0)</f>
        <v/>
      </c>
      <c r="P87" s="64">
        <f>IF(ISNUMBER('Übung 14'!BV$8),'Übung 14'!BV$8,0)</f>
        <v/>
      </c>
      <c r="Q87" s="64">
        <f>IF(ISNUMBER('Übung 15'!BV$8),'Übung 15'!BV$8,0)</f>
        <v/>
      </c>
      <c r="R87" s="64">
        <f>IF(ISNUMBER('Übung 16'!BV$8),'Übung 16'!BV$8,0)</f>
        <v/>
      </c>
      <c r="S87" s="64">
        <f>IF(ISNUMBER('Übung 17'!BV$8),'Übung 17'!BV$8,0)</f>
        <v/>
      </c>
      <c r="T87" s="64">
        <f>IF(ISNUMBER('Übung 18'!BV$8),'Übung 18'!BV$8,0)</f>
        <v/>
      </c>
      <c r="U87" s="64">
        <f>IF(ISNUMBER('Übung 19'!BV$8),'Übung 19'!BV$8,0)</f>
        <v/>
      </c>
      <c r="V87" s="64">
        <f>IF(ISNUMBER('Übung 20'!BV$8),'Übung 20'!BV$8,0)</f>
        <v/>
      </c>
    </row>
    <row r="88">
      <c r="A88" s="62">
        <f>IF('Stammdaten'!$G74="aktiv",1,0)</f>
        <v/>
      </c>
      <c r="B88" s="172">
        <f>IF('Stammdaten'!$E74="",0,'Stammdaten'!$E74)</f>
        <v/>
      </c>
      <c r="C88" s="64">
        <f>IF(ISNUMBER('Übung 01'!BW$8),'Übung 01'!BW$8,0)</f>
        <v/>
      </c>
      <c r="D88" s="64">
        <f>IF(ISNUMBER('Übung 02'!BW$8),'Übung 02'!BW$8,0)</f>
        <v/>
      </c>
      <c r="E88" s="64">
        <f>IF(ISNUMBER('Übung 03'!BW$8),'Übung 03'!BW$8,0)</f>
        <v/>
      </c>
      <c r="F88" s="64">
        <f>IF(ISNUMBER('Übung 04'!BW$8),'Übung 04'!BW$8,0)</f>
        <v/>
      </c>
      <c r="G88" s="64">
        <f>IF(ISNUMBER('Übung 05'!BW$8),'Übung 05'!BW$8,0)</f>
        <v/>
      </c>
      <c r="H88" s="64">
        <f>IF(ISNUMBER('Übung 06'!BW$8),'Übung 06'!BW$8,0)</f>
        <v/>
      </c>
      <c r="I88" s="64">
        <f>IF(ISNUMBER('Übung 07'!BW$8),'Übung 07'!BW$8,0)</f>
        <v/>
      </c>
      <c r="J88" s="64">
        <f>IF(ISNUMBER('Übung 08'!BW$8),'Übung 08'!BW$8,0)</f>
        <v/>
      </c>
      <c r="K88" s="64">
        <f>IF(ISNUMBER('Übung 09'!BW$8),'Übung 09'!BW$8,0)</f>
        <v/>
      </c>
      <c r="L88" s="64">
        <f>IF(ISNUMBER('Übung 10'!BW$8),'Übung 10'!BW$8,0)</f>
        <v/>
      </c>
      <c r="M88" s="64">
        <f>IF(ISNUMBER('Übung 11'!BW$8),'Übung 11'!BW$8,0)</f>
        <v/>
      </c>
      <c r="N88" s="64">
        <f>IF(ISNUMBER('Übung 12'!BW$8),'Übung 12'!BW$8,0)</f>
        <v/>
      </c>
      <c r="O88" s="64">
        <f>IF(ISNUMBER('Übung 13'!BW$8),'Übung 13'!BW$8,0)</f>
        <v/>
      </c>
      <c r="P88" s="64">
        <f>IF(ISNUMBER('Übung 14'!BW$8),'Übung 14'!BW$8,0)</f>
        <v/>
      </c>
      <c r="Q88" s="64">
        <f>IF(ISNUMBER('Übung 15'!BW$8),'Übung 15'!BW$8,0)</f>
        <v/>
      </c>
      <c r="R88" s="64">
        <f>IF(ISNUMBER('Übung 16'!BW$8),'Übung 16'!BW$8,0)</f>
        <v/>
      </c>
      <c r="S88" s="64">
        <f>IF(ISNUMBER('Übung 17'!BW$8),'Übung 17'!BW$8,0)</f>
        <v/>
      </c>
      <c r="T88" s="64">
        <f>IF(ISNUMBER('Übung 18'!BW$8),'Übung 18'!BW$8,0)</f>
        <v/>
      </c>
      <c r="U88" s="64">
        <f>IF(ISNUMBER('Übung 19'!BW$8),'Übung 19'!BW$8,0)</f>
        <v/>
      </c>
      <c r="V88" s="64">
        <f>IF(ISNUMBER('Übung 20'!BW$8),'Übung 20'!BW$8,0)</f>
        <v/>
      </c>
    </row>
    <row r="89">
      <c r="A89" s="62">
        <f>IF('Stammdaten'!$G75="aktiv",1,0)</f>
        <v/>
      </c>
      <c r="B89" s="172">
        <f>IF('Stammdaten'!$E75="",0,'Stammdaten'!$E75)</f>
        <v/>
      </c>
      <c r="C89" s="64">
        <f>IF(ISNUMBER('Übung 01'!BX$8),'Übung 01'!BX$8,0)</f>
        <v/>
      </c>
      <c r="D89" s="64">
        <f>IF(ISNUMBER('Übung 02'!BX$8),'Übung 02'!BX$8,0)</f>
        <v/>
      </c>
      <c r="E89" s="64">
        <f>IF(ISNUMBER('Übung 03'!BX$8),'Übung 03'!BX$8,0)</f>
        <v/>
      </c>
      <c r="F89" s="64">
        <f>IF(ISNUMBER('Übung 04'!BX$8),'Übung 04'!BX$8,0)</f>
        <v/>
      </c>
      <c r="G89" s="64">
        <f>IF(ISNUMBER('Übung 05'!BX$8),'Übung 05'!BX$8,0)</f>
        <v/>
      </c>
      <c r="H89" s="64">
        <f>IF(ISNUMBER('Übung 06'!BX$8),'Übung 06'!BX$8,0)</f>
        <v/>
      </c>
      <c r="I89" s="64">
        <f>IF(ISNUMBER('Übung 07'!BX$8),'Übung 07'!BX$8,0)</f>
        <v/>
      </c>
      <c r="J89" s="64">
        <f>IF(ISNUMBER('Übung 08'!BX$8),'Übung 08'!BX$8,0)</f>
        <v/>
      </c>
      <c r="K89" s="64">
        <f>IF(ISNUMBER('Übung 09'!BX$8),'Übung 09'!BX$8,0)</f>
        <v/>
      </c>
      <c r="L89" s="64">
        <f>IF(ISNUMBER('Übung 10'!BX$8),'Übung 10'!BX$8,0)</f>
        <v/>
      </c>
      <c r="M89" s="64">
        <f>IF(ISNUMBER('Übung 11'!BX$8),'Übung 11'!BX$8,0)</f>
        <v/>
      </c>
      <c r="N89" s="64">
        <f>IF(ISNUMBER('Übung 12'!BX$8),'Übung 12'!BX$8,0)</f>
        <v/>
      </c>
      <c r="O89" s="64">
        <f>IF(ISNUMBER('Übung 13'!BX$8),'Übung 13'!BX$8,0)</f>
        <v/>
      </c>
      <c r="P89" s="64">
        <f>IF(ISNUMBER('Übung 14'!BX$8),'Übung 14'!BX$8,0)</f>
        <v/>
      </c>
      <c r="Q89" s="64">
        <f>IF(ISNUMBER('Übung 15'!BX$8),'Übung 15'!BX$8,0)</f>
        <v/>
      </c>
      <c r="R89" s="64">
        <f>IF(ISNUMBER('Übung 16'!BX$8),'Übung 16'!BX$8,0)</f>
        <v/>
      </c>
      <c r="S89" s="64">
        <f>IF(ISNUMBER('Übung 17'!BX$8),'Übung 17'!BX$8,0)</f>
        <v/>
      </c>
      <c r="T89" s="64">
        <f>IF(ISNUMBER('Übung 18'!BX$8),'Übung 18'!BX$8,0)</f>
        <v/>
      </c>
      <c r="U89" s="64">
        <f>IF(ISNUMBER('Übung 19'!BX$8),'Übung 19'!BX$8,0)</f>
        <v/>
      </c>
      <c r="V89" s="64">
        <f>IF(ISNUMBER('Übung 20'!BX$8),'Übung 20'!BX$8,0)</f>
        <v/>
      </c>
    </row>
    <row r="90">
      <c r="A90" s="62">
        <f>IF('Stammdaten'!$G76="aktiv",1,0)</f>
        <v/>
      </c>
      <c r="B90" s="172">
        <f>IF('Stammdaten'!$E76="",0,'Stammdaten'!$E76)</f>
        <v/>
      </c>
      <c r="C90" s="64">
        <f>IF(ISNUMBER('Übung 01'!BY$8),'Übung 01'!BY$8,0)</f>
        <v/>
      </c>
      <c r="D90" s="64">
        <f>IF(ISNUMBER('Übung 02'!BY$8),'Übung 02'!BY$8,0)</f>
        <v/>
      </c>
      <c r="E90" s="64">
        <f>IF(ISNUMBER('Übung 03'!BY$8),'Übung 03'!BY$8,0)</f>
        <v/>
      </c>
      <c r="F90" s="64">
        <f>IF(ISNUMBER('Übung 04'!BY$8),'Übung 04'!BY$8,0)</f>
        <v/>
      </c>
      <c r="G90" s="64">
        <f>IF(ISNUMBER('Übung 05'!BY$8),'Übung 05'!BY$8,0)</f>
        <v/>
      </c>
      <c r="H90" s="64">
        <f>IF(ISNUMBER('Übung 06'!BY$8),'Übung 06'!BY$8,0)</f>
        <v/>
      </c>
      <c r="I90" s="64">
        <f>IF(ISNUMBER('Übung 07'!BY$8),'Übung 07'!BY$8,0)</f>
        <v/>
      </c>
      <c r="J90" s="64">
        <f>IF(ISNUMBER('Übung 08'!BY$8),'Übung 08'!BY$8,0)</f>
        <v/>
      </c>
      <c r="K90" s="64">
        <f>IF(ISNUMBER('Übung 09'!BY$8),'Übung 09'!BY$8,0)</f>
        <v/>
      </c>
      <c r="L90" s="64">
        <f>IF(ISNUMBER('Übung 10'!BY$8),'Übung 10'!BY$8,0)</f>
        <v/>
      </c>
      <c r="M90" s="64">
        <f>IF(ISNUMBER('Übung 11'!BY$8),'Übung 11'!BY$8,0)</f>
        <v/>
      </c>
      <c r="N90" s="64">
        <f>IF(ISNUMBER('Übung 12'!BY$8),'Übung 12'!BY$8,0)</f>
        <v/>
      </c>
      <c r="O90" s="64">
        <f>IF(ISNUMBER('Übung 13'!BY$8),'Übung 13'!BY$8,0)</f>
        <v/>
      </c>
      <c r="P90" s="64">
        <f>IF(ISNUMBER('Übung 14'!BY$8),'Übung 14'!BY$8,0)</f>
        <v/>
      </c>
      <c r="Q90" s="64">
        <f>IF(ISNUMBER('Übung 15'!BY$8),'Übung 15'!BY$8,0)</f>
        <v/>
      </c>
      <c r="R90" s="64">
        <f>IF(ISNUMBER('Übung 16'!BY$8),'Übung 16'!BY$8,0)</f>
        <v/>
      </c>
      <c r="S90" s="64">
        <f>IF(ISNUMBER('Übung 17'!BY$8),'Übung 17'!BY$8,0)</f>
        <v/>
      </c>
      <c r="T90" s="64">
        <f>IF(ISNUMBER('Übung 18'!BY$8),'Übung 18'!BY$8,0)</f>
        <v/>
      </c>
      <c r="U90" s="64">
        <f>IF(ISNUMBER('Übung 19'!BY$8),'Übung 19'!BY$8,0)</f>
        <v/>
      </c>
      <c r="V90" s="64">
        <f>IF(ISNUMBER('Übung 20'!BY$8),'Übung 20'!BY$8,0)</f>
        <v/>
      </c>
    </row>
    <row r="91">
      <c r="A91" s="62">
        <f>IF('Stammdaten'!$G77="aktiv",1,0)</f>
        <v/>
      </c>
      <c r="B91" s="172">
        <f>IF('Stammdaten'!$E77="",0,'Stammdaten'!$E77)</f>
        <v/>
      </c>
      <c r="C91" s="64">
        <f>IF(ISNUMBER('Übung 01'!BZ$8),'Übung 01'!BZ$8,0)</f>
        <v/>
      </c>
      <c r="D91" s="64">
        <f>IF(ISNUMBER('Übung 02'!BZ$8),'Übung 02'!BZ$8,0)</f>
        <v/>
      </c>
      <c r="E91" s="64">
        <f>IF(ISNUMBER('Übung 03'!BZ$8),'Übung 03'!BZ$8,0)</f>
        <v/>
      </c>
      <c r="F91" s="64">
        <f>IF(ISNUMBER('Übung 04'!BZ$8),'Übung 04'!BZ$8,0)</f>
        <v/>
      </c>
      <c r="G91" s="64">
        <f>IF(ISNUMBER('Übung 05'!BZ$8),'Übung 05'!BZ$8,0)</f>
        <v/>
      </c>
      <c r="H91" s="64">
        <f>IF(ISNUMBER('Übung 06'!BZ$8),'Übung 06'!BZ$8,0)</f>
        <v/>
      </c>
      <c r="I91" s="64">
        <f>IF(ISNUMBER('Übung 07'!BZ$8),'Übung 07'!BZ$8,0)</f>
        <v/>
      </c>
      <c r="J91" s="64">
        <f>IF(ISNUMBER('Übung 08'!BZ$8),'Übung 08'!BZ$8,0)</f>
        <v/>
      </c>
      <c r="K91" s="64">
        <f>IF(ISNUMBER('Übung 09'!BZ$8),'Übung 09'!BZ$8,0)</f>
        <v/>
      </c>
      <c r="L91" s="64">
        <f>IF(ISNUMBER('Übung 10'!BZ$8),'Übung 10'!BZ$8,0)</f>
        <v/>
      </c>
      <c r="M91" s="64">
        <f>IF(ISNUMBER('Übung 11'!BZ$8),'Übung 11'!BZ$8,0)</f>
        <v/>
      </c>
      <c r="N91" s="64">
        <f>IF(ISNUMBER('Übung 12'!BZ$8),'Übung 12'!BZ$8,0)</f>
        <v/>
      </c>
      <c r="O91" s="64">
        <f>IF(ISNUMBER('Übung 13'!BZ$8),'Übung 13'!BZ$8,0)</f>
        <v/>
      </c>
      <c r="P91" s="64">
        <f>IF(ISNUMBER('Übung 14'!BZ$8),'Übung 14'!BZ$8,0)</f>
        <v/>
      </c>
      <c r="Q91" s="64">
        <f>IF(ISNUMBER('Übung 15'!BZ$8),'Übung 15'!BZ$8,0)</f>
        <v/>
      </c>
      <c r="R91" s="64">
        <f>IF(ISNUMBER('Übung 16'!BZ$8),'Übung 16'!BZ$8,0)</f>
        <v/>
      </c>
      <c r="S91" s="64">
        <f>IF(ISNUMBER('Übung 17'!BZ$8),'Übung 17'!BZ$8,0)</f>
        <v/>
      </c>
      <c r="T91" s="64">
        <f>IF(ISNUMBER('Übung 18'!BZ$8),'Übung 18'!BZ$8,0)</f>
        <v/>
      </c>
      <c r="U91" s="64">
        <f>IF(ISNUMBER('Übung 19'!BZ$8),'Übung 19'!BZ$8,0)</f>
        <v/>
      </c>
      <c r="V91" s="64">
        <f>IF(ISNUMBER('Übung 20'!BZ$8),'Übung 20'!BZ$8,0)</f>
        <v/>
      </c>
    </row>
    <row r="92">
      <c r="A92" s="62">
        <f>IF('Stammdaten'!$G78="aktiv",1,0)</f>
        <v/>
      </c>
      <c r="B92" s="172">
        <f>IF('Stammdaten'!$E78="",0,'Stammdaten'!$E78)</f>
        <v/>
      </c>
      <c r="C92" s="64">
        <f>IF(ISNUMBER('Übung 01'!CA$8),'Übung 01'!CA$8,0)</f>
        <v/>
      </c>
      <c r="D92" s="64">
        <f>IF(ISNUMBER('Übung 02'!CA$8),'Übung 02'!CA$8,0)</f>
        <v/>
      </c>
      <c r="E92" s="64">
        <f>IF(ISNUMBER('Übung 03'!CA$8),'Übung 03'!CA$8,0)</f>
        <v/>
      </c>
      <c r="F92" s="64">
        <f>IF(ISNUMBER('Übung 04'!CA$8),'Übung 04'!CA$8,0)</f>
        <v/>
      </c>
      <c r="G92" s="64">
        <f>IF(ISNUMBER('Übung 05'!CA$8),'Übung 05'!CA$8,0)</f>
        <v/>
      </c>
      <c r="H92" s="64">
        <f>IF(ISNUMBER('Übung 06'!CA$8),'Übung 06'!CA$8,0)</f>
        <v/>
      </c>
      <c r="I92" s="64">
        <f>IF(ISNUMBER('Übung 07'!CA$8),'Übung 07'!CA$8,0)</f>
        <v/>
      </c>
      <c r="J92" s="64">
        <f>IF(ISNUMBER('Übung 08'!CA$8),'Übung 08'!CA$8,0)</f>
        <v/>
      </c>
      <c r="K92" s="64">
        <f>IF(ISNUMBER('Übung 09'!CA$8),'Übung 09'!CA$8,0)</f>
        <v/>
      </c>
      <c r="L92" s="64">
        <f>IF(ISNUMBER('Übung 10'!CA$8),'Übung 10'!CA$8,0)</f>
        <v/>
      </c>
      <c r="M92" s="64">
        <f>IF(ISNUMBER('Übung 11'!CA$8),'Übung 11'!CA$8,0)</f>
        <v/>
      </c>
      <c r="N92" s="64">
        <f>IF(ISNUMBER('Übung 12'!CA$8),'Übung 12'!CA$8,0)</f>
        <v/>
      </c>
      <c r="O92" s="64">
        <f>IF(ISNUMBER('Übung 13'!CA$8),'Übung 13'!CA$8,0)</f>
        <v/>
      </c>
      <c r="P92" s="64">
        <f>IF(ISNUMBER('Übung 14'!CA$8),'Übung 14'!CA$8,0)</f>
        <v/>
      </c>
      <c r="Q92" s="64">
        <f>IF(ISNUMBER('Übung 15'!CA$8),'Übung 15'!CA$8,0)</f>
        <v/>
      </c>
      <c r="R92" s="64">
        <f>IF(ISNUMBER('Übung 16'!CA$8),'Übung 16'!CA$8,0)</f>
        <v/>
      </c>
      <c r="S92" s="64">
        <f>IF(ISNUMBER('Übung 17'!CA$8),'Übung 17'!CA$8,0)</f>
        <v/>
      </c>
      <c r="T92" s="64">
        <f>IF(ISNUMBER('Übung 18'!CA$8),'Übung 18'!CA$8,0)</f>
        <v/>
      </c>
      <c r="U92" s="64">
        <f>IF(ISNUMBER('Übung 19'!CA$8),'Übung 19'!CA$8,0)</f>
        <v/>
      </c>
      <c r="V92" s="64">
        <f>IF(ISNUMBER('Übung 20'!CA$8),'Übung 20'!CA$8,0)</f>
        <v/>
      </c>
    </row>
    <row r="93">
      <c r="A93" s="62">
        <f>IF('Stammdaten'!$G79="aktiv",1,0)</f>
        <v/>
      </c>
      <c r="B93" s="172">
        <f>IF('Stammdaten'!$E79="",0,'Stammdaten'!$E79)</f>
        <v/>
      </c>
      <c r="C93" s="64">
        <f>IF(ISNUMBER('Übung 01'!CB$8),'Übung 01'!CB$8,0)</f>
        <v/>
      </c>
      <c r="D93" s="64">
        <f>IF(ISNUMBER('Übung 02'!CB$8),'Übung 02'!CB$8,0)</f>
        <v/>
      </c>
      <c r="E93" s="64">
        <f>IF(ISNUMBER('Übung 03'!CB$8),'Übung 03'!CB$8,0)</f>
        <v/>
      </c>
      <c r="F93" s="64">
        <f>IF(ISNUMBER('Übung 04'!CB$8),'Übung 04'!CB$8,0)</f>
        <v/>
      </c>
      <c r="G93" s="64">
        <f>IF(ISNUMBER('Übung 05'!CB$8),'Übung 05'!CB$8,0)</f>
        <v/>
      </c>
      <c r="H93" s="64">
        <f>IF(ISNUMBER('Übung 06'!CB$8),'Übung 06'!CB$8,0)</f>
        <v/>
      </c>
      <c r="I93" s="64">
        <f>IF(ISNUMBER('Übung 07'!CB$8),'Übung 07'!CB$8,0)</f>
        <v/>
      </c>
      <c r="J93" s="64">
        <f>IF(ISNUMBER('Übung 08'!CB$8),'Übung 08'!CB$8,0)</f>
        <v/>
      </c>
      <c r="K93" s="64">
        <f>IF(ISNUMBER('Übung 09'!CB$8),'Übung 09'!CB$8,0)</f>
        <v/>
      </c>
      <c r="L93" s="64">
        <f>IF(ISNUMBER('Übung 10'!CB$8),'Übung 10'!CB$8,0)</f>
        <v/>
      </c>
      <c r="M93" s="64">
        <f>IF(ISNUMBER('Übung 11'!CB$8),'Übung 11'!CB$8,0)</f>
        <v/>
      </c>
      <c r="N93" s="64">
        <f>IF(ISNUMBER('Übung 12'!CB$8),'Übung 12'!CB$8,0)</f>
        <v/>
      </c>
      <c r="O93" s="64">
        <f>IF(ISNUMBER('Übung 13'!CB$8),'Übung 13'!CB$8,0)</f>
        <v/>
      </c>
      <c r="P93" s="64">
        <f>IF(ISNUMBER('Übung 14'!CB$8),'Übung 14'!CB$8,0)</f>
        <v/>
      </c>
      <c r="Q93" s="64">
        <f>IF(ISNUMBER('Übung 15'!CB$8),'Übung 15'!CB$8,0)</f>
        <v/>
      </c>
      <c r="R93" s="64">
        <f>IF(ISNUMBER('Übung 16'!CB$8),'Übung 16'!CB$8,0)</f>
        <v/>
      </c>
      <c r="S93" s="64">
        <f>IF(ISNUMBER('Übung 17'!CB$8),'Übung 17'!CB$8,0)</f>
        <v/>
      </c>
      <c r="T93" s="64">
        <f>IF(ISNUMBER('Übung 18'!CB$8),'Übung 18'!CB$8,0)</f>
        <v/>
      </c>
      <c r="U93" s="64">
        <f>IF(ISNUMBER('Übung 19'!CB$8),'Übung 19'!CB$8,0)</f>
        <v/>
      </c>
      <c r="V93" s="64">
        <f>IF(ISNUMBER('Übung 20'!CB$8),'Übung 20'!CB$8,0)</f>
        <v/>
      </c>
    </row>
    <row r="94">
      <c r="A94" s="62">
        <f>IF('Stammdaten'!$G80="aktiv",1,0)</f>
        <v/>
      </c>
      <c r="B94" s="172">
        <f>IF('Stammdaten'!$E80="",0,'Stammdaten'!$E80)</f>
        <v/>
      </c>
      <c r="C94" s="64">
        <f>IF(ISNUMBER('Übung 01'!CC$8),'Übung 01'!CC$8,0)</f>
        <v/>
      </c>
      <c r="D94" s="64">
        <f>IF(ISNUMBER('Übung 02'!CC$8),'Übung 02'!CC$8,0)</f>
        <v/>
      </c>
      <c r="E94" s="64">
        <f>IF(ISNUMBER('Übung 03'!CC$8),'Übung 03'!CC$8,0)</f>
        <v/>
      </c>
      <c r="F94" s="64">
        <f>IF(ISNUMBER('Übung 04'!CC$8),'Übung 04'!CC$8,0)</f>
        <v/>
      </c>
      <c r="G94" s="64">
        <f>IF(ISNUMBER('Übung 05'!CC$8),'Übung 05'!CC$8,0)</f>
        <v/>
      </c>
      <c r="H94" s="64">
        <f>IF(ISNUMBER('Übung 06'!CC$8),'Übung 06'!CC$8,0)</f>
        <v/>
      </c>
      <c r="I94" s="64">
        <f>IF(ISNUMBER('Übung 07'!CC$8),'Übung 07'!CC$8,0)</f>
        <v/>
      </c>
      <c r="J94" s="64">
        <f>IF(ISNUMBER('Übung 08'!CC$8),'Übung 08'!CC$8,0)</f>
        <v/>
      </c>
      <c r="K94" s="64">
        <f>IF(ISNUMBER('Übung 09'!CC$8),'Übung 09'!CC$8,0)</f>
        <v/>
      </c>
      <c r="L94" s="64">
        <f>IF(ISNUMBER('Übung 10'!CC$8),'Übung 10'!CC$8,0)</f>
        <v/>
      </c>
      <c r="M94" s="64">
        <f>IF(ISNUMBER('Übung 11'!CC$8),'Übung 11'!CC$8,0)</f>
        <v/>
      </c>
      <c r="N94" s="64">
        <f>IF(ISNUMBER('Übung 12'!CC$8),'Übung 12'!CC$8,0)</f>
        <v/>
      </c>
      <c r="O94" s="64">
        <f>IF(ISNUMBER('Übung 13'!CC$8),'Übung 13'!CC$8,0)</f>
        <v/>
      </c>
      <c r="P94" s="64">
        <f>IF(ISNUMBER('Übung 14'!CC$8),'Übung 14'!CC$8,0)</f>
        <v/>
      </c>
      <c r="Q94" s="64">
        <f>IF(ISNUMBER('Übung 15'!CC$8),'Übung 15'!CC$8,0)</f>
        <v/>
      </c>
      <c r="R94" s="64">
        <f>IF(ISNUMBER('Übung 16'!CC$8),'Übung 16'!CC$8,0)</f>
        <v/>
      </c>
      <c r="S94" s="64">
        <f>IF(ISNUMBER('Übung 17'!CC$8),'Übung 17'!CC$8,0)</f>
        <v/>
      </c>
      <c r="T94" s="64">
        <f>IF(ISNUMBER('Übung 18'!CC$8),'Übung 18'!CC$8,0)</f>
        <v/>
      </c>
      <c r="U94" s="64">
        <f>IF(ISNUMBER('Übung 19'!CC$8),'Übung 19'!CC$8,0)</f>
        <v/>
      </c>
      <c r="V94" s="64">
        <f>IF(ISNUMBER('Übung 20'!CC$8),'Übung 20'!CC$8,0)</f>
        <v/>
      </c>
    </row>
    <row r="95">
      <c r="A95" s="62">
        <f>IF('Stammdaten'!$G81="aktiv",1,0)</f>
        <v/>
      </c>
      <c r="B95" s="172">
        <f>IF('Stammdaten'!$E81="",0,'Stammdaten'!$E81)</f>
        <v/>
      </c>
      <c r="C95" s="64">
        <f>IF(ISNUMBER('Übung 01'!CE$8),'Übung 01'!CE$8,0)</f>
        <v/>
      </c>
      <c r="D95" s="64">
        <f>IF(ISNUMBER('Übung 02'!CE$8),'Übung 02'!CE$8,0)</f>
        <v/>
      </c>
      <c r="E95" s="64">
        <f>IF(ISNUMBER('Übung 03'!CE$8),'Übung 03'!CE$8,0)</f>
        <v/>
      </c>
      <c r="F95" s="64">
        <f>IF(ISNUMBER('Übung 04'!CE$8),'Übung 04'!CE$8,0)</f>
        <v/>
      </c>
      <c r="G95" s="64">
        <f>IF(ISNUMBER('Übung 05'!CE$8),'Übung 05'!CE$8,0)</f>
        <v/>
      </c>
      <c r="H95" s="64">
        <f>IF(ISNUMBER('Übung 06'!CE$8),'Übung 06'!CE$8,0)</f>
        <v/>
      </c>
      <c r="I95" s="64">
        <f>IF(ISNUMBER('Übung 07'!CE$8),'Übung 07'!CE$8,0)</f>
        <v/>
      </c>
      <c r="J95" s="64">
        <f>IF(ISNUMBER('Übung 08'!CE$8),'Übung 08'!CE$8,0)</f>
        <v/>
      </c>
      <c r="K95" s="64">
        <f>IF(ISNUMBER('Übung 09'!CE$8),'Übung 09'!CE$8,0)</f>
        <v/>
      </c>
      <c r="L95" s="64">
        <f>IF(ISNUMBER('Übung 10'!CE$8),'Übung 10'!CE$8,0)</f>
        <v/>
      </c>
      <c r="M95" s="64">
        <f>IF(ISNUMBER('Übung 11'!CE$8),'Übung 11'!CE$8,0)</f>
        <v/>
      </c>
      <c r="N95" s="64">
        <f>IF(ISNUMBER('Übung 12'!CE$8),'Übung 12'!CE$8,0)</f>
        <v/>
      </c>
      <c r="O95" s="64">
        <f>IF(ISNUMBER('Übung 13'!CE$8),'Übung 13'!CE$8,0)</f>
        <v/>
      </c>
      <c r="P95" s="64">
        <f>IF(ISNUMBER('Übung 14'!CE$8),'Übung 14'!CE$8,0)</f>
        <v/>
      </c>
      <c r="Q95" s="64">
        <f>IF(ISNUMBER('Übung 15'!CE$8),'Übung 15'!CE$8,0)</f>
        <v/>
      </c>
      <c r="R95" s="64">
        <f>IF(ISNUMBER('Übung 16'!CE$8),'Übung 16'!CE$8,0)</f>
        <v/>
      </c>
      <c r="S95" s="64">
        <f>IF(ISNUMBER('Übung 17'!CE$8),'Übung 17'!CE$8,0)</f>
        <v/>
      </c>
      <c r="T95" s="64">
        <f>IF(ISNUMBER('Übung 18'!CE$8),'Übung 18'!CE$8,0)</f>
        <v/>
      </c>
      <c r="U95" s="64">
        <f>IF(ISNUMBER('Übung 19'!CE$8),'Übung 19'!CE$8,0)</f>
        <v/>
      </c>
      <c r="V95" s="64">
        <f>IF(ISNUMBER('Übung 20'!CE$8),'Übung 20'!CE$8,0)</f>
        <v/>
      </c>
    </row>
    <row r="96">
      <c r="A96" s="62">
        <f>IF('Stammdaten'!$G82="aktiv",1,0)</f>
        <v/>
      </c>
      <c r="B96" s="172">
        <f>IF('Stammdaten'!$E82="",0,'Stammdaten'!$E82)</f>
        <v/>
      </c>
      <c r="C96" s="64">
        <f>IF(ISNUMBER('Übung 01'!CF$8),'Übung 01'!CF$8,0)</f>
        <v/>
      </c>
      <c r="D96" s="64">
        <f>IF(ISNUMBER('Übung 02'!CF$8),'Übung 02'!CF$8,0)</f>
        <v/>
      </c>
      <c r="E96" s="64">
        <f>IF(ISNUMBER('Übung 03'!CF$8),'Übung 03'!CF$8,0)</f>
        <v/>
      </c>
      <c r="F96" s="64">
        <f>IF(ISNUMBER('Übung 04'!CF$8),'Übung 04'!CF$8,0)</f>
        <v/>
      </c>
      <c r="G96" s="64">
        <f>IF(ISNUMBER('Übung 05'!CF$8),'Übung 05'!CF$8,0)</f>
        <v/>
      </c>
      <c r="H96" s="64">
        <f>IF(ISNUMBER('Übung 06'!CF$8),'Übung 06'!CF$8,0)</f>
        <v/>
      </c>
      <c r="I96" s="64">
        <f>IF(ISNUMBER('Übung 07'!CF$8),'Übung 07'!CF$8,0)</f>
        <v/>
      </c>
      <c r="J96" s="64">
        <f>IF(ISNUMBER('Übung 08'!CF$8),'Übung 08'!CF$8,0)</f>
        <v/>
      </c>
      <c r="K96" s="64">
        <f>IF(ISNUMBER('Übung 09'!CF$8),'Übung 09'!CF$8,0)</f>
        <v/>
      </c>
      <c r="L96" s="64">
        <f>IF(ISNUMBER('Übung 10'!CF$8),'Übung 10'!CF$8,0)</f>
        <v/>
      </c>
      <c r="M96" s="64">
        <f>IF(ISNUMBER('Übung 11'!CF$8),'Übung 11'!CF$8,0)</f>
        <v/>
      </c>
      <c r="N96" s="64">
        <f>IF(ISNUMBER('Übung 12'!CF$8),'Übung 12'!CF$8,0)</f>
        <v/>
      </c>
      <c r="O96" s="64">
        <f>IF(ISNUMBER('Übung 13'!CF$8),'Übung 13'!CF$8,0)</f>
        <v/>
      </c>
      <c r="P96" s="64">
        <f>IF(ISNUMBER('Übung 14'!CF$8),'Übung 14'!CF$8,0)</f>
        <v/>
      </c>
      <c r="Q96" s="64">
        <f>IF(ISNUMBER('Übung 15'!CF$8),'Übung 15'!CF$8,0)</f>
        <v/>
      </c>
      <c r="R96" s="64">
        <f>IF(ISNUMBER('Übung 16'!CF$8),'Übung 16'!CF$8,0)</f>
        <v/>
      </c>
      <c r="S96" s="64">
        <f>IF(ISNUMBER('Übung 17'!CF$8),'Übung 17'!CF$8,0)</f>
        <v/>
      </c>
      <c r="T96" s="64">
        <f>IF(ISNUMBER('Übung 18'!CF$8),'Übung 18'!CF$8,0)</f>
        <v/>
      </c>
      <c r="U96" s="64">
        <f>IF(ISNUMBER('Übung 19'!CF$8),'Übung 19'!CF$8,0)</f>
        <v/>
      </c>
      <c r="V96" s="64">
        <f>IF(ISNUMBER('Übung 20'!CF$8),'Übung 20'!CF$8,0)</f>
        <v/>
      </c>
    </row>
    <row r="97">
      <c r="A97" s="62">
        <f>IF('Stammdaten'!$G83="aktiv",1,0)</f>
        <v/>
      </c>
      <c r="B97" s="172">
        <f>IF('Stammdaten'!$E83="",0,'Stammdaten'!$E83)</f>
        <v/>
      </c>
      <c r="C97" s="64">
        <f>IF(ISNUMBER('Übung 01'!CG$8),'Übung 01'!CG$8,0)</f>
        <v/>
      </c>
      <c r="D97" s="64">
        <f>IF(ISNUMBER('Übung 02'!CG$8),'Übung 02'!CG$8,0)</f>
        <v/>
      </c>
      <c r="E97" s="64">
        <f>IF(ISNUMBER('Übung 03'!CG$8),'Übung 03'!CG$8,0)</f>
        <v/>
      </c>
      <c r="F97" s="64">
        <f>IF(ISNUMBER('Übung 04'!CG$8),'Übung 04'!CG$8,0)</f>
        <v/>
      </c>
      <c r="G97" s="64">
        <f>IF(ISNUMBER('Übung 05'!CG$8),'Übung 05'!CG$8,0)</f>
        <v/>
      </c>
      <c r="H97" s="64">
        <f>IF(ISNUMBER('Übung 06'!CG$8),'Übung 06'!CG$8,0)</f>
        <v/>
      </c>
      <c r="I97" s="64">
        <f>IF(ISNUMBER('Übung 07'!CG$8),'Übung 07'!CG$8,0)</f>
        <v/>
      </c>
      <c r="J97" s="64">
        <f>IF(ISNUMBER('Übung 08'!CG$8),'Übung 08'!CG$8,0)</f>
        <v/>
      </c>
      <c r="K97" s="64">
        <f>IF(ISNUMBER('Übung 09'!CG$8),'Übung 09'!CG$8,0)</f>
        <v/>
      </c>
      <c r="L97" s="64">
        <f>IF(ISNUMBER('Übung 10'!CG$8),'Übung 10'!CG$8,0)</f>
        <v/>
      </c>
      <c r="M97" s="64">
        <f>IF(ISNUMBER('Übung 11'!CG$8),'Übung 11'!CG$8,0)</f>
        <v/>
      </c>
      <c r="N97" s="64">
        <f>IF(ISNUMBER('Übung 12'!CG$8),'Übung 12'!CG$8,0)</f>
        <v/>
      </c>
      <c r="O97" s="64">
        <f>IF(ISNUMBER('Übung 13'!CG$8),'Übung 13'!CG$8,0)</f>
        <v/>
      </c>
      <c r="P97" s="64">
        <f>IF(ISNUMBER('Übung 14'!CG$8),'Übung 14'!CG$8,0)</f>
        <v/>
      </c>
      <c r="Q97" s="64">
        <f>IF(ISNUMBER('Übung 15'!CG$8),'Übung 15'!CG$8,0)</f>
        <v/>
      </c>
      <c r="R97" s="64">
        <f>IF(ISNUMBER('Übung 16'!CG$8),'Übung 16'!CG$8,0)</f>
        <v/>
      </c>
      <c r="S97" s="64">
        <f>IF(ISNUMBER('Übung 17'!CG$8),'Übung 17'!CG$8,0)</f>
        <v/>
      </c>
      <c r="T97" s="64">
        <f>IF(ISNUMBER('Übung 18'!CG$8),'Übung 18'!CG$8,0)</f>
        <v/>
      </c>
      <c r="U97" s="64">
        <f>IF(ISNUMBER('Übung 19'!CG$8),'Übung 19'!CG$8,0)</f>
        <v/>
      </c>
      <c r="V97" s="64">
        <f>IF(ISNUMBER('Übung 20'!CG$8),'Übung 20'!CG$8,0)</f>
        <v/>
      </c>
    </row>
    <row r="98">
      <c r="A98" s="62">
        <f>IF('Stammdaten'!$G84="aktiv",1,0)</f>
        <v/>
      </c>
      <c r="B98" s="172">
        <f>IF('Stammdaten'!$E84="",0,'Stammdaten'!$E84)</f>
        <v/>
      </c>
      <c r="C98" s="64">
        <f>IF(ISNUMBER('Übung 01'!CH$8),'Übung 01'!CH$8,0)</f>
        <v/>
      </c>
      <c r="D98" s="64">
        <f>IF(ISNUMBER('Übung 02'!CH$8),'Übung 02'!CH$8,0)</f>
        <v/>
      </c>
      <c r="E98" s="64">
        <f>IF(ISNUMBER('Übung 03'!CH$8),'Übung 03'!CH$8,0)</f>
        <v/>
      </c>
      <c r="F98" s="64">
        <f>IF(ISNUMBER('Übung 04'!CH$8),'Übung 04'!CH$8,0)</f>
        <v/>
      </c>
      <c r="G98" s="64">
        <f>IF(ISNUMBER('Übung 05'!CH$8),'Übung 05'!CH$8,0)</f>
        <v/>
      </c>
      <c r="H98" s="64">
        <f>IF(ISNUMBER('Übung 06'!CH$8),'Übung 06'!CH$8,0)</f>
        <v/>
      </c>
      <c r="I98" s="64">
        <f>IF(ISNUMBER('Übung 07'!CH$8),'Übung 07'!CH$8,0)</f>
        <v/>
      </c>
      <c r="J98" s="64">
        <f>IF(ISNUMBER('Übung 08'!CH$8),'Übung 08'!CH$8,0)</f>
        <v/>
      </c>
      <c r="K98" s="64">
        <f>IF(ISNUMBER('Übung 09'!CH$8),'Übung 09'!CH$8,0)</f>
        <v/>
      </c>
      <c r="L98" s="64">
        <f>IF(ISNUMBER('Übung 10'!CH$8),'Übung 10'!CH$8,0)</f>
        <v/>
      </c>
      <c r="M98" s="64">
        <f>IF(ISNUMBER('Übung 11'!CH$8),'Übung 11'!CH$8,0)</f>
        <v/>
      </c>
      <c r="N98" s="64">
        <f>IF(ISNUMBER('Übung 12'!CH$8),'Übung 12'!CH$8,0)</f>
        <v/>
      </c>
      <c r="O98" s="64">
        <f>IF(ISNUMBER('Übung 13'!CH$8),'Übung 13'!CH$8,0)</f>
        <v/>
      </c>
      <c r="P98" s="64">
        <f>IF(ISNUMBER('Übung 14'!CH$8),'Übung 14'!CH$8,0)</f>
        <v/>
      </c>
      <c r="Q98" s="64">
        <f>IF(ISNUMBER('Übung 15'!CH$8),'Übung 15'!CH$8,0)</f>
        <v/>
      </c>
      <c r="R98" s="64">
        <f>IF(ISNUMBER('Übung 16'!CH$8),'Übung 16'!CH$8,0)</f>
        <v/>
      </c>
      <c r="S98" s="64">
        <f>IF(ISNUMBER('Übung 17'!CH$8),'Übung 17'!CH$8,0)</f>
        <v/>
      </c>
      <c r="T98" s="64">
        <f>IF(ISNUMBER('Übung 18'!CH$8),'Übung 18'!CH$8,0)</f>
        <v/>
      </c>
      <c r="U98" s="64">
        <f>IF(ISNUMBER('Übung 19'!CH$8),'Übung 19'!CH$8,0)</f>
        <v/>
      </c>
      <c r="V98" s="64">
        <f>IF(ISNUMBER('Übung 20'!CH$8),'Übung 20'!CH$8,0)</f>
        <v/>
      </c>
    </row>
    <row r="99">
      <c r="A99" s="62">
        <f>IF('Stammdaten'!$G85="aktiv",1,0)</f>
        <v/>
      </c>
      <c r="B99" s="172">
        <f>IF('Stammdaten'!$E85="",0,'Stammdaten'!$E85)</f>
        <v/>
      </c>
      <c r="C99" s="64">
        <f>IF(ISNUMBER('Übung 01'!CI$8),'Übung 01'!CI$8,0)</f>
        <v/>
      </c>
      <c r="D99" s="64">
        <f>IF(ISNUMBER('Übung 02'!CI$8),'Übung 02'!CI$8,0)</f>
        <v/>
      </c>
      <c r="E99" s="64">
        <f>IF(ISNUMBER('Übung 03'!CI$8),'Übung 03'!CI$8,0)</f>
        <v/>
      </c>
      <c r="F99" s="64">
        <f>IF(ISNUMBER('Übung 04'!CI$8),'Übung 04'!CI$8,0)</f>
        <v/>
      </c>
      <c r="G99" s="64">
        <f>IF(ISNUMBER('Übung 05'!CI$8),'Übung 05'!CI$8,0)</f>
        <v/>
      </c>
      <c r="H99" s="64">
        <f>IF(ISNUMBER('Übung 06'!CI$8),'Übung 06'!CI$8,0)</f>
        <v/>
      </c>
      <c r="I99" s="64">
        <f>IF(ISNUMBER('Übung 07'!CI$8),'Übung 07'!CI$8,0)</f>
        <v/>
      </c>
      <c r="J99" s="64">
        <f>IF(ISNUMBER('Übung 08'!CI$8),'Übung 08'!CI$8,0)</f>
        <v/>
      </c>
      <c r="K99" s="64">
        <f>IF(ISNUMBER('Übung 09'!CI$8),'Übung 09'!CI$8,0)</f>
        <v/>
      </c>
      <c r="L99" s="64">
        <f>IF(ISNUMBER('Übung 10'!CI$8),'Übung 10'!CI$8,0)</f>
        <v/>
      </c>
      <c r="M99" s="64">
        <f>IF(ISNUMBER('Übung 11'!CI$8),'Übung 11'!CI$8,0)</f>
        <v/>
      </c>
      <c r="N99" s="64">
        <f>IF(ISNUMBER('Übung 12'!CI$8),'Übung 12'!CI$8,0)</f>
        <v/>
      </c>
      <c r="O99" s="64">
        <f>IF(ISNUMBER('Übung 13'!CI$8),'Übung 13'!CI$8,0)</f>
        <v/>
      </c>
      <c r="P99" s="64">
        <f>IF(ISNUMBER('Übung 14'!CI$8),'Übung 14'!CI$8,0)</f>
        <v/>
      </c>
      <c r="Q99" s="64">
        <f>IF(ISNUMBER('Übung 15'!CI$8),'Übung 15'!CI$8,0)</f>
        <v/>
      </c>
      <c r="R99" s="64">
        <f>IF(ISNUMBER('Übung 16'!CI$8),'Übung 16'!CI$8,0)</f>
        <v/>
      </c>
      <c r="S99" s="64">
        <f>IF(ISNUMBER('Übung 17'!CI$8),'Übung 17'!CI$8,0)</f>
        <v/>
      </c>
      <c r="T99" s="64">
        <f>IF(ISNUMBER('Übung 18'!CI$8),'Übung 18'!CI$8,0)</f>
        <v/>
      </c>
      <c r="U99" s="64">
        <f>IF(ISNUMBER('Übung 19'!CI$8),'Übung 19'!CI$8,0)</f>
        <v/>
      </c>
      <c r="V99" s="64">
        <f>IF(ISNUMBER('Übung 20'!CI$8),'Übung 20'!CI$8,0)</f>
        <v/>
      </c>
    </row>
    <row r="100">
      <c r="A100" s="62">
        <f>IF('Stammdaten'!$G86="aktiv",1,0)</f>
        <v/>
      </c>
      <c r="B100" s="172">
        <f>IF('Stammdaten'!$E86="",0,'Stammdaten'!$E86)</f>
        <v/>
      </c>
      <c r="C100" s="64">
        <f>IF(ISNUMBER('Übung 01'!CJ$8),'Übung 01'!CJ$8,0)</f>
        <v/>
      </c>
      <c r="D100" s="64">
        <f>IF(ISNUMBER('Übung 02'!CJ$8),'Übung 02'!CJ$8,0)</f>
        <v/>
      </c>
      <c r="E100" s="64">
        <f>IF(ISNUMBER('Übung 03'!CJ$8),'Übung 03'!CJ$8,0)</f>
        <v/>
      </c>
      <c r="F100" s="64">
        <f>IF(ISNUMBER('Übung 04'!CJ$8),'Übung 04'!CJ$8,0)</f>
        <v/>
      </c>
      <c r="G100" s="64">
        <f>IF(ISNUMBER('Übung 05'!CJ$8),'Übung 05'!CJ$8,0)</f>
        <v/>
      </c>
      <c r="H100" s="64">
        <f>IF(ISNUMBER('Übung 06'!CJ$8),'Übung 06'!CJ$8,0)</f>
        <v/>
      </c>
      <c r="I100" s="64">
        <f>IF(ISNUMBER('Übung 07'!CJ$8),'Übung 07'!CJ$8,0)</f>
        <v/>
      </c>
      <c r="J100" s="64">
        <f>IF(ISNUMBER('Übung 08'!CJ$8),'Übung 08'!CJ$8,0)</f>
        <v/>
      </c>
      <c r="K100" s="64">
        <f>IF(ISNUMBER('Übung 09'!CJ$8),'Übung 09'!CJ$8,0)</f>
        <v/>
      </c>
      <c r="L100" s="64">
        <f>IF(ISNUMBER('Übung 10'!CJ$8),'Übung 10'!CJ$8,0)</f>
        <v/>
      </c>
      <c r="M100" s="64">
        <f>IF(ISNUMBER('Übung 11'!CJ$8),'Übung 11'!CJ$8,0)</f>
        <v/>
      </c>
      <c r="N100" s="64">
        <f>IF(ISNUMBER('Übung 12'!CJ$8),'Übung 12'!CJ$8,0)</f>
        <v/>
      </c>
      <c r="O100" s="64">
        <f>IF(ISNUMBER('Übung 13'!CJ$8),'Übung 13'!CJ$8,0)</f>
        <v/>
      </c>
      <c r="P100" s="64">
        <f>IF(ISNUMBER('Übung 14'!CJ$8),'Übung 14'!CJ$8,0)</f>
        <v/>
      </c>
      <c r="Q100" s="64">
        <f>IF(ISNUMBER('Übung 15'!CJ$8),'Übung 15'!CJ$8,0)</f>
        <v/>
      </c>
      <c r="R100" s="64">
        <f>IF(ISNUMBER('Übung 16'!CJ$8),'Übung 16'!CJ$8,0)</f>
        <v/>
      </c>
      <c r="S100" s="64">
        <f>IF(ISNUMBER('Übung 17'!CJ$8),'Übung 17'!CJ$8,0)</f>
        <v/>
      </c>
      <c r="T100" s="64">
        <f>IF(ISNUMBER('Übung 18'!CJ$8),'Übung 18'!CJ$8,0)</f>
        <v/>
      </c>
      <c r="U100" s="64">
        <f>IF(ISNUMBER('Übung 19'!CJ$8),'Übung 19'!CJ$8,0)</f>
        <v/>
      </c>
      <c r="V100" s="64">
        <f>IF(ISNUMBER('Übung 20'!CJ$8),'Übung 20'!CJ$8,0)</f>
        <v/>
      </c>
    </row>
    <row r="101">
      <c r="A101" s="62">
        <f>IF('Stammdaten'!$G87="aktiv",1,0)</f>
        <v/>
      </c>
      <c r="B101" s="172">
        <f>IF('Stammdaten'!$E87="",0,'Stammdaten'!$E87)</f>
        <v/>
      </c>
      <c r="C101" s="64">
        <f>IF(ISNUMBER('Übung 01'!CK$8),'Übung 01'!CK$8,0)</f>
        <v/>
      </c>
      <c r="D101" s="64">
        <f>IF(ISNUMBER('Übung 02'!CK$8),'Übung 02'!CK$8,0)</f>
        <v/>
      </c>
      <c r="E101" s="64">
        <f>IF(ISNUMBER('Übung 03'!CK$8),'Übung 03'!CK$8,0)</f>
        <v/>
      </c>
      <c r="F101" s="64">
        <f>IF(ISNUMBER('Übung 04'!CK$8),'Übung 04'!CK$8,0)</f>
        <v/>
      </c>
      <c r="G101" s="64">
        <f>IF(ISNUMBER('Übung 05'!CK$8),'Übung 05'!CK$8,0)</f>
        <v/>
      </c>
      <c r="H101" s="64">
        <f>IF(ISNUMBER('Übung 06'!CK$8),'Übung 06'!CK$8,0)</f>
        <v/>
      </c>
      <c r="I101" s="64">
        <f>IF(ISNUMBER('Übung 07'!CK$8),'Übung 07'!CK$8,0)</f>
        <v/>
      </c>
      <c r="J101" s="64">
        <f>IF(ISNUMBER('Übung 08'!CK$8),'Übung 08'!CK$8,0)</f>
        <v/>
      </c>
      <c r="K101" s="64">
        <f>IF(ISNUMBER('Übung 09'!CK$8),'Übung 09'!CK$8,0)</f>
        <v/>
      </c>
      <c r="L101" s="64">
        <f>IF(ISNUMBER('Übung 10'!CK$8),'Übung 10'!CK$8,0)</f>
        <v/>
      </c>
      <c r="M101" s="64">
        <f>IF(ISNUMBER('Übung 11'!CK$8),'Übung 11'!CK$8,0)</f>
        <v/>
      </c>
      <c r="N101" s="64">
        <f>IF(ISNUMBER('Übung 12'!CK$8),'Übung 12'!CK$8,0)</f>
        <v/>
      </c>
      <c r="O101" s="64">
        <f>IF(ISNUMBER('Übung 13'!CK$8),'Übung 13'!CK$8,0)</f>
        <v/>
      </c>
      <c r="P101" s="64">
        <f>IF(ISNUMBER('Übung 14'!CK$8),'Übung 14'!CK$8,0)</f>
        <v/>
      </c>
      <c r="Q101" s="64">
        <f>IF(ISNUMBER('Übung 15'!CK$8),'Übung 15'!CK$8,0)</f>
        <v/>
      </c>
      <c r="R101" s="64">
        <f>IF(ISNUMBER('Übung 16'!CK$8),'Übung 16'!CK$8,0)</f>
        <v/>
      </c>
      <c r="S101" s="64">
        <f>IF(ISNUMBER('Übung 17'!CK$8),'Übung 17'!CK$8,0)</f>
        <v/>
      </c>
      <c r="T101" s="64">
        <f>IF(ISNUMBER('Übung 18'!CK$8),'Übung 18'!CK$8,0)</f>
        <v/>
      </c>
      <c r="U101" s="64">
        <f>IF(ISNUMBER('Übung 19'!CK$8),'Übung 19'!CK$8,0)</f>
        <v/>
      </c>
      <c r="V101" s="64">
        <f>IF(ISNUMBER('Übung 20'!CK$8),'Übung 20'!CK$8,0)</f>
        <v/>
      </c>
    </row>
    <row r="102">
      <c r="A102" s="62">
        <f>IF('Stammdaten'!$G88="aktiv",1,0)</f>
        <v/>
      </c>
      <c r="B102" s="172">
        <f>IF('Stammdaten'!$E88="",0,'Stammdaten'!$E88)</f>
        <v/>
      </c>
      <c r="C102" s="64">
        <f>IF(ISNUMBER('Übung 01'!CL$8),'Übung 01'!CL$8,0)</f>
        <v/>
      </c>
      <c r="D102" s="64">
        <f>IF(ISNUMBER('Übung 02'!CL$8),'Übung 02'!CL$8,0)</f>
        <v/>
      </c>
      <c r="E102" s="64">
        <f>IF(ISNUMBER('Übung 03'!CL$8),'Übung 03'!CL$8,0)</f>
        <v/>
      </c>
      <c r="F102" s="64">
        <f>IF(ISNUMBER('Übung 04'!CL$8),'Übung 04'!CL$8,0)</f>
        <v/>
      </c>
      <c r="G102" s="64">
        <f>IF(ISNUMBER('Übung 05'!CL$8),'Übung 05'!CL$8,0)</f>
        <v/>
      </c>
      <c r="H102" s="64">
        <f>IF(ISNUMBER('Übung 06'!CL$8),'Übung 06'!CL$8,0)</f>
        <v/>
      </c>
      <c r="I102" s="64">
        <f>IF(ISNUMBER('Übung 07'!CL$8),'Übung 07'!CL$8,0)</f>
        <v/>
      </c>
      <c r="J102" s="64">
        <f>IF(ISNUMBER('Übung 08'!CL$8),'Übung 08'!CL$8,0)</f>
        <v/>
      </c>
      <c r="K102" s="64">
        <f>IF(ISNUMBER('Übung 09'!CL$8),'Übung 09'!CL$8,0)</f>
        <v/>
      </c>
      <c r="L102" s="64">
        <f>IF(ISNUMBER('Übung 10'!CL$8),'Übung 10'!CL$8,0)</f>
        <v/>
      </c>
      <c r="M102" s="64">
        <f>IF(ISNUMBER('Übung 11'!CL$8),'Übung 11'!CL$8,0)</f>
        <v/>
      </c>
      <c r="N102" s="64">
        <f>IF(ISNUMBER('Übung 12'!CL$8),'Übung 12'!CL$8,0)</f>
        <v/>
      </c>
      <c r="O102" s="64">
        <f>IF(ISNUMBER('Übung 13'!CL$8),'Übung 13'!CL$8,0)</f>
        <v/>
      </c>
      <c r="P102" s="64">
        <f>IF(ISNUMBER('Übung 14'!CL$8),'Übung 14'!CL$8,0)</f>
        <v/>
      </c>
      <c r="Q102" s="64">
        <f>IF(ISNUMBER('Übung 15'!CL$8),'Übung 15'!CL$8,0)</f>
        <v/>
      </c>
      <c r="R102" s="64">
        <f>IF(ISNUMBER('Übung 16'!CL$8),'Übung 16'!CL$8,0)</f>
        <v/>
      </c>
      <c r="S102" s="64">
        <f>IF(ISNUMBER('Übung 17'!CL$8),'Übung 17'!CL$8,0)</f>
        <v/>
      </c>
      <c r="T102" s="64">
        <f>IF(ISNUMBER('Übung 18'!CL$8),'Übung 18'!CL$8,0)</f>
        <v/>
      </c>
      <c r="U102" s="64">
        <f>IF(ISNUMBER('Übung 19'!CL$8),'Übung 19'!CL$8,0)</f>
        <v/>
      </c>
      <c r="V102" s="64">
        <f>IF(ISNUMBER('Übung 20'!CL$8),'Übung 20'!CL$8,0)</f>
        <v/>
      </c>
    </row>
    <row r="103">
      <c r="A103" s="62">
        <f>IF('Stammdaten'!$G89="aktiv",1,0)</f>
        <v/>
      </c>
      <c r="B103" s="172">
        <f>IF('Stammdaten'!$E89="",0,'Stammdaten'!$E89)</f>
        <v/>
      </c>
      <c r="C103" s="64">
        <f>IF(ISNUMBER('Übung 01'!CM$8),'Übung 01'!CM$8,0)</f>
        <v/>
      </c>
      <c r="D103" s="64">
        <f>IF(ISNUMBER('Übung 02'!CM$8),'Übung 02'!CM$8,0)</f>
        <v/>
      </c>
      <c r="E103" s="64">
        <f>IF(ISNUMBER('Übung 03'!CM$8),'Übung 03'!CM$8,0)</f>
        <v/>
      </c>
      <c r="F103" s="64">
        <f>IF(ISNUMBER('Übung 04'!CM$8),'Übung 04'!CM$8,0)</f>
        <v/>
      </c>
      <c r="G103" s="64">
        <f>IF(ISNUMBER('Übung 05'!CM$8),'Übung 05'!CM$8,0)</f>
        <v/>
      </c>
      <c r="H103" s="64">
        <f>IF(ISNUMBER('Übung 06'!CM$8),'Übung 06'!CM$8,0)</f>
        <v/>
      </c>
      <c r="I103" s="64">
        <f>IF(ISNUMBER('Übung 07'!CM$8),'Übung 07'!CM$8,0)</f>
        <v/>
      </c>
      <c r="J103" s="64">
        <f>IF(ISNUMBER('Übung 08'!CM$8),'Übung 08'!CM$8,0)</f>
        <v/>
      </c>
      <c r="K103" s="64">
        <f>IF(ISNUMBER('Übung 09'!CM$8),'Übung 09'!CM$8,0)</f>
        <v/>
      </c>
      <c r="L103" s="64">
        <f>IF(ISNUMBER('Übung 10'!CM$8),'Übung 10'!CM$8,0)</f>
        <v/>
      </c>
      <c r="M103" s="64">
        <f>IF(ISNUMBER('Übung 11'!CM$8),'Übung 11'!CM$8,0)</f>
        <v/>
      </c>
      <c r="N103" s="64">
        <f>IF(ISNUMBER('Übung 12'!CM$8),'Übung 12'!CM$8,0)</f>
        <v/>
      </c>
      <c r="O103" s="64">
        <f>IF(ISNUMBER('Übung 13'!CM$8),'Übung 13'!CM$8,0)</f>
        <v/>
      </c>
      <c r="P103" s="64">
        <f>IF(ISNUMBER('Übung 14'!CM$8),'Übung 14'!CM$8,0)</f>
        <v/>
      </c>
      <c r="Q103" s="64">
        <f>IF(ISNUMBER('Übung 15'!CM$8),'Übung 15'!CM$8,0)</f>
        <v/>
      </c>
      <c r="R103" s="64">
        <f>IF(ISNUMBER('Übung 16'!CM$8),'Übung 16'!CM$8,0)</f>
        <v/>
      </c>
      <c r="S103" s="64">
        <f>IF(ISNUMBER('Übung 17'!CM$8),'Übung 17'!CM$8,0)</f>
        <v/>
      </c>
      <c r="T103" s="64">
        <f>IF(ISNUMBER('Übung 18'!CM$8),'Übung 18'!CM$8,0)</f>
        <v/>
      </c>
      <c r="U103" s="64">
        <f>IF(ISNUMBER('Übung 19'!CM$8),'Übung 19'!CM$8,0)</f>
        <v/>
      </c>
      <c r="V103" s="64">
        <f>IF(ISNUMBER('Übung 20'!CM$8),'Übung 20'!CM$8,0)</f>
        <v/>
      </c>
    </row>
    <row r="104">
      <c r="A104" s="62">
        <f>IF('Stammdaten'!$G90="aktiv",1,0)</f>
        <v/>
      </c>
      <c r="B104" s="172">
        <f>IF('Stammdaten'!$E90="",0,'Stammdaten'!$E90)</f>
        <v/>
      </c>
      <c r="C104" s="64">
        <f>IF(ISNUMBER('Übung 01'!CN$8),'Übung 01'!CN$8,0)</f>
        <v/>
      </c>
      <c r="D104" s="64">
        <f>IF(ISNUMBER('Übung 02'!CN$8),'Übung 02'!CN$8,0)</f>
        <v/>
      </c>
      <c r="E104" s="64">
        <f>IF(ISNUMBER('Übung 03'!CN$8),'Übung 03'!CN$8,0)</f>
        <v/>
      </c>
      <c r="F104" s="64">
        <f>IF(ISNUMBER('Übung 04'!CN$8),'Übung 04'!CN$8,0)</f>
        <v/>
      </c>
      <c r="G104" s="64">
        <f>IF(ISNUMBER('Übung 05'!CN$8),'Übung 05'!CN$8,0)</f>
        <v/>
      </c>
      <c r="H104" s="64">
        <f>IF(ISNUMBER('Übung 06'!CN$8),'Übung 06'!CN$8,0)</f>
        <v/>
      </c>
      <c r="I104" s="64">
        <f>IF(ISNUMBER('Übung 07'!CN$8),'Übung 07'!CN$8,0)</f>
        <v/>
      </c>
      <c r="J104" s="64">
        <f>IF(ISNUMBER('Übung 08'!CN$8),'Übung 08'!CN$8,0)</f>
        <v/>
      </c>
      <c r="K104" s="64">
        <f>IF(ISNUMBER('Übung 09'!CN$8),'Übung 09'!CN$8,0)</f>
        <v/>
      </c>
      <c r="L104" s="64">
        <f>IF(ISNUMBER('Übung 10'!CN$8),'Übung 10'!CN$8,0)</f>
        <v/>
      </c>
      <c r="M104" s="64">
        <f>IF(ISNUMBER('Übung 11'!CN$8),'Übung 11'!CN$8,0)</f>
        <v/>
      </c>
      <c r="N104" s="64">
        <f>IF(ISNUMBER('Übung 12'!CN$8),'Übung 12'!CN$8,0)</f>
        <v/>
      </c>
      <c r="O104" s="64">
        <f>IF(ISNUMBER('Übung 13'!CN$8),'Übung 13'!CN$8,0)</f>
        <v/>
      </c>
      <c r="P104" s="64">
        <f>IF(ISNUMBER('Übung 14'!CN$8),'Übung 14'!CN$8,0)</f>
        <v/>
      </c>
      <c r="Q104" s="64">
        <f>IF(ISNUMBER('Übung 15'!CN$8),'Übung 15'!CN$8,0)</f>
        <v/>
      </c>
      <c r="R104" s="64">
        <f>IF(ISNUMBER('Übung 16'!CN$8),'Übung 16'!CN$8,0)</f>
        <v/>
      </c>
      <c r="S104" s="64">
        <f>IF(ISNUMBER('Übung 17'!CN$8),'Übung 17'!CN$8,0)</f>
        <v/>
      </c>
      <c r="T104" s="64">
        <f>IF(ISNUMBER('Übung 18'!CN$8),'Übung 18'!CN$8,0)</f>
        <v/>
      </c>
      <c r="U104" s="64">
        <f>IF(ISNUMBER('Übung 19'!CN$8),'Übung 19'!CN$8,0)</f>
        <v/>
      </c>
      <c r="V104" s="64">
        <f>IF(ISNUMBER('Übung 20'!CN$8),'Übung 20'!CN$8,0)</f>
        <v/>
      </c>
    </row>
    <row r="105">
      <c r="A105" s="62">
        <f>IF('Stammdaten'!$G91="aktiv",1,0)</f>
        <v/>
      </c>
      <c r="B105" s="172">
        <f>IF('Stammdaten'!$E91="",0,'Stammdaten'!$E91)</f>
        <v/>
      </c>
      <c r="C105" s="64">
        <f>IF(ISNUMBER('Übung 01'!CO$8),'Übung 01'!CO$8,0)</f>
        <v/>
      </c>
      <c r="D105" s="64">
        <f>IF(ISNUMBER('Übung 02'!CO$8),'Übung 02'!CO$8,0)</f>
        <v/>
      </c>
      <c r="E105" s="64">
        <f>IF(ISNUMBER('Übung 03'!CO$8),'Übung 03'!CO$8,0)</f>
        <v/>
      </c>
      <c r="F105" s="64">
        <f>IF(ISNUMBER('Übung 04'!CO$8),'Übung 04'!CO$8,0)</f>
        <v/>
      </c>
      <c r="G105" s="64">
        <f>IF(ISNUMBER('Übung 05'!CO$8),'Übung 05'!CO$8,0)</f>
        <v/>
      </c>
      <c r="H105" s="64">
        <f>IF(ISNUMBER('Übung 06'!CO$8),'Übung 06'!CO$8,0)</f>
        <v/>
      </c>
      <c r="I105" s="64">
        <f>IF(ISNUMBER('Übung 07'!CO$8),'Übung 07'!CO$8,0)</f>
        <v/>
      </c>
      <c r="J105" s="64">
        <f>IF(ISNUMBER('Übung 08'!CO$8),'Übung 08'!CO$8,0)</f>
        <v/>
      </c>
      <c r="K105" s="64">
        <f>IF(ISNUMBER('Übung 09'!CO$8),'Übung 09'!CO$8,0)</f>
        <v/>
      </c>
      <c r="L105" s="64">
        <f>IF(ISNUMBER('Übung 10'!CO$8),'Übung 10'!CO$8,0)</f>
        <v/>
      </c>
      <c r="M105" s="64">
        <f>IF(ISNUMBER('Übung 11'!CO$8),'Übung 11'!CO$8,0)</f>
        <v/>
      </c>
      <c r="N105" s="64">
        <f>IF(ISNUMBER('Übung 12'!CO$8),'Übung 12'!CO$8,0)</f>
        <v/>
      </c>
      <c r="O105" s="64">
        <f>IF(ISNUMBER('Übung 13'!CO$8),'Übung 13'!CO$8,0)</f>
        <v/>
      </c>
      <c r="P105" s="64">
        <f>IF(ISNUMBER('Übung 14'!CO$8),'Übung 14'!CO$8,0)</f>
        <v/>
      </c>
      <c r="Q105" s="64">
        <f>IF(ISNUMBER('Übung 15'!CO$8),'Übung 15'!CO$8,0)</f>
        <v/>
      </c>
      <c r="R105" s="64">
        <f>IF(ISNUMBER('Übung 16'!CO$8),'Übung 16'!CO$8,0)</f>
        <v/>
      </c>
      <c r="S105" s="64">
        <f>IF(ISNUMBER('Übung 17'!CO$8),'Übung 17'!CO$8,0)</f>
        <v/>
      </c>
      <c r="T105" s="64">
        <f>IF(ISNUMBER('Übung 18'!CO$8),'Übung 18'!CO$8,0)</f>
        <v/>
      </c>
      <c r="U105" s="64">
        <f>IF(ISNUMBER('Übung 19'!CO$8),'Übung 19'!CO$8,0)</f>
        <v/>
      </c>
      <c r="V105" s="64">
        <f>IF(ISNUMBER('Übung 20'!CO$8),'Übung 20'!CO$8,0)</f>
        <v/>
      </c>
    </row>
    <row r="106">
      <c r="A106" s="62">
        <f>IF('Stammdaten'!$G92="aktiv",1,0)</f>
        <v/>
      </c>
      <c r="B106" s="172">
        <f>IF('Stammdaten'!$E92="",0,'Stammdaten'!$E92)</f>
        <v/>
      </c>
      <c r="C106" s="64">
        <f>IF(ISNUMBER('Übung 01'!CP$8),'Übung 01'!CP$8,0)</f>
        <v/>
      </c>
      <c r="D106" s="64">
        <f>IF(ISNUMBER('Übung 02'!CP$8),'Übung 02'!CP$8,0)</f>
        <v/>
      </c>
      <c r="E106" s="64">
        <f>IF(ISNUMBER('Übung 03'!CP$8),'Übung 03'!CP$8,0)</f>
        <v/>
      </c>
      <c r="F106" s="64">
        <f>IF(ISNUMBER('Übung 04'!CP$8),'Übung 04'!CP$8,0)</f>
        <v/>
      </c>
      <c r="G106" s="64">
        <f>IF(ISNUMBER('Übung 05'!CP$8),'Übung 05'!CP$8,0)</f>
        <v/>
      </c>
      <c r="H106" s="64">
        <f>IF(ISNUMBER('Übung 06'!CP$8),'Übung 06'!CP$8,0)</f>
        <v/>
      </c>
      <c r="I106" s="64">
        <f>IF(ISNUMBER('Übung 07'!CP$8),'Übung 07'!CP$8,0)</f>
        <v/>
      </c>
      <c r="J106" s="64">
        <f>IF(ISNUMBER('Übung 08'!CP$8),'Übung 08'!CP$8,0)</f>
        <v/>
      </c>
      <c r="K106" s="64">
        <f>IF(ISNUMBER('Übung 09'!CP$8),'Übung 09'!CP$8,0)</f>
        <v/>
      </c>
      <c r="L106" s="64">
        <f>IF(ISNUMBER('Übung 10'!CP$8),'Übung 10'!CP$8,0)</f>
        <v/>
      </c>
      <c r="M106" s="64">
        <f>IF(ISNUMBER('Übung 11'!CP$8),'Übung 11'!CP$8,0)</f>
        <v/>
      </c>
      <c r="N106" s="64">
        <f>IF(ISNUMBER('Übung 12'!CP$8),'Übung 12'!CP$8,0)</f>
        <v/>
      </c>
      <c r="O106" s="64">
        <f>IF(ISNUMBER('Übung 13'!CP$8),'Übung 13'!CP$8,0)</f>
        <v/>
      </c>
      <c r="P106" s="64">
        <f>IF(ISNUMBER('Übung 14'!CP$8),'Übung 14'!CP$8,0)</f>
        <v/>
      </c>
      <c r="Q106" s="64">
        <f>IF(ISNUMBER('Übung 15'!CP$8),'Übung 15'!CP$8,0)</f>
        <v/>
      </c>
      <c r="R106" s="64">
        <f>IF(ISNUMBER('Übung 16'!CP$8),'Übung 16'!CP$8,0)</f>
        <v/>
      </c>
      <c r="S106" s="64">
        <f>IF(ISNUMBER('Übung 17'!CP$8),'Übung 17'!CP$8,0)</f>
        <v/>
      </c>
      <c r="T106" s="64">
        <f>IF(ISNUMBER('Übung 18'!CP$8),'Übung 18'!CP$8,0)</f>
        <v/>
      </c>
      <c r="U106" s="64">
        <f>IF(ISNUMBER('Übung 19'!CP$8),'Übung 19'!CP$8,0)</f>
        <v/>
      </c>
      <c r="V106" s="64">
        <f>IF(ISNUMBER('Übung 20'!CP$8),'Übung 20'!CP$8,0)</f>
        <v/>
      </c>
    </row>
    <row r="107">
      <c r="A107" s="62">
        <f>IF('Stammdaten'!$G93="aktiv",1,0)</f>
        <v/>
      </c>
      <c r="B107" s="172">
        <f>IF('Stammdaten'!$E93="",0,'Stammdaten'!$E93)</f>
        <v/>
      </c>
      <c r="C107" s="64">
        <f>IF(ISNUMBER('Übung 01'!CQ$8),'Übung 01'!CQ$8,0)</f>
        <v/>
      </c>
      <c r="D107" s="64">
        <f>IF(ISNUMBER('Übung 02'!CQ$8),'Übung 02'!CQ$8,0)</f>
        <v/>
      </c>
      <c r="E107" s="64">
        <f>IF(ISNUMBER('Übung 03'!CQ$8),'Übung 03'!CQ$8,0)</f>
        <v/>
      </c>
      <c r="F107" s="64">
        <f>IF(ISNUMBER('Übung 04'!CQ$8),'Übung 04'!CQ$8,0)</f>
        <v/>
      </c>
      <c r="G107" s="64">
        <f>IF(ISNUMBER('Übung 05'!CQ$8),'Übung 05'!CQ$8,0)</f>
        <v/>
      </c>
      <c r="H107" s="64">
        <f>IF(ISNUMBER('Übung 06'!CQ$8),'Übung 06'!CQ$8,0)</f>
        <v/>
      </c>
      <c r="I107" s="64">
        <f>IF(ISNUMBER('Übung 07'!CQ$8),'Übung 07'!CQ$8,0)</f>
        <v/>
      </c>
      <c r="J107" s="64">
        <f>IF(ISNUMBER('Übung 08'!CQ$8),'Übung 08'!CQ$8,0)</f>
        <v/>
      </c>
      <c r="K107" s="64">
        <f>IF(ISNUMBER('Übung 09'!CQ$8),'Übung 09'!CQ$8,0)</f>
        <v/>
      </c>
      <c r="L107" s="64">
        <f>IF(ISNUMBER('Übung 10'!CQ$8),'Übung 10'!CQ$8,0)</f>
        <v/>
      </c>
      <c r="M107" s="64">
        <f>IF(ISNUMBER('Übung 11'!CQ$8),'Übung 11'!CQ$8,0)</f>
        <v/>
      </c>
      <c r="N107" s="64">
        <f>IF(ISNUMBER('Übung 12'!CQ$8),'Übung 12'!CQ$8,0)</f>
        <v/>
      </c>
      <c r="O107" s="64">
        <f>IF(ISNUMBER('Übung 13'!CQ$8),'Übung 13'!CQ$8,0)</f>
        <v/>
      </c>
      <c r="P107" s="64">
        <f>IF(ISNUMBER('Übung 14'!CQ$8),'Übung 14'!CQ$8,0)</f>
        <v/>
      </c>
      <c r="Q107" s="64">
        <f>IF(ISNUMBER('Übung 15'!CQ$8),'Übung 15'!CQ$8,0)</f>
        <v/>
      </c>
      <c r="R107" s="64">
        <f>IF(ISNUMBER('Übung 16'!CQ$8),'Übung 16'!CQ$8,0)</f>
        <v/>
      </c>
      <c r="S107" s="64">
        <f>IF(ISNUMBER('Übung 17'!CQ$8),'Übung 17'!CQ$8,0)</f>
        <v/>
      </c>
      <c r="T107" s="64">
        <f>IF(ISNUMBER('Übung 18'!CQ$8),'Übung 18'!CQ$8,0)</f>
        <v/>
      </c>
      <c r="U107" s="64">
        <f>IF(ISNUMBER('Übung 19'!CQ$8),'Übung 19'!CQ$8,0)</f>
        <v/>
      </c>
      <c r="V107" s="64">
        <f>IF(ISNUMBER('Übung 20'!CQ$8),'Übung 20'!CQ$8,0)</f>
        <v/>
      </c>
    </row>
    <row r="108">
      <c r="A108" s="62">
        <f>IF('Stammdaten'!$G94="aktiv",1,0)</f>
        <v/>
      </c>
      <c r="B108" s="172">
        <f>IF('Stammdaten'!$E94="",0,'Stammdaten'!$E94)</f>
        <v/>
      </c>
      <c r="C108" s="64">
        <f>IF(ISNUMBER('Übung 01'!CR$8),'Übung 01'!CR$8,0)</f>
        <v/>
      </c>
      <c r="D108" s="64">
        <f>IF(ISNUMBER('Übung 02'!CR$8),'Übung 02'!CR$8,0)</f>
        <v/>
      </c>
      <c r="E108" s="64">
        <f>IF(ISNUMBER('Übung 03'!CR$8),'Übung 03'!CR$8,0)</f>
        <v/>
      </c>
      <c r="F108" s="64">
        <f>IF(ISNUMBER('Übung 04'!CR$8),'Übung 04'!CR$8,0)</f>
        <v/>
      </c>
      <c r="G108" s="64">
        <f>IF(ISNUMBER('Übung 05'!CR$8),'Übung 05'!CR$8,0)</f>
        <v/>
      </c>
      <c r="H108" s="64">
        <f>IF(ISNUMBER('Übung 06'!CR$8),'Übung 06'!CR$8,0)</f>
        <v/>
      </c>
      <c r="I108" s="64">
        <f>IF(ISNUMBER('Übung 07'!CR$8),'Übung 07'!CR$8,0)</f>
        <v/>
      </c>
      <c r="J108" s="64">
        <f>IF(ISNUMBER('Übung 08'!CR$8),'Übung 08'!CR$8,0)</f>
        <v/>
      </c>
      <c r="K108" s="64">
        <f>IF(ISNUMBER('Übung 09'!CR$8),'Übung 09'!CR$8,0)</f>
        <v/>
      </c>
      <c r="L108" s="64">
        <f>IF(ISNUMBER('Übung 10'!CR$8),'Übung 10'!CR$8,0)</f>
        <v/>
      </c>
      <c r="M108" s="64">
        <f>IF(ISNUMBER('Übung 11'!CR$8),'Übung 11'!CR$8,0)</f>
        <v/>
      </c>
      <c r="N108" s="64">
        <f>IF(ISNUMBER('Übung 12'!CR$8),'Übung 12'!CR$8,0)</f>
        <v/>
      </c>
      <c r="O108" s="64">
        <f>IF(ISNUMBER('Übung 13'!CR$8),'Übung 13'!CR$8,0)</f>
        <v/>
      </c>
      <c r="P108" s="64">
        <f>IF(ISNUMBER('Übung 14'!CR$8),'Übung 14'!CR$8,0)</f>
        <v/>
      </c>
      <c r="Q108" s="64">
        <f>IF(ISNUMBER('Übung 15'!CR$8),'Übung 15'!CR$8,0)</f>
        <v/>
      </c>
      <c r="R108" s="64">
        <f>IF(ISNUMBER('Übung 16'!CR$8),'Übung 16'!CR$8,0)</f>
        <v/>
      </c>
      <c r="S108" s="64">
        <f>IF(ISNUMBER('Übung 17'!CR$8),'Übung 17'!CR$8,0)</f>
        <v/>
      </c>
      <c r="T108" s="64">
        <f>IF(ISNUMBER('Übung 18'!CR$8),'Übung 18'!CR$8,0)</f>
        <v/>
      </c>
      <c r="U108" s="64">
        <f>IF(ISNUMBER('Übung 19'!CR$8),'Übung 19'!CR$8,0)</f>
        <v/>
      </c>
      <c r="V108" s="64">
        <f>IF(ISNUMBER('Übung 20'!CR$8),'Übung 20'!CR$8,0)</f>
        <v/>
      </c>
    </row>
    <row r="109">
      <c r="A109" s="62">
        <f>IF('Stammdaten'!$G95="aktiv",1,0)</f>
        <v/>
      </c>
      <c r="B109" s="172">
        <f>IF('Stammdaten'!$E95="",0,'Stammdaten'!$E95)</f>
        <v/>
      </c>
      <c r="C109" s="64">
        <f>IF(ISNUMBER('Übung 01'!CS$8),'Übung 01'!CS$8,0)</f>
        <v/>
      </c>
      <c r="D109" s="64">
        <f>IF(ISNUMBER('Übung 02'!CS$8),'Übung 02'!CS$8,0)</f>
        <v/>
      </c>
      <c r="E109" s="64">
        <f>IF(ISNUMBER('Übung 03'!CS$8),'Übung 03'!CS$8,0)</f>
        <v/>
      </c>
      <c r="F109" s="64">
        <f>IF(ISNUMBER('Übung 04'!CS$8),'Übung 04'!CS$8,0)</f>
        <v/>
      </c>
      <c r="G109" s="64">
        <f>IF(ISNUMBER('Übung 05'!CS$8),'Übung 05'!CS$8,0)</f>
        <v/>
      </c>
      <c r="H109" s="64">
        <f>IF(ISNUMBER('Übung 06'!CS$8),'Übung 06'!CS$8,0)</f>
        <v/>
      </c>
      <c r="I109" s="64">
        <f>IF(ISNUMBER('Übung 07'!CS$8),'Übung 07'!CS$8,0)</f>
        <v/>
      </c>
      <c r="J109" s="64">
        <f>IF(ISNUMBER('Übung 08'!CS$8),'Übung 08'!CS$8,0)</f>
        <v/>
      </c>
      <c r="K109" s="64">
        <f>IF(ISNUMBER('Übung 09'!CS$8),'Übung 09'!CS$8,0)</f>
        <v/>
      </c>
      <c r="L109" s="64">
        <f>IF(ISNUMBER('Übung 10'!CS$8),'Übung 10'!CS$8,0)</f>
        <v/>
      </c>
      <c r="M109" s="64">
        <f>IF(ISNUMBER('Übung 11'!CS$8),'Übung 11'!CS$8,0)</f>
        <v/>
      </c>
      <c r="N109" s="64">
        <f>IF(ISNUMBER('Übung 12'!CS$8),'Übung 12'!CS$8,0)</f>
        <v/>
      </c>
      <c r="O109" s="64">
        <f>IF(ISNUMBER('Übung 13'!CS$8),'Übung 13'!CS$8,0)</f>
        <v/>
      </c>
      <c r="P109" s="64">
        <f>IF(ISNUMBER('Übung 14'!CS$8),'Übung 14'!CS$8,0)</f>
        <v/>
      </c>
      <c r="Q109" s="64">
        <f>IF(ISNUMBER('Übung 15'!CS$8),'Übung 15'!CS$8,0)</f>
        <v/>
      </c>
      <c r="R109" s="64">
        <f>IF(ISNUMBER('Übung 16'!CS$8),'Übung 16'!CS$8,0)</f>
        <v/>
      </c>
      <c r="S109" s="64">
        <f>IF(ISNUMBER('Übung 17'!CS$8),'Übung 17'!CS$8,0)</f>
        <v/>
      </c>
      <c r="T109" s="64">
        <f>IF(ISNUMBER('Übung 18'!CS$8),'Übung 18'!CS$8,0)</f>
        <v/>
      </c>
      <c r="U109" s="64">
        <f>IF(ISNUMBER('Übung 19'!CS$8),'Übung 19'!CS$8,0)</f>
        <v/>
      </c>
      <c r="V109" s="64">
        <f>IF(ISNUMBER('Übung 20'!CS$8),'Übung 20'!CS$8,0)</f>
        <v/>
      </c>
    </row>
    <row r="110">
      <c r="A110" s="62">
        <f>IF('Stammdaten'!$G96="aktiv",1,0)</f>
        <v/>
      </c>
      <c r="B110" s="172">
        <f>IF('Stammdaten'!$E96="",0,'Stammdaten'!$E96)</f>
        <v/>
      </c>
      <c r="C110" s="64">
        <f>IF(ISNUMBER('Übung 01'!CT$8),'Übung 01'!CT$8,0)</f>
        <v/>
      </c>
      <c r="D110" s="64">
        <f>IF(ISNUMBER('Übung 02'!CT$8),'Übung 02'!CT$8,0)</f>
        <v/>
      </c>
      <c r="E110" s="64">
        <f>IF(ISNUMBER('Übung 03'!CT$8),'Übung 03'!CT$8,0)</f>
        <v/>
      </c>
      <c r="F110" s="64">
        <f>IF(ISNUMBER('Übung 04'!CT$8),'Übung 04'!CT$8,0)</f>
        <v/>
      </c>
      <c r="G110" s="64">
        <f>IF(ISNUMBER('Übung 05'!CT$8),'Übung 05'!CT$8,0)</f>
        <v/>
      </c>
      <c r="H110" s="64">
        <f>IF(ISNUMBER('Übung 06'!CT$8),'Übung 06'!CT$8,0)</f>
        <v/>
      </c>
      <c r="I110" s="64">
        <f>IF(ISNUMBER('Übung 07'!CT$8),'Übung 07'!CT$8,0)</f>
        <v/>
      </c>
      <c r="J110" s="64">
        <f>IF(ISNUMBER('Übung 08'!CT$8),'Übung 08'!CT$8,0)</f>
        <v/>
      </c>
      <c r="K110" s="64">
        <f>IF(ISNUMBER('Übung 09'!CT$8),'Übung 09'!CT$8,0)</f>
        <v/>
      </c>
      <c r="L110" s="64">
        <f>IF(ISNUMBER('Übung 10'!CT$8),'Übung 10'!CT$8,0)</f>
        <v/>
      </c>
      <c r="M110" s="64">
        <f>IF(ISNUMBER('Übung 11'!CT$8),'Übung 11'!CT$8,0)</f>
        <v/>
      </c>
      <c r="N110" s="64">
        <f>IF(ISNUMBER('Übung 12'!CT$8),'Übung 12'!CT$8,0)</f>
        <v/>
      </c>
      <c r="O110" s="64">
        <f>IF(ISNUMBER('Übung 13'!CT$8),'Übung 13'!CT$8,0)</f>
        <v/>
      </c>
      <c r="P110" s="64">
        <f>IF(ISNUMBER('Übung 14'!CT$8),'Übung 14'!CT$8,0)</f>
        <v/>
      </c>
      <c r="Q110" s="64">
        <f>IF(ISNUMBER('Übung 15'!CT$8),'Übung 15'!CT$8,0)</f>
        <v/>
      </c>
      <c r="R110" s="64">
        <f>IF(ISNUMBER('Übung 16'!CT$8),'Übung 16'!CT$8,0)</f>
        <v/>
      </c>
      <c r="S110" s="64">
        <f>IF(ISNUMBER('Übung 17'!CT$8),'Übung 17'!CT$8,0)</f>
        <v/>
      </c>
      <c r="T110" s="64">
        <f>IF(ISNUMBER('Übung 18'!CT$8),'Übung 18'!CT$8,0)</f>
        <v/>
      </c>
      <c r="U110" s="64">
        <f>IF(ISNUMBER('Übung 19'!CT$8),'Übung 19'!CT$8,0)</f>
        <v/>
      </c>
      <c r="V110" s="64">
        <f>IF(ISNUMBER('Übung 20'!CT$8),'Übung 20'!CT$8,0)</f>
        <v/>
      </c>
    </row>
    <row r="111">
      <c r="A111" s="62">
        <f>IF('Stammdaten'!$G97="aktiv",1,0)</f>
        <v/>
      </c>
      <c r="B111" s="172">
        <f>IF('Stammdaten'!$E97="",0,'Stammdaten'!$E97)</f>
        <v/>
      </c>
      <c r="C111" s="64">
        <f>IF(ISNUMBER('Übung 01'!CU$8),'Übung 01'!CU$8,0)</f>
        <v/>
      </c>
      <c r="D111" s="64">
        <f>IF(ISNUMBER('Übung 02'!CU$8),'Übung 02'!CU$8,0)</f>
        <v/>
      </c>
      <c r="E111" s="64">
        <f>IF(ISNUMBER('Übung 03'!CU$8),'Übung 03'!CU$8,0)</f>
        <v/>
      </c>
      <c r="F111" s="64">
        <f>IF(ISNUMBER('Übung 04'!CU$8),'Übung 04'!CU$8,0)</f>
        <v/>
      </c>
      <c r="G111" s="64">
        <f>IF(ISNUMBER('Übung 05'!CU$8),'Übung 05'!CU$8,0)</f>
        <v/>
      </c>
      <c r="H111" s="64">
        <f>IF(ISNUMBER('Übung 06'!CU$8),'Übung 06'!CU$8,0)</f>
        <v/>
      </c>
      <c r="I111" s="64">
        <f>IF(ISNUMBER('Übung 07'!CU$8),'Übung 07'!CU$8,0)</f>
        <v/>
      </c>
      <c r="J111" s="64">
        <f>IF(ISNUMBER('Übung 08'!CU$8),'Übung 08'!CU$8,0)</f>
        <v/>
      </c>
      <c r="K111" s="64">
        <f>IF(ISNUMBER('Übung 09'!CU$8),'Übung 09'!CU$8,0)</f>
        <v/>
      </c>
      <c r="L111" s="64">
        <f>IF(ISNUMBER('Übung 10'!CU$8),'Übung 10'!CU$8,0)</f>
        <v/>
      </c>
      <c r="M111" s="64">
        <f>IF(ISNUMBER('Übung 11'!CU$8),'Übung 11'!CU$8,0)</f>
        <v/>
      </c>
      <c r="N111" s="64">
        <f>IF(ISNUMBER('Übung 12'!CU$8),'Übung 12'!CU$8,0)</f>
        <v/>
      </c>
      <c r="O111" s="64">
        <f>IF(ISNUMBER('Übung 13'!CU$8),'Übung 13'!CU$8,0)</f>
        <v/>
      </c>
      <c r="P111" s="64">
        <f>IF(ISNUMBER('Übung 14'!CU$8),'Übung 14'!CU$8,0)</f>
        <v/>
      </c>
      <c r="Q111" s="64">
        <f>IF(ISNUMBER('Übung 15'!CU$8),'Übung 15'!CU$8,0)</f>
        <v/>
      </c>
      <c r="R111" s="64">
        <f>IF(ISNUMBER('Übung 16'!CU$8),'Übung 16'!CU$8,0)</f>
        <v/>
      </c>
      <c r="S111" s="64">
        <f>IF(ISNUMBER('Übung 17'!CU$8),'Übung 17'!CU$8,0)</f>
        <v/>
      </c>
      <c r="T111" s="64">
        <f>IF(ISNUMBER('Übung 18'!CU$8),'Übung 18'!CU$8,0)</f>
        <v/>
      </c>
      <c r="U111" s="64">
        <f>IF(ISNUMBER('Übung 19'!CU$8),'Übung 19'!CU$8,0)</f>
        <v/>
      </c>
      <c r="V111" s="64">
        <f>IF(ISNUMBER('Übung 20'!CU$8),'Übung 20'!CU$8,0)</f>
        <v/>
      </c>
    </row>
    <row r="112">
      <c r="A112" s="62">
        <f>IF('Stammdaten'!$G98="aktiv",1,0)</f>
        <v/>
      </c>
      <c r="B112" s="172">
        <f>IF('Stammdaten'!$E98="",0,'Stammdaten'!$E98)</f>
        <v/>
      </c>
      <c r="C112" s="64">
        <f>IF(ISNUMBER('Übung 01'!CV$8),'Übung 01'!CV$8,0)</f>
        <v/>
      </c>
      <c r="D112" s="64">
        <f>IF(ISNUMBER('Übung 02'!CV$8),'Übung 02'!CV$8,0)</f>
        <v/>
      </c>
      <c r="E112" s="64">
        <f>IF(ISNUMBER('Übung 03'!CV$8),'Übung 03'!CV$8,0)</f>
        <v/>
      </c>
      <c r="F112" s="64">
        <f>IF(ISNUMBER('Übung 04'!CV$8),'Übung 04'!CV$8,0)</f>
        <v/>
      </c>
      <c r="G112" s="64">
        <f>IF(ISNUMBER('Übung 05'!CV$8),'Übung 05'!CV$8,0)</f>
        <v/>
      </c>
      <c r="H112" s="64">
        <f>IF(ISNUMBER('Übung 06'!CV$8),'Übung 06'!CV$8,0)</f>
        <v/>
      </c>
      <c r="I112" s="64">
        <f>IF(ISNUMBER('Übung 07'!CV$8),'Übung 07'!CV$8,0)</f>
        <v/>
      </c>
      <c r="J112" s="64">
        <f>IF(ISNUMBER('Übung 08'!CV$8),'Übung 08'!CV$8,0)</f>
        <v/>
      </c>
      <c r="K112" s="64">
        <f>IF(ISNUMBER('Übung 09'!CV$8),'Übung 09'!CV$8,0)</f>
        <v/>
      </c>
      <c r="L112" s="64">
        <f>IF(ISNUMBER('Übung 10'!CV$8),'Übung 10'!CV$8,0)</f>
        <v/>
      </c>
      <c r="M112" s="64">
        <f>IF(ISNUMBER('Übung 11'!CV$8),'Übung 11'!CV$8,0)</f>
        <v/>
      </c>
      <c r="N112" s="64">
        <f>IF(ISNUMBER('Übung 12'!CV$8),'Übung 12'!CV$8,0)</f>
        <v/>
      </c>
      <c r="O112" s="64">
        <f>IF(ISNUMBER('Übung 13'!CV$8),'Übung 13'!CV$8,0)</f>
        <v/>
      </c>
      <c r="P112" s="64">
        <f>IF(ISNUMBER('Übung 14'!CV$8),'Übung 14'!CV$8,0)</f>
        <v/>
      </c>
      <c r="Q112" s="64">
        <f>IF(ISNUMBER('Übung 15'!CV$8),'Übung 15'!CV$8,0)</f>
        <v/>
      </c>
      <c r="R112" s="64">
        <f>IF(ISNUMBER('Übung 16'!CV$8),'Übung 16'!CV$8,0)</f>
        <v/>
      </c>
      <c r="S112" s="64">
        <f>IF(ISNUMBER('Übung 17'!CV$8),'Übung 17'!CV$8,0)</f>
        <v/>
      </c>
      <c r="T112" s="64">
        <f>IF(ISNUMBER('Übung 18'!CV$8),'Übung 18'!CV$8,0)</f>
        <v/>
      </c>
      <c r="U112" s="64">
        <f>IF(ISNUMBER('Übung 19'!CV$8),'Übung 19'!CV$8,0)</f>
        <v/>
      </c>
      <c r="V112" s="64">
        <f>IF(ISNUMBER('Übung 20'!CV$8),'Übung 20'!CV$8,0)</f>
        <v/>
      </c>
    </row>
    <row r="113">
      <c r="A113" s="62">
        <f>IF('Stammdaten'!$G99="aktiv",1,0)</f>
        <v/>
      </c>
      <c r="B113" s="172">
        <f>IF('Stammdaten'!$E99="",0,'Stammdaten'!$E99)</f>
        <v/>
      </c>
      <c r="C113" s="64">
        <f>IF(ISNUMBER('Übung 01'!CW$8),'Übung 01'!CW$8,0)</f>
        <v/>
      </c>
      <c r="D113" s="64">
        <f>IF(ISNUMBER('Übung 02'!CW$8),'Übung 02'!CW$8,0)</f>
        <v/>
      </c>
      <c r="E113" s="64">
        <f>IF(ISNUMBER('Übung 03'!CW$8),'Übung 03'!CW$8,0)</f>
        <v/>
      </c>
      <c r="F113" s="64">
        <f>IF(ISNUMBER('Übung 04'!CW$8),'Übung 04'!CW$8,0)</f>
        <v/>
      </c>
      <c r="G113" s="64">
        <f>IF(ISNUMBER('Übung 05'!CW$8),'Übung 05'!CW$8,0)</f>
        <v/>
      </c>
      <c r="H113" s="64">
        <f>IF(ISNUMBER('Übung 06'!CW$8),'Übung 06'!CW$8,0)</f>
        <v/>
      </c>
      <c r="I113" s="64">
        <f>IF(ISNUMBER('Übung 07'!CW$8),'Übung 07'!CW$8,0)</f>
        <v/>
      </c>
      <c r="J113" s="64">
        <f>IF(ISNUMBER('Übung 08'!CW$8),'Übung 08'!CW$8,0)</f>
        <v/>
      </c>
      <c r="K113" s="64">
        <f>IF(ISNUMBER('Übung 09'!CW$8),'Übung 09'!CW$8,0)</f>
        <v/>
      </c>
      <c r="L113" s="64">
        <f>IF(ISNUMBER('Übung 10'!CW$8),'Übung 10'!CW$8,0)</f>
        <v/>
      </c>
      <c r="M113" s="64">
        <f>IF(ISNUMBER('Übung 11'!CW$8),'Übung 11'!CW$8,0)</f>
        <v/>
      </c>
      <c r="N113" s="64">
        <f>IF(ISNUMBER('Übung 12'!CW$8),'Übung 12'!CW$8,0)</f>
        <v/>
      </c>
      <c r="O113" s="64">
        <f>IF(ISNUMBER('Übung 13'!CW$8),'Übung 13'!CW$8,0)</f>
        <v/>
      </c>
      <c r="P113" s="64">
        <f>IF(ISNUMBER('Übung 14'!CW$8),'Übung 14'!CW$8,0)</f>
        <v/>
      </c>
      <c r="Q113" s="64">
        <f>IF(ISNUMBER('Übung 15'!CW$8),'Übung 15'!CW$8,0)</f>
        <v/>
      </c>
      <c r="R113" s="64">
        <f>IF(ISNUMBER('Übung 16'!CW$8),'Übung 16'!CW$8,0)</f>
        <v/>
      </c>
      <c r="S113" s="64">
        <f>IF(ISNUMBER('Übung 17'!CW$8),'Übung 17'!CW$8,0)</f>
        <v/>
      </c>
      <c r="T113" s="64">
        <f>IF(ISNUMBER('Übung 18'!CW$8),'Übung 18'!CW$8,0)</f>
        <v/>
      </c>
      <c r="U113" s="64">
        <f>IF(ISNUMBER('Übung 19'!CW$8),'Übung 19'!CW$8,0)</f>
        <v/>
      </c>
      <c r="V113" s="64">
        <f>IF(ISNUMBER('Übung 20'!CW$8),'Übung 20'!CW$8,0)</f>
        <v/>
      </c>
    </row>
    <row r="114">
      <c r="A114" s="62">
        <f>IF('Stammdaten'!$G100="aktiv",1,0)</f>
        <v/>
      </c>
      <c r="B114" s="172">
        <f>IF('Stammdaten'!$E100="",0,'Stammdaten'!$E100)</f>
        <v/>
      </c>
      <c r="C114" s="64">
        <f>IF(ISNUMBER('Übung 01'!CX$8),'Übung 01'!CX$8,0)</f>
        <v/>
      </c>
      <c r="D114" s="64">
        <f>IF(ISNUMBER('Übung 02'!CX$8),'Übung 02'!CX$8,0)</f>
        <v/>
      </c>
      <c r="E114" s="64">
        <f>IF(ISNUMBER('Übung 03'!CX$8),'Übung 03'!CX$8,0)</f>
        <v/>
      </c>
      <c r="F114" s="64">
        <f>IF(ISNUMBER('Übung 04'!CX$8),'Übung 04'!CX$8,0)</f>
        <v/>
      </c>
      <c r="G114" s="64">
        <f>IF(ISNUMBER('Übung 05'!CX$8),'Übung 05'!CX$8,0)</f>
        <v/>
      </c>
      <c r="H114" s="64">
        <f>IF(ISNUMBER('Übung 06'!CX$8),'Übung 06'!CX$8,0)</f>
        <v/>
      </c>
      <c r="I114" s="64">
        <f>IF(ISNUMBER('Übung 07'!CX$8),'Übung 07'!CX$8,0)</f>
        <v/>
      </c>
      <c r="J114" s="64">
        <f>IF(ISNUMBER('Übung 08'!CX$8),'Übung 08'!CX$8,0)</f>
        <v/>
      </c>
      <c r="K114" s="64">
        <f>IF(ISNUMBER('Übung 09'!CX$8),'Übung 09'!CX$8,0)</f>
        <v/>
      </c>
      <c r="L114" s="64">
        <f>IF(ISNUMBER('Übung 10'!CX$8),'Übung 10'!CX$8,0)</f>
        <v/>
      </c>
      <c r="M114" s="64">
        <f>IF(ISNUMBER('Übung 11'!CX$8),'Übung 11'!CX$8,0)</f>
        <v/>
      </c>
      <c r="N114" s="64">
        <f>IF(ISNUMBER('Übung 12'!CX$8),'Übung 12'!CX$8,0)</f>
        <v/>
      </c>
      <c r="O114" s="64">
        <f>IF(ISNUMBER('Übung 13'!CX$8),'Übung 13'!CX$8,0)</f>
        <v/>
      </c>
      <c r="P114" s="64">
        <f>IF(ISNUMBER('Übung 14'!CX$8),'Übung 14'!CX$8,0)</f>
        <v/>
      </c>
      <c r="Q114" s="64">
        <f>IF(ISNUMBER('Übung 15'!CX$8),'Übung 15'!CX$8,0)</f>
        <v/>
      </c>
      <c r="R114" s="64">
        <f>IF(ISNUMBER('Übung 16'!CX$8),'Übung 16'!CX$8,0)</f>
        <v/>
      </c>
      <c r="S114" s="64">
        <f>IF(ISNUMBER('Übung 17'!CX$8),'Übung 17'!CX$8,0)</f>
        <v/>
      </c>
      <c r="T114" s="64">
        <f>IF(ISNUMBER('Übung 18'!CX$8),'Übung 18'!CX$8,0)</f>
        <v/>
      </c>
      <c r="U114" s="64">
        <f>IF(ISNUMBER('Übung 19'!CX$8),'Übung 19'!CX$8,0)</f>
        <v/>
      </c>
      <c r="V114" s="64">
        <f>IF(ISNUMBER('Übung 20'!CX$8),'Übung 20'!CX$8,0)</f>
        <v/>
      </c>
    </row>
    <row r="115">
      <c r="A115" s="62">
        <f>IF('Stammdaten'!$G101="aktiv",1,0)</f>
        <v/>
      </c>
      <c r="B115" s="172">
        <f>IF('Stammdaten'!$E101="",0,'Stammdaten'!$E101)</f>
        <v/>
      </c>
      <c r="C115" s="64">
        <f>IF(ISNUMBER('Übung 01'!CY$8),'Übung 01'!CY$8,0)</f>
        <v/>
      </c>
      <c r="D115" s="64">
        <f>IF(ISNUMBER('Übung 02'!CY$8),'Übung 02'!CY$8,0)</f>
        <v/>
      </c>
      <c r="E115" s="64">
        <f>IF(ISNUMBER('Übung 03'!CY$8),'Übung 03'!CY$8,0)</f>
        <v/>
      </c>
      <c r="F115" s="64">
        <f>IF(ISNUMBER('Übung 04'!CY$8),'Übung 04'!CY$8,0)</f>
        <v/>
      </c>
      <c r="G115" s="64">
        <f>IF(ISNUMBER('Übung 05'!CY$8),'Übung 05'!CY$8,0)</f>
        <v/>
      </c>
      <c r="H115" s="64">
        <f>IF(ISNUMBER('Übung 06'!CY$8),'Übung 06'!CY$8,0)</f>
        <v/>
      </c>
      <c r="I115" s="64">
        <f>IF(ISNUMBER('Übung 07'!CY$8),'Übung 07'!CY$8,0)</f>
        <v/>
      </c>
      <c r="J115" s="64">
        <f>IF(ISNUMBER('Übung 08'!CY$8),'Übung 08'!CY$8,0)</f>
        <v/>
      </c>
      <c r="K115" s="64">
        <f>IF(ISNUMBER('Übung 09'!CY$8),'Übung 09'!CY$8,0)</f>
        <v/>
      </c>
      <c r="L115" s="64">
        <f>IF(ISNUMBER('Übung 10'!CY$8),'Übung 10'!CY$8,0)</f>
        <v/>
      </c>
      <c r="M115" s="64">
        <f>IF(ISNUMBER('Übung 11'!CY$8),'Übung 11'!CY$8,0)</f>
        <v/>
      </c>
      <c r="N115" s="64">
        <f>IF(ISNUMBER('Übung 12'!CY$8),'Übung 12'!CY$8,0)</f>
        <v/>
      </c>
      <c r="O115" s="64">
        <f>IF(ISNUMBER('Übung 13'!CY$8),'Übung 13'!CY$8,0)</f>
        <v/>
      </c>
      <c r="P115" s="64">
        <f>IF(ISNUMBER('Übung 14'!CY$8),'Übung 14'!CY$8,0)</f>
        <v/>
      </c>
      <c r="Q115" s="64">
        <f>IF(ISNUMBER('Übung 15'!CY$8),'Übung 15'!CY$8,0)</f>
        <v/>
      </c>
      <c r="R115" s="64">
        <f>IF(ISNUMBER('Übung 16'!CY$8),'Übung 16'!CY$8,0)</f>
        <v/>
      </c>
      <c r="S115" s="64">
        <f>IF(ISNUMBER('Übung 17'!CY$8),'Übung 17'!CY$8,0)</f>
        <v/>
      </c>
      <c r="T115" s="64">
        <f>IF(ISNUMBER('Übung 18'!CY$8),'Übung 18'!CY$8,0)</f>
        <v/>
      </c>
      <c r="U115" s="64">
        <f>IF(ISNUMBER('Übung 19'!CY$8),'Übung 19'!CY$8,0)</f>
        <v/>
      </c>
      <c r="V115" s="64">
        <f>IF(ISNUMBER('Übung 20'!CY$8),'Übung 20'!CY$8,0)</f>
        <v/>
      </c>
    </row>
    <row r="116">
      <c r="A116" s="62">
        <f>IF('Stammdaten'!$G102="aktiv",1,0)</f>
        <v/>
      </c>
      <c r="B116" s="172">
        <f>IF('Stammdaten'!$E102="",0,'Stammdaten'!$E102)</f>
        <v/>
      </c>
      <c r="C116" s="64">
        <f>IF(ISNUMBER('Übung 01'!CZ$8),'Übung 01'!CZ$8,0)</f>
        <v/>
      </c>
      <c r="D116" s="64">
        <f>IF(ISNUMBER('Übung 02'!CZ$8),'Übung 02'!CZ$8,0)</f>
        <v/>
      </c>
      <c r="E116" s="64">
        <f>IF(ISNUMBER('Übung 03'!CZ$8),'Übung 03'!CZ$8,0)</f>
        <v/>
      </c>
      <c r="F116" s="64">
        <f>IF(ISNUMBER('Übung 04'!CZ$8),'Übung 04'!CZ$8,0)</f>
        <v/>
      </c>
      <c r="G116" s="64">
        <f>IF(ISNUMBER('Übung 05'!CZ$8),'Übung 05'!CZ$8,0)</f>
        <v/>
      </c>
      <c r="H116" s="64">
        <f>IF(ISNUMBER('Übung 06'!CZ$8),'Übung 06'!CZ$8,0)</f>
        <v/>
      </c>
      <c r="I116" s="64">
        <f>IF(ISNUMBER('Übung 07'!CZ$8),'Übung 07'!CZ$8,0)</f>
        <v/>
      </c>
      <c r="J116" s="64">
        <f>IF(ISNUMBER('Übung 08'!CZ$8),'Übung 08'!CZ$8,0)</f>
        <v/>
      </c>
      <c r="K116" s="64">
        <f>IF(ISNUMBER('Übung 09'!CZ$8),'Übung 09'!CZ$8,0)</f>
        <v/>
      </c>
      <c r="L116" s="64">
        <f>IF(ISNUMBER('Übung 10'!CZ$8),'Übung 10'!CZ$8,0)</f>
        <v/>
      </c>
      <c r="M116" s="64">
        <f>IF(ISNUMBER('Übung 11'!CZ$8),'Übung 11'!CZ$8,0)</f>
        <v/>
      </c>
      <c r="N116" s="64">
        <f>IF(ISNUMBER('Übung 12'!CZ$8),'Übung 12'!CZ$8,0)</f>
        <v/>
      </c>
      <c r="O116" s="64">
        <f>IF(ISNUMBER('Übung 13'!CZ$8),'Übung 13'!CZ$8,0)</f>
        <v/>
      </c>
      <c r="P116" s="64">
        <f>IF(ISNUMBER('Übung 14'!CZ$8),'Übung 14'!CZ$8,0)</f>
        <v/>
      </c>
      <c r="Q116" s="64">
        <f>IF(ISNUMBER('Übung 15'!CZ$8),'Übung 15'!CZ$8,0)</f>
        <v/>
      </c>
      <c r="R116" s="64">
        <f>IF(ISNUMBER('Übung 16'!CZ$8),'Übung 16'!CZ$8,0)</f>
        <v/>
      </c>
      <c r="S116" s="64">
        <f>IF(ISNUMBER('Übung 17'!CZ$8),'Übung 17'!CZ$8,0)</f>
        <v/>
      </c>
      <c r="T116" s="64">
        <f>IF(ISNUMBER('Übung 18'!CZ$8),'Übung 18'!CZ$8,0)</f>
        <v/>
      </c>
      <c r="U116" s="64">
        <f>IF(ISNUMBER('Übung 19'!CZ$8),'Übung 19'!CZ$8,0)</f>
        <v/>
      </c>
      <c r="V116" s="64">
        <f>IF(ISNUMBER('Übung 20'!CZ$8),'Übung 20'!CZ$8,0)</f>
        <v/>
      </c>
    </row>
    <row r="117">
      <c r="A117" s="62">
        <f>IF('Stammdaten'!$G103="aktiv",1,0)</f>
        <v/>
      </c>
      <c r="B117" s="172">
        <f>IF('Stammdaten'!$E103="",0,'Stammdaten'!$E103)</f>
        <v/>
      </c>
      <c r="C117" s="64">
        <f>IF(ISNUMBER('Übung 01'!DA$8),'Übung 01'!DA$8,0)</f>
        <v/>
      </c>
      <c r="D117" s="64">
        <f>IF(ISNUMBER('Übung 02'!DA$8),'Übung 02'!DA$8,0)</f>
        <v/>
      </c>
      <c r="E117" s="64">
        <f>IF(ISNUMBER('Übung 03'!DA$8),'Übung 03'!DA$8,0)</f>
        <v/>
      </c>
      <c r="F117" s="64">
        <f>IF(ISNUMBER('Übung 04'!DA$8),'Übung 04'!DA$8,0)</f>
        <v/>
      </c>
      <c r="G117" s="64">
        <f>IF(ISNUMBER('Übung 05'!DA$8),'Übung 05'!DA$8,0)</f>
        <v/>
      </c>
      <c r="H117" s="64">
        <f>IF(ISNUMBER('Übung 06'!DA$8),'Übung 06'!DA$8,0)</f>
        <v/>
      </c>
      <c r="I117" s="64">
        <f>IF(ISNUMBER('Übung 07'!DA$8),'Übung 07'!DA$8,0)</f>
        <v/>
      </c>
      <c r="J117" s="64">
        <f>IF(ISNUMBER('Übung 08'!DA$8),'Übung 08'!DA$8,0)</f>
        <v/>
      </c>
      <c r="K117" s="64">
        <f>IF(ISNUMBER('Übung 09'!DA$8),'Übung 09'!DA$8,0)</f>
        <v/>
      </c>
      <c r="L117" s="64">
        <f>IF(ISNUMBER('Übung 10'!DA$8),'Übung 10'!DA$8,0)</f>
        <v/>
      </c>
      <c r="M117" s="64">
        <f>IF(ISNUMBER('Übung 11'!DA$8),'Übung 11'!DA$8,0)</f>
        <v/>
      </c>
      <c r="N117" s="64">
        <f>IF(ISNUMBER('Übung 12'!DA$8),'Übung 12'!DA$8,0)</f>
        <v/>
      </c>
      <c r="O117" s="64">
        <f>IF(ISNUMBER('Übung 13'!DA$8),'Übung 13'!DA$8,0)</f>
        <v/>
      </c>
      <c r="P117" s="64">
        <f>IF(ISNUMBER('Übung 14'!DA$8),'Übung 14'!DA$8,0)</f>
        <v/>
      </c>
      <c r="Q117" s="64">
        <f>IF(ISNUMBER('Übung 15'!DA$8),'Übung 15'!DA$8,0)</f>
        <v/>
      </c>
      <c r="R117" s="64">
        <f>IF(ISNUMBER('Übung 16'!DA$8),'Übung 16'!DA$8,0)</f>
        <v/>
      </c>
      <c r="S117" s="64">
        <f>IF(ISNUMBER('Übung 17'!DA$8),'Übung 17'!DA$8,0)</f>
        <v/>
      </c>
      <c r="T117" s="64">
        <f>IF(ISNUMBER('Übung 18'!DA$8),'Übung 18'!DA$8,0)</f>
        <v/>
      </c>
      <c r="U117" s="64">
        <f>IF(ISNUMBER('Übung 19'!DA$8),'Übung 19'!DA$8,0)</f>
        <v/>
      </c>
      <c r="V117" s="64">
        <f>IF(ISNUMBER('Übung 20'!DA$8),'Übung 20'!DA$8,0)</f>
        <v/>
      </c>
    </row>
    <row r="118">
      <c r="A118" s="62">
        <f>IF('Stammdaten'!$G104="aktiv",1,0)</f>
        <v/>
      </c>
      <c r="B118" s="172">
        <f>IF('Stammdaten'!$E104="",0,'Stammdaten'!$E104)</f>
        <v/>
      </c>
      <c r="C118" s="64">
        <f>IF(ISNUMBER('Übung 01'!DB$8),'Übung 01'!DB$8,0)</f>
        <v/>
      </c>
      <c r="D118" s="64">
        <f>IF(ISNUMBER('Übung 02'!DB$8),'Übung 02'!DB$8,0)</f>
        <v/>
      </c>
      <c r="E118" s="64">
        <f>IF(ISNUMBER('Übung 03'!DB$8),'Übung 03'!DB$8,0)</f>
        <v/>
      </c>
      <c r="F118" s="64">
        <f>IF(ISNUMBER('Übung 04'!DB$8),'Übung 04'!DB$8,0)</f>
        <v/>
      </c>
      <c r="G118" s="64">
        <f>IF(ISNUMBER('Übung 05'!DB$8),'Übung 05'!DB$8,0)</f>
        <v/>
      </c>
      <c r="H118" s="64">
        <f>IF(ISNUMBER('Übung 06'!DB$8),'Übung 06'!DB$8,0)</f>
        <v/>
      </c>
      <c r="I118" s="64">
        <f>IF(ISNUMBER('Übung 07'!DB$8),'Übung 07'!DB$8,0)</f>
        <v/>
      </c>
      <c r="J118" s="64">
        <f>IF(ISNUMBER('Übung 08'!DB$8),'Übung 08'!DB$8,0)</f>
        <v/>
      </c>
      <c r="K118" s="64">
        <f>IF(ISNUMBER('Übung 09'!DB$8),'Übung 09'!DB$8,0)</f>
        <v/>
      </c>
      <c r="L118" s="64">
        <f>IF(ISNUMBER('Übung 10'!DB$8),'Übung 10'!DB$8,0)</f>
        <v/>
      </c>
      <c r="M118" s="64">
        <f>IF(ISNUMBER('Übung 11'!DB$8),'Übung 11'!DB$8,0)</f>
        <v/>
      </c>
      <c r="N118" s="64">
        <f>IF(ISNUMBER('Übung 12'!DB$8),'Übung 12'!DB$8,0)</f>
        <v/>
      </c>
      <c r="O118" s="64">
        <f>IF(ISNUMBER('Übung 13'!DB$8),'Übung 13'!DB$8,0)</f>
        <v/>
      </c>
      <c r="P118" s="64">
        <f>IF(ISNUMBER('Übung 14'!DB$8),'Übung 14'!DB$8,0)</f>
        <v/>
      </c>
      <c r="Q118" s="64">
        <f>IF(ISNUMBER('Übung 15'!DB$8),'Übung 15'!DB$8,0)</f>
        <v/>
      </c>
      <c r="R118" s="64">
        <f>IF(ISNUMBER('Übung 16'!DB$8),'Übung 16'!DB$8,0)</f>
        <v/>
      </c>
      <c r="S118" s="64">
        <f>IF(ISNUMBER('Übung 17'!DB$8),'Übung 17'!DB$8,0)</f>
        <v/>
      </c>
      <c r="T118" s="64">
        <f>IF(ISNUMBER('Übung 18'!DB$8),'Übung 18'!DB$8,0)</f>
        <v/>
      </c>
      <c r="U118" s="64">
        <f>IF(ISNUMBER('Übung 19'!DB$8),'Übung 19'!DB$8,0)</f>
        <v/>
      </c>
      <c r="V118" s="64">
        <f>IF(ISNUMBER('Übung 20'!DB$8),'Übung 20'!DB$8,0)</f>
        <v/>
      </c>
    </row>
    <row r="119">
      <c r="A119" s="62">
        <f>IF('Stammdaten'!$G105="aktiv",1,0)</f>
        <v/>
      </c>
      <c r="B119" s="172">
        <f>IF('Stammdaten'!$E105="",0,'Stammdaten'!$E105)</f>
        <v/>
      </c>
      <c r="C119" s="64">
        <f>IF(ISNUMBER('Übung 01'!DC$8),'Übung 01'!DC$8,0)</f>
        <v/>
      </c>
      <c r="D119" s="64">
        <f>IF(ISNUMBER('Übung 02'!DC$8),'Übung 02'!DC$8,0)</f>
        <v/>
      </c>
      <c r="E119" s="64">
        <f>IF(ISNUMBER('Übung 03'!DC$8),'Übung 03'!DC$8,0)</f>
        <v/>
      </c>
      <c r="F119" s="64">
        <f>IF(ISNUMBER('Übung 04'!DC$8),'Übung 04'!DC$8,0)</f>
        <v/>
      </c>
      <c r="G119" s="64">
        <f>IF(ISNUMBER('Übung 05'!DC$8),'Übung 05'!DC$8,0)</f>
        <v/>
      </c>
      <c r="H119" s="64">
        <f>IF(ISNUMBER('Übung 06'!DC$8),'Übung 06'!DC$8,0)</f>
        <v/>
      </c>
      <c r="I119" s="64">
        <f>IF(ISNUMBER('Übung 07'!DC$8),'Übung 07'!DC$8,0)</f>
        <v/>
      </c>
      <c r="J119" s="64">
        <f>IF(ISNUMBER('Übung 08'!DC$8),'Übung 08'!DC$8,0)</f>
        <v/>
      </c>
      <c r="K119" s="64">
        <f>IF(ISNUMBER('Übung 09'!DC$8),'Übung 09'!DC$8,0)</f>
        <v/>
      </c>
      <c r="L119" s="64">
        <f>IF(ISNUMBER('Übung 10'!DC$8),'Übung 10'!DC$8,0)</f>
        <v/>
      </c>
      <c r="M119" s="64">
        <f>IF(ISNUMBER('Übung 11'!DC$8),'Übung 11'!DC$8,0)</f>
        <v/>
      </c>
      <c r="N119" s="64">
        <f>IF(ISNUMBER('Übung 12'!DC$8),'Übung 12'!DC$8,0)</f>
        <v/>
      </c>
      <c r="O119" s="64">
        <f>IF(ISNUMBER('Übung 13'!DC$8),'Übung 13'!DC$8,0)</f>
        <v/>
      </c>
      <c r="P119" s="64">
        <f>IF(ISNUMBER('Übung 14'!DC$8),'Übung 14'!DC$8,0)</f>
        <v/>
      </c>
      <c r="Q119" s="64">
        <f>IF(ISNUMBER('Übung 15'!DC$8),'Übung 15'!DC$8,0)</f>
        <v/>
      </c>
      <c r="R119" s="64">
        <f>IF(ISNUMBER('Übung 16'!DC$8),'Übung 16'!DC$8,0)</f>
        <v/>
      </c>
      <c r="S119" s="64">
        <f>IF(ISNUMBER('Übung 17'!DC$8),'Übung 17'!DC$8,0)</f>
        <v/>
      </c>
      <c r="T119" s="64">
        <f>IF(ISNUMBER('Übung 18'!DC$8),'Übung 18'!DC$8,0)</f>
        <v/>
      </c>
      <c r="U119" s="64">
        <f>IF(ISNUMBER('Übung 19'!DC$8),'Übung 19'!DC$8,0)</f>
        <v/>
      </c>
      <c r="V119" s="64">
        <f>IF(ISNUMBER('Übung 20'!DC$8),'Übung 20'!DC$8,0)</f>
        <v/>
      </c>
    </row>
    <row r="124">
      <c r="A124" s="171" t="inlineStr">
        <is>
          <t>bewertet</t>
        </is>
      </c>
    </row>
    <row r="125">
      <c r="C125" s="62">
        <f>IF(ISNUMBER('Übung 01'!E$8),1,0)</f>
        <v/>
      </c>
      <c r="D125" s="62">
        <f>IF(ISNUMBER('Übung 02'!E$8),1,0)</f>
        <v/>
      </c>
      <c r="E125" s="62">
        <f>IF(ISNUMBER('Übung 03'!E$8),1,0)</f>
        <v/>
      </c>
      <c r="F125" s="62">
        <f>IF(ISNUMBER('Übung 04'!E$8),1,0)</f>
        <v/>
      </c>
      <c r="G125" s="62">
        <f>IF(ISNUMBER('Übung 05'!E$8),1,0)</f>
        <v/>
      </c>
      <c r="H125" s="62">
        <f>IF(ISNUMBER('Übung 06'!E$8),1,0)</f>
        <v/>
      </c>
      <c r="I125" s="62">
        <f>IF(ISNUMBER('Übung 07'!E$8),1,0)</f>
        <v/>
      </c>
      <c r="J125" s="62">
        <f>IF(ISNUMBER('Übung 08'!E$8),1,0)</f>
        <v/>
      </c>
      <c r="K125" s="62">
        <f>IF(ISNUMBER('Übung 09'!E$8),1,0)</f>
        <v/>
      </c>
      <c r="L125" s="62">
        <f>IF(ISNUMBER('Übung 10'!E$8),1,0)</f>
        <v/>
      </c>
      <c r="M125" s="62">
        <f>IF(ISNUMBER('Übung 11'!E$8),1,0)</f>
        <v/>
      </c>
      <c r="N125" s="62">
        <f>IF(ISNUMBER('Übung 12'!E$8),1,0)</f>
        <v/>
      </c>
      <c r="O125" s="62">
        <f>IF(ISNUMBER('Übung 13'!E$8),1,0)</f>
        <v/>
      </c>
      <c r="P125" s="62">
        <f>IF(ISNUMBER('Übung 14'!E$8),1,0)</f>
        <v/>
      </c>
      <c r="Q125" s="62">
        <f>IF(ISNUMBER('Übung 15'!E$8),1,0)</f>
        <v/>
      </c>
      <c r="R125" s="62">
        <f>IF(ISNUMBER('Übung 16'!E$8),1,0)</f>
        <v/>
      </c>
      <c r="S125" s="62">
        <f>IF(ISNUMBER('Übung 17'!E$8),1,0)</f>
        <v/>
      </c>
      <c r="T125" s="62">
        <f>IF(ISNUMBER('Übung 18'!E$8),1,0)</f>
        <v/>
      </c>
      <c r="U125" s="62">
        <f>IF(ISNUMBER('Übung 19'!E$8),1,0)</f>
        <v/>
      </c>
      <c r="V125" s="62">
        <f>IF(ISNUMBER('Übung 20'!E$8),1,0)</f>
        <v/>
      </c>
    </row>
    <row r="126">
      <c r="C126" s="62">
        <f>IF(ISNUMBER('Übung 01'!F$8),1,0)</f>
        <v/>
      </c>
      <c r="D126" s="62">
        <f>IF(ISNUMBER('Übung 02'!F$8),1,0)</f>
        <v/>
      </c>
      <c r="E126" s="62">
        <f>IF(ISNUMBER('Übung 03'!F$8),1,0)</f>
        <v/>
      </c>
      <c r="F126" s="62">
        <f>IF(ISNUMBER('Übung 04'!F$8),1,0)</f>
        <v/>
      </c>
      <c r="G126" s="62">
        <f>IF(ISNUMBER('Übung 05'!F$8),1,0)</f>
        <v/>
      </c>
      <c r="H126" s="62">
        <f>IF(ISNUMBER('Übung 06'!F$8),1,0)</f>
        <v/>
      </c>
      <c r="I126" s="62">
        <f>IF(ISNUMBER('Übung 07'!F$8),1,0)</f>
        <v/>
      </c>
      <c r="J126" s="62">
        <f>IF(ISNUMBER('Übung 08'!F$8),1,0)</f>
        <v/>
      </c>
      <c r="K126" s="62">
        <f>IF(ISNUMBER('Übung 09'!F$8),1,0)</f>
        <v/>
      </c>
      <c r="L126" s="62">
        <f>IF(ISNUMBER('Übung 10'!F$8),1,0)</f>
        <v/>
      </c>
      <c r="M126" s="62">
        <f>IF(ISNUMBER('Übung 11'!F$8),1,0)</f>
        <v/>
      </c>
      <c r="N126" s="62">
        <f>IF(ISNUMBER('Übung 12'!F$8),1,0)</f>
        <v/>
      </c>
      <c r="O126" s="62">
        <f>IF(ISNUMBER('Übung 13'!F$8),1,0)</f>
        <v/>
      </c>
      <c r="P126" s="62">
        <f>IF(ISNUMBER('Übung 14'!F$8),1,0)</f>
        <v/>
      </c>
      <c r="Q126" s="62">
        <f>IF(ISNUMBER('Übung 15'!F$8),1,0)</f>
        <v/>
      </c>
      <c r="R126" s="62">
        <f>IF(ISNUMBER('Übung 16'!F$8),1,0)</f>
        <v/>
      </c>
      <c r="S126" s="62">
        <f>IF(ISNUMBER('Übung 17'!F$8),1,0)</f>
        <v/>
      </c>
      <c r="T126" s="62">
        <f>IF(ISNUMBER('Übung 18'!F$8),1,0)</f>
        <v/>
      </c>
      <c r="U126" s="62">
        <f>IF(ISNUMBER('Übung 19'!F$8),1,0)</f>
        <v/>
      </c>
      <c r="V126" s="62">
        <f>IF(ISNUMBER('Übung 20'!F$8),1,0)</f>
        <v/>
      </c>
    </row>
    <row r="127">
      <c r="C127" s="62">
        <f>IF(ISNUMBER('Übung 01'!G$8),1,0)</f>
        <v/>
      </c>
      <c r="D127" s="62">
        <f>IF(ISNUMBER('Übung 02'!G$8),1,0)</f>
        <v/>
      </c>
      <c r="E127" s="62">
        <f>IF(ISNUMBER('Übung 03'!G$8),1,0)</f>
        <v/>
      </c>
      <c r="F127" s="62">
        <f>IF(ISNUMBER('Übung 04'!G$8),1,0)</f>
        <v/>
      </c>
      <c r="G127" s="62">
        <f>IF(ISNUMBER('Übung 05'!G$8),1,0)</f>
        <v/>
      </c>
      <c r="H127" s="62">
        <f>IF(ISNUMBER('Übung 06'!G$8),1,0)</f>
        <v/>
      </c>
      <c r="I127" s="62">
        <f>IF(ISNUMBER('Übung 07'!G$8),1,0)</f>
        <v/>
      </c>
      <c r="J127" s="62">
        <f>IF(ISNUMBER('Übung 08'!G$8),1,0)</f>
        <v/>
      </c>
      <c r="K127" s="62">
        <f>IF(ISNUMBER('Übung 09'!G$8),1,0)</f>
        <v/>
      </c>
      <c r="L127" s="62">
        <f>IF(ISNUMBER('Übung 10'!G$8),1,0)</f>
        <v/>
      </c>
      <c r="M127" s="62">
        <f>IF(ISNUMBER('Übung 11'!G$8),1,0)</f>
        <v/>
      </c>
      <c r="N127" s="62">
        <f>IF(ISNUMBER('Übung 12'!G$8),1,0)</f>
        <v/>
      </c>
      <c r="O127" s="62">
        <f>IF(ISNUMBER('Übung 13'!G$8),1,0)</f>
        <v/>
      </c>
      <c r="P127" s="62">
        <f>IF(ISNUMBER('Übung 14'!G$8),1,0)</f>
        <v/>
      </c>
      <c r="Q127" s="62">
        <f>IF(ISNUMBER('Übung 15'!G$8),1,0)</f>
        <v/>
      </c>
      <c r="R127" s="62">
        <f>IF(ISNUMBER('Übung 16'!G$8),1,0)</f>
        <v/>
      </c>
      <c r="S127" s="62">
        <f>IF(ISNUMBER('Übung 17'!G$8),1,0)</f>
        <v/>
      </c>
      <c r="T127" s="62">
        <f>IF(ISNUMBER('Übung 18'!G$8),1,0)</f>
        <v/>
      </c>
      <c r="U127" s="62">
        <f>IF(ISNUMBER('Übung 19'!G$8),1,0)</f>
        <v/>
      </c>
      <c r="V127" s="62">
        <f>IF(ISNUMBER('Übung 20'!G$8),1,0)</f>
        <v/>
      </c>
    </row>
    <row r="128">
      <c r="C128" s="62">
        <f>IF(ISNUMBER('Übung 01'!H$8),1,0)</f>
        <v/>
      </c>
      <c r="D128" s="62">
        <f>IF(ISNUMBER('Übung 02'!H$8),1,0)</f>
        <v/>
      </c>
      <c r="E128" s="62">
        <f>IF(ISNUMBER('Übung 03'!H$8),1,0)</f>
        <v/>
      </c>
      <c r="F128" s="62">
        <f>IF(ISNUMBER('Übung 04'!H$8),1,0)</f>
        <v/>
      </c>
      <c r="G128" s="62">
        <f>IF(ISNUMBER('Übung 05'!H$8),1,0)</f>
        <v/>
      </c>
      <c r="H128" s="62">
        <f>IF(ISNUMBER('Übung 06'!H$8),1,0)</f>
        <v/>
      </c>
      <c r="I128" s="62">
        <f>IF(ISNUMBER('Übung 07'!H$8),1,0)</f>
        <v/>
      </c>
      <c r="J128" s="62">
        <f>IF(ISNUMBER('Übung 08'!H$8),1,0)</f>
        <v/>
      </c>
      <c r="K128" s="62">
        <f>IF(ISNUMBER('Übung 09'!H$8),1,0)</f>
        <v/>
      </c>
      <c r="L128" s="62">
        <f>IF(ISNUMBER('Übung 10'!H$8),1,0)</f>
        <v/>
      </c>
      <c r="M128" s="62">
        <f>IF(ISNUMBER('Übung 11'!H$8),1,0)</f>
        <v/>
      </c>
      <c r="N128" s="62">
        <f>IF(ISNUMBER('Übung 12'!H$8),1,0)</f>
        <v/>
      </c>
      <c r="O128" s="62">
        <f>IF(ISNUMBER('Übung 13'!H$8),1,0)</f>
        <v/>
      </c>
      <c r="P128" s="62">
        <f>IF(ISNUMBER('Übung 14'!H$8),1,0)</f>
        <v/>
      </c>
      <c r="Q128" s="62">
        <f>IF(ISNUMBER('Übung 15'!H$8),1,0)</f>
        <v/>
      </c>
      <c r="R128" s="62">
        <f>IF(ISNUMBER('Übung 16'!H$8),1,0)</f>
        <v/>
      </c>
      <c r="S128" s="62">
        <f>IF(ISNUMBER('Übung 17'!H$8),1,0)</f>
        <v/>
      </c>
      <c r="T128" s="62">
        <f>IF(ISNUMBER('Übung 18'!H$8),1,0)</f>
        <v/>
      </c>
      <c r="U128" s="62">
        <f>IF(ISNUMBER('Übung 19'!H$8),1,0)</f>
        <v/>
      </c>
      <c r="V128" s="62">
        <f>IF(ISNUMBER('Übung 20'!H$8),1,0)</f>
        <v/>
      </c>
    </row>
    <row r="129">
      <c r="C129" s="62">
        <f>IF(ISNUMBER('Übung 01'!I$8),1,0)</f>
        <v/>
      </c>
      <c r="D129" s="62">
        <f>IF(ISNUMBER('Übung 02'!I$8),1,0)</f>
        <v/>
      </c>
      <c r="E129" s="62">
        <f>IF(ISNUMBER('Übung 03'!I$8),1,0)</f>
        <v/>
      </c>
      <c r="F129" s="62">
        <f>IF(ISNUMBER('Übung 04'!I$8),1,0)</f>
        <v/>
      </c>
      <c r="G129" s="62">
        <f>IF(ISNUMBER('Übung 05'!I$8),1,0)</f>
        <v/>
      </c>
      <c r="H129" s="62">
        <f>IF(ISNUMBER('Übung 06'!I$8),1,0)</f>
        <v/>
      </c>
      <c r="I129" s="62">
        <f>IF(ISNUMBER('Übung 07'!I$8),1,0)</f>
        <v/>
      </c>
      <c r="J129" s="62">
        <f>IF(ISNUMBER('Übung 08'!I$8),1,0)</f>
        <v/>
      </c>
      <c r="K129" s="62">
        <f>IF(ISNUMBER('Übung 09'!I$8),1,0)</f>
        <v/>
      </c>
      <c r="L129" s="62">
        <f>IF(ISNUMBER('Übung 10'!I$8),1,0)</f>
        <v/>
      </c>
      <c r="M129" s="62">
        <f>IF(ISNUMBER('Übung 11'!I$8),1,0)</f>
        <v/>
      </c>
      <c r="N129" s="62">
        <f>IF(ISNUMBER('Übung 12'!I$8),1,0)</f>
        <v/>
      </c>
      <c r="O129" s="62">
        <f>IF(ISNUMBER('Übung 13'!I$8),1,0)</f>
        <v/>
      </c>
      <c r="P129" s="62">
        <f>IF(ISNUMBER('Übung 14'!I$8),1,0)</f>
        <v/>
      </c>
      <c r="Q129" s="62">
        <f>IF(ISNUMBER('Übung 15'!I$8),1,0)</f>
        <v/>
      </c>
      <c r="R129" s="62">
        <f>IF(ISNUMBER('Übung 16'!I$8),1,0)</f>
        <v/>
      </c>
      <c r="S129" s="62">
        <f>IF(ISNUMBER('Übung 17'!I$8),1,0)</f>
        <v/>
      </c>
      <c r="T129" s="62">
        <f>IF(ISNUMBER('Übung 18'!I$8),1,0)</f>
        <v/>
      </c>
      <c r="U129" s="62">
        <f>IF(ISNUMBER('Übung 19'!I$8),1,0)</f>
        <v/>
      </c>
      <c r="V129" s="62">
        <f>IF(ISNUMBER('Übung 20'!I$8),1,0)</f>
        <v/>
      </c>
    </row>
    <row r="130">
      <c r="C130" s="62">
        <f>IF(ISNUMBER('Übung 01'!J$8),1,0)</f>
        <v/>
      </c>
      <c r="D130" s="62">
        <f>IF(ISNUMBER('Übung 02'!J$8),1,0)</f>
        <v/>
      </c>
      <c r="E130" s="62">
        <f>IF(ISNUMBER('Übung 03'!J$8),1,0)</f>
        <v/>
      </c>
      <c r="F130" s="62">
        <f>IF(ISNUMBER('Übung 04'!J$8),1,0)</f>
        <v/>
      </c>
      <c r="G130" s="62">
        <f>IF(ISNUMBER('Übung 05'!J$8),1,0)</f>
        <v/>
      </c>
      <c r="H130" s="62">
        <f>IF(ISNUMBER('Übung 06'!J$8),1,0)</f>
        <v/>
      </c>
      <c r="I130" s="62">
        <f>IF(ISNUMBER('Übung 07'!J$8),1,0)</f>
        <v/>
      </c>
      <c r="J130" s="62">
        <f>IF(ISNUMBER('Übung 08'!J$8),1,0)</f>
        <v/>
      </c>
      <c r="K130" s="62">
        <f>IF(ISNUMBER('Übung 09'!J$8),1,0)</f>
        <v/>
      </c>
      <c r="L130" s="62">
        <f>IF(ISNUMBER('Übung 10'!J$8),1,0)</f>
        <v/>
      </c>
      <c r="M130" s="62">
        <f>IF(ISNUMBER('Übung 11'!J$8),1,0)</f>
        <v/>
      </c>
      <c r="N130" s="62">
        <f>IF(ISNUMBER('Übung 12'!J$8),1,0)</f>
        <v/>
      </c>
      <c r="O130" s="62">
        <f>IF(ISNUMBER('Übung 13'!J$8),1,0)</f>
        <v/>
      </c>
      <c r="P130" s="62">
        <f>IF(ISNUMBER('Übung 14'!J$8),1,0)</f>
        <v/>
      </c>
      <c r="Q130" s="62">
        <f>IF(ISNUMBER('Übung 15'!J$8),1,0)</f>
        <v/>
      </c>
      <c r="R130" s="62">
        <f>IF(ISNUMBER('Übung 16'!J$8),1,0)</f>
        <v/>
      </c>
      <c r="S130" s="62">
        <f>IF(ISNUMBER('Übung 17'!J$8),1,0)</f>
        <v/>
      </c>
      <c r="T130" s="62">
        <f>IF(ISNUMBER('Übung 18'!J$8),1,0)</f>
        <v/>
      </c>
      <c r="U130" s="62">
        <f>IF(ISNUMBER('Übung 19'!J$8),1,0)</f>
        <v/>
      </c>
      <c r="V130" s="62">
        <f>IF(ISNUMBER('Übung 20'!J$8),1,0)</f>
        <v/>
      </c>
    </row>
    <row r="131">
      <c r="C131" s="62">
        <f>IF(ISNUMBER('Übung 01'!K$8),1,0)</f>
        <v/>
      </c>
      <c r="D131" s="62">
        <f>IF(ISNUMBER('Übung 02'!K$8),1,0)</f>
        <v/>
      </c>
      <c r="E131" s="62">
        <f>IF(ISNUMBER('Übung 03'!K$8),1,0)</f>
        <v/>
      </c>
      <c r="F131" s="62">
        <f>IF(ISNUMBER('Übung 04'!K$8),1,0)</f>
        <v/>
      </c>
      <c r="G131" s="62">
        <f>IF(ISNUMBER('Übung 05'!K$8),1,0)</f>
        <v/>
      </c>
      <c r="H131" s="62">
        <f>IF(ISNUMBER('Übung 06'!K$8),1,0)</f>
        <v/>
      </c>
      <c r="I131" s="62">
        <f>IF(ISNUMBER('Übung 07'!K$8),1,0)</f>
        <v/>
      </c>
      <c r="J131" s="62">
        <f>IF(ISNUMBER('Übung 08'!K$8),1,0)</f>
        <v/>
      </c>
      <c r="K131" s="62">
        <f>IF(ISNUMBER('Übung 09'!K$8),1,0)</f>
        <v/>
      </c>
      <c r="L131" s="62">
        <f>IF(ISNUMBER('Übung 10'!K$8),1,0)</f>
        <v/>
      </c>
      <c r="M131" s="62">
        <f>IF(ISNUMBER('Übung 11'!K$8),1,0)</f>
        <v/>
      </c>
      <c r="N131" s="62">
        <f>IF(ISNUMBER('Übung 12'!K$8),1,0)</f>
        <v/>
      </c>
      <c r="O131" s="62">
        <f>IF(ISNUMBER('Übung 13'!K$8),1,0)</f>
        <v/>
      </c>
      <c r="P131" s="62">
        <f>IF(ISNUMBER('Übung 14'!K$8),1,0)</f>
        <v/>
      </c>
      <c r="Q131" s="62">
        <f>IF(ISNUMBER('Übung 15'!K$8),1,0)</f>
        <v/>
      </c>
      <c r="R131" s="62">
        <f>IF(ISNUMBER('Übung 16'!K$8),1,0)</f>
        <v/>
      </c>
      <c r="S131" s="62">
        <f>IF(ISNUMBER('Übung 17'!K$8),1,0)</f>
        <v/>
      </c>
      <c r="T131" s="62">
        <f>IF(ISNUMBER('Übung 18'!K$8),1,0)</f>
        <v/>
      </c>
      <c r="U131" s="62">
        <f>IF(ISNUMBER('Übung 19'!K$8),1,0)</f>
        <v/>
      </c>
      <c r="V131" s="62">
        <f>IF(ISNUMBER('Übung 20'!K$8),1,0)</f>
        <v/>
      </c>
    </row>
    <row r="132">
      <c r="C132" s="62">
        <f>IF(ISNUMBER('Übung 01'!L$8),1,0)</f>
        <v/>
      </c>
      <c r="D132" s="62">
        <f>IF(ISNUMBER('Übung 02'!L$8),1,0)</f>
        <v/>
      </c>
      <c r="E132" s="62">
        <f>IF(ISNUMBER('Übung 03'!L$8),1,0)</f>
        <v/>
      </c>
      <c r="F132" s="62">
        <f>IF(ISNUMBER('Übung 04'!L$8),1,0)</f>
        <v/>
      </c>
      <c r="G132" s="62">
        <f>IF(ISNUMBER('Übung 05'!L$8),1,0)</f>
        <v/>
      </c>
      <c r="H132" s="62">
        <f>IF(ISNUMBER('Übung 06'!L$8),1,0)</f>
        <v/>
      </c>
      <c r="I132" s="62">
        <f>IF(ISNUMBER('Übung 07'!L$8),1,0)</f>
        <v/>
      </c>
      <c r="J132" s="62">
        <f>IF(ISNUMBER('Übung 08'!L$8),1,0)</f>
        <v/>
      </c>
      <c r="K132" s="62">
        <f>IF(ISNUMBER('Übung 09'!L$8),1,0)</f>
        <v/>
      </c>
      <c r="L132" s="62">
        <f>IF(ISNUMBER('Übung 10'!L$8),1,0)</f>
        <v/>
      </c>
      <c r="M132" s="62">
        <f>IF(ISNUMBER('Übung 11'!L$8),1,0)</f>
        <v/>
      </c>
      <c r="N132" s="62">
        <f>IF(ISNUMBER('Übung 12'!L$8),1,0)</f>
        <v/>
      </c>
      <c r="O132" s="62">
        <f>IF(ISNUMBER('Übung 13'!L$8),1,0)</f>
        <v/>
      </c>
      <c r="P132" s="62">
        <f>IF(ISNUMBER('Übung 14'!L$8),1,0)</f>
        <v/>
      </c>
      <c r="Q132" s="62">
        <f>IF(ISNUMBER('Übung 15'!L$8),1,0)</f>
        <v/>
      </c>
      <c r="R132" s="62">
        <f>IF(ISNUMBER('Übung 16'!L$8),1,0)</f>
        <v/>
      </c>
      <c r="S132" s="62">
        <f>IF(ISNUMBER('Übung 17'!L$8),1,0)</f>
        <v/>
      </c>
      <c r="T132" s="62">
        <f>IF(ISNUMBER('Übung 18'!L$8),1,0)</f>
        <v/>
      </c>
      <c r="U132" s="62">
        <f>IF(ISNUMBER('Übung 19'!L$8),1,0)</f>
        <v/>
      </c>
      <c r="V132" s="62">
        <f>IF(ISNUMBER('Übung 20'!L$8),1,0)</f>
        <v/>
      </c>
    </row>
    <row r="133">
      <c r="C133" s="62">
        <f>IF(ISNUMBER('Übung 01'!M$8),1,0)</f>
        <v/>
      </c>
      <c r="D133" s="62">
        <f>IF(ISNUMBER('Übung 02'!M$8),1,0)</f>
        <v/>
      </c>
      <c r="E133" s="62">
        <f>IF(ISNUMBER('Übung 03'!M$8),1,0)</f>
        <v/>
      </c>
      <c r="F133" s="62">
        <f>IF(ISNUMBER('Übung 04'!M$8),1,0)</f>
        <v/>
      </c>
      <c r="G133" s="62">
        <f>IF(ISNUMBER('Übung 05'!M$8),1,0)</f>
        <v/>
      </c>
      <c r="H133" s="62">
        <f>IF(ISNUMBER('Übung 06'!M$8),1,0)</f>
        <v/>
      </c>
      <c r="I133" s="62">
        <f>IF(ISNUMBER('Übung 07'!M$8),1,0)</f>
        <v/>
      </c>
      <c r="J133" s="62">
        <f>IF(ISNUMBER('Übung 08'!M$8),1,0)</f>
        <v/>
      </c>
      <c r="K133" s="62">
        <f>IF(ISNUMBER('Übung 09'!M$8),1,0)</f>
        <v/>
      </c>
      <c r="L133" s="62">
        <f>IF(ISNUMBER('Übung 10'!M$8),1,0)</f>
        <v/>
      </c>
      <c r="M133" s="62">
        <f>IF(ISNUMBER('Übung 11'!M$8),1,0)</f>
        <v/>
      </c>
      <c r="N133" s="62">
        <f>IF(ISNUMBER('Übung 12'!M$8),1,0)</f>
        <v/>
      </c>
      <c r="O133" s="62">
        <f>IF(ISNUMBER('Übung 13'!M$8),1,0)</f>
        <v/>
      </c>
      <c r="P133" s="62">
        <f>IF(ISNUMBER('Übung 14'!M$8),1,0)</f>
        <v/>
      </c>
      <c r="Q133" s="62">
        <f>IF(ISNUMBER('Übung 15'!M$8),1,0)</f>
        <v/>
      </c>
      <c r="R133" s="62">
        <f>IF(ISNUMBER('Übung 16'!M$8),1,0)</f>
        <v/>
      </c>
      <c r="S133" s="62">
        <f>IF(ISNUMBER('Übung 17'!M$8),1,0)</f>
        <v/>
      </c>
      <c r="T133" s="62">
        <f>IF(ISNUMBER('Übung 18'!M$8),1,0)</f>
        <v/>
      </c>
      <c r="U133" s="62">
        <f>IF(ISNUMBER('Übung 19'!M$8),1,0)</f>
        <v/>
      </c>
      <c r="V133" s="62">
        <f>IF(ISNUMBER('Übung 20'!M$8),1,0)</f>
        <v/>
      </c>
    </row>
    <row r="134">
      <c r="C134" s="62">
        <f>IF(ISNUMBER('Übung 01'!N$8),1,0)</f>
        <v/>
      </c>
      <c r="D134" s="62">
        <f>IF(ISNUMBER('Übung 02'!N$8),1,0)</f>
        <v/>
      </c>
      <c r="E134" s="62">
        <f>IF(ISNUMBER('Übung 03'!N$8),1,0)</f>
        <v/>
      </c>
      <c r="F134" s="62">
        <f>IF(ISNUMBER('Übung 04'!N$8),1,0)</f>
        <v/>
      </c>
      <c r="G134" s="62">
        <f>IF(ISNUMBER('Übung 05'!N$8),1,0)</f>
        <v/>
      </c>
      <c r="H134" s="62">
        <f>IF(ISNUMBER('Übung 06'!N$8),1,0)</f>
        <v/>
      </c>
      <c r="I134" s="62">
        <f>IF(ISNUMBER('Übung 07'!N$8),1,0)</f>
        <v/>
      </c>
      <c r="J134" s="62">
        <f>IF(ISNUMBER('Übung 08'!N$8),1,0)</f>
        <v/>
      </c>
      <c r="K134" s="62">
        <f>IF(ISNUMBER('Übung 09'!N$8),1,0)</f>
        <v/>
      </c>
      <c r="L134" s="62">
        <f>IF(ISNUMBER('Übung 10'!N$8),1,0)</f>
        <v/>
      </c>
      <c r="M134" s="62">
        <f>IF(ISNUMBER('Übung 11'!N$8),1,0)</f>
        <v/>
      </c>
      <c r="N134" s="62">
        <f>IF(ISNUMBER('Übung 12'!N$8),1,0)</f>
        <v/>
      </c>
      <c r="O134" s="62">
        <f>IF(ISNUMBER('Übung 13'!N$8),1,0)</f>
        <v/>
      </c>
      <c r="P134" s="62">
        <f>IF(ISNUMBER('Übung 14'!N$8),1,0)</f>
        <v/>
      </c>
      <c r="Q134" s="62">
        <f>IF(ISNUMBER('Übung 15'!N$8),1,0)</f>
        <v/>
      </c>
      <c r="R134" s="62">
        <f>IF(ISNUMBER('Übung 16'!N$8),1,0)</f>
        <v/>
      </c>
      <c r="S134" s="62">
        <f>IF(ISNUMBER('Übung 17'!N$8),1,0)</f>
        <v/>
      </c>
      <c r="T134" s="62">
        <f>IF(ISNUMBER('Übung 18'!N$8),1,0)</f>
        <v/>
      </c>
      <c r="U134" s="62">
        <f>IF(ISNUMBER('Übung 19'!N$8),1,0)</f>
        <v/>
      </c>
      <c r="V134" s="62">
        <f>IF(ISNUMBER('Übung 20'!N$8),1,0)</f>
        <v/>
      </c>
    </row>
    <row r="135">
      <c r="C135" s="62">
        <f>IF(ISNUMBER('Übung 01'!O$8),1,0)</f>
        <v/>
      </c>
      <c r="D135" s="62">
        <f>IF(ISNUMBER('Übung 02'!O$8),1,0)</f>
        <v/>
      </c>
      <c r="E135" s="62">
        <f>IF(ISNUMBER('Übung 03'!O$8),1,0)</f>
        <v/>
      </c>
      <c r="F135" s="62">
        <f>IF(ISNUMBER('Übung 04'!O$8),1,0)</f>
        <v/>
      </c>
      <c r="G135" s="62">
        <f>IF(ISNUMBER('Übung 05'!O$8),1,0)</f>
        <v/>
      </c>
      <c r="H135" s="62">
        <f>IF(ISNUMBER('Übung 06'!O$8),1,0)</f>
        <v/>
      </c>
      <c r="I135" s="62">
        <f>IF(ISNUMBER('Übung 07'!O$8),1,0)</f>
        <v/>
      </c>
      <c r="J135" s="62">
        <f>IF(ISNUMBER('Übung 08'!O$8),1,0)</f>
        <v/>
      </c>
      <c r="K135" s="62">
        <f>IF(ISNUMBER('Übung 09'!O$8),1,0)</f>
        <v/>
      </c>
      <c r="L135" s="62">
        <f>IF(ISNUMBER('Übung 10'!O$8),1,0)</f>
        <v/>
      </c>
      <c r="M135" s="62">
        <f>IF(ISNUMBER('Übung 11'!O$8),1,0)</f>
        <v/>
      </c>
      <c r="N135" s="62">
        <f>IF(ISNUMBER('Übung 12'!O$8),1,0)</f>
        <v/>
      </c>
      <c r="O135" s="62">
        <f>IF(ISNUMBER('Übung 13'!O$8),1,0)</f>
        <v/>
      </c>
      <c r="P135" s="62">
        <f>IF(ISNUMBER('Übung 14'!O$8),1,0)</f>
        <v/>
      </c>
      <c r="Q135" s="62">
        <f>IF(ISNUMBER('Übung 15'!O$8),1,0)</f>
        <v/>
      </c>
      <c r="R135" s="62">
        <f>IF(ISNUMBER('Übung 16'!O$8),1,0)</f>
        <v/>
      </c>
      <c r="S135" s="62">
        <f>IF(ISNUMBER('Übung 17'!O$8),1,0)</f>
        <v/>
      </c>
      <c r="T135" s="62">
        <f>IF(ISNUMBER('Übung 18'!O$8),1,0)</f>
        <v/>
      </c>
      <c r="U135" s="62">
        <f>IF(ISNUMBER('Übung 19'!O$8),1,0)</f>
        <v/>
      </c>
      <c r="V135" s="62">
        <f>IF(ISNUMBER('Übung 20'!O$8),1,0)</f>
        <v/>
      </c>
    </row>
    <row r="136">
      <c r="C136" s="62">
        <f>IF(ISNUMBER('Übung 01'!P$8),1,0)</f>
        <v/>
      </c>
      <c r="D136" s="62">
        <f>IF(ISNUMBER('Übung 02'!P$8),1,0)</f>
        <v/>
      </c>
      <c r="E136" s="62">
        <f>IF(ISNUMBER('Übung 03'!P$8),1,0)</f>
        <v/>
      </c>
      <c r="F136" s="62">
        <f>IF(ISNUMBER('Übung 04'!P$8),1,0)</f>
        <v/>
      </c>
      <c r="G136" s="62">
        <f>IF(ISNUMBER('Übung 05'!P$8),1,0)</f>
        <v/>
      </c>
      <c r="H136" s="62">
        <f>IF(ISNUMBER('Übung 06'!P$8),1,0)</f>
        <v/>
      </c>
      <c r="I136" s="62">
        <f>IF(ISNUMBER('Übung 07'!P$8),1,0)</f>
        <v/>
      </c>
      <c r="J136" s="62">
        <f>IF(ISNUMBER('Übung 08'!P$8),1,0)</f>
        <v/>
      </c>
      <c r="K136" s="62">
        <f>IF(ISNUMBER('Übung 09'!P$8),1,0)</f>
        <v/>
      </c>
      <c r="L136" s="62">
        <f>IF(ISNUMBER('Übung 10'!P$8),1,0)</f>
        <v/>
      </c>
      <c r="M136" s="62">
        <f>IF(ISNUMBER('Übung 11'!P$8),1,0)</f>
        <v/>
      </c>
      <c r="N136" s="62">
        <f>IF(ISNUMBER('Übung 12'!P$8),1,0)</f>
        <v/>
      </c>
      <c r="O136" s="62">
        <f>IF(ISNUMBER('Übung 13'!P$8),1,0)</f>
        <v/>
      </c>
      <c r="P136" s="62">
        <f>IF(ISNUMBER('Übung 14'!P$8),1,0)</f>
        <v/>
      </c>
      <c r="Q136" s="62">
        <f>IF(ISNUMBER('Übung 15'!P$8),1,0)</f>
        <v/>
      </c>
      <c r="R136" s="62">
        <f>IF(ISNUMBER('Übung 16'!P$8),1,0)</f>
        <v/>
      </c>
      <c r="S136" s="62">
        <f>IF(ISNUMBER('Übung 17'!P$8),1,0)</f>
        <v/>
      </c>
      <c r="T136" s="62">
        <f>IF(ISNUMBER('Übung 18'!P$8),1,0)</f>
        <v/>
      </c>
      <c r="U136" s="62">
        <f>IF(ISNUMBER('Übung 19'!P$8),1,0)</f>
        <v/>
      </c>
      <c r="V136" s="62">
        <f>IF(ISNUMBER('Übung 20'!P$8),1,0)</f>
        <v/>
      </c>
    </row>
    <row r="137">
      <c r="C137" s="62">
        <f>IF(ISNUMBER('Übung 01'!Q$8),1,0)</f>
        <v/>
      </c>
      <c r="D137" s="62">
        <f>IF(ISNUMBER('Übung 02'!Q$8),1,0)</f>
        <v/>
      </c>
      <c r="E137" s="62">
        <f>IF(ISNUMBER('Übung 03'!Q$8),1,0)</f>
        <v/>
      </c>
      <c r="F137" s="62">
        <f>IF(ISNUMBER('Übung 04'!Q$8),1,0)</f>
        <v/>
      </c>
      <c r="G137" s="62">
        <f>IF(ISNUMBER('Übung 05'!Q$8),1,0)</f>
        <v/>
      </c>
      <c r="H137" s="62">
        <f>IF(ISNUMBER('Übung 06'!Q$8),1,0)</f>
        <v/>
      </c>
      <c r="I137" s="62">
        <f>IF(ISNUMBER('Übung 07'!Q$8),1,0)</f>
        <v/>
      </c>
      <c r="J137" s="62">
        <f>IF(ISNUMBER('Übung 08'!Q$8),1,0)</f>
        <v/>
      </c>
      <c r="K137" s="62">
        <f>IF(ISNUMBER('Übung 09'!Q$8),1,0)</f>
        <v/>
      </c>
      <c r="L137" s="62">
        <f>IF(ISNUMBER('Übung 10'!Q$8),1,0)</f>
        <v/>
      </c>
      <c r="M137" s="62">
        <f>IF(ISNUMBER('Übung 11'!Q$8),1,0)</f>
        <v/>
      </c>
      <c r="N137" s="62">
        <f>IF(ISNUMBER('Übung 12'!Q$8),1,0)</f>
        <v/>
      </c>
      <c r="O137" s="62">
        <f>IF(ISNUMBER('Übung 13'!Q$8),1,0)</f>
        <v/>
      </c>
      <c r="P137" s="62">
        <f>IF(ISNUMBER('Übung 14'!Q$8),1,0)</f>
        <v/>
      </c>
      <c r="Q137" s="62">
        <f>IF(ISNUMBER('Übung 15'!Q$8),1,0)</f>
        <v/>
      </c>
      <c r="R137" s="62">
        <f>IF(ISNUMBER('Übung 16'!Q$8),1,0)</f>
        <v/>
      </c>
      <c r="S137" s="62">
        <f>IF(ISNUMBER('Übung 17'!Q$8),1,0)</f>
        <v/>
      </c>
      <c r="T137" s="62">
        <f>IF(ISNUMBER('Übung 18'!Q$8),1,0)</f>
        <v/>
      </c>
      <c r="U137" s="62">
        <f>IF(ISNUMBER('Übung 19'!Q$8),1,0)</f>
        <v/>
      </c>
      <c r="V137" s="62">
        <f>IF(ISNUMBER('Übung 20'!Q$8),1,0)</f>
        <v/>
      </c>
    </row>
    <row r="138">
      <c r="C138" s="62">
        <f>IF(ISNUMBER('Übung 01'!R$8),1,0)</f>
        <v/>
      </c>
      <c r="D138" s="62">
        <f>IF(ISNUMBER('Übung 02'!R$8),1,0)</f>
        <v/>
      </c>
      <c r="E138" s="62">
        <f>IF(ISNUMBER('Übung 03'!R$8),1,0)</f>
        <v/>
      </c>
      <c r="F138" s="62">
        <f>IF(ISNUMBER('Übung 04'!R$8),1,0)</f>
        <v/>
      </c>
      <c r="G138" s="62">
        <f>IF(ISNUMBER('Übung 05'!R$8),1,0)</f>
        <v/>
      </c>
      <c r="H138" s="62">
        <f>IF(ISNUMBER('Übung 06'!R$8),1,0)</f>
        <v/>
      </c>
      <c r="I138" s="62">
        <f>IF(ISNUMBER('Übung 07'!R$8),1,0)</f>
        <v/>
      </c>
      <c r="J138" s="62">
        <f>IF(ISNUMBER('Übung 08'!R$8),1,0)</f>
        <v/>
      </c>
      <c r="K138" s="62">
        <f>IF(ISNUMBER('Übung 09'!R$8),1,0)</f>
        <v/>
      </c>
      <c r="L138" s="62">
        <f>IF(ISNUMBER('Übung 10'!R$8),1,0)</f>
        <v/>
      </c>
      <c r="M138" s="62">
        <f>IF(ISNUMBER('Übung 11'!R$8),1,0)</f>
        <v/>
      </c>
      <c r="N138" s="62">
        <f>IF(ISNUMBER('Übung 12'!R$8),1,0)</f>
        <v/>
      </c>
      <c r="O138" s="62">
        <f>IF(ISNUMBER('Übung 13'!R$8),1,0)</f>
        <v/>
      </c>
      <c r="P138" s="62">
        <f>IF(ISNUMBER('Übung 14'!R$8),1,0)</f>
        <v/>
      </c>
      <c r="Q138" s="62">
        <f>IF(ISNUMBER('Übung 15'!R$8),1,0)</f>
        <v/>
      </c>
      <c r="R138" s="62">
        <f>IF(ISNUMBER('Übung 16'!R$8),1,0)</f>
        <v/>
      </c>
      <c r="S138" s="62">
        <f>IF(ISNUMBER('Übung 17'!R$8),1,0)</f>
        <v/>
      </c>
      <c r="T138" s="62">
        <f>IF(ISNUMBER('Übung 18'!R$8),1,0)</f>
        <v/>
      </c>
      <c r="U138" s="62">
        <f>IF(ISNUMBER('Übung 19'!R$8),1,0)</f>
        <v/>
      </c>
      <c r="V138" s="62">
        <f>IF(ISNUMBER('Übung 20'!R$8),1,0)</f>
        <v/>
      </c>
    </row>
    <row r="139">
      <c r="C139" s="62">
        <f>IF(ISNUMBER('Übung 01'!S$8),1,0)</f>
        <v/>
      </c>
      <c r="D139" s="62">
        <f>IF(ISNUMBER('Übung 02'!S$8),1,0)</f>
        <v/>
      </c>
      <c r="E139" s="62">
        <f>IF(ISNUMBER('Übung 03'!S$8),1,0)</f>
        <v/>
      </c>
      <c r="F139" s="62">
        <f>IF(ISNUMBER('Übung 04'!S$8),1,0)</f>
        <v/>
      </c>
      <c r="G139" s="62">
        <f>IF(ISNUMBER('Übung 05'!S$8),1,0)</f>
        <v/>
      </c>
      <c r="H139" s="62">
        <f>IF(ISNUMBER('Übung 06'!S$8),1,0)</f>
        <v/>
      </c>
      <c r="I139" s="62">
        <f>IF(ISNUMBER('Übung 07'!S$8),1,0)</f>
        <v/>
      </c>
      <c r="J139" s="62">
        <f>IF(ISNUMBER('Übung 08'!S$8),1,0)</f>
        <v/>
      </c>
      <c r="K139" s="62">
        <f>IF(ISNUMBER('Übung 09'!S$8),1,0)</f>
        <v/>
      </c>
      <c r="L139" s="62">
        <f>IF(ISNUMBER('Übung 10'!S$8),1,0)</f>
        <v/>
      </c>
      <c r="M139" s="62">
        <f>IF(ISNUMBER('Übung 11'!S$8),1,0)</f>
        <v/>
      </c>
      <c r="N139" s="62">
        <f>IF(ISNUMBER('Übung 12'!S$8),1,0)</f>
        <v/>
      </c>
      <c r="O139" s="62">
        <f>IF(ISNUMBER('Übung 13'!S$8),1,0)</f>
        <v/>
      </c>
      <c r="P139" s="62">
        <f>IF(ISNUMBER('Übung 14'!S$8),1,0)</f>
        <v/>
      </c>
      <c r="Q139" s="62">
        <f>IF(ISNUMBER('Übung 15'!S$8),1,0)</f>
        <v/>
      </c>
      <c r="R139" s="62">
        <f>IF(ISNUMBER('Übung 16'!S$8),1,0)</f>
        <v/>
      </c>
      <c r="S139" s="62">
        <f>IF(ISNUMBER('Übung 17'!S$8),1,0)</f>
        <v/>
      </c>
      <c r="T139" s="62">
        <f>IF(ISNUMBER('Übung 18'!S$8),1,0)</f>
        <v/>
      </c>
      <c r="U139" s="62">
        <f>IF(ISNUMBER('Übung 19'!S$8),1,0)</f>
        <v/>
      </c>
      <c r="V139" s="62">
        <f>IF(ISNUMBER('Übung 20'!S$8),1,0)</f>
        <v/>
      </c>
    </row>
    <row r="140">
      <c r="C140" s="62">
        <f>IF(ISNUMBER('Übung 01'!T$8),1,0)</f>
        <v/>
      </c>
      <c r="D140" s="62">
        <f>IF(ISNUMBER('Übung 02'!T$8),1,0)</f>
        <v/>
      </c>
      <c r="E140" s="62">
        <f>IF(ISNUMBER('Übung 03'!T$8),1,0)</f>
        <v/>
      </c>
      <c r="F140" s="62">
        <f>IF(ISNUMBER('Übung 04'!T$8),1,0)</f>
        <v/>
      </c>
      <c r="G140" s="62">
        <f>IF(ISNUMBER('Übung 05'!T$8),1,0)</f>
        <v/>
      </c>
      <c r="H140" s="62">
        <f>IF(ISNUMBER('Übung 06'!T$8),1,0)</f>
        <v/>
      </c>
      <c r="I140" s="62">
        <f>IF(ISNUMBER('Übung 07'!T$8),1,0)</f>
        <v/>
      </c>
      <c r="J140" s="62">
        <f>IF(ISNUMBER('Übung 08'!T$8),1,0)</f>
        <v/>
      </c>
      <c r="K140" s="62">
        <f>IF(ISNUMBER('Übung 09'!T$8),1,0)</f>
        <v/>
      </c>
      <c r="L140" s="62">
        <f>IF(ISNUMBER('Übung 10'!T$8),1,0)</f>
        <v/>
      </c>
      <c r="M140" s="62">
        <f>IF(ISNUMBER('Übung 11'!T$8),1,0)</f>
        <v/>
      </c>
      <c r="N140" s="62">
        <f>IF(ISNUMBER('Übung 12'!T$8),1,0)</f>
        <v/>
      </c>
      <c r="O140" s="62">
        <f>IF(ISNUMBER('Übung 13'!T$8),1,0)</f>
        <v/>
      </c>
      <c r="P140" s="62">
        <f>IF(ISNUMBER('Übung 14'!T$8),1,0)</f>
        <v/>
      </c>
      <c r="Q140" s="62">
        <f>IF(ISNUMBER('Übung 15'!T$8),1,0)</f>
        <v/>
      </c>
      <c r="R140" s="62">
        <f>IF(ISNUMBER('Übung 16'!T$8),1,0)</f>
        <v/>
      </c>
      <c r="S140" s="62">
        <f>IF(ISNUMBER('Übung 17'!T$8),1,0)</f>
        <v/>
      </c>
      <c r="T140" s="62">
        <f>IF(ISNUMBER('Übung 18'!T$8),1,0)</f>
        <v/>
      </c>
      <c r="U140" s="62">
        <f>IF(ISNUMBER('Übung 19'!T$8),1,0)</f>
        <v/>
      </c>
      <c r="V140" s="62">
        <f>IF(ISNUMBER('Übung 20'!T$8),1,0)</f>
        <v/>
      </c>
    </row>
    <row r="141">
      <c r="C141" s="62">
        <f>IF(ISNUMBER('Übung 01'!U$8),1,0)</f>
        <v/>
      </c>
      <c r="D141" s="62">
        <f>IF(ISNUMBER('Übung 02'!U$8),1,0)</f>
        <v/>
      </c>
      <c r="E141" s="62">
        <f>IF(ISNUMBER('Übung 03'!U$8),1,0)</f>
        <v/>
      </c>
      <c r="F141" s="62">
        <f>IF(ISNUMBER('Übung 04'!U$8),1,0)</f>
        <v/>
      </c>
      <c r="G141" s="62">
        <f>IF(ISNUMBER('Übung 05'!U$8),1,0)</f>
        <v/>
      </c>
      <c r="H141" s="62">
        <f>IF(ISNUMBER('Übung 06'!U$8),1,0)</f>
        <v/>
      </c>
      <c r="I141" s="62">
        <f>IF(ISNUMBER('Übung 07'!U$8),1,0)</f>
        <v/>
      </c>
      <c r="J141" s="62">
        <f>IF(ISNUMBER('Übung 08'!U$8),1,0)</f>
        <v/>
      </c>
      <c r="K141" s="62">
        <f>IF(ISNUMBER('Übung 09'!U$8),1,0)</f>
        <v/>
      </c>
      <c r="L141" s="62">
        <f>IF(ISNUMBER('Übung 10'!U$8),1,0)</f>
        <v/>
      </c>
      <c r="M141" s="62">
        <f>IF(ISNUMBER('Übung 11'!U$8),1,0)</f>
        <v/>
      </c>
      <c r="N141" s="62">
        <f>IF(ISNUMBER('Übung 12'!U$8),1,0)</f>
        <v/>
      </c>
      <c r="O141" s="62">
        <f>IF(ISNUMBER('Übung 13'!U$8),1,0)</f>
        <v/>
      </c>
      <c r="P141" s="62">
        <f>IF(ISNUMBER('Übung 14'!U$8),1,0)</f>
        <v/>
      </c>
      <c r="Q141" s="62">
        <f>IF(ISNUMBER('Übung 15'!U$8),1,0)</f>
        <v/>
      </c>
      <c r="R141" s="62">
        <f>IF(ISNUMBER('Übung 16'!U$8),1,0)</f>
        <v/>
      </c>
      <c r="S141" s="62">
        <f>IF(ISNUMBER('Übung 17'!U$8),1,0)</f>
        <v/>
      </c>
      <c r="T141" s="62">
        <f>IF(ISNUMBER('Übung 18'!U$8),1,0)</f>
        <v/>
      </c>
      <c r="U141" s="62">
        <f>IF(ISNUMBER('Übung 19'!U$8),1,0)</f>
        <v/>
      </c>
      <c r="V141" s="62">
        <f>IF(ISNUMBER('Übung 20'!U$8),1,0)</f>
        <v/>
      </c>
    </row>
    <row r="142">
      <c r="C142" s="62">
        <f>IF(ISNUMBER('Übung 01'!V$8),1,0)</f>
        <v/>
      </c>
      <c r="D142" s="62">
        <f>IF(ISNUMBER('Übung 02'!V$8),1,0)</f>
        <v/>
      </c>
      <c r="E142" s="62">
        <f>IF(ISNUMBER('Übung 03'!V$8),1,0)</f>
        <v/>
      </c>
      <c r="F142" s="62">
        <f>IF(ISNUMBER('Übung 04'!V$8),1,0)</f>
        <v/>
      </c>
      <c r="G142" s="62">
        <f>IF(ISNUMBER('Übung 05'!V$8),1,0)</f>
        <v/>
      </c>
      <c r="H142" s="62">
        <f>IF(ISNUMBER('Übung 06'!V$8),1,0)</f>
        <v/>
      </c>
      <c r="I142" s="62">
        <f>IF(ISNUMBER('Übung 07'!V$8),1,0)</f>
        <v/>
      </c>
      <c r="J142" s="62">
        <f>IF(ISNUMBER('Übung 08'!V$8),1,0)</f>
        <v/>
      </c>
      <c r="K142" s="62">
        <f>IF(ISNUMBER('Übung 09'!V$8),1,0)</f>
        <v/>
      </c>
      <c r="L142" s="62">
        <f>IF(ISNUMBER('Übung 10'!V$8),1,0)</f>
        <v/>
      </c>
      <c r="M142" s="62">
        <f>IF(ISNUMBER('Übung 11'!V$8),1,0)</f>
        <v/>
      </c>
      <c r="N142" s="62">
        <f>IF(ISNUMBER('Übung 12'!V$8),1,0)</f>
        <v/>
      </c>
      <c r="O142" s="62">
        <f>IF(ISNUMBER('Übung 13'!V$8),1,0)</f>
        <v/>
      </c>
      <c r="P142" s="62">
        <f>IF(ISNUMBER('Übung 14'!V$8),1,0)</f>
        <v/>
      </c>
      <c r="Q142" s="62">
        <f>IF(ISNUMBER('Übung 15'!V$8),1,0)</f>
        <v/>
      </c>
      <c r="R142" s="62">
        <f>IF(ISNUMBER('Übung 16'!V$8),1,0)</f>
        <v/>
      </c>
      <c r="S142" s="62">
        <f>IF(ISNUMBER('Übung 17'!V$8),1,0)</f>
        <v/>
      </c>
      <c r="T142" s="62">
        <f>IF(ISNUMBER('Übung 18'!V$8),1,0)</f>
        <v/>
      </c>
      <c r="U142" s="62">
        <f>IF(ISNUMBER('Übung 19'!V$8),1,0)</f>
        <v/>
      </c>
      <c r="V142" s="62">
        <f>IF(ISNUMBER('Übung 20'!V$8),1,0)</f>
        <v/>
      </c>
    </row>
    <row r="143">
      <c r="C143" s="62">
        <f>IF(ISNUMBER('Übung 01'!W$8),1,0)</f>
        <v/>
      </c>
      <c r="D143" s="62">
        <f>IF(ISNUMBER('Übung 02'!W$8),1,0)</f>
        <v/>
      </c>
      <c r="E143" s="62">
        <f>IF(ISNUMBER('Übung 03'!W$8),1,0)</f>
        <v/>
      </c>
      <c r="F143" s="62">
        <f>IF(ISNUMBER('Übung 04'!W$8),1,0)</f>
        <v/>
      </c>
      <c r="G143" s="62">
        <f>IF(ISNUMBER('Übung 05'!W$8),1,0)</f>
        <v/>
      </c>
      <c r="H143" s="62">
        <f>IF(ISNUMBER('Übung 06'!W$8),1,0)</f>
        <v/>
      </c>
      <c r="I143" s="62">
        <f>IF(ISNUMBER('Übung 07'!W$8),1,0)</f>
        <v/>
      </c>
      <c r="J143" s="62">
        <f>IF(ISNUMBER('Übung 08'!W$8),1,0)</f>
        <v/>
      </c>
      <c r="K143" s="62">
        <f>IF(ISNUMBER('Übung 09'!W$8),1,0)</f>
        <v/>
      </c>
      <c r="L143" s="62">
        <f>IF(ISNUMBER('Übung 10'!W$8),1,0)</f>
        <v/>
      </c>
      <c r="M143" s="62">
        <f>IF(ISNUMBER('Übung 11'!W$8),1,0)</f>
        <v/>
      </c>
      <c r="N143" s="62">
        <f>IF(ISNUMBER('Übung 12'!W$8),1,0)</f>
        <v/>
      </c>
      <c r="O143" s="62">
        <f>IF(ISNUMBER('Übung 13'!W$8),1,0)</f>
        <v/>
      </c>
      <c r="P143" s="62">
        <f>IF(ISNUMBER('Übung 14'!W$8),1,0)</f>
        <v/>
      </c>
      <c r="Q143" s="62">
        <f>IF(ISNUMBER('Übung 15'!W$8),1,0)</f>
        <v/>
      </c>
      <c r="R143" s="62">
        <f>IF(ISNUMBER('Übung 16'!W$8),1,0)</f>
        <v/>
      </c>
      <c r="S143" s="62">
        <f>IF(ISNUMBER('Übung 17'!W$8),1,0)</f>
        <v/>
      </c>
      <c r="T143" s="62">
        <f>IF(ISNUMBER('Übung 18'!W$8),1,0)</f>
        <v/>
      </c>
      <c r="U143" s="62">
        <f>IF(ISNUMBER('Übung 19'!W$8),1,0)</f>
        <v/>
      </c>
      <c r="V143" s="62">
        <f>IF(ISNUMBER('Übung 20'!W$8),1,0)</f>
        <v/>
      </c>
    </row>
    <row r="144">
      <c r="C144" s="62">
        <f>IF(ISNUMBER('Übung 01'!X$8),1,0)</f>
        <v/>
      </c>
      <c r="D144" s="62">
        <f>IF(ISNUMBER('Übung 02'!X$8),1,0)</f>
        <v/>
      </c>
      <c r="E144" s="62">
        <f>IF(ISNUMBER('Übung 03'!X$8),1,0)</f>
        <v/>
      </c>
      <c r="F144" s="62">
        <f>IF(ISNUMBER('Übung 04'!X$8),1,0)</f>
        <v/>
      </c>
      <c r="G144" s="62">
        <f>IF(ISNUMBER('Übung 05'!X$8),1,0)</f>
        <v/>
      </c>
      <c r="H144" s="62">
        <f>IF(ISNUMBER('Übung 06'!X$8),1,0)</f>
        <v/>
      </c>
      <c r="I144" s="62">
        <f>IF(ISNUMBER('Übung 07'!X$8),1,0)</f>
        <v/>
      </c>
      <c r="J144" s="62">
        <f>IF(ISNUMBER('Übung 08'!X$8),1,0)</f>
        <v/>
      </c>
      <c r="K144" s="62">
        <f>IF(ISNUMBER('Übung 09'!X$8),1,0)</f>
        <v/>
      </c>
      <c r="L144" s="62">
        <f>IF(ISNUMBER('Übung 10'!X$8),1,0)</f>
        <v/>
      </c>
      <c r="M144" s="62">
        <f>IF(ISNUMBER('Übung 11'!X$8),1,0)</f>
        <v/>
      </c>
      <c r="N144" s="62">
        <f>IF(ISNUMBER('Übung 12'!X$8),1,0)</f>
        <v/>
      </c>
      <c r="O144" s="62">
        <f>IF(ISNUMBER('Übung 13'!X$8),1,0)</f>
        <v/>
      </c>
      <c r="P144" s="62">
        <f>IF(ISNUMBER('Übung 14'!X$8),1,0)</f>
        <v/>
      </c>
      <c r="Q144" s="62">
        <f>IF(ISNUMBER('Übung 15'!X$8),1,0)</f>
        <v/>
      </c>
      <c r="R144" s="62">
        <f>IF(ISNUMBER('Übung 16'!X$8),1,0)</f>
        <v/>
      </c>
      <c r="S144" s="62">
        <f>IF(ISNUMBER('Übung 17'!X$8),1,0)</f>
        <v/>
      </c>
      <c r="T144" s="62">
        <f>IF(ISNUMBER('Übung 18'!X$8),1,0)</f>
        <v/>
      </c>
      <c r="U144" s="62">
        <f>IF(ISNUMBER('Übung 19'!X$8),1,0)</f>
        <v/>
      </c>
      <c r="V144" s="62">
        <f>IF(ISNUMBER('Übung 20'!X$8),1,0)</f>
        <v/>
      </c>
    </row>
    <row r="145">
      <c r="C145" s="62">
        <f>IF(ISNUMBER('Übung 01'!Y$8),1,0)</f>
        <v/>
      </c>
      <c r="D145" s="62">
        <f>IF(ISNUMBER('Übung 02'!Y$8),1,0)</f>
        <v/>
      </c>
      <c r="E145" s="62">
        <f>IF(ISNUMBER('Übung 03'!Y$8),1,0)</f>
        <v/>
      </c>
      <c r="F145" s="62">
        <f>IF(ISNUMBER('Übung 04'!Y$8),1,0)</f>
        <v/>
      </c>
      <c r="G145" s="62">
        <f>IF(ISNUMBER('Übung 05'!Y$8),1,0)</f>
        <v/>
      </c>
      <c r="H145" s="62">
        <f>IF(ISNUMBER('Übung 06'!Y$8),1,0)</f>
        <v/>
      </c>
      <c r="I145" s="62">
        <f>IF(ISNUMBER('Übung 07'!Y$8),1,0)</f>
        <v/>
      </c>
      <c r="J145" s="62">
        <f>IF(ISNUMBER('Übung 08'!Y$8),1,0)</f>
        <v/>
      </c>
      <c r="K145" s="62">
        <f>IF(ISNUMBER('Übung 09'!Y$8),1,0)</f>
        <v/>
      </c>
      <c r="L145" s="62">
        <f>IF(ISNUMBER('Übung 10'!Y$8),1,0)</f>
        <v/>
      </c>
      <c r="M145" s="62">
        <f>IF(ISNUMBER('Übung 11'!Y$8),1,0)</f>
        <v/>
      </c>
      <c r="N145" s="62">
        <f>IF(ISNUMBER('Übung 12'!Y$8),1,0)</f>
        <v/>
      </c>
      <c r="O145" s="62">
        <f>IF(ISNUMBER('Übung 13'!Y$8),1,0)</f>
        <v/>
      </c>
      <c r="P145" s="62">
        <f>IF(ISNUMBER('Übung 14'!Y$8),1,0)</f>
        <v/>
      </c>
      <c r="Q145" s="62">
        <f>IF(ISNUMBER('Übung 15'!Y$8),1,0)</f>
        <v/>
      </c>
      <c r="R145" s="62">
        <f>IF(ISNUMBER('Übung 16'!Y$8),1,0)</f>
        <v/>
      </c>
      <c r="S145" s="62">
        <f>IF(ISNUMBER('Übung 17'!Y$8),1,0)</f>
        <v/>
      </c>
      <c r="T145" s="62">
        <f>IF(ISNUMBER('Übung 18'!Y$8),1,0)</f>
        <v/>
      </c>
      <c r="U145" s="62">
        <f>IF(ISNUMBER('Übung 19'!Y$8),1,0)</f>
        <v/>
      </c>
      <c r="V145" s="62">
        <f>IF(ISNUMBER('Übung 20'!Y$8),1,0)</f>
        <v/>
      </c>
    </row>
    <row r="146">
      <c r="C146" s="62">
        <f>IF(ISNUMBER('Übung 01'!Z$8),1,0)</f>
        <v/>
      </c>
      <c r="D146" s="62">
        <f>IF(ISNUMBER('Übung 02'!Z$8),1,0)</f>
        <v/>
      </c>
      <c r="E146" s="62">
        <f>IF(ISNUMBER('Übung 03'!Z$8),1,0)</f>
        <v/>
      </c>
      <c r="F146" s="62">
        <f>IF(ISNUMBER('Übung 04'!Z$8),1,0)</f>
        <v/>
      </c>
      <c r="G146" s="62">
        <f>IF(ISNUMBER('Übung 05'!Z$8),1,0)</f>
        <v/>
      </c>
      <c r="H146" s="62">
        <f>IF(ISNUMBER('Übung 06'!Z$8),1,0)</f>
        <v/>
      </c>
      <c r="I146" s="62">
        <f>IF(ISNUMBER('Übung 07'!Z$8),1,0)</f>
        <v/>
      </c>
      <c r="J146" s="62">
        <f>IF(ISNUMBER('Übung 08'!Z$8),1,0)</f>
        <v/>
      </c>
      <c r="K146" s="62">
        <f>IF(ISNUMBER('Übung 09'!Z$8),1,0)</f>
        <v/>
      </c>
      <c r="L146" s="62">
        <f>IF(ISNUMBER('Übung 10'!Z$8),1,0)</f>
        <v/>
      </c>
      <c r="M146" s="62">
        <f>IF(ISNUMBER('Übung 11'!Z$8),1,0)</f>
        <v/>
      </c>
      <c r="N146" s="62">
        <f>IF(ISNUMBER('Übung 12'!Z$8),1,0)</f>
        <v/>
      </c>
      <c r="O146" s="62">
        <f>IF(ISNUMBER('Übung 13'!Z$8),1,0)</f>
        <v/>
      </c>
      <c r="P146" s="62">
        <f>IF(ISNUMBER('Übung 14'!Z$8),1,0)</f>
        <v/>
      </c>
      <c r="Q146" s="62">
        <f>IF(ISNUMBER('Übung 15'!Z$8),1,0)</f>
        <v/>
      </c>
      <c r="R146" s="62">
        <f>IF(ISNUMBER('Übung 16'!Z$8),1,0)</f>
        <v/>
      </c>
      <c r="S146" s="62">
        <f>IF(ISNUMBER('Übung 17'!Z$8),1,0)</f>
        <v/>
      </c>
      <c r="T146" s="62">
        <f>IF(ISNUMBER('Übung 18'!Z$8),1,0)</f>
        <v/>
      </c>
      <c r="U146" s="62">
        <f>IF(ISNUMBER('Übung 19'!Z$8),1,0)</f>
        <v/>
      </c>
      <c r="V146" s="62">
        <f>IF(ISNUMBER('Übung 20'!Z$8),1,0)</f>
        <v/>
      </c>
    </row>
    <row r="147">
      <c r="C147" s="62">
        <f>IF(ISNUMBER('Übung 01'!AA$8),1,0)</f>
        <v/>
      </c>
      <c r="D147" s="62">
        <f>IF(ISNUMBER('Übung 02'!AA$8),1,0)</f>
        <v/>
      </c>
      <c r="E147" s="62">
        <f>IF(ISNUMBER('Übung 03'!AA$8),1,0)</f>
        <v/>
      </c>
      <c r="F147" s="62">
        <f>IF(ISNUMBER('Übung 04'!AA$8),1,0)</f>
        <v/>
      </c>
      <c r="G147" s="62">
        <f>IF(ISNUMBER('Übung 05'!AA$8),1,0)</f>
        <v/>
      </c>
      <c r="H147" s="62">
        <f>IF(ISNUMBER('Übung 06'!AA$8),1,0)</f>
        <v/>
      </c>
      <c r="I147" s="62">
        <f>IF(ISNUMBER('Übung 07'!AA$8),1,0)</f>
        <v/>
      </c>
      <c r="J147" s="62">
        <f>IF(ISNUMBER('Übung 08'!AA$8),1,0)</f>
        <v/>
      </c>
      <c r="K147" s="62">
        <f>IF(ISNUMBER('Übung 09'!AA$8),1,0)</f>
        <v/>
      </c>
      <c r="L147" s="62">
        <f>IF(ISNUMBER('Übung 10'!AA$8),1,0)</f>
        <v/>
      </c>
      <c r="M147" s="62">
        <f>IF(ISNUMBER('Übung 11'!AA$8),1,0)</f>
        <v/>
      </c>
      <c r="N147" s="62">
        <f>IF(ISNUMBER('Übung 12'!AA$8),1,0)</f>
        <v/>
      </c>
      <c r="O147" s="62">
        <f>IF(ISNUMBER('Übung 13'!AA$8),1,0)</f>
        <v/>
      </c>
      <c r="P147" s="62">
        <f>IF(ISNUMBER('Übung 14'!AA$8),1,0)</f>
        <v/>
      </c>
      <c r="Q147" s="62">
        <f>IF(ISNUMBER('Übung 15'!AA$8),1,0)</f>
        <v/>
      </c>
      <c r="R147" s="62">
        <f>IF(ISNUMBER('Übung 16'!AA$8),1,0)</f>
        <v/>
      </c>
      <c r="S147" s="62">
        <f>IF(ISNUMBER('Übung 17'!AA$8),1,0)</f>
        <v/>
      </c>
      <c r="T147" s="62">
        <f>IF(ISNUMBER('Übung 18'!AA$8),1,0)</f>
        <v/>
      </c>
      <c r="U147" s="62">
        <f>IF(ISNUMBER('Übung 19'!AA$8),1,0)</f>
        <v/>
      </c>
      <c r="V147" s="62">
        <f>IF(ISNUMBER('Übung 20'!AA$8),1,0)</f>
        <v/>
      </c>
    </row>
    <row r="148">
      <c r="C148" s="62">
        <f>IF(ISNUMBER('Übung 01'!AB$8),1,0)</f>
        <v/>
      </c>
      <c r="D148" s="62">
        <f>IF(ISNUMBER('Übung 02'!AB$8),1,0)</f>
        <v/>
      </c>
      <c r="E148" s="62">
        <f>IF(ISNUMBER('Übung 03'!AB$8),1,0)</f>
        <v/>
      </c>
      <c r="F148" s="62">
        <f>IF(ISNUMBER('Übung 04'!AB$8),1,0)</f>
        <v/>
      </c>
      <c r="G148" s="62">
        <f>IF(ISNUMBER('Übung 05'!AB$8),1,0)</f>
        <v/>
      </c>
      <c r="H148" s="62">
        <f>IF(ISNUMBER('Übung 06'!AB$8),1,0)</f>
        <v/>
      </c>
      <c r="I148" s="62">
        <f>IF(ISNUMBER('Übung 07'!AB$8),1,0)</f>
        <v/>
      </c>
      <c r="J148" s="62">
        <f>IF(ISNUMBER('Übung 08'!AB$8),1,0)</f>
        <v/>
      </c>
      <c r="K148" s="62">
        <f>IF(ISNUMBER('Übung 09'!AB$8),1,0)</f>
        <v/>
      </c>
      <c r="L148" s="62">
        <f>IF(ISNUMBER('Übung 10'!AB$8),1,0)</f>
        <v/>
      </c>
      <c r="M148" s="62">
        <f>IF(ISNUMBER('Übung 11'!AB$8),1,0)</f>
        <v/>
      </c>
      <c r="N148" s="62">
        <f>IF(ISNUMBER('Übung 12'!AB$8),1,0)</f>
        <v/>
      </c>
      <c r="O148" s="62">
        <f>IF(ISNUMBER('Übung 13'!AB$8),1,0)</f>
        <v/>
      </c>
      <c r="P148" s="62">
        <f>IF(ISNUMBER('Übung 14'!AB$8),1,0)</f>
        <v/>
      </c>
      <c r="Q148" s="62">
        <f>IF(ISNUMBER('Übung 15'!AB$8),1,0)</f>
        <v/>
      </c>
      <c r="R148" s="62">
        <f>IF(ISNUMBER('Übung 16'!AB$8),1,0)</f>
        <v/>
      </c>
      <c r="S148" s="62">
        <f>IF(ISNUMBER('Übung 17'!AB$8),1,0)</f>
        <v/>
      </c>
      <c r="T148" s="62">
        <f>IF(ISNUMBER('Übung 18'!AB$8),1,0)</f>
        <v/>
      </c>
      <c r="U148" s="62">
        <f>IF(ISNUMBER('Übung 19'!AB$8),1,0)</f>
        <v/>
      </c>
      <c r="V148" s="62">
        <f>IF(ISNUMBER('Übung 20'!AB$8),1,0)</f>
        <v/>
      </c>
    </row>
    <row r="149">
      <c r="C149" s="62">
        <f>IF(ISNUMBER('Übung 01'!AC$8),1,0)</f>
        <v/>
      </c>
      <c r="D149" s="62">
        <f>IF(ISNUMBER('Übung 02'!AC$8),1,0)</f>
        <v/>
      </c>
      <c r="E149" s="62">
        <f>IF(ISNUMBER('Übung 03'!AC$8),1,0)</f>
        <v/>
      </c>
      <c r="F149" s="62">
        <f>IF(ISNUMBER('Übung 04'!AC$8),1,0)</f>
        <v/>
      </c>
      <c r="G149" s="62">
        <f>IF(ISNUMBER('Übung 05'!AC$8),1,0)</f>
        <v/>
      </c>
      <c r="H149" s="62">
        <f>IF(ISNUMBER('Übung 06'!AC$8),1,0)</f>
        <v/>
      </c>
      <c r="I149" s="62">
        <f>IF(ISNUMBER('Übung 07'!AC$8),1,0)</f>
        <v/>
      </c>
      <c r="J149" s="62">
        <f>IF(ISNUMBER('Übung 08'!AC$8),1,0)</f>
        <v/>
      </c>
      <c r="K149" s="62">
        <f>IF(ISNUMBER('Übung 09'!AC$8),1,0)</f>
        <v/>
      </c>
      <c r="L149" s="62">
        <f>IF(ISNUMBER('Übung 10'!AC$8),1,0)</f>
        <v/>
      </c>
      <c r="M149" s="62">
        <f>IF(ISNUMBER('Übung 11'!AC$8),1,0)</f>
        <v/>
      </c>
      <c r="N149" s="62">
        <f>IF(ISNUMBER('Übung 12'!AC$8),1,0)</f>
        <v/>
      </c>
      <c r="O149" s="62">
        <f>IF(ISNUMBER('Übung 13'!AC$8),1,0)</f>
        <v/>
      </c>
      <c r="P149" s="62">
        <f>IF(ISNUMBER('Übung 14'!AC$8),1,0)</f>
        <v/>
      </c>
      <c r="Q149" s="62">
        <f>IF(ISNUMBER('Übung 15'!AC$8),1,0)</f>
        <v/>
      </c>
      <c r="R149" s="62">
        <f>IF(ISNUMBER('Übung 16'!AC$8),1,0)</f>
        <v/>
      </c>
      <c r="S149" s="62">
        <f>IF(ISNUMBER('Übung 17'!AC$8),1,0)</f>
        <v/>
      </c>
      <c r="T149" s="62">
        <f>IF(ISNUMBER('Übung 18'!AC$8),1,0)</f>
        <v/>
      </c>
      <c r="U149" s="62">
        <f>IF(ISNUMBER('Übung 19'!AC$8),1,0)</f>
        <v/>
      </c>
      <c r="V149" s="62">
        <f>IF(ISNUMBER('Übung 20'!AC$8),1,0)</f>
        <v/>
      </c>
    </row>
    <row r="150">
      <c r="C150" s="62">
        <f>IF(ISNUMBER('Übung 01'!AE$8),1,0)</f>
        <v/>
      </c>
      <c r="D150" s="62">
        <f>IF(ISNUMBER('Übung 02'!AE$8),1,0)</f>
        <v/>
      </c>
      <c r="E150" s="62">
        <f>IF(ISNUMBER('Übung 03'!AE$8),1,0)</f>
        <v/>
      </c>
      <c r="F150" s="62">
        <f>IF(ISNUMBER('Übung 04'!AE$8),1,0)</f>
        <v/>
      </c>
      <c r="G150" s="62">
        <f>IF(ISNUMBER('Übung 05'!AE$8),1,0)</f>
        <v/>
      </c>
      <c r="H150" s="62">
        <f>IF(ISNUMBER('Übung 06'!AE$8),1,0)</f>
        <v/>
      </c>
      <c r="I150" s="62">
        <f>IF(ISNUMBER('Übung 07'!AE$8),1,0)</f>
        <v/>
      </c>
      <c r="J150" s="62">
        <f>IF(ISNUMBER('Übung 08'!AE$8),1,0)</f>
        <v/>
      </c>
      <c r="K150" s="62">
        <f>IF(ISNUMBER('Übung 09'!AE$8),1,0)</f>
        <v/>
      </c>
      <c r="L150" s="62">
        <f>IF(ISNUMBER('Übung 10'!AE$8),1,0)</f>
        <v/>
      </c>
      <c r="M150" s="62">
        <f>IF(ISNUMBER('Übung 11'!AE$8),1,0)</f>
        <v/>
      </c>
      <c r="N150" s="62">
        <f>IF(ISNUMBER('Übung 12'!AE$8),1,0)</f>
        <v/>
      </c>
      <c r="O150" s="62">
        <f>IF(ISNUMBER('Übung 13'!AE$8),1,0)</f>
        <v/>
      </c>
      <c r="P150" s="62">
        <f>IF(ISNUMBER('Übung 14'!AE$8),1,0)</f>
        <v/>
      </c>
      <c r="Q150" s="62">
        <f>IF(ISNUMBER('Übung 15'!AE$8),1,0)</f>
        <v/>
      </c>
      <c r="R150" s="62">
        <f>IF(ISNUMBER('Übung 16'!AE$8),1,0)</f>
        <v/>
      </c>
      <c r="S150" s="62">
        <f>IF(ISNUMBER('Übung 17'!AE$8),1,0)</f>
        <v/>
      </c>
      <c r="T150" s="62">
        <f>IF(ISNUMBER('Übung 18'!AE$8),1,0)</f>
        <v/>
      </c>
      <c r="U150" s="62">
        <f>IF(ISNUMBER('Übung 19'!AE$8),1,0)</f>
        <v/>
      </c>
      <c r="V150" s="62">
        <f>IF(ISNUMBER('Übung 20'!AE$8),1,0)</f>
        <v/>
      </c>
    </row>
    <row r="151">
      <c r="C151" s="62">
        <f>IF(ISNUMBER('Übung 01'!AF$8),1,0)</f>
        <v/>
      </c>
      <c r="D151" s="62">
        <f>IF(ISNUMBER('Übung 02'!AF$8),1,0)</f>
        <v/>
      </c>
      <c r="E151" s="62">
        <f>IF(ISNUMBER('Übung 03'!AF$8),1,0)</f>
        <v/>
      </c>
      <c r="F151" s="62">
        <f>IF(ISNUMBER('Übung 04'!AF$8),1,0)</f>
        <v/>
      </c>
      <c r="G151" s="62">
        <f>IF(ISNUMBER('Übung 05'!AF$8),1,0)</f>
        <v/>
      </c>
      <c r="H151" s="62">
        <f>IF(ISNUMBER('Übung 06'!AF$8),1,0)</f>
        <v/>
      </c>
      <c r="I151" s="62">
        <f>IF(ISNUMBER('Übung 07'!AF$8),1,0)</f>
        <v/>
      </c>
      <c r="J151" s="62">
        <f>IF(ISNUMBER('Übung 08'!AF$8),1,0)</f>
        <v/>
      </c>
      <c r="K151" s="62">
        <f>IF(ISNUMBER('Übung 09'!AF$8),1,0)</f>
        <v/>
      </c>
      <c r="L151" s="62">
        <f>IF(ISNUMBER('Übung 10'!AF$8),1,0)</f>
        <v/>
      </c>
      <c r="M151" s="62">
        <f>IF(ISNUMBER('Übung 11'!AF$8),1,0)</f>
        <v/>
      </c>
      <c r="N151" s="62">
        <f>IF(ISNUMBER('Übung 12'!AF$8),1,0)</f>
        <v/>
      </c>
      <c r="O151" s="62">
        <f>IF(ISNUMBER('Übung 13'!AF$8),1,0)</f>
        <v/>
      </c>
      <c r="P151" s="62">
        <f>IF(ISNUMBER('Übung 14'!AF$8),1,0)</f>
        <v/>
      </c>
      <c r="Q151" s="62">
        <f>IF(ISNUMBER('Übung 15'!AF$8),1,0)</f>
        <v/>
      </c>
      <c r="R151" s="62">
        <f>IF(ISNUMBER('Übung 16'!AF$8),1,0)</f>
        <v/>
      </c>
      <c r="S151" s="62">
        <f>IF(ISNUMBER('Übung 17'!AF$8),1,0)</f>
        <v/>
      </c>
      <c r="T151" s="62">
        <f>IF(ISNUMBER('Übung 18'!AF$8),1,0)</f>
        <v/>
      </c>
      <c r="U151" s="62">
        <f>IF(ISNUMBER('Übung 19'!AF$8),1,0)</f>
        <v/>
      </c>
      <c r="V151" s="62">
        <f>IF(ISNUMBER('Übung 20'!AF$8),1,0)</f>
        <v/>
      </c>
    </row>
    <row r="152">
      <c r="C152" s="62">
        <f>IF(ISNUMBER('Übung 01'!AG$8),1,0)</f>
        <v/>
      </c>
      <c r="D152" s="62">
        <f>IF(ISNUMBER('Übung 02'!AG$8),1,0)</f>
        <v/>
      </c>
      <c r="E152" s="62">
        <f>IF(ISNUMBER('Übung 03'!AG$8),1,0)</f>
        <v/>
      </c>
      <c r="F152" s="62">
        <f>IF(ISNUMBER('Übung 04'!AG$8),1,0)</f>
        <v/>
      </c>
      <c r="G152" s="62">
        <f>IF(ISNUMBER('Übung 05'!AG$8),1,0)</f>
        <v/>
      </c>
      <c r="H152" s="62">
        <f>IF(ISNUMBER('Übung 06'!AG$8),1,0)</f>
        <v/>
      </c>
      <c r="I152" s="62">
        <f>IF(ISNUMBER('Übung 07'!AG$8),1,0)</f>
        <v/>
      </c>
      <c r="J152" s="62">
        <f>IF(ISNUMBER('Übung 08'!AG$8),1,0)</f>
        <v/>
      </c>
      <c r="K152" s="62">
        <f>IF(ISNUMBER('Übung 09'!AG$8),1,0)</f>
        <v/>
      </c>
      <c r="L152" s="62">
        <f>IF(ISNUMBER('Übung 10'!AG$8),1,0)</f>
        <v/>
      </c>
      <c r="M152" s="62">
        <f>IF(ISNUMBER('Übung 11'!AG$8),1,0)</f>
        <v/>
      </c>
      <c r="N152" s="62">
        <f>IF(ISNUMBER('Übung 12'!AG$8),1,0)</f>
        <v/>
      </c>
      <c r="O152" s="62">
        <f>IF(ISNUMBER('Übung 13'!AG$8),1,0)</f>
        <v/>
      </c>
      <c r="P152" s="62">
        <f>IF(ISNUMBER('Übung 14'!AG$8),1,0)</f>
        <v/>
      </c>
      <c r="Q152" s="62">
        <f>IF(ISNUMBER('Übung 15'!AG$8),1,0)</f>
        <v/>
      </c>
      <c r="R152" s="62">
        <f>IF(ISNUMBER('Übung 16'!AG$8),1,0)</f>
        <v/>
      </c>
      <c r="S152" s="62">
        <f>IF(ISNUMBER('Übung 17'!AG$8),1,0)</f>
        <v/>
      </c>
      <c r="T152" s="62">
        <f>IF(ISNUMBER('Übung 18'!AG$8),1,0)</f>
        <v/>
      </c>
      <c r="U152" s="62">
        <f>IF(ISNUMBER('Übung 19'!AG$8),1,0)</f>
        <v/>
      </c>
      <c r="V152" s="62">
        <f>IF(ISNUMBER('Übung 20'!AG$8),1,0)</f>
        <v/>
      </c>
    </row>
    <row r="153">
      <c r="C153" s="62">
        <f>IF(ISNUMBER('Übung 01'!AH$8),1,0)</f>
        <v/>
      </c>
      <c r="D153" s="62">
        <f>IF(ISNUMBER('Übung 02'!AH$8),1,0)</f>
        <v/>
      </c>
      <c r="E153" s="62">
        <f>IF(ISNUMBER('Übung 03'!AH$8),1,0)</f>
        <v/>
      </c>
      <c r="F153" s="62">
        <f>IF(ISNUMBER('Übung 04'!AH$8),1,0)</f>
        <v/>
      </c>
      <c r="G153" s="62">
        <f>IF(ISNUMBER('Übung 05'!AH$8),1,0)</f>
        <v/>
      </c>
      <c r="H153" s="62">
        <f>IF(ISNUMBER('Übung 06'!AH$8),1,0)</f>
        <v/>
      </c>
      <c r="I153" s="62">
        <f>IF(ISNUMBER('Übung 07'!AH$8),1,0)</f>
        <v/>
      </c>
      <c r="J153" s="62">
        <f>IF(ISNUMBER('Übung 08'!AH$8),1,0)</f>
        <v/>
      </c>
      <c r="K153" s="62">
        <f>IF(ISNUMBER('Übung 09'!AH$8),1,0)</f>
        <v/>
      </c>
      <c r="L153" s="62">
        <f>IF(ISNUMBER('Übung 10'!AH$8),1,0)</f>
        <v/>
      </c>
      <c r="M153" s="62">
        <f>IF(ISNUMBER('Übung 11'!AH$8),1,0)</f>
        <v/>
      </c>
      <c r="N153" s="62">
        <f>IF(ISNUMBER('Übung 12'!AH$8),1,0)</f>
        <v/>
      </c>
      <c r="O153" s="62">
        <f>IF(ISNUMBER('Übung 13'!AH$8),1,0)</f>
        <v/>
      </c>
      <c r="P153" s="62">
        <f>IF(ISNUMBER('Übung 14'!AH$8),1,0)</f>
        <v/>
      </c>
      <c r="Q153" s="62">
        <f>IF(ISNUMBER('Übung 15'!AH$8),1,0)</f>
        <v/>
      </c>
      <c r="R153" s="62">
        <f>IF(ISNUMBER('Übung 16'!AH$8),1,0)</f>
        <v/>
      </c>
      <c r="S153" s="62">
        <f>IF(ISNUMBER('Übung 17'!AH$8),1,0)</f>
        <v/>
      </c>
      <c r="T153" s="62">
        <f>IF(ISNUMBER('Übung 18'!AH$8),1,0)</f>
        <v/>
      </c>
      <c r="U153" s="62">
        <f>IF(ISNUMBER('Übung 19'!AH$8),1,0)</f>
        <v/>
      </c>
      <c r="V153" s="62">
        <f>IF(ISNUMBER('Übung 20'!AH$8),1,0)</f>
        <v/>
      </c>
    </row>
    <row r="154">
      <c r="C154" s="62">
        <f>IF(ISNUMBER('Übung 01'!AI$8),1,0)</f>
        <v/>
      </c>
      <c r="D154" s="62">
        <f>IF(ISNUMBER('Übung 02'!AI$8),1,0)</f>
        <v/>
      </c>
      <c r="E154" s="62">
        <f>IF(ISNUMBER('Übung 03'!AI$8),1,0)</f>
        <v/>
      </c>
      <c r="F154" s="62">
        <f>IF(ISNUMBER('Übung 04'!AI$8),1,0)</f>
        <v/>
      </c>
      <c r="G154" s="62">
        <f>IF(ISNUMBER('Übung 05'!AI$8),1,0)</f>
        <v/>
      </c>
      <c r="H154" s="62">
        <f>IF(ISNUMBER('Übung 06'!AI$8),1,0)</f>
        <v/>
      </c>
      <c r="I154" s="62">
        <f>IF(ISNUMBER('Übung 07'!AI$8),1,0)</f>
        <v/>
      </c>
      <c r="J154" s="62">
        <f>IF(ISNUMBER('Übung 08'!AI$8),1,0)</f>
        <v/>
      </c>
      <c r="K154" s="62">
        <f>IF(ISNUMBER('Übung 09'!AI$8),1,0)</f>
        <v/>
      </c>
      <c r="L154" s="62">
        <f>IF(ISNUMBER('Übung 10'!AI$8),1,0)</f>
        <v/>
      </c>
      <c r="M154" s="62">
        <f>IF(ISNUMBER('Übung 11'!AI$8),1,0)</f>
        <v/>
      </c>
      <c r="N154" s="62">
        <f>IF(ISNUMBER('Übung 12'!AI$8),1,0)</f>
        <v/>
      </c>
      <c r="O154" s="62">
        <f>IF(ISNUMBER('Übung 13'!AI$8),1,0)</f>
        <v/>
      </c>
      <c r="P154" s="62">
        <f>IF(ISNUMBER('Übung 14'!AI$8),1,0)</f>
        <v/>
      </c>
      <c r="Q154" s="62">
        <f>IF(ISNUMBER('Übung 15'!AI$8),1,0)</f>
        <v/>
      </c>
      <c r="R154" s="62">
        <f>IF(ISNUMBER('Übung 16'!AI$8),1,0)</f>
        <v/>
      </c>
      <c r="S154" s="62">
        <f>IF(ISNUMBER('Übung 17'!AI$8),1,0)</f>
        <v/>
      </c>
      <c r="T154" s="62">
        <f>IF(ISNUMBER('Übung 18'!AI$8),1,0)</f>
        <v/>
      </c>
      <c r="U154" s="62">
        <f>IF(ISNUMBER('Übung 19'!AI$8),1,0)</f>
        <v/>
      </c>
      <c r="V154" s="62">
        <f>IF(ISNUMBER('Übung 20'!AI$8),1,0)</f>
        <v/>
      </c>
    </row>
    <row r="155">
      <c r="C155" s="62">
        <f>IF(ISNUMBER('Übung 01'!AJ$8),1,0)</f>
        <v/>
      </c>
      <c r="D155" s="62">
        <f>IF(ISNUMBER('Übung 02'!AJ$8),1,0)</f>
        <v/>
      </c>
      <c r="E155" s="62">
        <f>IF(ISNUMBER('Übung 03'!AJ$8),1,0)</f>
        <v/>
      </c>
      <c r="F155" s="62">
        <f>IF(ISNUMBER('Übung 04'!AJ$8),1,0)</f>
        <v/>
      </c>
      <c r="G155" s="62">
        <f>IF(ISNUMBER('Übung 05'!AJ$8),1,0)</f>
        <v/>
      </c>
      <c r="H155" s="62">
        <f>IF(ISNUMBER('Übung 06'!AJ$8),1,0)</f>
        <v/>
      </c>
      <c r="I155" s="62">
        <f>IF(ISNUMBER('Übung 07'!AJ$8),1,0)</f>
        <v/>
      </c>
      <c r="J155" s="62">
        <f>IF(ISNUMBER('Übung 08'!AJ$8),1,0)</f>
        <v/>
      </c>
      <c r="K155" s="62">
        <f>IF(ISNUMBER('Übung 09'!AJ$8),1,0)</f>
        <v/>
      </c>
      <c r="L155" s="62">
        <f>IF(ISNUMBER('Übung 10'!AJ$8),1,0)</f>
        <v/>
      </c>
      <c r="M155" s="62">
        <f>IF(ISNUMBER('Übung 11'!AJ$8),1,0)</f>
        <v/>
      </c>
      <c r="N155" s="62">
        <f>IF(ISNUMBER('Übung 12'!AJ$8),1,0)</f>
        <v/>
      </c>
      <c r="O155" s="62">
        <f>IF(ISNUMBER('Übung 13'!AJ$8),1,0)</f>
        <v/>
      </c>
      <c r="P155" s="62">
        <f>IF(ISNUMBER('Übung 14'!AJ$8),1,0)</f>
        <v/>
      </c>
      <c r="Q155" s="62">
        <f>IF(ISNUMBER('Übung 15'!AJ$8),1,0)</f>
        <v/>
      </c>
      <c r="R155" s="62">
        <f>IF(ISNUMBER('Übung 16'!AJ$8),1,0)</f>
        <v/>
      </c>
      <c r="S155" s="62">
        <f>IF(ISNUMBER('Übung 17'!AJ$8),1,0)</f>
        <v/>
      </c>
      <c r="T155" s="62">
        <f>IF(ISNUMBER('Übung 18'!AJ$8),1,0)</f>
        <v/>
      </c>
      <c r="U155" s="62">
        <f>IF(ISNUMBER('Übung 19'!AJ$8),1,0)</f>
        <v/>
      </c>
      <c r="V155" s="62">
        <f>IF(ISNUMBER('Übung 20'!AJ$8),1,0)</f>
        <v/>
      </c>
    </row>
    <row r="156">
      <c r="C156" s="62">
        <f>IF(ISNUMBER('Übung 01'!AK$8),1,0)</f>
        <v/>
      </c>
      <c r="D156" s="62">
        <f>IF(ISNUMBER('Übung 02'!AK$8),1,0)</f>
        <v/>
      </c>
      <c r="E156" s="62">
        <f>IF(ISNUMBER('Übung 03'!AK$8),1,0)</f>
        <v/>
      </c>
      <c r="F156" s="62">
        <f>IF(ISNUMBER('Übung 04'!AK$8),1,0)</f>
        <v/>
      </c>
      <c r="G156" s="62">
        <f>IF(ISNUMBER('Übung 05'!AK$8),1,0)</f>
        <v/>
      </c>
      <c r="H156" s="62">
        <f>IF(ISNUMBER('Übung 06'!AK$8),1,0)</f>
        <v/>
      </c>
      <c r="I156" s="62">
        <f>IF(ISNUMBER('Übung 07'!AK$8),1,0)</f>
        <v/>
      </c>
      <c r="J156" s="62">
        <f>IF(ISNUMBER('Übung 08'!AK$8),1,0)</f>
        <v/>
      </c>
      <c r="K156" s="62">
        <f>IF(ISNUMBER('Übung 09'!AK$8),1,0)</f>
        <v/>
      </c>
      <c r="L156" s="62">
        <f>IF(ISNUMBER('Übung 10'!AK$8),1,0)</f>
        <v/>
      </c>
      <c r="M156" s="62">
        <f>IF(ISNUMBER('Übung 11'!AK$8),1,0)</f>
        <v/>
      </c>
      <c r="N156" s="62">
        <f>IF(ISNUMBER('Übung 12'!AK$8),1,0)</f>
        <v/>
      </c>
      <c r="O156" s="62">
        <f>IF(ISNUMBER('Übung 13'!AK$8),1,0)</f>
        <v/>
      </c>
      <c r="P156" s="62">
        <f>IF(ISNUMBER('Übung 14'!AK$8),1,0)</f>
        <v/>
      </c>
      <c r="Q156" s="62">
        <f>IF(ISNUMBER('Übung 15'!AK$8),1,0)</f>
        <v/>
      </c>
      <c r="R156" s="62">
        <f>IF(ISNUMBER('Übung 16'!AK$8),1,0)</f>
        <v/>
      </c>
      <c r="S156" s="62">
        <f>IF(ISNUMBER('Übung 17'!AK$8),1,0)</f>
        <v/>
      </c>
      <c r="T156" s="62">
        <f>IF(ISNUMBER('Übung 18'!AK$8),1,0)</f>
        <v/>
      </c>
      <c r="U156" s="62">
        <f>IF(ISNUMBER('Übung 19'!AK$8),1,0)</f>
        <v/>
      </c>
      <c r="V156" s="62">
        <f>IF(ISNUMBER('Übung 20'!AK$8),1,0)</f>
        <v/>
      </c>
    </row>
    <row r="157">
      <c r="C157" s="62">
        <f>IF(ISNUMBER('Übung 01'!AL$8),1,0)</f>
        <v/>
      </c>
      <c r="D157" s="62">
        <f>IF(ISNUMBER('Übung 02'!AL$8),1,0)</f>
        <v/>
      </c>
      <c r="E157" s="62">
        <f>IF(ISNUMBER('Übung 03'!AL$8),1,0)</f>
        <v/>
      </c>
      <c r="F157" s="62">
        <f>IF(ISNUMBER('Übung 04'!AL$8),1,0)</f>
        <v/>
      </c>
      <c r="G157" s="62">
        <f>IF(ISNUMBER('Übung 05'!AL$8),1,0)</f>
        <v/>
      </c>
      <c r="H157" s="62">
        <f>IF(ISNUMBER('Übung 06'!AL$8),1,0)</f>
        <v/>
      </c>
      <c r="I157" s="62">
        <f>IF(ISNUMBER('Übung 07'!AL$8),1,0)</f>
        <v/>
      </c>
      <c r="J157" s="62">
        <f>IF(ISNUMBER('Übung 08'!AL$8),1,0)</f>
        <v/>
      </c>
      <c r="K157" s="62">
        <f>IF(ISNUMBER('Übung 09'!AL$8),1,0)</f>
        <v/>
      </c>
      <c r="L157" s="62">
        <f>IF(ISNUMBER('Übung 10'!AL$8),1,0)</f>
        <v/>
      </c>
      <c r="M157" s="62">
        <f>IF(ISNUMBER('Übung 11'!AL$8),1,0)</f>
        <v/>
      </c>
      <c r="N157" s="62">
        <f>IF(ISNUMBER('Übung 12'!AL$8),1,0)</f>
        <v/>
      </c>
      <c r="O157" s="62">
        <f>IF(ISNUMBER('Übung 13'!AL$8),1,0)</f>
        <v/>
      </c>
      <c r="P157" s="62">
        <f>IF(ISNUMBER('Übung 14'!AL$8),1,0)</f>
        <v/>
      </c>
      <c r="Q157" s="62">
        <f>IF(ISNUMBER('Übung 15'!AL$8),1,0)</f>
        <v/>
      </c>
      <c r="R157" s="62">
        <f>IF(ISNUMBER('Übung 16'!AL$8),1,0)</f>
        <v/>
      </c>
      <c r="S157" s="62">
        <f>IF(ISNUMBER('Übung 17'!AL$8),1,0)</f>
        <v/>
      </c>
      <c r="T157" s="62">
        <f>IF(ISNUMBER('Übung 18'!AL$8),1,0)</f>
        <v/>
      </c>
      <c r="U157" s="62">
        <f>IF(ISNUMBER('Übung 19'!AL$8),1,0)</f>
        <v/>
      </c>
      <c r="V157" s="62">
        <f>IF(ISNUMBER('Übung 20'!AL$8),1,0)</f>
        <v/>
      </c>
    </row>
    <row r="158">
      <c r="C158" s="62">
        <f>IF(ISNUMBER('Übung 01'!AM$8),1,0)</f>
        <v/>
      </c>
      <c r="D158" s="62">
        <f>IF(ISNUMBER('Übung 02'!AM$8),1,0)</f>
        <v/>
      </c>
      <c r="E158" s="62">
        <f>IF(ISNUMBER('Übung 03'!AM$8),1,0)</f>
        <v/>
      </c>
      <c r="F158" s="62">
        <f>IF(ISNUMBER('Übung 04'!AM$8),1,0)</f>
        <v/>
      </c>
      <c r="G158" s="62">
        <f>IF(ISNUMBER('Übung 05'!AM$8),1,0)</f>
        <v/>
      </c>
      <c r="H158" s="62">
        <f>IF(ISNUMBER('Übung 06'!AM$8),1,0)</f>
        <v/>
      </c>
      <c r="I158" s="62">
        <f>IF(ISNUMBER('Übung 07'!AM$8),1,0)</f>
        <v/>
      </c>
      <c r="J158" s="62">
        <f>IF(ISNUMBER('Übung 08'!AM$8),1,0)</f>
        <v/>
      </c>
      <c r="K158" s="62">
        <f>IF(ISNUMBER('Übung 09'!AM$8),1,0)</f>
        <v/>
      </c>
      <c r="L158" s="62">
        <f>IF(ISNUMBER('Übung 10'!AM$8),1,0)</f>
        <v/>
      </c>
      <c r="M158" s="62">
        <f>IF(ISNUMBER('Übung 11'!AM$8),1,0)</f>
        <v/>
      </c>
      <c r="N158" s="62">
        <f>IF(ISNUMBER('Übung 12'!AM$8),1,0)</f>
        <v/>
      </c>
      <c r="O158" s="62">
        <f>IF(ISNUMBER('Übung 13'!AM$8),1,0)</f>
        <v/>
      </c>
      <c r="P158" s="62">
        <f>IF(ISNUMBER('Übung 14'!AM$8),1,0)</f>
        <v/>
      </c>
      <c r="Q158" s="62">
        <f>IF(ISNUMBER('Übung 15'!AM$8),1,0)</f>
        <v/>
      </c>
      <c r="R158" s="62">
        <f>IF(ISNUMBER('Übung 16'!AM$8),1,0)</f>
        <v/>
      </c>
      <c r="S158" s="62">
        <f>IF(ISNUMBER('Übung 17'!AM$8),1,0)</f>
        <v/>
      </c>
      <c r="T158" s="62">
        <f>IF(ISNUMBER('Übung 18'!AM$8),1,0)</f>
        <v/>
      </c>
      <c r="U158" s="62">
        <f>IF(ISNUMBER('Übung 19'!AM$8),1,0)</f>
        <v/>
      </c>
      <c r="V158" s="62">
        <f>IF(ISNUMBER('Übung 20'!AM$8),1,0)</f>
        <v/>
      </c>
    </row>
    <row r="159">
      <c r="C159" s="62">
        <f>IF(ISNUMBER('Übung 01'!AN$8),1,0)</f>
        <v/>
      </c>
      <c r="D159" s="62">
        <f>IF(ISNUMBER('Übung 02'!AN$8),1,0)</f>
        <v/>
      </c>
      <c r="E159" s="62">
        <f>IF(ISNUMBER('Übung 03'!AN$8),1,0)</f>
        <v/>
      </c>
      <c r="F159" s="62">
        <f>IF(ISNUMBER('Übung 04'!AN$8),1,0)</f>
        <v/>
      </c>
      <c r="G159" s="62">
        <f>IF(ISNUMBER('Übung 05'!AN$8),1,0)</f>
        <v/>
      </c>
      <c r="H159" s="62">
        <f>IF(ISNUMBER('Übung 06'!AN$8),1,0)</f>
        <v/>
      </c>
      <c r="I159" s="62">
        <f>IF(ISNUMBER('Übung 07'!AN$8),1,0)</f>
        <v/>
      </c>
      <c r="J159" s="62">
        <f>IF(ISNUMBER('Übung 08'!AN$8),1,0)</f>
        <v/>
      </c>
      <c r="K159" s="62">
        <f>IF(ISNUMBER('Übung 09'!AN$8),1,0)</f>
        <v/>
      </c>
      <c r="L159" s="62">
        <f>IF(ISNUMBER('Übung 10'!AN$8),1,0)</f>
        <v/>
      </c>
      <c r="M159" s="62">
        <f>IF(ISNUMBER('Übung 11'!AN$8),1,0)</f>
        <v/>
      </c>
      <c r="N159" s="62">
        <f>IF(ISNUMBER('Übung 12'!AN$8),1,0)</f>
        <v/>
      </c>
      <c r="O159" s="62">
        <f>IF(ISNUMBER('Übung 13'!AN$8),1,0)</f>
        <v/>
      </c>
      <c r="P159" s="62">
        <f>IF(ISNUMBER('Übung 14'!AN$8),1,0)</f>
        <v/>
      </c>
      <c r="Q159" s="62">
        <f>IF(ISNUMBER('Übung 15'!AN$8),1,0)</f>
        <v/>
      </c>
      <c r="R159" s="62">
        <f>IF(ISNUMBER('Übung 16'!AN$8),1,0)</f>
        <v/>
      </c>
      <c r="S159" s="62">
        <f>IF(ISNUMBER('Übung 17'!AN$8),1,0)</f>
        <v/>
      </c>
      <c r="T159" s="62">
        <f>IF(ISNUMBER('Übung 18'!AN$8),1,0)</f>
        <v/>
      </c>
      <c r="U159" s="62">
        <f>IF(ISNUMBER('Übung 19'!AN$8),1,0)</f>
        <v/>
      </c>
      <c r="V159" s="62">
        <f>IF(ISNUMBER('Übung 20'!AN$8),1,0)</f>
        <v/>
      </c>
    </row>
    <row r="160">
      <c r="C160" s="62">
        <f>IF(ISNUMBER('Übung 01'!AO$8),1,0)</f>
        <v/>
      </c>
      <c r="D160" s="62">
        <f>IF(ISNUMBER('Übung 02'!AO$8),1,0)</f>
        <v/>
      </c>
      <c r="E160" s="62">
        <f>IF(ISNUMBER('Übung 03'!AO$8),1,0)</f>
        <v/>
      </c>
      <c r="F160" s="62">
        <f>IF(ISNUMBER('Übung 04'!AO$8),1,0)</f>
        <v/>
      </c>
      <c r="G160" s="62">
        <f>IF(ISNUMBER('Übung 05'!AO$8),1,0)</f>
        <v/>
      </c>
      <c r="H160" s="62">
        <f>IF(ISNUMBER('Übung 06'!AO$8),1,0)</f>
        <v/>
      </c>
      <c r="I160" s="62">
        <f>IF(ISNUMBER('Übung 07'!AO$8),1,0)</f>
        <v/>
      </c>
      <c r="J160" s="62">
        <f>IF(ISNUMBER('Übung 08'!AO$8),1,0)</f>
        <v/>
      </c>
      <c r="K160" s="62">
        <f>IF(ISNUMBER('Übung 09'!AO$8),1,0)</f>
        <v/>
      </c>
      <c r="L160" s="62">
        <f>IF(ISNUMBER('Übung 10'!AO$8),1,0)</f>
        <v/>
      </c>
      <c r="M160" s="62">
        <f>IF(ISNUMBER('Übung 11'!AO$8),1,0)</f>
        <v/>
      </c>
      <c r="N160" s="62">
        <f>IF(ISNUMBER('Übung 12'!AO$8),1,0)</f>
        <v/>
      </c>
      <c r="O160" s="62">
        <f>IF(ISNUMBER('Übung 13'!AO$8),1,0)</f>
        <v/>
      </c>
      <c r="P160" s="62">
        <f>IF(ISNUMBER('Übung 14'!AO$8),1,0)</f>
        <v/>
      </c>
      <c r="Q160" s="62">
        <f>IF(ISNUMBER('Übung 15'!AO$8),1,0)</f>
        <v/>
      </c>
      <c r="R160" s="62">
        <f>IF(ISNUMBER('Übung 16'!AO$8),1,0)</f>
        <v/>
      </c>
      <c r="S160" s="62">
        <f>IF(ISNUMBER('Übung 17'!AO$8),1,0)</f>
        <v/>
      </c>
      <c r="T160" s="62">
        <f>IF(ISNUMBER('Übung 18'!AO$8),1,0)</f>
        <v/>
      </c>
      <c r="U160" s="62">
        <f>IF(ISNUMBER('Übung 19'!AO$8),1,0)</f>
        <v/>
      </c>
      <c r="V160" s="62">
        <f>IF(ISNUMBER('Übung 20'!AO$8),1,0)</f>
        <v/>
      </c>
    </row>
    <row r="161">
      <c r="C161" s="62">
        <f>IF(ISNUMBER('Übung 01'!AP$8),1,0)</f>
        <v/>
      </c>
      <c r="D161" s="62">
        <f>IF(ISNUMBER('Übung 02'!AP$8),1,0)</f>
        <v/>
      </c>
      <c r="E161" s="62">
        <f>IF(ISNUMBER('Übung 03'!AP$8),1,0)</f>
        <v/>
      </c>
      <c r="F161" s="62">
        <f>IF(ISNUMBER('Übung 04'!AP$8),1,0)</f>
        <v/>
      </c>
      <c r="G161" s="62">
        <f>IF(ISNUMBER('Übung 05'!AP$8),1,0)</f>
        <v/>
      </c>
      <c r="H161" s="62">
        <f>IF(ISNUMBER('Übung 06'!AP$8),1,0)</f>
        <v/>
      </c>
      <c r="I161" s="62">
        <f>IF(ISNUMBER('Übung 07'!AP$8),1,0)</f>
        <v/>
      </c>
      <c r="J161" s="62">
        <f>IF(ISNUMBER('Übung 08'!AP$8),1,0)</f>
        <v/>
      </c>
      <c r="K161" s="62">
        <f>IF(ISNUMBER('Übung 09'!AP$8),1,0)</f>
        <v/>
      </c>
      <c r="L161" s="62">
        <f>IF(ISNUMBER('Übung 10'!AP$8),1,0)</f>
        <v/>
      </c>
      <c r="M161" s="62">
        <f>IF(ISNUMBER('Übung 11'!AP$8),1,0)</f>
        <v/>
      </c>
      <c r="N161" s="62">
        <f>IF(ISNUMBER('Übung 12'!AP$8),1,0)</f>
        <v/>
      </c>
      <c r="O161" s="62">
        <f>IF(ISNUMBER('Übung 13'!AP$8),1,0)</f>
        <v/>
      </c>
      <c r="P161" s="62">
        <f>IF(ISNUMBER('Übung 14'!AP$8),1,0)</f>
        <v/>
      </c>
      <c r="Q161" s="62">
        <f>IF(ISNUMBER('Übung 15'!AP$8),1,0)</f>
        <v/>
      </c>
      <c r="R161" s="62">
        <f>IF(ISNUMBER('Übung 16'!AP$8),1,0)</f>
        <v/>
      </c>
      <c r="S161" s="62">
        <f>IF(ISNUMBER('Übung 17'!AP$8),1,0)</f>
        <v/>
      </c>
      <c r="T161" s="62">
        <f>IF(ISNUMBER('Übung 18'!AP$8),1,0)</f>
        <v/>
      </c>
      <c r="U161" s="62">
        <f>IF(ISNUMBER('Übung 19'!AP$8),1,0)</f>
        <v/>
      </c>
      <c r="V161" s="62">
        <f>IF(ISNUMBER('Übung 20'!AP$8),1,0)</f>
        <v/>
      </c>
    </row>
    <row r="162">
      <c r="C162" s="62">
        <f>IF(ISNUMBER('Übung 01'!AQ$8),1,0)</f>
        <v/>
      </c>
      <c r="D162" s="62">
        <f>IF(ISNUMBER('Übung 02'!AQ$8),1,0)</f>
        <v/>
      </c>
      <c r="E162" s="62">
        <f>IF(ISNUMBER('Übung 03'!AQ$8),1,0)</f>
        <v/>
      </c>
      <c r="F162" s="62">
        <f>IF(ISNUMBER('Übung 04'!AQ$8),1,0)</f>
        <v/>
      </c>
      <c r="G162" s="62">
        <f>IF(ISNUMBER('Übung 05'!AQ$8),1,0)</f>
        <v/>
      </c>
      <c r="H162" s="62">
        <f>IF(ISNUMBER('Übung 06'!AQ$8),1,0)</f>
        <v/>
      </c>
      <c r="I162" s="62">
        <f>IF(ISNUMBER('Übung 07'!AQ$8),1,0)</f>
        <v/>
      </c>
      <c r="J162" s="62">
        <f>IF(ISNUMBER('Übung 08'!AQ$8),1,0)</f>
        <v/>
      </c>
      <c r="K162" s="62">
        <f>IF(ISNUMBER('Übung 09'!AQ$8),1,0)</f>
        <v/>
      </c>
      <c r="L162" s="62">
        <f>IF(ISNUMBER('Übung 10'!AQ$8),1,0)</f>
        <v/>
      </c>
      <c r="M162" s="62">
        <f>IF(ISNUMBER('Übung 11'!AQ$8),1,0)</f>
        <v/>
      </c>
      <c r="N162" s="62">
        <f>IF(ISNUMBER('Übung 12'!AQ$8),1,0)</f>
        <v/>
      </c>
      <c r="O162" s="62">
        <f>IF(ISNUMBER('Übung 13'!AQ$8),1,0)</f>
        <v/>
      </c>
      <c r="P162" s="62">
        <f>IF(ISNUMBER('Übung 14'!AQ$8),1,0)</f>
        <v/>
      </c>
      <c r="Q162" s="62">
        <f>IF(ISNUMBER('Übung 15'!AQ$8),1,0)</f>
        <v/>
      </c>
      <c r="R162" s="62">
        <f>IF(ISNUMBER('Übung 16'!AQ$8),1,0)</f>
        <v/>
      </c>
      <c r="S162" s="62">
        <f>IF(ISNUMBER('Übung 17'!AQ$8),1,0)</f>
        <v/>
      </c>
      <c r="T162" s="62">
        <f>IF(ISNUMBER('Übung 18'!AQ$8),1,0)</f>
        <v/>
      </c>
      <c r="U162" s="62">
        <f>IF(ISNUMBER('Übung 19'!AQ$8),1,0)</f>
        <v/>
      </c>
      <c r="V162" s="62">
        <f>IF(ISNUMBER('Übung 20'!AQ$8),1,0)</f>
        <v/>
      </c>
    </row>
    <row r="163">
      <c r="C163" s="62">
        <f>IF(ISNUMBER('Übung 01'!AR$8),1,0)</f>
        <v/>
      </c>
      <c r="D163" s="62">
        <f>IF(ISNUMBER('Übung 02'!AR$8),1,0)</f>
        <v/>
      </c>
      <c r="E163" s="62">
        <f>IF(ISNUMBER('Übung 03'!AR$8),1,0)</f>
        <v/>
      </c>
      <c r="F163" s="62">
        <f>IF(ISNUMBER('Übung 04'!AR$8),1,0)</f>
        <v/>
      </c>
      <c r="G163" s="62">
        <f>IF(ISNUMBER('Übung 05'!AR$8),1,0)</f>
        <v/>
      </c>
      <c r="H163" s="62">
        <f>IF(ISNUMBER('Übung 06'!AR$8),1,0)</f>
        <v/>
      </c>
      <c r="I163" s="62">
        <f>IF(ISNUMBER('Übung 07'!AR$8),1,0)</f>
        <v/>
      </c>
      <c r="J163" s="62">
        <f>IF(ISNUMBER('Übung 08'!AR$8),1,0)</f>
        <v/>
      </c>
      <c r="K163" s="62">
        <f>IF(ISNUMBER('Übung 09'!AR$8),1,0)</f>
        <v/>
      </c>
      <c r="L163" s="62">
        <f>IF(ISNUMBER('Übung 10'!AR$8),1,0)</f>
        <v/>
      </c>
      <c r="M163" s="62">
        <f>IF(ISNUMBER('Übung 11'!AR$8),1,0)</f>
        <v/>
      </c>
      <c r="N163" s="62">
        <f>IF(ISNUMBER('Übung 12'!AR$8),1,0)</f>
        <v/>
      </c>
      <c r="O163" s="62">
        <f>IF(ISNUMBER('Übung 13'!AR$8),1,0)</f>
        <v/>
      </c>
      <c r="P163" s="62">
        <f>IF(ISNUMBER('Übung 14'!AR$8),1,0)</f>
        <v/>
      </c>
      <c r="Q163" s="62">
        <f>IF(ISNUMBER('Übung 15'!AR$8),1,0)</f>
        <v/>
      </c>
      <c r="R163" s="62">
        <f>IF(ISNUMBER('Übung 16'!AR$8),1,0)</f>
        <v/>
      </c>
      <c r="S163" s="62">
        <f>IF(ISNUMBER('Übung 17'!AR$8),1,0)</f>
        <v/>
      </c>
      <c r="T163" s="62">
        <f>IF(ISNUMBER('Übung 18'!AR$8),1,0)</f>
        <v/>
      </c>
      <c r="U163" s="62">
        <f>IF(ISNUMBER('Übung 19'!AR$8),1,0)</f>
        <v/>
      </c>
      <c r="V163" s="62">
        <f>IF(ISNUMBER('Übung 20'!AR$8),1,0)</f>
        <v/>
      </c>
    </row>
    <row r="164">
      <c r="C164" s="62">
        <f>IF(ISNUMBER('Übung 01'!AS$8),1,0)</f>
        <v/>
      </c>
      <c r="D164" s="62">
        <f>IF(ISNUMBER('Übung 02'!AS$8),1,0)</f>
        <v/>
      </c>
      <c r="E164" s="62">
        <f>IF(ISNUMBER('Übung 03'!AS$8),1,0)</f>
        <v/>
      </c>
      <c r="F164" s="62">
        <f>IF(ISNUMBER('Übung 04'!AS$8),1,0)</f>
        <v/>
      </c>
      <c r="G164" s="62">
        <f>IF(ISNUMBER('Übung 05'!AS$8),1,0)</f>
        <v/>
      </c>
      <c r="H164" s="62">
        <f>IF(ISNUMBER('Übung 06'!AS$8),1,0)</f>
        <v/>
      </c>
      <c r="I164" s="62">
        <f>IF(ISNUMBER('Übung 07'!AS$8),1,0)</f>
        <v/>
      </c>
      <c r="J164" s="62">
        <f>IF(ISNUMBER('Übung 08'!AS$8),1,0)</f>
        <v/>
      </c>
      <c r="K164" s="62">
        <f>IF(ISNUMBER('Übung 09'!AS$8),1,0)</f>
        <v/>
      </c>
      <c r="L164" s="62">
        <f>IF(ISNUMBER('Übung 10'!AS$8),1,0)</f>
        <v/>
      </c>
      <c r="M164" s="62">
        <f>IF(ISNUMBER('Übung 11'!AS$8),1,0)</f>
        <v/>
      </c>
      <c r="N164" s="62">
        <f>IF(ISNUMBER('Übung 12'!AS$8),1,0)</f>
        <v/>
      </c>
      <c r="O164" s="62">
        <f>IF(ISNUMBER('Übung 13'!AS$8),1,0)</f>
        <v/>
      </c>
      <c r="P164" s="62">
        <f>IF(ISNUMBER('Übung 14'!AS$8),1,0)</f>
        <v/>
      </c>
      <c r="Q164" s="62">
        <f>IF(ISNUMBER('Übung 15'!AS$8),1,0)</f>
        <v/>
      </c>
      <c r="R164" s="62">
        <f>IF(ISNUMBER('Übung 16'!AS$8),1,0)</f>
        <v/>
      </c>
      <c r="S164" s="62">
        <f>IF(ISNUMBER('Übung 17'!AS$8),1,0)</f>
        <v/>
      </c>
      <c r="T164" s="62">
        <f>IF(ISNUMBER('Übung 18'!AS$8),1,0)</f>
        <v/>
      </c>
      <c r="U164" s="62">
        <f>IF(ISNUMBER('Übung 19'!AS$8),1,0)</f>
        <v/>
      </c>
      <c r="V164" s="62">
        <f>IF(ISNUMBER('Übung 20'!AS$8),1,0)</f>
        <v/>
      </c>
    </row>
    <row r="165">
      <c r="C165" s="62">
        <f>IF(ISNUMBER('Übung 01'!AT$8),1,0)</f>
        <v/>
      </c>
      <c r="D165" s="62">
        <f>IF(ISNUMBER('Übung 02'!AT$8),1,0)</f>
        <v/>
      </c>
      <c r="E165" s="62">
        <f>IF(ISNUMBER('Übung 03'!AT$8),1,0)</f>
        <v/>
      </c>
      <c r="F165" s="62">
        <f>IF(ISNUMBER('Übung 04'!AT$8),1,0)</f>
        <v/>
      </c>
      <c r="G165" s="62">
        <f>IF(ISNUMBER('Übung 05'!AT$8),1,0)</f>
        <v/>
      </c>
      <c r="H165" s="62">
        <f>IF(ISNUMBER('Übung 06'!AT$8),1,0)</f>
        <v/>
      </c>
      <c r="I165" s="62">
        <f>IF(ISNUMBER('Übung 07'!AT$8),1,0)</f>
        <v/>
      </c>
      <c r="J165" s="62">
        <f>IF(ISNUMBER('Übung 08'!AT$8),1,0)</f>
        <v/>
      </c>
      <c r="K165" s="62">
        <f>IF(ISNUMBER('Übung 09'!AT$8),1,0)</f>
        <v/>
      </c>
      <c r="L165" s="62">
        <f>IF(ISNUMBER('Übung 10'!AT$8),1,0)</f>
        <v/>
      </c>
      <c r="M165" s="62">
        <f>IF(ISNUMBER('Übung 11'!AT$8),1,0)</f>
        <v/>
      </c>
      <c r="N165" s="62">
        <f>IF(ISNUMBER('Übung 12'!AT$8),1,0)</f>
        <v/>
      </c>
      <c r="O165" s="62">
        <f>IF(ISNUMBER('Übung 13'!AT$8),1,0)</f>
        <v/>
      </c>
      <c r="P165" s="62">
        <f>IF(ISNUMBER('Übung 14'!AT$8),1,0)</f>
        <v/>
      </c>
      <c r="Q165" s="62">
        <f>IF(ISNUMBER('Übung 15'!AT$8),1,0)</f>
        <v/>
      </c>
      <c r="R165" s="62">
        <f>IF(ISNUMBER('Übung 16'!AT$8),1,0)</f>
        <v/>
      </c>
      <c r="S165" s="62">
        <f>IF(ISNUMBER('Übung 17'!AT$8),1,0)</f>
        <v/>
      </c>
      <c r="T165" s="62">
        <f>IF(ISNUMBER('Übung 18'!AT$8),1,0)</f>
        <v/>
      </c>
      <c r="U165" s="62">
        <f>IF(ISNUMBER('Übung 19'!AT$8),1,0)</f>
        <v/>
      </c>
      <c r="V165" s="62">
        <f>IF(ISNUMBER('Übung 20'!AT$8),1,0)</f>
        <v/>
      </c>
    </row>
    <row r="166">
      <c r="C166" s="62">
        <f>IF(ISNUMBER('Übung 01'!AU$8),1,0)</f>
        <v/>
      </c>
      <c r="D166" s="62">
        <f>IF(ISNUMBER('Übung 02'!AU$8),1,0)</f>
        <v/>
      </c>
      <c r="E166" s="62">
        <f>IF(ISNUMBER('Übung 03'!AU$8),1,0)</f>
        <v/>
      </c>
      <c r="F166" s="62">
        <f>IF(ISNUMBER('Übung 04'!AU$8),1,0)</f>
        <v/>
      </c>
      <c r="G166" s="62">
        <f>IF(ISNUMBER('Übung 05'!AU$8),1,0)</f>
        <v/>
      </c>
      <c r="H166" s="62">
        <f>IF(ISNUMBER('Übung 06'!AU$8),1,0)</f>
        <v/>
      </c>
      <c r="I166" s="62">
        <f>IF(ISNUMBER('Übung 07'!AU$8),1,0)</f>
        <v/>
      </c>
      <c r="J166" s="62">
        <f>IF(ISNUMBER('Übung 08'!AU$8),1,0)</f>
        <v/>
      </c>
      <c r="K166" s="62">
        <f>IF(ISNUMBER('Übung 09'!AU$8),1,0)</f>
        <v/>
      </c>
      <c r="L166" s="62">
        <f>IF(ISNUMBER('Übung 10'!AU$8),1,0)</f>
        <v/>
      </c>
      <c r="M166" s="62">
        <f>IF(ISNUMBER('Übung 11'!AU$8),1,0)</f>
        <v/>
      </c>
      <c r="N166" s="62">
        <f>IF(ISNUMBER('Übung 12'!AU$8),1,0)</f>
        <v/>
      </c>
      <c r="O166" s="62">
        <f>IF(ISNUMBER('Übung 13'!AU$8),1,0)</f>
        <v/>
      </c>
      <c r="P166" s="62">
        <f>IF(ISNUMBER('Übung 14'!AU$8),1,0)</f>
        <v/>
      </c>
      <c r="Q166" s="62">
        <f>IF(ISNUMBER('Übung 15'!AU$8),1,0)</f>
        <v/>
      </c>
      <c r="R166" s="62">
        <f>IF(ISNUMBER('Übung 16'!AU$8),1,0)</f>
        <v/>
      </c>
      <c r="S166" s="62">
        <f>IF(ISNUMBER('Übung 17'!AU$8),1,0)</f>
        <v/>
      </c>
      <c r="T166" s="62">
        <f>IF(ISNUMBER('Übung 18'!AU$8),1,0)</f>
        <v/>
      </c>
      <c r="U166" s="62">
        <f>IF(ISNUMBER('Übung 19'!AU$8),1,0)</f>
        <v/>
      </c>
      <c r="V166" s="62">
        <f>IF(ISNUMBER('Übung 20'!AU$8),1,0)</f>
        <v/>
      </c>
    </row>
    <row r="167">
      <c r="C167" s="62">
        <f>IF(ISNUMBER('Übung 01'!AV$8),1,0)</f>
        <v/>
      </c>
      <c r="D167" s="62">
        <f>IF(ISNUMBER('Übung 02'!AV$8),1,0)</f>
        <v/>
      </c>
      <c r="E167" s="62">
        <f>IF(ISNUMBER('Übung 03'!AV$8),1,0)</f>
        <v/>
      </c>
      <c r="F167" s="62">
        <f>IF(ISNUMBER('Übung 04'!AV$8),1,0)</f>
        <v/>
      </c>
      <c r="G167" s="62">
        <f>IF(ISNUMBER('Übung 05'!AV$8),1,0)</f>
        <v/>
      </c>
      <c r="H167" s="62">
        <f>IF(ISNUMBER('Übung 06'!AV$8),1,0)</f>
        <v/>
      </c>
      <c r="I167" s="62">
        <f>IF(ISNUMBER('Übung 07'!AV$8),1,0)</f>
        <v/>
      </c>
      <c r="J167" s="62">
        <f>IF(ISNUMBER('Übung 08'!AV$8),1,0)</f>
        <v/>
      </c>
      <c r="K167" s="62">
        <f>IF(ISNUMBER('Übung 09'!AV$8),1,0)</f>
        <v/>
      </c>
      <c r="L167" s="62">
        <f>IF(ISNUMBER('Übung 10'!AV$8),1,0)</f>
        <v/>
      </c>
      <c r="M167" s="62">
        <f>IF(ISNUMBER('Übung 11'!AV$8),1,0)</f>
        <v/>
      </c>
      <c r="N167" s="62">
        <f>IF(ISNUMBER('Übung 12'!AV$8),1,0)</f>
        <v/>
      </c>
      <c r="O167" s="62">
        <f>IF(ISNUMBER('Übung 13'!AV$8),1,0)</f>
        <v/>
      </c>
      <c r="P167" s="62">
        <f>IF(ISNUMBER('Übung 14'!AV$8),1,0)</f>
        <v/>
      </c>
      <c r="Q167" s="62">
        <f>IF(ISNUMBER('Übung 15'!AV$8),1,0)</f>
        <v/>
      </c>
      <c r="R167" s="62">
        <f>IF(ISNUMBER('Übung 16'!AV$8),1,0)</f>
        <v/>
      </c>
      <c r="S167" s="62">
        <f>IF(ISNUMBER('Übung 17'!AV$8),1,0)</f>
        <v/>
      </c>
      <c r="T167" s="62">
        <f>IF(ISNUMBER('Übung 18'!AV$8),1,0)</f>
        <v/>
      </c>
      <c r="U167" s="62">
        <f>IF(ISNUMBER('Übung 19'!AV$8),1,0)</f>
        <v/>
      </c>
      <c r="V167" s="62">
        <f>IF(ISNUMBER('Übung 20'!AV$8),1,0)</f>
        <v/>
      </c>
    </row>
    <row r="168">
      <c r="C168" s="62">
        <f>IF(ISNUMBER('Übung 01'!AW$8),1,0)</f>
        <v/>
      </c>
      <c r="D168" s="62">
        <f>IF(ISNUMBER('Übung 02'!AW$8),1,0)</f>
        <v/>
      </c>
      <c r="E168" s="62">
        <f>IF(ISNUMBER('Übung 03'!AW$8),1,0)</f>
        <v/>
      </c>
      <c r="F168" s="62">
        <f>IF(ISNUMBER('Übung 04'!AW$8),1,0)</f>
        <v/>
      </c>
      <c r="G168" s="62">
        <f>IF(ISNUMBER('Übung 05'!AW$8),1,0)</f>
        <v/>
      </c>
      <c r="H168" s="62">
        <f>IF(ISNUMBER('Übung 06'!AW$8),1,0)</f>
        <v/>
      </c>
      <c r="I168" s="62">
        <f>IF(ISNUMBER('Übung 07'!AW$8),1,0)</f>
        <v/>
      </c>
      <c r="J168" s="62">
        <f>IF(ISNUMBER('Übung 08'!AW$8),1,0)</f>
        <v/>
      </c>
      <c r="K168" s="62">
        <f>IF(ISNUMBER('Übung 09'!AW$8),1,0)</f>
        <v/>
      </c>
      <c r="L168" s="62">
        <f>IF(ISNUMBER('Übung 10'!AW$8),1,0)</f>
        <v/>
      </c>
      <c r="M168" s="62">
        <f>IF(ISNUMBER('Übung 11'!AW$8),1,0)</f>
        <v/>
      </c>
      <c r="N168" s="62">
        <f>IF(ISNUMBER('Übung 12'!AW$8),1,0)</f>
        <v/>
      </c>
      <c r="O168" s="62">
        <f>IF(ISNUMBER('Übung 13'!AW$8),1,0)</f>
        <v/>
      </c>
      <c r="P168" s="62">
        <f>IF(ISNUMBER('Übung 14'!AW$8),1,0)</f>
        <v/>
      </c>
      <c r="Q168" s="62">
        <f>IF(ISNUMBER('Übung 15'!AW$8),1,0)</f>
        <v/>
      </c>
      <c r="R168" s="62">
        <f>IF(ISNUMBER('Übung 16'!AW$8),1,0)</f>
        <v/>
      </c>
      <c r="S168" s="62">
        <f>IF(ISNUMBER('Übung 17'!AW$8),1,0)</f>
        <v/>
      </c>
      <c r="T168" s="62">
        <f>IF(ISNUMBER('Übung 18'!AW$8),1,0)</f>
        <v/>
      </c>
      <c r="U168" s="62">
        <f>IF(ISNUMBER('Übung 19'!AW$8),1,0)</f>
        <v/>
      </c>
      <c r="V168" s="62">
        <f>IF(ISNUMBER('Übung 20'!AW$8),1,0)</f>
        <v/>
      </c>
    </row>
    <row r="169">
      <c r="C169" s="62">
        <f>IF(ISNUMBER('Übung 01'!AX$8),1,0)</f>
        <v/>
      </c>
      <c r="D169" s="62">
        <f>IF(ISNUMBER('Übung 02'!AX$8),1,0)</f>
        <v/>
      </c>
      <c r="E169" s="62">
        <f>IF(ISNUMBER('Übung 03'!AX$8),1,0)</f>
        <v/>
      </c>
      <c r="F169" s="62">
        <f>IF(ISNUMBER('Übung 04'!AX$8),1,0)</f>
        <v/>
      </c>
      <c r="G169" s="62">
        <f>IF(ISNUMBER('Übung 05'!AX$8),1,0)</f>
        <v/>
      </c>
      <c r="H169" s="62">
        <f>IF(ISNUMBER('Übung 06'!AX$8),1,0)</f>
        <v/>
      </c>
      <c r="I169" s="62">
        <f>IF(ISNUMBER('Übung 07'!AX$8),1,0)</f>
        <v/>
      </c>
      <c r="J169" s="62">
        <f>IF(ISNUMBER('Übung 08'!AX$8),1,0)</f>
        <v/>
      </c>
      <c r="K169" s="62">
        <f>IF(ISNUMBER('Übung 09'!AX$8),1,0)</f>
        <v/>
      </c>
      <c r="L169" s="62">
        <f>IF(ISNUMBER('Übung 10'!AX$8),1,0)</f>
        <v/>
      </c>
      <c r="M169" s="62">
        <f>IF(ISNUMBER('Übung 11'!AX$8),1,0)</f>
        <v/>
      </c>
      <c r="N169" s="62">
        <f>IF(ISNUMBER('Übung 12'!AX$8),1,0)</f>
        <v/>
      </c>
      <c r="O169" s="62">
        <f>IF(ISNUMBER('Übung 13'!AX$8),1,0)</f>
        <v/>
      </c>
      <c r="P169" s="62">
        <f>IF(ISNUMBER('Übung 14'!AX$8),1,0)</f>
        <v/>
      </c>
      <c r="Q169" s="62">
        <f>IF(ISNUMBER('Übung 15'!AX$8),1,0)</f>
        <v/>
      </c>
      <c r="R169" s="62">
        <f>IF(ISNUMBER('Übung 16'!AX$8),1,0)</f>
        <v/>
      </c>
      <c r="S169" s="62">
        <f>IF(ISNUMBER('Übung 17'!AX$8),1,0)</f>
        <v/>
      </c>
      <c r="T169" s="62">
        <f>IF(ISNUMBER('Übung 18'!AX$8),1,0)</f>
        <v/>
      </c>
      <c r="U169" s="62">
        <f>IF(ISNUMBER('Übung 19'!AX$8),1,0)</f>
        <v/>
      </c>
      <c r="V169" s="62">
        <f>IF(ISNUMBER('Übung 20'!AX$8),1,0)</f>
        <v/>
      </c>
    </row>
    <row r="170">
      <c r="C170" s="62">
        <f>IF(ISNUMBER('Übung 01'!AY$8),1,0)</f>
        <v/>
      </c>
      <c r="D170" s="62">
        <f>IF(ISNUMBER('Übung 02'!AY$8),1,0)</f>
        <v/>
      </c>
      <c r="E170" s="62">
        <f>IF(ISNUMBER('Übung 03'!AY$8),1,0)</f>
        <v/>
      </c>
      <c r="F170" s="62">
        <f>IF(ISNUMBER('Übung 04'!AY$8),1,0)</f>
        <v/>
      </c>
      <c r="G170" s="62">
        <f>IF(ISNUMBER('Übung 05'!AY$8),1,0)</f>
        <v/>
      </c>
      <c r="H170" s="62">
        <f>IF(ISNUMBER('Übung 06'!AY$8),1,0)</f>
        <v/>
      </c>
      <c r="I170" s="62">
        <f>IF(ISNUMBER('Übung 07'!AY$8),1,0)</f>
        <v/>
      </c>
      <c r="J170" s="62">
        <f>IF(ISNUMBER('Übung 08'!AY$8),1,0)</f>
        <v/>
      </c>
      <c r="K170" s="62">
        <f>IF(ISNUMBER('Übung 09'!AY$8),1,0)</f>
        <v/>
      </c>
      <c r="L170" s="62">
        <f>IF(ISNUMBER('Übung 10'!AY$8),1,0)</f>
        <v/>
      </c>
      <c r="M170" s="62">
        <f>IF(ISNUMBER('Übung 11'!AY$8),1,0)</f>
        <v/>
      </c>
      <c r="N170" s="62">
        <f>IF(ISNUMBER('Übung 12'!AY$8),1,0)</f>
        <v/>
      </c>
      <c r="O170" s="62">
        <f>IF(ISNUMBER('Übung 13'!AY$8),1,0)</f>
        <v/>
      </c>
      <c r="P170" s="62">
        <f>IF(ISNUMBER('Übung 14'!AY$8),1,0)</f>
        <v/>
      </c>
      <c r="Q170" s="62">
        <f>IF(ISNUMBER('Übung 15'!AY$8),1,0)</f>
        <v/>
      </c>
      <c r="R170" s="62">
        <f>IF(ISNUMBER('Übung 16'!AY$8),1,0)</f>
        <v/>
      </c>
      <c r="S170" s="62">
        <f>IF(ISNUMBER('Übung 17'!AY$8),1,0)</f>
        <v/>
      </c>
      <c r="T170" s="62">
        <f>IF(ISNUMBER('Übung 18'!AY$8),1,0)</f>
        <v/>
      </c>
      <c r="U170" s="62">
        <f>IF(ISNUMBER('Übung 19'!AY$8),1,0)</f>
        <v/>
      </c>
      <c r="V170" s="62">
        <f>IF(ISNUMBER('Übung 20'!AY$8),1,0)</f>
        <v/>
      </c>
    </row>
    <row r="171">
      <c r="C171" s="62">
        <f>IF(ISNUMBER('Übung 01'!AZ$8),1,0)</f>
        <v/>
      </c>
      <c r="D171" s="62">
        <f>IF(ISNUMBER('Übung 02'!AZ$8),1,0)</f>
        <v/>
      </c>
      <c r="E171" s="62">
        <f>IF(ISNUMBER('Übung 03'!AZ$8),1,0)</f>
        <v/>
      </c>
      <c r="F171" s="62">
        <f>IF(ISNUMBER('Übung 04'!AZ$8),1,0)</f>
        <v/>
      </c>
      <c r="G171" s="62">
        <f>IF(ISNUMBER('Übung 05'!AZ$8),1,0)</f>
        <v/>
      </c>
      <c r="H171" s="62">
        <f>IF(ISNUMBER('Übung 06'!AZ$8),1,0)</f>
        <v/>
      </c>
      <c r="I171" s="62">
        <f>IF(ISNUMBER('Übung 07'!AZ$8),1,0)</f>
        <v/>
      </c>
      <c r="J171" s="62">
        <f>IF(ISNUMBER('Übung 08'!AZ$8),1,0)</f>
        <v/>
      </c>
      <c r="K171" s="62">
        <f>IF(ISNUMBER('Übung 09'!AZ$8),1,0)</f>
        <v/>
      </c>
      <c r="L171" s="62">
        <f>IF(ISNUMBER('Übung 10'!AZ$8),1,0)</f>
        <v/>
      </c>
      <c r="M171" s="62">
        <f>IF(ISNUMBER('Übung 11'!AZ$8),1,0)</f>
        <v/>
      </c>
      <c r="N171" s="62">
        <f>IF(ISNUMBER('Übung 12'!AZ$8),1,0)</f>
        <v/>
      </c>
      <c r="O171" s="62">
        <f>IF(ISNUMBER('Übung 13'!AZ$8),1,0)</f>
        <v/>
      </c>
      <c r="P171" s="62">
        <f>IF(ISNUMBER('Übung 14'!AZ$8),1,0)</f>
        <v/>
      </c>
      <c r="Q171" s="62">
        <f>IF(ISNUMBER('Übung 15'!AZ$8),1,0)</f>
        <v/>
      </c>
      <c r="R171" s="62">
        <f>IF(ISNUMBER('Übung 16'!AZ$8),1,0)</f>
        <v/>
      </c>
      <c r="S171" s="62">
        <f>IF(ISNUMBER('Übung 17'!AZ$8),1,0)</f>
        <v/>
      </c>
      <c r="T171" s="62">
        <f>IF(ISNUMBER('Übung 18'!AZ$8),1,0)</f>
        <v/>
      </c>
      <c r="U171" s="62">
        <f>IF(ISNUMBER('Übung 19'!AZ$8),1,0)</f>
        <v/>
      </c>
      <c r="V171" s="62">
        <f>IF(ISNUMBER('Übung 20'!AZ$8),1,0)</f>
        <v/>
      </c>
    </row>
    <row r="172">
      <c r="C172" s="62">
        <f>IF(ISNUMBER('Übung 01'!BA$8),1,0)</f>
        <v/>
      </c>
      <c r="D172" s="62">
        <f>IF(ISNUMBER('Übung 02'!BA$8),1,0)</f>
        <v/>
      </c>
      <c r="E172" s="62">
        <f>IF(ISNUMBER('Übung 03'!BA$8),1,0)</f>
        <v/>
      </c>
      <c r="F172" s="62">
        <f>IF(ISNUMBER('Übung 04'!BA$8),1,0)</f>
        <v/>
      </c>
      <c r="G172" s="62">
        <f>IF(ISNUMBER('Übung 05'!BA$8),1,0)</f>
        <v/>
      </c>
      <c r="H172" s="62">
        <f>IF(ISNUMBER('Übung 06'!BA$8),1,0)</f>
        <v/>
      </c>
      <c r="I172" s="62">
        <f>IF(ISNUMBER('Übung 07'!BA$8),1,0)</f>
        <v/>
      </c>
      <c r="J172" s="62">
        <f>IF(ISNUMBER('Übung 08'!BA$8),1,0)</f>
        <v/>
      </c>
      <c r="K172" s="62">
        <f>IF(ISNUMBER('Übung 09'!BA$8),1,0)</f>
        <v/>
      </c>
      <c r="L172" s="62">
        <f>IF(ISNUMBER('Übung 10'!BA$8),1,0)</f>
        <v/>
      </c>
      <c r="M172" s="62">
        <f>IF(ISNUMBER('Übung 11'!BA$8),1,0)</f>
        <v/>
      </c>
      <c r="N172" s="62">
        <f>IF(ISNUMBER('Übung 12'!BA$8),1,0)</f>
        <v/>
      </c>
      <c r="O172" s="62">
        <f>IF(ISNUMBER('Übung 13'!BA$8),1,0)</f>
        <v/>
      </c>
      <c r="P172" s="62">
        <f>IF(ISNUMBER('Übung 14'!BA$8),1,0)</f>
        <v/>
      </c>
      <c r="Q172" s="62">
        <f>IF(ISNUMBER('Übung 15'!BA$8),1,0)</f>
        <v/>
      </c>
      <c r="R172" s="62">
        <f>IF(ISNUMBER('Übung 16'!BA$8),1,0)</f>
        <v/>
      </c>
      <c r="S172" s="62">
        <f>IF(ISNUMBER('Übung 17'!BA$8),1,0)</f>
        <v/>
      </c>
      <c r="T172" s="62">
        <f>IF(ISNUMBER('Übung 18'!BA$8),1,0)</f>
        <v/>
      </c>
      <c r="U172" s="62">
        <f>IF(ISNUMBER('Übung 19'!BA$8),1,0)</f>
        <v/>
      </c>
      <c r="V172" s="62">
        <f>IF(ISNUMBER('Übung 20'!BA$8),1,0)</f>
        <v/>
      </c>
    </row>
    <row r="173">
      <c r="C173" s="62">
        <f>IF(ISNUMBER('Übung 01'!BB$8),1,0)</f>
        <v/>
      </c>
      <c r="D173" s="62">
        <f>IF(ISNUMBER('Übung 02'!BB$8),1,0)</f>
        <v/>
      </c>
      <c r="E173" s="62">
        <f>IF(ISNUMBER('Übung 03'!BB$8),1,0)</f>
        <v/>
      </c>
      <c r="F173" s="62">
        <f>IF(ISNUMBER('Übung 04'!BB$8),1,0)</f>
        <v/>
      </c>
      <c r="G173" s="62">
        <f>IF(ISNUMBER('Übung 05'!BB$8),1,0)</f>
        <v/>
      </c>
      <c r="H173" s="62">
        <f>IF(ISNUMBER('Übung 06'!BB$8),1,0)</f>
        <v/>
      </c>
      <c r="I173" s="62">
        <f>IF(ISNUMBER('Übung 07'!BB$8),1,0)</f>
        <v/>
      </c>
      <c r="J173" s="62">
        <f>IF(ISNUMBER('Übung 08'!BB$8),1,0)</f>
        <v/>
      </c>
      <c r="K173" s="62">
        <f>IF(ISNUMBER('Übung 09'!BB$8),1,0)</f>
        <v/>
      </c>
      <c r="L173" s="62">
        <f>IF(ISNUMBER('Übung 10'!BB$8),1,0)</f>
        <v/>
      </c>
      <c r="M173" s="62">
        <f>IF(ISNUMBER('Übung 11'!BB$8),1,0)</f>
        <v/>
      </c>
      <c r="N173" s="62">
        <f>IF(ISNUMBER('Übung 12'!BB$8),1,0)</f>
        <v/>
      </c>
      <c r="O173" s="62">
        <f>IF(ISNUMBER('Übung 13'!BB$8),1,0)</f>
        <v/>
      </c>
      <c r="P173" s="62">
        <f>IF(ISNUMBER('Übung 14'!BB$8),1,0)</f>
        <v/>
      </c>
      <c r="Q173" s="62">
        <f>IF(ISNUMBER('Übung 15'!BB$8),1,0)</f>
        <v/>
      </c>
      <c r="R173" s="62">
        <f>IF(ISNUMBER('Übung 16'!BB$8),1,0)</f>
        <v/>
      </c>
      <c r="S173" s="62">
        <f>IF(ISNUMBER('Übung 17'!BB$8),1,0)</f>
        <v/>
      </c>
      <c r="T173" s="62">
        <f>IF(ISNUMBER('Übung 18'!BB$8),1,0)</f>
        <v/>
      </c>
      <c r="U173" s="62">
        <f>IF(ISNUMBER('Übung 19'!BB$8),1,0)</f>
        <v/>
      </c>
      <c r="V173" s="62">
        <f>IF(ISNUMBER('Übung 20'!BB$8),1,0)</f>
        <v/>
      </c>
    </row>
    <row r="174">
      <c r="C174" s="62">
        <f>IF(ISNUMBER('Übung 01'!BC$8),1,0)</f>
        <v/>
      </c>
      <c r="D174" s="62">
        <f>IF(ISNUMBER('Übung 02'!BC$8),1,0)</f>
        <v/>
      </c>
      <c r="E174" s="62">
        <f>IF(ISNUMBER('Übung 03'!BC$8),1,0)</f>
        <v/>
      </c>
      <c r="F174" s="62">
        <f>IF(ISNUMBER('Übung 04'!BC$8),1,0)</f>
        <v/>
      </c>
      <c r="G174" s="62">
        <f>IF(ISNUMBER('Übung 05'!BC$8),1,0)</f>
        <v/>
      </c>
      <c r="H174" s="62">
        <f>IF(ISNUMBER('Übung 06'!BC$8),1,0)</f>
        <v/>
      </c>
      <c r="I174" s="62">
        <f>IF(ISNUMBER('Übung 07'!BC$8),1,0)</f>
        <v/>
      </c>
      <c r="J174" s="62">
        <f>IF(ISNUMBER('Übung 08'!BC$8),1,0)</f>
        <v/>
      </c>
      <c r="K174" s="62">
        <f>IF(ISNUMBER('Übung 09'!BC$8),1,0)</f>
        <v/>
      </c>
      <c r="L174" s="62">
        <f>IF(ISNUMBER('Übung 10'!BC$8),1,0)</f>
        <v/>
      </c>
      <c r="M174" s="62">
        <f>IF(ISNUMBER('Übung 11'!BC$8),1,0)</f>
        <v/>
      </c>
      <c r="N174" s="62">
        <f>IF(ISNUMBER('Übung 12'!BC$8),1,0)</f>
        <v/>
      </c>
      <c r="O174" s="62">
        <f>IF(ISNUMBER('Übung 13'!BC$8),1,0)</f>
        <v/>
      </c>
      <c r="P174" s="62">
        <f>IF(ISNUMBER('Übung 14'!BC$8),1,0)</f>
        <v/>
      </c>
      <c r="Q174" s="62">
        <f>IF(ISNUMBER('Übung 15'!BC$8),1,0)</f>
        <v/>
      </c>
      <c r="R174" s="62">
        <f>IF(ISNUMBER('Übung 16'!BC$8),1,0)</f>
        <v/>
      </c>
      <c r="S174" s="62">
        <f>IF(ISNUMBER('Übung 17'!BC$8),1,0)</f>
        <v/>
      </c>
      <c r="T174" s="62">
        <f>IF(ISNUMBER('Übung 18'!BC$8),1,0)</f>
        <v/>
      </c>
      <c r="U174" s="62">
        <f>IF(ISNUMBER('Übung 19'!BC$8),1,0)</f>
        <v/>
      </c>
      <c r="V174" s="62">
        <f>IF(ISNUMBER('Übung 20'!BC$8),1,0)</f>
        <v/>
      </c>
    </row>
    <row r="175">
      <c r="C175" s="62">
        <f>IF(ISNUMBER('Übung 01'!BE$8),1,0)</f>
        <v/>
      </c>
      <c r="D175" s="62">
        <f>IF(ISNUMBER('Übung 02'!BE$8),1,0)</f>
        <v/>
      </c>
      <c r="E175" s="62">
        <f>IF(ISNUMBER('Übung 03'!BE$8),1,0)</f>
        <v/>
      </c>
      <c r="F175" s="62">
        <f>IF(ISNUMBER('Übung 04'!BE$8),1,0)</f>
        <v/>
      </c>
      <c r="G175" s="62">
        <f>IF(ISNUMBER('Übung 05'!BE$8),1,0)</f>
        <v/>
      </c>
      <c r="H175" s="62">
        <f>IF(ISNUMBER('Übung 06'!BE$8),1,0)</f>
        <v/>
      </c>
      <c r="I175" s="62">
        <f>IF(ISNUMBER('Übung 07'!BE$8),1,0)</f>
        <v/>
      </c>
      <c r="J175" s="62">
        <f>IF(ISNUMBER('Übung 08'!BE$8),1,0)</f>
        <v/>
      </c>
      <c r="K175" s="62">
        <f>IF(ISNUMBER('Übung 09'!BE$8),1,0)</f>
        <v/>
      </c>
      <c r="L175" s="62">
        <f>IF(ISNUMBER('Übung 10'!BE$8),1,0)</f>
        <v/>
      </c>
      <c r="M175" s="62">
        <f>IF(ISNUMBER('Übung 11'!BE$8),1,0)</f>
        <v/>
      </c>
      <c r="N175" s="62">
        <f>IF(ISNUMBER('Übung 12'!BE$8),1,0)</f>
        <v/>
      </c>
      <c r="O175" s="62">
        <f>IF(ISNUMBER('Übung 13'!BE$8),1,0)</f>
        <v/>
      </c>
      <c r="P175" s="62">
        <f>IF(ISNUMBER('Übung 14'!BE$8),1,0)</f>
        <v/>
      </c>
      <c r="Q175" s="62">
        <f>IF(ISNUMBER('Übung 15'!BE$8),1,0)</f>
        <v/>
      </c>
      <c r="R175" s="62">
        <f>IF(ISNUMBER('Übung 16'!BE$8),1,0)</f>
        <v/>
      </c>
      <c r="S175" s="62">
        <f>IF(ISNUMBER('Übung 17'!BE$8),1,0)</f>
        <v/>
      </c>
      <c r="T175" s="62">
        <f>IF(ISNUMBER('Übung 18'!BE$8),1,0)</f>
        <v/>
      </c>
      <c r="U175" s="62">
        <f>IF(ISNUMBER('Übung 19'!BE$8),1,0)</f>
        <v/>
      </c>
      <c r="V175" s="62">
        <f>IF(ISNUMBER('Übung 20'!BE$8),1,0)</f>
        <v/>
      </c>
    </row>
    <row r="176">
      <c r="C176" s="62">
        <f>IF(ISNUMBER('Übung 01'!BF$8),1,0)</f>
        <v/>
      </c>
      <c r="D176" s="62">
        <f>IF(ISNUMBER('Übung 02'!BF$8),1,0)</f>
        <v/>
      </c>
      <c r="E176" s="62">
        <f>IF(ISNUMBER('Übung 03'!BF$8),1,0)</f>
        <v/>
      </c>
      <c r="F176" s="62">
        <f>IF(ISNUMBER('Übung 04'!BF$8),1,0)</f>
        <v/>
      </c>
      <c r="G176" s="62">
        <f>IF(ISNUMBER('Übung 05'!BF$8),1,0)</f>
        <v/>
      </c>
      <c r="H176" s="62">
        <f>IF(ISNUMBER('Übung 06'!BF$8),1,0)</f>
        <v/>
      </c>
      <c r="I176" s="62">
        <f>IF(ISNUMBER('Übung 07'!BF$8),1,0)</f>
        <v/>
      </c>
      <c r="J176" s="62">
        <f>IF(ISNUMBER('Übung 08'!BF$8),1,0)</f>
        <v/>
      </c>
      <c r="K176" s="62">
        <f>IF(ISNUMBER('Übung 09'!BF$8),1,0)</f>
        <v/>
      </c>
      <c r="L176" s="62">
        <f>IF(ISNUMBER('Übung 10'!BF$8),1,0)</f>
        <v/>
      </c>
      <c r="M176" s="62">
        <f>IF(ISNUMBER('Übung 11'!BF$8),1,0)</f>
        <v/>
      </c>
      <c r="N176" s="62">
        <f>IF(ISNUMBER('Übung 12'!BF$8),1,0)</f>
        <v/>
      </c>
      <c r="O176" s="62">
        <f>IF(ISNUMBER('Übung 13'!BF$8),1,0)</f>
        <v/>
      </c>
      <c r="P176" s="62">
        <f>IF(ISNUMBER('Übung 14'!BF$8),1,0)</f>
        <v/>
      </c>
      <c r="Q176" s="62">
        <f>IF(ISNUMBER('Übung 15'!BF$8),1,0)</f>
        <v/>
      </c>
      <c r="R176" s="62">
        <f>IF(ISNUMBER('Übung 16'!BF$8),1,0)</f>
        <v/>
      </c>
      <c r="S176" s="62">
        <f>IF(ISNUMBER('Übung 17'!BF$8),1,0)</f>
        <v/>
      </c>
      <c r="T176" s="62">
        <f>IF(ISNUMBER('Übung 18'!BF$8),1,0)</f>
        <v/>
      </c>
      <c r="U176" s="62">
        <f>IF(ISNUMBER('Übung 19'!BF$8),1,0)</f>
        <v/>
      </c>
      <c r="V176" s="62">
        <f>IF(ISNUMBER('Übung 20'!BF$8),1,0)</f>
        <v/>
      </c>
    </row>
    <row r="177">
      <c r="C177" s="62">
        <f>IF(ISNUMBER('Übung 01'!BG$8),1,0)</f>
        <v/>
      </c>
      <c r="D177" s="62">
        <f>IF(ISNUMBER('Übung 02'!BG$8),1,0)</f>
        <v/>
      </c>
      <c r="E177" s="62">
        <f>IF(ISNUMBER('Übung 03'!BG$8),1,0)</f>
        <v/>
      </c>
      <c r="F177" s="62">
        <f>IF(ISNUMBER('Übung 04'!BG$8),1,0)</f>
        <v/>
      </c>
      <c r="G177" s="62">
        <f>IF(ISNUMBER('Übung 05'!BG$8),1,0)</f>
        <v/>
      </c>
      <c r="H177" s="62">
        <f>IF(ISNUMBER('Übung 06'!BG$8),1,0)</f>
        <v/>
      </c>
      <c r="I177" s="62">
        <f>IF(ISNUMBER('Übung 07'!BG$8),1,0)</f>
        <v/>
      </c>
      <c r="J177" s="62">
        <f>IF(ISNUMBER('Übung 08'!BG$8),1,0)</f>
        <v/>
      </c>
      <c r="K177" s="62">
        <f>IF(ISNUMBER('Übung 09'!BG$8),1,0)</f>
        <v/>
      </c>
      <c r="L177" s="62">
        <f>IF(ISNUMBER('Übung 10'!BG$8),1,0)</f>
        <v/>
      </c>
      <c r="M177" s="62">
        <f>IF(ISNUMBER('Übung 11'!BG$8),1,0)</f>
        <v/>
      </c>
      <c r="N177" s="62">
        <f>IF(ISNUMBER('Übung 12'!BG$8),1,0)</f>
        <v/>
      </c>
      <c r="O177" s="62">
        <f>IF(ISNUMBER('Übung 13'!BG$8),1,0)</f>
        <v/>
      </c>
      <c r="P177" s="62">
        <f>IF(ISNUMBER('Übung 14'!BG$8),1,0)</f>
        <v/>
      </c>
      <c r="Q177" s="62">
        <f>IF(ISNUMBER('Übung 15'!BG$8),1,0)</f>
        <v/>
      </c>
      <c r="R177" s="62">
        <f>IF(ISNUMBER('Übung 16'!BG$8),1,0)</f>
        <v/>
      </c>
      <c r="S177" s="62">
        <f>IF(ISNUMBER('Übung 17'!BG$8),1,0)</f>
        <v/>
      </c>
      <c r="T177" s="62">
        <f>IF(ISNUMBER('Übung 18'!BG$8),1,0)</f>
        <v/>
      </c>
      <c r="U177" s="62">
        <f>IF(ISNUMBER('Übung 19'!BG$8),1,0)</f>
        <v/>
      </c>
      <c r="V177" s="62">
        <f>IF(ISNUMBER('Übung 20'!BG$8),1,0)</f>
        <v/>
      </c>
    </row>
    <row r="178">
      <c r="C178" s="62">
        <f>IF(ISNUMBER('Übung 01'!BH$8),1,0)</f>
        <v/>
      </c>
      <c r="D178" s="62">
        <f>IF(ISNUMBER('Übung 02'!BH$8),1,0)</f>
        <v/>
      </c>
      <c r="E178" s="62">
        <f>IF(ISNUMBER('Übung 03'!BH$8),1,0)</f>
        <v/>
      </c>
      <c r="F178" s="62">
        <f>IF(ISNUMBER('Übung 04'!BH$8),1,0)</f>
        <v/>
      </c>
      <c r="G178" s="62">
        <f>IF(ISNUMBER('Übung 05'!BH$8),1,0)</f>
        <v/>
      </c>
      <c r="H178" s="62">
        <f>IF(ISNUMBER('Übung 06'!BH$8),1,0)</f>
        <v/>
      </c>
      <c r="I178" s="62">
        <f>IF(ISNUMBER('Übung 07'!BH$8),1,0)</f>
        <v/>
      </c>
      <c r="J178" s="62">
        <f>IF(ISNUMBER('Übung 08'!BH$8),1,0)</f>
        <v/>
      </c>
      <c r="K178" s="62">
        <f>IF(ISNUMBER('Übung 09'!BH$8),1,0)</f>
        <v/>
      </c>
      <c r="L178" s="62">
        <f>IF(ISNUMBER('Übung 10'!BH$8),1,0)</f>
        <v/>
      </c>
      <c r="M178" s="62">
        <f>IF(ISNUMBER('Übung 11'!BH$8),1,0)</f>
        <v/>
      </c>
      <c r="N178" s="62">
        <f>IF(ISNUMBER('Übung 12'!BH$8),1,0)</f>
        <v/>
      </c>
      <c r="O178" s="62">
        <f>IF(ISNUMBER('Übung 13'!BH$8),1,0)</f>
        <v/>
      </c>
      <c r="P178" s="62">
        <f>IF(ISNUMBER('Übung 14'!BH$8),1,0)</f>
        <v/>
      </c>
      <c r="Q178" s="62">
        <f>IF(ISNUMBER('Übung 15'!BH$8),1,0)</f>
        <v/>
      </c>
      <c r="R178" s="62">
        <f>IF(ISNUMBER('Übung 16'!BH$8),1,0)</f>
        <v/>
      </c>
      <c r="S178" s="62">
        <f>IF(ISNUMBER('Übung 17'!BH$8),1,0)</f>
        <v/>
      </c>
      <c r="T178" s="62">
        <f>IF(ISNUMBER('Übung 18'!BH$8),1,0)</f>
        <v/>
      </c>
      <c r="U178" s="62">
        <f>IF(ISNUMBER('Übung 19'!BH$8),1,0)</f>
        <v/>
      </c>
      <c r="V178" s="62">
        <f>IF(ISNUMBER('Übung 20'!BH$8),1,0)</f>
        <v/>
      </c>
    </row>
    <row r="179">
      <c r="C179" s="62">
        <f>IF(ISNUMBER('Übung 01'!BI$8),1,0)</f>
        <v/>
      </c>
      <c r="D179" s="62">
        <f>IF(ISNUMBER('Übung 02'!BI$8),1,0)</f>
        <v/>
      </c>
      <c r="E179" s="62">
        <f>IF(ISNUMBER('Übung 03'!BI$8),1,0)</f>
        <v/>
      </c>
      <c r="F179" s="62">
        <f>IF(ISNUMBER('Übung 04'!BI$8),1,0)</f>
        <v/>
      </c>
      <c r="G179" s="62">
        <f>IF(ISNUMBER('Übung 05'!BI$8),1,0)</f>
        <v/>
      </c>
      <c r="H179" s="62">
        <f>IF(ISNUMBER('Übung 06'!BI$8),1,0)</f>
        <v/>
      </c>
      <c r="I179" s="62">
        <f>IF(ISNUMBER('Übung 07'!BI$8),1,0)</f>
        <v/>
      </c>
      <c r="J179" s="62">
        <f>IF(ISNUMBER('Übung 08'!BI$8),1,0)</f>
        <v/>
      </c>
      <c r="K179" s="62">
        <f>IF(ISNUMBER('Übung 09'!BI$8),1,0)</f>
        <v/>
      </c>
      <c r="L179" s="62">
        <f>IF(ISNUMBER('Übung 10'!BI$8),1,0)</f>
        <v/>
      </c>
      <c r="M179" s="62">
        <f>IF(ISNUMBER('Übung 11'!BI$8),1,0)</f>
        <v/>
      </c>
      <c r="N179" s="62">
        <f>IF(ISNUMBER('Übung 12'!BI$8),1,0)</f>
        <v/>
      </c>
      <c r="O179" s="62">
        <f>IF(ISNUMBER('Übung 13'!BI$8),1,0)</f>
        <v/>
      </c>
      <c r="P179" s="62">
        <f>IF(ISNUMBER('Übung 14'!BI$8),1,0)</f>
        <v/>
      </c>
      <c r="Q179" s="62">
        <f>IF(ISNUMBER('Übung 15'!BI$8),1,0)</f>
        <v/>
      </c>
      <c r="R179" s="62">
        <f>IF(ISNUMBER('Übung 16'!BI$8),1,0)</f>
        <v/>
      </c>
      <c r="S179" s="62">
        <f>IF(ISNUMBER('Übung 17'!BI$8),1,0)</f>
        <v/>
      </c>
      <c r="T179" s="62">
        <f>IF(ISNUMBER('Übung 18'!BI$8),1,0)</f>
        <v/>
      </c>
      <c r="U179" s="62">
        <f>IF(ISNUMBER('Übung 19'!BI$8),1,0)</f>
        <v/>
      </c>
      <c r="V179" s="62">
        <f>IF(ISNUMBER('Übung 20'!BI$8),1,0)</f>
        <v/>
      </c>
    </row>
    <row r="180">
      <c r="C180" s="62">
        <f>IF(ISNUMBER('Übung 01'!BJ$8),1,0)</f>
        <v/>
      </c>
      <c r="D180" s="62">
        <f>IF(ISNUMBER('Übung 02'!BJ$8),1,0)</f>
        <v/>
      </c>
      <c r="E180" s="62">
        <f>IF(ISNUMBER('Übung 03'!BJ$8),1,0)</f>
        <v/>
      </c>
      <c r="F180" s="62">
        <f>IF(ISNUMBER('Übung 04'!BJ$8),1,0)</f>
        <v/>
      </c>
      <c r="G180" s="62">
        <f>IF(ISNUMBER('Übung 05'!BJ$8),1,0)</f>
        <v/>
      </c>
      <c r="H180" s="62">
        <f>IF(ISNUMBER('Übung 06'!BJ$8),1,0)</f>
        <v/>
      </c>
      <c r="I180" s="62">
        <f>IF(ISNUMBER('Übung 07'!BJ$8),1,0)</f>
        <v/>
      </c>
      <c r="J180" s="62">
        <f>IF(ISNUMBER('Übung 08'!BJ$8),1,0)</f>
        <v/>
      </c>
      <c r="K180" s="62">
        <f>IF(ISNUMBER('Übung 09'!BJ$8),1,0)</f>
        <v/>
      </c>
      <c r="L180" s="62">
        <f>IF(ISNUMBER('Übung 10'!BJ$8),1,0)</f>
        <v/>
      </c>
      <c r="M180" s="62">
        <f>IF(ISNUMBER('Übung 11'!BJ$8),1,0)</f>
        <v/>
      </c>
      <c r="N180" s="62">
        <f>IF(ISNUMBER('Übung 12'!BJ$8),1,0)</f>
        <v/>
      </c>
      <c r="O180" s="62">
        <f>IF(ISNUMBER('Übung 13'!BJ$8),1,0)</f>
        <v/>
      </c>
      <c r="P180" s="62">
        <f>IF(ISNUMBER('Übung 14'!BJ$8),1,0)</f>
        <v/>
      </c>
      <c r="Q180" s="62">
        <f>IF(ISNUMBER('Übung 15'!BJ$8),1,0)</f>
        <v/>
      </c>
      <c r="R180" s="62">
        <f>IF(ISNUMBER('Übung 16'!BJ$8),1,0)</f>
        <v/>
      </c>
      <c r="S180" s="62">
        <f>IF(ISNUMBER('Übung 17'!BJ$8),1,0)</f>
        <v/>
      </c>
      <c r="T180" s="62">
        <f>IF(ISNUMBER('Übung 18'!BJ$8),1,0)</f>
        <v/>
      </c>
      <c r="U180" s="62">
        <f>IF(ISNUMBER('Übung 19'!BJ$8),1,0)</f>
        <v/>
      </c>
      <c r="V180" s="62">
        <f>IF(ISNUMBER('Übung 20'!BJ$8),1,0)</f>
        <v/>
      </c>
    </row>
    <row r="181">
      <c r="C181" s="62">
        <f>IF(ISNUMBER('Übung 01'!BK$8),1,0)</f>
        <v/>
      </c>
      <c r="D181" s="62">
        <f>IF(ISNUMBER('Übung 02'!BK$8),1,0)</f>
        <v/>
      </c>
      <c r="E181" s="62">
        <f>IF(ISNUMBER('Übung 03'!BK$8),1,0)</f>
        <v/>
      </c>
      <c r="F181" s="62">
        <f>IF(ISNUMBER('Übung 04'!BK$8),1,0)</f>
        <v/>
      </c>
      <c r="G181" s="62">
        <f>IF(ISNUMBER('Übung 05'!BK$8),1,0)</f>
        <v/>
      </c>
      <c r="H181" s="62">
        <f>IF(ISNUMBER('Übung 06'!BK$8),1,0)</f>
        <v/>
      </c>
      <c r="I181" s="62">
        <f>IF(ISNUMBER('Übung 07'!BK$8),1,0)</f>
        <v/>
      </c>
      <c r="J181" s="62">
        <f>IF(ISNUMBER('Übung 08'!BK$8),1,0)</f>
        <v/>
      </c>
      <c r="K181" s="62">
        <f>IF(ISNUMBER('Übung 09'!BK$8),1,0)</f>
        <v/>
      </c>
      <c r="L181" s="62">
        <f>IF(ISNUMBER('Übung 10'!BK$8),1,0)</f>
        <v/>
      </c>
      <c r="M181" s="62">
        <f>IF(ISNUMBER('Übung 11'!BK$8),1,0)</f>
        <v/>
      </c>
      <c r="N181" s="62">
        <f>IF(ISNUMBER('Übung 12'!BK$8),1,0)</f>
        <v/>
      </c>
      <c r="O181" s="62">
        <f>IF(ISNUMBER('Übung 13'!BK$8),1,0)</f>
        <v/>
      </c>
      <c r="P181" s="62">
        <f>IF(ISNUMBER('Übung 14'!BK$8),1,0)</f>
        <v/>
      </c>
      <c r="Q181" s="62">
        <f>IF(ISNUMBER('Übung 15'!BK$8),1,0)</f>
        <v/>
      </c>
      <c r="R181" s="62">
        <f>IF(ISNUMBER('Übung 16'!BK$8),1,0)</f>
        <v/>
      </c>
      <c r="S181" s="62">
        <f>IF(ISNUMBER('Übung 17'!BK$8),1,0)</f>
        <v/>
      </c>
      <c r="T181" s="62">
        <f>IF(ISNUMBER('Übung 18'!BK$8),1,0)</f>
        <v/>
      </c>
      <c r="U181" s="62">
        <f>IF(ISNUMBER('Übung 19'!BK$8),1,0)</f>
        <v/>
      </c>
      <c r="V181" s="62">
        <f>IF(ISNUMBER('Übung 20'!BK$8),1,0)</f>
        <v/>
      </c>
    </row>
    <row r="182">
      <c r="C182" s="62">
        <f>IF(ISNUMBER('Übung 01'!BL$8),1,0)</f>
        <v/>
      </c>
      <c r="D182" s="62">
        <f>IF(ISNUMBER('Übung 02'!BL$8),1,0)</f>
        <v/>
      </c>
      <c r="E182" s="62">
        <f>IF(ISNUMBER('Übung 03'!BL$8),1,0)</f>
        <v/>
      </c>
      <c r="F182" s="62">
        <f>IF(ISNUMBER('Übung 04'!BL$8),1,0)</f>
        <v/>
      </c>
      <c r="G182" s="62">
        <f>IF(ISNUMBER('Übung 05'!BL$8),1,0)</f>
        <v/>
      </c>
      <c r="H182" s="62">
        <f>IF(ISNUMBER('Übung 06'!BL$8),1,0)</f>
        <v/>
      </c>
      <c r="I182" s="62">
        <f>IF(ISNUMBER('Übung 07'!BL$8),1,0)</f>
        <v/>
      </c>
      <c r="J182" s="62">
        <f>IF(ISNUMBER('Übung 08'!BL$8),1,0)</f>
        <v/>
      </c>
      <c r="K182" s="62">
        <f>IF(ISNUMBER('Übung 09'!BL$8),1,0)</f>
        <v/>
      </c>
      <c r="L182" s="62">
        <f>IF(ISNUMBER('Übung 10'!BL$8),1,0)</f>
        <v/>
      </c>
      <c r="M182" s="62">
        <f>IF(ISNUMBER('Übung 11'!BL$8),1,0)</f>
        <v/>
      </c>
      <c r="N182" s="62">
        <f>IF(ISNUMBER('Übung 12'!BL$8),1,0)</f>
        <v/>
      </c>
      <c r="O182" s="62">
        <f>IF(ISNUMBER('Übung 13'!BL$8),1,0)</f>
        <v/>
      </c>
      <c r="P182" s="62">
        <f>IF(ISNUMBER('Übung 14'!BL$8),1,0)</f>
        <v/>
      </c>
      <c r="Q182" s="62">
        <f>IF(ISNUMBER('Übung 15'!BL$8),1,0)</f>
        <v/>
      </c>
      <c r="R182" s="62">
        <f>IF(ISNUMBER('Übung 16'!BL$8),1,0)</f>
        <v/>
      </c>
      <c r="S182" s="62">
        <f>IF(ISNUMBER('Übung 17'!BL$8),1,0)</f>
        <v/>
      </c>
      <c r="T182" s="62">
        <f>IF(ISNUMBER('Übung 18'!BL$8),1,0)</f>
        <v/>
      </c>
      <c r="U182" s="62">
        <f>IF(ISNUMBER('Übung 19'!BL$8),1,0)</f>
        <v/>
      </c>
      <c r="V182" s="62">
        <f>IF(ISNUMBER('Übung 20'!BL$8),1,0)</f>
        <v/>
      </c>
    </row>
    <row r="183">
      <c r="C183" s="62">
        <f>IF(ISNUMBER('Übung 01'!BM$8),1,0)</f>
        <v/>
      </c>
      <c r="D183" s="62">
        <f>IF(ISNUMBER('Übung 02'!BM$8),1,0)</f>
        <v/>
      </c>
      <c r="E183" s="62">
        <f>IF(ISNUMBER('Übung 03'!BM$8),1,0)</f>
        <v/>
      </c>
      <c r="F183" s="62">
        <f>IF(ISNUMBER('Übung 04'!BM$8),1,0)</f>
        <v/>
      </c>
      <c r="G183" s="62">
        <f>IF(ISNUMBER('Übung 05'!BM$8),1,0)</f>
        <v/>
      </c>
      <c r="H183" s="62">
        <f>IF(ISNUMBER('Übung 06'!BM$8),1,0)</f>
        <v/>
      </c>
      <c r="I183" s="62">
        <f>IF(ISNUMBER('Übung 07'!BM$8),1,0)</f>
        <v/>
      </c>
      <c r="J183" s="62">
        <f>IF(ISNUMBER('Übung 08'!BM$8),1,0)</f>
        <v/>
      </c>
      <c r="K183" s="62">
        <f>IF(ISNUMBER('Übung 09'!BM$8),1,0)</f>
        <v/>
      </c>
      <c r="L183" s="62">
        <f>IF(ISNUMBER('Übung 10'!BM$8),1,0)</f>
        <v/>
      </c>
      <c r="M183" s="62">
        <f>IF(ISNUMBER('Übung 11'!BM$8),1,0)</f>
        <v/>
      </c>
      <c r="N183" s="62">
        <f>IF(ISNUMBER('Übung 12'!BM$8),1,0)</f>
        <v/>
      </c>
      <c r="O183" s="62">
        <f>IF(ISNUMBER('Übung 13'!BM$8),1,0)</f>
        <v/>
      </c>
      <c r="P183" s="62">
        <f>IF(ISNUMBER('Übung 14'!BM$8),1,0)</f>
        <v/>
      </c>
      <c r="Q183" s="62">
        <f>IF(ISNUMBER('Übung 15'!BM$8),1,0)</f>
        <v/>
      </c>
      <c r="R183" s="62">
        <f>IF(ISNUMBER('Übung 16'!BM$8),1,0)</f>
        <v/>
      </c>
      <c r="S183" s="62">
        <f>IF(ISNUMBER('Übung 17'!BM$8),1,0)</f>
        <v/>
      </c>
      <c r="T183" s="62">
        <f>IF(ISNUMBER('Übung 18'!BM$8),1,0)</f>
        <v/>
      </c>
      <c r="U183" s="62">
        <f>IF(ISNUMBER('Übung 19'!BM$8),1,0)</f>
        <v/>
      </c>
      <c r="V183" s="62">
        <f>IF(ISNUMBER('Übung 20'!BM$8),1,0)</f>
        <v/>
      </c>
    </row>
    <row r="184">
      <c r="C184" s="62">
        <f>IF(ISNUMBER('Übung 01'!BN$8),1,0)</f>
        <v/>
      </c>
      <c r="D184" s="62">
        <f>IF(ISNUMBER('Übung 02'!BN$8),1,0)</f>
        <v/>
      </c>
      <c r="E184" s="62">
        <f>IF(ISNUMBER('Übung 03'!BN$8),1,0)</f>
        <v/>
      </c>
      <c r="F184" s="62">
        <f>IF(ISNUMBER('Übung 04'!BN$8),1,0)</f>
        <v/>
      </c>
      <c r="G184" s="62">
        <f>IF(ISNUMBER('Übung 05'!BN$8),1,0)</f>
        <v/>
      </c>
      <c r="H184" s="62">
        <f>IF(ISNUMBER('Übung 06'!BN$8),1,0)</f>
        <v/>
      </c>
      <c r="I184" s="62">
        <f>IF(ISNUMBER('Übung 07'!BN$8),1,0)</f>
        <v/>
      </c>
      <c r="J184" s="62">
        <f>IF(ISNUMBER('Übung 08'!BN$8),1,0)</f>
        <v/>
      </c>
      <c r="K184" s="62">
        <f>IF(ISNUMBER('Übung 09'!BN$8),1,0)</f>
        <v/>
      </c>
      <c r="L184" s="62">
        <f>IF(ISNUMBER('Übung 10'!BN$8),1,0)</f>
        <v/>
      </c>
      <c r="M184" s="62">
        <f>IF(ISNUMBER('Übung 11'!BN$8),1,0)</f>
        <v/>
      </c>
      <c r="N184" s="62">
        <f>IF(ISNUMBER('Übung 12'!BN$8),1,0)</f>
        <v/>
      </c>
      <c r="O184" s="62">
        <f>IF(ISNUMBER('Übung 13'!BN$8),1,0)</f>
        <v/>
      </c>
      <c r="P184" s="62">
        <f>IF(ISNUMBER('Übung 14'!BN$8),1,0)</f>
        <v/>
      </c>
      <c r="Q184" s="62">
        <f>IF(ISNUMBER('Übung 15'!BN$8),1,0)</f>
        <v/>
      </c>
      <c r="R184" s="62">
        <f>IF(ISNUMBER('Übung 16'!BN$8),1,0)</f>
        <v/>
      </c>
      <c r="S184" s="62">
        <f>IF(ISNUMBER('Übung 17'!BN$8),1,0)</f>
        <v/>
      </c>
      <c r="T184" s="62">
        <f>IF(ISNUMBER('Übung 18'!BN$8),1,0)</f>
        <v/>
      </c>
      <c r="U184" s="62">
        <f>IF(ISNUMBER('Übung 19'!BN$8),1,0)</f>
        <v/>
      </c>
      <c r="V184" s="62">
        <f>IF(ISNUMBER('Übung 20'!BN$8),1,0)</f>
        <v/>
      </c>
    </row>
    <row r="185">
      <c r="C185" s="62">
        <f>IF(ISNUMBER('Übung 01'!BO$8),1,0)</f>
        <v/>
      </c>
      <c r="D185" s="62">
        <f>IF(ISNUMBER('Übung 02'!BO$8),1,0)</f>
        <v/>
      </c>
      <c r="E185" s="62">
        <f>IF(ISNUMBER('Übung 03'!BO$8),1,0)</f>
        <v/>
      </c>
      <c r="F185" s="62">
        <f>IF(ISNUMBER('Übung 04'!BO$8),1,0)</f>
        <v/>
      </c>
      <c r="G185" s="62">
        <f>IF(ISNUMBER('Übung 05'!BO$8),1,0)</f>
        <v/>
      </c>
      <c r="H185" s="62">
        <f>IF(ISNUMBER('Übung 06'!BO$8),1,0)</f>
        <v/>
      </c>
      <c r="I185" s="62">
        <f>IF(ISNUMBER('Übung 07'!BO$8),1,0)</f>
        <v/>
      </c>
      <c r="J185" s="62">
        <f>IF(ISNUMBER('Übung 08'!BO$8),1,0)</f>
        <v/>
      </c>
      <c r="K185" s="62">
        <f>IF(ISNUMBER('Übung 09'!BO$8),1,0)</f>
        <v/>
      </c>
      <c r="L185" s="62">
        <f>IF(ISNUMBER('Übung 10'!BO$8),1,0)</f>
        <v/>
      </c>
      <c r="M185" s="62">
        <f>IF(ISNUMBER('Übung 11'!BO$8),1,0)</f>
        <v/>
      </c>
      <c r="N185" s="62">
        <f>IF(ISNUMBER('Übung 12'!BO$8),1,0)</f>
        <v/>
      </c>
      <c r="O185" s="62">
        <f>IF(ISNUMBER('Übung 13'!BO$8),1,0)</f>
        <v/>
      </c>
      <c r="P185" s="62">
        <f>IF(ISNUMBER('Übung 14'!BO$8),1,0)</f>
        <v/>
      </c>
      <c r="Q185" s="62">
        <f>IF(ISNUMBER('Übung 15'!BO$8),1,0)</f>
        <v/>
      </c>
      <c r="R185" s="62">
        <f>IF(ISNUMBER('Übung 16'!BO$8),1,0)</f>
        <v/>
      </c>
      <c r="S185" s="62">
        <f>IF(ISNUMBER('Übung 17'!BO$8),1,0)</f>
        <v/>
      </c>
      <c r="T185" s="62">
        <f>IF(ISNUMBER('Übung 18'!BO$8),1,0)</f>
        <v/>
      </c>
      <c r="U185" s="62">
        <f>IF(ISNUMBER('Übung 19'!BO$8),1,0)</f>
        <v/>
      </c>
      <c r="V185" s="62">
        <f>IF(ISNUMBER('Übung 20'!BO$8),1,0)</f>
        <v/>
      </c>
    </row>
    <row r="186">
      <c r="C186" s="62">
        <f>IF(ISNUMBER('Übung 01'!BP$8),1,0)</f>
        <v/>
      </c>
      <c r="D186" s="62">
        <f>IF(ISNUMBER('Übung 02'!BP$8),1,0)</f>
        <v/>
      </c>
      <c r="E186" s="62">
        <f>IF(ISNUMBER('Übung 03'!BP$8),1,0)</f>
        <v/>
      </c>
      <c r="F186" s="62">
        <f>IF(ISNUMBER('Übung 04'!BP$8),1,0)</f>
        <v/>
      </c>
      <c r="G186" s="62">
        <f>IF(ISNUMBER('Übung 05'!BP$8),1,0)</f>
        <v/>
      </c>
      <c r="H186" s="62">
        <f>IF(ISNUMBER('Übung 06'!BP$8),1,0)</f>
        <v/>
      </c>
      <c r="I186" s="62">
        <f>IF(ISNUMBER('Übung 07'!BP$8),1,0)</f>
        <v/>
      </c>
      <c r="J186" s="62">
        <f>IF(ISNUMBER('Übung 08'!BP$8),1,0)</f>
        <v/>
      </c>
      <c r="K186" s="62">
        <f>IF(ISNUMBER('Übung 09'!BP$8),1,0)</f>
        <v/>
      </c>
      <c r="L186" s="62">
        <f>IF(ISNUMBER('Übung 10'!BP$8),1,0)</f>
        <v/>
      </c>
      <c r="M186" s="62">
        <f>IF(ISNUMBER('Übung 11'!BP$8),1,0)</f>
        <v/>
      </c>
      <c r="N186" s="62">
        <f>IF(ISNUMBER('Übung 12'!BP$8),1,0)</f>
        <v/>
      </c>
      <c r="O186" s="62">
        <f>IF(ISNUMBER('Übung 13'!BP$8),1,0)</f>
        <v/>
      </c>
      <c r="P186" s="62">
        <f>IF(ISNUMBER('Übung 14'!BP$8),1,0)</f>
        <v/>
      </c>
      <c r="Q186" s="62">
        <f>IF(ISNUMBER('Übung 15'!BP$8),1,0)</f>
        <v/>
      </c>
      <c r="R186" s="62">
        <f>IF(ISNUMBER('Übung 16'!BP$8),1,0)</f>
        <v/>
      </c>
      <c r="S186" s="62">
        <f>IF(ISNUMBER('Übung 17'!BP$8),1,0)</f>
        <v/>
      </c>
      <c r="T186" s="62">
        <f>IF(ISNUMBER('Übung 18'!BP$8),1,0)</f>
        <v/>
      </c>
      <c r="U186" s="62">
        <f>IF(ISNUMBER('Übung 19'!BP$8),1,0)</f>
        <v/>
      </c>
      <c r="V186" s="62">
        <f>IF(ISNUMBER('Übung 20'!BP$8),1,0)</f>
        <v/>
      </c>
    </row>
    <row r="187">
      <c r="C187" s="62">
        <f>IF(ISNUMBER('Übung 01'!BQ$8),1,0)</f>
        <v/>
      </c>
      <c r="D187" s="62">
        <f>IF(ISNUMBER('Übung 02'!BQ$8),1,0)</f>
        <v/>
      </c>
      <c r="E187" s="62">
        <f>IF(ISNUMBER('Übung 03'!BQ$8),1,0)</f>
        <v/>
      </c>
      <c r="F187" s="62">
        <f>IF(ISNUMBER('Übung 04'!BQ$8),1,0)</f>
        <v/>
      </c>
      <c r="G187" s="62">
        <f>IF(ISNUMBER('Übung 05'!BQ$8),1,0)</f>
        <v/>
      </c>
      <c r="H187" s="62">
        <f>IF(ISNUMBER('Übung 06'!BQ$8),1,0)</f>
        <v/>
      </c>
      <c r="I187" s="62">
        <f>IF(ISNUMBER('Übung 07'!BQ$8),1,0)</f>
        <v/>
      </c>
      <c r="J187" s="62">
        <f>IF(ISNUMBER('Übung 08'!BQ$8),1,0)</f>
        <v/>
      </c>
      <c r="K187" s="62">
        <f>IF(ISNUMBER('Übung 09'!BQ$8),1,0)</f>
        <v/>
      </c>
      <c r="L187" s="62">
        <f>IF(ISNUMBER('Übung 10'!BQ$8),1,0)</f>
        <v/>
      </c>
      <c r="M187" s="62">
        <f>IF(ISNUMBER('Übung 11'!BQ$8),1,0)</f>
        <v/>
      </c>
      <c r="N187" s="62">
        <f>IF(ISNUMBER('Übung 12'!BQ$8),1,0)</f>
        <v/>
      </c>
      <c r="O187" s="62">
        <f>IF(ISNUMBER('Übung 13'!BQ$8),1,0)</f>
        <v/>
      </c>
      <c r="P187" s="62">
        <f>IF(ISNUMBER('Übung 14'!BQ$8),1,0)</f>
        <v/>
      </c>
      <c r="Q187" s="62">
        <f>IF(ISNUMBER('Übung 15'!BQ$8),1,0)</f>
        <v/>
      </c>
      <c r="R187" s="62">
        <f>IF(ISNUMBER('Übung 16'!BQ$8),1,0)</f>
        <v/>
      </c>
      <c r="S187" s="62">
        <f>IF(ISNUMBER('Übung 17'!BQ$8),1,0)</f>
        <v/>
      </c>
      <c r="T187" s="62">
        <f>IF(ISNUMBER('Übung 18'!BQ$8),1,0)</f>
        <v/>
      </c>
      <c r="U187" s="62">
        <f>IF(ISNUMBER('Übung 19'!BQ$8),1,0)</f>
        <v/>
      </c>
      <c r="V187" s="62">
        <f>IF(ISNUMBER('Übung 20'!BQ$8),1,0)</f>
        <v/>
      </c>
    </row>
    <row r="188">
      <c r="C188" s="62">
        <f>IF(ISNUMBER('Übung 01'!BR$8),1,0)</f>
        <v/>
      </c>
      <c r="D188" s="62">
        <f>IF(ISNUMBER('Übung 02'!BR$8),1,0)</f>
        <v/>
      </c>
      <c r="E188" s="62">
        <f>IF(ISNUMBER('Übung 03'!BR$8),1,0)</f>
        <v/>
      </c>
      <c r="F188" s="62">
        <f>IF(ISNUMBER('Übung 04'!BR$8),1,0)</f>
        <v/>
      </c>
      <c r="G188" s="62">
        <f>IF(ISNUMBER('Übung 05'!BR$8),1,0)</f>
        <v/>
      </c>
      <c r="H188" s="62">
        <f>IF(ISNUMBER('Übung 06'!BR$8),1,0)</f>
        <v/>
      </c>
      <c r="I188" s="62">
        <f>IF(ISNUMBER('Übung 07'!BR$8),1,0)</f>
        <v/>
      </c>
      <c r="J188" s="62">
        <f>IF(ISNUMBER('Übung 08'!BR$8),1,0)</f>
        <v/>
      </c>
      <c r="K188" s="62">
        <f>IF(ISNUMBER('Übung 09'!BR$8),1,0)</f>
        <v/>
      </c>
      <c r="L188" s="62">
        <f>IF(ISNUMBER('Übung 10'!BR$8),1,0)</f>
        <v/>
      </c>
      <c r="M188" s="62">
        <f>IF(ISNUMBER('Übung 11'!BR$8),1,0)</f>
        <v/>
      </c>
      <c r="N188" s="62">
        <f>IF(ISNUMBER('Übung 12'!BR$8),1,0)</f>
        <v/>
      </c>
      <c r="O188" s="62">
        <f>IF(ISNUMBER('Übung 13'!BR$8),1,0)</f>
        <v/>
      </c>
      <c r="P188" s="62">
        <f>IF(ISNUMBER('Übung 14'!BR$8),1,0)</f>
        <v/>
      </c>
      <c r="Q188" s="62">
        <f>IF(ISNUMBER('Übung 15'!BR$8),1,0)</f>
        <v/>
      </c>
      <c r="R188" s="62">
        <f>IF(ISNUMBER('Übung 16'!BR$8),1,0)</f>
        <v/>
      </c>
      <c r="S188" s="62">
        <f>IF(ISNUMBER('Übung 17'!BR$8),1,0)</f>
        <v/>
      </c>
      <c r="T188" s="62">
        <f>IF(ISNUMBER('Übung 18'!BR$8),1,0)</f>
        <v/>
      </c>
      <c r="U188" s="62">
        <f>IF(ISNUMBER('Übung 19'!BR$8),1,0)</f>
        <v/>
      </c>
      <c r="V188" s="62">
        <f>IF(ISNUMBER('Übung 20'!BR$8),1,0)</f>
        <v/>
      </c>
    </row>
    <row r="189">
      <c r="C189" s="62">
        <f>IF(ISNUMBER('Übung 01'!BS$8),1,0)</f>
        <v/>
      </c>
      <c r="D189" s="62">
        <f>IF(ISNUMBER('Übung 02'!BS$8),1,0)</f>
        <v/>
      </c>
      <c r="E189" s="62">
        <f>IF(ISNUMBER('Übung 03'!BS$8),1,0)</f>
        <v/>
      </c>
      <c r="F189" s="62">
        <f>IF(ISNUMBER('Übung 04'!BS$8),1,0)</f>
        <v/>
      </c>
      <c r="G189" s="62">
        <f>IF(ISNUMBER('Übung 05'!BS$8),1,0)</f>
        <v/>
      </c>
      <c r="H189" s="62">
        <f>IF(ISNUMBER('Übung 06'!BS$8),1,0)</f>
        <v/>
      </c>
      <c r="I189" s="62">
        <f>IF(ISNUMBER('Übung 07'!BS$8),1,0)</f>
        <v/>
      </c>
      <c r="J189" s="62">
        <f>IF(ISNUMBER('Übung 08'!BS$8),1,0)</f>
        <v/>
      </c>
      <c r="K189" s="62">
        <f>IF(ISNUMBER('Übung 09'!BS$8),1,0)</f>
        <v/>
      </c>
      <c r="L189" s="62">
        <f>IF(ISNUMBER('Übung 10'!BS$8),1,0)</f>
        <v/>
      </c>
      <c r="M189" s="62">
        <f>IF(ISNUMBER('Übung 11'!BS$8),1,0)</f>
        <v/>
      </c>
      <c r="N189" s="62">
        <f>IF(ISNUMBER('Übung 12'!BS$8),1,0)</f>
        <v/>
      </c>
      <c r="O189" s="62">
        <f>IF(ISNUMBER('Übung 13'!BS$8),1,0)</f>
        <v/>
      </c>
      <c r="P189" s="62">
        <f>IF(ISNUMBER('Übung 14'!BS$8),1,0)</f>
        <v/>
      </c>
      <c r="Q189" s="62">
        <f>IF(ISNUMBER('Übung 15'!BS$8),1,0)</f>
        <v/>
      </c>
      <c r="R189" s="62">
        <f>IF(ISNUMBER('Übung 16'!BS$8),1,0)</f>
        <v/>
      </c>
      <c r="S189" s="62">
        <f>IF(ISNUMBER('Übung 17'!BS$8),1,0)</f>
        <v/>
      </c>
      <c r="T189" s="62">
        <f>IF(ISNUMBER('Übung 18'!BS$8),1,0)</f>
        <v/>
      </c>
      <c r="U189" s="62">
        <f>IF(ISNUMBER('Übung 19'!BS$8),1,0)</f>
        <v/>
      </c>
      <c r="V189" s="62">
        <f>IF(ISNUMBER('Übung 20'!BS$8),1,0)</f>
        <v/>
      </c>
    </row>
    <row r="190">
      <c r="C190" s="62">
        <f>IF(ISNUMBER('Übung 01'!BT$8),1,0)</f>
        <v/>
      </c>
      <c r="D190" s="62">
        <f>IF(ISNUMBER('Übung 02'!BT$8),1,0)</f>
        <v/>
      </c>
      <c r="E190" s="62">
        <f>IF(ISNUMBER('Übung 03'!BT$8),1,0)</f>
        <v/>
      </c>
      <c r="F190" s="62">
        <f>IF(ISNUMBER('Übung 04'!BT$8),1,0)</f>
        <v/>
      </c>
      <c r="G190" s="62">
        <f>IF(ISNUMBER('Übung 05'!BT$8),1,0)</f>
        <v/>
      </c>
      <c r="H190" s="62">
        <f>IF(ISNUMBER('Übung 06'!BT$8),1,0)</f>
        <v/>
      </c>
      <c r="I190" s="62">
        <f>IF(ISNUMBER('Übung 07'!BT$8),1,0)</f>
        <v/>
      </c>
      <c r="J190" s="62">
        <f>IF(ISNUMBER('Übung 08'!BT$8),1,0)</f>
        <v/>
      </c>
      <c r="K190" s="62">
        <f>IF(ISNUMBER('Übung 09'!BT$8),1,0)</f>
        <v/>
      </c>
      <c r="L190" s="62">
        <f>IF(ISNUMBER('Übung 10'!BT$8),1,0)</f>
        <v/>
      </c>
      <c r="M190" s="62">
        <f>IF(ISNUMBER('Übung 11'!BT$8),1,0)</f>
        <v/>
      </c>
      <c r="N190" s="62">
        <f>IF(ISNUMBER('Übung 12'!BT$8),1,0)</f>
        <v/>
      </c>
      <c r="O190" s="62">
        <f>IF(ISNUMBER('Übung 13'!BT$8),1,0)</f>
        <v/>
      </c>
      <c r="P190" s="62">
        <f>IF(ISNUMBER('Übung 14'!BT$8),1,0)</f>
        <v/>
      </c>
      <c r="Q190" s="62">
        <f>IF(ISNUMBER('Übung 15'!BT$8),1,0)</f>
        <v/>
      </c>
      <c r="R190" s="62">
        <f>IF(ISNUMBER('Übung 16'!BT$8),1,0)</f>
        <v/>
      </c>
      <c r="S190" s="62">
        <f>IF(ISNUMBER('Übung 17'!BT$8),1,0)</f>
        <v/>
      </c>
      <c r="T190" s="62">
        <f>IF(ISNUMBER('Übung 18'!BT$8),1,0)</f>
        <v/>
      </c>
      <c r="U190" s="62">
        <f>IF(ISNUMBER('Übung 19'!BT$8),1,0)</f>
        <v/>
      </c>
      <c r="V190" s="62">
        <f>IF(ISNUMBER('Übung 20'!BT$8),1,0)</f>
        <v/>
      </c>
    </row>
    <row r="191">
      <c r="C191" s="62">
        <f>IF(ISNUMBER('Übung 01'!BU$8),1,0)</f>
        <v/>
      </c>
      <c r="D191" s="62">
        <f>IF(ISNUMBER('Übung 02'!BU$8),1,0)</f>
        <v/>
      </c>
      <c r="E191" s="62">
        <f>IF(ISNUMBER('Übung 03'!BU$8),1,0)</f>
        <v/>
      </c>
      <c r="F191" s="62">
        <f>IF(ISNUMBER('Übung 04'!BU$8),1,0)</f>
        <v/>
      </c>
      <c r="G191" s="62">
        <f>IF(ISNUMBER('Übung 05'!BU$8),1,0)</f>
        <v/>
      </c>
      <c r="H191" s="62">
        <f>IF(ISNUMBER('Übung 06'!BU$8),1,0)</f>
        <v/>
      </c>
      <c r="I191" s="62">
        <f>IF(ISNUMBER('Übung 07'!BU$8),1,0)</f>
        <v/>
      </c>
      <c r="J191" s="62">
        <f>IF(ISNUMBER('Übung 08'!BU$8),1,0)</f>
        <v/>
      </c>
      <c r="K191" s="62">
        <f>IF(ISNUMBER('Übung 09'!BU$8),1,0)</f>
        <v/>
      </c>
      <c r="L191" s="62">
        <f>IF(ISNUMBER('Übung 10'!BU$8),1,0)</f>
        <v/>
      </c>
      <c r="M191" s="62">
        <f>IF(ISNUMBER('Übung 11'!BU$8),1,0)</f>
        <v/>
      </c>
      <c r="N191" s="62">
        <f>IF(ISNUMBER('Übung 12'!BU$8),1,0)</f>
        <v/>
      </c>
      <c r="O191" s="62">
        <f>IF(ISNUMBER('Übung 13'!BU$8),1,0)</f>
        <v/>
      </c>
      <c r="P191" s="62">
        <f>IF(ISNUMBER('Übung 14'!BU$8),1,0)</f>
        <v/>
      </c>
      <c r="Q191" s="62">
        <f>IF(ISNUMBER('Übung 15'!BU$8),1,0)</f>
        <v/>
      </c>
      <c r="R191" s="62">
        <f>IF(ISNUMBER('Übung 16'!BU$8),1,0)</f>
        <v/>
      </c>
      <c r="S191" s="62">
        <f>IF(ISNUMBER('Übung 17'!BU$8),1,0)</f>
        <v/>
      </c>
      <c r="T191" s="62">
        <f>IF(ISNUMBER('Übung 18'!BU$8),1,0)</f>
        <v/>
      </c>
      <c r="U191" s="62">
        <f>IF(ISNUMBER('Übung 19'!BU$8),1,0)</f>
        <v/>
      </c>
      <c r="V191" s="62">
        <f>IF(ISNUMBER('Übung 20'!BU$8),1,0)</f>
        <v/>
      </c>
    </row>
    <row r="192">
      <c r="C192" s="62">
        <f>IF(ISNUMBER('Übung 01'!BV$8),1,0)</f>
        <v/>
      </c>
      <c r="D192" s="62">
        <f>IF(ISNUMBER('Übung 02'!BV$8),1,0)</f>
        <v/>
      </c>
      <c r="E192" s="62">
        <f>IF(ISNUMBER('Übung 03'!BV$8),1,0)</f>
        <v/>
      </c>
      <c r="F192" s="62">
        <f>IF(ISNUMBER('Übung 04'!BV$8),1,0)</f>
        <v/>
      </c>
      <c r="G192" s="62">
        <f>IF(ISNUMBER('Übung 05'!BV$8),1,0)</f>
        <v/>
      </c>
      <c r="H192" s="62">
        <f>IF(ISNUMBER('Übung 06'!BV$8),1,0)</f>
        <v/>
      </c>
      <c r="I192" s="62">
        <f>IF(ISNUMBER('Übung 07'!BV$8),1,0)</f>
        <v/>
      </c>
      <c r="J192" s="62">
        <f>IF(ISNUMBER('Übung 08'!BV$8),1,0)</f>
        <v/>
      </c>
      <c r="K192" s="62">
        <f>IF(ISNUMBER('Übung 09'!BV$8),1,0)</f>
        <v/>
      </c>
      <c r="L192" s="62">
        <f>IF(ISNUMBER('Übung 10'!BV$8),1,0)</f>
        <v/>
      </c>
      <c r="M192" s="62">
        <f>IF(ISNUMBER('Übung 11'!BV$8),1,0)</f>
        <v/>
      </c>
      <c r="N192" s="62">
        <f>IF(ISNUMBER('Übung 12'!BV$8),1,0)</f>
        <v/>
      </c>
      <c r="O192" s="62">
        <f>IF(ISNUMBER('Übung 13'!BV$8),1,0)</f>
        <v/>
      </c>
      <c r="P192" s="62">
        <f>IF(ISNUMBER('Übung 14'!BV$8),1,0)</f>
        <v/>
      </c>
      <c r="Q192" s="62">
        <f>IF(ISNUMBER('Übung 15'!BV$8),1,0)</f>
        <v/>
      </c>
      <c r="R192" s="62">
        <f>IF(ISNUMBER('Übung 16'!BV$8),1,0)</f>
        <v/>
      </c>
      <c r="S192" s="62">
        <f>IF(ISNUMBER('Übung 17'!BV$8),1,0)</f>
        <v/>
      </c>
      <c r="T192" s="62">
        <f>IF(ISNUMBER('Übung 18'!BV$8),1,0)</f>
        <v/>
      </c>
      <c r="U192" s="62">
        <f>IF(ISNUMBER('Übung 19'!BV$8),1,0)</f>
        <v/>
      </c>
      <c r="V192" s="62">
        <f>IF(ISNUMBER('Übung 20'!BV$8),1,0)</f>
        <v/>
      </c>
    </row>
    <row r="193">
      <c r="C193" s="62">
        <f>IF(ISNUMBER('Übung 01'!BW$8),1,0)</f>
        <v/>
      </c>
      <c r="D193" s="62">
        <f>IF(ISNUMBER('Übung 02'!BW$8),1,0)</f>
        <v/>
      </c>
      <c r="E193" s="62">
        <f>IF(ISNUMBER('Übung 03'!BW$8),1,0)</f>
        <v/>
      </c>
      <c r="F193" s="62">
        <f>IF(ISNUMBER('Übung 04'!BW$8),1,0)</f>
        <v/>
      </c>
      <c r="G193" s="62">
        <f>IF(ISNUMBER('Übung 05'!BW$8),1,0)</f>
        <v/>
      </c>
      <c r="H193" s="62">
        <f>IF(ISNUMBER('Übung 06'!BW$8),1,0)</f>
        <v/>
      </c>
      <c r="I193" s="62">
        <f>IF(ISNUMBER('Übung 07'!BW$8),1,0)</f>
        <v/>
      </c>
      <c r="J193" s="62">
        <f>IF(ISNUMBER('Übung 08'!BW$8),1,0)</f>
        <v/>
      </c>
      <c r="K193" s="62">
        <f>IF(ISNUMBER('Übung 09'!BW$8),1,0)</f>
        <v/>
      </c>
      <c r="L193" s="62">
        <f>IF(ISNUMBER('Übung 10'!BW$8),1,0)</f>
        <v/>
      </c>
      <c r="M193" s="62">
        <f>IF(ISNUMBER('Übung 11'!BW$8),1,0)</f>
        <v/>
      </c>
      <c r="N193" s="62">
        <f>IF(ISNUMBER('Übung 12'!BW$8),1,0)</f>
        <v/>
      </c>
      <c r="O193" s="62">
        <f>IF(ISNUMBER('Übung 13'!BW$8),1,0)</f>
        <v/>
      </c>
      <c r="P193" s="62">
        <f>IF(ISNUMBER('Übung 14'!BW$8),1,0)</f>
        <v/>
      </c>
      <c r="Q193" s="62">
        <f>IF(ISNUMBER('Übung 15'!BW$8),1,0)</f>
        <v/>
      </c>
      <c r="R193" s="62">
        <f>IF(ISNUMBER('Übung 16'!BW$8),1,0)</f>
        <v/>
      </c>
      <c r="S193" s="62">
        <f>IF(ISNUMBER('Übung 17'!BW$8),1,0)</f>
        <v/>
      </c>
      <c r="T193" s="62">
        <f>IF(ISNUMBER('Übung 18'!BW$8),1,0)</f>
        <v/>
      </c>
      <c r="U193" s="62">
        <f>IF(ISNUMBER('Übung 19'!BW$8),1,0)</f>
        <v/>
      </c>
      <c r="V193" s="62">
        <f>IF(ISNUMBER('Übung 20'!BW$8),1,0)</f>
        <v/>
      </c>
    </row>
    <row r="194">
      <c r="C194" s="62">
        <f>IF(ISNUMBER('Übung 01'!BX$8),1,0)</f>
        <v/>
      </c>
      <c r="D194" s="62">
        <f>IF(ISNUMBER('Übung 02'!BX$8),1,0)</f>
        <v/>
      </c>
      <c r="E194" s="62">
        <f>IF(ISNUMBER('Übung 03'!BX$8),1,0)</f>
        <v/>
      </c>
      <c r="F194" s="62">
        <f>IF(ISNUMBER('Übung 04'!BX$8),1,0)</f>
        <v/>
      </c>
      <c r="G194" s="62">
        <f>IF(ISNUMBER('Übung 05'!BX$8),1,0)</f>
        <v/>
      </c>
      <c r="H194" s="62">
        <f>IF(ISNUMBER('Übung 06'!BX$8),1,0)</f>
        <v/>
      </c>
      <c r="I194" s="62">
        <f>IF(ISNUMBER('Übung 07'!BX$8),1,0)</f>
        <v/>
      </c>
      <c r="J194" s="62">
        <f>IF(ISNUMBER('Übung 08'!BX$8),1,0)</f>
        <v/>
      </c>
      <c r="K194" s="62">
        <f>IF(ISNUMBER('Übung 09'!BX$8),1,0)</f>
        <v/>
      </c>
      <c r="L194" s="62">
        <f>IF(ISNUMBER('Übung 10'!BX$8),1,0)</f>
        <v/>
      </c>
      <c r="M194" s="62">
        <f>IF(ISNUMBER('Übung 11'!BX$8),1,0)</f>
        <v/>
      </c>
      <c r="N194" s="62">
        <f>IF(ISNUMBER('Übung 12'!BX$8),1,0)</f>
        <v/>
      </c>
      <c r="O194" s="62">
        <f>IF(ISNUMBER('Übung 13'!BX$8),1,0)</f>
        <v/>
      </c>
      <c r="P194" s="62">
        <f>IF(ISNUMBER('Übung 14'!BX$8),1,0)</f>
        <v/>
      </c>
      <c r="Q194" s="62">
        <f>IF(ISNUMBER('Übung 15'!BX$8),1,0)</f>
        <v/>
      </c>
      <c r="R194" s="62">
        <f>IF(ISNUMBER('Übung 16'!BX$8),1,0)</f>
        <v/>
      </c>
      <c r="S194" s="62">
        <f>IF(ISNUMBER('Übung 17'!BX$8),1,0)</f>
        <v/>
      </c>
      <c r="T194" s="62">
        <f>IF(ISNUMBER('Übung 18'!BX$8),1,0)</f>
        <v/>
      </c>
      <c r="U194" s="62">
        <f>IF(ISNUMBER('Übung 19'!BX$8),1,0)</f>
        <v/>
      </c>
      <c r="V194" s="62">
        <f>IF(ISNUMBER('Übung 20'!BX$8),1,0)</f>
        <v/>
      </c>
    </row>
    <row r="195">
      <c r="C195" s="62">
        <f>IF(ISNUMBER('Übung 01'!BY$8),1,0)</f>
        <v/>
      </c>
      <c r="D195" s="62">
        <f>IF(ISNUMBER('Übung 02'!BY$8),1,0)</f>
        <v/>
      </c>
      <c r="E195" s="62">
        <f>IF(ISNUMBER('Übung 03'!BY$8),1,0)</f>
        <v/>
      </c>
      <c r="F195" s="62">
        <f>IF(ISNUMBER('Übung 04'!BY$8),1,0)</f>
        <v/>
      </c>
      <c r="G195" s="62">
        <f>IF(ISNUMBER('Übung 05'!BY$8),1,0)</f>
        <v/>
      </c>
      <c r="H195" s="62">
        <f>IF(ISNUMBER('Übung 06'!BY$8),1,0)</f>
        <v/>
      </c>
      <c r="I195" s="62">
        <f>IF(ISNUMBER('Übung 07'!BY$8),1,0)</f>
        <v/>
      </c>
      <c r="J195" s="62">
        <f>IF(ISNUMBER('Übung 08'!BY$8),1,0)</f>
        <v/>
      </c>
      <c r="K195" s="62">
        <f>IF(ISNUMBER('Übung 09'!BY$8),1,0)</f>
        <v/>
      </c>
      <c r="L195" s="62">
        <f>IF(ISNUMBER('Übung 10'!BY$8),1,0)</f>
        <v/>
      </c>
      <c r="M195" s="62">
        <f>IF(ISNUMBER('Übung 11'!BY$8),1,0)</f>
        <v/>
      </c>
      <c r="N195" s="62">
        <f>IF(ISNUMBER('Übung 12'!BY$8),1,0)</f>
        <v/>
      </c>
      <c r="O195" s="62">
        <f>IF(ISNUMBER('Übung 13'!BY$8),1,0)</f>
        <v/>
      </c>
      <c r="P195" s="62">
        <f>IF(ISNUMBER('Übung 14'!BY$8),1,0)</f>
        <v/>
      </c>
      <c r="Q195" s="62">
        <f>IF(ISNUMBER('Übung 15'!BY$8),1,0)</f>
        <v/>
      </c>
      <c r="R195" s="62">
        <f>IF(ISNUMBER('Übung 16'!BY$8),1,0)</f>
        <v/>
      </c>
      <c r="S195" s="62">
        <f>IF(ISNUMBER('Übung 17'!BY$8),1,0)</f>
        <v/>
      </c>
      <c r="T195" s="62">
        <f>IF(ISNUMBER('Übung 18'!BY$8),1,0)</f>
        <v/>
      </c>
      <c r="U195" s="62">
        <f>IF(ISNUMBER('Übung 19'!BY$8),1,0)</f>
        <v/>
      </c>
      <c r="V195" s="62">
        <f>IF(ISNUMBER('Übung 20'!BY$8),1,0)</f>
        <v/>
      </c>
    </row>
    <row r="196">
      <c r="C196" s="62">
        <f>IF(ISNUMBER('Übung 01'!BZ$8),1,0)</f>
        <v/>
      </c>
      <c r="D196" s="62">
        <f>IF(ISNUMBER('Übung 02'!BZ$8),1,0)</f>
        <v/>
      </c>
      <c r="E196" s="62">
        <f>IF(ISNUMBER('Übung 03'!BZ$8),1,0)</f>
        <v/>
      </c>
      <c r="F196" s="62">
        <f>IF(ISNUMBER('Übung 04'!BZ$8),1,0)</f>
        <v/>
      </c>
      <c r="G196" s="62">
        <f>IF(ISNUMBER('Übung 05'!BZ$8),1,0)</f>
        <v/>
      </c>
      <c r="H196" s="62">
        <f>IF(ISNUMBER('Übung 06'!BZ$8),1,0)</f>
        <v/>
      </c>
      <c r="I196" s="62">
        <f>IF(ISNUMBER('Übung 07'!BZ$8),1,0)</f>
        <v/>
      </c>
      <c r="J196" s="62">
        <f>IF(ISNUMBER('Übung 08'!BZ$8),1,0)</f>
        <v/>
      </c>
      <c r="K196" s="62">
        <f>IF(ISNUMBER('Übung 09'!BZ$8),1,0)</f>
        <v/>
      </c>
      <c r="L196" s="62">
        <f>IF(ISNUMBER('Übung 10'!BZ$8),1,0)</f>
        <v/>
      </c>
      <c r="M196" s="62">
        <f>IF(ISNUMBER('Übung 11'!BZ$8),1,0)</f>
        <v/>
      </c>
      <c r="N196" s="62">
        <f>IF(ISNUMBER('Übung 12'!BZ$8),1,0)</f>
        <v/>
      </c>
      <c r="O196" s="62">
        <f>IF(ISNUMBER('Übung 13'!BZ$8),1,0)</f>
        <v/>
      </c>
      <c r="P196" s="62">
        <f>IF(ISNUMBER('Übung 14'!BZ$8),1,0)</f>
        <v/>
      </c>
      <c r="Q196" s="62">
        <f>IF(ISNUMBER('Übung 15'!BZ$8),1,0)</f>
        <v/>
      </c>
      <c r="R196" s="62">
        <f>IF(ISNUMBER('Übung 16'!BZ$8),1,0)</f>
        <v/>
      </c>
      <c r="S196" s="62">
        <f>IF(ISNUMBER('Übung 17'!BZ$8),1,0)</f>
        <v/>
      </c>
      <c r="T196" s="62">
        <f>IF(ISNUMBER('Übung 18'!BZ$8),1,0)</f>
        <v/>
      </c>
      <c r="U196" s="62">
        <f>IF(ISNUMBER('Übung 19'!BZ$8),1,0)</f>
        <v/>
      </c>
      <c r="V196" s="62">
        <f>IF(ISNUMBER('Übung 20'!BZ$8),1,0)</f>
        <v/>
      </c>
    </row>
    <row r="197">
      <c r="C197" s="62">
        <f>IF(ISNUMBER('Übung 01'!CA$8),1,0)</f>
        <v/>
      </c>
      <c r="D197" s="62">
        <f>IF(ISNUMBER('Übung 02'!CA$8),1,0)</f>
        <v/>
      </c>
      <c r="E197" s="62">
        <f>IF(ISNUMBER('Übung 03'!CA$8),1,0)</f>
        <v/>
      </c>
      <c r="F197" s="62">
        <f>IF(ISNUMBER('Übung 04'!CA$8),1,0)</f>
        <v/>
      </c>
      <c r="G197" s="62">
        <f>IF(ISNUMBER('Übung 05'!CA$8),1,0)</f>
        <v/>
      </c>
      <c r="H197" s="62">
        <f>IF(ISNUMBER('Übung 06'!CA$8),1,0)</f>
        <v/>
      </c>
      <c r="I197" s="62">
        <f>IF(ISNUMBER('Übung 07'!CA$8),1,0)</f>
        <v/>
      </c>
      <c r="J197" s="62">
        <f>IF(ISNUMBER('Übung 08'!CA$8),1,0)</f>
        <v/>
      </c>
      <c r="K197" s="62">
        <f>IF(ISNUMBER('Übung 09'!CA$8),1,0)</f>
        <v/>
      </c>
      <c r="L197" s="62">
        <f>IF(ISNUMBER('Übung 10'!CA$8),1,0)</f>
        <v/>
      </c>
      <c r="M197" s="62">
        <f>IF(ISNUMBER('Übung 11'!CA$8),1,0)</f>
        <v/>
      </c>
      <c r="N197" s="62">
        <f>IF(ISNUMBER('Übung 12'!CA$8),1,0)</f>
        <v/>
      </c>
      <c r="O197" s="62">
        <f>IF(ISNUMBER('Übung 13'!CA$8),1,0)</f>
        <v/>
      </c>
      <c r="P197" s="62">
        <f>IF(ISNUMBER('Übung 14'!CA$8),1,0)</f>
        <v/>
      </c>
      <c r="Q197" s="62">
        <f>IF(ISNUMBER('Übung 15'!CA$8),1,0)</f>
        <v/>
      </c>
      <c r="R197" s="62">
        <f>IF(ISNUMBER('Übung 16'!CA$8),1,0)</f>
        <v/>
      </c>
      <c r="S197" s="62">
        <f>IF(ISNUMBER('Übung 17'!CA$8),1,0)</f>
        <v/>
      </c>
      <c r="T197" s="62">
        <f>IF(ISNUMBER('Übung 18'!CA$8),1,0)</f>
        <v/>
      </c>
      <c r="U197" s="62">
        <f>IF(ISNUMBER('Übung 19'!CA$8),1,0)</f>
        <v/>
      </c>
      <c r="V197" s="62">
        <f>IF(ISNUMBER('Übung 20'!CA$8),1,0)</f>
        <v/>
      </c>
    </row>
    <row r="198">
      <c r="C198" s="62">
        <f>IF(ISNUMBER('Übung 01'!CB$8),1,0)</f>
        <v/>
      </c>
      <c r="D198" s="62">
        <f>IF(ISNUMBER('Übung 02'!CB$8),1,0)</f>
        <v/>
      </c>
      <c r="E198" s="62">
        <f>IF(ISNUMBER('Übung 03'!CB$8),1,0)</f>
        <v/>
      </c>
      <c r="F198" s="62">
        <f>IF(ISNUMBER('Übung 04'!CB$8),1,0)</f>
        <v/>
      </c>
      <c r="G198" s="62">
        <f>IF(ISNUMBER('Übung 05'!CB$8),1,0)</f>
        <v/>
      </c>
      <c r="H198" s="62">
        <f>IF(ISNUMBER('Übung 06'!CB$8),1,0)</f>
        <v/>
      </c>
      <c r="I198" s="62">
        <f>IF(ISNUMBER('Übung 07'!CB$8),1,0)</f>
        <v/>
      </c>
      <c r="J198" s="62">
        <f>IF(ISNUMBER('Übung 08'!CB$8),1,0)</f>
        <v/>
      </c>
      <c r="K198" s="62">
        <f>IF(ISNUMBER('Übung 09'!CB$8),1,0)</f>
        <v/>
      </c>
      <c r="L198" s="62">
        <f>IF(ISNUMBER('Übung 10'!CB$8),1,0)</f>
        <v/>
      </c>
      <c r="M198" s="62">
        <f>IF(ISNUMBER('Übung 11'!CB$8),1,0)</f>
        <v/>
      </c>
      <c r="N198" s="62">
        <f>IF(ISNUMBER('Übung 12'!CB$8),1,0)</f>
        <v/>
      </c>
      <c r="O198" s="62">
        <f>IF(ISNUMBER('Übung 13'!CB$8),1,0)</f>
        <v/>
      </c>
      <c r="P198" s="62">
        <f>IF(ISNUMBER('Übung 14'!CB$8),1,0)</f>
        <v/>
      </c>
      <c r="Q198" s="62">
        <f>IF(ISNUMBER('Übung 15'!CB$8),1,0)</f>
        <v/>
      </c>
      <c r="R198" s="62">
        <f>IF(ISNUMBER('Übung 16'!CB$8),1,0)</f>
        <v/>
      </c>
      <c r="S198" s="62">
        <f>IF(ISNUMBER('Übung 17'!CB$8),1,0)</f>
        <v/>
      </c>
      <c r="T198" s="62">
        <f>IF(ISNUMBER('Übung 18'!CB$8),1,0)</f>
        <v/>
      </c>
      <c r="U198" s="62">
        <f>IF(ISNUMBER('Übung 19'!CB$8),1,0)</f>
        <v/>
      </c>
      <c r="V198" s="62">
        <f>IF(ISNUMBER('Übung 20'!CB$8),1,0)</f>
        <v/>
      </c>
    </row>
    <row r="199">
      <c r="C199" s="62">
        <f>IF(ISNUMBER('Übung 01'!CC$8),1,0)</f>
        <v/>
      </c>
      <c r="D199" s="62">
        <f>IF(ISNUMBER('Übung 02'!CC$8),1,0)</f>
        <v/>
      </c>
      <c r="E199" s="62">
        <f>IF(ISNUMBER('Übung 03'!CC$8),1,0)</f>
        <v/>
      </c>
      <c r="F199" s="62">
        <f>IF(ISNUMBER('Übung 04'!CC$8),1,0)</f>
        <v/>
      </c>
      <c r="G199" s="62">
        <f>IF(ISNUMBER('Übung 05'!CC$8),1,0)</f>
        <v/>
      </c>
      <c r="H199" s="62">
        <f>IF(ISNUMBER('Übung 06'!CC$8),1,0)</f>
        <v/>
      </c>
      <c r="I199" s="62">
        <f>IF(ISNUMBER('Übung 07'!CC$8),1,0)</f>
        <v/>
      </c>
      <c r="J199" s="62">
        <f>IF(ISNUMBER('Übung 08'!CC$8),1,0)</f>
        <v/>
      </c>
      <c r="K199" s="62">
        <f>IF(ISNUMBER('Übung 09'!CC$8),1,0)</f>
        <v/>
      </c>
      <c r="L199" s="62">
        <f>IF(ISNUMBER('Übung 10'!CC$8),1,0)</f>
        <v/>
      </c>
      <c r="M199" s="62">
        <f>IF(ISNUMBER('Übung 11'!CC$8),1,0)</f>
        <v/>
      </c>
      <c r="N199" s="62">
        <f>IF(ISNUMBER('Übung 12'!CC$8),1,0)</f>
        <v/>
      </c>
      <c r="O199" s="62">
        <f>IF(ISNUMBER('Übung 13'!CC$8),1,0)</f>
        <v/>
      </c>
      <c r="P199" s="62">
        <f>IF(ISNUMBER('Übung 14'!CC$8),1,0)</f>
        <v/>
      </c>
      <c r="Q199" s="62">
        <f>IF(ISNUMBER('Übung 15'!CC$8),1,0)</f>
        <v/>
      </c>
      <c r="R199" s="62">
        <f>IF(ISNUMBER('Übung 16'!CC$8),1,0)</f>
        <v/>
      </c>
      <c r="S199" s="62">
        <f>IF(ISNUMBER('Übung 17'!CC$8),1,0)</f>
        <v/>
      </c>
      <c r="T199" s="62">
        <f>IF(ISNUMBER('Übung 18'!CC$8),1,0)</f>
        <v/>
      </c>
      <c r="U199" s="62">
        <f>IF(ISNUMBER('Übung 19'!CC$8),1,0)</f>
        <v/>
      </c>
      <c r="V199" s="62">
        <f>IF(ISNUMBER('Übung 20'!CC$8),1,0)</f>
        <v/>
      </c>
    </row>
    <row r="200">
      <c r="C200" s="62">
        <f>IF(ISNUMBER('Übung 01'!CE$8),1,0)</f>
        <v/>
      </c>
      <c r="D200" s="62">
        <f>IF(ISNUMBER('Übung 02'!CE$8),1,0)</f>
        <v/>
      </c>
      <c r="E200" s="62">
        <f>IF(ISNUMBER('Übung 03'!CE$8),1,0)</f>
        <v/>
      </c>
      <c r="F200" s="62">
        <f>IF(ISNUMBER('Übung 04'!CE$8),1,0)</f>
        <v/>
      </c>
      <c r="G200" s="62">
        <f>IF(ISNUMBER('Übung 05'!CE$8),1,0)</f>
        <v/>
      </c>
      <c r="H200" s="62">
        <f>IF(ISNUMBER('Übung 06'!CE$8),1,0)</f>
        <v/>
      </c>
      <c r="I200" s="62">
        <f>IF(ISNUMBER('Übung 07'!CE$8),1,0)</f>
        <v/>
      </c>
      <c r="J200" s="62">
        <f>IF(ISNUMBER('Übung 08'!CE$8),1,0)</f>
        <v/>
      </c>
      <c r="K200" s="62">
        <f>IF(ISNUMBER('Übung 09'!CE$8),1,0)</f>
        <v/>
      </c>
      <c r="L200" s="62">
        <f>IF(ISNUMBER('Übung 10'!CE$8),1,0)</f>
        <v/>
      </c>
      <c r="M200" s="62">
        <f>IF(ISNUMBER('Übung 11'!CE$8),1,0)</f>
        <v/>
      </c>
      <c r="N200" s="62">
        <f>IF(ISNUMBER('Übung 12'!CE$8),1,0)</f>
        <v/>
      </c>
      <c r="O200" s="62">
        <f>IF(ISNUMBER('Übung 13'!CE$8),1,0)</f>
        <v/>
      </c>
      <c r="P200" s="62">
        <f>IF(ISNUMBER('Übung 14'!CE$8),1,0)</f>
        <v/>
      </c>
      <c r="Q200" s="62">
        <f>IF(ISNUMBER('Übung 15'!CE$8),1,0)</f>
        <v/>
      </c>
      <c r="R200" s="62">
        <f>IF(ISNUMBER('Übung 16'!CE$8),1,0)</f>
        <v/>
      </c>
      <c r="S200" s="62">
        <f>IF(ISNUMBER('Übung 17'!CE$8),1,0)</f>
        <v/>
      </c>
      <c r="T200" s="62">
        <f>IF(ISNUMBER('Übung 18'!CE$8),1,0)</f>
        <v/>
      </c>
      <c r="U200" s="62">
        <f>IF(ISNUMBER('Übung 19'!CE$8),1,0)</f>
        <v/>
      </c>
      <c r="V200" s="62">
        <f>IF(ISNUMBER('Übung 20'!CE$8),1,0)</f>
        <v/>
      </c>
    </row>
    <row r="201">
      <c r="C201" s="62">
        <f>IF(ISNUMBER('Übung 01'!CF$8),1,0)</f>
        <v/>
      </c>
      <c r="D201" s="62">
        <f>IF(ISNUMBER('Übung 02'!CF$8),1,0)</f>
        <v/>
      </c>
      <c r="E201" s="62">
        <f>IF(ISNUMBER('Übung 03'!CF$8),1,0)</f>
        <v/>
      </c>
      <c r="F201" s="62">
        <f>IF(ISNUMBER('Übung 04'!CF$8),1,0)</f>
        <v/>
      </c>
      <c r="G201" s="62">
        <f>IF(ISNUMBER('Übung 05'!CF$8),1,0)</f>
        <v/>
      </c>
      <c r="H201" s="62">
        <f>IF(ISNUMBER('Übung 06'!CF$8),1,0)</f>
        <v/>
      </c>
      <c r="I201" s="62">
        <f>IF(ISNUMBER('Übung 07'!CF$8),1,0)</f>
        <v/>
      </c>
      <c r="J201" s="62">
        <f>IF(ISNUMBER('Übung 08'!CF$8),1,0)</f>
        <v/>
      </c>
      <c r="K201" s="62">
        <f>IF(ISNUMBER('Übung 09'!CF$8),1,0)</f>
        <v/>
      </c>
      <c r="L201" s="62">
        <f>IF(ISNUMBER('Übung 10'!CF$8),1,0)</f>
        <v/>
      </c>
      <c r="M201" s="62">
        <f>IF(ISNUMBER('Übung 11'!CF$8),1,0)</f>
        <v/>
      </c>
      <c r="N201" s="62">
        <f>IF(ISNUMBER('Übung 12'!CF$8),1,0)</f>
        <v/>
      </c>
      <c r="O201" s="62">
        <f>IF(ISNUMBER('Übung 13'!CF$8),1,0)</f>
        <v/>
      </c>
      <c r="P201" s="62">
        <f>IF(ISNUMBER('Übung 14'!CF$8),1,0)</f>
        <v/>
      </c>
      <c r="Q201" s="62">
        <f>IF(ISNUMBER('Übung 15'!CF$8),1,0)</f>
        <v/>
      </c>
      <c r="R201" s="62">
        <f>IF(ISNUMBER('Übung 16'!CF$8),1,0)</f>
        <v/>
      </c>
      <c r="S201" s="62">
        <f>IF(ISNUMBER('Übung 17'!CF$8),1,0)</f>
        <v/>
      </c>
      <c r="T201" s="62">
        <f>IF(ISNUMBER('Übung 18'!CF$8),1,0)</f>
        <v/>
      </c>
      <c r="U201" s="62">
        <f>IF(ISNUMBER('Übung 19'!CF$8),1,0)</f>
        <v/>
      </c>
      <c r="V201" s="62">
        <f>IF(ISNUMBER('Übung 20'!CF$8),1,0)</f>
        <v/>
      </c>
    </row>
    <row r="202">
      <c r="C202" s="62">
        <f>IF(ISNUMBER('Übung 01'!CG$8),1,0)</f>
        <v/>
      </c>
      <c r="D202" s="62">
        <f>IF(ISNUMBER('Übung 02'!CG$8),1,0)</f>
        <v/>
      </c>
      <c r="E202" s="62">
        <f>IF(ISNUMBER('Übung 03'!CG$8),1,0)</f>
        <v/>
      </c>
      <c r="F202" s="62">
        <f>IF(ISNUMBER('Übung 04'!CG$8),1,0)</f>
        <v/>
      </c>
      <c r="G202" s="62">
        <f>IF(ISNUMBER('Übung 05'!CG$8),1,0)</f>
        <v/>
      </c>
      <c r="H202" s="62">
        <f>IF(ISNUMBER('Übung 06'!CG$8),1,0)</f>
        <v/>
      </c>
      <c r="I202" s="62">
        <f>IF(ISNUMBER('Übung 07'!CG$8),1,0)</f>
        <v/>
      </c>
      <c r="J202" s="62">
        <f>IF(ISNUMBER('Übung 08'!CG$8),1,0)</f>
        <v/>
      </c>
      <c r="K202" s="62">
        <f>IF(ISNUMBER('Übung 09'!CG$8),1,0)</f>
        <v/>
      </c>
      <c r="L202" s="62">
        <f>IF(ISNUMBER('Übung 10'!CG$8),1,0)</f>
        <v/>
      </c>
      <c r="M202" s="62">
        <f>IF(ISNUMBER('Übung 11'!CG$8),1,0)</f>
        <v/>
      </c>
      <c r="N202" s="62">
        <f>IF(ISNUMBER('Übung 12'!CG$8),1,0)</f>
        <v/>
      </c>
      <c r="O202" s="62">
        <f>IF(ISNUMBER('Übung 13'!CG$8),1,0)</f>
        <v/>
      </c>
      <c r="P202" s="62">
        <f>IF(ISNUMBER('Übung 14'!CG$8),1,0)</f>
        <v/>
      </c>
      <c r="Q202" s="62">
        <f>IF(ISNUMBER('Übung 15'!CG$8),1,0)</f>
        <v/>
      </c>
      <c r="R202" s="62">
        <f>IF(ISNUMBER('Übung 16'!CG$8),1,0)</f>
        <v/>
      </c>
      <c r="S202" s="62">
        <f>IF(ISNUMBER('Übung 17'!CG$8),1,0)</f>
        <v/>
      </c>
      <c r="T202" s="62">
        <f>IF(ISNUMBER('Übung 18'!CG$8),1,0)</f>
        <v/>
      </c>
      <c r="U202" s="62">
        <f>IF(ISNUMBER('Übung 19'!CG$8),1,0)</f>
        <v/>
      </c>
      <c r="V202" s="62">
        <f>IF(ISNUMBER('Übung 20'!CG$8),1,0)</f>
        <v/>
      </c>
    </row>
    <row r="203">
      <c r="C203" s="62">
        <f>IF(ISNUMBER('Übung 01'!CH$8),1,0)</f>
        <v/>
      </c>
      <c r="D203" s="62">
        <f>IF(ISNUMBER('Übung 02'!CH$8),1,0)</f>
        <v/>
      </c>
      <c r="E203" s="62">
        <f>IF(ISNUMBER('Übung 03'!CH$8),1,0)</f>
        <v/>
      </c>
      <c r="F203" s="62">
        <f>IF(ISNUMBER('Übung 04'!CH$8),1,0)</f>
        <v/>
      </c>
      <c r="G203" s="62">
        <f>IF(ISNUMBER('Übung 05'!CH$8),1,0)</f>
        <v/>
      </c>
      <c r="H203" s="62">
        <f>IF(ISNUMBER('Übung 06'!CH$8),1,0)</f>
        <v/>
      </c>
      <c r="I203" s="62">
        <f>IF(ISNUMBER('Übung 07'!CH$8),1,0)</f>
        <v/>
      </c>
      <c r="J203" s="62">
        <f>IF(ISNUMBER('Übung 08'!CH$8),1,0)</f>
        <v/>
      </c>
      <c r="K203" s="62">
        <f>IF(ISNUMBER('Übung 09'!CH$8),1,0)</f>
        <v/>
      </c>
      <c r="L203" s="62">
        <f>IF(ISNUMBER('Übung 10'!CH$8),1,0)</f>
        <v/>
      </c>
      <c r="M203" s="62">
        <f>IF(ISNUMBER('Übung 11'!CH$8),1,0)</f>
        <v/>
      </c>
      <c r="N203" s="62">
        <f>IF(ISNUMBER('Übung 12'!CH$8),1,0)</f>
        <v/>
      </c>
      <c r="O203" s="62">
        <f>IF(ISNUMBER('Übung 13'!CH$8),1,0)</f>
        <v/>
      </c>
      <c r="P203" s="62">
        <f>IF(ISNUMBER('Übung 14'!CH$8),1,0)</f>
        <v/>
      </c>
      <c r="Q203" s="62">
        <f>IF(ISNUMBER('Übung 15'!CH$8),1,0)</f>
        <v/>
      </c>
      <c r="R203" s="62">
        <f>IF(ISNUMBER('Übung 16'!CH$8),1,0)</f>
        <v/>
      </c>
      <c r="S203" s="62">
        <f>IF(ISNUMBER('Übung 17'!CH$8),1,0)</f>
        <v/>
      </c>
      <c r="T203" s="62">
        <f>IF(ISNUMBER('Übung 18'!CH$8),1,0)</f>
        <v/>
      </c>
      <c r="U203" s="62">
        <f>IF(ISNUMBER('Übung 19'!CH$8),1,0)</f>
        <v/>
      </c>
      <c r="V203" s="62">
        <f>IF(ISNUMBER('Übung 20'!CH$8),1,0)</f>
        <v/>
      </c>
    </row>
    <row r="204">
      <c r="C204" s="62">
        <f>IF(ISNUMBER('Übung 01'!CI$8),1,0)</f>
        <v/>
      </c>
      <c r="D204" s="62">
        <f>IF(ISNUMBER('Übung 02'!CI$8),1,0)</f>
        <v/>
      </c>
      <c r="E204" s="62">
        <f>IF(ISNUMBER('Übung 03'!CI$8),1,0)</f>
        <v/>
      </c>
      <c r="F204" s="62">
        <f>IF(ISNUMBER('Übung 04'!CI$8),1,0)</f>
        <v/>
      </c>
      <c r="G204" s="62">
        <f>IF(ISNUMBER('Übung 05'!CI$8),1,0)</f>
        <v/>
      </c>
      <c r="H204" s="62">
        <f>IF(ISNUMBER('Übung 06'!CI$8),1,0)</f>
        <v/>
      </c>
      <c r="I204" s="62">
        <f>IF(ISNUMBER('Übung 07'!CI$8),1,0)</f>
        <v/>
      </c>
      <c r="J204" s="62">
        <f>IF(ISNUMBER('Übung 08'!CI$8),1,0)</f>
        <v/>
      </c>
      <c r="K204" s="62">
        <f>IF(ISNUMBER('Übung 09'!CI$8),1,0)</f>
        <v/>
      </c>
      <c r="L204" s="62">
        <f>IF(ISNUMBER('Übung 10'!CI$8),1,0)</f>
        <v/>
      </c>
      <c r="M204" s="62">
        <f>IF(ISNUMBER('Übung 11'!CI$8),1,0)</f>
        <v/>
      </c>
      <c r="N204" s="62">
        <f>IF(ISNUMBER('Übung 12'!CI$8),1,0)</f>
        <v/>
      </c>
      <c r="O204" s="62">
        <f>IF(ISNUMBER('Übung 13'!CI$8),1,0)</f>
        <v/>
      </c>
      <c r="P204" s="62">
        <f>IF(ISNUMBER('Übung 14'!CI$8),1,0)</f>
        <v/>
      </c>
      <c r="Q204" s="62">
        <f>IF(ISNUMBER('Übung 15'!CI$8),1,0)</f>
        <v/>
      </c>
      <c r="R204" s="62">
        <f>IF(ISNUMBER('Übung 16'!CI$8),1,0)</f>
        <v/>
      </c>
      <c r="S204" s="62">
        <f>IF(ISNUMBER('Übung 17'!CI$8),1,0)</f>
        <v/>
      </c>
      <c r="T204" s="62">
        <f>IF(ISNUMBER('Übung 18'!CI$8),1,0)</f>
        <v/>
      </c>
      <c r="U204" s="62">
        <f>IF(ISNUMBER('Übung 19'!CI$8),1,0)</f>
        <v/>
      </c>
      <c r="V204" s="62">
        <f>IF(ISNUMBER('Übung 20'!CI$8),1,0)</f>
        <v/>
      </c>
    </row>
    <row r="205">
      <c r="C205" s="62">
        <f>IF(ISNUMBER('Übung 01'!CJ$8),1,0)</f>
        <v/>
      </c>
      <c r="D205" s="62">
        <f>IF(ISNUMBER('Übung 02'!CJ$8),1,0)</f>
        <v/>
      </c>
      <c r="E205" s="62">
        <f>IF(ISNUMBER('Übung 03'!CJ$8),1,0)</f>
        <v/>
      </c>
      <c r="F205" s="62">
        <f>IF(ISNUMBER('Übung 04'!CJ$8),1,0)</f>
        <v/>
      </c>
      <c r="G205" s="62">
        <f>IF(ISNUMBER('Übung 05'!CJ$8),1,0)</f>
        <v/>
      </c>
      <c r="H205" s="62">
        <f>IF(ISNUMBER('Übung 06'!CJ$8),1,0)</f>
        <v/>
      </c>
      <c r="I205" s="62">
        <f>IF(ISNUMBER('Übung 07'!CJ$8),1,0)</f>
        <v/>
      </c>
      <c r="J205" s="62">
        <f>IF(ISNUMBER('Übung 08'!CJ$8),1,0)</f>
        <v/>
      </c>
      <c r="K205" s="62">
        <f>IF(ISNUMBER('Übung 09'!CJ$8),1,0)</f>
        <v/>
      </c>
      <c r="L205" s="62">
        <f>IF(ISNUMBER('Übung 10'!CJ$8),1,0)</f>
        <v/>
      </c>
      <c r="M205" s="62">
        <f>IF(ISNUMBER('Übung 11'!CJ$8),1,0)</f>
        <v/>
      </c>
      <c r="N205" s="62">
        <f>IF(ISNUMBER('Übung 12'!CJ$8),1,0)</f>
        <v/>
      </c>
      <c r="O205" s="62">
        <f>IF(ISNUMBER('Übung 13'!CJ$8),1,0)</f>
        <v/>
      </c>
      <c r="P205" s="62">
        <f>IF(ISNUMBER('Übung 14'!CJ$8),1,0)</f>
        <v/>
      </c>
      <c r="Q205" s="62">
        <f>IF(ISNUMBER('Übung 15'!CJ$8),1,0)</f>
        <v/>
      </c>
      <c r="R205" s="62">
        <f>IF(ISNUMBER('Übung 16'!CJ$8),1,0)</f>
        <v/>
      </c>
      <c r="S205" s="62">
        <f>IF(ISNUMBER('Übung 17'!CJ$8),1,0)</f>
        <v/>
      </c>
      <c r="T205" s="62">
        <f>IF(ISNUMBER('Übung 18'!CJ$8),1,0)</f>
        <v/>
      </c>
      <c r="U205" s="62">
        <f>IF(ISNUMBER('Übung 19'!CJ$8),1,0)</f>
        <v/>
      </c>
      <c r="V205" s="62">
        <f>IF(ISNUMBER('Übung 20'!CJ$8),1,0)</f>
        <v/>
      </c>
    </row>
    <row r="206">
      <c r="C206" s="62">
        <f>IF(ISNUMBER('Übung 01'!CK$8),1,0)</f>
        <v/>
      </c>
      <c r="D206" s="62">
        <f>IF(ISNUMBER('Übung 02'!CK$8),1,0)</f>
        <v/>
      </c>
      <c r="E206" s="62">
        <f>IF(ISNUMBER('Übung 03'!CK$8),1,0)</f>
        <v/>
      </c>
      <c r="F206" s="62">
        <f>IF(ISNUMBER('Übung 04'!CK$8),1,0)</f>
        <v/>
      </c>
      <c r="G206" s="62">
        <f>IF(ISNUMBER('Übung 05'!CK$8),1,0)</f>
        <v/>
      </c>
      <c r="H206" s="62">
        <f>IF(ISNUMBER('Übung 06'!CK$8),1,0)</f>
        <v/>
      </c>
      <c r="I206" s="62">
        <f>IF(ISNUMBER('Übung 07'!CK$8),1,0)</f>
        <v/>
      </c>
      <c r="J206" s="62">
        <f>IF(ISNUMBER('Übung 08'!CK$8),1,0)</f>
        <v/>
      </c>
      <c r="K206" s="62">
        <f>IF(ISNUMBER('Übung 09'!CK$8),1,0)</f>
        <v/>
      </c>
      <c r="L206" s="62">
        <f>IF(ISNUMBER('Übung 10'!CK$8),1,0)</f>
        <v/>
      </c>
      <c r="M206" s="62">
        <f>IF(ISNUMBER('Übung 11'!CK$8),1,0)</f>
        <v/>
      </c>
      <c r="N206" s="62">
        <f>IF(ISNUMBER('Übung 12'!CK$8),1,0)</f>
        <v/>
      </c>
      <c r="O206" s="62">
        <f>IF(ISNUMBER('Übung 13'!CK$8),1,0)</f>
        <v/>
      </c>
      <c r="P206" s="62">
        <f>IF(ISNUMBER('Übung 14'!CK$8),1,0)</f>
        <v/>
      </c>
      <c r="Q206" s="62">
        <f>IF(ISNUMBER('Übung 15'!CK$8),1,0)</f>
        <v/>
      </c>
      <c r="R206" s="62">
        <f>IF(ISNUMBER('Übung 16'!CK$8),1,0)</f>
        <v/>
      </c>
      <c r="S206" s="62">
        <f>IF(ISNUMBER('Übung 17'!CK$8),1,0)</f>
        <v/>
      </c>
      <c r="T206" s="62">
        <f>IF(ISNUMBER('Übung 18'!CK$8),1,0)</f>
        <v/>
      </c>
      <c r="U206" s="62">
        <f>IF(ISNUMBER('Übung 19'!CK$8),1,0)</f>
        <v/>
      </c>
      <c r="V206" s="62">
        <f>IF(ISNUMBER('Übung 20'!CK$8),1,0)</f>
        <v/>
      </c>
    </row>
    <row r="207">
      <c r="C207" s="62">
        <f>IF(ISNUMBER('Übung 01'!CL$8),1,0)</f>
        <v/>
      </c>
      <c r="D207" s="62">
        <f>IF(ISNUMBER('Übung 02'!CL$8),1,0)</f>
        <v/>
      </c>
      <c r="E207" s="62">
        <f>IF(ISNUMBER('Übung 03'!CL$8),1,0)</f>
        <v/>
      </c>
      <c r="F207" s="62">
        <f>IF(ISNUMBER('Übung 04'!CL$8),1,0)</f>
        <v/>
      </c>
      <c r="G207" s="62">
        <f>IF(ISNUMBER('Übung 05'!CL$8),1,0)</f>
        <v/>
      </c>
      <c r="H207" s="62">
        <f>IF(ISNUMBER('Übung 06'!CL$8),1,0)</f>
        <v/>
      </c>
      <c r="I207" s="62">
        <f>IF(ISNUMBER('Übung 07'!CL$8),1,0)</f>
        <v/>
      </c>
      <c r="J207" s="62">
        <f>IF(ISNUMBER('Übung 08'!CL$8),1,0)</f>
        <v/>
      </c>
      <c r="K207" s="62">
        <f>IF(ISNUMBER('Übung 09'!CL$8),1,0)</f>
        <v/>
      </c>
      <c r="L207" s="62">
        <f>IF(ISNUMBER('Übung 10'!CL$8),1,0)</f>
        <v/>
      </c>
      <c r="M207" s="62">
        <f>IF(ISNUMBER('Übung 11'!CL$8),1,0)</f>
        <v/>
      </c>
      <c r="N207" s="62">
        <f>IF(ISNUMBER('Übung 12'!CL$8),1,0)</f>
        <v/>
      </c>
      <c r="O207" s="62">
        <f>IF(ISNUMBER('Übung 13'!CL$8),1,0)</f>
        <v/>
      </c>
      <c r="P207" s="62">
        <f>IF(ISNUMBER('Übung 14'!CL$8),1,0)</f>
        <v/>
      </c>
      <c r="Q207" s="62">
        <f>IF(ISNUMBER('Übung 15'!CL$8),1,0)</f>
        <v/>
      </c>
      <c r="R207" s="62">
        <f>IF(ISNUMBER('Übung 16'!CL$8),1,0)</f>
        <v/>
      </c>
      <c r="S207" s="62">
        <f>IF(ISNUMBER('Übung 17'!CL$8),1,0)</f>
        <v/>
      </c>
      <c r="T207" s="62">
        <f>IF(ISNUMBER('Übung 18'!CL$8),1,0)</f>
        <v/>
      </c>
      <c r="U207" s="62">
        <f>IF(ISNUMBER('Übung 19'!CL$8),1,0)</f>
        <v/>
      </c>
      <c r="V207" s="62">
        <f>IF(ISNUMBER('Übung 20'!CL$8),1,0)</f>
        <v/>
      </c>
    </row>
    <row r="208">
      <c r="C208" s="62">
        <f>IF(ISNUMBER('Übung 01'!CM$8),1,0)</f>
        <v/>
      </c>
      <c r="D208" s="62">
        <f>IF(ISNUMBER('Übung 02'!CM$8),1,0)</f>
        <v/>
      </c>
      <c r="E208" s="62">
        <f>IF(ISNUMBER('Übung 03'!CM$8),1,0)</f>
        <v/>
      </c>
      <c r="F208" s="62">
        <f>IF(ISNUMBER('Übung 04'!CM$8),1,0)</f>
        <v/>
      </c>
      <c r="G208" s="62">
        <f>IF(ISNUMBER('Übung 05'!CM$8),1,0)</f>
        <v/>
      </c>
      <c r="H208" s="62">
        <f>IF(ISNUMBER('Übung 06'!CM$8),1,0)</f>
        <v/>
      </c>
      <c r="I208" s="62">
        <f>IF(ISNUMBER('Übung 07'!CM$8),1,0)</f>
        <v/>
      </c>
      <c r="J208" s="62">
        <f>IF(ISNUMBER('Übung 08'!CM$8),1,0)</f>
        <v/>
      </c>
      <c r="K208" s="62">
        <f>IF(ISNUMBER('Übung 09'!CM$8),1,0)</f>
        <v/>
      </c>
      <c r="L208" s="62">
        <f>IF(ISNUMBER('Übung 10'!CM$8),1,0)</f>
        <v/>
      </c>
      <c r="M208" s="62">
        <f>IF(ISNUMBER('Übung 11'!CM$8),1,0)</f>
        <v/>
      </c>
      <c r="N208" s="62">
        <f>IF(ISNUMBER('Übung 12'!CM$8),1,0)</f>
        <v/>
      </c>
      <c r="O208" s="62">
        <f>IF(ISNUMBER('Übung 13'!CM$8),1,0)</f>
        <v/>
      </c>
      <c r="P208" s="62">
        <f>IF(ISNUMBER('Übung 14'!CM$8),1,0)</f>
        <v/>
      </c>
      <c r="Q208" s="62">
        <f>IF(ISNUMBER('Übung 15'!CM$8),1,0)</f>
        <v/>
      </c>
      <c r="R208" s="62">
        <f>IF(ISNUMBER('Übung 16'!CM$8),1,0)</f>
        <v/>
      </c>
      <c r="S208" s="62">
        <f>IF(ISNUMBER('Übung 17'!CM$8),1,0)</f>
        <v/>
      </c>
      <c r="T208" s="62">
        <f>IF(ISNUMBER('Übung 18'!CM$8),1,0)</f>
        <v/>
      </c>
      <c r="U208" s="62">
        <f>IF(ISNUMBER('Übung 19'!CM$8),1,0)</f>
        <v/>
      </c>
      <c r="V208" s="62">
        <f>IF(ISNUMBER('Übung 20'!CM$8),1,0)</f>
        <v/>
      </c>
    </row>
    <row r="209">
      <c r="C209" s="62">
        <f>IF(ISNUMBER('Übung 01'!CN$8),1,0)</f>
        <v/>
      </c>
      <c r="D209" s="62">
        <f>IF(ISNUMBER('Übung 02'!CN$8),1,0)</f>
        <v/>
      </c>
      <c r="E209" s="62">
        <f>IF(ISNUMBER('Übung 03'!CN$8),1,0)</f>
        <v/>
      </c>
      <c r="F209" s="62">
        <f>IF(ISNUMBER('Übung 04'!CN$8),1,0)</f>
        <v/>
      </c>
      <c r="G209" s="62">
        <f>IF(ISNUMBER('Übung 05'!CN$8),1,0)</f>
        <v/>
      </c>
      <c r="H209" s="62">
        <f>IF(ISNUMBER('Übung 06'!CN$8),1,0)</f>
        <v/>
      </c>
      <c r="I209" s="62">
        <f>IF(ISNUMBER('Übung 07'!CN$8),1,0)</f>
        <v/>
      </c>
      <c r="J209" s="62">
        <f>IF(ISNUMBER('Übung 08'!CN$8),1,0)</f>
        <v/>
      </c>
      <c r="K209" s="62">
        <f>IF(ISNUMBER('Übung 09'!CN$8),1,0)</f>
        <v/>
      </c>
      <c r="L209" s="62">
        <f>IF(ISNUMBER('Übung 10'!CN$8),1,0)</f>
        <v/>
      </c>
      <c r="M209" s="62">
        <f>IF(ISNUMBER('Übung 11'!CN$8),1,0)</f>
        <v/>
      </c>
      <c r="N209" s="62">
        <f>IF(ISNUMBER('Übung 12'!CN$8),1,0)</f>
        <v/>
      </c>
      <c r="O209" s="62">
        <f>IF(ISNUMBER('Übung 13'!CN$8),1,0)</f>
        <v/>
      </c>
      <c r="P209" s="62">
        <f>IF(ISNUMBER('Übung 14'!CN$8),1,0)</f>
        <v/>
      </c>
      <c r="Q209" s="62">
        <f>IF(ISNUMBER('Übung 15'!CN$8),1,0)</f>
        <v/>
      </c>
      <c r="R209" s="62">
        <f>IF(ISNUMBER('Übung 16'!CN$8),1,0)</f>
        <v/>
      </c>
      <c r="S209" s="62">
        <f>IF(ISNUMBER('Übung 17'!CN$8),1,0)</f>
        <v/>
      </c>
      <c r="T209" s="62">
        <f>IF(ISNUMBER('Übung 18'!CN$8),1,0)</f>
        <v/>
      </c>
      <c r="U209" s="62">
        <f>IF(ISNUMBER('Übung 19'!CN$8),1,0)</f>
        <v/>
      </c>
      <c r="V209" s="62">
        <f>IF(ISNUMBER('Übung 20'!CN$8),1,0)</f>
        <v/>
      </c>
    </row>
    <row r="210">
      <c r="C210" s="62">
        <f>IF(ISNUMBER('Übung 01'!CO$8),1,0)</f>
        <v/>
      </c>
      <c r="D210" s="62">
        <f>IF(ISNUMBER('Übung 02'!CO$8),1,0)</f>
        <v/>
      </c>
      <c r="E210" s="62">
        <f>IF(ISNUMBER('Übung 03'!CO$8),1,0)</f>
        <v/>
      </c>
      <c r="F210" s="62">
        <f>IF(ISNUMBER('Übung 04'!CO$8),1,0)</f>
        <v/>
      </c>
      <c r="G210" s="62">
        <f>IF(ISNUMBER('Übung 05'!CO$8),1,0)</f>
        <v/>
      </c>
      <c r="H210" s="62">
        <f>IF(ISNUMBER('Übung 06'!CO$8),1,0)</f>
        <v/>
      </c>
      <c r="I210" s="62">
        <f>IF(ISNUMBER('Übung 07'!CO$8),1,0)</f>
        <v/>
      </c>
      <c r="J210" s="62">
        <f>IF(ISNUMBER('Übung 08'!CO$8),1,0)</f>
        <v/>
      </c>
      <c r="K210" s="62">
        <f>IF(ISNUMBER('Übung 09'!CO$8),1,0)</f>
        <v/>
      </c>
      <c r="L210" s="62">
        <f>IF(ISNUMBER('Übung 10'!CO$8),1,0)</f>
        <v/>
      </c>
      <c r="M210" s="62">
        <f>IF(ISNUMBER('Übung 11'!CO$8),1,0)</f>
        <v/>
      </c>
      <c r="N210" s="62">
        <f>IF(ISNUMBER('Übung 12'!CO$8),1,0)</f>
        <v/>
      </c>
      <c r="O210" s="62">
        <f>IF(ISNUMBER('Übung 13'!CO$8),1,0)</f>
        <v/>
      </c>
      <c r="P210" s="62">
        <f>IF(ISNUMBER('Übung 14'!CO$8),1,0)</f>
        <v/>
      </c>
      <c r="Q210" s="62">
        <f>IF(ISNUMBER('Übung 15'!CO$8),1,0)</f>
        <v/>
      </c>
      <c r="R210" s="62">
        <f>IF(ISNUMBER('Übung 16'!CO$8),1,0)</f>
        <v/>
      </c>
      <c r="S210" s="62">
        <f>IF(ISNUMBER('Übung 17'!CO$8),1,0)</f>
        <v/>
      </c>
      <c r="T210" s="62">
        <f>IF(ISNUMBER('Übung 18'!CO$8),1,0)</f>
        <v/>
      </c>
      <c r="U210" s="62">
        <f>IF(ISNUMBER('Übung 19'!CO$8),1,0)</f>
        <v/>
      </c>
      <c r="V210" s="62">
        <f>IF(ISNUMBER('Übung 20'!CO$8),1,0)</f>
        <v/>
      </c>
    </row>
    <row r="211">
      <c r="C211" s="62">
        <f>IF(ISNUMBER('Übung 01'!CP$8),1,0)</f>
        <v/>
      </c>
      <c r="D211" s="62">
        <f>IF(ISNUMBER('Übung 02'!CP$8),1,0)</f>
        <v/>
      </c>
      <c r="E211" s="62">
        <f>IF(ISNUMBER('Übung 03'!CP$8),1,0)</f>
        <v/>
      </c>
      <c r="F211" s="62">
        <f>IF(ISNUMBER('Übung 04'!CP$8),1,0)</f>
        <v/>
      </c>
      <c r="G211" s="62">
        <f>IF(ISNUMBER('Übung 05'!CP$8),1,0)</f>
        <v/>
      </c>
      <c r="H211" s="62">
        <f>IF(ISNUMBER('Übung 06'!CP$8),1,0)</f>
        <v/>
      </c>
      <c r="I211" s="62">
        <f>IF(ISNUMBER('Übung 07'!CP$8),1,0)</f>
        <v/>
      </c>
      <c r="J211" s="62">
        <f>IF(ISNUMBER('Übung 08'!CP$8),1,0)</f>
        <v/>
      </c>
      <c r="K211" s="62">
        <f>IF(ISNUMBER('Übung 09'!CP$8),1,0)</f>
        <v/>
      </c>
      <c r="L211" s="62">
        <f>IF(ISNUMBER('Übung 10'!CP$8),1,0)</f>
        <v/>
      </c>
      <c r="M211" s="62">
        <f>IF(ISNUMBER('Übung 11'!CP$8),1,0)</f>
        <v/>
      </c>
      <c r="N211" s="62">
        <f>IF(ISNUMBER('Übung 12'!CP$8),1,0)</f>
        <v/>
      </c>
      <c r="O211" s="62">
        <f>IF(ISNUMBER('Übung 13'!CP$8),1,0)</f>
        <v/>
      </c>
      <c r="P211" s="62">
        <f>IF(ISNUMBER('Übung 14'!CP$8),1,0)</f>
        <v/>
      </c>
      <c r="Q211" s="62">
        <f>IF(ISNUMBER('Übung 15'!CP$8),1,0)</f>
        <v/>
      </c>
      <c r="R211" s="62">
        <f>IF(ISNUMBER('Übung 16'!CP$8),1,0)</f>
        <v/>
      </c>
      <c r="S211" s="62">
        <f>IF(ISNUMBER('Übung 17'!CP$8),1,0)</f>
        <v/>
      </c>
      <c r="T211" s="62">
        <f>IF(ISNUMBER('Übung 18'!CP$8),1,0)</f>
        <v/>
      </c>
      <c r="U211" s="62">
        <f>IF(ISNUMBER('Übung 19'!CP$8),1,0)</f>
        <v/>
      </c>
      <c r="V211" s="62">
        <f>IF(ISNUMBER('Übung 20'!CP$8),1,0)</f>
        <v/>
      </c>
    </row>
    <row r="212">
      <c r="C212" s="62">
        <f>IF(ISNUMBER('Übung 01'!CQ$8),1,0)</f>
        <v/>
      </c>
      <c r="D212" s="62">
        <f>IF(ISNUMBER('Übung 02'!CQ$8),1,0)</f>
        <v/>
      </c>
      <c r="E212" s="62">
        <f>IF(ISNUMBER('Übung 03'!CQ$8),1,0)</f>
        <v/>
      </c>
      <c r="F212" s="62">
        <f>IF(ISNUMBER('Übung 04'!CQ$8),1,0)</f>
        <v/>
      </c>
      <c r="G212" s="62">
        <f>IF(ISNUMBER('Übung 05'!CQ$8),1,0)</f>
        <v/>
      </c>
      <c r="H212" s="62">
        <f>IF(ISNUMBER('Übung 06'!CQ$8),1,0)</f>
        <v/>
      </c>
      <c r="I212" s="62">
        <f>IF(ISNUMBER('Übung 07'!CQ$8),1,0)</f>
        <v/>
      </c>
      <c r="J212" s="62">
        <f>IF(ISNUMBER('Übung 08'!CQ$8),1,0)</f>
        <v/>
      </c>
      <c r="K212" s="62">
        <f>IF(ISNUMBER('Übung 09'!CQ$8),1,0)</f>
        <v/>
      </c>
      <c r="L212" s="62">
        <f>IF(ISNUMBER('Übung 10'!CQ$8),1,0)</f>
        <v/>
      </c>
      <c r="M212" s="62">
        <f>IF(ISNUMBER('Übung 11'!CQ$8),1,0)</f>
        <v/>
      </c>
      <c r="N212" s="62">
        <f>IF(ISNUMBER('Übung 12'!CQ$8),1,0)</f>
        <v/>
      </c>
      <c r="O212" s="62">
        <f>IF(ISNUMBER('Übung 13'!CQ$8),1,0)</f>
        <v/>
      </c>
      <c r="P212" s="62">
        <f>IF(ISNUMBER('Übung 14'!CQ$8),1,0)</f>
        <v/>
      </c>
      <c r="Q212" s="62">
        <f>IF(ISNUMBER('Übung 15'!CQ$8),1,0)</f>
        <v/>
      </c>
      <c r="R212" s="62">
        <f>IF(ISNUMBER('Übung 16'!CQ$8),1,0)</f>
        <v/>
      </c>
      <c r="S212" s="62">
        <f>IF(ISNUMBER('Übung 17'!CQ$8),1,0)</f>
        <v/>
      </c>
      <c r="T212" s="62">
        <f>IF(ISNUMBER('Übung 18'!CQ$8),1,0)</f>
        <v/>
      </c>
      <c r="U212" s="62">
        <f>IF(ISNUMBER('Übung 19'!CQ$8),1,0)</f>
        <v/>
      </c>
      <c r="V212" s="62">
        <f>IF(ISNUMBER('Übung 20'!CQ$8),1,0)</f>
        <v/>
      </c>
    </row>
    <row r="213">
      <c r="C213" s="62">
        <f>IF(ISNUMBER('Übung 01'!CR$8),1,0)</f>
        <v/>
      </c>
      <c r="D213" s="62">
        <f>IF(ISNUMBER('Übung 02'!CR$8),1,0)</f>
        <v/>
      </c>
      <c r="E213" s="62">
        <f>IF(ISNUMBER('Übung 03'!CR$8),1,0)</f>
        <v/>
      </c>
      <c r="F213" s="62">
        <f>IF(ISNUMBER('Übung 04'!CR$8),1,0)</f>
        <v/>
      </c>
      <c r="G213" s="62">
        <f>IF(ISNUMBER('Übung 05'!CR$8),1,0)</f>
        <v/>
      </c>
      <c r="H213" s="62">
        <f>IF(ISNUMBER('Übung 06'!CR$8),1,0)</f>
        <v/>
      </c>
      <c r="I213" s="62">
        <f>IF(ISNUMBER('Übung 07'!CR$8),1,0)</f>
        <v/>
      </c>
      <c r="J213" s="62">
        <f>IF(ISNUMBER('Übung 08'!CR$8),1,0)</f>
        <v/>
      </c>
      <c r="K213" s="62">
        <f>IF(ISNUMBER('Übung 09'!CR$8),1,0)</f>
        <v/>
      </c>
      <c r="L213" s="62">
        <f>IF(ISNUMBER('Übung 10'!CR$8),1,0)</f>
        <v/>
      </c>
      <c r="M213" s="62">
        <f>IF(ISNUMBER('Übung 11'!CR$8),1,0)</f>
        <v/>
      </c>
      <c r="N213" s="62">
        <f>IF(ISNUMBER('Übung 12'!CR$8),1,0)</f>
        <v/>
      </c>
      <c r="O213" s="62">
        <f>IF(ISNUMBER('Übung 13'!CR$8),1,0)</f>
        <v/>
      </c>
      <c r="P213" s="62">
        <f>IF(ISNUMBER('Übung 14'!CR$8),1,0)</f>
        <v/>
      </c>
      <c r="Q213" s="62">
        <f>IF(ISNUMBER('Übung 15'!CR$8),1,0)</f>
        <v/>
      </c>
      <c r="R213" s="62">
        <f>IF(ISNUMBER('Übung 16'!CR$8),1,0)</f>
        <v/>
      </c>
      <c r="S213" s="62">
        <f>IF(ISNUMBER('Übung 17'!CR$8),1,0)</f>
        <v/>
      </c>
      <c r="T213" s="62">
        <f>IF(ISNUMBER('Übung 18'!CR$8),1,0)</f>
        <v/>
      </c>
      <c r="U213" s="62">
        <f>IF(ISNUMBER('Übung 19'!CR$8),1,0)</f>
        <v/>
      </c>
      <c r="V213" s="62">
        <f>IF(ISNUMBER('Übung 20'!CR$8),1,0)</f>
        <v/>
      </c>
    </row>
    <row r="214">
      <c r="C214" s="62">
        <f>IF(ISNUMBER('Übung 01'!CS$8),1,0)</f>
        <v/>
      </c>
      <c r="D214" s="62">
        <f>IF(ISNUMBER('Übung 02'!CS$8),1,0)</f>
        <v/>
      </c>
      <c r="E214" s="62">
        <f>IF(ISNUMBER('Übung 03'!CS$8),1,0)</f>
        <v/>
      </c>
      <c r="F214" s="62">
        <f>IF(ISNUMBER('Übung 04'!CS$8),1,0)</f>
        <v/>
      </c>
      <c r="G214" s="62">
        <f>IF(ISNUMBER('Übung 05'!CS$8),1,0)</f>
        <v/>
      </c>
      <c r="H214" s="62">
        <f>IF(ISNUMBER('Übung 06'!CS$8),1,0)</f>
        <v/>
      </c>
      <c r="I214" s="62">
        <f>IF(ISNUMBER('Übung 07'!CS$8),1,0)</f>
        <v/>
      </c>
      <c r="J214" s="62">
        <f>IF(ISNUMBER('Übung 08'!CS$8),1,0)</f>
        <v/>
      </c>
      <c r="K214" s="62">
        <f>IF(ISNUMBER('Übung 09'!CS$8),1,0)</f>
        <v/>
      </c>
      <c r="L214" s="62">
        <f>IF(ISNUMBER('Übung 10'!CS$8),1,0)</f>
        <v/>
      </c>
      <c r="M214" s="62">
        <f>IF(ISNUMBER('Übung 11'!CS$8),1,0)</f>
        <v/>
      </c>
      <c r="N214" s="62">
        <f>IF(ISNUMBER('Übung 12'!CS$8),1,0)</f>
        <v/>
      </c>
      <c r="O214" s="62">
        <f>IF(ISNUMBER('Übung 13'!CS$8),1,0)</f>
        <v/>
      </c>
      <c r="P214" s="62">
        <f>IF(ISNUMBER('Übung 14'!CS$8),1,0)</f>
        <v/>
      </c>
      <c r="Q214" s="62">
        <f>IF(ISNUMBER('Übung 15'!CS$8),1,0)</f>
        <v/>
      </c>
      <c r="R214" s="62">
        <f>IF(ISNUMBER('Übung 16'!CS$8),1,0)</f>
        <v/>
      </c>
      <c r="S214" s="62">
        <f>IF(ISNUMBER('Übung 17'!CS$8),1,0)</f>
        <v/>
      </c>
      <c r="T214" s="62">
        <f>IF(ISNUMBER('Übung 18'!CS$8),1,0)</f>
        <v/>
      </c>
      <c r="U214" s="62">
        <f>IF(ISNUMBER('Übung 19'!CS$8),1,0)</f>
        <v/>
      </c>
      <c r="V214" s="62">
        <f>IF(ISNUMBER('Übung 20'!CS$8),1,0)</f>
        <v/>
      </c>
    </row>
    <row r="215">
      <c r="C215" s="62">
        <f>IF(ISNUMBER('Übung 01'!CT$8),1,0)</f>
        <v/>
      </c>
      <c r="D215" s="62">
        <f>IF(ISNUMBER('Übung 02'!CT$8),1,0)</f>
        <v/>
      </c>
      <c r="E215" s="62">
        <f>IF(ISNUMBER('Übung 03'!CT$8),1,0)</f>
        <v/>
      </c>
      <c r="F215" s="62">
        <f>IF(ISNUMBER('Übung 04'!CT$8),1,0)</f>
        <v/>
      </c>
      <c r="G215" s="62">
        <f>IF(ISNUMBER('Übung 05'!CT$8),1,0)</f>
        <v/>
      </c>
      <c r="H215" s="62">
        <f>IF(ISNUMBER('Übung 06'!CT$8),1,0)</f>
        <v/>
      </c>
      <c r="I215" s="62">
        <f>IF(ISNUMBER('Übung 07'!CT$8),1,0)</f>
        <v/>
      </c>
      <c r="J215" s="62">
        <f>IF(ISNUMBER('Übung 08'!CT$8),1,0)</f>
        <v/>
      </c>
      <c r="K215" s="62">
        <f>IF(ISNUMBER('Übung 09'!CT$8),1,0)</f>
        <v/>
      </c>
      <c r="L215" s="62">
        <f>IF(ISNUMBER('Übung 10'!CT$8),1,0)</f>
        <v/>
      </c>
      <c r="M215" s="62">
        <f>IF(ISNUMBER('Übung 11'!CT$8),1,0)</f>
        <v/>
      </c>
      <c r="N215" s="62">
        <f>IF(ISNUMBER('Übung 12'!CT$8),1,0)</f>
        <v/>
      </c>
      <c r="O215" s="62">
        <f>IF(ISNUMBER('Übung 13'!CT$8),1,0)</f>
        <v/>
      </c>
      <c r="P215" s="62">
        <f>IF(ISNUMBER('Übung 14'!CT$8),1,0)</f>
        <v/>
      </c>
      <c r="Q215" s="62">
        <f>IF(ISNUMBER('Übung 15'!CT$8),1,0)</f>
        <v/>
      </c>
      <c r="R215" s="62">
        <f>IF(ISNUMBER('Übung 16'!CT$8),1,0)</f>
        <v/>
      </c>
      <c r="S215" s="62">
        <f>IF(ISNUMBER('Übung 17'!CT$8),1,0)</f>
        <v/>
      </c>
      <c r="T215" s="62">
        <f>IF(ISNUMBER('Übung 18'!CT$8),1,0)</f>
        <v/>
      </c>
      <c r="U215" s="62">
        <f>IF(ISNUMBER('Übung 19'!CT$8),1,0)</f>
        <v/>
      </c>
      <c r="V215" s="62">
        <f>IF(ISNUMBER('Übung 20'!CT$8),1,0)</f>
        <v/>
      </c>
    </row>
    <row r="216">
      <c r="C216" s="62">
        <f>IF(ISNUMBER('Übung 01'!CU$8),1,0)</f>
        <v/>
      </c>
      <c r="D216" s="62">
        <f>IF(ISNUMBER('Übung 02'!CU$8),1,0)</f>
        <v/>
      </c>
      <c r="E216" s="62">
        <f>IF(ISNUMBER('Übung 03'!CU$8),1,0)</f>
        <v/>
      </c>
      <c r="F216" s="62">
        <f>IF(ISNUMBER('Übung 04'!CU$8),1,0)</f>
        <v/>
      </c>
      <c r="G216" s="62">
        <f>IF(ISNUMBER('Übung 05'!CU$8),1,0)</f>
        <v/>
      </c>
      <c r="H216" s="62">
        <f>IF(ISNUMBER('Übung 06'!CU$8),1,0)</f>
        <v/>
      </c>
      <c r="I216" s="62">
        <f>IF(ISNUMBER('Übung 07'!CU$8),1,0)</f>
        <v/>
      </c>
      <c r="J216" s="62">
        <f>IF(ISNUMBER('Übung 08'!CU$8),1,0)</f>
        <v/>
      </c>
      <c r="K216" s="62">
        <f>IF(ISNUMBER('Übung 09'!CU$8),1,0)</f>
        <v/>
      </c>
      <c r="L216" s="62">
        <f>IF(ISNUMBER('Übung 10'!CU$8),1,0)</f>
        <v/>
      </c>
      <c r="M216" s="62">
        <f>IF(ISNUMBER('Übung 11'!CU$8),1,0)</f>
        <v/>
      </c>
      <c r="N216" s="62">
        <f>IF(ISNUMBER('Übung 12'!CU$8),1,0)</f>
        <v/>
      </c>
      <c r="O216" s="62">
        <f>IF(ISNUMBER('Übung 13'!CU$8),1,0)</f>
        <v/>
      </c>
      <c r="P216" s="62">
        <f>IF(ISNUMBER('Übung 14'!CU$8),1,0)</f>
        <v/>
      </c>
      <c r="Q216" s="62">
        <f>IF(ISNUMBER('Übung 15'!CU$8),1,0)</f>
        <v/>
      </c>
      <c r="R216" s="62">
        <f>IF(ISNUMBER('Übung 16'!CU$8),1,0)</f>
        <v/>
      </c>
      <c r="S216" s="62">
        <f>IF(ISNUMBER('Übung 17'!CU$8),1,0)</f>
        <v/>
      </c>
      <c r="T216" s="62">
        <f>IF(ISNUMBER('Übung 18'!CU$8),1,0)</f>
        <v/>
      </c>
      <c r="U216" s="62">
        <f>IF(ISNUMBER('Übung 19'!CU$8),1,0)</f>
        <v/>
      </c>
      <c r="V216" s="62">
        <f>IF(ISNUMBER('Übung 20'!CU$8),1,0)</f>
        <v/>
      </c>
    </row>
    <row r="217">
      <c r="C217" s="62">
        <f>IF(ISNUMBER('Übung 01'!CV$8),1,0)</f>
        <v/>
      </c>
      <c r="D217" s="62">
        <f>IF(ISNUMBER('Übung 02'!CV$8),1,0)</f>
        <v/>
      </c>
      <c r="E217" s="62">
        <f>IF(ISNUMBER('Übung 03'!CV$8),1,0)</f>
        <v/>
      </c>
      <c r="F217" s="62">
        <f>IF(ISNUMBER('Übung 04'!CV$8),1,0)</f>
        <v/>
      </c>
      <c r="G217" s="62">
        <f>IF(ISNUMBER('Übung 05'!CV$8),1,0)</f>
        <v/>
      </c>
      <c r="H217" s="62">
        <f>IF(ISNUMBER('Übung 06'!CV$8),1,0)</f>
        <v/>
      </c>
      <c r="I217" s="62">
        <f>IF(ISNUMBER('Übung 07'!CV$8),1,0)</f>
        <v/>
      </c>
      <c r="J217" s="62">
        <f>IF(ISNUMBER('Übung 08'!CV$8),1,0)</f>
        <v/>
      </c>
      <c r="K217" s="62">
        <f>IF(ISNUMBER('Übung 09'!CV$8),1,0)</f>
        <v/>
      </c>
      <c r="L217" s="62">
        <f>IF(ISNUMBER('Übung 10'!CV$8),1,0)</f>
        <v/>
      </c>
      <c r="M217" s="62">
        <f>IF(ISNUMBER('Übung 11'!CV$8),1,0)</f>
        <v/>
      </c>
      <c r="N217" s="62">
        <f>IF(ISNUMBER('Übung 12'!CV$8),1,0)</f>
        <v/>
      </c>
      <c r="O217" s="62">
        <f>IF(ISNUMBER('Übung 13'!CV$8),1,0)</f>
        <v/>
      </c>
      <c r="P217" s="62">
        <f>IF(ISNUMBER('Übung 14'!CV$8),1,0)</f>
        <v/>
      </c>
      <c r="Q217" s="62">
        <f>IF(ISNUMBER('Übung 15'!CV$8),1,0)</f>
        <v/>
      </c>
      <c r="R217" s="62">
        <f>IF(ISNUMBER('Übung 16'!CV$8),1,0)</f>
        <v/>
      </c>
      <c r="S217" s="62">
        <f>IF(ISNUMBER('Übung 17'!CV$8),1,0)</f>
        <v/>
      </c>
      <c r="T217" s="62">
        <f>IF(ISNUMBER('Übung 18'!CV$8),1,0)</f>
        <v/>
      </c>
      <c r="U217" s="62">
        <f>IF(ISNUMBER('Übung 19'!CV$8),1,0)</f>
        <v/>
      </c>
      <c r="V217" s="62">
        <f>IF(ISNUMBER('Übung 20'!CV$8),1,0)</f>
        <v/>
      </c>
    </row>
    <row r="218">
      <c r="C218" s="62">
        <f>IF(ISNUMBER('Übung 01'!CW$8),1,0)</f>
        <v/>
      </c>
      <c r="D218" s="62">
        <f>IF(ISNUMBER('Übung 02'!CW$8),1,0)</f>
        <v/>
      </c>
      <c r="E218" s="62">
        <f>IF(ISNUMBER('Übung 03'!CW$8),1,0)</f>
        <v/>
      </c>
      <c r="F218" s="62">
        <f>IF(ISNUMBER('Übung 04'!CW$8),1,0)</f>
        <v/>
      </c>
      <c r="G218" s="62">
        <f>IF(ISNUMBER('Übung 05'!CW$8),1,0)</f>
        <v/>
      </c>
      <c r="H218" s="62">
        <f>IF(ISNUMBER('Übung 06'!CW$8),1,0)</f>
        <v/>
      </c>
      <c r="I218" s="62">
        <f>IF(ISNUMBER('Übung 07'!CW$8),1,0)</f>
        <v/>
      </c>
      <c r="J218" s="62">
        <f>IF(ISNUMBER('Übung 08'!CW$8),1,0)</f>
        <v/>
      </c>
      <c r="K218" s="62">
        <f>IF(ISNUMBER('Übung 09'!CW$8),1,0)</f>
        <v/>
      </c>
      <c r="L218" s="62">
        <f>IF(ISNUMBER('Übung 10'!CW$8),1,0)</f>
        <v/>
      </c>
      <c r="M218" s="62">
        <f>IF(ISNUMBER('Übung 11'!CW$8),1,0)</f>
        <v/>
      </c>
      <c r="N218" s="62">
        <f>IF(ISNUMBER('Übung 12'!CW$8),1,0)</f>
        <v/>
      </c>
      <c r="O218" s="62">
        <f>IF(ISNUMBER('Übung 13'!CW$8),1,0)</f>
        <v/>
      </c>
      <c r="P218" s="62">
        <f>IF(ISNUMBER('Übung 14'!CW$8),1,0)</f>
        <v/>
      </c>
      <c r="Q218" s="62">
        <f>IF(ISNUMBER('Übung 15'!CW$8),1,0)</f>
        <v/>
      </c>
      <c r="R218" s="62">
        <f>IF(ISNUMBER('Übung 16'!CW$8),1,0)</f>
        <v/>
      </c>
      <c r="S218" s="62">
        <f>IF(ISNUMBER('Übung 17'!CW$8),1,0)</f>
        <v/>
      </c>
      <c r="T218" s="62">
        <f>IF(ISNUMBER('Übung 18'!CW$8),1,0)</f>
        <v/>
      </c>
      <c r="U218" s="62">
        <f>IF(ISNUMBER('Übung 19'!CW$8),1,0)</f>
        <v/>
      </c>
      <c r="V218" s="62">
        <f>IF(ISNUMBER('Übung 20'!CW$8),1,0)</f>
        <v/>
      </c>
    </row>
    <row r="219">
      <c r="C219" s="62">
        <f>IF(ISNUMBER('Übung 01'!CX$8),1,0)</f>
        <v/>
      </c>
      <c r="D219" s="62">
        <f>IF(ISNUMBER('Übung 02'!CX$8),1,0)</f>
        <v/>
      </c>
      <c r="E219" s="62">
        <f>IF(ISNUMBER('Übung 03'!CX$8),1,0)</f>
        <v/>
      </c>
      <c r="F219" s="62">
        <f>IF(ISNUMBER('Übung 04'!CX$8),1,0)</f>
        <v/>
      </c>
      <c r="G219" s="62">
        <f>IF(ISNUMBER('Übung 05'!CX$8),1,0)</f>
        <v/>
      </c>
      <c r="H219" s="62">
        <f>IF(ISNUMBER('Übung 06'!CX$8),1,0)</f>
        <v/>
      </c>
      <c r="I219" s="62">
        <f>IF(ISNUMBER('Übung 07'!CX$8),1,0)</f>
        <v/>
      </c>
      <c r="J219" s="62">
        <f>IF(ISNUMBER('Übung 08'!CX$8),1,0)</f>
        <v/>
      </c>
      <c r="K219" s="62">
        <f>IF(ISNUMBER('Übung 09'!CX$8),1,0)</f>
        <v/>
      </c>
      <c r="L219" s="62">
        <f>IF(ISNUMBER('Übung 10'!CX$8),1,0)</f>
        <v/>
      </c>
      <c r="M219" s="62">
        <f>IF(ISNUMBER('Übung 11'!CX$8),1,0)</f>
        <v/>
      </c>
      <c r="N219" s="62">
        <f>IF(ISNUMBER('Übung 12'!CX$8),1,0)</f>
        <v/>
      </c>
      <c r="O219" s="62">
        <f>IF(ISNUMBER('Übung 13'!CX$8),1,0)</f>
        <v/>
      </c>
      <c r="P219" s="62">
        <f>IF(ISNUMBER('Übung 14'!CX$8),1,0)</f>
        <v/>
      </c>
      <c r="Q219" s="62">
        <f>IF(ISNUMBER('Übung 15'!CX$8),1,0)</f>
        <v/>
      </c>
      <c r="R219" s="62">
        <f>IF(ISNUMBER('Übung 16'!CX$8),1,0)</f>
        <v/>
      </c>
      <c r="S219" s="62">
        <f>IF(ISNUMBER('Übung 17'!CX$8),1,0)</f>
        <v/>
      </c>
      <c r="T219" s="62">
        <f>IF(ISNUMBER('Übung 18'!CX$8),1,0)</f>
        <v/>
      </c>
      <c r="U219" s="62">
        <f>IF(ISNUMBER('Übung 19'!CX$8),1,0)</f>
        <v/>
      </c>
      <c r="V219" s="62">
        <f>IF(ISNUMBER('Übung 20'!CX$8),1,0)</f>
        <v/>
      </c>
    </row>
    <row r="220">
      <c r="C220" s="62">
        <f>IF(ISNUMBER('Übung 01'!CY$8),1,0)</f>
        <v/>
      </c>
      <c r="D220" s="62">
        <f>IF(ISNUMBER('Übung 02'!CY$8),1,0)</f>
        <v/>
      </c>
      <c r="E220" s="62">
        <f>IF(ISNUMBER('Übung 03'!CY$8),1,0)</f>
        <v/>
      </c>
      <c r="F220" s="62">
        <f>IF(ISNUMBER('Übung 04'!CY$8),1,0)</f>
        <v/>
      </c>
      <c r="G220" s="62">
        <f>IF(ISNUMBER('Übung 05'!CY$8),1,0)</f>
        <v/>
      </c>
      <c r="H220" s="62">
        <f>IF(ISNUMBER('Übung 06'!CY$8),1,0)</f>
        <v/>
      </c>
      <c r="I220" s="62">
        <f>IF(ISNUMBER('Übung 07'!CY$8),1,0)</f>
        <v/>
      </c>
      <c r="J220" s="62">
        <f>IF(ISNUMBER('Übung 08'!CY$8),1,0)</f>
        <v/>
      </c>
      <c r="K220" s="62">
        <f>IF(ISNUMBER('Übung 09'!CY$8),1,0)</f>
        <v/>
      </c>
      <c r="L220" s="62">
        <f>IF(ISNUMBER('Übung 10'!CY$8),1,0)</f>
        <v/>
      </c>
      <c r="M220" s="62">
        <f>IF(ISNUMBER('Übung 11'!CY$8),1,0)</f>
        <v/>
      </c>
      <c r="N220" s="62">
        <f>IF(ISNUMBER('Übung 12'!CY$8),1,0)</f>
        <v/>
      </c>
      <c r="O220" s="62">
        <f>IF(ISNUMBER('Übung 13'!CY$8),1,0)</f>
        <v/>
      </c>
      <c r="P220" s="62">
        <f>IF(ISNUMBER('Übung 14'!CY$8),1,0)</f>
        <v/>
      </c>
      <c r="Q220" s="62">
        <f>IF(ISNUMBER('Übung 15'!CY$8),1,0)</f>
        <v/>
      </c>
      <c r="R220" s="62">
        <f>IF(ISNUMBER('Übung 16'!CY$8),1,0)</f>
        <v/>
      </c>
      <c r="S220" s="62">
        <f>IF(ISNUMBER('Übung 17'!CY$8),1,0)</f>
        <v/>
      </c>
      <c r="T220" s="62">
        <f>IF(ISNUMBER('Übung 18'!CY$8),1,0)</f>
        <v/>
      </c>
      <c r="U220" s="62">
        <f>IF(ISNUMBER('Übung 19'!CY$8),1,0)</f>
        <v/>
      </c>
      <c r="V220" s="62">
        <f>IF(ISNUMBER('Übung 20'!CY$8),1,0)</f>
        <v/>
      </c>
    </row>
    <row r="221">
      <c r="C221" s="62">
        <f>IF(ISNUMBER('Übung 01'!CZ$8),1,0)</f>
        <v/>
      </c>
      <c r="D221" s="62">
        <f>IF(ISNUMBER('Übung 02'!CZ$8),1,0)</f>
        <v/>
      </c>
      <c r="E221" s="62">
        <f>IF(ISNUMBER('Übung 03'!CZ$8),1,0)</f>
        <v/>
      </c>
      <c r="F221" s="62">
        <f>IF(ISNUMBER('Übung 04'!CZ$8),1,0)</f>
        <v/>
      </c>
      <c r="G221" s="62">
        <f>IF(ISNUMBER('Übung 05'!CZ$8),1,0)</f>
        <v/>
      </c>
      <c r="H221" s="62">
        <f>IF(ISNUMBER('Übung 06'!CZ$8),1,0)</f>
        <v/>
      </c>
      <c r="I221" s="62">
        <f>IF(ISNUMBER('Übung 07'!CZ$8),1,0)</f>
        <v/>
      </c>
      <c r="J221" s="62">
        <f>IF(ISNUMBER('Übung 08'!CZ$8),1,0)</f>
        <v/>
      </c>
      <c r="K221" s="62">
        <f>IF(ISNUMBER('Übung 09'!CZ$8),1,0)</f>
        <v/>
      </c>
      <c r="L221" s="62">
        <f>IF(ISNUMBER('Übung 10'!CZ$8),1,0)</f>
        <v/>
      </c>
      <c r="M221" s="62">
        <f>IF(ISNUMBER('Übung 11'!CZ$8),1,0)</f>
        <v/>
      </c>
      <c r="N221" s="62">
        <f>IF(ISNUMBER('Übung 12'!CZ$8),1,0)</f>
        <v/>
      </c>
      <c r="O221" s="62">
        <f>IF(ISNUMBER('Übung 13'!CZ$8),1,0)</f>
        <v/>
      </c>
      <c r="P221" s="62">
        <f>IF(ISNUMBER('Übung 14'!CZ$8),1,0)</f>
        <v/>
      </c>
      <c r="Q221" s="62">
        <f>IF(ISNUMBER('Übung 15'!CZ$8),1,0)</f>
        <v/>
      </c>
      <c r="R221" s="62">
        <f>IF(ISNUMBER('Übung 16'!CZ$8),1,0)</f>
        <v/>
      </c>
      <c r="S221" s="62">
        <f>IF(ISNUMBER('Übung 17'!CZ$8),1,0)</f>
        <v/>
      </c>
      <c r="T221" s="62">
        <f>IF(ISNUMBER('Übung 18'!CZ$8),1,0)</f>
        <v/>
      </c>
      <c r="U221" s="62">
        <f>IF(ISNUMBER('Übung 19'!CZ$8),1,0)</f>
        <v/>
      </c>
      <c r="V221" s="62">
        <f>IF(ISNUMBER('Übung 20'!CZ$8),1,0)</f>
        <v/>
      </c>
    </row>
    <row r="222">
      <c r="C222" s="62">
        <f>IF(ISNUMBER('Übung 01'!DA$8),1,0)</f>
        <v/>
      </c>
      <c r="D222" s="62">
        <f>IF(ISNUMBER('Übung 02'!DA$8),1,0)</f>
        <v/>
      </c>
      <c r="E222" s="62">
        <f>IF(ISNUMBER('Übung 03'!DA$8),1,0)</f>
        <v/>
      </c>
      <c r="F222" s="62">
        <f>IF(ISNUMBER('Übung 04'!DA$8),1,0)</f>
        <v/>
      </c>
      <c r="G222" s="62">
        <f>IF(ISNUMBER('Übung 05'!DA$8),1,0)</f>
        <v/>
      </c>
      <c r="H222" s="62">
        <f>IF(ISNUMBER('Übung 06'!DA$8),1,0)</f>
        <v/>
      </c>
      <c r="I222" s="62">
        <f>IF(ISNUMBER('Übung 07'!DA$8),1,0)</f>
        <v/>
      </c>
      <c r="J222" s="62">
        <f>IF(ISNUMBER('Übung 08'!DA$8),1,0)</f>
        <v/>
      </c>
      <c r="K222" s="62">
        <f>IF(ISNUMBER('Übung 09'!DA$8),1,0)</f>
        <v/>
      </c>
      <c r="L222" s="62">
        <f>IF(ISNUMBER('Übung 10'!DA$8),1,0)</f>
        <v/>
      </c>
      <c r="M222" s="62">
        <f>IF(ISNUMBER('Übung 11'!DA$8),1,0)</f>
        <v/>
      </c>
      <c r="N222" s="62">
        <f>IF(ISNUMBER('Übung 12'!DA$8),1,0)</f>
        <v/>
      </c>
      <c r="O222" s="62">
        <f>IF(ISNUMBER('Übung 13'!DA$8),1,0)</f>
        <v/>
      </c>
      <c r="P222" s="62">
        <f>IF(ISNUMBER('Übung 14'!DA$8),1,0)</f>
        <v/>
      </c>
      <c r="Q222" s="62">
        <f>IF(ISNUMBER('Übung 15'!DA$8),1,0)</f>
        <v/>
      </c>
      <c r="R222" s="62">
        <f>IF(ISNUMBER('Übung 16'!DA$8),1,0)</f>
        <v/>
      </c>
      <c r="S222" s="62">
        <f>IF(ISNUMBER('Übung 17'!DA$8),1,0)</f>
        <v/>
      </c>
      <c r="T222" s="62">
        <f>IF(ISNUMBER('Übung 18'!DA$8),1,0)</f>
        <v/>
      </c>
      <c r="U222" s="62">
        <f>IF(ISNUMBER('Übung 19'!DA$8),1,0)</f>
        <v/>
      </c>
      <c r="V222" s="62">
        <f>IF(ISNUMBER('Übung 20'!DA$8),1,0)</f>
        <v/>
      </c>
    </row>
    <row r="223">
      <c r="C223" s="62">
        <f>IF(ISNUMBER('Übung 01'!DB$8),1,0)</f>
        <v/>
      </c>
      <c r="D223" s="62">
        <f>IF(ISNUMBER('Übung 02'!DB$8),1,0)</f>
        <v/>
      </c>
      <c r="E223" s="62">
        <f>IF(ISNUMBER('Übung 03'!DB$8),1,0)</f>
        <v/>
      </c>
      <c r="F223" s="62">
        <f>IF(ISNUMBER('Übung 04'!DB$8),1,0)</f>
        <v/>
      </c>
      <c r="G223" s="62">
        <f>IF(ISNUMBER('Übung 05'!DB$8),1,0)</f>
        <v/>
      </c>
      <c r="H223" s="62">
        <f>IF(ISNUMBER('Übung 06'!DB$8),1,0)</f>
        <v/>
      </c>
      <c r="I223" s="62">
        <f>IF(ISNUMBER('Übung 07'!DB$8),1,0)</f>
        <v/>
      </c>
      <c r="J223" s="62">
        <f>IF(ISNUMBER('Übung 08'!DB$8),1,0)</f>
        <v/>
      </c>
      <c r="K223" s="62">
        <f>IF(ISNUMBER('Übung 09'!DB$8),1,0)</f>
        <v/>
      </c>
      <c r="L223" s="62">
        <f>IF(ISNUMBER('Übung 10'!DB$8),1,0)</f>
        <v/>
      </c>
      <c r="M223" s="62">
        <f>IF(ISNUMBER('Übung 11'!DB$8),1,0)</f>
        <v/>
      </c>
      <c r="N223" s="62">
        <f>IF(ISNUMBER('Übung 12'!DB$8),1,0)</f>
        <v/>
      </c>
      <c r="O223" s="62">
        <f>IF(ISNUMBER('Übung 13'!DB$8),1,0)</f>
        <v/>
      </c>
      <c r="P223" s="62">
        <f>IF(ISNUMBER('Übung 14'!DB$8),1,0)</f>
        <v/>
      </c>
      <c r="Q223" s="62">
        <f>IF(ISNUMBER('Übung 15'!DB$8),1,0)</f>
        <v/>
      </c>
      <c r="R223" s="62">
        <f>IF(ISNUMBER('Übung 16'!DB$8),1,0)</f>
        <v/>
      </c>
      <c r="S223" s="62">
        <f>IF(ISNUMBER('Übung 17'!DB$8),1,0)</f>
        <v/>
      </c>
      <c r="T223" s="62">
        <f>IF(ISNUMBER('Übung 18'!DB$8),1,0)</f>
        <v/>
      </c>
      <c r="U223" s="62">
        <f>IF(ISNUMBER('Übung 19'!DB$8),1,0)</f>
        <v/>
      </c>
      <c r="V223" s="62">
        <f>IF(ISNUMBER('Übung 20'!DB$8),1,0)</f>
        <v/>
      </c>
    </row>
    <row r="224">
      <c r="C224" s="62">
        <f>IF(ISNUMBER('Übung 01'!DC$8),1,0)</f>
        <v/>
      </c>
      <c r="D224" s="62">
        <f>IF(ISNUMBER('Übung 02'!DC$8),1,0)</f>
        <v/>
      </c>
      <c r="E224" s="62">
        <f>IF(ISNUMBER('Übung 03'!DC$8),1,0)</f>
        <v/>
      </c>
      <c r="F224" s="62">
        <f>IF(ISNUMBER('Übung 04'!DC$8),1,0)</f>
        <v/>
      </c>
      <c r="G224" s="62">
        <f>IF(ISNUMBER('Übung 05'!DC$8),1,0)</f>
        <v/>
      </c>
      <c r="H224" s="62">
        <f>IF(ISNUMBER('Übung 06'!DC$8),1,0)</f>
        <v/>
      </c>
      <c r="I224" s="62">
        <f>IF(ISNUMBER('Übung 07'!DC$8),1,0)</f>
        <v/>
      </c>
      <c r="J224" s="62">
        <f>IF(ISNUMBER('Übung 08'!DC$8),1,0)</f>
        <v/>
      </c>
      <c r="K224" s="62">
        <f>IF(ISNUMBER('Übung 09'!DC$8),1,0)</f>
        <v/>
      </c>
      <c r="L224" s="62">
        <f>IF(ISNUMBER('Übung 10'!DC$8),1,0)</f>
        <v/>
      </c>
      <c r="M224" s="62">
        <f>IF(ISNUMBER('Übung 11'!DC$8),1,0)</f>
        <v/>
      </c>
      <c r="N224" s="62">
        <f>IF(ISNUMBER('Übung 12'!DC$8),1,0)</f>
        <v/>
      </c>
      <c r="O224" s="62">
        <f>IF(ISNUMBER('Übung 13'!DC$8),1,0)</f>
        <v/>
      </c>
      <c r="P224" s="62">
        <f>IF(ISNUMBER('Übung 14'!DC$8),1,0)</f>
        <v/>
      </c>
      <c r="Q224" s="62">
        <f>IF(ISNUMBER('Übung 15'!DC$8),1,0)</f>
        <v/>
      </c>
      <c r="R224" s="62">
        <f>IF(ISNUMBER('Übung 16'!DC$8),1,0)</f>
        <v/>
      </c>
      <c r="S224" s="62">
        <f>IF(ISNUMBER('Übung 17'!DC$8),1,0)</f>
        <v/>
      </c>
      <c r="T224" s="62">
        <f>IF(ISNUMBER('Übung 18'!DC$8),1,0)</f>
        <v/>
      </c>
      <c r="U224" s="62">
        <f>IF(ISNUMBER('Übung 19'!DC$8),1,0)</f>
        <v/>
      </c>
      <c r="V224" s="62">
        <f>IF(ISNUMBER('Übung 20'!DC$8),1,0)</f>
        <v/>
      </c>
    </row>
    <row r="229">
      <c r="A229" s="171" t="inlineStr">
        <is>
          <t>Halbjahr</t>
        </is>
      </c>
    </row>
    <row r="230">
      <c r="C230" s="62">
        <f>IF(ISNUMBER('Übung 01'!E$39),'Übung 01'!E$39,0)</f>
        <v/>
      </c>
      <c r="D230" s="62">
        <f>IF(ISNUMBER('Übung 02'!E$39),'Übung 02'!E$39,0)</f>
        <v/>
      </c>
      <c r="E230" s="62">
        <f>IF(ISNUMBER('Übung 03'!E$39),'Übung 03'!E$39,0)</f>
        <v/>
      </c>
      <c r="F230" s="62">
        <f>IF(ISNUMBER('Übung 04'!E$39),'Übung 04'!E$39,0)</f>
        <v/>
      </c>
      <c r="G230" s="62">
        <f>IF(ISNUMBER('Übung 05'!E$39),'Übung 05'!E$39,0)</f>
        <v/>
      </c>
      <c r="H230" s="62">
        <f>IF(ISNUMBER('Übung 06'!E$39),'Übung 06'!E$39,0)</f>
        <v/>
      </c>
      <c r="I230" s="62">
        <f>IF(ISNUMBER('Übung 07'!E$39),'Übung 07'!E$39,0)</f>
        <v/>
      </c>
      <c r="J230" s="62">
        <f>IF(ISNUMBER('Übung 08'!E$39),'Übung 08'!E$39,0)</f>
        <v/>
      </c>
      <c r="K230" s="62">
        <f>IF(ISNUMBER('Übung 09'!E$39),'Übung 09'!E$39,0)</f>
        <v/>
      </c>
      <c r="L230" s="62">
        <f>IF(ISNUMBER('Übung 10'!E$39),'Übung 10'!E$39,0)</f>
        <v/>
      </c>
      <c r="M230" s="62">
        <f>IF(ISNUMBER('Übung 11'!E$39),'Übung 11'!E$39,0)</f>
        <v/>
      </c>
      <c r="N230" s="62">
        <f>IF(ISNUMBER('Übung 12'!E$39),'Übung 12'!E$39,0)</f>
        <v/>
      </c>
      <c r="O230" s="62">
        <f>IF(ISNUMBER('Übung 13'!E$39),'Übung 13'!E$39,0)</f>
        <v/>
      </c>
      <c r="P230" s="62">
        <f>IF(ISNUMBER('Übung 14'!E$39),'Übung 14'!E$39,0)</f>
        <v/>
      </c>
      <c r="Q230" s="62">
        <f>IF(ISNUMBER('Übung 15'!E$39),'Übung 15'!E$39,0)</f>
        <v/>
      </c>
      <c r="R230" s="62">
        <f>IF(ISNUMBER('Übung 16'!E$39),'Übung 16'!E$39,0)</f>
        <v/>
      </c>
      <c r="S230" s="62">
        <f>IF(ISNUMBER('Übung 17'!E$39),'Übung 17'!E$39,0)</f>
        <v/>
      </c>
      <c r="T230" s="62">
        <f>IF(ISNUMBER('Übung 18'!E$39),'Übung 18'!E$39,0)</f>
        <v/>
      </c>
      <c r="U230" s="62">
        <f>IF(ISNUMBER('Übung 19'!E$39),'Übung 19'!E$39,0)</f>
        <v/>
      </c>
      <c r="V230" s="62">
        <f>IF(ISNUMBER('Übung 20'!E$39),'Übung 20'!E$39,0)</f>
        <v/>
      </c>
    </row>
    <row r="231">
      <c r="C231" s="62">
        <f>IF(ISNUMBER('Übung 01'!F$39),'Übung 01'!F$39,0)</f>
        <v/>
      </c>
      <c r="D231" s="62">
        <f>IF(ISNUMBER('Übung 02'!F$39),'Übung 02'!F$39,0)</f>
        <v/>
      </c>
      <c r="E231" s="62">
        <f>IF(ISNUMBER('Übung 03'!F$39),'Übung 03'!F$39,0)</f>
        <v/>
      </c>
      <c r="F231" s="62">
        <f>IF(ISNUMBER('Übung 04'!F$39),'Übung 04'!F$39,0)</f>
        <v/>
      </c>
      <c r="G231" s="62">
        <f>IF(ISNUMBER('Übung 05'!F$39),'Übung 05'!F$39,0)</f>
        <v/>
      </c>
      <c r="H231" s="62">
        <f>IF(ISNUMBER('Übung 06'!F$39),'Übung 06'!F$39,0)</f>
        <v/>
      </c>
      <c r="I231" s="62">
        <f>IF(ISNUMBER('Übung 07'!F$39),'Übung 07'!F$39,0)</f>
        <v/>
      </c>
      <c r="J231" s="62">
        <f>IF(ISNUMBER('Übung 08'!F$39),'Übung 08'!F$39,0)</f>
        <v/>
      </c>
      <c r="K231" s="62">
        <f>IF(ISNUMBER('Übung 09'!F$39),'Übung 09'!F$39,0)</f>
        <v/>
      </c>
      <c r="L231" s="62">
        <f>IF(ISNUMBER('Übung 10'!F$39),'Übung 10'!F$39,0)</f>
        <v/>
      </c>
      <c r="M231" s="62">
        <f>IF(ISNUMBER('Übung 11'!F$39),'Übung 11'!F$39,0)</f>
        <v/>
      </c>
      <c r="N231" s="62">
        <f>IF(ISNUMBER('Übung 12'!F$39),'Übung 12'!F$39,0)</f>
        <v/>
      </c>
      <c r="O231" s="62">
        <f>IF(ISNUMBER('Übung 13'!F$39),'Übung 13'!F$39,0)</f>
        <v/>
      </c>
      <c r="P231" s="62">
        <f>IF(ISNUMBER('Übung 14'!F$39),'Übung 14'!F$39,0)</f>
        <v/>
      </c>
      <c r="Q231" s="62">
        <f>IF(ISNUMBER('Übung 15'!F$39),'Übung 15'!F$39,0)</f>
        <v/>
      </c>
      <c r="R231" s="62">
        <f>IF(ISNUMBER('Übung 16'!F$39),'Übung 16'!F$39,0)</f>
        <v/>
      </c>
      <c r="S231" s="62">
        <f>IF(ISNUMBER('Übung 17'!F$39),'Übung 17'!F$39,0)</f>
        <v/>
      </c>
      <c r="T231" s="62">
        <f>IF(ISNUMBER('Übung 18'!F$39),'Übung 18'!F$39,0)</f>
        <v/>
      </c>
      <c r="U231" s="62">
        <f>IF(ISNUMBER('Übung 19'!F$39),'Übung 19'!F$39,0)</f>
        <v/>
      </c>
      <c r="V231" s="62">
        <f>IF(ISNUMBER('Übung 20'!F$39),'Übung 20'!F$39,0)</f>
        <v/>
      </c>
    </row>
    <row r="232">
      <c r="C232" s="62">
        <f>IF(ISNUMBER('Übung 01'!G$39),'Übung 01'!G$39,0)</f>
        <v/>
      </c>
      <c r="D232" s="62">
        <f>IF(ISNUMBER('Übung 02'!G$39),'Übung 02'!G$39,0)</f>
        <v/>
      </c>
      <c r="E232" s="62">
        <f>IF(ISNUMBER('Übung 03'!G$39),'Übung 03'!G$39,0)</f>
        <v/>
      </c>
      <c r="F232" s="62">
        <f>IF(ISNUMBER('Übung 04'!G$39),'Übung 04'!G$39,0)</f>
        <v/>
      </c>
      <c r="G232" s="62">
        <f>IF(ISNUMBER('Übung 05'!G$39),'Übung 05'!G$39,0)</f>
        <v/>
      </c>
      <c r="H232" s="62">
        <f>IF(ISNUMBER('Übung 06'!G$39),'Übung 06'!G$39,0)</f>
        <v/>
      </c>
      <c r="I232" s="62">
        <f>IF(ISNUMBER('Übung 07'!G$39),'Übung 07'!G$39,0)</f>
        <v/>
      </c>
      <c r="J232" s="62">
        <f>IF(ISNUMBER('Übung 08'!G$39),'Übung 08'!G$39,0)</f>
        <v/>
      </c>
      <c r="K232" s="62">
        <f>IF(ISNUMBER('Übung 09'!G$39),'Übung 09'!G$39,0)</f>
        <v/>
      </c>
      <c r="L232" s="62">
        <f>IF(ISNUMBER('Übung 10'!G$39),'Übung 10'!G$39,0)</f>
        <v/>
      </c>
      <c r="M232" s="62">
        <f>IF(ISNUMBER('Übung 11'!G$39),'Übung 11'!G$39,0)</f>
        <v/>
      </c>
      <c r="N232" s="62">
        <f>IF(ISNUMBER('Übung 12'!G$39),'Übung 12'!G$39,0)</f>
        <v/>
      </c>
      <c r="O232" s="62">
        <f>IF(ISNUMBER('Übung 13'!G$39),'Übung 13'!G$39,0)</f>
        <v/>
      </c>
      <c r="P232" s="62">
        <f>IF(ISNUMBER('Übung 14'!G$39),'Übung 14'!G$39,0)</f>
        <v/>
      </c>
      <c r="Q232" s="62">
        <f>IF(ISNUMBER('Übung 15'!G$39),'Übung 15'!G$39,0)</f>
        <v/>
      </c>
      <c r="R232" s="62">
        <f>IF(ISNUMBER('Übung 16'!G$39),'Übung 16'!G$39,0)</f>
        <v/>
      </c>
      <c r="S232" s="62">
        <f>IF(ISNUMBER('Übung 17'!G$39),'Übung 17'!G$39,0)</f>
        <v/>
      </c>
      <c r="T232" s="62">
        <f>IF(ISNUMBER('Übung 18'!G$39),'Übung 18'!G$39,0)</f>
        <v/>
      </c>
      <c r="U232" s="62">
        <f>IF(ISNUMBER('Übung 19'!G$39),'Übung 19'!G$39,0)</f>
        <v/>
      </c>
      <c r="V232" s="62">
        <f>IF(ISNUMBER('Übung 20'!G$39),'Übung 20'!G$39,0)</f>
        <v/>
      </c>
    </row>
    <row r="233">
      <c r="C233" s="62">
        <f>IF(ISNUMBER('Übung 01'!H$39),'Übung 01'!H$39,0)</f>
        <v/>
      </c>
      <c r="D233" s="62">
        <f>IF(ISNUMBER('Übung 02'!H$39),'Übung 02'!H$39,0)</f>
        <v/>
      </c>
      <c r="E233" s="62">
        <f>IF(ISNUMBER('Übung 03'!H$39),'Übung 03'!H$39,0)</f>
        <v/>
      </c>
      <c r="F233" s="62">
        <f>IF(ISNUMBER('Übung 04'!H$39),'Übung 04'!H$39,0)</f>
        <v/>
      </c>
      <c r="G233" s="62">
        <f>IF(ISNUMBER('Übung 05'!H$39),'Übung 05'!H$39,0)</f>
        <v/>
      </c>
      <c r="H233" s="62">
        <f>IF(ISNUMBER('Übung 06'!H$39),'Übung 06'!H$39,0)</f>
        <v/>
      </c>
      <c r="I233" s="62">
        <f>IF(ISNUMBER('Übung 07'!H$39),'Übung 07'!H$39,0)</f>
        <v/>
      </c>
      <c r="J233" s="62">
        <f>IF(ISNUMBER('Übung 08'!H$39),'Übung 08'!H$39,0)</f>
        <v/>
      </c>
      <c r="K233" s="62">
        <f>IF(ISNUMBER('Übung 09'!H$39),'Übung 09'!H$39,0)</f>
        <v/>
      </c>
      <c r="L233" s="62">
        <f>IF(ISNUMBER('Übung 10'!H$39),'Übung 10'!H$39,0)</f>
        <v/>
      </c>
      <c r="M233" s="62">
        <f>IF(ISNUMBER('Übung 11'!H$39),'Übung 11'!H$39,0)</f>
        <v/>
      </c>
      <c r="N233" s="62">
        <f>IF(ISNUMBER('Übung 12'!H$39),'Übung 12'!H$39,0)</f>
        <v/>
      </c>
      <c r="O233" s="62">
        <f>IF(ISNUMBER('Übung 13'!H$39),'Übung 13'!H$39,0)</f>
        <v/>
      </c>
      <c r="P233" s="62">
        <f>IF(ISNUMBER('Übung 14'!H$39),'Übung 14'!H$39,0)</f>
        <v/>
      </c>
      <c r="Q233" s="62">
        <f>IF(ISNUMBER('Übung 15'!H$39),'Übung 15'!H$39,0)</f>
        <v/>
      </c>
      <c r="R233" s="62">
        <f>IF(ISNUMBER('Übung 16'!H$39),'Übung 16'!H$39,0)</f>
        <v/>
      </c>
      <c r="S233" s="62">
        <f>IF(ISNUMBER('Übung 17'!H$39),'Übung 17'!H$39,0)</f>
        <v/>
      </c>
      <c r="T233" s="62">
        <f>IF(ISNUMBER('Übung 18'!H$39),'Übung 18'!H$39,0)</f>
        <v/>
      </c>
      <c r="U233" s="62">
        <f>IF(ISNUMBER('Übung 19'!H$39),'Übung 19'!H$39,0)</f>
        <v/>
      </c>
      <c r="V233" s="62">
        <f>IF(ISNUMBER('Übung 20'!H$39),'Übung 20'!H$39,0)</f>
        <v/>
      </c>
    </row>
    <row r="234">
      <c r="C234" s="62">
        <f>IF(ISNUMBER('Übung 01'!I$39),'Übung 01'!I$39,0)</f>
        <v/>
      </c>
      <c r="D234" s="62">
        <f>IF(ISNUMBER('Übung 02'!I$39),'Übung 02'!I$39,0)</f>
        <v/>
      </c>
      <c r="E234" s="62">
        <f>IF(ISNUMBER('Übung 03'!I$39),'Übung 03'!I$39,0)</f>
        <v/>
      </c>
      <c r="F234" s="62">
        <f>IF(ISNUMBER('Übung 04'!I$39),'Übung 04'!I$39,0)</f>
        <v/>
      </c>
      <c r="G234" s="62">
        <f>IF(ISNUMBER('Übung 05'!I$39),'Übung 05'!I$39,0)</f>
        <v/>
      </c>
      <c r="H234" s="62">
        <f>IF(ISNUMBER('Übung 06'!I$39),'Übung 06'!I$39,0)</f>
        <v/>
      </c>
      <c r="I234" s="62">
        <f>IF(ISNUMBER('Übung 07'!I$39),'Übung 07'!I$39,0)</f>
        <v/>
      </c>
      <c r="J234" s="62">
        <f>IF(ISNUMBER('Übung 08'!I$39),'Übung 08'!I$39,0)</f>
        <v/>
      </c>
      <c r="K234" s="62">
        <f>IF(ISNUMBER('Übung 09'!I$39),'Übung 09'!I$39,0)</f>
        <v/>
      </c>
      <c r="L234" s="62">
        <f>IF(ISNUMBER('Übung 10'!I$39),'Übung 10'!I$39,0)</f>
        <v/>
      </c>
      <c r="M234" s="62">
        <f>IF(ISNUMBER('Übung 11'!I$39),'Übung 11'!I$39,0)</f>
        <v/>
      </c>
      <c r="N234" s="62">
        <f>IF(ISNUMBER('Übung 12'!I$39),'Übung 12'!I$39,0)</f>
        <v/>
      </c>
      <c r="O234" s="62">
        <f>IF(ISNUMBER('Übung 13'!I$39),'Übung 13'!I$39,0)</f>
        <v/>
      </c>
      <c r="P234" s="62">
        <f>IF(ISNUMBER('Übung 14'!I$39),'Übung 14'!I$39,0)</f>
        <v/>
      </c>
      <c r="Q234" s="62">
        <f>IF(ISNUMBER('Übung 15'!I$39),'Übung 15'!I$39,0)</f>
        <v/>
      </c>
      <c r="R234" s="62">
        <f>IF(ISNUMBER('Übung 16'!I$39),'Übung 16'!I$39,0)</f>
        <v/>
      </c>
      <c r="S234" s="62">
        <f>IF(ISNUMBER('Übung 17'!I$39),'Übung 17'!I$39,0)</f>
        <v/>
      </c>
      <c r="T234" s="62">
        <f>IF(ISNUMBER('Übung 18'!I$39),'Übung 18'!I$39,0)</f>
        <v/>
      </c>
      <c r="U234" s="62">
        <f>IF(ISNUMBER('Übung 19'!I$39),'Übung 19'!I$39,0)</f>
        <v/>
      </c>
      <c r="V234" s="62">
        <f>IF(ISNUMBER('Übung 20'!I$39),'Übung 20'!I$39,0)</f>
        <v/>
      </c>
    </row>
    <row r="235">
      <c r="C235" s="62">
        <f>IF(ISNUMBER('Übung 01'!J$39),'Übung 01'!J$39,0)</f>
        <v/>
      </c>
      <c r="D235" s="62">
        <f>IF(ISNUMBER('Übung 02'!J$39),'Übung 02'!J$39,0)</f>
        <v/>
      </c>
      <c r="E235" s="62">
        <f>IF(ISNUMBER('Übung 03'!J$39),'Übung 03'!J$39,0)</f>
        <v/>
      </c>
      <c r="F235" s="62">
        <f>IF(ISNUMBER('Übung 04'!J$39),'Übung 04'!J$39,0)</f>
        <v/>
      </c>
      <c r="G235" s="62">
        <f>IF(ISNUMBER('Übung 05'!J$39),'Übung 05'!J$39,0)</f>
        <v/>
      </c>
      <c r="H235" s="62">
        <f>IF(ISNUMBER('Übung 06'!J$39),'Übung 06'!J$39,0)</f>
        <v/>
      </c>
      <c r="I235" s="62">
        <f>IF(ISNUMBER('Übung 07'!J$39),'Übung 07'!J$39,0)</f>
        <v/>
      </c>
      <c r="J235" s="62">
        <f>IF(ISNUMBER('Übung 08'!J$39),'Übung 08'!J$39,0)</f>
        <v/>
      </c>
      <c r="K235" s="62">
        <f>IF(ISNUMBER('Übung 09'!J$39),'Übung 09'!J$39,0)</f>
        <v/>
      </c>
      <c r="L235" s="62">
        <f>IF(ISNUMBER('Übung 10'!J$39),'Übung 10'!J$39,0)</f>
        <v/>
      </c>
      <c r="M235" s="62">
        <f>IF(ISNUMBER('Übung 11'!J$39),'Übung 11'!J$39,0)</f>
        <v/>
      </c>
      <c r="N235" s="62">
        <f>IF(ISNUMBER('Übung 12'!J$39),'Übung 12'!J$39,0)</f>
        <v/>
      </c>
      <c r="O235" s="62">
        <f>IF(ISNUMBER('Übung 13'!J$39),'Übung 13'!J$39,0)</f>
        <v/>
      </c>
      <c r="P235" s="62">
        <f>IF(ISNUMBER('Übung 14'!J$39),'Übung 14'!J$39,0)</f>
        <v/>
      </c>
      <c r="Q235" s="62">
        <f>IF(ISNUMBER('Übung 15'!J$39),'Übung 15'!J$39,0)</f>
        <v/>
      </c>
      <c r="R235" s="62">
        <f>IF(ISNUMBER('Übung 16'!J$39),'Übung 16'!J$39,0)</f>
        <v/>
      </c>
      <c r="S235" s="62">
        <f>IF(ISNUMBER('Übung 17'!J$39),'Übung 17'!J$39,0)</f>
        <v/>
      </c>
      <c r="T235" s="62">
        <f>IF(ISNUMBER('Übung 18'!J$39),'Übung 18'!J$39,0)</f>
        <v/>
      </c>
      <c r="U235" s="62">
        <f>IF(ISNUMBER('Übung 19'!J$39),'Übung 19'!J$39,0)</f>
        <v/>
      </c>
      <c r="V235" s="62">
        <f>IF(ISNUMBER('Übung 20'!J$39),'Übung 20'!J$39,0)</f>
        <v/>
      </c>
    </row>
    <row r="236">
      <c r="C236" s="62">
        <f>IF(ISNUMBER('Übung 01'!K$39),'Übung 01'!K$39,0)</f>
        <v/>
      </c>
      <c r="D236" s="62">
        <f>IF(ISNUMBER('Übung 02'!K$39),'Übung 02'!K$39,0)</f>
        <v/>
      </c>
      <c r="E236" s="62">
        <f>IF(ISNUMBER('Übung 03'!K$39),'Übung 03'!K$39,0)</f>
        <v/>
      </c>
      <c r="F236" s="62">
        <f>IF(ISNUMBER('Übung 04'!K$39),'Übung 04'!K$39,0)</f>
        <v/>
      </c>
      <c r="G236" s="62">
        <f>IF(ISNUMBER('Übung 05'!K$39),'Übung 05'!K$39,0)</f>
        <v/>
      </c>
      <c r="H236" s="62">
        <f>IF(ISNUMBER('Übung 06'!K$39),'Übung 06'!K$39,0)</f>
        <v/>
      </c>
      <c r="I236" s="62">
        <f>IF(ISNUMBER('Übung 07'!K$39),'Übung 07'!K$39,0)</f>
        <v/>
      </c>
      <c r="J236" s="62">
        <f>IF(ISNUMBER('Übung 08'!K$39),'Übung 08'!K$39,0)</f>
        <v/>
      </c>
      <c r="K236" s="62">
        <f>IF(ISNUMBER('Übung 09'!K$39),'Übung 09'!K$39,0)</f>
        <v/>
      </c>
      <c r="L236" s="62">
        <f>IF(ISNUMBER('Übung 10'!K$39),'Übung 10'!K$39,0)</f>
        <v/>
      </c>
      <c r="M236" s="62">
        <f>IF(ISNUMBER('Übung 11'!K$39),'Übung 11'!K$39,0)</f>
        <v/>
      </c>
      <c r="N236" s="62">
        <f>IF(ISNUMBER('Übung 12'!K$39),'Übung 12'!K$39,0)</f>
        <v/>
      </c>
      <c r="O236" s="62">
        <f>IF(ISNUMBER('Übung 13'!K$39),'Übung 13'!K$39,0)</f>
        <v/>
      </c>
      <c r="P236" s="62">
        <f>IF(ISNUMBER('Übung 14'!K$39),'Übung 14'!K$39,0)</f>
        <v/>
      </c>
      <c r="Q236" s="62">
        <f>IF(ISNUMBER('Übung 15'!K$39),'Übung 15'!K$39,0)</f>
        <v/>
      </c>
      <c r="R236" s="62">
        <f>IF(ISNUMBER('Übung 16'!K$39),'Übung 16'!K$39,0)</f>
        <v/>
      </c>
      <c r="S236" s="62">
        <f>IF(ISNUMBER('Übung 17'!K$39),'Übung 17'!K$39,0)</f>
        <v/>
      </c>
      <c r="T236" s="62">
        <f>IF(ISNUMBER('Übung 18'!K$39),'Übung 18'!K$39,0)</f>
        <v/>
      </c>
      <c r="U236" s="62">
        <f>IF(ISNUMBER('Übung 19'!K$39),'Übung 19'!K$39,0)</f>
        <v/>
      </c>
      <c r="V236" s="62">
        <f>IF(ISNUMBER('Übung 20'!K$39),'Übung 20'!K$39,0)</f>
        <v/>
      </c>
    </row>
    <row r="237">
      <c r="C237" s="62">
        <f>IF(ISNUMBER('Übung 01'!L$39),'Übung 01'!L$39,0)</f>
        <v/>
      </c>
      <c r="D237" s="62">
        <f>IF(ISNUMBER('Übung 02'!L$39),'Übung 02'!L$39,0)</f>
        <v/>
      </c>
      <c r="E237" s="62">
        <f>IF(ISNUMBER('Übung 03'!L$39),'Übung 03'!L$39,0)</f>
        <v/>
      </c>
      <c r="F237" s="62">
        <f>IF(ISNUMBER('Übung 04'!L$39),'Übung 04'!L$39,0)</f>
        <v/>
      </c>
      <c r="G237" s="62">
        <f>IF(ISNUMBER('Übung 05'!L$39),'Übung 05'!L$39,0)</f>
        <v/>
      </c>
      <c r="H237" s="62">
        <f>IF(ISNUMBER('Übung 06'!L$39),'Übung 06'!L$39,0)</f>
        <v/>
      </c>
      <c r="I237" s="62">
        <f>IF(ISNUMBER('Übung 07'!L$39),'Übung 07'!L$39,0)</f>
        <v/>
      </c>
      <c r="J237" s="62">
        <f>IF(ISNUMBER('Übung 08'!L$39),'Übung 08'!L$39,0)</f>
        <v/>
      </c>
      <c r="K237" s="62">
        <f>IF(ISNUMBER('Übung 09'!L$39),'Übung 09'!L$39,0)</f>
        <v/>
      </c>
      <c r="L237" s="62">
        <f>IF(ISNUMBER('Übung 10'!L$39),'Übung 10'!L$39,0)</f>
        <v/>
      </c>
      <c r="M237" s="62">
        <f>IF(ISNUMBER('Übung 11'!L$39),'Übung 11'!L$39,0)</f>
        <v/>
      </c>
      <c r="N237" s="62">
        <f>IF(ISNUMBER('Übung 12'!L$39),'Übung 12'!L$39,0)</f>
        <v/>
      </c>
      <c r="O237" s="62">
        <f>IF(ISNUMBER('Übung 13'!L$39),'Übung 13'!L$39,0)</f>
        <v/>
      </c>
      <c r="P237" s="62">
        <f>IF(ISNUMBER('Übung 14'!L$39),'Übung 14'!L$39,0)</f>
        <v/>
      </c>
      <c r="Q237" s="62">
        <f>IF(ISNUMBER('Übung 15'!L$39),'Übung 15'!L$39,0)</f>
        <v/>
      </c>
      <c r="R237" s="62">
        <f>IF(ISNUMBER('Übung 16'!L$39),'Übung 16'!L$39,0)</f>
        <v/>
      </c>
      <c r="S237" s="62">
        <f>IF(ISNUMBER('Übung 17'!L$39),'Übung 17'!L$39,0)</f>
        <v/>
      </c>
      <c r="T237" s="62">
        <f>IF(ISNUMBER('Übung 18'!L$39),'Übung 18'!L$39,0)</f>
        <v/>
      </c>
      <c r="U237" s="62">
        <f>IF(ISNUMBER('Übung 19'!L$39),'Übung 19'!L$39,0)</f>
        <v/>
      </c>
      <c r="V237" s="62">
        <f>IF(ISNUMBER('Übung 20'!L$39),'Übung 20'!L$39,0)</f>
        <v/>
      </c>
    </row>
    <row r="238">
      <c r="C238" s="62">
        <f>IF(ISNUMBER('Übung 01'!M$39),'Übung 01'!M$39,0)</f>
        <v/>
      </c>
      <c r="D238" s="62">
        <f>IF(ISNUMBER('Übung 02'!M$39),'Übung 02'!M$39,0)</f>
        <v/>
      </c>
      <c r="E238" s="62">
        <f>IF(ISNUMBER('Übung 03'!M$39),'Übung 03'!M$39,0)</f>
        <v/>
      </c>
      <c r="F238" s="62">
        <f>IF(ISNUMBER('Übung 04'!M$39),'Übung 04'!M$39,0)</f>
        <v/>
      </c>
      <c r="G238" s="62">
        <f>IF(ISNUMBER('Übung 05'!M$39),'Übung 05'!M$39,0)</f>
        <v/>
      </c>
      <c r="H238" s="62">
        <f>IF(ISNUMBER('Übung 06'!M$39),'Übung 06'!M$39,0)</f>
        <v/>
      </c>
      <c r="I238" s="62">
        <f>IF(ISNUMBER('Übung 07'!M$39),'Übung 07'!M$39,0)</f>
        <v/>
      </c>
      <c r="J238" s="62">
        <f>IF(ISNUMBER('Übung 08'!M$39),'Übung 08'!M$39,0)</f>
        <v/>
      </c>
      <c r="K238" s="62">
        <f>IF(ISNUMBER('Übung 09'!M$39),'Übung 09'!M$39,0)</f>
        <v/>
      </c>
      <c r="L238" s="62">
        <f>IF(ISNUMBER('Übung 10'!M$39),'Übung 10'!M$39,0)</f>
        <v/>
      </c>
      <c r="M238" s="62">
        <f>IF(ISNUMBER('Übung 11'!M$39),'Übung 11'!M$39,0)</f>
        <v/>
      </c>
      <c r="N238" s="62">
        <f>IF(ISNUMBER('Übung 12'!M$39),'Übung 12'!M$39,0)</f>
        <v/>
      </c>
      <c r="O238" s="62">
        <f>IF(ISNUMBER('Übung 13'!M$39),'Übung 13'!M$39,0)</f>
        <v/>
      </c>
      <c r="P238" s="62">
        <f>IF(ISNUMBER('Übung 14'!M$39),'Übung 14'!M$39,0)</f>
        <v/>
      </c>
      <c r="Q238" s="62">
        <f>IF(ISNUMBER('Übung 15'!M$39),'Übung 15'!M$39,0)</f>
        <v/>
      </c>
      <c r="R238" s="62">
        <f>IF(ISNUMBER('Übung 16'!M$39),'Übung 16'!M$39,0)</f>
        <v/>
      </c>
      <c r="S238" s="62">
        <f>IF(ISNUMBER('Übung 17'!M$39),'Übung 17'!M$39,0)</f>
        <v/>
      </c>
      <c r="T238" s="62">
        <f>IF(ISNUMBER('Übung 18'!M$39),'Übung 18'!M$39,0)</f>
        <v/>
      </c>
      <c r="U238" s="62">
        <f>IF(ISNUMBER('Übung 19'!M$39),'Übung 19'!M$39,0)</f>
        <v/>
      </c>
      <c r="V238" s="62">
        <f>IF(ISNUMBER('Übung 20'!M$39),'Übung 20'!M$39,0)</f>
        <v/>
      </c>
    </row>
    <row r="239">
      <c r="C239" s="62">
        <f>IF(ISNUMBER('Übung 01'!N$39),'Übung 01'!N$39,0)</f>
        <v/>
      </c>
      <c r="D239" s="62">
        <f>IF(ISNUMBER('Übung 02'!N$39),'Übung 02'!N$39,0)</f>
        <v/>
      </c>
      <c r="E239" s="62">
        <f>IF(ISNUMBER('Übung 03'!N$39),'Übung 03'!N$39,0)</f>
        <v/>
      </c>
      <c r="F239" s="62">
        <f>IF(ISNUMBER('Übung 04'!N$39),'Übung 04'!N$39,0)</f>
        <v/>
      </c>
      <c r="G239" s="62">
        <f>IF(ISNUMBER('Übung 05'!N$39),'Übung 05'!N$39,0)</f>
        <v/>
      </c>
      <c r="H239" s="62">
        <f>IF(ISNUMBER('Übung 06'!N$39),'Übung 06'!N$39,0)</f>
        <v/>
      </c>
      <c r="I239" s="62">
        <f>IF(ISNUMBER('Übung 07'!N$39),'Übung 07'!N$39,0)</f>
        <v/>
      </c>
      <c r="J239" s="62">
        <f>IF(ISNUMBER('Übung 08'!N$39),'Übung 08'!N$39,0)</f>
        <v/>
      </c>
      <c r="K239" s="62">
        <f>IF(ISNUMBER('Übung 09'!N$39),'Übung 09'!N$39,0)</f>
        <v/>
      </c>
      <c r="L239" s="62">
        <f>IF(ISNUMBER('Übung 10'!N$39),'Übung 10'!N$39,0)</f>
        <v/>
      </c>
      <c r="M239" s="62">
        <f>IF(ISNUMBER('Übung 11'!N$39),'Übung 11'!N$39,0)</f>
        <v/>
      </c>
      <c r="N239" s="62">
        <f>IF(ISNUMBER('Übung 12'!N$39),'Übung 12'!N$39,0)</f>
        <v/>
      </c>
      <c r="O239" s="62">
        <f>IF(ISNUMBER('Übung 13'!N$39),'Übung 13'!N$39,0)</f>
        <v/>
      </c>
      <c r="P239" s="62">
        <f>IF(ISNUMBER('Übung 14'!N$39),'Übung 14'!N$39,0)</f>
        <v/>
      </c>
      <c r="Q239" s="62">
        <f>IF(ISNUMBER('Übung 15'!N$39),'Übung 15'!N$39,0)</f>
        <v/>
      </c>
      <c r="R239" s="62">
        <f>IF(ISNUMBER('Übung 16'!N$39),'Übung 16'!N$39,0)</f>
        <v/>
      </c>
      <c r="S239" s="62">
        <f>IF(ISNUMBER('Übung 17'!N$39),'Übung 17'!N$39,0)</f>
        <v/>
      </c>
      <c r="T239" s="62">
        <f>IF(ISNUMBER('Übung 18'!N$39),'Übung 18'!N$39,0)</f>
        <v/>
      </c>
      <c r="U239" s="62">
        <f>IF(ISNUMBER('Übung 19'!N$39),'Übung 19'!N$39,0)</f>
        <v/>
      </c>
      <c r="V239" s="62">
        <f>IF(ISNUMBER('Übung 20'!N$39),'Übung 20'!N$39,0)</f>
        <v/>
      </c>
    </row>
    <row r="240">
      <c r="C240" s="62">
        <f>IF(ISNUMBER('Übung 01'!O$39),'Übung 01'!O$39,0)</f>
        <v/>
      </c>
      <c r="D240" s="62">
        <f>IF(ISNUMBER('Übung 02'!O$39),'Übung 02'!O$39,0)</f>
        <v/>
      </c>
      <c r="E240" s="62">
        <f>IF(ISNUMBER('Übung 03'!O$39),'Übung 03'!O$39,0)</f>
        <v/>
      </c>
      <c r="F240" s="62">
        <f>IF(ISNUMBER('Übung 04'!O$39),'Übung 04'!O$39,0)</f>
        <v/>
      </c>
      <c r="G240" s="62">
        <f>IF(ISNUMBER('Übung 05'!O$39),'Übung 05'!O$39,0)</f>
        <v/>
      </c>
      <c r="H240" s="62">
        <f>IF(ISNUMBER('Übung 06'!O$39),'Übung 06'!O$39,0)</f>
        <v/>
      </c>
      <c r="I240" s="62">
        <f>IF(ISNUMBER('Übung 07'!O$39),'Übung 07'!O$39,0)</f>
        <v/>
      </c>
      <c r="J240" s="62">
        <f>IF(ISNUMBER('Übung 08'!O$39),'Übung 08'!O$39,0)</f>
        <v/>
      </c>
      <c r="K240" s="62">
        <f>IF(ISNUMBER('Übung 09'!O$39),'Übung 09'!O$39,0)</f>
        <v/>
      </c>
      <c r="L240" s="62">
        <f>IF(ISNUMBER('Übung 10'!O$39),'Übung 10'!O$39,0)</f>
        <v/>
      </c>
      <c r="M240" s="62">
        <f>IF(ISNUMBER('Übung 11'!O$39),'Übung 11'!O$39,0)</f>
        <v/>
      </c>
      <c r="N240" s="62">
        <f>IF(ISNUMBER('Übung 12'!O$39),'Übung 12'!O$39,0)</f>
        <v/>
      </c>
      <c r="O240" s="62">
        <f>IF(ISNUMBER('Übung 13'!O$39),'Übung 13'!O$39,0)</f>
        <v/>
      </c>
      <c r="P240" s="62">
        <f>IF(ISNUMBER('Übung 14'!O$39),'Übung 14'!O$39,0)</f>
        <v/>
      </c>
      <c r="Q240" s="62">
        <f>IF(ISNUMBER('Übung 15'!O$39),'Übung 15'!O$39,0)</f>
        <v/>
      </c>
      <c r="R240" s="62">
        <f>IF(ISNUMBER('Übung 16'!O$39),'Übung 16'!O$39,0)</f>
        <v/>
      </c>
      <c r="S240" s="62">
        <f>IF(ISNUMBER('Übung 17'!O$39),'Übung 17'!O$39,0)</f>
        <v/>
      </c>
      <c r="T240" s="62">
        <f>IF(ISNUMBER('Übung 18'!O$39),'Übung 18'!O$39,0)</f>
        <v/>
      </c>
      <c r="U240" s="62">
        <f>IF(ISNUMBER('Übung 19'!O$39),'Übung 19'!O$39,0)</f>
        <v/>
      </c>
      <c r="V240" s="62">
        <f>IF(ISNUMBER('Übung 20'!O$39),'Übung 20'!O$39,0)</f>
        <v/>
      </c>
    </row>
    <row r="241">
      <c r="C241" s="62">
        <f>IF(ISNUMBER('Übung 01'!P$39),'Übung 01'!P$39,0)</f>
        <v/>
      </c>
      <c r="D241" s="62">
        <f>IF(ISNUMBER('Übung 02'!P$39),'Übung 02'!P$39,0)</f>
        <v/>
      </c>
      <c r="E241" s="62">
        <f>IF(ISNUMBER('Übung 03'!P$39),'Übung 03'!P$39,0)</f>
        <v/>
      </c>
      <c r="F241" s="62">
        <f>IF(ISNUMBER('Übung 04'!P$39),'Übung 04'!P$39,0)</f>
        <v/>
      </c>
      <c r="G241" s="62">
        <f>IF(ISNUMBER('Übung 05'!P$39),'Übung 05'!P$39,0)</f>
        <v/>
      </c>
      <c r="H241" s="62">
        <f>IF(ISNUMBER('Übung 06'!P$39),'Übung 06'!P$39,0)</f>
        <v/>
      </c>
      <c r="I241" s="62">
        <f>IF(ISNUMBER('Übung 07'!P$39),'Übung 07'!P$39,0)</f>
        <v/>
      </c>
      <c r="J241" s="62">
        <f>IF(ISNUMBER('Übung 08'!P$39),'Übung 08'!P$39,0)</f>
        <v/>
      </c>
      <c r="K241" s="62">
        <f>IF(ISNUMBER('Übung 09'!P$39),'Übung 09'!P$39,0)</f>
        <v/>
      </c>
      <c r="L241" s="62">
        <f>IF(ISNUMBER('Übung 10'!P$39),'Übung 10'!P$39,0)</f>
        <v/>
      </c>
      <c r="M241" s="62">
        <f>IF(ISNUMBER('Übung 11'!P$39),'Übung 11'!P$39,0)</f>
        <v/>
      </c>
      <c r="N241" s="62">
        <f>IF(ISNUMBER('Übung 12'!P$39),'Übung 12'!P$39,0)</f>
        <v/>
      </c>
      <c r="O241" s="62">
        <f>IF(ISNUMBER('Übung 13'!P$39),'Übung 13'!P$39,0)</f>
        <v/>
      </c>
      <c r="P241" s="62">
        <f>IF(ISNUMBER('Übung 14'!P$39),'Übung 14'!P$39,0)</f>
        <v/>
      </c>
      <c r="Q241" s="62">
        <f>IF(ISNUMBER('Übung 15'!P$39),'Übung 15'!P$39,0)</f>
        <v/>
      </c>
      <c r="R241" s="62">
        <f>IF(ISNUMBER('Übung 16'!P$39),'Übung 16'!P$39,0)</f>
        <v/>
      </c>
      <c r="S241" s="62">
        <f>IF(ISNUMBER('Übung 17'!P$39),'Übung 17'!P$39,0)</f>
        <v/>
      </c>
      <c r="T241" s="62">
        <f>IF(ISNUMBER('Übung 18'!P$39),'Übung 18'!P$39,0)</f>
        <v/>
      </c>
      <c r="U241" s="62">
        <f>IF(ISNUMBER('Übung 19'!P$39),'Übung 19'!P$39,0)</f>
        <v/>
      </c>
      <c r="V241" s="62">
        <f>IF(ISNUMBER('Übung 20'!P$39),'Übung 20'!P$39,0)</f>
        <v/>
      </c>
    </row>
    <row r="242">
      <c r="C242" s="62">
        <f>IF(ISNUMBER('Übung 01'!Q$39),'Übung 01'!Q$39,0)</f>
        <v/>
      </c>
      <c r="D242" s="62">
        <f>IF(ISNUMBER('Übung 02'!Q$39),'Übung 02'!Q$39,0)</f>
        <v/>
      </c>
      <c r="E242" s="62">
        <f>IF(ISNUMBER('Übung 03'!Q$39),'Übung 03'!Q$39,0)</f>
        <v/>
      </c>
      <c r="F242" s="62">
        <f>IF(ISNUMBER('Übung 04'!Q$39),'Übung 04'!Q$39,0)</f>
        <v/>
      </c>
      <c r="G242" s="62">
        <f>IF(ISNUMBER('Übung 05'!Q$39),'Übung 05'!Q$39,0)</f>
        <v/>
      </c>
      <c r="H242" s="62">
        <f>IF(ISNUMBER('Übung 06'!Q$39),'Übung 06'!Q$39,0)</f>
        <v/>
      </c>
      <c r="I242" s="62">
        <f>IF(ISNUMBER('Übung 07'!Q$39),'Übung 07'!Q$39,0)</f>
        <v/>
      </c>
      <c r="J242" s="62">
        <f>IF(ISNUMBER('Übung 08'!Q$39),'Übung 08'!Q$39,0)</f>
        <v/>
      </c>
      <c r="K242" s="62">
        <f>IF(ISNUMBER('Übung 09'!Q$39),'Übung 09'!Q$39,0)</f>
        <v/>
      </c>
      <c r="L242" s="62">
        <f>IF(ISNUMBER('Übung 10'!Q$39),'Übung 10'!Q$39,0)</f>
        <v/>
      </c>
      <c r="M242" s="62">
        <f>IF(ISNUMBER('Übung 11'!Q$39),'Übung 11'!Q$39,0)</f>
        <v/>
      </c>
      <c r="N242" s="62">
        <f>IF(ISNUMBER('Übung 12'!Q$39),'Übung 12'!Q$39,0)</f>
        <v/>
      </c>
      <c r="O242" s="62">
        <f>IF(ISNUMBER('Übung 13'!Q$39),'Übung 13'!Q$39,0)</f>
        <v/>
      </c>
      <c r="P242" s="62">
        <f>IF(ISNUMBER('Übung 14'!Q$39),'Übung 14'!Q$39,0)</f>
        <v/>
      </c>
      <c r="Q242" s="62">
        <f>IF(ISNUMBER('Übung 15'!Q$39),'Übung 15'!Q$39,0)</f>
        <v/>
      </c>
      <c r="R242" s="62">
        <f>IF(ISNUMBER('Übung 16'!Q$39),'Übung 16'!Q$39,0)</f>
        <v/>
      </c>
      <c r="S242" s="62">
        <f>IF(ISNUMBER('Übung 17'!Q$39),'Übung 17'!Q$39,0)</f>
        <v/>
      </c>
      <c r="T242" s="62">
        <f>IF(ISNUMBER('Übung 18'!Q$39),'Übung 18'!Q$39,0)</f>
        <v/>
      </c>
      <c r="U242" s="62">
        <f>IF(ISNUMBER('Übung 19'!Q$39),'Übung 19'!Q$39,0)</f>
        <v/>
      </c>
      <c r="V242" s="62">
        <f>IF(ISNUMBER('Übung 20'!Q$39),'Übung 20'!Q$39,0)</f>
        <v/>
      </c>
    </row>
    <row r="243">
      <c r="C243" s="62">
        <f>IF(ISNUMBER('Übung 01'!R$39),'Übung 01'!R$39,0)</f>
        <v/>
      </c>
      <c r="D243" s="62">
        <f>IF(ISNUMBER('Übung 02'!R$39),'Übung 02'!R$39,0)</f>
        <v/>
      </c>
      <c r="E243" s="62">
        <f>IF(ISNUMBER('Übung 03'!R$39),'Übung 03'!R$39,0)</f>
        <v/>
      </c>
      <c r="F243" s="62">
        <f>IF(ISNUMBER('Übung 04'!R$39),'Übung 04'!R$39,0)</f>
        <v/>
      </c>
      <c r="G243" s="62">
        <f>IF(ISNUMBER('Übung 05'!R$39),'Übung 05'!R$39,0)</f>
        <v/>
      </c>
      <c r="H243" s="62">
        <f>IF(ISNUMBER('Übung 06'!R$39),'Übung 06'!R$39,0)</f>
        <v/>
      </c>
      <c r="I243" s="62">
        <f>IF(ISNUMBER('Übung 07'!R$39),'Übung 07'!R$39,0)</f>
        <v/>
      </c>
      <c r="J243" s="62">
        <f>IF(ISNUMBER('Übung 08'!R$39),'Übung 08'!R$39,0)</f>
        <v/>
      </c>
      <c r="K243" s="62">
        <f>IF(ISNUMBER('Übung 09'!R$39),'Übung 09'!R$39,0)</f>
        <v/>
      </c>
      <c r="L243" s="62">
        <f>IF(ISNUMBER('Übung 10'!R$39),'Übung 10'!R$39,0)</f>
        <v/>
      </c>
      <c r="M243" s="62">
        <f>IF(ISNUMBER('Übung 11'!R$39),'Übung 11'!R$39,0)</f>
        <v/>
      </c>
      <c r="N243" s="62">
        <f>IF(ISNUMBER('Übung 12'!R$39),'Übung 12'!R$39,0)</f>
        <v/>
      </c>
      <c r="O243" s="62">
        <f>IF(ISNUMBER('Übung 13'!R$39),'Übung 13'!R$39,0)</f>
        <v/>
      </c>
      <c r="P243" s="62">
        <f>IF(ISNUMBER('Übung 14'!R$39),'Übung 14'!R$39,0)</f>
        <v/>
      </c>
      <c r="Q243" s="62">
        <f>IF(ISNUMBER('Übung 15'!R$39),'Übung 15'!R$39,0)</f>
        <v/>
      </c>
      <c r="R243" s="62">
        <f>IF(ISNUMBER('Übung 16'!R$39),'Übung 16'!R$39,0)</f>
        <v/>
      </c>
      <c r="S243" s="62">
        <f>IF(ISNUMBER('Übung 17'!R$39),'Übung 17'!R$39,0)</f>
        <v/>
      </c>
      <c r="T243" s="62">
        <f>IF(ISNUMBER('Übung 18'!R$39),'Übung 18'!R$39,0)</f>
        <v/>
      </c>
      <c r="U243" s="62">
        <f>IF(ISNUMBER('Übung 19'!R$39),'Übung 19'!R$39,0)</f>
        <v/>
      </c>
      <c r="V243" s="62">
        <f>IF(ISNUMBER('Übung 20'!R$39),'Übung 20'!R$39,0)</f>
        <v/>
      </c>
    </row>
    <row r="244">
      <c r="C244" s="62">
        <f>IF(ISNUMBER('Übung 01'!S$39),'Übung 01'!S$39,0)</f>
        <v/>
      </c>
      <c r="D244" s="62">
        <f>IF(ISNUMBER('Übung 02'!S$39),'Übung 02'!S$39,0)</f>
        <v/>
      </c>
      <c r="E244" s="62">
        <f>IF(ISNUMBER('Übung 03'!S$39),'Übung 03'!S$39,0)</f>
        <v/>
      </c>
      <c r="F244" s="62">
        <f>IF(ISNUMBER('Übung 04'!S$39),'Übung 04'!S$39,0)</f>
        <v/>
      </c>
      <c r="G244" s="62">
        <f>IF(ISNUMBER('Übung 05'!S$39),'Übung 05'!S$39,0)</f>
        <v/>
      </c>
      <c r="H244" s="62">
        <f>IF(ISNUMBER('Übung 06'!S$39),'Übung 06'!S$39,0)</f>
        <v/>
      </c>
      <c r="I244" s="62">
        <f>IF(ISNUMBER('Übung 07'!S$39),'Übung 07'!S$39,0)</f>
        <v/>
      </c>
      <c r="J244" s="62">
        <f>IF(ISNUMBER('Übung 08'!S$39),'Übung 08'!S$39,0)</f>
        <v/>
      </c>
      <c r="K244" s="62">
        <f>IF(ISNUMBER('Übung 09'!S$39),'Übung 09'!S$39,0)</f>
        <v/>
      </c>
      <c r="L244" s="62">
        <f>IF(ISNUMBER('Übung 10'!S$39),'Übung 10'!S$39,0)</f>
        <v/>
      </c>
      <c r="M244" s="62">
        <f>IF(ISNUMBER('Übung 11'!S$39),'Übung 11'!S$39,0)</f>
        <v/>
      </c>
      <c r="N244" s="62">
        <f>IF(ISNUMBER('Übung 12'!S$39),'Übung 12'!S$39,0)</f>
        <v/>
      </c>
      <c r="O244" s="62">
        <f>IF(ISNUMBER('Übung 13'!S$39),'Übung 13'!S$39,0)</f>
        <v/>
      </c>
      <c r="P244" s="62">
        <f>IF(ISNUMBER('Übung 14'!S$39),'Übung 14'!S$39,0)</f>
        <v/>
      </c>
      <c r="Q244" s="62">
        <f>IF(ISNUMBER('Übung 15'!S$39),'Übung 15'!S$39,0)</f>
        <v/>
      </c>
      <c r="R244" s="62">
        <f>IF(ISNUMBER('Übung 16'!S$39),'Übung 16'!S$39,0)</f>
        <v/>
      </c>
      <c r="S244" s="62">
        <f>IF(ISNUMBER('Übung 17'!S$39),'Übung 17'!S$39,0)</f>
        <v/>
      </c>
      <c r="T244" s="62">
        <f>IF(ISNUMBER('Übung 18'!S$39),'Übung 18'!S$39,0)</f>
        <v/>
      </c>
      <c r="U244" s="62">
        <f>IF(ISNUMBER('Übung 19'!S$39),'Übung 19'!S$39,0)</f>
        <v/>
      </c>
      <c r="V244" s="62">
        <f>IF(ISNUMBER('Übung 20'!S$39),'Übung 20'!S$39,0)</f>
        <v/>
      </c>
    </row>
    <row r="245">
      <c r="C245" s="62">
        <f>IF(ISNUMBER('Übung 01'!T$39),'Übung 01'!T$39,0)</f>
        <v/>
      </c>
      <c r="D245" s="62">
        <f>IF(ISNUMBER('Übung 02'!T$39),'Übung 02'!T$39,0)</f>
        <v/>
      </c>
      <c r="E245" s="62">
        <f>IF(ISNUMBER('Übung 03'!T$39),'Übung 03'!T$39,0)</f>
        <v/>
      </c>
      <c r="F245" s="62">
        <f>IF(ISNUMBER('Übung 04'!T$39),'Übung 04'!T$39,0)</f>
        <v/>
      </c>
      <c r="G245" s="62">
        <f>IF(ISNUMBER('Übung 05'!T$39),'Übung 05'!T$39,0)</f>
        <v/>
      </c>
      <c r="H245" s="62">
        <f>IF(ISNUMBER('Übung 06'!T$39),'Übung 06'!T$39,0)</f>
        <v/>
      </c>
      <c r="I245" s="62">
        <f>IF(ISNUMBER('Übung 07'!T$39),'Übung 07'!T$39,0)</f>
        <v/>
      </c>
      <c r="J245" s="62">
        <f>IF(ISNUMBER('Übung 08'!T$39),'Übung 08'!T$39,0)</f>
        <v/>
      </c>
      <c r="K245" s="62">
        <f>IF(ISNUMBER('Übung 09'!T$39),'Übung 09'!T$39,0)</f>
        <v/>
      </c>
      <c r="L245" s="62">
        <f>IF(ISNUMBER('Übung 10'!T$39),'Übung 10'!T$39,0)</f>
        <v/>
      </c>
      <c r="M245" s="62">
        <f>IF(ISNUMBER('Übung 11'!T$39),'Übung 11'!T$39,0)</f>
        <v/>
      </c>
      <c r="N245" s="62">
        <f>IF(ISNUMBER('Übung 12'!T$39),'Übung 12'!T$39,0)</f>
        <v/>
      </c>
      <c r="O245" s="62">
        <f>IF(ISNUMBER('Übung 13'!T$39),'Übung 13'!T$39,0)</f>
        <v/>
      </c>
      <c r="P245" s="62">
        <f>IF(ISNUMBER('Übung 14'!T$39),'Übung 14'!T$39,0)</f>
        <v/>
      </c>
      <c r="Q245" s="62">
        <f>IF(ISNUMBER('Übung 15'!T$39),'Übung 15'!T$39,0)</f>
        <v/>
      </c>
      <c r="R245" s="62">
        <f>IF(ISNUMBER('Übung 16'!T$39),'Übung 16'!T$39,0)</f>
        <v/>
      </c>
      <c r="S245" s="62">
        <f>IF(ISNUMBER('Übung 17'!T$39),'Übung 17'!T$39,0)</f>
        <v/>
      </c>
      <c r="T245" s="62">
        <f>IF(ISNUMBER('Übung 18'!T$39),'Übung 18'!T$39,0)</f>
        <v/>
      </c>
      <c r="U245" s="62">
        <f>IF(ISNUMBER('Übung 19'!T$39),'Übung 19'!T$39,0)</f>
        <v/>
      </c>
      <c r="V245" s="62">
        <f>IF(ISNUMBER('Übung 20'!T$39),'Übung 20'!T$39,0)</f>
        <v/>
      </c>
    </row>
    <row r="246">
      <c r="C246" s="62">
        <f>IF(ISNUMBER('Übung 01'!U$39),'Übung 01'!U$39,0)</f>
        <v/>
      </c>
      <c r="D246" s="62">
        <f>IF(ISNUMBER('Übung 02'!U$39),'Übung 02'!U$39,0)</f>
        <v/>
      </c>
      <c r="E246" s="62">
        <f>IF(ISNUMBER('Übung 03'!U$39),'Übung 03'!U$39,0)</f>
        <v/>
      </c>
      <c r="F246" s="62">
        <f>IF(ISNUMBER('Übung 04'!U$39),'Übung 04'!U$39,0)</f>
        <v/>
      </c>
      <c r="G246" s="62">
        <f>IF(ISNUMBER('Übung 05'!U$39),'Übung 05'!U$39,0)</f>
        <v/>
      </c>
      <c r="H246" s="62">
        <f>IF(ISNUMBER('Übung 06'!U$39),'Übung 06'!U$39,0)</f>
        <v/>
      </c>
      <c r="I246" s="62">
        <f>IF(ISNUMBER('Übung 07'!U$39),'Übung 07'!U$39,0)</f>
        <v/>
      </c>
      <c r="J246" s="62">
        <f>IF(ISNUMBER('Übung 08'!U$39),'Übung 08'!U$39,0)</f>
        <v/>
      </c>
      <c r="K246" s="62">
        <f>IF(ISNUMBER('Übung 09'!U$39),'Übung 09'!U$39,0)</f>
        <v/>
      </c>
      <c r="L246" s="62">
        <f>IF(ISNUMBER('Übung 10'!U$39),'Übung 10'!U$39,0)</f>
        <v/>
      </c>
      <c r="M246" s="62">
        <f>IF(ISNUMBER('Übung 11'!U$39),'Übung 11'!U$39,0)</f>
        <v/>
      </c>
      <c r="N246" s="62">
        <f>IF(ISNUMBER('Übung 12'!U$39),'Übung 12'!U$39,0)</f>
        <v/>
      </c>
      <c r="O246" s="62">
        <f>IF(ISNUMBER('Übung 13'!U$39),'Übung 13'!U$39,0)</f>
        <v/>
      </c>
      <c r="P246" s="62">
        <f>IF(ISNUMBER('Übung 14'!U$39),'Übung 14'!U$39,0)</f>
        <v/>
      </c>
      <c r="Q246" s="62">
        <f>IF(ISNUMBER('Übung 15'!U$39),'Übung 15'!U$39,0)</f>
        <v/>
      </c>
      <c r="R246" s="62">
        <f>IF(ISNUMBER('Übung 16'!U$39),'Übung 16'!U$39,0)</f>
        <v/>
      </c>
      <c r="S246" s="62">
        <f>IF(ISNUMBER('Übung 17'!U$39),'Übung 17'!U$39,0)</f>
        <v/>
      </c>
      <c r="T246" s="62">
        <f>IF(ISNUMBER('Übung 18'!U$39),'Übung 18'!U$39,0)</f>
        <v/>
      </c>
      <c r="U246" s="62">
        <f>IF(ISNUMBER('Übung 19'!U$39),'Übung 19'!U$39,0)</f>
        <v/>
      </c>
      <c r="V246" s="62">
        <f>IF(ISNUMBER('Übung 20'!U$39),'Übung 20'!U$39,0)</f>
        <v/>
      </c>
    </row>
    <row r="247">
      <c r="C247" s="62">
        <f>IF(ISNUMBER('Übung 01'!V$39),'Übung 01'!V$39,0)</f>
        <v/>
      </c>
      <c r="D247" s="62">
        <f>IF(ISNUMBER('Übung 02'!V$39),'Übung 02'!V$39,0)</f>
        <v/>
      </c>
      <c r="E247" s="62">
        <f>IF(ISNUMBER('Übung 03'!V$39),'Übung 03'!V$39,0)</f>
        <v/>
      </c>
      <c r="F247" s="62">
        <f>IF(ISNUMBER('Übung 04'!V$39),'Übung 04'!V$39,0)</f>
        <v/>
      </c>
      <c r="G247" s="62">
        <f>IF(ISNUMBER('Übung 05'!V$39),'Übung 05'!V$39,0)</f>
        <v/>
      </c>
      <c r="H247" s="62">
        <f>IF(ISNUMBER('Übung 06'!V$39),'Übung 06'!V$39,0)</f>
        <v/>
      </c>
      <c r="I247" s="62">
        <f>IF(ISNUMBER('Übung 07'!V$39),'Übung 07'!V$39,0)</f>
        <v/>
      </c>
      <c r="J247" s="62">
        <f>IF(ISNUMBER('Übung 08'!V$39),'Übung 08'!V$39,0)</f>
        <v/>
      </c>
      <c r="K247" s="62">
        <f>IF(ISNUMBER('Übung 09'!V$39),'Übung 09'!V$39,0)</f>
        <v/>
      </c>
      <c r="L247" s="62">
        <f>IF(ISNUMBER('Übung 10'!V$39),'Übung 10'!V$39,0)</f>
        <v/>
      </c>
      <c r="M247" s="62">
        <f>IF(ISNUMBER('Übung 11'!V$39),'Übung 11'!V$39,0)</f>
        <v/>
      </c>
      <c r="N247" s="62">
        <f>IF(ISNUMBER('Übung 12'!V$39),'Übung 12'!V$39,0)</f>
        <v/>
      </c>
      <c r="O247" s="62">
        <f>IF(ISNUMBER('Übung 13'!V$39),'Übung 13'!V$39,0)</f>
        <v/>
      </c>
      <c r="P247" s="62">
        <f>IF(ISNUMBER('Übung 14'!V$39),'Übung 14'!V$39,0)</f>
        <v/>
      </c>
      <c r="Q247" s="62">
        <f>IF(ISNUMBER('Übung 15'!V$39),'Übung 15'!V$39,0)</f>
        <v/>
      </c>
      <c r="R247" s="62">
        <f>IF(ISNUMBER('Übung 16'!V$39),'Übung 16'!V$39,0)</f>
        <v/>
      </c>
      <c r="S247" s="62">
        <f>IF(ISNUMBER('Übung 17'!V$39),'Übung 17'!V$39,0)</f>
        <v/>
      </c>
      <c r="T247" s="62">
        <f>IF(ISNUMBER('Übung 18'!V$39),'Übung 18'!V$39,0)</f>
        <v/>
      </c>
      <c r="U247" s="62">
        <f>IF(ISNUMBER('Übung 19'!V$39),'Übung 19'!V$39,0)</f>
        <v/>
      </c>
      <c r="V247" s="62">
        <f>IF(ISNUMBER('Übung 20'!V$39),'Übung 20'!V$39,0)</f>
        <v/>
      </c>
    </row>
    <row r="248">
      <c r="C248" s="62">
        <f>IF(ISNUMBER('Übung 01'!W$39),'Übung 01'!W$39,0)</f>
        <v/>
      </c>
      <c r="D248" s="62">
        <f>IF(ISNUMBER('Übung 02'!W$39),'Übung 02'!W$39,0)</f>
        <v/>
      </c>
      <c r="E248" s="62">
        <f>IF(ISNUMBER('Übung 03'!W$39),'Übung 03'!W$39,0)</f>
        <v/>
      </c>
      <c r="F248" s="62">
        <f>IF(ISNUMBER('Übung 04'!W$39),'Übung 04'!W$39,0)</f>
        <v/>
      </c>
      <c r="G248" s="62">
        <f>IF(ISNUMBER('Übung 05'!W$39),'Übung 05'!W$39,0)</f>
        <v/>
      </c>
      <c r="H248" s="62">
        <f>IF(ISNUMBER('Übung 06'!W$39),'Übung 06'!W$39,0)</f>
        <v/>
      </c>
      <c r="I248" s="62">
        <f>IF(ISNUMBER('Übung 07'!W$39),'Übung 07'!W$39,0)</f>
        <v/>
      </c>
      <c r="J248" s="62">
        <f>IF(ISNUMBER('Übung 08'!W$39),'Übung 08'!W$39,0)</f>
        <v/>
      </c>
      <c r="K248" s="62">
        <f>IF(ISNUMBER('Übung 09'!W$39),'Übung 09'!W$39,0)</f>
        <v/>
      </c>
      <c r="L248" s="62">
        <f>IF(ISNUMBER('Übung 10'!W$39),'Übung 10'!W$39,0)</f>
        <v/>
      </c>
      <c r="M248" s="62">
        <f>IF(ISNUMBER('Übung 11'!W$39),'Übung 11'!W$39,0)</f>
        <v/>
      </c>
      <c r="N248" s="62">
        <f>IF(ISNUMBER('Übung 12'!W$39),'Übung 12'!W$39,0)</f>
        <v/>
      </c>
      <c r="O248" s="62">
        <f>IF(ISNUMBER('Übung 13'!W$39),'Übung 13'!W$39,0)</f>
        <v/>
      </c>
      <c r="P248" s="62">
        <f>IF(ISNUMBER('Übung 14'!W$39),'Übung 14'!W$39,0)</f>
        <v/>
      </c>
      <c r="Q248" s="62">
        <f>IF(ISNUMBER('Übung 15'!W$39),'Übung 15'!W$39,0)</f>
        <v/>
      </c>
      <c r="R248" s="62">
        <f>IF(ISNUMBER('Übung 16'!W$39),'Übung 16'!W$39,0)</f>
        <v/>
      </c>
      <c r="S248" s="62">
        <f>IF(ISNUMBER('Übung 17'!W$39),'Übung 17'!W$39,0)</f>
        <v/>
      </c>
      <c r="T248" s="62">
        <f>IF(ISNUMBER('Übung 18'!W$39),'Übung 18'!W$39,0)</f>
        <v/>
      </c>
      <c r="U248" s="62">
        <f>IF(ISNUMBER('Übung 19'!W$39),'Übung 19'!W$39,0)</f>
        <v/>
      </c>
      <c r="V248" s="62">
        <f>IF(ISNUMBER('Übung 20'!W$39),'Übung 20'!W$39,0)</f>
        <v/>
      </c>
    </row>
    <row r="249">
      <c r="C249" s="62">
        <f>IF(ISNUMBER('Übung 01'!X$39),'Übung 01'!X$39,0)</f>
        <v/>
      </c>
      <c r="D249" s="62">
        <f>IF(ISNUMBER('Übung 02'!X$39),'Übung 02'!X$39,0)</f>
        <v/>
      </c>
      <c r="E249" s="62">
        <f>IF(ISNUMBER('Übung 03'!X$39),'Übung 03'!X$39,0)</f>
        <v/>
      </c>
      <c r="F249" s="62">
        <f>IF(ISNUMBER('Übung 04'!X$39),'Übung 04'!X$39,0)</f>
        <v/>
      </c>
      <c r="G249" s="62">
        <f>IF(ISNUMBER('Übung 05'!X$39),'Übung 05'!X$39,0)</f>
        <v/>
      </c>
      <c r="H249" s="62">
        <f>IF(ISNUMBER('Übung 06'!X$39),'Übung 06'!X$39,0)</f>
        <v/>
      </c>
      <c r="I249" s="62">
        <f>IF(ISNUMBER('Übung 07'!X$39),'Übung 07'!X$39,0)</f>
        <v/>
      </c>
      <c r="J249" s="62">
        <f>IF(ISNUMBER('Übung 08'!X$39),'Übung 08'!X$39,0)</f>
        <v/>
      </c>
      <c r="K249" s="62">
        <f>IF(ISNUMBER('Übung 09'!X$39),'Übung 09'!X$39,0)</f>
        <v/>
      </c>
      <c r="L249" s="62">
        <f>IF(ISNUMBER('Übung 10'!X$39),'Übung 10'!X$39,0)</f>
        <v/>
      </c>
      <c r="M249" s="62">
        <f>IF(ISNUMBER('Übung 11'!X$39),'Übung 11'!X$39,0)</f>
        <v/>
      </c>
      <c r="N249" s="62">
        <f>IF(ISNUMBER('Übung 12'!X$39),'Übung 12'!X$39,0)</f>
        <v/>
      </c>
      <c r="O249" s="62">
        <f>IF(ISNUMBER('Übung 13'!X$39),'Übung 13'!X$39,0)</f>
        <v/>
      </c>
      <c r="P249" s="62">
        <f>IF(ISNUMBER('Übung 14'!X$39),'Übung 14'!X$39,0)</f>
        <v/>
      </c>
      <c r="Q249" s="62">
        <f>IF(ISNUMBER('Übung 15'!X$39),'Übung 15'!X$39,0)</f>
        <v/>
      </c>
      <c r="R249" s="62">
        <f>IF(ISNUMBER('Übung 16'!X$39),'Übung 16'!X$39,0)</f>
        <v/>
      </c>
      <c r="S249" s="62">
        <f>IF(ISNUMBER('Übung 17'!X$39),'Übung 17'!X$39,0)</f>
        <v/>
      </c>
      <c r="T249" s="62">
        <f>IF(ISNUMBER('Übung 18'!X$39),'Übung 18'!X$39,0)</f>
        <v/>
      </c>
      <c r="U249" s="62">
        <f>IF(ISNUMBER('Übung 19'!X$39),'Übung 19'!X$39,0)</f>
        <v/>
      </c>
      <c r="V249" s="62">
        <f>IF(ISNUMBER('Übung 20'!X$39),'Übung 20'!X$39,0)</f>
        <v/>
      </c>
    </row>
    <row r="250">
      <c r="C250" s="62">
        <f>IF(ISNUMBER('Übung 01'!Y$39),'Übung 01'!Y$39,0)</f>
        <v/>
      </c>
      <c r="D250" s="62">
        <f>IF(ISNUMBER('Übung 02'!Y$39),'Übung 02'!Y$39,0)</f>
        <v/>
      </c>
      <c r="E250" s="62">
        <f>IF(ISNUMBER('Übung 03'!Y$39),'Übung 03'!Y$39,0)</f>
        <v/>
      </c>
      <c r="F250" s="62">
        <f>IF(ISNUMBER('Übung 04'!Y$39),'Übung 04'!Y$39,0)</f>
        <v/>
      </c>
      <c r="G250" s="62">
        <f>IF(ISNUMBER('Übung 05'!Y$39),'Übung 05'!Y$39,0)</f>
        <v/>
      </c>
      <c r="H250" s="62">
        <f>IF(ISNUMBER('Übung 06'!Y$39),'Übung 06'!Y$39,0)</f>
        <v/>
      </c>
      <c r="I250" s="62">
        <f>IF(ISNUMBER('Übung 07'!Y$39),'Übung 07'!Y$39,0)</f>
        <v/>
      </c>
      <c r="J250" s="62">
        <f>IF(ISNUMBER('Übung 08'!Y$39),'Übung 08'!Y$39,0)</f>
        <v/>
      </c>
      <c r="K250" s="62">
        <f>IF(ISNUMBER('Übung 09'!Y$39),'Übung 09'!Y$39,0)</f>
        <v/>
      </c>
      <c r="L250" s="62">
        <f>IF(ISNUMBER('Übung 10'!Y$39),'Übung 10'!Y$39,0)</f>
        <v/>
      </c>
      <c r="M250" s="62">
        <f>IF(ISNUMBER('Übung 11'!Y$39),'Übung 11'!Y$39,0)</f>
        <v/>
      </c>
      <c r="N250" s="62">
        <f>IF(ISNUMBER('Übung 12'!Y$39),'Übung 12'!Y$39,0)</f>
        <v/>
      </c>
      <c r="O250" s="62">
        <f>IF(ISNUMBER('Übung 13'!Y$39),'Übung 13'!Y$39,0)</f>
        <v/>
      </c>
      <c r="P250" s="62">
        <f>IF(ISNUMBER('Übung 14'!Y$39),'Übung 14'!Y$39,0)</f>
        <v/>
      </c>
      <c r="Q250" s="62">
        <f>IF(ISNUMBER('Übung 15'!Y$39),'Übung 15'!Y$39,0)</f>
        <v/>
      </c>
      <c r="R250" s="62">
        <f>IF(ISNUMBER('Übung 16'!Y$39),'Übung 16'!Y$39,0)</f>
        <v/>
      </c>
      <c r="S250" s="62">
        <f>IF(ISNUMBER('Übung 17'!Y$39),'Übung 17'!Y$39,0)</f>
        <v/>
      </c>
      <c r="T250" s="62">
        <f>IF(ISNUMBER('Übung 18'!Y$39),'Übung 18'!Y$39,0)</f>
        <v/>
      </c>
      <c r="U250" s="62">
        <f>IF(ISNUMBER('Übung 19'!Y$39),'Übung 19'!Y$39,0)</f>
        <v/>
      </c>
      <c r="V250" s="62">
        <f>IF(ISNUMBER('Übung 20'!Y$39),'Übung 20'!Y$39,0)</f>
        <v/>
      </c>
    </row>
    <row r="251">
      <c r="C251" s="62">
        <f>IF(ISNUMBER('Übung 01'!Z$39),'Übung 01'!Z$39,0)</f>
        <v/>
      </c>
      <c r="D251" s="62">
        <f>IF(ISNUMBER('Übung 02'!Z$39),'Übung 02'!Z$39,0)</f>
        <v/>
      </c>
      <c r="E251" s="62">
        <f>IF(ISNUMBER('Übung 03'!Z$39),'Übung 03'!Z$39,0)</f>
        <v/>
      </c>
      <c r="F251" s="62">
        <f>IF(ISNUMBER('Übung 04'!Z$39),'Übung 04'!Z$39,0)</f>
        <v/>
      </c>
      <c r="G251" s="62">
        <f>IF(ISNUMBER('Übung 05'!Z$39),'Übung 05'!Z$39,0)</f>
        <v/>
      </c>
      <c r="H251" s="62">
        <f>IF(ISNUMBER('Übung 06'!Z$39),'Übung 06'!Z$39,0)</f>
        <v/>
      </c>
      <c r="I251" s="62">
        <f>IF(ISNUMBER('Übung 07'!Z$39),'Übung 07'!Z$39,0)</f>
        <v/>
      </c>
      <c r="J251" s="62">
        <f>IF(ISNUMBER('Übung 08'!Z$39),'Übung 08'!Z$39,0)</f>
        <v/>
      </c>
      <c r="K251" s="62">
        <f>IF(ISNUMBER('Übung 09'!Z$39),'Übung 09'!Z$39,0)</f>
        <v/>
      </c>
      <c r="L251" s="62">
        <f>IF(ISNUMBER('Übung 10'!Z$39),'Übung 10'!Z$39,0)</f>
        <v/>
      </c>
      <c r="M251" s="62">
        <f>IF(ISNUMBER('Übung 11'!Z$39),'Übung 11'!Z$39,0)</f>
        <v/>
      </c>
      <c r="N251" s="62">
        <f>IF(ISNUMBER('Übung 12'!Z$39),'Übung 12'!Z$39,0)</f>
        <v/>
      </c>
      <c r="O251" s="62">
        <f>IF(ISNUMBER('Übung 13'!Z$39),'Übung 13'!Z$39,0)</f>
        <v/>
      </c>
      <c r="P251" s="62">
        <f>IF(ISNUMBER('Übung 14'!Z$39),'Übung 14'!Z$39,0)</f>
        <v/>
      </c>
      <c r="Q251" s="62">
        <f>IF(ISNUMBER('Übung 15'!Z$39),'Übung 15'!Z$39,0)</f>
        <v/>
      </c>
      <c r="R251" s="62">
        <f>IF(ISNUMBER('Übung 16'!Z$39),'Übung 16'!Z$39,0)</f>
        <v/>
      </c>
      <c r="S251" s="62">
        <f>IF(ISNUMBER('Übung 17'!Z$39),'Übung 17'!Z$39,0)</f>
        <v/>
      </c>
      <c r="T251" s="62">
        <f>IF(ISNUMBER('Übung 18'!Z$39),'Übung 18'!Z$39,0)</f>
        <v/>
      </c>
      <c r="U251" s="62">
        <f>IF(ISNUMBER('Übung 19'!Z$39),'Übung 19'!Z$39,0)</f>
        <v/>
      </c>
      <c r="V251" s="62">
        <f>IF(ISNUMBER('Übung 20'!Z$39),'Übung 20'!Z$39,0)</f>
        <v/>
      </c>
    </row>
    <row r="252">
      <c r="C252" s="62">
        <f>IF(ISNUMBER('Übung 01'!AA$39),'Übung 01'!AA$39,0)</f>
        <v/>
      </c>
      <c r="D252" s="62">
        <f>IF(ISNUMBER('Übung 02'!AA$39),'Übung 02'!AA$39,0)</f>
        <v/>
      </c>
      <c r="E252" s="62">
        <f>IF(ISNUMBER('Übung 03'!AA$39),'Übung 03'!AA$39,0)</f>
        <v/>
      </c>
      <c r="F252" s="62">
        <f>IF(ISNUMBER('Übung 04'!AA$39),'Übung 04'!AA$39,0)</f>
        <v/>
      </c>
      <c r="G252" s="62">
        <f>IF(ISNUMBER('Übung 05'!AA$39),'Übung 05'!AA$39,0)</f>
        <v/>
      </c>
      <c r="H252" s="62">
        <f>IF(ISNUMBER('Übung 06'!AA$39),'Übung 06'!AA$39,0)</f>
        <v/>
      </c>
      <c r="I252" s="62">
        <f>IF(ISNUMBER('Übung 07'!AA$39),'Übung 07'!AA$39,0)</f>
        <v/>
      </c>
      <c r="J252" s="62">
        <f>IF(ISNUMBER('Übung 08'!AA$39),'Übung 08'!AA$39,0)</f>
        <v/>
      </c>
      <c r="K252" s="62">
        <f>IF(ISNUMBER('Übung 09'!AA$39),'Übung 09'!AA$39,0)</f>
        <v/>
      </c>
      <c r="L252" s="62">
        <f>IF(ISNUMBER('Übung 10'!AA$39),'Übung 10'!AA$39,0)</f>
        <v/>
      </c>
      <c r="M252" s="62">
        <f>IF(ISNUMBER('Übung 11'!AA$39),'Übung 11'!AA$39,0)</f>
        <v/>
      </c>
      <c r="N252" s="62">
        <f>IF(ISNUMBER('Übung 12'!AA$39),'Übung 12'!AA$39,0)</f>
        <v/>
      </c>
      <c r="O252" s="62">
        <f>IF(ISNUMBER('Übung 13'!AA$39),'Übung 13'!AA$39,0)</f>
        <v/>
      </c>
      <c r="P252" s="62">
        <f>IF(ISNUMBER('Übung 14'!AA$39),'Übung 14'!AA$39,0)</f>
        <v/>
      </c>
      <c r="Q252" s="62">
        <f>IF(ISNUMBER('Übung 15'!AA$39),'Übung 15'!AA$39,0)</f>
        <v/>
      </c>
      <c r="R252" s="62">
        <f>IF(ISNUMBER('Übung 16'!AA$39),'Übung 16'!AA$39,0)</f>
        <v/>
      </c>
      <c r="S252" s="62">
        <f>IF(ISNUMBER('Übung 17'!AA$39),'Übung 17'!AA$39,0)</f>
        <v/>
      </c>
      <c r="T252" s="62">
        <f>IF(ISNUMBER('Übung 18'!AA$39),'Übung 18'!AA$39,0)</f>
        <v/>
      </c>
      <c r="U252" s="62">
        <f>IF(ISNUMBER('Übung 19'!AA$39),'Übung 19'!AA$39,0)</f>
        <v/>
      </c>
      <c r="V252" s="62">
        <f>IF(ISNUMBER('Übung 20'!AA$39),'Übung 20'!AA$39,0)</f>
        <v/>
      </c>
    </row>
    <row r="253">
      <c r="C253" s="62">
        <f>IF(ISNUMBER('Übung 01'!AB$39),'Übung 01'!AB$39,0)</f>
        <v/>
      </c>
      <c r="D253" s="62">
        <f>IF(ISNUMBER('Übung 02'!AB$39),'Übung 02'!AB$39,0)</f>
        <v/>
      </c>
      <c r="E253" s="62">
        <f>IF(ISNUMBER('Übung 03'!AB$39),'Übung 03'!AB$39,0)</f>
        <v/>
      </c>
      <c r="F253" s="62">
        <f>IF(ISNUMBER('Übung 04'!AB$39),'Übung 04'!AB$39,0)</f>
        <v/>
      </c>
      <c r="G253" s="62">
        <f>IF(ISNUMBER('Übung 05'!AB$39),'Übung 05'!AB$39,0)</f>
        <v/>
      </c>
      <c r="H253" s="62">
        <f>IF(ISNUMBER('Übung 06'!AB$39),'Übung 06'!AB$39,0)</f>
        <v/>
      </c>
      <c r="I253" s="62">
        <f>IF(ISNUMBER('Übung 07'!AB$39),'Übung 07'!AB$39,0)</f>
        <v/>
      </c>
      <c r="J253" s="62">
        <f>IF(ISNUMBER('Übung 08'!AB$39),'Übung 08'!AB$39,0)</f>
        <v/>
      </c>
      <c r="K253" s="62">
        <f>IF(ISNUMBER('Übung 09'!AB$39),'Übung 09'!AB$39,0)</f>
        <v/>
      </c>
      <c r="L253" s="62">
        <f>IF(ISNUMBER('Übung 10'!AB$39),'Übung 10'!AB$39,0)</f>
        <v/>
      </c>
      <c r="M253" s="62">
        <f>IF(ISNUMBER('Übung 11'!AB$39),'Übung 11'!AB$39,0)</f>
        <v/>
      </c>
      <c r="N253" s="62">
        <f>IF(ISNUMBER('Übung 12'!AB$39),'Übung 12'!AB$39,0)</f>
        <v/>
      </c>
      <c r="O253" s="62">
        <f>IF(ISNUMBER('Übung 13'!AB$39),'Übung 13'!AB$39,0)</f>
        <v/>
      </c>
      <c r="P253" s="62">
        <f>IF(ISNUMBER('Übung 14'!AB$39),'Übung 14'!AB$39,0)</f>
        <v/>
      </c>
      <c r="Q253" s="62">
        <f>IF(ISNUMBER('Übung 15'!AB$39),'Übung 15'!AB$39,0)</f>
        <v/>
      </c>
      <c r="R253" s="62">
        <f>IF(ISNUMBER('Übung 16'!AB$39),'Übung 16'!AB$39,0)</f>
        <v/>
      </c>
      <c r="S253" s="62">
        <f>IF(ISNUMBER('Übung 17'!AB$39),'Übung 17'!AB$39,0)</f>
        <v/>
      </c>
      <c r="T253" s="62">
        <f>IF(ISNUMBER('Übung 18'!AB$39),'Übung 18'!AB$39,0)</f>
        <v/>
      </c>
      <c r="U253" s="62">
        <f>IF(ISNUMBER('Übung 19'!AB$39),'Übung 19'!AB$39,0)</f>
        <v/>
      </c>
      <c r="V253" s="62">
        <f>IF(ISNUMBER('Übung 20'!AB$39),'Übung 20'!AB$39,0)</f>
        <v/>
      </c>
    </row>
    <row r="254">
      <c r="C254" s="62">
        <f>IF(ISNUMBER('Übung 01'!AC$39),'Übung 01'!AC$39,0)</f>
        <v/>
      </c>
      <c r="D254" s="62">
        <f>IF(ISNUMBER('Übung 02'!AC$39),'Übung 02'!AC$39,0)</f>
        <v/>
      </c>
      <c r="E254" s="62">
        <f>IF(ISNUMBER('Übung 03'!AC$39),'Übung 03'!AC$39,0)</f>
        <v/>
      </c>
      <c r="F254" s="62">
        <f>IF(ISNUMBER('Übung 04'!AC$39),'Übung 04'!AC$39,0)</f>
        <v/>
      </c>
      <c r="G254" s="62">
        <f>IF(ISNUMBER('Übung 05'!AC$39),'Übung 05'!AC$39,0)</f>
        <v/>
      </c>
      <c r="H254" s="62">
        <f>IF(ISNUMBER('Übung 06'!AC$39),'Übung 06'!AC$39,0)</f>
        <v/>
      </c>
      <c r="I254" s="62">
        <f>IF(ISNUMBER('Übung 07'!AC$39),'Übung 07'!AC$39,0)</f>
        <v/>
      </c>
      <c r="J254" s="62">
        <f>IF(ISNUMBER('Übung 08'!AC$39),'Übung 08'!AC$39,0)</f>
        <v/>
      </c>
      <c r="K254" s="62">
        <f>IF(ISNUMBER('Übung 09'!AC$39),'Übung 09'!AC$39,0)</f>
        <v/>
      </c>
      <c r="L254" s="62">
        <f>IF(ISNUMBER('Übung 10'!AC$39),'Übung 10'!AC$39,0)</f>
        <v/>
      </c>
      <c r="M254" s="62">
        <f>IF(ISNUMBER('Übung 11'!AC$39),'Übung 11'!AC$39,0)</f>
        <v/>
      </c>
      <c r="N254" s="62">
        <f>IF(ISNUMBER('Übung 12'!AC$39),'Übung 12'!AC$39,0)</f>
        <v/>
      </c>
      <c r="O254" s="62">
        <f>IF(ISNUMBER('Übung 13'!AC$39),'Übung 13'!AC$39,0)</f>
        <v/>
      </c>
      <c r="P254" s="62">
        <f>IF(ISNUMBER('Übung 14'!AC$39),'Übung 14'!AC$39,0)</f>
        <v/>
      </c>
      <c r="Q254" s="62">
        <f>IF(ISNUMBER('Übung 15'!AC$39),'Übung 15'!AC$39,0)</f>
        <v/>
      </c>
      <c r="R254" s="62">
        <f>IF(ISNUMBER('Übung 16'!AC$39),'Übung 16'!AC$39,0)</f>
        <v/>
      </c>
      <c r="S254" s="62">
        <f>IF(ISNUMBER('Übung 17'!AC$39),'Übung 17'!AC$39,0)</f>
        <v/>
      </c>
      <c r="T254" s="62">
        <f>IF(ISNUMBER('Übung 18'!AC$39),'Übung 18'!AC$39,0)</f>
        <v/>
      </c>
      <c r="U254" s="62">
        <f>IF(ISNUMBER('Übung 19'!AC$39),'Übung 19'!AC$39,0)</f>
        <v/>
      </c>
      <c r="V254" s="62">
        <f>IF(ISNUMBER('Übung 20'!AC$39),'Übung 20'!AC$39,0)</f>
        <v/>
      </c>
    </row>
    <row r="255">
      <c r="C255" s="62">
        <f>IF(ISNUMBER('Übung 01'!AE$39),'Übung 01'!AE$39,0)</f>
        <v/>
      </c>
      <c r="D255" s="62">
        <f>IF(ISNUMBER('Übung 02'!AE$39),'Übung 02'!AE$39,0)</f>
        <v/>
      </c>
      <c r="E255" s="62">
        <f>IF(ISNUMBER('Übung 03'!AE$39),'Übung 03'!AE$39,0)</f>
        <v/>
      </c>
      <c r="F255" s="62">
        <f>IF(ISNUMBER('Übung 04'!AE$39),'Übung 04'!AE$39,0)</f>
        <v/>
      </c>
      <c r="G255" s="62">
        <f>IF(ISNUMBER('Übung 05'!AE$39),'Übung 05'!AE$39,0)</f>
        <v/>
      </c>
      <c r="H255" s="62">
        <f>IF(ISNUMBER('Übung 06'!AE$39),'Übung 06'!AE$39,0)</f>
        <v/>
      </c>
      <c r="I255" s="62">
        <f>IF(ISNUMBER('Übung 07'!AE$39),'Übung 07'!AE$39,0)</f>
        <v/>
      </c>
      <c r="J255" s="62">
        <f>IF(ISNUMBER('Übung 08'!AE$39),'Übung 08'!AE$39,0)</f>
        <v/>
      </c>
      <c r="K255" s="62">
        <f>IF(ISNUMBER('Übung 09'!AE$39),'Übung 09'!AE$39,0)</f>
        <v/>
      </c>
      <c r="L255" s="62">
        <f>IF(ISNUMBER('Übung 10'!AE$39),'Übung 10'!AE$39,0)</f>
        <v/>
      </c>
      <c r="M255" s="62">
        <f>IF(ISNUMBER('Übung 11'!AE$39),'Übung 11'!AE$39,0)</f>
        <v/>
      </c>
      <c r="N255" s="62">
        <f>IF(ISNUMBER('Übung 12'!AE$39),'Übung 12'!AE$39,0)</f>
        <v/>
      </c>
      <c r="O255" s="62">
        <f>IF(ISNUMBER('Übung 13'!AE$39),'Übung 13'!AE$39,0)</f>
        <v/>
      </c>
      <c r="P255" s="62">
        <f>IF(ISNUMBER('Übung 14'!AE$39),'Übung 14'!AE$39,0)</f>
        <v/>
      </c>
      <c r="Q255" s="62">
        <f>IF(ISNUMBER('Übung 15'!AE$39),'Übung 15'!AE$39,0)</f>
        <v/>
      </c>
      <c r="R255" s="62">
        <f>IF(ISNUMBER('Übung 16'!AE$39),'Übung 16'!AE$39,0)</f>
        <v/>
      </c>
      <c r="S255" s="62">
        <f>IF(ISNUMBER('Übung 17'!AE$39),'Übung 17'!AE$39,0)</f>
        <v/>
      </c>
      <c r="T255" s="62">
        <f>IF(ISNUMBER('Übung 18'!AE$39),'Übung 18'!AE$39,0)</f>
        <v/>
      </c>
      <c r="U255" s="62">
        <f>IF(ISNUMBER('Übung 19'!AE$39),'Übung 19'!AE$39,0)</f>
        <v/>
      </c>
      <c r="V255" s="62">
        <f>IF(ISNUMBER('Übung 20'!AE$39),'Übung 20'!AE$39,0)</f>
        <v/>
      </c>
    </row>
    <row r="256">
      <c r="C256" s="62">
        <f>IF(ISNUMBER('Übung 01'!AF$39),'Übung 01'!AF$39,0)</f>
        <v/>
      </c>
      <c r="D256" s="62">
        <f>IF(ISNUMBER('Übung 02'!AF$39),'Übung 02'!AF$39,0)</f>
        <v/>
      </c>
      <c r="E256" s="62">
        <f>IF(ISNUMBER('Übung 03'!AF$39),'Übung 03'!AF$39,0)</f>
        <v/>
      </c>
      <c r="F256" s="62">
        <f>IF(ISNUMBER('Übung 04'!AF$39),'Übung 04'!AF$39,0)</f>
        <v/>
      </c>
      <c r="G256" s="62">
        <f>IF(ISNUMBER('Übung 05'!AF$39),'Übung 05'!AF$39,0)</f>
        <v/>
      </c>
      <c r="H256" s="62">
        <f>IF(ISNUMBER('Übung 06'!AF$39),'Übung 06'!AF$39,0)</f>
        <v/>
      </c>
      <c r="I256" s="62">
        <f>IF(ISNUMBER('Übung 07'!AF$39),'Übung 07'!AF$39,0)</f>
        <v/>
      </c>
      <c r="J256" s="62">
        <f>IF(ISNUMBER('Übung 08'!AF$39),'Übung 08'!AF$39,0)</f>
        <v/>
      </c>
      <c r="K256" s="62">
        <f>IF(ISNUMBER('Übung 09'!AF$39),'Übung 09'!AF$39,0)</f>
        <v/>
      </c>
      <c r="L256" s="62">
        <f>IF(ISNUMBER('Übung 10'!AF$39),'Übung 10'!AF$39,0)</f>
        <v/>
      </c>
      <c r="M256" s="62">
        <f>IF(ISNUMBER('Übung 11'!AF$39),'Übung 11'!AF$39,0)</f>
        <v/>
      </c>
      <c r="N256" s="62">
        <f>IF(ISNUMBER('Übung 12'!AF$39),'Übung 12'!AF$39,0)</f>
        <v/>
      </c>
      <c r="O256" s="62">
        <f>IF(ISNUMBER('Übung 13'!AF$39),'Übung 13'!AF$39,0)</f>
        <v/>
      </c>
      <c r="P256" s="62">
        <f>IF(ISNUMBER('Übung 14'!AF$39),'Übung 14'!AF$39,0)</f>
        <v/>
      </c>
      <c r="Q256" s="62">
        <f>IF(ISNUMBER('Übung 15'!AF$39),'Übung 15'!AF$39,0)</f>
        <v/>
      </c>
      <c r="R256" s="62">
        <f>IF(ISNUMBER('Übung 16'!AF$39),'Übung 16'!AF$39,0)</f>
        <v/>
      </c>
      <c r="S256" s="62">
        <f>IF(ISNUMBER('Übung 17'!AF$39),'Übung 17'!AF$39,0)</f>
        <v/>
      </c>
      <c r="T256" s="62">
        <f>IF(ISNUMBER('Übung 18'!AF$39),'Übung 18'!AF$39,0)</f>
        <v/>
      </c>
      <c r="U256" s="62">
        <f>IF(ISNUMBER('Übung 19'!AF$39),'Übung 19'!AF$39,0)</f>
        <v/>
      </c>
      <c r="V256" s="62">
        <f>IF(ISNUMBER('Übung 20'!AF$39),'Übung 20'!AF$39,0)</f>
        <v/>
      </c>
    </row>
    <row r="257">
      <c r="C257" s="62">
        <f>IF(ISNUMBER('Übung 01'!AG$39),'Übung 01'!AG$39,0)</f>
        <v/>
      </c>
      <c r="D257" s="62">
        <f>IF(ISNUMBER('Übung 02'!AG$39),'Übung 02'!AG$39,0)</f>
        <v/>
      </c>
      <c r="E257" s="62">
        <f>IF(ISNUMBER('Übung 03'!AG$39),'Übung 03'!AG$39,0)</f>
        <v/>
      </c>
      <c r="F257" s="62">
        <f>IF(ISNUMBER('Übung 04'!AG$39),'Übung 04'!AG$39,0)</f>
        <v/>
      </c>
      <c r="G257" s="62">
        <f>IF(ISNUMBER('Übung 05'!AG$39),'Übung 05'!AG$39,0)</f>
        <v/>
      </c>
      <c r="H257" s="62">
        <f>IF(ISNUMBER('Übung 06'!AG$39),'Übung 06'!AG$39,0)</f>
        <v/>
      </c>
      <c r="I257" s="62">
        <f>IF(ISNUMBER('Übung 07'!AG$39),'Übung 07'!AG$39,0)</f>
        <v/>
      </c>
      <c r="J257" s="62">
        <f>IF(ISNUMBER('Übung 08'!AG$39),'Übung 08'!AG$39,0)</f>
        <v/>
      </c>
      <c r="K257" s="62">
        <f>IF(ISNUMBER('Übung 09'!AG$39),'Übung 09'!AG$39,0)</f>
        <v/>
      </c>
      <c r="L257" s="62">
        <f>IF(ISNUMBER('Übung 10'!AG$39),'Übung 10'!AG$39,0)</f>
        <v/>
      </c>
      <c r="M257" s="62">
        <f>IF(ISNUMBER('Übung 11'!AG$39),'Übung 11'!AG$39,0)</f>
        <v/>
      </c>
      <c r="N257" s="62">
        <f>IF(ISNUMBER('Übung 12'!AG$39),'Übung 12'!AG$39,0)</f>
        <v/>
      </c>
      <c r="O257" s="62">
        <f>IF(ISNUMBER('Übung 13'!AG$39),'Übung 13'!AG$39,0)</f>
        <v/>
      </c>
      <c r="P257" s="62">
        <f>IF(ISNUMBER('Übung 14'!AG$39),'Übung 14'!AG$39,0)</f>
        <v/>
      </c>
      <c r="Q257" s="62">
        <f>IF(ISNUMBER('Übung 15'!AG$39),'Übung 15'!AG$39,0)</f>
        <v/>
      </c>
      <c r="R257" s="62">
        <f>IF(ISNUMBER('Übung 16'!AG$39),'Übung 16'!AG$39,0)</f>
        <v/>
      </c>
      <c r="S257" s="62">
        <f>IF(ISNUMBER('Übung 17'!AG$39),'Übung 17'!AG$39,0)</f>
        <v/>
      </c>
      <c r="T257" s="62">
        <f>IF(ISNUMBER('Übung 18'!AG$39),'Übung 18'!AG$39,0)</f>
        <v/>
      </c>
      <c r="U257" s="62">
        <f>IF(ISNUMBER('Übung 19'!AG$39),'Übung 19'!AG$39,0)</f>
        <v/>
      </c>
      <c r="V257" s="62">
        <f>IF(ISNUMBER('Übung 20'!AG$39),'Übung 20'!AG$39,0)</f>
        <v/>
      </c>
    </row>
    <row r="258">
      <c r="C258" s="62">
        <f>IF(ISNUMBER('Übung 01'!AH$39),'Übung 01'!AH$39,0)</f>
        <v/>
      </c>
      <c r="D258" s="62">
        <f>IF(ISNUMBER('Übung 02'!AH$39),'Übung 02'!AH$39,0)</f>
        <v/>
      </c>
      <c r="E258" s="62">
        <f>IF(ISNUMBER('Übung 03'!AH$39),'Übung 03'!AH$39,0)</f>
        <v/>
      </c>
      <c r="F258" s="62">
        <f>IF(ISNUMBER('Übung 04'!AH$39),'Übung 04'!AH$39,0)</f>
        <v/>
      </c>
      <c r="G258" s="62">
        <f>IF(ISNUMBER('Übung 05'!AH$39),'Übung 05'!AH$39,0)</f>
        <v/>
      </c>
      <c r="H258" s="62">
        <f>IF(ISNUMBER('Übung 06'!AH$39),'Übung 06'!AH$39,0)</f>
        <v/>
      </c>
      <c r="I258" s="62">
        <f>IF(ISNUMBER('Übung 07'!AH$39),'Übung 07'!AH$39,0)</f>
        <v/>
      </c>
      <c r="J258" s="62">
        <f>IF(ISNUMBER('Übung 08'!AH$39),'Übung 08'!AH$39,0)</f>
        <v/>
      </c>
      <c r="K258" s="62">
        <f>IF(ISNUMBER('Übung 09'!AH$39),'Übung 09'!AH$39,0)</f>
        <v/>
      </c>
      <c r="L258" s="62">
        <f>IF(ISNUMBER('Übung 10'!AH$39),'Übung 10'!AH$39,0)</f>
        <v/>
      </c>
      <c r="M258" s="62">
        <f>IF(ISNUMBER('Übung 11'!AH$39),'Übung 11'!AH$39,0)</f>
        <v/>
      </c>
      <c r="N258" s="62">
        <f>IF(ISNUMBER('Übung 12'!AH$39),'Übung 12'!AH$39,0)</f>
        <v/>
      </c>
      <c r="O258" s="62">
        <f>IF(ISNUMBER('Übung 13'!AH$39),'Übung 13'!AH$39,0)</f>
        <v/>
      </c>
      <c r="P258" s="62">
        <f>IF(ISNUMBER('Übung 14'!AH$39),'Übung 14'!AH$39,0)</f>
        <v/>
      </c>
      <c r="Q258" s="62">
        <f>IF(ISNUMBER('Übung 15'!AH$39),'Übung 15'!AH$39,0)</f>
        <v/>
      </c>
      <c r="R258" s="62">
        <f>IF(ISNUMBER('Übung 16'!AH$39),'Übung 16'!AH$39,0)</f>
        <v/>
      </c>
      <c r="S258" s="62">
        <f>IF(ISNUMBER('Übung 17'!AH$39),'Übung 17'!AH$39,0)</f>
        <v/>
      </c>
      <c r="T258" s="62">
        <f>IF(ISNUMBER('Übung 18'!AH$39),'Übung 18'!AH$39,0)</f>
        <v/>
      </c>
      <c r="U258" s="62">
        <f>IF(ISNUMBER('Übung 19'!AH$39),'Übung 19'!AH$39,0)</f>
        <v/>
      </c>
      <c r="V258" s="62">
        <f>IF(ISNUMBER('Übung 20'!AH$39),'Übung 20'!AH$39,0)</f>
        <v/>
      </c>
    </row>
    <row r="259">
      <c r="C259" s="62">
        <f>IF(ISNUMBER('Übung 01'!AI$39),'Übung 01'!AI$39,0)</f>
        <v/>
      </c>
      <c r="D259" s="62">
        <f>IF(ISNUMBER('Übung 02'!AI$39),'Übung 02'!AI$39,0)</f>
        <v/>
      </c>
      <c r="E259" s="62">
        <f>IF(ISNUMBER('Übung 03'!AI$39),'Übung 03'!AI$39,0)</f>
        <v/>
      </c>
      <c r="F259" s="62">
        <f>IF(ISNUMBER('Übung 04'!AI$39),'Übung 04'!AI$39,0)</f>
        <v/>
      </c>
      <c r="G259" s="62">
        <f>IF(ISNUMBER('Übung 05'!AI$39),'Übung 05'!AI$39,0)</f>
        <v/>
      </c>
      <c r="H259" s="62">
        <f>IF(ISNUMBER('Übung 06'!AI$39),'Übung 06'!AI$39,0)</f>
        <v/>
      </c>
      <c r="I259" s="62">
        <f>IF(ISNUMBER('Übung 07'!AI$39),'Übung 07'!AI$39,0)</f>
        <v/>
      </c>
      <c r="J259" s="62">
        <f>IF(ISNUMBER('Übung 08'!AI$39),'Übung 08'!AI$39,0)</f>
        <v/>
      </c>
      <c r="K259" s="62">
        <f>IF(ISNUMBER('Übung 09'!AI$39),'Übung 09'!AI$39,0)</f>
        <v/>
      </c>
      <c r="L259" s="62">
        <f>IF(ISNUMBER('Übung 10'!AI$39),'Übung 10'!AI$39,0)</f>
        <v/>
      </c>
      <c r="M259" s="62">
        <f>IF(ISNUMBER('Übung 11'!AI$39),'Übung 11'!AI$39,0)</f>
        <v/>
      </c>
      <c r="N259" s="62">
        <f>IF(ISNUMBER('Übung 12'!AI$39),'Übung 12'!AI$39,0)</f>
        <v/>
      </c>
      <c r="O259" s="62">
        <f>IF(ISNUMBER('Übung 13'!AI$39),'Übung 13'!AI$39,0)</f>
        <v/>
      </c>
      <c r="P259" s="62">
        <f>IF(ISNUMBER('Übung 14'!AI$39),'Übung 14'!AI$39,0)</f>
        <v/>
      </c>
      <c r="Q259" s="62">
        <f>IF(ISNUMBER('Übung 15'!AI$39),'Übung 15'!AI$39,0)</f>
        <v/>
      </c>
      <c r="R259" s="62">
        <f>IF(ISNUMBER('Übung 16'!AI$39),'Übung 16'!AI$39,0)</f>
        <v/>
      </c>
      <c r="S259" s="62">
        <f>IF(ISNUMBER('Übung 17'!AI$39),'Übung 17'!AI$39,0)</f>
        <v/>
      </c>
      <c r="T259" s="62">
        <f>IF(ISNUMBER('Übung 18'!AI$39),'Übung 18'!AI$39,0)</f>
        <v/>
      </c>
      <c r="U259" s="62">
        <f>IF(ISNUMBER('Übung 19'!AI$39),'Übung 19'!AI$39,0)</f>
        <v/>
      </c>
      <c r="V259" s="62">
        <f>IF(ISNUMBER('Übung 20'!AI$39),'Übung 20'!AI$39,0)</f>
        <v/>
      </c>
    </row>
    <row r="260">
      <c r="C260" s="62">
        <f>IF(ISNUMBER('Übung 01'!AJ$39),'Übung 01'!AJ$39,0)</f>
        <v/>
      </c>
      <c r="D260" s="62">
        <f>IF(ISNUMBER('Übung 02'!AJ$39),'Übung 02'!AJ$39,0)</f>
        <v/>
      </c>
      <c r="E260" s="62">
        <f>IF(ISNUMBER('Übung 03'!AJ$39),'Übung 03'!AJ$39,0)</f>
        <v/>
      </c>
      <c r="F260" s="62">
        <f>IF(ISNUMBER('Übung 04'!AJ$39),'Übung 04'!AJ$39,0)</f>
        <v/>
      </c>
      <c r="G260" s="62">
        <f>IF(ISNUMBER('Übung 05'!AJ$39),'Übung 05'!AJ$39,0)</f>
        <v/>
      </c>
      <c r="H260" s="62">
        <f>IF(ISNUMBER('Übung 06'!AJ$39),'Übung 06'!AJ$39,0)</f>
        <v/>
      </c>
      <c r="I260" s="62">
        <f>IF(ISNUMBER('Übung 07'!AJ$39),'Übung 07'!AJ$39,0)</f>
        <v/>
      </c>
      <c r="J260" s="62">
        <f>IF(ISNUMBER('Übung 08'!AJ$39),'Übung 08'!AJ$39,0)</f>
        <v/>
      </c>
      <c r="K260" s="62">
        <f>IF(ISNUMBER('Übung 09'!AJ$39),'Übung 09'!AJ$39,0)</f>
        <v/>
      </c>
      <c r="L260" s="62">
        <f>IF(ISNUMBER('Übung 10'!AJ$39),'Übung 10'!AJ$39,0)</f>
        <v/>
      </c>
      <c r="M260" s="62">
        <f>IF(ISNUMBER('Übung 11'!AJ$39),'Übung 11'!AJ$39,0)</f>
        <v/>
      </c>
      <c r="N260" s="62">
        <f>IF(ISNUMBER('Übung 12'!AJ$39),'Übung 12'!AJ$39,0)</f>
        <v/>
      </c>
      <c r="O260" s="62">
        <f>IF(ISNUMBER('Übung 13'!AJ$39),'Übung 13'!AJ$39,0)</f>
        <v/>
      </c>
      <c r="P260" s="62">
        <f>IF(ISNUMBER('Übung 14'!AJ$39),'Übung 14'!AJ$39,0)</f>
        <v/>
      </c>
      <c r="Q260" s="62">
        <f>IF(ISNUMBER('Übung 15'!AJ$39),'Übung 15'!AJ$39,0)</f>
        <v/>
      </c>
      <c r="R260" s="62">
        <f>IF(ISNUMBER('Übung 16'!AJ$39),'Übung 16'!AJ$39,0)</f>
        <v/>
      </c>
      <c r="S260" s="62">
        <f>IF(ISNUMBER('Übung 17'!AJ$39),'Übung 17'!AJ$39,0)</f>
        <v/>
      </c>
      <c r="T260" s="62">
        <f>IF(ISNUMBER('Übung 18'!AJ$39),'Übung 18'!AJ$39,0)</f>
        <v/>
      </c>
      <c r="U260" s="62">
        <f>IF(ISNUMBER('Übung 19'!AJ$39),'Übung 19'!AJ$39,0)</f>
        <v/>
      </c>
      <c r="V260" s="62">
        <f>IF(ISNUMBER('Übung 20'!AJ$39),'Übung 20'!AJ$39,0)</f>
        <v/>
      </c>
    </row>
    <row r="261">
      <c r="C261" s="62">
        <f>IF(ISNUMBER('Übung 01'!AK$39),'Übung 01'!AK$39,0)</f>
        <v/>
      </c>
      <c r="D261" s="62">
        <f>IF(ISNUMBER('Übung 02'!AK$39),'Übung 02'!AK$39,0)</f>
        <v/>
      </c>
      <c r="E261" s="62">
        <f>IF(ISNUMBER('Übung 03'!AK$39),'Übung 03'!AK$39,0)</f>
        <v/>
      </c>
      <c r="F261" s="62">
        <f>IF(ISNUMBER('Übung 04'!AK$39),'Übung 04'!AK$39,0)</f>
        <v/>
      </c>
      <c r="G261" s="62">
        <f>IF(ISNUMBER('Übung 05'!AK$39),'Übung 05'!AK$39,0)</f>
        <v/>
      </c>
      <c r="H261" s="62">
        <f>IF(ISNUMBER('Übung 06'!AK$39),'Übung 06'!AK$39,0)</f>
        <v/>
      </c>
      <c r="I261" s="62">
        <f>IF(ISNUMBER('Übung 07'!AK$39),'Übung 07'!AK$39,0)</f>
        <v/>
      </c>
      <c r="J261" s="62">
        <f>IF(ISNUMBER('Übung 08'!AK$39),'Übung 08'!AK$39,0)</f>
        <v/>
      </c>
      <c r="K261" s="62">
        <f>IF(ISNUMBER('Übung 09'!AK$39),'Übung 09'!AK$39,0)</f>
        <v/>
      </c>
      <c r="L261" s="62">
        <f>IF(ISNUMBER('Übung 10'!AK$39),'Übung 10'!AK$39,0)</f>
        <v/>
      </c>
      <c r="M261" s="62">
        <f>IF(ISNUMBER('Übung 11'!AK$39),'Übung 11'!AK$39,0)</f>
        <v/>
      </c>
      <c r="N261" s="62">
        <f>IF(ISNUMBER('Übung 12'!AK$39),'Übung 12'!AK$39,0)</f>
        <v/>
      </c>
      <c r="O261" s="62">
        <f>IF(ISNUMBER('Übung 13'!AK$39),'Übung 13'!AK$39,0)</f>
        <v/>
      </c>
      <c r="P261" s="62">
        <f>IF(ISNUMBER('Übung 14'!AK$39),'Übung 14'!AK$39,0)</f>
        <v/>
      </c>
      <c r="Q261" s="62">
        <f>IF(ISNUMBER('Übung 15'!AK$39),'Übung 15'!AK$39,0)</f>
        <v/>
      </c>
      <c r="R261" s="62">
        <f>IF(ISNUMBER('Übung 16'!AK$39),'Übung 16'!AK$39,0)</f>
        <v/>
      </c>
      <c r="S261" s="62">
        <f>IF(ISNUMBER('Übung 17'!AK$39),'Übung 17'!AK$39,0)</f>
        <v/>
      </c>
      <c r="T261" s="62">
        <f>IF(ISNUMBER('Übung 18'!AK$39),'Übung 18'!AK$39,0)</f>
        <v/>
      </c>
      <c r="U261" s="62">
        <f>IF(ISNUMBER('Übung 19'!AK$39),'Übung 19'!AK$39,0)</f>
        <v/>
      </c>
      <c r="V261" s="62">
        <f>IF(ISNUMBER('Übung 20'!AK$39),'Übung 20'!AK$39,0)</f>
        <v/>
      </c>
    </row>
    <row r="262">
      <c r="C262" s="62">
        <f>IF(ISNUMBER('Übung 01'!AL$39),'Übung 01'!AL$39,0)</f>
        <v/>
      </c>
      <c r="D262" s="62">
        <f>IF(ISNUMBER('Übung 02'!AL$39),'Übung 02'!AL$39,0)</f>
        <v/>
      </c>
      <c r="E262" s="62">
        <f>IF(ISNUMBER('Übung 03'!AL$39),'Übung 03'!AL$39,0)</f>
        <v/>
      </c>
      <c r="F262" s="62">
        <f>IF(ISNUMBER('Übung 04'!AL$39),'Übung 04'!AL$39,0)</f>
        <v/>
      </c>
      <c r="G262" s="62">
        <f>IF(ISNUMBER('Übung 05'!AL$39),'Übung 05'!AL$39,0)</f>
        <v/>
      </c>
      <c r="H262" s="62">
        <f>IF(ISNUMBER('Übung 06'!AL$39),'Übung 06'!AL$39,0)</f>
        <v/>
      </c>
      <c r="I262" s="62">
        <f>IF(ISNUMBER('Übung 07'!AL$39),'Übung 07'!AL$39,0)</f>
        <v/>
      </c>
      <c r="J262" s="62">
        <f>IF(ISNUMBER('Übung 08'!AL$39),'Übung 08'!AL$39,0)</f>
        <v/>
      </c>
      <c r="K262" s="62">
        <f>IF(ISNUMBER('Übung 09'!AL$39),'Übung 09'!AL$39,0)</f>
        <v/>
      </c>
      <c r="L262" s="62">
        <f>IF(ISNUMBER('Übung 10'!AL$39),'Übung 10'!AL$39,0)</f>
        <v/>
      </c>
      <c r="M262" s="62">
        <f>IF(ISNUMBER('Übung 11'!AL$39),'Übung 11'!AL$39,0)</f>
        <v/>
      </c>
      <c r="N262" s="62">
        <f>IF(ISNUMBER('Übung 12'!AL$39),'Übung 12'!AL$39,0)</f>
        <v/>
      </c>
      <c r="O262" s="62">
        <f>IF(ISNUMBER('Übung 13'!AL$39),'Übung 13'!AL$39,0)</f>
        <v/>
      </c>
      <c r="P262" s="62">
        <f>IF(ISNUMBER('Übung 14'!AL$39),'Übung 14'!AL$39,0)</f>
        <v/>
      </c>
      <c r="Q262" s="62">
        <f>IF(ISNUMBER('Übung 15'!AL$39),'Übung 15'!AL$39,0)</f>
        <v/>
      </c>
      <c r="R262" s="62">
        <f>IF(ISNUMBER('Übung 16'!AL$39),'Übung 16'!AL$39,0)</f>
        <v/>
      </c>
      <c r="S262" s="62">
        <f>IF(ISNUMBER('Übung 17'!AL$39),'Übung 17'!AL$39,0)</f>
        <v/>
      </c>
      <c r="T262" s="62">
        <f>IF(ISNUMBER('Übung 18'!AL$39),'Übung 18'!AL$39,0)</f>
        <v/>
      </c>
      <c r="U262" s="62">
        <f>IF(ISNUMBER('Übung 19'!AL$39),'Übung 19'!AL$39,0)</f>
        <v/>
      </c>
      <c r="V262" s="62">
        <f>IF(ISNUMBER('Übung 20'!AL$39),'Übung 20'!AL$39,0)</f>
        <v/>
      </c>
    </row>
    <row r="263">
      <c r="C263" s="62">
        <f>IF(ISNUMBER('Übung 01'!AM$39),'Übung 01'!AM$39,0)</f>
        <v/>
      </c>
      <c r="D263" s="62">
        <f>IF(ISNUMBER('Übung 02'!AM$39),'Übung 02'!AM$39,0)</f>
        <v/>
      </c>
      <c r="E263" s="62">
        <f>IF(ISNUMBER('Übung 03'!AM$39),'Übung 03'!AM$39,0)</f>
        <v/>
      </c>
      <c r="F263" s="62">
        <f>IF(ISNUMBER('Übung 04'!AM$39),'Übung 04'!AM$39,0)</f>
        <v/>
      </c>
      <c r="G263" s="62">
        <f>IF(ISNUMBER('Übung 05'!AM$39),'Übung 05'!AM$39,0)</f>
        <v/>
      </c>
      <c r="H263" s="62">
        <f>IF(ISNUMBER('Übung 06'!AM$39),'Übung 06'!AM$39,0)</f>
        <v/>
      </c>
      <c r="I263" s="62">
        <f>IF(ISNUMBER('Übung 07'!AM$39),'Übung 07'!AM$39,0)</f>
        <v/>
      </c>
      <c r="J263" s="62">
        <f>IF(ISNUMBER('Übung 08'!AM$39),'Übung 08'!AM$39,0)</f>
        <v/>
      </c>
      <c r="K263" s="62">
        <f>IF(ISNUMBER('Übung 09'!AM$39),'Übung 09'!AM$39,0)</f>
        <v/>
      </c>
      <c r="L263" s="62">
        <f>IF(ISNUMBER('Übung 10'!AM$39),'Übung 10'!AM$39,0)</f>
        <v/>
      </c>
      <c r="M263" s="62">
        <f>IF(ISNUMBER('Übung 11'!AM$39),'Übung 11'!AM$39,0)</f>
        <v/>
      </c>
      <c r="N263" s="62">
        <f>IF(ISNUMBER('Übung 12'!AM$39),'Übung 12'!AM$39,0)</f>
        <v/>
      </c>
      <c r="O263" s="62">
        <f>IF(ISNUMBER('Übung 13'!AM$39),'Übung 13'!AM$39,0)</f>
        <v/>
      </c>
      <c r="P263" s="62">
        <f>IF(ISNUMBER('Übung 14'!AM$39),'Übung 14'!AM$39,0)</f>
        <v/>
      </c>
      <c r="Q263" s="62">
        <f>IF(ISNUMBER('Übung 15'!AM$39),'Übung 15'!AM$39,0)</f>
        <v/>
      </c>
      <c r="R263" s="62">
        <f>IF(ISNUMBER('Übung 16'!AM$39),'Übung 16'!AM$39,0)</f>
        <v/>
      </c>
      <c r="S263" s="62">
        <f>IF(ISNUMBER('Übung 17'!AM$39),'Übung 17'!AM$39,0)</f>
        <v/>
      </c>
      <c r="T263" s="62">
        <f>IF(ISNUMBER('Übung 18'!AM$39),'Übung 18'!AM$39,0)</f>
        <v/>
      </c>
      <c r="U263" s="62">
        <f>IF(ISNUMBER('Übung 19'!AM$39),'Übung 19'!AM$39,0)</f>
        <v/>
      </c>
      <c r="V263" s="62">
        <f>IF(ISNUMBER('Übung 20'!AM$39),'Übung 20'!AM$39,0)</f>
        <v/>
      </c>
    </row>
    <row r="264">
      <c r="C264" s="62">
        <f>IF(ISNUMBER('Übung 01'!AN$39),'Übung 01'!AN$39,0)</f>
        <v/>
      </c>
      <c r="D264" s="62">
        <f>IF(ISNUMBER('Übung 02'!AN$39),'Übung 02'!AN$39,0)</f>
        <v/>
      </c>
      <c r="E264" s="62">
        <f>IF(ISNUMBER('Übung 03'!AN$39),'Übung 03'!AN$39,0)</f>
        <v/>
      </c>
      <c r="F264" s="62">
        <f>IF(ISNUMBER('Übung 04'!AN$39),'Übung 04'!AN$39,0)</f>
        <v/>
      </c>
      <c r="G264" s="62">
        <f>IF(ISNUMBER('Übung 05'!AN$39),'Übung 05'!AN$39,0)</f>
        <v/>
      </c>
      <c r="H264" s="62">
        <f>IF(ISNUMBER('Übung 06'!AN$39),'Übung 06'!AN$39,0)</f>
        <v/>
      </c>
      <c r="I264" s="62">
        <f>IF(ISNUMBER('Übung 07'!AN$39),'Übung 07'!AN$39,0)</f>
        <v/>
      </c>
      <c r="J264" s="62">
        <f>IF(ISNUMBER('Übung 08'!AN$39),'Übung 08'!AN$39,0)</f>
        <v/>
      </c>
      <c r="K264" s="62">
        <f>IF(ISNUMBER('Übung 09'!AN$39),'Übung 09'!AN$39,0)</f>
        <v/>
      </c>
      <c r="L264" s="62">
        <f>IF(ISNUMBER('Übung 10'!AN$39),'Übung 10'!AN$39,0)</f>
        <v/>
      </c>
      <c r="M264" s="62">
        <f>IF(ISNUMBER('Übung 11'!AN$39),'Übung 11'!AN$39,0)</f>
        <v/>
      </c>
      <c r="N264" s="62">
        <f>IF(ISNUMBER('Übung 12'!AN$39),'Übung 12'!AN$39,0)</f>
        <v/>
      </c>
      <c r="O264" s="62">
        <f>IF(ISNUMBER('Übung 13'!AN$39),'Übung 13'!AN$39,0)</f>
        <v/>
      </c>
      <c r="P264" s="62">
        <f>IF(ISNUMBER('Übung 14'!AN$39),'Übung 14'!AN$39,0)</f>
        <v/>
      </c>
      <c r="Q264" s="62">
        <f>IF(ISNUMBER('Übung 15'!AN$39),'Übung 15'!AN$39,0)</f>
        <v/>
      </c>
      <c r="R264" s="62">
        <f>IF(ISNUMBER('Übung 16'!AN$39),'Übung 16'!AN$39,0)</f>
        <v/>
      </c>
      <c r="S264" s="62">
        <f>IF(ISNUMBER('Übung 17'!AN$39),'Übung 17'!AN$39,0)</f>
        <v/>
      </c>
      <c r="T264" s="62">
        <f>IF(ISNUMBER('Übung 18'!AN$39),'Übung 18'!AN$39,0)</f>
        <v/>
      </c>
      <c r="U264" s="62">
        <f>IF(ISNUMBER('Übung 19'!AN$39),'Übung 19'!AN$39,0)</f>
        <v/>
      </c>
      <c r="V264" s="62">
        <f>IF(ISNUMBER('Übung 20'!AN$39),'Übung 20'!AN$39,0)</f>
        <v/>
      </c>
    </row>
    <row r="265">
      <c r="C265" s="62">
        <f>IF(ISNUMBER('Übung 01'!AO$39),'Übung 01'!AO$39,0)</f>
        <v/>
      </c>
      <c r="D265" s="62">
        <f>IF(ISNUMBER('Übung 02'!AO$39),'Übung 02'!AO$39,0)</f>
        <v/>
      </c>
      <c r="E265" s="62">
        <f>IF(ISNUMBER('Übung 03'!AO$39),'Übung 03'!AO$39,0)</f>
        <v/>
      </c>
      <c r="F265" s="62">
        <f>IF(ISNUMBER('Übung 04'!AO$39),'Übung 04'!AO$39,0)</f>
        <v/>
      </c>
      <c r="G265" s="62">
        <f>IF(ISNUMBER('Übung 05'!AO$39),'Übung 05'!AO$39,0)</f>
        <v/>
      </c>
      <c r="H265" s="62">
        <f>IF(ISNUMBER('Übung 06'!AO$39),'Übung 06'!AO$39,0)</f>
        <v/>
      </c>
      <c r="I265" s="62">
        <f>IF(ISNUMBER('Übung 07'!AO$39),'Übung 07'!AO$39,0)</f>
        <v/>
      </c>
      <c r="J265" s="62">
        <f>IF(ISNUMBER('Übung 08'!AO$39),'Übung 08'!AO$39,0)</f>
        <v/>
      </c>
      <c r="K265" s="62">
        <f>IF(ISNUMBER('Übung 09'!AO$39),'Übung 09'!AO$39,0)</f>
        <v/>
      </c>
      <c r="L265" s="62">
        <f>IF(ISNUMBER('Übung 10'!AO$39),'Übung 10'!AO$39,0)</f>
        <v/>
      </c>
      <c r="M265" s="62">
        <f>IF(ISNUMBER('Übung 11'!AO$39),'Übung 11'!AO$39,0)</f>
        <v/>
      </c>
      <c r="N265" s="62">
        <f>IF(ISNUMBER('Übung 12'!AO$39),'Übung 12'!AO$39,0)</f>
        <v/>
      </c>
      <c r="O265" s="62">
        <f>IF(ISNUMBER('Übung 13'!AO$39),'Übung 13'!AO$39,0)</f>
        <v/>
      </c>
      <c r="P265" s="62">
        <f>IF(ISNUMBER('Übung 14'!AO$39),'Übung 14'!AO$39,0)</f>
        <v/>
      </c>
      <c r="Q265" s="62">
        <f>IF(ISNUMBER('Übung 15'!AO$39),'Übung 15'!AO$39,0)</f>
        <v/>
      </c>
      <c r="R265" s="62">
        <f>IF(ISNUMBER('Übung 16'!AO$39),'Übung 16'!AO$39,0)</f>
        <v/>
      </c>
      <c r="S265" s="62">
        <f>IF(ISNUMBER('Übung 17'!AO$39),'Übung 17'!AO$39,0)</f>
        <v/>
      </c>
      <c r="T265" s="62">
        <f>IF(ISNUMBER('Übung 18'!AO$39),'Übung 18'!AO$39,0)</f>
        <v/>
      </c>
      <c r="U265" s="62">
        <f>IF(ISNUMBER('Übung 19'!AO$39),'Übung 19'!AO$39,0)</f>
        <v/>
      </c>
      <c r="V265" s="62">
        <f>IF(ISNUMBER('Übung 20'!AO$39),'Übung 20'!AO$39,0)</f>
        <v/>
      </c>
    </row>
    <row r="266">
      <c r="C266" s="62">
        <f>IF(ISNUMBER('Übung 01'!AP$39),'Übung 01'!AP$39,0)</f>
        <v/>
      </c>
      <c r="D266" s="62">
        <f>IF(ISNUMBER('Übung 02'!AP$39),'Übung 02'!AP$39,0)</f>
        <v/>
      </c>
      <c r="E266" s="62">
        <f>IF(ISNUMBER('Übung 03'!AP$39),'Übung 03'!AP$39,0)</f>
        <v/>
      </c>
      <c r="F266" s="62">
        <f>IF(ISNUMBER('Übung 04'!AP$39),'Übung 04'!AP$39,0)</f>
        <v/>
      </c>
      <c r="G266" s="62">
        <f>IF(ISNUMBER('Übung 05'!AP$39),'Übung 05'!AP$39,0)</f>
        <v/>
      </c>
      <c r="H266" s="62">
        <f>IF(ISNUMBER('Übung 06'!AP$39),'Übung 06'!AP$39,0)</f>
        <v/>
      </c>
      <c r="I266" s="62">
        <f>IF(ISNUMBER('Übung 07'!AP$39),'Übung 07'!AP$39,0)</f>
        <v/>
      </c>
      <c r="J266" s="62">
        <f>IF(ISNUMBER('Übung 08'!AP$39),'Übung 08'!AP$39,0)</f>
        <v/>
      </c>
      <c r="K266" s="62">
        <f>IF(ISNUMBER('Übung 09'!AP$39),'Übung 09'!AP$39,0)</f>
        <v/>
      </c>
      <c r="L266" s="62">
        <f>IF(ISNUMBER('Übung 10'!AP$39),'Übung 10'!AP$39,0)</f>
        <v/>
      </c>
      <c r="M266" s="62">
        <f>IF(ISNUMBER('Übung 11'!AP$39),'Übung 11'!AP$39,0)</f>
        <v/>
      </c>
      <c r="N266" s="62">
        <f>IF(ISNUMBER('Übung 12'!AP$39),'Übung 12'!AP$39,0)</f>
        <v/>
      </c>
      <c r="O266" s="62">
        <f>IF(ISNUMBER('Übung 13'!AP$39),'Übung 13'!AP$39,0)</f>
        <v/>
      </c>
      <c r="P266" s="62">
        <f>IF(ISNUMBER('Übung 14'!AP$39),'Übung 14'!AP$39,0)</f>
        <v/>
      </c>
      <c r="Q266" s="62">
        <f>IF(ISNUMBER('Übung 15'!AP$39),'Übung 15'!AP$39,0)</f>
        <v/>
      </c>
      <c r="R266" s="62">
        <f>IF(ISNUMBER('Übung 16'!AP$39),'Übung 16'!AP$39,0)</f>
        <v/>
      </c>
      <c r="S266" s="62">
        <f>IF(ISNUMBER('Übung 17'!AP$39),'Übung 17'!AP$39,0)</f>
        <v/>
      </c>
      <c r="T266" s="62">
        <f>IF(ISNUMBER('Übung 18'!AP$39),'Übung 18'!AP$39,0)</f>
        <v/>
      </c>
      <c r="U266" s="62">
        <f>IF(ISNUMBER('Übung 19'!AP$39),'Übung 19'!AP$39,0)</f>
        <v/>
      </c>
      <c r="V266" s="62">
        <f>IF(ISNUMBER('Übung 20'!AP$39),'Übung 20'!AP$39,0)</f>
        <v/>
      </c>
    </row>
    <row r="267">
      <c r="C267" s="62">
        <f>IF(ISNUMBER('Übung 01'!AQ$39),'Übung 01'!AQ$39,0)</f>
        <v/>
      </c>
      <c r="D267" s="62">
        <f>IF(ISNUMBER('Übung 02'!AQ$39),'Übung 02'!AQ$39,0)</f>
        <v/>
      </c>
      <c r="E267" s="62">
        <f>IF(ISNUMBER('Übung 03'!AQ$39),'Übung 03'!AQ$39,0)</f>
        <v/>
      </c>
      <c r="F267" s="62">
        <f>IF(ISNUMBER('Übung 04'!AQ$39),'Übung 04'!AQ$39,0)</f>
        <v/>
      </c>
      <c r="G267" s="62">
        <f>IF(ISNUMBER('Übung 05'!AQ$39),'Übung 05'!AQ$39,0)</f>
        <v/>
      </c>
      <c r="H267" s="62">
        <f>IF(ISNUMBER('Übung 06'!AQ$39),'Übung 06'!AQ$39,0)</f>
        <v/>
      </c>
      <c r="I267" s="62">
        <f>IF(ISNUMBER('Übung 07'!AQ$39),'Übung 07'!AQ$39,0)</f>
        <v/>
      </c>
      <c r="J267" s="62">
        <f>IF(ISNUMBER('Übung 08'!AQ$39),'Übung 08'!AQ$39,0)</f>
        <v/>
      </c>
      <c r="K267" s="62">
        <f>IF(ISNUMBER('Übung 09'!AQ$39),'Übung 09'!AQ$39,0)</f>
        <v/>
      </c>
      <c r="L267" s="62">
        <f>IF(ISNUMBER('Übung 10'!AQ$39),'Übung 10'!AQ$39,0)</f>
        <v/>
      </c>
      <c r="M267" s="62">
        <f>IF(ISNUMBER('Übung 11'!AQ$39),'Übung 11'!AQ$39,0)</f>
        <v/>
      </c>
      <c r="N267" s="62">
        <f>IF(ISNUMBER('Übung 12'!AQ$39),'Übung 12'!AQ$39,0)</f>
        <v/>
      </c>
      <c r="O267" s="62">
        <f>IF(ISNUMBER('Übung 13'!AQ$39),'Übung 13'!AQ$39,0)</f>
        <v/>
      </c>
      <c r="P267" s="62">
        <f>IF(ISNUMBER('Übung 14'!AQ$39),'Übung 14'!AQ$39,0)</f>
        <v/>
      </c>
      <c r="Q267" s="62">
        <f>IF(ISNUMBER('Übung 15'!AQ$39),'Übung 15'!AQ$39,0)</f>
        <v/>
      </c>
      <c r="R267" s="62">
        <f>IF(ISNUMBER('Übung 16'!AQ$39),'Übung 16'!AQ$39,0)</f>
        <v/>
      </c>
      <c r="S267" s="62">
        <f>IF(ISNUMBER('Übung 17'!AQ$39),'Übung 17'!AQ$39,0)</f>
        <v/>
      </c>
      <c r="T267" s="62">
        <f>IF(ISNUMBER('Übung 18'!AQ$39),'Übung 18'!AQ$39,0)</f>
        <v/>
      </c>
      <c r="U267" s="62">
        <f>IF(ISNUMBER('Übung 19'!AQ$39),'Übung 19'!AQ$39,0)</f>
        <v/>
      </c>
      <c r="V267" s="62">
        <f>IF(ISNUMBER('Übung 20'!AQ$39),'Übung 20'!AQ$39,0)</f>
        <v/>
      </c>
    </row>
    <row r="268">
      <c r="C268" s="62">
        <f>IF(ISNUMBER('Übung 01'!AR$39),'Übung 01'!AR$39,0)</f>
        <v/>
      </c>
      <c r="D268" s="62">
        <f>IF(ISNUMBER('Übung 02'!AR$39),'Übung 02'!AR$39,0)</f>
        <v/>
      </c>
      <c r="E268" s="62">
        <f>IF(ISNUMBER('Übung 03'!AR$39),'Übung 03'!AR$39,0)</f>
        <v/>
      </c>
      <c r="F268" s="62">
        <f>IF(ISNUMBER('Übung 04'!AR$39),'Übung 04'!AR$39,0)</f>
        <v/>
      </c>
      <c r="G268" s="62">
        <f>IF(ISNUMBER('Übung 05'!AR$39),'Übung 05'!AR$39,0)</f>
        <v/>
      </c>
      <c r="H268" s="62">
        <f>IF(ISNUMBER('Übung 06'!AR$39),'Übung 06'!AR$39,0)</f>
        <v/>
      </c>
      <c r="I268" s="62">
        <f>IF(ISNUMBER('Übung 07'!AR$39),'Übung 07'!AR$39,0)</f>
        <v/>
      </c>
      <c r="J268" s="62">
        <f>IF(ISNUMBER('Übung 08'!AR$39),'Übung 08'!AR$39,0)</f>
        <v/>
      </c>
      <c r="K268" s="62">
        <f>IF(ISNUMBER('Übung 09'!AR$39),'Übung 09'!AR$39,0)</f>
        <v/>
      </c>
      <c r="L268" s="62">
        <f>IF(ISNUMBER('Übung 10'!AR$39),'Übung 10'!AR$39,0)</f>
        <v/>
      </c>
      <c r="M268" s="62">
        <f>IF(ISNUMBER('Übung 11'!AR$39),'Übung 11'!AR$39,0)</f>
        <v/>
      </c>
      <c r="N268" s="62">
        <f>IF(ISNUMBER('Übung 12'!AR$39),'Übung 12'!AR$39,0)</f>
        <v/>
      </c>
      <c r="O268" s="62">
        <f>IF(ISNUMBER('Übung 13'!AR$39),'Übung 13'!AR$39,0)</f>
        <v/>
      </c>
      <c r="P268" s="62">
        <f>IF(ISNUMBER('Übung 14'!AR$39),'Übung 14'!AR$39,0)</f>
        <v/>
      </c>
      <c r="Q268" s="62">
        <f>IF(ISNUMBER('Übung 15'!AR$39),'Übung 15'!AR$39,0)</f>
        <v/>
      </c>
      <c r="R268" s="62">
        <f>IF(ISNUMBER('Übung 16'!AR$39),'Übung 16'!AR$39,0)</f>
        <v/>
      </c>
      <c r="S268" s="62">
        <f>IF(ISNUMBER('Übung 17'!AR$39),'Übung 17'!AR$39,0)</f>
        <v/>
      </c>
      <c r="T268" s="62">
        <f>IF(ISNUMBER('Übung 18'!AR$39),'Übung 18'!AR$39,0)</f>
        <v/>
      </c>
      <c r="U268" s="62">
        <f>IF(ISNUMBER('Übung 19'!AR$39),'Übung 19'!AR$39,0)</f>
        <v/>
      </c>
      <c r="V268" s="62">
        <f>IF(ISNUMBER('Übung 20'!AR$39),'Übung 20'!AR$39,0)</f>
        <v/>
      </c>
    </row>
    <row r="269">
      <c r="C269" s="62">
        <f>IF(ISNUMBER('Übung 01'!AS$39),'Übung 01'!AS$39,0)</f>
        <v/>
      </c>
      <c r="D269" s="62">
        <f>IF(ISNUMBER('Übung 02'!AS$39),'Übung 02'!AS$39,0)</f>
        <v/>
      </c>
      <c r="E269" s="62">
        <f>IF(ISNUMBER('Übung 03'!AS$39),'Übung 03'!AS$39,0)</f>
        <v/>
      </c>
      <c r="F269" s="62">
        <f>IF(ISNUMBER('Übung 04'!AS$39),'Übung 04'!AS$39,0)</f>
        <v/>
      </c>
      <c r="G269" s="62">
        <f>IF(ISNUMBER('Übung 05'!AS$39),'Übung 05'!AS$39,0)</f>
        <v/>
      </c>
      <c r="H269" s="62">
        <f>IF(ISNUMBER('Übung 06'!AS$39),'Übung 06'!AS$39,0)</f>
        <v/>
      </c>
      <c r="I269" s="62">
        <f>IF(ISNUMBER('Übung 07'!AS$39),'Übung 07'!AS$39,0)</f>
        <v/>
      </c>
      <c r="J269" s="62">
        <f>IF(ISNUMBER('Übung 08'!AS$39),'Übung 08'!AS$39,0)</f>
        <v/>
      </c>
      <c r="K269" s="62">
        <f>IF(ISNUMBER('Übung 09'!AS$39),'Übung 09'!AS$39,0)</f>
        <v/>
      </c>
      <c r="L269" s="62">
        <f>IF(ISNUMBER('Übung 10'!AS$39),'Übung 10'!AS$39,0)</f>
        <v/>
      </c>
      <c r="M269" s="62">
        <f>IF(ISNUMBER('Übung 11'!AS$39),'Übung 11'!AS$39,0)</f>
        <v/>
      </c>
      <c r="N269" s="62">
        <f>IF(ISNUMBER('Übung 12'!AS$39),'Übung 12'!AS$39,0)</f>
        <v/>
      </c>
      <c r="O269" s="62">
        <f>IF(ISNUMBER('Übung 13'!AS$39),'Übung 13'!AS$39,0)</f>
        <v/>
      </c>
      <c r="P269" s="62">
        <f>IF(ISNUMBER('Übung 14'!AS$39),'Übung 14'!AS$39,0)</f>
        <v/>
      </c>
      <c r="Q269" s="62">
        <f>IF(ISNUMBER('Übung 15'!AS$39),'Übung 15'!AS$39,0)</f>
        <v/>
      </c>
      <c r="R269" s="62">
        <f>IF(ISNUMBER('Übung 16'!AS$39),'Übung 16'!AS$39,0)</f>
        <v/>
      </c>
      <c r="S269" s="62">
        <f>IF(ISNUMBER('Übung 17'!AS$39),'Übung 17'!AS$39,0)</f>
        <v/>
      </c>
      <c r="T269" s="62">
        <f>IF(ISNUMBER('Übung 18'!AS$39),'Übung 18'!AS$39,0)</f>
        <v/>
      </c>
      <c r="U269" s="62">
        <f>IF(ISNUMBER('Übung 19'!AS$39),'Übung 19'!AS$39,0)</f>
        <v/>
      </c>
      <c r="V269" s="62">
        <f>IF(ISNUMBER('Übung 20'!AS$39),'Übung 20'!AS$39,0)</f>
        <v/>
      </c>
    </row>
    <row r="270">
      <c r="C270" s="62">
        <f>IF(ISNUMBER('Übung 01'!AT$39),'Übung 01'!AT$39,0)</f>
        <v/>
      </c>
      <c r="D270" s="62">
        <f>IF(ISNUMBER('Übung 02'!AT$39),'Übung 02'!AT$39,0)</f>
        <v/>
      </c>
      <c r="E270" s="62">
        <f>IF(ISNUMBER('Übung 03'!AT$39),'Übung 03'!AT$39,0)</f>
        <v/>
      </c>
      <c r="F270" s="62">
        <f>IF(ISNUMBER('Übung 04'!AT$39),'Übung 04'!AT$39,0)</f>
        <v/>
      </c>
      <c r="G270" s="62">
        <f>IF(ISNUMBER('Übung 05'!AT$39),'Übung 05'!AT$39,0)</f>
        <v/>
      </c>
      <c r="H270" s="62">
        <f>IF(ISNUMBER('Übung 06'!AT$39),'Übung 06'!AT$39,0)</f>
        <v/>
      </c>
      <c r="I270" s="62">
        <f>IF(ISNUMBER('Übung 07'!AT$39),'Übung 07'!AT$39,0)</f>
        <v/>
      </c>
      <c r="J270" s="62">
        <f>IF(ISNUMBER('Übung 08'!AT$39),'Übung 08'!AT$39,0)</f>
        <v/>
      </c>
      <c r="K270" s="62">
        <f>IF(ISNUMBER('Übung 09'!AT$39),'Übung 09'!AT$39,0)</f>
        <v/>
      </c>
      <c r="L270" s="62">
        <f>IF(ISNUMBER('Übung 10'!AT$39),'Übung 10'!AT$39,0)</f>
        <v/>
      </c>
      <c r="M270" s="62">
        <f>IF(ISNUMBER('Übung 11'!AT$39),'Übung 11'!AT$39,0)</f>
        <v/>
      </c>
      <c r="N270" s="62">
        <f>IF(ISNUMBER('Übung 12'!AT$39),'Übung 12'!AT$39,0)</f>
        <v/>
      </c>
      <c r="O270" s="62">
        <f>IF(ISNUMBER('Übung 13'!AT$39),'Übung 13'!AT$39,0)</f>
        <v/>
      </c>
      <c r="P270" s="62">
        <f>IF(ISNUMBER('Übung 14'!AT$39),'Übung 14'!AT$39,0)</f>
        <v/>
      </c>
      <c r="Q270" s="62">
        <f>IF(ISNUMBER('Übung 15'!AT$39),'Übung 15'!AT$39,0)</f>
        <v/>
      </c>
      <c r="R270" s="62">
        <f>IF(ISNUMBER('Übung 16'!AT$39),'Übung 16'!AT$39,0)</f>
        <v/>
      </c>
      <c r="S270" s="62">
        <f>IF(ISNUMBER('Übung 17'!AT$39),'Übung 17'!AT$39,0)</f>
        <v/>
      </c>
      <c r="T270" s="62">
        <f>IF(ISNUMBER('Übung 18'!AT$39),'Übung 18'!AT$39,0)</f>
        <v/>
      </c>
      <c r="U270" s="62">
        <f>IF(ISNUMBER('Übung 19'!AT$39),'Übung 19'!AT$39,0)</f>
        <v/>
      </c>
      <c r="V270" s="62">
        <f>IF(ISNUMBER('Übung 20'!AT$39),'Übung 20'!AT$39,0)</f>
        <v/>
      </c>
    </row>
    <row r="271">
      <c r="C271" s="62">
        <f>IF(ISNUMBER('Übung 01'!AU$39),'Übung 01'!AU$39,0)</f>
        <v/>
      </c>
      <c r="D271" s="62">
        <f>IF(ISNUMBER('Übung 02'!AU$39),'Übung 02'!AU$39,0)</f>
        <v/>
      </c>
      <c r="E271" s="62">
        <f>IF(ISNUMBER('Übung 03'!AU$39),'Übung 03'!AU$39,0)</f>
        <v/>
      </c>
      <c r="F271" s="62">
        <f>IF(ISNUMBER('Übung 04'!AU$39),'Übung 04'!AU$39,0)</f>
        <v/>
      </c>
      <c r="G271" s="62">
        <f>IF(ISNUMBER('Übung 05'!AU$39),'Übung 05'!AU$39,0)</f>
        <v/>
      </c>
      <c r="H271" s="62">
        <f>IF(ISNUMBER('Übung 06'!AU$39),'Übung 06'!AU$39,0)</f>
        <v/>
      </c>
      <c r="I271" s="62">
        <f>IF(ISNUMBER('Übung 07'!AU$39),'Übung 07'!AU$39,0)</f>
        <v/>
      </c>
      <c r="J271" s="62">
        <f>IF(ISNUMBER('Übung 08'!AU$39),'Übung 08'!AU$39,0)</f>
        <v/>
      </c>
      <c r="K271" s="62">
        <f>IF(ISNUMBER('Übung 09'!AU$39),'Übung 09'!AU$39,0)</f>
        <v/>
      </c>
      <c r="L271" s="62">
        <f>IF(ISNUMBER('Übung 10'!AU$39),'Übung 10'!AU$39,0)</f>
        <v/>
      </c>
      <c r="M271" s="62">
        <f>IF(ISNUMBER('Übung 11'!AU$39),'Übung 11'!AU$39,0)</f>
        <v/>
      </c>
      <c r="N271" s="62">
        <f>IF(ISNUMBER('Übung 12'!AU$39),'Übung 12'!AU$39,0)</f>
        <v/>
      </c>
      <c r="O271" s="62">
        <f>IF(ISNUMBER('Übung 13'!AU$39),'Übung 13'!AU$39,0)</f>
        <v/>
      </c>
      <c r="P271" s="62">
        <f>IF(ISNUMBER('Übung 14'!AU$39),'Übung 14'!AU$39,0)</f>
        <v/>
      </c>
      <c r="Q271" s="62">
        <f>IF(ISNUMBER('Übung 15'!AU$39),'Übung 15'!AU$39,0)</f>
        <v/>
      </c>
      <c r="R271" s="62">
        <f>IF(ISNUMBER('Übung 16'!AU$39),'Übung 16'!AU$39,0)</f>
        <v/>
      </c>
      <c r="S271" s="62">
        <f>IF(ISNUMBER('Übung 17'!AU$39),'Übung 17'!AU$39,0)</f>
        <v/>
      </c>
      <c r="T271" s="62">
        <f>IF(ISNUMBER('Übung 18'!AU$39),'Übung 18'!AU$39,0)</f>
        <v/>
      </c>
      <c r="U271" s="62">
        <f>IF(ISNUMBER('Übung 19'!AU$39),'Übung 19'!AU$39,0)</f>
        <v/>
      </c>
      <c r="V271" s="62">
        <f>IF(ISNUMBER('Übung 20'!AU$39),'Übung 20'!AU$39,0)</f>
        <v/>
      </c>
    </row>
    <row r="272">
      <c r="C272" s="62">
        <f>IF(ISNUMBER('Übung 01'!AV$39),'Übung 01'!AV$39,0)</f>
        <v/>
      </c>
      <c r="D272" s="62">
        <f>IF(ISNUMBER('Übung 02'!AV$39),'Übung 02'!AV$39,0)</f>
        <v/>
      </c>
      <c r="E272" s="62">
        <f>IF(ISNUMBER('Übung 03'!AV$39),'Übung 03'!AV$39,0)</f>
        <v/>
      </c>
      <c r="F272" s="62">
        <f>IF(ISNUMBER('Übung 04'!AV$39),'Übung 04'!AV$39,0)</f>
        <v/>
      </c>
      <c r="G272" s="62">
        <f>IF(ISNUMBER('Übung 05'!AV$39),'Übung 05'!AV$39,0)</f>
        <v/>
      </c>
      <c r="H272" s="62">
        <f>IF(ISNUMBER('Übung 06'!AV$39),'Übung 06'!AV$39,0)</f>
        <v/>
      </c>
      <c r="I272" s="62">
        <f>IF(ISNUMBER('Übung 07'!AV$39),'Übung 07'!AV$39,0)</f>
        <v/>
      </c>
      <c r="J272" s="62">
        <f>IF(ISNUMBER('Übung 08'!AV$39),'Übung 08'!AV$39,0)</f>
        <v/>
      </c>
      <c r="K272" s="62">
        <f>IF(ISNUMBER('Übung 09'!AV$39),'Übung 09'!AV$39,0)</f>
        <v/>
      </c>
      <c r="L272" s="62">
        <f>IF(ISNUMBER('Übung 10'!AV$39),'Übung 10'!AV$39,0)</f>
        <v/>
      </c>
      <c r="M272" s="62">
        <f>IF(ISNUMBER('Übung 11'!AV$39),'Übung 11'!AV$39,0)</f>
        <v/>
      </c>
      <c r="N272" s="62">
        <f>IF(ISNUMBER('Übung 12'!AV$39),'Übung 12'!AV$39,0)</f>
        <v/>
      </c>
      <c r="O272" s="62">
        <f>IF(ISNUMBER('Übung 13'!AV$39),'Übung 13'!AV$39,0)</f>
        <v/>
      </c>
      <c r="P272" s="62">
        <f>IF(ISNUMBER('Übung 14'!AV$39),'Übung 14'!AV$39,0)</f>
        <v/>
      </c>
      <c r="Q272" s="62">
        <f>IF(ISNUMBER('Übung 15'!AV$39),'Übung 15'!AV$39,0)</f>
        <v/>
      </c>
      <c r="R272" s="62">
        <f>IF(ISNUMBER('Übung 16'!AV$39),'Übung 16'!AV$39,0)</f>
        <v/>
      </c>
      <c r="S272" s="62">
        <f>IF(ISNUMBER('Übung 17'!AV$39),'Übung 17'!AV$39,0)</f>
        <v/>
      </c>
      <c r="T272" s="62">
        <f>IF(ISNUMBER('Übung 18'!AV$39),'Übung 18'!AV$39,0)</f>
        <v/>
      </c>
      <c r="U272" s="62">
        <f>IF(ISNUMBER('Übung 19'!AV$39),'Übung 19'!AV$39,0)</f>
        <v/>
      </c>
      <c r="V272" s="62">
        <f>IF(ISNUMBER('Übung 20'!AV$39),'Übung 20'!AV$39,0)</f>
        <v/>
      </c>
    </row>
    <row r="273">
      <c r="C273" s="62">
        <f>IF(ISNUMBER('Übung 01'!AW$39),'Übung 01'!AW$39,0)</f>
        <v/>
      </c>
      <c r="D273" s="62">
        <f>IF(ISNUMBER('Übung 02'!AW$39),'Übung 02'!AW$39,0)</f>
        <v/>
      </c>
      <c r="E273" s="62">
        <f>IF(ISNUMBER('Übung 03'!AW$39),'Übung 03'!AW$39,0)</f>
        <v/>
      </c>
      <c r="F273" s="62">
        <f>IF(ISNUMBER('Übung 04'!AW$39),'Übung 04'!AW$39,0)</f>
        <v/>
      </c>
      <c r="G273" s="62">
        <f>IF(ISNUMBER('Übung 05'!AW$39),'Übung 05'!AW$39,0)</f>
        <v/>
      </c>
      <c r="H273" s="62">
        <f>IF(ISNUMBER('Übung 06'!AW$39),'Übung 06'!AW$39,0)</f>
        <v/>
      </c>
      <c r="I273" s="62">
        <f>IF(ISNUMBER('Übung 07'!AW$39),'Übung 07'!AW$39,0)</f>
        <v/>
      </c>
      <c r="J273" s="62">
        <f>IF(ISNUMBER('Übung 08'!AW$39),'Übung 08'!AW$39,0)</f>
        <v/>
      </c>
      <c r="K273" s="62">
        <f>IF(ISNUMBER('Übung 09'!AW$39),'Übung 09'!AW$39,0)</f>
        <v/>
      </c>
      <c r="L273" s="62">
        <f>IF(ISNUMBER('Übung 10'!AW$39),'Übung 10'!AW$39,0)</f>
        <v/>
      </c>
      <c r="M273" s="62">
        <f>IF(ISNUMBER('Übung 11'!AW$39),'Übung 11'!AW$39,0)</f>
        <v/>
      </c>
      <c r="N273" s="62">
        <f>IF(ISNUMBER('Übung 12'!AW$39),'Übung 12'!AW$39,0)</f>
        <v/>
      </c>
      <c r="O273" s="62">
        <f>IF(ISNUMBER('Übung 13'!AW$39),'Übung 13'!AW$39,0)</f>
        <v/>
      </c>
      <c r="P273" s="62">
        <f>IF(ISNUMBER('Übung 14'!AW$39),'Übung 14'!AW$39,0)</f>
        <v/>
      </c>
      <c r="Q273" s="62">
        <f>IF(ISNUMBER('Übung 15'!AW$39),'Übung 15'!AW$39,0)</f>
        <v/>
      </c>
      <c r="R273" s="62">
        <f>IF(ISNUMBER('Übung 16'!AW$39),'Übung 16'!AW$39,0)</f>
        <v/>
      </c>
      <c r="S273" s="62">
        <f>IF(ISNUMBER('Übung 17'!AW$39),'Übung 17'!AW$39,0)</f>
        <v/>
      </c>
      <c r="T273" s="62">
        <f>IF(ISNUMBER('Übung 18'!AW$39),'Übung 18'!AW$39,0)</f>
        <v/>
      </c>
      <c r="U273" s="62">
        <f>IF(ISNUMBER('Übung 19'!AW$39),'Übung 19'!AW$39,0)</f>
        <v/>
      </c>
      <c r="V273" s="62">
        <f>IF(ISNUMBER('Übung 20'!AW$39),'Übung 20'!AW$39,0)</f>
        <v/>
      </c>
    </row>
    <row r="274">
      <c r="C274" s="62">
        <f>IF(ISNUMBER('Übung 01'!AX$39),'Übung 01'!AX$39,0)</f>
        <v/>
      </c>
      <c r="D274" s="62">
        <f>IF(ISNUMBER('Übung 02'!AX$39),'Übung 02'!AX$39,0)</f>
        <v/>
      </c>
      <c r="E274" s="62">
        <f>IF(ISNUMBER('Übung 03'!AX$39),'Übung 03'!AX$39,0)</f>
        <v/>
      </c>
      <c r="F274" s="62">
        <f>IF(ISNUMBER('Übung 04'!AX$39),'Übung 04'!AX$39,0)</f>
        <v/>
      </c>
      <c r="G274" s="62">
        <f>IF(ISNUMBER('Übung 05'!AX$39),'Übung 05'!AX$39,0)</f>
        <v/>
      </c>
      <c r="H274" s="62">
        <f>IF(ISNUMBER('Übung 06'!AX$39),'Übung 06'!AX$39,0)</f>
        <v/>
      </c>
      <c r="I274" s="62">
        <f>IF(ISNUMBER('Übung 07'!AX$39),'Übung 07'!AX$39,0)</f>
        <v/>
      </c>
      <c r="J274" s="62">
        <f>IF(ISNUMBER('Übung 08'!AX$39),'Übung 08'!AX$39,0)</f>
        <v/>
      </c>
      <c r="K274" s="62">
        <f>IF(ISNUMBER('Übung 09'!AX$39),'Übung 09'!AX$39,0)</f>
        <v/>
      </c>
      <c r="L274" s="62">
        <f>IF(ISNUMBER('Übung 10'!AX$39),'Übung 10'!AX$39,0)</f>
        <v/>
      </c>
      <c r="M274" s="62">
        <f>IF(ISNUMBER('Übung 11'!AX$39),'Übung 11'!AX$39,0)</f>
        <v/>
      </c>
      <c r="N274" s="62">
        <f>IF(ISNUMBER('Übung 12'!AX$39),'Übung 12'!AX$39,0)</f>
        <v/>
      </c>
      <c r="O274" s="62">
        <f>IF(ISNUMBER('Übung 13'!AX$39),'Übung 13'!AX$39,0)</f>
        <v/>
      </c>
      <c r="P274" s="62">
        <f>IF(ISNUMBER('Übung 14'!AX$39),'Übung 14'!AX$39,0)</f>
        <v/>
      </c>
      <c r="Q274" s="62">
        <f>IF(ISNUMBER('Übung 15'!AX$39),'Übung 15'!AX$39,0)</f>
        <v/>
      </c>
      <c r="R274" s="62">
        <f>IF(ISNUMBER('Übung 16'!AX$39),'Übung 16'!AX$39,0)</f>
        <v/>
      </c>
      <c r="S274" s="62">
        <f>IF(ISNUMBER('Übung 17'!AX$39),'Übung 17'!AX$39,0)</f>
        <v/>
      </c>
      <c r="T274" s="62">
        <f>IF(ISNUMBER('Übung 18'!AX$39),'Übung 18'!AX$39,0)</f>
        <v/>
      </c>
      <c r="U274" s="62">
        <f>IF(ISNUMBER('Übung 19'!AX$39),'Übung 19'!AX$39,0)</f>
        <v/>
      </c>
      <c r="V274" s="62">
        <f>IF(ISNUMBER('Übung 20'!AX$39),'Übung 20'!AX$39,0)</f>
        <v/>
      </c>
    </row>
    <row r="275">
      <c r="C275" s="62">
        <f>IF(ISNUMBER('Übung 01'!AY$39),'Übung 01'!AY$39,0)</f>
        <v/>
      </c>
      <c r="D275" s="62">
        <f>IF(ISNUMBER('Übung 02'!AY$39),'Übung 02'!AY$39,0)</f>
        <v/>
      </c>
      <c r="E275" s="62">
        <f>IF(ISNUMBER('Übung 03'!AY$39),'Übung 03'!AY$39,0)</f>
        <v/>
      </c>
      <c r="F275" s="62">
        <f>IF(ISNUMBER('Übung 04'!AY$39),'Übung 04'!AY$39,0)</f>
        <v/>
      </c>
      <c r="G275" s="62">
        <f>IF(ISNUMBER('Übung 05'!AY$39),'Übung 05'!AY$39,0)</f>
        <v/>
      </c>
      <c r="H275" s="62">
        <f>IF(ISNUMBER('Übung 06'!AY$39),'Übung 06'!AY$39,0)</f>
        <v/>
      </c>
      <c r="I275" s="62">
        <f>IF(ISNUMBER('Übung 07'!AY$39),'Übung 07'!AY$39,0)</f>
        <v/>
      </c>
      <c r="J275" s="62">
        <f>IF(ISNUMBER('Übung 08'!AY$39),'Übung 08'!AY$39,0)</f>
        <v/>
      </c>
      <c r="K275" s="62">
        <f>IF(ISNUMBER('Übung 09'!AY$39),'Übung 09'!AY$39,0)</f>
        <v/>
      </c>
      <c r="L275" s="62">
        <f>IF(ISNUMBER('Übung 10'!AY$39),'Übung 10'!AY$39,0)</f>
        <v/>
      </c>
      <c r="M275" s="62">
        <f>IF(ISNUMBER('Übung 11'!AY$39),'Übung 11'!AY$39,0)</f>
        <v/>
      </c>
      <c r="N275" s="62">
        <f>IF(ISNUMBER('Übung 12'!AY$39),'Übung 12'!AY$39,0)</f>
        <v/>
      </c>
      <c r="O275" s="62">
        <f>IF(ISNUMBER('Übung 13'!AY$39),'Übung 13'!AY$39,0)</f>
        <v/>
      </c>
      <c r="P275" s="62">
        <f>IF(ISNUMBER('Übung 14'!AY$39),'Übung 14'!AY$39,0)</f>
        <v/>
      </c>
      <c r="Q275" s="62">
        <f>IF(ISNUMBER('Übung 15'!AY$39),'Übung 15'!AY$39,0)</f>
        <v/>
      </c>
      <c r="R275" s="62">
        <f>IF(ISNUMBER('Übung 16'!AY$39),'Übung 16'!AY$39,0)</f>
        <v/>
      </c>
      <c r="S275" s="62">
        <f>IF(ISNUMBER('Übung 17'!AY$39),'Übung 17'!AY$39,0)</f>
        <v/>
      </c>
      <c r="T275" s="62">
        <f>IF(ISNUMBER('Übung 18'!AY$39),'Übung 18'!AY$39,0)</f>
        <v/>
      </c>
      <c r="U275" s="62">
        <f>IF(ISNUMBER('Übung 19'!AY$39),'Übung 19'!AY$39,0)</f>
        <v/>
      </c>
      <c r="V275" s="62">
        <f>IF(ISNUMBER('Übung 20'!AY$39),'Übung 20'!AY$39,0)</f>
        <v/>
      </c>
    </row>
    <row r="276">
      <c r="C276" s="62">
        <f>IF(ISNUMBER('Übung 01'!AZ$39),'Übung 01'!AZ$39,0)</f>
        <v/>
      </c>
      <c r="D276" s="62">
        <f>IF(ISNUMBER('Übung 02'!AZ$39),'Übung 02'!AZ$39,0)</f>
        <v/>
      </c>
      <c r="E276" s="62">
        <f>IF(ISNUMBER('Übung 03'!AZ$39),'Übung 03'!AZ$39,0)</f>
        <v/>
      </c>
      <c r="F276" s="62">
        <f>IF(ISNUMBER('Übung 04'!AZ$39),'Übung 04'!AZ$39,0)</f>
        <v/>
      </c>
      <c r="G276" s="62">
        <f>IF(ISNUMBER('Übung 05'!AZ$39),'Übung 05'!AZ$39,0)</f>
        <v/>
      </c>
      <c r="H276" s="62">
        <f>IF(ISNUMBER('Übung 06'!AZ$39),'Übung 06'!AZ$39,0)</f>
        <v/>
      </c>
      <c r="I276" s="62">
        <f>IF(ISNUMBER('Übung 07'!AZ$39),'Übung 07'!AZ$39,0)</f>
        <v/>
      </c>
      <c r="J276" s="62">
        <f>IF(ISNUMBER('Übung 08'!AZ$39),'Übung 08'!AZ$39,0)</f>
        <v/>
      </c>
      <c r="K276" s="62">
        <f>IF(ISNUMBER('Übung 09'!AZ$39),'Übung 09'!AZ$39,0)</f>
        <v/>
      </c>
      <c r="L276" s="62">
        <f>IF(ISNUMBER('Übung 10'!AZ$39),'Übung 10'!AZ$39,0)</f>
        <v/>
      </c>
      <c r="M276" s="62">
        <f>IF(ISNUMBER('Übung 11'!AZ$39),'Übung 11'!AZ$39,0)</f>
        <v/>
      </c>
      <c r="N276" s="62">
        <f>IF(ISNUMBER('Übung 12'!AZ$39),'Übung 12'!AZ$39,0)</f>
        <v/>
      </c>
      <c r="O276" s="62">
        <f>IF(ISNUMBER('Übung 13'!AZ$39),'Übung 13'!AZ$39,0)</f>
        <v/>
      </c>
      <c r="P276" s="62">
        <f>IF(ISNUMBER('Übung 14'!AZ$39),'Übung 14'!AZ$39,0)</f>
        <v/>
      </c>
      <c r="Q276" s="62">
        <f>IF(ISNUMBER('Übung 15'!AZ$39),'Übung 15'!AZ$39,0)</f>
        <v/>
      </c>
      <c r="R276" s="62">
        <f>IF(ISNUMBER('Übung 16'!AZ$39),'Übung 16'!AZ$39,0)</f>
        <v/>
      </c>
      <c r="S276" s="62">
        <f>IF(ISNUMBER('Übung 17'!AZ$39),'Übung 17'!AZ$39,0)</f>
        <v/>
      </c>
      <c r="T276" s="62">
        <f>IF(ISNUMBER('Übung 18'!AZ$39),'Übung 18'!AZ$39,0)</f>
        <v/>
      </c>
      <c r="U276" s="62">
        <f>IF(ISNUMBER('Übung 19'!AZ$39),'Übung 19'!AZ$39,0)</f>
        <v/>
      </c>
      <c r="V276" s="62">
        <f>IF(ISNUMBER('Übung 20'!AZ$39),'Übung 20'!AZ$39,0)</f>
        <v/>
      </c>
    </row>
    <row r="277">
      <c r="C277" s="62">
        <f>IF(ISNUMBER('Übung 01'!BA$39),'Übung 01'!BA$39,0)</f>
        <v/>
      </c>
      <c r="D277" s="62">
        <f>IF(ISNUMBER('Übung 02'!BA$39),'Übung 02'!BA$39,0)</f>
        <v/>
      </c>
      <c r="E277" s="62">
        <f>IF(ISNUMBER('Übung 03'!BA$39),'Übung 03'!BA$39,0)</f>
        <v/>
      </c>
      <c r="F277" s="62">
        <f>IF(ISNUMBER('Übung 04'!BA$39),'Übung 04'!BA$39,0)</f>
        <v/>
      </c>
      <c r="G277" s="62">
        <f>IF(ISNUMBER('Übung 05'!BA$39),'Übung 05'!BA$39,0)</f>
        <v/>
      </c>
      <c r="H277" s="62">
        <f>IF(ISNUMBER('Übung 06'!BA$39),'Übung 06'!BA$39,0)</f>
        <v/>
      </c>
      <c r="I277" s="62">
        <f>IF(ISNUMBER('Übung 07'!BA$39),'Übung 07'!BA$39,0)</f>
        <v/>
      </c>
      <c r="J277" s="62">
        <f>IF(ISNUMBER('Übung 08'!BA$39),'Übung 08'!BA$39,0)</f>
        <v/>
      </c>
      <c r="K277" s="62">
        <f>IF(ISNUMBER('Übung 09'!BA$39),'Übung 09'!BA$39,0)</f>
        <v/>
      </c>
      <c r="L277" s="62">
        <f>IF(ISNUMBER('Übung 10'!BA$39),'Übung 10'!BA$39,0)</f>
        <v/>
      </c>
      <c r="M277" s="62">
        <f>IF(ISNUMBER('Übung 11'!BA$39),'Übung 11'!BA$39,0)</f>
        <v/>
      </c>
      <c r="N277" s="62">
        <f>IF(ISNUMBER('Übung 12'!BA$39),'Übung 12'!BA$39,0)</f>
        <v/>
      </c>
      <c r="O277" s="62">
        <f>IF(ISNUMBER('Übung 13'!BA$39),'Übung 13'!BA$39,0)</f>
        <v/>
      </c>
      <c r="P277" s="62">
        <f>IF(ISNUMBER('Übung 14'!BA$39),'Übung 14'!BA$39,0)</f>
        <v/>
      </c>
      <c r="Q277" s="62">
        <f>IF(ISNUMBER('Übung 15'!BA$39),'Übung 15'!BA$39,0)</f>
        <v/>
      </c>
      <c r="R277" s="62">
        <f>IF(ISNUMBER('Übung 16'!BA$39),'Übung 16'!BA$39,0)</f>
        <v/>
      </c>
      <c r="S277" s="62">
        <f>IF(ISNUMBER('Übung 17'!BA$39),'Übung 17'!BA$39,0)</f>
        <v/>
      </c>
      <c r="T277" s="62">
        <f>IF(ISNUMBER('Übung 18'!BA$39),'Übung 18'!BA$39,0)</f>
        <v/>
      </c>
      <c r="U277" s="62">
        <f>IF(ISNUMBER('Übung 19'!BA$39),'Übung 19'!BA$39,0)</f>
        <v/>
      </c>
      <c r="V277" s="62">
        <f>IF(ISNUMBER('Übung 20'!BA$39),'Übung 20'!BA$39,0)</f>
        <v/>
      </c>
    </row>
    <row r="278">
      <c r="C278" s="62">
        <f>IF(ISNUMBER('Übung 01'!BB$39),'Übung 01'!BB$39,0)</f>
        <v/>
      </c>
      <c r="D278" s="62">
        <f>IF(ISNUMBER('Übung 02'!BB$39),'Übung 02'!BB$39,0)</f>
        <v/>
      </c>
      <c r="E278" s="62">
        <f>IF(ISNUMBER('Übung 03'!BB$39),'Übung 03'!BB$39,0)</f>
        <v/>
      </c>
      <c r="F278" s="62">
        <f>IF(ISNUMBER('Übung 04'!BB$39),'Übung 04'!BB$39,0)</f>
        <v/>
      </c>
      <c r="G278" s="62">
        <f>IF(ISNUMBER('Übung 05'!BB$39),'Übung 05'!BB$39,0)</f>
        <v/>
      </c>
      <c r="H278" s="62">
        <f>IF(ISNUMBER('Übung 06'!BB$39),'Übung 06'!BB$39,0)</f>
        <v/>
      </c>
      <c r="I278" s="62">
        <f>IF(ISNUMBER('Übung 07'!BB$39),'Übung 07'!BB$39,0)</f>
        <v/>
      </c>
      <c r="J278" s="62">
        <f>IF(ISNUMBER('Übung 08'!BB$39),'Übung 08'!BB$39,0)</f>
        <v/>
      </c>
      <c r="K278" s="62">
        <f>IF(ISNUMBER('Übung 09'!BB$39),'Übung 09'!BB$39,0)</f>
        <v/>
      </c>
      <c r="L278" s="62">
        <f>IF(ISNUMBER('Übung 10'!BB$39),'Übung 10'!BB$39,0)</f>
        <v/>
      </c>
      <c r="M278" s="62">
        <f>IF(ISNUMBER('Übung 11'!BB$39),'Übung 11'!BB$39,0)</f>
        <v/>
      </c>
      <c r="N278" s="62">
        <f>IF(ISNUMBER('Übung 12'!BB$39),'Übung 12'!BB$39,0)</f>
        <v/>
      </c>
      <c r="O278" s="62">
        <f>IF(ISNUMBER('Übung 13'!BB$39),'Übung 13'!BB$39,0)</f>
        <v/>
      </c>
      <c r="P278" s="62">
        <f>IF(ISNUMBER('Übung 14'!BB$39),'Übung 14'!BB$39,0)</f>
        <v/>
      </c>
      <c r="Q278" s="62">
        <f>IF(ISNUMBER('Übung 15'!BB$39),'Übung 15'!BB$39,0)</f>
        <v/>
      </c>
      <c r="R278" s="62">
        <f>IF(ISNUMBER('Übung 16'!BB$39),'Übung 16'!BB$39,0)</f>
        <v/>
      </c>
      <c r="S278" s="62">
        <f>IF(ISNUMBER('Übung 17'!BB$39),'Übung 17'!BB$39,0)</f>
        <v/>
      </c>
      <c r="T278" s="62">
        <f>IF(ISNUMBER('Übung 18'!BB$39),'Übung 18'!BB$39,0)</f>
        <v/>
      </c>
      <c r="U278" s="62">
        <f>IF(ISNUMBER('Übung 19'!BB$39),'Übung 19'!BB$39,0)</f>
        <v/>
      </c>
      <c r="V278" s="62">
        <f>IF(ISNUMBER('Übung 20'!BB$39),'Übung 20'!BB$39,0)</f>
        <v/>
      </c>
    </row>
    <row r="279">
      <c r="C279" s="62">
        <f>IF(ISNUMBER('Übung 01'!BC$39),'Übung 01'!BC$39,0)</f>
        <v/>
      </c>
      <c r="D279" s="62">
        <f>IF(ISNUMBER('Übung 02'!BC$39),'Übung 02'!BC$39,0)</f>
        <v/>
      </c>
      <c r="E279" s="62">
        <f>IF(ISNUMBER('Übung 03'!BC$39),'Übung 03'!BC$39,0)</f>
        <v/>
      </c>
      <c r="F279" s="62">
        <f>IF(ISNUMBER('Übung 04'!BC$39),'Übung 04'!BC$39,0)</f>
        <v/>
      </c>
      <c r="G279" s="62">
        <f>IF(ISNUMBER('Übung 05'!BC$39),'Übung 05'!BC$39,0)</f>
        <v/>
      </c>
      <c r="H279" s="62">
        <f>IF(ISNUMBER('Übung 06'!BC$39),'Übung 06'!BC$39,0)</f>
        <v/>
      </c>
      <c r="I279" s="62">
        <f>IF(ISNUMBER('Übung 07'!BC$39),'Übung 07'!BC$39,0)</f>
        <v/>
      </c>
      <c r="J279" s="62">
        <f>IF(ISNUMBER('Übung 08'!BC$39),'Übung 08'!BC$39,0)</f>
        <v/>
      </c>
      <c r="K279" s="62">
        <f>IF(ISNUMBER('Übung 09'!BC$39),'Übung 09'!BC$39,0)</f>
        <v/>
      </c>
      <c r="L279" s="62">
        <f>IF(ISNUMBER('Übung 10'!BC$39),'Übung 10'!BC$39,0)</f>
        <v/>
      </c>
      <c r="M279" s="62">
        <f>IF(ISNUMBER('Übung 11'!BC$39),'Übung 11'!BC$39,0)</f>
        <v/>
      </c>
      <c r="N279" s="62">
        <f>IF(ISNUMBER('Übung 12'!BC$39),'Übung 12'!BC$39,0)</f>
        <v/>
      </c>
      <c r="O279" s="62">
        <f>IF(ISNUMBER('Übung 13'!BC$39),'Übung 13'!BC$39,0)</f>
        <v/>
      </c>
      <c r="P279" s="62">
        <f>IF(ISNUMBER('Übung 14'!BC$39),'Übung 14'!BC$39,0)</f>
        <v/>
      </c>
      <c r="Q279" s="62">
        <f>IF(ISNUMBER('Übung 15'!BC$39),'Übung 15'!BC$39,0)</f>
        <v/>
      </c>
      <c r="R279" s="62">
        <f>IF(ISNUMBER('Übung 16'!BC$39),'Übung 16'!BC$39,0)</f>
        <v/>
      </c>
      <c r="S279" s="62">
        <f>IF(ISNUMBER('Übung 17'!BC$39),'Übung 17'!BC$39,0)</f>
        <v/>
      </c>
      <c r="T279" s="62">
        <f>IF(ISNUMBER('Übung 18'!BC$39),'Übung 18'!BC$39,0)</f>
        <v/>
      </c>
      <c r="U279" s="62">
        <f>IF(ISNUMBER('Übung 19'!BC$39),'Übung 19'!BC$39,0)</f>
        <v/>
      </c>
      <c r="V279" s="62">
        <f>IF(ISNUMBER('Übung 20'!BC$39),'Übung 20'!BC$39,0)</f>
        <v/>
      </c>
    </row>
    <row r="280">
      <c r="C280" s="62">
        <f>IF(ISNUMBER('Übung 01'!BE$39),'Übung 01'!BE$39,0)</f>
        <v/>
      </c>
      <c r="D280" s="62">
        <f>IF(ISNUMBER('Übung 02'!BE$39),'Übung 02'!BE$39,0)</f>
        <v/>
      </c>
      <c r="E280" s="62">
        <f>IF(ISNUMBER('Übung 03'!BE$39),'Übung 03'!BE$39,0)</f>
        <v/>
      </c>
      <c r="F280" s="62">
        <f>IF(ISNUMBER('Übung 04'!BE$39),'Übung 04'!BE$39,0)</f>
        <v/>
      </c>
      <c r="G280" s="62">
        <f>IF(ISNUMBER('Übung 05'!BE$39),'Übung 05'!BE$39,0)</f>
        <v/>
      </c>
      <c r="H280" s="62">
        <f>IF(ISNUMBER('Übung 06'!BE$39),'Übung 06'!BE$39,0)</f>
        <v/>
      </c>
      <c r="I280" s="62">
        <f>IF(ISNUMBER('Übung 07'!BE$39),'Übung 07'!BE$39,0)</f>
        <v/>
      </c>
      <c r="J280" s="62">
        <f>IF(ISNUMBER('Übung 08'!BE$39),'Übung 08'!BE$39,0)</f>
        <v/>
      </c>
      <c r="K280" s="62">
        <f>IF(ISNUMBER('Übung 09'!BE$39),'Übung 09'!BE$39,0)</f>
        <v/>
      </c>
      <c r="L280" s="62">
        <f>IF(ISNUMBER('Übung 10'!BE$39),'Übung 10'!BE$39,0)</f>
        <v/>
      </c>
      <c r="M280" s="62">
        <f>IF(ISNUMBER('Übung 11'!BE$39),'Übung 11'!BE$39,0)</f>
        <v/>
      </c>
      <c r="N280" s="62">
        <f>IF(ISNUMBER('Übung 12'!BE$39),'Übung 12'!BE$39,0)</f>
        <v/>
      </c>
      <c r="O280" s="62">
        <f>IF(ISNUMBER('Übung 13'!BE$39),'Übung 13'!BE$39,0)</f>
        <v/>
      </c>
      <c r="P280" s="62">
        <f>IF(ISNUMBER('Übung 14'!BE$39),'Übung 14'!BE$39,0)</f>
        <v/>
      </c>
      <c r="Q280" s="62">
        <f>IF(ISNUMBER('Übung 15'!BE$39),'Übung 15'!BE$39,0)</f>
        <v/>
      </c>
      <c r="R280" s="62">
        <f>IF(ISNUMBER('Übung 16'!BE$39),'Übung 16'!BE$39,0)</f>
        <v/>
      </c>
      <c r="S280" s="62">
        <f>IF(ISNUMBER('Übung 17'!BE$39),'Übung 17'!BE$39,0)</f>
        <v/>
      </c>
      <c r="T280" s="62">
        <f>IF(ISNUMBER('Übung 18'!BE$39),'Übung 18'!BE$39,0)</f>
        <v/>
      </c>
      <c r="U280" s="62">
        <f>IF(ISNUMBER('Übung 19'!BE$39),'Übung 19'!BE$39,0)</f>
        <v/>
      </c>
      <c r="V280" s="62">
        <f>IF(ISNUMBER('Übung 20'!BE$39),'Übung 20'!BE$39,0)</f>
        <v/>
      </c>
    </row>
    <row r="281">
      <c r="C281" s="62">
        <f>IF(ISNUMBER('Übung 01'!BF$39),'Übung 01'!BF$39,0)</f>
        <v/>
      </c>
      <c r="D281" s="62">
        <f>IF(ISNUMBER('Übung 02'!BF$39),'Übung 02'!BF$39,0)</f>
        <v/>
      </c>
      <c r="E281" s="62">
        <f>IF(ISNUMBER('Übung 03'!BF$39),'Übung 03'!BF$39,0)</f>
        <v/>
      </c>
      <c r="F281" s="62">
        <f>IF(ISNUMBER('Übung 04'!BF$39),'Übung 04'!BF$39,0)</f>
        <v/>
      </c>
      <c r="G281" s="62">
        <f>IF(ISNUMBER('Übung 05'!BF$39),'Übung 05'!BF$39,0)</f>
        <v/>
      </c>
      <c r="H281" s="62">
        <f>IF(ISNUMBER('Übung 06'!BF$39),'Übung 06'!BF$39,0)</f>
        <v/>
      </c>
      <c r="I281" s="62">
        <f>IF(ISNUMBER('Übung 07'!BF$39),'Übung 07'!BF$39,0)</f>
        <v/>
      </c>
      <c r="J281" s="62">
        <f>IF(ISNUMBER('Übung 08'!BF$39),'Übung 08'!BF$39,0)</f>
        <v/>
      </c>
      <c r="K281" s="62">
        <f>IF(ISNUMBER('Übung 09'!BF$39),'Übung 09'!BF$39,0)</f>
        <v/>
      </c>
      <c r="L281" s="62">
        <f>IF(ISNUMBER('Übung 10'!BF$39),'Übung 10'!BF$39,0)</f>
        <v/>
      </c>
      <c r="M281" s="62">
        <f>IF(ISNUMBER('Übung 11'!BF$39),'Übung 11'!BF$39,0)</f>
        <v/>
      </c>
      <c r="N281" s="62">
        <f>IF(ISNUMBER('Übung 12'!BF$39),'Übung 12'!BF$39,0)</f>
        <v/>
      </c>
      <c r="O281" s="62">
        <f>IF(ISNUMBER('Übung 13'!BF$39),'Übung 13'!BF$39,0)</f>
        <v/>
      </c>
      <c r="P281" s="62">
        <f>IF(ISNUMBER('Übung 14'!BF$39),'Übung 14'!BF$39,0)</f>
        <v/>
      </c>
      <c r="Q281" s="62">
        <f>IF(ISNUMBER('Übung 15'!BF$39),'Übung 15'!BF$39,0)</f>
        <v/>
      </c>
      <c r="R281" s="62">
        <f>IF(ISNUMBER('Übung 16'!BF$39),'Übung 16'!BF$39,0)</f>
        <v/>
      </c>
      <c r="S281" s="62">
        <f>IF(ISNUMBER('Übung 17'!BF$39),'Übung 17'!BF$39,0)</f>
        <v/>
      </c>
      <c r="T281" s="62">
        <f>IF(ISNUMBER('Übung 18'!BF$39),'Übung 18'!BF$39,0)</f>
        <v/>
      </c>
      <c r="U281" s="62">
        <f>IF(ISNUMBER('Übung 19'!BF$39),'Übung 19'!BF$39,0)</f>
        <v/>
      </c>
      <c r="V281" s="62">
        <f>IF(ISNUMBER('Übung 20'!BF$39),'Übung 20'!BF$39,0)</f>
        <v/>
      </c>
    </row>
    <row r="282">
      <c r="C282" s="62">
        <f>IF(ISNUMBER('Übung 01'!BG$39),'Übung 01'!BG$39,0)</f>
        <v/>
      </c>
      <c r="D282" s="62">
        <f>IF(ISNUMBER('Übung 02'!BG$39),'Übung 02'!BG$39,0)</f>
        <v/>
      </c>
      <c r="E282" s="62">
        <f>IF(ISNUMBER('Übung 03'!BG$39),'Übung 03'!BG$39,0)</f>
        <v/>
      </c>
      <c r="F282" s="62">
        <f>IF(ISNUMBER('Übung 04'!BG$39),'Übung 04'!BG$39,0)</f>
        <v/>
      </c>
      <c r="G282" s="62">
        <f>IF(ISNUMBER('Übung 05'!BG$39),'Übung 05'!BG$39,0)</f>
        <v/>
      </c>
      <c r="H282" s="62">
        <f>IF(ISNUMBER('Übung 06'!BG$39),'Übung 06'!BG$39,0)</f>
        <v/>
      </c>
      <c r="I282" s="62">
        <f>IF(ISNUMBER('Übung 07'!BG$39),'Übung 07'!BG$39,0)</f>
        <v/>
      </c>
      <c r="J282" s="62">
        <f>IF(ISNUMBER('Übung 08'!BG$39),'Übung 08'!BG$39,0)</f>
        <v/>
      </c>
      <c r="K282" s="62">
        <f>IF(ISNUMBER('Übung 09'!BG$39),'Übung 09'!BG$39,0)</f>
        <v/>
      </c>
      <c r="L282" s="62">
        <f>IF(ISNUMBER('Übung 10'!BG$39),'Übung 10'!BG$39,0)</f>
        <v/>
      </c>
      <c r="M282" s="62">
        <f>IF(ISNUMBER('Übung 11'!BG$39),'Übung 11'!BG$39,0)</f>
        <v/>
      </c>
      <c r="N282" s="62">
        <f>IF(ISNUMBER('Übung 12'!BG$39),'Übung 12'!BG$39,0)</f>
        <v/>
      </c>
      <c r="O282" s="62">
        <f>IF(ISNUMBER('Übung 13'!BG$39),'Übung 13'!BG$39,0)</f>
        <v/>
      </c>
      <c r="P282" s="62">
        <f>IF(ISNUMBER('Übung 14'!BG$39),'Übung 14'!BG$39,0)</f>
        <v/>
      </c>
      <c r="Q282" s="62">
        <f>IF(ISNUMBER('Übung 15'!BG$39),'Übung 15'!BG$39,0)</f>
        <v/>
      </c>
      <c r="R282" s="62">
        <f>IF(ISNUMBER('Übung 16'!BG$39),'Übung 16'!BG$39,0)</f>
        <v/>
      </c>
      <c r="S282" s="62">
        <f>IF(ISNUMBER('Übung 17'!BG$39),'Übung 17'!BG$39,0)</f>
        <v/>
      </c>
      <c r="T282" s="62">
        <f>IF(ISNUMBER('Übung 18'!BG$39),'Übung 18'!BG$39,0)</f>
        <v/>
      </c>
      <c r="U282" s="62">
        <f>IF(ISNUMBER('Übung 19'!BG$39),'Übung 19'!BG$39,0)</f>
        <v/>
      </c>
      <c r="V282" s="62">
        <f>IF(ISNUMBER('Übung 20'!BG$39),'Übung 20'!BG$39,0)</f>
        <v/>
      </c>
    </row>
    <row r="283">
      <c r="C283" s="62">
        <f>IF(ISNUMBER('Übung 01'!BH$39),'Übung 01'!BH$39,0)</f>
        <v/>
      </c>
      <c r="D283" s="62">
        <f>IF(ISNUMBER('Übung 02'!BH$39),'Übung 02'!BH$39,0)</f>
        <v/>
      </c>
      <c r="E283" s="62">
        <f>IF(ISNUMBER('Übung 03'!BH$39),'Übung 03'!BH$39,0)</f>
        <v/>
      </c>
      <c r="F283" s="62">
        <f>IF(ISNUMBER('Übung 04'!BH$39),'Übung 04'!BH$39,0)</f>
        <v/>
      </c>
      <c r="G283" s="62">
        <f>IF(ISNUMBER('Übung 05'!BH$39),'Übung 05'!BH$39,0)</f>
        <v/>
      </c>
      <c r="H283" s="62">
        <f>IF(ISNUMBER('Übung 06'!BH$39),'Übung 06'!BH$39,0)</f>
        <v/>
      </c>
      <c r="I283" s="62">
        <f>IF(ISNUMBER('Übung 07'!BH$39),'Übung 07'!BH$39,0)</f>
        <v/>
      </c>
      <c r="J283" s="62">
        <f>IF(ISNUMBER('Übung 08'!BH$39),'Übung 08'!BH$39,0)</f>
        <v/>
      </c>
      <c r="K283" s="62">
        <f>IF(ISNUMBER('Übung 09'!BH$39),'Übung 09'!BH$39,0)</f>
        <v/>
      </c>
      <c r="L283" s="62">
        <f>IF(ISNUMBER('Übung 10'!BH$39),'Übung 10'!BH$39,0)</f>
        <v/>
      </c>
      <c r="M283" s="62">
        <f>IF(ISNUMBER('Übung 11'!BH$39),'Übung 11'!BH$39,0)</f>
        <v/>
      </c>
      <c r="N283" s="62">
        <f>IF(ISNUMBER('Übung 12'!BH$39),'Übung 12'!BH$39,0)</f>
        <v/>
      </c>
      <c r="O283" s="62">
        <f>IF(ISNUMBER('Übung 13'!BH$39),'Übung 13'!BH$39,0)</f>
        <v/>
      </c>
      <c r="P283" s="62">
        <f>IF(ISNUMBER('Übung 14'!BH$39),'Übung 14'!BH$39,0)</f>
        <v/>
      </c>
      <c r="Q283" s="62">
        <f>IF(ISNUMBER('Übung 15'!BH$39),'Übung 15'!BH$39,0)</f>
        <v/>
      </c>
      <c r="R283" s="62">
        <f>IF(ISNUMBER('Übung 16'!BH$39),'Übung 16'!BH$39,0)</f>
        <v/>
      </c>
      <c r="S283" s="62">
        <f>IF(ISNUMBER('Übung 17'!BH$39),'Übung 17'!BH$39,0)</f>
        <v/>
      </c>
      <c r="T283" s="62">
        <f>IF(ISNUMBER('Übung 18'!BH$39),'Übung 18'!BH$39,0)</f>
        <v/>
      </c>
      <c r="U283" s="62">
        <f>IF(ISNUMBER('Übung 19'!BH$39),'Übung 19'!BH$39,0)</f>
        <v/>
      </c>
      <c r="V283" s="62">
        <f>IF(ISNUMBER('Übung 20'!BH$39),'Übung 20'!BH$39,0)</f>
        <v/>
      </c>
    </row>
    <row r="284">
      <c r="C284" s="62">
        <f>IF(ISNUMBER('Übung 01'!BI$39),'Übung 01'!BI$39,0)</f>
        <v/>
      </c>
      <c r="D284" s="62">
        <f>IF(ISNUMBER('Übung 02'!BI$39),'Übung 02'!BI$39,0)</f>
        <v/>
      </c>
      <c r="E284" s="62">
        <f>IF(ISNUMBER('Übung 03'!BI$39),'Übung 03'!BI$39,0)</f>
        <v/>
      </c>
      <c r="F284" s="62">
        <f>IF(ISNUMBER('Übung 04'!BI$39),'Übung 04'!BI$39,0)</f>
        <v/>
      </c>
      <c r="G284" s="62">
        <f>IF(ISNUMBER('Übung 05'!BI$39),'Übung 05'!BI$39,0)</f>
        <v/>
      </c>
      <c r="H284" s="62">
        <f>IF(ISNUMBER('Übung 06'!BI$39),'Übung 06'!BI$39,0)</f>
        <v/>
      </c>
      <c r="I284" s="62">
        <f>IF(ISNUMBER('Übung 07'!BI$39),'Übung 07'!BI$39,0)</f>
        <v/>
      </c>
      <c r="J284" s="62">
        <f>IF(ISNUMBER('Übung 08'!BI$39),'Übung 08'!BI$39,0)</f>
        <v/>
      </c>
      <c r="K284" s="62">
        <f>IF(ISNUMBER('Übung 09'!BI$39),'Übung 09'!BI$39,0)</f>
        <v/>
      </c>
      <c r="L284" s="62">
        <f>IF(ISNUMBER('Übung 10'!BI$39),'Übung 10'!BI$39,0)</f>
        <v/>
      </c>
      <c r="M284" s="62">
        <f>IF(ISNUMBER('Übung 11'!BI$39),'Übung 11'!BI$39,0)</f>
        <v/>
      </c>
      <c r="N284" s="62">
        <f>IF(ISNUMBER('Übung 12'!BI$39),'Übung 12'!BI$39,0)</f>
        <v/>
      </c>
      <c r="O284" s="62">
        <f>IF(ISNUMBER('Übung 13'!BI$39),'Übung 13'!BI$39,0)</f>
        <v/>
      </c>
      <c r="P284" s="62">
        <f>IF(ISNUMBER('Übung 14'!BI$39),'Übung 14'!BI$39,0)</f>
        <v/>
      </c>
      <c r="Q284" s="62">
        <f>IF(ISNUMBER('Übung 15'!BI$39),'Übung 15'!BI$39,0)</f>
        <v/>
      </c>
      <c r="R284" s="62">
        <f>IF(ISNUMBER('Übung 16'!BI$39),'Übung 16'!BI$39,0)</f>
        <v/>
      </c>
      <c r="S284" s="62">
        <f>IF(ISNUMBER('Übung 17'!BI$39),'Übung 17'!BI$39,0)</f>
        <v/>
      </c>
      <c r="T284" s="62">
        <f>IF(ISNUMBER('Übung 18'!BI$39),'Übung 18'!BI$39,0)</f>
        <v/>
      </c>
      <c r="U284" s="62">
        <f>IF(ISNUMBER('Übung 19'!BI$39),'Übung 19'!BI$39,0)</f>
        <v/>
      </c>
      <c r="V284" s="62">
        <f>IF(ISNUMBER('Übung 20'!BI$39),'Übung 20'!BI$39,0)</f>
        <v/>
      </c>
    </row>
    <row r="285">
      <c r="C285" s="62">
        <f>IF(ISNUMBER('Übung 01'!BJ$39),'Übung 01'!BJ$39,0)</f>
        <v/>
      </c>
      <c r="D285" s="62">
        <f>IF(ISNUMBER('Übung 02'!BJ$39),'Übung 02'!BJ$39,0)</f>
        <v/>
      </c>
      <c r="E285" s="62">
        <f>IF(ISNUMBER('Übung 03'!BJ$39),'Übung 03'!BJ$39,0)</f>
        <v/>
      </c>
      <c r="F285" s="62">
        <f>IF(ISNUMBER('Übung 04'!BJ$39),'Übung 04'!BJ$39,0)</f>
        <v/>
      </c>
      <c r="G285" s="62">
        <f>IF(ISNUMBER('Übung 05'!BJ$39),'Übung 05'!BJ$39,0)</f>
        <v/>
      </c>
      <c r="H285" s="62">
        <f>IF(ISNUMBER('Übung 06'!BJ$39),'Übung 06'!BJ$39,0)</f>
        <v/>
      </c>
      <c r="I285" s="62">
        <f>IF(ISNUMBER('Übung 07'!BJ$39),'Übung 07'!BJ$39,0)</f>
        <v/>
      </c>
      <c r="J285" s="62">
        <f>IF(ISNUMBER('Übung 08'!BJ$39),'Übung 08'!BJ$39,0)</f>
        <v/>
      </c>
      <c r="K285" s="62">
        <f>IF(ISNUMBER('Übung 09'!BJ$39),'Übung 09'!BJ$39,0)</f>
        <v/>
      </c>
      <c r="L285" s="62">
        <f>IF(ISNUMBER('Übung 10'!BJ$39),'Übung 10'!BJ$39,0)</f>
        <v/>
      </c>
      <c r="M285" s="62">
        <f>IF(ISNUMBER('Übung 11'!BJ$39),'Übung 11'!BJ$39,0)</f>
        <v/>
      </c>
      <c r="N285" s="62">
        <f>IF(ISNUMBER('Übung 12'!BJ$39),'Übung 12'!BJ$39,0)</f>
        <v/>
      </c>
      <c r="O285" s="62">
        <f>IF(ISNUMBER('Übung 13'!BJ$39),'Übung 13'!BJ$39,0)</f>
        <v/>
      </c>
      <c r="P285" s="62">
        <f>IF(ISNUMBER('Übung 14'!BJ$39),'Übung 14'!BJ$39,0)</f>
        <v/>
      </c>
      <c r="Q285" s="62">
        <f>IF(ISNUMBER('Übung 15'!BJ$39),'Übung 15'!BJ$39,0)</f>
        <v/>
      </c>
      <c r="R285" s="62">
        <f>IF(ISNUMBER('Übung 16'!BJ$39),'Übung 16'!BJ$39,0)</f>
        <v/>
      </c>
      <c r="S285" s="62">
        <f>IF(ISNUMBER('Übung 17'!BJ$39),'Übung 17'!BJ$39,0)</f>
        <v/>
      </c>
      <c r="T285" s="62">
        <f>IF(ISNUMBER('Übung 18'!BJ$39),'Übung 18'!BJ$39,0)</f>
        <v/>
      </c>
      <c r="U285" s="62">
        <f>IF(ISNUMBER('Übung 19'!BJ$39),'Übung 19'!BJ$39,0)</f>
        <v/>
      </c>
      <c r="V285" s="62">
        <f>IF(ISNUMBER('Übung 20'!BJ$39),'Übung 20'!BJ$39,0)</f>
        <v/>
      </c>
    </row>
    <row r="286">
      <c r="C286" s="62">
        <f>IF(ISNUMBER('Übung 01'!BK$39),'Übung 01'!BK$39,0)</f>
        <v/>
      </c>
      <c r="D286" s="62">
        <f>IF(ISNUMBER('Übung 02'!BK$39),'Übung 02'!BK$39,0)</f>
        <v/>
      </c>
      <c r="E286" s="62">
        <f>IF(ISNUMBER('Übung 03'!BK$39),'Übung 03'!BK$39,0)</f>
        <v/>
      </c>
      <c r="F286" s="62">
        <f>IF(ISNUMBER('Übung 04'!BK$39),'Übung 04'!BK$39,0)</f>
        <v/>
      </c>
      <c r="G286" s="62">
        <f>IF(ISNUMBER('Übung 05'!BK$39),'Übung 05'!BK$39,0)</f>
        <v/>
      </c>
      <c r="H286" s="62">
        <f>IF(ISNUMBER('Übung 06'!BK$39),'Übung 06'!BK$39,0)</f>
        <v/>
      </c>
      <c r="I286" s="62">
        <f>IF(ISNUMBER('Übung 07'!BK$39),'Übung 07'!BK$39,0)</f>
        <v/>
      </c>
      <c r="J286" s="62">
        <f>IF(ISNUMBER('Übung 08'!BK$39),'Übung 08'!BK$39,0)</f>
        <v/>
      </c>
      <c r="K286" s="62">
        <f>IF(ISNUMBER('Übung 09'!BK$39),'Übung 09'!BK$39,0)</f>
        <v/>
      </c>
      <c r="L286" s="62">
        <f>IF(ISNUMBER('Übung 10'!BK$39),'Übung 10'!BK$39,0)</f>
        <v/>
      </c>
      <c r="M286" s="62">
        <f>IF(ISNUMBER('Übung 11'!BK$39),'Übung 11'!BK$39,0)</f>
        <v/>
      </c>
      <c r="N286" s="62">
        <f>IF(ISNUMBER('Übung 12'!BK$39),'Übung 12'!BK$39,0)</f>
        <v/>
      </c>
      <c r="O286" s="62">
        <f>IF(ISNUMBER('Übung 13'!BK$39),'Übung 13'!BK$39,0)</f>
        <v/>
      </c>
      <c r="P286" s="62">
        <f>IF(ISNUMBER('Übung 14'!BK$39),'Übung 14'!BK$39,0)</f>
        <v/>
      </c>
      <c r="Q286" s="62">
        <f>IF(ISNUMBER('Übung 15'!BK$39),'Übung 15'!BK$39,0)</f>
        <v/>
      </c>
      <c r="R286" s="62">
        <f>IF(ISNUMBER('Übung 16'!BK$39),'Übung 16'!BK$39,0)</f>
        <v/>
      </c>
      <c r="S286" s="62">
        <f>IF(ISNUMBER('Übung 17'!BK$39),'Übung 17'!BK$39,0)</f>
        <v/>
      </c>
      <c r="T286" s="62">
        <f>IF(ISNUMBER('Übung 18'!BK$39),'Übung 18'!BK$39,0)</f>
        <v/>
      </c>
      <c r="U286" s="62">
        <f>IF(ISNUMBER('Übung 19'!BK$39),'Übung 19'!BK$39,0)</f>
        <v/>
      </c>
      <c r="V286" s="62">
        <f>IF(ISNUMBER('Übung 20'!BK$39),'Übung 20'!BK$39,0)</f>
        <v/>
      </c>
    </row>
    <row r="287">
      <c r="C287" s="62">
        <f>IF(ISNUMBER('Übung 01'!BL$39),'Übung 01'!BL$39,0)</f>
        <v/>
      </c>
      <c r="D287" s="62">
        <f>IF(ISNUMBER('Übung 02'!BL$39),'Übung 02'!BL$39,0)</f>
        <v/>
      </c>
      <c r="E287" s="62">
        <f>IF(ISNUMBER('Übung 03'!BL$39),'Übung 03'!BL$39,0)</f>
        <v/>
      </c>
      <c r="F287" s="62">
        <f>IF(ISNUMBER('Übung 04'!BL$39),'Übung 04'!BL$39,0)</f>
        <v/>
      </c>
      <c r="G287" s="62">
        <f>IF(ISNUMBER('Übung 05'!BL$39),'Übung 05'!BL$39,0)</f>
        <v/>
      </c>
      <c r="H287" s="62">
        <f>IF(ISNUMBER('Übung 06'!BL$39),'Übung 06'!BL$39,0)</f>
        <v/>
      </c>
      <c r="I287" s="62">
        <f>IF(ISNUMBER('Übung 07'!BL$39),'Übung 07'!BL$39,0)</f>
        <v/>
      </c>
      <c r="J287" s="62">
        <f>IF(ISNUMBER('Übung 08'!BL$39),'Übung 08'!BL$39,0)</f>
        <v/>
      </c>
      <c r="K287" s="62">
        <f>IF(ISNUMBER('Übung 09'!BL$39),'Übung 09'!BL$39,0)</f>
        <v/>
      </c>
      <c r="L287" s="62">
        <f>IF(ISNUMBER('Übung 10'!BL$39),'Übung 10'!BL$39,0)</f>
        <v/>
      </c>
      <c r="M287" s="62">
        <f>IF(ISNUMBER('Übung 11'!BL$39),'Übung 11'!BL$39,0)</f>
        <v/>
      </c>
      <c r="N287" s="62">
        <f>IF(ISNUMBER('Übung 12'!BL$39),'Übung 12'!BL$39,0)</f>
        <v/>
      </c>
      <c r="O287" s="62">
        <f>IF(ISNUMBER('Übung 13'!BL$39),'Übung 13'!BL$39,0)</f>
        <v/>
      </c>
      <c r="P287" s="62">
        <f>IF(ISNUMBER('Übung 14'!BL$39),'Übung 14'!BL$39,0)</f>
        <v/>
      </c>
      <c r="Q287" s="62">
        <f>IF(ISNUMBER('Übung 15'!BL$39),'Übung 15'!BL$39,0)</f>
        <v/>
      </c>
      <c r="R287" s="62">
        <f>IF(ISNUMBER('Übung 16'!BL$39),'Übung 16'!BL$39,0)</f>
        <v/>
      </c>
      <c r="S287" s="62">
        <f>IF(ISNUMBER('Übung 17'!BL$39),'Übung 17'!BL$39,0)</f>
        <v/>
      </c>
      <c r="T287" s="62">
        <f>IF(ISNUMBER('Übung 18'!BL$39),'Übung 18'!BL$39,0)</f>
        <v/>
      </c>
      <c r="U287" s="62">
        <f>IF(ISNUMBER('Übung 19'!BL$39),'Übung 19'!BL$39,0)</f>
        <v/>
      </c>
      <c r="V287" s="62">
        <f>IF(ISNUMBER('Übung 20'!BL$39),'Übung 20'!BL$39,0)</f>
        <v/>
      </c>
    </row>
    <row r="288">
      <c r="C288" s="62">
        <f>IF(ISNUMBER('Übung 01'!BM$39),'Übung 01'!BM$39,0)</f>
        <v/>
      </c>
      <c r="D288" s="62">
        <f>IF(ISNUMBER('Übung 02'!BM$39),'Übung 02'!BM$39,0)</f>
        <v/>
      </c>
      <c r="E288" s="62">
        <f>IF(ISNUMBER('Übung 03'!BM$39),'Übung 03'!BM$39,0)</f>
        <v/>
      </c>
      <c r="F288" s="62">
        <f>IF(ISNUMBER('Übung 04'!BM$39),'Übung 04'!BM$39,0)</f>
        <v/>
      </c>
      <c r="G288" s="62">
        <f>IF(ISNUMBER('Übung 05'!BM$39),'Übung 05'!BM$39,0)</f>
        <v/>
      </c>
      <c r="H288" s="62">
        <f>IF(ISNUMBER('Übung 06'!BM$39),'Übung 06'!BM$39,0)</f>
        <v/>
      </c>
      <c r="I288" s="62">
        <f>IF(ISNUMBER('Übung 07'!BM$39),'Übung 07'!BM$39,0)</f>
        <v/>
      </c>
      <c r="J288" s="62">
        <f>IF(ISNUMBER('Übung 08'!BM$39),'Übung 08'!BM$39,0)</f>
        <v/>
      </c>
      <c r="K288" s="62">
        <f>IF(ISNUMBER('Übung 09'!BM$39),'Übung 09'!BM$39,0)</f>
        <v/>
      </c>
      <c r="L288" s="62">
        <f>IF(ISNUMBER('Übung 10'!BM$39),'Übung 10'!BM$39,0)</f>
        <v/>
      </c>
      <c r="M288" s="62">
        <f>IF(ISNUMBER('Übung 11'!BM$39),'Übung 11'!BM$39,0)</f>
        <v/>
      </c>
      <c r="N288" s="62">
        <f>IF(ISNUMBER('Übung 12'!BM$39),'Übung 12'!BM$39,0)</f>
        <v/>
      </c>
      <c r="O288" s="62">
        <f>IF(ISNUMBER('Übung 13'!BM$39),'Übung 13'!BM$39,0)</f>
        <v/>
      </c>
      <c r="P288" s="62">
        <f>IF(ISNUMBER('Übung 14'!BM$39),'Übung 14'!BM$39,0)</f>
        <v/>
      </c>
      <c r="Q288" s="62">
        <f>IF(ISNUMBER('Übung 15'!BM$39),'Übung 15'!BM$39,0)</f>
        <v/>
      </c>
      <c r="R288" s="62">
        <f>IF(ISNUMBER('Übung 16'!BM$39),'Übung 16'!BM$39,0)</f>
        <v/>
      </c>
      <c r="S288" s="62">
        <f>IF(ISNUMBER('Übung 17'!BM$39),'Übung 17'!BM$39,0)</f>
        <v/>
      </c>
      <c r="T288" s="62">
        <f>IF(ISNUMBER('Übung 18'!BM$39),'Übung 18'!BM$39,0)</f>
        <v/>
      </c>
      <c r="U288" s="62">
        <f>IF(ISNUMBER('Übung 19'!BM$39),'Übung 19'!BM$39,0)</f>
        <v/>
      </c>
      <c r="V288" s="62">
        <f>IF(ISNUMBER('Übung 20'!BM$39),'Übung 20'!BM$39,0)</f>
        <v/>
      </c>
    </row>
    <row r="289">
      <c r="C289" s="62">
        <f>IF(ISNUMBER('Übung 01'!BN$39),'Übung 01'!BN$39,0)</f>
        <v/>
      </c>
      <c r="D289" s="62">
        <f>IF(ISNUMBER('Übung 02'!BN$39),'Übung 02'!BN$39,0)</f>
        <v/>
      </c>
      <c r="E289" s="62">
        <f>IF(ISNUMBER('Übung 03'!BN$39),'Übung 03'!BN$39,0)</f>
        <v/>
      </c>
      <c r="F289" s="62">
        <f>IF(ISNUMBER('Übung 04'!BN$39),'Übung 04'!BN$39,0)</f>
        <v/>
      </c>
      <c r="G289" s="62">
        <f>IF(ISNUMBER('Übung 05'!BN$39),'Übung 05'!BN$39,0)</f>
        <v/>
      </c>
      <c r="H289" s="62">
        <f>IF(ISNUMBER('Übung 06'!BN$39),'Übung 06'!BN$39,0)</f>
        <v/>
      </c>
      <c r="I289" s="62">
        <f>IF(ISNUMBER('Übung 07'!BN$39),'Übung 07'!BN$39,0)</f>
        <v/>
      </c>
      <c r="J289" s="62">
        <f>IF(ISNUMBER('Übung 08'!BN$39),'Übung 08'!BN$39,0)</f>
        <v/>
      </c>
      <c r="K289" s="62">
        <f>IF(ISNUMBER('Übung 09'!BN$39),'Übung 09'!BN$39,0)</f>
        <v/>
      </c>
      <c r="L289" s="62">
        <f>IF(ISNUMBER('Übung 10'!BN$39),'Übung 10'!BN$39,0)</f>
        <v/>
      </c>
      <c r="M289" s="62">
        <f>IF(ISNUMBER('Übung 11'!BN$39),'Übung 11'!BN$39,0)</f>
        <v/>
      </c>
      <c r="N289" s="62">
        <f>IF(ISNUMBER('Übung 12'!BN$39),'Übung 12'!BN$39,0)</f>
        <v/>
      </c>
      <c r="O289" s="62">
        <f>IF(ISNUMBER('Übung 13'!BN$39),'Übung 13'!BN$39,0)</f>
        <v/>
      </c>
      <c r="P289" s="62">
        <f>IF(ISNUMBER('Übung 14'!BN$39),'Übung 14'!BN$39,0)</f>
        <v/>
      </c>
      <c r="Q289" s="62">
        <f>IF(ISNUMBER('Übung 15'!BN$39),'Übung 15'!BN$39,0)</f>
        <v/>
      </c>
      <c r="R289" s="62">
        <f>IF(ISNUMBER('Übung 16'!BN$39),'Übung 16'!BN$39,0)</f>
        <v/>
      </c>
      <c r="S289" s="62">
        <f>IF(ISNUMBER('Übung 17'!BN$39),'Übung 17'!BN$39,0)</f>
        <v/>
      </c>
      <c r="T289" s="62">
        <f>IF(ISNUMBER('Übung 18'!BN$39),'Übung 18'!BN$39,0)</f>
        <v/>
      </c>
      <c r="U289" s="62">
        <f>IF(ISNUMBER('Übung 19'!BN$39),'Übung 19'!BN$39,0)</f>
        <v/>
      </c>
      <c r="V289" s="62">
        <f>IF(ISNUMBER('Übung 20'!BN$39),'Übung 20'!BN$39,0)</f>
        <v/>
      </c>
    </row>
    <row r="290">
      <c r="C290" s="62">
        <f>IF(ISNUMBER('Übung 01'!BO$39),'Übung 01'!BO$39,0)</f>
        <v/>
      </c>
      <c r="D290" s="62">
        <f>IF(ISNUMBER('Übung 02'!BO$39),'Übung 02'!BO$39,0)</f>
        <v/>
      </c>
      <c r="E290" s="62">
        <f>IF(ISNUMBER('Übung 03'!BO$39),'Übung 03'!BO$39,0)</f>
        <v/>
      </c>
      <c r="F290" s="62">
        <f>IF(ISNUMBER('Übung 04'!BO$39),'Übung 04'!BO$39,0)</f>
        <v/>
      </c>
      <c r="G290" s="62">
        <f>IF(ISNUMBER('Übung 05'!BO$39),'Übung 05'!BO$39,0)</f>
        <v/>
      </c>
      <c r="H290" s="62">
        <f>IF(ISNUMBER('Übung 06'!BO$39),'Übung 06'!BO$39,0)</f>
        <v/>
      </c>
      <c r="I290" s="62">
        <f>IF(ISNUMBER('Übung 07'!BO$39),'Übung 07'!BO$39,0)</f>
        <v/>
      </c>
      <c r="J290" s="62">
        <f>IF(ISNUMBER('Übung 08'!BO$39),'Übung 08'!BO$39,0)</f>
        <v/>
      </c>
      <c r="K290" s="62">
        <f>IF(ISNUMBER('Übung 09'!BO$39),'Übung 09'!BO$39,0)</f>
        <v/>
      </c>
      <c r="L290" s="62">
        <f>IF(ISNUMBER('Übung 10'!BO$39),'Übung 10'!BO$39,0)</f>
        <v/>
      </c>
      <c r="M290" s="62">
        <f>IF(ISNUMBER('Übung 11'!BO$39),'Übung 11'!BO$39,0)</f>
        <v/>
      </c>
      <c r="N290" s="62">
        <f>IF(ISNUMBER('Übung 12'!BO$39),'Übung 12'!BO$39,0)</f>
        <v/>
      </c>
      <c r="O290" s="62">
        <f>IF(ISNUMBER('Übung 13'!BO$39),'Übung 13'!BO$39,0)</f>
        <v/>
      </c>
      <c r="P290" s="62">
        <f>IF(ISNUMBER('Übung 14'!BO$39),'Übung 14'!BO$39,0)</f>
        <v/>
      </c>
      <c r="Q290" s="62">
        <f>IF(ISNUMBER('Übung 15'!BO$39),'Übung 15'!BO$39,0)</f>
        <v/>
      </c>
      <c r="R290" s="62">
        <f>IF(ISNUMBER('Übung 16'!BO$39),'Übung 16'!BO$39,0)</f>
        <v/>
      </c>
      <c r="S290" s="62">
        <f>IF(ISNUMBER('Übung 17'!BO$39),'Übung 17'!BO$39,0)</f>
        <v/>
      </c>
      <c r="T290" s="62">
        <f>IF(ISNUMBER('Übung 18'!BO$39),'Übung 18'!BO$39,0)</f>
        <v/>
      </c>
      <c r="U290" s="62">
        <f>IF(ISNUMBER('Übung 19'!BO$39),'Übung 19'!BO$39,0)</f>
        <v/>
      </c>
      <c r="V290" s="62">
        <f>IF(ISNUMBER('Übung 20'!BO$39),'Übung 20'!BO$39,0)</f>
        <v/>
      </c>
    </row>
    <row r="291">
      <c r="C291" s="62">
        <f>IF(ISNUMBER('Übung 01'!BP$39),'Übung 01'!BP$39,0)</f>
        <v/>
      </c>
      <c r="D291" s="62">
        <f>IF(ISNUMBER('Übung 02'!BP$39),'Übung 02'!BP$39,0)</f>
        <v/>
      </c>
      <c r="E291" s="62">
        <f>IF(ISNUMBER('Übung 03'!BP$39),'Übung 03'!BP$39,0)</f>
        <v/>
      </c>
      <c r="F291" s="62">
        <f>IF(ISNUMBER('Übung 04'!BP$39),'Übung 04'!BP$39,0)</f>
        <v/>
      </c>
      <c r="G291" s="62">
        <f>IF(ISNUMBER('Übung 05'!BP$39),'Übung 05'!BP$39,0)</f>
        <v/>
      </c>
      <c r="H291" s="62">
        <f>IF(ISNUMBER('Übung 06'!BP$39),'Übung 06'!BP$39,0)</f>
        <v/>
      </c>
      <c r="I291" s="62">
        <f>IF(ISNUMBER('Übung 07'!BP$39),'Übung 07'!BP$39,0)</f>
        <v/>
      </c>
      <c r="J291" s="62">
        <f>IF(ISNUMBER('Übung 08'!BP$39),'Übung 08'!BP$39,0)</f>
        <v/>
      </c>
      <c r="K291" s="62">
        <f>IF(ISNUMBER('Übung 09'!BP$39),'Übung 09'!BP$39,0)</f>
        <v/>
      </c>
      <c r="L291" s="62">
        <f>IF(ISNUMBER('Übung 10'!BP$39),'Übung 10'!BP$39,0)</f>
        <v/>
      </c>
      <c r="M291" s="62">
        <f>IF(ISNUMBER('Übung 11'!BP$39),'Übung 11'!BP$39,0)</f>
        <v/>
      </c>
      <c r="N291" s="62">
        <f>IF(ISNUMBER('Übung 12'!BP$39),'Übung 12'!BP$39,0)</f>
        <v/>
      </c>
      <c r="O291" s="62">
        <f>IF(ISNUMBER('Übung 13'!BP$39),'Übung 13'!BP$39,0)</f>
        <v/>
      </c>
      <c r="P291" s="62">
        <f>IF(ISNUMBER('Übung 14'!BP$39),'Übung 14'!BP$39,0)</f>
        <v/>
      </c>
      <c r="Q291" s="62">
        <f>IF(ISNUMBER('Übung 15'!BP$39),'Übung 15'!BP$39,0)</f>
        <v/>
      </c>
      <c r="R291" s="62">
        <f>IF(ISNUMBER('Übung 16'!BP$39),'Übung 16'!BP$39,0)</f>
        <v/>
      </c>
      <c r="S291" s="62">
        <f>IF(ISNUMBER('Übung 17'!BP$39),'Übung 17'!BP$39,0)</f>
        <v/>
      </c>
      <c r="T291" s="62">
        <f>IF(ISNUMBER('Übung 18'!BP$39),'Übung 18'!BP$39,0)</f>
        <v/>
      </c>
      <c r="U291" s="62">
        <f>IF(ISNUMBER('Übung 19'!BP$39),'Übung 19'!BP$39,0)</f>
        <v/>
      </c>
      <c r="V291" s="62">
        <f>IF(ISNUMBER('Übung 20'!BP$39),'Übung 20'!BP$39,0)</f>
        <v/>
      </c>
    </row>
    <row r="292">
      <c r="C292" s="62">
        <f>IF(ISNUMBER('Übung 01'!BQ$39),'Übung 01'!BQ$39,0)</f>
        <v/>
      </c>
      <c r="D292" s="62">
        <f>IF(ISNUMBER('Übung 02'!BQ$39),'Übung 02'!BQ$39,0)</f>
        <v/>
      </c>
      <c r="E292" s="62">
        <f>IF(ISNUMBER('Übung 03'!BQ$39),'Übung 03'!BQ$39,0)</f>
        <v/>
      </c>
      <c r="F292" s="62">
        <f>IF(ISNUMBER('Übung 04'!BQ$39),'Übung 04'!BQ$39,0)</f>
        <v/>
      </c>
      <c r="G292" s="62">
        <f>IF(ISNUMBER('Übung 05'!BQ$39),'Übung 05'!BQ$39,0)</f>
        <v/>
      </c>
      <c r="H292" s="62">
        <f>IF(ISNUMBER('Übung 06'!BQ$39),'Übung 06'!BQ$39,0)</f>
        <v/>
      </c>
      <c r="I292" s="62">
        <f>IF(ISNUMBER('Übung 07'!BQ$39),'Übung 07'!BQ$39,0)</f>
        <v/>
      </c>
      <c r="J292" s="62">
        <f>IF(ISNUMBER('Übung 08'!BQ$39),'Übung 08'!BQ$39,0)</f>
        <v/>
      </c>
      <c r="K292" s="62">
        <f>IF(ISNUMBER('Übung 09'!BQ$39),'Übung 09'!BQ$39,0)</f>
        <v/>
      </c>
      <c r="L292" s="62">
        <f>IF(ISNUMBER('Übung 10'!BQ$39),'Übung 10'!BQ$39,0)</f>
        <v/>
      </c>
      <c r="M292" s="62">
        <f>IF(ISNUMBER('Übung 11'!BQ$39),'Übung 11'!BQ$39,0)</f>
        <v/>
      </c>
      <c r="N292" s="62">
        <f>IF(ISNUMBER('Übung 12'!BQ$39),'Übung 12'!BQ$39,0)</f>
        <v/>
      </c>
      <c r="O292" s="62">
        <f>IF(ISNUMBER('Übung 13'!BQ$39),'Übung 13'!BQ$39,0)</f>
        <v/>
      </c>
      <c r="P292" s="62">
        <f>IF(ISNUMBER('Übung 14'!BQ$39),'Übung 14'!BQ$39,0)</f>
        <v/>
      </c>
      <c r="Q292" s="62">
        <f>IF(ISNUMBER('Übung 15'!BQ$39),'Übung 15'!BQ$39,0)</f>
        <v/>
      </c>
      <c r="R292" s="62">
        <f>IF(ISNUMBER('Übung 16'!BQ$39),'Übung 16'!BQ$39,0)</f>
        <v/>
      </c>
      <c r="S292" s="62">
        <f>IF(ISNUMBER('Übung 17'!BQ$39),'Übung 17'!BQ$39,0)</f>
        <v/>
      </c>
      <c r="T292" s="62">
        <f>IF(ISNUMBER('Übung 18'!BQ$39),'Übung 18'!BQ$39,0)</f>
        <v/>
      </c>
      <c r="U292" s="62">
        <f>IF(ISNUMBER('Übung 19'!BQ$39),'Übung 19'!BQ$39,0)</f>
        <v/>
      </c>
      <c r="V292" s="62">
        <f>IF(ISNUMBER('Übung 20'!BQ$39),'Übung 20'!BQ$39,0)</f>
        <v/>
      </c>
    </row>
    <row r="293">
      <c r="C293" s="62">
        <f>IF(ISNUMBER('Übung 01'!BR$39),'Übung 01'!BR$39,0)</f>
        <v/>
      </c>
      <c r="D293" s="62">
        <f>IF(ISNUMBER('Übung 02'!BR$39),'Übung 02'!BR$39,0)</f>
        <v/>
      </c>
      <c r="E293" s="62">
        <f>IF(ISNUMBER('Übung 03'!BR$39),'Übung 03'!BR$39,0)</f>
        <v/>
      </c>
      <c r="F293" s="62">
        <f>IF(ISNUMBER('Übung 04'!BR$39),'Übung 04'!BR$39,0)</f>
        <v/>
      </c>
      <c r="G293" s="62">
        <f>IF(ISNUMBER('Übung 05'!BR$39),'Übung 05'!BR$39,0)</f>
        <v/>
      </c>
      <c r="H293" s="62">
        <f>IF(ISNUMBER('Übung 06'!BR$39),'Übung 06'!BR$39,0)</f>
        <v/>
      </c>
      <c r="I293" s="62">
        <f>IF(ISNUMBER('Übung 07'!BR$39),'Übung 07'!BR$39,0)</f>
        <v/>
      </c>
      <c r="J293" s="62">
        <f>IF(ISNUMBER('Übung 08'!BR$39),'Übung 08'!BR$39,0)</f>
        <v/>
      </c>
      <c r="K293" s="62">
        <f>IF(ISNUMBER('Übung 09'!BR$39),'Übung 09'!BR$39,0)</f>
        <v/>
      </c>
      <c r="L293" s="62">
        <f>IF(ISNUMBER('Übung 10'!BR$39),'Übung 10'!BR$39,0)</f>
        <v/>
      </c>
      <c r="M293" s="62">
        <f>IF(ISNUMBER('Übung 11'!BR$39),'Übung 11'!BR$39,0)</f>
        <v/>
      </c>
      <c r="N293" s="62">
        <f>IF(ISNUMBER('Übung 12'!BR$39),'Übung 12'!BR$39,0)</f>
        <v/>
      </c>
      <c r="O293" s="62">
        <f>IF(ISNUMBER('Übung 13'!BR$39),'Übung 13'!BR$39,0)</f>
        <v/>
      </c>
      <c r="P293" s="62">
        <f>IF(ISNUMBER('Übung 14'!BR$39),'Übung 14'!BR$39,0)</f>
        <v/>
      </c>
      <c r="Q293" s="62">
        <f>IF(ISNUMBER('Übung 15'!BR$39),'Übung 15'!BR$39,0)</f>
        <v/>
      </c>
      <c r="R293" s="62">
        <f>IF(ISNUMBER('Übung 16'!BR$39),'Übung 16'!BR$39,0)</f>
        <v/>
      </c>
      <c r="S293" s="62">
        <f>IF(ISNUMBER('Übung 17'!BR$39),'Übung 17'!BR$39,0)</f>
        <v/>
      </c>
      <c r="T293" s="62">
        <f>IF(ISNUMBER('Übung 18'!BR$39),'Übung 18'!BR$39,0)</f>
        <v/>
      </c>
      <c r="U293" s="62">
        <f>IF(ISNUMBER('Übung 19'!BR$39),'Übung 19'!BR$39,0)</f>
        <v/>
      </c>
      <c r="V293" s="62">
        <f>IF(ISNUMBER('Übung 20'!BR$39),'Übung 20'!BR$39,0)</f>
        <v/>
      </c>
    </row>
    <row r="294">
      <c r="C294" s="62">
        <f>IF(ISNUMBER('Übung 01'!BS$39),'Übung 01'!BS$39,0)</f>
        <v/>
      </c>
      <c r="D294" s="62">
        <f>IF(ISNUMBER('Übung 02'!BS$39),'Übung 02'!BS$39,0)</f>
        <v/>
      </c>
      <c r="E294" s="62">
        <f>IF(ISNUMBER('Übung 03'!BS$39),'Übung 03'!BS$39,0)</f>
        <v/>
      </c>
      <c r="F294" s="62">
        <f>IF(ISNUMBER('Übung 04'!BS$39),'Übung 04'!BS$39,0)</f>
        <v/>
      </c>
      <c r="G294" s="62">
        <f>IF(ISNUMBER('Übung 05'!BS$39),'Übung 05'!BS$39,0)</f>
        <v/>
      </c>
      <c r="H294" s="62">
        <f>IF(ISNUMBER('Übung 06'!BS$39),'Übung 06'!BS$39,0)</f>
        <v/>
      </c>
      <c r="I294" s="62">
        <f>IF(ISNUMBER('Übung 07'!BS$39),'Übung 07'!BS$39,0)</f>
        <v/>
      </c>
      <c r="J294" s="62">
        <f>IF(ISNUMBER('Übung 08'!BS$39),'Übung 08'!BS$39,0)</f>
        <v/>
      </c>
      <c r="K294" s="62">
        <f>IF(ISNUMBER('Übung 09'!BS$39),'Übung 09'!BS$39,0)</f>
        <v/>
      </c>
      <c r="L294" s="62">
        <f>IF(ISNUMBER('Übung 10'!BS$39),'Übung 10'!BS$39,0)</f>
        <v/>
      </c>
      <c r="M294" s="62">
        <f>IF(ISNUMBER('Übung 11'!BS$39),'Übung 11'!BS$39,0)</f>
        <v/>
      </c>
      <c r="N294" s="62">
        <f>IF(ISNUMBER('Übung 12'!BS$39),'Übung 12'!BS$39,0)</f>
        <v/>
      </c>
      <c r="O294" s="62">
        <f>IF(ISNUMBER('Übung 13'!BS$39),'Übung 13'!BS$39,0)</f>
        <v/>
      </c>
      <c r="P294" s="62">
        <f>IF(ISNUMBER('Übung 14'!BS$39),'Übung 14'!BS$39,0)</f>
        <v/>
      </c>
      <c r="Q294" s="62">
        <f>IF(ISNUMBER('Übung 15'!BS$39),'Übung 15'!BS$39,0)</f>
        <v/>
      </c>
      <c r="R294" s="62">
        <f>IF(ISNUMBER('Übung 16'!BS$39),'Übung 16'!BS$39,0)</f>
        <v/>
      </c>
      <c r="S294" s="62">
        <f>IF(ISNUMBER('Übung 17'!BS$39),'Übung 17'!BS$39,0)</f>
        <v/>
      </c>
      <c r="T294" s="62">
        <f>IF(ISNUMBER('Übung 18'!BS$39),'Übung 18'!BS$39,0)</f>
        <v/>
      </c>
      <c r="U294" s="62">
        <f>IF(ISNUMBER('Übung 19'!BS$39),'Übung 19'!BS$39,0)</f>
        <v/>
      </c>
      <c r="V294" s="62">
        <f>IF(ISNUMBER('Übung 20'!BS$39),'Übung 20'!BS$39,0)</f>
        <v/>
      </c>
    </row>
    <row r="295">
      <c r="C295" s="62">
        <f>IF(ISNUMBER('Übung 01'!BT$39),'Übung 01'!BT$39,0)</f>
        <v/>
      </c>
      <c r="D295" s="62">
        <f>IF(ISNUMBER('Übung 02'!BT$39),'Übung 02'!BT$39,0)</f>
        <v/>
      </c>
      <c r="E295" s="62">
        <f>IF(ISNUMBER('Übung 03'!BT$39),'Übung 03'!BT$39,0)</f>
        <v/>
      </c>
      <c r="F295" s="62">
        <f>IF(ISNUMBER('Übung 04'!BT$39),'Übung 04'!BT$39,0)</f>
        <v/>
      </c>
      <c r="G295" s="62">
        <f>IF(ISNUMBER('Übung 05'!BT$39),'Übung 05'!BT$39,0)</f>
        <v/>
      </c>
      <c r="H295" s="62">
        <f>IF(ISNUMBER('Übung 06'!BT$39),'Übung 06'!BT$39,0)</f>
        <v/>
      </c>
      <c r="I295" s="62">
        <f>IF(ISNUMBER('Übung 07'!BT$39),'Übung 07'!BT$39,0)</f>
        <v/>
      </c>
      <c r="J295" s="62">
        <f>IF(ISNUMBER('Übung 08'!BT$39),'Übung 08'!BT$39,0)</f>
        <v/>
      </c>
      <c r="K295" s="62">
        <f>IF(ISNUMBER('Übung 09'!BT$39),'Übung 09'!BT$39,0)</f>
        <v/>
      </c>
      <c r="L295" s="62">
        <f>IF(ISNUMBER('Übung 10'!BT$39),'Übung 10'!BT$39,0)</f>
        <v/>
      </c>
      <c r="M295" s="62">
        <f>IF(ISNUMBER('Übung 11'!BT$39),'Übung 11'!BT$39,0)</f>
        <v/>
      </c>
      <c r="N295" s="62">
        <f>IF(ISNUMBER('Übung 12'!BT$39),'Übung 12'!BT$39,0)</f>
        <v/>
      </c>
      <c r="O295" s="62">
        <f>IF(ISNUMBER('Übung 13'!BT$39),'Übung 13'!BT$39,0)</f>
        <v/>
      </c>
      <c r="P295" s="62">
        <f>IF(ISNUMBER('Übung 14'!BT$39),'Übung 14'!BT$39,0)</f>
        <v/>
      </c>
      <c r="Q295" s="62">
        <f>IF(ISNUMBER('Übung 15'!BT$39),'Übung 15'!BT$39,0)</f>
        <v/>
      </c>
      <c r="R295" s="62">
        <f>IF(ISNUMBER('Übung 16'!BT$39),'Übung 16'!BT$39,0)</f>
        <v/>
      </c>
      <c r="S295" s="62">
        <f>IF(ISNUMBER('Übung 17'!BT$39),'Übung 17'!BT$39,0)</f>
        <v/>
      </c>
      <c r="T295" s="62">
        <f>IF(ISNUMBER('Übung 18'!BT$39),'Übung 18'!BT$39,0)</f>
        <v/>
      </c>
      <c r="U295" s="62">
        <f>IF(ISNUMBER('Übung 19'!BT$39),'Übung 19'!BT$39,0)</f>
        <v/>
      </c>
      <c r="V295" s="62">
        <f>IF(ISNUMBER('Übung 20'!BT$39),'Übung 20'!BT$39,0)</f>
        <v/>
      </c>
    </row>
    <row r="296">
      <c r="C296" s="62">
        <f>IF(ISNUMBER('Übung 01'!BU$39),'Übung 01'!BU$39,0)</f>
        <v/>
      </c>
      <c r="D296" s="62">
        <f>IF(ISNUMBER('Übung 02'!BU$39),'Übung 02'!BU$39,0)</f>
        <v/>
      </c>
      <c r="E296" s="62">
        <f>IF(ISNUMBER('Übung 03'!BU$39),'Übung 03'!BU$39,0)</f>
        <v/>
      </c>
      <c r="F296" s="62">
        <f>IF(ISNUMBER('Übung 04'!BU$39),'Übung 04'!BU$39,0)</f>
        <v/>
      </c>
      <c r="G296" s="62">
        <f>IF(ISNUMBER('Übung 05'!BU$39),'Übung 05'!BU$39,0)</f>
        <v/>
      </c>
      <c r="H296" s="62">
        <f>IF(ISNUMBER('Übung 06'!BU$39),'Übung 06'!BU$39,0)</f>
        <v/>
      </c>
      <c r="I296" s="62">
        <f>IF(ISNUMBER('Übung 07'!BU$39),'Übung 07'!BU$39,0)</f>
        <v/>
      </c>
      <c r="J296" s="62">
        <f>IF(ISNUMBER('Übung 08'!BU$39),'Übung 08'!BU$39,0)</f>
        <v/>
      </c>
      <c r="K296" s="62">
        <f>IF(ISNUMBER('Übung 09'!BU$39),'Übung 09'!BU$39,0)</f>
        <v/>
      </c>
      <c r="L296" s="62">
        <f>IF(ISNUMBER('Übung 10'!BU$39),'Übung 10'!BU$39,0)</f>
        <v/>
      </c>
      <c r="M296" s="62">
        <f>IF(ISNUMBER('Übung 11'!BU$39),'Übung 11'!BU$39,0)</f>
        <v/>
      </c>
      <c r="N296" s="62">
        <f>IF(ISNUMBER('Übung 12'!BU$39),'Übung 12'!BU$39,0)</f>
        <v/>
      </c>
      <c r="O296" s="62">
        <f>IF(ISNUMBER('Übung 13'!BU$39),'Übung 13'!BU$39,0)</f>
        <v/>
      </c>
      <c r="P296" s="62">
        <f>IF(ISNUMBER('Übung 14'!BU$39),'Übung 14'!BU$39,0)</f>
        <v/>
      </c>
      <c r="Q296" s="62">
        <f>IF(ISNUMBER('Übung 15'!BU$39),'Übung 15'!BU$39,0)</f>
        <v/>
      </c>
      <c r="R296" s="62">
        <f>IF(ISNUMBER('Übung 16'!BU$39),'Übung 16'!BU$39,0)</f>
        <v/>
      </c>
      <c r="S296" s="62">
        <f>IF(ISNUMBER('Übung 17'!BU$39),'Übung 17'!BU$39,0)</f>
        <v/>
      </c>
      <c r="T296" s="62">
        <f>IF(ISNUMBER('Übung 18'!BU$39),'Übung 18'!BU$39,0)</f>
        <v/>
      </c>
      <c r="U296" s="62">
        <f>IF(ISNUMBER('Übung 19'!BU$39),'Übung 19'!BU$39,0)</f>
        <v/>
      </c>
      <c r="V296" s="62">
        <f>IF(ISNUMBER('Übung 20'!BU$39),'Übung 20'!BU$39,0)</f>
        <v/>
      </c>
    </row>
    <row r="297">
      <c r="C297" s="62">
        <f>IF(ISNUMBER('Übung 01'!BV$39),'Übung 01'!BV$39,0)</f>
        <v/>
      </c>
      <c r="D297" s="62">
        <f>IF(ISNUMBER('Übung 02'!BV$39),'Übung 02'!BV$39,0)</f>
        <v/>
      </c>
      <c r="E297" s="62">
        <f>IF(ISNUMBER('Übung 03'!BV$39),'Übung 03'!BV$39,0)</f>
        <v/>
      </c>
      <c r="F297" s="62">
        <f>IF(ISNUMBER('Übung 04'!BV$39),'Übung 04'!BV$39,0)</f>
        <v/>
      </c>
      <c r="G297" s="62">
        <f>IF(ISNUMBER('Übung 05'!BV$39),'Übung 05'!BV$39,0)</f>
        <v/>
      </c>
      <c r="H297" s="62">
        <f>IF(ISNUMBER('Übung 06'!BV$39),'Übung 06'!BV$39,0)</f>
        <v/>
      </c>
      <c r="I297" s="62">
        <f>IF(ISNUMBER('Übung 07'!BV$39),'Übung 07'!BV$39,0)</f>
        <v/>
      </c>
      <c r="J297" s="62">
        <f>IF(ISNUMBER('Übung 08'!BV$39),'Übung 08'!BV$39,0)</f>
        <v/>
      </c>
      <c r="K297" s="62">
        <f>IF(ISNUMBER('Übung 09'!BV$39),'Übung 09'!BV$39,0)</f>
        <v/>
      </c>
      <c r="L297" s="62">
        <f>IF(ISNUMBER('Übung 10'!BV$39),'Übung 10'!BV$39,0)</f>
        <v/>
      </c>
      <c r="M297" s="62">
        <f>IF(ISNUMBER('Übung 11'!BV$39),'Übung 11'!BV$39,0)</f>
        <v/>
      </c>
      <c r="N297" s="62">
        <f>IF(ISNUMBER('Übung 12'!BV$39),'Übung 12'!BV$39,0)</f>
        <v/>
      </c>
      <c r="O297" s="62">
        <f>IF(ISNUMBER('Übung 13'!BV$39),'Übung 13'!BV$39,0)</f>
        <v/>
      </c>
      <c r="P297" s="62">
        <f>IF(ISNUMBER('Übung 14'!BV$39),'Übung 14'!BV$39,0)</f>
        <v/>
      </c>
      <c r="Q297" s="62">
        <f>IF(ISNUMBER('Übung 15'!BV$39),'Übung 15'!BV$39,0)</f>
        <v/>
      </c>
      <c r="R297" s="62">
        <f>IF(ISNUMBER('Übung 16'!BV$39),'Übung 16'!BV$39,0)</f>
        <v/>
      </c>
      <c r="S297" s="62">
        <f>IF(ISNUMBER('Übung 17'!BV$39),'Übung 17'!BV$39,0)</f>
        <v/>
      </c>
      <c r="T297" s="62">
        <f>IF(ISNUMBER('Übung 18'!BV$39),'Übung 18'!BV$39,0)</f>
        <v/>
      </c>
      <c r="U297" s="62">
        <f>IF(ISNUMBER('Übung 19'!BV$39),'Übung 19'!BV$39,0)</f>
        <v/>
      </c>
      <c r="V297" s="62">
        <f>IF(ISNUMBER('Übung 20'!BV$39),'Übung 20'!BV$39,0)</f>
        <v/>
      </c>
    </row>
    <row r="298">
      <c r="C298" s="62">
        <f>IF(ISNUMBER('Übung 01'!BW$39),'Übung 01'!BW$39,0)</f>
        <v/>
      </c>
      <c r="D298" s="62">
        <f>IF(ISNUMBER('Übung 02'!BW$39),'Übung 02'!BW$39,0)</f>
        <v/>
      </c>
      <c r="E298" s="62">
        <f>IF(ISNUMBER('Übung 03'!BW$39),'Übung 03'!BW$39,0)</f>
        <v/>
      </c>
      <c r="F298" s="62">
        <f>IF(ISNUMBER('Übung 04'!BW$39),'Übung 04'!BW$39,0)</f>
        <v/>
      </c>
      <c r="G298" s="62">
        <f>IF(ISNUMBER('Übung 05'!BW$39),'Übung 05'!BW$39,0)</f>
        <v/>
      </c>
      <c r="H298" s="62">
        <f>IF(ISNUMBER('Übung 06'!BW$39),'Übung 06'!BW$39,0)</f>
        <v/>
      </c>
      <c r="I298" s="62">
        <f>IF(ISNUMBER('Übung 07'!BW$39),'Übung 07'!BW$39,0)</f>
        <v/>
      </c>
      <c r="J298" s="62">
        <f>IF(ISNUMBER('Übung 08'!BW$39),'Übung 08'!BW$39,0)</f>
        <v/>
      </c>
      <c r="K298" s="62">
        <f>IF(ISNUMBER('Übung 09'!BW$39),'Übung 09'!BW$39,0)</f>
        <v/>
      </c>
      <c r="L298" s="62">
        <f>IF(ISNUMBER('Übung 10'!BW$39),'Übung 10'!BW$39,0)</f>
        <v/>
      </c>
      <c r="M298" s="62">
        <f>IF(ISNUMBER('Übung 11'!BW$39),'Übung 11'!BW$39,0)</f>
        <v/>
      </c>
      <c r="N298" s="62">
        <f>IF(ISNUMBER('Übung 12'!BW$39),'Übung 12'!BW$39,0)</f>
        <v/>
      </c>
      <c r="O298" s="62">
        <f>IF(ISNUMBER('Übung 13'!BW$39),'Übung 13'!BW$39,0)</f>
        <v/>
      </c>
      <c r="P298" s="62">
        <f>IF(ISNUMBER('Übung 14'!BW$39),'Übung 14'!BW$39,0)</f>
        <v/>
      </c>
      <c r="Q298" s="62">
        <f>IF(ISNUMBER('Übung 15'!BW$39),'Übung 15'!BW$39,0)</f>
        <v/>
      </c>
      <c r="R298" s="62">
        <f>IF(ISNUMBER('Übung 16'!BW$39),'Übung 16'!BW$39,0)</f>
        <v/>
      </c>
      <c r="S298" s="62">
        <f>IF(ISNUMBER('Übung 17'!BW$39),'Übung 17'!BW$39,0)</f>
        <v/>
      </c>
      <c r="T298" s="62">
        <f>IF(ISNUMBER('Übung 18'!BW$39),'Übung 18'!BW$39,0)</f>
        <v/>
      </c>
      <c r="U298" s="62">
        <f>IF(ISNUMBER('Übung 19'!BW$39),'Übung 19'!BW$39,0)</f>
        <v/>
      </c>
      <c r="V298" s="62">
        <f>IF(ISNUMBER('Übung 20'!BW$39),'Übung 20'!BW$39,0)</f>
        <v/>
      </c>
    </row>
    <row r="299">
      <c r="C299" s="62">
        <f>IF(ISNUMBER('Übung 01'!BX$39),'Übung 01'!BX$39,0)</f>
        <v/>
      </c>
      <c r="D299" s="62">
        <f>IF(ISNUMBER('Übung 02'!BX$39),'Übung 02'!BX$39,0)</f>
        <v/>
      </c>
      <c r="E299" s="62">
        <f>IF(ISNUMBER('Übung 03'!BX$39),'Übung 03'!BX$39,0)</f>
        <v/>
      </c>
      <c r="F299" s="62">
        <f>IF(ISNUMBER('Übung 04'!BX$39),'Übung 04'!BX$39,0)</f>
        <v/>
      </c>
      <c r="G299" s="62">
        <f>IF(ISNUMBER('Übung 05'!BX$39),'Übung 05'!BX$39,0)</f>
        <v/>
      </c>
      <c r="H299" s="62">
        <f>IF(ISNUMBER('Übung 06'!BX$39),'Übung 06'!BX$39,0)</f>
        <v/>
      </c>
      <c r="I299" s="62">
        <f>IF(ISNUMBER('Übung 07'!BX$39),'Übung 07'!BX$39,0)</f>
        <v/>
      </c>
      <c r="J299" s="62">
        <f>IF(ISNUMBER('Übung 08'!BX$39),'Übung 08'!BX$39,0)</f>
        <v/>
      </c>
      <c r="K299" s="62">
        <f>IF(ISNUMBER('Übung 09'!BX$39),'Übung 09'!BX$39,0)</f>
        <v/>
      </c>
      <c r="L299" s="62">
        <f>IF(ISNUMBER('Übung 10'!BX$39),'Übung 10'!BX$39,0)</f>
        <v/>
      </c>
      <c r="M299" s="62">
        <f>IF(ISNUMBER('Übung 11'!BX$39),'Übung 11'!BX$39,0)</f>
        <v/>
      </c>
      <c r="N299" s="62">
        <f>IF(ISNUMBER('Übung 12'!BX$39),'Übung 12'!BX$39,0)</f>
        <v/>
      </c>
      <c r="O299" s="62">
        <f>IF(ISNUMBER('Übung 13'!BX$39),'Übung 13'!BX$39,0)</f>
        <v/>
      </c>
      <c r="P299" s="62">
        <f>IF(ISNUMBER('Übung 14'!BX$39),'Übung 14'!BX$39,0)</f>
        <v/>
      </c>
      <c r="Q299" s="62">
        <f>IF(ISNUMBER('Übung 15'!BX$39),'Übung 15'!BX$39,0)</f>
        <v/>
      </c>
      <c r="R299" s="62">
        <f>IF(ISNUMBER('Übung 16'!BX$39),'Übung 16'!BX$39,0)</f>
        <v/>
      </c>
      <c r="S299" s="62">
        <f>IF(ISNUMBER('Übung 17'!BX$39),'Übung 17'!BX$39,0)</f>
        <v/>
      </c>
      <c r="T299" s="62">
        <f>IF(ISNUMBER('Übung 18'!BX$39),'Übung 18'!BX$39,0)</f>
        <v/>
      </c>
      <c r="U299" s="62">
        <f>IF(ISNUMBER('Übung 19'!BX$39),'Übung 19'!BX$39,0)</f>
        <v/>
      </c>
      <c r="V299" s="62">
        <f>IF(ISNUMBER('Übung 20'!BX$39),'Übung 20'!BX$39,0)</f>
        <v/>
      </c>
    </row>
    <row r="300">
      <c r="C300" s="62">
        <f>IF(ISNUMBER('Übung 01'!BY$39),'Übung 01'!BY$39,0)</f>
        <v/>
      </c>
      <c r="D300" s="62">
        <f>IF(ISNUMBER('Übung 02'!BY$39),'Übung 02'!BY$39,0)</f>
        <v/>
      </c>
      <c r="E300" s="62">
        <f>IF(ISNUMBER('Übung 03'!BY$39),'Übung 03'!BY$39,0)</f>
        <v/>
      </c>
      <c r="F300" s="62">
        <f>IF(ISNUMBER('Übung 04'!BY$39),'Übung 04'!BY$39,0)</f>
        <v/>
      </c>
      <c r="G300" s="62">
        <f>IF(ISNUMBER('Übung 05'!BY$39),'Übung 05'!BY$39,0)</f>
        <v/>
      </c>
      <c r="H300" s="62">
        <f>IF(ISNUMBER('Übung 06'!BY$39),'Übung 06'!BY$39,0)</f>
        <v/>
      </c>
      <c r="I300" s="62">
        <f>IF(ISNUMBER('Übung 07'!BY$39),'Übung 07'!BY$39,0)</f>
        <v/>
      </c>
      <c r="J300" s="62">
        <f>IF(ISNUMBER('Übung 08'!BY$39),'Übung 08'!BY$39,0)</f>
        <v/>
      </c>
      <c r="K300" s="62">
        <f>IF(ISNUMBER('Übung 09'!BY$39),'Übung 09'!BY$39,0)</f>
        <v/>
      </c>
      <c r="L300" s="62">
        <f>IF(ISNUMBER('Übung 10'!BY$39),'Übung 10'!BY$39,0)</f>
        <v/>
      </c>
      <c r="M300" s="62">
        <f>IF(ISNUMBER('Übung 11'!BY$39),'Übung 11'!BY$39,0)</f>
        <v/>
      </c>
      <c r="N300" s="62">
        <f>IF(ISNUMBER('Übung 12'!BY$39),'Übung 12'!BY$39,0)</f>
        <v/>
      </c>
      <c r="O300" s="62">
        <f>IF(ISNUMBER('Übung 13'!BY$39),'Übung 13'!BY$39,0)</f>
        <v/>
      </c>
      <c r="P300" s="62">
        <f>IF(ISNUMBER('Übung 14'!BY$39),'Übung 14'!BY$39,0)</f>
        <v/>
      </c>
      <c r="Q300" s="62">
        <f>IF(ISNUMBER('Übung 15'!BY$39),'Übung 15'!BY$39,0)</f>
        <v/>
      </c>
      <c r="R300" s="62">
        <f>IF(ISNUMBER('Übung 16'!BY$39),'Übung 16'!BY$39,0)</f>
        <v/>
      </c>
      <c r="S300" s="62">
        <f>IF(ISNUMBER('Übung 17'!BY$39),'Übung 17'!BY$39,0)</f>
        <v/>
      </c>
      <c r="T300" s="62">
        <f>IF(ISNUMBER('Übung 18'!BY$39),'Übung 18'!BY$39,0)</f>
        <v/>
      </c>
      <c r="U300" s="62">
        <f>IF(ISNUMBER('Übung 19'!BY$39),'Übung 19'!BY$39,0)</f>
        <v/>
      </c>
      <c r="V300" s="62">
        <f>IF(ISNUMBER('Übung 20'!BY$39),'Übung 20'!BY$39,0)</f>
        <v/>
      </c>
    </row>
    <row r="301">
      <c r="C301" s="62">
        <f>IF(ISNUMBER('Übung 01'!BZ$39),'Übung 01'!BZ$39,0)</f>
        <v/>
      </c>
      <c r="D301" s="62">
        <f>IF(ISNUMBER('Übung 02'!BZ$39),'Übung 02'!BZ$39,0)</f>
        <v/>
      </c>
      <c r="E301" s="62">
        <f>IF(ISNUMBER('Übung 03'!BZ$39),'Übung 03'!BZ$39,0)</f>
        <v/>
      </c>
      <c r="F301" s="62">
        <f>IF(ISNUMBER('Übung 04'!BZ$39),'Übung 04'!BZ$39,0)</f>
        <v/>
      </c>
      <c r="G301" s="62">
        <f>IF(ISNUMBER('Übung 05'!BZ$39),'Übung 05'!BZ$39,0)</f>
        <v/>
      </c>
      <c r="H301" s="62">
        <f>IF(ISNUMBER('Übung 06'!BZ$39),'Übung 06'!BZ$39,0)</f>
        <v/>
      </c>
      <c r="I301" s="62">
        <f>IF(ISNUMBER('Übung 07'!BZ$39),'Übung 07'!BZ$39,0)</f>
        <v/>
      </c>
      <c r="J301" s="62">
        <f>IF(ISNUMBER('Übung 08'!BZ$39),'Übung 08'!BZ$39,0)</f>
        <v/>
      </c>
      <c r="K301" s="62">
        <f>IF(ISNUMBER('Übung 09'!BZ$39),'Übung 09'!BZ$39,0)</f>
        <v/>
      </c>
      <c r="L301" s="62">
        <f>IF(ISNUMBER('Übung 10'!BZ$39),'Übung 10'!BZ$39,0)</f>
        <v/>
      </c>
      <c r="M301" s="62">
        <f>IF(ISNUMBER('Übung 11'!BZ$39),'Übung 11'!BZ$39,0)</f>
        <v/>
      </c>
      <c r="N301" s="62">
        <f>IF(ISNUMBER('Übung 12'!BZ$39),'Übung 12'!BZ$39,0)</f>
        <v/>
      </c>
      <c r="O301" s="62">
        <f>IF(ISNUMBER('Übung 13'!BZ$39),'Übung 13'!BZ$39,0)</f>
        <v/>
      </c>
      <c r="P301" s="62">
        <f>IF(ISNUMBER('Übung 14'!BZ$39),'Übung 14'!BZ$39,0)</f>
        <v/>
      </c>
      <c r="Q301" s="62">
        <f>IF(ISNUMBER('Übung 15'!BZ$39),'Übung 15'!BZ$39,0)</f>
        <v/>
      </c>
      <c r="R301" s="62">
        <f>IF(ISNUMBER('Übung 16'!BZ$39),'Übung 16'!BZ$39,0)</f>
        <v/>
      </c>
      <c r="S301" s="62">
        <f>IF(ISNUMBER('Übung 17'!BZ$39),'Übung 17'!BZ$39,0)</f>
        <v/>
      </c>
      <c r="T301" s="62">
        <f>IF(ISNUMBER('Übung 18'!BZ$39),'Übung 18'!BZ$39,0)</f>
        <v/>
      </c>
      <c r="U301" s="62">
        <f>IF(ISNUMBER('Übung 19'!BZ$39),'Übung 19'!BZ$39,0)</f>
        <v/>
      </c>
      <c r="V301" s="62">
        <f>IF(ISNUMBER('Übung 20'!BZ$39),'Übung 20'!BZ$39,0)</f>
        <v/>
      </c>
    </row>
    <row r="302">
      <c r="C302" s="62">
        <f>IF(ISNUMBER('Übung 01'!CA$39),'Übung 01'!CA$39,0)</f>
        <v/>
      </c>
      <c r="D302" s="62">
        <f>IF(ISNUMBER('Übung 02'!CA$39),'Übung 02'!CA$39,0)</f>
        <v/>
      </c>
      <c r="E302" s="62">
        <f>IF(ISNUMBER('Übung 03'!CA$39),'Übung 03'!CA$39,0)</f>
        <v/>
      </c>
      <c r="F302" s="62">
        <f>IF(ISNUMBER('Übung 04'!CA$39),'Übung 04'!CA$39,0)</f>
        <v/>
      </c>
      <c r="G302" s="62">
        <f>IF(ISNUMBER('Übung 05'!CA$39),'Übung 05'!CA$39,0)</f>
        <v/>
      </c>
      <c r="H302" s="62">
        <f>IF(ISNUMBER('Übung 06'!CA$39),'Übung 06'!CA$39,0)</f>
        <v/>
      </c>
      <c r="I302" s="62">
        <f>IF(ISNUMBER('Übung 07'!CA$39),'Übung 07'!CA$39,0)</f>
        <v/>
      </c>
      <c r="J302" s="62">
        <f>IF(ISNUMBER('Übung 08'!CA$39),'Übung 08'!CA$39,0)</f>
        <v/>
      </c>
      <c r="K302" s="62">
        <f>IF(ISNUMBER('Übung 09'!CA$39),'Übung 09'!CA$39,0)</f>
        <v/>
      </c>
      <c r="L302" s="62">
        <f>IF(ISNUMBER('Übung 10'!CA$39),'Übung 10'!CA$39,0)</f>
        <v/>
      </c>
      <c r="M302" s="62">
        <f>IF(ISNUMBER('Übung 11'!CA$39),'Übung 11'!CA$39,0)</f>
        <v/>
      </c>
      <c r="N302" s="62">
        <f>IF(ISNUMBER('Übung 12'!CA$39),'Übung 12'!CA$39,0)</f>
        <v/>
      </c>
      <c r="O302" s="62">
        <f>IF(ISNUMBER('Übung 13'!CA$39),'Übung 13'!CA$39,0)</f>
        <v/>
      </c>
      <c r="P302" s="62">
        <f>IF(ISNUMBER('Übung 14'!CA$39),'Übung 14'!CA$39,0)</f>
        <v/>
      </c>
      <c r="Q302" s="62">
        <f>IF(ISNUMBER('Übung 15'!CA$39),'Übung 15'!CA$39,0)</f>
        <v/>
      </c>
      <c r="R302" s="62">
        <f>IF(ISNUMBER('Übung 16'!CA$39),'Übung 16'!CA$39,0)</f>
        <v/>
      </c>
      <c r="S302" s="62">
        <f>IF(ISNUMBER('Übung 17'!CA$39),'Übung 17'!CA$39,0)</f>
        <v/>
      </c>
      <c r="T302" s="62">
        <f>IF(ISNUMBER('Übung 18'!CA$39),'Übung 18'!CA$39,0)</f>
        <v/>
      </c>
      <c r="U302" s="62">
        <f>IF(ISNUMBER('Übung 19'!CA$39),'Übung 19'!CA$39,0)</f>
        <v/>
      </c>
      <c r="V302" s="62">
        <f>IF(ISNUMBER('Übung 20'!CA$39),'Übung 20'!CA$39,0)</f>
        <v/>
      </c>
    </row>
    <row r="303">
      <c r="C303" s="62">
        <f>IF(ISNUMBER('Übung 01'!CB$39),'Übung 01'!CB$39,0)</f>
        <v/>
      </c>
      <c r="D303" s="62">
        <f>IF(ISNUMBER('Übung 02'!CB$39),'Übung 02'!CB$39,0)</f>
        <v/>
      </c>
      <c r="E303" s="62">
        <f>IF(ISNUMBER('Übung 03'!CB$39),'Übung 03'!CB$39,0)</f>
        <v/>
      </c>
      <c r="F303" s="62">
        <f>IF(ISNUMBER('Übung 04'!CB$39),'Übung 04'!CB$39,0)</f>
        <v/>
      </c>
      <c r="G303" s="62">
        <f>IF(ISNUMBER('Übung 05'!CB$39),'Übung 05'!CB$39,0)</f>
        <v/>
      </c>
      <c r="H303" s="62">
        <f>IF(ISNUMBER('Übung 06'!CB$39),'Übung 06'!CB$39,0)</f>
        <v/>
      </c>
      <c r="I303" s="62">
        <f>IF(ISNUMBER('Übung 07'!CB$39),'Übung 07'!CB$39,0)</f>
        <v/>
      </c>
      <c r="J303" s="62">
        <f>IF(ISNUMBER('Übung 08'!CB$39),'Übung 08'!CB$39,0)</f>
        <v/>
      </c>
      <c r="K303" s="62">
        <f>IF(ISNUMBER('Übung 09'!CB$39),'Übung 09'!CB$39,0)</f>
        <v/>
      </c>
      <c r="L303" s="62">
        <f>IF(ISNUMBER('Übung 10'!CB$39),'Übung 10'!CB$39,0)</f>
        <v/>
      </c>
      <c r="M303" s="62">
        <f>IF(ISNUMBER('Übung 11'!CB$39),'Übung 11'!CB$39,0)</f>
        <v/>
      </c>
      <c r="N303" s="62">
        <f>IF(ISNUMBER('Übung 12'!CB$39),'Übung 12'!CB$39,0)</f>
        <v/>
      </c>
      <c r="O303" s="62">
        <f>IF(ISNUMBER('Übung 13'!CB$39),'Übung 13'!CB$39,0)</f>
        <v/>
      </c>
      <c r="P303" s="62">
        <f>IF(ISNUMBER('Übung 14'!CB$39),'Übung 14'!CB$39,0)</f>
        <v/>
      </c>
      <c r="Q303" s="62">
        <f>IF(ISNUMBER('Übung 15'!CB$39),'Übung 15'!CB$39,0)</f>
        <v/>
      </c>
      <c r="R303" s="62">
        <f>IF(ISNUMBER('Übung 16'!CB$39),'Übung 16'!CB$39,0)</f>
        <v/>
      </c>
      <c r="S303" s="62">
        <f>IF(ISNUMBER('Übung 17'!CB$39),'Übung 17'!CB$39,0)</f>
        <v/>
      </c>
      <c r="T303" s="62">
        <f>IF(ISNUMBER('Übung 18'!CB$39),'Übung 18'!CB$39,0)</f>
        <v/>
      </c>
      <c r="U303" s="62">
        <f>IF(ISNUMBER('Übung 19'!CB$39),'Übung 19'!CB$39,0)</f>
        <v/>
      </c>
      <c r="V303" s="62">
        <f>IF(ISNUMBER('Übung 20'!CB$39),'Übung 20'!CB$39,0)</f>
        <v/>
      </c>
    </row>
    <row r="304">
      <c r="C304" s="62">
        <f>IF(ISNUMBER('Übung 01'!CC$39),'Übung 01'!CC$39,0)</f>
        <v/>
      </c>
      <c r="D304" s="62">
        <f>IF(ISNUMBER('Übung 02'!CC$39),'Übung 02'!CC$39,0)</f>
        <v/>
      </c>
      <c r="E304" s="62">
        <f>IF(ISNUMBER('Übung 03'!CC$39),'Übung 03'!CC$39,0)</f>
        <v/>
      </c>
      <c r="F304" s="62">
        <f>IF(ISNUMBER('Übung 04'!CC$39),'Übung 04'!CC$39,0)</f>
        <v/>
      </c>
      <c r="G304" s="62">
        <f>IF(ISNUMBER('Übung 05'!CC$39),'Übung 05'!CC$39,0)</f>
        <v/>
      </c>
      <c r="H304" s="62">
        <f>IF(ISNUMBER('Übung 06'!CC$39),'Übung 06'!CC$39,0)</f>
        <v/>
      </c>
      <c r="I304" s="62">
        <f>IF(ISNUMBER('Übung 07'!CC$39),'Übung 07'!CC$39,0)</f>
        <v/>
      </c>
      <c r="J304" s="62">
        <f>IF(ISNUMBER('Übung 08'!CC$39),'Übung 08'!CC$39,0)</f>
        <v/>
      </c>
      <c r="K304" s="62">
        <f>IF(ISNUMBER('Übung 09'!CC$39),'Übung 09'!CC$39,0)</f>
        <v/>
      </c>
      <c r="L304" s="62">
        <f>IF(ISNUMBER('Übung 10'!CC$39),'Übung 10'!CC$39,0)</f>
        <v/>
      </c>
      <c r="M304" s="62">
        <f>IF(ISNUMBER('Übung 11'!CC$39),'Übung 11'!CC$39,0)</f>
        <v/>
      </c>
      <c r="N304" s="62">
        <f>IF(ISNUMBER('Übung 12'!CC$39),'Übung 12'!CC$39,0)</f>
        <v/>
      </c>
      <c r="O304" s="62">
        <f>IF(ISNUMBER('Übung 13'!CC$39),'Übung 13'!CC$39,0)</f>
        <v/>
      </c>
      <c r="P304" s="62">
        <f>IF(ISNUMBER('Übung 14'!CC$39),'Übung 14'!CC$39,0)</f>
        <v/>
      </c>
      <c r="Q304" s="62">
        <f>IF(ISNUMBER('Übung 15'!CC$39),'Übung 15'!CC$39,0)</f>
        <v/>
      </c>
      <c r="R304" s="62">
        <f>IF(ISNUMBER('Übung 16'!CC$39),'Übung 16'!CC$39,0)</f>
        <v/>
      </c>
      <c r="S304" s="62">
        <f>IF(ISNUMBER('Übung 17'!CC$39),'Übung 17'!CC$39,0)</f>
        <v/>
      </c>
      <c r="T304" s="62">
        <f>IF(ISNUMBER('Übung 18'!CC$39),'Übung 18'!CC$39,0)</f>
        <v/>
      </c>
      <c r="U304" s="62">
        <f>IF(ISNUMBER('Übung 19'!CC$39),'Übung 19'!CC$39,0)</f>
        <v/>
      </c>
      <c r="V304" s="62">
        <f>IF(ISNUMBER('Übung 20'!CC$39),'Übung 20'!CC$39,0)</f>
        <v/>
      </c>
    </row>
    <row r="305">
      <c r="C305" s="62">
        <f>IF(ISNUMBER('Übung 01'!CE$39),'Übung 01'!CE$39,0)</f>
        <v/>
      </c>
      <c r="D305" s="62">
        <f>IF(ISNUMBER('Übung 02'!CE$39),'Übung 02'!CE$39,0)</f>
        <v/>
      </c>
      <c r="E305" s="62">
        <f>IF(ISNUMBER('Übung 03'!CE$39),'Übung 03'!CE$39,0)</f>
        <v/>
      </c>
      <c r="F305" s="62">
        <f>IF(ISNUMBER('Übung 04'!CE$39),'Übung 04'!CE$39,0)</f>
        <v/>
      </c>
      <c r="G305" s="62">
        <f>IF(ISNUMBER('Übung 05'!CE$39),'Übung 05'!CE$39,0)</f>
        <v/>
      </c>
      <c r="H305" s="62">
        <f>IF(ISNUMBER('Übung 06'!CE$39),'Übung 06'!CE$39,0)</f>
        <v/>
      </c>
      <c r="I305" s="62">
        <f>IF(ISNUMBER('Übung 07'!CE$39),'Übung 07'!CE$39,0)</f>
        <v/>
      </c>
      <c r="J305" s="62">
        <f>IF(ISNUMBER('Übung 08'!CE$39),'Übung 08'!CE$39,0)</f>
        <v/>
      </c>
      <c r="K305" s="62">
        <f>IF(ISNUMBER('Übung 09'!CE$39),'Übung 09'!CE$39,0)</f>
        <v/>
      </c>
      <c r="L305" s="62">
        <f>IF(ISNUMBER('Übung 10'!CE$39),'Übung 10'!CE$39,0)</f>
        <v/>
      </c>
      <c r="M305" s="62">
        <f>IF(ISNUMBER('Übung 11'!CE$39),'Übung 11'!CE$39,0)</f>
        <v/>
      </c>
      <c r="N305" s="62">
        <f>IF(ISNUMBER('Übung 12'!CE$39),'Übung 12'!CE$39,0)</f>
        <v/>
      </c>
      <c r="O305" s="62">
        <f>IF(ISNUMBER('Übung 13'!CE$39),'Übung 13'!CE$39,0)</f>
        <v/>
      </c>
      <c r="P305" s="62">
        <f>IF(ISNUMBER('Übung 14'!CE$39),'Übung 14'!CE$39,0)</f>
        <v/>
      </c>
      <c r="Q305" s="62">
        <f>IF(ISNUMBER('Übung 15'!CE$39),'Übung 15'!CE$39,0)</f>
        <v/>
      </c>
      <c r="R305" s="62">
        <f>IF(ISNUMBER('Übung 16'!CE$39),'Übung 16'!CE$39,0)</f>
        <v/>
      </c>
      <c r="S305" s="62">
        <f>IF(ISNUMBER('Übung 17'!CE$39),'Übung 17'!CE$39,0)</f>
        <v/>
      </c>
      <c r="T305" s="62">
        <f>IF(ISNUMBER('Übung 18'!CE$39),'Übung 18'!CE$39,0)</f>
        <v/>
      </c>
      <c r="U305" s="62">
        <f>IF(ISNUMBER('Übung 19'!CE$39),'Übung 19'!CE$39,0)</f>
        <v/>
      </c>
      <c r="V305" s="62">
        <f>IF(ISNUMBER('Übung 20'!CE$39),'Übung 20'!CE$39,0)</f>
        <v/>
      </c>
    </row>
    <row r="306">
      <c r="C306" s="62">
        <f>IF(ISNUMBER('Übung 01'!CF$39),'Übung 01'!CF$39,0)</f>
        <v/>
      </c>
      <c r="D306" s="62">
        <f>IF(ISNUMBER('Übung 02'!CF$39),'Übung 02'!CF$39,0)</f>
        <v/>
      </c>
      <c r="E306" s="62">
        <f>IF(ISNUMBER('Übung 03'!CF$39),'Übung 03'!CF$39,0)</f>
        <v/>
      </c>
      <c r="F306" s="62">
        <f>IF(ISNUMBER('Übung 04'!CF$39),'Übung 04'!CF$39,0)</f>
        <v/>
      </c>
      <c r="G306" s="62">
        <f>IF(ISNUMBER('Übung 05'!CF$39),'Übung 05'!CF$39,0)</f>
        <v/>
      </c>
      <c r="H306" s="62">
        <f>IF(ISNUMBER('Übung 06'!CF$39),'Übung 06'!CF$39,0)</f>
        <v/>
      </c>
      <c r="I306" s="62">
        <f>IF(ISNUMBER('Übung 07'!CF$39),'Übung 07'!CF$39,0)</f>
        <v/>
      </c>
      <c r="J306" s="62">
        <f>IF(ISNUMBER('Übung 08'!CF$39),'Übung 08'!CF$39,0)</f>
        <v/>
      </c>
      <c r="K306" s="62">
        <f>IF(ISNUMBER('Übung 09'!CF$39),'Übung 09'!CF$39,0)</f>
        <v/>
      </c>
      <c r="L306" s="62">
        <f>IF(ISNUMBER('Übung 10'!CF$39),'Übung 10'!CF$39,0)</f>
        <v/>
      </c>
      <c r="M306" s="62">
        <f>IF(ISNUMBER('Übung 11'!CF$39),'Übung 11'!CF$39,0)</f>
        <v/>
      </c>
      <c r="N306" s="62">
        <f>IF(ISNUMBER('Übung 12'!CF$39),'Übung 12'!CF$39,0)</f>
        <v/>
      </c>
      <c r="O306" s="62">
        <f>IF(ISNUMBER('Übung 13'!CF$39),'Übung 13'!CF$39,0)</f>
        <v/>
      </c>
      <c r="P306" s="62">
        <f>IF(ISNUMBER('Übung 14'!CF$39),'Übung 14'!CF$39,0)</f>
        <v/>
      </c>
      <c r="Q306" s="62">
        <f>IF(ISNUMBER('Übung 15'!CF$39),'Übung 15'!CF$39,0)</f>
        <v/>
      </c>
      <c r="R306" s="62">
        <f>IF(ISNUMBER('Übung 16'!CF$39),'Übung 16'!CF$39,0)</f>
        <v/>
      </c>
      <c r="S306" s="62">
        <f>IF(ISNUMBER('Übung 17'!CF$39),'Übung 17'!CF$39,0)</f>
        <v/>
      </c>
      <c r="T306" s="62">
        <f>IF(ISNUMBER('Übung 18'!CF$39),'Übung 18'!CF$39,0)</f>
        <v/>
      </c>
      <c r="U306" s="62">
        <f>IF(ISNUMBER('Übung 19'!CF$39),'Übung 19'!CF$39,0)</f>
        <v/>
      </c>
      <c r="V306" s="62">
        <f>IF(ISNUMBER('Übung 20'!CF$39),'Übung 20'!CF$39,0)</f>
        <v/>
      </c>
    </row>
    <row r="307">
      <c r="C307" s="62">
        <f>IF(ISNUMBER('Übung 01'!CG$39),'Übung 01'!CG$39,0)</f>
        <v/>
      </c>
      <c r="D307" s="62">
        <f>IF(ISNUMBER('Übung 02'!CG$39),'Übung 02'!CG$39,0)</f>
        <v/>
      </c>
      <c r="E307" s="62">
        <f>IF(ISNUMBER('Übung 03'!CG$39),'Übung 03'!CG$39,0)</f>
        <v/>
      </c>
      <c r="F307" s="62">
        <f>IF(ISNUMBER('Übung 04'!CG$39),'Übung 04'!CG$39,0)</f>
        <v/>
      </c>
      <c r="G307" s="62">
        <f>IF(ISNUMBER('Übung 05'!CG$39),'Übung 05'!CG$39,0)</f>
        <v/>
      </c>
      <c r="H307" s="62">
        <f>IF(ISNUMBER('Übung 06'!CG$39),'Übung 06'!CG$39,0)</f>
        <v/>
      </c>
      <c r="I307" s="62">
        <f>IF(ISNUMBER('Übung 07'!CG$39),'Übung 07'!CG$39,0)</f>
        <v/>
      </c>
      <c r="J307" s="62">
        <f>IF(ISNUMBER('Übung 08'!CG$39),'Übung 08'!CG$39,0)</f>
        <v/>
      </c>
      <c r="K307" s="62">
        <f>IF(ISNUMBER('Übung 09'!CG$39),'Übung 09'!CG$39,0)</f>
        <v/>
      </c>
      <c r="L307" s="62">
        <f>IF(ISNUMBER('Übung 10'!CG$39),'Übung 10'!CG$39,0)</f>
        <v/>
      </c>
      <c r="M307" s="62">
        <f>IF(ISNUMBER('Übung 11'!CG$39),'Übung 11'!CG$39,0)</f>
        <v/>
      </c>
      <c r="N307" s="62">
        <f>IF(ISNUMBER('Übung 12'!CG$39),'Übung 12'!CG$39,0)</f>
        <v/>
      </c>
      <c r="O307" s="62">
        <f>IF(ISNUMBER('Übung 13'!CG$39),'Übung 13'!CG$39,0)</f>
        <v/>
      </c>
      <c r="P307" s="62">
        <f>IF(ISNUMBER('Übung 14'!CG$39),'Übung 14'!CG$39,0)</f>
        <v/>
      </c>
      <c r="Q307" s="62">
        <f>IF(ISNUMBER('Übung 15'!CG$39),'Übung 15'!CG$39,0)</f>
        <v/>
      </c>
      <c r="R307" s="62">
        <f>IF(ISNUMBER('Übung 16'!CG$39),'Übung 16'!CG$39,0)</f>
        <v/>
      </c>
      <c r="S307" s="62">
        <f>IF(ISNUMBER('Übung 17'!CG$39),'Übung 17'!CG$39,0)</f>
        <v/>
      </c>
      <c r="T307" s="62">
        <f>IF(ISNUMBER('Übung 18'!CG$39),'Übung 18'!CG$39,0)</f>
        <v/>
      </c>
      <c r="U307" s="62">
        <f>IF(ISNUMBER('Übung 19'!CG$39),'Übung 19'!CG$39,0)</f>
        <v/>
      </c>
      <c r="V307" s="62">
        <f>IF(ISNUMBER('Übung 20'!CG$39),'Übung 20'!CG$39,0)</f>
        <v/>
      </c>
    </row>
    <row r="308">
      <c r="C308" s="62">
        <f>IF(ISNUMBER('Übung 01'!CH$39),'Übung 01'!CH$39,0)</f>
        <v/>
      </c>
      <c r="D308" s="62">
        <f>IF(ISNUMBER('Übung 02'!CH$39),'Übung 02'!CH$39,0)</f>
        <v/>
      </c>
      <c r="E308" s="62">
        <f>IF(ISNUMBER('Übung 03'!CH$39),'Übung 03'!CH$39,0)</f>
        <v/>
      </c>
      <c r="F308" s="62">
        <f>IF(ISNUMBER('Übung 04'!CH$39),'Übung 04'!CH$39,0)</f>
        <v/>
      </c>
      <c r="G308" s="62">
        <f>IF(ISNUMBER('Übung 05'!CH$39),'Übung 05'!CH$39,0)</f>
        <v/>
      </c>
      <c r="H308" s="62">
        <f>IF(ISNUMBER('Übung 06'!CH$39),'Übung 06'!CH$39,0)</f>
        <v/>
      </c>
      <c r="I308" s="62">
        <f>IF(ISNUMBER('Übung 07'!CH$39),'Übung 07'!CH$39,0)</f>
        <v/>
      </c>
      <c r="J308" s="62">
        <f>IF(ISNUMBER('Übung 08'!CH$39),'Übung 08'!CH$39,0)</f>
        <v/>
      </c>
      <c r="K308" s="62">
        <f>IF(ISNUMBER('Übung 09'!CH$39),'Übung 09'!CH$39,0)</f>
        <v/>
      </c>
      <c r="L308" s="62">
        <f>IF(ISNUMBER('Übung 10'!CH$39),'Übung 10'!CH$39,0)</f>
        <v/>
      </c>
      <c r="M308" s="62">
        <f>IF(ISNUMBER('Übung 11'!CH$39),'Übung 11'!CH$39,0)</f>
        <v/>
      </c>
      <c r="N308" s="62">
        <f>IF(ISNUMBER('Übung 12'!CH$39),'Übung 12'!CH$39,0)</f>
        <v/>
      </c>
      <c r="O308" s="62">
        <f>IF(ISNUMBER('Übung 13'!CH$39),'Übung 13'!CH$39,0)</f>
        <v/>
      </c>
      <c r="P308" s="62">
        <f>IF(ISNUMBER('Übung 14'!CH$39),'Übung 14'!CH$39,0)</f>
        <v/>
      </c>
      <c r="Q308" s="62">
        <f>IF(ISNUMBER('Übung 15'!CH$39),'Übung 15'!CH$39,0)</f>
        <v/>
      </c>
      <c r="R308" s="62">
        <f>IF(ISNUMBER('Übung 16'!CH$39),'Übung 16'!CH$39,0)</f>
        <v/>
      </c>
      <c r="S308" s="62">
        <f>IF(ISNUMBER('Übung 17'!CH$39),'Übung 17'!CH$39,0)</f>
        <v/>
      </c>
      <c r="T308" s="62">
        <f>IF(ISNUMBER('Übung 18'!CH$39),'Übung 18'!CH$39,0)</f>
        <v/>
      </c>
      <c r="U308" s="62">
        <f>IF(ISNUMBER('Übung 19'!CH$39),'Übung 19'!CH$39,0)</f>
        <v/>
      </c>
      <c r="V308" s="62">
        <f>IF(ISNUMBER('Übung 20'!CH$39),'Übung 20'!CH$39,0)</f>
        <v/>
      </c>
    </row>
    <row r="309">
      <c r="C309" s="62">
        <f>IF(ISNUMBER('Übung 01'!CI$39),'Übung 01'!CI$39,0)</f>
        <v/>
      </c>
      <c r="D309" s="62">
        <f>IF(ISNUMBER('Übung 02'!CI$39),'Übung 02'!CI$39,0)</f>
        <v/>
      </c>
      <c r="E309" s="62">
        <f>IF(ISNUMBER('Übung 03'!CI$39),'Übung 03'!CI$39,0)</f>
        <v/>
      </c>
      <c r="F309" s="62">
        <f>IF(ISNUMBER('Übung 04'!CI$39),'Übung 04'!CI$39,0)</f>
        <v/>
      </c>
      <c r="G309" s="62">
        <f>IF(ISNUMBER('Übung 05'!CI$39),'Übung 05'!CI$39,0)</f>
        <v/>
      </c>
      <c r="H309" s="62">
        <f>IF(ISNUMBER('Übung 06'!CI$39),'Übung 06'!CI$39,0)</f>
        <v/>
      </c>
      <c r="I309" s="62">
        <f>IF(ISNUMBER('Übung 07'!CI$39),'Übung 07'!CI$39,0)</f>
        <v/>
      </c>
      <c r="J309" s="62">
        <f>IF(ISNUMBER('Übung 08'!CI$39),'Übung 08'!CI$39,0)</f>
        <v/>
      </c>
      <c r="K309" s="62">
        <f>IF(ISNUMBER('Übung 09'!CI$39),'Übung 09'!CI$39,0)</f>
        <v/>
      </c>
      <c r="L309" s="62">
        <f>IF(ISNUMBER('Übung 10'!CI$39),'Übung 10'!CI$39,0)</f>
        <v/>
      </c>
      <c r="M309" s="62">
        <f>IF(ISNUMBER('Übung 11'!CI$39),'Übung 11'!CI$39,0)</f>
        <v/>
      </c>
      <c r="N309" s="62">
        <f>IF(ISNUMBER('Übung 12'!CI$39),'Übung 12'!CI$39,0)</f>
        <v/>
      </c>
      <c r="O309" s="62">
        <f>IF(ISNUMBER('Übung 13'!CI$39),'Übung 13'!CI$39,0)</f>
        <v/>
      </c>
      <c r="P309" s="62">
        <f>IF(ISNUMBER('Übung 14'!CI$39),'Übung 14'!CI$39,0)</f>
        <v/>
      </c>
      <c r="Q309" s="62">
        <f>IF(ISNUMBER('Übung 15'!CI$39),'Übung 15'!CI$39,0)</f>
        <v/>
      </c>
      <c r="R309" s="62">
        <f>IF(ISNUMBER('Übung 16'!CI$39),'Übung 16'!CI$39,0)</f>
        <v/>
      </c>
      <c r="S309" s="62">
        <f>IF(ISNUMBER('Übung 17'!CI$39),'Übung 17'!CI$39,0)</f>
        <v/>
      </c>
      <c r="T309" s="62">
        <f>IF(ISNUMBER('Übung 18'!CI$39),'Übung 18'!CI$39,0)</f>
        <v/>
      </c>
      <c r="U309" s="62">
        <f>IF(ISNUMBER('Übung 19'!CI$39),'Übung 19'!CI$39,0)</f>
        <v/>
      </c>
      <c r="V309" s="62">
        <f>IF(ISNUMBER('Übung 20'!CI$39),'Übung 20'!CI$39,0)</f>
        <v/>
      </c>
    </row>
    <row r="310">
      <c r="C310" s="62">
        <f>IF(ISNUMBER('Übung 01'!CJ$39),'Übung 01'!CJ$39,0)</f>
        <v/>
      </c>
      <c r="D310" s="62">
        <f>IF(ISNUMBER('Übung 02'!CJ$39),'Übung 02'!CJ$39,0)</f>
        <v/>
      </c>
      <c r="E310" s="62">
        <f>IF(ISNUMBER('Übung 03'!CJ$39),'Übung 03'!CJ$39,0)</f>
        <v/>
      </c>
      <c r="F310" s="62">
        <f>IF(ISNUMBER('Übung 04'!CJ$39),'Übung 04'!CJ$39,0)</f>
        <v/>
      </c>
      <c r="G310" s="62">
        <f>IF(ISNUMBER('Übung 05'!CJ$39),'Übung 05'!CJ$39,0)</f>
        <v/>
      </c>
      <c r="H310" s="62">
        <f>IF(ISNUMBER('Übung 06'!CJ$39),'Übung 06'!CJ$39,0)</f>
        <v/>
      </c>
      <c r="I310" s="62">
        <f>IF(ISNUMBER('Übung 07'!CJ$39),'Übung 07'!CJ$39,0)</f>
        <v/>
      </c>
      <c r="J310" s="62">
        <f>IF(ISNUMBER('Übung 08'!CJ$39),'Übung 08'!CJ$39,0)</f>
        <v/>
      </c>
      <c r="K310" s="62">
        <f>IF(ISNUMBER('Übung 09'!CJ$39),'Übung 09'!CJ$39,0)</f>
        <v/>
      </c>
      <c r="L310" s="62">
        <f>IF(ISNUMBER('Übung 10'!CJ$39),'Übung 10'!CJ$39,0)</f>
        <v/>
      </c>
      <c r="M310" s="62">
        <f>IF(ISNUMBER('Übung 11'!CJ$39),'Übung 11'!CJ$39,0)</f>
        <v/>
      </c>
      <c r="N310" s="62">
        <f>IF(ISNUMBER('Übung 12'!CJ$39),'Übung 12'!CJ$39,0)</f>
        <v/>
      </c>
      <c r="O310" s="62">
        <f>IF(ISNUMBER('Übung 13'!CJ$39),'Übung 13'!CJ$39,0)</f>
        <v/>
      </c>
      <c r="P310" s="62">
        <f>IF(ISNUMBER('Übung 14'!CJ$39),'Übung 14'!CJ$39,0)</f>
        <v/>
      </c>
      <c r="Q310" s="62">
        <f>IF(ISNUMBER('Übung 15'!CJ$39),'Übung 15'!CJ$39,0)</f>
        <v/>
      </c>
      <c r="R310" s="62">
        <f>IF(ISNUMBER('Übung 16'!CJ$39),'Übung 16'!CJ$39,0)</f>
        <v/>
      </c>
      <c r="S310" s="62">
        <f>IF(ISNUMBER('Übung 17'!CJ$39),'Übung 17'!CJ$39,0)</f>
        <v/>
      </c>
      <c r="T310" s="62">
        <f>IF(ISNUMBER('Übung 18'!CJ$39),'Übung 18'!CJ$39,0)</f>
        <v/>
      </c>
      <c r="U310" s="62">
        <f>IF(ISNUMBER('Übung 19'!CJ$39),'Übung 19'!CJ$39,0)</f>
        <v/>
      </c>
      <c r="V310" s="62">
        <f>IF(ISNUMBER('Übung 20'!CJ$39),'Übung 20'!CJ$39,0)</f>
        <v/>
      </c>
    </row>
    <row r="311">
      <c r="C311" s="62">
        <f>IF(ISNUMBER('Übung 01'!CK$39),'Übung 01'!CK$39,0)</f>
        <v/>
      </c>
      <c r="D311" s="62">
        <f>IF(ISNUMBER('Übung 02'!CK$39),'Übung 02'!CK$39,0)</f>
        <v/>
      </c>
      <c r="E311" s="62">
        <f>IF(ISNUMBER('Übung 03'!CK$39),'Übung 03'!CK$39,0)</f>
        <v/>
      </c>
      <c r="F311" s="62">
        <f>IF(ISNUMBER('Übung 04'!CK$39),'Übung 04'!CK$39,0)</f>
        <v/>
      </c>
      <c r="G311" s="62">
        <f>IF(ISNUMBER('Übung 05'!CK$39),'Übung 05'!CK$39,0)</f>
        <v/>
      </c>
      <c r="H311" s="62">
        <f>IF(ISNUMBER('Übung 06'!CK$39),'Übung 06'!CK$39,0)</f>
        <v/>
      </c>
      <c r="I311" s="62">
        <f>IF(ISNUMBER('Übung 07'!CK$39),'Übung 07'!CK$39,0)</f>
        <v/>
      </c>
      <c r="J311" s="62">
        <f>IF(ISNUMBER('Übung 08'!CK$39),'Übung 08'!CK$39,0)</f>
        <v/>
      </c>
      <c r="K311" s="62">
        <f>IF(ISNUMBER('Übung 09'!CK$39),'Übung 09'!CK$39,0)</f>
        <v/>
      </c>
      <c r="L311" s="62">
        <f>IF(ISNUMBER('Übung 10'!CK$39),'Übung 10'!CK$39,0)</f>
        <v/>
      </c>
      <c r="M311" s="62">
        <f>IF(ISNUMBER('Übung 11'!CK$39),'Übung 11'!CK$39,0)</f>
        <v/>
      </c>
      <c r="N311" s="62">
        <f>IF(ISNUMBER('Übung 12'!CK$39),'Übung 12'!CK$39,0)</f>
        <v/>
      </c>
      <c r="O311" s="62">
        <f>IF(ISNUMBER('Übung 13'!CK$39),'Übung 13'!CK$39,0)</f>
        <v/>
      </c>
      <c r="P311" s="62">
        <f>IF(ISNUMBER('Übung 14'!CK$39),'Übung 14'!CK$39,0)</f>
        <v/>
      </c>
      <c r="Q311" s="62">
        <f>IF(ISNUMBER('Übung 15'!CK$39),'Übung 15'!CK$39,0)</f>
        <v/>
      </c>
      <c r="R311" s="62">
        <f>IF(ISNUMBER('Übung 16'!CK$39),'Übung 16'!CK$39,0)</f>
        <v/>
      </c>
      <c r="S311" s="62">
        <f>IF(ISNUMBER('Übung 17'!CK$39),'Übung 17'!CK$39,0)</f>
        <v/>
      </c>
      <c r="T311" s="62">
        <f>IF(ISNUMBER('Übung 18'!CK$39),'Übung 18'!CK$39,0)</f>
        <v/>
      </c>
      <c r="U311" s="62">
        <f>IF(ISNUMBER('Übung 19'!CK$39),'Übung 19'!CK$39,0)</f>
        <v/>
      </c>
      <c r="V311" s="62">
        <f>IF(ISNUMBER('Übung 20'!CK$39),'Übung 20'!CK$39,0)</f>
        <v/>
      </c>
    </row>
    <row r="312">
      <c r="C312" s="62">
        <f>IF(ISNUMBER('Übung 01'!CL$39),'Übung 01'!CL$39,0)</f>
        <v/>
      </c>
      <c r="D312" s="62">
        <f>IF(ISNUMBER('Übung 02'!CL$39),'Übung 02'!CL$39,0)</f>
        <v/>
      </c>
      <c r="E312" s="62">
        <f>IF(ISNUMBER('Übung 03'!CL$39),'Übung 03'!CL$39,0)</f>
        <v/>
      </c>
      <c r="F312" s="62">
        <f>IF(ISNUMBER('Übung 04'!CL$39),'Übung 04'!CL$39,0)</f>
        <v/>
      </c>
      <c r="G312" s="62">
        <f>IF(ISNUMBER('Übung 05'!CL$39),'Übung 05'!CL$39,0)</f>
        <v/>
      </c>
      <c r="H312" s="62">
        <f>IF(ISNUMBER('Übung 06'!CL$39),'Übung 06'!CL$39,0)</f>
        <v/>
      </c>
      <c r="I312" s="62">
        <f>IF(ISNUMBER('Übung 07'!CL$39),'Übung 07'!CL$39,0)</f>
        <v/>
      </c>
      <c r="J312" s="62">
        <f>IF(ISNUMBER('Übung 08'!CL$39),'Übung 08'!CL$39,0)</f>
        <v/>
      </c>
      <c r="K312" s="62">
        <f>IF(ISNUMBER('Übung 09'!CL$39),'Übung 09'!CL$39,0)</f>
        <v/>
      </c>
      <c r="L312" s="62">
        <f>IF(ISNUMBER('Übung 10'!CL$39),'Übung 10'!CL$39,0)</f>
        <v/>
      </c>
      <c r="M312" s="62">
        <f>IF(ISNUMBER('Übung 11'!CL$39),'Übung 11'!CL$39,0)</f>
        <v/>
      </c>
      <c r="N312" s="62">
        <f>IF(ISNUMBER('Übung 12'!CL$39),'Übung 12'!CL$39,0)</f>
        <v/>
      </c>
      <c r="O312" s="62">
        <f>IF(ISNUMBER('Übung 13'!CL$39),'Übung 13'!CL$39,0)</f>
        <v/>
      </c>
      <c r="P312" s="62">
        <f>IF(ISNUMBER('Übung 14'!CL$39),'Übung 14'!CL$39,0)</f>
        <v/>
      </c>
      <c r="Q312" s="62">
        <f>IF(ISNUMBER('Übung 15'!CL$39),'Übung 15'!CL$39,0)</f>
        <v/>
      </c>
      <c r="R312" s="62">
        <f>IF(ISNUMBER('Übung 16'!CL$39),'Übung 16'!CL$39,0)</f>
        <v/>
      </c>
      <c r="S312" s="62">
        <f>IF(ISNUMBER('Übung 17'!CL$39),'Übung 17'!CL$39,0)</f>
        <v/>
      </c>
      <c r="T312" s="62">
        <f>IF(ISNUMBER('Übung 18'!CL$39),'Übung 18'!CL$39,0)</f>
        <v/>
      </c>
      <c r="U312" s="62">
        <f>IF(ISNUMBER('Übung 19'!CL$39),'Übung 19'!CL$39,0)</f>
        <v/>
      </c>
      <c r="V312" s="62">
        <f>IF(ISNUMBER('Übung 20'!CL$39),'Übung 20'!CL$39,0)</f>
        <v/>
      </c>
    </row>
    <row r="313">
      <c r="C313" s="62">
        <f>IF(ISNUMBER('Übung 01'!CM$39),'Übung 01'!CM$39,0)</f>
        <v/>
      </c>
      <c r="D313" s="62">
        <f>IF(ISNUMBER('Übung 02'!CM$39),'Übung 02'!CM$39,0)</f>
        <v/>
      </c>
      <c r="E313" s="62">
        <f>IF(ISNUMBER('Übung 03'!CM$39),'Übung 03'!CM$39,0)</f>
        <v/>
      </c>
      <c r="F313" s="62">
        <f>IF(ISNUMBER('Übung 04'!CM$39),'Übung 04'!CM$39,0)</f>
        <v/>
      </c>
      <c r="G313" s="62">
        <f>IF(ISNUMBER('Übung 05'!CM$39),'Übung 05'!CM$39,0)</f>
        <v/>
      </c>
      <c r="H313" s="62">
        <f>IF(ISNUMBER('Übung 06'!CM$39),'Übung 06'!CM$39,0)</f>
        <v/>
      </c>
      <c r="I313" s="62">
        <f>IF(ISNUMBER('Übung 07'!CM$39),'Übung 07'!CM$39,0)</f>
        <v/>
      </c>
      <c r="J313" s="62">
        <f>IF(ISNUMBER('Übung 08'!CM$39),'Übung 08'!CM$39,0)</f>
        <v/>
      </c>
      <c r="K313" s="62">
        <f>IF(ISNUMBER('Übung 09'!CM$39),'Übung 09'!CM$39,0)</f>
        <v/>
      </c>
      <c r="L313" s="62">
        <f>IF(ISNUMBER('Übung 10'!CM$39),'Übung 10'!CM$39,0)</f>
        <v/>
      </c>
      <c r="M313" s="62">
        <f>IF(ISNUMBER('Übung 11'!CM$39),'Übung 11'!CM$39,0)</f>
        <v/>
      </c>
      <c r="N313" s="62">
        <f>IF(ISNUMBER('Übung 12'!CM$39),'Übung 12'!CM$39,0)</f>
        <v/>
      </c>
      <c r="O313" s="62">
        <f>IF(ISNUMBER('Übung 13'!CM$39),'Übung 13'!CM$39,0)</f>
        <v/>
      </c>
      <c r="P313" s="62">
        <f>IF(ISNUMBER('Übung 14'!CM$39),'Übung 14'!CM$39,0)</f>
        <v/>
      </c>
      <c r="Q313" s="62">
        <f>IF(ISNUMBER('Übung 15'!CM$39),'Übung 15'!CM$39,0)</f>
        <v/>
      </c>
      <c r="R313" s="62">
        <f>IF(ISNUMBER('Übung 16'!CM$39),'Übung 16'!CM$39,0)</f>
        <v/>
      </c>
      <c r="S313" s="62">
        <f>IF(ISNUMBER('Übung 17'!CM$39),'Übung 17'!CM$39,0)</f>
        <v/>
      </c>
      <c r="T313" s="62">
        <f>IF(ISNUMBER('Übung 18'!CM$39),'Übung 18'!CM$39,0)</f>
        <v/>
      </c>
      <c r="U313" s="62">
        <f>IF(ISNUMBER('Übung 19'!CM$39),'Übung 19'!CM$39,0)</f>
        <v/>
      </c>
      <c r="V313" s="62">
        <f>IF(ISNUMBER('Übung 20'!CM$39),'Übung 20'!CM$39,0)</f>
        <v/>
      </c>
    </row>
    <row r="314">
      <c r="C314" s="62">
        <f>IF(ISNUMBER('Übung 01'!CN$39),'Übung 01'!CN$39,0)</f>
        <v/>
      </c>
      <c r="D314" s="62">
        <f>IF(ISNUMBER('Übung 02'!CN$39),'Übung 02'!CN$39,0)</f>
        <v/>
      </c>
      <c r="E314" s="62">
        <f>IF(ISNUMBER('Übung 03'!CN$39),'Übung 03'!CN$39,0)</f>
        <v/>
      </c>
      <c r="F314" s="62">
        <f>IF(ISNUMBER('Übung 04'!CN$39),'Übung 04'!CN$39,0)</f>
        <v/>
      </c>
      <c r="G314" s="62">
        <f>IF(ISNUMBER('Übung 05'!CN$39),'Übung 05'!CN$39,0)</f>
        <v/>
      </c>
      <c r="H314" s="62">
        <f>IF(ISNUMBER('Übung 06'!CN$39),'Übung 06'!CN$39,0)</f>
        <v/>
      </c>
      <c r="I314" s="62">
        <f>IF(ISNUMBER('Übung 07'!CN$39),'Übung 07'!CN$39,0)</f>
        <v/>
      </c>
      <c r="J314" s="62">
        <f>IF(ISNUMBER('Übung 08'!CN$39),'Übung 08'!CN$39,0)</f>
        <v/>
      </c>
      <c r="K314" s="62">
        <f>IF(ISNUMBER('Übung 09'!CN$39),'Übung 09'!CN$39,0)</f>
        <v/>
      </c>
      <c r="L314" s="62">
        <f>IF(ISNUMBER('Übung 10'!CN$39),'Übung 10'!CN$39,0)</f>
        <v/>
      </c>
      <c r="M314" s="62">
        <f>IF(ISNUMBER('Übung 11'!CN$39),'Übung 11'!CN$39,0)</f>
        <v/>
      </c>
      <c r="N314" s="62">
        <f>IF(ISNUMBER('Übung 12'!CN$39),'Übung 12'!CN$39,0)</f>
        <v/>
      </c>
      <c r="O314" s="62">
        <f>IF(ISNUMBER('Übung 13'!CN$39),'Übung 13'!CN$39,0)</f>
        <v/>
      </c>
      <c r="P314" s="62">
        <f>IF(ISNUMBER('Übung 14'!CN$39),'Übung 14'!CN$39,0)</f>
        <v/>
      </c>
      <c r="Q314" s="62">
        <f>IF(ISNUMBER('Übung 15'!CN$39),'Übung 15'!CN$39,0)</f>
        <v/>
      </c>
      <c r="R314" s="62">
        <f>IF(ISNUMBER('Übung 16'!CN$39),'Übung 16'!CN$39,0)</f>
        <v/>
      </c>
      <c r="S314" s="62">
        <f>IF(ISNUMBER('Übung 17'!CN$39),'Übung 17'!CN$39,0)</f>
        <v/>
      </c>
      <c r="T314" s="62">
        <f>IF(ISNUMBER('Übung 18'!CN$39),'Übung 18'!CN$39,0)</f>
        <v/>
      </c>
      <c r="U314" s="62">
        <f>IF(ISNUMBER('Übung 19'!CN$39),'Übung 19'!CN$39,0)</f>
        <v/>
      </c>
      <c r="V314" s="62">
        <f>IF(ISNUMBER('Übung 20'!CN$39),'Übung 20'!CN$39,0)</f>
        <v/>
      </c>
    </row>
    <row r="315">
      <c r="C315" s="62">
        <f>IF(ISNUMBER('Übung 01'!CO$39),'Übung 01'!CO$39,0)</f>
        <v/>
      </c>
      <c r="D315" s="62">
        <f>IF(ISNUMBER('Übung 02'!CO$39),'Übung 02'!CO$39,0)</f>
        <v/>
      </c>
      <c r="E315" s="62">
        <f>IF(ISNUMBER('Übung 03'!CO$39),'Übung 03'!CO$39,0)</f>
        <v/>
      </c>
      <c r="F315" s="62">
        <f>IF(ISNUMBER('Übung 04'!CO$39),'Übung 04'!CO$39,0)</f>
        <v/>
      </c>
      <c r="G315" s="62">
        <f>IF(ISNUMBER('Übung 05'!CO$39),'Übung 05'!CO$39,0)</f>
        <v/>
      </c>
      <c r="H315" s="62">
        <f>IF(ISNUMBER('Übung 06'!CO$39),'Übung 06'!CO$39,0)</f>
        <v/>
      </c>
      <c r="I315" s="62">
        <f>IF(ISNUMBER('Übung 07'!CO$39),'Übung 07'!CO$39,0)</f>
        <v/>
      </c>
      <c r="J315" s="62">
        <f>IF(ISNUMBER('Übung 08'!CO$39),'Übung 08'!CO$39,0)</f>
        <v/>
      </c>
      <c r="K315" s="62">
        <f>IF(ISNUMBER('Übung 09'!CO$39),'Übung 09'!CO$39,0)</f>
        <v/>
      </c>
      <c r="L315" s="62">
        <f>IF(ISNUMBER('Übung 10'!CO$39),'Übung 10'!CO$39,0)</f>
        <v/>
      </c>
      <c r="M315" s="62">
        <f>IF(ISNUMBER('Übung 11'!CO$39),'Übung 11'!CO$39,0)</f>
        <v/>
      </c>
      <c r="N315" s="62">
        <f>IF(ISNUMBER('Übung 12'!CO$39),'Übung 12'!CO$39,0)</f>
        <v/>
      </c>
      <c r="O315" s="62">
        <f>IF(ISNUMBER('Übung 13'!CO$39),'Übung 13'!CO$39,0)</f>
        <v/>
      </c>
      <c r="P315" s="62">
        <f>IF(ISNUMBER('Übung 14'!CO$39),'Übung 14'!CO$39,0)</f>
        <v/>
      </c>
      <c r="Q315" s="62">
        <f>IF(ISNUMBER('Übung 15'!CO$39),'Übung 15'!CO$39,0)</f>
        <v/>
      </c>
      <c r="R315" s="62">
        <f>IF(ISNUMBER('Übung 16'!CO$39),'Übung 16'!CO$39,0)</f>
        <v/>
      </c>
      <c r="S315" s="62">
        <f>IF(ISNUMBER('Übung 17'!CO$39),'Übung 17'!CO$39,0)</f>
        <v/>
      </c>
      <c r="T315" s="62">
        <f>IF(ISNUMBER('Übung 18'!CO$39),'Übung 18'!CO$39,0)</f>
        <v/>
      </c>
      <c r="U315" s="62">
        <f>IF(ISNUMBER('Übung 19'!CO$39),'Übung 19'!CO$39,0)</f>
        <v/>
      </c>
      <c r="V315" s="62">
        <f>IF(ISNUMBER('Übung 20'!CO$39),'Übung 20'!CO$39,0)</f>
        <v/>
      </c>
    </row>
    <row r="316">
      <c r="C316" s="62">
        <f>IF(ISNUMBER('Übung 01'!CP$39),'Übung 01'!CP$39,0)</f>
        <v/>
      </c>
      <c r="D316" s="62">
        <f>IF(ISNUMBER('Übung 02'!CP$39),'Übung 02'!CP$39,0)</f>
        <v/>
      </c>
      <c r="E316" s="62">
        <f>IF(ISNUMBER('Übung 03'!CP$39),'Übung 03'!CP$39,0)</f>
        <v/>
      </c>
      <c r="F316" s="62">
        <f>IF(ISNUMBER('Übung 04'!CP$39),'Übung 04'!CP$39,0)</f>
        <v/>
      </c>
      <c r="G316" s="62">
        <f>IF(ISNUMBER('Übung 05'!CP$39),'Übung 05'!CP$39,0)</f>
        <v/>
      </c>
      <c r="H316" s="62">
        <f>IF(ISNUMBER('Übung 06'!CP$39),'Übung 06'!CP$39,0)</f>
        <v/>
      </c>
      <c r="I316" s="62">
        <f>IF(ISNUMBER('Übung 07'!CP$39),'Übung 07'!CP$39,0)</f>
        <v/>
      </c>
      <c r="J316" s="62">
        <f>IF(ISNUMBER('Übung 08'!CP$39),'Übung 08'!CP$39,0)</f>
        <v/>
      </c>
      <c r="K316" s="62">
        <f>IF(ISNUMBER('Übung 09'!CP$39),'Übung 09'!CP$39,0)</f>
        <v/>
      </c>
      <c r="L316" s="62">
        <f>IF(ISNUMBER('Übung 10'!CP$39),'Übung 10'!CP$39,0)</f>
        <v/>
      </c>
      <c r="M316" s="62">
        <f>IF(ISNUMBER('Übung 11'!CP$39),'Übung 11'!CP$39,0)</f>
        <v/>
      </c>
      <c r="N316" s="62">
        <f>IF(ISNUMBER('Übung 12'!CP$39),'Übung 12'!CP$39,0)</f>
        <v/>
      </c>
      <c r="O316" s="62">
        <f>IF(ISNUMBER('Übung 13'!CP$39),'Übung 13'!CP$39,0)</f>
        <v/>
      </c>
      <c r="P316" s="62">
        <f>IF(ISNUMBER('Übung 14'!CP$39),'Übung 14'!CP$39,0)</f>
        <v/>
      </c>
      <c r="Q316" s="62">
        <f>IF(ISNUMBER('Übung 15'!CP$39),'Übung 15'!CP$39,0)</f>
        <v/>
      </c>
      <c r="R316" s="62">
        <f>IF(ISNUMBER('Übung 16'!CP$39),'Übung 16'!CP$39,0)</f>
        <v/>
      </c>
      <c r="S316" s="62">
        <f>IF(ISNUMBER('Übung 17'!CP$39),'Übung 17'!CP$39,0)</f>
        <v/>
      </c>
      <c r="T316" s="62">
        <f>IF(ISNUMBER('Übung 18'!CP$39),'Übung 18'!CP$39,0)</f>
        <v/>
      </c>
      <c r="U316" s="62">
        <f>IF(ISNUMBER('Übung 19'!CP$39),'Übung 19'!CP$39,0)</f>
        <v/>
      </c>
      <c r="V316" s="62">
        <f>IF(ISNUMBER('Übung 20'!CP$39),'Übung 20'!CP$39,0)</f>
        <v/>
      </c>
    </row>
    <row r="317">
      <c r="C317" s="62">
        <f>IF(ISNUMBER('Übung 01'!CQ$39),'Übung 01'!CQ$39,0)</f>
        <v/>
      </c>
      <c r="D317" s="62">
        <f>IF(ISNUMBER('Übung 02'!CQ$39),'Übung 02'!CQ$39,0)</f>
        <v/>
      </c>
      <c r="E317" s="62">
        <f>IF(ISNUMBER('Übung 03'!CQ$39),'Übung 03'!CQ$39,0)</f>
        <v/>
      </c>
      <c r="F317" s="62">
        <f>IF(ISNUMBER('Übung 04'!CQ$39),'Übung 04'!CQ$39,0)</f>
        <v/>
      </c>
      <c r="G317" s="62">
        <f>IF(ISNUMBER('Übung 05'!CQ$39),'Übung 05'!CQ$39,0)</f>
        <v/>
      </c>
      <c r="H317" s="62">
        <f>IF(ISNUMBER('Übung 06'!CQ$39),'Übung 06'!CQ$39,0)</f>
        <v/>
      </c>
      <c r="I317" s="62">
        <f>IF(ISNUMBER('Übung 07'!CQ$39),'Übung 07'!CQ$39,0)</f>
        <v/>
      </c>
      <c r="J317" s="62">
        <f>IF(ISNUMBER('Übung 08'!CQ$39),'Übung 08'!CQ$39,0)</f>
        <v/>
      </c>
      <c r="K317" s="62">
        <f>IF(ISNUMBER('Übung 09'!CQ$39),'Übung 09'!CQ$39,0)</f>
        <v/>
      </c>
      <c r="L317" s="62">
        <f>IF(ISNUMBER('Übung 10'!CQ$39),'Übung 10'!CQ$39,0)</f>
        <v/>
      </c>
      <c r="M317" s="62">
        <f>IF(ISNUMBER('Übung 11'!CQ$39),'Übung 11'!CQ$39,0)</f>
        <v/>
      </c>
      <c r="N317" s="62">
        <f>IF(ISNUMBER('Übung 12'!CQ$39),'Übung 12'!CQ$39,0)</f>
        <v/>
      </c>
      <c r="O317" s="62">
        <f>IF(ISNUMBER('Übung 13'!CQ$39),'Übung 13'!CQ$39,0)</f>
        <v/>
      </c>
      <c r="P317" s="62">
        <f>IF(ISNUMBER('Übung 14'!CQ$39),'Übung 14'!CQ$39,0)</f>
        <v/>
      </c>
      <c r="Q317" s="62">
        <f>IF(ISNUMBER('Übung 15'!CQ$39),'Übung 15'!CQ$39,0)</f>
        <v/>
      </c>
      <c r="R317" s="62">
        <f>IF(ISNUMBER('Übung 16'!CQ$39),'Übung 16'!CQ$39,0)</f>
        <v/>
      </c>
      <c r="S317" s="62">
        <f>IF(ISNUMBER('Übung 17'!CQ$39),'Übung 17'!CQ$39,0)</f>
        <v/>
      </c>
      <c r="T317" s="62">
        <f>IF(ISNUMBER('Übung 18'!CQ$39),'Übung 18'!CQ$39,0)</f>
        <v/>
      </c>
      <c r="U317" s="62">
        <f>IF(ISNUMBER('Übung 19'!CQ$39),'Übung 19'!CQ$39,0)</f>
        <v/>
      </c>
      <c r="V317" s="62">
        <f>IF(ISNUMBER('Übung 20'!CQ$39),'Übung 20'!CQ$39,0)</f>
        <v/>
      </c>
    </row>
    <row r="318">
      <c r="C318" s="62">
        <f>IF(ISNUMBER('Übung 01'!CR$39),'Übung 01'!CR$39,0)</f>
        <v/>
      </c>
      <c r="D318" s="62">
        <f>IF(ISNUMBER('Übung 02'!CR$39),'Übung 02'!CR$39,0)</f>
        <v/>
      </c>
      <c r="E318" s="62">
        <f>IF(ISNUMBER('Übung 03'!CR$39),'Übung 03'!CR$39,0)</f>
        <v/>
      </c>
      <c r="F318" s="62">
        <f>IF(ISNUMBER('Übung 04'!CR$39),'Übung 04'!CR$39,0)</f>
        <v/>
      </c>
      <c r="G318" s="62">
        <f>IF(ISNUMBER('Übung 05'!CR$39),'Übung 05'!CR$39,0)</f>
        <v/>
      </c>
      <c r="H318" s="62">
        <f>IF(ISNUMBER('Übung 06'!CR$39),'Übung 06'!CR$39,0)</f>
        <v/>
      </c>
      <c r="I318" s="62">
        <f>IF(ISNUMBER('Übung 07'!CR$39),'Übung 07'!CR$39,0)</f>
        <v/>
      </c>
      <c r="J318" s="62">
        <f>IF(ISNUMBER('Übung 08'!CR$39),'Übung 08'!CR$39,0)</f>
        <v/>
      </c>
      <c r="K318" s="62">
        <f>IF(ISNUMBER('Übung 09'!CR$39),'Übung 09'!CR$39,0)</f>
        <v/>
      </c>
      <c r="L318" s="62">
        <f>IF(ISNUMBER('Übung 10'!CR$39),'Übung 10'!CR$39,0)</f>
        <v/>
      </c>
      <c r="M318" s="62">
        <f>IF(ISNUMBER('Übung 11'!CR$39),'Übung 11'!CR$39,0)</f>
        <v/>
      </c>
      <c r="N318" s="62">
        <f>IF(ISNUMBER('Übung 12'!CR$39),'Übung 12'!CR$39,0)</f>
        <v/>
      </c>
      <c r="O318" s="62">
        <f>IF(ISNUMBER('Übung 13'!CR$39),'Übung 13'!CR$39,0)</f>
        <v/>
      </c>
      <c r="P318" s="62">
        <f>IF(ISNUMBER('Übung 14'!CR$39),'Übung 14'!CR$39,0)</f>
        <v/>
      </c>
      <c r="Q318" s="62">
        <f>IF(ISNUMBER('Übung 15'!CR$39),'Übung 15'!CR$39,0)</f>
        <v/>
      </c>
      <c r="R318" s="62">
        <f>IF(ISNUMBER('Übung 16'!CR$39),'Übung 16'!CR$39,0)</f>
        <v/>
      </c>
      <c r="S318" s="62">
        <f>IF(ISNUMBER('Übung 17'!CR$39),'Übung 17'!CR$39,0)</f>
        <v/>
      </c>
      <c r="T318" s="62">
        <f>IF(ISNUMBER('Übung 18'!CR$39),'Übung 18'!CR$39,0)</f>
        <v/>
      </c>
      <c r="U318" s="62">
        <f>IF(ISNUMBER('Übung 19'!CR$39),'Übung 19'!CR$39,0)</f>
        <v/>
      </c>
      <c r="V318" s="62">
        <f>IF(ISNUMBER('Übung 20'!CR$39),'Übung 20'!CR$39,0)</f>
        <v/>
      </c>
    </row>
    <row r="319">
      <c r="C319" s="62">
        <f>IF(ISNUMBER('Übung 01'!CS$39),'Übung 01'!CS$39,0)</f>
        <v/>
      </c>
      <c r="D319" s="62">
        <f>IF(ISNUMBER('Übung 02'!CS$39),'Übung 02'!CS$39,0)</f>
        <v/>
      </c>
      <c r="E319" s="62">
        <f>IF(ISNUMBER('Übung 03'!CS$39),'Übung 03'!CS$39,0)</f>
        <v/>
      </c>
      <c r="F319" s="62">
        <f>IF(ISNUMBER('Übung 04'!CS$39),'Übung 04'!CS$39,0)</f>
        <v/>
      </c>
      <c r="G319" s="62">
        <f>IF(ISNUMBER('Übung 05'!CS$39),'Übung 05'!CS$39,0)</f>
        <v/>
      </c>
      <c r="H319" s="62">
        <f>IF(ISNUMBER('Übung 06'!CS$39),'Übung 06'!CS$39,0)</f>
        <v/>
      </c>
      <c r="I319" s="62">
        <f>IF(ISNUMBER('Übung 07'!CS$39),'Übung 07'!CS$39,0)</f>
        <v/>
      </c>
      <c r="J319" s="62">
        <f>IF(ISNUMBER('Übung 08'!CS$39),'Übung 08'!CS$39,0)</f>
        <v/>
      </c>
      <c r="K319" s="62">
        <f>IF(ISNUMBER('Übung 09'!CS$39),'Übung 09'!CS$39,0)</f>
        <v/>
      </c>
      <c r="L319" s="62">
        <f>IF(ISNUMBER('Übung 10'!CS$39),'Übung 10'!CS$39,0)</f>
        <v/>
      </c>
      <c r="M319" s="62">
        <f>IF(ISNUMBER('Übung 11'!CS$39),'Übung 11'!CS$39,0)</f>
        <v/>
      </c>
      <c r="N319" s="62">
        <f>IF(ISNUMBER('Übung 12'!CS$39),'Übung 12'!CS$39,0)</f>
        <v/>
      </c>
      <c r="O319" s="62">
        <f>IF(ISNUMBER('Übung 13'!CS$39),'Übung 13'!CS$39,0)</f>
        <v/>
      </c>
      <c r="P319" s="62">
        <f>IF(ISNUMBER('Übung 14'!CS$39),'Übung 14'!CS$39,0)</f>
        <v/>
      </c>
      <c r="Q319" s="62">
        <f>IF(ISNUMBER('Übung 15'!CS$39),'Übung 15'!CS$39,0)</f>
        <v/>
      </c>
      <c r="R319" s="62">
        <f>IF(ISNUMBER('Übung 16'!CS$39),'Übung 16'!CS$39,0)</f>
        <v/>
      </c>
      <c r="S319" s="62">
        <f>IF(ISNUMBER('Übung 17'!CS$39),'Übung 17'!CS$39,0)</f>
        <v/>
      </c>
      <c r="T319" s="62">
        <f>IF(ISNUMBER('Übung 18'!CS$39),'Übung 18'!CS$39,0)</f>
        <v/>
      </c>
      <c r="U319" s="62">
        <f>IF(ISNUMBER('Übung 19'!CS$39),'Übung 19'!CS$39,0)</f>
        <v/>
      </c>
      <c r="V319" s="62">
        <f>IF(ISNUMBER('Übung 20'!CS$39),'Übung 20'!CS$39,0)</f>
        <v/>
      </c>
    </row>
    <row r="320">
      <c r="C320" s="62">
        <f>IF(ISNUMBER('Übung 01'!CT$39),'Übung 01'!CT$39,0)</f>
        <v/>
      </c>
      <c r="D320" s="62">
        <f>IF(ISNUMBER('Übung 02'!CT$39),'Übung 02'!CT$39,0)</f>
        <v/>
      </c>
      <c r="E320" s="62">
        <f>IF(ISNUMBER('Übung 03'!CT$39),'Übung 03'!CT$39,0)</f>
        <v/>
      </c>
      <c r="F320" s="62">
        <f>IF(ISNUMBER('Übung 04'!CT$39),'Übung 04'!CT$39,0)</f>
        <v/>
      </c>
      <c r="G320" s="62">
        <f>IF(ISNUMBER('Übung 05'!CT$39),'Übung 05'!CT$39,0)</f>
        <v/>
      </c>
      <c r="H320" s="62">
        <f>IF(ISNUMBER('Übung 06'!CT$39),'Übung 06'!CT$39,0)</f>
        <v/>
      </c>
      <c r="I320" s="62">
        <f>IF(ISNUMBER('Übung 07'!CT$39),'Übung 07'!CT$39,0)</f>
        <v/>
      </c>
      <c r="J320" s="62">
        <f>IF(ISNUMBER('Übung 08'!CT$39),'Übung 08'!CT$39,0)</f>
        <v/>
      </c>
      <c r="K320" s="62">
        <f>IF(ISNUMBER('Übung 09'!CT$39),'Übung 09'!CT$39,0)</f>
        <v/>
      </c>
      <c r="L320" s="62">
        <f>IF(ISNUMBER('Übung 10'!CT$39),'Übung 10'!CT$39,0)</f>
        <v/>
      </c>
      <c r="M320" s="62">
        <f>IF(ISNUMBER('Übung 11'!CT$39),'Übung 11'!CT$39,0)</f>
        <v/>
      </c>
      <c r="N320" s="62">
        <f>IF(ISNUMBER('Übung 12'!CT$39),'Übung 12'!CT$39,0)</f>
        <v/>
      </c>
      <c r="O320" s="62">
        <f>IF(ISNUMBER('Übung 13'!CT$39),'Übung 13'!CT$39,0)</f>
        <v/>
      </c>
      <c r="P320" s="62">
        <f>IF(ISNUMBER('Übung 14'!CT$39),'Übung 14'!CT$39,0)</f>
        <v/>
      </c>
      <c r="Q320" s="62">
        <f>IF(ISNUMBER('Übung 15'!CT$39),'Übung 15'!CT$39,0)</f>
        <v/>
      </c>
      <c r="R320" s="62">
        <f>IF(ISNUMBER('Übung 16'!CT$39),'Übung 16'!CT$39,0)</f>
        <v/>
      </c>
      <c r="S320" s="62">
        <f>IF(ISNUMBER('Übung 17'!CT$39),'Übung 17'!CT$39,0)</f>
        <v/>
      </c>
      <c r="T320" s="62">
        <f>IF(ISNUMBER('Übung 18'!CT$39),'Übung 18'!CT$39,0)</f>
        <v/>
      </c>
      <c r="U320" s="62">
        <f>IF(ISNUMBER('Übung 19'!CT$39),'Übung 19'!CT$39,0)</f>
        <v/>
      </c>
      <c r="V320" s="62">
        <f>IF(ISNUMBER('Übung 20'!CT$39),'Übung 20'!CT$39,0)</f>
        <v/>
      </c>
    </row>
    <row r="321">
      <c r="C321" s="62">
        <f>IF(ISNUMBER('Übung 01'!CU$39),'Übung 01'!CU$39,0)</f>
        <v/>
      </c>
      <c r="D321" s="62">
        <f>IF(ISNUMBER('Übung 02'!CU$39),'Übung 02'!CU$39,0)</f>
        <v/>
      </c>
      <c r="E321" s="62">
        <f>IF(ISNUMBER('Übung 03'!CU$39),'Übung 03'!CU$39,0)</f>
        <v/>
      </c>
      <c r="F321" s="62">
        <f>IF(ISNUMBER('Übung 04'!CU$39),'Übung 04'!CU$39,0)</f>
        <v/>
      </c>
      <c r="G321" s="62">
        <f>IF(ISNUMBER('Übung 05'!CU$39),'Übung 05'!CU$39,0)</f>
        <v/>
      </c>
      <c r="H321" s="62">
        <f>IF(ISNUMBER('Übung 06'!CU$39),'Übung 06'!CU$39,0)</f>
        <v/>
      </c>
      <c r="I321" s="62">
        <f>IF(ISNUMBER('Übung 07'!CU$39),'Übung 07'!CU$39,0)</f>
        <v/>
      </c>
      <c r="J321" s="62">
        <f>IF(ISNUMBER('Übung 08'!CU$39),'Übung 08'!CU$39,0)</f>
        <v/>
      </c>
      <c r="K321" s="62">
        <f>IF(ISNUMBER('Übung 09'!CU$39),'Übung 09'!CU$39,0)</f>
        <v/>
      </c>
      <c r="L321" s="62">
        <f>IF(ISNUMBER('Übung 10'!CU$39),'Übung 10'!CU$39,0)</f>
        <v/>
      </c>
      <c r="M321" s="62">
        <f>IF(ISNUMBER('Übung 11'!CU$39),'Übung 11'!CU$39,0)</f>
        <v/>
      </c>
      <c r="N321" s="62">
        <f>IF(ISNUMBER('Übung 12'!CU$39),'Übung 12'!CU$39,0)</f>
        <v/>
      </c>
      <c r="O321" s="62">
        <f>IF(ISNUMBER('Übung 13'!CU$39),'Übung 13'!CU$39,0)</f>
        <v/>
      </c>
      <c r="P321" s="62">
        <f>IF(ISNUMBER('Übung 14'!CU$39),'Übung 14'!CU$39,0)</f>
        <v/>
      </c>
      <c r="Q321" s="62">
        <f>IF(ISNUMBER('Übung 15'!CU$39),'Übung 15'!CU$39,0)</f>
        <v/>
      </c>
      <c r="R321" s="62">
        <f>IF(ISNUMBER('Übung 16'!CU$39),'Übung 16'!CU$39,0)</f>
        <v/>
      </c>
      <c r="S321" s="62">
        <f>IF(ISNUMBER('Übung 17'!CU$39),'Übung 17'!CU$39,0)</f>
        <v/>
      </c>
      <c r="T321" s="62">
        <f>IF(ISNUMBER('Übung 18'!CU$39),'Übung 18'!CU$39,0)</f>
        <v/>
      </c>
      <c r="U321" s="62">
        <f>IF(ISNUMBER('Übung 19'!CU$39),'Übung 19'!CU$39,0)</f>
        <v/>
      </c>
      <c r="V321" s="62">
        <f>IF(ISNUMBER('Übung 20'!CU$39),'Übung 20'!CU$39,0)</f>
        <v/>
      </c>
    </row>
    <row r="322">
      <c r="C322" s="62">
        <f>IF(ISNUMBER('Übung 01'!CV$39),'Übung 01'!CV$39,0)</f>
        <v/>
      </c>
      <c r="D322" s="62">
        <f>IF(ISNUMBER('Übung 02'!CV$39),'Übung 02'!CV$39,0)</f>
        <v/>
      </c>
      <c r="E322" s="62">
        <f>IF(ISNUMBER('Übung 03'!CV$39),'Übung 03'!CV$39,0)</f>
        <v/>
      </c>
      <c r="F322" s="62">
        <f>IF(ISNUMBER('Übung 04'!CV$39),'Übung 04'!CV$39,0)</f>
        <v/>
      </c>
      <c r="G322" s="62">
        <f>IF(ISNUMBER('Übung 05'!CV$39),'Übung 05'!CV$39,0)</f>
        <v/>
      </c>
      <c r="H322" s="62">
        <f>IF(ISNUMBER('Übung 06'!CV$39),'Übung 06'!CV$39,0)</f>
        <v/>
      </c>
      <c r="I322" s="62">
        <f>IF(ISNUMBER('Übung 07'!CV$39),'Übung 07'!CV$39,0)</f>
        <v/>
      </c>
      <c r="J322" s="62">
        <f>IF(ISNUMBER('Übung 08'!CV$39),'Übung 08'!CV$39,0)</f>
        <v/>
      </c>
      <c r="K322" s="62">
        <f>IF(ISNUMBER('Übung 09'!CV$39),'Übung 09'!CV$39,0)</f>
        <v/>
      </c>
      <c r="L322" s="62">
        <f>IF(ISNUMBER('Übung 10'!CV$39),'Übung 10'!CV$39,0)</f>
        <v/>
      </c>
      <c r="M322" s="62">
        <f>IF(ISNUMBER('Übung 11'!CV$39),'Übung 11'!CV$39,0)</f>
        <v/>
      </c>
      <c r="N322" s="62">
        <f>IF(ISNUMBER('Übung 12'!CV$39),'Übung 12'!CV$39,0)</f>
        <v/>
      </c>
      <c r="O322" s="62">
        <f>IF(ISNUMBER('Übung 13'!CV$39),'Übung 13'!CV$39,0)</f>
        <v/>
      </c>
      <c r="P322" s="62">
        <f>IF(ISNUMBER('Übung 14'!CV$39),'Übung 14'!CV$39,0)</f>
        <v/>
      </c>
      <c r="Q322" s="62">
        <f>IF(ISNUMBER('Übung 15'!CV$39),'Übung 15'!CV$39,0)</f>
        <v/>
      </c>
      <c r="R322" s="62">
        <f>IF(ISNUMBER('Übung 16'!CV$39),'Übung 16'!CV$39,0)</f>
        <v/>
      </c>
      <c r="S322" s="62">
        <f>IF(ISNUMBER('Übung 17'!CV$39),'Übung 17'!CV$39,0)</f>
        <v/>
      </c>
      <c r="T322" s="62">
        <f>IF(ISNUMBER('Übung 18'!CV$39),'Übung 18'!CV$39,0)</f>
        <v/>
      </c>
      <c r="U322" s="62">
        <f>IF(ISNUMBER('Übung 19'!CV$39),'Übung 19'!CV$39,0)</f>
        <v/>
      </c>
      <c r="V322" s="62">
        <f>IF(ISNUMBER('Übung 20'!CV$39),'Übung 20'!CV$39,0)</f>
        <v/>
      </c>
    </row>
    <row r="323">
      <c r="C323" s="62">
        <f>IF(ISNUMBER('Übung 01'!CW$39),'Übung 01'!CW$39,0)</f>
        <v/>
      </c>
      <c r="D323" s="62">
        <f>IF(ISNUMBER('Übung 02'!CW$39),'Übung 02'!CW$39,0)</f>
        <v/>
      </c>
      <c r="E323" s="62">
        <f>IF(ISNUMBER('Übung 03'!CW$39),'Übung 03'!CW$39,0)</f>
        <v/>
      </c>
      <c r="F323" s="62">
        <f>IF(ISNUMBER('Übung 04'!CW$39),'Übung 04'!CW$39,0)</f>
        <v/>
      </c>
      <c r="G323" s="62">
        <f>IF(ISNUMBER('Übung 05'!CW$39),'Übung 05'!CW$39,0)</f>
        <v/>
      </c>
      <c r="H323" s="62">
        <f>IF(ISNUMBER('Übung 06'!CW$39),'Übung 06'!CW$39,0)</f>
        <v/>
      </c>
      <c r="I323" s="62">
        <f>IF(ISNUMBER('Übung 07'!CW$39),'Übung 07'!CW$39,0)</f>
        <v/>
      </c>
      <c r="J323" s="62">
        <f>IF(ISNUMBER('Übung 08'!CW$39),'Übung 08'!CW$39,0)</f>
        <v/>
      </c>
      <c r="K323" s="62">
        <f>IF(ISNUMBER('Übung 09'!CW$39),'Übung 09'!CW$39,0)</f>
        <v/>
      </c>
      <c r="L323" s="62">
        <f>IF(ISNUMBER('Übung 10'!CW$39),'Übung 10'!CW$39,0)</f>
        <v/>
      </c>
      <c r="M323" s="62">
        <f>IF(ISNUMBER('Übung 11'!CW$39),'Übung 11'!CW$39,0)</f>
        <v/>
      </c>
      <c r="N323" s="62">
        <f>IF(ISNUMBER('Übung 12'!CW$39),'Übung 12'!CW$39,0)</f>
        <v/>
      </c>
      <c r="O323" s="62">
        <f>IF(ISNUMBER('Übung 13'!CW$39),'Übung 13'!CW$39,0)</f>
        <v/>
      </c>
      <c r="P323" s="62">
        <f>IF(ISNUMBER('Übung 14'!CW$39),'Übung 14'!CW$39,0)</f>
        <v/>
      </c>
      <c r="Q323" s="62">
        <f>IF(ISNUMBER('Übung 15'!CW$39),'Übung 15'!CW$39,0)</f>
        <v/>
      </c>
      <c r="R323" s="62">
        <f>IF(ISNUMBER('Übung 16'!CW$39),'Übung 16'!CW$39,0)</f>
        <v/>
      </c>
      <c r="S323" s="62">
        <f>IF(ISNUMBER('Übung 17'!CW$39),'Übung 17'!CW$39,0)</f>
        <v/>
      </c>
      <c r="T323" s="62">
        <f>IF(ISNUMBER('Übung 18'!CW$39),'Übung 18'!CW$39,0)</f>
        <v/>
      </c>
      <c r="U323" s="62">
        <f>IF(ISNUMBER('Übung 19'!CW$39),'Übung 19'!CW$39,0)</f>
        <v/>
      </c>
      <c r="V323" s="62">
        <f>IF(ISNUMBER('Übung 20'!CW$39),'Übung 20'!CW$39,0)</f>
        <v/>
      </c>
    </row>
    <row r="324">
      <c r="C324" s="62">
        <f>IF(ISNUMBER('Übung 01'!CX$39),'Übung 01'!CX$39,0)</f>
        <v/>
      </c>
      <c r="D324" s="62">
        <f>IF(ISNUMBER('Übung 02'!CX$39),'Übung 02'!CX$39,0)</f>
        <v/>
      </c>
      <c r="E324" s="62">
        <f>IF(ISNUMBER('Übung 03'!CX$39),'Übung 03'!CX$39,0)</f>
        <v/>
      </c>
      <c r="F324" s="62">
        <f>IF(ISNUMBER('Übung 04'!CX$39),'Übung 04'!CX$39,0)</f>
        <v/>
      </c>
      <c r="G324" s="62">
        <f>IF(ISNUMBER('Übung 05'!CX$39),'Übung 05'!CX$39,0)</f>
        <v/>
      </c>
      <c r="H324" s="62">
        <f>IF(ISNUMBER('Übung 06'!CX$39),'Übung 06'!CX$39,0)</f>
        <v/>
      </c>
      <c r="I324" s="62">
        <f>IF(ISNUMBER('Übung 07'!CX$39),'Übung 07'!CX$39,0)</f>
        <v/>
      </c>
      <c r="J324" s="62">
        <f>IF(ISNUMBER('Übung 08'!CX$39),'Übung 08'!CX$39,0)</f>
        <v/>
      </c>
      <c r="K324" s="62">
        <f>IF(ISNUMBER('Übung 09'!CX$39),'Übung 09'!CX$39,0)</f>
        <v/>
      </c>
      <c r="L324" s="62">
        <f>IF(ISNUMBER('Übung 10'!CX$39),'Übung 10'!CX$39,0)</f>
        <v/>
      </c>
      <c r="M324" s="62">
        <f>IF(ISNUMBER('Übung 11'!CX$39),'Übung 11'!CX$39,0)</f>
        <v/>
      </c>
      <c r="N324" s="62">
        <f>IF(ISNUMBER('Übung 12'!CX$39),'Übung 12'!CX$39,0)</f>
        <v/>
      </c>
      <c r="O324" s="62">
        <f>IF(ISNUMBER('Übung 13'!CX$39),'Übung 13'!CX$39,0)</f>
        <v/>
      </c>
      <c r="P324" s="62">
        <f>IF(ISNUMBER('Übung 14'!CX$39),'Übung 14'!CX$39,0)</f>
        <v/>
      </c>
      <c r="Q324" s="62">
        <f>IF(ISNUMBER('Übung 15'!CX$39),'Übung 15'!CX$39,0)</f>
        <v/>
      </c>
      <c r="R324" s="62">
        <f>IF(ISNUMBER('Übung 16'!CX$39),'Übung 16'!CX$39,0)</f>
        <v/>
      </c>
      <c r="S324" s="62">
        <f>IF(ISNUMBER('Übung 17'!CX$39),'Übung 17'!CX$39,0)</f>
        <v/>
      </c>
      <c r="T324" s="62">
        <f>IF(ISNUMBER('Übung 18'!CX$39),'Übung 18'!CX$39,0)</f>
        <v/>
      </c>
      <c r="U324" s="62">
        <f>IF(ISNUMBER('Übung 19'!CX$39),'Übung 19'!CX$39,0)</f>
        <v/>
      </c>
      <c r="V324" s="62">
        <f>IF(ISNUMBER('Übung 20'!CX$39),'Übung 20'!CX$39,0)</f>
        <v/>
      </c>
    </row>
    <row r="325">
      <c r="C325" s="62">
        <f>IF(ISNUMBER('Übung 01'!CY$39),'Übung 01'!CY$39,0)</f>
        <v/>
      </c>
      <c r="D325" s="62">
        <f>IF(ISNUMBER('Übung 02'!CY$39),'Übung 02'!CY$39,0)</f>
        <v/>
      </c>
      <c r="E325" s="62">
        <f>IF(ISNUMBER('Übung 03'!CY$39),'Übung 03'!CY$39,0)</f>
        <v/>
      </c>
      <c r="F325" s="62">
        <f>IF(ISNUMBER('Übung 04'!CY$39),'Übung 04'!CY$39,0)</f>
        <v/>
      </c>
      <c r="G325" s="62">
        <f>IF(ISNUMBER('Übung 05'!CY$39),'Übung 05'!CY$39,0)</f>
        <v/>
      </c>
      <c r="H325" s="62">
        <f>IF(ISNUMBER('Übung 06'!CY$39),'Übung 06'!CY$39,0)</f>
        <v/>
      </c>
      <c r="I325" s="62">
        <f>IF(ISNUMBER('Übung 07'!CY$39),'Übung 07'!CY$39,0)</f>
        <v/>
      </c>
      <c r="J325" s="62">
        <f>IF(ISNUMBER('Übung 08'!CY$39),'Übung 08'!CY$39,0)</f>
        <v/>
      </c>
      <c r="K325" s="62">
        <f>IF(ISNUMBER('Übung 09'!CY$39),'Übung 09'!CY$39,0)</f>
        <v/>
      </c>
      <c r="L325" s="62">
        <f>IF(ISNUMBER('Übung 10'!CY$39),'Übung 10'!CY$39,0)</f>
        <v/>
      </c>
      <c r="M325" s="62">
        <f>IF(ISNUMBER('Übung 11'!CY$39),'Übung 11'!CY$39,0)</f>
        <v/>
      </c>
      <c r="N325" s="62">
        <f>IF(ISNUMBER('Übung 12'!CY$39),'Übung 12'!CY$39,0)</f>
        <v/>
      </c>
      <c r="O325" s="62">
        <f>IF(ISNUMBER('Übung 13'!CY$39),'Übung 13'!CY$39,0)</f>
        <v/>
      </c>
      <c r="P325" s="62">
        <f>IF(ISNUMBER('Übung 14'!CY$39),'Übung 14'!CY$39,0)</f>
        <v/>
      </c>
      <c r="Q325" s="62">
        <f>IF(ISNUMBER('Übung 15'!CY$39),'Übung 15'!CY$39,0)</f>
        <v/>
      </c>
      <c r="R325" s="62">
        <f>IF(ISNUMBER('Übung 16'!CY$39),'Übung 16'!CY$39,0)</f>
        <v/>
      </c>
      <c r="S325" s="62">
        <f>IF(ISNUMBER('Übung 17'!CY$39),'Übung 17'!CY$39,0)</f>
        <v/>
      </c>
      <c r="T325" s="62">
        <f>IF(ISNUMBER('Übung 18'!CY$39),'Übung 18'!CY$39,0)</f>
        <v/>
      </c>
      <c r="U325" s="62">
        <f>IF(ISNUMBER('Übung 19'!CY$39),'Übung 19'!CY$39,0)</f>
        <v/>
      </c>
      <c r="V325" s="62">
        <f>IF(ISNUMBER('Übung 20'!CY$39),'Übung 20'!CY$39,0)</f>
        <v/>
      </c>
    </row>
    <row r="326">
      <c r="C326" s="62">
        <f>IF(ISNUMBER('Übung 01'!CZ$39),'Übung 01'!CZ$39,0)</f>
        <v/>
      </c>
      <c r="D326" s="62">
        <f>IF(ISNUMBER('Übung 02'!CZ$39),'Übung 02'!CZ$39,0)</f>
        <v/>
      </c>
      <c r="E326" s="62">
        <f>IF(ISNUMBER('Übung 03'!CZ$39),'Übung 03'!CZ$39,0)</f>
        <v/>
      </c>
      <c r="F326" s="62">
        <f>IF(ISNUMBER('Übung 04'!CZ$39),'Übung 04'!CZ$39,0)</f>
        <v/>
      </c>
      <c r="G326" s="62">
        <f>IF(ISNUMBER('Übung 05'!CZ$39),'Übung 05'!CZ$39,0)</f>
        <v/>
      </c>
      <c r="H326" s="62">
        <f>IF(ISNUMBER('Übung 06'!CZ$39),'Übung 06'!CZ$39,0)</f>
        <v/>
      </c>
      <c r="I326" s="62">
        <f>IF(ISNUMBER('Übung 07'!CZ$39),'Übung 07'!CZ$39,0)</f>
        <v/>
      </c>
      <c r="J326" s="62">
        <f>IF(ISNUMBER('Übung 08'!CZ$39),'Übung 08'!CZ$39,0)</f>
        <v/>
      </c>
      <c r="K326" s="62">
        <f>IF(ISNUMBER('Übung 09'!CZ$39),'Übung 09'!CZ$39,0)</f>
        <v/>
      </c>
      <c r="L326" s="62">
        <f>IF(ISNUMBER('Übung 10'!CZ$39),'Übung 10'!CZ$39,0)</f>
        <v/>
      </c>
      <c r="M326" s="62">
        <f>IF(ISNUMBER('Übung 11'!CZ$39),'Übung 11'!CZ$39,0)</f>
        <v/>
      </c>
      <c r="N326" s="62">
        <f>IF(ISNUMBER('Übung 12'!CZ$39),'Übung 12'!CZ$39,0)</f>
        <v/>
      </c>
      <c r="O326" s="62">
        <f>IF(ISNUMBER('Übung 13'!CZ$39),'Übung 13'!CZ$39,0)</f>
        <v/>
      </c>
      <c r="P326" s="62">
        <f>IF(ISNUMBER('Übung 14'!CZ$39),'Übung 14'!CZ$39,0)</f>
        <v/>
      </c>
      <c r="Q326" s="62">
        <f>IF(ISNUMBER('Übung 15'!CZ$39),'Übung 15'!CZ$39,0)</f>
        <v/>
      </c>
      <c r="R326" s="62">
        <f>IF(ISNUMBER('Übung 16'!CZ$39),'Übung 16'!CZ$39,0)</f>
        <v/>
      </c>
      <c r="S326" s="62">
        <f>IF(ISNUMBER('Übung 17'!CZ$39),'Übung 17'!CZ$39,0)</f>
        <v/>
      </c>
      <c r="T326" s="62">
        <f>IF(ISNUMBER('Übung 18'!CZ$39),'Übung 18'!CZ$39,0)</f>
        <v/>
      </c>
      <c r="U326" s="62">
        <f>IF(ISNUMBER('Übung 19'!CZ$39),'Übung 19'!CZ$39,0)</f>
        <v/>
      </c>
      <c r="V326" s="62">
        <f>IF(ISNUMBER('Übung 20'!CZ$39),'Übung 20'!CZ$39,0)</f>
        <v/>
      </c>
    </row>
    <row r="327">
      <c r="C327" s="62">
        <f>IF(ISNUMBER('Übung 01'!DA$39),'Übung 01'!DA$39,0)</f>
        <v/>
      </c>
      <c r="D327" s="62">
        <f>IF(ISNUMBER('Übung 02'!DA$39),'Übung 02'!DA$39,0)</f>
        <v/>
      </c>
      <c r="E327" s="62">
        <f>IF(ISNUMBER('Übung 03'!DA$39),'Übung 03'!DA$39,0)</f>
        <v/>
      </c>
      <c r="F327" s="62">
        <f>IF(ISNUMBER('Übung 04'!DA$39),'Übung 04'!DA$39,0)</f>
        <v/>
      </c>
      <c r="G327" s="62">
        <f>IF(ISNUMBER('Übung 05'!DA$39),'Übung 05'!DA$39,0)</f>
        <v/>
      </c>
      <c r="H327" s="62">
        <f>IF(ISNUMBER('Übung 06'!DA$39),'Übung 06'!DA$39,0)</f>
        <v/>
      </c>
      <c r="I327" s="62">
        <f>IF(ISNUMBER('Übung 07'!DA$39),'Übung 07'!DA$39,0)</f>
        <v/>
      </c>
      <c r="J327" s="62">
        <f>IF(ISNUMBER('Übung 08'!DA$39),'Übung 08'!DA$39,0)</f>
        <v/>
      </c>
      <c r="K327" s="62">
        <f>IF(ISNUMBER('Übung 09'!DA$39),'Übung 09'!DA$39,0)</f>
        <v/>
      </c>
      <c r="L327" s="62">
        <f>IF(ISNUMBER('Übung 10'!DA$39),'Übung 10'!DA$39,0)</f>
        <v/>
      </c>
      <c r="M327" s="62">
        <f>IF(ISNUMBER('Übung 11'!DA$39),'Übung 11'!DA$39,0)</f>
        <v/>
      </c>
      <c r="N327" s="62">
        <f>IF(ISNUMBER('Übung 12'!DA$39),'Übung 12'!DA$39,0)</f>
        <v/>
      </c>
      <c r="O327" s="62">
        <f>IF(ISNUMBER('Übung 13'!DA$39),'Übung 13'!DA$39,0)</f>
        <v/>
      </c>
      <c r="P327" s="62">
        <f>IF(ISNUMBER('Übung 14'!DA$39),'Übung 14'!DA$39,0)</f>
        <v/>
      </c>
      <c r="Q327" s="62">
        <f>IF(ISNUMBER('Übung 15'!DA$39),'Übung 15'!DA$39,0)</f>
        <v/>
      </c>
      <c r="R327" s="62">
        <f>IF(ISNUMBER('Übung 16'!DA$39),'Übung 16'!DA$39,0)</f>
        <v/>
      </c>
      <c r="S327" s="62">
        <f>IF(ISNUMBER('Übung 17'!DA$39),'Übung 17'!DA$39,0)</f>
        <v/>
      </c>
      <c r="T327" s="62">
        <f>IF(ISNUMBER('Übung 18'!DA$39),'Übung 18'!DA$39,0)</f>
        <v/>
      </c>
      <c r="U327" s="62">
        <f>IF(ISNUMBER('Übung 19'!DA$39),'Übung 19'!DA$39,0)</f>
        <v/>
      </c>
      <c r="V327" s="62">
        <f>IF(ISNUMBER('Übung 20'!DA$39),'Übung 20'!DA$39,0)</f>
        <v/>
      </c>
    </row>
    <row r="328">
      <c r="C328" s="62">
        <f>IF(ISNUMBER('Übung 01'!DB$39),'Übung 01'!DB$39,0)</f>
        <v/>
      </c>
      <c r="D328" s="62">
        <f>IF(ISNUMBER('Übung 02'!DB$39),'Übung 02'!DB$39,0)</f>
        <v/>
      </c>
      <c r="E328" s="62">
        <f>IF(ISNUMBER('Übung 03'!DB$39),'Übung 03'!DB$39,0)</f>
        <v/>
      </c>
      <c r="F328" s="62">
        <f>IF(ISNUMBER('Übung 04'!DB$39),'Übung 04'!DB$39,0)</f>
        <v/>
      </c>
      <c r="G328" s="62">
        <f>IF(ISNUMBER('Übung 05'!DB$39),'Übung 05'!DB$39,0)</f>
        <v/>
      </c>
      <c r="H328" s="62">
        <f>IF(ISNUMBER('Übung 06'!DB$39),'Übung 06'!DB$39,0)</f>
        <v/>
      </c>
      <c r="I328" s="62">
        <f>IF(ISNUMBER('Übung 07'!DB$39),'Übung 07'!DB$39,0)</f>
        <v/>
      </c>
      <c r="J328" s="62">
        <f>IF(ISNUMBER('Übung 08'!DB$39),'Übung 08'!DB$39,0)</f>
        <v/>
      </c>
      <c r="K328" s="62">
        <f>IF(ISNUMBER('Übung 09'!DB$39),'Übung 09'!DB$39,0)</f>
        <v/>
      </c>
      <c r="L328" s="62">
        <f>IF(ISNUMBER('Übung 10'!DB$39),'Übung 10'!DB$39,0)</f>
        <v/>
      </c>
      <c r="M328" s="62">
        <f>IF(ISNUMBER('Übung 11'!DB$39),'Übung 11'!DB$39,0)</f>
        <v/>
      </c>
      <c r="N328" s="62">
        <f>IF(ISNUMBER('Übung 12'!DB$39),'Übung 12'!DB$39,0)</f>
        <v/>
      </c>
      <c r="O328" s="62">
        <f>IF(ISNUMBER('Übung 13'!DB$39),'Übung 13'!DB$39,0)</f>
        <v/>
      </c>
      <c r="P328" s="62">
        <f>IF(ISNUMBER('Übung 14'!DB$39),'Übung 14'!DB$39,0)</f>
        <v/>
      </c>
      <c r="Q328" s="62">
        <f>IF(ISNUMBER('Übung 15'!DB$39),'Übung 15'!DB$39,0)</f>
        <v/>
      </c>
      <c r="R328" s="62">
        <f>IF(ISNUMBER('Übung 16'!DB$39),'Übung 16'!DB$39,0)</f>
        <v/>
      </c>
      <c r="S328" s="62">
        <f>IF(ISNUMBER('Übung 17'!DB$39),'Übung 17'!DB$39,0)</f>
        <v/>
      </c>
      <c r="T328" s="62">
        <f>IF(ISNUMBER('Übung 18'!DB$39),'Übung 18'!DB$39,0)</f>
        <v/>
      </c>
      <c r="U328" s="62">
        <f>IF(ISNUMBER('Übung 19'!DB$39),'Übung 19'!DB$39,0)</f>
        <v/>
      </c>
      <c r="V328" s="62">
        <f>IF(ISNUMBER('Übung 20'!DB$39),'Übung 20'!DB$39,0)</f>
        <v/>
      </c>
    </row>
    <row r="329">
      <c r="C329" s="62">
        <f>IF(ISNUMBER('Übung 01'!DC$39),'Übung 01'!DC$39,0)</f>
        <v/>
      </c>
      <c r="D329" s="62">
        <f>IF(ISNUMBER('Übung 02'!DC$39),'Übung 02'!DC$39,0)</f>
        <v/>
      </c>
      <c r="E329" s="62">
        <f>IF(ISNUMBER('Übung 03'!DC$39),'Übung 03'!DC$39,0)</f>
        <v/>
      </c>
      <c r="F329" s="62">
        <f>IF(ISNUMBER('Übung 04'!DC$39),'Übung 04'!DC$39,0)</f>
        <v/>
      </c>
      <c r="G329" s="62">
        <f>IF(ISNUMBER('Übung 05'!DC$39),'Übung 05'!DC$39,0)</f>
        <v/>
      </c>
      <c r="H329" s="62">
        <f>IF(ISNUMBER('Übung 06'!DC$39),'Übung 06'!DC$39,0)</f>
        <v/>
      </c>
      <c r="I329" s="62">
        <f>IF(ISNUMBER('Übung 07'!DC$39),'Übung 07'!DC$39,0)</f>
        <v/>
      </c>
      <c r="J329" s="62">
        <f>IF(ISNUMBER('Übung 08'!DC$39),'Übung 08'!DC$39,0)</f>
        <v/>
      </c>
      <c r="K329" s="62">
        <f>IF(ISNUMBER('Übung 09'!DC$39),'Übung 09'!DC$39,0)</f>
        <v/>
      </c>
      <c r="L329" s="62">
        <f>IF(ISNUMBER('Übung 10'!DC$39),'Übung 10'!DC$39,0)</f>
        <v/>
      </c>
      <c r="M329" s="62">
        <f>IF(ISNUMBER('Übung 11'!DC$39),'Übung 11'!DC$39,0)</f>
        <v/>
      </c>
      <c r="N329" s="62">
        <f>IF(ISNUMBER('Übung 12'!DC$39),'Übung 12'!DC$39,0)</f>
        <v/>
      </c>
      <c r="O329" s="62">
        <f>IF(ISNUMBER('Übung 13'!DC$39),'Übung 13'!DC$39,0)</f>
        <v/>
      </c>
      <c r="P329" s="62">
        <f>IF(ISNUMBER('Übung 14'!DC$39),'Übung 14'!DC$39,0)</f>
        <v/>
      </c>
      <c r="Q329" s="62">
        <f>IF(ISNUMBER('Übung 15'!DC$39),'Übung 15'!DC$39,0)</f>
        <v/>
      </c>
      <c r="R329" s="62">
        <f>IF(ISNUMBER('Übung 16'!DC$39),'Übung 16'!DC$39,0)</f>
        <v/>
      </c>
      <c r="S329" s="62">
        <f>IF(ISNUMBER('Übung 17'!DC$39),'Übung 17'!DC$39,0)</f>
        <v/>
      </c>
      <c r="T329" s="62">
        <f>IF(ISNUMBER('Übung 18'!DC$39),'Übung 18'!DC$39,0)</f>
        <v/>
      </c>
      <c r="U329" s="62">
        <f>IF(ISNUMBER('Übung 19'!DC$39),'Übung 19'!DC$39,0)</f>
        <v/>
      </c>
      <c r="V329" s="62">
        <f>IF(ISNUMBER('Übung 20'!DC$39),'Übung 20'!DC$39,0)</f>
        <v/>
      </c>
    </row>
    <row r="334">
      <c r="A334" s="171" t="inlineStr">
        <is>
          <t>Punkte</t>
        </is>
      </c>
    </row>
    <row r="335">
      <c r="C335" s="62">
        <f>IF(ISNUMBER('Übung 01'!E$37),'Übung 01'!E$37,0)</f>
        <v/>
      </c>
      <c r="D335" s="62">
        <f>IF(ISNUMBER('Übung 02'!E$37),'Übung 02'!E$37,0)</f>
        <v/>
      </c>
      <c r="E335" s="62">
        <f>IF(ISNUMBER('Übung 03'!E$37),'Übung 03'!E$37,0)</f>
        <v/>
      </c>
      <c r="F335" s="62">
        <f>IF(ISNUMBER('Übung 04'!E$37),'Übung 04'!E$37,0)</f>
        <v/>
      </c>
      <c r="G335" s="62">
        <f>IF(ISNUMBER('Übung 05'!E$37),'Übung 05'!E$37,0)</f>
        <v/>
      </c>
      <c r="H335" s="62">
        <f>IF(ISNUMBER('Übung 06'!E$37),'Übung 06'!E$37,0)</f>
        <v/>
      </c>
      <c r="I335" s="62">
        <f>IF(ISNUMBER('Übung 07'!E$37),'Übung 07'!E$37,0)</f>
        <v/>
      </c>
      <c r="J335" s="62">
        <f>IF(ISNUMBER('Übung 08'!E$37),'Übung 08'!E$37,0)</f>
        <v/>
      </c>
      <c r="K335" s="62">
        <f>IF(ISNUMBER('Übung 09'!E$37),'Übung 09'!E$37,0)</f>
        <v/>
      </c>
      <c r="L335" s="62">
        <f>IF(ISNUMBER('Übung 10'!E$37),'Übung 10'!E$37,0)</f>
        <v/>
      </c>
      <c r="M335" s="62">
        <f>IF(ISNUMBER('Übung 11'!E$37),'Übung 11'!E$37,0)</f>
        <v/>
      </c>
      <c r="N335" s="62">
        <f>IF(ISNUMBER('Übung 12'!E$37),'Übung 12'!E$37,0)</f>
        <v/>
      </c>
      <c r="O335" s="62">
        <f>IF(ISNUMBER('Übung 13'!E$37),'Übung 13'!E$37,0)</f>
        <v/>
      </c>
      <c r="P335" s="62">
        <f>IF(ISNUMBER('Übung 14'!E$37),'Übung 14'!E$37,0)</f>
        <v/>
      </c>
      <c r="Q335" s="62">
        <f>IF(ISNUMBER('Übung 15'!E$37),'Übung 15'!E$37,0)</f>
        <v/>
      </c>
      <c r="R335" s="62">
        <f>IF(ISNUMBER('Übung 16'!E$37),'Übung 16'!E$37,0)</f>
        <v/>
      </c>
      <c r="S335" s="62">
        <f>IF(ISNUMBER('Übung 17'!E$37),'Übung 17'!E$37,0)</f>
        <v/>
      </c>
      <c r="T335" s="62">
        <f>IF(ISNUMBER('Übung 18'!E$37),'Übung 18'!E$37,0)</f>
        <v/>
      </c>
      <c r="U335" s="62">
        <f>IF(ISNUMBER('Übung 19'!E$37),'Übung 19'!E$37,0)</f>
        <v/>
      </c>
      <c r="V335" s="62">
        <f>IF(ISNUMBER('Übung 20'!E$37),'Übung 20'!E$37,0)</f>
        <v/>
      </c>
    </row>
    <row r="336">
      <c r="C336" s="62">
        <f>IF(ISNUMBER('Übung 01'!F$37),'Übung 01'!F$37,0)</f>
        <v/>
      </c>
      <c r="D336" s="62">
        <f>IF(ISNUMBER('Übung 02'!F$37),'Übung 02'!F$37,0)</f>
        <v/>
      </c>
      <c r="E336" s="62">
        <f>IF(ISNUMBER('Übung 03'!F$37),'Übung 03'!F$37,0)</f>
        <v/>
      </c>
      <c r="F336" s="62">
        <f>IF(ISNUMBER('Übung 04'!F$37),'Übung 04'!F$37,0)</f>
        <v/>
      </c>
      <c r="G336" s="62">
        <f>IF(ISNUMBER('Übung 05'!F$37),'Übung 05'!F$37,0)</f>
        <v/>
      </c>
      <c r="H336" s="62">
        <f>IF(ISNUMBER('Übung 06'!F$37),'Übung 06'!F$37,0)</f>
        <v/>
      </c>
      <c r="I336" s="62">
        <f>IF(ISNUMBER('Übung 07'!F$37),'Übung 07'!F$37,0)</f>
        <v/>
      </c>
      <c r="J336" s="62">
        <f>IF(ISNUMBER('Übung 08'!F$37),'Übung 08'!F$37,0)</f>
        <v/>
      </c>
      <c r="K336" s="62">
        <f>IF(ISNUMBER('Übung 09'!F$37),'Übung 09'!F$37,0)</f>
        <v/>
      </c>
      <c r="L336" s="62">
        <f>IF(ISNUMBER('Übung 10'!F$37),'Übung 10'!F$37,0)</f>
        <v/>
      </c>
      <c r="M336" s="62">
        <f>IF(ISNUMBER('Übung 11'!F$37),'Übung 11'!F$37,0)</f>
        <v/>
      </c>
      <c r="N336" s="62">
        <f>IF(ISNUMBER('Übung 12'!F$37),'Übung 12'!F$37,0)</f>
        <v/>
      </c>
      <c r="O336" s="62">
        <f>IF(ISNUMBER('Übung 13'!F$37),'Übung 13'!F$37,0)</f>
        <v/>
      </c>
      <c r="P336" s="62">
        <f>IF(ISNUMBER('Übung 14'!F$37),'Übung 14'!F$37,0)</f>
        <v/>
      </c>
      <c r="Q336" s="62">
        <f>IF(ISNUMBER('Übung 15'!F$37),'Übung 15'!F$37,0)</f>
        <v/>
      </c>
      <c r="R336" s="62">
        <f>IF(ISNUMBER('Übung 16'!F$37),'Übung 16'!F$37,0)</f>
        <v/>
      </c>
      <c r="S336" s="62">
        <f>IF(ISNUMBER('Übung 17'!F$37),'Übung 17'!F$37,0)</f>
        <v/>
      </c>
      <c r="T336" s="62">
        <f>IF(ISNUMBER('Übung 18'!F$37),'Übung 18'!F$37,0)</f>
        <v/>
      </c>
      <c r="U336" s="62">
        <f>IF(ISNUMBER('Übung 19'!F$37),'Übung 19'!F$37,0)</f>
        <v/>
      </c>
      <c r="V336" s="62">
        <f>IF(ISNUMBER('Übung 20'!F$37),'Übung 20'!F$37,0)</f>
        <v/>
      </c>
    </row>
    <row r="337">
      <c r="C337" s="62">
        <f>IF(ISNUMBER('Übung 01'!G$37),'Übung 01'!G$37,0)</f>
        <v/>
      </c>
      <c r="D337" s="62">
        <f>IF(ISNUMBER('Übung 02'!G$37),'Übung 02'!G$37,0)</f>
        <v/>
      </c>
      <c r="E337" s="62">
        <f>IF(ISNUMBER('Übung 03'!G$37),'Übung 03'!G$37,0)</f>
        <v/>
      </c>
      <c r="F337" s="62">
        <f>IF(ISNUMBER('Übung 04'!G$37),'Übung 04'!G$37,0)</f>
        <v/>
      </c>
      <c r="G337" s="62">
        <f>IF(ISNUMBER('Übung 05'!G$37),'Übung 05'!G$37,0)</f>
        <v/>
      </c>
      <c r="H337" s="62">
        <f>IF(ISNUMBER('Übung 06'!G$37),'Übung 06'!G$37,0)</f>
        <v/>
      </c>
      <c r="I337" s="62">
        <f>IF(ISNUMBER('Übung 07'!G$37),'Übung 07'!G$37,0)</f>
        <v/>
      </c>
      <c r="J337" s="62">
        <f>IF(ISNUMBER('Übung 08'!G$37),'Übung 08'!G$37,0)</f>
        <v/>
      </c>
      <c r="K337" s="62">
        <f>IF(ISNUMBER('Übung 09'!G$37),'Übung 09'!G$37,0)</f>
        <v/>
      </c>
      <c r="L337" s="62">
        <f>IF(ISNUMBER('Übung 10'!G$37),'Übung 10'!G$37,0)</f>
        <v/>
      </c>
      <c r="M337" s="62">
        <f>IF(ISNUMBER('Übung 11'!G$37),'Übung 11'!G$37,0)</f>
        <v/>
      </c>
      <c r="N337" s="62">
        <f>IF(ISNUMBER('Übung 12'!G$37),'Übung 12'!G$37,0)</f>
        <v/>
      </c>
      <c r="O337" s="62">
        <f>IF(ISNUMBER('Übung 13'!G$37),'Übung 13'!G$37,0)</f>
        <v/>
      </c>
      <c r="P337" s="62">
        <f>IF(ISNUMBER('Übung 14'!G$37),'Übung 14'!G$37,0)</f>
        <v/>
      </c>
      <c r="Q337" s="62">
        <f>IF(ISNUMBER('Übung 15'!G$37),'Übung 15'!G$37,0)</f>
        <v/>
      </c>
      <c r="R337" s="62">
        <f>IF(ISNUMBER('Übung 16'!G$37),'Übung 16'!G$37,0)</f>
        <v/>
      </c>
      <c r="S337" s="62">
        <f>IF(ISNUMBER('Übung 17'!G$37),'Übung 17'!G$37,0)</f>
        <v/>
      </c>
      <c r="T337" s="62">
        <f>IF(ISNUMBER('Übung 18'!G$37),'Übung 18'!G$37,0)</f>
        <v/>
      </c>
      <c r="U337" s="62">
        <f>IF(ISNUMBER('Übung 19'!G$37),'Übung 19'!G$37,0)</f>
        <v/>
      </c>
      <c r="V337" s="62">
        <f>IF(ISNUMBER('Übung 20'!G$37),'Übung 20'!G$37,0)</f>
        <v/>
      </c>
    </row>
    <row r="338">
      <c r="C338" s="62">
        <f>IF(ISNUMBER('Übung 01'!H$37),'Übung 01'!H$37,0)</f>
        <v/>
      </c>
      <c r="D338" s="62">
        <f>IF(ISNUMBER('Übung 02'!H$37),'Übung 02'!H$37,0)</f>
        <v/>
      </c>
      <c r="E338" s="62">
        <f>IF(ISNUMBER('Übung 03'!H$37),'Übung 03'!H$37,0)</f>
        <v/>
      </c>
      <c r="F338" s="62">
        <f>IF(ISNUMBER('Übung 04'!H$37),'Übung 04'!H$37,0)</f>
        <v/>
      </c>
      <c r="G338" s="62">
        <f>IF(ISNUMBER('Übung 05'!H$37),'Übung 05'!H$37,0)</f>
        <v/>
      </c>
      <c r="H338" s="62">
        <f>IF(ISNUMBER('Übung 06'!H$37),'Übung 06'!H$37,0)</f>
        <v/>
      </c>
      <c r="I338" s="62">
        <f>IF(ISNUMBER('Übung 07'!H$37),'Übung 07'!H$37,0)</f>
        <v/>
      </c>
      <c r="J338" s="62">
        <f>IF(ISNUMBER('Übung 08'!H$37),'Übung 08'!H$37,0)</f>
        <v/>
      </c>
      <c r="K338" s="62">
        <f>IF(ISNUMBER('Übung 09'!H$37),'Übung 09'!H$37,0)</f>
        <v/>
      </c>
      <c r="L338" s="62">
        <f>IF(ISNUMBER('Übung 10'!H$37),'Übung 10'!H$37,0)</f>
        <v/>
      </c>
      <c r="M338" s="62">
        <f>IF(ISNUMBER('Übung 11'!H$37),'Übung 11'!H$37,0)</f>
        <v/>
      </c>
      <c r="N338" s="62">
        <f>IF(ISNUMBER('Übung 12'!H$37),'Übung 12'!H$37,0)</f>
        <v/>
      </c>
      <c r="O338" s="62">
        <f>IF(ISNUMBER('Übung 13'!H$37),'Übung 13'!H$37,0)</f>
        <v/>
      </c>
      <c r="P338" s="62">
        <f>IF(ISNUMBER('Übung 14'!H$37),'Übung 14'!H$37,0)</f>
        <v/>
      </c>
      <c r="Q338" s="62">
        <f>IF(ISNUMBER('Übung 15'!H$37),'Übung 15'!H$37,0)</f>
        <v/>
      </c>
      <c r="R338" s="62">
        <f>IF(ISNUMBER('Übung 16'!H$37),'Übung 16'!H$37,0)</f>
        <v/>
      </c>
      <c r="S338" s="62">
        <f>IF(ISNUMBER('Übung 17'!H$37),'Übung 17'!H$37,0)</f>
        <v/>
      </c>
      <c r="T338" s="62">
        <f>IF(ISNUMBER('Übung 18'!H$37),'Übung 18'!H$37,0)</f>
        <v/>
      </c>
      <c r="U338" s="62">
        <f>IF(ISNUMBER('Übung 19'!H$37),'Übung 19'!H$37,0)</f>
        <v/>
      </c>
      <c r="V338" s="62">
        <f>IF(ISNUMBER('Übung 20'!H$37),'Übung 20'!H$37,0)</f>
        <v/>
      </c>
    </row>
    <row r="339">
      <c r="C339" s="62">
        <f>IF(ISNUMBER('Übung 01'!I$37),'Übung 01'!I$37,0)</f>
        <v/>
      </c>
      <c r="D339" s="62">
        <f>IF(ISNUMBER('Übung 02'!I$37),'Übung 02'!I$37,0)</f>
        <v/>
      </c>
      <c r="E339" s="62">
        <f>IF(ISNUMBER('Übung 03'!I$37),'Übung 03'!I$37,0)</f>
        <v/>
      </c>
      <c r="F339" s="62">
        <f>IF(ISNUMBER('Übung 04'!I$37),'Übung 04'!I$37,0)</f>
        <v/>
      </c>
      <c r="G339" s="62">
        <f>IF(ISNUMBER('Übung 05'!I$37),'Übung 05'!I$37,0)</f>
        <v/>
      </c>
      <c r="H339" s="62">
        <f>IF(ISNUMBER('Übung 06'!I$37),'Übung 06'!I$37,0)</f>
        <v/>
      </c>
      <c r="I339" s="62">
        <f>IF(ISNUMBER('Übung 07'!I$37),'Übung 07'!I$37,0)</f>
        <v/>
      </c>
      <c r="J339" s="62">
        <f>IF(ISNUMBER('Übung 08'!I$37),'Übung 08'!I$37,0)</f>
        <v/>
      </c>
      <c r="K339" s="62">
        <f>IF(ISNUMBER('Übung 09'!I$37),'Übung 09'!I$37,0)</f>
        <v/>
      </c>
      <c r="L339" s="62">
        <f>IF(ISNUMBER('Übung 10'!I$37),'Übung 10'!I$37,0)</f>
        <v/>
      </c>
      <c r="M339" s="62">
        <f>IF(ISNUMBER('Übung 11'!I$37),'Übung 11'!I$37,0)</f>
        <v/>
      </c>
      <c r="N339" s="62">
        <f>IF(ISNUMBER('Übung 12'!I$37),'Übung 12'!I$37,0)</f>
        <v/>
      </c>
      <c r="O339" s="62">
        <f>IF(ISNUMBER('Übung 13'!I$37),'Übung 13'!I$37,0)</f>
        <v/>
      </c>
      <c r="P339" s="62">
        <f>IF(ISNUMBER('Übung 14'!I$37),'Übung 14'!I$37,0)</f>
        <v/>
      </c>
      <c r="Q339" s="62">
        <f>IF(ISNUMBER('Übung 15'!I$37),'Übung 15'!I$37,0)</f>
        <v/>
      </c>
      <c r="R339" s="62">
        <f>IF(ISNUMBER('Übung 16'!I$37),'Übung 16'!I$37,0)</f>
        <v/>
      </c>
      <c r="S339" s="62">
        <f>IF(ISNUMBER('Übung 17'!I$37),'Übung 17'!I$37,0)</f>
        <v/>
      </c>
      <c r="T339" s="62">
        <f>IF(ISNUMBER('Übung 18'!I$37),'Übung 18'!I$37,0)</f>
        <v/>
      </c>
      <c r="U339" s="62">
        <f>IF(ISNUMBER('Übung 19'!I$37),'Übung 19'!I$37,0)</f>
        <v/>
      </c>
      <c r="V339" s="62">
        <f>IF(ISNUMBER('Übung 20'!I$37),'Übung 20'!I$37,0)</f>
        <v/>
      </c>
    </row>
    <row r="340">
      <c r="C340" s="62">
        <f>IF(ISNUMBER('Übung 01'!J$37),'Übung 01'!J$37,0)</f>
        <v/>
      </c>
      <c r="D340" s="62">
        <f>IF(ISNUMBER('Übung 02'!J$37),'Übung 02'!J$37,0)</f>
        <v/>
      </c>
      <c r="E340" s="62">
        <f>IF(ISNUMBER('Übung 03'!J$37),'Übung 03'!J$37,0)</f>
        <v/>
      </c>
      <c r="F340" s="62">
        <f>IF(ISNUMBER('Übung 04'!J$37),'Übung 04'!J$37,0)</f>
        <v/>
      </c>
      <c r="G340" s="62">
        <f>IF(ISNUMBER('Übung 05'!J$37),'Übung 05'!J$37,0)</f>
        <v/>
      </c>
      <c r="H340" s="62">
        <f>IF(ISNUMBER('Übung 06'!J$37),'Übung 06'!J$37,0)</f>
        <v/>
      </c>
      <c r="I340" s="62">
        <f>IF(ISNUMBER('Übung 07'!J$37),'Übung 07'!J$37,0)</f>
        <v/>
      </c>
      <c r="J340" s="62">
        <f>IF(ISNUMBER('Übung 08'!J$37),'Übung 08'!J$37,0)</f>
        <v/>
      </c>
      <c r="K340" s="62">
        <f>IF(ISNUMBER('Übung 09'!J$37),'Übung 09'!J$37,0)</f>
        <v/>
      </c>
      <c r="L340" s="62">
        <f>IF(ISNUMBER('Übung 10'!J$37),'Übung 10'!J$37,0)</f>
        <v/>
      </c>
      <c r="M340" s="62">
        <f>IF(ISNUMBER('Übung 11'!J$37),'Übung 11'!J$37,0)</f>
        <v/>
      </c>
      <c r="N340" s="62">
        <f>IF(ISNUMBER('Übung 12'!J$37),'Übung 12'!J$37,0)</f>
        <v/>
      </c>
      <c r="O340" s="62">
        <f>IF(ISNUMBER('Übung 13'!J$37),'Übung 13'!J$37,0)</f>
        <v/>
      </c>
      <c r="P340" s="62">
        <f>IF(ISNUMBER('Übung 14'!J$37),'Übung 14'!J$37,0)</f>
        <v/>
      </c>
      <c r="Q340" s="62">
        <f>IF(ISNUMBER('Übung 15'!J$37),'Übung 15'!J$37,0)</f>
        <v/>
      </c>
      <c r="R340" s="62">
        <f>IF(ISNUMBER('Übung 16'!J$37),'Übung 16'!J$37,0)</f>
        <v/>
      </c>
      <c r="S340" s="62">
        <f>IF(ISNUMBER('Übung 17'!J$37),'Übung 17'!J$37,0)</f>
        <v/>
      </c>
      <c r="T340" s="62">
        <f>IF(ISNUMBER('Übung 18'!J$37),'Übung 18'!J$37,0)</f>
        <v/>
      </c>
      <c r="U340" s="62">
        <f>IF(ISNUMBER('Übung 19'!J$37),'Übung 19'!J$37,0)</f>
        <v/>
      </c>
      <c r="V340" s="62">
        <f>IF(ISNUMBER('Übung 20'!J$37),'Übung 20'!J$37,0)</f>
        <v/>
      </c>
    </row>
    <row r="341">
      <c r="C341" s="62">
        <f>IF(ISNUMBER('Übung 01'!K$37),'Übung 01'!K$37,0)</f>
        <v/>
      </c>
      <c r="D341" s="62">
        <f>IF(ISNUMBER('Übung 02'!K$37),'Übung 02'!K$37,0)</f>
        <v/>
      </c>
      <c r="E341" s="62">
        <f>IF(ISNUMBER('Übung 03'!K$37),'Übung 03'!K$37,0)</f>
        <v/>
      </c>
      <c r="F341" s="62">
        <f>IF(ISNUMBER('Übung 04'!K$37),'Übung 04'!K$37,0)</f>
        <v/>
      </c>
      <c r="G341" s="62">
        <f>IF(ISNUMBER('Übung 05'!K$37),'Übung 05'!K$37,0)</f>
        <v/>
      </c>
      <c r="H341" s="62">
        <f>IF(ISNUMBER('Übung 06'!K$37),'Übung 06'!K$37,0)</f>
        <v/>
      </c>
      <c r="I341" s="62">
        <f>IF(ISNUMBER('Übung 07'!K$37),'Übung 07'!K$37,0)</f>
        <v/>
      </c>
      <c r="J341" s="62">
        <f>IF(ISNUMBER('Übung 08'!K$37),'Übung 08'!K$37,0)</f>
        <v/>
      </c>
      <c r="K341" s="62">
        <f>IF(ISNUMBER('Übung 09'!K$37),'Übung 09'!K$37,0)</f>
        <v/>
      </c>
      <c r="L341" s="62">
        <f>IF(ISNUMBER('Übung 10'!K$37),'Übung 10'!K$37,0)</f>
        <v/>
      </c>
      <c r="M341" s="62">
        <f>IF(ISNUMBER('Übung 11'!K$37),'Übung 11'!K$37,0)</f>
        <v/>
      </c>
      <c r="N341" s="62">
        <f>IF(ISNUMBER('Übung 12'!K$37),'Übung 12'!K$37,0)</f>
        <v/>
      </c>
      <c r="O341" s="62">
        <f>IF(ISNUMBER('Übung 13'!K$37),'Übung 13'!K$37,0)</f>
        <v/>
      </c>
      <c r="P341" s="62">
        <f>IF(ISNUMBER('Übung 14'!K$37),'Übung 14'!K$37,0)</f>
        <v/>
      </c>
      <c r="Q341" s="62">
        <f>IF(ISNUMBER('Übung 15'!K$37),'Übung 15'!K$37,0)</f>
        <v/>
      </c>
      <c r="R341" s="62">
        <f>IF(ISNUMBER('Übung 16'!K$37),'Übung 16'!K$37,0)</f>
        <v/>
      </c>
      <c r="S341" s="62">
        <f>IF(ISNUMBER('Übung 17'!K$37),'Übung 17'!K$37,0)</f>
        <v/>
      </c>
      <c r="T341" s="62">
        <f>IF(ISNUMBER('Übung 18'!K$37),'Übung 18'!K$37,0)</f>
        <v/>
      </c>
      <c r="U341" s="62">
        <f>IF(ISNUMBER('Übung 19'!K$37),'Übung 19'!K$37,0)</f>
        <v/>
      </c>
      <c r="V341" s="62">
        <f>IF(ISNUMBER('Übung 20'!K$37),'Übung 20'!K$37,0)</f>
        <v/>
      </c>
    </row>
    <row r="342">
      <c r="C342" s="62">
        <f>IF(ISNUMBER('Übung 01'!L$37),'Übung 01'!L$37,0)</f>
        <v/>
      </c>
      <c r="D342" s="62">
        <f>IF(ISNUMBER('Übung 02'!L$37),'Übung 02'!L$37,0)</f>
        <v/>
      </c>
      <c r="E342" s="62">
        <f>IF(ISNUMBER('Übung 03'!L$37),'Übung 03'!L$37,0)</f>
        <v/>
      </c>
      <c r="F342" s="62">
        <f>IF(ISNUMBER('Übung 04'!L$37),'Übung 04'!L$37,0)</f>
        <v/>
      </c>
      <c r="G342" s="62">
        <f>IF(ISNUMBER('Übung 05'!L$37),'Übung 05'!L$37,0)</f>
        <v/>
      </c>
      <c r="H342" s="62">
        <f>IF(ISNUMBER('Übung 06'!L$37),'Übung 06'!L$37,0)</f>
        <v/>
      </c>
      <c r="I342" s="62">
        <f>IF(ISNUMBER('Übung 07'!L$37),'Übung 07'!L$37,0)</f>
        <v/>
      </c>
      <c r="J342" s="62">
        <f>IF(ISNUMBER('Übung 08'!L$37),'Übung 08'!L$37,0)</f>
        <v/>
      </c>
      <c r="K342" s="62">
        <f>IF(ISNUMBER('Übung 09'!L$37),'Übung 09'!L$37,0)</f>
        <v/>
      </c>
      <c r="L342" s="62">
        <f>IF(ISNUMBER('Übung 10'!L$37),'Übung 10'!L$37,0)</f>
        <v/>
      </c>
      <c r="M342" s="62">
        <f>IF(ISNUMBER('Übung 11'!L$37),'Übung 11'!L$37,0)</f>
        <v/>
      </c>
      <c r="N342" s="62">
        <f>IF(ISNUMBER('Übung 12'!L$37),'Übung 12'!L$37,0)</f>
        <v/>
      </c>
      <c r="O342" s="62">
        <f>IF(ISNUMBER('Übung 13'!L$37),'Übung 13'!L$37,0)</f>
        <v/>
      </c>
      <c r="P342" s="62">
        <f>IF(ISNUMBER('Übung 14'!L$37),'Übung 14'!L$37,0)</f>
        <v/>
      </c>
      <c r="Q342" s="62">
        <f>IF(ISNUMBER('Übung 15'!L$37),'Übung 15'!L$37,0)</f>
        <v/>
      </c>
      <c r="R342" s="62">
        <f>IF(ISNUMBER('Übung 16'!L$37),'Übung 16'!L$37,0)</f>
        <v/>
      </c>
      <c r="S342" s="62">
        <f>IF(ISNUMBER('Übung 17'!L$37),'Übung 17'!L$37,0)</f>
        <v/>
      </c>
      <c r="T342" s="62">
        <f>IF(ISNUMBER('Übung 18'!L$37),'Übung 18'!L$37,0)</f>
        <v/>
      </c>
      <c r="U342" s="62">
        <f>IF(ISNUMBER('Übung 19'!L$37),'Übung 19'!L$37,0)</f>
        <v/>
      </c>
      <c r="V342" s="62">
        <f>IF(ISNUMBER('Übung 20'!L$37),'Übung 20'!L$37,0)</f>
        <v/>
      </c>
    </row>
    <row r="343">
      <c r="C343" s="62">
        <f>IF(ISNUMBER('Übung 01'!M$37),'Übung 01'!M$37,0)</f>
        <v/>
      </c>
      <c r="D343" s="62">
        <f>IF(ISNUMBER('Übung 02'!M$37),'Übung 02'!M$37,0)</f>
        <v/>
      </c>
      <c r="E343" s="62">
        <f>IF(ISNUMBER('Übung 03'!M$37),'Übung 03'!M$37,0)</f>
        <v/>
      </c>
      <c r="F343" s="62">
        <f>IF(ISNUMBER('Übung 04'!M$37),'Übung 04'!M$37,0)</f>
        <v/>
      </c>
      <c r="G343" s="62">
        <f>IF(ISNUMBER('Übung 05'!M$37),'Übung 05'!M$37,0)</f>
        <v/>
      </c>
      <c r="H343" s="62">
        <f>IF(ISNUMBER('Übung 06'!M$37),'Übung 06'!M$37,0)</f>
        <v/>
      </c>
      <c r="I343" s="62">
        <f>IF(ISNUMBER('Übung 07'!M$37),'Übung 07'!M$37,0)</f>
        <v/>
      </c>
      <c r="J343" s="62">
        <f>IF(ISNUMBER('Übung 08'!M$37),'Übung 08'!M$37,0)</f>
        <v/>
      </c>
      <c r="K343" s="62">
        <f>IF(ISNUMBER('Übung 09'!M$37),'Übung 09'!M$37,0)</f>
        <v/>
      </c>
      <c r="L343" s="62">
        <f>IF(ISNUMBER('Übung 10'!M$37),'Übung 10'!M$37,0)</f>
        <v/>
      </c>
      <c r="M343" s="62">
        <f>IF(ISNUMBER('Übung 11'!M$37),'Übung 11'!M$37,0)</f>
        <v/>
      </c>
      <c r="N343" s="62">
        <f>IF(ISNUMBER('Übung 12'!M$37),'Übung 12'!M$37,0)</f>
        <v/>
      </c>
      <c r="O343" s="62">
        <f>IF(ISNUMBER('Übung 13'!M$37),'Übung 13'!M$37,0)</f>
        <v/>
      </c>
      <c r="P343" s="62">
        <f>IF(ISNUMBER('Übung 14'!M$37),'Übung 14'!M$37,0)</f>
        <v/>
      </c>
      <c r="Q343" s="62">
        <f>IF(ISNUMBER('Übung 15'!M$37),'Übung 15'!M$37,0)</f>
        <v/>
      </c>
      <c r="R343" s="62">
        <f>IF(ISNUMBER('Übung 16'!M$37),'Übung 16'!M$37,0)</f>
        <v/>
      </c>
      <c r="S343" s="62">
        <f>IF(ISNUMBER('Übung 17'!M$37),'Übung 17'!M$37,0)</f>
        <v/>
      </c>
      <c r="T343" s="62">
        <f>IF(ISNUMBER('Übung 18'!M$37),'Übung 18'!M$37,0)</f>
        <v/>
      </c>
      <c r="U343" s="62">
        <f>IF(ISNUMBER('Übung 19'!M$37),'Übung 19'!M$37,0)</f>
        <v/>
      </c>
      <c r="V343" s="62">
        <f>IF(ISNUMBER('Übung 20'!M$37),'Übung 20'!M$37,0)</f>
        <v/>
      </c>
    </row>
    <row r="344">
      <c r="C344" s="62">
        <f>IF(ISNUMBER('Übung 01'!N$37),'Übung 01'!N$37,0)</f>
        <v/>
      </c>
      <c r="D344" s="62">
        <f>IF(ISNUMBER('Übung 02'!N$37),'Übung 02'!N$37,0)</f>
        <v/>
      </c>
      <c r="E344" s="62">
        <f>IF(ISNUMBER('Übung 03'!N$37),'Übung 03'!N$37,0)</f>
        <v/>
      </c>
      <c r="F344" s="62">
        <f>IF(ISNUMBER('Übung 04'!N$37),'Übung 04'!N$37,0)</f>
        <v/>
      </c>
      <c r="G344" s="62">
        <f>IF(ISNUMBER('Übung 05'!N$37),'Übung 05'!N$37,0)</f>
        <v/>
      </c>
      <c r="H344" s="62">
        <f>IF(ISNUMBER('Übung 06'!N$37),'Übung 06'!N$37,0)</f>
        <v/>
      </c>
      <c r="I344" s="62">
        <f>IF(ISNUMBER('Übung 07'!N$37),'Übung 07'!N$37,0)</f>
        <v/>
      </c>
      <c r="J344" s="62">
        <f>IF(ISNUMBER('Übung 08'!N$37),'Übung 08'!N$37,0)</f>
        <v/>
      </c>
      <c r="K344" s="62">
        <f>IF(ISNUMBER('Übung 09'!N$37),'Übung 09'!N$37,0)</f>
        <v/>
      </c>
      <c r="L344" s="62">
        <f>IF(ISNUMBER('Übung 10'!N$37),'Übung 10'!N$37,0)</f>
        <v/>
      </c>
      <c r="M344" s="62">
        <f>IF(ISNUMBER('Übung 11'!N$37),'Übung 11'!N$37,0)</f>
        <v/>
      </c>
      <c r="N344" s="62">
        <f>IF(ISNUMBER('Übung 12'!N$37),'Übung 12'!N$37,0)</f>
        <v/>
      </c>
      <c r="O344" s="62">
        <f>IF(ISNUMBER('Übung 13'!N$37),'Übung 13'!N$37,0)</f>
        <v/>
      </c>
      <c r="P344" s="62">
        <f>IF(ISNUMBER('Übung 14'!N$37),'Übung 14'!N$37,0)</f>
        <v/>
      </c>
      <c r="Q344" s="62">
        <f>IF(ISNUMBER('Übung 15'!N$37),'Übung 15'!N$37,0)</f>
        <v/>
      </c>
      <c r="R344" s="62">
        <f>IF(ISNUMBER('Übung 16'!N$37),'Übung 16'!N$37,0)</f>
        <v/>
      </c>
      <c r="S344" s="62">
        <f>IF(ISNUMBER('Übung 17'!N$37),'Übung 17'!N$37,0)</f>
        <v/>
      </c>
      <c r="T344" s="62">
        <f>IF(ISNUMBER('Übung 18'!N$37),'Übung 18'!N$37,0)</f>
        <v/>
      </c>
      <c r="U344" s="62">
        <f>IF(ISNUMBER('Übung 19'!N$37),'Übung 19'!N$37,0)</f>
        <v/>
      </c>
      <c r="V344" s="62">
        <f>IF(ISNUMBER('Übung 20'!N$37),'Übung 20'!N$37,0)</f>
        <v/>
      </c>
    </row>
    <row r="345">
      <c r="C345" s="62">
        <f>IF(ISNUMBER('Übung 01'!O$37),'Übung 01'!O$37,0)</f>
        <v/>
      </c>
      <c r="D345" s="62">
        <f>IF(ISNUMBER('Übung 02'!O$37),'Übung 02'!O$37,0)</f>
        <v/>
      </c>
      <c r="E345" s="62">
        <f>IF(ISNUMBER('Übung 03'!O$37),'Übung 03'!O$37,0)</f>
        <v/>
      </c>
      <c r="F345" s="62">
        <f>IF(ISNUMBER('Übung 04'!O$37),'Übung 04'!O$37,0)</f>
        <v/>
      </c>
      <c r="G345" s="62">
        <f>IF(ISNUMBER('Übung 05'!O$37),'Übung 05'!O$37,0)</f>
        <v/>
      </c>
      <c r="H345" s="62">
        <f>IF(ISNUMBER('Übung 06'!O$37),'Übung 06'!O$37,0)</f>
        <v/>
      </c>
      <c r="I345" s="62">
        <f>IF(ISNUMBER('Übung 07'!O$37),'Übung 07'!O$37,0)</f>
        <v/>
      </c>
      <c r="J345" s="62">
        <f>IF(ISNUMBER('Übung 08'!O$37),'Übung 08'!O$37,0)</f>
        <v/>
      </c>
      <c r="K345" s="62">
        <f>IF(ISNUMBER('Übung 09'!O$37),'Übung 09'!O$37,0)</f>
        <v/>
      </c>
      <c r="L345" s="62">
        <f>IF(ISNUMBER('Übung 10'!O$37),'Übung 10'!O$37,0)</f>
        <v/>
      </c>
      <c r="M345" s="62">
        <f>IF(ISNUMBER('Übung 11'!O$37),'Übung 11'!O$37,0)</f>
        <v/>
      </c>
      <c r="N345" s="62">
        <f>IF(ISNUMBER('Übung 12'!O$37),'Übung 12'!O$37,0)</f>
        <v/>
      </c>
      <c r="O345" s="62">
        <f>IF(ISNUMBER('Übung 13'!O$37),'Übung 13'!O$37,0)</f>
        <v/>
      </c>
      <c r="P345" s="62">
        <f>IF(ISNUMBER('Übung 14'!O$37),'Übung 14'!O$37,0)</f>
        <v/>
      </c>
      <c r="Q345" s="62">
        <f>IF(ISNUMBER('Übung 15'!O$37),'Übung 15'!O$37,0)</f>
        <v/>
      </c>
      <c r="R345" s="62">
        <f>IF(ISNUMBER('Übung 16'!O$37),'Übung 16'!O$37,0)</f>
        <v/>
      </c>
      <c r="S345" s="62">
        <f>IF(ISNUMBER('Übung 17'!O$37),'Übung 17'!O$37,0)</f>
        <v/>
      </c>
      <c r="T345" s="62">
        <f>IF(ISNUMBER('Übung 18'!O$37),'Übung 18'!O$37,0)</f>
        <v/>
      </c>
      <c r="U345" s="62">
        <f>IF(ISNUMBER('Übung 19'!O$37),'Übung 19'!O$37,0)</f>
        <v/>
      </c>
      <c r="V345" s="62">
        <f>IF(ISNUMBER('Übung 20'!O$37),'Übung 20'!O$37,0)</f>
        <v/>
      </c>
    </row>
    <row r="346">
      <c r="C346" s="62">
        <f>IF(ISNUMBER('Übung 01'!P$37),'Übung 01'!P$37,0)</f>
        <v/>
      </c>
      <c r="D346" s="62">
        <f>IF(ISNUMBER('Übung 02'!P$37),'Übung 02'!P$37,0)</f>
        <v/>
      </c>
      <c r="E346" s="62">
        <f>IF(ISNUMBER('Übung 03'!P$37),'Übung 03'!P$37,0)</f>
        <v/>
      </c>
      <c r="F346" s="62">
        <f>IF(ISNUMBER('Übung 04'!P$37),'Übung 04'!P$37,0)</f>
        <v/>
      </c>
      <c r="G346" s="62">
        <f>IF(ISNUMBER('Übung 05'!P$37),'Übung 05'!P$37,0)</f>
        <v/>
      </c>
      <c r="H346" s="62">
        <f>IF(ISNUMBER('Übung 06'!P$37),'Übung 06'!P$37,0)</f>
        <v/>
      </c>
      <c r="I346" s="62">
        <f>IF(ISNUMBER('Übung 07'!P$37),'Übung 07'!P$37,0)</f>
        <v/>
      </c>
      <c r="J346" s="62">
        <f>IF(ISNUMBER('Übung 08'!P$37),'Übung 08'!P$37,0)</f>
        <v/>
      </c>
      <c r="K346" s="62">
        <f>IF(ISNUMBER('Übung 09'!P$37),'Übung 09'!P$37,0)</f>
        <v/>
      </c>
      <c r="L346" s="62">
        <f>IF(ISNUMBER('Übung 10'!P$37),'Übung 10'!P$37,0)</f>
        <v/>
      </c>
      <c r="M346" s="62">
        <f>IF(ISNUMBER('Übung 11'!P$37),'Übung 11'!P$37,0)</f>
        <v/>
      </c>
      <c r="N346" s="62">
        <f>IF(ISNUMBER('Übung 12'!P$37),'Übung 12'!P$37,0)</f>
        <v/>
      </c>
      <c r="O346" s="62">
        <f>IF(ISNUMBER('Übung 13'!P$37),'Übung 13'!P$37,0)</f>
        <v/>
      </c>
      <c r="P346" s="62">
        <f>IF(ISNUMBER('Übung 14'!P$37),'Übung 14'!P$37,0)</f>
        <v/>
      </c>
      <c r="Q346" s="62">
        <f>IF(ISNUMBER('Übung 15'!P$37),'Übung 15'!P$37,0)</f>
        <v/>
      </c>
      <c r="R346" s="62">
        <f>IF(ISNUMBER('Übung 16'!P$37),'Übung 16'!P$37,0)</f>
        <v/>
      </c>
      <c r="S346" s="62">
        <f>IF(ISNUMBER('Übung 17'!P$37),'Übung 17'!P$37,0)</f>
        <v/>
      </c>
      <c r="T346" s="62">
        <f>IF(ISNUMBER('Übung 18'!P$37),'Übung 18'!P$37,0)</f>
        <v/>
      </c>
      <c r="U346" s="62">
        <f>IF(ISNUMBER('Übung 19'!P$37),'Übung 19'!P$37,0)</f>
        <v/>
      </c>
      <c r="V346" s="62">
        <f>IF(ISNUMBER('Übung 20'!P$37),'Übung 20'!P$37,0)</f>
        <v/>
      </c>
    </row>
    <row r="347">
      <c r="C347" s="62">
        <f>IF(ISNUMBER('Übung 01'!Q$37),'Übung 01'!Q$37,0)</f>
        <v/>
      </c>
      <c r="D347" s="62">
        <f>IF(ISNUMBER('Übung 02'!Q$37),'Übung 02'!Q$37,0)</f>
        <v/>
      </c>
      <c r="E347" s="62">
        <f>IF(ISNUMBER('Übung 03'!Q$37),'Übung 03'!Q$37,0)</f>
        <v/>
      </c>
      <c r="F347" s="62">
        <f>IF(ISNUMBER('Übung 04'!Q$37),'Übung 04'!Q$37,0)</f>
        <v/>
      </c>
      <c r="G347" s="62">
        <f>IF(ISNUMBER('Übung 05'!Q$37),'Übung 05'!Q$37,0)</f>
        <v/>
      </c>
      <c r="H347" s="62">
        <f>IF(ISNUMBER('Übung 06'!Q$37),'Übung 06'!Q$37,0)</f>
        <v/>
      </c>
      <c r="I347" s="62">
        <f>IF(ISNUMBER('Übung 07'!Q$37),'Übung 07'!Q$37,0)</f>
        <v/>
      </c>
      <c r="J347" s="62">
        <f>IF(ISNUMBER('Übung 08'!Q$37),'Übung 08'!Q$37,0)</f>
        <v/>
      </c>
      <c r="K347" s="62">
        <f>IF(ISNUMBER('Übung 09'!Q$37),'Übung 09'!Q$37,0)</f>
        <v/>
      </c>
      <c r="L347" s="62">
        <f>IF(ISNUMBER('Übung 10'!Q$37),'Übung 10'!Q$37,0)</f>
        <v/>
      </c>
      <c r="M347" s="62">
        <f>IF(ISNUMBER('Übung 11'!Q$37),'Übung 11'!Q$37,0)</f>
        <v/>
      </c>
      <c r="N347" s="62">
        <f>IF(ISNUMBER('Übung 12'!Q$37),'Übung 12'!Q$37,0)</f>
        <v/>
      </c>
      <c r="O347" s="62">
        <f>IF(ISNUMBER('Übung 13'!Q$37),'Übung 13'!Q$37,0)</f>
        <v/>
      </c>
      <c r="P347" s="62">
        <f>IF(ISNUMBER('Übung 14'!Q$37),'Übung 14'!Q$37,0)</f>
        <v/>
      </c>
      <c r="Q347" s="62">
        <f>IF(ISNUMBER('Übung 15'!Q$37),'Übung 15'!Q$37,0)</f>
        <v/>
      </c>
      <c r="R347" s="62">
        <f>IF(ISNUMBER('Übung 16'!Q$37),'Übung 16'!Q$37,0)</f>
        <v/>
      </c>
      <c r="S347" s="62">
        <f>IF(ISNUMBER('Übung 17'!Q$37),'Übung 17'!Q$37,0)</f>
        <v/>
      </c>
      <c r="T347" s="62">
        <f>IF(ISNUMBER('Übung 18'!Q$37),'Übung 18'!Q$37,0)</f>
        <v/>
      </c>
      <c r="U347" s="62">
        <f>IF(ISNUMBER('Übung 19'!Q$37),'Übung 19'!Q$37,0)</f>
        <v/>
      </c>
      <c r="V347" s="62">
        <f>IF(ISNUMBER('Übung 20'!Q$37),'Übung 20'!Q$37,0)</f>
        <v/>
      </c>
    </row>
    <row r="348">
      <c r="C348" s="62">
        <f>IF(ISNUMBER('Übung 01'!R$37),'Übung 01'!R$37,0)</f>
        <v/>
      </c>
      <c r="D348" s="62">
        <f>IF(ISNUMBER('Übung 02'!R$37),'Übung 02'!R$37,0)</f>
        <v/>
      </c>
      <c r="E348" s="62">
        <f>IF(ISNUMBER('Übung 03'!R$37),'Übung 03'!R$37,0)</f>
        <v/>
      </c>
      <c r="F348" s="62">
        <f>IF(ISNUMBER('Übung 04'!R$37),'Übung 04'!R$37,0)</f>
        <v/>
      </c>
      <c r="G348" s="62">
        <f>IF(ISNUMBER('Übung 05'!R$37),'Übung 05'!R$37,0)</f>
        <v/>
      </c>
      <c r="H348" s="62">
        <f>IF(ISNUMBER('Übung 06'!R$37),'Übung 06'!R$37,0)</f>
        <v/>
      </c>
      <c r="I348" s="62">
        <f>IF(ISNUMBER('Übung 07'!R$37),'Übung 07'!R$37,0)</f>
        <v/>
      </c>
      <c r="J348" s="62">
        <f>IF(ISNUMBER('Übung 08'!R$37),'Übung 08'!R$37,0)</f>
        <v/>
      </c>
      <c r="K348" s="62">
        <f>IF(ISNUMBER('Übung 09'!R$37),'Übung 09'!R$37,0)</f>
        <v/>
      </c>
      <c r="L348" s="62">
        <f>IF(ISNUMBER('Übung 10'!R$37),'Übung 10'!R$37,0)</f>
        <v/>
      </c>
      <c r="M348" s="62">
        <f>IF(ISNUMBER('Übung 11'!R$37),'Übung 11'!R$37,0)</f>
        <v/>
      </c>
      <c r="N348" s="62">
        <f>IF(ISNUMBER('Übung 12'!R$37),'Übung 12'!R$37,0)</f>
        <v/>
      </c>
      <c r="O348" s="62">
        <f>IF(ISNUMBER('Übung 13'!R$37),'Übung 13'!R$37,0)</f>
        <v/>
      </c>
      <c r="P348" s="62">
        <f>IF(ISNUMBER('Übung 14'!R$37),'Übung 14'!R$37,0)</f>
        <v/>
      </c>
      <c r="Q348" s="62">
        <f>IF(ISNUMBER('Übung 15'!R$37),'Übung 15'!R$37,0)</f>
        <v/>
      </c>
      <c r="R348" s="62">
        <f>IF(ISNUMBER('Übung 16'!R$37),'Übung 16'!R$37,0)</f>
        <v/>
      </c>
      <c r="S348" s="62">
        <f>IF(ISNUMBER('Übung 17'!R$37),'Übung 17'!R$37,0)</f>
        <v/>
      </c>
      <c r="T348" s="62">
        <f>IF(ISNUMBER('Übung 18'!R$37),'Übung 18'!R$37,0)</f>
        <v/>
      </c>
      <c r="U348" s="62">
        <f>IF(ISNUMBER('Übung 19'!R$37),'Übung 19'!R$37,0)</f>
        <v/>
      </c>
      <c r="V348" s="62">
        <f>IF(ISNUMBER('Übung 20'!R$37),'Übung 20'!R$37,0)</f>
        <v/>
      </c>
    </row>
    <row r="349">
      <c r="C349" s="62">
        <f>IF(ISNUMBER('Übung 01'!S$37),'Übung 01'!S$37,0)</f>
        <v/>
      </c>
      <c r="D349" s="62">
        <f>IF(ISNUMBER('Übung 02'!S$37),'Übung 02'!S$37,0)</f>
        <v/>
      </c>
      <c r="E349" s="62">
        <f>IF(ISNUMBER('Übung 03'!S$37),'Übung 03'!S$37,0)</f>
        <v/>
      </c>
      <c r="F349" s="62">
        <f>IF(ISNUMBER('Übung 04'!S$37),'Übung 04'!S$37,0)</f>
        <v/>
      </c>
      <c r="G349" s="62">
        <f>IF(ISNUMBER('Übung 05'!S$37),'Übung 05'!S$37,0)</f>
        <v/>
      </c>
      <c r="H349" s="62">
        <f>IF(ISNUMBER('Übung 06'!S$37),'Übung 06'!S$37,0)</f>
        <v/>
      </c>
      <c r="I349" s="62">
        <f>IF(ISNUMBER('Übung 07'!S$37),'Übung 07'!S$37,0)</f>
        <v/>
      </c>
      <c r="J349" s="62">
        <f>IF(ISNUMBER('Übung 08'!S$37),'Übung 08'!S$37,0)</f>
        <v/>
      </c>
      <c r="K349" s="62">
        <f>IF(ISNUMBER('Übung 09'!S$37),'Übung 09'!S$37,0)</f>
        <v/>
      </c>
      <c r="L349" s="62">
        <f>IF(ISNUMBER('Übung 10'!S$37),'Übung 10'!S$37,0)</f>
        <v/>
      </c>
      <c r="M349" s="62">
        <f>IF(ISNUMBER('Übung 11'!S$37),'Übung 11'!S$37,0)</f>
        <v/>
      </c>
      <c r="N349" s="62">
        <f>IF(ISNUMBER('Übung 12'!S$37),'Übung 12'!S$37,0)</f>
        <v/>
      </c>
      <c r="O349" s="62">
        <f>IF(ISNUMBER('Übung 13'!S$37),'Übung 13'!S$37,0)</f>
        <v/>
      </c>
      <c r="P349" s="62">
        <f>IF(ISNUMBER('Übung 14'!S$37),'Übung 14'!S$37,0)</f>
        <v/>
      </c>
      <c r="Q349" s="62">
        <f>IF(ISNUMBER('Übung 15'!S$37),'Übung 15'!S$37,0)</f>
        <v/>
      </c>
      <c r="R349" s="62">
        <f>IF(ISNUMBER('Übung 16'!S$37),'Übung 16'!S$37,0)</f>
        <v/>
      </c>
      <c r="S349" s="62">
        <f>IF(ISNUMBER('Übung 17'!S$37),'Übung 17'!S$37,0)</f>
        <v/>
      </c>
      <c r="T349" s="62">
        <f>IF(ISNUMBER('Übung 18'!S$37),'Übung 18'!S$37,0)</f>
        <v/>
      </c>
      <c r="U349" s="62">
        <f>IF(ISNUMBER('Übung 19'!S$37),'Übung 19'!S$37,0)</f>
        <v/>
      </c>
      <c r="V349" s="62">
        <f>IF(ISNUMBER('Übung 20'!S$37),'Übung 20'!S$37,0)</f>
        <v/>
      </c>
    </row>
    <row r="350">
      <c r="C350" s="62">
        <f>IF(ISNUMBER('Übung 01'!T$37),'Übung 01'!T$37,0)</f>
        <v/>
      </c>
      <c r="D350" s="62">
        <f>IF(ISNUMBER('Übung 02'!T$37),'Übung 02'!T$37,0)</f>
        <v/>
      </c>
      <c r="E350" s="62">
        <f>IF(ISNUMBER('Übung 03'!T$37),'Übung 03'!T$37,0)</f>
        <v/>
      </c>
      <c r="F350" s="62">
        <f>IF(ISNUMBER('Übung 04'!T$37),'Übung 04'!T$37,0)</f>
        <v/>
      </c>
      <c r="G350" s="62">
        <f>IF(ISNUMBER('Übung 05'!T$37),'Übung 05'!T$37,0)</f>
        <v/>
      </c>
      <c r="H350" s="62">
        <f>IF(ISNUMBER('Übung 06'!T$37),'Übung 06'!T$37,0)</f>
        <v/>
      </c>
      <c r="I350" s="62">
        <f>IF(ISNUMBER('Übung 07'!T$37),'Übung 07'!T$37,0)</f>
        <v/>
      </c>
      <c r="J350" s="62">
        <f>IF(ISNUMBER('Übung 08'!T$37),'Übung 08'!T$37,0)</f>
        <v/>
      </c>
      <c r="K350" s="62">
        <f>IF(ISNUMBER('Übung 09'!T$37),'Übung 09'!T$37,0)</f>
        <v/>
      </c>
      <c r="L350" s="62">
        <f>IF(ISNUMBER('Übung 10'!T$37),'Übung 10'!T$37,0)</f>
        <v/>
      </c>
      <c r="M350" s="62">
        <f>IF(ISNUMBER('Übung 11'!T$37),'Übung 11'!T$37,0)</f>
        <v/>
      </c>
      <c r="N350" s="62">
        <f>IF(ISNUMBER('Übung 12'!T$37),'Übung 12'!T$37,0)</f>
        <v/>
      </c>
      <c r="O350" s="62">
        <f>IF(ISNUMBER('Übung 13'!T$37),'Übung 13'!T$37,0)</f>
        <v/>
      </c>
      <c r="P350" s="62">
        <f>IF(ISNUMBER('Übung 14'!T$37),'Übung 14'!T$37,0)</f>
        <v/>
      </c>
      <c r="Q350" s="62">
        <f>IF(ISNUMBER('Übung 15'!T$37),'Übung 15'!T$37,0)</f>
        <v/>
      </c>
      <c r="R350" s="62">
        <f>IF(ISNUMBER('Übung 16'!T$37),'Übung 16'!T$37,0)</f>
        <v/>
      </c>
      <c r="S350" s="62">
        <f>IF(ISNUMBER('Übung 17'!T$37),'Übung 17'!T$37,0)</f>
        <v/>
      </c>
      <c r="T350" s="62">
        <f>IF(ISNUMBER('Übung 18'!T$37),'Übung 18'!T$37,0)</f>
        <v/>
      </c>
      <c r="U350" s="62">
        <f>IF(ISNUMBER('Übung 19'!T$37),'Übung 19'!T$37,0)</f>
        <v/>
      </c>
      <c r="V350" s="62">
        <f>IF(ISNUMBER('Übung 20'!T$37),'Übung 20'!T$37,0)</f>
        <v/>
      </c>
    </row>
    <row r="351">
      <c r="C351" s="62">
        <f>IF(ISNUMBER('Übung 01'!U$37),'Übung 01'!U$37,0)</f>
        <v/>
      </c>
      <c r="D351" s="62">
        <f>IF(ISNUMBER('Übung 02'!U$37),'Übung 02'!U$37,0)</f>
        <v/>
      </c>
      <c r="E351" s="62">
        <f>IF(ISNUMBER('Übung 03'!U$37),'Übung 03'!U$37,0)</f>
        <v/>
      </c>
      <c r="F351" s="62">
        <f>IF(ISNUMBER('Übung 04'!U$37),'Übung 04'!U$37,0)</f>
        <v/>
      </c>
      <c r="G351" s="62">
        <f>IF(ISNUMBER('Übung 05'!U$37),'Übung 05'!U$37,0)</f>
        <v/>
      </c>
      <c r="H351" s="62">
        <f>IF(ISNUMBER('Übung 06'!U$37),'Übung 06'!U$37,0)</f>
        <v/>
      </c>
      <c r="I351" s="62">
        <f>IF(ISNUMBER('Übung 07'!U$37),'Übung 07'!U$37,0)</f>
        <v/>
      </c>
      <c r="J351" s="62">
        <f>IF(ISNUMBER('Übung 08'!U$37),'Übung 08'!U$37,0)</f>
        <v/>
      </c>
      <c r="K351" s="62">
        <f>IF(ISNUMBER('Übung 09'!U$37),'Übung 09'!U$37,0)</f>
        <v/>
      </c>
      <c r="L351" s="62">
        <f>IF(ISNUMBER('Übung 10'!U$37),'Übung 10'!U$37,0)</f>
        <v/>
      </c>
      <c r="M351" s="62">
        <f>IF(ISNUMBER('Übung 11'!U$37),'Übung 11'!U$37,0)</f>
        <v/>
      </c>
      <c r="N351" s="62">
        <f>IF(ISNUMBER('Übung 12'!U$37),'Übung 12'!U$37,0)</f>
        <v/>
      </c>
      <c r="O351" s="62">
        <f>IF(ISNUMBER('Übung 13'!U$37),'Übung 13'!U$37,0)</f>
        <v/>
      </c>
      <c r="P351" s="62">
        <f>IF(ISNUMBER('Übung 14'!U$37),'Übung 14'!U$37,0)</f>
        <v/>
      </c>
      <c r="Q351" s="62">
        <f>IF(ISNUMBER('Übung 15'!U$37),'Übung 15'!U$37,0)</f>
        <v/>
      </c>
      <c r="R351" s="62">
        <f>IF(ISNUMBER('Übung 16'!U$37),'Übung 16'!U$37,0)</f>
        <v/>
      </c>
      <c r="S351" s="62">
        <f>IF(ISNUMBER('Übung 17'!U$37),'Übung 17'!U$37,0)</f>
        <v/>
      </c>
      <c r="T351" s="62">
        <f>IF(ISNUMBER('Übung 18'!U$37),'Übung 18'!U$37,0)</f>
        <v/>
      </c>
      <c r="U351" s="62">
        <f>IF(ISNUMBER('Übung 19'!U$37),'Übung 19'!U$37,0)</f>
        <v/>
      </c>
      <c r="V351" s="62">
        <f>IF(ISNUMBER('Übung 20'!U$37),'Übung 20'!U$37,0)</f>
        <v/>
      </c>
    </row>
    <row r="352">
      <c r="C352" s="62">
        <f>IF(ISNUMBER('Übung 01'!V$37),'Übung 01'!V$37,0)</f>
        <v/>
      </c>
      <c r="D352" s="62">
        <f>IF(ISNUMBER('Übung 02'!V$37),'Übung 02'!V$37,0)</f>
        <v/>
      </c>
      <c r="E352" s="62">
        <f>IF(ISNUMBER('Übung 03'!V$37),'Übung 03'!V$37,0)</f>
        <v/>
      </c>
      <c r="F352" s="62">
        <f>IF(ISNUMBER('Übung 04'!V$37),'Übung 04'!V$37,0)</f>
        <v/>
      </c>
      <c r="G352" s="62">
        <f>IF(ISNUMBER('Übung 05'!V$37),'Übung 05'!V$37,0)</f>
        <v/>
      </c>
      <c r="H352" s="62">
        <f>IF(ISNUMBER('Übung 06'!V$37),'Übung 06'!V$37,0)</f>
        <v/>
      </c>
      <c r="I352" s="62">
        <f>IF(ISNUMBER('Übung 07'!V$37),'Übung 07'!V$37,0)</f>
        <v/>
      </c>
      <c r="J352" s="62">
        <f>IF(ISNUMBER('Übung 08'!V$37),'Übung 08'!V$37,0)</f>
        <v/>
      </c>
      <c r="K352" s="62">
        <f>IF(ISNUMBER('Übung 09'!V$37),'Übung 09'!V$37,0)</f>
        <v/>
      </c>
      <c r="L352" s="62">
        <f>IF(ISNUMBER('Übung 10'!V$37),'Übung 10'!V$37,0)</f>
        <v/>
      </c>
      <c r="M352" s="62">
        <f>IF(ISNUMBER('Übung 11'!V$37),'Übung 11'!V$37,0)</f>
        <v/>
      </c>
      <c r="N352" s="62">
        <f>IF(ISNUMBER('Übung 12'!V$37),'Übung 12'!V$37,0)</f>
        <v/>
      </c>
      <c r="O352" s="62">
        <f>IF(ISNUMBER('Übung 13'!V$37),'Übung 13'!V$37,0)</f>
        <v/>
      </c>
      <c r="P352" s="62">
        <f>IF(ISNUMBER('Übung 14'!V$37),'Übung 14'!V$37,0)</f>
        <v/>
      </c>
      <c r="Q352" s="62">
        <f>IF(ISNUMBER('Übung 15'!V$37),'Übung 15'!V$37,0)</f>
        <v/>
      </c>
      <c r="R352" s="62">
        <f>IF(ISNUMBER('Übung 16'!V$37),'Übung 16'!V$37,0)</f>
        <v/>
      </c>
      <c r="S352" s="62">
        <f>IF(ISNUMBER('Übung 17'!V$37),'Übung 17'!V$37,0)</f>
        <v/>
      </c>
      <c r="T352" s="62">
        <f>IF(ISNUMBER('Übung 18'!V$37),'Übung 18'!V$37,0)</f>
        <v/>
      </c>
      <c r="U352" s="62">
        <f>IF(ISNUMBER('Übung 19'!V$37),'Übung 19'!V$37,0)</f>
        <v/>
      </c>
      <c r="V352" s="62">
        <f>IF(ISNUMBER('Übung 20'!V$37),'Übung 20'!V$37,0)</f>
        <v/>
      </c>
    </row>
    <row r="353">
      <c r="C353" s="62">
        <f>IF(ISNUMBER('Übung 01'!W$37),'Übung 01'!W$37,0)</f>
        <v/>
      </c>
      <c r="D353" s="62">
        <f>IF(ISNUMBER('Übung 02'!W$37),'Übung 02'!W$37,0)</f>
        <v/>
      </c>
      <c r="E353" s="62">
        <f>IF(ISNUMBER('Übung 03'!W$37),'Übung 03'!W$37,0)</f>
        <v/>
      </c>
      <c r="F353" s="62">
        <f>IF(ISNUMBER('Übung 04'!W$37),'Übung 04'!W$37,0)</f>
        <v/>
      </c>
      <c r="G353" s="62">
        <f>IF(ISNUMBER('Übung 05'!W$37),'Übung 05'!W$37,0)</f>
        <v/>
      </c>
      <c r="H353" s="62">
        <f>IF(ISNUMBER('Übung 06'!W$37),'Übung 06'!W$37,0)</f>
        <v/>
      </c>
      <c r="I353" s="62">
        <f>IF(ISNUMBER('Übung 07'!W$37),'Übung 07'!W$37,0)</f>
        <v/>
      </c>
      <c r="J353" s="62">
        <f>IF(ISNUMBER('Übung 08'!W$37),'Übung 08'!W$37,0)</f>
        <v/>
      </c>
      <c r="K353" s="62">
        <f>IF(ISNUMBER('Übung 09'!W$37),'Übung 09'!W$37,0)</f>
        <v/>
      </c>
      <c r="L353" s="62">
        <f>IF(ISNUMBER('Übung 10'!W$37),'Übung 10'!W$37,0)</f>
        <v/>
      </c>
      <c r="M353" s="62">
        <f>IF(ISNUMBER('Übung 11'!W$37),'Übung 11'!W$37,0)</f>
        <v/>
      </c>
      <c r="N353" s="62">
        <f>IF(ISNUMBER('Übung 12'!W$37),'Übung 12'!W$37,0)</f>
        <v/>
      </c>
      <c r="O353" s="62">
        <f>IF(ISNUMBER('Übung 13'!W$37),'Übung 13'!W$37,0)</f>
        <v/>
      </c>
      <c r="P353" s="62">
        <f>IF(ISNUMBER('Übung 14'!W$37),'Übung 14'!W$37,0)</f>
        <v/>
      </c>
      <c r="Q353" s="62">
        <f>IF(ISNUMBER('Übung 15'!W$37),'Übung 15'!W$37,0)</f>
        <v/>
      </c>
      <c r="R353" s="62">
        <f>IF(ISNUMBER('Übung 16'!W$37),'Übung 16'!W$37,0)</f>
        <v/>
      </c>
      <c r="S353" s="62">
        <f>IF(ISNUMBER('Übung 17'!W$37),'Übung 17'!W$37,0)</f>
        <v/>
      </c>
      <c r="T353" s="62">
        <f>IF(ISNUMBER('Übung 18'!W$37),'Übung 18'!W$37,0)</f>
        <v/>
      </c>
      <c r="U353" s="62">
        <f>IF(ISNUMBER('Übung 19'!W$37),'Übung 19'!W$37,0)</f>
        <v/>
      </c>
      <c r="V353" s="62">
        <f>IF(ISNUMBER('Übung 20'!W$37),'Übung 20'!W$37,0)</f>
        <v/>
      </c>
    </row>
    <row r="354">
      <c r="C354" s="62">
        <f>IF(ISNUMBER('Übung 01'!X$37),'Übung 01'!X$37,0)</f>
        <v/>
      </c>
      <c r="D354" s="62">
        <f>IF(ISNUMBER('Übung 02'!X$37),'Übung 02'!X$37,0)</f>
        <v/>
      </c>
      <c r="E354" s="62">
        <f>IF(ISNUMBER('Übung 03'!X$37),'Übung 03'!X$37,0)</f>
        <v/>
      </c>
      <c r="F354" s="62">
        <f>IF(ISNUMBER('Übung 04'!X$37),'Übung 04'!X$37,0)</f>
        <v/>
      </c>
      <c r="G354" s="62">
        <f>IF(ISNUMBER('Übung 05'!X$37),'Übung 05'!X$37,0)</f>
        <v/>
      </c>
      <c r="H354" s="62">
        <f>IF(ISNUMBER('Übung 06'!X$37),'Übung 06'!X$37,0)</f>
        <v/>
      </c>
      <c r="I354" s="62">
        <f>IF(ISNUMBER('Übung 07'!X$37),'Übung 07'!X$37,0)</f>
        <v/>
      </c>
      <c r="J354" s="62">
        <f>IF(ISNUMBER('Übung 08'!X$37),'Übung 08'!X$37,0)</f>
        <v/>
      </c>
      <c r="K354" s="62">
        <f>IF(ISNUMBER('Übung 09'!X$37),'Übung 09'!X$37,0)</f>
        <v/>
      </c>
      <c r="L354" s="62">
        <f>IF(ISNUMBER('Übung 10'!X$37),'Übung 10'!X$37,0)</f>
        <v/>
      </c>
      <c r="M354" s="62">
        <f>IF(ISNUMBER('Übung 11'!X$37),'Übung 11'!X$37,0)</f>
        <v/>
      </c>
      <c r="N354" s="62">
        <f>IF(ISNUMBER('Übung 12'!X$37),'Übung 12'!X$37,0)</f>
        <v/>
      </c>
      <c r="O354" s="62">
        <f>IF(ISNUMBER('Übung 13'!X$37),'Übung 13'!X$37,0)</f>
        <v/>
      </c>
      <c r="P354" s="62">
        <f>IF(ISNUMBER('Übung 14'!X$37),'Übung 14'!X$37,0)</f>
        <v/>
      </c>
      <c r="Q354" s="62">
        <f>IF(ISNUMBER('Übung 15'!X$37),'Übung 15'!X$37,0)</f>
        <v/>
      </c>
      <c r="R354" s="62">
        <f>IF(ISNUMBER('Übung 16'!X$37),'Übung 16'!X$37,0)</f>
        <v/>
      </c>
      <c r="S354" s="62">
        <f>IF(ISNUMBER('Übung 17'!X$37),'Übung 17'!X$37,0)</f>
        <v/>
      </c>
      <c r="T354" s="62">
        <f>IF(ISNUMBER('Übung 18'!X$37),'Übung 18'!X$37,0)</f>
        <v/>
      </c>
      <c r="U354" s="62">
        <f>IF(ISNUMBER('Übung 19'!X$37),'Übung 19'!X$37,0)</f>
        <v/>
      </c>
      <c r="V354" s="62">
        <f>IF(ISNUMBER('Übung 20'!X$37),'Übung 20'!X$37,0)</f>
        <v/>
      </c>
    </row>
    <row r="355">
      <c r="C355" s="62">
        <f>IF(ISNUMBER('Übung 01'!Y$37),'Übung 01'!Y$37,0)</f>
        <v/>
      </c>
      <c r="D355" s="62">
        <f>IF(ISNUMBER('Übung 02'!Y$37),'Übung 02'!Y$37,0)</f>
        <v/>
      </c>
      <c r="E355" s="62">
        <f>IF(ISNUMBER('Übung 03'!Y$37),'Übung 03'!Y$37,0)</f>
        <v/>
      </c>
      <c r="F355" s="62">
        <f>IF(ISNUMBER('Übung 04'!Y$37),'Übung 04'!Y$37,0)</f>
        <v/>
      </c>
      <c r="G355" s="62">
        <f>IF(ISNUMBER('Übung 05'!Y$37),'Übung 05'!Y$37,0)</f>
        <v/>
      </c>
      <c r="H355" s="62">
        <f>IF(ISNUMBER('Übung 06'!Y$37),'Übung 06'!Y$37,0)</f>
        <v/>
      </c>
      <c r="I355" s="62">
        <f>IF(ISNUMBER('Übung 07'!Y$37),'Übung 07'!Y$37,0)</f>
        <v/>
      </c>
      <c r="J355" s="62">
        <f>IF(ISNUMBER('Übung 08'!Y$37),'Übung 08'!Y$37,0)</f>
        <v/>
      </c>
      <c r="K355" s="62">
        <f>IF(ISNUMBER('Übung 09'!Y$37),'Übung 09'!Y$37,0)</f>
        <v/>
      </c>
      <c r="L355" s="62">
        <f>IF(ISNUMBER('Übung 10'!Y$37),'Übung 10'!Y$37,0)</f>
        <v/>
      </c>
      <c r="M355" s="62">
        <f>IF(ISNUMBER('Übung 11'!Y$37),'Übung 11'!Y$37,0)</f>
        <v/>
      </c>
      <c r="N355" s="62">
        <f>IF(ISNUMBER('Übung 12'!Y$37),'Übung 12'!Y$37,0)</f>
        <v/>
      </c>
      <c r="O355" s="62">
        <f>IF(ISNUMBER('Übung 13'!Y$37),'Übung 13'!Y$37,0)</f>
        <v/>
      </c>
      <c r="P355" s="62">
        <f>IF(ISNUMBER('Übung 14'!Y$37),'Übung 14'!Y$37,0)</f>
        <v/>
      </c>
      <c r="Q355" s="62">
        <f>IF(ISNUMBER('Übung 15'!Y$37),'Übung 15'!Y$37,0)</f>
        <v/>
      </c>
      <c r="R355" s="62">
        <f>IF(ISNUMBER('Übung 16'!Y$37),'Übung 16'!Y$37,0)</f>
        <v/>
      </c>
      <c r="S355" s="62">
        <f>IF(ISNUMBER('Übung 17'!Y$37),'Übung 17'!Y$37,0)</f>
        <v/>
      </c>
      <c r="T355" s="62">
        <f>IF(ISNUMBER('Übung 18'!Y$37),'Übung 18'!Y$37,0)</f>
        <v/>
      </c>
      <c r="U355" s="62">
        <f>IF(ISNUMBER('Übung 19'!Y$37),'Übung 19'!Y$37,0)</f>
        <v/>
      </c>
      <c r="V355" s="62">
        <f>IF(ISNUMBER('Übung 20'!Y$37),'Übung 20'!Y$37,0)</f>
        <v/>
      </c>
    </row>
    <row r="356">
      <c r="C356" s="62">
        <f>IF(ISNUMBER('Übung 01'!Z$37),'Übung 01'!Z$37,0)</f>
        <v/>
      </c>
      <c r="D356" s="62">
        <f>IF(ISNUMBER('Übung 02'!Z$37),'Übung 02'!Z$37,0)</f>
        <v/>
      </c>
      <c r="E356" s="62">
        <f>IF(ISNUMBER('Übung 03'!Z$37),'Übung 03'!Z$37,0)</f>
        <v/>
      </c>
      <c r="F356" s="62">
        <f>IF(ISNUMBER('Übung 04'!Z$37),'Übung 04'!Z$37,0)</f>
        <v/>
      </c>
      <c r="G356" s="62">
        <f>IF(ISNUMBER('Übung 05'!Z$37),'Übung 05'!Z$37,0)</f>
        <v/>
      </c>
      <c r="H356" s="62">
        <f>IF(ISNUMBER('Übung 06'!Z$37),'Übung 06'!Z$37,0)</f>
        <v/>
      </c>
      <c r="I356" s="62">
        <f>IF(ISNUMBER('Übung 07'!Z$37),'Übung 07'!Z$37,0)</f>
        <v/>
      </c>
      <c r="J356" s="62">
        <f>IF(ISNUMBER('Übung 08'!Z$37),'Übung 08'!Z$37,0)</f>
        <v/>
      </c>
      <c r="K356" s="62">
        <f>IF(ISNUMBER('Übung 09'!Z$37),'Übung 09'!Z$37,0)</f>
        <v/>
      </c>
      <c r="L356" s="62">
        <f>IF(ISNUMBER('Übung 10'!Z$37),'Übung 10'!Z$37,0)</f>
        <v/>
      </c>
      <c r="M356" s="62">
        <f>IF(ISNUMBER('Übung 11'!Z$37),'Übung 11'!Z$37,0)</f>
        <v/>
      </c>
      <c r="N356" s="62">
        <f>IF(ISNUMBER('Übung 12'!Z$37),'Übung 12'!Z$37,0)</f>
        <v/>
      </c>
      <c r="O356" s="62">
        <f>IF(ISNUMBER('Übung 13'!Z$37),'Übung 13'!Z$37,0)</f>
        <v/>
      </c>
      <c r="P356" s="62">
        <f>IF(ISNUMBER('Übung 14'!Z$37),'Übung 14'!Z$37,0)</f>
        <v/>
      </c>
      <c r="Q356" s="62">
        <f>IF(ISNUMBER('Übung 15'!Z$37),'Übung 15'!Z$37,0)</f>
        <v/>
      </c>
      <c r="R356" s="62">
        <f>IF(ISNUMBER('Übung 16'!Z$37),'Übung 16'!Z$37,0)</f>
        <v/>
      </c>
      <c r="S356" s="62">
        <f>IF(ISNUMBER('Übung 17'!Z$37),'Übung 17'!Z$37,0)</f>
        <v/>
      </c>
      <c r="T356" s="62">
        <f>IF(ISNUMBER('Übung 18'!Z$37),'Übung 18'!Z$37,0)</f>
        <v/>
      </c>
      <c r="U356" s="62">
        <f>IF(ISNUMBER('Übung 19'!Z$37),'Übung 19'!Z$37,0)</f>
        <v/>
      </c>
      <c r="V356" s="62">
        <f>IF(ISNUMBER('Übung 20'!Z$37),'Übung 20'!Z$37,0)</f>
        <v/>
      </c>
    </row>
    <row r="357">
      <c r="C357" s="62">
        <f>IF(ISNUMBER('Übung 01'!AA$37),'Übung 01'!AA$37,0)</f>
        <v/>
      </c>
      <c r="D357" s="62">
        <f>IF(ISNUMBER('Übung 02'!AA$37),'Übung 02'!AA$37,0)</f>
        <v/>
      </c>
      <c r="E357" s="62">
        <f>IF(ISNUMBER('Übung 03'!AA$37),'Übung 03'!AA$37,0)</f>
        <v/>
      </c>
      <c r="F357" s="62">
        <f>IF(ISNUMBER('Übung 04'!AA$37),'Übung 04'!AA$37,0)</f>
        <v/>
      </c>
      <c r="G357" s="62">
        <f>IF(ISNUMBER('Übung 05'!AA$37),'Übung 05'!AA$37,0)</f>
        <v/>
      </c>
      <c r="H357" s="62">
        <f>IF(ISNUMBER('Übung 06'!AA$37),'Übung 06'!AA$37,0)</f>
        <v/>
      </c>
      <c r="I357" s="62">
        <f>IF(ISNUMBER('Übung 07'!AA$37),'Übung 07'!AA$37,0)</f>
        <v/>
      </c>
      <c r="J357" s="62">
        <f>IF(ISNUMBER('Übung 08'!AA$37),'Übung 08'!AA$37,0)</f>
        <v/>
      </c>
      <c r="K357" s="62">
        <f>IF(ISNUMBER('Übung 09'!AA$37),'Übung 09'!AA$37,0)</f>
        <v/>
      </c>
      <c r="L357" s="62">
        <f>IF(ISNUMBER('Übung 10'!AA$37),'Übung 10'!AA$37,0)</f>
        <v/>
      </c>
      <c r="M357" s="62">
        <f>IF(ISNUMBER('Übung 11'!AA$37),'Übung 11'!AA$37,0)</f>
        <v/>
      </c>
      <c r="N357" s="62">
        <f>IF(ISNUMBER('Übung 12'!AA$37),'Übung 12'!AA$37,0)</f>
        <v/>
      </c>
      <c r="O357" s="62">
        <f>IF(ISNUMBER('Übung 13'!AA$37),'Übung 13'!AA$37,0)</f>
        <v/>
      </c>
      <c r="P357" s="62">
        <f>IF(ISNUMBER('Übung 14'!AA$37),'Übung 14'!AA$37,0)</f>
        <v/>
      </c>
      <c r="Q357" s="62">
        <f>IF(ISNUMBER('Übung 15'!AA$37),'Übung 15'!AA$37,0)</f>
        <v/>
      </c>
      <c r="R357" s="62">
        <f>IF(ISNUMBER('Übung 16'!AA$37),'Übung 16'!AA$37,0)</f>
        <v/>
      </c>
      <c r="S357" s="62">
        <f>IF(ISNUMBER('Übung 17'!AA$37),'Übung 17'!AA$37,0)</f>
        <v/>
      </c>
      <c r="T357" s="62">
        <f>IF(ISNUMBER('Übung 18'!AA$37),'Übung 18'!AA$37,0)</f>
        <v/>
      </c>
      <c r="U357" s="62">
        <f>IF(ISNUMBER('Übung 19'!AA$37),'Übung 19'!AA$37,0)</f>
        <v/>
      </c>
      <c r="V357" s="62">
        <f>IF(ISNUMBER('Übung 20'!AA$37),'Übung 20'!AA$37,0)</f>
        <v/>
      </c>
    </row>
    <row r="358">
      <c r="C358" s="62">
        <f>IF(ISNUMBER('Übung 01'!AB$37),'Übung 01'!AB$37,0)</f>
        <v/>
      </c>
      <c r="D358" s="62">
        <f>IF(ISNUMBER('Übung 02'!AB$37),'Übung 02'!AB$37,0)</f>
        <v/>
      </c>
      <c r="E358" s="62">
        <f>IF(ISNUMBER('Übung 03'!AB$37),'Übung 03'!AB$37,0)</f>
        <v/>
      </c>
      <c r="F358" s="62">
        <f>IF(ISNUMBER('Übung 04'!AB$37),'Übung 04'!AB$37,0)</f>
        <v/>
      </c>
      <c r="G358" s="62">
        <f>IF(ISNUMBER('Übung 05'!AB$37),'Übung 05'!AB$37,0)</f>
        <v/>
      </c>
      <c r="H358" s="62">
        <f>IF(ISNUMBER('Übung 06'!AB$37),'Übung 06'!AB$37,0)</f>
        <v/>
      </c>
      <c r="I358" s="62">
        <f>IF(ISNUMBER('Übung 07'!AB$37),'Übung 07'!AB$37,0)</f>
        <v/>
      </c>
      <c r="J358" s="62">
        <f>IF(ISNUMBER('Übung 08'!AB$37),'Übung 08'!AB$37,0)</f>
        <v/>
      </c>
      <c r="K358" s="62">
        <f>IF(ISNUMBER('Übung 09'!AB$37),'Übung 09'!AB$37,0)</f>
        <v/>
      </c>
      <c r="L358" s="62">
        <f>IF(ISNUMBER('Übung 10'!AB$37),'Übung 10'!AB$37,0)</f>
        <v/>
      </c>
      <c r="M358" s="62">
        <f>IF(ISNUMBER('Übung 11'!AB$37),'Übung 11'!AB$37,0)</f>
        <v/>
      </c>
      <c r="N358" s="62">
        <f>IF(ISNUMBER('Übung 12'!AB$37),'Übung 12'!AB$37,0)</f>
        <v/>
      </c>
      <c r="O358" s="62">
        <f>IF(ISNUMBER('Übung 13'!AB$37),'Übung 13'!AB$37,0)</f>
        <v/>
      </c>
      <c r="P358" s="62">
        <f>IF(ISNUMBER('Übung 14'!AB$37),'Übung 14'!AB$37,0)</f>
        <v/>
      </c>
      <c r="Q358" s="62">
        <f>IF(ISNUMBER('Übung 15'!AB$37),'Übung 15'!AB$37,0)</f>
        <v/>
      </c>
      <c r="R358" s="62">
        <f>IF(ISNUMBER('Übung 16'!AB$37),'Übung 16'!AB$37,0)</f>
        <v/>
      </c>
      <c r="S358" s="62">
        <f>IF(ISNUMBER('Übung 17'!AB$37),'Übung 17'!AB$37,0)</f>
        <v/>
      </c>
      <c r="T358" s="62">
        <f>IF(ISNUMBER('Übung 18'!AB$37),'Übung 18'!AB$37,0)</f>
        <v/>
      </c>
      <c r="U358" s="62">
        <f>IF(ISNUMBER('Übung 19'!AB$37),'Übung 19'!AB$37,0)</f>
        <v/>
      </c>
      <c r="V358" s="62">
        <f>IF(ISNUMBER('Übung 20'!AB$37),'Übung 20'!AB$37,0)</f>
        <v/>
      </c>
    </row>
    <row r="359">
      <c r="C359" s="62">
        <f>IF(ISNUMBER('Übung 01'!AC$37),'Übung 01'!AC$37,0)</f>
        <v/>
      </c>
      <c r="D359" s="62">
        <f>IF(ISNUMBER('Übung 02'!AC$37),'Übung 02'!AC$37,0)</f>
        <v/>
      </c>
      <c r="E359" s="62">
        <f>IF(ISNUMBER('Übung 03'!AC$37),'Übung 03'!AC$37,0)</f>
        <v/>
      </c>
      <c r="F359" s="62">
        <f>IF(ISNUMBER('Übung 04'!AC$37),'Übung 04'!AC$37,0)</f>
        <v/>
      </c>
      <c r="G359" s="62">
        <f>IF(ISNUMBER('Übung 05'!AC$37),'Übung 05'!AC$37,0)</f>
        <v/>
      </c>
      <c r="H359" s="62">
        <f>IF(ISNUMBER('Übung 06'!AC$37),'Übung 06'!AC$37,0)</f>
        <v/>
      </c>
      <c r="I359" s="62">
        <f>IF(ISNUMBER('Übung 07'!AC$37),'Übung 07'!AC$37,0)</f>
        <v/>
      </c>
      <c r="J359" s="62">
        <f>IF(ISNUMBER('Übung 08'!AC$37),'Übung 08'!AC$37,0)</f>
        <v/>
      </c>
      <c r="K359" s="62">
        <f>IF(ISNUMBER('Übung 09'!AC$37),'Übung 09'!AC$37,0)</f>
        <v/>
      </c>
      <c r="L359" s="62">
        <f>IF(ISNUMBER('Übung 10'!AC$37),'Übung 10'!AC$37,0)</f>
        <v/>
      </c>
      <c r="M359" s="62">
        <f>IF(ISNUMBER('Übung 11'!AC$37),'Übung 11'!AC$37,0)</f>
        <v/>
      </c>
      <c r="N359" s="62">
        <f>IF(ISNUMBER('Übung 12'!AC$37),'Übung 12'!AC$37,0)</f>
        <v/>
      </c>
      <c r="O359" s="62">
        <f>IF(ISNUMBER('Übung 13'!AC$37),'Übung 13'!AC$37,0)</f>
        <v/>
      </c>
      <c r="P359" s="62">
        <f>IF(ISNUMBER('Übung 14'!AC$37),'Übung 14'!AC$37,0)</f>
        <v/>
      </c>
      <c r="Q359" s="62">
        <f>IF(ISNUMBER('Übung 15'!AC$37),'Übung 15'!AC$37,0)</f>
        <v/>
      </c>
      <c r="R359" s="62">
        <f>IF(ISNUMBER('Übung 16'!AC$37),'Übung 16'!AC$37,0)</f>
        <v/>
      </c>
      <c r="S359" s="62">
        <f>IF(ISNUMBER('Übung 17'!AC$37),'Übung 17'!AC$37,0)</f>
        <v/>
      </c>
      <c r="T359" s="62">
        <f>IF(ISNUMBER('Übung 18'!AC$37),'Übung 18'!AC$37,0)</f>
        <v/>
      </c>
      <c r="U359" s="62">
        <f>IF(ISNUMBER('Übung 19'!AC$37),'Übung 19'!AC$37,0)</f>
        <v/>
      </c>
      <c r="V359" s="62">
        <f>IF(ISNUMBER('Übung 20'!AC$37),'Übung 20'!AC$37,0)</f>
        <v/>
      </c>
    </row>
    <row r="360">
      <c r="C360" s="62">
        <f>IF(ISNUMBER('Übung 01'!AE$37),'Übung 01'!AE$37,0)</f>
        <v/>
      </c>
      <c r="D360" s="62">
        <f>IF(ISNUMBER('Übung 02'!AE$37),'Übung 02'!AE$37,0)</f>
        <v/>
      </c>
      <c r="E360" s="62">
        <f>IF(ISNUMBER('Übung 03'!AE$37),'Übung 03'!AE$37,0)</f>
        <v/>
      </c>
      <c r="F360" s="62">
        <f>IF(ISNUMBER('Übung 04'!AE$37),'Übung 04'!AE$37,0)</f>
        <v/>
      </c>
      <c r="G360" s="62">
        <f>IF(ISNUMBER('Übung 05'!AE$37),'Übung 05'!AE$37,0)</f>
        <v/>
      </c>
      <c r="H360" s="62">
        <f>IF(ISNUMBER('Übung 06'!AE$37),'Übung 06'!AE$37,0)</f>
        <v/>
      </c>
      <c r="I360" s="62">
        <f>IF(ISNUMBER('Übung 07'!AE$37),'Übung 07'!AE$37,0)</f>
        <v/>
      </c>
      <c r="J360" s="62">
        <f>IF(ISNUMBER('Übung 08'!AE$37),'Übung 08'!AE$37,0)</f>
        <v/>
      </c>
      <c r="K360" s="62">
        <f>IF(ISNUMBER('Übung 09'!AE$37),'Übung 09'!AE$37,0)</f>
        <v/>
      </c>
      <c r="L360" s="62">
        <f>IF(ISNUMBER('Übung 10'!AE$37),'Übung 10'!AE$37,0)</f>
        <v/>
      </c>
      <c r="M360" s="62">
        <f>IF(ISNUMBER('Übung 11'!AE$37),'Übung 11'!AE$37,0)</f>
        <v/>
      </c>
      <c r="N360" s="62">
        <f>IF(ISNUMBER('Übung 12'!AE$37),'Übung 12'!AE$37,0)</f>
        <v/>
      </c>
      <c r="O360" s="62">
        <f>IF(ISNUMBER('Übung 13'!AE$37),'Übung 13'!AE$37,0)</f>
        <v/>
      </c>
      <c r="P360" s="62">
        <f>IF(ISNUMBER('Übung 14'!AE$37),'Übung 14'!AE$37,0)</f>
        <v/>
      </c>
      <c r="Q360" s="62">
        <f>IF(ISNUMBER('Übung 15'!AE$37),'Übung 15'!AE$37,0)</f>
        <v/>
      </c>
      <c r="R360" s="62">
        <f>IF(ISNUMBER('Übung 16'!AE$37),'Übung 16'!AE$37,0)</f>
        <v/>
      </c>
      <c r="S360" s="62">
        <f>IF(ISNUMBER('Übung 17'!AE$37),'Übung 17'!AE$37,0)</f>
        <v/>
      </c>
      <c r="T360" s="62">
        <f>IF(ISNUMBER('Übung 18'!AE$37),'Übung 18'!AE$37,0)</f>
        <v/>
      </c>
      <c r="U360" s="62">
        <f>IF(ISNUMBER('Übung 19'!AE$37),'Übung 19'!AE$37,0)</f>
        <v/>
      </c>
      <c r="V360" s="62">
        <f>IF(ISNUMBER('Übung 20'!AE$37),'Übung 20'!AE$37,0)</f>
        <v/>
      </c>
    </row>
    <row r="361">
      <c r="C361" s="62">
        <f>IF(ISNUMBER('Übung 01'!AF$37),'Übung 01'!AF$37,0)</f>
        <v/>
      </c>
      <c r="D361" s="62">
        <f>IF(ISNUMBER('Übung 02'!AF$37),'Übung 02'!AF$37,0)</f>
        <v/>
      </c>
      <c r="E361" s="62">
        <f>IF(ISNUMBER('Übung 03'!AF$37),'Übung 03'!AF$37,0)</f>
        <v/>
      </c>
      <c r="F361" s="62">
        <f>IF(ISNUMBER('Übung 04'!AF$37),'Übung 04'!AF$37,0)</f>
        <v/>
      </c>
      <c r="G361" s="62">
        <f>IF(ISNUMBER('Übung 05'!AF$37),'Übung 05'!AF$37,0)</f>
        <v/>
      </c>
      <c r="H361" s="62">
        <f>IF(ISNUMBER('Übung 06'!AF$37),'Übung 06'!AF$37,0)</f>
        <v/>
      </c>
      <c r="I361" s="62">
        <f>IF(ISNUMBER('Übung 07'!AF$37),'Übung 07'!AF$37,0)</f>
        <v/>
      </c>
      <c r="J361" s="62">
        <f>IF(ISNUMBER('Übung 08'!AF$37),'Übung 08'!AF$37,0)</f>
        <v/>
      </c>
      <c r="K361" s="62">
        <f>IF(ISNUMBER('Übung 09'!AF$37),'Übung 09'!AF$37,0)</f>
        <v/>
      </c>
      <c r="L361" s="62">
        <f>IF(ISNUMBER('Übung 10'!AF$37),'Übung 10'!AF$37,0)</f>
        <v/>
      </c>
      <c r="M361" s="62">
        <f>IF(ISNUMBER('Übung 11'!AF$37),'Übung 11'!AF$37,0)</f>
        <v/>
      </c>
      <c r="N361" s="62">
        <f>IF(ISNUMBER('Übung 12'!AF$37),'Übung 12'!AF$37,0)</f>
        <v/>
      </c>
      <c r="O361" s="62">
        <f>IF(ISNUMBER('Übung 13'!AF$37),'Übung 13'!AF$37,0)</f>
        <v/>
      </c>
      <c r="P361" s="62">
        <f>IF(ISNUMBER('Übung 14'!AF$37),'Übung 14'!AF$37,0)</f>
        <v/>
      </c>
      <c r="Q361" s="62">
        <f>IF(ISNUMBER('Übung 15'!AF$37),'Übung 15'!AF$37,0)</f>
        <v/>
      </c>
      <c r="R361" s="62">
        <f>IF(ISNUMBER('Übung 16'!AF$37),'Übung 16'!AF$37,0)</f>
        <v/>
      </c>
      <c r="S361" s="62">
        <f>IF(ISNUMBER('Übung 17'!AF$37),'Übung 17'!AF$37,0)</f>
        <v/>
      </c>
      <c r="T361" s="62">
        <f>IF(ISNUMBER('Übung 18'!AF$37),'Übung 18'!AF$37,0)</f>
        <v/>
      </c>
      <c r="U361" s="62">
        <f>IF(ISNUMBER('Übung 19'!AF$37),'Übung 19'!AF$37,0)</f>
        <v/>
      </c>
      <c r="V361" s="62">
        <f>IF(ISNUMBER('Übung 20'!AF$37),'Übung 20'!AF$37,0)</f>
        <v/>
      </c>
    </row>
    <row r="362">
      <c r="C362" s="62">
        <f>IF(ISNUMBER('Übung 01'!AG$37),'Übung 01'!AG$37,0)</f>
        <v/>
      </c>
      <c r="D362" s="62">
        <f>IF(ISNUMBER('Übung 02'!AG$37),'Übung 02'!AG$37,0)</f>
        <v/>
      </c>
      <c r="E362" s="62">
        <f>IF(ISNUMBER('Übung 03'!AG$37),'Übung 03'!AG$37,0)</f>
        <v/>
      </c>
      <c r="F362" s="62">
        <f>IF(ISNUMBER('Übung 04'!AG$37),'Übung 04'!AG$37,0)</f>
        <v/>
      </c>
      <c r="G362" s="62">
        <f>IF(ISNUMBER('Übung 05'!AG$37),'Übung 05'!AG$37,0)</f>
        <v/>
      </c>
      <c r="H362" s="62">
        <f>IF(ISNUMBER('Übung 06'!AG$37),'Übung 06'!AG$37,0)</f>
        <v/>
      </c>
      <c r="I362" s="62">
        <f>IF(ISNUMBER('Übung 07'!AG$37),'Übung 07'!AG$37,0)</f>
        <v/>
      </c>
      <c r="J362" s="62">
        <f>IF(ISNUMBER('Übung 08'!AG$37),'Übung 08'!AG$37,0)</f>
        <v/>
      </c>
      <c r="K362" s="62">
        <f>IF(ISNUMBER('Übung 09'!AG$37),'Übung 09'!AG$37,0)</f>
        <v/>
      </c>
      <c r="L362" s="62">
        <f>IF(ISNUMBER('Übung 10'!AG$37),'Übung 10'!AG$37,0)</f>
        <v/>
      </c>
      <c r="M362" s="62">
        <f>IF(ISNUMBER('Übung 11'!AG$37),'Übung 11'!AG$37,0)</f>
        <v/>
      </c>
      <c r="N362" s="62">
        <f>IF(ISNUMBER('Übung 12'!AG$37),'Übung 12'!AG$37,0)</f>
        <v/>
      </c>
      <c r="O362" s="62">
        <f>IF(ISNUMBER('Übung 13'!AG$37),'Übung 13'!AG$37,0)</f>
        <v/>
      </c>
      <c r="P362" s="62">
        <f>IF(ISNUMBER('Übung 14'!AG$37),'Übung 14'!AG$37,0)</f>
        <v/>
      </c>
      <c r="Q362" s="62">
        <f>IF(ISNUMBER('Übung 15'!AG$37),'Übung 15'!AG$37,0)</f>
        <v/>
      </c>
      <c r="R362" s="62">
        <f>IF(ISNUMBER('Übung 16'!AG$37),'Übung 16'!AG$37,0)</f>
        <v/>
      </c>
      <c r="S362" s="62">
        <f>IF(ISNUMBER('Übung 17'!AG$37),'Übung 17'!AG$37,0)</f>
        <v/>
      </c>
      <c r="T362" s="62">
        <f>IF(ISNUMBER('Übung 18'!AG$37),'Übung 18'!AG$37,0)</f>
        <v/>
      </c>
      <c r="U362" s="62">
        <f>IF(ISNUMBER('Übung 19'!AG$37),'Übung 19'!AG$37,0)</f>
        <v/>
      </c>
      <c r="V362" s="62">
        <f>IF(ISNUMBER('Übung 20'!AG$37),'Übung 20'!AG$37,0)</f>
        <v/>
      </c>
    </row>
    <row r="363">
      <c r="C363" s="62">
        <f>IF(ISNUMBER('Übung 01'!AH$37),'Übung 01'!AH$37,0)</f>
        <v/>
      </c>
      <c r="D363" s="62">
        <f>IF(ISNUMBER('Übung 02'!AH$37),'Übung 02'!AH$37,0)</f>
        <v/>
      </c>
      <c r="E363" s="62">
        <f>IF(ISNUMBER('Übung 03'!AH$37),'Übung 03'!AH$37,0)</f>
        <v/>
      </c>
      <c r="F363" s="62">
        <f>IF(ISNUMBER('Übung 04'!AH$37),'Übung 04'!AH$37,0)</f>
        <v/>
      </c>
      <c r="G363" s="62">
        <f>IF(ISNUMBER('Übung 05'!AH$37),'Übung 05'!AH$37,0)</f>
        <v/>
      </c>
      <c r="H363" s="62">
        <f>IF(ISNUMBER('Übung 06'!AH$37),'Übung 06'!AH$37,0)</f>
        <v/>
      </c>
      <c r="I363" s="62">
        <f>IF(ISNUMBER('Übung 07'!AH$37),'Übung 07'!AH$37,0)</f>
        <v/>
      </c>
      <c r="J363" s="62">
        <f>IF(ISNUMBER('Übung 08'!AH$37),'Übung 08'!AH$37,0)</f>
        <v/>
      </c>
      <c r="K363" s="62">
        <f>IF(ISNUMBER('Übung 09'!AH$37),'Übung 09'!AH$37,0)</f>
        <v/>
      </c>
      <c r="L363" s="62">
        <f>IF(ISNUMBER('Übung 10'!AH$37),'Übung 10'!AH$37,0)</f>
        <v/>
      </c>
      <c r="M363" s="62">
        <f>IF(ISNUMBER('Übung 11'!AH$37),'Übung 11'!AH$37,0)</f>
        <v/>
      </c>
      <c r="N363" s="62">
        <f>IF(ISNUMBER('Übung 12'!AH$37),'Übung 12'!AH$37,0)</f>
        <v/>
      </c>
      <c r="O363" s="62">
        <f>IF(ISNUMBER('Übung 13'!AH$37),'Übung 13'!AH$37,0)</f>
        <v/>
      </c>
      <c r="P363" s="62">
        <f>IF(ISNUMBER('Übung 14'!AH$37),'Übung 14'!AH$37,0)</f>
        <v/>
      </c>
      <c r="Q363" s="62">
        <f>IF(ISNUMBER('Übung 15'!AH$37),'Übung 15'!AH$37,0)</f>
        <v/>
      </c>
      <c r="R363" s="62">
        <f>IF(ISNUMBER('Übung 16'!AH$37),'Übung 16'!AH$37,0)</f>
        <v/>
      </c>
      <c r="S363" s="62">
        <f>IF(ISNUMBER('Übung 17'!AH$37),'Übung 17'!AH$37,0)</f>
        <v/>
      </c>
      <c r="T363" s="62">
        <f>IF(ISNUMBER('Übung 18'!AH$37),'Übung 18'!AH$37,0)</f>
        <v/>
      </c>
      <c r="U363" s="62">
        <f>IF(ISNUMBER('Übung 19'!AH$37),'Übung 19'!AH$37,0)</f>
        <v/>
      </c>
      <c r="V363" s="62">
        <f>IF(ISNUMBER('Übung 20'!AH$37),'Übung 20'!AH$37,0)</f>
        <v/>
      </c>
    </row>
    <row r="364">
      <c r="C364" s="62">
        <f>IF(ISNUMBER('Übung 01'!AI$37),'Übung 01'!AI$37,0)</f>
        <v/>
      </c>
      <c r="D364" s="62">
        <f>IF(ISNUMBER('Übung 02'!AI$37),'Übung 02'!AI$37,0)</f>
        <v/>
      </c>
      <c r="E364" s="62">
        <f>IF(ISNUMBER('Übung 03'!AI$37),'Übung 03'!AI$37,0)</f>
        <v/>
      </c>
      <c r="F364" s="62">
        <f>IF(ISNUMBER('Übung 04'!AI$37),'Übung 04'!AI$37,0)</f>
        <v/>
      </c>
      <c r="G364" s="62">
        <f>IF(ISNUMBER('Übung 05'!AI$37),'Übung 05'!AI$37,0)</f>
        <v/>
      </c>
      <c r="H364" s="62">
        <f>IF(ISNUMBER('Übung 06'!AI$37),'Übung 06'!AI$37,0)</f>
        <v/>
      </c>
      <c r="I364" s="62">
        <f>IF(ISNUMBER('Übung 07'!AI$37),'Übung 07'!AI$37,0)</f>
        <v/>
      </c>
      <c r="J364" s="62">
        <f>IF(ISNUMBER('Übung 08'!AI$37),'Übung 08'!AI$37,0)</f>
        <v/>
      </c>
      <c r="K364" s="62">
        <f>IF(ISNUMBER('Übung 09'!AI$37),'Übung 09'!AI$37,0)</f>
        <v/>
      </c>
      <c r="L364" s="62">
        <f>IF(ISNUMBER('Übung 10'!AI$37),'Übung 10'!AI$37,0)</f>
        <v/>
      </c>
      <c r="M364" s="62">
        <f>IF(ISNUMBER('Übung 11'!AI$37),'Übung 11'!AI$37,0)</f>
        <v/>
      </c>
      <c r="N364" s="62">
        <f>IF(ISNUMBER('Übung 12'!AI$37),'Übung 12'!AI$37,0)</f>
        <v/>
      </c>
      <c r="O364" s="62">
        <f>IF(ISNUMBER('Übung 13'!AI$37),'Übung 13'!AI$37,0)</f>
        <v/>
      </c>
      <c r="P364" s="62">
        <f>IF(ISNUMBER('Übung 14'!AI$37),'Übung 14'!AI$37,0)</f>
        <v/>
      </c>
      <c r="Q364" s="62">
        <f>IF(ISNUMBER('Übung 15'!AI$37),'Übung 15'!AI$37,0)</f>
        <v/>
      </c>
      <c r="R364" s="62">
        <f>IF(ISNUMBER('Übung 16'!AI$37),'Übung 16'!AI$37,0)</f>
        <v/>
      </c>
      <c r="S364" s="62">
        <f>IF(ISNUMBER('Übung 17'!AI$37),'Übung 17'!AI$37,0)</f>
        <v/>
      </c>
      <c r="T364" s="62">
        <f>IF(ISNUMBER('Übung 18'!AI$37),'Übung 18'!AI$37,0)</f>
        <v/>
      </c>
      <c r="U364" s="62">
        <f>IF(ISNUMBER('Übung 19'!AI$37),'Übung 19'!AI$37,0)</f>
        <v/>
      </c>
      <c r="V364" s="62">
        <f>IF(ISNUMBER('Übung 20'!AI$37),'Übung 20'!AI$37,0)</f>
        <v/>
      </c>
    </row>
    <row r="365">
      <c r="C365" s="62">
        <f>IF(ISNUMBER('Übung 01'!AJ$37),'Übung 01'!AJ$37,0)</f>
        <v/>
      </c>
      <c r="D365" s="62">
        <f>IF(ISNUMBER('Übung 02'!AJ$37),'Übung 02'!AJ$37,0)</f>
        <v/>
      </c>
      <c r="E365" s="62">
        <f>IF(ISNUMBER('Übung 03'!AJ$37),'Übung 03'!AJ$37,0)</f>
        <v/>
      </c>
      <c r="F365" s="62">
        <f>IF(ISNUMBER('Übung 04'!AJ$37),'Übung 04'!AJ$37,0)</f>
        <v/>
      </c>
      <c r="G365" s="62">
        <f>IF(ISNUMBER('Übung 05'!AJ$37),'Übung 05'!AJ$37,0)</f>
        <v/>
      </c>
      <c r="H365" s="62">
        <f>IF(ISNUMBER('Übung 06'!AJ$37),'Übung 06'!AJ$37,0)</f>
        <v/>
      </c>
      <c r="I365" s="62">
        <f>IF(ISNUMBER('Übung 07'!AJ$37),'Übung 07'!AJ$37,0)</f>
        <v/>
      </c>
      <c r="J365" s="62">
        <f>IF(ISNUMBER('Übung 08'!AJ$37),'Übung 08'!AJ$37,0)</f>
        <v/>
      </c>
      <c r="K365" s="62">
        <f>IF(ISNUMBER('Übung 09'!AJ$37),'Übung 09'!AJ$37,0)</f>
        <v/>
      </c>
      <c r="L365" s="62">
        <f>IF(ISNUMBER('Übung 10'!AJ$37),'Übung 10'!AJ$37,0)</f>
        <v/>
      </c>
      <c r="M365" s="62">
        <f>IF(ISNUMBER('Übung 11'!AJ$37),'Übung 11'!AJ$37,0)</f>
        <v/>
      </c>
      <c r="N365" s="62">
        <f>IF(ISNUMBER('Übung 12'!AJ$37),'Übung 12'!AJ$37,0)</f>
        <v/>
      </c>
      <c r="O365" s="62">
        <f>IF(ISNUMBER('Übung 13'!AJ$37),'Übung 13'!AJ$37,0)</f>
        <v/>
      </c>
      <c r="P365" s="62">
        <f>IF(ISNUMBER('Übung 14'!AJ$37),'Übung 14'!AJ$37,0)</f>
        <v/>
      </c>
      <c r="Q365" s="62">
        <f>IF(ISNUMBER('Übung 15'!AJ$37),'Übung 15'!AJ$37,0)</f>
        <v/>
      </c>
      <c r="R365" s="62">
        <f>IF(ISNUMBER('Übung 16'!AJ$37),'Übung 16'!AJ$37,0)</f>
        <v/>
      </c>
      <c r="S365" s="62">
        <f>IF(ISNUMBER('Übung 17'!AJ$37),'Übung 17'!AJ$37,0)</f>
        <v/>
      </c>
      <c r="T365" s="62">
        <f>IF(ISNUMBER('Übung 18'!AJ$37),'Übung 18'!AJ$37,0)</f>
        <v/>
      </c>
      <c r="U365" s="62">
        <f>IF(ISNUMBER('Übung 19'!AJ$37),'Übung 19'!AJ$37,0)</f>
        <v/>
      </c>
      <c r="V365" s="62">
        <f>IF(ISNUMBER('Übung 20'!AJ$37),'Übung 20'!AJ$37,0)</f>
        <v/>
      </c>
    </row>
    <row r="366">
      <c r="C366" s="62">
        <f>IF(ISNUMBER('Übung 01'!AK$37),'Übung 01'!AK$37,0)</f>
        <v/>
      </c>
      <c r="D366" s="62">
        <f>IF(ISNUMBER('Übung 02'!AK$37),'Übung 02'!AK$37,0)</f>
        <v/>
      </c>
      <c r="E366" s="62">
        <f>IF(ISNUMBER('Übung 03'!AK$37),'Übung 03'!AK$37,0)</f>
        <v/>
      </c>
      <c r="F366" s="62">
        <f>IF(ISNUMBER('Übung 04'!AK$37),'Übung 04'!AK$37,0)</f>
        <v/>
      </c>
      <c r="G366" s="62">
        <f>IF(ISNUMBER('Übung 05'!AK$37),'Übung 05'!AK$37,0)</f>
        <v/>
      </c>
      <c r="H366" s="62">
        <f>IF(ISNUMBER('Übung 06'!AK$37),'Übung 06'!AK$37,0)</f>
        <v/>
      </c>
      <c r="I366" s="62">
        <f>IF(ISNUMBER('Übung 07'!AK$37),'Übung 07'!AK$37,0)</f>
        <v/>
      </c>
      <c r="J366" s="62">
        <f>IF(ISNUMBER('Übung 08'!AK$37),'Übung 08'!AK$37,0)</f>
        <v/>
      </c>
      <c r="K366" s="62">
        <f>IF(ISNUMBER('Übung 09'!AK$37),'Übung 09'!AK$37,0)</f>
        <v/>
      </c>
      <c r="L366" s="62">
        <f>IF(ISNUMBER('Übung 10'!AK$37),'Übung 10'!AK$37,0)</f>
        <v/>
      </c>
      <c r="M366" s="62">
        <f>IF(ISNUMBER('Übung 11'!AK$37),'Übung 11'!AK$37,0)</f>
        <v/>
      </c>
      <c r="N366" s="62">
        <f>IF(ISNUMBER('Übung 12'!AK$37),'Übung 12'!AK$37,0)</f>
        <v/>
      </c>
      <c r="O366" s="62">
        <f>IF(ISNUMBER('Übung 13'!AK$37),'Übung 13'!AK$37,0)</f>
        <v/>
      </c>
      <c r="P366" s="62">
        <f>IF(ISNUMBER('Übung 14'!AK$37),'Übung 14'!AK$37,0)</f>
        <v/>
      </c>
      <c r="Q366" s="62">
        <f>IF(ISNUMBER('Übung 15'!AK$37),'Übung 15'!AK$37,0)</f>
        <v/>
      </c>
      <c r="R366" s="62">
        <f>IF(ISNUMBER('Übung 16'!AK$37),'Übung 16'!AK$37,0)</f>
        <v/>
      </c>
      <c r="S366" s="62">
        <f>IF(ISNUMBER('Übung 17'!AK$37),'Übung 17'!AK$37,0)</f>
        <v/>
      </c>
      <c r="T366" s="62">
        <f>IF(ISNUMBER('Übung 18'!AK$37),'Übung 18'!AK$37,0)</f>
        <v/>
      </c>
      <c r="U366" s="62">
        <f>IF(ISNUMBER('Übung 19'!AK$37),'Übung 19'!AK$37,0)</f>
        <v/>
      </c>
      <c r="V366" s="62">
        <f>IF(ISNUMBER('Übung 20'!AK$37),'Übung 20'!AK$37,0)</f>
        <v/>
      </c>
    </row>
    <row r="367">
      <c r="C367" s="62">
        <f>IF(ISNUMBER('Übung 01'!AL$37),'Übung 01'!AL$37,0)</f>
        <v/>
      </c>
      <c r="D367" s="62">
        <f>IF(ISNUMBER('Übung 02'!AL$37),'Übung 02'!AL$37,0)</f>
        <v/>
      </c>
      <c r="E367" s="62">
        <f>IF(ISNUMBER('Übung 03'!AL$37),'Übung 03'!AL$37,0)</f>
        <v/>
      </c>
      <c r="F367" s="62">
        <f>IF(ISNUMBER('Übung 04'!AL$37),'Übung 04'!AL$37,0)</f>
        <v/>
      </c>
      <c r="G367" s="62">
        <f>IF(ISNUMBER('Übung 05'!AL$37),'Übung 05'!AL$37,0)</f>
        <v/>
      </c>
      <c r="H367" s="62">
        <f>IF(ISNUMBER('Übung 06'!AL$37),'Übung 06'!AL$37,0)</f>
        <v/>
      </c>
      <c r="I367" s="62">
        <f>IF(ISNUMBER('Übung 07'!AL$37),'Übung 07'!AL$37,0)</f>
        <v/>
      </c>
      <c r="J367" s="62">
        <f>IF(ISNUMBER('Übung 08'!AL$37),'Übung 08'!AL$37,0)</f>
        <v/>
      </c>
      <c r="K367" s="62">
        <f>IF(ISNUMBER('Übung 09'!AL$37),'Übung 09'!AL$37,0)</f>
        <v/>
      </c>
      <c r="L367" s="62">
        <f>IF(ISNUMBER('Übung 10'!AL$37),'Übung 10'!AL$37,0)</f>
        <v/>
      </c>
      <c r="M367" s="62">
        <f>IF(ISNUMBER('Übung 11'!AL$37),'Übung 11'!AL$37,0)</f>
        <v/>
      </c>
      <c r="N367" s="62">
        <f>IF(ISNUMBER('Übung 12'!AL$37),'Übung 12'!AL$37,0)</f>
        <v/>
      </c>
      <c r="O367" s="62">
        <f>IF(ISNUMBER('Übung 13'!AL$37),'Übung 13'!AL$37,0)</f>
        <v/>
      </c>
      <c r="P367" s="62">
        <f>IF(ISNUMBER('Übung 14'!AL$37),'Übung 14'!AL$37,0)</f>
        <v/>
      </c>
      <c r="Q367" s="62">
        <f>IF(ISNUMBER('Übung 15'!AL$37),'Übung 15'!AL$37,0)</f>
        <v/>
      </c>
      <c r="R367" s="62">
        <f>IF(ISNUMBER('Übung 16'!AL$37),'Übung 16'!AL$37,0)</f>
        <v/>
      </c>
      <c r="S367" s="62">
        <f>IF(ISNUMBER('Übung 17'!AL$37),'Übung 17'!AL$37,0)</f>
        <v/>
      </c>
      <c r="T367" s="62">
        <f>IF(ISNUMBER('Übung 18'!AL$37),'Übung 18'!AL$37,0)</f>
        <v/>
      </c>
      <c r="U367" s="62">
        <f>IF(ISNUMBER('Übung 19'!AL$37),'Übung 19'!AL$37,0)</f>
        <v/>
      </c>
      <c r="V367" s="62">
        <f>IF(ISNUMBER('Übung 20'!AL$37),'Übung 20'!AL$37,0)</f>
        <v/>
      </c>
    </row>
    <row r="368">
      <c r="C368" s="62">
        <f>IF(ISNUMBER('Übung 01'!AM$37),'Übung 01'!AM$37,0)</f>
        <v/>
      </c>
      <c r="D368" s="62">
        <f>IF(ISNUMBER('Übung 02'!AM$37),'Übung 02'!AM$37,0)</f>
        <v/>
      </c>
      <c r="E368" s="62">
        <f>IF(ISNUMBER('Übung 03'!AM$37),'Übung 03'!AM$37,0)</f>
        <v/>
      </c>
      <c r="F368" s="62">
        <f>IF(ISNUMBER('Übung 04'!AM$37),'Übung 04'!AM$37,0)</f>
        <v/>
      </c>
      <c r="G368" s="62">
        <f>IF(ISNUMBER('Übung 05'!AM$37),'Übung 05'!AM$37,0)</f>
        <v/>
      </c>
      <c r="H368" s="62">
        <f>IF(ISNUMBER('Übung 06'!AM$37),'Übung 06'!AM$37,0)</f>
        <v/>
      </c>
      <c r="I368" s="62">
        <f>IF(ISNUMBER('Übung 07'!AM$37),'Übung 07'!AM$37,0)</f>
        <v/>
      </c>
      <c r="J368" s="62">
        <f>IF(ISNUMBER('Übung 08'!AM$37),'Übung 08'!AM$37,0)</f>
        <v/>
      </c>
      <c r="K368" s="62">
        <f>IF(ISNUMBER('Übung 09'!AM$37),'Übung 09'!AM$37,0)</f>
        <v/>
      </c>
      <c r="L368" s="62">
        <f>IF(ISNUMBER('Übung 10'!AM$37),'Übung 10'!AM$37,0)</f>
        <v/>
      </c>
      <c r="M368" s="62">
        <f>IF(ISNUMBER('Übung 11'!AM$37),'Übung 11'!AM$37,0)</f>
        <v/>
      </c>
      <c r="N368" s="62">
        <f>IF(ISNUMBER('Übung 12'!AM$37),'Übung 12'!AM$37,0)</f>
        <v/>
      </c>
      <c r="O368" s="62">
        <f>IF(ISNUMBER('Übung 13'!AM$37),'Übung 13'!AM$37,0)</f>
        <v/>
      </c>
      <c r="P368" s="62">
        <f>IF(ISNUMBER('Übung 14'!AM$37),'Übung 14'!AM$37,0)</f>
        <v/>
      </c>
      <c r="Q368" s="62">
        <f>IF(ISNUMBER('Übung 15'!AM$37),'Übung 15'!AM$37,0)</f>
        <v/>
      </c>
      <c r="R368" s="62">
        <f>IF(ISNUMBER('Übung 16'!AM$37),'Übung 16'!AM$37,0)</f>
        <v/>
      </c>
      <c r="S368" s="62">
        <f>IF(ISNUMBER('Übung 17'!AM$37),'Übung 17'!AM$37,0)</f>
        <v/>
      </c>
      <c r="T368" s="62">
        <f>IF(ISNUMBER('Übung 18'!AM$37),'Übung 18'!AM$37,0)</f>
        <v/>
      </c>
      <c r="U368" s="62">
        <f>IF(ISNUMBER('Übung 19'!AM$37),'Übung 19'!AM$37,0)</f>
        <v/>
      </c>
      <c r="V368" s="62">
        <f>IF(ISNUMBER('Übung 20'!AM$37),'Übung 20'!AM$37,0)</f>
        <v/>
      </c>
    </row>
    <row r="369">
      <c r="C369" s="62">
        <f>IF(ISNUMBER('Übung 01'!AN$37),'Übung 01'!AN$37,0)</f>
        <v/>
      </c>
      <c r="D369" s="62">
        <f>IF(ISNUMBER('Übung 02'!AN$37),'Übung 02'!AN$37,0)</f>
        <v/>
      </c>
      <c r="E369" s="62">
        <f>IF(ISNUMBER('Übung 03'!AN$37),'Übung 03'!AN$37,0)</f>
        <v/>
      </c>
      <c r="F369" s="62">
        <f>IF(ISNUMBER('Übung 04'!AN$37),'Übung 04'!AN$37,0)</f>
        <v/>
      </c>
      <c r="G369" s="62">
        <f>IF(ISNUMBER('Übung 05'!AN$37),'Übung 05'!AN$37,0)</f>
        <v/>
      </c>
      <c r="H369" s="62">
        <f>IF(ISNUMBER('Übung 06'!AN$37),'Übung 06'!AN$37,0)</f>
        <v/>
      </c>
      <c r="I369" s="62">
        <f>IF(ISNUMBER('Übung 07'!AN$37),'Übung 07'!AN$37,0)</f>
        <v/>
      </c>
      <c r="J369" s="62">
        <f>IF(ISNUMBER('Übung 08'!AN$37),'Übung 08'!AN$37,0)</f>
        <v/>
      </c>
      <c r="K369" s="62">
        <f>IF(ISNUMBER('Übung 09'!AN$37),'Übung 09'!AN$37,0)</f>
        <v/>
      </c>
      <c r="L369" s="62">
        <f>IF(ISNUMBER('Übung 10'!AN$37),'Übung 10'!AN$37,0)</f>
        <v/>
      </c>
      <c r="M369" s="62">
        <f>IF(ISNUMBER('Übung 11'!AN$37),'Übung 11'!AN$37,0)</f>
        <v/>
      </c>
      <c r="N369" s="62">
        <f>IF(ISNUMBER('Übung 12'!AN$37),'Übung 12'!AN$37,0)</f>
        <v/>
      </c>
      <c r="O369" s="62">
        <f>IF(ISNUMBER('Übung 13'!AN$37),'Übung 13'!AN$37,0)</f>
        <v/>
      </c>
      <c r="P369" s="62">
        <f>IF(ISNUMBER('Übung 14'!AN$37),'Übung 14'!AN$37,0)</f>
        <v/>
      </c>
      <c r="Q369" s="62">
        <f>IF(ISNUMBER('Übung 15'!AN$37),'Übung 15'!AN$37,0)</f>
        <v/>
      </c>
      <c r="R369" s="62">
        <f>IF(ISNUMBER('Übung 16'!AN$37),'Übung 16'!AN$37,0)</f>
        <v/>
      </c>
      <c r="S369" s="62">
        <f>IF(ISNUMBER('Übung 17'!AN$37),'Übung 17'!AN$37,0)</f>
        <v/>
      </c>
      <c r="T369" s="62">
        <f>IF(ISNUMBER('Übung 18'!AN$37),'Übung 18'!AN$37,0)</f>
        <v/>
      </c>
      <c r="U369" s="62">
        <f>IF(ISNUMBER('Übung 19'!AN$37),'Übung 19'!AN$37,0)</f>
        <v/>
      </c>
      <c r="V369" s="62">
        <f>IF(ISNUMBER('Übung 20'!AN$37),'Übung 20'!AN$37,0)</f>
        <v/>
      </c>
    </row>
    <row r="370">
      <c r="C370" s="62">
        <f>IF(ISNUMBER('Übung 01'!AO$37),'Übung 01'!AO$37,0)</f>
        <v/>
      </c>
      <c r="D370" s="62">
        <f>IF(ISNUMBER('Übung 02'!AO$37),'Übung 02'!AO$37,0)</f>
        <v/>
      </c>
      <c r="E370" s="62">
        <f>IF(ISNUMBER('Übung 03'!AO$37),'Übung 03'!AO$37,0)</f>
        <v/>
      </c>
      <c r="F370" s="62">
        <f>IF(ISNUMBER('Übung 04'!AO$37),'Übung 04'!AO$37,0)</f>
        <v/>
      </c>
      <c r="G370" s="62">
        <f>IF(ISNUMBER('Übung 05'!AO$37),'Übung 05'!AO$37,0)</f>
        <v/>
      </c>
      <c r="H370" s="62">
        <f>IF(ISNUMBER('Übung 06'!AO$37),'Übung 06'!AO$37,0)</f>
        <v/>
      </c>
      <c r="I370" s="62">
        <f>IF(ISNUMBER('Übung 07'!AO$37),'Übung 07'!AO$37,0)</f>
        <v/>
      </c>
      <c r="J370" s="62">
        <f>IF(ISNUMBER('Übung 08'!AO$37),'Übung 08'!AO$37,0)</f>
        <v/>
      </c>
      <c r="K370" s="62">
        <f>IF(ISNUMBER('Übung 09'!AO$37),'Übung 09'!AO$37,0)</f>
        <v/>
      </c>
      <c r="L370" s="62">
        <f>IF(ISNUMBER('Übung 10'!AO$37),'Übung 10'!AO$37,0)</f>
        <v/>
      </c>
      <c r="M370" s="62">
        <f>IF(ISNUMBER('Übung 11'!AO$37),'Übung 11'!AO$37,0)</f>
        <v/>
      </c>
      <c r="N370" s="62">
        <f>IF(ISNUMBER('Übung 12'!AO$37),'Übung 12'!AO$37,0)</f>
        <v/>
      </c>
      <c r="O370" s="62">
        <f>IF(ISNUMBER('Übung 13'!AO$37),'Übung 13'!AO$37,0)</f>
        <v/>
      </c>
      <c r="P370" s="62">
        <f>IF(ISNUMBER('Übung 14'!AO$37),'Übung 14'!AO$37,0)</f>
        <v/>
      </c>
      <c r="Q370" s="62">
        <f>IF(ISNUMBER('Übung 15'!AO$37),'Übung 15'!AO$37,0)</f>
        <v/>
      </c>
      <c r="R370" s="62">
        <f>IF(ISNUMBER('Übung 16'!AO$37),'Übung 16'!AO$37,0)</f>
        <v/>
      </c>
      <c r="S370" s="62">
        <f>IF(ISNUMBER('Übung 17'!AO$37),'Übung 17'!AO$37,0)</f>
        <v/>
      </c>
      <c r="T370" s="62">
        <f>IF(ISNUMBER('Übung 18'!AO$37),'Übung 18'!AO$37,0)</f>
        <v/>
      </c>
      <c r="U370" s="62">
        <f>IF(ISNUMBER('Übung 19'!AO$37),'Übung 19'!AO$37,0)</f>
        <v/>
      </c>
      <c r="V370" s="62">
        <f>IF(ISNUMBER('Übung 20'!AO$37),'Übung 20'!AO$37,0)</f>
        <v/>
      </c>
    </row>
    <row r="371">
      <c r="C371" s="62">
        <f>IF(ISNUMBER('Übung 01'!AP$37),'Übung 01'!AP$37,0)</f>
        <v/>
      </c>
      <c r="D371" s="62">
        <f>IF(ISNUMBER('Übung 02'!AP$37),'Übung 02'!AP$37,0)</f>
        <v/>
      </c>
      <c r="E371" s="62">
        <f>IF(ISNUMBER('Übung 03'!AP$37),'Übung 03'!AP$37,0)</f>
        <v/>
      </c>
      <c r="F371" s="62">
        <f>IF(ISNUMBER('Übung 04'!AP$37),'Übung 04'!AP$37,0)</f>
        <v/>
      </c>
      <c r="G371" s="62">
        <f>IF(ISNUMBER('Übung 05'!AP$37),'Übung 05'!AP$37,0)</f>
        <v/>
      </c>
      <c r="H371" s="62">
        <f>IF(ISNUMBER('Übung 06'!AP$37),'Übung 06'!AP$37,0)</f>
        <v/>
      </c>
      <c r="I371" s="62">
        <f>IF(ISNUMBER('Übung 07'!AP$37),'Übung 07'!AP$37,0)</f>
        <v/>
      </c>
      <c r="J371" s="62">
        <f>IF(ISNUMBER('Übung 08'!AP$37),'Übung 08'!AP$37,0)</f>
        <v/>
      </c>
      <c r="K371" s="62">
        <f>IF(ISNUMBER('Übung 09'!AP$37),'Übung 09'!AP$37,0)</f>
        <v/>
      </c>
      <c r="L371" s="62">
        <f>IF(ISNUMBER('Übung 10'!AP$37),'Übung 10'!AP$37,0)</f>
        <v/>
      </c>
      <c r="M371" s="62">
        <f>IF(ISNUMBER('Übung 11'!AP$37),'Übung 11'!AP$37,0)</f>
        <v/>
      </c>
      <c r="N371" s="62">
        <f>IF(ISNUMBER('Übung 12'!AP$37),'Übung 12'!AP$37,0)</f>
        <v/>
      </c>
      <c r="O371" s="62">
        <f>IF(ISNUMBER('Übung 13'!AP$37),'Übung 13'!AP$37,0)</f>
        <v/>
      </c>
      <c r="P371" s="62">
        <f>IF(ISNUMBER('Übung 14'!AP$37),'Übung 14'!AP$37,0)</f>
        <v/>
      </c>
      <c r="Q371" s="62">
        <f>IF(ISNUMBER('Übung 15'!AP$37),'Übung 15'!AP$37,0)</f>
        <v/>
      </c>
      <c r="R371" s="62">
        <f>IF(ISNUMBER('Übung 16'!AP$37),'Übung 16'!AP$37,0)</f>
        <v/>
      </c>
      <c r="S371" s="62">
        <f>IF(ISNUMBER('Übung 17'!AP$37),'Übung 17'!AP$37,0)</f>
        <v/>
      </c>
      <c r="T371" s="62">
        <f>IF(ISNUMBER('Übung 18'!AP$37),'Übung 18'!AP$37,0)</f>
        <v/>
      </c>
      <c r="U371" s="62">
        <f>IF(ISNUMBER('Übung 19'!AP$37),'Übung 19'!AP$37,0)</f>
        <v/>
      </c>
      <c r="V371" s="62">
        <f>IF(ISNUMBER('Übung 20'!AP$37),'Übung 20'!AP$37,0)</f>
        <v/>
      </c>
    </row>
    <row r="372">
      <c r="C372" s="62">
        <f>IF(ISNUMBER('Übung 01'!AQ$37),'Übung 01'!AQ$37,0)</f>
        <v/>
      </c>
      <c r="D372" s="62">
        <f>IF(ISNUMBER('Übung 02'!AQ$37),'Übung 02'!AQ$37,0)</f>
        <v/>
      </c>
      <c r="E372" s="62">
        <f>IF(ISNUMBER('Übung 03'!AQ$37),'Übung 03'!AQ$37,0)</f>
        <v/>
      </c>
      <c r="F372" s="62">
        <f>IF(ISNUMBER('Übung 04'!AQ$37),'Übung 04'!AQ$37,0)</f>
        <v/>
      </c>
      <c r="G372" s="62">
        <f>IF(ISNUMBER('Übung 05'!AQ$37),'Übung 05'!AQ$37,0)</f>
        <v/>
      </c>
      <c r="H372" s="62">
        <f>IF(ISNUMBER('Übung 06'!AQ$37),'Übung 06'!AQ$37,0)</f>
        <v/>
      </c>
      <c r="I372" s="62">
        <f>IF(ISNUMBER('Übung 07'!AQ$37),'Übung 07'!AQ$37,0)</f>
        <v/>
      </c>
      <c r="J372" s="62">
        <f>IF(ISNUMBER('Übung 08'!AQ$37),'Übung 08'!AQ$37,0)</f>
        <v/>
      </c>
      <c r="K372" s="62">
        <f>IF(ISNUMBER('Übung 09'!AQ$37),'Übung 09'!AQ$37,0)</f>
        <v/>
      </c>
      <c r="L372" s="62">
        <f>IF(ISNUMBER('Übung 10'!AQ$37),'Übung 10'!AQ$37,0)</f>
        <v/>
      </c>
      <c r="M372" s="62">
        <f>IF(ISNUMBER('Übung 11'!AQ$37),'Übung 11'!AQ$37,0)</f>
        <v/>
      </c>
      <c r="N372" s="62">
        <f>IF(ISNUMBER('Übung 12'!AQ$37),'Übung 12'!AQ$37,0)</f>
        <v/>
      </c>
      <c r="O372" s="62">
        <f>IF(ISNUMBER('Übung 13'!AQ$37),'Übung 13'!AQ$37,0)</f>
        <v/>
      </c>
      <c r="P372" s="62">
        <f>IF(ISNUMBER('Übung 14'!AQ$37),'Übung 14'!AQ$37,0)</f>
        <v/>
      </c>
      <c r="Q372" s="62">
        <f>IF(ISNUMBER('Übung 15'!AQ$37),'Übung 15'!AQ$37,0)</f>
        <v/>
      </c>
      <c r="R372" s="62">
        <f>IF(ISNUMBER('Übung 16'!AQ$37),'Übung 16'!AQ$37,0)</f>
        <v/>
      </c>
      <c r="S372" s="62">
        <f>IF(ISNUMBER('Übung 17'!AQ$37),'Übung 17'!AQ$37,0)</f>
        <v/>
      </c>
      <c r="T372" s="62">
        <f>IF(ISNUMBER('Übung 18'!AQ$37),'Übung 18'!AQ$37,0)</f>
        <v/>
      </c>
      <c r="U372" s="62">
        <f>IF(ISNUMBER('Übung 19'!AQ$37),'Übung 19'!AQ$37,0)</f>
        <v/>
      </c>
      <c r="V372" s="62">
        <f>IF(ISNUMBER('Übung 20'!AQ$37),'Übung 20'!AQ$37,0)</f>
        <v/>
      </c>
    </row>
    <row r="373">
      <c r="C373" s="62">
        <f>IF(ISNUMBER('Übung 01'!AR$37),'Übung 01'!AR$37,0)</f>
        <v/>
      </c>
      <c r="D373" s="62">
        <f>IF(ISNUMBER('Übung 02'!AR$37),'Übung 02'!AR$37,0)</f>
        <v/>
      </c>
      <c r="E373" s="62">
        <f>IF(ISNUMBER('Übung 03'!AR$37),'Übung 03'!AR$37,0)</f>
        <v/>
      </c>
      <c r="F373" s="62">
        <f>IF(ISNUMBER('Übung 04'!AR$37),'Übung 04'!AR$37,0)</f>
        <v/>
      </c>
      <c r="G373" s="62">
        <f>IF(ISNUMBER('Übung 05'!AR$37),'Übung 05'!AR$37,0)</f>
        <v/>
      </c>
      <c r="H373" s="62">
        <f>IF(ISNUMBER('Übung 06'!AR$37),'Übung 06'!AR$37,0)</f>
        <v/>
      </c>
      <c r="I373" s="62">
        <f>IF(ISNUMBER('Übung 07'!AR$37),'Übung 07'!AR$37,0)</f>
        <v/>
      </c>
      <c r="J373" s="62">
        <f>IF(ISNUMBER('Übung 08'!AR$37),'Übung 08'!AR$37,0)</f>
        <v/>
      </c>
      <c r="K373" s="62">
        <f>IF(ISNUMBER('Übung 09'!AR$37),'Übung 09'!AR$37,0)</f>
        <v/>
      </c>
      <c r="L373" s="62">
        <f>IF(ISNUMBER('Übung 10'!AR$37),'Übung 10'!AR$37,0)</f>
        <v/>
      </c>
      <c r="M373" s="62">
        <f>IF(ISNUMBER('Übung 11'!AR$37),'Übung 11'!AR$37,0)</f>
        <v/>
      </c>
      <c r="N373" s="62">
        <f>IF(ISNUMBER('Übung 12'!AR$37),'Übung 12'!AR$37,0)</f>
        <v/>
      </c>
      <c r="O373" s="62">
        <f>IF(ISNUMBER('Übung 13'!AR$37),'Übung 13'!AR$37,0)</f>
        <v/>
      </c>
      <c r="P373" s="62">
        <f>IF(ISNUMBER('Übung 14'!AR$37),'Übung 14'!AR$37,0)</f>
        <v/>
      </c>
      <c r="Q373" s="62">
        <f>IF(ISNUMBER('Übung 15'!AR$37),'Übung 15'!AR$37,0)</f>
        <v/>
      </c>
      <c r="R373" s="62">
        <f>IF(ISNUMBER('Übung 16'!AR$37),'Übung 16'!AR$37,0)</f>
        <v/>
      </c>
      <c r="S373" s="62">
        <f>IF(ISNUMBER('Übung 17'!AR$37),'Übung 17'!AR$37,0)</f>
        <v/>
      </c>
      <c r="T373" s="62">
        <f>IF(ISNUMBER('Übung 18'!AR$37),'Übung 18'!AR$37,0)</f>
        <v/>
      </c>
      <c r="U373" s="62">
        <f>IF(ISNUMBER('Übung 19'!AR$37),'Übung 19'!AR$37,0)</f>
        <v/>
      </c>
      <c r="V373" s="62">
        <f>IF(ISNUMBER('Übung 20'!AR$37),'Übung 20'!AR$37,0)</f>
        <v/>
      </c>
    </row>
    <row r="374">
      <c r="C374" s="62">
        <f>IF(ISNUMBER('Übung 01'!AS$37),'Übung 01'!AS$37,0)</f>
        <v/>
      </c>
      <c r="D374" s="62">
        <f>IF(ISNUMBER('Übung 02'!AS$37),'Übung 02'!AS$37,0)</f>
        <v/>
      </c>
      <c r="E374" s="62">
        <f>IF(ISNUMBER('Übung 03'!AS$37),'Übung 03'!AS$37,0)</f>
        <v/>
      </c>
      <c r="F374" s="62">
        <f>IF(ISNUMBER('Übung 04'!AS$37),'Übung 04'!AS$37,0)</f>
        <v/>
      </c>
      <c r="G374" s="62">
        <f>IF(ISNUMBER('Übung 05'!AS$37),'Übung 05'!AS$37,0)</f>
        <v/>
      </c>
      <c r="H374" s="62">
        <f>IF(ISNUMBER('Übung 06'!AS$37),'Übung 06'!AS$37,0)</f>
        <v/>
      </c>
      <c r="I374" s="62">
        <f>IF(ISNUMBER('Übung 07'!AS$37),'Übung 07'!AS$37,0)</f>
        <v/>
      </c>
      <c r="J374" s="62">
        <f>IF(ISNUMBER('Übung 08'!AS$37),'Übung 08'!AS$37,0)</f>
        <v/>
      </c>
      <c r="K374" s="62">
        <f>IF(ISNUMBER('Übung 09'!AS$37),'Übung 09'!AS$37,0)</f>
        <v/>
      </c>
      <c r="L374" s="62">
        <f>IF(ISNUMBER('Übung 10'!AS$37),'Übung 10'!AS$37,0)</f>
        <v/>
      </c>
      <c r="M374" s="62">
        <f>IF(ISNUMBER('Übung 11'!AS$37),'Übung 11'!AS$37,0)</f>
        <v/>
      </c>
      <c r="N374" s="62">
        <f>IF(ISNUMBER('Übung 12'!AS$37),'Übung 12'!AS$37,0)</f>
        <v/>
      </c>
      <c r="O374" s="62">
        <f>IF(ISNUMBER('Übung 13'!AS$37),'Übung 13'!AS$37,0)</f>
        <v/>
      </c>
      <c r="P374" s="62">
        <f>IF(ISNUMBER('Übung 14'!AS$37),'Übung 14'!AS$37,0)</f>
        <v/>
      </c>
      <c r="Q374" s="62">
        <f>IF(ISNUMBER('Übung 15'!AS$37),'Übung 15'!AS$37,0)</f>
        <v/>
      </c>
      <c r="R374" s="62">
        <f>IF(ISNUMBER('Übung 16'!AS$37),'Übung 16'!AS$37,0)</f>
        <v/>
      </c>
      <c r="S374" s="62">
        <f>IF(ISNUMBER('Übung 17'!AS$37),'Übung 17'!AS$37,0)</f>
        <v/>
      </c>
      <c r="T374" s="62">
        <f>IF(ISNUMBER('Übung 18'!AS$37),'Übung 18'!AS$37,0)</f>
        <v/>
      </c>
      <c r="U374" s="62">
        <f>IF(ISNUMBER('Übung 19'!AS$37),'Übung 19'!AS$37,0)</f>
        <v/>
      </c>
      <c r="V374" s="62">
        <f>IF(ISNUMBER('Übung 20'!AS$37),'Übung 20'!AS$37,0)</f>
        <v/>
      </c>
    </row>
    <row r="375">
      <c r="C375" s="62">
        <f>IF(ISNUMBER('Übung 01'!AT$37),'Übung 01'!AT$37,0)</f>
        <v/>
      </c>
      <c r="D375" s="62">
        <f>IF(ISNUMBER('Übung 02'!AT$37),'Übung 02'!AT$37,0)</f>
        <v/>
      </c>
      <c r="E375" s="62">
        <f>IF(ISNUMBER('Übung 03'!AT$37),'Übung 03'!AT$37,0)</f>
        <v/>
      </c>
      <c r="F375" s="62">
        <f>IF(ISNUMBER('Übung 04'!AT$37),'Übung 04'!AT$37,0)</f>
        <v/>
      </c>
      <c r="G375" s="62">
        <f>IF(ISNUMBER('Übung 05'!AT$37),'Übung 05'!AT$37,0)</f>
        <v/>
      </c>
      <c r="H375" s="62">
        <f>IF(ISNUMBER('Übung 06'!AT$37),'Übung 06'!AT$37,0)</f>
        <v/>
      </c>
      <c r="I375" s="62">
        <f>IF(ISNUMBER('Übung 07'!AT$37),'Übung 07'!AT$37,0)</f>
        <v/>
      </c>
      <c r="J375" s="62">
        <f>IF(ISNUMBER('Übung 08'!AT$37),'Übung 08'!AT$37,0)</f>
        <v/>
      </c>
      <c r="K375" s="62">
        <f>IF(ISNUMBER('Übung 09'!AT$37),'Übung 09'!AT$37,0)</f>
        <v/>
      </c>
      <c r="L375" s="62">
        <f>IF(ISNUMBER('Übung 10'!AT$37),'Übung 10'!AT$37,0)</f>
        <v/>
      </c>
      <c r="M375" s="62">
        <f>IF(ISNUMBER('Übung 11'!AT$37),'Übung 11'!AT$37,0)</f>
        <v/>
      </c>
      <c r="N375" s="62">
        <f>IF(ISNUMBER('Übung 12'!AT$37),'Übung 12'!AT$37,0)</f>
        <v/>
      </c>
      <c r="O375" s="62">
        <f>IF(ISNUMBER('Übung 13'!AT$37),'Übung 13'!AT$37,0)</f>
        <v/>
      </c>
      <c r="P375" s="62">
        <f>IF(ISNUMBER('Übung 14'!AT$37),'Übung 14'!AT$37,0)</f>
        <v/>
      </c>
      <c r="Q375" s="62">
        <f>IF(ISNUMBER('Übung 15'!AT$37),'Übung 15'!AT$37,0)</f>
        <v/>
      </c>
      <c r="R375" s="62">
        <f>IF(ISNUMBER('Übung 16'!AT$37),'Übung 16'!AT$37,0)</f>
        <v/>
      </c>
      <c r="S375" s="62">
        <f>IF(ISNUMBER('Übung 17'!AT$37),'Übung 17'!AT$37,0)</f>
        <v/>
      </c>
      <c r="T375" s="62">
        <f>IF(ISNUMBER('Übung 18'!AT$37),'Übung 18'!AT$37,0)</f>
        <v/>
      </c>
      <c r="U375" s="62">
        <f>IF(ISNUMBER('Übung 19'!AT$37),'Übung 19'!AT$37,0)</f>
        <v/>
      </c>
      <c r="V375" s="62">
        <f>IF(ISNUMBER('Übung 20'!AT$37),'Übung 20'!AT$37,0)</f>
        <v/>
      </c>
    </row>
    <row r="376">
      <c r="C376" s="62">
        <f>IF(ISNUMBER('Übung 01'!AU$37),'Übung 01'!AU$37,0)</f>
        <v/>
      </c>
      <c r="D376" s="62">
        <f>IF(ISNUMBER('Übung 02'!AU$37),'Übung 02'!AU$37,0)</f>
        <v/>
      </c>
      <c r="E376" s="62">
        <f>IF(ISNUMBER('Übung 03'!AU$37),'Übung 03'!AU$37,0)</f>
        <v/>
      </c>
      <c r="F376" s="62">
        <f>IF(ISNUMBER('Übung 04'!AU$37),'Übung 04'!AU$37,0)</f>
        <v/>
      </c>
      <c r="G376" s="62">
        <f>IF(ISNUMBER('Übung 05'!AU$37),'Übung 05'!AU$37,0)</f>
        <v/>
      </c>
      <c r="H376" s="62">
        <f>IF(ISNUMBER('Übung 06'!AU$37),'Übung 06'!AU$37,0)</f>
        <v/>
      </c>
      <c r="I376" s="62">
        <f>IF(ISNUMBER('Übung 07'!AU$37),'Übung 07'!AU$37,0)</f>
        <v/>
      </c>
      <c r="J376" s="62">
        <f>IF(ISNUMBER('Übung 08'!AU$37),'Übung 08'!AU$37,0)</f>
        <v/>
      </c>
      <c r="K376" s="62">
        <f>IF(ISNUMBER('Übung 09'!AU$37),'Übung 09'!AU$37,0)</f>
        <v/>
      </c>
      <c r="L376" s="62">
        <f>IF(ISNUMBER('Übung 10'!AU$37),'Übung 10'!AU$37,0)</f>
        <v/>
      </c>
      <c r="M376" s="62">
        <f>IF(ISNUMBER('Übung 11'!AU$37),'Übung 11'!AU$37,0)</f>
        <v/>
      </c>
      <c r="N376" s="62">
        <f>IF(ISNUMBER('Übung 12'!AU$37),'Übung 12'!AU$37,0)</f>
        <v/>
      </c>
      <c r="O376" s="62">
        <f>IF(ISNUMBER('Übung 13'!AU$37),'Übung 13'!AU$37,0)</f>
        <v/>
      </c>
      <c r="P376" s="62">
        <f>IF(ISNUMBER('Übung 14'!AU$37),'Übung 14'!AU$37,0)</f>
        <v/>
      </c>
      <c r="Q376" s="62">
        <f>IF(ISNUMBER('Übung 15'!AU$37),'Übung 15'!AU$37,0)</f>
        <v/>
      </c>
      <c r="R376" s="62">
        <f>IF(ISNUMBER('Übung 16'!AU$37),'Übung 16'!AU$37,0)</f>
        <v/>
      </c>
      <c r="S376" s="62">
        <f>IF(ISNUMBER('Übung 17'!AU$37),'Übung 17'!AU$37,0)</f>
        <v/>
      </c>
      <c r="T376" s="62">
        <f>IF(ISNUMBER('Übung 18'!AU$37),'Übung 18'!AU$37,0)</f>
        <v/>
      </c>
      <c r="U376" s="62">
        <f>IF(ISNUMBER('Übung 19'!AU$37),'Übung 19'!AU$37,0)</f>
        <v/>
      </c>
      <c r="V376" s="62">
        <f>IF(ISNUMBER('Übung 20'!AU$37),'Übung 20'!AU$37,0)</f>
        <v/>
      </c>
    </row>
    <row r="377">
      <c r="C377" s="62">
        <f>IF(ISNUMBER('Übung 01'!AV$37),'Übung 01'!AV$37,0)</f>
        <v/>
      </c>
      <c r="D377" s="62">
        <f>IF(ISNUMBER('Übung 02'!AV$37),'Übung 02'!AV$37,0)</f>
        <v/>
      </c>
      <c r="E377" s="62">
        <f>IF(ISNUMBER('Übung 03'!AV$37),'Übung 03'!AV$37,0)</f>
        <v/>
      </c>
      <c r="F377" s="62">
        <f>IF(ISNUMBER('Übung 04'!AV$37),'Übung 04'!AV$37,0)</f>
        <v/>
      </c>
      <c r="G377" s="62">
        <f>IF(ISNUMBER('Übung 05'!AV$37),'Übung 05'!AV$37,0)</f>
        <v/>
      </c>
      <c r="H377" s="62">
        <f>IF(ISNUMBER('Übung 06'!AV$37),'Übung 06'!AV$37,0)</f>
        <v/>
      </c>
      <c r="I377" s="62">
        <f>IF(ISNUMBER('Übung 07'!AV$37),'Übung 07'!AV$37,0)</f>
        <v/>
      </c>
      <c r="J377" s="62">
        <f>IF(ISNUMBER('Übung 08'!AV$37),'Übung 08'!AV$37,0)</f>
        <v/>
      </c>
      <c r="K377" s="62">
        <f>IF(ISNUMBER('Übung 09'!AV$37),'Übung 09'!AV$37,0)</f>
        <v/>
      </c>
      <c r="L377" s="62">
        <f>IF(ISNUMBER('Übung 10'!AV$37),'Übung 10'!AV$37,0)</f>
        <v/>
      </c>
      <c r="M377" s="62">
        <f>IF(ISNUMBER('Übung 11'!AV$37),'Übung 11'!AV$37,0)</f>
        <v/>
      </c>
      <c r="N377" s="62">
        <f>IF(ISNUMBER('Übung 12'!AV$37),'Übung 12'!AV$37,0)</f>
        <v/>
      </c>
      <c r="O377" s="62">
        <f>IF(ISNUMBER('Übung 13'!AV$37),'Übung 13'!AV$37,0)</f>
        <v/>
      </c>
      <c r="P377" s="62">
        <f>IF(ISNUMBER('Übung 14'!AV$37),'Übung 14'!AV$37,0)</f>
        <v/>
      </c>
      <c r="Q377" s="62">
        <f>IF(ISNUMBER('Übung 15'!AV$37),'Übung 15'!AV$37,0)</f>
        <v/>
      </c>
      <c r="R377" s="62">
        <f>IF(ISNUMBER('Übung 16'!AV$37),'Übung 16'!AV$37,0)</f>
        <v/>
      </c>
      <c r="S377" s="62">
        <f>IF(ISNUMBER('Übung 17'!AV$37),'Übung 17'!AV$37,0)</f>
        <v/>
      </c>
      <c r="T377" s="62">
        <f>IF(ISNUMBER('Übung 18'!AV$37),'Übung 18'!AV$37,0)</f>
        <v/>
      </c>
      <c r="U377" s="62">
        <f>IF(ISNUMBER('Übung 19'!AV$37),'Übung 19'!AV$37,0)</f>
        <v/>
      </c>
      <c r="V377" s="62">
        <f>IF(ISNUMBER('Übung 20'!AV$37),'Übung 20'!AV$37,0)</f>
        <v/>
      </c>
    </row>
    <row r="378">
      <c r="C378" s="62">
        <f>IF(ISNUMBER('Übung 01'!AW$37),'Übung 01'!AW$37,0)</f>
        <v/>
      </c>
      <c r="D378" s="62">
        <f>IF(ISNUMBER('Übung 02'!AW$37),'Übung 02'!AW$37,0)</f>
        <v/>
      </c>
      <c r="E378" s="62">
        <f>IF(ISNUMBER('Übung 03'!AW$37),'Übung 03'!AW$37,0)</f>
        <v/>
      </c>
      <c r="F378" s="62">
        <f>IF(ISNUMBER('Übung 04'!AW$37),'Übung 04'!AW$37,0)</f>
        <v/>
      </c>
      <c r="G378" s="62">
        <f>IF(ISNUMBER('Übung 05'!AW$37),'Übung 05'!AW$37,0)</f>
        <v/>
      </c>
      <c r="H378" s="62">
        <f>IF(ISNUMBER('Übung 06'!AW$37),'Übung 06'!AW$37,0)</f>
        <v/>
      </c>
      <c r="I378" s="62">
        <f>IF(ISNUMBER('Übung 07'!AW$37),'Übung 07'!AW$37,0)</f>
        <v/>
      </c>
      <c r="J378" s="62">
        <f>IF(ISNUMBER('Übung 08'!AW$37),'Übung 08'!AW$37,0)</f>
        <v/>
      </c>
      <c r="K378" s="62">
        <f>IF(ISNUMBER('Übung 09'!AW$37),'Übung 09'!AW$37,0)</f>
        <v/>
      </c>
      <c r="L378" s="62">
        <f>IF(ISNUMBER('Übung 10'!AW$37),'Übung 10'!AW$37,0)</f>
        <v/>
      </c>
      <c r="M378" s="62">
        <f>IF(ISNUMBER('Übung 11'!AW$37),'Übung 11'!AW$37,0)</f>
        <v/>
      </c>
      <c r="N378" s="62">
        <f>IF(ISNUMBER('Übung 12'!AW$37),'Übung 12'!AW$37,0)</f>
        <v/>
      </c>
      <c r="O378" s="62">
        <f>IF(ISNUMBER('Übung 13'!AW$37),'Übung 13'!AW$37,0)</f>
        <v/>
      </c>
      <c r="P378" s="62">
        <f>IF(ISNUMBER('Übung 14'!AW$37),'Übung 14'!AW$37,0)</f>
        <v/>
      </c>
      <c r="Q378" s="62">
        <f>IF(ISNUMBER('Übung 15'!AW$37),'Übung 15'!AW$37,0)</f>
        <v/>
      </c>
      <c r="R378" s="62">
        <f>IF(ISNUMBER('Übung 16'!AW$37),'Übung 16'!AW$37,0)</f>
        <v/>
      </c>
      <c r="S378" s="62">
        <f>IF(ISNUMBER('Übung 17'!AW$37),'Übung 17'!AW$37,0)</f>
        <v/>
      </c>
      <c r="T378" s="62">
        <f>IF(ISNUMBER('Übung 18'!AW$37),'Übung 18'!AW$37,0)</f>
        <v/>
      </c>
      <c r="U378" s="62">
        <f>IF(ISNUMBER('Übung 19'!AW$37),'Übung 19'!AW$37,0)</f>
        <v/>
      </c>
      <c r="V378" s="62">
        <f>IF(ISNUMBER('Übung 20'!AW$37),'Übung 20'!AW$37,0)</f>
        <v/>
      </c>
    </row>
    <row r="379">
      <c r="C379" s="62">
        <f>IF(ISNUMBER('Übung 01'!AX$37),'Übung 01'!AX$37,0)</f>
        <v/>
      </c>
      <c r="D379" s="62">
        <f>IF(ISNUMBER('Übung 02'!AX$37),'Übung 02'!AX$37,0)</f>
        <v/>
      </c>
      <c r="E379" s="62">
        <f>IF(ISNUMBER('Übung 03'!AX$37),'Übung 03'!AX$37,0)</f>
        <v/>
      </c>
      <c r="F379" s="62">
        <f>IF(ISNUMBER('Übung 04'!AX$37),'Übung 04'!AX$37,0)</f>
        <v/>
      </c>
      <c r="G379" s="62">
        <f>IF(ISNUMBER('Übung 05'!AX$37),'Übung 05'!AX$37,0)</f>
        <v/>
      </c>
      <c r="H379" s="62">
        <f>IF(ISNUMBER('Übung 06'!AX$37),'Übung 06'!AX$37,0)</f>
        <v/>
      </c>
      <c r="I379" s="62">
        <f>IF(ISNUMBER('Übung 07'!AX$37),'Übung 07'!AX$37,0)</f>
        <v/>
      </c>
      <c r="J379" s="62">
        <f>IF(ISNUMBER('Übung 08'!AX$37),'Übung 08'!AX$37,0)</f>
        <v/>
      </c>
      <c r="K379" s="62">
        <f>IF(ISNUMBER('Übung 09'!AX$37),'Übung 09'!AX$37,0)</f>
        <v/>
      </c>
      <c r="L379" s="62">
        <f>IF(ISNUMBER('Übung 10'!AX$37),'Übung 10'!AX$37,0)</f>
        <v/>
      </c>
      <c r="M379" s="62">
        <f>IF(ISNUMBER('Übung 11'!AX$37),'Übung 11'!AX$37,0)</f>
        <v/>
      </c>
      <c r="N379" s="62">
        <f>IF(ISNUMBER('Übung 12'!AX$37),'Übung 12'!AX$37,0)</f>
        <v/>
      </c>
      <c r="O379" s="62">
        <f>IF(ISNUMBER('Übung 13'!AX$37),'Übung 13'!AX$37,0)</f>
        <v/>
      </c>
      <c r="P379" s="62">
        <f>IF(ISNUMBER('Übung 14'!AX$37),'Übung 14'!AX$37,0)</f>
        <v/>
      </c>
      <c r="Q379" s="62">
        <f>IF(ISNUMBER('Übung 15'!AX$37),'Übung 15'!AX$37,0)</f>
        <v/>
      </c>
      <c r="R379" s="62">
        <f>IF(ISNUMBER('Übung 16'!AX$37),'Übung 16'!AX$37,0)</f>
        <v/>
      </c>
      <c r="S379" s="62">
        <f>IF(ISNUMBER('Übung 17'!AX$37),'Übung 17'!AX$37,0)</f>
        <v/>
      </c>
      <c r="T379" s="62">
        <f>IF(ISNUMBER('Übung 18'!AX$37),'Übung 18'!AX$37,0)</f>
        <v/>
      </c>
      <c r="U379" s="62">
        <f>IF(ISNUMBER('Übung 19'!AX$37),'Übung 19'!AX$37,0)</f>
        <v/>
      </c>
      <c r="V379" s="62">
        <f>IF(ISNUMBER('Übung 20'!AX$37),'Übung 20'!AX$37,0)</f>
        <v/>
      </c>
    </row>
    <row r="380">
      <c r="C380" s="62">
        <f>IF(ISNUMBER('Übung 01'!AY$37),'Übung 01'!AY$37,0)</f>
        <v/>
      </c>
      <c r="D380" s="62">
        <f>IF(ISNUMBER('Übung 02'!AY$37),'Übung 02'!AY$37,0)</f>
        <v/>
      </c>
      <c r="E380" s="62">
        <f>IF(ISNUMBER('Übung 03'!AY$37),'Übung 03'!AY$37,0)</f>
        <v/>
      </c>
      <c r="F380" s="62">
        <f>IF(ISNUMBER('Übung 04'!AY$37),'Übung 04'!AY$37,0)</f>
        <v/>
      </c>
      <c r="G380" s="62">
        <f>IF(ISNUMBER('Übung 05'!AY$37),'Übung 05'!AY$37,0)</f>
        <v/>
      </c>
      <c r="H380" s="62">
        <f>IF(ISNUMBER('Übung 06'!AY$37),'Übung 06'!AY$37,0)</f>
        <v/>
      </c>
      <c r="I380" s="62">
        <f>IF(ISNUMBER('Übung 07'!AY$37),'Übung 07'!AY$37,0)</f>
        <v/>
      </c>
      <c r="J380" s="62">
        <f>IF(ISNUMBER('Übung 08'!AY$37),'Übung 08'!AY$37,0)</f>
        <v/>
      </c>
      <c r="K380" s="62">
        <f>IF(ISNUMBER('Übung 09'!AY$37),'Übung 09'!AY$37,0)</f>
        <v/>
      </c>
      <c r="L380" s="62">
        <f>IF(ISNUMBER('Übung 10'!AY$37),'Übung 10'!AY$37,0)</f>
        <v/>
      </c>
      <c r="M380" s="62">
        <f>IF(ISNUMBER('Übung 11'!AY$37),'Übung 11'!AY$37,0)</f>
        <v/>
      </c>
      <c r="N380" s="62">
        <f>IF(ISNUMBER('Übung 12'!AY$37),'Übung 12'!AY$37,0)</f>
        <v/>
      </c>
      <c r="O380" s="62">
        <f>IF(ISNUMBER('Übung 13'!AY$37),'Übung 13'!AY$37,0)</f>
        <v/>
      </c>
      <c r="P380" s="62">
        <f>IF(ISNUMBER('Übung 14'!AY$37),'Übung 14'!AY$37,0)</f>
        <v/>
      </c>
      <c r="Q380" s="62">
        <f>IF(ISNUMBER('Übung 15'!AY$37),'Übung 15'!AY$37,0)</f>
        <v/>
      </c>
      <c r="R380" s="62">
        <f>IF(ISNUMBER('Übung 16'!AY$37),'Übung 16'!AY$37,0)</f>
        <v/>
      </c>
      <c r="S380" s="62">
        <f>IF(ISNUMBER('Übung 17'!AY$37),'Übung 17'!AY$37,0)</f>
        <v/>
      </c>
      <c r="T380" s="62">
        <f>IF(ISNUMBER('Übung 18'!AY$37),'Übung 18'!AY$37,0)</f>
        <v/>
      </c>
      <c r="U380" s="62">
        <f>IF(ISNUMBER('Übung 19'!AY$37),'Übung 19'!AY$37,0)</f>
        <v/>
      </c>
      <c r="V380" s="62">
        <f>IF(ISNUMBER('Übung 20'!AY$37),'Übung 20'!AY$37,0)</f>
        <v/>
      </c>
    </row>
    <row r="381">
      <c r="C381" s="62">
        <f>IF(ISNUMBER('Übung 01'!AZ$37),'Übung 01'!AZ$37,0)</f>
        <v/>
      </c>
      <c r="D381" s="62">
        <f>IF(ISNUMBER('Übung 02'!AZ$37),'Übung 02'!AZ$37,0)</f>
        <v/>
      </c>
      <c r="E381" s="62">
        <f>IF(ISNUMBER('Übung 03'!AZ$37),'Übung 03'!AZ$37,0)</f>
        <v/>
      </c>
      <c r="F381" s="62">
        <f>IF(ISNUMBER('Übung 04'!AZ$37),'Übung 04'!AZ$37,0)</f>
        <v/>
      </c>
      <c r="G381" s="62">
        <f>IF(ISNUMBER('Übung 05'!AZ$37),'Übung 05'!AZ$37,0)</f>
        <v/>
      </c>
      <c r="H381" s="62">
        <f>IF(ISNUMBER('Übung 06'!AZ$37),'Übung 06'!AZ$37,0)</f>
        <v/>
      </c>
      <c r="I381" s="62">
        <f>IF(ISNUMBER('Übung 07'!AZ$37),'Übung 07'!AZ$37,0)</f>
        <v/>
      </c>
      <c r="J381" s="62">
        <f>IF(ISNUMBER('Übung 08'!AZ$37),'Übung 08'!AZ$37,0)</f>
        <v/>
      </c>
      <c r="K381" s="62">
        <f>IF(ISNUMBER('Übung 09'!AZ$37),'Übung 09'!AZ$37,0)</f>
        <v/>
      </c>
      <c r="L381" s="62">
        <f>IF(ISNUMBER('Übung 10'!AZ$37),'Übung 10'!AZ$37,0)</f>
        <v/>
      </c>
      <c r="M381" s="62">
        <f>IF(ISNUMBER('Übung 11'!AZ$37),'Übung 11'!AZ$37,0)</f>
        <v/>
      </c>
      <c r="N381" s="62">
        <f>IF(ISNUMBER('Übung 12'!AZ$37),'Übung 12'!AZ$37,0)</f>
        <v/>
      </c>
      <c r="O381" s="62">
        <f>IF(ISNUMBER('Übung 13'!AZ$37),'Übung 13'!AZ$37,0)</f>
        <v/>
      </c>
      <c r="P381" s="62">
        <f>IF(ISNUMBER('Übung 14'!AZ$37),'Übung 14'!AZ$37,0)</f>
        <v/>
      </c>
      <c r="Q381" s="62">
        <f>IF(ISNUMBER('Übung 15'!AZ$37),'Übung 15'!AZ$37,0)</f>
        <v/>
      </c>
      <c r="R381" s="62">
        <f>IF(ISNUMBER('Übung 16'!AZ$37),'Übung 16'!AZ$37,0)</f>
        <v/>
      </c>
      <c r="S381" s="62">
        <f>IF(ISNUMBER('Übung 17'!AZ$37),'Übung 17'!AZ$37,0)</f>
        <v/>
      </c>
      <c r="T381" s="62">
        <f>IF(ISNUMBER('Übung 18'!AZ$37),'Übung 18'!AZ$37,0)</f>
        <v/>
      </c>
      <c r="U381" s="62">
        <f>IF(ISNUMBER('Übung 19'!AZ$37),'Übung 19'!AZ$37,0)</f>
        <v/>
      </c>
      <c r="V381" s="62">
        <f>IF(ISNUMBER('Übung 20'!AZ$37),'Übung 20'!AZ$37,0)</f>
        <v/>
      </c>
    </row>
    <row r="382">
      <c r="C382" s="62">
        <f>IF(ISNUMBER('Übung 01'!BA$37),'Übung 01'!BA$37,0)</f>
        <v/>
      </c>
      <c r="D382" s="62">
        <f>IF(ISNUMBER('Übung 02'!BA$37),'Übung 02'!BA$37,0)</f>
        <v/>
      </c>
      <c r="E382" s="62">
        <f>IF(ISNUMBER('Übung 03'!BA$37),'Übung 03'!BA$37,0)</f>
        <v/>
      </c>
      <c r="F382" s="62">
        <f>IF(ISNUMBER('Übung 04'!BA$37),'Übung 04'!BA$37,0)</f>
        <v/>
      </c>
      <c r="G382" s="62">
        <f>IF(ISNUMBER('Übung 05'!BA$37),'Übung 05'!BA$37,0)</f>
        <v/>
      </c>
      <c r="H382" s="62">
        <f>IF(ISNUMBER('Übung 06'!BA$37),'Übung 06'!BA$37,0)</f>
        <v/>
      </c>
      <c r="I382" s="62">
        <f>IF(ISNUMBER('Übung 07'!BA$37),'Übung 07'!BA$37,0)</f>
        <v/>
      </c>
      <c r="J382" s="62">
        <f>IF(ISNUMBER('Übung 08'!BA$37),'Übung 08'!BA$37,0)</f>
        <v/>
      </c>
      <c r="K382" s="62">
        <f>IF(ISNUMBER('Übung 09'!BA$37),'Übung 09'!BA$37,0)</f>
        <v/>
      </c>
      <c r="L382" s="62">
        <f>IF(ISNUMBER('Übung 10'!BA$37),'Übung 10'!BA$37,0)</f>
        <v/>
      </c>
      <c r="M382" s="62">
        <f>IF(ISNUMBER('Übung 11'!BA$37),'Übung 11'!BA$37,0)</f>
        <v/>
      </c>
      <c r="N382" s="62">
        <f>IF(ISNUMBER('Übung 12'!BA$37),'Übung 12'!BA$37,0)</f>
        <v/>
      </c>
      <c r="O382" s="62">
        <f>IF(ISNUMBER('Übung 13'!BA$37),'Übung 13'!BA$37,0)</f>
        <v/>
      </c>
      <c r="P382" s="62">
        <f>IF(ISNUMBER('Übung 14'!BA$37),'Übung 14'!BA$37,0)</f>
        <v/>
      </c>
      <c r="Q382" s="62">
        <f>IF(ISNUMBER('Übung 15'!BA$37),'Übung 15'!BA$37,0)</f>
        <v/>
      </c>
      <c r="R382" s="62">
        <f>IF(ISNUMBER('Übung 16'!BA$37),'Übung 16'!BA$37,0)</f>
        <v/>
      </c>
      <c r="S382" s="62">
        <f>IF(ISNUMBER('Übung 17'!BA$37),'Übung 17'!BA$37,0)</f>
        <v/>
      </c>
      <c r="T382" s="62">
        <f>IF(ISNUMBER('Übung 18'!BA$37),'Übung 18'!BA$37,0)</f>
        <v/>
      </c>
      <c r="U382" s="62">
        <f>IF(ISNUMBER('Übung 19'!BA$37),'Übung 19'!BA$37,0)</f>
        <v/>
      </c>
      <c r="V382" s="62">
        <f>IF(ISNUMBER('Übung 20'!BA$37),'Übung 20'!BA$37,0)</f>
        <v/>
      </c>
    </row>
    <row r="383">
      <c r="C383" s="62">
        <f>IF(ISNUMBER('Übung 01'!BB$37),'Übung 01'!BB$37,0)</f>
        <v/>
      </c>
      <c r="D383" s="62">
        <f>IF(ISNUMBER('Übung 02'!BB$37),'Übung 02'!BB$37,0)</f>
        <v/>
      </c>
      <c r="E383" s="62">
        <f>IF(ISNUMBER('Übung 03'!BB$37),'Übung 03'!BB$37,0)</f>
        <v/>
      </c>
      <c r="F383" s="62">
        <f>IF(ISNUMBER('Übung 04'!BB$37),'Übung 04'!BB$37,0)</f>
        <v/>
      </c>
      <c r="G383" s="62">
        <f>IF(ISNUMBER('Übung 05'!BB$37),'Übung 05'!BB$37,0)</f>
        <v/>
      </c>
      <c r="H383" s="62">
        <f>IF(ISNUMBER('Übung 06'!BB$37),'Übung 06'!BB$37,0)</f>
        <v/>
      </c>
      <c r="I383" s="62">
        <f>IF(ISNUMBER('Übung 07'!BB$37),'Übung 07'!BB$37,0)</f>
        <v/>
      </c>
      <c r="J383" s="62">
        <f>IF(ISNUMBER('Übung 08'!BB$37),'Übung 08'!BB$37,0)</f>
        <v/>
      </c>
      <c r="K383" s="62">
        <f>IF(ISNUMBER('Übung 09'!BB$37),'Übung 09'!BB$37,0)</f>
        <v/>
      </c>
      <c r="L383" s="62">
        <f>IF(ISNUMBER('Übung 10'!BB$37),'Übung 10'!BB$37,0)</f>
        <v/>
      </c>
      <c r="M383" s="62">
        <f>IF(ISNUMBER('Übung 11'!BB$37),'Übung 11'!BB$37,0)</f>
        <v/>
      </c>
      <c r="N383" s="62">
        <f>IF(ISNUMBER('Übung 12'!BB$37),'Übung 12'!BB$37,0)</f>
        <v/>
      </c>
      <c r="O383" s="62">
        <f>IF(ISNUMBER('Übung 13'!BB$37),'Übung 13'!BB$37,0)</f>
        <v/>
      </c>
      <c r="P383" s="62">
        <f>IF(ISNUMBER('Übung 14'!BB$37),'Übung 14'!BB$37,0)</f>
        <v/>
      </c>
      <c r="Q383" s="62">
        <f>IF(ISNUMBER('Übung 15'!BB$37),'Übung 15'!BB$37,0)</f>
        <v/>
      </c>
      <c r="R383" s="62">
        <f>IF(ISNUMBER('Übung 16'!BB$37),'Übung 16'!BB$37,0)</f>
        <v/>
      </c>
      <c r="S383" s="62">
        <f>IF(ISNUMBER('Übung 17'!BB$37),'Übung 17'!BB$37,0)</f>
        <v/>
      </c>
      <c r="T383" s="62">
        <f>IF(ISNUMBER('Übung 18'!BB$37),'Übung 18'!BB$37,0)</f>
        <v/>
      </c>
      <c r="U383" s="62">
        <f>IF(ISNUMBER('Übung 19'!BB$37),'Übung 19'!BB$37,0)</f>
        <v/>
      </c>
      <c r="V383" s="62">
        <f>IF(ISNUMBER('Übung 20'!BB$37),'Übung 20'!BB$37,0)</f>
        <v/>
      </c>
    </row>
    <row r="384">
      <c r="C384" s="62">
        <f>IF(ISNUMBER('Übung 01'!BC$37),'Übung 01'!BC$37,0)</f>
        <v/>
      </c>
      <c r="D384" s="62">
        <f>IF(ISNUMBER('Übung 02'!BC$37),'Übung 02'!BC$37,0)</f>
        <v/>
      </c>
      <c r="E384" s="62">
        <f>IF(ISNUMBER('Übung 03'!BC$37),'Übung 03'!BC$37,0)</f>
        <v/>
      </c>
      <c r="F384" s="62">
        <f>IF(ISNUMBER('Übung 04'!BC$37),'Übung 04'!BC$37,0)</f>
        <v/>
      </c>
      <c r="G384" s="62">
        <f>IF(ISNUMBER('Übung 05'!BC$37),'Übung 05'!BC$37,0)</f>
        <v/>
      </c>
      <c r="H384" s="62">
        <f>IF(ISNUMBER('Übung 06'!BC$37),'Übung 06'!BC$37,0)</f>
        <v/>
      </c>
      <c r="I384" s="62">
        <f>IF(ISNUMBER('Übung 07'!BC$37),'Übung 07'!BC$37,0)</f>
        <v/>
      </c>
      <c r="J384" s="62">
        <f>IF(ISNUMBER('Übung 08'!BC$37),'Übung 08'!BC$37,0)</f>
        <v/>
      </c>
      <c r="K384" s="62">
        <f>IF(ISNUMBER('Übung 09'!BC$37),'Übung 09'!BC$37,0)</f>
        <v/>
      </c>
      <c r="L384" s="62">
        <f>IF(ISNUMBER('Übung 10'!BC$37),'Übung 10'!BC$37,0)</f>
        <v/>
      </c>
      <c r="M384" s="62">
        <f>IF(ISNUMBER('Übung 11'!BC$37),'Übung 11'!BC$37,0)</f>
        <v/>
      </c>
      <c r="N384" s="62">
        <f>IF(ISNUMBER('Übung 12'!BC$37),'Übung 12'!BC$37,0)</f>
        <v/>
      </c>
      <c r="O384" s="62">
        <f>IF(ISNUMBER('Übung 13'!BC$37),'Übung 13'!BC$37,0)</f>
        <v/>
      </c>
      <c r="P384" s="62">
        <f>IF(ISNUMBER('Übung 14'!BC$37),'Übung 14'!BC$37,0)</f>
        <v/>
      </c>
      <c r="Q384" s="62">
        <f>IF(ISNUMBER('Übung 15'!BC$37),'Übung 15'!BC$37,0)</f>
        <v/>
      </c>
      <c r="R384" s="62">
        <f>IF(ISNUMBER('Übung 16'!BC$37),'Übung 16'!BC$37,0)</f>
        <v/>
      </c>
      <c r="S384" s="62">
        <f>IF(ISNUMBER('Übung 17'!BC$37),'Übung 17'!BC$37,0)</f>
        <v/>
      </c>
      <c r="T384" s="62">
        <f>IF(ISNUMBER('Übung 18'!BC$37),'Übung 18'!BC$37,0)</f>
        <v/>
      </c>
      <c r="U384" s="62">
        <f>IF(ISNUMBER('Übung 19'!BC$37),'Übung 19'!BC$37,0)</f>
        <v/>
      </c>
      <c r="V384" s="62">
        <f>IF(ISNUMBER('Übung 20'!BC$37),'Übung 20'!BC$37,0)</f>
        <v/>
      </c>
    </row>
    <row r="385">
      <c r="C385" s="62">
        <f>IF(ISNUMBER('Übung 01'!BE$37),'Übung 01'!BE$37,0)</f>
        <v/>
      </c>
      <c r="D385" s="62">
        <f>IF(ISNUMBER('Übung 02'!BE$37),'Übung 02'!BE$37,0)</f>
        <v/>
      </c>
      <c r="E385" s="62">
        <f>IF(ISNUMBER('Übung 03'!BE$37),'Übung 03'!BE$37,0)</f>
        <v/>
      </c>
      <c r="F385" s="62">
        <f>IF(ISNUMBER('Übung 04'!BE$37),'Übung 04'!BE$37,0)</f>
        <v/>
      </c>
      <c r="G385" s="62">
        <f>IF(ISNUMBER('Übung 05'!BE$37),'Übung 05'!BE$37,0)</f>
        <v/>
      </c>
      <c r="H385" s="62">
        <f>IF(ISNUMBER('Übung 06'!BE$37),'Übung 06'!BE$37,0)</f>
        <v/>
      </c>
      <c r="I385" s="62">
        <f>IF(ISNUMBER('Übung 07'!BE$37),'Übung 07'!BE$37,0)</f>
        <v/>
      </c>
      <c r="J385" s="62">
        <f>IF(ISNUMBER('Übung 08'!BE$37),'Übung 08'!BE$37,0)</f>
        <v/>
      </c>
      <c r="K385" s="62">
        <f>IF(ISNUMBER('Übung 09'!BE$37),'Übung 09'!BE$37,0)</f>
        <v/>
      </c>
      <c r="L385" s="62">
        <f>IF(ISNUMBER('Übung 10'!BE$37),'Übung 10'!BE$37,0)</f>
        <v/>
      </c>
      <c r="M385" s="62">
        <f>IF(ISNUMBER('Übung 11'!BE$37),'Übung 11'!BE$37,0)</f>
        <v/>
      </c>
      <c r="N385" s="62">
        <f>IF(ISNUMBER('Übung 12'!BE$37),'Übung 12'!BE$37,0)</f>
        <v/>
      </c>
      <c r="O385" s="62">
        <f>IF(ISNUMBER('Übung 13'!BE$37),'Übung 13'!BE$37,0)</f>
        <v/>
      </c>
      <c r="P385" s="62">
        <f>IF(ISNUMBER('Übung 14'!BE$37),'Übung 14'!BE$37,0)</f>
        <v/>
      </c>
      <c r="Q385" s="62">
        <f>IF(ISNUMBER('Übung 15'!BE$37),'Übung 15'!BE$37,0)</f>
        <v/>
      </c>
      <c r="R385" s="62">
        <f>IF(ISNUMBER('Übung 16'!BE$37),'Übung 16'!BE$37,0)</f>
        <v/>
      </c>
      <c r="S385" s="62">
        <f>IF(ISNUMBER('Übung 17'!BE$37),'Übung 17'!BE$37,0)</f>
        <v/>
      </c>
      <c r="T385" s="62">
        <f>IF(ISNUMBER('Übung 18'!BE$37),'Übung 18'!BE$37,0)</f>
        <v/>
      </c>
      <c r="U385" s="62">
        <f>IF(ISNUMBER('Übung 19'!BE$37),'Übung 19'!BE$37,0)</f>
        <v/>
      </c>
      <c r="V385" s="62">
        <f>IF(ISNUMBER('Übung 20'!BE$37),'Übung 20'!BE$37,0)</f>
        <v/>
      </c>
    </row>
    <row r="386">
      <c r="C386" s="62">
        <f>IF(ISNUMBER('Übung 01'!BF$37),'Übung 01'!BF$37,0)</f>
        <v/>
      </c>
      <c r="D386" s="62">
        <f>IF(ISNUMBER('Übung 02'!BF$37),'Übung 02'!BF$37,0)</f>
        <v/>
      </c>
      <c r="E386" s="62">
        <f>IF(ISNUMBER('Übung 03'!BF$37),'Übung 03'!BF$37,0)</f>
        <v/>
      </c>
      <c r="F386" s="62">
        <f>IF(ISNUMBER('Übung 04'!BF$37),'Übung 04'!BF$37,0)</f>
        <v/>
      </c>
      <c r="G386" s="62">
        <f>IF(ISNUMBER('Übung 05'!BF$37),'Übung 05'!BF$37,0)</f>
        <v/>
      </c>
      <c r="H386" s="62">
        <f>IF(ISNUMBER('Übung 06'!BF$37),'Übung 06'!BF$37,0)</f>
        <v/>
      </c>
      <c r="I386" s="62">
        <f>IF(ISNUMBER('Übung 07'!BF$37),'Übung 07'!BF$37,0)</f>
        <v/>
      </c>
      <c r="J386" s="62">
        <f>IF(ISNUMBER('Übung 08'!BF$37),'Übung 08'!BF$37,0)</f>
        <v/>
      </c>
      <c r="K386" s="62">
        <f>IF(ISNUMBER('Übung 09'!BF$37),'Übung 09'!BF$37,0)</f>
        <v/>
      </c>
      <c r="L386" s="62">
        <f>IF(ISNUMBER('Übung 10'!BF$37),'Übung 10'!BF$37,0)</f>
        <v/>
      </c>
      <c r="M386" s="62">
        <f>IF(ISNUMBER('Übung 11'!BF$37),'Übung 11'!BF$37,0)</f>
        <v/>
      </c>
      <c r="N386" s="62">
        <f>IF(ISNUMBER('Übung 12'!BF$37),'Übung 12'!BF$37,0)</f>
        <v/>
      </c>
      <c r="O386" s="62">
        <f>IF(ISNUMBER('Übung 13'!BF$37),'Übung 13'!BF$37,0)</f>
        <v/>
      </c>
      <c r="P386" s="62">
        <f>IF(ISNUMBER('Übung 14'!BF$37),'Übung 14'!BF$37,0)</f>
        <v/>
      </c>
      <c r="Q386" s="62">
        <f>IF(ISNUMBER('Übung 15'!BF$37),'Übung 15'!BF$37,0)</f>
        <v/>
      </c>
      <c r="R386" s="62">
        <f>IF(ISNUMBER('Übung 16'!BF$37),'Übung 16'!BF$37,0)</f>
        <v/>
      </c>
      <c r="S386" s="62">
        <f>IF(ISNUMBER('Übung 17'!BF$37),'Übung 17'!BF$37,0)</f>
        <v/>
      </c>
      <c r="T386" s="62">
        <f>IF(ISNUMBER('Übung 18'!BF$37),'Übung 18'!BF$37,0)</f>
        <v/>
      </c>
      <c r="U386" s="62">
        <f>IF(ISNUMBER('Übung 19'!BF$37),'Übung 19'!BF$37,0)</f>
        <v/>
      </c>
      <c r="V386" s="62">
        <f>IF(ISNUMBER('Übung 20'!BF$37),'Übung 20'!BF$37,0)</f>
        <v/>
      </c>
    </row>
    <row r="387">
      <c r="C387" s="62">
        <f>IF(ISNUMBER('Übung 01'!BG$37),'Übung 01'!BG$37,0)</f>
        <v/>
      </c>
      <c r="D387" s="62">
        <f>IF(ISNUMBER('Übung 02'!BG$37),'Übung 02'!BG$37,0)</f>
        <v/>
      </c>
      <c r="E387" s="62">
        <f>IF(ISNUMBER('Übung 03'!BG$37),'Übung 03'!BG$37,0)</f>
        <v/>
      </c>
      <c r="F387" s="62">
        <f>IF(ISNUMBER('Übung 04'!BG$37),'Übung 04'!BG$37,0)</f>
        <v/>
      </c>
      <c r="G387" s="62">
        <f>IF(ISNUMBER('Übung 05'!BG$37),'Übung 05'!BG$37,0)</f>
        <v/>
      </c>
      <c r="H387" s="62">
        <f>IF(ISNUMBER('Übung 06'!BG$37),'Übung 06'!BG$37,0)</f>
        <v/>
      </c>
      <c r="I387" s="62">
        <f>IF(ISNUMBER('Übung 07'!BG$37),'Übung 07'!BG$37,0)</f>
        <v/>
      </c>
      <c r="J387" s="62">
        <f>IF(ISNUMBER('Übung 08'!BG$37),'Übung 08'!BG$37,0)</f>
        <v/>
      </c>
      <c r="K387" s="62">
        <f>IF(ISNUMBER('Übung 09'!BG$37),'Übung 09'!BG$37,0)</f>
        <v/>
      </c>
      <c r="L387" s="62">
        <f>IF(ISNUMBER('Übung 10'!BG$37),'Übung 10'!BG$37,0)</f>
        <v/>
      </c>
      <c r="M387" s="62">
        <f>IF(ISNUMBER('Übung 11'!BG$37),'Übung 11'!BG$37,0)</f>
        <v/>
      </c>
      <c r="N387" s="62">
        <f>IF(ISNUMBER('Übung 12'!BG$37),'Übung 12'!BG$37,0)</f>
        <v/>
      </c>
      <c r="O387" s="62">
        <f>IF(ISNUMBER('Übung 13'!BG$37),'Übung 13'!BG$37,0)</f>
        <v/>
      </c>
      <c r="P387" s="62">
        <f>IF(ISNUMBER('Übung 14'!BG$37),'Übung 14'!BG$37,0)</f>
        <v/>
      </c>
      <c r="Q387" s="62">
        <f>IF(ISNUMBER('Übung 15'!BG$37),'Übung 15'!BG$37,0)</f>
        <v/>
      </c>
      <c r="R387" s="62">
        <f>IF(ISNUMBER('Übung 16'!BG$37),'Übung 16'!BG$37,0)</f>
        <v/>
      </c>
      <c r="S387" s="62">
        <f>IF(ISNUMBER('Übung 17'!BG$37),'Übung 17'!BG$37,0)</f>
        <v/>
      </c>
      <c r="T387" s="62">
        <f>IF(ISNUMBER('Übung 18'!BG$37),'Übung 18'!BG$37,0)</f>
        <v/>
      </c>
      <c r="U387" s="62">
        <f>IF(ISNUMBER('Übung 19'!BG$37),'Übung 19'!BG$37,0)</f>
        <v/>
      </c>
      <c r="V387" s="62">
        <f>IF(ISNUMBER('Übung 20'!BG$37),'Übung 20'!BG$37,0)</f>
        <v/>
      </c>
    </row>
    <row r="388">
      <c r="C388" s="62">
        <f>IF(ISNUMBER('Übung 01'!BH$37),'Übung 01'!BH$37,0)</f>
        <v/>
      </c>
      <c r="D388" s="62">
        <f>IF(ISNUMBER('Übung 02'!BH$37),'Übung 02'!BH$37,0)</f>
        <v/>
      </c>
      <c r="E388" s="62">
        <f>IF(ISNUMBER('Übung 03'!BH$37),'Übung 03'!BH$37,0)</f>
        <v/>
      </c>
      <c r="F388" s="62">
        <f>IF(ISNUMBER('Übung 04'!BH$37),'Übung 04'!BH$37,0)</f>
        <v/>
      </c>
      <c r="G388" s="62">
        <f>IF(ISNUMBER('Übung 05'!BH$37),'Übung 05'!BH$37,0)</f>
        <v/>
      </c>
      <c r="H388" s="62">
        <f>IF(ISNUMBER('Übung 06'!BH$37),'Übung 06'!BH$37,0)</f>
        <v/>
      </c>
      <c r="I388" s="62">
        <f>IF(ISNUMBER('Übung 07'!BH$37),'Übung 07'!BH$37,0)</f>
        <v/>
      </c>
      <c r="J388" s="62">
        <f>IF(ISNUMBER('Übung 08'!BH$37),'Übung 08'!BH$37,0)</f>
        <v/>
      </c>
      <c r="K388" s="62">
        <f>IF(ISNUMBER('Übung 09'!BH$37),'Übung 09'!BH$37,0)</f>
        <v/>
      </c>
      <c r="L388" s="62">
        <f>IF(ISNUMBER('Übung 10'!BH$37),'Übung 10'!BH$37,0)</f>
        <v/>
      </c>
      <c r="M388" s="62">
        <f>IF(ISNUMBER('Übung 11'!BH$37),'Übung 11'!BH$37,0)</f>
        <v/>
      </c>
      <c r="N388" s="62">
        <f>IF(ISNUMBER('Übung 12'!BH$37),'Übung 12'!BH$37,0)</f>
        <v/>
      </c>
      <c r="O388" s="62">
        <f>IF(ISNUMBER('Übung 13'!BH$37),'Übung 13'!BH$37,0)</f>
        <v/>
      </c>
      <c r="P388" s="62">
        <f>IF(ISNUMBER('Übung 14'!BH$37),'Übung 14'!BH$37,0)</f>
        <v/>
      </c>
      <c r="Q388" s="62">
        <f>IF(ISNUMBER('Übung 15'!BH$37),'Übung 15'!BH$37,0)</f>
        <v/>
      </c>
      <c r="R388" s="62">
        <f>IF(ISNUMBER('Übung 16'!BH$37),'Übung 16'!BH$37,0)</f>
        <v/>
      </c>
      <c r="S388" s="62">
        <f>IF(ISNUMBER('Übung 17'!BH$37),'Übung 17'!BH$37,0)</f>
        <v/>
      </c>
      <c r="T388" s="62">
        <f>IF(ISNUMBER('Übung 18'!BH$37),'Übung 18'!BH$37,0)</f>
        <v/>
      </c>
      <c r="U388" s="62">
        <f>IF(ISNUMBER('Übung 19'!BH$37),'Übung 19'!BH$37,0)</f>
        <v/>
      </c>
      <c r="V388" s="62">
        <f>IF(ISNUMBER('Übung 20'!BH$37),'Übung 20'!BH$37,0)</f>
        <v/>
      </c>
    </row>
    <row r="389">
      <c r="C389" s="62">
        <f>IF(ISNUMBER('Übung 01'!BI$37),'Übung 01'!BI$37,0)</f>
        <v/>
      </c>
      <c r="D389" s="62">
        <f>IF(ISNUMBER('Übung 02'!BI$37),'Übung 02'!BI$37,0)</f>
        <v/>
      </c>
      <c r="E389" s="62">
        <f>IF(ISNUMBER('Übung 03'!BI$37),'Übung 03'!BI$37,0)</f>
        <v/>
      </c>
      <c r="F389" s="62">
        <f>IF(ISNUMBER('Übung 04'!BI$37),'Übung 04'!BI$37,0)</f>
        <v/>
      </c>
      <c r="G389" s="62">
        <f>IF(ISNUMBER('Übung 05'!BI$37),'Übung 05'!BI$37,0)</f>
        <v/>
      </c>
      <c r="H389" s="62">
        <f>IF(ISNUMBER('Übung 06'!BI$37),'Übung 06'!BI$37,0)</f>
        <v/>
      </c>
      <c r="I389" s="62">
        <f>IF(ISNUMBER('Übung 07'!BI$37),'Übung 07'!BI$37,0)</f>
        <v/>
      </c>
      <c r="J389" s="62">
        <f>IF(ISNUMBER('Übung 08'!BI$37),'Übung 08'!BI$37,0)</f>
        <v/>
      </c>
      <c r="K389" s="62">
        <f>IF(ISNUMBER('Übung 09'!BI$37),'Übung 09'!BI$37,0)</f>
        <v/>
      </c>
      <c r="L389" s="62">
        <f>IF(ISNUMBER('Übung 10'!BI$37),'Übung 10'!BI$37,0)</f>
        <v/>
      </c>
      <c r="M389" s="62">
        <f>IF(ISNUMBER('Übung 11'!BI$37),'Übung 11'!BI$37,0)</f>
        <v/>
      </c>
      <c r="N389" s="62">
        <f>IF(ISNUMBER('Übung 12'!BI$37),'Übung 12'!BI$37,0)</f>
        <v/>
      </c>
      <c r="O389" s="62">
        <f>IF(ISNUMBER('Übung 13'!BI$37),'Übung 13'!BI$37,0)</f>
        <v/>
      </c>
      <c r="P389" s="62">
        <f>IF(ISNUMBER('Übung 14'!BI$37),'Übung 14'!BI$37,0)</f>
        <v/>
      </c>
      <c r="Q389" s="62">
        <f>IF(ISNUMBER('Übung 15'!BI$37),'Übung 15'!BI$37,0)</f>
        <v/>
      </c>
      <c r="R389" s="62">
        <f>IF(ISNUMBER('Übung 16'!BI$37),'Übung 16'!BI$37,0)</f>
        <v/>
      </c>
      <c r="S389" s="62">
        <f>IF(ISNUMBER('Übung 17'!BI$37),'Übung 17'!BI$37,0)</f>
        <v/>
      </c>
      <c r="T389" s="62">
        <f>IF(ISNUMBER('Übung 18'!BI$37),'Übung 18'!BI$37,0)</f>
        <v/>
      </c>
      <c r="U389" s="62">
        <f>IF(ISNUMBER('Übung 19'!BI$37),'Übung 19'!BI$37,0)</f>
        <v/>
      </c>
      <c r="V389" s="62">
        <f>IF(ISNUMBER('Übung 20'!BI$37),'Übung 20'!BI$37,0)</f>
        <v/>
      </c>
    </row>
    <row r="390">
      <c r="C390" s="62">
        <f>IF(ISNUMBER('Übung 01'!BJ$37),'Übung 01'!BJ$37,0)</f>
        <v/>
      </c>
      <c r="D390" s="62">
        <f>IF(ISNUMBER('Übung 02'!BJ$37),'Übung 02'!BJ$37,0)</f>
        <v/>
      </c>
      <c r="E390" s="62">
        <f>IF(ISNUMBER('Übung 03'!BJ$37),'Übung 03'!BJ$37,0)</f>
        <v/>
      </c>
      <c r="F390" s="62">
        <f>IF(ISNUMBER('Übung 04'!BJ$37),'Übung 04'!BJ$37,0)</f>
        <v/>
      </c>
      <c r="G390" s="62">
        <f>IF(ISNUMBER('Übung 05'!BJ$37),'Übung 05'!BJ$37,0)</f>
        <v/>
      </c>
      <c r="H390" s="62">
        <f>IF(ISNUMBER('Übung 06'!BJ$37),'Übung 06'!BJ$37,0)</f>
        <v/>
      </c>
      <c r="I390" s="62">
        <f>IF(ISNUMBER('Übung 07'!BJ$37),'Übung 07'!BJ$37,0)</f>
        <v/>
      </c>
      <c r="J390" s="62">
        <f>IF(ISNUMBER('Übung 08'!BJ$37),'Übung 08'!BJ$37,0)</f>
        <v/>
      </c>
      <c r="K390" s="62">
        <f>IF(ISNUMBER('Übung 09'!BJ$37),'Übung 09'!BJ$37,0)</f>
        <v/>
      </c>
      <c r="L390" s="62">
        <f>IF(ISNUMBER('Übung 10'!BJ$37),'Übung 10'!BJ$37,0)</f>
        <v/>
      </c>
      <c r="M390" s="62">
        <f>IF(ISNUMBER('Übung 11'!BJ$37),'Übung 11'!BJ$37,0)</f>
        <v/>
      </c>
      <c r="N390" s="62">
        <f>IF(ISNUMBER('Übung 12'!BJ$37),'Übung 12'!BJ$37,0)</f>
        <v/>
      </c>
      <c r="O390" s="62">
        <f>IF(ISNUMBER('Übung 13'!BJ$37),'Übung 13'!BJ$37,0)</f>
        <v/>
      </c>
      <c r="P390" s="62">
        <f>IF(ISNUMBER('Übung 14'!BJ$37),'Übung 14'!BJ$37,0)</f>
        <v/>
      </c>
      <c r="Q390" s="62">
        <f>IF(ISNUMBER('Übung 15'!BJ$37),'Übung 15'!BJ$37,0)</f>
        <v/>
      </c>
      <c r="R390" s="62">
        <f>IF(ISNUMBER('Übung 16'!BJ$37),'Übung 16'!BJ$37,0)</f>
        <v/>
      </c>
      <c r="S390" s="62">
        <f>IF(ISNUMBER('Übung 17'!BJ$37),'Übung 17'!BJ$37,0)</f>
        <v/>
      </c>
      <c r="T390" s="62">
        <f>IF(ISNUMBER('Übung 18'!BJ$37),'Übung 18'!BJ$37,0)</f>
        <v/>
      </c>
      <c r="U390" s="62">
        <f>IF(ISNUMBER('Übung 19'!BJ$37),'Übung 19'!BJ$37,0)</f>
        <v/>
      </c>
      <c r="V390" s="62">
        <f>IF(ISNUMBER('Übung 20'!BJ$37),'Übung 20'!BJ$37,0)</f>
        <v/>
      </c>
    </row>
    <row r="391">
      <c r="C391" s="62">
        <f>IF(ISNUMBER('Übung 01'!BK$37),'Übung 01'!BK$37,0)</f>
        <v/>
      </c>
      <c r="D391" s="62">
        <f>IF(ISNUMBER('Übung 02'!BK$37),'Übung 02'!BK$37,0)</f>
        <v/>
      </c>
      <c r="E391" s="62">
        <f>IF(ISNUMBER('Übung 03'!BK$37),'Übung 03'!BK$37,0)</f>
        <v/>
      </c>
      <c r="F391" s="62">
        <f>IF(ISNUMBER('Übung 04'!BK$37),'Übung 04'!BK$37,0)</f>
        <v/>
      </c>
      <c r="G391" s="62">
        <f>IF(ISNUMBER('Übung 05'!BK$37),'Übung 05'!BK$37,0)</f>
        <v/>
      </c>
      <c r="H391" s="62">
        <f>IF(ISNUMBER('Übung 06'!BK$37),'Übung 06'!BK$37,0)</f>
        <v/>
      </c>
      <c r="I391" s="62">
        <f>IF(ISNUMBER('Übung 07'!BK$37),'Übung 07'!BK$37,0)</f>
        <v/>
      </c>
      <c r="J391" s="62">
        <f>IF(ISNUMBER('Übung 08'!BK$37),'Übung 08'!BK$37,0)</f>
        <v/>
      </c>
      <c r="K391" s="62">
        <f>IF(ISNUMBER('Übung 09'!BK$37),'Übung 09'!BK$37,0)</f>
        <v/>
      </c>
      <c r="L391" s="62">
        <f>IF(ISNUMBER('Übung 10'!BK$37),'Übung 10'!BK$37,0)</f>
        <v/>
      </c>
      <c r="M391" s="62">
        <f>IF(ISNUMBER('Übung 11'!BK$37),'Übung 11'!BK$37,0)</f>
        <v/>
      </c>
      <c r="N391" s="62">
        <f>IF(ISNUMBER('Übung 12'!BK$37),'Übung 12'!BK$37,0)</f>
        <v/>
      </c>
      <c r="O391" s="62">
        <f>IF(ISNUMBER('Übung 13'!BK$37),'Übung 13'!BK$37,0)</f>
        <v/>
      </c>
      <c r="P391" s="62">
        <f>IF(ISNUMBER('Übung 14'!BK$37),'Übung 14'!BK$37,0)</f>
        <v/>
      </c>
      <c r="Q391" s="62">
        <f>IF(ISNUMBER('Übung 15'!BK$37),'Übung 15'!BK$37,0)</f>
        <v/>
      </c>
      <c r="R391" s="62">
        <f>IF(ISNUMBER('Übung 16'!BK$37),'Übung 16'!BK$37,0)</f>
        <v/>
      </c>
      <c r="S391" s="62">
        <f>IF(ISNUMBER('Übung 17'!BK$37),'Übung 17'!BK$37,0)</f>
        <v/>
      </c>
      <c r="T391" s="62">
        <f>IF(ISNUMBER('Übung 18'!BK$37),'Übung 18'!BK$37,0)</f>
        <v/>
      </c>
      <c r="U391" s="62">
        <f>IF(ISNUMBER('Übung 19'!BK$37),'Übung 19'!BK$37,0)</f>
        <v/>
      </c>
      <c r="V391" s="62">
        <f>IF(ISNUMBER('Übung 20'!BK$37),'Übung 20'!BK$37,0)</f>
        <v/>
      </c>
    </row>
    <row r="392">
      <c r="C392" s="62">
        <f>IF(ISNUMBER('Übung 01'!BL$37),'Übung 01'!BL$37,0)</f>
        <v/>
      </c>
      <c r="D392" s="62">
        <f>IF(ISNUMBER('Übung 02'!BL$37),'Übung 02'!BL$37,0)</f>
        <v/>
      </c>
      <c r="E392" s="62">
        <f>IF(ISNUMBER('Übung 03'!BL$37),'Übung 03'!BL$37,0)</f>
        <v/>
      </c>
      <c r="F392" s="62">
        <f>IF(ISNUMBER('Übung 04'!BL$37),'Übung 04'!BL$37,0)</f>
        <v/>
      </c>
      <c r="G392" s="62">
        <f>IF(ISNUMBER('Übung 05'!BL$37),'Übung 05'!BL$37,0)</f>
        <v/>
      </c>
      <c r="H392" s="62">
        <f>IF(ISNUMBER('Übung 06'!BL$37),'Übung 06'!BL$37,0)</f>
        <v/>
      </c>
      <c r="I392" s="62">
        <f>IF(ISNUMBER('Übung 07'!BL$37),'Übung 07'!BL$37,0)</f>
        <v/>
      </c>
      <c r="J392" s="62">
        <f>IF(ISNUMBER('Übung 08'!BL$37),'Übung 08'!BL$37,0)</f>
        <v/>
      </c>
      <c r="K392" s="62">
        <f>IF(ISNUMBER('Übung 09'!BL$37),'Übung 09'!BL$37,0)</f>
        <v/>
      </c>
      <c r="L392" s="62">
        <f>IF(ISNUMBER('Übung 10'!BL$37),'Übung 10'!BL$37,0)</f>
        <v/>
      </c>
      <c r="M392" s="62">
        <f>IF(ISNUMBER('Übung 11'!BL$37),'Übung 11'!BL$37,0)</f>
        <v/>
      </c>
      <c r="N392" s="62">
        <f>IF(ISNUMBER('Übung 12'!BL$37),'Übung 12'!BL$37,0)</f>
        <v/>
      </c>
      <c r="O392" s="62">
        <f>IF(ISNUMBER('Übung 13'!BL$37),'Übung 13'!BL$37,0)</f>
        <v/>
      </c>
      <c r="P392" s="62">
        <f>IF(ISNUMBER('Übung 14'!BL$37),'Übung 14'!BL$37,0)</f>
        <v/>
      </c>
      <c r="Q392" s="62">
        <f>IF(ISNUMBER('Übung 15'!BL$37),'Übung 15'!BL$37,0)</f>
        <v/>
      </c>
      <c r="R392" s="62">
        <f>IF(ISNUMBER('Übung 16'!BL$37),'Übung 16'!BL$37,0)</f>
        <v/>
      </c>
      <c r="S392" s="62">
        <f>IF(ISNUMBER('Übung 17'!BL$37),'Übung 17'!BL$37,0)</f>
        <v/>
      </c>
      <c r="T392" s="62">
        <f>IF(ISNUMBER('Übung 18'!BL$37),'Übung 18'!BL$37,0)</f>
        <v/>
      </c>
      <c r="U392" s="62">
        <f>IF(ISNUMBER('Übung 19'!BL$37),'Übung 19'!BL$37,0)</f>
        <v/>
      </c>
      <c r="V392" s="62">
        <f>IF(ISNUMBER('Übung 20'!BL$37),'Übung 20'!BL$37,0)</f>
        <v/>
      </c>
    </row>
    <row r="393">
      <c r="C393" s="62">
        <f>IF(ISNUMBER('Übung 01'!BM$37),'Übung 01'!BM$37,0)</f>
        <v/>
      </c>
      <c r="D393" s="62">
        <f>IF(ISNUMBER('Übung 02'!BM$37),'Übung 02'!BM$37,0)</f>
        <v/>
      </c>
      <c r="E393" s="62">
        <f>IF(ISNUMBER('Übung 03'!BM$37),'Übung 03'!BM$37,0)</f>
        <v/>
      </c>
      <c r="F393" s="62">
        <f>IF(ISNUMBER('Übung 04'!BM$37),'Übung 04'!BM$37,0)</f>
        <v/>
      </c>
      <c r="G393" s="62">
        <f>IF(ISNUMBER('Übung 05'!BM$37),'Übung 05'!BM$37,0)</f>
        <v/>
      </c>
      <c r="H393" s="62">
        <f>IF(ISNUMBER('Übung 06'!BM$37),'Übung 06'!BM$37,0)</f>
        <v/>
      </c>
      <c r="I393" s="62">
        <f>IF(ISNUMBER('Übung 07'!BM$37),'Übung 07'!BM$37,0)</f>
        <v/>
      </c>
      <c r="J393" s="62">
        <f>IF(ISNUMBER('Übung 08'!BM$37),'Übung 08'!BM$37,0)</f>
        <v/>
      </c>
      <c r="K393" s="62">
        <f>IF(ISNUMBER('Übung 09'!BM$37),'Übung 09'!BM$37,0)</f>
        <v/>
      </c>
      <c r="L393" s="62">
        <f>IF(ISNUMBER('Übung 10'!BM$37),'Übung 10'!BM$37,0)</f>
        <v/>
      </c>
      <c r="M393" s="62">
        <f>IF(ISNUMBER('Übung 11'!BM$37),'Übung 11'!BM$37,0)</f>
        <v/>
      </c>
      <c r="N393" s="62">
        <f>IF(ISNUMBER('Übung 12'!BM$37),'Übung 12'!BM$37,0)</f>
        <v/>
      </c>
      <c r="O393" s="62">
        <f>IF(ISNUMBER('Übung 13'!BM$37),'Übung 13'!BM$37,0)</f>
        <v/>
      </c>
      <c r="P393" s="62">
        <f>IF(ISNUMBER('Übung 14'!BM$37),'Übung 14'!BM$37,0)</f>
        <v/>
      </c>
      <c r="Q393" s="62">
        <f>IF(ISNUMBER('Übung 15'!BM$37),'Übung 15'!BM$37,0)</f>
        <v/>
      </c>
      <c r="R393" s="62">
        <f>IF(ISNUMBER('Übung 16'!BM$37),'Übung 16'!BM$37,0)</f>
        <v/>
      </c>
      <c r="S393" s="62">
        <f>IF(ISNUMBER('Übung 17'!BM$37),'Übung 17'!BM$37,0)</f>
        <v/>
      </c>
      <c r="T393" s="62">
        <f>IF(ISNUMBER('Übung 18'!BM$37),'Übung 18'!BM$37,0)</f>
        <v/>
      </c>
      <c r="U393" s="62">
        <f>IF(ISNUMBER('Übung 19'!BM$37),'Übung 19'!BM$37,0)</f>
        <v/>
      </c>
      <c r="V393" s="62">
        <f>IF(ISNUMBER('Übung 20'!BM$37),'Übung 20'!BM$37,0)</f>
        <v/>
      </c>
    </row>
    <row r="394">
      <c r="C394" s="62">
        <f>IF(ISNUMBER('Übung 01'!BN$37),'Übung 01'!BN$37,0)</f>
        <v/>
      </c>
      <c r="D394" s="62">
        <f>IF(ISNUMBER('Übung 02'!BN$37),'Übung 02'!BN$37,0)</f>
        <v/>
      </c>
      <c r="E394" s="62">
        <f>IF(ISNUMBER('Übung 03'!BN$37),'Übung 03'!BN$37,0)</f>
        <v/>
      </c>
      <c r="F394" s="62">
        <f>IF(ISNUMBER('Übung 04'!BN$37),'Übung 04'!BN$37,0)</f>
        <v/>
      </c>
      <c r="G394" s="62">
        <f>IF(ISNUMBER('Übung 05'!BN$37),'Übung 05'!BN$37,0)</f>
        <v/>
      </c>
      <c r="H394" s="62">
        <f>IF(ISNUMBER('Übung 06'!BN$37),'Übung 06'!BN$37,0)</f>
        <v/>
      </c>
      <c r="I394" s="62">
        <f>IF(ISNUMBER('Übung 07'!BN$37),'Übung 07'!BN$37,0)</f>
        <v/>
      </c>
      <c r="J394" s="62">
        <f>IF(ISNUMBER('Übung 08'!BN$37),'Übung 08'!BN$37,0)</f>
        <v/>
      </c>
      <c r="K394" s="62">
        <f>IF(ISNUMBER('Übung 09'!BN$37),'Übung 09'!BN$37,0)</f>
        <v/>
      </c>
      <c r="L394" s="62">
        <f>IF(ISNUMBER('Übung 10'!BN$37),'Übung 10'!BN$37,0)</f>
        <v/>
      </c>
      <c r="M394" s="62">
        <f>IF(ISNUMBER('Übung 11'!BN$37),'Übung 11'!BN$37,0)</f>
        <v/>
      </c>
      <c r="N394" s="62">
        <f>IF(ISNUMBER('Übung 12'!BN$37),'Übung 12'!BN$37,0)</f>
        <v/>
      </c>
      <c r="O394" s="62">
        <f>IF(ISNUMBER('Übung 13'!BN$37),'Übung 13'!BN$37,0)</f>
        <v/>
      </c>
      <c r="P394" s="62">
        <f>IF(ISNUMBER('Übung 14'!BN$37),'Übung 14'!BN$37,0)</f>
        <v/>
      </c>
      <c r="Q394" s="62">
        <f>IF(ISNUMBER('Übung 15'!BN$37),'Übung 15'!BN$37,0)</f>
        <v/>
      </c>
      <c r="R394" s="62">
        <f>IF(ISNUMBER('Übung 16'!BN$37),'Übung 16'!BN$37,0)</f>
        <v/>
      </c>
      <c r="S394" s="62">
        <f>IF(ISNUMBER('Übung 17'!BN$37),'Übung 17'!BN$37,0)</f>
        <v/>
      </c>
      <c r="T394" s="62">
        <f>IF(ISNUMBER('Übung 18'!BN$37),'Übung 18'!BN$37,0)</f>
        <v/>
      </c>
      <c r="U394" s="62">
        <f>IF(ISNUMBER('Übung 19'!BN$37),'Übung 19'!BN$37,0)</f>
        <v/>
      </c>
      <c r="V394" s="62">
        <f>IF(ISNUMBER('Übung 20'!BN$37),'Übung 20'!BN$37,0)</f>
        <v/>
      </c>
    </row>
    <row r="395">
      <c r="C395" s="62">
        <f>IF(ISNUMBER('Übung 01'!BO$37),'Übung 01'!BO$37,0)</f>
        <v/>
      </c>
      <c r="D395" s="62">
        <f>IF(ISNUMBER('Übung 02'!BO$37),'Übung 02'!BO$37,0)</f>
        <v/>
      </c>
      <c r="E395" s="62">
        <f>IF(ISNUMBER('Übung 03'!BO$37),'Übung 03'!BO$37,0)</f>
        <v/>
      </c>
      <c r="F395" s="62">
        <f>IF(ISNUMBER('Übung 04'!BO$37),'Übung 04'!BO$37,0)</f>
        <v/>
      </c>
      <c r="G395" s="62">
        <f>IF(ISNUMBER('Übung 05'!BO$37),'Übung 05'!BO$37,0)</f>
        <v/>
      </c>
      <c r="H395" s="62">
        <f>IF(ISNUMBER('Übung 06'!BO$37),'Übung 06'!BO$37,0)</f>
        <v/>
      </c>
      <c r="I395" s="62">
        <f>IF(ISNUMBER('Übung 07'!BO$37),'Übung 07'!BO$37,0)</f>
        <v/>
      </c>
      <c r="J395" s="62">
        <f>IF(ISNUMBER('Übung 08'!BO$37),'Übung 08'!BO$37,0)</f>
        <v/>
      </c>
      <c r="K395" s="62">
        <f>IF(ISNUMBER('Übung 09'!BO$37),'Übung 09'!BO$37,0)</f>
        <v/>
      </c>
      <c r="L395" s="62">
        <f>IF(ISNUMBER('Übung 10'!BO$37),'Übung 10'!BO$37,0)</f>
        <v/>
      </c>
      <c r="M395" s="62">
        <f>IF(ISNUMBER('Übung 11'!BO$37),'Übung 11'!BO$37,0)</f>
        <v/>
      </c>
      <c r="N395" s="62">
        <f>IF(ISNUMBER('Übung 12'!BO$37),'Übung 12'!BO$37,0)</f>
        <v/>
      </c>
      <c r="O395" s="62">
        <f>IF(ISNUMBER('Übung 13'!BO$37),'Übung 13'!BO$37,0)</f>
        <v/>
      </c>
      <c r="P395" s="62">
        <f>IF(ISNUMBER('Übung 14'!BO$37),'Übung 14'!BO$37,0)</f>
        <v/>
      </c>
      <c r="Q395" s="62">
        <f>IF(ISNUMBER('Übung 15'!BO$37),'Übung 15'!BO$37,0)</f>
        <v/>
      </c>
      <c r="R395" s="62">
        <f>IF(ISNUMBER('Übung 16'!BO$37),'Übung 16'!BO$37,0)</f>
        <v/>
      </c>
      <c r="S395" s="62">
        <f>IF(ISNUMBER('Übung 17'!BO$37),'Übung 17'!BO$37,0)</f>
        <v/>
      </c>
      <c r="T395" s="62">
        <f>IF(ISNUMBER('Übung 18'!BO$37),'Übung 18'!BO$37,0)</f>
        <v/>
      </c>
      <c r="U395" s="62">
        <f>IF(ISNUMBER('Übung 19'!BO$37),'Übung 19'!BO$37,0)</f>
        <v/>
      </c>
      <c r="V395" s="62">
        <f>IF(ISNUMBER('Übung 20'!BO$37),'Übung 20'!BO$37,0)</f>
        <v/>
      </c>
    </row>
    <row r="396">
      <c r="C396" s="62">
        <f>IF(ISNUMBER('Übung 01'!BP$37),'Übung 01'!BP$37,0)</f>
        <v/>
      </c>
      <c r="D396" s="62">
        <f>IF(ISNUMBER('Übung 02'!BP$37),'Übung 02'!BP$37,0)</f>
        <v/>
      </c>
      <c r="E396" s="62">
        <f>IF(ISNUMBER('Übung 03'!BP$37),'Übung 03'!BP$37,0)</f>
        <v/>
      </c>
      <c r="F396" s="62">
        <f>IF(ISNUMBER('Übung 04'!BP$37),'Übung 04'!BP$37,0)</f>
        <v/>
      </c>
      <c r="G396" s="62">
        <f>IF(ISNUMBER('Übung 05'!BP$37),'Übung 05'!BP$37,0)</f>
        <v/>
      </c>
      <c r="H396" s="62">
        <f>IF(ISNUMBER('Übung 06'!BP$37),'Übung 06'!BP$37,0)</f>
        <v/>
      </c>
      <c r="I396" s="62">
        <f>IF(ISNUMBER('Übung 07'!BP$37),'Übung 07'!BP$37,0)</f>
        <v/>
      </c>
      <c r="J396" s="62">
        <f>IF(ISNUMBER('Übung 08'!BP$37),'Übung 08'!BP$37,0)</f>
        <v/>
      </c>
      <c r="K396" s="62">
        <f>IF(ISNUMBER('Übung 09'!BP$37),'Übung 09'!BP$37,0)</f>
        <v/>
      </c>
      <c r="L396" s="62">
        <f>IF(ISNUMBER('Übung 10'!BP$37),'Übung 10'!BP$37,0)</f>
        <v/>
      </c>
      <c r="M396" s="62">
        <f>IF(ISNUMBER('Übung 11'!BP$37),'Übung 11'!BP$37,0)</f>
        <v/>
      </c>
      <c r="N396" s="62">
        <f>IF(ISNUMBER('Übung 12'!BP$37),'Übung 12'!BP$37,0)</f>
        <v/>
      </c>
      <c r="O396" s="62">
        <f>IF(ISNUMBER('Übung 13'!BP$37),'Übung 13'!BP$37,0)</f>
        <v/>
      </c>
      <c r="P396" s="62">
        <f>IF(ISNUMBER('Übung 14'!BP$37),'Übung 14'!BP$37,0)</f>
        <v/>
      </c>
      <c r="Q396" s="62">
        <f>IF(ISNUMBER('Übung 15'!BP$37),'Übung 15'!BP$37,0)</f>
        <v/>
      </c>
      <c r="R396" s="62">
        <f>IF(ISNUMBER('Übung 16'!BP$37),'Übung 16'!BP$37,0)</f>
        <v/>
      </c>
      <c r="S396" s="62">
        <f>IF(ISNUMBER('Übung 17'!BP$37),'Übung 17'!BP$37,0)</f>
        <v/>
      </c>
      <c r="T396" s="62">
        <f>IF(ISNUMBER('Übung 18'!BP$37),'Übung 18'!BP$37,0)</f>
        <v/>
      </c>
      <c r="U396" s="62">
        <f>IF(ISNUMBER('Übung 19'!BP$37),'Übung 19'!BP$37,0)</f>
        <v/>
      </c>
      <c r="V396" s="62">
        <f>IF(ISNUMBER('Übung 20'!BP$37),'Übung 20'!BP$37,0)</f>
        <v/>
      </c>
    </row>
    <row r="397">
      <c r="C397" s="62">
        <f>IF(ISNUMBER('Übung 01'!BQ$37),'Übung 01'!BQ$37,0)</f>
        <v/>
      </c>
      <c r="D397" s="62">
        <f>IF(ISNUMBER('Übung 02'!BQ$37),'Übung 02'!BQ$37,0)</f>
        <v/>
      </c>
      <c r="E397" s="62">
        <f>IF(ISNUMBER('Übung 03'!BQ$37),'Übung 03'!BQ$37,0)</f>
        <v/>
      </c>
      <c r="F397" s="62">
        <f>IF(ISNUMBER('Übung 04'!BQ$37),'Übung 04'!BQ$37,0)</f>
        <v/>
      </c>
      <c r="G397" s="62">
        <f>IF(ISNUMBER('Übung 05'!BQ$37),'Übung 05'!BQ$37,0)</f>
        <v/>
      </c>
      <c r="H397" s="62">
        <f>IF(ISNUMBER('Übung 06'!BQ$37),'Übung 06'!BQ$37,0)</f>
        <v/>
      </c>
      <c r="I397" s="62">
        <f>IF(ISNUMBER('Übung 07'!BQ$37),'Übung 07'!BQ$37,0)</f>
        <v/>
      </c>
      <c r="J397" s="62">
        <f>IF(ISNUMBER('Übung 08'!BQ$37),'Übung 08'!BQ$37,0)</f>
        <v/>
      </c>
      <c r="K397" s="62">
        <f>IF(ISNUMBER('Übung 09'!BQ$37),'Übung 09'!BQ$37,0)</f>
        <v/>
      </c>
      <c r="L397" s="62">
        <f>IF(ISNUMBER('Übung 10'!BQ$37),'Übung 10'!BQ$37,0)</f>
        <v/>
      </c>
      <c r="M397" s="62">
        <f>IF(ISNUMBER('Übung 11'!BQ$37),'Übung 11'!BQ$37,0)</f>
        <v/>
      </c>
      <c r="N397" s="62">
        <f>IF(ISNUMBER('Übung 12'!BQ$37),'Übung 12'!BQ$37,0)</f>
        <v/>
      </c>
      <c r="O397" s="62">
        <f>IF(ISNUMBER('Übung 13'!BQ$37),'Übung 13'!BQ$37,0)</f>
        <v/>
      </c>
      <c r="P397" s="62">
        <f>IF(ISNUMBER('Übung 14'!BQ$37),'Übung 14'!BQ$37,0)</f>
        <v/>
      </c>
      <c r="Q397" s="62">
        <f>IF(ISNUMBER('Übung 15'!BQ$37),'Übung 15'!BQ$37,0)</f>
        <v/>
      </c>
      <c r="R397" s="62">
        <f>IF(ISNUMBER('Übung 16'!BQ$37),'Übung 16'!BQ$37,0)</f>
        <v/>
      </c>
      <c r="S397" s="62">
        <f>IF(ISNUMBER('Übung 17'!BQ$37),'Übung 17'!BQ$37,0)</f>
        <v/>
      </c>
      <c r="T397" s="62">
        <f>IF(ISNUMBER('Übung 18'!BQ$37),'Übung 18'!BQ$37,0)</f>
        <v/>
      </c>
      <c r="U397" s="62">
        <f>IF(ISNUMBER('Übung 19'!BQ$37),'Übung 19'!BQ$37,0)</f>
        <v/>
      </c>
      <c r="V397" s="62">
        <f>IF(ISNUMBER('Übung 20'!BQ$37),'Übung 20'!BQ$37,0)</f>
        <v/>
      </c>
    </row>
    <row r="398">
      <c r="C398" s="62">
        <f>IF(ISNUMBER('Übung 01'!BR$37),'Übung 01'!BR$37,0)</f>
        <v/>
      </c>
      <c r="D398" s="62">
        <f>IF(ISNUMBER('Übung 02'!BR$37),'Übung 02'!BR$37,0)</f>
        <v/>
      </c>
      <c r="E398" s="62">
        <f>IF(ISNUMBER('Übung 03'!BR$37),'Übung 03'!BR$37,0)</f>
        <v/>
      </c>
      <c r="F398" s="62">
        <f>IF(ISNUMBER('Übung 04'!BR$37),'Übung 04'!BR$37,0)</f>
        <v/>
      </c>
      <c r="G398" s="62">
        <f>IF(ISNUMBER('Übung 05'!BR$37),'Übung 05'!BR$37,0)</f>
        <v/>
      </c>
      <c r="H398" s="62">
        <f>IF(ISNUMBER('Übung 06'!BR$37),'Übung 06'!BR$37,0)</f>
        <v/>
      </c>
      <c r="I398" s="62">
        <f>IF(ISNUMBER('Übung 07'!BR$37),'Übung 07'!BR$37,0)</f>
        <v/>
      </c>
      <c r="J398" s="62">
        <f>IF(ISNUMBER('Übung 08'!BR$37),'Übung 08'!BR$37,0)</f>
        <v/>
      </c>
      <c r="K398" s="62">
        <f>IF(ISNUMBER('Übung 09'!BR$37),'Übung 09'!BR$37,0)</f>
        <v/>
      </c>
      <c r="L398" s="62">
        <f>IF(ISNUMBER('Übung 10'!BR$37),'Übung 10'!BR$37,0)</f>
        <v/>
      </c>
      <c r="M398" s="62">
        <f>IF(ISNUMBER('Übung 11'!BR$37),'Übung 11'!BR$37,0)</f>
        <v/>
      </c>
      <c r="N398" s="62">
        <f>IF(ISNUMBER('Übung 12'!BR$37),'Übung 12'!BR$37,0)</f>
        <v/>
      </c>
      <c r="O398" s="62">
        <f>IF(ISNUMBER('Übung 13'!BR$37),'Übung 13'!BR$37,0)</f>
        <v/>
      </c>
      <c r="P398" s="62">
        <f>IF(ISNUMBER('Übung 14'!BR$37),'Übung 14'!BR$37,0)</f>
        <v/>
      </c>
      <c r="Q398" s="62">
        <f>IF(ISNUMBER('Übung 15'!BR$37),'Übung 15'!BR$37,0)</f>
        <v/>
      </c>
      <c r="R398" s="62">
        <f>IF(ISNUMBER('Übung 16'!BR$37),'Übung 16'!BR$37,0)</f>
        <v/>
      </c>
      <c r="S398" s="62">
        <f>IF(ISNUMBER('Übung 17'!BR$37),'Übung 17'!BR$37,0)</f>
        <v/>
      </c>
      <c r="T398" s="62">
        <f>IF(ISNUMBER('Übung 18'!BR$37),'Übung 18'!BR$37,0)</f>
        <v/>
      </c>
      <c r="U398" s="62">
        <f>IF(ISNUMBER('Übung 19'!BR$37),'Übung 19'!BR$37,0)</f>
        <v/>
      </c>
      <c r="V398" s="62">
        <f>IF(ISNUMBER('Übung 20'!BR$37),'Übung 20'!BR$37,0)</f>
        <v/>
      </c>
    </row>
    <row r="399">
      <c r="C399" s="62">
        <f>IF(ISNUMBER('Übung 01'!BS$37),'Übung 01'!BS$37,0)</f>
        <v/>
      </c>
      <c r="D399" s="62">
        <f>IF(ISNUMBER('Übung 02'!BS$37),'Übung 02'!BS$37,0)</f>
        <v/>
      </c>
      <c r="E399" s="62">
        <f>IF(ISNUMBER('Übung 03'!BS$37),'Übung 03'!BS$37,0)</f>
        <v/>
      </c>
      <c r="F399" s="62">
        <f>IF(ISNUMBER('Übung 04'!BS$37),'Übung 04'!BS$37,0)</f>
        <v/>
      </c>
      <c r="G399" s="62">
        <f>IF(ISNUMBER('Übung 05'!BS$37),'Übung 05'!BS$37,0)</f>
        <v/>
      </c>
      <c r="H399" s="62">
        <f>IF(ISNUMBER('Übung 06'!BS$37),'Übung 06'!BS$37,0)</f>
        <v/>
      </c>
      <c r="I399" s="62">
        <f>IF(ISNUMBER('Übung 07'!BS$37),'Übung 07'!BS$37,0)</f>
        <v/>
      </c>
      <c r="J399" s="62">
        <f>IF(ISNUMBER('Übung 08'!BS$37),'Übung 08'!BS$37,0)</f>
        <v/>
      </c>
      <c r="K399" s="62">
        <f>IF(ISNUMBER('Übung 09'!BS$37),'Übung 09'!BS$37,0)</f>
        <v/>
      </c>
      <c r="L399" s="62">
        <f>IF(ISNUMBER('Übung 10'!BS$37),'Übung 10'!BS$37,0)</f>
        <v/>
      </c>
      <c r="M399" s="62">
        <f>IF(ISNUMBER('Übung 11'!BS$37),'Übung 11'!BS$37,0)</f>
        <v/>
      </c>
      <c r="N399" s="62">
        <f>IF(ISNUMBER('Übung 12'!BS$37),'Übung 12'!BS$37,0)</f>
        <v/>
      </c>
      <c r="O399" s="62">
        <f>IF(ISNUMBER('Übung 13'!BS$37),'Übung 13'!BS$37,0)</f>
        <v/>
      </c>
      <c r="P399" s="62">
        <f>IF(ISNUMBER('Übung 14'!BS$37),'Übung 14'!BS$37,0)</f>
        <v/>
      </c>
      <c r="Q399" s="62">
        <f>IF(ISNUMBER('Übung 15'!BS$37),'Übung 15'!BS$37,0)</f>
        <v/>
      </c>
      <c r="R399" s="62">
        <f>IF(ISNUMBER('Übung 16'!BS$37),'Übung 16'!BS$37,0)</f>
        <v/>
      </c>
      <c r="S399" s="62">
        <f>IF(ISNUMBER('Übung 17'!BS$37),'Übung 17'!BS$37,0)</f>
        <v/>
      </c>
      <c r="T399" s="62">
        <f>IF(ISNUMBER('Übung 18'!BS$37),'Übung 18'!BS$37,0)</f>
        <v/>
      </c>
      <c r="U399" s="62">
        <f>IF(ISNUMBER('Übung 19'!BS$37),'Übung 19'!BS$37,0)</f>
        <v/>
      </c>
      <c r="V399" s="62">
        <f>IF(ISNUMBER('Übung 20'!BS$37),'Übung 20'!BS$37,0)</f>
        <v/>
      </c>
    </row>
    <row r="400">
      <c r="C400" s="62">
        <f>IF(ISNUMBER('Übung 01'!BT$37),'Übung 01'!BT$37,0)</f>
        <v/>
      </c>
      <c r="D400" s="62">
        <f>IF(ISNUMBER('Übung 02'!BT$37),'Übung 02'!BT$37,0)</f>
        <v/>
      </c>
      <c r="E400" s="62">
        <f>IF(ISNUMBER('Übung 03'!BT$37),'Übung 03'!BT$37,0)</f>
        <v/>
      </c>
      <c r="F400" s="62">
        <f>IF(ISNUMBER('Übung 04'!BT$37),'Übung 04'!BT$37,0)</f>
        <v/>
      </c>
      <c r="G400" s="62">
        <f>IF(ISNUMBER('Übung 05'!BT$37),'Übung 05'!BT$37,0)</f>
        <v/>
      </c>
      <c r="H400" s="62">
        <f>IF(ISNUMBER('Übung 06'!BT$37),'Übung 06'!BT$37,0)</f>
        <v/>
      </c>
      <c r="I400" s="62">
        <f>IF(ISNUMBER('Übung 07'!BT$37),'Übung 07'!BT$37,0)</f>
        <v/>
      </c>
      <c r="J400" s="62">
        <f>IF(ISNUMBER('Übung 08'!BT$37),'Übung 08'!BT$37,0)</f>
        <v/>
      </c>
      <c r="K400" s="62">
        <f>IF(ISNUMBER('Übung 09'!BT$37),'Übung 09'!BT$37,0)</f>
        <v/>
      </c>
      <c r="L400" s="62">
        <f>IF(ISNUMBER('Übung 10'!BT$37),'Übung 10'!BT$37,0)</f>
        <v/>
      </c>
      <c r="M400" s="62">
        <f>IF(ISNUMBER('Übung 11'!BT$37),'Übung 11'!BT$37,0)</f>
        <v/>
      </c>
      <c r="N400" s="62">
        <f>IF(ISNUMBER('Übung 12'!BT$37),'Übung 12'!BT$37,0)</f>
        <v/>
      </c>
      <c r="O400" s="62">
        <f>IF(ISNUMBER('Übung 13'!BT$37),'Übung 13'!BT$37,0)</f>
        <v/>
      </c>
      <c r="P400" s="62">
        <f>IF(ISNUMBER('Übung 14'!BT$37),'Übung 14'!BT$37,0)</f>
        <v/>
      </c>
      <c r="Q400" s="62">
        <f>IF(ISNUMBER('Übung 15'!BT$37),'Übung 15'!BT$37,0)</f>
        <v/>
      </c>
      <c r="R400" s="62">
        <f>IF(ISNUMBER('Übung 16'!BT$37),'Übung 16'!BT$37,0)</f>
        <v/>
      </c>
      <c r="S400" s="62">
        <f>IF(ISNUMBER('Übung 17'!BT$37),'Übung 17'!BT$37,0)</f>
        <v/>
      </c>
      <c r="T400" s="62">
        <f>IF(ISNUMBER('Übung 18'!BT$37),'Übung 18'!BT$37,0)</f>
        <v/>
      </c>
      <c r="U400" s="62">
        <f>IF(ISNUMBER('Übung 19'!BT$37),'Übung 19'!BT$37,0)</f>
        <v/>
      </c>
      <c r="V400" s="62">
        <f>IF(ISNUMBER('Übung 20'!BT$37),'Übung 20'!BT$37,0)</f>
        <v/>
      </c>
    </row>
    <row r="401">
      <c r="C401" s="62">
        <f>IF(ISNUMBER('Übung 01'!BU$37),'Übung 01'!BU$37,0)</f>
        <v/>
      </c>
      <c r="D401" s="62">
        <f>IF(ISNUMBER('Übung 02'!BU$37),'Übung 02'!BU$37,0)</f>
        <v/>
      </c>
      <c r="E401" s="62">
        <f>IF(ISNUMBER('Übung 03'!BU$37),'Übung 03'!BU$37,0)</f>
        <v/>
      </c>
      <c r="F401" s="62">
        <f>IF(ISNUMBER('Übung 04'!BU$37),'Übung 04'!BU$37,0)</f>
        <v/>
      </c>
      <c r="G401" s="62">
        <f>IF(ISNUMBER('Übung 05'!BU$37),'Übung 05'!BU$37,0)</f>
        <v/>
      </c>
      <c r="H401" s="62">
        <f>IF(ISNUMBER('Übung 06'!BU$37),'Übung 06'!BU$37,0)</f>
        <v/>
      </c>
      <c r="I401" s="62">
        <f>IF(ISNUMBER('Übung 07'!BU$37),'Übung 07'!BU$37,0)</f>
        <v/>
      </c>
      <c r="J401" s="62">
        <f>IF(ISNUMBER('Übung 08'!BU$37),'Übung 08'!BU$37,0)</f>
        <v/>
      </c>
      <c r="K401" s="62">
        <f>IF(ISNUMBER('Übung 09'!BU$37),'Übung 09'!BU$37,0)</f>
        <v/>
      </c>
      <c r="L401" s="62">
        <f>IF(ISNUMBER('Übung 10'!BU$37),'Übung 10'!BU$37,0)</f>
        <v/>
      </c>
      <c r="M401" s="62">
        <f>IF(ISNUMBER('Übung 11'!BU$37),'Übung 11'!BU$37,0)</f>
        <v/>
      </c>
      <c r="N401" s="62">
        <f>IF(ISNUMBER('Übung 12'!BU$37),'Übung 12'!BU$37,0)</f>
        <v/>
      </c>
      <c r="O401" s="62">
        <f>IF(ISNUMBER('Übung 13'!BU$37),'Übung 13'!BU$37,0)</f>
        <v/>
      </c>
      <c r="P401" s="62">
        <f>IF(ISNUMBER('Übung 14'!BU$37),'Übung 14'!BU$37,0)</f>
        <v/>
      </c>
      <c r="Q401" s="62">
        <f>IF(ISNUMBER('Übung 15'!BU$37),'Übung 15'!BU$37,0)</f>
        <v/>
      </c>
      <c r="R401" s="62">
        <f>IF(ISNUMBER('Übung 16'!BU$37),'Übung 16'!BU$37,0)</f>
        <v/>
      </c>
      <c r="S401" s="62">
        <f>IF(ISNUMBER('Übung 17'!BU$37),'Übung 17'!BU$37,0)</f>
        <v/>
      </c>
      <c r="T401" s="62">
        <f>IF(ISNUMBER('Übung 18'!BU$37),'Übung 18'!BU$37,0)</f>
        <v/>
      </c>
      <c r="U401" s="62">
        <f>IF(ISNUMBER('Übung 19'!BU$37),'Übung 19'!BU$37,0)</f>
        <v/>
      </c>
      <c r="V401" s="62">
        <f>IF(ISNUMBER('Übung 20'!BU$37),'Übung 20'!BU$37,0)</f>
        <v/>
      </c>
    </row>
    <row r="402">
      <c r="C402" s="62">
        <f>IF(ISNUMBER('Übung 01'!BV$37),'Übung 01'!BV$37,0)</f>
        <v/>
      </c>
      <c r="D402" s="62">
        <f>IF(ISNUMBER('Übung 02'!BV$37),'Übung 02'!BV$37,0)</f>
        <v/>
      </c>
      <c r="E402" s="62">
        <f>IF(ISNUMBER('Übung 03'!BV$37),'Übung 03'!BV$37,0)</f>
        <v/>
      </c>
      <c r="F402" s="62">
        <f>IF(ISNUMBER('Übung 04'!BV$37),'Übung 04'!BV$37,0)</f>
        <v/>
      </c>
      <c r="G402" s="62">
        <f>IF(ISNUMBER('Übung 05'!BV$37),'Übung 05'!BV$37,0)</f>
        <v/>
      </c>
      <c r="H402" s="62">
        <f>IF(ISNUMBER('Übung 06'!BV$37),'Übung 06'!BV$37,0)</f>
        <v/>
      </c>
      <c r="I402" s="62">
        <f>IF(ISNUMBER('Übung 07'!BV$37),'Übung 07'!BV$37,0)</f>
        <v/>
      </c>
      <c r="J402" s="62">
        <f>IF(ISNUMBER('Übung 08'!BV$37),'Übung 08'!BV$37,0)</f>
        <v/>
      </c>
      <c r="K402" s="62">
        <f>IF(ISNUMBER('Übung 09'!BV$37),'Übung 09'!BV$37,0)</f>
        <v/>
      </c>
      <c r="L402" s="62">
        <f>IF(ISNUMBER('Übung 10'!BV$37),'Übung 10'!BV$37,0)</f>
        <v/>
      </c>
      <c r="M402" s="62">
        <f>IF(ISNUMBER('Übung 11'!BV$37),'Übung 11'!BV$37,0)</f>
        <v/>
      </c>
      <c r="N402" s="62">
        <f>IF(ISNUMBER('Übung 12'!BV$37),'Übung 12'!BV$37,0)</f>
        <v/>
      </c>
      <c r="O402" s="62">
        <f>IF(ISNUMBER('Übung 13'!BV$37),'Übung 13'!BV$37,0)</f>
        <v/>
      </c>
      <c r="P402" s="62">
        <f>IF(ISNUMBER('Übung 14'!BV$37),'Übung 14'!BV$37,0)</f>
        <v/>
      </c>
      <c r="Q402" s="62">
        <f>IF(ISNUMBER('Übung 15'!BV$37),'Übung 15'!BV$37,0)</f>
        <v/>
      </c>
      <c r="R402" s="62">
        <f>IF(ISNUMBER('Übung 16'!BV$37),'Übung 16'!BV$37,0)</f>
        <v/>
      </c>
      <c r="S402" s="62">
        <f>IF(ISNUMBER('Übung 17'!BV$37),'Übung 17'!BV$37,0)</f>
        <v/>
      </c>
      <c r="T402" s="62">
        <f>IF(ISNUMBER('Übung 18'!BV$37),'Übung 18'!BV$37,0)</f>
        <v/>
      </c>
      <c r="U402" s="62">
        <f>IF(ISNUMBER('Übung 19'!BV$37),'Übung 19'!BV$37,0)</f>
        <v/>
      </c>
      <c r="V402" s="62">
        <f>IF(ISNUMBER('Übung 20'!BV$37),'Übung 20'!BV$37,0)</f>
        <v/>
      </c>
    </row>
    <row r="403">
      <c r="C403" s="62">
        <f>IF(ISNUMBER('Übung 01'!BW$37),'Übung 01'!BW$37,0)</f>
        <v/>
      </c>
      <c r="D403" s="62">
        <f>IF(ISNUMBER('Übung 02'!BW$37),'Übung 02'!BW$37,0)</f>
        <v/>
      </c>
      <c r="E403" s="62">
        <f>IF(ISNUMBER('Übung 03'!BW$37),'Übung 03'!BW$37,0)</f>
        <v/>
      </c>
      <c r="F403" s="62">
        <f>IF(ISNUMBER('Übung 04'!BW$37),'Übung 04'!BW$37,0)</f>
        <v/>
      </c>
      <c r="G403" s="62">
        <f>IF(ISNUMBER('Übung 05'!BW$37),'Übung 05'!BW$37,0)</f>
        <v/>
      </c>
      <c r="H403" s="62">
        <f>IF(ISNUMBER('Übung 06'!BW$37),'Übung 06'!BW$37,0)</f>
        <v/>
      </c>
      <c r="I403" s="62">
        <f>IF(ISNUMBER('Übung 07'!BW$37),'Übung 07'!BW$37,0)</f>
        <v/>
      </c>
      <c r="J403" s="62">
        <f>IF(ISNUMBER('Übung 08'!BW$37),'Übung 08'!BW$37,0)</f>
        <v/>
      </c>
      <c r="K403" s="62">
        <f>IF(ISNUMBER('Übung 09'!BW$37),'Übung 09'!BW$37,0)</f>
        <v/>
      </c>
      <c r="L403" s="62">
        <f>IF(ISNUMBER('Übung 10'!BW$37),'Übung 10'!BW$37,0)</f>
        <v/>
      </c>
      <c r="M403" s="62">
        <f>IF(ISNUMBER('Übung 11'!BW$37),'Übung 11'!BW$37,0)</f>
        <v/>
      </c>
      <c r="N403" s="62">
        <f>IF(ISNUMBER('Übung 12'!BW$37),'Übung 12'!BW$37,0)</f>
        <v/>
      </c>
      <c r="O403" s="62">
        <f>IF(ISNUMBER('Übung 13'!BW$37),'Übung 13'!BW$37,0)</f>
        <v/>
      </c>
      <c r="P403" s="62">
        <f>IF(ISNUMBER('Übung 14'!BW$37),'Übung 14'!BW$37,0)</f>
        <v/>
      </c>
      <c r="Q403" s="62">
        <f>IF(ISNUMBER('Übung 15'!BW$37),'Übung 15'!BW$37,0)</f>
        <v/>
      </c>
      <c r="R403" s="62">
        <f>IF(ISNUMBER('Übung 16'!BW$37),'Übung 16'!BW$37,0)</f>
        <v/>
      </c>
      <c r="S403" s="62">
        <f>IF(ISNUMBER('Übung 17'!BW$37),'Übung 17'!BW$37,0)</f>
        <v/>
      </c>
      <c r="T403" s="62">
        <f>IF(ISNUMBER('Übung 18'!BW$37),'Übung 18'!BW$37,0)</f>
        <v/>
      </c>
      <c r="U403" s="62">
        <f>IF(ISNUMBER('Übung 19'!BW$37),'Übung 19'!BW$37,0)</f>
        <v/>
      </c>
      <c r="V403" s="62">
        <f>IF(ISNUMBER('Übung 20'!BW$37),'Übung 20'!BW$37,0)</f>
        <v/>
      </c>
    </row>
    <row r="404">
      <c r="C404" s="62">
        <f>IF(ISNUMBER('Übung 01'!BX$37),'Übung 01'!BX$37,0)</f>
        <v/>
      </c>
      <c r="D404" s="62">
        <f>IF(ISNUMBER('Übung 02'!BX$37),'Übung 02'!BX$37,0)</f>
        <v/>
      </c>
      <c r="E404" s="62">
        <f>IF(ISNUMBER('Übung 03'!BX$37),'Übung 03'!BX$37,0)</f>
        <v/>
      </c>
      <c r="F404" s="62">
        <f>IF(ISNUMBER('Übung 04'!BX$37),'Übung 04'!BX$37,0)</f>
        <v/>
      </c>
      <c r="G404" s="62">
        <f>IF(ISNUMBER('Übung 05'!BX$37),'Übung 05'!BX$37,0)</f>
        <v/>
      </c>
      <c r="H404" s="62">
        <f>IF(ISNUMBER('Übung 06'!BX$37),'Übung 06'!BX$37,0)</f>
        <v/>
      </c>
      <c r="I404" s="62">
        <f>IF(ISNUMBER('Übung 07'!BX$37),'Übung 07'!BX$37,0)</f>
        <v/>
      </c>
      <c r="J404" s="62">
        <f>IF(ISNUMBER('Übung 08'!BX$37),'Übung 08'!BX$37,0)</f>
        <v/>
      </c>
      <c r="K404" s="62">
        <f>IF(ISNUMBER('Übung 09'!BX$37),'Übung 09'!BX$37,0)</f>
        <v/>
      </c>
      <c r="L404" s="62">
        <f>IF(ISNUMBER('Übung 10'!BX$37),'Übung 10'!BX$37,0)</f>
        <v/>
      </c>
      <c r="M404" s="62">
        <f>IF(ISNUMBER('Übung 11'!BX$37),'Übung 11'!BX$37,0)</f>
        <v/>
      </c>
      <c r="N404" s="62">
        <f>IF(ISNUMBER('Übung 12'!BX$37),'Übung 12'!BX$37,0)</f>
        <v/>
      </c>
      <c r="O404" s="62">
        <f>IF(ISNUMBER('Übung 13'!BX$37),'Übung 13'!BX$37,0)</f>
        <v/>
      </c>
      <c r="P404" s="62">
        <f>IF(ISNUMBER('Übung 14'!BX$37),'Übung 14'!BX$37,0)</f>
        <v/>
      </c>
      <c r="Q404" s="62">
        <f>IF(ISNUMBER('Übung 15'!BX$37),'Übung 15'!BX$37,0)</f>
        <v/>
      </c>
      <c r="R404" s="62">
        <f>IF(ISNUMBER('Übung 16'!BX$37),'Übung 16'!BX$37,0)</f>
        <v/>
      </c>
      <c r="S404" s="62">
        <f>IF(ISNUMBER('Übung 17'!BX$37),'Übung 17'!BX$37,0)</f>
        <v/>
      </c>
      <c r="T404" s="62">
        <f>IF(ISNUMBER('Übung 18'!BX$37),'Übung 18'!BX$37,0)</f>
        <v/>
      </c>
      <c r="U404" s="62">
        <f>IF(ISNUMBER('Übung 19'!BX$37),'Übung 19'!BX$37,0)</f>
        <v/>
      </c>
      <c r="V404" s="62">
        <f>IF(ISNUMBER('Übung 20'!BX$37),'Übung 20'!BX$37,0)</f>
        <v/>
      </c>
    </row>
    <row r="405">
      <c r="C405" s="62">
        <f>IF(ISNUMBER('Übung 01'!BY$37),'Übung 01'!BY$37,0)</f>
        <v/>
      </c>
      <c r="D405" s="62">
        <f>IF(ISNUMBER('Übung 02'!BY$37),'Übung 02'!BY$37,0)</f>
        <v/>
      </c>
      <c r="E405" s="62">
        <f>IF(ISNUMBER('Übung 03'!BY$37),'Übung 03'!BY$37,0)</f>
        <v/>
      </c>
      <c r="F405" s="62">
        <f>IF(ISNUMBER('Übung 04'!BY$37),'Übung 04'!BY$37,0)</f>
        <v/>
      </c>
      <c r="G405" s="62">
        <f>IF(ISNUMBER('Übung 05'!BY$37),'Übung 05'!BY$37,0)</f>
        <v/>
      </c>
      <c r="H405" s="62">
        <f>IF(ISNUMBER('Übung 06'!BY$37),'Übung 06'!BY$37,0)</f>
        <v/>
      </c>
      <c r="I405" s="62">
        <f>IF(ISNUMBER('Übung 07'!BY$37),'Übung 07'!BY$37,0)</f>
        <v/>
      </c>
      <c r="J405" s="62">
        <f>IF(ISNUMBER('Übung 08'!BY$37),'Übung 08'!BY$37,0)</f>
        <v/>
      </c>
      <c r="K405" s="62">
        <f>IF(ISNUMBER('Übung 09'!BY$37),'Übung 09'!BY$37,0)</f>
        <v/>
      </c>
      <c r="L405" s="62">
        <f>IF(ISNUMBER('Übung 10'!BY$37),'Übung 10'!BY$37,0)</f>
        <v/>
      </c>
      <c r="M405" s="62">
        <f>IF(ISNUMBER('Übung 11'!BY$37),'Übung 11'!BY$37,0)</f>
        <v/>
      </c>
      <c r="N405" s="62">
        <f>IF(ISNUMBER('Übung 12'!BY$37),'Übung 12'!BY$37,0)</f>
        <v/>
      </c>
      <c r="O405" s="62">
        <f>IF(ISNUMBER('Übung 13'!BY$37),'Übung 13'!BY$37,0)</f>
        <v/>
      </c>
      <c r="P405" s="62">
        <f>IF(ISNUMBER('Übung 14'!BY$37),'Übung 14'!BY$37,0)</f>
        <v/>
      </c>
      <c r="Q405" s="62">
        <f>IF(ISNUMBER('Übung 15'!BY$37),'Übung 15'!BY$37,0)</f>
        <v/>
      </c>
      <c r="R405" s="62">
        <f>IF(ISNUMBER('Übung 16'!BY$37),'Übung 16'!BY$37,0)</f>
        <v/>
      </c>
      <c r="S405" s="62">
        <f>IF(ISNUMBER('Übung 17'!BY$37),'Übung 17'!BY$37,0)</f>
        <v/>
      </c>
      <c r="T405" s="62">
        <f>IF(ISNUMBER('Übung 18'!BY$37),'Übung 18'!BY$37,0)</f>
        <v/>
      </c>
      <c r="U405" s="62">
        <f>IF(ISNUMBER('Übung 19'!BY$37),'Übung 19'!BY$37,0)</f>
        <v/>
      </c>
      <c r="V405" s="62">
        <f>IF(ISNUMBER('Übung 20'!BY$37),'Übung 20'!BY$37,0)</f>
        <v/>
      </c>
    </row>
    <row r="406">
      <c r="C406" s="62">
        <f>IF(ISNUMBER('Übung 01'!BZ$37),'Übung 01'!BZ$37,0)</f>
        <v/>
      </c>
      <c r="D406" s="62">
        <f>IF(ISNUMBER('Übung 02'!BZ$37),'Übung 02'!BZ$37,0)</f>
        <v/>
      </c>
      <c r="E406" s="62">
        <f>IF(ISNUMBER('Übung 03'!BZ$37),'Übung 03'!BZ$37,0)</f>
        <v/>
      </c>
      <c r="F406" s="62">
        <f>IF(ISNUMBER('Übung 04'!BZ$37),'Übung 04'!BZ$37,0)</f>
        <v/>
      </c>
      <c r="G406" s="62">
        <f>IF(ISNUMBER('Übung 05'!BZ$37),'Übung 05'!BZ$37,0)</f>
        <v/>
      </c>
      <c r="H406" s="62">
        <f>IF(ISNUMBER('Übung 06'!BZ$37),'Übung 06'!BZ$37,0)</f>
        <v/>
      </c>
      <c r="I406" s="62">
        <f>IF(ISNUMBER('Übung 07'!BZ$37),'Übung 07'!BZ$37,0)</f>
        <v/>
      </c>
      <c r="J406" s="62">
        <f>IF(ISNUMBER('Übung 08'!BZ$37),'Übung 08'!BZ$37,0)</f>
        <v/>
      </c>
      <c r="K406" s="62">
        <f>IF(ISNUMBER('Übung 09'!BZ$37),'Übung 09'!BZ$37,0)</f>
        <v/>
      </c>
      <c r="L406" s="62">
        <f>IF(ISNUMBER('Übung 10'!BZ$37),'Übung 10'!BZ$37,0)</f>
        <v/>
      </c>
      <c r="M406" s="62">
        <f>IF(ISNUMBER('Übung 11'!BZ$37),'Übung 11'!BZ$37,0)</f>
        <v/>
      </c>
      <c r="N406" s="62">
        <f>IF(ISNUMBER('Übung 12'!BZ$37),'Übung 12'!BZ$37,0)</f>
        <v/>
      </c>
      <c r="O406" s="62">
        <f>IF(ISNUMBER('Übung 13'!BZ$37),'Übung 13'!BZ$37,0)</f>
        <v/>
      </c>
      <c r="P406" s="62">
        <f>IF(ISNUMBER('Übung 14'!BZ$37),'Übung 14'!BZ$37,0)</f>
        <v/>
      </c>
      <c r="Q406" s="62">
        <f>IF(ISNUMBER('Übung 15'!BZ$37),'Übung 15'!BZ$37,0)</f>
        <v/>
      </c>
      <c r="R406" s="62">
        <f>IF(ISNUMBER('Übung 16'!BZ$37),'Übung 16'!BZ$37,0)</f>
        <v/>
      </c>
      <c r="S406" s="62">
        <f>IF(ISNUMBER('Übung 17'!BZ$37),'Übung 17'!BZ$37,0)</f>
        <v/>
      </c>
      <c r="T406" s="62">
        <f>IF(ISNUMBER('Übung 18'!BZ$37),'Übung 18'!BZ$37,0)</f>
        <v/>
      </c>
      <c r="U406" s="62">
        <f>IF(ISNUMBER('Übung 19'!BZ$37),'Übung 19'!BZ$37,0)</f>
        <v/>
      </c>
      <c r="V406" s="62">
        <f>IF(ISNUMBER('Übung 20'!BZ$37),'Übung 20'!BZ$37,0)</f>
        <v/>
      </c>
    </row>
    <row r="407">
      <c r="C407" s="62">
        <f>IF(ISNUMBER('Übung 01'!CA$37),'Übung 01'!CA$37,0)</f>
        <v/>
      </c>
      <c r="D407" s="62">
        <f>IF(ISNUMBER('Übung 02'!CA$37),'Übung 02'!CA$37,0)</f>
        <v/>
      </c>
      <c r="E407" s="62">
        <f>IF(ISNUMBER('Übung 03'!CA$37),'Übung 03'!CA$37,0)</f>
        <v/>
      </c>
      <c r="F407" s="62">
        <f>IF(ISNUMBER('Übung 04'!CA$37),'Übung 04'!CA$37,0)</f>
        <v/>
      </c>
      <c r="G407" s="62">
        <f>IF(ISNUMBER('Übung 05'!CA$37),'Übung 05'!CA$37,0)</f>
        <v/>
      </c>
      <c r="H407" s="62">
        <f>IF(ISNUMBER('Übung 06'!CA$37),'Übung 06'!CA$37,0)</f>
        <v/>
      </c>
      <c r="I407" s="62">
        <f>IF(ISNUMBER('Übung 07'!CA$37),'Übung 07'!CA$37,0)</f>
        <v/>
      </c>
      <c r="J407" s="62">
        <f>IF(ISNUMBER('Übung 08'!CA$37),'Übung 08'!CA$37,0)</f>
        <v/>
      </c>
      <c r="K407" s="62">
        <f>IF(ISNUMBER('Übung 09'!CA$37),'Übung 09'!CA$37,0)</f>
        <v/>
      </c>
      <c r="L407" s="62">
        <f>IF(ISNUMBER('Übung 10'!CA$37),'Übung 10'!CA$37,0)</f>
        <v/>
      </c>
      <c r="M407" s="62">
        <f>IF(ISNUMBER('Übung 11'!CA$37),'Übung 11'!CA$37,0)</f>
        <v/>
      </c>
      <c r="N407" s="62">
        <f>IF(ISNUMBER('Übung 12'!CA$37),'Übung 12'!CA$37,0)</f>
        <v/>
      </c>
      <c r="O407" s="62">
        <f>IF(ISNUMBER('Übung 13'!CA$37),'Übung 13'!CA$37,0)</f>
        <v/>
      </c>
      <c r="P407" s="62">
        <f>IF(ISNUMBER('Übung 14'!CA$37),'Übung 14'!CA$37,0)</f>
        <v/>
      </c>
      <c r="Q407" s="62">
        <f>IF(ISNUMBER('Übung 15'!CA$37),'Übung 15'!CA$37,0)</f>
        <v/>
      </c>
      <c r="R407" s="62">
        <f>IF(ISNUMBER('Übung 16'!CA$37),'Übung 16'!CA$37,0)</f>
        <v/>
      </c>
      <c r="S407" s="62">
        <f>IF(ISNUMBER('Übung 17'!CA$37),'Übung 17'!CA$37,0)</f>
        <v/>
      </c>
      <c r="T407" s="62">
        <f>IF(ISNUMBER('Übung 18'!CA$37),'Übung 18'!CA$37,0)</f>
        <v/>
      </c>
      <c r="U407" s="62">
        <f>IF(ISNUMBER('Übung 19'!CA$37),'Übung 19'!CA$37,0)</f>
        <v/>
      </c>
      <c r="V407" s="62">
        <f>IF(ISNUMBER('Übung 20'!CA$37),'Übung 20'!CA$37,0)</f>
        <v/>
      </c>
    </row>
    <row r="408">
      <c r="C408" s="62">
        <f>IF(ISNUMBER('Übung 01'!CB$37),'Übung 01'!CB$37,0)</f>
        <v/>
      </c>
      <c r="D408" s="62">
        <f>IF(ISNUMBER('Übung 02'!CB$37),'Übung 02'!CB$37,0)</f>
        <v/>
      </c>
      <c r="E408" s="62">
        <f>IF(ISNUMBER('Übung 03'!CB$37),'Übung 03'!CB$37,0)</f>
        <v/>
      </c>
      <c r="F408" s="62">
        <f>IF(ISNUMBER('Übung 04'!CB$37),'Übung 04'!CB$37,0)</f>
        <v/>
      </c>
      <c r="G408" s="62">
        <f>IF(ISNUMBER('Übung 05'!CB$37),'Übung 05'!CB$37,0)</f>
        <v/>
      </c>
      <c r="H408" s="62">
        <f>IF(ISNUMBER('Übung 06'!CB$37),'Übung 06'!CB$37,0)</f>
        <v/>
      </c>
      <c r="I408" s="62">
        <f>IF(ISNUMBER('Übung 07'!CB$37),'Übung 07'!CB$37,0)</f>
        <v/>
      </c>
      <c r="J408" s="62">
        <f>IF(ISNUMBER('Übung 08'!CB$37),'Übung 08'!CB$37,0)</f>
        <v/>
      </c>
      <c r="K408" s="62">
        <f>IF(ISNUMBER('Übung 09'!CB$37),'Übung 09'!CB$37,0)</f>
        <v/>
      </c>
      <c r="L408" s="62">
        <f>IF(ISNUMBER('Übung 10'!CB$37),'Übung 10'!CB$37,0)</f>
        <v/>
      </c>
      <c r="M408" s="62">
        <f>IF(ISNUMBER('Übung 11'!CB$37),'Übung 11'!CB$37,0)</f>
        <v/>
      </c>
      <c r="N408" s="62">
        <f>IF(ISNUMBER('Übung 12'!CB$37),'Übung 12'!CB$37,0)</f>
        <v/>
      </c>
      <c r="O408" s="62">
        <f>IF(ISNUMBER('Übung 13'!CB$37),'Übung 13'!CB$37,0)</f>
        <v/>
      </c>
      <c r="P408" s="62">
        <f>IF(ISNUMBER('Übung 14'!CB$37),'Übung 14'!CB$37,0)</f>
        <v/>
      </c>
      <c r="Q408" s="62">
        <f>IF(ISNUMBER('Übung 15'!CB$37),'Übung 15'!CB$37,0)</f>
        <v/>
      </c>
      <c r="R408" s="62">
        <f>IF(ISNUMBER('Übung 16'!CB$37),'Übung 16'!CB$37,0)</f>
        <v/>
      </c>
      <c r="S408" s="62">
        <f>IF(ISNUMBER('Übung 17'!CB$37),'Übung 17'!CB$37,0)</f>
        <v/>
      </c>
      <c r="T408" s="62">
        <f>IF(ISNUMBER('Übung 18'!CB$37),'Übung 18'!CB$37,0)</f>
        <v/>
      </c>
      <c r="U408" s="62">
        <f>IF(ISNUMBER('Übung 19'!CB$37),'Übung 19'!CB$37,0)</f>
        <v/>
      </c>
      <c r="V408" s="62">
        <f>IF(ISNUMBER('Übung 20'!CB$37),'Übung 20'!CB$37,0)</f>
        <v/>
      </c>
    </row>
    <row r="409">
      <c r="C409" s="62">
        <f>IF(ISNUMBER('Übung 01'!CC$37),'Übung 01'!CC$37,0)</f>
        <v/>
      </c>
      <c r="D409" s="62">
        <f>IF(ISNUMBER('Übung 02'!CC$37),'Übung 02'!CC$37,0)</f>
        <v/>
      </c>
      <c r="E409" s="62">
        <f>IF(ISNUMBER('Übung 03'!CC$37),'Übung 03'!CC$37,0)</f>
        <v/>
      </c>
      <c r="F409" s="62">
        <f>IF(ISNUMBER('Übung 04'!CC$37),'Übung 04'!CC$37,0)</f>
        <v/>
      </c>
      <c r="G409" s="62">
        <f>IF(ISNUMBER('Übung 05'!CC$37),'Übung 05'!CC$37,0)</f>
        <v/>
      </c>
      <c r="H409" s="62">
        <f>IF(ISNUMBER('Übung 06'!CC$37),'Übung 06'!CC$37,0)</f>
        <v/>
      </c>
      <c r="I409" s="62">
        <f>IF(ISNUMBER('Übung 07'!CC$37),'Übung 07'!CC$37,0)</f>
        <v/>
      </c>
      <c r="J409" s="62">
        <f>IF(ISNUMBER('Übung 08'!CC$37),'Übung 08'!CC$37,0)</f>
        <v/>
      </c>
      <c r="K409" s="62">
        <f>IF(ISNUMBER('Übung 09'!CC$37),'Übung 09'!CC$37,0)</f>
        <v/>
      </c>
      <c r="L409" s="62">
        <f>IF(ISNUMBER('Übung 10'!CC$37),'Übung 10'!CC$37,0)</f>
        <v/>
      </c>
      <c r="M409" s="62">
        <f>IF(ISNUMBER('Übung 11'!CC$37),'Übung 11'!CC$37,0)</f>
        <v/>
      </c>
      <c r="N409" s="62">
        <f>IF(ISNUMBER('Übung 12'!CC$37),'Übung 12'!CC$37,0)</f>
        <v/>
      </c>
      <c r="O409" s="62">
        <f>IF(ISNUMBER('Übung 13'!CC$37),'Übung 13'!CC$37,0)</f>
        <v/>
      </c>
      <c r="P409" s="62">
        <f>IF(ISNUMBER('Übung 14'!CC$37),'Übung 14'!CC$37,0)</f>
        <v/>
      </c>
      <c r="Q409" s="62">
        <f>IF(ISNUMBER('Übung 15'!CC$37),'Übung 15'!CC$37,0)</f>
        <v/>
      </c>
      <c r="R409" s="62">
        <f>IF(ISNUMBER('Übung 16'!CC$37),'Übung 16'!CC$37,0)</f>
        <v/>
      </c>
      <c r="S409" s="62">
        <f>IF(ISNUMBER('Übung 17'!CC$37),'Übung 17'!CC$37,0)</f>
        <v/>
      </c>
      <c r="T409" s="62">
        <f>IF(ISNUMBER('Übung 18'!CC$37),'Übung 18'!CC$37,0)</f>
        <v/>
      </c>
      <c r="U409" s="62">
        <f>IF(ISNUMBER('Übung 19'!CC$37),'Übung 19'!CC$37,0)</f>
        <v/>
      </c>
      <c r="V409" s="62">
        <f>IF(ISNUMBER('Übung 20'!CC$37),'Übung 20'!CC$37,0)</f>
        <v/>
      </c>
    </row>
    <row r="410">
      <c r="C410" s="62">
        <f>IF(ISNUMBER('Übung 01'!CE$37),'Übung 01'!CE$37,0)</f>
        <v/>
      </c>
      <c r="D410" s="62">
        <f>IF(ISNUMBER('Übung 02'!CE$37),'Übung 02'!CE$37,0)</f>
        <v/>
      </c>
      <c r="E410" s="62">
        <f>IF(ISNUMBER('Übung 03'!CE$37),'Übung 03'!CE$37,0)</f>
        <v/>
      </c>
      <c r="F410" s="62">
        <f>IF(ISNUMBER('Übung 04'!CE$37),'Übung 04'!CE$37,0)</f>
        <v/>
      </c>
      <c r="G410" s="62">
        <f>IF(ISNUMBER('Übung 05'!CE$37),'Übung 05'!CE$37,0)</f>
        <v/>
      </c>
      <c r="H410" s="62">
        <f>IF(ISNUMBER('Übung 06'!CE$37),'Übung 06'!CE$37,0)</f>
        <v/>
      </c>
      <c r="I410" s="62">
        <f>IF(ISNUMBER('Übung 07'!CE$37),'Übung 07'!CE$37,0)</f>
        <v/>
      </c>
      <c r="J410" s="62">
        <f>IF(ISNUMBER('Übung 08'!CE$37),'Übung 08'!CE$37,0)</f>
        <v/>
      </c>
      <c r="K410" s="62">
        <f>IF(ISNUMBER('Übung 09'!CE$37),'Übung 09'!CE$37,0)</f>
        <v/>
      </c>
      <c r="L410" s="62">
        <f>IF(ISNUMBER('Übung 10'!CE$37),'Übung 10'!CE$37,0)</f>
        <v/>
      </c>
      <c r="M410" s="62">
        <f>IF(ISNUMBER('Übung 11'!CE$37),'Übung 11'!CE$37,0)</f>
        <v/>
      </c>
      <c r="N410" s="62">
        <f>IF(ISNUMBER('Übung 12'!CE$37),'Übung 12'!CE$37,0)</f>
        <v/>
      </c>
      <c r="O410" s="62">
        <f>IF(ISNUMBER('Übung 13'!CE$37),'Übung 13'!CE$37,0)</f>
        <v/>
      </c>
      <c r="P410" s="62">
        <f>IF(ISNUMBER('Übung 14'!CE$37),'Übung 14'!CE$37,0)</f>
        <v/>
      </c>
      <c r="Q410" s="62">
        <f>IF(ISNUMBER('Übung 15'!CE$37),'Übung 15'!CE$37,0)</f>
        <v/>
      </c>
      <c r="R410" s="62">
        <f>IF(ISNUMBER('Übung 16'!CE$37),'Übung 16'!CE$37,0)</f>
        <v/>
      </c>
      <c r="S410" s="62">
        <f>IF(ISNUMBER('Übung 17'!CE$37),'Übung 17'!CE$37,0)</f>
        <v/>
      </c>
      <c r="T410" s="62">
        <f>IF(ISNUMBER('Übung 18'!CE$37),'Übung 18'!CE$37,0)</f>
        <v/>
      </c>
      <c r="U410" s="62">
        <f>IF(ISNUMBER('Übung 19'!CE$37),'Übung 19'!CE$37,0)</f>
        <v/>
      </c>
      <c r="V410" s="62">
        <f>IF(ISNUMBER('Übung 20'!CE$37),'Übung 20'!CE$37,0)</f>
        <v/>
      </c>
    </row>
    <row r="411">
      <c r="C411" s="62">
        <f>IF(ISNUMBER('Übung 01'!CF$37),'Übung 01'!CF$37,0)</f>
        <v/>
      </c>
      <c r="D411" s="62">
        <f>IF(ISNUMBER('Übung 02'!CF$37),'Übung 02'!CF$37,0)</f>
        <v/>
      </c>
      <c r="E411" s="62">
        <f>IF(ISNUMBER('Übung 03'!CF$37),'Übung 03'!CF$37,0)</f>
        <v/>
      </c>
      <c r="F411" s="62">
        <f>IF(ISNUMBER('Übung 04'!CF$37),'Übung 04'!CF$37,0)</f>
        <v/>
      </c>
      <c r="G411" s="62">
        <f>IF(ISNUMBER('Übung 05'!CF$37),'Übung 05'!CF$37,0)</f>
        <v/>
      </c>
      <c r="H411" s="62">
        <f>IF(ISNUMBER('Übung 06'!CF$37),'Übung 06'!CF$37,0)</f>
        <v/>
      </c>
      <c r="I411" s="62">
        <f>IF(ISNUMBER('Übung 07'!CF$37),'Übung 07'!CF$37,0)</f>
        <v/>
      </c>
      <c r="J411" s="62">
        <f>IF(ISNUMBER('Übung 08'!CF$37),'Übung 08'!CF$37,0)</f>
        <v/>
      </c>
      <c r="K411" s="62">
        <f>IF(ISNUMBER('Übung 09'!CF$37),'Übung 09'!CF$37,0)</f>
        <v/>
      </c>
      <c r="L411" s="62">
        <f>IF(ISNUMBER('Übung 10'!CF$37),'Übung 10'!CF$37,0)</f>
        <v/>
      </c>
      <c r="M411" s="62">
        <f>IF(ISNUMBER('Übung 11'!CF$37),'Übung 11'!CF$37,0)</f>
        <v/>
      </c>
      <c r="N411" s="62">
        <f>IF(ISNUMBER('Übung 12'!CF$37),'Übung 12'!CF$37,0)</f>
        <v/>
      </c>
      <c r="O411" s="62">
        <f>IF(ISNUMBER('Übung 13'!CF$37),'Übung 13'!CF$37,0)</f>
        <v/>
      </c>
      <c r="P411" s="62">
        <f>IF(ISNUMBER('Übung 14'!CF$37),'Übung 14'!CF$37,0)</f>
        <v/>
      </c>
      <c r="Q411" s="62">
        <f>IF(ISNUMBER('Übung 15'!CF$37),'Übung 15'!CF$37,0)</f>
        <v/>
      </c>
      <c r="R411" s="62">
        <f>IF(ISNUMBER('Übung 16'!CF$37),'Übung 16'!CF$37,0)</f>
        <v/>
      </c>
      <c r="S411" s="62">
        <f>IF(ISNUMBER('Übung 17'!CF$37),'Übung 17'!CF$37,0)</f>
        <v/>
      </c>
      <c r="T411" s="62">
        <f>IF(ISNUMBER('Übung 18'!CF$37),'Übung 18'!CF$37,0)</f>
        <v/>
      </c>
      <c r="U411" s="62">
        <f>IF(ISNUMBER('Übung 19'!CF$37),'Übung 19'!CF$37,0)</f>
        <v/>
      </c>
      <c r="V411" s="62">
        <f>IF(ISNUMBER('Übung 20'!CF$37),'Übung 20'!CF$37,0)</f>
        <v/>
      </c>
    </row>
    <row r="412">
      <c r="C412" s="62">
        <f>IF(ISNUMBER('Übung 01'!CG$37),'Übung 01'!CG$37,0)</f>
        <v/>
      </c>
      <c r="D412" s="62">
        <f>IF(ISNUMBER('Übung 02'!CG$37),'Übung 02'!CG$37,0)</f>
        <v/>
      </c>
      <c r="E412" s="62">
        <f>IF(ISNUMBER('Übung 03'!CG$37),'Übung 03'!CG$37,0)</f>
        <v/>
      </c>
      <c r="F412" s="62">
        <f>IF(ISNUMBER('Übung 04'!CG$37),'Übung 04'!CG$37,0)</f>
        <v/>
      </c>
      <c r="G412" s="62">
        <f>IF(ISNUMBER('Übung 05'!CG$37),'Übung 05'!CG$37,0)</f>
        <v/>
      </c>
      <c r="H412" s="62">
        <f>IF(ISNUMBER('Übung 06'!CG$37),'Übung 06'!CG$37,0)</f>
        <v/>
      </c>
      <c r="I412" s="62">
        <f>IF(ISNUMBER('Übung 07'!CG$37),'Übung 07'!CG$37,0)</f>
        <v/>
      </c>
      <c r="J412" s="62">
        <f>IF(ISNUMBER('Übung 08'!CG$37),'Übung 08'!CG$37,0)</f>
        <v/>
      </c>
      <c r="K412" s="62">
        <f>IF(ISNUMBER('Übung 09'!CG$37),'Übung 09'!CG$37,0)</f>
        <v/>
      </c>
      <c r="L412" s="62">
        <f>IF(ISNUMBER('Übung 10'!CG$37),'Übung 10'!CG$37,0)</f>
        <v/>
      </c>
      <c r="M412" s="62">
        <f>IF(ISNUMBER('Übung 11'!CG$37),'Übung 11'!CG$37,0)</f>
        <v/>
      </c>
      <c r="N412" s="62">
        <f>IF(ISNUMBER('Übung 12'!CG$37),'Übung 12'!CG$37,0)</f>
        <v/>
      </c>
      <c r="O412" s="62">
        <f>IF(ISNUMBER('Übung 13'!CG$37),'Übung 13'!CG$37,0)</f>
        <v/>
      </c>
      <c r="P412" s="62">
        <f>IF(ISNUMBER('Übung 14'!CG$37),'Übung 14'!CG$37,0)</f>
        <v/>
      </c>
      <c r="Q412" s="62">
        <f>IF(ISNUMBER('Übung 15'!CG$37),'Übung 15'!CG$37,0)</f>
        <v/>
      </c>
      <c r="R412" s="62">
        <f>IF(ISNUMBER('Übung 16'!CG$37),'Übung 16'!CG$37,0)</f>
        <v/>
      </c>
      <c r="S412" s="62">
        <f>IF(ISNUMBER('Übung 17'!CG$37),'Übung 17'!CG$37,0)</f>
        <v/>
      </c>
      <c r="T412" s="62">
        <f>IF(ISNUMBER('Übung 18'!CG$37),'Übung 18'!CG$37,0)</f>
        <v/>
      </c>
      <c r="U412" s="62">
        <f>IF(ISNUMBER('Übung 19'!CG$37),'Übung 19'!CG$37,0)</f>
        <v/>
      </c>
      <c r="V412" s="62">
        <f>IF(ISNUMBER('Übung 20'!CG$37),'Übung 20'!CG$37,0)</f>
        <v/>
      </c>
    </row>
    <row r="413">
      <c r="C413" s="62">
        <f>IF(ISNUMBER('Übung 01'!CH$37),'Übung 01'!CH$37,0)</f>
        <v/>
      </c>
      <c r="D413" s="62">
        <f>IF(ISNUMBER('Übung 02'!CH$37),'Übung 02'!CH$37,0)</f>
        <v/>
      </c>
      <c r="E413" s="62">
        <f>IF(ISNUMBER('Übung 03'!CH$37),'Übung 03'!CH$37,0)</f>
        <v/>
      </c>
      <c r="F413" s="62">
        <f>IF(ISNUMBER('Übung 04'!CH$37),'Übung 04'!CH$37,0)</f>
        <v/>
      </c>
      <c r="G413" s="62">
        <f>IF(ISNUMBER('Übung 05'!CH$37),'Übung 05'!CH$37,0)</f>
        <v/>
      </c>
      <c r="H413" s="62">
        <f>IF(ISNUMBER('Übung 06'!CH$37),'Übung 06'!CH$37,0)</f>
        <v/>
      </c>
      <c r="I413" s="62">
        <f>IF(ISNUMBER('Übung 07'!CH$37),'Übung 07'!CH$37,0)</f>
        <v/>
      </c>
      <c r="J413" s="62">
        <f>IF(ISNUMBER('Übung 08'!CH$37),'Übung 08'!CH$37,0)</f>
        <v/>
      </c>
      <c r="K413" s="62">
        <f>IF(ISNUMBER('Übung 09'!CH$37),'Übung 09'!CH$37,0)</f>
        <v/>
      </c>
      <c r="L413" s="62">
        <f>IF(ISNUMBER('Übung 10'!CH$37),'Übung 10'!CH$37,0)</f>
        <v/>
      </c>
      <c r="M413" s="62">
        <f>IF(ISNUMBER('Übung 11'!CH$37),'Übung 11'!CH$37,0)</f>
        <v/>
      </c>
      <c r="N413" s="62">
        <f>IF(ISNUMBER('Übung 12'!CH$37),'Übung 12'!CH$37,0)</f>
        <v/>
      </c>
      <c r="O413" s="62">
        <f>IF(ISNUMBER('Übung 13'!CH$37),'Übung 13'!CH$37,0)</f>
        <v/>
      </c>
      <c r="P413" s="62">
        <f>IF(ISNUMBER('Übung 14'!CH$37),'Übung 14'!CH$37,0)</f>
        <v/>
      </c>
      <c r="Q413" s="62">
        <f>IF(ISNUMBER('Übung 15'!CH$37),'Übung 15'!CH$37,0)</f>
        <v/>
      </c>
      <c r="R413" s="62">
        <f>IF(ISNUMBER('Übung 16'!CH$37),'Übung 16'!CH$37,0)</f>
        <v/>
      </c>
      <c r="S413" s="62">
        <f>IF(ISNUMBER('Übung 17'!CH$37),'Übung 17'!CH$37,0)</f>
        <v/>
      </c>
      <c r="T413" s="62">
        <f>IF(ISNUMBER('Übung 18'!CH$37),'Übung 18'!CH$37,0)</f>
        <v/>
      </c>
      <c r="U413" s="62">
        <f>IF(ISNUMBER('Übung 19'!CH$37),'Übung 19'!CH$37,0)</f>
        <v/>
      </c>
      <c r="V413" s="62">
        <f>IF(ISNUMBER('Übung 20'!CH$37),'Übung 20'!CH$37,0)</f>
        <v/>
      </c>
    </row>
    <row r="414">
      <c r="C414" s="62">
        <f>IF(ISNUMBER('Übung 01'!CI$37),'Übung 01'!CI$37,0)</f>
        <v/>
      </c>
      <c r="D414" s="62">
        <f>IF(ISNUMBER('Übung 02'!CI$37),'Übung 02'!CI$37,0)</f>
        <v/>
      </c>
      <c r="E414" s="62">
        <f>IF(ISNUMBER('Übung 03'!CI$37),'Übung 03'!CI$37,0)</f>
        <v/>
      </c>
      <c r="F414" s="62">
        <f>IF(ISNUMBER('Übung 04'!CI$37),'Übung 04'!CI$37,0)</f>
        <v/>
      </c>
      <c r="G414" s="62">
        <f>IF(ISNUMBER('Übung 05'!CI$37),'Übung 05'!CI$37,0)</f>
        <v/>
      </c>
      <c r="H414" s="62">
        <f>IF(ISNUMBER('Übung 06'!CI$37),'Übung 06'!CI$37,0)</f>
        <v/>
      </c>
      <c r="I414" s="62">
        <f>IF(ISNUMBER('Übung 07'!CI$37),'Übung 07'!CI$37,0)</f>
        <v/>
      </c>
      <c r="J414" s="62">
        <f>IF(ISNUMBER('Übung 08'!CI$37),'Übung 08'!CI$37,0)</f>
        <v/>
      </c>
      <c r="K414" s="62">
        <f>IF(ISNUMBER('Übung 09'!CI$37),'Übung 09'!CI$37,0)</f>
        <v/>
      </c>
      <c r="L414" s="62">
        <f>IF(ISNUMBER('Übung 10'!CI$37),'Übung 10'!CI$37,0)</f>
        <v/>
      </c>
      <c r="M414" s="62">
        <f>IF(ISNUMBER('Übung 11'!CI$37),'Übung 11'!CI$37,0)</f>
        <v/>
      </c>
      <c r="N414" s="62">
        <f>IF(ISNUMBER('Übung 12'!CI$37),'Übung 12'!CI$37,0)</f>
        <v/>
      </c>
      <c r="O414" s="62">
        <f>IF(ISNUMBER('Übung 13'!CI$37),'Übung 13'!CI$37,0)</f>
        <v/>
      </c>
      <c r="P414" s="62">
        <f>IF(ISNUMBER('Übung 14'!CI$37),'Übung 14'!CI$37,0)</f>
        <v/>
      </c>
      <c r="Q414" s="62">
        <f>IF(ISNUMBER('Übung 15'!CI$37),'Übung 15'!CI$37,0)</f>
        <v/>
      </c>
      <c r="R414" s="62">
        <f>IF(ISNUMBER('Übung 16'!CI$37),'Übung 16'!CI$37,0)</f>
        <v/>
      </c>
      <c r="S414" s="62">
        <f>IF(ISNUMBER('Übung 17'!CI$37),'Übung 17'!CI$37,0)</f>
        <v/>
      </c>
      <c r="T414" s="62">
        <f>IF(ISNUMBER('Übung 18'!CI$37),'Übung 18'!CI$37,0)</f>
        <v/>
      </c>
      <c r="U414" s="62">
        <f>IF(ISNUMBER('Übung 19'!CI$37),'Übung 19'!CI$37,0)</f>
        <v/>
      </c>
      <c r="V414" s="62">
        <f>IF(ISNUMBER('Übung 20'!CI$37),'Übung 20'!CI$37,0)</f>
        <v/>
      </c>
    </row>
    <row r="415">
      <c r="C415" s="62">
        <f>IF(ISNUMBER('Übung 01'!CJ$37),'Übung 01'!CJ$37,0)</f>
        <v/>
      </c>
      <c r="D415" s="62">
        <f>IF(ISNUMBER('Übung 02'!CJ$37),'Übung 02'!CJ$37,0)</f>
        <v/>
      </c>
      <c r="E415" s="62">
        <f>IF(ISNUMBER('Übung 03'!CJ$37),'Übung 03'!CJ$37,0)</f>
        <v/>
      </c>
      <c r="F415" s="62">
        <f>IF(ISNUMBER('Übung 04'!CJ$37),'Übung 04'!CJ$37,0)</f>
        <v/>
      </c>
      <c r="G415" s="62">
        <f>IF(ISNUMBER('Übung 05'!CJ$37),'Übung 05'!CJ$37,0)</f>
        <v/>
      </c>
      <c r="H415" s="62">
        <f>IF(ISNUMBER('Übung 06'!CJ$37),'Übung 06'!CJ$37,0)</f>
        <v/>
      </c>
      <c r="I415" s="62">
        <f>IF(ISNUMBER('Übung 07'!CJ$37),'Übung 07'!CJ$37,0)</f>
        <v/>
      </c>
      <c r="J415" s="62">
        <f>IF(ISNUMBER('Übung 08'!CJ$37),'Übung 08'!CJ$37,0)</f>
        <v/>
      </c>
      <c r="K415" s="62">
        <f>IF(ISNUMBER('Übung 09'!CJ$37),'Übung 09'!CJ$37,0)</f>
        <v/>
      </c>
      <c r="L415" s="62">
        <f>IF(ISNUMBER('Übung 10'!CJ$37),'Übung 10'!CJ$37,0)</f>
        <v/>
      </c>
      <c r="M415" s="62">
        <f>IF(ISNUMBER('Übung 11'!CJ$37),'Übung 11'!CJ$37,0)</f>
        <v/>
      </c>
      <c r="N415" s="62">
        <f>IF(ISNUMBER('Übung 12'!CJ$37),'Übung 12'!CJ$37,0)</f>
        <v/>
      </c>
      <c r="O415" s="62">
        <f>IF(ISNUMBER('Übung 13'!CJ$37),'Übung 13'!CJ$37,0)</f>
        <v/>
      </c>
      <c r="P415" s="62">
        <f>IF(ISNUMBER('Übung 14'!CJ$37),'Übung 14'!CJ$37,0)</f>
        <v/>
      </c>
      <c r="Q415" s="62">
        <f>IF(ISNUMBER('Übung 15'!CJ$37),'Übung 15'!CJ$37,0)</f>
        <v/>
      </c>
      <c r="R415" s="62">
        <f>IF(ISNUMBER('Übung 16'!CJ$37),'Übung 16'!CJ$37,0)</f>
        <v/>
      </c>
      <c r="S415" s="62">
        <f>IF(ISNUMBER('Übung 17'!CJ$37),'Übung 17'!CJ$37,0)</f>
        <v/>
      </c>
      <c r="T415" s="62">
        <f>IF(ISNUMBER('Übung 18'!CJ$37),'Übung 18'!CJ$37,0)</f>
        <v/>
      </c>
      <c r="U415" s="62">
        <f>IF(ISNUMBER('Übung 19'!CJ$37),'Übung 19'!CJ$37,0)</f>
        <v/>
      </c>
      <c r="V415" s="62">
        <f>IF(ISNUMBER('Übung 20'!CJ$37),'Übung 20'!CJ$37,0)</f>
        <v/>
      </c>
    </row>
    <row r="416">
      <c r="C416" s="62">
        <f>IF(ISNUMBER('Übung 01'!CK$37),'Übung 01'!CK$37,0)</f>
        <v/>
      </c>
      <c r="D416" s="62">
        <f>IF(ISNUMBER('Übung 02'!CK$37),'Übung 02'!CK$37,0)</f>
        <v/>
      </c>
      <c r="E416" s="62">
        <f>IF(ISNUMBER('Übung 03'!CK$37),'Übung 03'!CK$37,0)</f>
        <v/>
      </c>
      <c r="F416" s="62">
        <f>IF(ISNUMBER('Übung 04'!CK$37),'Übung 04'!CK$37,0)</f>
        <v/>
      </c>
      <c r="G416" s="62">
        <f>IF(ISNUMBER('Übung 05'!CK$37),'Übung 05'!CK$37,0)</f>
        <v/>
      </c>
      <c r="H416" s="62">
        <f>IF(ISNUMBER('Übung 06'!CK$37),'Übung 06'!CK$37,0)</f>
        <v/>
      </c>
      <c r="I416" s="62">
        <f>IF(ISNUMBER('Übung 07'!CK$37),'Übung 07'!CK$37,0)</f>
        <v/>
      </c>
      <c r="J416" s="62">
        <f>IF(ISNUMBER('Übung 08'!CK$37),'Übung 08'!CK$37,0)</f>
        <v/>
      </c>
      <c r="K416" s="62">
        <f>IF(ISNUMBER('Übung 09'!CK$37),'Übung 09'!CK$37,0)</f>
        <v/>
      </c>
      <c r="L416" s="62">
        <f>IF(ISNUMBER('Übung 10'!CK$37),'Übung 10'!CK$37,0)</f>
        <v/>
      </c>
      <c r="M416" s="62">
        <f>IF(ISNUMBER('Übung 11'!CK$37),'Übung 11'!CK$37,0)</f>
        <v/>
      </c>
      <c r="N416" s="62">
        <f>IF(ISNUMBER('Übung 12'!CK$37),'Übung 12'!CK$37,0)</f>
        <v/>
      </c>
      <c r="O416" s="62">
        <f>IF(ISNUMBER('Übung 13'!CK$37),'Übung 13'!CK$37,0)</f>
        <v/>
      </c>
      <c r="P416" s="62">
        <f>IF(ISNUMBER('Übung 14'!CK$37),'Übung 14'!CK$37,0)</f>
        <v/>
      </c>
      <c r="Q416" s="62">
        <f>IF(ISNUMBER('Übung 15'!CK$37),'Übung 15'!CK$37,0)</f>
        <v/>
      </c>
      <c r="R416" s="62">
        <f>IF(ISNUMBER('Übung 16'!CK$37),'Übung 16'!CK$37,0)</f>
        <v/>
      </c>
      <c r="S416" s="62">
        <f>IF(ISNUMBER('Übung 17'!CK$37),'Übung 17'!CK$37,0)</f>
        <v/>
      </c>
      <c r="T416" s="62">
        <f>IF(ISNUMBER('Übung 18'!CK$37),'Übung 18'!CK$37,0)</f>
        <v/>
      </c>
      <c r="U416" s="62">
        <f>IF(ISNUMBER('Übung 19'!CK$37),'Übung 19'!CK$37,0)</f>
        <v/>
      </c>
      <c r="V416" s="62">
        <f>IF(ISNUMBER('Übung 20'!CK$37),'Übung 20'!CK$37,0)</f>
        <v/>
      </c>
    </row>
    <row r="417">
      <c r="C417" s="62">
        <f>IF(ISNUMBER('Übung 01'!CL$37),'Übung 01'!CL$37,0)</f>
        <v/>
      </c>
      <c r="D417" s="62">
        <f>IF(ISNUMBER('Übung 02'!CL$37),'Übung 02'!CL$37,0)</f>
        <v/>
      </c>
      <c r="E417" s="62">
        <f>IF(ISNUMBER('Übung 03'!CL$37),'Übung 03'!CL$37,0)</f>
        <v/>
      </c>
      <c r="F417" s="62">
        <f>IF(ISNUMBER('Übung 04'!CL$37),'Übung 04'!CL$37,0)</f>
        <v/>
      </c>
      <c r="G417" s="62">
        <f>IF(ISNUMBER('Übung 05'!CL$37),'Übung 05'!CL$37,0)</f>
        <v/>
      </c>
      <c r="H417" s="62">
        <f>IF(ISNUMBER('Übung 06'!CL$37),'Übung 06'!CL$37,0)</f>
        <v/>
      </c>
      <c r="I417" s="62">
        <f>IF(ISNUMBER('Übung 07'!CL$37),'Übung 07'!CL$37,0)</f>
        <v/>
      </c>
      <c r="J417" s="62">
        <f>IF(ISNUMBER('Übung 08'!CL$37),'Übung 08'!CL$37,0)</f>
        <v/>
      </c>
      <c r="K417" s="62">
        <f>IF(ISNUMBER('Übung 09'!CL$37),'Übung 09'!CL$37,0)</f>
        <v/>
      </c>
      <c r="L417" s="62">
        <f>IF(ISNUMBER('Übung 10'!CL$37),'Übung 10'!CL$37,0)</f>
        <v/>
      </c>
      <c r="M417" s="62">
        <f>IF(ISNUMBER('Übung 11'!CL$37),'Übung 11'!CL$37,0)</f>
        <v/>
      </c>
      <c r="N417" s="62">
        <f>IF(ISNUMBER('Übung 12'!CL$37),'Übung 12'!CL$37,0)</f>
        <v/>
      </c>
      <c r="O417" s="62">
        <f>IF(ISNUMBER('Übung 13'!CL$37),'Übung 13'!CL$37,0)</f>
        <v/>
      </c>
      <c r="P417" s="62">
        <f>IF(ISNUMBER('Übung 14'!CL$37),'Übung 14'!CL$37,0)</f>
        <v/>
      </c>
      <c r="Q417" s="62">
        <f>IF(ISNUMBER('Übung 15'!CL$37),'Übung 15'!CL$37,0)</f>
        <v/>
      </c>
      <c r="R417" s="62">
        <f>IF(ISNUMBER('Übung 16'!CL$37),'Übung 16'!CL$37,0)</f>
        <v/>
      </c>
      <c r="S417" s="62">
        <f>IF(ISNUMBER('Übung 17'!CL$37),'Übung 17'!CL$37,0)</f>
        <v/>
      </c>
      <c r="T417" s="62">
        <f>IF(ISNUMBER('Übung 18'!CL$37),'Übung 18'!CL$37,0)</f>
        <v/>
      </c>
      <c r="U417" s="62">
        <f>IF(ISNUMBER('Übung 19'!CL$37),'Übung 19'!CL$37,0)</f>
        <v/>
      </c>
      <c r="V417" s="62">
        <f>IF(ISNUMBER('Übung 20'!CL$37),'Übung 20'!CL$37,0)</f>
        <v/>
      </c>
    </row>
    <row r="418">
      <c r="C418" s="62">
        <f>IF(ISNUMBER('Übung 01'!CM$37),'Übung 01'!CM$37,0)</f>
        <v/>
      </c>
      <c r="D418" s="62">
        <f>IF(ISNUMBER('Übung 02'!CM$37),'Übung 02'!CM$37,0)</f>
        <v/>
      </c>
      <c r="E418" s="62">
        <f>IF(ISNUMBER('Übung 03'!CM$37),'Übung 03'!CM$37,0)</f>
        <v/>
      </c>
      <c r="F418" s="62">
        <f>IF(ISNUMBER('Übung 04'!CM$37),'Übung 04'!CM$37,0)</f>
        <v/>
      </c>
      <c r="G418" s="62">
        <f>IF(ISNUMBER('Übung 05'!CM$37),'Übung 05'!CM$37,0)</f>
        <v/>
      </c>
      <c r="H418" s="62">
        <f>IF(ISNUMBER('Übung 06'!CM$37),'Übung 06'!CM$37,0)</f>
        <v/>
      </c>
      <c r="I418" s="62">
        <f>IF(ISNUMBER('Übung 07'!CM$37),'Übung 07'!CM$37,0)</f>
        <v/>
      </c>
      <c r="J418" s="62">
        <f>IF(ISNUMBER('Übung 08'!CM$37),'Übung 08'!CM$37,0)</f>
        <v/>
      </c>
      <c r="K418" s="62">
        <f>IF(ISNUMBER('Übung 09'!CM$37),'Übung 09'!CM$37,0)</f>
        <v/>
      </c>
      <c r="L418" s="62">
        <f>IF(ISNUMBER('Übung 10'!CM$37),'Übung 10'!CM$37,0)</f>
        <v/>
      </c>
      <c r="M418" s="62">
        <f>IF(ISNUMBER('Übung 11'!CM$37),'Übung 11'!CM$37,0)</f>
        <v/>
      </c>
      <c r="N418" s="62">
        <f>IF(ISNUMBER('Übung 12'!CM$37),'Übung 12'!CM$37,0)</f>
        <v/>
      </c>
      <c r="O418" s="62">
        <f>IF(ISNUMBER('Übung 13'!CM$37),'Übung 13'!CM$37,0)</f>
        <v/>
      </c>
      <c r="P418" s="62">
        <f>IF(ISNUMBER('Übung 14'!CM$37),'Übung 14'!CM$37,0)</f>
        <v/>
      </c>
      <c r="Q418" s="62">
        <f>IF(ISNUMBER('Übung 15'!CM$37),'Übung 15'!CM$37,0)</f>
        <v/>
      </c>
      <c r="R418" s="62">
        <f>IF(ISNUMBER('Übung 16'!CM$37),'Übung 16'!CM$37,0)</f>
        <v/>
      </c>
      <c r="S418" s="62">
        <f>IF(ISNUMBER('Übung 17'!CM$37),'Übung 17'!CM$37,0)</f>
        <v/>
      </c>
      <c r="T418" s="62">
        <f>IF(ISNUMBER('Übung 18'!CM$37),'Übung 18'!CM$37,0)</f>
        <v/>
      </c>
      <c r="U418" s="62">
        <f>IF(ISNUMBER('Übung 19'!CM$37),'Übung 19'!CM$37,0)</f>
        <v/>
      </c>
      <c r="V418" s="62">
        <f>IF(ISNUMBER('Übung 20'!CM$37),'Übung 20'!CM$37,0)</f>
        <v/>
      </c>
    </row>
    <row r="419">
      <c r="C419" s="62">
        <f>IF(ISNUMBER('Übung 01'!CN$37),'Übung 01'!CN$37,0)</f>
        <v/>
      </c>
      <c r="D419" s="62">
        <f>IF(ISNUMBER('Übung 02'!CN$37),'Übung 02'!CN$37,0)</f>
        <v/>
      </c>
      <c r="E419" s="62">
        <f>IF(ISNUMBER('Übung 03'!CN$37),'Übung 03'!CN$37,0)</f>
        <v/>
      </c>
      <c r="F419" s="62">
        <f>IF(ISNUMBER('Übung 04'!CN$37),'Übung 04'!CN$37,0)</f>
        <v/>
      </c>
      <c r="G419" s="62">
        <f>IF(ISNUMBER('Übung 05'!CN$37),'Übung 05'!CN$37,0)</f>
        <v/>
      </c>
      <c r="H419" s="62">
        <f>IF(ISNUMBER('Übung 06'!CN$37),'Übung 06'!CN$37,0)</f>
        <v/>
      </c>
      <c r="I419" s="62">
        <f>IF(ISNUMBER('Übung 07'!CN$37),'Übung 07'!CN$37,0)</f>
        <v/>
      </c>
      <c r="J419" s="62">
        <f>IF(ISNUMBER('Übung 08'!CN$37),'Übung 08'!CN$37,0)</f>
        <v/>
      </c>
      <c r="K419" s="62">
        <f>IF(ISNUMBER('Übung 09'!CN$37),'Übung 09'!CN$37,0)</f>
        <v/>
      </c>
      <c r="L419" s="62">
        <f>IF(ISNUMBER('Übung 10'!CN$37),'Übung 10'!CN$37,0)</f>
        <v/>
      </c>
      <c r="M419" s="62">
        <f>IF(ISNUMBER('Übung 11'!CN$37),'Übung 11'!CN$37,0)</f>
        <v/>
      </c>
      <c r="N419" s="62">
        <f>IF(ISNUMBER('Übung 12'!CN$37),'Übung 12'!CN$37,0)</f>
        <v/>
      </c>
      <c r="O419" s="62">
        <f>IF(ISNUMBER('Übung 13'!CN$37),'Übung 13'!CN$37,0)</f>
        <v/>
      </c>
      <c r="P419" s="62">
        <f>IF(ISNUMBER('Übung 14'!CN$37),'Übung 14'!CN$37,0)</f>
        <v/>
      </c>
      <c r="Q419" s="62">
        <f>IF(ISNUMBER('Übung 15'!CN$37),'Übung 15'!CN$37,0)</f>
        <v/>
      </c>
      <c r="R419" s="62">
        <f>IF(ISNUMBER('Übung 16'!CN$37),'Übung 16'!CN$37,0)</f>
        <v/>
      </c>
      <c r="S419" s="62">
        <f>IF(ISNUMBER('Übung 17'!CN$37),'Übung 17'!CN$37,0)</f>
        <v/>
      </c>
      <c r="T419" s="62">
        <f>IF(ISNUMBER('Übung 18'!CN$37),'Übung 18'!CN$37,0)</f>
        <v/>
      </c>
      <c r="U419" s="62">
        <f>IF(ISNUMBER('Übung 19'!CN$37),'Übung 19'!CN$37,0)</f>
        <v/>
      </c>
      <c r="V419" s="62">
        <f>IF(ISNUMBER('Übung 20'!CN$37),'Übung 20'!CN$37,0)</f>
        <v/>
      </c>
    </row>
    <row r="420">
      <c r="C420" s="62">
        <f>IF(ISNUMBER('Übung 01'!CO$37),'Übung 01'!CO$37,0)</f>
        <v/>
      </c>
      <c r="D420" s="62">
        <f>IF(ISNUMBER('Übung 02'!CO$37),'Übung 02'!CO$37,0)</f>
        <v/>
      </c>
      <c r="E420" s="62">
        <f>IF(ISNUMBER('Übung 03'!CO$37),'Übung 03'!CO$37,0)</f>
        <v/>
      </c>
      <c r="F420" s="62">
        <f>IF(ISNUMBER('Übung 04'!CO$37),'Übung 04'!CO$37,0)</f>
        <v/>
      </c>
      <c r="G420" s="62">
        <f>IF(ISNUMBER('Übung 05'!CO$37),'Übung 05'!CO$37,0)</f>
        <v/>
      </c>
      <c r="H420" s="62">
        <f>IF(ISNUMBER('Übung 06'!CO$37),'Übung 06'!CO$37,0)</f>
        <v/>
      </c>
      <c r="I420" s="62">
        <f>IF(ISNUMBER('Übung 07'!CO$37),'Übung 07'!CO$37,0)</f>
        <v/>
      </c>
      <c r="J420" s="62">
        <f>IF(ISNUMBER('Übung 08'!CO$37),'Übung 08'!CO$37,0)</f>
        <v/>
      </c>
      <c r="K420" s="62">
        <f>IF(ISNUMBER('Übung 09'!CO$37),'Übung 09'!CO$37,0)</f>
        <v/>
      </c>
      <c r="L420" s="62">
        <f>IF(ISNUMBER('Übung 10'!CO$37),'Übung 10'!CO$37,0)</f>
        <v/>
      </c>
      <c r="M420" s="62">
        <f>IF(ISNUMBER('Übung 11'!CO$37),'Übung 11'!CO$37,0)</f>
        <v/>
      </c>
      <c r="N420" s="62">
        <f>IF(ISNUMBER('Übung 12'!CO$37),'Übung 12'!CO$37,0)</f>
        <v/>
      </c>
      <c r="O420" s="62">
        <f>IF(ISNUMBER('Übung 13'!CO$37),'Übung 13'!CO$37,0)</f>
        <v/>
      </c>
      <c r="P420" s="62">
        <f>IF(ISNUMBER('Übung 14'!CO$37),'Übung 14'!CO$37,0)</f>
        <v/>
      </c>
      <c r="Q420" s="62">
        <f>IF(ISNUMBER('Übung 15'!CO$37),'Übung 15'!CO$37,0)</f>
        <v/>
      </c>
      <c r="R420" s="62">
        <f>IF(ISNUMBER('Übung 16'!CO$37),'Übung 16'!CO$37,0)</f>
        <v/>
      </c>
      <c r="S420" s="62">
        <f>IF(ISNUMBER('Übung 17'!CO$37),'Übung 17'!CO$37,0)</f>
        <v/>
      </c>
      <c r="T420" s="62">
        <f>IF(ISNUMBER('Übung 18'!CO$37),'Übung 18'!CO$37,0)</f>
        <v/>
      </c>
      <c r="U420" s="62">
        <f>IF(ISNUMBER('Übung 19'!CO$37),'Übung 19'!CO$37,0)</f>
        <v/>
      </c>
      <c r="V420" s="62">
        <f>IF(ISNUMBER('Übung 20'!CO$37),'Übung 20'!CO$37,0)</f>
        <v/>
      </c>
    </row>
    <row r="421">
      <c r="C421" s="62">
        <f>IF(ISNUMBER('Übung 01'!CP$37),'Übung 01'!CP$37,0)</f>
        <v/>
      </c>
      <c r="D421" s="62">
        <f>IF(ISNUMBER('Übung 02'!CP$37),'Übung 02'!CP$37,0)</f>
        <v/>
      </c>
      <c r="E421" s="62">
        <f>IF(ISNUMBER('Übung 03'!CP$37),'Übung 03'!CP$37,0)</f>
        <v/>
      </c>
      <c r="F421" s="62">
        <f>IF(ISNUMBER('Übung 04'!CP$37),'Übung 04'!CP$37,0)</f>
        <v/>
      </c>
      <c r="G421" s="62">
        <f>IF(ISNUMBER('Übung 05'!CP$37),'Übung 05'!CP$37,0)</f>
        <v/>
      </c>
      <c r="H421" s="62">
        <f>IF(ISNUMBER('Übung 06'!CP$37),'Übung 06'!CP$37,0)</f>
        <v/>
      </c>
      <c r="I421" s="62">
        <f>IF(ISNUMBER('Übung 07'!CP$37),'Übung 07'!CP$37,0)</f>
        <v/>
      </c>
      <c r="J421" s="62">
        <f>IF(ISNUMBER('Übung 08'!CP$37),'Übung 08'!CP$37,0)</f>
        <v/>
      </c>
      <c r="K421" s="62">
        <f>IF(ISNUMBER('Übung 09'!CP$37),'Übung 09'!CP$37,0)</f>
        <v/>
      </c>
      <c r="L421" s="62">
        <f>IF(ISNUMBER('Übung 10'!CP$37),'Übung 10'!CP$37,0)</f>
        <v/>
      </c>
      <c r="M421" s="62">
        <f>IF(ISNUMBER('Übung 11'!CP$37),'Übung 11'!CP$37,0)</f>
        <v/>
      </c>
      <c r="N421" s="62">
        <f>IF(ISNUMBER('Übung 12'!CP$37),'Übung 12'!CP$37,0)</f>
        <v/>
      </c>
      <c r="O421" s="62">
        <f>IF(ISNUMBER('Übung 13'!CP$37),'Übung 13'!CP$37,0)</f>
        <v/>
      </c>
      <c r="P421" s="62">
        <f>IF(ISNUMBER('Übung 14'!CP$37),'Übung 14'!CP$37,0)</f>
        <v/>
      </c>
      <c r="Q421" s="62">
        <f>IF(ISNUMBER('Übung 15'!CP$37),'Übung 15'!CP$37,0)</f>
        <v/>
      </c>
      <c r="R421" s="62">
        <f>IF(ISNUMBER('Übung 16'!CP$37),'Übung 16'!CP$37,0)</f>
        <v/>
      </c>
      <c r="S421" s="62">
        <f>IF(ISNUMBER('Übung 17'!CP$37),'Übung 17'!CP$37,0)</f>
        <v/>
      </c>
      <c r="T421" s="62">
        <f>IF(ISNUMBER('Übung 18'!CP$37),'Übung 18'!CP$37,0)</f>
        <v/>
      </c>
      <c r="U421" s="62">
        <f>IF(ISNUMBER('Übung 19'!CP$37),'Übung 19'!CP$37,0)</f>
        <v/>
      </c>
      <c r="V421" s="62">
        <f>IF(ISNUMBER('Übung 20'!CP$37),'Übung 20'!CP$37,0)</f>
        <v/>
      </c>
    </row>
    <row r="422">
      <c r="C422" s="62">
        <f>IF(ISNUMBER('Übung 01'!CQ$37),'Übung 01'!CQ$37,0)</f>
        <v/>
      </c>
      <c r="D422" s="62">
        <f>IF(ISNUMBER('Übung 02'!CQ$37),'Übung 02'!CQ$37,0)</f>
        <v/>
      </c>
      <c r="E422" s="62">
        <f>IF(ISNUMBER('Übung 03'!CQ$37),'Übung 03'!CQ$37,0)</f>
        <v/>
      </c>
      <c r="F422" s="62">
        <f>IF(ISNUMBER('Übung 04'!CQ$37),'Übung 04'!CQ$37,0)</f>
        <v/>
      </c>
      <c r="G422" s="62">
        <f>IF(ISNUMBER('Übung 05'!CQ$37),'Übung 05'!CQ$37,0)</f>
        <v/>
      </c>
      <c r="H422" s="62">
        <f>IF(ISNUMBER('Übung 06'!CQ$37),'Übung 06'!CQ$37,0)</f>
        <v/>
      </c>
      <c r="I422" s="62">
        <f>IF(ISNUMBER('Übung 07'!CQ$37),'Übung 07'!CQ$37,0)</f>
        <v/>
      </c>
      <c r="J422" s="62">
        <f>IF(ISNUMBER('Übung 08'!CQ$37),'Übung 08'!CQ$37,0)</f>
        <v/>
      </c>
      <c r="K422" s="62">
        <f>IF(ISNUMBER('Übung 09'!CQ$37),'Übung 09'!CQ$37,0)</f>
        <v/>
      </c>
      <c r="L422" s="62">
        <f>IF(ISNUMBER('Übung 10'!CQ$37),'Übung 10'!CQ$37,0)</f>
        <v/>
      </c>
      <c r="M422" s="62">
        <f>IF(ISNUMBER('Übung 11'!CQ$37),'Übung 11'!CQ$37,0)</f>
        <v/>
      </c>
      <c r="N422" s="62">
        <f>IF(ISNUMBER('Übung 12'!CQ$37),'Übung 12'!CQ$37,0)</f>
        <v/>
      </c>
      <c r="O422" s="62">
        <f>IF(ISNUMBER('Übung 13'!CQ$37),'Übung 13'!CQ$37,0)</f>
        <v/>
      </c>
      <c r="P422" s="62">
        <f>IF(ISNUMBER('Übung 14'!CQ$37),'Übung 14'!CQ$37,0)</f>
        <v/>
      </c>
      <c r="Q422" s="62">
        <f>IF(ISNUMBER('Übung 15'!CQ$37),'Übung 15'!CQ$37,0)</f>
        <v/>
      </c>
      <c r="R422" s="62">
        <f>IF(ISNUMBER('Übung 16'!CQ$37),'Übung 16'!CQ$37,0)</f>
        <v/>
      </c>
      <c r="S422" s="62">
        <f>IF(ISNUMBER('Übung 17'!CQ$37),'Übung 17'!CQ$37,0)</f>
        <v/>
      </c>
      <c r="T422" s="62">
        <f>IF(ISNUMBER('Übung 18'!CQ$37),'Übung 18'!CQ$37,0)</f>
        <v/>
      </c>
      <c r="U422" s="62">
        <f>IF(ISNUMBER('Übung 19'!CQ$37),'Übung 19'!CQ$37,0)</f>
        <v/>
      </c>
      <c r="V422" s="62">
        <f>IF(ISNUMBER('Übung 20'!CQ$37),'Übung 20'!CQ$37,0)</f>
        <v/>
      </c>
    </row>
    <row r="423">
      <c r="C423" s="62">
        <f>IF(ISNUMBER('Übung 01'!CR$37),'Übung 01'!CR$37,0)</f>
        <v/>
      </c>
      <c r="D423" s="62">
        <f>IF(ISNUMBER('Übung 02'!CR$37),'Übung 02'!CR$37,0)</f>
        <v/>
      </c>
      <c r="E423" s="62">
        <f>IF(ISNUMBER('Übung 03'!CR$37),'Übung 03'!CR$37,0)</f>
        <v/>
      </c>
      <c r="F423" s="62">
        <f>IF(ISNUMBER('Übung 04'!CR$37),'Übung 04'!CR$37,0)</f>
        <v/>
      </c>
      <c r="G423" s="62">
        <f>IF(ISNUMBER('Übung 05'!CR$37),'Übung 05'!CR$37,0)</f>
        <v/>
      </c>
      <c r="H423" s="62">
        <f>IF(ISNUMBER('Übung 06'!CR$37),'Übung 06'!CR$37,0)</f>
        <v/>
      </c>
      <c r="I423" s="62">
        <f>IF(ISNUMBER('Übung 07'!CR$37),'Übung 07'!CR$37,0)</f>
        <v/>
      </c>
      <c r="J423" s="62">
        <f>IF(ISNUMBER('Übung 08'!CR$37),'Übung 08'!CR$37,0)</f>
        <v/>
      </c>
      <c r="K423" s="62">
        <f>IF(ISNUMBER('Übung 09'!CR$37),'Übung 09'!CR$37,0)</f>
        <v/>
      </c>
      <c r="L423" s="62">
        <f>IF(ISNUMBER('Übung 10'!CR$37),'Übung 10'!CR$37,0)</f>
        <v/>
      </c>
      <c r="M423" s="62">
        <f>IF(ISNUMBER('Übung 11'!CR$37),'Übung 11'!CR$37,0)</f>
        <v/>
      </c>
      <c r="N423" s="62">
        <f>IF(ISNUMBER('Übung 12'!CR$37),'Übung 12'!CR$37,0)</f>
        <v/>
      </c>
      <c r="O423" s="62">
        <f>IF(ISNUMBER('Übung 13'!CR$37),'Übung 13'!CR$37,0)</f>
        <v/>
      </c>
      <c r="P423" s="62">
        <f>IF(ISNUMBER('Übung 14'!CR$37),'Übung 14'!CR$37,0)</f>
        <v/>
      </c>
      <c r="Q423" s="62">
        <f>IF(ISNUMBER('Übung 15'!CR$37),'Übung 15'!CR$37,0)</f>
        <v/>
      </c>
      <c r="R423" s="62">
        <f>IF(ISNUMBER('Übung 16'!CR$37),'Übung 16'!CR$37,0)</f>
        <v/>
      </c>
      <c r="S423" s="62">
        <f>IF(ISNUMBER('Übung 17'!CR$37),'Übung 17'!CR$37,0)</f>
        <v/>
      </c>
      <c r="T423" s="62">
        <f>IF(ISNUMBER('Übung 18'!CR$37),'Übung 18'!CR$37,0)</f>
        <v/>
      </c>
      <c r="U423" s="62">
        <f>IF(ISNUMBER('Übung 19'!CR$37),'Übung 19'!CR$37,0)</f>
        <v/>
      </c>
      <c r="V423" s="62">
        <f>IF(ISNUMBER('Übung 20'!CR$37),'Übung 20'!CR$37,0)</f>
        <v/>
      </c>
    </row>
    <row r="424">
      <c r="C424" s="62">
        <f>IF(ISNUMBER('Übung 01'!CS$37),'Übung 01'!CS$37,0)</f>
        <v/>
      </c>
      <c r="D424" s="62">
        <f>IF(ISNUMBER('Übung 02'!CS$37),'Übung 02'!CS$37,0)</f>
        <v/>
      </c>
      <c r="E424" s="62">
        <f>IF(ISNUMBER('Übung 03'!CS$37),'Übung 03'!CS$37,0)</f>
        <v/>
      </c>
      <c r="F424" s="62">
        <f>IF(ISNUMBER('Übung 04'!CS$37),'Übung 04'!CS$37,0)</f>
        <v/>
      </c>
      <c r="G424" s="62">
        <f>IF(ISNUMBER('Übung 05'!CS$37),'Übung 05'!CS$37,0)</f>
        <v/>
      </c>
      <c r="H424" s="62">
        <f>IF(ISNUMBER('Übung 06'!CS$37),'Übung 06'!CS$37,0)</f>
        <v/>
      </c>
      <c r="I424" s="62">
        <f>IF(ISNUMBER('Übung 07'!CS$37),'Übung 07'!CS$37,0)</f>
        <v/>
      </c>
      <c r="J424" s="62">
        <f>IF(ISNUMBER('Übung 08'!CS$37),'Übung 08'!CS$37,0)</f>
        <v/>
      </c>
      <c r="K424" s="62">
        <f>IF(ISNUMBER('Übung 09'!CS$37),'Übung 09'!CS$37,0)</f>
        <v/>
      </c>
      <c r="L424" s="62">
        <f>IF(ISNUMBER('Übung 10'!CS$37),'Übung 10'!CS$37,0)</f>
        <v/>
      </c>
      <c r="M424" s="62">
        <f>IF(ISNUMBER('Übung 11'!CS$37),'Übung 11'!CS$37,0)</f>
        <v/>
      </c>
      <c r="N424" s="62">
        <f>IF(ISNUMBER('Übung 12'!CS$37),'Übung 12'!CS$37,0)</f>
        <v/>
      </c>
      <c r="O424" s="62">
        <f>IF(ISNUMBER('Übung 13'!CS$37),'Übung 13'!CS$37,0)</f>
        <v/>
      </c>
      <c r="P424" s="62">
        <f>IF(ISNUMBER('Übung 14'!CS$37),'Übung 14'!CS$37,0)</f>
        <v/>
      </c>
      <c r="Q424" s="62">
        <f>IF(ISNUMBER('Übung 15'!CS$37),'Übung 15'!CS$37,0)</f>
        <v/>
      </c>
      <c r="R424" s="62">
        <f>IF(ISNUMBER('Übung 16'!CS$37),'Übung 16'!CS$37,0)</f>
        <v/>
      </c>
      <c r="S424" s="62">
        <f>IF(ISNUMBER('Übung 17'!CS$37),'Übung 17'!CS$37,0)</f>
        <v/>
      </c>
      <c r="T424" s="62">
        <f>IF(ISNUMBER('Übung 18'!CS$37),'Übung 18'!CS$37,0)</f>
        <v/>
      </c>
      <c r="U424" s="62">
        <f>IF(ISNUMBER('Übung 19'!CS$37),'Übung 19'!CS$37,0)</f>
        <v/>
      </c>
      <c r="V424" s="62">
        <f>IF(ISNUMBER('Übung 20'!CS$37),'Übung 20'!CS$37,0)</f>
        <v/>
      </c>
    </row>
    <row r="425">
      <c r="C425" s="62">
        <f>IF(ISNUMBER('Übung 01'!CT$37),'Übung 01'!CT$37,0)</f>
        <v/>
      </c>
      <c r="D425" s="62">
        <f>IF(ISNUMBER('Übung 02'!CT$37),'Übung 02'!CT$37,0)</f>
        <v/>
      </c>
      <c r="E425" s="62">
        <f>IF(ISNUMBER('Übung 03'!CT$37),'Übung 03'!CT$37,0)</f>
        <v/>
      </c>
      <c r="F425" s="62">
        <f>IF(ISNUMBER('Übung 04'!CT$37),'Übung 04'!CT$37,0)</f>
        <v/>
      </c>
      <c r="G425" s="62">
        <f>IF(ISNUMBER('Übung 05'!CT$37),'Übung 05'!CT$37,0)</f>
        <v/>
      </c>
      <c r="H425" s="62">
        <f>IF(ISNUMBER('Übung 06'!CT$37),'Übung 06'!CT$37,0)</f>
        <v/>
      </c>
      <c r="I425" s="62">
        <f>IF(ISNUMBER('Übung 07'!CT$37),'Übung 07'!CT$37,0)</f>
        <v/>
      </c>
      <c r="J425" s="62">
        <f>IF(ISNUMBER('Übung 08'!CT$37),'Übung 08'!CT$37,0)</f>
        <v/>
      </c>
      <c r="K425" s="62">
        <f>IF(ISNUMBER('Übung 09'!CT$37),'Übung 09'!CT$37,0)</f>
        <v/>
      </c>
      <c r="L425" s="62">
        <f>IF(ISNUMBER('Übung 10'!CT$37),'Übung 10'!CT$37,0)</f>
        <v/>
      </c>
      <c r="M425" s="62">
        <f>IF(ISNUMBER('Übung 11'!CT$37),'Übung 11'!CT$37,0)</f>
        <v/>
      </c>
      <c r="N425" s="62">
        <f>IF(ISNUMBER('Übung 12'!CT$37),'Übung 12'!CT$37,0)</f>
        <v/>
      </c>
      <c r="O425" s="62">
        <f>IF(ISNUMBER('Übung 13'!CT$37),'Übung 13'!CT$37,0)</f>
        <v/>
      </c>
      <c r="P425" s="62">
        <f>IF(ISNUMBER('Übung 14'!CT$37),'Übung 14'!CT$37,0)</f>
        <v/>
      </c>
      <c r="Q425" s="62">
        <f>IF(ISNUMBER('Übung 15'!CT$37),'Übung 15'!CT$37,0)</f>
        <v/>
      </c>
      <c r="R425" s="62">
        <f>IF(ISNUMBER('Übung 16'!CT$37),'Übung 16'!CT$37,0)</f>
        <v/>
      </c>
      <c r="S425" s="62">
        <f>IF(ISNUMBER('Übung 17'!CT$37),'Übung 17'!CT$37,0)</f>
        <v/>
      </c>
      <c r="T425" s="62">
        <f>IF(ISNUMBER('Übung 18'!CT$37),'Übung 18'!CT$37,0)</f>
        <v/>
      </c>
      <c r="U425" s="62">
        <f>IF(ISNUMBER('Übung 19'!CT$37),'Übung 19'!CT$37,0)</f>
        <v/>
      </c>
      <c r="V425" s="62">
        <f>IF(ISNUMBER('Übung 20'!CT$37),'Übung 20'!CT$37,0)</f>
        <v/>
      </c>
    </row>
    <row r="426">
      <c r="C426" s="62">
        <f>IF(ISNUMBER('Übung 01'!CU$37),'Übung 01'!CU$37,0)</f>
        <v/>
      </c>
      <c r="D426" s="62">
        <f>IF(ISNUMBER('Übung 02'!CU$37),'Übung 02'!CU$37,0)</f>
        <v/>
      </c>
      <c r="E426" s="62">
        <f>IF(ISNUMBER('Übung 03'!CU$37),'Übung 03'!CU$37,0)</f>
        <v/>
      </c>
      <c r="F426" s="62">
        <f>IF(ISNUMBER('Übung 04'!CU$37),'Übung 04'!CU$37,0)</f>
        <v/>
      </c>
      <c r="G426" s="62">
        <f>IF(ISNUMBER('Übung 05'!CU$37),'Übung 05'!CU$37,0)</f>
        <v/>
      </c>
      <c r="H426" s="62">
        <f>IF(ISNUMBER('Übung 06'!CU$37),'Übung 06'!CU$37,0)</f>
        <v/>
      </c>
      <c r="I426" s="62">
        <f>IF(ISNUMBER('Übung 07'!CU$37),'Übung 07'!CU$37,0)</f>
        <v/>
      </c>
      <c r="J426" s="62">
        <f>IF(ISNUMBER('Übung 08'!CU$37),'Übung 08'!CU$37,0)</f>
        <v/>
      </c>
      <c r="K426" s="62">
        <f>IF(ISNUMBER('Übung 09'!CU$37),'Übung 09'!CU$37,0)</f>
        <v/>
      </c>
      <c r="L426" s="62">
        <f>IF(ISNUMBER('Übung 10'!CU$37),'Übung 10'!CU$37,0)</f>
        <v/>
      </c>
      <c r="M426" s="62">
        <f>IF(ISNUMBER('Übung 11'!CU$37),'Übung 11'!CU$37,0)</f>
        <v/>
      </c>
      <c r="N426" s="62">
        <f>IF(ISNUMBER('Übung 12'!CU$37),'Übung 12'!CU$37,0)</f>
        <v/>
      </c>
      <c r="O426" s="62">
        <f>IF(ISNUMBER('Übung 13'!CU$37),'Übung 13'!CU$37,0)</f>
        <v/>
      </c>
      <c r="P426" s="62">
        <f>IF(ISNUMBER('Übung 14'!CU$37),'Übung 14'!CU$37,0)</f>
        <v/>
      </c>
      <c r="Q426" s="62">
        <f>IF(ISNUMBER('Übung 15'!CU$37),'Übung 15'!CU$37,0)</f>
        <v/>
      </c>
      <c r="R426" s="62">
        <f>IF(ISNUMBER('Übung 16'!CU$37),'Übung 16'!CU$37,0)</f>
        <v/>
      </c>
      <c r="S426" s="62">
        <f>IF(ISNUMBER('Übung 17'!CU$37),'Übung 17'!CU$37,0)</f>
        <v/>
      </c>
      <c r="T426" s="62">
        <f>IF(ISNUMBER('Übung 18'!CU$37),'Übung 18'!CU$37,0)</f>
        <v/>
      </c>
      <c r="U426" s="62">
        <f>IF(ISNUMBER('Übung 19'!CU$37),'Übung 19'!CU$37,0)</f>
        <v/>
      </c>
      <c r="V426" s="62">
        <f>IF(ISNUMBER('Übung 20'!CU$37),'Übung 20'!CU$37,0)</f>
        <v/>
      </c>
    </row>
    <row r="427">
      <c r="C427" s="62">
        <f>IF(ISNUMBER('Übung 01'!CV$37),'Übung 01'!CV$37,0)</f>
        <v/>
      </c>
      <c r="D427" s="62">
        <f>IF(ISNUMBER('Übung 02'!CV$37),'Übung 02'!CV$37,0)</f>
        <v/>
      </c>
      <c r="E427" s="62">
        <f>IF(ISNUMBER('Übung 03'!CV$37),'Übung 03'!CV$37,0)</f>
        <v/>
      </c>
      <c r="F427" s="62">
        <f>IF(ISNUMBER('Übung 04'!CV$37),'Übung 04'!CV$37,0)</f>
        <v/>
      </c>
      <c r="G427" s="62">
        <f>IF(ISNUMBER('Übung 05'!CV$37),'Übung 05'!CV$37,0)</f>
        <v/>
      </c>
      <c r="H427" s="62">
        <f>IF(ISNUMBER('Übung 06'!CV$37),'Übung 06'!CV$37,0)</f>
        <v/>
      </c>
      <c r="I427" s="62">
        <f>IF(ISNUMBER('Übung 07'!CV$37),'Übung 07'!CV$37,0)</f>
        <v/>
      </c>
      <c r="J427" s="62">
        <f>IF(ISNUMBER('Übung 08'!CV$37),'Übung 08'!CV$37,0)</f>
        <v/>
      </c>
      <c r="K427" s="62">
        <f>IF(ISNUMBER('Übung 09'!CV$37),'Übung 09'!CV$37,0)</f>
        <v/>
      </c>
      <c r="L427" s="62">
        <f>IF(ISNUMBER('Übung 10'!CV$37),'Übung 10'!CV$37,0)</f>
        <v/>
      </c>
      <c r="M427" s="62">
        <f>IF(ISNUMBER('Übung 11'!CV$37),'Übung 11'!CV$37,0)</f>
        <v/>
      </c>
      <c r="N427" s="62">
        <f>IF(ISNUMBER('Übung 12'!CV$37),'Übung 12'!CV$37,0)</f>
        <v/>
      </c>
      <c r="O427" s="62">
        <f>IF(ISNUMBER('Übung 13'!CV$37),'Übung 13'!CV$37,0)</f>
        <v/>
      </c>
      <c r="P427" s="62">
        <f>IF(ISNUMBER('Übung 14'!CV$37),'Übung 14'!CV$37,0)</f>
        <v/>
      </c>
      <c r="Q427" s="62">
        <f>IF(ISNUMBER('Übung 15'!CV$37),'Übung 15'!CV$37,0)</f>
        <v/>
      </c>
      <c r="R427" s="62">
        <f>IF(ISNUMBER('Übung 16'!CV$37),'Übung 16'!CV$37,0)</f>
        <v/>
      </c>
      <c r="S427" s="62">
        <f>IF(ISNUMBER('Übung 17'!CV$37),'Übung 17'!CV$37,0)</f>
        <v/>
      </c>
      <c r="T427" s="62">
        <f>IF(ISNUMBER('Übung 18'!CV$37),'Übung 18'!CV$37,0)</f>
        <v/>
      </c>
      <c r="U427" s="62">
        <f>IF(ISNUMBER('Übung 19'!CV$37),'Übung 19'!CV$37,0)</f>
        <v/>
      </c>
      <c r="V427" s="62">
        <f>IF(ISNUMBER('Übung 20'!CV$37),'Übung 20'!CV$37,0)</f>
        <v/>
      </c>
    </row>
    <row r="428">
      <c r="C428" s="62">
        <f>IF(ISNUMBER('Übung 01'!CW$37),'Übung 01'!CW$37,0)</f>
        <v/>
      </c>
      <c r="D428" s="62">
        <f>IF(ISNUMBER('Übung 02'!CW$37),'Übung 02'!CW$37,0)</f>
        <v/>
      </c>
      <c r="E428" s="62">
        <f>IF(ISNUMBER('Übung 03'!CW$37),'Übung 03'!CW$37,0)</f>
        <v/>
      </c>
      <c r="F428" s="62">
        <f>IF(ISNUMBER('Übung 04'!CW$37),'Übung 04'!CW$37,0)</f>
        <v/>
      </c>
      <c r="G428" s="62">
        <f>IF(ISNUMBER('Übung 05'!CW$37),'Übung 05'!CW$37,0)</f>
        <v/>
      </c>
      <c r="H428" s="62">
        <f>IF(ISNUMBER('Übung 06'!CW$37),'Übung 06'!CW$37,0)</f>
        <v/>
      </c>
      <c r="I428" s="62">
        <f>IF(ISNUMBER('Übung 07'!CW$37),'Übung 07'!CW$37,0)</f>
        <v/>
      </c>
      <c r="J428" s="62">
        <f>IF(ISNUMBER('Übung 08'!CW$37),'Übung 08'!CW$37,0)</f>
        <v/>
      </c>
      <c r="K428" s="62">
        <f>IF(ISNUMBER('Übung 09'!CW$37),'Übung 09'!CW$37,0)</f>
        <v/>
      </c>
      <c r="L428" s="62">
        <f>IF(ISNUMBER('Übung 10'!CW$37),'Übung 10'!CW$37,0)</f>
        <v/>
      </c>
      <c r="M428" s="62">
        <f>IF(ISNUMBER('Übung 11'!CW$37),'Übung 11'!CW$37,0)</f>
        <v/>
      </c>
      <c r="N428" s="62">
        <f>IF(ISNUMBER('Übung 12'!CW$37),'Übung 12'!CW$37,0)</f>
        <v/>
      </c>
      <c r="O428" s="62">
        <f>IF(ISNUMBER('Übung 13'!CW$37),'Übung 13'!CW$37,0)</f>
        <v/>
      </c>
      <c r="P428" s="62">
        <f>IF(ISNUMBER('Übung 14'!CW$37),'Übung 14'!CW$37,0)</f>
        <v/>
      </c>
      <c r="Q428" s="62">
        <f>IF(ISNUMBER('Übung 15'!CW$37),'Übung 15'!CW$37,0)</f>
        <v/>
      </c>
      <c r="R428" s="62">
        <f>IF(ISNUMBER('Übung 16'!CW$37),'Übung 16'!CW$37,0)</f>
        <v/>
      </c>
      <c r="S428" s="62">
        <f>IF(ISNUMBER('Übung 17'!CW$37),'Übung 17'!CW$37,0)</f>
        <v/>
      </c>
      <c r="T428" s="62">
        <f>IF(ISNUMBER('Übung 18'!CW$37),'Übung 18'!CW$37,0)</f>
        <v/>
      </c>
      <c r="U428" s="62">
        <f>IF(ISNUMBER('Übung 19'!CW$37),'Übung 19'!CW$37,0)</f>
        <v/>
      </c>
      <c r="V428" s="62">
        <f>IF(ISNUMBER('Übung 20'!CW$37),'Übung 20'!CW$37,0)</f>
        <v/>
      </c>
    </row>
    <row r="429">
      <c r="C429" s="62">
        <f>IF(ISNUMBER('Übung 01'!CX$37),'Übung 01'!CX$37,0)</f>
        <v/>
      </c>
      <c r="D429" s="62">
        <f>IF(ISNUMBER('Übung 02'!CX$37),'Übung 02'!CX$37,0)</f>
        <v/>
      </c>
      <c r="E429" s="62">
        <f>IF(ISNUMBER('Übung 03'!CX$37),'Übung 03'!CX$37,0)</f>
        <v/>
      </c>
      <c r="F429" s="62">
        <f>IF(ISNUMBER('Übung 04'!CX$37),'Übung 04'!CX$37,0)</f>
        <v/>
      </c>
      <c r="G429" s="62">
        <f>IF(ISNUMBER('Übung 05'!CX$37),'Übung 05'!CX$37,0)</f>
        <v/>
      </c>
      <c r="H429" s="62">
        <f>IF(ISNUMBER('Übung 06'!CX$37),'Übung 06'!CX$37,0)</f>
        <v/>
      </c>
      <c r="I429" s="62">
        <f>IF(ISNUMBER('Übung 07'!CX$37),'Übung 07'!CX$37,0)</f>
        <v/>
      </c>
      <c r="J429" s="62">
        <f>IF(ISNUMBER('Übung 08'!CX$37),'Übung 08'!CX$37,0)</f>
        <v/>
      </c>
      <c r="K429" s="62">
        <f>IF(ISNUMBER('Übung 09'!CX$37),'Übung 09'!CX$37,0)</f>
        <v/>
      </c>
      <c r="L429" s="62">
        <f>IF(ISNUMBER('Übung 10'!CX$37),'Übung 10'!CX$37,0)</f>
        <v/>
      </c>
      <c r="M429" s="62">
        <f>IF(ISNUMBER('Übung 11'!CX$37),'Übung 11'!CX$37,0)</f>
        <v/>
      </c>
      <c r="N429" s="62">
        <f>IF(ISNUMBER('Übung 12'!CX$37),'Übung 12'!CX$37,0)</f>
        <v/>
      </c>
      <c r="O429" s="62">
        <f>IF(ISNUMBER('Übung 13'!CX$37),'Übung 13'!CX$37,0)</f>
        <v/>
      </c>
      <c r="P429" s="62">
        <f>IF(ISNUMBER('Übung 14'!CX$37),'Übung 14'!CX$37,0)</f>
        <v/>
      </c>
      <c r="Q429" s="62">
        <f>IF(ISNUMBER('Übung 15'!CX$37),'Übung 15'!CX$37,0)</f>
        <v/>
      </c>
      <c r="R429" s="62">
        <f>IF(ISNUMBER('Übung 16'!CX$37),'Übung 16'!CX$37,0)</f>
        <v/>
      </c>
      <c r="S429" s="62">
        <f>IF(ISNUMBER('Übung 17'!CX$37),'Übung 17'!CX$37,0)</f>
        <v/>
      </c>
      <c r="T429" s="62">
        <f>IF(ISNUMBER('Übung 18'!CX$37),'Übung 18'!CX$37,0)</f>
        <v/>
      </c>
      <c r="U429" s="62">
        <f>IF(ISNUMBER('Übung 19'!CX$37),'Übung 19'!CX$37,0)</f>
        <v/>
      </c>
      <c r="V429" s="62">
        <f>IF(ISNUMBER('Übung 20'!CX$37),'Übung 20'!CX$37,0)</f>
        <v/>
      </c>
    </row>
    <row r="430">
      <c r="C430" s="62">
        <f>IF(ISNUMBER('Übung 01'!CY$37),'Übung 01'!CY$37,0)</f>
        <v/>
      </c>
      <c r="D430" s="62">
        <f>IF(ISNUMBER('Übung 02'!CY$37),'Übung 02'!CY$37,0)</f>
        <v/>
      </c>
      <c r="E430" s="62">
        <f>IF(ISNUMBER('Übung 03'!CY$37),'Übung 03'!CY$37,0)</f>
        <v/>
      </c>
      <c r="F430" s="62">
        <f>IF(ISNUMBER('Übung 04'!CY$37),'Übung 04'!CY$37,0)</f>
        <v/>
      </c>
      <c r="G430" s="62">
        <f>IF(ISNUMBER('Übung 05'!CY$37),'Übung 05'!CY$37,0)</f>
        <v/>
      </c>
      <c r="H430" s="62">
        <f>IF(ISNUMBER('Übung 06'!CY$37),'Übung 06'!CY$37,0)</f>
        <v/>
      </c>
      <c r="I430" s="62">
        <f>IF(ISNUMBER('Übung 07'!CY$37),'Übung 07'!CY$37,0)</f>
        <v/>
      </c>
      <c r="J430" s="62">
        <f>IF(ISNUMBER('Übung 08'!CY$37),'Übung 08'!CY$37,0)</f>
        <v/>
      </c>
      <c r="K430" s="62">
        <f>IF(ISNUMBER('Übung 09'!CY$37),'Übung 09'!CY$37,0)</f>
        <v/>
      </c>
      <c r="L430" s="62">
        <f>IF(ISNUMBER('Übung 10'!CY$37),'Übung 10'!CY$37,0)</f>
        <v/>
      </c>
      <c r="M430" s="62">
        <f>IF(ISNUMBER('Übung 11'!CY$37),'Übung 11'!CY$37,0)</f>
        <v/>
      </c>
      <c r="N430" s="62">
        <f>IF(ISNUMBER('Übung 12'!CY$37),'Übung 12'!CY$37,0)</f>
        <v/>
      </c>
      <c r="O430" s="62">
        <f>IF(ISNUMBER('Übung 13'!CY$37),'Übung 13'!CY$37,0)</f>
        <v/>
      </c>
      <c r="P430" s="62">
        <f>IF(ISNUMBER('Übung 14'!CY$37),'Übung 14'!CY$37,0)</f>
        <v/>
      </c>
      <c r="Q430" s="62">
        <f>IF(ISNUMBER('Übung 15'!CY$37),'Übung 15'!CY$37,0)</f>
        <v/>
      </c>
      <c r="R430" s="62">
        <f>IF(ISNUMBER('Übung 16'!CY$37),'Übung 16'!CY$37,0)</f>
        <v/>
      </c>
      <c r="S430" s="62">
        <f>IF(ISNUMBER('Übung 17'!CY$37),'Übung 17'!CY$37,0)</f>
        <v/>
      </c>
      <c r="T430" s="62">
        <f>IF(ISNUMBER('Übung 18'!CY$37),'Übung 18'!CY$37,0)</f>
        <v/>
      </c>
      <c r="U430" s="62">
        <f>IF(ISNUMBER('Übung 19'!CY$37),'Übung 19'!CY$37,0)</f>
        <v/>
      </c>
      <c r="V430" s="62">
        <f>IF(ISNUMBER('Übung 20'!CY$37),'Übung 20'!CY$37,0)</f>
        <v/>
      </c>
    </row>
    <row r="431">
      <c r="C431" s="62">
        <f>IF(ISNUMBER('Übung 01'!CZ$37),'Übung 01'!CZ$37,0)</f>
        <v/>
      </c>
      <c r="D431" s="62">
        <f>IF(ISNUMBER('Übung 02'!CZ$37),'Übung 02'!CZ$37,0)</f>
        <v/>
      </c>
      <c r="E431" s="62">
        <f>IF(ISNUMBER('Übung 03'!CZ$37),'Übung 03'!CZ$37,0)</f>
        <v/>
      </c>
      <c r="F431" s="62">
        <f>IF(ISNUMBER('Übung 04'!CZ$37),'Übung 04'!CZ$37,0)</f>
        <v/>
      </c>
      <c r="G431" s="62">
        <f>IF(ISNUMBER('Übung 05'!CZ$37),'Übung 05'!CZ$37,0)</f>
        <v/>
      </c>
      <c r="H431" s="62">
        <f>IF(ISNUMBER('Übung 06'!CZ$37),'Übung 06'!CZ$37,0)</f>
        <v/>
      </c>
      <c r="I431" s="62">
        <f>IF(ISNUMBER('Übung 07'!CZ$37),'Übung 07'!CZ$37,0)</f>
        <v/>
      </c>
      <c r="J431" s="62">
        <f>IF(ISNUMBER('Übung 08'!CZ$37),'Übung 08'!CZ$37,0)</f>
        <v/>
      </c>
      <c r="K431" s="62">
        <f>IF(ISNUMBER('Übung 09'!CZ$37),'Übung 09'!CZ$37,0)</f>
        <v/>
      </c>
      <c r="L431" s="62">
        <f>IF(ISNUMBER('Übung 10'!CZ$37),'Übung 10'!CZ$37,0)</f>
        <v/>
      </c>
      <c r="M431" s="62">
        <f>IF(ISNUMBER('Übung 11'!CZ$37),'Übung 11'!CZ$37,0)</f>
        <v/>
      </c>
      <c r="N431" s="62">
        <f>IF(ISNUMBER('Übung 12'!CZ$37),'Übung 12'!CZ$37,0)</f>
        <v/>
      </c>
      <c r="O431" s="62">
        <f>IF(ISNUMBER('Übung 13'!CZ$37),'Übung 13'!CZ$37,0)</f>
        <v/>
      </c>
      <c r="P431" s="62">
        <f>IF(ISNUMBER('Übung 14'!CZ$37),'Übung 14'!CZ$37,0)</f>
        <v/>
      </c>
      <c r="Q431" s="62">
        <f>IF(ISNUMBER('Übung 15'!CZ$37),'Übung 15'!CZ$37,0)</f>
        <v/>
      </c>
      <c r="R431" s="62">
        <f>IF(ISNUMBER('Übung 16'!CZ$37),'Übung 16'!CZ$37,0)</f>
        <v/>
      </c>
      <c r="S431" s="62">
        <f>IF(ISNUMBER('Übung 17'!CZ$37),'Übung 17'!CZ$37,0)</f>
        <v/>
      </c>
      <c r="T431" s="62">
        <f>IF(ISNUMBER('Übung 18'!CZ$37),'Übung 18'!CZ$37,0)</f>
        <v/>
      </c>
      <c r="U431" s="62">
        <f>IF(ISNUMBER('Übung 19'!CZ$37),'Übung 19'!CZ$37,0)</f>
        <v/>
      </c>
      <c r="V431" s="62">
        <f>IF(ISNUMBER('Übung 20'!CZ$37),'Übung 20'!CZ$37,0)</f>
        <v/>
      </c>
    </row>
    <row r="432">
      <c r="C432" s="62">
        <f>IF(ISNUMBER('Übung 01'!DA$37),'Übung 01'!DA$37,0)</f>
        <v/>
      </c>
      <c r="D432" s="62">
        <f>IF(ISNUMBER('Übung 02'!DA$37),'Übung 02'!DA$37,0)</f>
        <v/>
      </c>
      <c r="E432" s="62">
        <f>IF(ISNUMBER('Übung 03'!DA$37),'Übung 03'!DA$37,0)</f>
        <v/>
      </c>
      <c r="F432" s="62">
        <f>IF(ISNUMBER('Übung 04'!DA$37),'Übung 04'!DA$37,0)</f>
        <v/>
      </c>
      <c r="G432" s="62">
        <f>IF(ISNUMBER('Übung 05'!DA$37),'Übung 05'!DA$37,0)</f>
        <v/>
      </c>
      <c r="H432" s="62">
        <f>IF(ISNUMBER('Übung 06'!DA$37),'Übung 06'!DA$37,0)</f>
        <v/>
      </c>
      <c r="I432" s="62">
        <f>IF(ISNUMBER('Übung 07'!DA$37),'Übung 07'!DA$37,0)</f>
        <v/>
      </c>
      <c r="J432" s="62">
        <f>IF(ISNUMBER('Übung 08'!DA$37),'Übung 08'!DA$37,0)</f>
        <v/>
      </c>
      <c r="K432" s="62">
        <f>IF(ISNUMBER('Übung 09'!DA$37),'Übung 09'!DA$37,0)</f>
        <v/>
      </c>
      <c r="L432" s="62">
        <f>IF(ISNUMBER('Übung 10'!DA$37),'Übung 10'!DA$37,0)</f>
        <v/>
      </c>
      <c r="M432" s="62">
        <f>IF(ISNUMBER('Übung 11'!DA$37),'Übung 11'!DA$37,0)</f>
        <v/>
      </c>
      <c r="N432" s="62">
        <f>IF(ISNUMBER('Übung 12'!DA$37),'Übung 12'!DA$37,0)</f>
        <v/>
      </c>
      <c r="O432" s="62">
        <f>IF(ISNUMBER('Übung 13'!DA$37),'Übung 13'!DA$37,0)</f>
        <v/>
      </c>
      <c r="P432" s="62">
        <f>IF(ISNUMBER('Übung 14'!DA$37),'Übung 14'!DA$37,0)</f>
        <v/>
      </c>
      <c r="Q432" s="62">
        <f>IF(ISNUMBER('Übung 15'!DA$37),'Übung 15'!DA$37,0)</f>
        <v/>
      </c>
      <c r="R432" s="62">
        <f>IF(ISNUMBER('Übung 16'!DA$37),'Übung 16'!DA$37,0)</f>
        <v/>
      </c>
      <c r="S432" s="62">
        <f>IF(ISNUMBER('Übung 17'!DA$37),'Übung 17'!DA$37,0)</f>
        <v/>
      </c>
      <c r="T432" s="62">
        <f>IF(ISNUMBER('Übung 18'!DA$37),'Übung 18'!DA$37,0)</f>
        <v/>
      </c>
      <c r="U432" s="62">
        <f>IF(ISNUMBER('Übung 19'!DA$37),'Übung 19'!DA$37,0)</f>
        <v/>
      </c>
      <c r="V432" s="62">
        <f>IF(ISNUMBER('Übung 20'!DA$37),'Übung 20'!DA$37,0)</f>
        <v/>
      </c>
    </row>
    <row r="433">
      <c r="C433" s="62">
        <f>IF(ISNUMBER('Übung 01'!DB$37),'Übung 01'!DB$37,0)</f>
        <v/>
      </c>
      <c r="D433" s="62">
        <f>IF(ISNUMBER('Übung 02'!DB$37),'Übung 02'!DB$37,0)</f>
        <v/>
      </c>
      <c r="E433" s="62">
        <f>IF(ISNUMBER('Übung 03'!DB$37),'Übung 03'!DB$37,0)</f>
        <v/>
      </c>
      <c r="F433" s="62">
        <f>IF(ISNUMBER('Übung 04'!DB$37),'Übung 04'!DB$37,0)</f>
        <v/>
      </c>
      <c r="G433" s="62">
        <f>IF(ISNUMBER('Übung 05'!DB$37),'Übung 05'!DB$37,0)</f>
        <v/>
      </c>
      <c r="H433" s="62">
        <f>IF(ISNUMBER('Übung 06'!DB$37),'Übung 06'!DB$37,0)</f>
        <v/>
      </c>
      <c r="I433" s="62">
        <f>IF(ISNUMBER('Übung 07'!DB$37),'Übung 07'!DB$37,0)</f>
        <v/>
      </c>
      <c r="J433" s="62">
        <f>IF(ISNUMBER('Übung 08'!DB$37),'Übung 08'!DB$37,0)</f>
        <v/>
      </c>
      <c r="K433" s="62">
        <f>IF(ISNUMBER('Übung 09'!DB$37),'Übung 09'!DB$37,0)</f>
        <v/>
      </c>
      <c r="L433" s="62">
        <f>IF(ISNUMBER('Übung 10'!DB$37),'Übung 10'!DB$37,0)</f>
        <v/>
      </c>
      <c r="M433" s="62">
        <f>IF(ISNUMBER('Übung 11'!DB$37),'Übung 11'!DB$37,0)</f>
        <v/>
      </c>
      <c r="N433" s="62">
        <f>IF(ISNUMBER('Übung 12'!DB$37),'Übung 12'!DB$37,0)</f>
        <v/>
      </c>
      <c r="O433" s="62">
        <f>IF(ISNUMBER('Übung 13'!DB$37),'Übung 13'!DB$37,0)</f>
        <v/>
      </c>
      <c r="P433" s="62">
        <f>IF(ISNUMBER('Übung 14'!DB$37),'Übung 14'!DB$37,0)</f>
        <v/>
      </c>
      <c r="Q433" s="62">
        <f>IF(ISNUMBER('Übung 15'!DB$37),'Übung 15'!DB$37,0)</f>
        <v/>
      </c>
      <c r="R433" s="62">
        <f>IF(ISNUMBER('Übung 16'!DB$37),'Übung 16'!DB$37,0)</f>
        <v/>
      </c>
      <c r="S433" s="62">
        <f>IF(ISNUMBER('Übung 17'!DB$37),'Übung 17'!DB$37,0)</f>
        <v/>
      </c>
      <c r="T433" s="62">
        <f>IF(ISNUMBER('Übung 18'!DB$37),'Übung 18'!DB$37,0)</f>
        <v/>
      </c>
      <c r="U433" s="62">
        <f>IF(ISNUMBER('Übung 19'!DB$37),'Übung 19'!DB$37,0)</f>
        <v/>
      </c>
      <c r="V433" s="62">
        <f>IF(ISNUMBER('Übung 20'!DB$37),'Übung 20'!DB$37,0)</f>
        <v/>
      </c>
    </row>
    <row r="434">
      <c r="C434" s="62">
        <f>IF(ISNUMBER('Übung 01'!DC$37),'Übung 01'!DC$37,0)</f>
        <v/>
      </c>
      <c r="D434" s="62">
        <f>IF(ISNUMBER('Übung 02'!DC$37),'Übung 02'!DC$37,0)</f>
        <v/>
      </c>
      <c r="E434" s="62">
        <f>IF(ISNUMBER('Übung 03'!DC$37),'Übung 03'!DC$37,0)</f>
        <v/>
      </c>
      <c r="F434" s="62">
        <f>IF(ISNUMBER('Übung 04'!DC$37),'Übung 04'!DC$37,0)</f>
        <v/>
      </c>
      <c r="G434" s="62">
        <f>IF(ISNUMBER('Übung 05'!DC$37),'Übung 05'!DC$37,0)</f>
        <v/>
      </c>
      <c r="H434" s="62">
        <f>IF(ISNUMBER('Übung 06'!DC$37),'Übung 06'!DC$37,0)</f>
        <v/>
      </c>
      <c r="I434" s="62">
        <f>IF(ISNUMBER('Übung 07'!DC$37),'Übung 07'!DC$37,0)</f>
        <v/>
      </c>
      <c r="J434" s="62">
        <f>IF(ISNUMBER('Übung 08'!DC$37),'Übung 08'!DC$37,0)</f>
        <v/>
      </c>
      <c r="K434" s="62">
        <f>IF(ISNUMBER('Übung 09'!DC$37),'Übung 09'!DC$37,0)</f>
        <v/>
      </c>
      <c r="L434" s="62">
        <f>IF(ISNUMBER('Übung 10'!DC$37),'Übung 10'!DC$37,0)</f>
        <v/>
      </c>
      <c r="M434" s="62">
        <f>IF(ISNUMBER('Übung 11'!DC$37),'Übung 11'!DC$37,0)</f>
        <v/>
      </c>
      <c r="N434" s="62">
        <f>IF(ISNUMBER('Übung 12'!DC$37),'Übung 12'!DC$37,0)</f>
        <v/>
      </c>
      <c r="O434" s="62">
        <f>IF(ISNUMBER('Übung 13'!DC$37),'Übung 13'!DC$37,0)</f>
        <v/>
      </c>
      <c r="P434" s="62">
        <f>IF(ISNUMBER('Übung 14'!DC$37),'Übung 14'!DC$37,0)</f>
        <v/>
      </c>
      <c r="Q434" s="62">
        <f>IF(ISNUMBER('Übung 15'!DC$37),'Übung 15'!DC$37,0)</f>
        <v/>
      </c>
      <c r="R434" s="62">
        <f>IF(ISNUMBER('Übung 16'!DC$37),'Übung 16'!DC$37,0)</f>
        <v/>
      </c>
      <c r="S434" s="62">
        <f>IF(ISNUMBER('Übung 17'!DC$37),'Übung 17'!DC$37,0)</f>
        <v/>
      </c>
      <c r="T434" s="62">
        <f>IF(ISNUMBER('Übung 18'!DC$37),'Übung 18'!DC$37,0)</f>
        <v/>
      </c>
      <c r="U434" s="62">
        <f>IF(ISNUMBER('Übung 19'!DC$37),'Übung 19'!DC$37,0)</f>
        <v/>
      </c>
      <c r="V434" s="62">
        <f>IF(ISNUMBER('Übung 20'!DC$37),'Übung 20'!DC$37,0)</f>
        <v/>
      </c>
    </row>
    <row r="439">
      <c r="A439" s="171" t="inlineStr">
        <is>
          <t>max. Punkte</t>
        </is>
      </c>
    </row>
    <row r="440">
      <c r="C440" s="62">
        <f>IF(ISNUMBER('Übung 01'!E$38),'Übung 01'!E$38,0)</f>
        <v/>
      </c>
      <c r="D440" s="62">
        <f>IF(ISNUMBER('Übung 02'!E$38),'Übung 02'!E$38,0)</f>
        <v/>
      </c>
      <c r="E440" s="62">
        <f>IF(ISNUMBER('Übung 03'!E$38),'Übung 03'!E$38,0)</f>
        <v/>
      </c>
      <c r="F440" s="62">
        <f>IF(ISNUMBER('Übung 04'!E$38),'Übung 04'!E$38,0)</f>
        <v/>
      </c>
      <c r="G440" s="62">
        <f>IF(ISNUMBER('Übung 05'!E$38),'Übung 05'!E$38,0)</f>
        <v/>
      </c>
      <c r="H440" s="62">
        <f>IF(ISNUMBER('Übung 06'!E$38),'Übung 06'!E$38,0)</f>
        <v/>
      </c>
      <c r="I440" s="62">
        <f>IF(ISNUMBER('Übung 07'!E$38),'Übung 07'!E$38,0)</f>
        <v/>
      </c>
      <c r="J440" s="62">
        <f>IF(ISNUMBER('Übung 08'!E$38),'Übung 08'!E$38,0)</f>
        <v/>
      </c>
      <c r="K440" s="62">
        <f>IF(ISNUMBER('Übung 09'!E$38),'Übung 09'!E$38,0)</f>
        <v/>
      </c>
      <c r="L440" s="62">
        <f>IF(ISNUMBER('Übung 10'!E$38),'Übung 10'!E$38,0)</f>
        <v/>
      </c>
      <c r="M440" s="62">
        <f>IF(ISNUMBER('Übung 11'!E$38),'Übung 11'!E$38,0)</f>
        <v/>
      </c>
      <c r="N440" s="62">
        <f>IF(ISNUMBER('Übung 12'!E$38),'Übung 12'!E$38,0)</f>
        <v/>
      </c>
      <c r="O440" s="62">
        <f>IF(ISNUMBER('Übung 13'!E$38),'Übung 13'!E$38,0)</f>
        <v/>
      </c>
      <c r="P440" s="62">
        <f>IF(ISNUMBER('Übung 14'!E$38),'Übung 14'!E$38,0)</f>
        <v/>
      </c>
      <c r="Q440" s="62">
        <f>IF(ISNUMBER('Übung 15'!E$38),'Übung 15'!E$38,0)</f>
        <v/>
      </c>
      <c r="R440" s="62">
        <f>IF(ISNUMBER('Übung 16'!E$38),'Übung 16'!E$38,0)</f>
        <v/>
      </c>
      <c r="S440" s="62">
        <f>IF(ISNUMBER('Übung 17'!E$38),'Übung 17'!E$38,0)</f>
        <v/>
      </c>
      <c r="T440" s="62">
        <f>IF(ISNUMBER('Übung 18'!E$38),'Übung 18'!E$38,0)</f>
        <v/>
      </c>
      <c r="U440" s="62">
        <f>IF(ISNUMBER('Übung 19'!E$38),'Übung 19'!E$38,0)</f>
        <v/>
      </c>
      <c r="V440" s="62">
        <f>IF(ISNUMBER('Übung 20'!E$38),'Übung 20'!E$38,0)</f>
        <v/>
      </c>
    </row>
    <row r="441">
      <c r="C441" s="62">
        <f>IF(ISNUMBER('Übung 01'!F$38),'Übung 01'!F$38,0)</f>
        <v/>
      </c>
      <c r="D441" s="62">
        <f>IF(ISNUMBER('Übung 02'!F$38),'Übung 02'!F$38,0)</f>
        <v/>
      </c>
      <c r="E441" s="62">
        <f>IF(ISNUMBER('Übung 03'!F$38),'Übung 03'!F$38,0)</f>
        <v/>
      </c>
      <c r="F441" s="62">
        <f>IF(ISNUMBER('Übung 04'!F$38),'Übung 04'!F$38,0)</f>
        <v/>
      </c>
      <c r="G441" s="62">
        <f>IF(ISNUMBER('Übung 05'!F$38),'Übung 05'!F$38,0)</f>
        <v/>
      </c>
      <c r="H441" s="62">
        <f>IF(ISNUMBER('Übung 06'!F$38),'Übung 06'!F$38,0)</f>
        <v/>
      </c>
      <c r="I441" s="62">
        <f>IF(ISNUMBER('Übung 07'!F$38),'Übung 07'!F$38,0)</f>
        <v/>
      </c>
      <c r="J441" s="62">
        <f>IF(ISNUMBER('Übung 08'!F$38),'Übung 08'!F$38,0)</f>
        <v/>
      </c>
      <c r="K441" s="62">
        <f>IF(ISNUMBER('Übung 09'!F$38),'Übung 09'!F$38,0)</f>
        <v/>
      </c>
      <c r="L441" s="62">
        <f>IF(ISNUMBER('Übung 10'!F$38),'Übung 10'!F$38,0)</f>
        <v/>
      </c>
      <c r="M441" s="62">
        <f>IF(ISNUMBER('Übung 11'!F$38),'Übung 11'!F$38,0)</f>
        <v/>
      </c>
      <c r="N441" s="62">
        <f>IF(ISNUMBER('Übung 12'!F$38),'Übung 12'!F$38,0)</f>
        <v/>
      </c>
      <c r="O441" s="62">
        <f>IF(ISNUMBER('Übung 13'!F$38),'Übung 13'!F$38,0)</f>
        <v/>
      </c>
      <c r="P441" s="62">
        <f>IF(ISNUMBER('Übung 14'!F$38),'Übung 14'!F$38,0)</f>
        <v/>
      </c>
      <c r="Q441" s="62">
        <f>IF(ISNUMBER('Übung 15'!F$38),'Übung 15'!F$38,0)</f>
        <v/>
      </c>
      <c r="R441" s="62">
        <f>IF(ISNUMBER('Übung 16'!F$38),'Übung 16'!F$38,0)</f>
        <v/>
      </c>
      <c r="S441" s="62">
        <f>IF(ISNUMBER('Übung 17'!F$38),'Übung 17'!F$38,0)</f>
        <v/>
      </c>
      <c r="T441" s="62">
        <f>IF(ISNUMBER('Übung 18'!F$38),'Übung 18'!F$38,0)</f>
        <v/>
      </c>
      <c r="U441" s="62">
        <f>IF(ISNUMBER('Übung 19'!F$38),'Übung 19'!F$38,0)</f>
        <v/>
      </c>
      <c r="V441" s="62">
        <f>IF(ISNUMBER('Übung 20'!F$38),'Übung 20'!F$38,0)</f>
        <v/>
      </c>
    </row>
    <row r="442">
      <c r="C442" s="62">
        <f>IF(ISNUMBER('Übung 01'!G$38),'Übung 01'!G$38,0)</f>
        <v/>
      </c>
      <c r="D442" s="62">
        <f>IF(ISNUMBER('Übung 02'!G$38),'Übung 02'!G$38,0)</f>
        <v/>
      </c>
      <c r="E442" s="62">
        <f>IF(ISNUMBER('Übung 03'!G$38),'Übung 03'!G$38,0)</f>
        <v/>
      </c>
      <c r="F442" s="62">
        <f>IF(ISNUMBER('Übung 04'!G$38),'Übung 04'!G$38,0)</f>
        <v/>
      </c>
      <c r="G442" s="62">
        <f>IF(ISNUMBER('Übung 05'!G$38),'Übung 05'!G$38,0)</f>
        <v/>
      </c>
      <c r="H442" s="62">
        <f>IF(ISNUMBER('Übung 06'!G$38),'Übung 06'!G$38,0)</f>
        <v/>
      </c>
      <c r="I442" s="62">
        <f>IF(ISNUMBER('Übung 07'!G$38),'Übung 07'!G$38,0)</f>
        <v/>
      </c>
      <c r="J442" s="62">
        <f>IF(ISNUMBER('Übung 08'!G$38),'Übung 08'!G$38,0)</f>
        <v/>
      </c>
      <c r="K442" s="62">
        <f>IF(ISNUMBER('Übung 09'!G$38),'Übung 09'!G$38,0)</f>
        <v/>
      </c>
      <c r="L442" s="62">
        <f>IF(ISNUMBER('Übung 10'!G$38),'Übung 10'!G$38,0)</f>
        <v/>
      </c>
      <c r="M442" s="62">
        <f>IF(ISNUMBER('Übung 11'!G$38),'Übung 11'!G$38,0)</f>
        <v/>
      </c>
      <c r="N442" s="62">
        <f>IF(ISNUMBER('Übung 12'!G$38),'Übung 12'!G$38,0)</f>
        <v/>
      </c>
      <c r="O442" s="62">
        <f>IF(ISNUMBER('Übung 13'!G$38),'Übung 13'!G$38,0)</f>
        <v/>
      </c>
      <c r="P442" s="62">
        <f>IF(ISNUMBER('Übung 14'!G$38),'Übung 14'!G$38,0)</f>
        <v/>
      </c>
      <c r="Q442" s="62">
        <f>IF(ISNUMBER('Übung 15'!G$38),'Übung 15'!G$38,0)</f>
        <v/>
      </c>
      <c r="R442" s="62">
        <f>IF(ISNUMBER('Übung 16'!G$38),'Übung 16'!G$38,0)</f>
        <v/>
      </c>
      <c r="S442" s="62">
        <f>IF(ISNUMBER('Übung 17'!G$38),'Übung 17'!G$38,0)</f>
        <v/>
      </c>
      <c r="T442" s="62">
        <f>IF(ISNUMBER('Übung 18'!G$38),'Übung 18'!G$38,0)</f>
        <v/>
      </c>
      <c r="U442" s="62">
        <f>IF(ISNUMBER('Übung 19'!G$38),'Übung 19'!G$38,0)</f>
        <v/>
      </c>
      <c r="V442" s="62">
        <f>IF(ISNUMBER('Übung 20'!G$38),'Übung 20'!G$38,0)</f>
        <v/>
      </c>
    </row>
    <row r="443">
      <c r="C443" s="62">
        <f>IF(ISNUMBER('Übung 01'!H$38),'Übung 01'!H$38,0)</f>
        <v/>
      </c>
      <c r="D443" s="62">
        <f>IF(ISNUMBER('Übung 02'!H$38),'Übung 02'!H$38,0)</f>
        <v/>
      </c>
      <c r="E443" s="62">
        <f>IF(ISNUMBER('Übung 03'!H$38),'Übung 03'!H$38,0)</f>
        <v/>
      </c>
      <c r="F443" s="62">
        <f>IF(ISNUMBER('Übung 04'!H$38),'Übung 04'!H$38,0)</f>
        <v/>
      </c>
      <c r="G443" s="62">
        <f>IF(ISNUMBER('Übung 05'!H$38),'Übung 05'!H$38,0)</f>
        <v/>
      </c>
      <c r="H443" s="62">
        <f>IF(ISNUMBER('Übung 06'!H$38),'Übung 06'!H$38,0)</f>
        <v/>
      </c>
      <c r="I443" s="62">
        <f>IF(ISNUMBER('Übung 07'!H$38),'Übung 07'!H$38,0)</f>
        <v/>
      </c>
      <c r="J443" s="62">
        <f>IF(ISNUMBER('Übung 08'!H$38),'Übung 08'!H$38,0)</f>
        <v/>
      </c>
      <c r="K443" s="62">
        <f>IF(ISNUMBER('Übung 09'!H$38),'Übung 09'!H$38,0)</f>
        <v/>
      </c>
      <c r="L443" s="62">
        <f>IF(ISNUMBER('Übung 10'!H$38),'Übung 10'!H$38,0)</f>
        <v/>
      </c>
      <c r="M443" s="62">
        <f>IF(ISNUMBER('Übung 11'!H$38),'Übung 11'!H$38,0)</f>
        <v/>
      </c>
      <c r="N443" s="62">
        <f>IF(ISNUMBER('Übung 12'!H$38),'Übung 12'!H$38,0)</f>
        <v/>
      </c>
      <c r="O443" s="62">
        <f>IF(ISNUMBER('Übung 13'!H$38),'Übung 13'!H$38,0)</f>
        <v/>
      </c>
      <c r="P443" s="62">
        <f>IF(ISNUMBER('Übung 14'!H$38),'Übung 14'!H$38,0)</f>
        <v/>
      </c>
      <c r="Q443" s="62">
        <f>IF(ISNUMBER('Übung 15'!H$38),'Übung 15'!H$38,0)</f>
        <v/>
      </c>
      <c r="R443" s="62">
        <f>IF(ISNUMBER('Übung 16'!H$38),'Übung 16'!H$38,0)</f>
        <v/>
      </c>
      <c r="S443" s="62">
        <f>IF(ISNUMBER('Übung 17'!H$38),'Übung 17'!H$38,0)</f>
        <v/>
      </c>
      <c r="T443" s="62">
        <f>IF(ISNUMBER('Übung 18'!H$38),'Übung 18'!H$38,0)</f>
        <v/>
      </c>
      <c r="U443" s="62">
        <f>IF(ISNUMBER('Übung 19'!H$38),'Übung 19'!H$38,0)</f>
        <v/>
      </c>
      <c r="V443" s="62">
        <f>IF(ISNUMBER('Übung 20'!H$38),'Übung 20'!H$38,0)</f>
        <v/>
      </c>
    </row>
    <row r="444">
      <c r="C444" s="62">
        <f>IF(ISNUMBER('Übung 01'!I$38),'Übung 01'!I$38,0)</f>
        <v/>
      </c>
      <c r="D444" s="62">
        <f>IF(ISNUMBER('Übung 02'!I$38),'Übung 02'!I$38,0)</f>
        <v/>
      </c>
      <c r="E444" s="62">
        <f>IF(ISNUMBER('Übung 03'!I$38),'Übung 03'!I$38,0)</f>
        <v/>
      </c>
      <c r="F444" s="62">
        <f>IF(ISNUMBER('Übung 04'!I$38),'Übung 04'!I$38,0)</f>
        <v/>
      </c>
      <c r="G444" s="62">
        <f>IF(ISNUMBER('Übung 05'!I$38),'Übung 05'!I$38,0)</f>
        <v/>
      </c>
      <c r="H444" s="62">
        <f>IF(ISNUMBER('Übung 06'!I$38),'Übung 06'!I$38,0)</f>
        <v/>
      </c>
      <c r="I444" s="62">
        <f>IF(ISNUMBER('Übung 07'!I$38),'Übung 07'!I$38,0)</f>
        <v/>
      </c>
      <c r="J444" s="62">
        <f>IF(ISNUMBER('Übung 08'!I$38),'Übung 08'!I$38,0)</f>
        <v/>
      </c>
      <c r="K444" s="62">
        <f>IF(ISNUMBER('Übung 09'!I$38),'Übung 09'!I$38,0)</f>
        <v/>
      </c>
      <c r="L444" s="62">
        <f>IF(ISNUMBER('Übung 10'!I$38),'Übung 10'!I$38,0)</f>
        <v/>
      </c>
      <c r="M444" s="62">
        <f>IF(ISNUMBER('Übung 11'!I$38),'Übung 11'!I$38,0)</f>
        <v/>
      </c>
      <c r="N444" s="62">
        <f>IF(ISNUMBER('Übung 12'!I$38),'Übung 12'!I$38,0)</f>
        <v/>
      </c>
      <c r="O444" s="62">
        <f>IF(ISNUMBER('Übung 13'!I$38),'Übung 13'!I$38,0)</f>
        <v/>
      </c>
      <c r="P444" s="62">
        <f>IF(ISNUMBER('Übung 14'!I$38),'Übung 14'!I$38,0)</f>
        <v/>
      </c>
      <c r="Q444" s="62">
        <f>IF(ISNUMBER('Übung 15'!I$38),'Übung 15'!I$38,0)</f>
        <v/>
      </c>
      <c r="R444" s="62">
        <f>IF(ISNUMBER('Übung 16'!I$38),'Übung 16'!I$38,0)</f>
        <v/>
      </c>
      <c r="S444" s="62">
        <f>IF(ISNUMBER('Übung 17'!I$38),'Übung 17'!I$38,0)</f>
        <v/>
      </c>
      <c r="T444" s="62">
        <f>IF(ISNUMBER('Übung 18'!I$38),'Übung 18'!I$38,0)</f>
        <v/>
      </c>
      <c r="U444" s="62">
        <f>IF(ISNUMBER('Übung 19'!I$38),'Übung 19'!I$38,0)</f>
        <v/>
      </c>
      <c r="V444" s="62">
        <f>IF(ISNUMBER('Übung 20'!I$38),'Übung 20'!I$38,0)</f>
        <v/>
      </c>
    </row>
    <row r="445">
      <c r="C445" s="62">
        <f>IF(ISNUMBER('Übung 01'!J$38),'Übung 01'!J$38,0)</f>
        <v/>
      </c>
      <c r="D445" s="62">
        <f>IF(ISNUMBER('Übung 02'!J$38),'Übung 02'!J$38,0)</f>
        <v/>
      </c>
      <c r="E445" s="62">
        <f>IF(ISNUMBER('Übung 03'!J$38),'Übung 03'!J$38,0)</f>
        <v/>
      </c>
      <c r="F445" s="62">
        <f>IF(ISNUMBER('Übung 04'!J$38),'Übung 04'!J$38,0)</f>
        <v/>
      </c>
      <c r="G445" s="62">
        <f>IF(ISNUMBER('Übung 05'!J$38),'Übung 05'!J$38,0)</f>
        <v/>
      </c>
      <c r="H445" s="62">
        <f>IF(ISNUMBER('Übung 06'!J$38),'Übung 06'!J$38,0)</f>
        <v/>
      </c>
      <c r="I445" s="62">
        <f>IF(ISNUMBER('Übung 07'!J$38),'Übung 07'!J$38,0)</f>
        <v/>
      </c>
      <c r="J445" s="62">
        <f>IF(ISNUMBER('Übung 08'!J$38),'Übung 08'!J$38,0)</f>
        <v/>
      </c>
      <c r="K445" s="62">
        <f>IF(ISNUMBER('Übung 09'!J$38),'Übung 09'!J$38,0)</f>
        <v/>
      </c>
      <c r="L445" s="62">
        <f>IF(ISNUMBER('Übung 10'!J$38),'Übung 10'!J$38,0)</f>
        <v/>
      </c>
      <c r="M445" s="62">
        <f>IF(ISNUMBER('Übung 11'!J$38),'Übung 11'!J$38,0)</f>
        <v/>
      </c>
      <c r="N445" s="62">
        <f>IF(ISNUMBER('Übung 12'!J$38),'Übung 12'!J$38,0)</f>
        <v/>
      </c>
      <c r="O445" s="62">
        <f>IF(ISNUMBER('Übung 13'!J$38),'Übung 13'!J$38,0)</f>
        <v/>
      </c>
      <c r="P445" s="62">
        <f>IF(ISNUMBER('Übung 14'!J$38),'Übung 14'!J$38,0)</f>
        <v/>
      </c>
      <c r="Q445" s="62">
        <f>IF(ISNUMBER('Übung 15'!J$38),'Übung 15'!J$38,0)</f>
        <v/>
      </c>
      <c r="R445" s="62">
        <f>IF(ISNUMBER('Übung 16'!J$38),'Übung 16'!J$38,0)</f>
        <v/>
      </c>
      <c r="S445" s="62">
        <f>IF(ISNUMBER('Übung 17'!J$38),'Übung 17'!J$38,0)</f>
        <v/>
      </c>
      <c r="T445" s="62">
        <f>IF(ISNUMBER('Übung 18'!J$38),'Übung 18'!J$38,0)</f>
        <v/>
      </c>
      <c r="U445" s="62">
        <f>IF(ISNUMBER('Übung 19'!J$38),'Übung 19'!J$38,0)</f>
        <v/>
      </c>
      <c r="V445" s="62">
        <f>IF(ISNUMBER('Übung 20'!J$38),'Übung 20'!J$38,0)</f>
        <v/>
      </c>
    </row>
    <row r="446">
      <c r="C446" s="62">
        <f>IF(ISNUMBER('Übung 01'!K$38),'Übung 01'!K$38,0)</f>
        <v/>
      </c>
      <c r="D446" s="62">
        <f>IF(ISNUMBER('Übung 02'!K$38),'Übung 02'!K$38,0)</f>
        <v/>
      </c>
      <c r="E446" s="62">
        <f>IF(ISNUMBER('Übung 03'!K$38),'Übung 03'!K$38,0)</f>
        <v/>
      </c>
      <c r="F446" s="62">
        <f>IF(ISNUMBER('Übung 04'!K$38),'Übung 04'!K$38,0)</f>
        <v/>
      </c>
      <c r="G446" s="62">
        <f>IF(ISNUMBER('Übung 05'!K$38),'Übung 05'!K$38,0)</f>
        <v/>
      </c>
      <c r="H446" s="62">
        <f>IF(ISNUMBER('Übung 06'!K$38),'Übung 06'!K$38,0)</f>
        <v/>
      </c>
      <c r="I446" s="62">
        <f>IF(ISNUMBER('Übung 07'!K$38),'Übung 07'!K$38,0)</f>
        <v/>
      </c>
      <c r="J446" s="62">
        <f>IF(ISNUMBER('Übung 08'!K$38),'Übung 08'!K$38,0)</f>
        <v/>
      </c>
      <c r="K446" s="62">
        <f>IF(ISNUMBER('Übung 09'!K$38),'Übung 09'!K$38,0)</f>
        <v/>
      </c>
      <c r="L446" s="62">
        <f>IF(ISNUMBER('Übung 10'!K$38),'Übung 10'!K$38,0)</f>
        <v/>
      </c>
      <c r="M446" s="62">
        <f>IF(ISNUMBER('Übung 11'!K$38),'Übung 11'!K$38,0)</f>
        <v/>
      </c>
      <c r="N446" s="62">
        <f>IF(ISNUMBER('Übung 12'!K$38),'Übung 12'!K$38,0)</f>
        <v/>
      </c>
      <c r="O446" s="62">
        <f>IF(ISNUMBER('Übung 13'!K$38),'Übung 13'!K$38,0)</f>
        <v/>
      </c>
      <c r="P446" s="62">
        <f>IF(ISNUMBER('Übung 14'!K$38),'Übung 14'!K$38,0)</f>
        <v/>
      </c>
      <c r="Q446" s="62">
        <f>IF(ISNUMBER('Übung 15'!K$38),'Übung 15'!K$38,0)</f>
        <v/>
      </c>
      <c r="R446" s="62">
        <f>IF(ISNUMBER('Übung 16'!K$38),'Übung 16'!K$38,0)</f>
        <v/>
      </c>
      <c r="S446" s="62">
        <f>IF(ISNUMBER('Übung 17'!K$38),'Übung 17'!K$38,0)</f>
        <v/>
      </c>
      <c r="T446" s="62">
        <f>IF(ISNUMBER('Übung 18'!K$38),'Übung 18'!K$38,0)</f>
        <v/>
      </c>
      <c r="U446" s="62">
        <f>IF(ISNUMBER('Übung 19'!K$38),'Übung 19'!K$38,0)</f>
        <v/>
      </c>
      <c r="V446" s="62">
        <f>IF(ISNUMBER('Übung 20'!K$38),'Übung 20'!K$38,0)</f>
        <v/>
      </c>
    </row>
    <row r="447">
      <c r="C447" s="62">
        <f>IF(ISNUMBER('Übung 01'!L$38),'Übung 01'!L$38,0)</f>
        <v/>
      </c>
      <c r="D447" s="62">
        <f>IF(ISNUMBER('Übung 02'!L$38),'Übung 02'!L$38,0)</f>
        <v/>
      </c>
      <c r="E447" s="62">
        <f>IF(ISNUMBER('Übung 03'!L$38),'Übung 03'!L$38,0)</f>
        <v/>
      </c>
      <c r="F447" s="62">
        <f>IF(ISNUMBER('Übung 04'!L$38),'Übung 04'!L$38,0)</f>
        <v/>
      </c>
      <c r="G447" s="62">
        <f>IF(ISNUMBER('Übung 05'!L$38),'Übung 05'!L$38,0)</f>
        <v/>
      </c>
      <c r="H447" s="62">
        <f>IF(ISNUMBER('Übung 06'!L$38),'Übung 06'!L$38,0)</f>
        <v/>
      </c>
      <c r="I447" s="62">
        <f>IF(ISNUMBER('Übung 07'!L$38),'Übung 07'!L$38,0)</f>
        <v/>
      </c>
      <c r="J447" s="62">
        <f>IF(ISNUMBER('Übung 08'!L$38),'Übung 08'!L$38,0)</f>
        <v/>
      </c>
      <c r="K447" s="62">
        <f>IF(ISNUMBER('Übung 09'!L$38),'Übung 09'!L$38,0)</f>
        <v/>
      </c>
      <c r="L447" s="62">
        <f>IF(ISNUMBER('Übung 10'!L$38),'Übung 10'!L$38,0)</f>
        <v/>
      </c>
      <c r="M447" s="62">
        <f>IF(ISNUMBER('Übung 11'!L$38),'Übung 11'!L$38,0)</f>
        <v/>
      </c>
      <c r="N447" s="62">
        <f>IF(ISNUMBER('Übung 12'!L$38),'Übung 12'!L$38,0)</f>
        <v/>
      </c>
      <c r="O447" s="62">
        <f>IF(ISNUMBER('Übung 13'!L$38),'Übung 13'!L$38,0)</f>
        <v/>
      </c>
      <c r="P447" s="62">
        <f>IF(ISNUMBER('Übung 14'!L$38),'Übung 14'!L$38,0)</f>
        <v/>
      </c>
      <c r="Q447" s="62">
        <f>IF(ISNUMBER('Übung 15'!L$38),'Übung 15'!L$38,0)</f>
        <v/>
      </c>
      <c r="R447" s="62">
        <f>IF(ISNUMBER('Übung 16'!L$38),'Übung 16'!L$38,0)</f>
        <v/>
      </c>
      <c r="S447" s="62">
        <f>IF(ISNUMBER('Übung 17'!L$38),'Übung 17'!L$38,0)</f>
        <v/>
      </c>
      <c r="T447" s="62">
        <f>IF(ISNUMBER('Übung 18'!L$38),'Übung 18'!L$38,0)</f>
        <v/>
      </c>
      <c r="U447" s="62">
        <f>IF(ISNUMBER('Übung 19'!L$38),'Übung 19'!L$38,0)</f>
        <v/>
      </c>
      <c r="V447" s="62">
        <f>IF(ISNUMBER('Übung 20'!L$38),'Übung 20'!L$38,0)</f>
        <v/>
      </c>
    </row>
    <row r="448">
      <c r="C448" s="62">
        <f>IF(ISNUMBER('Übung 01'!M$38),'Übung 01'!M$38,0)</f>
        <v/>
      </c>
      <c r="D448" s="62">
        <f>IF(ISNUMBER('Übung 02'!M$38),'Übung 02'!M$38,0)</f>
        <v/>
      </c>
      <c r="E448" s="62">
        <f>IF(ISNUMBER('Übung 03'!M$38),'Übung 03'!M$38,0)</f>
        <v/>
      </c>
      <c r="F448" s="62">
        <f>IF(ISNUMBER('Übung 04'!M$38),'Übung 04'!M$38,0)</f>
        <v/>
      </c>
      <c r="G448" s="62">
        <f>IF(ISNUMBER('Übung 05'!M$38),'Übung 05'!M$38,0)</f>
        <v/>
      </c>
      <c r="H448" s="62">
        <f>IF(ISNUMBER('Übung 06'!M$38),'Übung 06'!M$38,0)</f>
        <v/>
      </c>
      <c r="I448" s="62">
        <f>IF(ISNUMBER('Übung 07'!M$38),'Übung 07'!M$38,0)</f>
        <v/>
      </c>
      <c r="J448" s="62">
        <f>IF(ISNUMBER('Übung 08'!M$38),'Übung 08'!M$38,0)</f>
        <v/>
      </c>
      <c r="K448" s="62">
        <f>IF(ISNUMBER('Übung 09'!M$38),'Übung 09'!M$38,0)</f>
        <v/>
      </c>
      <c r="L448" s="62">
        <f>IF(ISNUMBER('Übung 10'!M$38),'Übung 10'!M$38,0)</f>
        <v/>
      </c>
      <c r="M448" s="62">
        <f>IF(ISNUMBER('Übung 11'!M$38),'Übung 11'!M$38,0)</f>
        <v/>
      </c>
      <c r="N448" s="62">
        <f>IF(ISNUMBER('Übung 12'!M$38),'Übung 12'!M$38,0)</f>
        <v/>
      </c>
      <c r="O448" s="62">
        <f>IF(ISNUMBER('Übung 13'!M$38),'Übung 13'!M$38,0)</f>
        <v/>
      </c>
      <c r="P448" s="62">
        <f>IF(ISNUMBER('Übung 14'!M$38),'Übung 14'!M$38,0)</f>
        <v/>
      </c>
      <c r="Q448" s="62">
        <f>IF(ISNUMBER('Übung 15'!M$38),'Übung 15'!M$38,0)</f>
        <v/>
      </c>
      <c r="R448" s="62">
        <f>IF(ISNUMBER('Übung 16'!M$38),'Übung 16'!M$38,0)</f>
        <v/>
      </c>
      <c r="S448" s="62">
        <f>IF(ISNUMBER('Übung 17'!M$38),'Übung 17'!M$38,0)</f>
        <v/>
      </c>
      <c r="T448" s="62">
        <f>IF(ISNUMBER('Übung 18'!M$38),'Übung 18'!M$38,0)</f>
        <v/>
      </c>
      <c r="U448" s="62">
        <f>IF(ISNUMBER('Übung 19'!M$38),'Übung 19'!M$38,0)</f>
        <v/>
      </c>
      <c r="V448" s="62">
        <f>IF(ISNUMBER('Übung 20'!M$38),'Übung 20'!M$38,0)</f>
        <v/>
      </c>
    </row>
    <row r="449">
      <c r="C449" s="62">
        <f>IF(ISNUMBER('Übung 01'!N$38),'Übung 01'!N$38,0)</f>
        <v/>
      </c>
      <c r="D449" s="62">
        <f>IF(ISNUMBER('Übung 02'!N$38),'Übung 02'!N$38,0)</f>
        <v/>
      </c>
      <c r="E449" s="62">
        <f>IF(ISNUMBER('Übung 03'!N$38),'Übung 03'!N$38,0)</f>
        <v/>
      </c>
      <c r="F449" s="62">
        <f>IF(ISNUMBER('Übung 04'!N$38),'Übung 04'!N$38,0)</f>
        <v/>
      </c>
      <c r="G449" s="62">
        <f>IF(ISNUMBER('Übung 05'!N$38),'Übung 05'!N$38,0)</f>
        <v/>
      </c>
      <c r="H449" s="62">
        <f>IF(ISNUMBER('Übung 06'!N$38),'Übung 06'!N$38,0)</f>
        <v/>
      </c>
      <c r="I449" s="62">
        <f>IF(ISNUMBER('Übung 07'!N$38),'Übung 07'!N$38,0)</f>
        <v/>
      </c>
      <c r="J449" s="62">
        <f>IF(ISNUMBER('Übung 08'!N$38),'Übung 08'!N$38,0)</f>
        <v/>
      </c>
      <c r="K449" s="62">
        <f>IF(ISNUMBER('Übung 09'!N$38),'Übung 09'!N$38,0)</f>
        <v/>
      </c>
      <c r="L449" s="62">
        <f>IF(ISNUMBER('Übung 10'!N$38),'Übung 10'!N$38,0)</f>
        <v/>
      </c>
      <c r="M449" s="62">
        <f>IF(ISNUMBER('Übung 11'!N$38),'Übung 11'!N$38,0)</f>
        <v/>
      </c>
      <c r="N449" s="62">
        <f>IF(ISNUMBER('Übung 12'!N$38),'Übung 12'!N$38,0)</f>
        <v/>
      </c>
      <c r="O449" s="62">
        <f>IF(ISNUMBER('Übung 13'!N$38),'Übung 13'!N$38,0)</f>
        <v/>
      </c>
      <c r="P449" s="62">
        <f>IF(ISNUMBER('Übung 14'!N$38),'Übung 14'!N$38,0)</f>
        <v/>
      </c>
      <c r="Q449" s="62">
        <f>IF(ISNUMBER('Übung 15'!N$38),'Übung 15'!N$38,0)</f>
        <v/>
      </c>
      <c r="R449" s="62">
        <f>IF(ISNUMBER('Übung 16'!N$38),'Übung 16'!N$38,0)</f>
        <v/>
      </c>
      <c r="S449" s="62">
        <f>IF(ISNUMBER('Übung 17'!N$38),'Übung 17'!N$38,0)</f>
        <v/>
      </c>
      <c r="T449" s="62">
        <f>IF(ISNUMBER('Übung 18'!N$38),'Übung 18'!N$38,0)</f>
        <v/>
      </c>
      <c r="U449" s="62">
        <f>IF(ISNUMBER('Übung 19'!N$38),'Übung 19'!N$38,0)</f>
        <v/>
      </c>
      <c r="V449" s="62">
        <f>IF(ISNUMBER('Übung 20'!N$38),'Übung 20'!N$38,0)</f>
        <v/>
      </c>
    </row>
    <row r="450">
      <c r="C450" s="62">
        <f>IF(ISNUMBER('Übung 01'!O$38),'Übung 01'!O$38,0)</f>
        <v/>
      </c>
      <c r="D450" s="62">
        <f>IF(ISNUMBER('Übung 02'!O$38),'Übung 02'!O$38,0)</f>
        <v/>
      </c>
      <c r="E450" s="62">
        <f>IF(ISNUMBER('Übung 03'!O$38),'Übung 03'!O$38,0)</f>
        <v/>
      </c>
      <c r="F450" s="62">
        <f>IF(ISNUMBER('Übung 04'!O$38),'Übung 04'!O$38,0)</f>
        <v/>
      </c>
      <c r="G450" s="62">
        <f>IF(ISNUMBER('Übung 05'!O$38),'Übung 05'!O$38,0)</f>
        <v/>
      </c>
      <c r="H450" s="62">
        <f>IF(ISNUMBER('Übung 06'!O$38),'Übung 06'!O$38,0)</f>
        <v/>
      </c>
      <c r="I450" s="62">
        <f>IF(ISNUMBER('Übung 07'!O$38),'Übung 07'!O$38,0)</f>
        <v/>
      </c>
      <c r="J450" s="62">
        <f>IF(ISNUMBER('Übung 08'!O$38),'Übung 08'!O$38,0)</f>
        <v/>
      </c>
      <c r="K450" s="62">
        <f>IF(ISNUMBER('Übung 09'!O$38),'Übung 09'!O$38,0)</f>
        <v/>
      </c>
      <c r="L450" s="62">
        <f>IF(ISNUMBER('Übung 10'!O$38),'Übung 10'!O$38,0)</f>
        <v/>
      </c>
      <c r="M450" s="62">
        <f>IF(ISNUMBER('Übung 11'!O$38),'Übung 11'!O$38,0)</f>
        <v/>
      </c>
      <c r="N450" s="62">
        <f>IF(ISNUMBER('Übung 12'!O$38),'Übung 12'!O$38,0)</f>
        <v/>
      </c>
      <c r="O450" s="62">
        <f>IF(ISNUMBER('Übung 13'!O$38),'Übung 13'!O$38,0)</f>
        <v/>
      </c>
      <c r="P450" s="62">
        <f>IF(ISNUMBER('Übung 14'!O$38),'Übung 14'!O$38,0)</f>
        <v/>
      </c>
      <c r="Q450" s="62">
        <f>IF(ISNUMBER('Übung 15'!O$38),'Übung 15'!O$38,0)</f>
        <v/>
      </c>
      <c r="R450" s="62">
        <f>IF(ISNUMBER('Übung 16'!O$38),'Übung 16'!O$38,0)</f>
        <v/>
      </c>
      <c r="S450" s="62">
        <f>IF(ISNUMBER('Übung 17'!O$38),'Übung 17'!O$38,0)</f>
        <v/>
      </c>
      <c r="T450" s="62">
        <f>IF(ISNUMBER('Übung 18'!O$38),'Übung 18'!O$38,0)</f>
        <v/>
      </c>
      <c r="U450" s="62">
        <f>IF(ISNUMBER('Übung 19'!O$38),'Übung 19'!O$38,0)</f>
        <v/>
      </c>
      <c r="V450" s="62">
        <f>IF(ISNUMBER('Übung 20'!O$38),'Übung 20'!O$38,0)</f>
        <v/>
      </c>
    </row>
    <row r="451">
      <c r="C451" s="62">
        <f>IF(ISNUMBER('Übung 01'!P$38),'Übung 01'!P$38,0)</f>
        <v/>
      </c>
      <c r="D451" s="62">
        <f>IF(ISNUMBER('Übung 02'!P$38),'Übung 02'!P$38,0)</f>
        <v/>
      </c>
      <c r="E451" s="62">
        <f>IF(ISNUMBER('Übung 03'!P$38),'Übung 03'!P$38,0)</f>
        <v/>
      </c>
      <c r="F451" s="62">
        <f>IF(ISNUMBER('Übung 04'!P$38),'Übung 04'!P$38,0)</f>
        <v/>
      </c>
      <c r="G451" s="62">
        <f>IF(ISNUMBER('Übung 05'!P$38),'Übung 05'!P$38,0)</f>
        <v/>
      </c>
      <c r="H451" s="62">
        <f>IF(ISNUMBER('Übung 06'!P$38),'Übung 06'!P$38,0)</f>
        <v/>
      </c>
      <c r="I451" s="62">
        <f>IF(ISNUMBER('Übung 07'!P$38),'Übung 07'!P$38,0)</f>
        <v/>
      </c>
      <c r="J451" s="62">
        <f>IF(ISNUMBER('Übung 08'!P$38),'Übung 08'!P$38,0)</f>
        <v/>
      </c>
      <c r="K451" s="62">
        <f>IF(ISNUMBER('Übung 09'!P$38),'Übung 09'!P$38,0)</f>
        <v/>
      </c>
      <c r="L451" s="62">
        <f>IF(ISNUMBER('Übung 10'!P$38),'Übung 10'!P$38,0)</f>
        <v/>
      </c>
      <c r="M451" s="62">
        <f>IF(ISNUMBER('Übung 11'!P$38),'Übung 11'!P$38,0)</f>
        <v/>
      </c>
      <c r="N451" s="62">
        <f>IF(ISNUMBER('Übung 12'!P$38),'Übung 12'!P$38,0)</f>
        <v/>
      </c>
      <c r="O451" s="62">
        <f>IF(ISNUMBER('Übung 13'!P$38),'Übung 13'!P$38,0)</f>
        <v/>
      </c>
      <c r="P451" s="62">
        <f>IF(ISNUMBER('Übung 14'!P$38),'Übung 14'!P$38,0)</f>
        <v/>
      </c>
      <c r="Q451" s="62">
        <f>IF(ISNUMBER('Übung 15'!P$38),'Übung 15'!P$38,0)</f>
        <v/>
      </c>
      <c r="R451" s="62">
        <f>IF(ISNUMBER('Übung 16'!P$38),'Übung 16'!P$38,0)</f>
        <v/>
      </c>
      <c r="S451" s="62">
        <f>IF(ISNUMBER('Übung 17'!P$38),'Übung 17'!P$38,0)</f>
        <v/>
      </c>
      <c r="T451" s="62">
        <f>IF(ISNUMBER('Übung 18'!P$38),'Übung 18'!P$38,0)</f>
        <v/>
      </c>
      <c r="U451" s="62">
        <f>IF(ISNUMBER('Übung 19'!P$38),'Übung 19'!P$38,0)</f>
        <v/>
      </c>
      <c r="V451" s="62">
        <f>IF(ISNUMBER('Übung 20'!P$38),'Übung 20'!P$38,0)</f>
        <v/>
      </c>
    </row>
    <row r="452">
      <c r="C452" s="62">
        <f>IF(ISNUMBER('Übung 01'!Q$38),'Übung 01'!Q$38,0)</f>
        <v/>
      </c>
      <c r="D452" s="62">
        <f>IF(ISNUMBER('Übung 02'!Q$38),'Übung 02'!Q$38,0)</f>
        <v/>
      </c>
      <c r="E452" s="62">
        <f>IF(ISNUMBER('Übung 03'!Q$38),'Übung 03'!Q$38,0)</f>
        <v/>
      </c>
      <c r="F452" s="62">
        <f>IF(ISNUMBER('Übung 04'!Q$38),'Übung 04'!Q$38,0)</f>
        <v/>
      </c>
      <c r="G452" s="62">
        <f>IF(ISNUMBER('Übung 05'!Q$38),'Übung 05'!Q$38,0)</f>
        <v/>
      </c>
      <c r="H452" s="62">
        <f>IF(ISNUMBER('Übung 06'!Q$38),'Übung 06'!Q$38,0)</f>
        <v/>
      </c>
      <c r="I452" s="62">
        <f>IF(ISNUMBER('Übung 07'!Q$38),'Übung 07'!Q$38,0)</f>
        <v/>
      </c>
      <c r="J452" s="62">
        <f>IF(ISNUMBER('Übung 08'!Q$38),'Übung 08'!Q$38,0)</f>
        <v/>
      </c>
      <c r="K452" s="62">
        <f>IF(ISNUMBER('Übung 09'!Q$38),'Übung 09'!Q$38,0)</f>
        <v/>
      </c>
      <c r="L452" s="62">
        <f>IF(ISNUMBER('Übung 10'!Q$38),'Übung 10'!Q$38,0)</f>
        <v/>
      </c>
      <c r="M452" s="62">
        <f>IF(ISNUMBER('Übung 11'!Q$38),'Übung 11'!Q$38,0)</f>
        <v/>
      </c>
      <c r="N452" s="62">
        <f>IF(ISNUMBER('Übung 12'!Q$38),'Übung 12'!Q$38,0)</f>
        <v/>
      </c>
      <c r="O452" s="62">
        <f>IF(ISNUMBER('Übung 13'!Q$38),'Übung 13'!Q$38,0)</f>
        <v/>
      </c>
      <c r="P452" s="62">
        <f>IF(ISNUMBER('Übung 14'!Q$38),'Übung 14'!Q$38,0)</f>
        <v/>
      </c>
      <c r="Q452" s="62">
        <f>IF(ISNUMBER('Übung 15'!Q$38),'Übung 15'!Q$38,0)</f>
        <v/>
      </c>
      <c r="R452" s="62">
        <f>IF(ISNUMBER('Übung 16'!Q$38),'Übung 16'!Q$38,0)</f>
        <v/>
      </c>
      <c r="S452" s="62">
        <f>IF(ISNUMBER('Übung 17'!Q$38),'Übung 17'!Q$38,0)</f>
        <v/>
      </c>
      <c r="T452" s="62">
        <f>IF(ISNUMBER('Übung 18'!Q$38),'Übung 18'!Q$38,0)</f>
        <v/>
      </c>
      <c r="U452" s="62">
        <f>IF(ISNUMBER('Übung 19'!Q$38),'Übung 19'!Q$38,0)</f>
        <v/>
      </c>
      <c r="V452" s="62">
        <f>IF(ISNUMBER('Übung 20'!Q$38),'Übung 20'!Q$38,0)</f>
        <v/>
      </c>
    </row>
    <row r="453">
      <c r="C453" s="62">
        <f>IF(ISNUMBER('Übung 01'!R$38),'Übung 01'!R$38,0)</f>
        <v/>
      </c>
      <c r="D453" s="62">
        <f>IF(ISNUMBER('Übung 02'!R$38),'Übung 02'!R$38,0)</f>
        <v/>
      </c>
      <c r="E453" s="62">
        <f>IF(ISNUMBER('Übung 03'!R$38),'Übung 03'!R$38,0)</f>
        <v/>
      </c>
      <c r="F453" s="62">
        <f>IF(ISNUMBER('Übung 04'!R$38),'Übung 04'!R$38,0)</f>
        <v/>
      </c>
      <c r="G453" s="62">
        <f>IF(ISNUMBER('Übung 05'!R$38),'Übung 05'!R$38,0)</f>
        <v/>
      </c>
      <c r="H453" s="62">
        <f>IF(ISNUMBER('Übung 06'!R$38),'Übung 06'!R$38,0)</f>
        <v/>
      </c>
      <c r="I453" s="62">
        <f>IF(ISNUMBER('Übung 07'!R$38),'Übung 07'!R$38,0)</f>
        <v/>
      </c>
      <c r="J453" s="62">
        <f>IF(ISNUMBER('Übung 08'!R$38),'Übung 08'!R$38,0)</f>
        <v/>
      </c>
      <c r="K453" s="62">
        <f>IF(ISNUMBER('Übung 09'!R$38),'Übung 09'!R$38,0)</f>
        <v/>
      </c>
      <c r="L453" s="62">
        <f>IF(ISNUMBER('Übung 10'!R$38),'Übung 10'!R$38,0)</f>
        <v/>
      </c>
      <c r="M453" s="62">
        <f>IF(ISNUMBER('Übung 11'!R$38),'Übung 11'!R$38,0)</f>
        <v/>
      </c>
      <c r="N453" s="62">
        <f>IF(ISNUMBER('Übung 12'!R$38),'Übung 12'!R$38,0)</f>
        <v/>
      </c>
      <c r="O453" s="62">
        <f>IF(ISNUMBER('Übung 13'!R$38),'Übung 13'!R$38,0)</f>
        <v/>
      </c>
      <c r="P453" s="62">
        <f>IF(ISNUMBER('Übung 14'!R$38),'Übung 14'!R$38,0)</f>
        <v/>
      </c>
      <c r="Q453" s="62">
        <f>IF(ISNUMBER('Übung 15'!R$38),'Übung 15'!R$38,0)</f>
        <v/>
      </c>
      <c r="R453" s="62">
        <f>IF(ISNUMBER('Übung 16'!R$38),'Übung 16'!R$38,0)</f>
        <v/>
      </c>
      <c r="S453" s="62">
        <f>IF(ISNUMBER('Übung 17'!R$38),'Übung 17'!R$38,0)</f>
        <v/>
      </c>
      <c r="T453" s="62">
        <f>IF(ISNUMBER('Übung 18'!R$38),'Übung 18'!R$38,0)</f>
        <v/>
      </c>
      <c r="U453" s="62">
        <f>IF(ISNUMBER('Übung 19'!R$38),'Übung 19'!R$38,0)</f>
        <v/>
      </c>
      <c r="V453" s="62">
        <f>IF(ISNUMBER('Übung 20'!R$38),'Übung 20'!R$38,0)</f>
        <v/>
      </c>
    </row>
    <row r="454">
      <c r="C454" s="62">
        <f>IF(ISNUMBER('Übung 01'!S$38),'Übung 01'!S$38,0)</f>
        <v/>
      </c>
      <c r="D454" s="62">
        <f>IF(ISNUMBER('Übung 02'!S$38),'Übung 02'!S$38,0)</f>
        <v/>
      </c>
      <c r="E454" s="62">
        <f>IF(ISNUMBER('Übung 03'!S$38),'Übung 03'!S$38,0)</f>
        <v/>
      </c>
      <c r="F454" s="62">
        <f>IF(ISNUMBER('Übung 04'!S$38),'Übung 04'!S$38,0)</f>
        <v/>
      </c>
      <c r="G454" s="62">
        <f>IF(ISNUMBER('Übung 05'!S$38),'Übung 05'!S$38,0)</f>
        <v/>
      </c>
      <c r="H454" s="62">
        <f>IF(ISNUMBER('Übung 06'!S$38),'Übung 06'!S$38,0)</f>
        <v/>
      </c>
      <c r="I454" s="62">
        <f>IF(ISNUMBER('Übung 07'!S$38),'Übung 07'!S$38,0)</f>
        <v/>
      </c>
      <c r="J454" s="62">
        <f>IF(ISNUMBER('Übung 08'!S$38),'Übung 08'!S$38,0)</f>
        <v/>
      </c>
      <c r="K454" s="62">
        <f>IF(ISNUMBER('Übung 09'!S$38),'Übung 09'!S$38,0)</f>
        <v/>
      </c>
      <c r="L454" s="62">
        <f>IF(ISNUMBER('Übung 10'!S$38),'Übung 10'!S$38,0)</f>
        <v/>
      </c>
      <c r="M454" s="62">
        <f>IF(ISNUMBER('Übung 11'!S$38),'Übung 11'!S$38,0)</f>
        <v/>
      </c>
      <c r="N454" s="62">
        <f>IF(ISNUMBER('Übung 12'!S$38),'Übung 12'!S$38,0)</f>
        <v/>
      </c>
      <c r="O454" s="62">
        <f>IF(ISNUMBER('Übung 13'!S$38),'Übung 13'!S$38,0)</f>
        <v/>
      </c>
      <c r="P454" s="62">
        <f>IF(ISNUMBER('Übung 14'!S$38),'Übung 14'!S$38,0)</f>
        <v/>
      </c>
      <c r="Q454" s="62">
        <f>IF(ISNUMBER('Übung 15'!S$38),'Übung 15'!S$38,0)</f>
        <v/>
      </c>
      <c r="R454" s="62">
        <f>IF(ISNUMBER('Übung 16'!S$38),'Übung 16'!S$38,0)</f>
        <v/>
      </c>
      <c r="S454" s="62">
        <f>IF(ISNUMBER('Übung 17'!S$38),'Übung 17'!S$38,0)</f>
        <v/>
      </c>
      <c r="T454" s="62">
        <f>IF(ISNUMBER('Übung 18'!S$38),'Übung 18'!S$38,0)</f>
        <v/>
      </c>
      <c r="U454" s="62">
        <f>IF(ISNUMBER('Übung 19'!S$38),'Übung 19'!S$38,0)</f>
        <v/>
      </c>
      <c r="V454" s="62">
        <f>IF(ISNUMBER('Übung 20'!S$38),'Übung 20'!S$38,0)</f>
        <v/>
      </c>
    </row>
    <row r="455">
      <c r="C455" s="62">
        <f>IF(ISNUMBER('Übung 01'!T$38),'Übung 01'!T$38,0)</f>
        <v/>
      </c>
      <c r="D455" s="62">
        <f>IF(ISNUMBER('Übung 02'!T$38),'Übung 02'!T$38,0)</f>
        <v/>
      </c>
      <c r="E455" s="62">
        <f>IF(ISNUMBER('Übung 03'!T$38),'Übung 03'!T$38,0)</f>
        <v/>
      </c>
      <c r="F455" s="62">
        <f>IF(ISNUMBER('Übung 04'!T$38),'Übung 04'!T$38,0)</f>
        <v/>
      </c>
      <c r="G455" s="62">
        <f>IF(ISNUMBER('Übung 05'!T$38),'Übung 05'!T$38,0)</f>
        <v/>
      </c>
      <c r="H455" s="62">
        <f>IF(ISNUMBER('Übung 06'!T$38),'Übung 06'!T$38,0)</f>
        <v/>
      </c>
      <c r="I455" s="62">
        <f>IF(ISNUMBER('Übung 07'!T$38),'Übung 07'!T$38,0)</f>
        <v/>
      </c>
      <c r="J455" s="62">
        <f>IF(ISNUMBER('Übung 08'!T$38),'Übung 08'!T$38,0)</f>
        <v/>
      </c>
      <c r="K455" s="62">
        <f>IF(ISNUMBER('Übung 09'!T$38),'Übung 09'!T$38,0)</f>
        <v/>
      </c>
      <c r="L455" s="62">
        <f>IF(ISNUMBER('Übung 10'!T$38),'Übung 10'!T$38,0)</f>
        <v/>
      </c>
      <c r="M455" s="62">
        <f>IF(ISNUMBER('Übung 11'!T$38),'Übung 11'!T$38,0)</f>
        <v/>
      </c>
      <c r="N455" s="62">
        <f>IF(ISNUMBER('Übung 12'!T$38),'Übung 12'!T$38,0)</f>
        <v/>
      </c>
      <c r="O455" s="62">
        <f>IF(ISNUMBER('Übung 13'!T$38),'Übung 13'!T$38,0)</f>
        <v/>
      </c>
      <c r="P455" s="62">
        <f>IF(ISNUMBER('Übung 14'!T$38),'Übung 14'!T$38,0)</f>
        <v/>
      </c>
      <c r="Q455" s="62">
        <f>IF(ISNUMBER('Übung 15'!T$38),'Übung 15'!T$38,0)</f>
        <v/>
      </c>
      <c r="R455" s="62">
        <f>IF(ISNUMBER('Übung 16'!T$38),'Übung 16'!T$38,0)</f>
        <v/>
      </c>
      <c r="S455" s="62">
        <f>IF(ISNUMBER('Übung 17'!T$38),'Übung 17'!T$38,0)</f>
        <v/>
      </c>
      <c r="T455" s="62">
        <f>IF(ISNUMBER('Übung 18'!T$38),'Übung 18'!T$38,0)</f>
        <v/>
      </c>
      <c r="U455" s="62">
        <f>IF(ISNUMBER('Übung 19'!T$38),'Übung 19'!T$38,0)</f>
        <v/>
      </c>
      <c r="V455" s="62">
        <f>IF(ISNUMBER('Übung 20'!T$38),'Übung 20'!T$38,0)</f>
        <v/>
      </c>
    </row>
    <row r="456">
      <c r="C456" s="62">
        <f>IF(ISNUMBER('Übung 01'!U$38),'Übung 01'!U$38,0)</f>
        <v/>
      </c>
      <c r="D456" s="62">
        <f>IF(ISNUMBER('Übung 02'!U$38),'Übung 02'!U$38,0)</f>
        <v/>
      </c>
      <c r="E456" s="62">
        <f>IF(ISNUMBER('Übung 03'!U$38),'Übung 03'!U$38,0)</f>
        <v/>
      </c>
      <c r="F456" s="62">
        <f>IF(ISNUMBER('Übung 04'!U$38),'Übung 04'!U$38,0)</f>
        <v/>
      </c>
      <c r="G456" s="62">
        <f>IF(ISNUMBER('Übung 05'!U$38),'Übung 05'!U$38,0)</f>
        <v/>
      </c>
      <c r="H456" s="62">
        <f>IF(ISNUMBER('Übung 06'!U$38),'Übung 06'!U$38,0)</f>
        <v/>
      </c>
      <c r="I456" s="62">
        <f>IF(ISNUMBER('Übung 07'!U$38),'Übung 07'!U$38,0)</f>
        <v/>
      </c>
      <c r="J456" s="62">
        <f>IF(ISNUMBER('Übung 08'!U$38),'Übung 08'!U$38,0)</f>
        <v/>
      </c>
      <c r="K456" s="62">
        <f>IF(ISNUMBER('Übung 09'!U$38),'Übung 09'!U$38,0)</f>
        <v/>
      </c>
      <c r="L456" s="62">
        <f>IF(ISNUMBER('Übung 10'!U$38),'Übung 10'!U$38,0)</f>
        <v/>
      </c>
      <c r="M456" s="62">
        <f>IF(ISNUMBER('Übung 11'!U$38),'Übung 11'!U$38,0)</f>
        <v/>
      </c>
      <c r="N456" s="62">
        <f>IF(ISNUMBER('Übung 12'!U$38),'Übung 12'!U$38,0)</f>
        <v/>
      </c>
      <c r="O456" s="62">
        <f>IF(ISNUMBER('Übung 13'!U$38),'Übung 13'!U$38,0)</f>
        <v/>
      </c>
      <c r="P456" s="62">
        <f>IF(ISNUMBER('Übung 14'!U$38),'Übung 14'!U$38,0)</f>
        <v/>
      </c>
      <c r="Q456" s="62">
        <f>IF(ISNUMBER('Übung 15'!U$38),'Übung 15'!U$38,0)</f>
        <v/>
      </c>
      <c r="R456" s="62">
        <f>IF(ISNUMBER('Übung 16'!U$38),'Übung 16'!U$38,0)</f>
        <v/>
      </c>
      <c r="S456" s="62">
        <f>IF(ISNUMBER('Übung 17'!U$38),'Übung 17'!U$38,0)</f>
        <v/>
      </c>
      <c r="T456" s="62">
        <f>IF(ISNUMBER('Übung 18'!U$38),'Übung 18'!U$38,0)</f>
        <v/>
      </c>
      <c r="U456" s="62">
        <f>IF(ISNUMBER('Übung 19'!U$38),'Übung 19'!U$38,0)</f>
        <v/>
      </c>
      <c r="V456" s="62">
        <f>IF(ISNUMBER('Übung 20'!U$38),'Übung 20'!U$38,0)</f>
        <v/>
      </c>
    </row>
    <row r="457">
      <c r="C457" s="62">
        <f>IF(ISNUMBER('Übung 01'!V$38),'Übung 01'!V$38,0)</f>
        <v/>
      </c>
      <c r="D457" s="62">
        <f>IF(ISNUMBER('Übung 02'!V$38),'Übung 02'!V$38,0)</f>
        <v/>
      </c>
      <c r="E457" s="62">
        <f>IF(ISNUMBER('Übung 03'!V$38),'Übung 03'!V$38,0)</f>
        <v/>
      </c>
      <c r="F457" s="62">
        <f>IF(ISNUMBER('Übung 04'!V$38),'Übung 04'!V$38,0)</f>
        <v/>
      </c>
      <c r="G457" s="62">
        <f>IF(ISNUMBER('Übung 05'!V$38),'Übung 05'!V$38,0)</f>
        <v/>
      </c>
      <c r="H457" s="62">
        <f>IF(ISNUMBER('Übung 06'!V$38),'Übung 06'!V$38,0)</f>
        <v/>
      </c>
      <c r="I457" s="62">
        <f>IF(ISNUMBER('Übung 07'!V$38),'Übung 07'!V$38,0)</f>
        <v/>
      </c>
      <c r="J457" s="62">
        <f>IF(ISNUMBER('Übung 08'!V$38),'Übung 08'!V$38,0)</f>
        <v/>
      </c>
      <c r="K457" s="62">
        <f>IF(ISNUMBER('Übung 09'!V$38),'Übung 09'!V$38,0)</f>
        <v/>
      </c>
      <c r="L457" s="62">
        <f>IF(ISNUMBER('Übung 10'!V$38),'Übung 10'!V$38,0)</f>
        <v/>
      </c>
      <c r="M457" s="62">
        <f>IF(ISNUMBER('Übung 11'!V$38),'Übung 11'!V$38,0)</f>
        <v/>
      </c>
      <c r="N457" s="62">
        <f>IF(ISNUMBER('Übung 12'!V$38),'Übung 12'!V$38,0)</f>
        <v/>
      </c>
      <c r="O457" s="62">
        <f>IF(ISNUMBER('Übung 13'!V$38),'Übung 13'!V$38,0)</f>
        <v/>
      </c>
      <c r="P457" s="62">
        <f>IF(ISNUMBER('Übung 14'!V$38),'Übung 14'!V$38,0)</f>
        <v/>
      </c>
      <c r="Q457" s="62">
        <f>IF(ISNUMBER('Übung 15'!V$38),'Übung 15'!V$38,0)</f>
        <v/>
      </c>
      <c r="R457" s="62">
        <f>IF(ISNUMBER('Übung 16'!V$38),'Übung 16'!V$38,0)</f>
        <v/>
      </c>
      <c r="S457" s="62">
        <f>IF(ISNUMBER('Übung 17'!V$38),'Übung 17'!V$38,0)</f>
        <v/>
      </c>
      <c r="T457" s="62">
        <f>IF(ISNUMBER('Übung 18'!V$38),'Übung 18'!V$38,0)</f>
        <v/>
      </c>
      <c r="U457" s="62">
        <f>IF(ISNUMBER('Übung 19'!V$38),'Übung 19'!V$38,0)</f>
        <v/>
      </c>
      <c r="V457" s="62">
        <f>IF(ISNUMBER('Übung 20'!V$38),'Übung 20'!V$38,0)</f>
        <v/>
      </c>
    </row>
    <row r="458">
      <c r="C458" s="62">
        <f>IF(ISNUMBER('Übung 01'!W$38),'Übung 01'!W$38,0)</f>
        <v/>
      </c>
      <c r="D458" s="62">
        <f>IF(ISNUMBER('Übung 02'!W$38),'Übung 02'!W$38,0)</f>
        <v/>
      </c>
      <c r="E458" s="62">
        <f>IF(ISNUMBER('Übung 03'!W$38),'Übung 03'!W$38,0)</f>
        <v/>
      </c>
      <c r="F458" s="62">
        <f>IF(ISNUMBER('Übung 04'!W$38),'Übung 04'!W$38,0)</f>
        <v/>
      </c>
      <c r="G458" s="62">
        <f>IF(ISNUMBER('Übung 05'!W$38),'Übung 05'!W$38,0)</f>
        <v/>
      </c>
      <c r="H458" s="62">
        <f>IF(ISNUMBER('Übung 06'!W$38),'Übung 06'!W$38,0)</f>
        <v/>
      </c>
      <c r="I458" s="62">
        <f>IF(ISNUMBER('Übung 07'!W$38),'Übung 07'!W$38,0)</f>
        <v/>
      </c>
      <c r="J458" s="62">
        <f>IF(ISNUMBER('Übung 08'!W$38),'Übung 08'!W$38,0)</f>
        <v/>
      </c>
      <c r="K458" s="62">
        <f>IF(ISNUMBER('Übung 09'!W$38),'Übung 09'!W$38,0)</f>
        <v/>
      </c>
      <c r="L458" s="62">
        <f>IF(ISNUMBER('Übung 10'!W$38),'Übung 10'!W$38,0)</f>
        <v/>
      </c>
      <c r="M458" s="62">
        <f>IF(ISNUMBER('Übung 11'!W$38),'Übung 11'!W$38,0)</f>
        <v/>
      </c>
      <c r="N458" s="62">
        <f>IF(ISNUMBER('Übung 12'!W$38),'Übung 12'!W$38,0)</f>
        <v/>
      </c>
      <c r="O458" s="62">
        <f>IF(ISNUMBER('Übung 13'!W$38),'Übung 13'!W$38,0)</f>
        <v/>
      </c>
      <c r="P458" s="62">
        <f>IF(ISNUMBER('Übung 14'!W$38),'Übung 14'!W$38,0)</f>
        <v/>
      </c>
      <c r="Q458" s="62">
        <f>IF(ISNUMBER('Übung 15'!W$38),'Übung 15'!W$38,0)</f>
        <v/>
      </c>
      <c r="R458" s="62">
        <f>IF(ISNUMBER('Übung 16'!W$38),'Übung 16'!W$38,0)</f>
        <v/>
      </c>
      <c r="S458" s="62">
        <f>IF(ISNUMBER('Übung 17'!W$38),'Übung 17'!W$38,0)</f>
        <v/>
      </c>
      <c r="T458" s="62">
        <f>IF(ISNUMBER('Übung 18'!W$38),'Übung 18'!W$38,0)</f>
        <v/>
      </c>
      <c r="U458" s="62">
        <f>IF(ISNUMBER('Übung 19'!W$38),'Übung 19'!W$38,0)</f>
        <v/>
      </c>
      <c r="V458" s="62">
        <f>IF(ISNUMBER('Übung 20'!W$38),'Übung 20'!W$38,0)</f>
        <v/>
      </c>
    </row>
    <row r="459">
      <c r="C459" s="62">
        <f>IF(ISNUMBER('Übung 01'!X$38),'Übung 01'!X$38,0)</f>
        <v/>
      </c>
      <c r="D459" s="62">
        <f>IF(ISNUMBER('Übung 02'!X$38),'Übung 02'!X$38,0)</f>
        <v/>
      </c>
      <c r="E459" s="62">
        <f>IF(ISNUMBER('Übung 03'!X$38),'Übung 03'!X$38,0)</f>
        <v/>
      </c>
      <c r="F459" s="62">
        <f>IF(ISNUMBER('Übung 04'!X$38),'Übung 04'!X$38,0)</f>
        <v/>
      </c>
      <c r="G459" s="62">
        <f>IF(ISNUMBER('Übung 05'!X$38),'Übung 05'!X$38,0)</f>
        <v/>
      </c>
      <c r="H459" s="62">
        <f>IF(ISNUMBER('Übung 06'!X$38),'Übung 06'!X$38,0)</f>
        <v/>
      </c>
      <c r="I459" s="62">
        <f>IF(ISNUMBER('Übung 07'!X$38),'Übung 07'!X$38,0)</f>
        <v/>
      </c>
      <c r="J459" s="62">
        <f>IF(ISNUMBER('Übung 08'!X$38),'Übung 08'!X$38,0)</f>
        <v/>
      </c>
      <c r="K459" s="62">
        <f>IF(ISNUMBER('Übung 09'!X$38),'Übung 09'!X$38,0)</f>
        <v/>
      </c>
      <c r="L459" s="62">
        <f>IF(ISNUMBER('Übung 10'!X$38),'Übung 10'!X$38,0)</f>
        <v/>
      </c>
      <c r="M459" s="62">
        <f>IF(ISNUMBER('Übung 11'!X$38),'Übung 11'!X$38,0)</f>
        <v/>
      </c>
      <c r="N459" s="62">
        <f>IF(ISNUMBER('Übung 12'!X$38),'Übung 12'!X$38,0)</f>
        <v/>
      </c>
      <c r="O459" s="62">
        <f>IF(ISNUMBER('Übung 13'!X$38),'Übung 13'!X$38,0)</f>
        <v/>
      </c>
      <c r="P459" s="62">
        <f>IF(ISNUMBER('Übung 14'!X$38),'Übung 14'!X$38,0)</f>
        <v/>
      </c>
      <c r="Q459" s="62">
        <f>IF(ISNUMBER('Übung 15'!X$38),'Übung 15'!X$38,0)</f>
        <v/>
      </c>
      <c r="R459" s="62">
        <f>IF(ISNUMBER('Übung 16'!X$38),'Übung 16'!X$38,0)</f>
        <v/>
      </c>
      <c r="S459" s="62">
        <f>IF(ISNUMBER('Übung 17'!X$38),'Übung 17'!X$38,0)</f>
        <v/>
      </c>
      <c r="T459" s="62">
        <f>IF(ISNUMBER('Übung 18'!X$38),'Übung 18'!X$38,0)</f>
        <v/>
      </c>
      <c r="U459" s="62">
        <f>IF(ISNUMBER('Übung 19'!X$38),'Übung 19'!X$38,0)</f>
        <v/>
      </c>
      <c r="V459" s="62">
        <f>IF(ISNUMBER('Übung 20'!X$38),'Übung 20'!X$38,0)</f>
        <v/>
      </c>
    </row>
    <row r="460">
      <c r="C460" s="62">
        <f>IF(ISNUMBER('Übung 01'!Y$38),'Übung 01'!Y$38,0)</f>
        <v/>
      </c>
      <c r="D460" s="62">
        <f>IF(ISNUMBER('Übung 02'!Y$38),'Übung 02'!Y$38,0)</f>
        <v/>
      </c>
      <c r="E460" s="62">
        <f>IF(ISNUMBER('Übung 03'!Y$38),'Übung 03'!Y$38,0)</f>
        <v/>
      </c>
      <c r="F460" s="62">
        <f>IF(ISNUMBER('Übung 04'!Y$38),'Übung 04'!Y$38,0)</f>
        <v/>
      </c>
      <c r="G460" s="62">
        <f>IF(ISNUMBER('Übung 05'!Y$38),'Übung 05'!Y$38,0)</f>
        <v/>
      </c>
      <c r="H460" s="62">
        <f>IF(ISNUMBER('Übung 06'!Y$38),'Übung 06'!Y$38,0)</f>
        <v/>
      </c>
      <c r="I460" s="62">
        <f>IF(ISNUMBER('Übung 07'!Y$38),'Übung 07'!Y$38,0)</f>
        <v/>
      </c>
      <c r="J460" s="62">
        <f>IF(ISNUMBER('Übung 08'!Y$38),'Übung 08'!Y$38,0)</f>
        <v/>
      </c>
      <c r="K460" s="62">
        <f>IF(ISNUMBER('Übung 09'!Y$38),'Übung 09'!Y$38,0)</f>
        <v/>
      </c>
      <c r="L460" s="62">
        <f>IF(ISNUMBER('Übung 10'!Y$38),'Übung 10'!Y$38,0)</f>
        <v/>
      </c>
      <c r="M460" s="62">
        <f>IF(ISNUMBER('Übung 11'!Y$38),'Übung 11'!Y$38,0)</f>
        <v/>
      </c>
      <c r="N460" s="62">
        <f>IF(ISNUMBER('Übung 12'!Y$38),'Übung 12'!Y$38,0)</f>
        <v/>
      </c>
      <c r="O460" s="62">
        <f>IF(ISNUMBER('Übung 13'!Y$38),'Übung 13'!Y$38,0)</f>
        <v/>
      </c>
      <c r="P460" s="62">
        <f>IF(ISNUMBER('Übung 14'!Y$38),'Übung 14'!Y$38,0)</f>
        <v/>
      </c>
      <c r="Q460" s="62">
        <f>IF(ISNUMBER('Übung 15'!Y$38),'Übung 15'!Y$38,0)</f>
        <v/>
      </c>
      <c r="R460" s="62">
        <f>IF(ISNUMBER('Übung 16'!Y$38),'Übung 16'!Y$38,0)</f>
        <v/>
      </c>
      <c r="S460" s="62">
        <f>IF(ISNUMBER('Übung 17'!Y$38),'Übung 17'!Y$38,0)</f>
        <v/>
      </c>
      <c r="T460" s="62">
        <f>IF(ISNUMBER('Übung 18'!Y$38),'Übung 18'!Y$38,0)</f>
        <v/>
      </c>
      <c r="U460" s="62">
        <f>IF(ISNUMBER('Übung 19'!Y$38),'Übung 19'!Y$38,0)</f>
        <v/>
      </c>
      <c r="V460" s="62">
        <f>IF(ISNUMBER('Übung 20'!Y$38),'Übung 20'!Y$38,0)</f>
        <v/>
      </c>
    </row>
    <row r="461">
      <c r="C461" s="62">
        <f>IF(ISNUMBER('Übung 01'!Z$38),'Übung 01'!Z$38,0)</f>
        <v/>
      </c>
      <c r="D461" s="62">
        <f>IF(ISNUMBER('Übung 02'!Z$38),'Übung 02'!Z$38,0)</f>
        <v/>
      </c>
      <c r="E461" s="62">
        <f>IF(ISNUMBER('Übung 03'!Z$38),'Übung 03'!Z$38,0)</f>
        <v/>
      </c>
      <c r="F461" s="62">
        <f>IF(ISNUMBER('Übung 04'!Z$38),'Übung 04'!Z$38,0)</f>
        <v/>
      </c>
      <c r="G461" s="62">
        <f>IF(ISNUMBER('Übung 05'!Z$38),'Übung 05'!Z$38,0)</f>
        <v/>
      </c>
      <c r="H461" s="62">
        <f>IF(ISNUMBER('Übung 06'!Z$38),'Übung 06'!Z$38,0)</f>
        <v/>
      </c>
      <c r="I461" s="62">
        <f>IF(ISNUMBER('Übung 07'!Z$38),'Übung 07'!Z$38,0)</f>
        <v/>
      </c>
      <c r="J461" s="62">
        <f>IF(ISNUMBER('Übung 08'!Z$38),'Übung 08'!Z$38,0)</f>
        <v/>
      </c>
      <c r="K461" s="62">
        <f>IF(ISNUMBER('Übung 09'!Z$38),'Übung 09'!Z$38,0)</f>
        <v/>
      </c>
      <c r="L461" s="62">
        <f>IF(ISNUMBER('Übung 10'!Z$38),'Übung 10'!Z$38,0)</f>
        <v/>
      </c>
      <c r="M461" s="62">
        <f>IF(ISNUMBER('Übung 11'!Z$38),'Übung 11'!Z$38,0)</f>
        <v/>
      </c>
      <c r="N461" s="62">
        <f>IF(ISNUMBER('Übung 12'!Z$38),'Übung 12'!Z$38,0)</f>
        <v/>
      </c>
      <c r="O461" s="62">
        <f>IF(ISNUMBER('Übung 13'!Z$38),'Übung 13'!Z$38,0)</f>
        <v/>
      </c>
      <c r="P461" s="62">
        <f>IF(ISNUMBER('Übung 14'!Z$38),'Übung 14'!Z$38,0)</f>
        <v/>
      </c>
      <c r="Q461" s="62">
        <f>IF(ISNUMBER('Übung 15'!Z$38),'Übung 15'!Z$38,0)</f>
        <v/>
      </c>
      <c r="R461" s="62">
        <f>IF(ISNUMBER('Übung 16'!Z$38),'Übung 16'!Z$38,0)</f>
        <v/>
      </c>
      <c r="S461" s="62">
        <f>IF(ISNUMBER('Übung 17'!Z$38),'Übung 17'!Z$38,0)</f>
        <v/>
      </c>
      <c r="T461" s="62">
        <f>IF(ISNUMBER('Übung 18'!Z$38),'Übung 18'!Z$38,0)</f>
        <v/>
      </c>
      <c r="U461" s="62">
        <f>IF(ISNUMBER('Übung 19'!Z$38),'Übung 19'!Z$38,0)</f>
        <v/>
      </c>
      <c r="V461" s="62">
        <f>IF(ISNUMBER('Übung 20'!Z$38),'Übung 20'!Z$38,0)</f>
        <v/>
      </c>
    </row>
    <row r="462">
      <c r="C462" s="62">
        <f>IF(ISNUMBER('Übung 01'!AA$38),'Übung 01'!AA$38,0)</f>
        <v/>
      </c>
      <c r="D462" s="62">
        <f>IF(ISNUMBER('Übung 02'!AA$38),'Übung 02'!AA$38,0)</f>
        <v/>
      </c>
      <c r="E462" s="62">
        <f>IF(ISNUMBER('Übung 03'!AA$38),'Übung 03'!AA$38,0)</f>
        <v/>
      </c>
      <c r="F462" s="62">
        <f>IF(ISNUMBER('Übung 04'!AA$38),'Übung 04'!AA$38,0)</f>
        <v/>
      </c>
      <c r="G462" s="62">
        <f>IF(ISNUMBER('Übung 05'!AA$38),'Übung 05'!AA$38,0)</f>
        <v/>
      </c>
      <c r="H462" s="62">
        <f>IF(ISNUMBER('Übung 06'!AA$38),'Übung 06'!AA$38,0)</f>
        <v/>
      </c>
      <c r="I462" s="62">
        <f>IF(ISNUMBER('Übung 07'!AA$38),'Übung 07'!AA$38,0)</f>
        <v/>
      </c>
      <c r="J462" s="62">
        <f>IF(ISNUMBER('Übung 08'!AA$38),'Übung 08'!AA$38,0)</f>
        <v/>
      </c>
      <c r="K462" s="62">
        <f>IF(ISNUMBER('Übung 09'!AA$38),'Übung 09'!AA$38,0)</f>
        <v/>
      </c>
      <c r="L462" s="62">
        <f>IF(ISNUMBER('Übung 10'!AA$38),'Übung 10'!AA$38,0)</f>
        <v/>
      </c>
      <c r="M462" s="62">
        <f>IF(ISNUMBER('Übung 11'!AA$38),'Übung 11'!AA$38,0)</f>
        <v/>
      </c>
      <c r="N462" s="62">
        <f>IF(ISNUMBER('Übung 12'!AA$38),'Übung 12'!AA$38,0)</f>
        <v/>
      </c>
      <c r="O462" s="62">
        <f>IF(ISNUMBER('Übung 13'!AA$38),'Übung 13'!AA$38,0)</f>
        <v/>
      </c>
      <c r="P462" s="62">
        <f>IF(ISNUMBER('Übung 14'!AA$38),'Übung 14'!AA$38,0)</f>
        <v/>
      </c>
      <c r="Q462" s="62">
        <f>IF(ISNUMBER('Übung 15'!AA$38),'Übung 15'!AA$38,0)</f>
        <v/>
      </c>
      <c r="R462" s="62">
        <f>IF(ISNUMBER('Übung 16'!AA$38),'Übung 16'!AA$38,0)</f>
        <v/>
      </c>
      <c r="S462" s="62">
        <f>IF(ISNUMBER('Übung 17'!AA$38),'Übung 17'!AA$38,0)</f>
        <v/>
      </c>
      <c r="T462" s="62">
        <f>IF(ISNUMBER('Übung 18'!AA$38),'Übung 18'!AA$38,0)</f>
        <v/>
      </c>
      <c r="U462" s="62">
        <f>IF(ISNUMBER('Übung 19'!AA$38),'Übung 19'!AA$38,0)</f>
        <v/>
      </c>
      <c r="V462" s="62">
        <f>IF(ISNUMBER('Übung 20'!AA$38),'Übung 20'!AA$38,0)</f>
        <v/>
      </c>
    </row>
    <row r="463">
      <c r="C463" s="62">
        <f>IF(ISNUMBER('Übung 01'!AB$38),'Übung 01'!AB$38,0)</f>
        <v/>
      </c>
      <c r="D463" s="62">
        <f>IF(ISNUMBER('Übung 02'!AB$38),'Übung 02'!AB$38,0)</f>
        <v/>
      </c>
      <c r="E463" s="62">
        <f>IF(ISNUMBER('Übung 03'!AB$38),'Übung 03'!AB$38,0)</f>
        <v/>
      </c>
      <c r="F463" s="62">
        <f>IF(ISNUMBER('Übung 04'!AB$38),'Übung 04'!AB$38,0)</f>
        <v/>
      </c>
      <c r="G463" s="62">
        <f>IF(ISNUMBER('Übung 05'!AB$38),'Übung 05'!AB$38,0)</f>
        <v/>
      </c>
      <c r="H463" s="62">
        <f>IF(ISNUMBER('Übung 06'!AB$38),'Übung 06'!AB$38,0)</f>
        <v/>
      </c>
      <c r="I463" s="62">
        <f>IF(ISNUMBER('Übung 07'!AB$38),'Übung 07'!AB$38,0)</f>
        <v/>
      </c>
      <c r="J463" s="62">
        <f>IF(ISNUMBER('Übung 08'!AB$38),'Übung 08'!AB$38,0)</f>
        <v/>
      </c>
      <c r="K463" s="62">
        <f>IF(ISNUMBER('Übung 09'!AB$38),'Übung 09'!AB$38,0)</f>
        <v/>
      </c>
      <c r="L463" s="62">
        <f>IF(ISNUMBER('Übung 10'!AB$38),'Übung 10'!AB$38,0)</f>
        <v/>
      </c>
      <c r="M463" s="62">
        <f>IF(ISNUMBER('Übung 11'!AB$38),'Übung 11'!AB$38,0)</f>
        <v/>
      </c>
      <c r="N463" s="62">
        <f>IF(ISNUMBER('Übung 12'!AB$38),'Übung 12'!AB$38,0)</f>
        <v/>
      </c>
      <c r="O463" s="62">
        <f>IF(ISNUMBER('Übung 13'!AB$38),'Übung 13'!AB$38,0)</f>
        <v/>
      </c>
      <c r="P463" s="62">
        <f>IF(ISNUMBER('Übung 14'!AB$38),'Übung 14'!AB$38,0)</f>
        <v/>
      </c>
      <c r="Q463" s="62">
        <f>IF(ISNUMBER('Übung 15'!AB$38),'Übung 15'!AB$38,0)</f>
        <v/>
      </c>
      <c r="R463" s="62">
        <f>IF(ISNUMBER('Übung 16'!AB$38),'Übung 16'!AB$38,0)</f>
        <v/>
      </c>
      <c r="S463" s="62">
        <f>IF(ISNUMBER('Übung 17'!AB$38),'Übung 17'!AB$38,0)</f>
        <v/>
      </c>
      <c r="T463" s="62">
        <f>IF(ISNUMBER('Übung 18'!AB$38),'Übung 18'!AB$38,0)</f>
        <v/>
      </c>
      <c r="U463" s="62">
        <f>IF(ISNUMBER('Übung 19'!AB$38),'Übung 19'!AB$38,0)</f>
        <v/>
      </c>
      <c r="V463" s="62">
        <f>IF(ISNUMBER('Übung 20'!AB$38),'Übung 20'!AB$38,0)</f>
        <v/>
      </c>
    </row>
    <row r="464">
      <c r="C464" s="62">
        <f>IF(ISNUMBER('Übung 01'!AC$38),'Übung 01'!AC$38,0)</f>
        <v/>
      </c>
      <c r="D464" s="62">
        <f>IF(ISNUMBER('Übung 02'!AC$38),'Übung 02'!AC$38,0)</f>
        <v/>
      </c>
      <c r="E464" s="62">
        <f>IF(ISNUMBER('Übung 03'!AC$38),'Übung 03'!AC$38,0)</f>
        <v/>
      </c>
      <c r="F464" s="62">
        <f>IF(ISNUMBER('Übung 04'!AC$38),'Übung 04'!AC$38,0)</f>
        <v/>
      </c>
      <c r="G464" s="62">
        <f>IF(ISNUMBER('Übung 05'!AC$38),'Übung 05'!AC$38,0)</f>
        <v/>
      </c>
      <c r="H464" s="62">
        <f>IF(ISNUMBER('Übung 06'!AC$38),'Übung 06'!AC$38,0)</f>
        <v/>
      </c>
      <c r="I464" s="62">
        <f>IF(ISNUMBER('Übung 07'!AC$38),'Übung 07'!AC$38,0)</f>
        <v/>
      </c>
      <c r="J464" s="62">
        <f>IF(ISNUMBER('Übung 08'!AC$38),'Übung 08'!AC$38,0)</f>
        <v/>
      </c>
      <c r="K464" s="62">
        <f>IF(ISNUMBER('Übung 09'!AC$38),'Übung 09'!AC$38,0)</f>
        <v/>
      </c>
      <c r="L464" s="62">
        <f>IF(ISNUMBER('Übung 10'!AC$38),'Übung 10'!AC$38,0)</f>
        <v/>
      </c>
      <c r="M464" s="62">
        <f>IF(ISNUMBER('Übung 11'!AC$38),'Übung 11'!AC$38,0)</f>
        <v/>
      </c>
      <c r="N464" s="62">
        <f>IF(ISNUMBER('Übung 12'!AC$38),'Übung 12'!AC$38,0)</f>
        <v/>
      </c>
      <c r="O464" s="62">
        <f>IF(ISNUMBER('Übung 13'!AC$38),'Übung 13'!AC$38,0)</f>
        <v/>
      </c>
      <c r="P464" s="62">
        <f>IF(ISNUMBER('Übung 14'!AC$38),'Übung 14'!AC$38,0)</f>
        <v/>
      </c>
      <c r="Q464" s="62">
        <f>IF(ISNUMBER('Übung 15'!AC$38),'Übung 15'!AC$38,0)</f>
        <v/>
      </c>
      <c r="R464" s="62">
        <f>IF(ISNUMBER('Übung 16'!AC$38),'Übung 16'!AC$38,0)</f>
        <v/>
      </c>
      <c r="S464" s="62">
        <f>IF(ISNUMBER('Übung 17'!AC$38),'Übung 17'!AC$38,0)</f>
        <v/>
      </c>
      <c r="T464" s="62">
        <f>IF(ISNUMBER('Übung 18'!AC$38),'Übung 18'!AC$38,0)</f>
        <v/>
      </c>
      <c r="U464" s="62">
        <f>IF(ISNUMBER('Übung 19'!AC$38),'Übung 19'!AC$38,0)</f>
        <v/>
      </c>
      <c r="V464" s="62">
        <f>IF(ISNUMBER('Übung 20'!AC$38),'Übung 20'!AC$38,0)</f>
        <v/>
      </c>
    </row>
    <row r="465">
      <c r="C465" s="62">
        <f>IF(ISNUMBER('Übung 01'!AE$38),'Übung 01'!AE$38,0)</f>
        <v/>
      </c>
      <c r="D465" s="62">
        <f>IF(ISNUMBER('Übung 02'!AE$38),'Übung 02'!AE$38,0)</f>
        <v/>
      </c>
      <c r="E465" s="62">
        <f>IF(ISNUMBER('Übung 03'!AE$38),'Übung 03'!AE$38,0)</f>
        <v/>
      </c>
      <c r="F465" s="62">
        <f>IF(ISNUMBER('Übung 04'!AE$38),'Übung 04'!AE$38,0)</f>
        <v/>
      </c>
      <c r="G465" s="62">
        <f>IF(ISNUMBER('Übung 05'!AE$38),'Übung 05'!AE$38,0)</f>
        <v/>
      </c>
      <c r="H465" s="62">
        <f>IF(ISNUMBER('Übung 06'!AE$38),'Übung 06'!AE$38,0)</f>
        <v/>
      </c>
      <c r="I465" s="62">
        <f>IF(ISNUMBER('Übung 07'!AE$38),'Übung 07'!AE$38,0)</f>
        <v/>
      </c>
      <c r="J465" s="62">
        <f>IF(ISNUMBER('Übung 08'!AE$38),'Übung 08'!AE$38,0)</f>
        <v/>
      </c>
      <c r="K465" s="62">
        <f>IF(ISNUMBER('Übung 09'!AE$38),'Übung 09'!AE$38,0)</f>
        <v/>
      </c>
      <c r="L465" s="62">
        <f>IF(ISNUMBER('Übung 10'!AE$38),'Übung 10'!AE$38,0)</f>
        <v/>
      </c>
      <c r="M465" s="62">
        <f>IF(ISNUMBER('Übung 11'!AE$38),'Übung 11'!AE$38,0)</f>
        <v/>
      </c>
      <c r="N465" s="62">
        <f>IF(ISNUMBER('Übung 12'!AE$38),'Übung 12'!AE$38,0)</f>
        <v/>
      </c>
      <c r="O465" s="62">
        <f>IF(ISNUMBER('Übung 13'!AE$38),'Übung 13'!AE$38,0)</f>
        <v/>
      </c>
      <c r="P465" s="62">
        <f>IF(ISNUMBER('Übung 14'!AE$38),'Übung 14'!AE$38,0)</f>
        <v/>
      </c>
      <c r="Q465" s="62">
        <f>IF(ISNUMBER('Übung 15'!AE$38),'Übung 15'!AE$38,0)</f>
        <v/>
      </c>
      <c r="R465" s="62">
        <f>IF(ISNUMBER('Übung 16'!AE$38),'Übung 16'!AE$38,0)</f>
        <v/>
      </c>
      <c r="S465" s="62">
        <f>IF(ISNUMBER('Übung 17'!AE$38),'Übung 17'!AE$38,0)</f>
        <v/>
      </c>
      <c r="T465" s="62">
        <f>IF(ISNUMBER('Übung 18'!AE$38),'Übung 18'!AE$38,0)</f>
        <v/>
      </c>
      <c r="U465" s="62">
        <f>IF(ISNUMBER('Übung 19'!AE$38),'Übung 19'!AE$38,0)</f>
        <v/>
      </c>
      <c r="V465" s="62">
        <f>IF(ISNUMBER('Übung 20'!AE$38),'Übung 20'!AE$38,0)</f>
        <v/>
      </c>
    </row>
    <row r="466">
      <c r="C466" s="62">
        <f>IF(ISNUMBER('Übung 01'!AF$38),'Übung 01'!AF$38,0)</f>
        <v/>
      </c>
      <c r="D466" s="62">
        <f>IF(ISNUMBER('Übung 02'!AF$38),'Übung 02'!AF$38,0)</f>
        <v/>
      </c>
      <c r="E466" s="62">
        <f>IF(ISNUMBER('Übung 03'!AF$38),'Übung 03'!AF$38,0)</f>
        <v/>
      </c>
      <c r="F466" s="62">
        <f>IF(ISNUMBER('Übung 04'!AF$38),'Übung 04'!AF$38,0)</f>
        <v/>
      </c>
      <c r="G466" s="62">
        <f>IF(ISNUMBER('Übung 05'!AF$38),'Übung 05'!AF$38,0)</f>
        <v/>
      </c>
      <c r="H466" s="62">
        <f>IF(ISNUMBER('Übung 06'!AF$38),'Übung 06'!AF$38,0)</f>
        <v/>
      </c>
      <c r="I466" s="62">
        <f>IF(ISNUMBER('Übung 07'!AF$38),'Übung 07'!AF$38,0)</f>
        <v/>
      </c>
      <c r="J466" s="62">
        <f>IF(ISNUMBER('Übung 08'!AF$38),'Übung 08'!AF$38,0)</f>
        <v/>
      </c>
      <c r="K466" s="62">
        <f>IF(ISNUMBER('Übung 09'!AF$38),'Übung 09'!AF$38,0)</f>
        <v/>
      </c>
      <c r="L466" s="62">
        <f>IF(ISNUMBER('Übung 10'!AF$38),'Übung 10'!AF$38,0)</f>
        <v/>
      </c>
      <c r="M466" s="62">
        <f>IF(ISNUMBER('Übung 11'!AF$38),'Übung 11'!AF$38,0)</f>
        <v/>
      </c>
      <c r="N466" s="62">
        <f>IF(ISNUMBER('Übung 12'!AF$38),'Übung 12'!AF$38,0)</f>
        <v/>
      </c>
      <c r="O466" s="62">
        <f>IF(ISNUMBER('Übung 13'!AF$38),'Übung 13'!AF$38,0)</f>
        <v/>
      </c>
      <c r="P466" s="62">
        <f>IF(ISNUMBER('Übung 14'!AF$38),'Übung 14'!AF$38,0)</f>
        <v/>
      </c>
      <c r="Q466" s="62">
        <f>IF(ISNUMBER('Übung 15'!AF$38),'Übung 15'!AF$38,0)</f>
        <v/>
      </c>
      <c r="R466" s="62">
        <f>IF(ISNUMBER('Übung 16'!AF$38),'Übung 16'!AF$38,0)</f>
        <v/>
      </c>
      <c r="S466" s="62">
        <f>IF(ISNUMBER('Übung 17'!AF$38),'Übung 17'!AF$38,0)</f>
        <v/>
      </c>
      <c r="T466" s="62">
        <f>IF(ISNUMBER('Übung 18'!AF$38),'Übung 18'!AF$38,0)</f>
        <v/>
      </c>
      <c r="U466" s="62">
        <f>IF(ISNUMBER('Übung 19'!AF$38),'Übung 19'!AF$38,0)</f>
        <v/>
      </c>
      <c r="V466" s="62">
        <f>IF(ISNUMBER('Übung 20'!AF$38),'Übung 20'!AF$38,0)</f>
        <v/>
      </c>
    </row>
    <row r="467">
      <c r="C467" s="62">
        <f>IF(ISNUMBER('Übung 01'!AG$38),'Übung 01'!AG$38,0)</f>
        <v/>
      </c>
      <c r="D467" s="62">
        <f>IF(ISNUMBER('Übung 02'!AG$38),'Übung 02'!AG$38,0)</f>
        <v/>
      </c>
      <c r="E467" s="62">
        <f>IF(ISNUMBER('Übung 03'!AG$38),'Übung 03'!AG$38,0)</f>
        <v/>
      </c>
      <c r="F467" s="62">
        <f>IF(ISNUMBER('Übung 04'!AG$38),'Übung 04'!AG$38,0)</f>
        <v/>
      </c>
      <c r="G467" s="62">
        <f>IF(ISNUMBER('Übung 05'!AG$38),'Übung 05'!AG$38,0)</f>
        <v/>
      </c>
      <c r="H467" s="62">
        <f>IF(ISNUMBER('Übung 06'!AG$38),'Übung 06'!AG$38,0)</f>
        <v/>
      </c>
      <c r="I467" s="62">
        <f>IF(ISNUMBER('Übung 07'!AG$38),'Übung 07'!AG$38,0)</f>
        <v/>
      </c>
      <c r="J467" s="62">
        <f>IF(ISNUMBER('Übung 08'!AG$38),'Übung 08'!AG$38,0)</f>
        <v/>
      </c>
      <c r="K467" s="62">
        <f>IF(ISNUMBER('Übung 09'!AG$38),'Übung 09'!AG$38,0)</f>
        <v/>
      </c>
      <c r="L467" s="62">
        <f>IF(ISNUMBER('Übung 10'!AG$38),'Übung 10'!AG$38,0)</f>
        <v/>
      </c>
      <c r="M467" s="62">
        <f>IF(ISNUMBER('Übung 11'!AG$38),'Übung 11'!AG$38,0)</f>
        <v/>
      </c>
      <c r="N467" s="62">
        <f>IF(ISNUMBER('Übung 12'!AG$38),'Übung 12'!AG$38,0)</f>
        <v/>
      </c>
      <c r="O467" s="62">
        <f>IF(ISNUMBER('Übung 13'!AG$38),'Übung 13'!AG$38,0)</f>
        <v/>
      </c>
      <c r="P467" s="62">
        <f>IF(ISNUMBER('Übung 14'!AG$38),'Übung 14'!AG$38,0)</f>
        <v/>
      </c>
      <c r="Q467" s="62">
        <f>IF(ISNUMBER('Übung 15'!AG$38),'Übung 15'!AG$38,0)</f>
        <v/>
      </c>
      <c r="R467" s="62">
        <f>IF(ISNUMBER('Übung 16'!AG$38),'Übung 16'!AG$38,0)</f>
        <v/>
      </c>
      <c r="S467" s="62">
        <f>IF(ISNUMBER('Übung 17'!AG$38),'Übung 17'!AG$38,0)</f>
        <v/>
      </c>
      <c r="T467" s="62">
        <f>IF(ISNUMBER('Übung 18'!AG$38),'Übung 18'!AG$38,0)</f>
        <v/>
      </c>
      <c r="U467" s="62">
        <f>IF(ISNUMBER('Übung 19'!AG$38),'Übung 19'!AG$38,0)</f>
        <v/>
      </c>
      <c r="V467" s="62">
        <f>IF(ISNUMBER('Übung 20'!AG$38),'Übung 20'!AG$38,0)</f>
        <v/>
      </c>
    </row>
    <row r="468">
      <c r="C468" s="62">
        <f>IF(ISNUMBER('Übung 01'!AH$38),'Übung 01'!AH$38,0)</f>
        <v/>
      </c>
      <c r="D468" s="62">
        <f>IF(ISNUMBER('Übung 02'!AH$38),'Übung 02'!AH$38,0)</f>
        <v/>
      </c>
      <c r="E468" s="62">
        <f>IF(ISNUMBER('Übung 03'!AH$38),'Übung 03'!AH$38,0)</f>
        <v/>
      </c>
      <c r="F468" s="62">
        <f>IF(ISNUMBER('Übung 04'!AH$38),'Übung 04'!AH$38,0)</f>
        <v/>
      </c>
      <c r="G468" s="62">
        <f>IF(ISNUMBER('Übung 05'!AH$38),'Übung 05'!AH$38,0)</f>
        <v/>
      </c>
      <c r="H468" s="62">
        <f>IF(ISNUMBER('Übung 06'!AH$38),'Übung 06'!AH$38,0)</f>
        <v/>
      </c>
      <c r="I468" s="62">
        <f>IF(ISNUMBER('Übung 07'!AH$38),'Übung 07'!AH$38,0)</f>
        <v/>
      </c>
      <c r="J468" s="62">
        <f>IF(ISNUMBER('Übung 08'!AH$38),'Übung 08'!AH$38,0)</f>
        <v/>
      </c>
      <c r="K468" s="62">
        <f>IF(ISNUMBER('Übung 09'!AH$38),'Übung 09'!AH$38,0)</f>
        <v/>
      </c>
      <c r="L468" s="62">
        <f>IF(ISNUMBER('Übung 10'!AH$38),'Übung 10'!AH$38,0)</f>
        <v/>
      </c>
      <c r="M468" s="62">
        <f>IF(ISNUMBER('Übung 11'!AH$38),'Übung 11'!AH$38,0)</f>
        <v/>
      </c>
      <c r="N468" s="62">
        <f>IF(ISNUMBER('Übung 12'!AH$38),'Übung 12'!AH$38,0)</f>
        <v/>
      </c>
      <c r="O468" s="62">
        <f>IF(ISNUMBER('Übung 13'!AH$38),'Übung 13'!AH$38,0)</f>
        <v/>
      </c>
      <c r="P468" s="62">
        <f>IF(ISNUMBER('Übung 14'!AH$38),'Übung 14'!AH$38,0)</f>
        <v/>
      </c>
      <c r="Q468" s="62">
        <f>IF(ISNUMBER('Übung 15'!AH$38),'Übung 15'!AH$38,0)</f>
        <v/>
      </c>
      <c r="R468" s="62">
        <f>IF(ISNUMBER('Übung 16'!AH$38),'Übung 16'!AH$38,0)</f>
        <v/>
      </c>
      <c r="S468" s="62">
        <f>IF(ISNUMBER('Übung 17'!AH$38),'Übung 17'!AH$38,0)</f>
        <v/>
      </c>
      <c r="T468" s="62">
        <f>IF(ISNUMBER('Übung 18'!AH$38),'Übung 18'!AH$38,0)</f>
        <v/>
      </c>
      <c r="U468" s="62">
        <f>IF(ISNUMBER('Übung 19'!AH$38),'Übung 19'!AH$38,0)</f>
        <v/>
      </c>
      <c r="V468" s="62">
        <f>IF(ISNUMBER('Übung 20'!AH$38),'Übung 20'!AH$38,0)</f>
        <v/>
      </c>
    </row>
    <row r="469">
      <c r="C469" s="62">
        <f>IF(ISNUMBER('Übung 01'!AI$38),'Übung 01'!AI$38,0)</f>
        <v/>
      </c>
      <c r="D469" s="62">
        <f>IF(ISNUMBER('Übung 02'!AI$38),'Übung 02'!AI$38,0)</f>
        <v/>
      </c>
      <c r="E469" s="62">
        <f>IF(ISNUMBER('Übung 03'!AI$38),'Übung 03'!AI$38,0)</f>
        <v/>
      </c>
      <c r="F469" s="62">
        <f>IF(ISNUMBER('Übung 04'!AI$38),'Übung 04'!AI$38,0)</f>
        <v/>
      </c>
      <c r="G469" s="62">
        <f>IF(ISNUMBER('Übung 05'!AI$38),'Übung 05'!AI$38,0)</f>
        <v/>
      </c>
      <c r="H469" s="62">
        <f>IF(ISNUMBER('Übung 06'!AI$38),'Übung 06'!AI$38,0)</f>
        <v/>
      </c>
      <c r="I469" s="62">
        <f>IF(ISNUMBER('Übung 07'!AI$38),'Übung 07'!AI$38,0)</f>
        <v/>
      </c>
      <c r="J469" s="62">
        <f>IF(ISNUMBER('Übung 08'!AI$38),'Übung 08'!AI$38,0)</f>
        <v/>
      </c>
      <c r="K469" s="62">
        <f>IF(ISNUMBER('Übung 09'!AI$38),'Übung 09'!AI$38,0)</f>
        <v/>
      </c>
      <c r="L469" s="62">
        <f>IF(ISNUMBER('Übung 10'!AI$38),'Übung 10'!AI$38,0)</f>
        <v/>
      </c>
      <c r="M469" s="62">
        <f>IF(ISNUMBER('Übung 11'!AI$38),'Übung 11'!AI$38,0)</f>
        <v/>
      </c>
      <c r="N469" s="62">
        <f>IF(ISNUMBER('Übung 12'!AI$38),'Übung 12'!AI$38,0)</f>
        <v/>
      </c>
      <c r="O469" s="62">
        <f>IF(ISNUMBER('Übung 13'!AI$38),'Übung 13'!AI$38,0)</f>
        <v/>
      </c>
      <c r="P469" s="62">
        <f>IF(ISNUMBER('Übung 14'!AI$38),'Übung 14'!AI$38,0)</f>
        <v/>
      </c>
      <c r="Q469" s="62">
        <f>IF(ISNUMBER('Übung 15'!AI$38),'Übung 15'!AI$38,0)</f>
        <v/>
      </c>
      <c r="R469" s="62">
        <f>IF(ISNUMBER('Übung 16'!AI$38),'Übung 16'!AI$38,0)</f>
        <v/>
      </c>
      <c r="S469" s="62">
        <f>IF(ISNUMBER('Übung 17'!AI$38),'Übung 17'!AI$38,0)</f>
        <v/>
      </c>
      <c r="T469" s="62">
        <f>IF(ISNUMBER('Übung 18'!AI$38),'Übung 18'!AI$38,0)</f>
        <v/>
      </c>
      <c r="U469" s="62">
        <f>IF(ISNUMBER('Übung 19'!AI$38),'Übung 19'!AI$38,0)</f>
        <v/>
      </c>
      <c r="V469" s="62">
        <f>IF(ISNUMBER('Übung 20'!AI$38),'Übung 20'!AI$38,0)</f>
        <v/>
      </c>
    </row>
    <row r="470">
      <c r="C470" s="62">
        <f>IF(ISNUMBER('Übung 01'!AJ$38),'Übung 01'!AJ$38,0)</f>
        <v/>
      </c>
      <c r="D470" s="62">
        <f>IF(ISNUMBER('Übung 02'!AJ$38),'Übung 02'!AJ$38,0)</f>
        <v/>
      </c>
      <c r="E470" s="62">
        <f>IF(ISNUMBER('Übung 03'!AJ$38),'Übung 03'!AJ$38,0)</f>
        <v/>
      </c>
      <c r="F470" s="62">
        <f>IF(ISNUMBER('Übung 04'!AJ$38),'Übung 04'!AJ$38,0)</f>
        <v/>
      </c>
      <c r="G470" s="62">
        <f>IF(ISNUMBER('Übung 05'!AJ$38),'Übung 05'!AJ$38,0)</f>
        <v/>
      </c>
      <c r="H470" s="62">
        <f>IF(ISNUMBER('Übung 06'!AJ$38),'Übung 06'!AJ$38,0)</f>
        <v/>
      </c>
      <c r="I470" s="62">
        <f>IF(ISNUMBER('Übung 07'!AJ$38),'Übung 07'!AJ$38,0)</f>
        <v/>
      </c>
      <c r="J470" s="62">
        <f>IF(ISNUMBER('Übung 08'!AJ$38),'Übung 08'!AJ$38,0)</f>
        <v/>
      </c>
      <c r="K470" s="62">
        <f>IF(ISNUMBER('Übung 09'!AJ$38),'Übung 09'!AJ$38,0)</f>
        <v/>
      </c>
      <c r="L470" s="62">
        <f>IF(ISNUMBER('Übung 10'!AJ$38),'Übung 10'!AJ$38,0)</f>
        <v/>
      </c>
      <c r="M470" s="62">
        <f>IF(ISNUMBER('Übung 11'!AJ$38),'Übung 11'!AJ$38,0)</f>
        <v/>
      </c>
      <c r="N470" s="62">
        <f>IF(ISNUMBER('Übung 12'!AJ$38),'Übung 12'!AJ$38,0)</f>
        <v/>
      </c>
      <c r="O470" s="62">
        <f>IF(ISNUMBER('Übung 13'!AJ$38),'Übung 13'!AJ$38,0)</f>
        <v/>
      </c>
      <c r="P470" s="62">
        <f>IF(ISNUMBER('Übung 14'!AJ$38),'Übung 14'!AJ$38,0)</f>
        <v/>
      </c>
      <c r="Q470" s="62">
        <f>IF(ISNUMBER('Übung 15'!AJ$38),'Übung 15'!AJ$38,0)</f>
        <v/>
      </c>
      <c r="R470" s="62">
        <f>IF(ISNUMBER('Übung 16'!AJ$38),'Übung 16'!AJ$38,0)</f>
        <v/>
      </c>
      <c r="S470" s="62">
        <f>IF(ISNUMBER('Übung 17'!AJ$38),'Übung 17'!AJ$38,0)</f>
        <v/>
      </c>
      <c r="T470" s="62">
        <f>IF(ISNUMBER('Übung 18'!AJ$38),'Übung 18'!AJ$38,0)</f>
        <v/>
      </c>
      <c r="U470" s="62">
        <f>IF(ISNUMBER('Übung 19'!AJ$38),'Übung 19'!AJ$38,0)</f>
        <v/>
      </c>
      <c r="V470" s="62">
        <f>IF(ISNUMBER('Übung 20'!AJ$38),'Übung 20'!AJ$38,0)</f>
        <v/>
      </c>
    </row>
    <row r="471">
      <c r="C471" s="62">
        <f>IF(ISNUMBER('Übung 01'!AK$38),'Übung 01'!AK$38,0)</f>
        <v/>
      </c>
      <c r="D471" s="62">
        <f>IF(ISNUMBER('Übung 02'!AK$38),'Übung 02'!AK$38,0)</f>
        <v/>
      </c>
      <c r="E471" s="62">
        <f>IF(ISNUMBER('Übung 03'!AK$38),'Übung 03'!AK$38,0)</f>
        <v/>
      </c>
      <c r="F471" s="62">
        <f>IF(ISNUMBER('Übung 04'!AK$38),'Übung 04'!AK$38,0)</f>
        <v/>
      </c>
      <c r="G471" s="62">
        <f>IF(ISNUMBER('Übung 05'!AK$38),'Übung 05'!AK$38,0)</f>
        <v/>
      </c>
      <c r="H471" s="62">
        <f>IF(ISNUMBER('Übung 06'!AK$38),'Übung 06'!AK$38,0)</f>
        <v/>
      </c>
      <c r="I471" s="62">
        <f>IF(ISNUMBER('Übung 07'!AK$38),'Übung 07'!AK$38,0)</f>
        <v/>
      </c>
      <c r="J471" s="62">
        <f>IF(ISNUMBER('Übung 08'!AK$38),'Übung 08'!AK$38,0)</f>
        <v/>
      </c>
      <c r="K471" s="62">
        <f>IF(ISNUMBER('Übung 09'!AK$38),'Übung 09'!AK$38,0)</f>
        <v/>
      </c>
      <c r="L471" s="62">
        <f>IF(ISNUMBER('Übung 10'!AK$38),'Übung 10'!AK$38,0)</f>
        <v/>
      </c>
      <c r="M471" s="62">
        <f>IF(ISNUMBER('Übung 11'!AK$38),'Übung 11'!AK$38,0)</f>
        <v/>
      </c>
      <c r="N471" s="62">
        <f>IF(ISNUMBER('Übung 12'!AK$38),'Übung 12'!AK$38,0)</f>
        <v/>
      </c>
      <c r="O471" s="62">
        <f>IF(ISNUMBER('Übung 13'!AK$38),'Übung 13'!AK$38,0)</f>
        <v/>
      </c>
      <c r="P471" s="62">
        <f>IF(ISNUMBER('Übung 14'!AK$38),'Übung 14'!AK$38,0)</f>
        <v/>
      </c>
      <c r="Q471" s="62">
        <f>IF(ISNUMBER('Übung 15'!AK$38),'Übung 15'!AK$38,0)</f>
        <v/>
      </c>
      <c r="R471" s="62">
        <f>IF(ISNUMBER('Übung 16'!AK$38),'Übung 16'!AK$38,0)</f>
        <v/>
      </c>
      <c r="S471" s="62">
        <f>IF(ISNUMBER('Übung 17'!AK$38),'Übung 17'!AK$38,0)</f>
        <v/>
      </c>
      <c r="T471" s="62">
        <f>IF(ISNUMBER('Übung 18'!AK$38),'Übung 18'!AK$38,0)</f>
        <v/>
      </c>
      <c r="U471" s="62">
        <f>IF(ISNUMBER('Übung 19'!AK$38),'Übung 19'!AK$38,0)</f>
        <v/>
      </c>
      <c r="V471" s="62">
        <f>IF(ISNUMBER('Übung 20'!AK$38),'Übung 20'!AK$38,0)</f>
        <v/>
      </c>
    </row>
    <row r="472">
      <c r="C472" s="62">
        <f>IF(ISNUMBER('Übung 01'!AL$38),'Übung 01'!AL$38,0)</f>
        <v/>
      </c>
      <c r="D472" s="62">
        <f>IF(ISNUMBER('Übung 02'!AL$38),'Übung 02'!AL$38,0)</f>
        <v/>
      </c>
      <c r="E472" s="62">
        <f>IF(ISNUMBER('Übung 03'!AL$38),'Übung 03'!AL$38,0)</f>
        <v/>
      </c>
      <c r="F472" s="62">
        <f>IF(ISNUMBER('Übung 04'!AL$38),'Übung 04'!AL$38,0)</f>
        <v/>
      </c>
      <c r="G472" s="62">
        <f>IF(ISNUMBER('Übung 05'!AL$38),'Übung 05'!AL$38,0)</f>
        <v/>
      </c>
      <c r="H472" s="62">
        <f>IF(ISNUMBER('Übung 06'!AL$38),'Übung 06'!AL$38,0)</f>
        <v/>
      </c>
      <c r="I472" s="62">
        <f>IF(ISNUMBER('Übung 07'!AL$38),'Übung 07'!AL$38,0)</f>
        <v/>
      </c>
      <c r="J472" s="62">
        <f>IF(ISNUMBER('Übung 08'!AL$38),'Übung 08'!AL$38,0)</f>
        <v/>
      </c>
      <c r="K472" s="62">
        <f>IF(ISNUMBER('Übung 09'!AL$38),'Übung 09'!AL$38,0)</f>
        <v/>
      </c>
      <c r="L472" s="62">
        <f>IF(ISNUMBER('Übung 10'!AL$38),'Übung 10'!AL$38,0)</f>
        <v/>
      </c>
      <c r="M472" s="62">
        <f>IF(ISNUMBER('Übung 11'!AL$38),'Übung 11'!AL$38,0)</f>
        <v/>
      </c>
      <c r="N472" s="62">
        <f>IF(ISNUMBER('Übung 12'!AL$38),'Übung 12'!AL$38,0)</f>
        <v/>
      </c>
      <c r="O472" s="62">
        <f>IF(ISNUMBER('Übung 13'!AL$38),'Übung 13'!AL$38,0)</f>
        <v/>
      </c>
      <c r="P472" s="62">
        <f>IF(ISNUMBER('Übung 14'!AL$38),'Übung 14'!AL$38,0)</f>
        <v/>
      </c>
      <c r="Q472" s="62">
        <f>IF(ISNUMBER('Übung 15'!AL$38),'Übung 15'!AL$38,0)</f>
        <v/>
      </c>
      <c r="R472" s="62">
        <f>IF(ISNUMBER('Übung 16'!AL$38),'Übung 16'!AL$38,0)</f>
        <v/>
      </c>
      <c r="S472" s="62">
        <f>IF(ISNUMBER('Übung 17'!AL$38),'Übung 17'!AL$38,0)</f>
        <v/>
      </c>
      <c r="T472" s="62">
        <f>IF(ISNUMBER('Übung 18'!AL$38),'Übung 18'!AL$38,0)</f>
        <v/>
      </c>
      <c r="U472" s="62">
        <f>IF(ISNUMBER('Übung 19'!AL$38),'Übung 19'!AL$38,0)</f>
        <v/>
      </c>
      <c r="V472" s="62">
        <f>IF(ISNUMBER('Übung 20'!AL$38),'Übung 20'!AL$38,0)</f>
        <v/>
      </c>
    </row>
    <row r="473">
      <c r="C473" s="62">
        <f>IF(ISNUMBER('Übung 01'!AM$38),'Übung 01'!AM$38,0)</f>
        <v/>
      </c>
      <c r="D473" s="62">
        <f>IF(ISNUMBER('Übung 02'!AM$38),'Übung 02'!AM$38,0)</f>
        <v/>
      </c>
      <c r="E473" s="62">
        <f>IF(ISNUMBER('Übung 03'!AM$38),'Übung 03'!AM$38,0)</f>
        <v/>
      </c>
      <c r="F473" s="62">
        <f>IF(ISNUMBER('Übung 04'!AM$38),'Übung 04'!AM$38,0)</f>
        <v/>
      </c>
      <c r="G473" s="62">
        <f>IF(ISNUMBER('Übung 05'!AM$38),'Übung 05'!AM$38,0)</f>
        <v/>
      </c>
      <c r="H473" s="62">
        <f>IF(ISNUMBER('Übung 06'!AM$38),'Übung 06'!AM$38,0)</f>
        <v/>
      </c>
      <c r="I473" s="62">
        <f>IF(ISNUMBER('Übung 07'!AM$38),'Übung 07'!AM$38,0)</f>
        <v/>
      </c>
      <c r="J473" s="62">
        <f>IF(ISNUMBER('Übung 08'!AM$38),'Übung 08'!AM$38,0)</f>
        <v/>
      </c>
      <c r="K473" s="62">
        <f>IF(ISNUMBER('Übung 09'!AM$38),'Übung 09'!AM$38,0)</f>
        <v/>
      </c>
      <c r="L473" s="62">
        <f>IF(ISNUMBER('Übung 10'!AM$38),'Übung 10'!AM$38,0)</f>
        <v/>
      </c>
      <c r="M473" s="62">
        <f>IF(ISNUMBER('Übung 11'!AM$38),'Übung 11'!AM$38,0)</f>
        <v/>
      </c>
      <c r="N473" s="62">
        <f>IF(ISNUMBER('Übung 12'!AM$38),'Übung 12'!AM$38,0)</f>
        <v/>
      </c>
      <c r="O473" s="62">
        <f>IF(ISNUMBER('Übung 13'!AM$38),'Übung 13'!AM$38,0)</f>
        <v/>
      </c>
      <c r="P473" s="62">
        <f>IF(ISNUMBER('Übung 14'!AM$38),'Übung 14'!AM$38,0)</f>
        <v/>
      </c>
      <c r="Q473" s="62">
        <f>IF(ISNUMBER('Übung 15'!AM$38),'Übung 15'!AM$38,0)</f>
        <v/>
      </c>
      <c r="R473" s="62">
        <f>IF(ISNUMBER('Übung 16'!AM$38),'Übung 16'!AM$38,0)</f>
        <v/>
      </c>
      <c r="S473" s="62">
        <f>IF(ISNUMBER('Übung 17'!AM$38),'Übung 17'!AM$38,0)</f>
        <v/>
      </c>
      <c r="T473" s="62">
        <f>IF(ISNUMBER('Übung 18'!AM$38),'Übung 18'!AM$38,0)</f>
        <v/>
      </c>
      <c r="U473" s="62">
        <f>IF(ISNUMBER('Übung 19'!AM$38),'Übung 19'!AM$38,0)</f>
        <v/>
      </c>
      <c r="V473" s="62">
        <f>IF(ISNUMBER('Übung 20'!AM$38),'Übung 20'!AM$38,0)</f>
        <v/>
      </c>
    </row>
    <row r="474">
      <c r="C474" s="62">
        <f>IF(ISNUMBER('Übung 01'!AN$38),'Übung 01'!AN$38,0)</f>
        <v/>
      </c>
      <c r="D474" s="62">
        <f>IF(ISNUMBER('Übung 02'!AN$38),'Übung 02'!AN$38,0)</f>
        <v/>
      </c>
      <c r="E474" s="62">
        <f>IF(ISNUMBER('Übung 03'!AN$38),'Übung 03'!AN$38,0)</f>
        <v/>
      </c>
      <c r="F474" s="62">
        <f>IF(ISNUMBER('Übung 04'!AN$38),'Übung 04'!AN$38,0)</f>
        <v/>
      </c>
      <c r="G474" s="62">
        <f>IF(ISNUMBER('Übung 05'!AN$38),'Übung 05'!AN$38,0)</f>
        <v/>
      </c>
      <c r="H474" s="62">
        <f>IF(ISNUMBER('Übung 06'!AN$38),'Übung 06'!AN$38,0)</f>
        <v/>
      </c>
      <c r="I474" s="62">
        <f>IF(ISNUMBER('Übung 07'!AN$38),'Übung 07'!AN$38,0)</f>
        <v/>
      </c>
      <c r="J474" s="62">
        <f>IF(ISNUMBER('Übung 08'!AN$38),'Übung 08'!AN$38,0)</f>
        <v/>
      </c>
      <c r="K474" s="62">
        <f>IF(ISNUMBER('Übung 09'!AN$38),'Übung 09'!AN$38,0)</f>
        <v/>
      </c>
      <c r="L474" s="62">
        <f>IF(ISNUMBER('Übung 10'!AN$38),'Übung 10'!AN$38,0)</f>
        <v/>
      </c>
      <c r="M474" s="62">
        <f>IF(ISNUMBER('Übung 11'!AN$38),'Übung 11'!AN$38,0)</f>
        <v/>
      </c>
      <c r="N474" s="62">
        <f>IF(ISNUMBER('Übung 12'!AN$38),'Übung 12'!AN$38,0)</f>
        <v/>
      </c>
      <c r="O474" s="62">
        <f>IF(ISNUMBER('Übung 13'!AN$38),'Übung 13'!AN$38,0)</f>
        <v/>
      </c>
      <c r="P474" s="62">
        <f>IF(ISNUMBER('Übung 14'!AN$38),'Übung 14'!AN$38,0)</f>
        <v/>
      </c>
      <c r="Q474" s="62">
        <f>IF(ISNUMBER('Übung 15'!AN$38),'Übung 15'!AN$38,0)</f>
        <v/>
      </c>
      <c r="R474" s="62">
        <f>IF(ISNUMBER('Übung 16'!AN$38),'Übung 16'!AN$38,0)</f>
        <v/>
      </c>
      <c r="S474" s="62">
        <f>IF(ISNUMBER('Übung 17'!AN$38),'Übung 17'!AN$38,0)</f>
        <v/>
      </c>
      <c r="T474" s="62">
        <f>IF(ISNUMBER('Übung 18'!AN$38),'Übung 18'!AN$38,0)</f>
        <v/>
      </c>
      <c r="U474" s="62">
        <f>IF(ISNUMBER('Übung 19'!AN$38),'Übung 19'!AN$38,0)</f>
        <v/>
      </c>
      <c r="V474" s="62">
        <f>IF(ISNUMBER('Übung 20'!AN$38),'Übung 20'!AN$38,0)</f>
        <v/>
      </c>
    </row>
    <row r="475">
      <c r="C475" s="62">
        <f>IF(ISNUMBER('Übung 01'!AO$38),'Übung 01'!AO$38,0)</f>
        <v/>
      </c>
      <c r="D475" s="62">
        <f>IF(ISNUMBER('Übung 02'!AO$38),'Übung 02'!AO$38,0)</f>
        <v/>
      </c>
      <c r="E475" s="62">
        <f>IF(ISNUMBER('Übung 03'!AO$38),'Übung 03'!AO$38,0)</f>
        <v/>
      </c>
      <c r="F475" s="62">
        <f>IF(ISNUMBER('Übung 04'!AO$38),'Übung 04'!AO$38,0)</f>
        <v/>
      </c>
      <c r="G475" s="62">
        <f>IF(ISNUMBER('Übung 05'!AO$38),'Übung 05'!AO$38,0)</f>
        <v/>
      </c>
      <c r="H475" s="62">
        <f>IF(ISNUMBER('Übung 06'!AO$38),'Übung 06'!AO$38,0)</f>
        <v/>
      </c>
      <c r="I475" s="62">
        <f>IF(ISNUMBER('Übung 07'!AO$38),'Übung 07'!AO$38,0)</f>
        <v/>
      </c>
      <c r="J475" s="62">
        <f>IF(ISNUMBER('Übung 08'!AO$38),'Übung 08'!AO$38,0)</f>
        <v/>
      </c>
      <c r="K475" s="62">
        <f>IF(ISNUMBER('Übung 09'!AO$38),'Übung 09'!AO$38,0)</f>
        <v/>
      </c>
      <c r="L475" s="62">
        <f>IF(ISNUMBER('Übung 10'!AO$38),'Übung 10'!AO$38,0)</f>
        <v/>
      </c>
      <c r="M475" s="62">
        <f>IF(ISNUMBER('Übung 11'!AO$38),'Übung 11'!AO$38,0)</f>
        <v/>
      </c>
      <c r="N475" s="62">
        <f>IF(ISNUMBER('Übung 12'!AO$38),'Übung 12'!AO$38,0)</f>
        <v/>
      </c>
      <c r="O475" s="62">
        <f>IF(ISNUMBER('Übung 13'!AO$38),'Übung 13'!AO$38,0)</f>
        <v/>
      </c>
      <c r="P475" s="62">
        <f>IF(ISNUMBER('Übung 14'!AO$38),'Übung 14'!AO$38,0)</f>
        <v/>
      </c>
      <c r="Q475" s="62">
        <f>IF(ISNUMBER('Übung 15'!AO$38),'Übung 15'!AO$38,0)</f>
        <v/>
      </c>
      <c r="R475" s="62">
        <f>IF(ISNUMBER('Übung 16'!AO$38),'Übung 16'!AO$38,0)</f>
        <v/>
      </c>
      <c r="S475" s="62">
        <f>IF(ISNUMBER('Übung 17'!AO$38),'Übung 17'!AO$38,0)</f>
        <v/>
      </c>
      <c r="T475" s="62">
        <f>IF(ISNUMBER('Übung 18'!AO$38),'Übung 18'!AO$38,0)</f>
        <v/>
      </c>
      <c r="U475" s="62">
        <f>IF(ISNUMBER('Übung 19'!AO$38),'Übung 19'!AO$38,0)</f>
        <v/>
      </c>
      <c r="V475" s="62">
        <f>IF(ISNUMBER('Übung 20'!AO$38),'Übung 20'!AO$38,0)</f>
        <v/>
      </c>
    </row>
    <row r="476">
      <c r="C476" s="62">
        <f>IF(ISNUMBER('Übung 01'!AP$38),'Übung 01'!AP$38,0)</f>
        <v/>
      </c>
      <c r="D476" s="62">
        <f>IF(ISNUMBER('Übung 02'!AP$38),'Übung 02'!AP$38,0)</f>
        <v/>
      </c>
      <c r="E476" s="62">
        <f>IF(ISNUMBER('Übung 03'!AP$38),'Übung 03'!AP$38,0)</f>
        <v/>
      </c>
      <c r="F476" s="62">
        <f>IF(ISNUMBER('Übung 04'!AP$38),'Übung 04'!AP$38,0)</f>
        <v/>
      </c>
      <c r="G476" s="62">
        <f>IF(ISNUMBER('Übung 05'!AP$38),'Übung 05'!AP$38,0)</f>
        <v/>
      </c>
      <c r="H476" s="62">
        <f>IF(ISNUMBER('Übung 06'!AP$38),'Übung 06'!AP$38,0)</f>
        <v/>
      </c>
      <c r="I476" s="62">
        <f>IF(ISNUMBER('Übung 07'!AP$38),'Übung 07'!AP$38,0)</f>
        <v/>
      </c>
      <c r="J476" s="62">
        <f>IF(ISNUMBER('Übung 08'!AP$38),'Übung 08'!AP$38,0)</f>
        <v/>
      </c>
      <c r="K476" s="62">
        <f>IF(ISNUMBER('Übung 09'!AP$38),'Übung 09'!AP$38,0)</f>
        <v/>
      </c>
      <c r="L476" s="62">
        <f>IF(ISNUMBER('Übung 10'!AP$38),'Übung 10'!AP$38,0)</f>
        <v/>
      </c>
      <c r="M476" s="62">
        <f>IF(ISNUMBER('Übung 11'!AP$38),'Übung 11'!AP$38,0)</f>
        <v/>
      </c>
      <c r="N476" s="62">
        <f>IF(ISNUMBER('Übung 12'!AP$38),'Übung 12'!AP$38,0)</f>
        <v/>
      </c>
      <c r="O476" s="62">
        <f>IF(ISNUMBER('Übung 13'!AP$38),'Übung 13'!AP$38,0)</f>
        <v/>
      </c>
      <c r="P476" s="62">
        <f>IF(ISNUMBER('Übung 14'!AP$38),'Übung 14'!AP$38,0)</f>
        <v/>
      </c>
      <c r="Q476" s="62">
        <f>IF(ISNUMBER('Übung 15'!AP$38),'Übung 15'!AP$38,0)</f>
        <v/>
      </c>
      <c r="R476" s="62">
        <f>IF(ISNUMBER('Übung 16'!AP$38),'Übung 16'!AP$38,0)</f>
        <v/>
      </c>
      <c r="S476" s="62">
        <f>IF(ISNUMBER('Übung 17'!AP$38),'Übung 17'!AP$38,0)</f>
        <v/>
      </c>
      <c r="T476" s="62">
        <f>IF(ISNUMBER('Übung 18'!AP$38),'Übung 18'!AP$38,0)</f>
        <v/>
      </c>
      <c r="U476" s="62">
        <f>IF(ISNUMBER('Übung 19'!AP$38),'Übung 19'!AP$38,0)</f>
        <v/>
      </c>
      <c r="V476" s="62">
        <f>IF(ISNUMBER('Übung 20'!AP$38),'Übung 20'!AP$38,0)</f>
        <v/>
      </c>
    </row>
    <row r="477">
      <c r="C477" s="62">
        <f>IF(ISNUMBER('Übung 01'!AQ$38),'Übung 01'!AQ$38,0)</f>
        <v/>
      </c>
      <c r="D477" s="62">
        <f>IF(ISNUMBER('Übung 02'!AQ$38),'Übung 02'!AQ$38,0)</f>
        <v/>
      </c>
      <c r="E477" s="62">
        <f>IF(ISNUMBER('Übung 03'!AQ$38),'Übung 03'!AQ$38,0)</f>
        <v/>
      </c>
      <c r="F477" s="62">
        <f>IF(ISNUMBER('Übung 04'!AQ$38),'Übung 04'!AQ$38,0)</f>
        <v/>
      </c>
      <c r="G477" s="62">
        <f>IF(ISNUMBER('Übung 05'!AQ$38),'Übung 05'!AQ$38,0)</f>
        <v/>
      </c>
      <c r="H477" s="62">
        <f>IF(ISNUMBER('Übung 06'!AQ$38),'Übung 06'!AQ$38,0)</f>
        <v/>
      </c>
      <c r="I477" s="62">
        <f>IF(ISNUMBER('Übung 07'!AQ$38),'Übung 07'!AQ$38,0)</f>
        <v/>
      </c>
      <c r="J477" s="62">
        <f>IF(ISNUMBER('Übung 08'!AQ$38),'Übung 08'!AQ$38,0)</f>
        <v/>
      </c>
      <c r="K477" s="62">
        <f>IF(ISNUMBER('Übung 09'!AQ$38),'Übung 09'!AQ$38,0)</f>
        <v/>
      </c>
      <c r="L477" s="62">
        <f>IF(ISNUMBER('Übung 10'!AQ$38),'Übung 10'!AQ$38,0)</f>
        <v/>
      </c>
      <c r="M477" s="62">
        <f>IF(ISNUMBER('Übung 11'!AQ$38),'Übung 11'!AQ$38,0)</f>
        <v/>
      </c>
      <c r="N477" s="62">
        <f>IF(ISNUMBER('Übung 12'!AQ$38),'Übung 12'!AQ$38,0)</f>
        <v/>
      </c>
      <c r="O477" s="62">
        <f>IF(ISNUMBER('Übung 13'!AQ$38),'Übung 13'!AQ$38,0)</f>
        <v/>
      </c>
      <c r="P477" s="62">
        <f>IF(ISNUMBER('Übung 14'!AQ$38),'Übung 14'!AQ$38,0)</f>
        <v/>
      </c>
      <c r="Q477" s="62">
        <f>IF(ISNUMBER('Übung 15'!AQ$38),'Übung 15'!AQ$38,0)</f>
        <v/>
      </c>
      <c r="R477" s="62">
        <f>IF(ISNUMBER('Übung 16'!AQ$38),'Übung 16'!AQ$38,0)</f>
        <v/>
      </c>
      <c r="S477" s="62">
        <f>IF(ISNUMBER('Übung 17'!AQ$38),'Übung 17'!AQ$38,0)</f>
        <v/>
      </c>
      <c r="T477" s="62">
        <f>IF(ISNUMBER('Übung 18'!AQ$38),'Übung 18'!AQ$38,0)</f>
        <v/>
      </c>
      <c r="U477" s="62">
        <f>IF(ISNUMBER('Übung 19'!AQ$38),'Übung 19'!AQ$38,0)</f>
        <v/>
      </c>
      <c r="V477" s="62">
        <f>IF(ISNUMBER('Übung 20'!AQ$38),'Übung 20'!AQ$38,0)</f>
        <v/>
      </c>
    </row>
    <row r="478">
      <c r="C478" s="62">
        <f>IF(ISNUMBER('Übung 01'!AR$38),'Übung 01'!AR$38,0)</f>
        <v/>
      </c>
      <c r="D478" s="62">
        <f>IF(ISNUMBER('Übung 02'!AR$38),'Übung 02'!AR$38,0)</f>
        <v/>
      </c>
      <c r="E478" s="62">
        <f>IF(ISNUMBER('Übung 03'!AR$38),'Übung 03'!AR$38,0)</f>
        <v/>
      </c>
      <c r="F478" s="62">
        <f>IF(ISNUMBER('Übung 04'!AR$38),'Übung 04'!AR$38,0)</f>
        <v/>
      </c>
      <c r="G478" s="62">
        <f>IF(ISNUMBER('Übung 05'!AR$38),'Übung 05'!AR$38,0)</f>
        <v/>
      </c>
      <c r="H478" s="62">
        <f>IF(ISNUMBER('Übung 06'!AR$38),'Übung 06'!AR$38,0)</f>
        <v/>
      </c>
      <c r="I478" s="62">
        <f>IF(ISNUMBER('Übung 07'!AR$38),'Übung 07'!AR$38,0)</f>
        <v/>
      </c>
      <c r="J478" s="62">
        <f>IF(ISNUMBER('Übung 08'!AR$38),'Übung 08'!AR$38,0)</f>
        <v/>
      </c>
      <c r="K478" s="62">
        <f>IF(ISNUMBER('Übung 09'!AR$38),'Übung 09'!AR$38,0)</f>
        <v/>
      </c>
      <c r="L478" s="62">
        <f>IF(ISNUMBER('Übung 10'!AR$38),'Übung 10'!AR$38,0)</f>
        <v/>
      </c>
      <c r="M478" s="62">
        <f>IF(ISNUMBER('Übung 11'!AR$38),'Übung 11'!AR$38,0)</f>
        <v/>
      </c>
      <c r="N478" s="62">
        <f>IF(ISNUMBER('Übung 12'!AR$38),'Übung 12'!AR$38,0)</f>
        <v/>
      </c>
      <c r="O478" s="62">
        <f>IF(ISNUMBER('Übung 13'!AR$38),'Übung 13'!AR$38,0)</f>
        <v/>
      </c>
      <c r="P478" s="62">
        <f>IF(ISNUMBER('Übung 14'!AR$38),'Übung 14'!AR$38,0)</f>
        <v/>
      </c>
      <c r="Q478" s="62">
        <f>IF(ISNUMBER('Übung 15'!AR$38),'Übung 15'!AR$38,0)</f>
        <v/>
      </c>
      <c r="R478" s="62">
        <f>IF(ISNUMBER('Übung 16'!AR$38),'Übung 16'!AR$38,0)</f>
        <v/>
      </c>
      <c r="S478" s="62">
        <f>IF(ISNUMBER('Übung 17'!AR$38),'Übung 17'!AR$38,0)</f>
        <v/>
      </c>
      <c r="T478" s="62">
        <f>IF(ISNUMBER('Übung 18'!AR$38),'Übung 18'!AR$38,0)</f>
        <v/>
      </c>
      <c r="U478" s="62">
        <f>IF(ISNUMBER('Übung 19'!AR$38),'Übung 19'!AR$38,0)</f>
        <v/>
      </c>
      <c r="V478" s="62">
        <f>IF(ISNUMBER('Übung 20'!AR$38),'Übung 20'!AR$38,0)</f>
        <v/>
      </c>
    </row>
    <row r="479">
      <c r="C479" s="62">
        <f>IF(ISNUMBER('Übung 01'!AS$38),'Übung 01'!AS$38,0)</f>
        <v/>
      </c>
      <c r="D479" s="62">
        <f>IF(ISNUMBER('Übung 02'!AS$38),'Übung 02'!AS$38,0)</f>
        <v/>
      </c>
      <c r="E479" s="62">
        <f>IF(ISNUMBER('Übung 03'!AS$38),'Übung 03'!AS$38,0)</f>
        <v/>
      </c>
      <c r="F479" s="62">
        <f>IF(ISNUMBER('Übung 04'!AS$38),'Übung 04'!AS$38,0)</f>
        <v/>
      </c>
      <c r="G479" s="62">
        <f>IF(ISNUMBER('Übung 05'!AS$38),'Übung 05'!AS$38,0)</f>
        <v/>
      </c>
      <c r="H479" s="62">
        <f>IF(ISNUMBER('Übung 06'!AS$38),'Übung 06'!AS$38,0)</f>
        <v/>
      </c>
      <c r="I479" s="62">
        <f>IF(ISNUMBER('Übung 07'!AS$38),'Übung 07'!AS$38,0)</f>
        <v/>
      </c>
      <c r="J479" s="62">
        <f>IF(ISNUMBER('Übung 08'!AS$38),'Übung 08'!AS$38,0)</f>
        <v/>
      </c>
      <c r="K479" s="62">
        <f>IF(ISNUMBER('Übung 09'!AS$38),'Übung 09'!AS$38,0)</f>
        <v/>
      </c>
      <c r="L479" s="62">
        <f>IF(ISNUMBER('Übung 10'!AS$38),'Übung 10'!AS$38,0)</f>
        <v/>
      </c>
      <c r="M479" s="62">
        <f>IF(ISNUMBER('Übung 11'!AS$38),'Übung 11'!AS$38,0)</f>
        <v/>
      </c>
      <c r="N479" s="62">
        <f>IF(ISNUMBER('Übung 12'!AS$38),'Übung 12'!AS$38,0)</f>
        <v/>
      </c>
      <c r="O479" s="62">
        <f>IF(ISNUMBER('Übung 13'!AS$38),'Übung 13'!AS$38,0)</f>
        <v/>
      </c>
      <c r="P479" s="62">
        <f>IF(ISNUMBER('Übung 14'!AS$38),'Übung 14'!AS$38,0)</f>
        <v/>
      </c>
      <c r="Q479" s="62">
        <f>IF(ISNUMBER('Übung 15'!AS$38),'Übung 15'!AS$38,0)</f>
        <v/>
      </c>
      <c r="R479" s="62">
        <f>IF(ISNUMBER('Übung 16'!AS$38),'Übung 16'!AS$38,0)</f>
        <v/>
      </c>
      <c r="S479" s="62">
        <f>IF(ISNUMBER('Übung 17'!AS$38),'Übung 17'!AS$38,0)</f>
        <v/>
      </c>
      <c r="T479" s="62">
        <f>IF(ISNUMBER('Übung 18'!AS$38),'Übung 18'!AS$38,0)</f>
        <v/>
      </c>
      <c r="U479" s="62">
        <f>IF(ISNUMBER('Übung 19'!AS$38),'Übung 19'!AS$38,0)</f>
        <v/>
      </c>
      <c r="V479" s="62">
        <f>IF(ISNUMBER('Übung 20'!AS$38),'Übung 20'!AS$38,0)</f>
        <v/>
      </c>
    </row>
    <row r="480">
      <c r="C480" s="62">
        <f>IF(ISNUMBER('Übung 01'!AT$38),'Übung 01'!AT$38,0)</f>
        <v/>
      </c>
      <c r="D480" s="62">
        <f>IF(ISNUMBER('Übung 02'!AT$38),'Übung 02'!AT$38,0)</f>
        <v/>
      </c>
      <c r="E480" s="62">
        <f>IF(ISNUMBER('Übung 03'!AT$38),'Übung 03'!AT$38,0)</f>
        <v/>
      </c>
      <c r="F480" s="62">
        <f>IF(ISNUMBER('Übung 04'!AT$38),'Übung 04'!AT$38,0)</f>
        <v/>
      </c>
      <c r="G480" s="62">
        <f>IF(ISNUMBER('Übung 05'!AT$38),'Übung 05'!AT$38,0)</f>
        <v/>
      </c>
      <c r="H480" s="62">
        <f>IF(ISNUMBER('Übung 06'!AT$38),'Übung 06'!AT$38,0)</f>
        <v/>
      </c>
      <c r="I480" s="62">
        <f>IF(ISNUMBER('Übung 07'!AT$38),'Übung 07'!AT$38,0)</f>
        <v/>
      </c>
      <c r="J480" s="62">
        <f>IF(ISNUMBER('Übung 08'!AT$38),'Übung 08'!AT$38,0)</f>
        <v/>
      </c>
      <c r="K480" s="62">
        <f>IF(ISNUMBER('Übung 09'!AT$38),'Übung 09'!AT$38,0)</f>
        <v/>
      </c>
      <c r="L480" s="62">
        <f>IF(ISNUMBER('Übung 10'!AT$38),'Übung 10'!AT$38,0)</f>
        <v/>
      </c>
      <c r="M480" s="62">
        <f>IF(ISNUMBER('Übung 11'!AT$38),'Übung 11'!AT$38,0)</f>
        <v/>
      </c>
      <c r="N480" s="62">
        <f>IF(ISNUMBER('Übung 12'!AT$38),'Übung 12'!AT$38,0)</f>
        <v/>
      </c>
      <c r="O480" s="62">
        <f>IF(ISNUMBER('Übung 13'!AT$38),'Übung 13'!AT$38,0)</f>
        <v/>
      </c>
      <c r="P480" s="62">
        <f>IF(ISNUMBER('Übung 14'!AT$38),'Übung 14'!AT$38,0)</f>
        <v/>
      </c>
      <c r="Q480" s="62">
        <f>IF(ISNUMBER('Übung 15'!AT$38),'Übung 15'!AT$38,0)</f>
        <v/>
      </c>
      <c r="R480" s="62">
        <f>IF(ISNUMBER('Übung 16'!AT$38),'Übung 16'!AT$38,0)</f>
        <v/>
      </c>
      <c r="S480" s="62">
        <f>IF(ISNUMBER('Übung 17'!AT$38),'Übung 17'!AT$38,0)</f>
        <v/>
      </c>
      <c r="T480" s="62">
        <f>IF(ISNUMBER('Übung 18'!AT$38),'Übung 18'!AT$38,0)</f>
        <v/>
      </c>
      <c r="U480" s="62">
        <f>IF(ISNUMBER('Übung 19'!AT$38),'Übung 19'!AT$38,0)</f>
        <v/>
      </c>
      <c r="V480" s="62">
        <f>IF(ISNUMBER('Übung 20'!AT$38),'Übung 20'!AT$38,0)</f>
        <v/>
      </c>
    </row>
    <row r="481">
      <c r="C481" s="62">
        <f>IF(ISNUMBER('Übung 01'!AU$38),'Übung 01'!AU$38,0)</f>
        <v/>
      </c>
      <c r="D481" s="62">
        <f>IF(ISNUMBER('Übung 02'!AU$38),'Übung 02'!AU$38,0)</f>
        <v/>
      </c>
      <c r="E481" s="62">
        <f>IF(ISNUMBER('Übung 03'!AU$38),'Übung 03'!AU$38,0)</f>
        <v/>
      </c>
      <c r="F481" s="62">
        <f>IF(ISNUMBER('Übung 04'!AU$38),'Übung 04'!AU$38,0)</f>
        <v/>
      </c>
      <c r="G481" s="62">
        <f>IF(ISNUMBER('Übung 05'!AU$38),'Übung 05'!AU$38,0)</f>
        <v/>
      </c>
      <c r="H481" s="62">
        <f>IF(ISNUMBER('Übung 06'!AU$38),'Übung 06'!AU$38,0)</f>
        <v/>
      </c>
      <c r="I481" s="62">
        <f>IF(ISNUMBER('Übung 07'!AU$38),'Übung 07'!AU$38,0)</f>
        <v/>
      </c>
      <c r="J481" s="62">
        <f>IF(ISNUMBER('Übung 08'!AU$38),'Übung 08'!AU$38,0)</f>
        <v/>
      </c>
      <c r="K481" s="62">
        <f>IF(ISNUMBER('Übung 09'!AU$38),'Übung 09'!AU$38,0)</f>
        <v/>
      </c>
      <c r="L481" s="62">
        <f>IF(ISNUMBER('Übung 10'!AU$38),'Übung 10'!AU$38,0)</f>
        <v/>
      </c>
      <c r="M481" s="62">
        <f>IF(ISNUMBER('Übung 11'!AU$38),'Übung 11'!AU$38,0)</f>
        <v/>
      </c>
      <c r="N481" s="62">
        <f>IF(ISNUMBER('Übung 12'!AU$38),'Übung 12'!AU$38,0)</f>
        <v/>
      </c>
      <c r="O481" s="62">
        <f>IF(ISNUMBER('Übung 13'!AU$38),'Übung 13'!AU$38,0)</f>
        <v/>
      </c>
      <c r="P481" s="62">
        <f>IF(ISNUMBER('Übung 14'!AU$38),'Übung 14'!AU$38,0)</f>
        <v/>
      </c>
      <c r="Q481" s="62">
        <f>IF(ISNUMBER('Übung 15'!AU$38),'Übung 15'!AU$38,0)</f>
        <v/>
      </c>
      <c r="R481" s="62">
        <f>IF(ISNUMBER('Übung 16'!AU$38),'Übung 16'!AU$38,0)</f>
        <v/>
      </c>
      <c r="S481" s="62">
        <f>IF(ISNUMBER('Übung 17'!AU$38),'Übung 17'!AU$38,0)</f>
        <v/>
      </c>
      <c r="T481" s="62">
        <f>IF(ISNUMBER('Übung 18'!AU$38),'Übung 18'!AU$38,0)</f>
        <v/>
      </c>
      <c r="U481" s="62">
        <f>IF(ISNUMBER('Übung 19'!AU$38),'Übung 19'!AU$38,0)</f>
        <v/>
      </c>
      <c r="V481" s="62">
        <f>IF(ISNUMBER('Übung 20'!AU$38),'Übung 20'!AU$38,0)</f>
        <v/>
      </c>
    </row>
    <row r="482">
      <c r="C482" s="62">
        <f>IF(ISNUMBER('Übung 01'!AV$38),'Übung 01'!AV$38,0)</f>
        <v/>
      </c>
      <c r="D482" s="62">
        <f>IF(ISNUMBER('Übung 02'!AV$38),'Übung 02'!AV$38,0)</f>
        <v/>
      </c>
      <c r="E482" s="62">
        <f>IF(ISNUMBER('Übung 03'!AV$38),'Übung 03'!AV$38,0)</f>
        <v/>
      </c>
      <c r="F482" s="62">
        <f>IF(ISNUMBER('Übung 04'!AV$38),'Übung 04'!AV$38,0)</f>
        <v/>
      </c>
      <c r="G482" s="62">
        <f>IF(ISNUMBER('Übung 05'!AV$38),'Übung 05'!AV$38,0)</f>
        <v/>
      </c>
      <c r="H482" s="62">
        <f>IF(ISNUMBER('Übung 06'!AV$38),'Übung 06'!AV$38,0)</f>
        <v/>
      </c>
      <c r="I482" s="62">
        <f>IF(ISNUMBER('Übung 07'!AV$38),'Übung 07'!AV$38,0)</f>
        <v/>
      </c>
      <c r="J482" s="62">
        <f>IF(ISNUMBER('Übung 08'!AV$38),'Übung 08'!AV$38,0)</f>
        <v/>
      </c>
      <c r="K482" s="62">
        <f>IF(ISNUMBER('Übung 09'!AV$38),'Übung 09'!AV$38,0)</f>
        <v/>
      </c>
      <c r="L482" s="62">
        <f>IF(ISNUMBER('Übung 10'!AV$38),'Übung 10'!AV$38,0)</f>
        <v/>
      </c>
      <c r="M482" s="62">
        <f>IF(ISNUMBER('Übung 11'!AV$38),'Übung 11'!AV$38,0)</f>
        <v/>
      </c>
      <c r="N482" s="62">
        <f>IF(ISNUMBER('Übung 12'!AV$38),'Übung 12'!AV$38,0)</f>
        <v/>
      </c>
      <c r="O482" s="62">
        <f>IF(ISNUMBER('Übung 13'!AV$38),'Übung 13'!AV$38,0)</f>
        <v/>
      </c>
      <c r="P482" s="62">
        <f>IF(ISNUMBER('Übung 14'!AV$38),'Übung 14'!AV$38,0)</f>
        <v/>
      </c>
      <c r="Q482" s="62">
        <f>IF(ISNUMBER('Übung 15'!AV$38),'Übung 15'!AV$38,0)</f>
        <v/>
      </c>
      <c r="R482" s="62">
        <f>IF(ISNUMBER('Übung 16'!AV$38),'Übung 16'!AV$38,0)</f>
        <v/>
      </c>
      <c r="S482" s="62">
        <f>IF(ISNUMBER('Übung 17'!AV$38),'Übung 17'!AV$38,0)</f>
        <v/>
      </c>
      <c r="T482" s="62">
        <f>IF(ISNUMBER('Übung 18'!AV$38),'Übung 18'!AV$38,0)</f>
        <v/>
      </c>
      <c r="U482" s="62">
        <f>IF(ISNUMBER('Übung 19'!AV$38),'Übung 19'!AV$38,0)</f>
        <v/>
      </c>
      <c r="V482" s="62">
        <f>IF(ISNUMBER('Übung 20'!AV$38),'Übung 20'!AV$38,0)</f>
        <v/>
      </c>
    </row>
    <row r="483">
      <c r="C483" s="62">
        <f>IF(ISNUMBER('Übung 01'!AW$38),'Übung 01'!AW$38,0)</f>
        <v/>
      </c>
      <c r="D483" s="62">
        <f>IF(ISNUMBER('Übung 02'!AW$38),'Übung 02'!AW$38,0)</f>
        <v/>
      </c>
      <c r="E483" s="62">
        <f>IF(ISNUMBER('Übung 03'!AW$38),'Übung 03'!AW$38,0)</f>
        <v/>
      </c>
      <c r="F483" s="62">
        <f>IF(ISNUMBER('Übung 04'!AW$38),'Übung 04'!AW$38,0)</f>
        <v/>
      </c>
      <c r="G483" s="62">
        <f>IF(ISNUMBER('Übung 05'!AW$38),'Übung 05'!AW$38,0)</f>
        <v/>
      </c>
      <c r="H483" s="62">
        <f>IF(ISNUMBER('Übung 06'!AW$38),'Übung 06'!AW$38,0)</f>
        <v/>
      </c>
      <c r="I483" s="62">
        <f>IF(ISNUMBER('Übung 07'!AW$38),'Übung 07'!AW$38,0)</f>
        <v/>
      </c>
      <c r="J483" s="62">
        <f>IF(ISNUMBER('Übung 08'!AW$38),'Übung 08'!AW$38,0)</f>
        <v/>
      </c>
      <c r="K483" s="62">
        <f>IF(ISNUMBER('Übung 09'!AW$38),'Übung 09'!AW$38,0)</f>
        <v/>
      </c>
      <c r="L483" s="62">
        <f>IF(ISNUMBER('Übung 10'!AW$38),'Übung 10'!AW$38,0)</f>
        <v/>
      </c>
      <c r="M483" s="62">
        <f>IF(ISNUMBER('Übung 11'!AW$38),'Übung 11'!AW$38,0)</f>
        <v/>
      </c>
      <c r="N483" s="62">
        <f>IF(ISNUMBER('Übung 12'!AW$38),'Übung 12'!AW$38,0)</f>
        <v/>
      </c>
      <c r="O483" s="62">
        <f>IF(ISNUMBER('Übung 13'!AW$38),'Übung 13'!AW$38,0)</f>
        <v/>
      </c>
      <c r="P483" s="62">
        <f>IF(ISNUMBER('Übung 14'!AW$38),'Übung 14'!AW$38,0)</f>
        <v/>
      </c>
      <c r="Q483" s="62">
        <f>IF(ISNUMBER('Übung 15'!AW$38),'Übung 15'!AW$38,0)</f>
        <v/>
      </c>
      <c r="R483" s="62">
        <f>IF(ISNUMBER('Übung 16'!AW$38),'Übung 16'!AW$38,0)</f>
        <v/>
      </c>
      <c r="S483" s="62">
        <f>IF(ISNUMBER('Übung 17'!AW$38),'Übung 17'!AW$38,0)</f>
        <v/>
      </c>
      <c r="T483" s="62">
        <f>IF(ISNUMBER('Übung 18'!AW$38),'Übung 18'!AW$38,0)</f>
        <v/>
      </c>
      <c r="U483" s="62">
        <f>IF(ISNUMBER('Übung 19'!AW$38),'Übung 19'!AW$38,0)</f>
        <v/>
      </c>
      <c r="V483" s="62">
        <f>IF(ISNUMBER('Übung 20'!AW$38),'Übung 20'!AW$38,0)</f>
        <v/>
      </c>
    </row>
    <row r="484">
      <c r="C484" s="62">
        <f>IF(ISNUMBER('Übung 01'!AX$38),'Übung 01'!AX$38,0)</f>
        <v/>
      </c>
      <c r="D484" s="62">
        <f>IF(ISNUMBER('Übung 02'!AX$38),'Übung 02'!AX$38,0)</f>
        <v/>
      </c>
      <c r="E484" s="62">
        <f>IF(ISNUMBER('Übung 03'!AX$38),'Übung 03'!AX$38,0)</f>
        <v/>
      </c>
      <c r="F484" s="62">
        <f>IF(ISNUMBER('Übung 04'!AX$38),'Übung 04'!AX$38,0)</f>
        <v/>
      </c>
      <c r="G484" s="62">
        <f>IF(ISNUMBER('Übung 05'!AX$38),'Übung 05'!AX$38,0)</f>
        <v/>
      </c>
      <c r="H484" s="62">
        <f>IF(ISNUMBER('Übung 06'!AX$38),'Übung 06'!AX$38,0)</f>
        <v/>
      </c>
      <c r="I484" s="62">
        <f>IF(ISNUMBER('Übung 07'!AX$38),'Übung 07'!AX$38,0)</f>
        <v/>
      </c>
      <c r="J484" s="62">
        <f>IF(ISNUMBER('Übung 08'!AX$38),'Übung 08'!AX$38,0)</f>
        <v/>
      </c>
      <c r="K484" s="62">
        <f>IF(ISNUMBER('Übung 09'!AX$38),'Übung 09'!AX$38,0)</f>
        <v/>
      </c>
      <c r="L484" s="62">
        <f>IF(ISNUMBER('Übung 10'!AX$38),'Übung 10'!AX$38,0)</f>
        <v/>
      </c>
      <c r="M484" s="62">
        <f>IF(ISNUMBER('Übung 11'!AX$38),'Übung 11'!AX$38,0)</f>
        <v/>
      </c>
      <c r="N484" s="62">
        <f>IF(ISNUMBER('Übung 12'!AX$38),'Übung 12'!AX$38,0)</f>
        <v/>
      </c>
      <c r="O484" s="62">
        <f>IF(ISNUMBER('Übung 13'!AX$38),'Übung 13'!AX$38,0)</f>
        <v/>
      </c>
      <c r="P484" s="62">
        <f>IF(ISNUMBER('Übung 14'!AX$38),'Übung 14'!AX$38,0)</f>
        <v/>
      </c>
      <c r="Q484" s="62">
        <f>IF(ISNUMBER('Übung 15'!AX$38),'Übung 15'!AX$38,0)</f>
        <v/>
      </c>
      <c r="R484" s="62">
        <f>IF(ISNUMBER('Übung 16'!AX$38),'Übung 16'!AX$38,0)</f>
        <v/>
      </c>
      <c r="S484" s="62">
        <f>IF(ISNUMBER('Übung 17'!AX$38),'Übung 17'!AX$38,0)</f>
        <v/>
      </c>
      <c r="T484" s="62">
        <f>IF(ISNUMBER('Übung 18'!AX$38),'Übung 18'!AX$38,0)</f>
        <v/>
      </c>
      <c r="U484" s="62">
        <f>IF(ISNUMBER('Übung 19'!AX$38),'Übung 19'!AX$38,0)</f>
        <v/>
      </c>
      <c r="V484" s="62">
        <f>IF(ISNUMBER('Übung 20'!AX$38),'Übung 20'!AX$38,0)</f>
        <v/>
      </c>
    </row>
    <row r="485">
      <c r="C485" s="62">
        <f>IF(ISNUMBER('Übung 01'!AY$38),'Übung 01'!AY$38,0)</f>
        <v/>
      </c>
      <c r="D485" s="62">
        <f>IF(ISNUMBER('Übung 02'!AY$38),'Übung 02'!AY$38,0)</f>
        <v/>
      </c>
      <c r="E485" s="62">
        <f>IF(ISNUMBER('Übung 03'!AY$38),'Übung 03'!AY$38,0)</f>
        <v/>
      </c>
      <c r="F485" s="62">
        <f>IF(ISNUMBER('Übung 04'!AY$38),'Übung 04'!AY$38,0)</f>
        <v/>
      </c>
      <c r="G485" s="62">
        <f>IF(ISNUMBER('Übung 05'!AY$38),'Übung 05'!AY$38,0)</f>
        <v/>
      </c>
      <c r="H485" s="62">
        <f>IF(ISNUMBER('Übung 06'!AY$38),'Übung 06'!AY$38,0)</f>
        <v/>
      </c>
      <c r="I485" s="62">
        <f>IF(ISNUMBER('Übung 07'!AY$38),'Übung 07'!AY$38,0)</f>
        <v/>
      </c>
      <c r="J485" s="62">
        <f>IF(ISNUMBER('Übung 08'!AY$38),'Übung 08'!AY$38,0)</f>
        <v/>
      </c>
      <c r="K485" s="62">
        <f>IF(ISNUMBER('Übung 09'!AY$38),'Übung 09'!AY$38,0)</f>
        <v/>
      </c>
      <c r="L485" s="62">
        <f>IF(ISNUMBER('Übung 10'!AY$38),'Übung 10'!AY$38,0)</f>
        <v/>
      </c>
      <c r="M485" s="62">
        <f>IF(ISNUMBER('Übung 11'!AY$38),'Übung 11'!AY$38,0)</f>
        <v/>
      </c>
      <c r="N485" s="62">
        <f>IF(ISNUMBER('Übung 12'!AY$38),'Übung 12'!AY$38,0)</f>
        <v/>
      </c>
      <c r="O485" s="62">
        <f>IF(ISNUMBER('Übung 13'!AY$38),'Übung 13'!AY$38,0)</f>
        <v/>
      </c>
      <c r="P485" s="62">
        <f>IF(ISNUMBER('Übung 14'!AY$38),'Übung 14'!AY$38,0)</f>
        <v/>
      </c>
      <c r="Q485" s="62">
        <f>IF(ISNUMBER('Übung 15'!AY$38),'Übung 15'!AY$38,0)</f>
        <v/>
      </c>
      <c r="R485" s="62">
        <f>IF(ISNUMBER('Übung 16'!AY$38),'Übung 16'!AY$38,0)</f>
        <v/>
      </c>
      <c r="S485" s="62">
        <f>IF(ISNUMBER('Übung 17'!AY$38),'Übung 17'!AY$38,0)</f>
        <v/>
      </c>
      <c r="T485" s="62">
        <f>IF(ISNUMBER('Übung 18'!AY$38),'Übung 18'!AY$38,0)</f>
        <v/>
      </c>
      <c r="U485" s="62">
        <f>IF(ISNUMBER('Übung 19'!AY$38),'Übung 19'!AY$38,0)</f>
        <v/>
      </c>
      <c r="V485" s="62">
        <f>IF(ISNUMBER('Übung 20'!AY$38),'Übung 20'!AY$38,0)</f>
        <v/>
      </c>
    </row>
    <row r="486">
      <c r="C486" s="62">
        <f>IF(ISNUMBER('Übung 01'!AZ$38),'Übung 01'!AZ$38,0)</f>
        <v/>
      </c>
      <c r="D486" s="62">
        <f>IF(ISNUMBER('Übung 02'!AZ$38),'Übung 02'!AZ$38,0)</f>
        <v/>
      </c>
      <c r="E486" s="62">
        <f>IF(ISNUMBER('Übung 03'!AZ$38),'Übung 03'!AZ$38,0)</f>
        <v/>
      </c>
      <c r="F486" s="62">
        <f>IF(ISNUMBER('Übung 04'!AZ$38),'Übung 04'!AZ$38,0)</f>
        <v/>
      </c>
      <c r="G486" s="62">
        <f>IF(ISNUMBER('Übung 05'!AZ$38),'Übung 05'!AZ$38,0)</f>
        <v/>
      </c>
      <c r="H486" s="62">
        <f>IF(ISNUMBER('Übung 06'!AZ$38),'Übung 06'!AZ$38,0)</f>
        <v/>
      </c>
      <c r="I486" s="62">
        <f>IF(ISNUMBER('Übung 07'!AZ$38),'Übung 07'!AZ$38,0)</f>
        <v/>
      </c>
      <c r="J486" s="62">
        <f>IF(ISNUMBER('Übung 08'!AZ$38),'Übung 08'!AZ$38,0)</f>
        <v/>
      </c>
      <c r="K486" s="62">
        <f>IF(ISNUMBER('Übung 09'!AZ$38),'Übung 09'!AZ$38,0)</f>
        <v/>
      </c>
      <c r="L486" s="62">
        <f>IF(ISNUMBER('Übung 10'!AZ$38),'Übung 10'!AZ$38,0)</f>
        <v/>
      </c>
      <c r="M486" s="62">
        <f>IF(ISNUMBER('Übung 11'!AZ$38),'Übung 11'!AZ$38,0)</f>
        <v/>
      </c>
      <c r="N486" s="62">
        <f>IF(ISNUMBER('Übung 12'!AZ$38),'Übung 12'!AZ$38,0)</f>
        <v/>
      </c>
      <c r="O486" s="62">
        <f>IF(ISNUMBER('Übung 13'!AZ$38),'Übung 13'!AZ$38,0)</f>
        <v/>
      </c>
      <c r="P486" s="62">
        <f>IF(ISNUMBER('Übung 14'!AZ$38),'Übung 14'!AZ$38,0)</f>
        <v/>
      </c>
      <c r="Q486" s="62">
        <f>IF(ISNUMBER('Übung 15'!AZ$38),'Übung 15'!AZ$38,0)</f>
        <v/>
      </c>
      <c r="R486" s="62">
        <f>IF(ISNUMBER('Übung 16'!AZ$38),'Übung 16'!AZ$38,0)</f>
        <v/>
      </c>
      <c r="S486" s="62">
        <f>IF(ISNUMBER('Übung 17'!AZ$38),'Übung 17'!AZ$38,0)</f>
        <v/>
      </c>
      <c r="T486" s="62">
        <f>IF(ISNUMBER('Übung 18'!AZ$38),'Übung 18'!AZ$38,0)</f>
        <v/>
      </c>
      <c r="U486" s="62">
        <f>IF(ISNUMBER('Übung 19'!AZ$38),'Übung 19'!AZ$38,0)</f>
        <v/>
      </c>
      <c r="V486" s="62">
        <f>IF(ISNUMBER('Übung 20'!AZ$38),'Übung 20'!AZ$38,0)</f>
        <v/>
      </c>
    </row>
    <row r="487">
      <c r="C487" s="62">
        <f>IF(ISNUMBER('Übung 01'!BA$38),'Übung 01'!BA$38,0)</f>
        <v/>
      </c>
      <c r="D487" s="62">
        <f>IF(ISNUMBER('Übung 02'!BA$38),'Übung 02'!BA$38,0)</f>
        <v/>
      </c>
      <c r="E487" s="62">
        <f>IF(ISNUMBER('Übung 03'!BA$38),'Übung 03'!BA$38,0)</f>
        <v/>
      </c>
      <c r="F487" s="62">
        <f>IF(ISNUMBER('Übung 04'!BA$38),'Übung 04'!BA$38,0)</f>
        <v/>
      </c>
      <c r="G487" s="62">
        <f>IF(ISNUMBER('Übung 05'!BA$38),'Übung 05'!BA$38,0)</f>
        <v/>
      </c>
      <c r="H487" s="62">
        <f>IF(ISNUMBER('Übung 06'!BA$38),'Übung 06'!BA$38,0)</f>
        <v/>
      </c>
      <c r="I487" s="62">
        <f>IF(ISNUMBER('Übung 07'!BA$38),'Übung 07'!BA$38,0)</f>
        <v/>
      </c>
      <c r="J487" s="62">
        <f>IF(ISNUMBER('Übung 08'!BA$38),'Übung 08'!BA$38,0)</f>
        <v/>
      </c>
      <c r="K487" s="62">
        <f>IF(ISNUMBER('Übung 09'!BA$38),'Übung 09'!BA$38,0)</f>
        <v/>
      </c>
      <c r="L487" s="62">
        <f>IF(ISNUMBER('Übung 10'!BA$38),'Übung 10'!BA$38,0)</f>
        <v/>
      </c>
      <c r="M487" s="62">
        <f>IF(ISNUMBER('Übung 11'!BA$38),'Übung 11'!BA$38,0)</f>
        <v/>
      </c>
      <c r="N487" s="62">
        <f>IF(ISNUMBER('Übung 12'!BA$38),'Übung 12'!BA$38,0)</f>
        <v/>
      </c>
      <c r="O487" s="62">
        <f>IF(ISNUMBER('Übung 13'!BA$38),'Übung 13'!BA$38,0)</f>
        <v/>
      </c>
      <c r="P487" s="62">
        <f>IF(ISNUMBER('Übung 14'!BA$38),'Übung 14'!BA$38,0)</f>
        <v/>
      </c>
      <c r="Q487" s="62">
        <f>IF(ISNUMBER('Übung 15'!BA$38),'Übung 15'!BA$38,0)</f>
        <v/>
      </c>
      <c r="R487" s="62">
        <f>IF(ISNUMBER('Übung 16'!BA$38),'Übung 16'!BA$38,0)</f>
        <v/>
      </c>
      <c r="S487" s="62">
        <f>IF(ISNUMBER('Übung 17'!BA$38),'Übung 17'!BA$38,0)</f>
        <v/>
      </c>
      <c r="T487" s="62">
        <f>IF(ISNUMBER('Übung 18'!BA$38),'Übung 18'!BA$38,0)</f>
        <v/>
      </c>
      <c r="U487" s="62">
        <f>IF(ISNUMBER('Übung 19'!BA$38),'Übung 19'!BA$38,0)</f>
        <v/>
      </c>
      <c r="V487" s="62">
        <f>IF(ISNUMBER('Übung 20'!BA$38),'Übung 20'!BA$38,0)</f>
        <v/>
      </c>
    </row>
    <row r="488">
      <c r="C488" s="62">
        <f>IF(ISNUMBER('Übung 01'!BB$38),'Übung 01'!BB$38,0)</f>
        <v/>
      </c>
      <c r="D488" s="62">
        <f>IF(ISNUMBER('Übung 02'!BB$38),'Übung 02'!BB$38,0)</f>
        <v/>
      </c>
      <c r="E488" s="62">
        <f>IF(ISNUMBER('Übung 03'!BB$38),'Übung 03'!BB$38,0)</f>
        <v/>
      </c>
      <c r="F488" s="62">
        <f>IF(ISNUMBER('Übung 04'!BB$38),'Übung 04'!BB$38,0)</f>
        <v/>
      </c>
      <c r="G488" s="62">
        <f>IF(ISNUMBER('Übung 05'!BB$38),'Übung 05'!BB$38,0)</f>
        <v/>
      </c>
      <c r="H488" s="62">
        <f>IF(ISNUMBER('Übung 06'!BB$38),'Übung 06'!BB$38,0)</f>
        <v/>
      </c>
      <c r="I488" s="62">
        <f>IF(ISNUMBER('Übung 07'!BB$38),'Übung 07'!BB$38,0)</f>
        <v/>
      </c>
      <c r="J488" s="62">
        <f>IF(ISNUMBER('Übung 08'!BB$38),'Übung 08'!BB$38,0)</f>
        <v/>
      </c>
      <c r="K488" s="62">
        <f>IF(ISNUMBER('Übung 09'!BB$38),'Übung 09'!BB$38,0)</f>
        <v/>
      </c>
      <c r="L488" s="62">
        <f>IF(ISNUMBER('Übung 10'!BB$38),'Übung 10'!BB$38,0)</f>
        <v/>
      </c>
      <c r="M488" s="62">
        <f>IF(ISNUMBER('Übung 11'!BB$38),'Übung 11'!BB$38,0)</f>
        <v/>
      </c>
      <c r="N488" s="62">
        <f>IF(ISNUMBER('Übung 12'!BB$38),'Übung 12'!BB$38,0)</f>
        <v/>
      </c>
      <c r="O488" s="62">
        <f>IF(ISNUMBER('Übung 13'!BB$38),'Übung 13'!BB$38,0)</f>
        <v/>
      </c>
      <c r="P488" s="62">
        <f>IF(ISNUMBER('Übung 14'!BB$38),'Übung 14'!BB$38,0)</f>
        <v/>
      </c>
      <c r="Q488" s="62">
        <f>IF(ISNUMBER('Übung 15'!BB$38),'Übung 15'!BB$38,0)</f>
        <v/>
      </c>
      <c r="R488" s="62">
        <f>IF(ISNUMBER('Übung 16'!BB$38),'Übung 16'!BB$38,0)</f>
        <v/>
      </c>
      <c r="S488" s="62">
        <f>IF(ISNUMBER('Übung 17'!BB$38),'Übung 17'!BB$38,0)</f>
        <v/>
      </c>
      <c r="T488" s="62">
        <f>IF(ISNUMBER('Übung 18'!BB$38),'Übung 18'!BB$38,0)</f>
        <v/>
      </c>
      <c r="U488" s="62">
        <f>IF(ISNUMBER('Übung 19'!BB$38),'Übung 19'!BB$38,0)</f>
        <v/>
      </c>
      <c r="V488" s="62">
        <f>IF(ISNUMBER('Übung 20'!BB$38),'Übung 20'!BB$38,0)</f>
        <v/>
      </c>
    </row>
    <row r="489">
      <c r="C489" s="62">
        <f>IF(ISNUMBER('Übung 01'!BC$38),'Übung 01'!BC$38,0)</f>
        <v/>
      </c>
      <c r="D489" s="62">
        <f>IF(ISNUMBER('Übung 02'!BC$38),'Übung 02'!BC$38,0)</f>
        <v/>
      </c>
      <c r="E489" s="62">
        <f>IF(ISNUMBER('Übung 03'!BC$38),'Übung 03'!BC$38,0)</f>
        <v/>
      </c>
      <c r="F489" s="62">
        <f>IF(ISNUMBER('Übung 04'!BC$38),'Übung 04'!BC$38,0)</f>
        <v/>
      </c>
      <c r="G489" s="62">
        <f>IF(ISNUMBER('Übung 05'!BC$38),'Übung 05'!BC$38,0)</f>
        <v/>
      </c>
      <c r="H489" s="62">
        <f>IF(ISNUMBER('Übung 06'!BC$38),'Übung 06'!BC$38,0)</f>
        <v/>
      </c>
      <c r="I489" s="62">
        <f>IF(ISNUMBER('Übung 07'!BC$38),'Übung 07'!BC$38,0)</f>
        <v/>
      </c>
      <c r="J489" s="62">
        <f>IF(ISNUMBER('Übung 08'!BC$38),'Übung 08'!BC$38,0)</f>
        <v/>
      </c>
      <c r="K489" s="62">
        <f>IF(ISNUMBER('Übung 09'!BC$38),'Übung 09'!BC$38,0)</f>
        <v/>
      </c>
      <c r="L489" s="62">
        <f>IF(ISNUMBER('Übung 10'!BC$38),'Übung 10'!BC$38,0)</f>
        <v/>
      </c>
      <c r="M489" s="62">
        <f>IF(ISNUMBER('Übung 11'!BC$38),'Übung 11'!BC$38,0)</f>
        <v/>
      </c>
      <c r="N489" s="62">
        <f>IF(ISNUMBER('Übung 12'!BC$38),'Übung 12'!BC$38,0)</f>
        <v/>
      </c>
      <c r="O489" s="62">
        <f>IF(ISNUMBER('Übung 13'!BC$38),'Übung 13'!BC$38,0)</f>
        <v/>
      </c>
      <c r="P489" s="62">
        <f>IF(ISNUMBER('Übung 14'!BC$38),'Übung 14'!BC$38,0)</f>
        <v/>
      </c>
      <c r="Q489" s="62">
        <f>IF(ISNUMBER('Übung 15'!BC$38),'Übung 15'!BC$38,0)</f>
        <v/>
      </c>
      <c r="R489" s="62">
        <f>IF(ISNUMBER('Übung 16'!BC$38),'Übung 16'!BC$38,0)</f>
        <v/>
      </c>
      <c r="S489" s="62">
        <f>IF(ISNUMBER('Übung 17'!BC$38),'Übung 17'!BC$38,0)</f>
        <v/>
      </c>
      <c r="T489" s="62">
        <f>IF(ISNUMBER('Übung 18'!BC$38),'Übung 18'!BC$38,0)</f>
        <v/>
      </c>
      <c r="U489" s="62">
        <f>IF(ISNUMBER('Übung 19'!BC$38),'Übung 19'!BC$38,0)</f>
        <v/>
      </c>
      <c r="V489" s="62">
        <f>IF(ISNUMBER('Übung 20'!BC$38),'Übung 20'!BC$38,0)</f>
        <v/>
      </c>
    </row>
    <row r="490">
      <c r="C490" s="62">
        <f>IF(ISNUMBER('Übung 01'!BE$38),'Übung 01'!BE$38,0)</f>
        <v/>
      </c>
      <c r="D490" s="62">
        <f>IF(ISNUMBER('Übung 02'!BE$38),'Übung 02'!BE$38,0)</f>
        <v/>
      </c>
      <c r="E490" s="62">
        <f>IF(ISNUMBER('Übung 03'!BE$38),'Übung 03'!BE$38,0)</f>
        <v/>
      </c>
      <c r="F490" s="62">
        <f>IF(ISNUMBER('Übung 04'!BE$38),'Übung 04'!BE$38,0)</f>
        <v/>
      </c>
      <c r="G490" s="62">
        <f>IF(ISNUMBER('Übung 05'!BE$38),'Übung 05'!BE$38,0)</f>
        <v/>
      </c>
      <c r="H490" s="62">
        <f>IF(ISNUMBER('Übung 06'!BE$38),'Übung 06'!BE$38,0)</f>
        <v/>
      </c>
      <c r="I490" s="62">
        <f>IF(ISNUMBER('Übung 07'!BE$38),'Übung 07'!BE$38,0)</f>
        <v/>
      </c>
      <c r="J490" s="62">
        <f>IF(ISNUMBER('Übung 08'!BE$38),'Übung 08'!BE$38,0)</f>
        <v/>
      </c>
      <c r="K490" s="62">
        <f>IF(ISNUMBER('Übung 09'!BE$38),'Übung 09'!BE$38,0)</f>
        <v/>
      </c>
      <c r="L490" s="62">
        <f>IF(ISNUMBER('Übung 10'!BE$38),'Übung 10'!BE$38,0)</f>
        <v/>
      </c>
      <c r="M490" s="62">
        <f>IF(ISNUMBER('Übung 11'!BE$38),'Übung 11'!BE$38,0)</f>
        <v/>
      </c>
      <c r="N490" s="62">
        <f>IF(ISNUMBER('Übung 12'!BE$38),'Übung 12'!BE$38,0)</f>
        <v/>
      </c>
      <c r="O490" s="62">
        <f>IF(ISNUMBER('Übung 13'!BE$38),'Übung 13'!BE$38,0)</f>
        <v/>
      </c>
      <c r="P490" s="62">
        <f>IF(ISNUMBER('Übung 14'!BE$38),'Übung 14'!BE$38,0)</f>
        <v/>
      </c>
      <c r="Q490" s="62">
        <f>IF(ISNUMBER('Übung 15'!BE$38),'Übung 15'!BE$38,0)</f>
        <v/>
      </c>
      <c r="R490" s="62">
        <f>IF(ISNUMBER('Übung 16'!BE$38),'Übung 16'!BE$38,0)</f>
        <v/>
      </c>
      <c r="S490" s="62">
        <f>IF(ISNUMBER('Übung 17'!BE$38),'Übung 17'!BE$38,0)</f>
        <v/>
      </c>
      <c r="T490" s="62">
        <f>IF(ISNUMBER('Übung 18'!BE$38),'Übung 18'!BE$38,0)</f>
        <v/>
      </c>
      <c r="U490" s="62">
        <f>IF(ISNUMBER('Übung 19'!BE$38),'Übung 19'!BE$38,0)</f>
        <v/>
      </c>
      <c r="V490" s="62">
        <f>IF(ISNUMBER('Übung 20'!BE$38),'Übung 20'!BE$38,0)</f>
        <v/>
      </c>
    </row>
    <row r="491">
      <c r="C491" s="62">
        <f>IF(ISNUMBER('Übung 01'!BF$38),'Übung 01'!BF$38,0)</f>
        <v/>
      </c>
      <c r="D491" s="62">
        <f>IF(ISNUMBER('Übung 02'!BF$38),'Übung 02'!BF$38,0)</f>
        <v/>
      </c>
      <c r="E491" s="62">
        <f>IF(ISNUMBER('Übung 03'!BF$38),'Übung 03'!BF$38,0)</f>
        <v/>
      </c>
      <c r="F491" s="62">
        <f>IF(ISNUMBER('Übung 04'!BF$38),'Übung 04'!BF$38,0)</f>
        <v/>
      </c>
      <c r="G491" s="62">
        <f>IF(ISNUMBER('Übung 05'!BF$38),'Übung 05'!BF$38,0)</f>
        <v/>
      </c>
      <c r="H491" s="62">
        <f>IF(ISNUMBER('Übung 06'!BF$38),'Übung 06'!BF$38,0)</f>
        <v/>
      </c>
      <c r="I491" s="62">
        <f>IF(ISNUMBER('Übung 07'!BF$38),'Übung 07'!BF$38,0)</f>
        <v/>
      </c>
      <c r="J491" s="62">
        <f>IF(ISNUMBER('Übung 08'!BF$38),'Übung 08'!BF$38,0)</f>
        <v/>
      </c>
      <c r="K491" s="62">
        <f>IF(ISNUMBER('Übung 09'!BF$38),'Übung 09'!BF$38,0)</f>
        <v/>
      </c>
      <c r="L491" s="62">
        <f>IF(ISNUMBER('Übung 10'!BF$38),'Übung 10'!BF$38,0)</f>
        <v/>
      </c>
      <c r="M491" s="62">
        <f>IF(ISNUMBER('Übung 11'!BF$38),'Übung 11'!BF$38,0)</f>
        <v/>
      </c>
      <c r="N491" s="62">
        <f>IF(ISNUMBER('Übung 12'!BF$38),'Übung 12'!BF$38,0)</f>
        <v/>
      </c>
      <c r="O491" s="62">
        <f>IF(ISNUMBER('Übung 13'!BF$38),'Übung 13'!BF$38,0)</f>
        <v/>
      </c>
      <c r="P491" s="62">
        <f>IF(ISNUMBER('Übung 14'!BF$38),'Übung 14'!BF$38,0)</f>
        <v/>
      </c>
      <c r="Q491" s="62">
        <f>IF(ISNUMBER('Übung 15'!BF$38),'Übung 15'!BF$38,0)</f>
        <v/>
      </c>
      <c r="R491" s="62">
        <f>IF(ISNUMBER('Übung 16'!BF$38),'Übung 16'!BF$38,0)</f>
        <v/>
      </c>
      <c r="S491" s="62">
        <f>IF(ISNUMBER('Übung 17'!BF$38),'Übung 17'!BF$38,0)</f>
        <v/>
      </c>
      <c r="T491" s="62">
        <f>IF(ISNUMBER('Übung 18'!BF$38),'Übung 18'!BF$38,0)</f>
        <v/>
      </c>
      <c r="U491" s="62">
        <f>IF(ISNUMBER('Übung 19'!BF$38),'Übung 19'!BF$38,0)</f>
        <v/>
      </c>
      <c r="V491" s="62">
        <f>IF(ISNUMBER('Übung 20'!BF$38),'Übung 20'!BF$38,0)</f>
        <v/>
      </c>
    </row>
    <row r="492">
      <c r="C492" s="62">
        <f>IF(ISNUMBER('Übung 01'!BG$38),'Übung 01'!BG$38,0)</f>
        <v/>
      </c>
      <c r="D492" s="62">
        <f>IF(ISNUMBER('Übung 02'!BG$38),'Übung 02'!BG$38,0)</f>
        <v/>
      </c>
      <c r="E492" s="62">
        <f>IF(ISNUMBER('Übung 03'!BG$38),'Übung 03'!BG$38,0)</f>
        <v/>
      </c>
      <c r="F492" s="62">
        <f>IF(ISNUMBER('Übung 04'!BG$38),'Übung 04'!BG$38,0)</f>
        <v/>
      </c>
      <c r="G492" s="62">
        <f>IF(ISNUMBER('Übung 05'!BG$38),'Übung 05'!BG$38,0)</f>
        <v/>
      </c>
      <c r="H492" s="62">
        <f>IF(ISNUMBER('Übung 06'!BG$38),'Übung 06'!BG$38,0)</f>
        <v/>
      </c>
      <c r="I492" s="62">
        <f>IF(ISNUMBER('Übung 07'!BG$38),'Übung 07'!BG$38,0)</f>
        <v/>
      </c>
      <c r="J492" s="62">
        <f>IF(ISNUMBER('Übung 08'!BG$38),'Übung 08'!BG$38,0)</f>
        <v/>
      </c>
      <c r="K492" s="62">
        <f>IF(ISNUMBER('Übung 09'!BG$38),'Übung 09'!BG$38,0)</f>
        <v/>
      </c>
      <c r="L492" s="62">
        <f>IF(ISNUMBER('Übung 10'!BG$38),'Übung 10'!BG$38,0)</f>
        <v/>
      </c>
      <c r="M492" s="62">
        <f>IF(ISNUMBER('Übung 11'!BG$38),'Übung 11'!BG$38,0)</f>
        <v/>
      </c>
      <c r="N492" s="62">
        <f>IF(ISNUMBER('Übung 12'!BG$38),'Übung 12'!BG$38,0)</f>
        <v/>
      </c>
      <c r="O492" s="62">
        <f>IF(ISNUMBER('Übung 13'!BG$38),'Übung 13'!BG$38,0)</f>
        <v/>
      </c>
      <c r="P492" s="62">
        <f>IF(ISNUMBER('Übung 14'!BG$38),'Übung 14'!BG$38,0)</f>
        <v/>
      </c>
      <c r="Q492" s="62">
        <f>IF(ISNUMBER('Übung 15'!BG$38),'Übung 15'!BG$38,0)</f>
        <v/>
      </c>
      <c r="R492" s="62">
        <f>IF(ISNUMBER('Übung 16'!BG$38),'Übung 16'!BG$38,0)</f>
        <v/>
      </c>
      <c r="S492" s="62">
        <f>IF(ISNUMBER('Übung 17'!BG$38),'Übung 17'!BG$38,0)</f>
        <v/>
      </c>
      <c r="T492" s="62">
        <f>IF(ISNUMBER('Übung 18'!BG$38),'Übung 18'!BG$38,0)</f>
        <v/>
      </c>
      <c r="U492" s="62">
        <f>IF(ISNUMBER('Übung 19'!BG$38),'Übung 19'!BG$38,0)</f>
        <v/>
      </c>
      <c r="V492" s="62">
        <f>IF(ISNUMBER('Übung 20'!BG$38),'Übung 20'!BG$38,0)</f>
        <v/>
      </c>
    </row>
    <row r="493">
      <c r="C493" s="62">
        <f>IF(ISNUMBER('Übung 01'!BH$38),'Übung 01'!BH$38,0)</f>
        <v/>
      </c>
      <c r="D493" s="62">
        <f>IF(ISNUMBER('Übung 02'!BH$38),'Übung 02'!BH$38,0)</f>
        <v/>
      </c>
      <c r="E493" s="62">
        <f>IF(ISNUMBER('Übung 03'!BH$38),'Übung 03'!BH$38,0)</f>
        <v/>
      </c>
      <c r="F493" s="62">
        <f>IF(ISNUMBER('Übung 04'!BH$38),'Übung 04'!BH$38,0)</f>
        <v/>
      </c>
      <c r="G493" s="62">
        <f>IF(ISNUMBER('Übung 05'!BH$38),'Übung 05'!BH$38,0)</f>
        <v/>
      </c>
      <c r="H493" s="62">
        <f>IF(ISNUMBER('Übung 06'!BH$38),'Übung 06'!BH$38,0)</f>
        <v/>
      </c>
      <c r="I493" s="62">
        <f>IF(ISNUMBER('Übung 07'!BH$38),'Übung 07'!BH$38,0)</f>
        <v/>
      </c>
      <c r="J493" s="62">
        <f>IF(ISNUMBER('Übung 08'!BH$38),'Übung 08'!BH$38,0)</f>
        <v/>
      </c>
      <c r="K493" s="62">
        <f>IF(ISNUMBER('Übung 09'!BH$38),'Übung 09'!BH$38,0)</f>
        <v/>
      </c>
      <c r="L493" s="62">
        <f>IF(ISNUMBER('Übung 10'!BH$38),'Übung 10'!BH$38,0)</f>
        <v/>
      </c>
      <c r="M493" s="62">
        <f>IF(ISNUMBER('Übung 11'!BH$38),'Übung 11'!BH$38,0)</f>
        <v/>
      </c>
      <c r="N493" s="62">
        <f>IF(ISNUMBER('Übung 12'!BH$38),'Übung 12'!BH$38,0)</f>
        <v/>
      </c>
      <c r="O493" s="62">
        <f>IF(ISNUMBER('Übung 13'!BH$38),'Übung 13'!BH$38,0)</f>
        <v/>
      </c>
      <c r="P493" s="62">
        <f>IF(ISNUMBER('Übung 14'!BH$38),'Übung 14'!BH$38,0)</f>
        <v/>
      </c>
      <c r="Q493" s="62">
        <f>IF(ISNUMBER('Übung 15'!BH$38),'Übung 15'!BH$38,0)</f>
        <v/>
      </c>
      <c r="R493" s="62">
        <f>IF(ISNUMBER('Übung 16'!BH$38),'Übung 16'!BH$38,0)</f>
        <v/>
      </c>
      <c r="S493" s="62">
        <f>IF(ISNUMBER('Übung 17'!BH$38),'Übung 17'!BH$38,0)</f>
        <v/>
      </c>
      <c r="T493" s="62">
        <f>IF(ISNUMBER('Übung 18'!BH$38),'Übung 18'!BH$38,0)</f>
        <v/>
      </c>
      <c r="U493" s="62">
        <f>IF(ISNUMBER('Übung 19'!BH$38),'Übung 19'!BH$38,0)</f>
        <v/>
      </c>
      <c r="V493" s="62">
        <f>IF(ISNUMBER('Übung 20'!BH$38),'Übung 20'!BH$38,0)</f>
        <v/>
      </c>
    </row>
    <row r="494">
      <c r="C494" s="62">
        <f>IF(ISNUMBER('Übung 01'!BI$38),'Übung 01'!BI$38,0)</f>
        <v/>
      </c>
      <c r="D494" s="62">
        <f>IF(ISNUMBER('Übung 02'!BI$38),'Übung 02'!BI$38,0)</f>
        <v/>
      </c>
      <c r="E494" s="62">
        <f>IF(ISNUMBER('Übung 03'!BI$38),'Übung 03'!BI$38,0)</f>
        <v/>
      </c>
      <c r="F494" s="62">
        <f>IF(ISNUMBER('Übung 04'!BI$38),'Übung 04'!BI$38,0)</f>
        <v/>
      </c>
      <c r="G494" s="62">
        <f>IF(ISNUMBER('Übung 05'!BI$38),'Übung 05'!BI$38,0)</f>
        <v/>
      </c>
      <c r="H494" s="62">
        <f>IF(ISNUMBER('Übung 06'!BI$38),'Übung 06'!BI$38,0)</f>
        <v/>
      </c>
      <c r="I494" s="62">
        <f>IF(ISNUMBER('Übung 07'!BI$38),'Übung 07'!BI$38,0)</f>
        <v/>
      </c>
      <c r="J494" s="62">
        <f>IF(ISNUMBER('Übung 08'!BI$38),'Übung 08'!BI$38,0)</f>
        <v/>
      </c>
      <c r="K494" s="62">
        <f>IF(ISNUMBER('Übung 09'!BI$38),'Übung 09'!BI$38,0)</f>
        <v/>
      </c>
      <c r="L494" s="62">
        <f>IF(ISNUMBER('Übung 10'!BI$38),'Übung 10'!BI$38,0)</f>
        <v/>
      </c>
      <c r="M494" s="62">
        <f>IF(ISNUMBER('Übung 11'!BI$38),'Übung 11'!BI$38,0)</f>
        <v/>
      </c>
      <c r="N494" s="62">
        <f>IF(ISNUMBER('Übung 12'!BI$38),'Übung 12'!BI$38,0)</f>
        <v/>
      </c>
      <c r="O494" s="62">
        <f>IF(ISNUMBER('Übung 13'!BI$38),'Übung 13'!BI$38,0)</f>
        <v/>
      </c>
      <c r="P494" s="62">
        <f>IF(ISNUMBER('Übung 14'!BI$38),'Übung 14'!BI$38,0)</f>
        <v/>
      </c>
      <c r="Q494" s="62">
        <f>IF(ISNUMBER('Übung 15'!BI$38),'Übung 15'!BI$38,0)</f>
        <v/>
      </c>
      <c r="R494" s="62">
        <f>IF(ISNUMBER('Übung 16'!BI$38),'Übung 16'!BI$38,0)</f>
        <v/>
      </c>
      <c r="S494" s="62">
        <f>IF(ISNUMBER('Übung 17'!BI$38),'Übung 17'!BI$38,0)</f>
        <v/>
      </c>
      <c r="T494" s="62">
        <f>IF(ISNUMBER('Übung 18'!BI$38),'Übung 18'!BI$38,0)</f>
        <v/>
      </c>
      <c r="U494" s="62">
        <f>IF(ISNUMBER('Übung 19'!BI$38),'Übung 19'!BI$38,0)</f>
        <v/>
      </c>
      <c r="V494" s="62">
        <f>IF(ISNUMBER('Übung 20'!BI$38),'Übung 20'!BI$38,0)</f>
        <v/>
      </c>
    </row>
    <row r="495">
      <c r="C495" s="62">
        <f>IF(ISNUMBER('Übung 01'!BJ$38),'Übung 01'!BJ$38,0)</f>
        <v/>
      </c>
      <c r="D495" s="62">
        <f>IF(ISNUMBER('Übung 02'!BJ$38),'Übung 02'!BJ$38,0)</f>
        <v/>
      </c>
      <c r="E495" s="62">
        <f>IF(ISNUMBER('Übung 03'!BJ$38),'Übung 03'!BJ$38,0)</f>
        <v/>
      </c>
      <c r="F495" s="62">
        <f>IF(ISNUMBER('Übung 04'!BJ$38),'Übung 04'!BJ$38,0)</f>
        <v/>
      </c>
      <c r="G495" s="62">
        <f>IF(ISNUMBER('Übung 05'!BJ$38),'Übung 05'!BJ$38,0)</f>
        <v/>
      </c>
      <c r="H495" s="62">
        <f>IF(ISNUMBER('Übung 06'!BJ$38),'Übung 06'!BJ$38,0)</f>
        <v/>
      </c>
      <c r="I495" s="62">
        <f>IF(ISNUMBER('Übung 07'!BJ$38),'Übung 07'!BJ$38,0)</f>
        <v/>
      </c>
      <c r="J495" s="62">
        <f>IF(ISNUMBER('Übung 08'!BJ$38),'Übung 08'!BJ$38,0)</f>
        <v/>
      </c>
      <c r="K495" s="62">
        <f>IF(ISNUMBER('Übung 09'!BJ$38),'Übung 09'!BJ$38,0)</f>
        <v/>
      </c>
      <c r="L495" s="62">
        <f>IF(ISNUMBER('Übung 10'!BJ$38),'Übung 10'!BJ$38,0)</f>
        <v/>
      </c>
      <c r="M495" s="62">
        <f>IF(ISNUMBER('Übung 11'!BJ$38),'Übung 11'!BJ$38,0)</f>
        <v/>
      </c>
      <c r="N495" s="62">
        <f>IF(ISNUMBER('Übung 12'!BJ$38),'Übung 12'!BJ$38,0)</f>
        <v/>
      </c>
      <c r="O495" s="62">
        <f>IF(ISNUMBER('Übung 13'!BJ$38),'Übung 13'!BJ$38,0)</f>
        <v/>
      </c>
      <c r="P495" s="62">
        <f>IF(ISNUMBER('Übung 14'!BJ$38),'Übung 14'!BJ$38,0)</f>
        <v/>
      </c>
      <c r="Q495" s="62">
        <f>IF(ISNUMBER('Übung 15'!BJ$38),'Übung 15'!BJ$38,0)</f>
        <v/>
      </c>
      <c r="R495" s="62">
        <f>IF(ISNUMBER('Übung 16'!BJ$38),'Übung 16'!BJ$38,0)</f>
        <v/>
      </c>
      <c r="S495" s="62">
        <f>IF(ISNUMBER('Übung 17'!BJ$38),'Übung 17'!BJ$38,0)</f>
        <v/>
      </c>
      <c r="T495" s="62">
        <f>IF(ISNUMBER('Übung 18'!BJ$38),'Übung 18'!BJ$38,0)</f>
        <v/>
      </c>
      <c r="U495" s="62">
        <f>IF(ISNUMBER('Übung 19'!BJ$38),'Übung 19'!BJ$38,0)</f>
        <v/>
      </c>
      <c r="V495" s="62">
        <f>IF(ISNUMBER('Übung 20'!BJ$38),'Übung 20'!BJ$38,0)</f>
        <v/>
      </c>
    </row>
    <row r="496">
      <c r="C496" s="62">
        <f>IF(ISNUMBER('Übung 01'!BK$38),'Übung 01'!BK$38,0)</f>
        <v/>
      </c>
      <c r="D496" s="62">
        <f>IF(ISNUMBER('Übung 02'!BK$38),'Übung 02'!BK$38,0)</f>
        <v/>
      </c>
      <c r="E496" s="62">
        <f>IF(ISNUMBER('Übung 03'!BK$38),'Übung 03'!BK$38,0)</f>
        <v/>
      </c>
      <c r="F496" s="62">
        <f>IF(ISNUMBER('Übung 04'!BK$38),'Übung 04'!BK$38,0)</f>
        <v/>
      </c>
      <c r="G496" s="62">
        <f>IF(ISNUMBER('Übung 05'!BK$38),'Übung 05'!BK$38,0)</f>
        <v/>
      </c>
      <c r="H496" s="62">
        <f>IF(ISNUMBER('Übung 06'!BK$38),'Übung 06'!BK$38,0)</f>
        <v/>
      </c>
      <c r="I496" s="62">
        <f>IF(ISNUMBER('Übung 07'!BK$38),'Übung 07'!BK$38,0)</f>
        <v/>
      </c>
      <c r="J496" s="62">
        <f>IF(ISNUMBER('Übung 08'!BK$38),'Übung 08'!BK$38,0)</f>
        <v/>
      </c>
      <c r="K496" s="62">
        <f>IF(ISNUMBER('Übung 09'!BK$38),'Übung 09'!BK$38,0)</f>
        <v/>
      </c>
      <c r="L496" s="62">
        <f>IF(ISNUMBER('Übung 10'!BK$38),'Übung 10'!BK$38,0)</f>
        <v/>
      </c>
      <c r="M496" s="62">
        <f>IF(ISNUMBER('Übung 11'!BK$38),'Übung 11'!BK$38,0)</f>
        <v/>
      </c>
      <c r="N496" s="62">
        <f>IF(ISNUMBER('Übung 12'!BK$38),'Übung 12'!BK$38,0)</f>
        <v/>
      </c>
      <c r="O496" s="62">
        <f>IF(ISNUMBER('Übung 13'!BK$38),'Übung 13'!BK$38,0)</f>
        <v/>
      </c>
      <c r="P496" s="62">
        <f>IF(ISNUMBER('Übung 14'!BK$38),'Übung 14'!BK$38,0)</f>
        <v/>
      </c>
      <c r="Q496" s="62">
        <f>IF(ISNUMBER('Übung 15'!BK$38),'Übung 15'!BK$38,0)</f>
        <v/>
      </c>
      <c r="R496" s="62">
        <f>IF(ISNUMBER('Übung 16'!BK$38),'Übung 16'!BK$38,0)</f>
        <v/>
      </c>
      <c r="S496" s="62">
        <f>IF(ISNUMBER('Übung 17'!BK$38),'Übung 17'!BK$38,0)</f>
        <v/>
      </c>
      <c r="T496" s="62">
        <f>IF(ISNUMBER('Übung 18'!BK$38),'Übung 18'!BK$38,0)</f>
        <v/>
      </c>
      <c r="U496" s="62">
        <f>IF(ISNUMBER('Übung 19'!BK$38),'Übung 19'!BK$38,0)</f>
        <v/>
      </c>
      <c r="V496" s="62">
        <f>IF(ISNUMBER('Übung 20'!BK$38),'Übung 20'!BK$38,0)</f>
        <v/>
      </c>
    </row>
    <row r="497">
      <c r="C497" s="62">
        <f>IF(ISNUMBER('Übung 01'!BL$38),'Übung 01'!BL$38,0)</f>
        <v/>
      </c>
      <c r="D497" s="62">
        <f>IF(ISNUMBER('Übung 02'!BL$38),'Übung 02'!BL$38,0)</f>
        <v/>
      </c>
      <c r="E497" s="62">
        <f>IF(ISNUMBER('Übung 03'!BL$38),'Übung 03'!BL$38,0)</f>
        <v/>
      </c>
      <c r="F497" s="62">
        <f>IF(ISNUMBER('Übung 04'!BL$38),'Übung 04'!BL$38,0)</f>
        <v/>
      </c>
      <c r="G497" s="62">
        <f>IF(ISNUMBER('Übung 05'!BL$38),'Übung 05'!BL$38,0)</f>
        <v/>
      </c>
      <c r="H497" s="62">
        <f>IF(ISNUMBER('Übung 06'!BL$38),'Übung 06'!BL$38,0)</f>
        <v/>
      </c>
      <c r="I497" s="62">
        <f>IF(ISNUMBER('Übung 07'!BL$38),'Übung 07'!BL$38,0)</f>
        <v/>
      </c>
      <c r="J497" s="62">
        <f>IF(ISNUMBER('Übung 08'!BL$38),'Übung 08'!BL$38,0)</f>
        <v/>
      </c>
      <c r="K497" s="62">
        <f>IF(ISNUMBER('Übung 09'!BL$38),'Übung 09'!BL$38,0)</f>
        <v/>
      </c>
      <c r="L497" s="62">
        <f>IF(ISNUMBER('Übung 10'!BL$38),'Übung 10'!BL$38,0)</f>
        <v/>
      </c>
      <c r="M497" s="62">
        <f>IF(ISNUMBER('Übung 11'!BL$38),'Übung 11'!BL$38,0)</f>
        <v/>
      </c>
      <c r="N497" s="62">
        <f>IF(ISNUMBER('Übung 12'!BL$38),'Übung 12'!BL$38,0)</f>
        <v/>
      </c>
      <c r="O497" s="62">
        <f>IF(ISNUMBER('Übung 13'!BL$38),'Übung 13'!BL$38,0)</f>
        <v/>
      </c>
      <c r="P497" s="62">
        <f>IF(ISNUMBER('Übung 14'!BL$38),'Übung 14'!BL$38,0)</f>
        <v/>
      </c>
      <c r="Q497" s="62">
        <f>IF(ISNUMBER('Übung 15'!BL$38),'Übung 15'!BL$38,0)</f>
        <v/>
      </c>
      <c r="R497" s="62">
        <f>IF(ISNUMBER('Übung 16'!BL$38),'Übung 16'!BL$38,0)</f>
        <v/>
      </c>
      <c r="S497" s="62">
        <f>IF(ISNUMBER('Übung 17'!BL$38),'Übung 17'!BL$38,0)</f>
        <v/>
      </c>
      <c r="T497" s="62">
        <f>IF(ISNUMBER('Übung 18'!BL$38),'Übung 18'!BL$38,0)</f>
        <v/>
      </c>
      <c r="U497" s="62">
        <f>IF(ISNUMBER('Übung 19'!BL$38),'Übung 19'!BL$38,0)</f>
        <v/>
      </c>
      <c r="V497" s="62">
        <f>IF(ISNUMBER('Übung 20'!BL$38),'Übung 20'!BL$38,0)</f>
        <v/>
      </c>
    </row>
    <row r="498">
      <c r="C498" s="62">
        <f>IF(ISNUMBER('Übung 01'!BM$38),'Übung 01'!BM$38,0)</f>
        <v/>
      </c>
      <c r="D498" s="62">
        <f>IF(ISNUMBER('Übung 02'!BM$38),'Übung 02'!BM$38,0)</f>
        <v/>
      </c>
      <c r="E498" s="62">
        <f>IF(ISNUMBER('Übung 03'!BM$38),'Übung 03'!BM$38,0)</f>
        <v/>
      </c>
      <c r="F498" s="62">
        <f>IF(ISNUMBER('Übung 04'!BM$38),'Übung 04'!BM$38,0)</f>
        <v/>
      </c>
      <c r="G498" s="62">
        <f>IF(ISNUMBER('Übung 05'!BM$38),'Übung 05'!BM$38,0)</f>
        <v/>
      </c>
      <c r="H498" s="62">
        <f>IF(ISNUMBER('Übung 06'!BM$38),'Übung 06'!BM$38,0)</f>
        <v/>
      </c>
      <c r="I498" s="62">
        <f>IF(ISNUMBER('Übung 07'!BM$38),'Übung 07'!BM$38,0)</f>
        <v/>
      </c>
      <c r="J498" s="62">
        <f>IF(ISNUMBER('Übung 08'!BM$38),'Übung 08'!BM$38,0)</f>
        <v/>
      </c>
      <c r="K498" s="62">
        <f>IF(ISNUMBER('Übung 09'!BM$38),'Übung 09'!BM$38,0)</f>
        <v/>
      </c>
      <c r="L498" s="62">
        <f>IF(ISNUMBER('Übung 10'!BM$38),'Übung 10'!BM$38,0)</f>
        <v/>
      </c>
      <c r="M498" s="62">
        <f>IF(ISNUMBER('Übung 11'!BM$38),'Übung 11'!BM$38,0)</f>
        <v/>
      </c>
      <c r="N498" s="62">
        <f>IF(ISNUMBER('Übung 12'!BM$38),'Übung 12'!BM$38,0)</f>
        <v/>
      </c>
      <c r="O498" s="62">
        <f>IF(ISNUMBER('Übung 13'!BM$38),'Übung 13'!BM$38,0)</f>
        <v/>
      </c>
      <c r="P498" s="62">
        <f>IF(ISNUMBER('Übung 14'!BM$38),'Übung 14'!BM$38,0)</f>
        <v/>
      </c>
      <c r="Q498" s="62">
        <f>IF(ISNUMBER('Übung 15'!BM$38),'Übung 15'!BM$38,0)</f>
        <v/>
      </c>
      <c r="R498" s="62">
        <f>IF(ISNUMBER('Übung 16'!BM$38),'Übung 16'!BM$38,0)</f>
        <v/>
      </c>
      <c r="S498" s="62">
        <f>IF(ISNUMBER('Übung 17'!BM$38),'Übung 17'!BM$38,0)</f>
        <v/>
      </c>
      <c r="T498" s="62">
        <f>IF(ISNUMBER('Übung 18'!BM$38),'Übung 18'!BM$38,0)</f>
        <v/>
      </c>
      <c r="U498" s="62">
        <f>IF(ISNUMBER('Übung 19'!BM$38),'Übung 19'!BM$38,0)</f>
        <v/>
      </c>
      <c r="V498" s="62">
        <f>IF(ISNUMBER('Übung 20'!BM$38),'Übung 20'!BM$38,0)</f>
        <v/>
      </c>
    </row>
    <row r="499">
      <c r="C499" s="62">
        <f>IF(ISNUMBER('Übung 01'!BN$38),'Übung 01'!BN$38,0)</f>
        <v/>
      </c>
      <c r="D499" s="62">
        <f>IF(ISNUMBER('Übung 02'!BN$38),'Übung 02'!BN$38,0)</f>
        <v/>
      </c>
      <c r="E499" s="62">
        <f>IF(ISNUMBER('Übung 03'!BN$38),'Übung 03'!BN$38,0)</f>
        <v/>
      </c>
      <c r="F499" s="62">
        <f>IF(ISNUMBER('Übung 04'!BN$38),'Übung 04'!BN$38,0)</f>
        <v/>
      </c>
      <c r="G499" s="62">
        <f>IF(ISNUMBER('Übung 05'!BN$38),'Übung 05'!BN$38,0)</f>
        <v/>
      </c>
      <c r="H499" s="62">
        <f>IF(ISNUMBER('Übung 06'!BN$38),'Übung 06'!BN$38,0)</f>
        <v/>
      </c>
      <c r="I499" s="62">
        <f>IF(ISNUMBER('Übung 07'!BN$38),'Übung 07'!BN$38,0)</f>
        <v/>
      </c>
      <c r="J499" s="62">
        <f>IF(ISNUMBER('Übung 08'!BN$38),'Übung 08'!BN$38,0)</f>
        <v/>
      </c>
      <c r="K499" s="62">
        <f>IF(ISNUMBER('Übung 09'!BN$38),'Übung 09'!BN$38,0)</f>
        <v/>
      </c>
      <c r="L499" s="62">
        <f>IF(ISNUMBER('Übung 10'!BN$38),'Übung 10'!BN$38,0)</f>
        <v/>
      </c>
      <c r="M499" s="62">
        <f>IF(ISNUMBER('Übung 11'!BN$38),'Übung 11'!BN$38,0)</f>
        <v/>
      </c>
      <c r="N499" s="62">
        <f>IF(ISNUMBER('Übung 12'!BN$38),'Übung 12'!BN$38,0)</f>
        <v/>
      </c>
      <c r="O499" s="62">
        <f>IF(ISNUMBER('Übung 13'!BN$38),'Übung 13'!BN$38,0)</f>
        <v/>
      </c>
      <c r="P499" s="62">
        <f>IF(ISNUMBER('Übung 14'!BN$38),'Übung 14'!BN$38,0)</f>
        <v/>
      </c>
      <c r="Q499" s="62">
        <f>IF(ISNUMBER('Übung 15'!BN$38),'Übung 15'!BN$38,0)</f>
        <v/>
      </c>
      <c r="R499" s="62">
        <f>IF(ISNUMBER('Übung 16'!BN$38),'Übung 16'!BN$38,0)</f>
        <v/>
      </c>
      <c r="S499" s="62">
        <f>IF(ISNUMBER('Übung 17'!BN$38),'Übung 17'!BN$38,0)</f>
        <v/>
      </c>
      <c r="T499" s="62">
        <f>IF(ISNUMBER('Übung 18'!BN$38),'Übung 18'!BN$38,0)</f>
        <v/>
      </c>
      <c r="U499" s="62">
        <f>IF(ISNUMBER('Übung 19'!BN$38),'Übung 19'!BN$38,0)</f>
        <v/>
      </c>
      <c r="V499" s="62">
        <f>IF(ISNUMBER('Übung 20'!BN$38),'Übung 20'!BN$38,0)</f>
        <v/>
      </c>
    </row>
    <row r="500">
      <c r="C500" s="62">
        <f>IF(ISNUMBER('Übung 01'!BO$38),'Übung 01'!BO$38,0)</f>
        <v/>
      </c>
      <c r="D500" s="62">
        <f>IF(ISNUMBER('Übung 02'!BO$38),'Übung 02'!BO$38,0)</f>
        <v/>
      </c>
      <c r="E500" s="62">
        <f>IF(ISNUMBER('Übung 03'!BO$38),'Übung 03'!BO$38,0)</f>
        <v/>
      </c>
      <c r="F500" s="62">
        <f>IF(ISNUMBER('Übung 04'!BO$38),'Übung 04'!BO$38,0)</f>
        <v/>
      </c>
      <c r="G500" s="62">
        <f>IF(ISNUMBER('Übung 05'!BO$38),'Übung 05'!BO$38,0)</f>
        <v/>
      </c>
      <c r="H500" s="62">
        <f>IF(ISNUMBER('Übung 06'!BO$38),'Übung 06'!BO$38,0)</f>
        <v/>
      </c>
      <c r="I500" s="62">
        <f>IF(ISNUMBER('Übung 07'!BO$38),'Übung 07'!BO$38,0)</f>
        <v/>
      </c>
      <c r="J500" s="62">
        <f>IF(ISNUMBER('Übung 08'!BO$38),'Übung 08'!BO$38,0)</f>
        <v/>
      </c>
      <c r="K500" s="62">
        <f>IF(ISNUMBER('Übung 09'!BO$38),'Übung 09'!BO$38,0)</f>
        <v/>
      </c>
      <c r="L500" s="62">
        <f>IF(ISNUMBER('Übung 10'!BO$38),'Übung 10'!BO$38,0)</f>
        <v/>
      </c>
      <c r="M500" s="62">
        <f>IF(ISNUMBER('Übung 11'!BO$38),'Übung 11'!BO$38,0)</f>
        <v/>
      </c>
      <c r="N500" s="62">
        <f>IF(ISNUMBER('Übung 12'!BO$38),'Übung 12'!BO$38,0)</f>
        <v/>
      </c>
      <c r="O500" s="62">
        <f>IF(ISNUMBER('Übung 13'!BO$38),'Übung 13'!BO$38,0)</f>
        <v/>
      </c>
      <c r="P500" s="62">
        <f>IF(ISNUMBER('Übung 14'!BO$38),'Übung 14'!BO$38,0)</f>
        <v/>
      </c>
      <c r="Q500" s="62">
        <f>IF(ISNUMBER('Übung 15'!BO$38),'Übung 15'!BO$38,0)</f>
        <v/>
      </c>
      <c r="R500" s="62">
        <f>IF(ISNUMBER('Übung 16'!BO$38),'Übung 16'!BO$38,0)</f>
        <v/>
      </c>
      <c r="S500" s="62">
        <f>IF(ISNUMBER('Übung 17'!BO$38),'Übung 17'!BO$38,0)</f>
        <v/>
      </c>
      <c r="T500" s="62">
        <f>IF(ISNUMBER('Übung 18'!BO$38),'Übung 18'!BO$38,0)</f>
        <v/>
      </c>
      <c r="U500" s="62">
        <f>IF(ISNUMBER('Übung 19'!BO$38),'Übung 19'!BO$38,0)</f>
        <v/>
      </c>
      <c r="V500" s="62">
        <f>IF(ISNUMBER('Übung 20'!BO$38),'Übung 20'!BO$38,0)</f>
        <v/>
      </c>
    </row>
    <row r="501">
      <c r="C501" s="62">
        <f>IF(ISNUMBER('Übung 01'!BP$38),'Übung 01'!BP$38,0)</f>
        <v/>
      </c>
      <c r="D501" s="62">
        <f>IF(ISNUMBER('Übung 02'!BP$38),'Übung 02'!BP$38,0)</f>
        <v/>
      </c>
      <c r="E501" s="62">
        <f>IF(ISNUMBER('Übung 03'!BP$38),'Übung 03'!BP$38,0)</f>
        <v/>
      </c>
      <c r="F501" s="62">
        <f>IF(ISNUMBER('Übung 04'!BP$38),'Übung 04'!BP$38,0)</f>
        <v/>
      </c>
      <c r="G501" s="62">
        <f>IF(ISNUMBER('Übung 05'!BP$38),'Übung 05'!BP$38,0)</f>
        <v/>
      </c>
      <c r="H501" s="62">
        <f>IF(ISNUMBER('Übung 06'!BP$38),'Übung 06'!BP$38,0)</f>
        <v/>
      </c>
      <c r="I501" s="62">
        <f>IF(ISNUMBER('Übung 07'!BP$38),'Übung 07'!BP$38,0)</f>
        <v/>
      </c>
      <c r="J501" s="62">
        <f>IF(ISNUMBER('Übung 08'!BP$38),'Übung 08'!BP$38,0)</f>
        <v/>
      </c>
      <c r="K501" s="62">
        <f>IF(ISNUMBER('Übung 09'!BP$38),'Übung 09'!BP$38,0)</f>
        <v/>
      </c>
      <c r="L501" s="62">
        <f>IF(ISNUMBER('Übung 10'!BP$38),'Übung 10'!BP$38,0)</f>
        <v/>
      </c>
      <c r="M501" s="62">
        <f>IF(ISNUMBER('Übung 11'!BP$38),'Übung 11'!BP$38,0)</f>
        <v/>
      </c>
      <c r="N501" s="62">
        <f>IF(ISNUMBER('Übung 12'!BP$38),'Übung 12'!BP$38,0)</f>
        <v/>
      </c>
      <c r="O501" s="62">
        <f>IF(ISNUMBER('Übung 13'!BP$38),'Übung 13'!BP$38,0)</f>
        <v/>
      </c>
      <c r="P501" s="62">
        <f>IF(ISNUMBER('Übung 14'!BP$38),'Übung 14'!BP$38,0)</f>
        <v/>
      </c>
      <c r="Q501" s="62">
        <f>IF(ISNUMBER('Übung 15'!BP$38),'Übung 15'!BP$38,0)</f>
        <v/>
      </c>
      <c r="R501" s="62">
        <f>IF(ISNUMBER('Übung 16'!BP$38),'Übung 16'!BP$38,0)</f>
        <v/>
      </c>
      <c r="S501" s="62">
        <f>IF(ISNUMBER('Übung 17'!BP$38),'Übung 17'!BP$38,0)</f>
        <v/>
      </c>
      <c r="T501" s="62">
        <f>IF(ISNUMBER('Übung 18'!BP$38),'Übung 18'!BP$38,0)</f>
        <v/>
      </c>
      <c r="U501" s="62">
        <f>IF(ISNUMBER('Übung 19'!BP$38),'Übung 19'!BP$38,0)</f>
        <v/>
      </c>
      <c r="V501" s="62">
        <f>IF(ISNUMBER('Übung 20'!BP$38),'Übung 20'!BP$38,0)</f>
        <v/>
      </c>
    </row>
    <row r="502">
      <c r="C502" s="62">
        <f>IF(ISNUMBER('Übung 01'!BQ$38),'Übung 01'!BQ$38,0)</f>
        <v/>
      </c>
      <c r="D502" s="62">
        <f>IF(ISNUMBER('Übung 02'!BQ$38),'Übung 02'!BQ$38,0)</f>
        <v/>
      </c>
      <c r="E502" s="62">
        <f>IF(ISNUMBER('Übung 03'!BQ$38),'Übung 03'!BQ$38,0)</f>
        <v/>
      </c>
      <c r="F502" s="62">
        <f>IF(ISNUMBER('Übung 04'!BQ$38),'Übung 04'!BQ$38,0)</f>
        <v/>
      </c>
      <c r="G502" s="62">
        <f>IF(ISNUMBER('Übung 05'!BQ$38),'Übung 05'!BQ$38,0)</f>
        <v/>
      </c>
      <c r="H502" s="62">
        <f>IF(ISNUMBER('Übung 06'!BQ$38),'Übung 06'!BQ$38,0)</f>
        <v/>
      </c>
      <c r="I502" s="62">
        <f>IF(ISNUMBER('Übung 07'!BQ$38),'Übung 07'!BQ$38,0)</f>
        <v/>
      </c>
      <c r="J502" s="62">
        <f>IF(ISNUMBER('Übung 08'!BQ$38),'Übung 08'!BQ$38,0)</f>
        <v/>
      </c>
      <c r="K502" s="62">
        <f>IF(ISNUMBER('Übung 09'!BQ$38),'Übung 09'!BQ$38,0)</f>
        <v/>
      </c>
      <c r="L502" s="62">
        <f>IF(ISNUMBER('Übung 10'!BQ$38),'Übung 10'!BQ$38,0)</f>
        <v/>
      </c>
      <c r="M502" s="62">
        <f>IF(ISNUMBER('Übung 11'!BQ$38),'Übung 11'!BQ$38,0)</f>
        <v/>
      </c>
      <c r="N502" s="62">
        <f>IF(ISNUMBER('Übung 12'!BQ$38),'Übung 12'!BQ$38,0)</f>
        <v/>
      </c>
      <c r="O502" s="62">
        <f>IF(ISNUMBER('Übung 13'!BQ$38),'Übung 13'!BQ$38,0)</f>
        <v/>
      </c>
      <c r="P502" s="62">
        <f>IF(ISNUMBER('Übung 14'!BQ$38),'Übung 14'!BQ$38,0)</f>
        <v/>
      </c>
      <c r="Q502" s="62">
        <f>IF(ISNUMBER('Übung 15'!BQ$38),'Übung 15'!BQ$38,0)</f>
        <v/>
      </c>
      <c r="R502" s="62">
        <f>IF(ISNUMBER('Übung 16'!BQ$38),'Übung 16'!BQ$38,0)</f>
        <v/>
      </c>
      <c r="S502" s="62">
        <f>IF(ISNUMBER('Übung 17'!BQ$38),'Übung 17'!BQ$38,0)</f>
        <v/>
      </c>
      <c r="T502" s="62">
        <f>IF(ISNUMBER('Übung 18'!BQ$38),'Übung 18'!BQ$38,0)</f>
        <v/>
      </c>
      <c r="U502" s="62">
        <f>IF(ISNUMBER('Übung 19'!BQ$38),'Übung 19'!BQ$38,0)</f>
        <v/>
      </c>
      <c r="V502" s="62">
        <f>IF(ISNUMBER('Übung 20'!BQ$38),'Übung 20'!BQ$38,0)</f>
        <v/>
      </c>
    </row>
    <row r="503">
      <c r="C503" s="62">
        <f>IF(ISNUMBER('Übung 01'!BR$38),'Übung 01'!BR$38,0)</f>
        <v/>
      </c>
      <c r="D503" s="62">
        <f>IF(ISNUMBER('Übung 02'!BR$38),'Übung 02'!BR$38,0)</f>
        <v/>
      </c>
      <c r="E503" s="62">
        <f>IF(ISNUMBER('Übung 03'!BR$38),'Übung 03'!BR$38,0)</f>
        <v/>
      </c>
      <c r="F503" s="62">
        <f>IF(ISNUMBER('Übung 04'!BR$38),'Übung 04'!BR$38,0)</f>
        <v/>
      </c>
      <c r="G503" s="62">
        <f>IF(ISNUMBER('Übung 05'!BR$38),'Übung 05'!BR$38,0)</f>
        <v/>
      </c>
      <c r="H503" s="62">
        <f>IF(ISNUMBER('Übung 06'!BR$38),'Übung 06'!BR$38,0)</f>
        <v/>
      </c>
      <c r="I503" s="62">
        <f>IF(ISNUMBER('Übung 07'!BR$38),'Übung 07'!BR$38,0)</f>
        <v/>
      </c>
      <c r="J503" s="62">
        <f>IF(ISNUMBER('Übung 08'!BR$38),'Übung 08'!BR$38,0)</f>
        <v/>
      </c>
      <c r="K503" s="62">
        <f>IF(ISNUMBER('Übung 09'!BR$38),'Übung 09'!BR$38,0)</f>
        <v/>
      </c>
      <c r="L503" s="62">
        <f>IF(ISNUMBER('Übung 10'!BR$38),'Übung 10'!BR$38,0)</f>
        <v/>
      </c>
      <c r="M503" s="62">
        <f>IF(ISNUMBER('Übung 11'!BR$38),'Übung 11'!BR$38,0)</f>
        <v/>
      </c>
      <c r="N503" s="62">
        <f>IF(ISNUMBER('Übung 12'!BR$38),'Übung 12'!BR$38,0)</f>
        <v/>
      </c>
      <c r="O503" s="62">
        <f>IF(ISNUMBER('Übung 13'!BR$38),'Übung 13'!BR$38,0)</f>
        <v/>
      </c>
      <c r="P503" s="62">
        <f>IF(ISNUMBER('Übung 14'!BR$38),'Übung 14'!BR$38,0)</f>
        <v/>
      </c>
      <c r="Q503" s="62">
        <f>IF(ISNUMBER('Übung 15'!BR$38),'Übung 15'!BR$38,0)</f>
        <v/>
      </c>
      <c r="R503" s="62">
        <f>IF(ISNUMBER('Übung 16'!BR$38),'Übung 16'!BR$38,0)</f>
        <v/>
      </c>
      <c r="S503" s="62">
        <f>IF(ISNUMBER('Übung 17'!BR$38),'Übung 17'!BR$38,0)</f>
        <v/>
      </c>
      <c r="T503" s="62">
        <f>IF(ISNUMBER('Übung 18'!BR$38),'Übung 18'!BR$38,0)</f>
        <v/>
      </c>
      <c r="U503" s="62">
        <f>IF(ISNUMBER('Übung 19'!BR$38),'Übung 19'!BR$38,0)</f>
        <v/>
      </c>
      <c r="V503" s="62">
        <f>IF(ISNUMBER('Übung 20'!BR$38),'Übung 20'!BR$38,0)</f>
        <v/>
      </c>
    </row>
    <row r="504">
      <c r="C504" s="62">
        <f>IF(ISNUMBER('Übung 01'!BS$38),'Übung 01'!BS$38,0)</f>
        <v/>
      </c>
      <c r="D504" s="62">
        <f>IF(ISNUMBER('Übung 02'!BS$38),'Übung 02'!BS$38,0)</f>
        <v/>
      </c>
      <c r="E504" s="62">
        <f>IF(ISNUMBER('Übung 03'!BS$38),'Übung 03'!BS$38,0)</f>
        <v/>
      </c>
      <c r="F504" s="62">
        <f>IF(ISNUMBER('Übung 04'!BS$38),'Übung 04'!BS$38,0)</f>
        <v/>
      </c>
      <c r="G504" s="62">
        <f>IF(ISNUMBER('Übung 05'!BS$38),'Übung 05'!BS$38,0)</f>
        <v/>
      </c>
      <c r="H504" s="62">
        <f>IF(ISNUMBER('Übung 06'!BS$38),'Übung 06'!BS$38,0)</f>
        <v/>
      </c>
      <c r="I504" s="62">
        <f>IF(ISNUMBER('Übung 07'!BS$38),'Übung 07'!BS$38,0)</f>
        <v/>
      </c>
      <c r="J504" s="62">
        <f>IF(ISNUMBER('Übung 08'!BS$38),'Übung 08'!BS$38,0)</f>
        <v/>
      </c>
      <c r="K504" s="62">
        <f>IF(ISNUMBER('Übung 09'!BS$38),'Übung 09'!BS$38,0)</f>
        <v/>
      </c>
      <c r="L504" s="62">
        <f>IF(ISNUMBER('Übung 10'!BS$38),'Übung 10'!BS$38,0)</f>
        <v/>
      </c>
      <c r="M504" s="62">
        <f>IF(ISNUMBER('Übung 11'!BS$38),'Übung 11'!BS$38,0)</f>
        <v/>
      </c>
      <c r="N504" s="62">
        <f>IF(ISNUMBER('Übung 12'!BS$38),'Übung 12'!BS$38,0)</f>
        <v/>
      </c>
      <c r="O504" s="62">
        <f>IF(ISNUMBER('Übung 13'!BS$38),'Übung 13'!BS$38,0)</f>
        <v/>
      </c>
      <c r="P504" s="62">
        <f>IF(ISNUMBER('Übung 14'!BS$38),'Übung 14'!BS$38,0)</f>
        <v/>
      </c>
      <c r="Q504" s="62">
        <f>IF(ISNUMBER('Übung 15'!BS$38),'Übung 15'!BS$38,0)</f>
        <v/>
      </c>
      <c r="R504" s="62">
        <f>IF(ISNUMBER('Übung 16'!BS$38),'Übung 16'!BS$38,0)</f>
        <v/>
      </c>
      <c r="S504" s="62">
        <f>IF(ISNUMBER('Übung 17'!BS$38),'Übung 17'!BS$38,0)</f>
        <v/>
      </c>
      <c r="T504" s="62">
        <f>IF(ISNUMBER('Übung 18'!BS$38),'Übung 18'!BS$38,0)</f>
        <v/>
      </c>
      <c r="U504" s="62">
        <f>IF(ISNUMBER('Übung 19'!BS$38),'Übung 19'!BS$38,0)</f>
        <v/>
      </c>
      <c r="V504" s="62">
        <f>IF(ISNUMBER('Übung 20'!BS$38),'Übung 20'!BS$38,0)</f>
        <v/>
      </c>
    </row>
    <row r="505">
      <c r="C505" s="62">
        <f>IF(ISNUMBER('Übung 01'!BT$38),'Übung 01'!BT$38,0)</f>
        <v/>
      </c>
      <c r="D505" s="62">
        <f>IF(ISNUMBER('Übung 02'!BT$38),'Übung 02'!BT$38,0)</f>
        <v/>
      </c>
      <c r="E505" s="62">
        <f>IF(ISNUMBER('Übung 03'!BT$38),'Übung 03'!BT$38,0)</f>
        <v/>
      </c>
      <c r="F505" s="62">
        <f>IF(ISNUMBER('Übung 04'!BT$38),'Übung 04'!BT$38,0)</f>
        <v/>
      </c>
      <c r="G505" s="62">
        <f>IF(ISNUMBER('Übung 05'!BT$38),'Übung 05'!BT$38,0)</f>
        <v/>
      </c>
      <c r="H505" s="62">
        <f>IF(ISNUMBER('Übung 06'!BT$38),'Übung 06'!BT$38,0)</f>
        <v/>
      </c>
      <c r="I505" s="62">
        <f>IF(ISNUMBER('Übung 07'!BT$38),'Übung 07'!BT$38,0)</f>
        <v/>
      </c>
      <c r="J505" s="62">
        <f>IF(ISNUMBER('Übung 08'!BT$38),'Übung 08'!BT$38,0)</f>
        <v/>
      </c>
      <c r="K505" s="62">
        <f>IF(ISNUMBER('Übung 09'!BT$38),'Übung 09'!BT$38,0)</f>
        <v/>
      </c>
      <c r="L505" s="62">
        <f>IF(ISNUMBER('Übung 10'!BT$38),'Übung 10'!BT$38,0)</f>
        <v/>
      </c>
      <c r="M505" s="62">
        <f>IF(ISNUMBER('Übung 11'!BT$38),'Übung 11'!BT$38,0)</f>
        <v/>
      </c>
      <c r="N505" s="62">
        <f>IF(ISNUMBER('Übung 12'!BT$38),'Übung 12'!BT$38,0)</f>
        <v/>
      </c>
      <c r="O505" s="62">
        <f>IF(ISNUMBER('Übung 13'!BT$38),'Übung 13'!BT$38,0)</f>
        <v/>
      </c>
      <c r="P505" s="62">
        <f>IF(ISNUMBER('Übung 14'!BT$38),'Übung 14'!BT$38,0)</f>
        <v/>
      </c>
      <c r="Q505" s="62">
        <f>IF(ISNUMBER('Übung 15'!BT$38),'Übung 15'!BT$38,0)</f>
        <v/>
      </c>
      <c r="R505" s="62">
        <f>IF(ISNUMBER('Übung 16'!BT$38),'Übung 16'!BT$38,0)</f>
        <v/>
      </c>
      <c r="S505" s="62">
        <f>IF(ISNUMBER('Übung 17'!BT$38),'Übung 17'!BT$38,0)</f>
        <v/>
      </c>
      <c r="T505" s="62">
        <f>IF(ISNUMBER('Übung 18'!BT$38),'Übung 18'!BT$38,0)</f>
        <v/>
      </c>
      <c r="U505" s="62">
        <f>IF(ISNUMBER('Übung 19'!BT$38),'Übung 19'!BT$38,0)</f>
        <v/>
      </c>
      <c r="V505" s="62">
        <f>IF(ISNUMBER('Übung 20'!BT$38),'Übung 20'!BT$38,0)</f>
        <v/>
      </c>
    </row>
    <row r="506">
      <c r="C506" s="62">
        <f>IF(ISNUMBER('Übung 01'!BU$38),'Übung 01'!BU$38,0)</f>
        <v/>
      </c>
      <c r="D506" s="62">
        <f>IF(ISNUMBER('Übung 02'!BU$38),'Übung 02'!BU$38,0)</f>
        <v/>
      </c>
      <c r="E506" s="62">
        <f>IF(ISNUMBER('Übung 03'!BU$38),'Übung 03'!BU$38,0)</f>
        <v/>
      </c>
      <c r="F506" s="62">
        <f>IF(ISNUMBER('Übung 04'!BU$38),'Übung 04'!BU$38,0)</f>
        <v/>
      </c>
      <c r="G506" s="62">
        <f>IF(ISNUMBER('Übung 05'!BU$38),'Übung 05'!BU$38,0)</f>
        <v/>
      </c>
      <c r="H506" s="62">
        <f>IF(ISNUMBER('Übung 06'!BU$38),'Übung 06'!BU$38,0)</f>
        <v/>
      </c>
      <c r="I506" s="62">
        <f>IF(ISNUMBER('Übung 07'!BU$38),'Übung 07'!BU$38,0)</f>
        <v/>
      </c>
      <c r="J506" s="62">
        <f>IF(ISNUMBER('Übung 08'!BU$38),'Übung 08'!BU$38,0)</f>
        <v/>
      </c>
      <c r="K506" s="62">
        <f>IF(ISNUMBER('Übung 09'!BU$38),'Übung 09'!BU$38,0)</f>
        <v/>
      </c>
      <c r="L506" s="62">
        <f>IF(ISNUMBER('Übung 10'!BU$38),'Übung 10'!BU$38,0)</f>
        <v/>
      </c>
      <c r="M506" s="62">
        <f>IF(ISNUMBER('Übung 11'!BU$38),'Übung 11'!BU$38,0)</f>
        <v/>
      </c>
      <c r="N506" s="62">
        <f>IF(ISNUMBER('Übung 12'!BU$38),'Übung 12'!BU$38,0)</f>
        <v/>
      </c>
      <c r="O506" s="62">
        <f>IF(ISNUMBER('Übung 13'!BU$38),'Übung 13'!BU$38,0)</f>
        <v/>
      </c>
      <c r="P506" s="62">
        <f>IF(ISNUMBER('Übung 14'!BU$38),'Übung 14'!BU$38,0)</f>
        <v/>
      </c>
      <c r="Q506" s="62">
        <f>IF(ISNUMBER('Übung 15'!BU$38),'Übung 15'!BU$38,0)</f>
        <v/>
      </c>
      <c r="R506" s="62">
        <f>IF(ISNUMBER('Übung 16'!BU$38),'Übung 16'!BU$38,0)</f>
        <v/>
      </c>
      <c r="S506" s="62">
        <f>IF(ISNUMBER('Übung 17'!BU$38),'Übung 17'!BU$38,0)</f>
        <v/>
      </c>
      <c r="T506" s="62">
        <f>IF(ISNUMBER('Übung 18'!BU$38),'Übung 18'!BU$38,0)</f>
        <v/>
      </c>
      <c r="U506" s="62">
        <f>IF(ISNUMBER('Übung 19'!BU$38),'Übung 19'!BU$38,0)</f>
        <v/>
      </c>
      <c r="V506" s="62">
        <f>IF(ISNUMBER('Übung 20'!BU$38),'Übung 20'!BU$38,0)</f>
        <v/>
      </c>
    </row>
    <row r="507">
      <c r="C507" s="62">
        <f>IF(ISNUMBER('Übung 01'!BV$38),'Übung 01'!BV$38,0)</f>
        <v/>
      </c>
      <c r="D507" s="62">
        <f>IF(ISNUMBER('Übung 02'!BV$38),'Übung 02'!BV$38,0)</f>
        <v/>
      </c>
      <c r="E507" s="62">
        <f>IF(ISNUMBER('Übung 03'!BV$38),'Übung 03'!BV$38,0)</f>
        <v/>
      </c>
      <c r="F507" s="62">
        <f>IF(ISNUMBER('Übung 04'!BV$38),'Übung 04'!BV$38,0)</f>
        <v/>
      </c>
      <c r="G507" s="62">
        <f>IF(ISNUMBER('Übung 05'!BV$38),'Übung 05'!BV$38,0)</f>
        <v/>
      </c>
      <c r="H507" s="62">
        <f>IF(ISNUMBER('Übung 06'!BV$38),'Übung 06'!BV$38,0)</f>
        <v/>
      </c>
      <c r="I507" s="62">
        <f>IF(ISNUMBER('Übung 07'!BV$38),'Übung 07'!BV$38,0)</f>
        <v/>
      </c>
      <c r="J507" s="62">
        <f>IF(ISNUMBER('Übung 08'!BV$38),'Übung 08'!BV$38,0)</f>
        <v/>
      </c>
      <c r="K507" s="62">
        <f>IF(ISNUMBER('Übung 09'!BV$38),'Übung 09'!BV$38,0)</f>
        <v/>
      </c>
      <c r="L507" s="62">
        <f>IF(ISNUMBER('Übung 10'!BV$38),'Übung 10'!BV$38,0)</f>
        <v/>
      </c>
      <c r="M507" s="62">
        <f>IF(ISNUMBER('Übung 11'!BV$38),'Übung 11'!BV$38,0)</f>
        <v/>
      </c>
      <c r="N507" s="62">
        <f>IF(ISNUMBER('Übung 12'!BV$38),'Übung 12'!BV$38,0)</f>
        <v/>
      </c>
      <c r="O507" s="62">
        <f>IF(ISNUMBER('Übung 13'!BV$38),'Übung 13'!BV$38,0)</f>
        <v/>
      </c>
      <c r="P507" s="62">
        <f>IF(ISNUMBER('Übung 14'!BV$38),'Übung 14'!BV$38,0)</f>
        <v/>
      </c>
      <c r="Q507" s="62">
        <f>IF(ISNUMBER('Übung 15'!BV$38),'Übung 15'!BV$38,0)</f>
        <v/>
      </c>
      <c r="R507" s="62">
        <f>IF(ISNUMBER('Übung 16'!BV$38),'Übung 16'!BV$38,0)</f>
        <v/>
      </c>
      <c r="S507" s="62">
        <f>IF(ISNUMBER('Übung 17'!BV$38),'Übung 17'!BV$38,0)</f>
        <v/>
      </c>
      <c r="T507" s="62">
        <f>IF(ISNUMBER('Übung 18'!BV$38),'Übung 18'!BV$38,0)</f>
        <v/>
      </c>
      <c r="U507" s="62">
        <f>IF(ISNUMBER('Übung 19'!BV$38),'Übung 19'!BV$38,0)</f>
        <v/>
      </c>
      <c r="V507" s="62">
        <f>IF(ISNUMBER('Übung 20'!BV$38),'Übung 20'!BV$38,0)</f>
        <v/>
      </c>
    </row>
    <row r="508">
      <c r="C508" s="62">
        <f>IF(ISNUMBER('Übung 01'!BW$38),'Übung 01'!BW$38,0)</f>
        <v/>
      </c>
      <c r="D508" s="62">
        <f>IF(ISNUMBER('Übung 02'!BW$38),'Übung 02'!BW$38,0)</f>
        <v/>
      </c>
      <c r="E508" s="62">
        <f>IF(ISNUMBER('Übung 03'!BW$38),'Übung 03'!BW$38,0)</f>
        <v/>
      </c>
      <c r="F508" s="62">
        <f>IF(ISNUMBER('Übung 04'!BW$38),'Übung 04'!BW$38,0)</f>
        <v/>
      </c>
      <c r="G508" s="62">
        <f>IF(ISNUMBER('Übung 05'!BW$38),'Übung 05'!BW$38,0)</f>
        <v/>
      </c>
      <c r="H508" s="62">
        <f>IF(ISNUMBER('Übung 06'!BW$38),'Übung 06'!BW$38,0)</f>
        <v/>
      </c>
      <c r="I508" s="62">
        <f>IF(ISNUMBER('Übung 07'!BW$38),'Übung 07'!BW$38,0)</f>
        <v/>
      </c>
      <c r="J508" s="62">
        <f>IF(ISNUMBER('Übung 08'!BW$38),'Übung 08'!BW$38,0)</f>
        <v/>
      </c>
      <c r="K508" s="62">
        <f>IF(ISNUMBER('Übung 09'!BW$38),'Übung 09'!BW$38,0)</f>
        <v/>
      </c>
      <c r="L508" s="62">
        <f>IF(ISNUMBER('Übung 10'!BW$38),'Übung 10'!BW$38,0)</f>
        <v/>
      </c>
      <c r="M508" s="62">
        <f>IF(ISNUMBER('Übung 11'!BW$38),'Übung 11'!BW$38,0)</f>
        <v/>
      </c>
      <c r="N508" s="62">
        <f>IF(ISNUMBER('Übung 12'!BW$38),'Übung 12'!BW$38,0)</f>
        <v/>
      </c>
      <c r="O508" s="62">
        <f>IF(ISNUMBER('Übung 13'!BW$38),'Übung 13'!BW$38,0)</f>
        <v/>
      </c>
      <c r="P508" s="62">
        <f>IF(ISNUMBER('Übung 14'!BW$38),'Übung 14'!BW$38,0)</f>
        <v/>
      </c>
      <c r="Q508" s="62">
        <f>IF(ISNUMBER('Übung 15'!BW$38),'Übung 15'!BW$38,0)</f>
        <v/>
      </c>
      <c r="R508" s="62">
        <f>IF(ISNUMBER('Übung 16'!BW$38),'Übung 16'!BW$38,0)</f>
        <v/>
      </c>
      <c r="S508" s="62">
        <f>IF(ISNUMBER('Übung 17'!BW$38),'Übung 17'!BW$38,0)</f>
        <v/>
      </c>
      <c r="T508" s="62">
        <f>IF(ISNUMBER('Übung 18'!BW$38),'Übung 18'!BW$38,0)</f>
        <v/>
      </c>
      <c r="U508" s="62">
        <f>IF(ISNUMBER('Übung 19'!BW$38),'Übung 19'!BW$38,0)</f>
        <v/>
      </c>
      <c r="V508" s="62">
        <f>IF(ISNUMBER('Übung 20'!BW$38),'Übung 20'!BW$38,0)</f>
        <v/>
      </c>
    </row>
    <row r="509">
      <c r="C509" s="62">
        <f>IF(ISNUMBER('Übung 01'!BX$38),'Übung 01'!BX$38,0)</f>
        <v/>
      </c>
      <c r="D509" s="62">
        <f>IF(ISNUMBER('Übung 02'!BX$38),'Übung 02'!BX$38,0)</f>
        <v/>
      </c>
      <c r="E509" s="62">
        <f>IF(ISNUMBER('Übung 03'!BX$38),'Übung 03'!BX$38,0)</f>
        <v/>
      </c>
      <c r="F509" s="62">
        <f>IF(ISNUMBER('Übung 04'!BX$38),'Übung 04'!BX$38,0)</f>
        <v/>
      </c>
      <c r="G509" s="62">
        <f>IF(ISNUMBER('Übung 05'!BX$38),'Übung 05'!BX$38,0)</f>
        <v/>
      </c>
      <c r="H509" s="62">
        <f>IF(ISNUMBER('Übung 06'!BX$38),'Übung 06'!BX$38,0)</f>
        <v/>
      </c>
      <c r="I509" s="62">
        <f>IF(ISNUMBER('Übung 07'!BX$38),'Übung 07'!BX$38,0)</f>
        <v/>
      </c>
      <c r="J509" s="62">
        <f>IF(ISNUMBER('Übung 08'!BX$38),'Übung 08'!BX$38,0)</f>
        <v/>
      </c>
      <c r="K509" s="62">
        <f>IF(ISNUMBER('Übung 09'!BX$38),'Übung 09'!BX$38,0)</f>
        <v/>
      </c>
      <c r="L509" s="62">
        <f>IF(ISNUMBER('Übung 10'!BX$38),'Übung 10'!BX$38,0)</f>
        <v/>
      </c>
      <c r="M509" s="62">
        <f>IF(ISNUMBER('Übung 11'!BX$38),'Übung 11'!BX$38,0)</f>
        <v/>
      </c>
      <c r="N509" s="62">
        <f>IF(ISNUMBER('Übung 12'!BX$38),'Übung 12'!BX$38,0)</f>
        <v/>
      </c>
      <c r="O509" s="62">
        <f>IF(ISNUMBER('Übung 13'!BX$38),'Übung 13'!BX$38,0)</f>
        <v/>
      </c>
      <c r="P509" s="62">
        <f>IF(ISNUMBER('Übung 14'!BX$38),'Übung 14'!BX$38,0)</f>
        <v/>
      </c>
      <c r="Q509" s="62">
        <f>IF(ISNUMBER('Übung 15'!BX$38),'Übung 15'!BX$38,0)</f>
        <v/>
      </c>
      <c r="R509" s="62">
        <f>IF(ISNUMBER('Übung 16'!BX$38),'Übung 16'!BX$38,0)</f>
        <v/>
      </c>
      <c r="S509" s="62">
        <f>IF(ISNUMBER('Übung 17'!BX$38),'Übung 17'!BX$38,0)</f>
        <v/>
      </c>
      <c r="T509" s="62">
        <f>IF(ISNUMBER('Übung 18'!BX$38),'Übung 18'!BX$38,0)</f>
        <v/>
      </c>
      <c r="U509" s="62">
        <f>IF(ISNUMBER('Übung 19'!BX$38),'Übung 19'!BX$38,0)</f>
        <v/>
      </c>
      <c r="V509" s="62">
        <f>IF(ISNUMBER('Übung 20'!BX$38),'Übung 20'!BX$38,0)</f>
        <v/>
      </c>
    </row>
    <row r="510">
      <c r="C510" s="62">
        <f>IF(ISNUMBER('Übung 01'!BY$38),'Übung 01'!BY$38,0)</f>
        <v/>
      </c>
      <c r="D510" s="62">
        <f>IF(ISNUMBER('Übung 02'!BY$38),'Übung 02'!BY$38,0)</f>
        <v/>
      </c>
      <c r="E510" s="62">
        <f>IF(ISNUMBER('Übung 03'!BY$38),'Übung 03'!BY$38,0)</f>
        <v/>
      </c>
      <c r="F510" s="62">
        <f>IF(ISNUMBER('Übung 04'!BY$38),'Übung 04'!BY$38,0)</f>
        <v/>
      </c>
      <c r="G510" s="62">
        <f>IF(ISNUMBER('Übung 05'!BY$38),'Übung 05'!BY$38,0)</f>
        <v/>
      </c>
      <c r="H510" s="62">
        <f>IF(ISNUMBER('Übung 06'!BY$38),'Übung 06'!BY$38,0)</f>
        <v/>
      </c>
      <c r="I510" s="62">
        <f>IF(ISNUMBER('Übung 07'!BY$38),'Übung 07'!BY$38,0)</f>
        <v/>
      </c>
      <c r="J510" s="62">
        <f>IF(ISNUMBER('Übung 08'!BY$38),'Übung 08'!BY$38,0)</f>
        <v/>
      </c>
      <c r="K510" s="62">
        <f>IF(ISNUMBER('Übung 09'!BY$38),'Übung 09'!BY$38,0)</f>
        <v/>
      </c>
      <c r="L510" s="62">
        <f>IF(ISNUMBER('Übung 10'!BY$38),'Übung 10'!BY$38,0)</f>
        <v/>
      </c>
      <c r="M510" s="62">
        <f>IF(ISNUMBER('Übung 11'!BY$38),'Übung 11'!BY$38,0)</f>
        <v/>
      </c>
      <c r="N510" s="62">
        <f>IF(ISNUMBER('Übung 12'!BY$38),'Übung 12'!BY$38,0)</f>
        <v/>
      </c>
      <c r="O510" s="62">
        <f>IF(ISNUMBER('Übung 13'!BY$38),'Übung 13'!BY$38,0)</f>
        <v/>
      </c>
      <c r="P510" s="62">
        <f>IF(ISNUMBER('Übung 14'!BY$38),'Übung 14'!BY$38,0)</f>
        <v/>
      </c>
      <c r="Q510" s="62">
        <f>IF(ISNUMBER('Übung 15'!BY$38),'Übung 15'!BY$38,0)</f>
        <v/>
      </c>
      <c r="R510" s="62">
        <f>IF(ISNUMBER('Übung 16'!BY$38),'Übung 16'!BY$38,0)</f>
        <v/>
      </c>
      <c r="S510" s="62">
        <f>IF(ISNUMBER('Übung 17'!BY$38),'Übung 17'!BY$38,0)</f>
        <v/>
      </c>
      <c r="T510" s="62">
        <f>IF(ISNUMBER('Übung 18'!BY$38),'Übung 18'!BY$38,0)</f>
        <v/>
      </c>
      <c r="U510" s="62">
        <f>IF(ISNUMBER('Übung 19'!BY$38),'Übung 19'!BY$38,0)</f>
        <v/>
      </c>
      <c r="V510" s="62">
        <f>IF(ISNUMBER('Übung 20'!BY$38),'Übung 20'!BY$38,0)</f>
        <v/>
      </c>
    </row>
    <row r="511">
      <c r="C511" s="62">
        <f>IF(ISNUMBER('Übung 01'!BZ$38),'Übung 01'!BZ$38,0)</f>
        <v/>
      </c>
      <c r="D511" s="62">
        <f>IF(ISNUMBER('Übung 02'!BZ$38),'Übung 02'!BZ$38,0)</f>
        <v/>
      </c>
      <c r="E511" s="62">
        <f>IF(ISNUMBER('Übung 03'!BZ$38),'Übung 03'!BZ$38,0)</f>
        <v/>
      </c>
      <c r="F511" s="62">
        <f>IF(ISNUMBER('Übung 04'!BZ$38),'Übung 04'!BZ$38,0)</f>
        <v/>
      </c>
      <c r="G511" s="62">
        <f>IF(ISNUMBER('Übung 05'!BZ$38),'Übung 05'!BZ$38,0)</f>
        <v/>
      </c>
      <c r="H511" s="62">
        <f>IF(ISNUMBER('Übung 06'!BZ$38),'Übung 06'!BZ$38,0)</f>
        <v/>
      </c>
      <c r="I511" s="62">
        <f>IF(ISNUMBER('Übung 07'!BZ$38),'Übung 07'!BZ$38,0)</f>
        <v/>
      </c>
      <c r="J511" s="62">
        <f>IF(ISNUMBER('Übung 08'!BZ$38),'Übung 08'!BZ$38,0)</f>
        <v/>
      </c>
      <c r="K511" s="62">
        <f>IF(ISNUMBER('Übung 09'!BZ$38),'Übung 09'!BZ$38,0)</f>
        <v/>
      </c>
      <c r="L511" s="62">
        <f>IF(ISNUMBER('Übung 10'!BZ$38),'Übung 10'!BZ$38,0)</f>
        <v/>
      </c>
      <c r="M511" s="62">
        <f>IF(ISNUMBER('Übung 11'!BZ$38),'Übung 11'!BZ$38,0)</f>
        <v/>
      </c>
      <c r="N511" s="62">
        <f>IF(ISNUMBER('Übung 12'!BZ$38),'Übung 12'!BZ$38,0)</f>
        <v/>
      </c>
      <c r="O511" s="62">
        <f>IF(ISNUMBER('Übung 13'!BZ$38),'Übung 13'!BZ$38,0)</f>
        <v/>
      </c>
      <c r="P511" s="62">
        <f>IF(ISNUMBER('Übung 14'!BZ$38),'Übung 14'!BZ$38,0)</f>
        <v/>
      </c>
      <c r="Q511" s="62">
        <f>IF(ISNUMBER('Übung 15'!BZ$38),'Übung 15'!BZ$38,0)</f>
        <v/>
      </c>
      <c r="R511" s="62">
        <f>IF(ISNUMBER('Übung 16'!BZ$38),'Übung 16'!BZ$38,0)</f>
        <v/>
      </c>
      <c r="S511" s="62">
        <f>IF(ISNUMBER('Übung 17'!BZ$38),'Übung 17'!BZ$38,0)</f>
        <v/>
      </c>
      <c r="T511" s="62">
        <f>IF(ISNUMBER('Übung 18'!BZ$38),'Übung 18'!BZ$38,0)</f>
        <v/>
      </c>
      <c r="U511" s="62">
        <f>IF(ISNUMBER('Übung 19'!BZ$38),'Übung 19'!BZ$38,0)</f>
        <v/>
      </c>
      <c r="V511" s="62">
        <f>IF(ISNUMBER('Übung 20'!BZ$38),'Übung 20'!BZ$38,0)</f>
        <v/>
      </c>
    </row>
    <row r="512">
      <c r="C512" s="62">
        <f>IF(ISNUMBER('Übung 01'!CA$38),'Übung 01'!CA$38,0)</f>
        <v/>
      </c>
      <c r="D512" s="62">
        <f>IF(ISNUMBER('Übung 02'!CA$38),'Übung 02'!CA$38,0)</f>
        <v/>
      </c>
      <c r="E512" s="62">
        <f>IF(ISNUMBER('Übung 03'!CA$38),'Übung 03'!CA$38,0)</f>
        <v/>
      </c>
      <c r="F512" s="62">
        <f>IF(ISNUMBER('Übung 04'!CA$38),'Übung 04'!CA$38,0)</f>
        <v/>
      </c>
      <c r="G512" s="62">
        <f>IF(ISNUMBER('Übung 05'!CA$38),'Übung 05'!CA$38,0)</f>
        <v/>
      </c>
      <c r="H512" s="62">
        <f>IF(ISNUMBER('Übung 06'!CA$38),'Übung 06'!CA$38,0)</f>
        <v/>
      </c>
      <c r="I512" s="62">
        <f>IF(ISNUMBER('Übung 07'!CA$38),'Übung 07'!CA$38,0)</f>
        <v/>
      </c>
      <c r="J512" s="62">
        <f>IF(ISNUMBER('Übung 08'!CA$38),'Übung 08'!CA$38,0)</f>
        <v/>
      </c>
      <c r="K512" s="62">
        <f>IF(ISNUMBER('Übung 09'!CA$38),'Übung 09'!CA$38,0)</f>
        <v/>
      </c>
      <c r="L512" s="62">
        <f>IF(ISNUMBER('Übung 10'!CA$38),'Übung 10'!CA$38,0)</f>
        <v/>
      </c>
      <c r="M512" s="62">
        <f>IF(ISNUMBER('Übung 11'!CA$38),'Übung 11'!CA$38,0)</f>
        <v/>
      </c>
      <c r="N512" s="62">
        <f>IF(ISNUMBER('Übung 12'!CA$38),'Übung 12'!CA$38,0)</f>
        <v/>
      </c>
      <c r="O512" s="62">
        <f>IF(ISNUMBER('Übung 13'!CA$38),'Übung 13'!CA$38,0)</f>
        <v/>
      </c>
      <c r="P512" s="62">
        <f>IF(ISNUMBER('Übung 14'!CA$38),'Übung 14'!CA$38,0)</f>
        <v/>
      </c>
      <c r="Q512" s="62">
        <f>IF(ISNUMBER('Übung 15'!CA$38),'Übung 15'!CA$38,0)</f>
        <v/>
      </c>
      <c r="R512" s="62">
        <f>IF(ISNUMBER('Übung 16'!CA$38),'Übung 16'!CA$38,0)</f>
        <v/>
      </c>
      <c r="S512" s="62">
        <f>IF(ISNUMBER('Übung 17'!CA$38),'Übung 17'!CA$38,0)</f>
        <v/>
      </c>
      <c r="T512" s="62">
        <f>IF(ISNUMBER('Übung 18'!CA$38),'Übung 18'!CA$38,0)</f>
        <v/>
      </c>
      <c r="U512" s="62">
        <f>IF(ISNUMBER('Übung 19'!CA$38),'Übung 19'!CA$38,0)</f>
        <v/>
      </c>
      <c r="V512" s="62">
        <f>IF(ISNUMBER('Übung 20'!CA$38),'Übung 20'!CA$38,0)</f>
        <v/>
      </c>
    </row>
    <row r="513">
      <c r="C513" s="62">
        <f>IF(ISNUMBER('Übung 01'!CB$38),'Übung 01'!CB$38,0)</f>
        <v/>
      </c>
      <c r="D513" s="62">
        <f>IF(ISNUMBER('Übung 02'!CB$38),'Übung 02'!CB$38,0)</f>
        <v/>
      </c>
      <c r="E513" s="62">
        <f>IF(ISNUMBER('Übung 03'!CB$38),'Übung 03'!CB$38,0)</f>
        <v/>
      </c>
      <c r="F513" s="62">
        <f>IF(ISNUMBER('Übung 04'!CB$38),'Übung 04'!CB$38,0)</f>
        <v/>
      </c>
      <c r="G513" s="62">
        <f>IF(ISNUMBER('Übung 05'!CB$38),'Übung 05'!CB$38,0)</f>
        <v/>
      </c>
      <c r="H513" s="62">
        <f>IF(ISNUMBER('Übung 06'!CB$38),'Übung 06'!CB$38,0)</f>
        <v/>
      </c>
      <c r="I513" s="62">
        <f>IF(ISNUMBER('Übung 07'!CB$38),'Übung 07'!CB$38,0)</f>
        <v/>
      </c>
      <c r="J513" s="62">
        <f>IF(ISNUMBER('Übung 08'!CB$38),'Übung 08'!CB$38,0)</f>
        <v/>
      </c>
      <c r="K513" s="62">
        <f>IF(ISNUMBER('Übung 09'!CB$38),'Übung 09'!CB$38,0)</f>
        <v/>
      </c>
      <c r="L513" s="62">
        <f>IF(ISNUMBER('Übung 10'!CB$38),'Übung 10'!CB$38,0)</f>
        <v/>
      </c>
      <c r="M513" s="62">
        <f>IF(ISNUMBER('Übung 11'!CB$38),'Übung 11'!CB$38,0)</f>
        <v/>
      </c>
      <c r="N513" s="62">
        <f>IF(ISNUMBER('Übung 12'!CB$38),'Übung 12'!CB$38,0)</f>
        <v/>
      </c>
      <c r="O513" s="62">
        <f>IF(ISNUMBER('Übung 13'!CB$38),'Übung 13'!CB$38,0)</f>
        <v/>
      </c>
      <c r="P513" s="62">
        <f>IF(ISNUMBER('Übung 14'!CB$38),'Übung 14'!CB$38,0)</f>
        <v/>
      </c>
      <c r="Q513" s="62">
        <f>IF(ISNUMBER('Übung 15'!CB$38),'Übung 15'!CB$38,0)</f>
        <v/>
      </c>
      <c r="R513" s="62">
        <f>IF(ISNUMBER('Übung 16'!CB$38),'Übung 16'!CB$38,0)</f>
        <v/>
      </c>
      <c r="S513" s="62">
        <f>IF(ISNUMBER('Übung 17'!CB$38),'Übung 17'!CB$38,0)</f>
        <v/>
      </c>
      <c r="T513" s="62">
        <f>IF(ISNUMBER('Übung 18'!CB$38),'Übung 18'!CB$38,0)</f>
        <v/>
      </c>
      <c r="U513" s="62">
        <f>IF(ISNUMBER('Übung 19'!CB$38),'Übung 19'!CB$38,0)</f>
        <v/>
      </c>
      <c r="V513" s="62">
        <f>IF(ISNUMBER('Übung 20'!CB$38),'Übung 20'!CB$38,0)</f>
        <v/>
      </c>
    </row>
    <row r="514">
      <c r="C514" s="62">
        <f>IF(ISNUMBER('Übung 01'!CC$38),'Übung 01'!CC$38,0)</f>
        <v/>
      </c>
      <c r="D514" s="62">
        <f>IF(ISNUMBER('Übung 02'!CC$38),'Übung 02'!CC$38,0)</f>
        <v/>
      </c>
      <c r="E514" s="62">
        <f>IF(ISNUMBER('Übung 03'!CC$38),'Übung 03'!CC$38,0)</f>
        <v/>
      </c>
      <c r="F514" s="62">
        <f>IF(ISNUMBER('Übung 04'!CC$38),'Übung 04'!CC$38,0)</f>
        <v/>
      </c>
      <c r="G514" s="62">
        <f>IF(ISNUMBER('Übung 05'!CC$38),'Übung 05'!CC$38,0)</f>
        <v/>
      </c>
      <c r="H514" s="62">
        <f>IF(ISNUMBER('Übung 06'!CC$38),'Übung 06'!CC$38,0)</f>
        <v/>
      </c>
      <c r="I514" s="62">
        <f>IF(ISNUMBER('Übung 07'!CC$38),'Übung 07'!CC$38,0)</f>
        <v/>
      </c>
      <c r="J514" s="62">
        <f>IF(ISNUMBER('Übung 08'!CC$38),'Übung 08'!CC$38,0)</f>
        <v/>
      </c>
      <c r="K514" s="62">
        <f>IF(ISNUMBER('Übung 09'!CC$38),'Übung 09'!CC$38,0)</f>
        <v/>
      </c>
      <c r="L514" s="62">
        <f>IF(ISNUMBER('Übung 10'!CC$38),'Übung 10'!CC$38,0)</f>
        <v/>
      </c>
      <c r="M514" s="62">
        <f>IF(ISNUMBER('Übung 11'!CC$38),'Übung 11'!CC$38,0)</f>
        <v/>
      </c>
      <c r="N514" s="62">
        <f>IF(ISNUMBER('Übung 12'!CC$38),'Übung 12'!CC$38,0)</f>
        <v/>
      </c>
      <c r="O514" s="62">
        <f>IF(ISNUMBER('Übung 13'!CC$38),'Übung 13'!CC$38,0)</f>
        <v/>
      </c>
      <c r="P514" s="62">
        <f>IF(ISNUMBER('Übung 14'!CC$38),'Übung 14'!CC$38,0)</f>
        <v/>
      </c>
      <c r="Q514" s="62">
        <f>IF(ISNUMBER('Übung 15'!CC$38),'Übung 15'!CC$38,0)</f>
        <v/>
      </c>
      <c r="R514" s="62">
        <f>IF(ISNUMBER('Übung 16'!CC$38),'Übung 16'!CC$38,0)</f>
        <v/>
      </c>
      <c r="S514" s="62">
        <f>IF(ISNUMBER('Übung 17'!CC$38),'Übung 17'!CC$38,0)</f>
        <v/>
      </c>
      <c r="T514" s="62">
        <f>IF(ISNUMBER('Übung 18'!CC$38),'Übung 18'!CC$38,0)</f>
        <v/>
      </c>
      <c r="U514" s="62">
        <f>IF(ISNUMBER('Übung 19'!CC$38),'Übung 19'!CC$38,0)</f>
        <v/>
      </c>
      <c r="V514" s="62">
        <f>IF(ISNUMBER('Übung 20'!CC$38),'Übung 20'!CC$38,0)</f>
        <v/>
      </c>
    </row>
    <row r="515">
      <c r="C515" s="62">
        <f>IF(ISNUMBER('Übung 01'!CE$38),'Übung 01'!CE$38,0)</f>
        <v/>
      </c>
      <c r="D515" s="62">
        <f>IF(ISNUMBER('Übung 02'!CE$38),'Übung 02'!CE$38,0)</f>
        <v/>
      </c>
      <c r="E515" s="62">
        <f>IF(ISNUMBER('Übung 03'!CE$38),'Übung 03'!CE$38,0)</f>
        <v/>
      </c>
      <c r="F515" s="62">
        <f>IF(ISNUMBER('Übung 04'!CE$38),'Übung 04'!CE$38,0)</f>
        <v/>
      </c>
      <c r="G515" s="62">
        <f>IF(ISNUMBER('Übung 05'!CE$38),'Übung 05'!CE$38,0)</f>
        <v/>
      </c>
      <c r="H515" s="62">
        <f>IF(ISNUMBER('Übung 06'!CE$38),'Übung 06'!CE$38,0)</f>
        <v/>
      </c>
      <c r="I515" s="62">
        <f>IF(ISNUMBER('Übung 07'!CE$38),'Übung 07'!CE$38,0)</f>
        <v/>
      </c>
      <c r="J515" s="62">
        <f>IF(ISNUMBER('Übung 08'!CE$38),'Übung 08'!CE$38,0)</f>
        <v/>
      </c>
      <c r="K515" s="62">
        <f>IF(ISNUMBER('Übung 09'!CE$38),'Übung 09'!CE$38,0)</f>
        <v/>
      </c>
      <c r="L515" s="62">
        <f>IF(ISNUMBER('Übung 10'!CE$38),'Übung 10'!CE$38,0)</f>
        <v/>
      </c>
      <c r="M515" s="62">
        <f>IF(ISNUMBER('Übung 11'!CE$38),'Übung 11'!CE$38,0)</f>
        <v/>
      </c>
      <c r="N515" s="62">
        <f>IF(ISNUMBER('Übung 12'!CE$38),'Übung 12'!CE$38,0)</f>
        <v/>
      </c>
      <c r="O515" s="62">
        <f>IF(ISNUMBER('Übung 13'!CE$38),'Übung 13'!CE$38,0)</f>
        <v/>
      </c>
      <c r="P515" s="62">
        <f>IF(ISNUMBER('Übung 14'!CE$38),'Übung 14'!CE$38,0)</f>
        <v/>
      </c>
      <c r="Q515" s="62">
        <f>IF(ISNUMBER('Übung 15'!CE$38),'Übung 15'!CE$38,0)</f>
        <v/>
      </c>
      <c r="R515" s="62">
        <f>IF(ISNUMBER('Übung 16'!CE$38),'Übung 16'!CE$38,0)</f>
        <v/>
      </c>
      <c r="S515" s="62">
        <f>IF(ISNUMBER('Übung 17'!CE$38),'Übung 17'!CE$38,0)</f>
        <v/>
      </c>
      <c r="T515" s="62">
        <f>IF(ISNUMBER('Übung 18'!CE$38),'Übung 18'!CE$38,0)</f>
        <v/>
      </c>
      <c r="U515" s="62">
        <f>IF(ISNUMBER('Übung 19'!CE$38),'Übung 19'!CE$38,0)</f>
        <v/>
      </c>
      <c r="V515" s="62">
        <f>IF(ISNUMBER('Übung 20'!CE$38),'Übung 20'!CE$38,0)</f>
        <v/>
      </c>
    </row>
    <row r="516">
      <c r="C516" s="62">
        <f>IF(ISNUMBER('Übung 01'!CF$38),'Übung 01'!CF$38,0)</f>
        <v/>
      </c>
      <c r="D516" s="62">
        <f>IF(ISNUMBER('Übung 02'!CF$38),'Übung 02'!CF$38,0)</f>
        <v/>
      </c>
      <c r="E516" s="62">
        <f>IF(ISNUMBER('Übung 03'!CF$38),'Übung 03'!CF$38,0)</f>
        <v/>
      </c>
      <c r="F516" s="62">
        <f>IF(ISNUMBER('Übung 04'!CF$38),'Übung 04'!CF$38,0)</f>
        <v/>
      </c>
      <c r="G516" s="62">
        <f>IF(ISNUMBER('Übung 05'!CF$38),'Übung 05'!CF$38,0)</f>
        <v/>
      </c>
      <c r="H516" s="62">
        <f>IF(ISNUMBER('Übung 06'!CF$38),'Übung 06'!CF$38,0)</f>
        <v/>
      </c>
      <c r="I516" s="62">
        <f>IF(ISNUMBER('Übung 07'!CF$38),'Übung 07'!CF$38,0)</f>
        <v/>
      </c>
      <c r="J516" s="62">
        <f>IF(ISNUMBER('Übung 08'!CF$38),'Übung 08'!CF$38,0)</f>
        <v/>
      </c>
      <c r="K516" s="62">
        <f>IF(ISNUMBER('Übung 09'!CF$38),'Übung 09'!CF$38,0)</f>
        <v/>
      </c>
      <c r="L516" s="62">
        <f>IF(ISNUMBER('Übung 10'!CF$38),'Übung 10'!CF$38,0)</f>
        <v/>
      </c>
      <c r="M516" s="62">
        <f>IF(ISNUMBER('Übung 11'!CF$38),'Übung 11'!CF$38,0)</f>
        <v/>
      </c>
      <c r="N516" s="62">
        <f>IF(ISNUMBER('Übung 12'!CF$38),'Übung 12'!CF$38,0)</f>
        <v/>
      </c>
      <c r="O516" s="62">
        <f>IF(ISNUMBER('Übung 13'!CF$38),'Übung 13'!CF$38,0)</f>
        <v/>
      </c>
      <c r="P516" s="62">
        <f>IF(ISNUMBER('Übung 14'!CF$38),'Übung 14'!CF$38,0)</f>
        <v/>
      </c>
      <c r="Q516" s="62">
        <f>IF(ISNUMBER('Übung 15'!CF$38),'Übung 15'!CF$38,0)</f>
        <v/>
      </c>
      <c r="R516" s="62">
        <f>IF(ISNUMBER('Übung 16'!CF$38),'Übung 16'!CF$38,0)</f>
        <v/>
      </c>
      <c r="S516" s="62">
        <f>IF(ISNUMBER('Übung 17'!CF$38),'Übung 17'!CF$38,0)</f>
        <v/>
      </c>
      <c r="T516" s="62">
        <f>IF(ISNUMBER('Übung 18'!CF$38),'Übung 18'!CF$38,0)</f>
        <v/>
      </c>
      <c r="U516" s="62">
        <f>IF(ISNUMBER('Übung 19'!CF$38),'Übung 19'!CF$38,0)</f>
        <v/>
      </c>
      <c r="V516" s="62">
        <f>IF(ISNUMBER('Übung 20'!CF$38),'Übung 20'!CF$38,0)</f>
        <v/>
      </c>
    </row>
    <row r="517">
      <c r="C517" s="62">
        <f>IF(ISNUMBER('Übung 01'!CG$38),'Übung 01'!CG$38,0)</f>
        <v/>
      </c>
      <c r="D517" s="62">
        <f>IF(ISNUMBER('Übung 02'!CG$38),'Übung 02'!CG$38,0)</f>
        <v/>
      </c>
      <c r="E517" s="62">
        <f>IF(ISNUMBER('Übung 03'!CG$38),'Übung 03'!CG$38,0)</f>
        <v/>
      </c>
      <c r="F517" s="62">
        <f>IF(ISNUMBER('Übung 04'!CG$38),'Übung 04'!CG$38,0)</f>
        <v/>
      </c>
      <c r="G517" s="62">
        <f>IF(ISNUMBER('Übung 05'!CG$38),'Übung 05'!CG$38,0)</f>
        <v/>
      </c>
      <c r="H517" s="62">
        <f>IF(ISNUMBER('Übung 06'!CG$38),'Übung 06'!CG$38,0)</f>
        <v/>
      </c>
      <c r="I517" s="62">
        <f>IF(ISNUMBER('Übung 07'!CG$38),'Übung 07'!CG$38,0)</f>
        <v/>
      </c>
      <c r="J517" s="62">
        <f>IF(ISNUMBER('Übung 08'!CG$38),'Übung 08'!CG$38,0)</f>
        <v/>
      </c>
      <c r="K517" s="62">
        <f>IF(ISNUMBER('Übung 09'!CG$38),'Übung 09'!CG$38,0)</f>
        <v/>
      </c>
      <c r="L517" s="62">
        <f>IF(ISNUMBER('Übung 10'!CG$38),'Übung 10'!CG$38,0)</f>
        <v/>
      </c>
      <c r="M517" s="62">
        <f>IF(ISNUMBER('Übung 11'!CG$38),'Übung 11'!CG$38,0)</f>
        <v/>
      </c>
      <c r="N517" s="62">
        <f>IF(ISNUMBER('Übung 12'!CG$38),'Übung 12'!CG$38,0)</f>
        <v/>
      </c>
      <c r="O517" s="62">
        <f>IF(ISNUMBER('Übung 13'!CG$38),'Übung 13'!CG$38,0)</f>
        <v/>
      </c>
      <c r="P517" s="62">
        <f>IF(ISNUMBER('Übung 14'!CG$38),'Übung 14'!CG$38,0)</f>
        <v/>
      </c>
      <c r="Q517" s="62">
        <f>IF(ISNUMBER('Übung 15'!CG$38),'Übung 15'!CG$38,0)</f>
        <v/>
      </c>
      <c r="R517" s="62">
        <f>IF(ISNUMBER('Übung 16'!CG$38),'Übung 16'!CG$38,0)</f>
        <v/>
      </c>
      <c r="S517" s="62">
        <f>IF(ISNUMBER('Übung 17'!CG$38),'Übung 17'!CG$38,0)</f>
        <v/>
      </c>
      <c r="T517" s="62">
        <f>IF(ISNUMBER('Übung 18'!CG$38),'Übung 18'!CG$38,0)</f>
        <v/>
      </c>
      <c r="U517" s="62">
        <f>IF(ISNUMBER('Übung 19'!CG$38),'Übung 19'!CG$38,0)</f>
        <v/>
      </c>
      <c r="V517" s="62">
        <f>IF(ISNUMBER('Übung 20'!CG$38),'Übung 20'!CG$38,0)</f>
        <v/>
      </c>
    </row>
    <row r="518">
      <c r="C518" s="62">
        <f>IF(ISNUMBER('Übung 01'!CH$38),'Übung 01'!CH$38,0)</f>
        <v/>
      </c>
      <c r="D518" s="62">
        <f>IF(ISNUMBER('Übung 02'!CH$38),'Übung 02'!CH$38,0)</f>
        <v/>
      </c>
      <c r="E518" s="62">
        <f>IF(ISNUMBER('Übung 03'!CH$38),'Übung 03'!CH$38,0)</f>
        <v/>
      </c>
      <c r="F518" s="62">
        <f>IF(ISNUMBER('Übung 04'!CH$38),'Übung 04'!CH$38,0)</f>
        <v/>
      </c>
      <c r="G518" s="62">
        <f>IF(ISNUMBER('Übung 05'!CH$38),'Übung 05'!CH$38,0)</f>
        <v/>
      </c>
      <c r="H518" s="62">
        <f>IF(ISNUMBER('Übung 06'!CH$38),'Übung 06'!CH$38,0)</f>
        <v/>
      </c>
      <c r="I518" s="62">
        <f>IF(ISNUMBER('Übung 07'!CH$38),'Übung 07'!CH$38,0)</f>
        <v/>
      </c>
      <c r="J518" s="62">
        <f>IF(ISNUMBER('Übung 08'!CH$38),'Übung 08'!CH$38,0)</f>
        <v/>
      </c>
      <c r="K518" s="62">
        <f>IF(ISNUMBER('Übung 09'!CH$38),'Übung 09'!CH$38,0)</f>
        <v/>
      </c>
      <c r="L518" s="62">
        <f>IF(ISNUMBER('Übung 10'!CH$38),'Übung 10'!CH$38,0)</f>
        <v/>
      </c>
      <c r="M518" s="62">
        <f>IF(ISNUMBER('Übung 11'!CH$38),'Übung 11'!CH$38,0)</f>
        <v/>
      </c>
      <c r="N518" s="62">
        <f>IF(ISNUMBER('Übung 12'!CH$38),'Übung 12'!CH$38,0)</f>
        <v/>
      </c>
      <c r="O518" s="62">
        <f>IF(ISNUMBER('Übung 13'!CH$38),'Übung 13'!CH$38,0)</f>
        <v/>
      </c>
      <c r="P518" s="62">
        <f>IF(ISNUMBER('Übung 14'!CH$38),'Übung 14'!CH$38,0)</f>
        <v/>
      </c>
      <c r="Q518" s="62">
        <f>IF(ISNUMBER('Übung 15'!CH$38),'Übung 15'!CH$38,0)</f>
        <v/>
      </c>
      <c r="R518" s="62">
        <f>IF(ISNUMBER('Übung 16'!CH$38),'Übung 16'!CH$38,0)</f>
        <v/>
      </c>
      <c r="S518" s="62">
        <f>IF(ISNUMBER('Übung 17'!CH$38),'Übung 17'!CH$38,0)</f>
        <v/>
      </c>
      <c r="T518" s="62">
        <f>IF(ISNUMBER('Übung 18'!CH$38),'Übung 18'!CH$38,0)</f>
        <v/>
      </c>
      <c r="U518" s="62">
        <f>IF(ISNUMBER('Übung 19'!CH$38),'Übung 19'!CH$38,0)</f>
        <v/>
      </c>
      <c r="V518" s="62">
        <f>IF(ISNUMBER('Übung 20'!CH$38),'Übung 20'!CH$38,0)</f>
        <v/>
      </c>
    </row>
    <row r="519">
      <c r="C519" s="62">
        <f>IF(ISNUMBER('Übung 01'!CI$38),'Übung 01'!CI$38,0)</f>
        <v/>
      </c>
      <c r="D519" s="62">
        <f>IF(ISNUMBER('Übung 02'!CI$38),'Übung 02'!CI$38,0)</f>
        <v/>
      </c>
      <c r="E519" s="62">
        <f>IF(ISNUMBER('Übung 03'!CI$38),'Übung 03'!CI$38,0)</f>
        <v/>
      </c>
      <c r="F519" s="62">
        <f>IF(ISNUMBER('Übung 04'!CI$38),'Übung 04'!CI$38,0)</f>
        <v/>
      </c>
      <c r="G519" s="62">
        <f>IF(ISNUMBER('Übung 05'!CI$38),'Übung 05'!CI$38,0)</f>
        <v/>
      </c>
      <c r="H519" s="62">
        <f>IF(ISNUMBER('Übung 06'!CI$38),'Übung 06'!CI$38,0)</f>
        <v/>
      </c>
      <c r="I519" s="62">
        <f>IF(ISNUMBER('Übung 07'!CI$38),'Übung 07'!CI$38,0)</f>
        <v/>
      </c>
      <c r="J519" s="62">
        <f>IF(ISNUMBER('Übung 08'!CI$38),'Übung 08'!CI$38,0)</f>
        <v/>
      </c>
      <c r="K519" s="62">
        <f>IF(ISNUMBER('Übung 09'!CI$38),'Übung 09'!CI$38,0)</f>
        <v/>
      </c>
      <c r="L519" s="62">
        <f>IF(ISNUMBER('Übung 10'!CI$38),'Übung 10'!CI$38,0)</f>
        <v/>
      </c>
      <c r="M519" s="62">
        <f>IF(ISNUMBER('Übung 11'!CI$38),'Übung 11'!CI$38,0)</f>
        <v/>
      </c>
      <c r="N519" s="62">
        <f>IF(ISNUMBER('Übung 12'!CI$38),'Übung 12'!CI$38,0)</f>
        <v/>
      </c>
      <c r="O519" s="62">
        <f>IF(ISNUMBER('Übung 13'!CI$38),'Übung 13'!CI$38,0)</f>
        <v/>
      </c>
      <c r="P519" s="62">
        <f>IF(ISNUMBER('Übung 14'!CI$38),'Übung 14'!CI$38,0)</f>
        <v/>
      </c>
      <c r="Q519" s="62">
        <f>IF(ISNUMBER('Übung 15'!CI$38),'Übung 15'!CI$38,0)</f>
        <v/>
      </c>
      <c r="R519" s="62">
        <f>IF(ISNUMBER('Übung 16'!CI$38),'Übung 16'!CI$38,0)</f>
        <v/>
      </c>
      <c r="S519" s="62">
        <f>IF(ISNUMBER('Übung 17'!CI$38),'Übung 17'!CI$38,0)</f>
        <v/>
      </c>
      <c r="T519" s="62">
        <f>IF(ISNUMBER('Übung 18'!CI$38),'Übung 18'!CI$38,0)</f>
        <v/>
      </c>
      <c r="U519" s="62">
        <f>IF(ISNUMBER('Übung 19'!CI$38),'Übung 19'!CI$38,0)</f>
        <v/>
      </c>
      <c r="V519" s="62">
        <f>IF(ISNUMBER('Übung 20'!CI$38),'Übung 20'!CI$38,0)</f>
        <v/>
      </c>
    </row>
    <row r="520">
      <c r="C520" s="62">
        <f>IF(ISNUMBER('Übung 01'!CJ$38),'Übung 01'!CJ$38,0)</f>
        <v/>
      </c>
      <c r="D520" s="62">
        <f>IF(ISNUMBER('Übung 02'!CJ$38),'Übung 02'!CJ$38,0)</f>
        <v/>
      </c>
      <c r="E520" s="62">
        <f>IF(ISNUMBER('Übung 03'!CJ$38),'Übung 03'!CJ$38,0)</f>
        <v/>
      </c>
      <c r="F520" s="62">
        <f>IF(ISNUMBER('Übung 04'!CJ$38),'Übung 04'!CJ$38,0)</f>
        <v/>
      </c>
      <c r="G520" s="62">
        <f>IF(ISNUMBER('Übung 05'!CJ$38),'Übung 05'!CJ$38,0)</f>
        <v/>
      </c>
      <c r="H520" s="62">
        <f>IF(ISNUMBER('Übung 06'!CJ$38),'Übung 06'!CJ$38,0)</f>
        <v/>
      </c>
      <c r="I520" s="62">
        <f>IF(ISNUMBER('Übung 07'!CJ$38),'Übung 07'!CJ$38,0)</f>
        <v/>
      </c>
      <c r="J520" s="62">
        <f>IF(ISNUMBER('Übung 08'!CJ$38),'Übung 08'!CJ$38,0)</f>
        <v/>
      </c>
      <c r="K520" s="62">
        <f>IF(ISNUMBER('Übung 09'!CJ$38),'Übung 09'!CJ$38,0)</f>
        <v/>
      </c>
      <c r="L520" s="62">
        <f>IF(ISNUMBER('Übung 10'!CJ$38),'Übung 10'!CJ$38,0)</f>
        <v/>
      </c>
      <c r="M520" s="62">
        <f>IF(ISNUMBER('Übung 11'!CJ$38),'Übung 11'!CJ$38,0)</f>
        <v/>
      </c>
      <c r="N520" s="62">
        <f>IF(ISNUMBER('Übung 12'!CJ$38),'Übung 12'!CJ$38,0)</f>
        <v/>
      </c>
      <c r="O520" s="62">
        <f>IF(ISNUMBER('Übung 13'!CJ$38),'Übung 13'!CJ$38,0)</f>
        <v/>
      </c>
      <c r="P520" s="62">
        <f>IF(ISNUMBER('Übung 14'!CJ$38),'Übung 14'!CJ$38,0)</f>
        <v/>
      </c>
      <c r="Q520" s="62">
        <f>IF(ISNUMBER('Übung 15'!CJ$38),'Übung 15'!CJ$38,0)</f>
        <v/>
      </c>
      <c r="R520" s="62">
        <f>IF(ISNUMBER('Übung 16'!CJ$38),'Übung 16'!CJ$38,0)</f>
        <v/>
      </c>
      <c r="S520" s="62">
        <f>IF(ISNUMBER('Übung 17'!CJ$38),'Übung 17'!CJ$38,0)</f>
        <v/>
      </c>
      <c r="T520" s="62">
        <f>IF(ISNUMBER('Übung 18'!CJ$38),'Übung 18'!CJ$38,0)</f>
        <v/>
      </c>
      <c r="U520" s="62">
        <f>IF(ISNUMBER('Übung 19'!CJ$38),'Übung 19'!CJ$38,0)</f>
        <v/>
      </c>
      <c r="V520" s="62">
        <f>IF(ISNUMBER('Übung 20'!CJ$38),'Übung 20'!CJ$38,0)</f>
        <v/>
      </c>
    </row>
    <row r="521">
      <c r="C521" s="62">
        <f>IF(ISNUMBER('Übung 01'!CK$38),'Übung 01'!CK$38,0)</f>
        <v/>
      </c>
      <c r="D521" s="62">
        <f>IF(ISNUMBER('Übung 02'!CK$38),'Übung 02'!CK$38,0)</f>
        <v/>
      </c>
      <c r="E521" s="62">
        <f>IF(ISNUMBER('Übung 03'!CK$38),'Übung 03'!CK$38,0)</f>
        <v/>
      </c>
      <c r="F521" s="62">
        <f>IF(ISNUMBER('Übung 04'!CK$38),'Übung 04'!CK$38,0)</f>
        <v/>
      </c>
      <c r="G521" s="62">
        <f>IF(ISNUMBER('Übung 05'!CK$38),'Übung 05'!CK$38,0)</f>
        <v/>
      </c>
      <c r="H521" s="62">
        <f>IF(ISNUMBER('Übung 06'!CK$38),'Übung 06'!CK$38,0)</f>
        <v/>
      </c>
      <c r="I521" s="62">
        <f>IF(ISNUMBER('Übung 07'!CK$38),'Übung 07'!CK$38,0)</f>
        <v/>
      </c>
      <c r="J521" s="62">
        <f>IF(ISNUMBER('Übung 08'!CK$38),'Übung 08'!CK$38,0)</f>
        <v/>
      </c>
      <c r="K521" s="62">
        <f>IF(ISNUMBER('Übung 09'!CK$38),'Übung 09'!CK$38,0)</f>
        <v/>
      </c>
      <c r="L521" s="62">
        <f>IF(ISNUMBER('Übung 10'!CK$38),'Übung 10'!CK$38,0)</f>
        <v/>
      </c>
      <c r="M521" s="62">
        <f>IF(ISNUMBER('Übung 11'!CK$38),'Übung 11'!CK$38,0)</f>
        <v/>
      </c>
      <c r="N521" s="62">
        <f>IF(ISNUMBER('Übung 12'!CK$38),'Übung 12'!CK$38,0)</f>
        <v/>
      </c>
      <c r="O521" s="62">
        <f>IF(ISNUMBER('Übung 13'!CK$38),'Übung 13'!CK$38,0)</f>
        <v/>
      </c>
      <c r="P521" s="62">
        <f>IF(ISNUMBER('Übung 14'!CK$38),'Übung 14'!CK$38,0)</f>
        <v/>
      </c>
      <c r="Q521" s="62">
        <f>IF(ISNUMBER('Übung 15'!CK$38),'Übung 15'!CK$38,0)</f>
        <v/>
      </c>
      <c r="R521" s="62">
        <f>IF(ISNUMBER('Übung 16'!CK$38),'Übung 16'!CK$38,0)</f>
        <v/>
      </c>
      <c r="S521" s="62">
        <f>IF(ISNUMBER('Übung 17'!CK$38),'Übung 17'!CK$38,0)</f>
        <v/>
      </c>
      <c r="T521" s="62">
        <f>IF(ISNUMBER('Übung 18'!CK$38),'Übung 18'!CK$38,0)</f>
        <v/>
      </c>
      <c r="U521" s="62">
        <f>IF(ISNUMBER('Übung 19'!CK$38),'Übung 19'!CK$38,0)</f>
        <v/>
      </c>
      <c r="V521" s="62">
        <f>IF(ISNUMBER('Übung 20'!CK$38),'Übung 20'!CK$38,0)</f>
        <v/>
      </c>
    </row>
    <row r="522">
      <c r="C522" s="62">
        <f>IF(ISNUMBER('Übung 01'!CL$38),'Übung 01'!CL$38,0)</f>
        <v/>
      </c>
      <c r="D522" s="62">
        <f>IF(ISNUMBER('Übung 02'!CL$38),'Übung 02'!CL$38,0)</f>
        <v/>
      </c>
      <c r="E522" s="62">
        <f>IF(ISNUMBER('Übung 03'!CL$38),'Übung 03'!CL$38,0)</f>
        <v/>
      </c>
      <c r="F522" s="62">
        <f>IF(ISNUMBER('Übung 04'!CL$38),'Übung 04'!CL$38,0)</f>
        <v/>
      </c>
      <c r="G522" s="62">
        <f>IF(ISNUMBER('Übung 05'!CL$38),'Übung 05'!CL$38,0)</f>
        <v/>
      </c>
      <c r="H522" s="62">
        <f>IF(ISNUMBER('Übung 06'!CL$38),'Übung 06'!CL$38,0)</f>
        <v/>
      </c>
      <c r="I522" s="62">
        <f>IF(ISNUMBER('Übung 07'!CL$38),'Übung 07'!CL$38,0)</f>
        <v/>
      </c>
      <c r="J522" s="62">
        <f>IF(ISNUMBER('Übung 08'!CL$38),'Übung 08'!CL$38,0)</f>
        <v/>
      </c>
      <c r="K522" s="62">
        <f>IF(ISNUMBER('Übung 09'!CL$38),'Übung 09'!CL$38,0)</f>
        <v/>
      </c>
      <c r="L522" s="62">
        <f>IF(ISNUMBER('Übung 10'!CL$38),'Übung 10'!CL$38,0)</f>
        <v/>
      </c>
      <c r="M522" s="62">
        <f>IF(ISNUMBER('Übung 11'!CL$38),'Übung 11'!CL$38,0)</f>
        <v/>
      </c>
      <c r="N522" s="62">
        <f>IF(ISNUMBER('Übung 12'!CL$38),'Übung 12'!CL$38,0)</f>
        <v/>
      </c>
      <c r="O522" s="62">
        <f>IF(ISNUMBER('Übung 13'!CL$38),'Übung 13'!CL$38,0)</f>
        <v/>
      </c>
      <c r="P522" s="62">
        <f>IF(ISNUMBER('Übung 14'!CL$38),'Übung 14'!CL$38,0)</f>
        <v/>
      </c>
      <c r="Q522" s="62">
        <f>IF(ISNUMBER('Übung 15'!CL$38),'Übung 15'!CL$38,0)</f>
        <v/>
      </c>
      <c r="R522" s="62">
        <f>IF(ISNUMBER('Übung 16'!CL$38),'Übung 16'!CL$38,0)</f>
        <v/>
      </c>
      <c r="S522" s="62">
        <f>IF(ISNUMBER('Übung 17'!CL$38),'Übung 17'!CL$38,0)</f>
        <v/>
      </c>
      <c r="T522" s="62">
        <f>IF(ISNUMBER('Übung 18'!CL$38),'Übung 18'!CL$38,0)</f>
        <v/>
      </c>
      <c r="U522" s="62">
        <f>IF(ISNUMBER('Übung 19'!CL$38),'Übung 19'!CL$38,0)</f>
        <v/>
      </c>
      <c r="V522" s="62">
        <f>IF(ISNUMBER('Übung 20'!CL$38),'Übung 20'!CL$38,0)</f>
        <v/>
      </c>
    </row>
    <row r="523">
      <c r="C523" s="62">
        <f>IF(ISNUMBER('Übung 01'!CM$38),'Übung 01'!CM$38,0)</f>
        <v/>
      </c>
      <c r="D523" s="62">
        <f>IF(ISNUMBER('Übung 02'!CM$38),'Übung 02'!CM$38,0)</f>
        <v/>
      </c>
      <c r="E523" s="62">
        <f>IF(ISNUMBER('Übung 03'!CM$38),'Übung 03'!CM$38,0)</f>
        <v/>
      </c>
      <c r="F523" s="62">
        <f>IF(ISNUMBER('Übung 04'!CM$38),'Übung 04'!CM$38,0)</f>
        <v/>
      </c>
      <c r="G523" s="62">
        <f>IF(ISNUMBER('Übung 05'!CM$38),'Übung 05'!CM$38,0)</f>
        <v/>
      </c>
      <c r="H523" s="62">
        <f>IF(ISNUMBER('Übung 06'!CM$38),'Übung 06'!CM$38,0)</f>
        <v/>
      </c>
      <c r="I523" s="62">
        <f>IF(ISNUMBER('Übung 07'!CM$38),'Übung 07'!CM$38,0)</f>
        <v/>
      </c>
      <c r="J523" s="62">
        <f>IF(ISNUMBER('Übung 08'!CM$38),'Übung 08'!CM$38,0)</f>
        <v/>
      </c>
      <c r="K523" s="62">
        <f>IF(ISNUMBER('Übung 09'!CM$38),'Übung 09'!CM$38,0)</f>
        <v/>
      </c>
      <c r="L523" s="62">
        <f>IF(ISNUMBER('Übung 10'!CM$38),'Übung 10'!CM$38,0)</f>
        <v/>
      </c>
      <c r="M523" s="62">
        <f>IF(ISNUMBER('Übung 11'!CM$38),'Übung 11'!CM$38,0)</f>
        <v/>
      </c>
      <c r="N523" s="62">
        <f>IF(ISNUMBER('Übung 12'!CM$38),'Übung 12'!CM$38,0)</f>
        <v/>
      </c>
      <c r="O523" s="62">
        <f>IF(ISNUMBER('Übung 13'!CM$38),'Übung 13'!CM$38,0)</f>
        <v/>
      </c>
      <c r="P523" s="62">
        <f>IF(ISNUMBER('Übung 14'!CM$38),'Übung 14'!CM$38,0)</f>
        <v/>
      </c>
      <c r="Q523" s="62">
        <f>IF(ISNUMBER('Übung 15'!CM$38),'Übung 15'!CM$38,0)</f>
        <v/>
      </c>
      <c r="R523" s="62">
        <f>IF(ISNUMBER('Übung 16'!CM$38),'Übung 16'!CM$38,0)</f>
        <v/>
      </c>
      <c r="S523" s="62">
        <f>IF(ISNUMBER('Übung 17'!CM$38),'Übung 17'!CM$38,0)</f>
        <v/>
      </c>
      <c r="T523" s="62">
        <f>IF(ISNUMBER('Übung 18'!CM$38),'Übung 18'!CM$38,0)</f>
        <v/>
      </c>
      <c r="U523" s="62">
        <f>IF(ISNUMBER('Übung 19'!CM$38),'Übung 19'!CM$38,0)</f>
        <v/>
      </c>
      <c r="V523" s="62">
        <f>IF(ISNUMBER('Übung 20'!CM$38),'Übung 20'!CM$38,0)</f>
        <v/>
      </c>
    </row>
    <row r="524">
      <c r="C524" s="62">
        <f>IF(ISNUMBER('Übung 01'!CN$38),'Übung 01'!CN$38,0)</f>
        <v/>
      </c>
      <c r="D524" s="62">
        <f>IF(ISNUMBER('Übung 02'!CN$38),'Übung 02'!CN$38,0)</f>
        <v/>
      </c>
      <c r="E524" s="62">
        <f>IF(ISNUMBER('Übung 03'!CN$38),'Übung 03'!CN$38,0)</f>
        <v/>
      </c>
      <c r="F524" s="62">
        <f>IF(ISNUMBER('Übung 04'!CN$38),'Übung 04'!CN$38,0)</f>
        <v/>
      </c>
      <c r="G524" s="62">
        <f>IF(ISNUMBER('Übung 05'!CN$38),'Übung 05'!CN$38,0)</f>
        <v/>
      </c>
      <c r="H524" s="62">
        <f>IF(ISNUMBER('Übung 06'!CN$38),'Übung 06'!CN$38,0)</f>
        <v/>
      </c>
      <c r="I524" s="62">
        <f>IF(ISNUMBER('Übung 07'!CN$38),'Übung 07'!CN$38,0)</f>
        <v/>
      </c>
      <c r="J524" s="62">
        <f>IF(ISNUMBER('Übung 08'!CN$38),'Übung 08'!CN$38,0)</f>
        <v/>
      </c>
      <c r="K524" s="62">
        <f>IF(ISNUMBER('Übung 09'!CN$38),'Übung 09'!CN$38,0)</f>
        <v/>
      </c>
      <c r="L524" s="62">
        <f>IF(ISNUMBER('Übung 10'!CN$38),'Übung 10'!CN$38,0)</f>
        <v/>
      </c>
      <c r="M524" s="62">
        <f>IF(ISNUMBER('Übung 11'!CN$38),'Übung 11'!CN$38,0)</f>
        <v/>
      </c>
      <c r="N524" s="62">
        <f>IF(ISNUMBER('Übung 12'!CN$38),'Übung 12'!CN$38,0)</f>
        <v/>
      </c>
      <c r="O524" s="62">
        <f>IF(ISNUMBER('Übung 13'!CN$38),'Übung 13'!CN$38,0)</f>
        <v/>
      </c>
      <c r="P524" s="62">
        <f>IF(ISNUMBER('Übung 14'!CN$38),'Übung 14'!CN$38,0)</f>
        <v/>
      </c>
      <c r="Q524" s="62">
        <f>IF(ISNUMBER('Übung 15'!CN$38),'Übung 15'!CN$38,0)</f>
        <v/>
      </c>
      <c r="R524" s="62">
        <f>IF(ISNUMBER('Übung 16'!CN$38),'Übung 16'!CN$38,0)</f>
        <v/>
      </c>
      <c r="S524" s="62">
        <f>IF(ISNUMBER('Übung 17'!CN$38),'Übung 17'!CN$38,0)</f>
        <v/>
      </c>
      <c r="T524" s="62">
        <f>IF(ISNUMBER('Übung 18'!CN$38),'Übung 18'!CN$38,0)</f>
        <v/>
      </c>
      <c r="U524" s="62">
        <f>IF(ISNUMBER('Übung 19'!CN$38),'Übung 19'!CN$38,0)</f>
        <v/>
      </c>
      <c r="V524" s="62">
        <f>IF(ISNUMBER('Übung 20'!CN$38),'Übung 20'!CN$38,0)</f>
        <v/>
      </c>
    </row>
    <row r="525">
      <c r="C525" s="62">
        <f>IF(ISNUMBER('Übung 01'!CO$38),'Übung 01'!CO$38,0)</f>
        <v/>
      </c>
      <c r="D525" s="62">
        <f>IF(ISNUMBER('Übung 02'!CO$38),'Übung 02'!CO$38,0)</f>
        <v/>
      </c>
      <c r="E525" s="62">
        <f>IF(ISNUMBER('Übung 03'!CO$38),'Übung 03'!CO$38,0)</f>
        <v/>
      </c>
      <c r="F525" s="62">
        <f>IF(ISNUMBER('Übung 04'!CO$38),'Übung 04'!CO$38,0)</f>
        <v/>
      </c>
      <c r="G525" s="62">
        <f>IF(ISNUMBER('Übung 05'!CO$38),'Übung 05'!CO$38,0)</f>
        <v/>
      </c>
      <c r="H525" s="62">
        <f>IF(ISNUMBER('Übung 06'!CO$38),'Übung 06'!CO$38,0)</f>
        <v/>
      </c>
      <c r="I525" s="62">
        <f>IF(ISNUMBER('Übung 07'!CO$38),'Übung 07'!CO$38,0)</f>
        <v/>
      </c>
      <c r="J525" s="62">
        <f>IF(ISNUMBER('Übung 08'!CO$38),'Übung 08'!CO$38,0)</f>
        <v/>
      </c>
      <c r="K525" s="62">
        <f>IF(ISNUMBER('Übung 09'!CO$38),'Übung 09'!CO$38,0)</f>
        <v/>
      </c>
      <c r="L525" s="62">
        <f>IF(ISNUMBER('Übung 10'!CO$38),'Übung 10'!CO$38,0)</f>
        <v/>
      </c>
      <c r="M525" s="62">
        <f>IF(ISNUMBER('Übung 11'!CO$38),'Übung 11'!CO$38,0)</f>
        <v/>
      </c>
      <c r="N525" s="62">
        <f>IF(ISNUMBER('Übung 12'!CO$38),'Übung 12'!CO$38,0)</f>
        <v/>
      </c>
      <c r="O525" s="62">
        <f>IF(ISNUMBER('Übung 13'!CO$38),'Übung 13'!CO$38,0)</f>
        <v/>
      </c>
      <c r="P525" s="62">
        <f>IF(ISNUMBER('Übung 14'!CO$38),'Übung 14'!CO$38,0)</f>
        <v/>
      </c>
      <c r="Q525" s="62">
        <f>IF(ISNUMBER('Übung 15'!CO$38),'Übung 15'!CO$38,0)</f>
        <v/>
      </c>
      <c r="R525" s="62">
        <f>IF(ISNUMBER('Übung 16'!CO$38),'Übung 16'!CO$38,0)</f>
        <v/>
      </c>
      <c r="S525" s="62">
        <f>IF(ISNUMBER('Übung 17'!CO$38),'Übung 17'!CO$38,0)</f>
        <v/>
      </c>
      <c r="T525" s="62">
        <f>IF(ISNUMBER('Übung 18'!CO$38),'Übung 18'!CO$38,0)</f>
        <v/>
      </c>
      <c r="U525" s="62">
        <f>IF(ISNUMBER('Übung 19'!CO$38),'Übung 19'!CO$38,0)</f>
        <v/>
      </c>
      <c r="V525" s="62">
        <f>IF(ISNUMBER('Übung 20'!CO$38),'Übung 20'!CO$38,0)</f>
        <v/>
      </c>
    </row>
    <row r="526">
      <c r="C526" s="62">
        <f>IF(ISNUMBER('Übung 01'!CP$38),'Übung 01'!CP$38,0)</f>
        <v/>
      </c>
      <c r="D526" s="62">
        <f>IF(ISNUMBER('Übung 02'!CP$38),'Übung 02'!CP$38,0)</f>
        <v/>
      </c>
      <c r="E526" s="62">
        <f>IF(ISNUMBER('Übung 03'!CP$38),'Übung 03'!CP$38,0)</f>
        <v/>
      </c>
      <c r="F526" s="62">
        <f>IF(ISNUMBER('Übung 04'!CP$38),'Übung 04'!CP$38,0)</f>
        <v/>
      </c>
      <c r="G526" s="62">
        <f>IF(ISNUMBER('Übung 05'!CP$38),'Übung 05'!CP$38,0)</f>
        <v/>
      </c>
      <c r="H526" s="62">
        <f>IF(ISNUMBER('Übung 06'!CP$38),'Übung 06'!CP$38,0)</f>
        <v/>
      </c>
      <c r="I526" s="62">
        <f>IF(ISNUMBER('Übung 07'!CP$38),'Übung 07'!CP$38,0)</f>
        <v/>
      </c>
      <c r="J526" s="62">
        <f>IF(ISNUMBER('Übung 08'!CP$38),'Übung 08'!CP$38,0)</f>
        <v/>
      </c>
      <c r="K526" s="62">
        <f>IF(ISNUMBER('Übung 09'!CP$38),'Übung 09'!CP$38,0)</f>
        <v/>
      </c>
      <c r="L526" s="62">
        <f>IF(ISNUMBER('Übung 10'!CP$38),'Übung 10'!CP$38,0)</f>
        <v/>
      </c>
      <c r="M526" s="62">
        <f>IF(ISNUMBER('Übung 11'!CP$38),'Übung 11'!CP$38,0)</f>
        <v/>
      </c>
      <c r="N526" s="62">
        <f>IF(ISNUMBER('Übung 12'!CP$38),'Übung 12'!CP$38,0)</f>
        <v/>
      </c>
      <c r="O526" s="62">
        <f>IF(ISNUMBER('Übung 13'!CP$38),'Übung 13'!CP$38,0)</f>
        <v/>
      </c>
      <c r="P526" s="62">
        <f>IF(ISNUMBER('Übung 14'!CP$38),'Übung 14'!CP$38,0)</f>
        <v/>
      </c>
      <c r="Q526" s="62">
        <f>IF(ISNUMBER('Übung 15'!CP$38),'Übung 15'!CP$38,0)</f>
        <v/>
      </c>
      <c r="R526" s="62">
        <f>IF(ISNUMBER('Übung 16'!CP$38),'Übung 16'!CP$38,0)</f>
        <v/>
      </c>
      <c r="S526" s="62">
        <f>IF(ISNUMBER('Übung 17'!CP$38),'Übung 17'!CP$38,0)</f>
        <v/>
      </c>
      <c r="T526" s="62">
        <f>IF(ISNUMBER('Übung 18'!CP$38),'Übung 18'!CP$38,0)</f>
        <v/>
      </c>
      <c r="U526" s="62">
        <f>IF(ISNUMBER('Übung 19'!CP$38),'Übung 19'!CP$38,0)</f>
        <v/>
      </c>
      <c r="V526" s="62">
        <f>IF(ISNUMBER('Übung 20'!CP$38),'Übung 20'!CP$38,0)</f>
        <v/>
      </c>
    </row>
    <row r="527">
      <c r="C527" s="62">
        <f>IF(ISNUMBER('Übung 01'!CQ$38),'Übung 01'!CQ$38,0)</f>
        <v/>
      </c>
      <c r="D527" s="62">
        <f>IF(ISNUMBER('Übung 02'!CQ$38),'Übung 02'!CQ$38,0)</f>
        <v/>
      </c>
      <c r="E527" s="62">
        <f>IF(ISNUMBER('Übung 03'!CQ$38),'Übung 03'!CQ$38,0)</f>
        <v/>
      </c>
      <c r="F527" s="62">
        <f>IF(ISNUMBER('Übung 04'!CQ$38),'Übung 04'!CQ$38,0)</f>
        <v/>
      </c>
      <c r="G527" s="62">
        <f>IF(ISNUMBER('Übung 05'!CQ$38),'Übung 05'!CQ$38,0)</f>
        <v/>
      </c>
      <c r="H527" s="62">
        <f>IF(ISNUMBER('Übung 06'!CQ$38),'Übung 06'!CQ$38,0)</f>
        <v/>
      </c>
      <c r="I527" s="62">
        <f>IF(ISNUMBER('Übung 07'!CQ$38),'Übung 07'!CQ$38,0)</f>
        <v/>
      </c>
      <c r="J527" s="62">
        <f>IF(ISNUMBER('Übung 08'!CQ$38),'Übung 08'!CQ$38,0)</f>
        <v/>
      </c>
      <c r="K527" s="62">
        <f>IF(ISNUMBER('Übung 09'!CQ$38),'Übung 09'!CQ$38,0)</f>
        <v/>
      </c>
      <c r="L527" s="62">
        <f>IF(ISNUMBER('Übung 10'!CQ$38),'Übung 10'!CQ$38,0)</f>
        <v/>
      </c>
      <c r="M527" s="62">
        <f>IF(ISNUMBER('Übung 11'!CQ$38),'Übung 11'!CQ$38,0)</f>
        <v/>
      </c>
      <c r="N527" s="62">
        <f>IF(ISNUMBER('Übung 12'!CQ$38),'Übung 12'!CQ$38,0)</f>
        <v/>
      </c>
      <c r="O527" s="62">
        <f>IF(ISNUMBER('Übung 13'!CQ$38),'Übung 13'!CQ$38,0)</f>
        <v/>
      </c>
      <c r="P527" s="62">
        <f>IF(ISNUMBER('Übung 14'!CQ$38),'Übung 14'!CQ$38,0)</f>
        <v/>
      </c>
      <c r="Q527" s="62">
        <f>IF(ISNUMBER('Übung 15'!CQ$38),'Übung 15'!CQ$38,0)</f>
        <v/>
      </c>
      <c r="R527" s="62">
        <f>IF(ISNUMBER('Übung 16'!CQ$38),'Übung 16'!CQ$38,0)</f>
        <v/>
      </c>
      <c r="S527" s="62">
        <f>IF(ISNUMBER('Übung 17'!CQ$38),'Übung 17'!CQ$38,0)</f>
        <v/>
      </c>
      <c r="T527" s="62">
        <f>IF(ISNUMBER('Übung 18'!CQ$38),'Übung 18'!CQ$38,0)</f>
        <v/>
      </c>
      <c r="U527" s="62">
        <f>IF(ISNUMBER('Übung 19'!CQ$38),'Übung 19'!CQ$38,0)</f>
        <v/>
      </c>
      <c r="V527" s="62">
        <f>IF(ISNUMBER('Übung 20'!CQ$38),'Übung 20'!CQ$38,0)</f>
        <v/>
      </c>
    </row>
    <row r="528">
      <c r="C528" s="62">
        <f>IF(ISNUMBER('Übung 01'!CR$38),'Übung 01'!CR$38,0)</f>
        <v/>
      </c>
      <c r="D528" s="62">
        <f>IF(ISNUMBER('Übung 02'!CR$38),'Übung 02'!CR$38,0)</f>
        <v/>
      </c>
      <c r="E528" s="62">
        <f>IF(ISNUMBER('Übung 03'!CR$38),'Übung 03'!CR$38,0)</f>
        <v/>
      </c>
      <c r="F528" s="62">
        <f>IF(ISNUMBER('Übung 04'!CR$38),'Übung 04'!CR$38,0)</f>
        <v/>
      </c>
      <c r="G528" s="62">
        <f>IF(ISNUMBER('Übung 05'!CR$38),'Übung 05'!CR$38,0)</f>
        <v/>
      </c>
      <c r="H528" s="62">
        <f>IF(ISNUMBER('Übung 06'!CR$38),'Übung 06'!CR$38,0)</f>
        <v/>
      </c>
      <c r="I528" s="62">
        <f>IF(ISNUMBER('Übung 07'!CR$38),'Übung 07'!CR$38,0)</f>
        <v/>
      </c>
      <c r="J528" s="62">
        <f>IF(ISNUMBER('Übung 08'!CR$38),'Übung 08'!CR$38,0)</f>
        <v/>
      </c>
      <c r="K528" s="62">
        <f>IF(ISNUMBER('Übung 09'!CR$38),'Übung 09'!CR$38,0)</f>
        <v/>
      </c>
      <c r="L528" s="62">
        <f>IF(ISNUMBER('Übung 10'!CR$38),'Übung 10'!CR$38,0)</f>
        <v/>
      </c>
      <c r="M528" s="62">
        <f>IF(ISNUMBER('Übung 11'!CR$38),'Übung 11'!CR$38,0)</f>
        <v/>
      </c>
      <c r="N528" s="62">
        <f>IF(ISNUMBER('Übung 12'!CR$38),'Übung 12'!CR$38,0)</f>
        <v/>
      </c>
      <c r="O528" s="62">
        <f>IF(ISNUMBER('Übung 13'!CR$38),'Übung 13'!CR$38,0)</f>
        <v/>
      </c>
      <c r="P528" s="62">
        <f>IF(ISNUMBER('Übung 14'!CR$38),'Übung 14'!CR$38,0)</f>
        <v/>
      </c>
      <c r="Q528" s="62">
        <f>IF(ISNUMBER('Übung 15'!CR$38),'Übung 15'!CR$38,0)</f>
        <v/>
      </c>
      <c r="R528" s="62">
        <f>IF(ISNUMBER('Übung 16'!CR$38),'Übung 16'!CR$38,0)</f>
        <v/>
      </c>
      <c r="S528" s="62">
        <f>IF(ISNUMBER('Übung 17'!CR$38),'Übung 17'!CR$38,0)</f>
        <v/>
      </c>
      <c r="T528" s="62">
        <f>IF(ISNUMBER('Übung 18'!CR$38),'Übung 18'!CR$38,0)</f>
        <v/>
      </c>
      <c r="U528" s="62">
        <f>IF(ISNUMBER('Übung 19'!CR$38),'Übung 19'!CR$38,0)</f>
        <v/>
      </c>
      <c r="V528" s="62">
        <f>IF(ISNUMBER('Übung 20'!CR$38),'Übung 20'!CR$38,0)</f>
        <v/>
      </c>
    </row>
    <row r="529">
      <c r="C529" s="62">
        <f>IF(ISNUMBER('Übung 01'!CS$38),'Übung 01'!CS$38,0)</f>
        <v/>
      </c>
      <c r="D529" s="62">
        <f>IF(ISNUMBER('Übung 02'!CS$38),'Übung 02'!CS$38,0)</f>
        <v/>
      </c>
      <c r="E529" s="62">
        <f>IF(ISNUMBER('Übung 03'!CS$38),'Übung 03'!CS$38,0)</f>
        <v/>
      </c>
      <c r="F529" s="62">
        <f>IF(ISNUMBER('Übung 04'!CS$38),'Übung 04'!CS$38,0)</f>
        <v/>
      </c>
      <c r="G529" s="62">
        <f>IF(ISNUMBER('Übung 05'!CS$38),'Übung 05'!CS$38,0)</f>
        <v/>
      </c>
      <c r="H529" s="62">
        <f>IF(ISNUMBER('Übung 06'!CS$38),'Übung 06'!CS$38,0)</f>
        <v/>
      </c>
      <c r="I529" s="62">
        <f>IF(ISNUMBER('Übung 07'!CS$38),'Übung 07'!CS$38,0)</f>
        <v/>
      </c>
      <c r="J529" s="62">
        <f>IF(ISNUMBER('Übung 08'!CS$38),'Übung 08'!CS$38,0)</f>
        <v/>
      </c>
      <c r="K529" s="62">
        <f>IF(ISNUMBER('Übung 09'!CS$38),'Übung 09'!CS$38,0)</f>
        <v/>
      </c>
      <c r="L529" s="62">
        <f>IF(ISNUMBER('Übung 10'!CS$38),'Übung 10'!CS$38,0)</f>
        <v/>
      </c>
      <c r="M529" s="62">
        <f>IF(ISNUMBER('Übung 11'!CS$38),'Übung 11'!CS$38,0)</f>
        <v/>
      </c>
      <c r="N529" s="62">
        <f>IF(ISNUMBER('Übung 12'!CS$38),'Übung 12'!CS$38,0)</f>
        <v/>
      </c>
      <c r="O529" s="62">
        <f>IF(ISNUMBER('Übung 13'!CS$38),'Übung 13'!CS$38,0)</f>
        <v/>
      </c>
      <c r="P529" s="62">
        <f>IF(ISNUMBER('Übung 14'!CS$38),'Übung 14'!CS$38,0)</f>
        <v/>
      </c>
      <c r="Q529" s="62">
        <f>IF(ISNUMBER('Übung 15'!CS$38),'Übung 15'!CS$38,0)</f>
        <v/>
      </c>
      <c r="R529" s="62">
        <f>IF(ISNUMBER('Übung 16'!CS$38),'Übung 16'!CS$38,0)</f>
        <v/>
      </c>
      <c r="S529" s="62">
        <f>IF(ISNUMBER('Übung 17'!CS$38),'Übung 17'!CS$38,0)</f>
        <v/>
      </c>
      <c r="T529" s="62">
        <f>IF(ISNUMBER('Übung 18'!CS$38),'Übung 18'!CS$38,0)</f>
        <v/>
      </c>
      <c r="U529" s="62">
        <f>IF(ISNUMBER('Übung 19'!CS$38),'Übung 19'!CS$38,0)</f>
        <v/>
      </c>
      <c r="V529" s="62">
        <f>IF(ISNUMBER('Übung 20'!CS$38),'Übung 20'!CS$38,0)</f>
        <v/>
      </c>
    </row>
    <row r="530">
      <c r="C530" s="62">
        <f>IF(ISNUMBER('Übung 01'!CT$38),'Übung 01'!CT$38,0)</f>
        <v/>
      </c>
      <c r="D530" s="62">
        <f>IF(ISNUMBER('Übung 02'!CT$38),'Übung 02'!CT$38,0)</f>
        <v/>
      </c>
      <c r="E530" s="62">
        <f>IF(ISNUMBER('Übung 03'!CT$38),'Übung 03'!CT$38,0)</f>
        <v/>
      </c>
      <c r="F530" s="62">
        <f>IF(ISNUMBER('Übung 04'!CT$38),'Übung 04'!CT$38,0)</f>
        <v/>
      </c>
      <c r="G530" s="62">
        <f>IF(ISNUMBER('Übung 05'!CT$38),'Übung 05'!CT$38,0)</f>
        <v/>
      </c>
      <c r="H530" s="62">
        <f>IF(ISNUMBER('Übung 06'!CT$38),'Übung 06'!CT$38,0)</f>
        <v/>
      </c>
      <c r="I530" s="62">
        <f>IF(ISNUMBER('Übung 07'!CT$38),'Übung 07'!CT$38,0)</f>
        <v/>
      </c>
      <c r="J530" s="62">
        <f>IF(ISNUMBER('Übung 08'!CT$38),'Übung 08'!CT$38,0)</f>
        <v/>
      </c>
      <c r="K530" s="62">
        <f>IF(ISNUMBER('Übung 09'!CT$38),'Übung 09'!CT$38,0)</f>
        <v/>
      </c>
      <c r="L530" s="62">
        <f>IF(ISNUMBER('Übung 10'!CT$38),'Übung 10'!CT$38,0)</f>
        <v/>
      </c>
      <c r="M530" s="62">
        <f>IF(ISNUMBER('Übung 11'!CT$38),'Übung 11'!CT$38,0)</f>
        <v/>
      </c>
      <c r="N530" s="62">
        <f>IF(ISNUMBER('Übung 12'!CT$38),'Übung 12'!CT$38,0)</f>
        <v/>
      </c>
      <c r="O530" s="62">
        <f>IF(ISNUMBER('Übung 13'!CT$38),'Übung 13'!CT$38,0)</f>
        <v/>
      </c>
      <c r="P530" s="62">
        <f>IF(ISNUMBER('Übung 14'!CT$38),'Übung 14'!CT$38,0)</f>
        <v/>
      </c>
      <c r="Q530" s="62">
        <f>IF(ISNUMBER('Übung 15'!CT$38),'Übung 15'!CT$38,0)</f>
        <v/>
      </c>
      <c r="R530" s="62">
        <f>IF(ISNUMBER('Übung 16'!CT$38),'Übung 16'!CT$38,0)</f>
        <v/>
      </c>
      <c r="S530" s="62">
        <f>IF(ISNUMBER('Übung 17'!CT$38),'Übung 17'!CT$38,0)</f>
        <v/>
      </c>
      <c r="T530" s="62">
        <f>IF(ISNUMBER('Übung 18'!CT$38),'Übung 18'!CT$38,0)</f>
        <v/>
      </c>
      <c r="U530" s="62">
        <f>IF(ISNUMBER('Übung 19'!CT$38),'Übung 19'!CT$38,0)</f>
        <v/>
      </c>
      <c r="V530" s="62">
        <f>IF(ISNUMBER('Übung 20'!CT$38),'Übung 20'!CT$38,0)</f>
        <v/>
      </c>
    </row>
    <row r="531">
      <c r="C531" s="62">
        <f>IF(ISNUMBER('Übung 01'!CU$38),'Übung 01'!CU$38,0)</f>
        <v/>
      </c>
      <c r="D531" s="62">
        <f>IF(ISNUMBER('Übung 02'!CU$38),'Übung 02'!CU$38,0)</f>
        <v/>
      </c>
      <c r="E531" s="62">
        <f>IF(ISNUMBER('Übung 03'!CU$38),'Übung 03'!CU$38,0)</f>
        <v/>
      </c>
      <c r="F531" s="62">
        <f>IF(ISNUMBER('Übung 04'!CU$38),'Übung 04'!CU$38,0)</f>
        <v/>
      </c>
      <c r="G531" s="62">
        <f>IF(ISNUMBER('Übung 05'!CU$38),'Übung 05'!CU$38,0)</f>
        <v/>
      </c>
      <c r="H531" s="62">
        <f>IF(ISNUMBER('Übung 06'!CU$38),'Übung 06'!CU$38,0)</f>
        <v/>
      </c>
      <c r="I531" s="62">
        <f>IF(ISNUMBER('Übung 07'!CU$38),'Übung 07'!CU$38,0)</f>
        <v/>
      </c>
      <c r="J531" s="62">
        <f>IF(ISNUMBER('Übung 08'!CU$38),'Übung 08'!CU$38,0)</f>
        <v/>
      </c>
      <c r="K531" s="62">
        <f>IF(ISNUMBER('Übung 09'!CU$38),'Übung 09'!CU$38,0)</f>
        <v/>
      </c>
      <c r="L531" s="62">
        <f>IF(ISNUMBER('Übung 10'!CU$38),'Übung 10'!CU$38,0)</f>
        <v/>
      </c>
      <c r="M531" s="62">
        <f>IF(ISNUMBER('Übung 11'!CU$38),'Übung 11'!CU$38,0)</f>
        <v/>
      </c>
      <c r="N531" s="62">
        <f>IF(ISNUMBER('Übung 12'!CU$38),'Übung 12'!CU$38,0)</f>
        <v/>
      </c>
      <c r="O531" s="62">
        <f>IF(ISNUMBER('Übung 13'!CU$38),'Übung 13'!CU$38,0)</f>
        <v/>
      </c>
      <c r="P531" s="62">
        <f>IF(ISNUMBER('Übung 14'!CU$38),'Übung 14'!CU$38,0)</f>
        <v/>
      </c>
      <c r="Q531" s="62">
        <f>IF(ISNUMBER('Übung 15'!CU$38),'Übung 15'!CU$38,0)</f>
        <v/>
      </c>
      <c r="R531" s="62">
        <f>IF(ISNUMBER('Übung 16'!CU$38),'Übung 16'!CU$38,0)</f>
        <v/>
      </c>
      <c r="S531" s="62">
        <f>IF(ISNUMBER('Übung 17'!CU$38),'Übung 17'!CU$38,0)</f>
        <v/>
      </c>
      <c r="T531" s="62">
        <f>IF(ISNUMBER('Übung 18'!CU$38),'Übung 18'!CU$38,0)</f>
        <v/>
      </c>
      <c r="U531" s="62">
        <f>IF(ISNUMBER('Übung 19'!CU$38),'Übung 19'!CU$38,0)</f>
        <v/>
      </c>
      <c r="V531" s="62">
        <f>IF(ISNUMBER('Übung 20'!CU$38),'Übung 20'!CU$38,0)</f>
        <v/>
      </c>
    </row>
    <row r="532">
      <c r="C532" s="62">
        <f>IF(ISNUMBER('Übung 01'!CV$38),'Übung 01'!CV$38,0)</f>
        <v/>
      </c>
      <c r="D532" s="62">
        <f>IF(ISNUMBER('Übung 02'!CV$38),'Übung 02'!CV$38,0)</f>
        <v/>
      </c>
      <c r="E532" s="62">
        <f>IF(ISNUMBER('Übung 03'!CV$38),'Übung 03'!CV$38,0)</f>
        <v/>
      </c>
      <c r="F532" s="62">
        <f>IF(ISNUMBER('Übung 04'!CV$38),'Übung 04'!CV$38,0)</f>
        <v/>
      </c>
      <c r="G532" s="62">
        <f>IF(ISNUMBER('Übung 05'!CV$38),'Übung 05'!CV$38,0)</f>
        <v/>
      </c>
      <c r="H532" s="62">
        <f>IF(ISNUMBER('Übung 06'!CV$38),'Übung 06'!CV$38,0)</f>
        <v/>
      </c>
      <c r="I532" s="62">
        <f>IF(ISNUMBER('Übung 07'!CV$38),'Übung 07'!CV$38,0)</f>
        <v/>
      </c>
      <c r="J532" s="62">
        <f>IF(ISNUMBER('Übung 08'!CV$38),'Übung 08'!CV$38,0)</f>
        <v/>
      </c>
      <c r="K532" s="62">
        <f>IF(ISNUMBER('Übung 09'!CV$38),'Übung 09'!CV$38,0)</f>
        <v/>
      </c>
      <c r="L532" s="62">
        <f>IF(ISNUMBER('Übung 10'!CV$38),'Übung 10'!CV$38,0)</f>
        <v/>
      </c>
      <c r="M532" s="62">
        <f>IF(ISNUMBER('Übung 11'!CV$38),'Übung 11'!CV$38,0)</f>
        <v/>
      </c>
      <c r="N532" s="62">
        <f>IF(ISNUMBER('Übung 12'!CV$38),'Übung 12'!CV$38,0)</f>
        <v/>
      </c>
      <c r="O532" s="62">
        <f>IF(ISNUMBER('Übung 13'!CV$38),'Übung 13'!CV$38,0)</f>
        <v/>
      </c>
      <c r="P532" s="62">
        <f>IF(ISNUMBER('Übung 14'!CV$38),'Übung 14'!CV$38,0)</f>
        <v/>
      </c>
      <c r="Q532" s="62">
        <f>IF(ISNUMBER('Übung 15'!CV$38),'Übung 15'!CV$38,0)</f>
        <v/>
      </c>
      <c r="R532" s="62">
        <f>IF(ISNUMBER('Übung 16'!CV$38),'Übung 16'!CV$38,0)</f>
        <v/>
      </c>
      <c r="S532" s="62">
        <f>IF(ISNUMBER('Übung 17'!CV$38),'Übung 17'!CV$38,0)</f>
        <v/>
      </c>
      <c r="T532" s="62">
        <f>IF(ISNUMBER('Übung 18'!CV$38),'Übung 18'!CV$38,0)</f>
        <v/>
      </c>
      <c r="U532" s="62">
        <f>IF(ISNUMBER('Übung 19'!CV$38),'Übung 19'!CV$38,0)</f>
        <v/>
      </c>
      <c r="V532" s="62">
        <f>IF(ISNUMBER('Übung 20'!CV$38),'Übung 20'!CV$38,0)</f>
        <v/>
      </c>
    </row>
    <row r="533">
      <c r="C533" s="62">
        <f>IF(ISNUMBER('Übung 01'!CW$38),'Übung 01'!CW$38,0)</f>
        <v/>
      </c>
      <c r="D533" s="62">
        <f>IF(ISNUMBER('Übung 02'!CW$38),'Übung 02'!CW$38,0)</f>
        <v/>
      </c>
      <c r="E533" s="62">
        <f>IF(ISNUMBER('Übung 03'!CW$38),'Übung 03'!CW$38,0)</f>
        <v/>
      </c>
      <c r="F533" s="62">
        <f>IF(ISNUMBER('Übung 04'!CW$38),'Übung 04'!CW$38,0)</f>
        <v/>
      </c>
      <c r="G533" s="62">
        <f>IF(ISNUMBER('Übung 05'!CW$38),'Übung 05'!CW$38,0)</f>
        <v/>
      </c>
      <c r="H533" s="62">
        <f>IF(ISNUMBER('Übung 06'!CW$38),'Übung 06'!CW$38,0)</f>
        <v/>
      </c>
      <c r="I533" s="62">
        <f>IF(ISNUMBER('Übung 07'!CW$38),'Übung 07'!CW$38,0)</f>
        <v/>
      </c>
      <c r="J533" s="62">
        <f>IF(ISNUMBER('Übung 08'!CW$38),'Übung 08'!CW$38,0)</f>
        <v/>
      </c>
      <c r="K533" s="62">
        <f>IF(ISNUMBER('Übung 09'!CW$38),'Übung 09'!CW$38,0)</f>
        <v/>
      </c>
      <c r="L533" s="62">
        <f>IF(ISNUMBER('Übung 10'!CW$38),'Übung 10'!CW$38,0)</f>
        <v/>
      </c>
      <c r="M533" s="62">
        <f>IF(ISNUMBER('Übung 11'!CW$38),'Übung 11'!CW$38,0)</f>
        <v/>
      </c>
      <c r="N533" s="62">
        <f>IF(ISNUMBER('Übung 12'!CW$38),'Übung 12'!CW$38,0)</f>
        <v/>
      </c>
      <c r="O533" s="62">
        <f>IF(ISNUMBER('Übung 13'!CW$38),'Übung 13'!CW$38,0)</f>
        <v/>
      </c>
      <c r="P533" s="62">
        <f>IF(ISNUMBER('Übung 14'!CW$38),'Übung 14'!CW$38,0)</f>
        <v/>
      </c>
      <c r="Q533" s="62">
        <f>IF(ISNUMBER('Übung 15'!CW$38),'Übung 15'!CW$38,0)</f>
        <v/>
      </c>
      <c r="R533" s="62">
        <f>IF(ISNUMBER('Übung 16'!CW$38),'Übung 16'!CW$38,0)</f>
        <v/>
      </c>
      <c r="S533" s="62">
        <f>IF(ISNUMBER('Übung 17'!CW$38),'Übung 17'!CW$38,0)</f>
        <v/>
      </c>
      <c r="T533" s="62">
        <f>IF(ISNUMBER('Übung 18'!CW$38),'Übung 18'!CW$38,0)</f>
        <v/>
      </c>
      <c r="U533" s="62">
        <f>IF(ISNUMBER('Übung 19'!CW$38),'Übung 19'!CW$38,0)</f>
        <v/>
      </c>
      <c r="V533" s="62">
        <f>IF(ISNUMBER('Übung 20'!CW$38),'Übung 20'!CW$38,0)</f>
        <v/>
      </c>
    </row>
    <row r="534">
      <c r="C534" s="62">
        <f>IF(ISNUMBER('Übung 01'!CX$38),'Übung 01'!CX$38,0)</f>
        <v/>
      </c>
      <c r="D534" s="62">
        <f>IF(ISNUMBER('Übung 02'!CX$38),'Übung 02'!CX$38,0)</f>
        <v/>
      </c>
      <c r="E534" s="62">
        <f>IF(ISNUMBER('Übung 03'!CX$38),'Übung 03'!CX$38,0)</f>
        <v/>
      </c>
      <c r="F534" s="62">
        <f>IF(ISNUMBER('Übung 04'!CX$38),'Übung 04'!CX$38,0)</f>
        <v/>
      </c>
      <c r="G534" s="62">
        <f>IF(ISNUMBER('Übung 05'!CX$38),'Übung 05'!CX$38,0)</f>
        <v/>
      </c>
      <c r="H534" s="62">
        <f>IF(ISNUMBER('Übung 06'!CX$38),'Übung 06'!CX$38,0)</f>
        <v/>
      </c>
      <c r="I534" s="62">
        <f>IF(ISNUMBER('Übung 07'!CX$38),'Übung 07'!CX$38,0)</f>
        <v/>
      </c>
      <c r="J534" s="62">
        <f>IF(ISNUMBER('Übung 08'!CX$38),'Übung 08'!CX$38,0)</f>
        <v/>
      </c>
      <c r="K534" s="62">
        <f>IF(ISNUMBER('Übung 09'!CX$38),'Übung 09'!CX$38,0)</f>
        <v/>
      </c>
      <c r="L534" s="62">
        <f>IF(ISNUMBER('Übung 10'!CX$38),'Übung 10'!CX$38,0)</f>
        <v/>
      </c>
      <c r="M534" s="62">
        <f>IF(ISNUMBER('Übung 11'!CX$38),'Übung 11'!CX$38,0)</f>
        <v/>
      </c>
      <c r="N534" s="62">
        <f>IF(ISNUMBER('Übung 12'!CX$38),'Übung 12'!CX$38,0)</f>
        <v/>
      </c>
      <c r="O534" s="62">
        <f>IF(ISNUMBER('Übung 13'!CX$38),'Übung 13'!CX$38,0)</f>
        <v/>
      </c>
      <c r="P534" s="62">
        <f>IF(ISNUMBER('Übung 14'!CX$38),'Übung 14'!CX$38,0)</f>
        <v/>
      </c>
      <c r="Q534" s="62">
        <f>IF(ISNUMBER('Übung 15'!CX$38),'Übung 15'!CX$38,0)</f>
        <v/>
      </c>
      <c r="R534" s="62">
        <f>IF(ISNUMBER('Übung 16'!CX$38),'Übung 16'!CX$38,0)</f>
        <v/>
      </c>
      <c r="S534" s="62">
        <f>IF(ISNUMBER('Übung 17'!CX$38),'Übung 17'!CX$38,0)</f>
        <v/>
      </c>
      <c r="T534" s="62">
        <f>IF(ISNUMBER('Übung 18'!CX$38),'Übung 18'!CX$38,0)</f>
        <v/>
      </c>
      <c r="U534" s="62">
        <f>IF(ISNUMBER('Übung 19'!CX$38),'Übung 19'!CX$38,0)</f>
        <v/>
      </c>
      <c r="V534" s="62">
        <f>IF(ISNUMBER('Übung 20'!CX$38),'Übung 20'!CX$38,0)</f>
        <v/>
      </c>
    </row>
    <row r="535">
      <c r="C535" s="62">
        <f>IF(ISNUMBER('Übung 01'!CY$38),'Übung 01'!CY$38,0)</f>
        <v/>
      </c>
      <c r="D535" s="62">
        <f>IF(ISNUMBER('Übung 02'!CY$38),'Übung 02'!CY$38,0)</f>
        <v/>
      </c>
      <c r="E535" s="62">
        <f>IF(ISNUMBER('Übung 03'!CY$38),'Übung 03'!CY$38,0)</f>
        <v/>
      </c>
      <c r="F535" s="62">
        <f>IF(ISNUMBER('Übung 04'!CY$38),'Übung 04'!CY$38,0)</f>
        <v/>
      </c>
      <c r="G535" s="62">
        <f>IF(ISNUMBER('Übung 05'!CY$38),'Übung 05'!CY$38,0)</f>
        <v/>
      </c>
      <c r="H535" s="62">
        <f>IF(ISNUMBER('Übung 06'!CY$38),'Übung 06'!CY$38,0)</f>
        <v/>
      </c>
      <c r="I535" s="62">
        <f>IF(ISNUMBER('Übung 07'!CY$38),'Übung 07'!CY$38,0)</f>
        <v/>
      </c>
      <c r="J535" s="62">
        <f>IF(ISNUMBER('Übung 08'!CY$38),'Übung 08'!CY$38,0)</f>
        <v/>
      </c>
      <c r="K535" s="62">
        <f>IF(ISNUMBER('Übung 09'!CY$38),'Übung 09'!CY$38,0)</f>
        <v/>
      </c>
      <c r="L535" s="62">
        <f>IF(ISNUMBER('Übung 10'!CY$38),'Übung 10'!CY$38,0)</f>
        <v/>
      </c>
      <c r="M535" s="62">
        <f>IF(ISNUMBER('Übung 11'!CY$38),'Übung 11'!CY$38,0)</f>
        <v/>
      </c>
      <c r="N535" s="62">
        <f>IF(ISNUMBER('Übung 12'!CY$38),'Übung 12'!CY$38,0)</f>
        <v/>
      </c>
      <c r="O535" s="62">
        <f>IF(ISNUMBER('Übung 13'!CY$38),'Übung 13'!CY$38,0)</f>
        <v/>
      </c>
      <c r="P535" s="62">
        <f>IF(ISNUMBER('Übung 14'!CY$38),'Übung 14'!CY$38,0)</f>
        <v/>
      </c>
      <c r="Q535" s="62">
        <f>IF(ISNUMBER('Übung 15'!CY$38),'Übung 15'!CY$38,0)</f>
        <v/>
      </c>
      <c r="R535" s="62">
        <f>IF(ISNUMBER('Übung 16'!CY$38),'Übung 16'!CY$38,0)</f>
        <v/>
      </c>
      <c r="S535" s="62">
        <f>IF(ISNUMBER('Übung 17'!CY$38),'Übung 17'!CY$38,0)</f>
        <v/>
      </c>
      <c r="T535" s="62">
        <f>IF(ISNUMBER('Übung 18'!CY$38),'Übung 18'!CY$38,0)</f>
        <v/>
      </c>
      <c r="U535" s="62">
        <f>IF(ISNUMBER('Übung 19'!CY$38),'Übung 19'!CY$38,0)</f>
        <v/>
      </c>
      <c r="V535" s="62">
        <f>IF(ISNUMBER('Übung 20'!CY$38),'Übung 20'!CY$38,0)</f>
        <v/>
      </c>
    </row>
    <row r="536">
      <c r="C536" s="62">
        <f>IF(ISNUMBER('Übung 01'!CZ$38),'Übung 01'!CZ$38,0)</f>
        <v/>
      </c>
      <c r="D536" s="62">
        <f>IF(ISNUMBER('Übung 02'!CZ$38),'Übung 02'!CZ$38,0)</f>
        <v/>
      </c>
      <c r="E536" s="62">
        <f>IF(ISNUMBER('Übung 03'!CZ$38),'Übung 03'!CZ$38,0)</f>
        <v/>
      </c>
      <c r="F536" s="62">
        <f>IF(ISNUMBER('Übung 04'!CZ$38),'Übung 04'!CZ$38,0)</f>
        <v/>
      </c>
      <c r="G536" s="62">
        <f>IF(ISNUMBER('Übung 05'!CZ$38),'Übung 05'!CZ$38,0)</f>
        <v/>
      </c>
      <c r="H536" s="62">
        <f>IF(ISNUMBER('Übung 06'!CZ$38),'Übung 06'!CZ$38,0)</f>
        <v/>
      </c>
      <c r="I536" s="62">
        <f>IF(ISNUMBER('Übung 07'!CZ$38),'Übung 07'!CZ$38,0)</f>
        <v/>
      </c>
      <c r="J536" s="62">
        <f>IF(ISNUMBER('Übung 08'!CZ$38),'Übung 08'!CZ$38,0)</f>
        <v/>
      </c>
      <c r="K536" s="62">
        <f>IF(ISNUMBER('Übung 09'!CZ$38),'Übung 09'!CZ$38,0)</f>
        <v/>
      </c>
      <c r="L536" s="62">
        <f>IF(ISNUMBER('Übung 10'!CZ$38),'Übung 10'!CZ$38,0)</f>
        <v/>
      </c>
      <c r="M536" s="62">
        <f>IF(ISNUMBER('Übung 11'!CZ$38),'Übung 11'!CZ$38,0)</f>
        <v/>
      </c>
      <c r="N536" s="62">
        <f>IF(ISNUMBER('Übung 12'!CZ$38),'Übung 12'!CZ$38,0)</f>
        <v/>
      </c>
      <c r="O536" s="62">
        <f>IF(ISNUMBER('Übung 13'!CZ$38),'Übung 13'!CZ$38,0)</f>
        <v/>
      </c>
      <c r="P536" s="62">
        <f>IF(ISNUMBER('Übung 14'!CZ$38),'Übung 14'!CZ$38,0)</f>
        <v/>
      </c>
      <c r="Q536" s="62">
        <f>IF(ISNUMBER('Übung 15'!CZ$38),'Übung 15'!CZ$38,0)</f>
        <v/>
      </c>
      <c r="R536" s="62">
        <f>IF(ISNUMBER('Übung 16'!CZ$38),'Übung 16'!CZ$38,0)</f>
        <v/>
      </c>
      <c r="S536" s="62">
        <f>IF(ISNUMBER('Übung 17'!CZ$38),'Übung 17'!CZ$38,0)</f>
        <v/>
      </c>
      <c r="T536" s="62">
        <f>IF(ISNUMBER('Übung 18'!CZ$38),'Übung 18'!CZ$38,0)</f>
        <v/>
      </c>
      <c r="U536" s="62">
        <f>IF(ISNUMBER('Übung 19'!CZ$38),'Übung 19'!CZ$38,0)</f>
        <v/>
      </c>
      <c r="V536" s="62">
        <f>IF(ISNUMBER('Übung 20'!CZ$38),'Übung 20'!CZ$38,0)</f>
        <v/>
      </c>
    </row>
    <row r="537">
      <c r="C537" s="62">
        <f>IF(ISNUMBER('Übung 01'!DA$38),'Übung 01'!DA$38,0)</f>
        <v/>
      </c>
      <c r="D537" s="62">
        <f>IF(ISNUMBER('Übung 02'!DA$38),'Übung 02'!DA$38,0)</f>
        <v/>
      </c>
      <c r="E537" s="62">
        <f>IF(ISNUMBER('Übung 03'!DA$38),'Übung 03'!DA$38,0)</f>
        <v/>
      </c>
      <c r="F537" s="62">
        <f>IF(ISNUMBER('Übung 04'!DA$38),'Übung 04'!DA$38,0)</f>
        <v/>
      </c>
      <c r="G537" s="62">
        <f>IF(ISNUMBER('Übung 05'!DA$38),'Übung 05'!DA$38,0)</f>
        <v/>
      </c>
      <c r="H537" s="62">
        <f>IF(ISNUMBER('Übung 06'!DA$38),'Übung 06'!DA$38,0)</f>
        <v/>
      </c>
      <c r="I537" s="62">
        <f>IF(ISNUMBER('Übung 07'!DA$38),'Übung 07'!DA$38,0)</f>
        <v/>
      </c>
      <c r="J537" s="62">
        <f>IF(ISNUMBER('Übung 08'!DA$38),'Übung 08'!DA$38,0)</f>
        <v/>
      </c>
      <c r="K537" s="62">
        <f>IF(ISNUMBER('Übung 09'!DA$38),'Übung 09'!DA$38,0)</f>
        <v/>
      </c>
      <c r="L537" s="62">
        <f>IF(ISNUMBER('Übung 10'!DA$38),'Übung 10'!DA$38,0)</f>
        <v/>
      </c>
      <c r="M537" s="62">
        <f>IF(ISNUMBER('Übung 11'!DA$38),'Übung 11'!DA$38,0)</f>
        <v/>
      </c>
      <c r="N537" s="62">
        <f>IF(ISNUMBER('Übung 12'!DA$38),'Übung 12'!DA$38,0)</f>
        <v/>
      </c>
      <c r="O537" s="62">
        <f>IF(ISNUMBER('Übung 13'!DA$38),'Übung 13'!DA$38,0)</f>
        <v/>
      </c>
      <c r="P537" s="62">
        <f>IF(ISNUMBER('Übung 14'!DA$38),'Übung 14'!DA$38,0)</f>
        <v/>
      </c>
      <c r="Q537" s="62">
        <f>IF(ISNUMBER('Übung 15'!DA$38),'Übung 15'!DA$38,0)</f>
        <v/>
      </c>
      <c r="R537" s="62">
        <f>IF(ISNUMBER('Übung 16'!DA$38),'Übung 16'!DA$38,0)</f>
        <v/>
      </c>
      <c r="S537" s="62">
        <f>IF(ISNUMBER('Übung 17'!DA$38),'Übung 17'!DA$38,0)</f>
        <v/>
      </c>
      <c r="T537" s="62">
        <f>IF(ISNUMBER('Übung 18'!DA$38),'Übung 18'!DA$38,0)</f>
        <v/>
      </c>
      <c r="U537" s="62">
        <f>IF(ISNUMBER('Übung 19'!DA$38),'Übung 19'!DA$38,0)</f>
        <v/>
      </c>
      <c r="V537" s="62">
        <f>IF(ISNUMBER('Übung 20'!DA$38),'Übung 20'!DA$38,0)</f>
        <v/>
      </c>
    </row>
    <row r="538">
      <c r="C538" s="62">
        <f>IF(ISNUMBER('Übung 01'!DB$38),'Übung 01'!DB$38,0)</f>
        <v/>
      </c>
      <c r="D538" s="62">
        <f>IF(ISNUMBER('Übung 02'!DB$38),'Übung 02'!DB$38,0)</f>
        <v/>
      </c>
      <c r="E538" s="62">
        <f>IF(ISNUMBER('Übung 03'!DB$38),'Übung 03'!DB$38,0)</f>
        <v/>
      </c>
      <c r="F538" s="62">
        <f>IF(ISNUMBER('Übung 04'!DB$38),'Übung 04'!DB$38,0)</f>
        <v/>
      </c>
      <c r="G538" s="62">
        <f>IF(ISNUMBER('Übung 05'!DB$38),'Übung 05'!DB$38,0)</f>
        <v/>
      </c>
      <c r="H538" s="62">
        <f>IF(ISNUMBER('Übung 06'!DB$38),'Übung 06'!DB$38,0)</f>
        <v/>
      </c>
      <c r="I538" s="62">
        <f>IF(ISNUMBER('Übung 07'!DB$38),'Übung 07'!DB$38,0)</f>
        <v/>
      </c>
      <c r="J538" s="62">
        <f>IF(ISNUMBER('Übung 08'!DB$38),'Übung 08'!DB$38,0)</f>
        <v/>
      </c>
      <c r="K538" s="62">
        <f>IF(ISNUMBER('Übung 09'!DB$38),'Übung 09'!DB$38,0)</f>
        <v/>
      </c>
      <c r="L538" s="62">
        <f>IF(ISNUMBER('Übung 10'!DB$38),'Übung 10'!DB$38,0)</f>
        <v/>
      </c>
      <c r="M538" s="62">
        <f>IF(ISNUMBER('Übung 11'!DB$38),'Übung 11'!DB$38,0)</f>
        <v/>
      </c>
      <c r="N538" s="62">
        <f>IF(ISNUMBER('Übung 12'!DB$38),'Übung 12'!DB$38,0)</f>
        <v/>
      </c>
      <c r="O538" s="62">
        <f>IF(ISNUMBER('Übung 13'!DB$38),'Übung 13'!DB$38,0)</f>
        <v/>
      </c>
      <c r="P538" s="62">
        <f>IF(ISNUMBER('Übung 14'!DB$38),'Übung 14'!DB$38,0)</f>
        <v/>
      </c>
      <c r="Q538" s="62">
        <f>IF(ISNUMBER('Übung 15'!DB$38),'Übung 15'!DB$38,0)</f>
        <v/>
      </c>
      <c r="R538" s="62">
        <f>IF(ISNUMBER('Übung 16'!DB$38),'Übung 16'!DB$38,0)</f>
        <v/>
      </c>
      <c r="S538" s="62">
        <f>IF(ISNUMBER('Übung 17'!DB$38),'Übung 17'!DB$38,0)</f>
        <v/>
      </c>
      <c r="T538" s="62">
        <f>IF(ISNUMBER('Übung 18'!DB$38),'Übung 18'!DB$38,0)</f>
        <v/>
      </c>
      <c r="U538" s="62">
        <f>IF(ISNUMBER('Übung 19'!DB$38),'Übung 19'!DB$38,0)</f>
        <v/>
      </c>
      <c r="V538" s="62">
        <f>IF(ISNUMBER('Übung 20'!DB$38),'Übung 20'!DB$38,0)</f>
        <v/>
      </c>
    </row>
    <row r="539">
      <c r="C539" s="62">
        <f>IF(ISNUMBER('Übung 01'!DC$38),'Übung 01'!DC$38,0)</f>
        <v/>
      </c>
      <c r="D539" s="62">
        <f>IF(ISNUMBER('Übung 02'!DC$38),'Übung 02'!DC$38,0)</f>
        <v/>
      </c>
      <c r="E539" s="62">
        <f>IF(ISNUMBER('Übung 03'!DC$38),'Übung 03'!DC$38,0)</f>
        <v/>
      </c>
      <c r="F539" s="62">
        <f>IF(ISNUMBER('Übung 04'!DC$38),'Übung 04'!DC$38,0)</f>
        <v/>
      </c>
      <c r="G539" s="62">
        <f>IF(ISNUMBER('Übung 05'!DC$38),'Übung 05'!DC$38,0)</f>
        <v/>
      </c>
      <c r="H539" s="62">
        <f>IF(ISNUMBER('Übung 06'!DC$38),'Übung 06'!DC$38,0)</f>
        <v/>
      </c>
      <c r="I539" s="62">
        <f>IF(ISNUMBER('Übung 07'!DC$38),'Übung 07'!DC$38,0)</f>
        <v/>
      </c>
      <c r="J539" s="62">
        <f>IF(ISNUMBER('Übung 08'!DC$38),'Übung 08'!DC$38,0)</f>
        <v/>
      </c>
      <c r="K539" s="62">
        <f>IF(ISNUMBER('Übung 09'!DC$38),'Übung 09'!DC$38,0)</f>
        <v/>
      </c>
      <c r="L539" s="62">
        <f>IF(ISNUMBER('Übung 10'!DC$38),'Übung 10'!DC$38,0)</f>
        <v/>
      </c>
      <c r="M539" s="62">
        <f>IF(ISNUMBER('Übung 11'!DC$38),'Übung 11'!DC$38,0)</f>
        <v/>
      </c>
      <c r="N539" s="62">
        <f>IF(ISNUMBER('Übung 12'!DC$38),'Übung 12'!DC$38,0)</f>
        <v/>
      </c>
      <c r="O539" s="62">
        <f>IF(ISNUMBER('Übung 13'!DC$38),'Übung 13'!DC$38,0)</f>
        <v/>
      </c>
      <c r="P539" s="62">
        <f>IF(ISNUMBER('Übung 14'!DC$38),'Übung 14'!DC$38,0)</f>
        <v/>
      </c>
      <c r="Q539" s="62">
        <f>IF(ISNUMBER('Übung 15'!DC$38),'Übung 15'!DC$38,0)</f>
        <v/>
      </c>
      <c r="R539" s="62">
        <f>IF(ISNUMBER('Übung 16'!DC$38),'Übung 16'!DC$38,0)</f>
        <v/>
      </c>
      <c r="S539" s="62">
        <f>IF(ISNUMBER('Übung 17'!DC$38),'Übung 17'!DC$38,0)</f>
        <v/>
      </c>
      <c r="T539" s="62">
        <f>IF(ISNUMBER('Übung 18'!DC$38),'Übung 18'!DC$38,0)</f>
        <v/>
      </c>
      <c r="U539" s="62">
        <f>IF(ISNUMBER('Übung 19'!DC$38),'Übung 19'!DC$38,0)</f>
        <v/>
      </c>
      <c r="V539" s="62">
        <f>IF(ISNUMBER('Übung 20'!DC$38),'Übung 20'!DC$38,0)</f>
        <v/>
      </c>
    </row>
    <row r="544">
      <c r="A544" s="171" t="inlineStr">
        <is>
          <t>Grund</t>
        </is>
      </c>
    </row>
    <row r="545">
      <c r="C545" s="62">
        <f>IF('Übung 01'!E$40="","",'Übung 01'!E$40)</f>
        <v/>
      </c>
      <c r="D545" s="62">
        <f>IF('Übung 02'!E$40="","",'Übung 02'!E$40)</f>
        <v/>
      </c>
      <c r="E545" s="62">
        <f>IF('Übung 03'!E$40="","",'Übung 03'!E$40)</f>
        <v/>
      </c>
      <c r="F545" s="62">
        <f>IF('Übung 04'!E$40="","",'Übung 04'!E$40)</f>
        <v/>
      </c>
      <c r="G545" s="62">
        <f>IF('Übung 05'!E$40="","",'Übung 05'!E$40)</f>
        <v/>
      </c>
      <c r="H545" s="62">
        <f>IF('Übung 06'!E$40="","",'Übung 06'!E$40)</f>
        <v/>
      </c>
      <c r="I545" s="62">
        <f>IF('Übung 07'!E$40="","",'Übung 07'!E$40)</f>
        <v/>
      </c>
      <c r="J545" s="62">
        <f>IF('Übung 08'!E$40="","",'Übung 08'!E$40)</f>
        <v/>
      </c>
      <c r="K545" s="62">
        <f>IF('Übung 09'!E$40="","",'Übung 09'!E$40)</f>
        <v/>
      </c>
      <c r="L545" s="62">
        <f>IF('Übung 10'!E$40="","",'Übung 10'!E$40)</f>
        <v/>
      </c>
      <c r="M545" s="62">
        <f>IF('Übung 11'!E$40="","",'Übung 11'!E$40)</f>
        <v/>
      </c>
      <c r="N545" s="62">
        <f>IF('Übung 12'!E$40="","",'Übung 12'!E$40)</f>
        <v/>
      </c>
      <c r="O545" s="62">
        <f>IF('Übung 13'!E$40="","",'Übung 13'!E$40)</f>
        <v/>
      </c>
      <c r="P545" s="62">
        <f>IF('Übung 14'!E$40="","",'Übung 14'!E$40)</f>
        <v/>
      </c>
      <c r="Q545" s="62">
        <f>IF('Übung 15'!E$40="","",'Übung 15'!E$40)</f>
        <v/>
      </c>
      <c r="R545" s="62">
        <f>IF('Übung 16'!E$40="","",'Übung 16'!E$40)</f>
        <v/>
      </c>
      <c r="S545" s="62">
        <f>IF('Übung 17'!E$40="","",'Übung 17'!E$40)</f>
        <v/>
      </c>
      <c r="T545" s="62">
        <f>IF('Übung 18'!E$40="","",'Übung 18'!E$40)</f>
        <v/>
      </c>
      <c r="U545" s="62">
        <f>IF('Übung 19'!E$40="","",'Übung 19'!E$40)</f>
        <v/>
      </c>
      <c r="V545" s="62">
        <f>IF('Übung 20'!E$40="","",'Übung 20'!E$40)</f>
        <v/>
      </c>
    </row>
    <row r="546">
      <c r="C546" s="62">
        <f>IF('Übung 01'!F$40="","",'Übung 01'!F$40)</f>
        <v/>
      </c>
      <c r="D546" s="62">
        <f>IF('Übung 02'!F$40="","",'Übung 02'!F$40)</f>
        <v/>
      </c>
      <c r="E546" s="62">
        <f>IF('Übung 03'!F$40="","",'Übung 03'!F$40)</f>
        <v/>
      </c>
      <c r="F546" s="62">
        <f>IF('Übung 04'!F$40="","",'Übung 04'!F$40)</f>
        <v/>
      </c>
      <c r="G546" s="62">
        <f>IF('Übung 05'!F$40="","",'Übung 05'!F$40)</f>
        <v/>
      </c>
      <c r="H546" s="62">
        <f>IF('Übung 06'!F$40="","",'Übung 06'!F$40)</f>
        <v/>
      </c>
      <c r="I546" s="62">
        <f>IF('Übung 07'!F$40="","",'Übung 07'!F$40)</f>
        <v/>
      </c>
      <c r="J546" s="62">
        <f>IF('Übung 08'!F$40="","",'Übung 08'!F$40)</f>
        <v/>
      </c>
      <c r="K546" s="62">
        <f>IF('Übung 09'!F$40="","",'Übung 09'!F$40)</f>
        <v/>
      </c>
      <c r="L546" s="62">
        <f>IF('Übung 10'!F$40="","",'Übung 10'!F$40)</f>
        <v/>
      </c>
      <c r="M546" s="62">
        <f>IF('Übung 11'!F$40="","",'Übung 11'!F$40)</f>
        <v/>
      </c>
      <c r="N546" s="62">
        <f>IF('Übung 12'!F$40="","",'Übung 12'!F$40)</f>
        <v/>
      </c>
      <c r="O546" s="62">
        <f>IF('Übung 13'!F$40="","",'Übung 13'!F$40)</f>
        <v/>
      </c>
      <c r="P546" s="62">
        <f>IF('Übung 14'!F$40="","",'Übung 14'!F$40)</f>
        <v/>
      </c>
      <c r="Q546" s="62">
        <f>IF('Übung 15'!F$40="","",'Übung 15'!F$40)</f>
        <v/>
      </c>
      <c r="R546" s="62">
        <f>IF('Übung 16'!F$40="","",'Übung 16'!F$40)</f>
        <v/>
      </c>
      <c r="S546" s="62">
        <f>IF('Übung 17'!F$40="","",'Übung 17'!F$40)</f>
        <v/>
      </c>
      <c r="T546" s="62">
        <f>IF('Übung 18'!F$40="","",'Übung 18'!F$40)</f>
        <v/>
      </c>
      <c r="U546" s="62">
        <f>IF('Übung 19'!F$40="","",'Übung 19'!F$40)</f>
        <v/>
      </c>
      <c r="V546" s="62">
        <f>IF('Übung 20'!F$40="","",'Übung 20'!F$40)</f>
        <v/>
      </c>
    </row>
    <row r="547">
      <c r="C547" s="62">
        <f>IF('Übung 01'!G$40="","",'Übung 01'!G$40)</f>
        <v/>
      </c>
      <c r="D547" s="62">
        <f>IF('Übung 02'!G$40="","",'Übung 02'!G$40)</f>
        <v/>
      </c>
      <c r="E547" s="62">
        <f>IF('Übung 03'!G$40="","",'Übung 03'!G$40)</f>
        <v/>
      </c>
      <c r="F547" s="62">
        <f>IF('Übung 04'!G$40="","",'Übung 04'!G$40)</f>
        <v/>
      </c>
      <c r="G547" s="62">
        <f>IF('Übung 05'!G$40="","",'Übung 05'!G$40)</f>
        <v/>
      </c>
      <c r="H547" s="62">
        <f>IF('Übung 06'!G$40="","",'Übung 06'!G$40)</f>
        <v/>
      </c>
      <c r="I547" s="62">
        <f>IF('Übung 07'!G$40="","",'Übung 07'!G$40)</f>
        <v/>
      </c>
      <c r="J547" s="62">
        <f>IF('Übung 08'!G$40="","",'Übung 08'!G$40)</f>
        <v/>
      </c>
      <c r="K547" s="62">
        <f>IF('Übung 09'!G$40="","",'Übung 09'!G$40)</f>
        <v/>
      </c>
      <c r="L547" s="62">
        <f>IF('Übung 10'!G$40="","",'Übung 10'!G$40)</f>
        <v/>
      </c>
      <c r="M547" s="62">
        <f>IF('Übung 11'!G$40="","",'Übung 11'!G$40)</f>
        <v/>
      </c>
      <c r="N547" s="62">
        <f>IF('Übung 12'!G$40="","",'Übung 12'!G$40)</f>
        <v/>
      </c>
      <c r="O547" s="62">
        <f>IF('Übung 13'!G$40="","",'Übung 13'!G$40)</f>
        <v/>
      </c>
      <c r="P547" s="62">
        <f>IF('Übung 14'!G$40="","",'Übung 14'!G$40)</f>
        <v/>
      </c>
      <c r="Q547" s="62">
        <f>IF('Übung 15'!G$40="","",'Übung 15'!G$40)</f>
        <v/>
      </c>
      <c r="R547" s="62">
        <f>IF('Übung 16'!G$40="","",'Übung 16'!G$40)</f>
        <v/>
      </c>
      <c r="S547" s="62">
        <f>IF('Übung 17'!G$40="","",'Übung 17'!G$40)</f>
        <v/>
      </c>
      <c r="T547" s="62">
        <f>IF('Übung 18'!G$40="","",'Übung 18'!G$40)</f>
        <v/>
      </c>
      <c r="U547" s="62">
        <f>IF('Übung 19'!G$40="","",'Übung 19'!G$40)</f>
        <v/>
      </c>
      <c r="V547" s="62">
        <f>IF('Übung 20'!G$40="","",'Übung 20'!G$40)</f>
        <v/>
      </c>
    </row>
    <row r="548">
      <c r="C548" s="62">
        <f>IF('Übung 01'!H$40="","",'Übung 01'!H$40)</f>
        <v/>
      </c>
      <c r="D548" s="62">
        <f>IF('Übung 02'!H$40="","",'Übung 02'!H$40)</f>
        <v/>
      </c>
      <c r="E548" s="62">
        <f>IF('Übung 03'!H$40="","",'Übung 03'!H$40)</f>
        <v/>
      </c>
      <c r="F548" s="62">
        <f>IF('Übung 04'!H$40="","",'Übung 04'!H$40)</f>
        <v/>
      </c>
      <c r="G548" s="62">
        <f>IF('Übung 05'!H$40="","",'Übung 05'!H$40)</f>
        <v/>
      </c>
      <c r="H548" s="62">
        <f>IF('Übung 06'!H$40="","",'Übung 06'!H$40)</f>
        <v/>
      </c>
      <c r="I548" s="62">
        <f>IF('Übung 07'!H$40="","",'Übung 07'!H$40)</f>
        <v/>
      </c>
      <c r="J548" s="62">
        <f>IF('Übung 08'!H$40="","",'Übung 08'!H$40)</f>
        <v/>
      </c>
      <c r="K548" s="62">
        <f>IF('Übung 09'!H$40="","",'Übung 09'!H$40)</f>
        <v/>
      </c>
      <c r="L548" s="62">
        <f>IF('Übung 10'!H$40="","",'Übung 10'!H$40)</f>
        <v/>
      </c>
      <c r="M548" s="62">
        <f>IF('Übung 11'!H$40="","",'Übung 11'!H$40)</f>
        <v/>
      </c>
      <c r="N548" s="62">
        <f>IF('Übung 12'!H$40="","",'Übung 12'!H$40)</f>
        <v/>
      </c>
      <c r="O548" s="62">
        <f>IF('Übung 13'!H$40="","",'Übung 13'!H$40)</f>
        <v/>
      </c>
      <c r="P548" s="62">
        <f>IF('Übung 14'!H$40="","",'Übung 14'!H$40)</f>
        <v/>
      </c>
      <c r="Q548" s="62">
        <f>IF('Übung 15'!H$40="","",'Übung 15'!H$40)</f>
        <v/>
      </c>
      <c r="R548" s="62">
        <f>IF('Übung 16'!H$40="","",'Übung 16'!H$40)</f>
        <v/>
      </c>
      <c r="S548" s="62">
        <f>IF('Übung 17'!H$40="","",'Übung 17'!H$40)</f>
        <v/>
      </c>
      <c r="T548" s="62">
        <f>IF('Übung 18'!H$40="","",'Übung 18'!H$40)</f>
        <v/>
      </c>
      <c r="U548" s="62">
        <f>IF('Übung 19'!H$40="","",'Übung 19'!H$40)</f>
        <v/>
      </c>
      <c r="V548" s="62">
        <f>IF('Übung 20'!H$40="","",'Übung 20'!H$40)</f>
        <v/>
      </c>
    </row>
    <row r="549">
      <c r="C549" s="62">
        <f>IF('Übung 01'!I$40="","",'Übung 01'!I$40)</f>
        <v/>
      </c>
      <c r="D549" s="62">
        <f>IF('Übung 02'!I$40="","",'Übung 02'!I$40)</f>
        <v/>
      </c>
      <c r="E549" s="62">
        <f>IF('Übung 03'!I$40="","",'Übung 03'!I$40)</f>
        <v/>
      </c>
      <c r="F549" s="62">
        <f>IF('Übung 04'!I$40="","",'Übung 04'!I$40)</f>
        <v/>
      </c>
      <c r="G549" s="62">
        <f>IF('Übung 05'!I$40="","",'Übung 05'!I$40)</f>
        <v/>
      </c>
      <c r="H549" s="62">
        <f>IF('Übung 06'!I$40="","",'Übung 06'!I$40)</f>
        <v/>
      </c>
      <c r="I549" s="62">
        <f>IF('Übung 07'!I$40="","",'Übung 07'!I$40)</f>
        <v/>
      </c>
      <c r="J549" s="62">
        <f>IF('Übung 08'!I$40="","",'Übung 08'!I$40)</f>
        <v/>
      </c>
      <c r="K549" s="62">
        <f>IF('Übung 09'!I$40="","",'Übung 09'!I$40)</f>
        <v/>
      </c>
      <c r="L549" s="62">
        <f>IF('Übung 10'!I$40="","",'Übung 10'!I$40)</f>
        <v/>
      </c>
      <c r="M549" s="62">
        <f>IF('Übung 11'!I$40="","",'Übung 11'!I$40)</f>
        <v/>
      </c>
      <c r="N549" s="62">
        <f>IF('Übung 12'!I$40="","",'Übung 12'!I$40)</f>
        <v/>
      </c>
      <c r="O549" s="62">
        <f>IF('Übung 13'!I$40="","",'Übung 13'!I$40)</f>
        <v/>
      </c>
      <c r="P549" s="62">
        <f>IF('Übung 14'!I$40="","",'Übung 14'!I$40)</f>
        <v/>
      </c>
      <c r="Q549" s="62">
        <f>IF('Übung 15'!I$40="","",'Übung 15'!I$40)</f>
        <v/>
      </c>
      <c r="R549" s="62">
        <f>IF('Übung 16'!I$40="","",'Übung 16'!I$40)</f>
        <v/>
      </c>
      <c r="S549" s="62">
        <f>IF('Übung 17'!I$40="","",'Übung 17'!I$40)</f>
        <v/>
      </c>
      <c r="T549" s="62">
        <f>IF('Übung 18'!I$40="","",'Übung 18'!I$40)</f>
        <v/>
      </c>
      <c r="U549" s="62">
        <f>IF('Übung 19'!I$40="","",'Übung 19'!I$40)</f>
        <v/>
      </c>
      <c r="V549" s="62">
        <f>IF('Übung 20'!I$40="","",'Übung 20'!I$40)</f>
        <v/>
      </c>
    </row>
    <row r="550">
      <c r="C550" s="62">
        <f>IF('Übung 01'!J$40="","",'Übung 01'!J$40)</f>
        <v/>
      </c>
      <c r="D550" s="62">
        <f>IF('Übung 02'!J$40="","",'Übung 02'!J$40)</f>
        <v/>
      </c>
      <c r="E550" s="62">
        <f>IF('Übung 03'!J$40="","",'Übung 03'!J$40)</f>
        <v/>
      </c>
      <c r="F550" s="62">
        <f>IF('Übung 04'!J$40="","",'Übung 04'!J$40)</f>
        <v/>
      </c>
      <c r="G550" s="62">
        <f>IF('Übung 05'!J$40="","",'Übung 05'!J$40)</f>
        <v/>
      </c>
      <c r="H550" s="62">
        <f>IF('Übung 06'!J$40="","",'Übung 06'!J$40)</f>
        <v/>
      </c>
      <c r="I550" s="62">
        <f>IF('Übung 07'!J$40="","",'Übung 07'!J$40)</f>
        <v/>
      </c>
      <c r="J550" s="62">
        <f>IF('Übung 08'!J$40="","",'Übung 08'!J$40)</f>
        <v/>
      </c>
      <c r="K550" s="62">
        <f>IF('Übung 09'!J$40="","",'Übung 09'!J$40)</f>
        <v/>
      </c>
      <c r="L550" s="62">
        <f>IF('Übung 10'!J$40="","",'Übung 10'!J$40)</f>
        <v/>
      </c>
      <c r="M550" s="62">
        <f>IF('Übung 11'!J$40="","",'Übung 11'!J$40)</f>
        <v/>
      </c>
      <c r="N550" s="62">
        <f>IF('Übung 12'!J$40="","",'Übung 12'!J$40)</f>
        <v/>
      </c>
      <c r="O550" s="62">
        <f>IF('Übung 13'!J$40="","",'Übung 13'!J$40)</f>
        <v/>
      </c>
      <c r="P550" s="62">
        <f>IF('Übung 14'!J$40="","",'Übung 14'!J$40)</f>
        <v/>
      </c>
      <c r="Q550" s="62">
        <f>IF('Übung 15'!J$40="","",'Übung 15'!J$40)</f>
        <v/>
      </c>
      <c r="R550" s="62">
        <f>IF('Übung 16'!J$40="","",'Übung 16'!J$40)</f>
        <v/>
      </c>
      <c r="S550" s="62">
        <f>IF('Übung 17'!J$40="","",'Übung 17'!J$40)</f>
        <v/>
      </c>
      <c r="T550" s="62">
        <f>IF('Übung 18'!J$40="","",'Übung 18'!J$40)</f>
        <v/>
      </c>
      <c r="U550" s="62">
        <f>IF('Übung 19'!J$40="","",'Übung 19'!J$40)</f>
        <v/>
      </c>
      <c r="V550" s="62">
        <f>IF('Übung 20'!J$40="","",'Übung 20'!J$40)</f>
        <v/>
      </c>
    </row>
    <row r="551">
      <c r="C551" s="62">
        <f>IF('Übung 01'!K$40="","",'Übung 01'!K$40)</f>
        <v/>
      </c>
      <c r="D551" s="62">
        <f>IF('Übung 02'!K$40="","",'Übung 02'!K$40)</f>
        <v/>
      </c>
      <c r="E551" s="62">
        <f>IF('Übung 03'!K$40="","",'Übung 03'!K$40)</f>
        <v/>
      </c>
      <c r="F551" s="62">
        <f>IF('Übung 04'!K$40="","",'Übung 04'!K$40)</f>
        <v/>
      </c>
      <c r="G551" s="62">
        <f>IF('Übung 05'!K$40="","",'Übung 05'!K$40)</f>
        <v/>
      </c>
      <c r="H551" s="62">
        <f>IF('Übung 06'!K$40="","",'Übung 06'!K$40)</f>
        <v/>
      </c>
      <c r="I551" s="62">
        <f>IF('Übung 07'!K$40="","",'Übung 07'!K$40)</f>
        <v/>
      </c>
      <c r="J551" s="62">
        <f>IF('Übung 08'!K$40="","",'Übung 08'!K$40)</f>
        <v/>
      </c>
      <c r="K551" s="62">
        <f>IF('Übung 09'!K$40="","",'Übung 09'!K$40)</f>
        <v/>
      </c>
      <c r="L551" s="62">
        <f>IF('Übung 10'!K$40="","",'Übung 10'!K$40)</f>
        <v/>
      </c>
      <c r="M551" s="62">
        <f>IF('Übung 11'!K$40="","",'Übung 11'!K$40)</f>
        <v/>
      </c>
      <c r="N551" s="62">
        <f>IF('Übung 12'!K$40="","",'Übung 12'!K$40)</f>
        <v/>
      </c>
      <c r="O551" s="62">
        <f>IF('Übung 13'!K$40="","",'Übung 13'!K$40)</f>
        <v/>
      </c>
      <c r="P551" s="62">
        <f>IF('Übung 14'!K$40="","",'Übung 14'!K$40)</f>
        <v/>
      </c>
      <c r="Q551" s="62">
        <f>IF('Übung 15'!K$40="","",'Übung 15'!K$40)</f>
        <v/>
      </c>
      <c r="R551" s="62">
        <f>IF('Übung 16'!K$40="","",'Übung 16'!K$40)</f>
        <v/>
      </c>
      <c r="S551" s="62">
        <f>IF('Übung 17'!K$40="","",'Übung 17'!K$40)</f>
        <v/>
      </c>
      <c r="T551" s="62">
        <f>IF('Übung 18'!K$40="","",'Übung 18'!K$40)</f>
        <v/>
      </c>
      <c r="U551" s="62">
        <f>IF('Übung 19'!K$40="","",'Übung 19'!K$40)</f>
        <v/>
      </c>
      <c r="V551" s="62">
        <f>IF('Übung 20'!K$40="","",'Übung 20'!K$40)</f>
        <v/>
      </c>
    </row>
    <row r="552">
      <c r="C552" s="62">
        <f>IF('Übung 01'!L$40="","",'Übung 01'!L$40)</f>
        <v/>
      </c>
      <c r="D552" s="62">
        <f>IF('Übung 02'!L$40="","",'Übung 02'!L$40)</f>
        <v/>
      </c>
      <c r="E552" s="62">
        <f>IF('Übung 03'!L$40="","",'Übung 03'!L$40)</f>
        <v/>
      </c>
      <c r="F552" s="62">
        <f>IF('Übung 04'!L$40="","",'Übung 04'!L$40)</f>
        <v/>
      </c>
      <c r="G552" s="62">
        <f>IF('Übung 05'!L$40="","",'Übung 05'!L$40)</f>
        <v/>
      </c>
      <c r="H552" s="62">
        <f>IF('Übung 06'!L$40="","",'Übung 06'!L$40)</f>
        <v/>
      </c>
      <c r="I552" s="62">
        <f>IF('Übung 07'!L$40="","",'Übung 07'!L$40)</f>
        <v/>
      </c>
      <c r="J552" s="62">
        <f>IF('Übung 08'!L$40="","",'Übung 08'!L$40)</f>
        <v/>
      </c>
      <c r="K552" s="62">
        <f>IF('Übung 09'!L$40="","",'Übung 09'!L$40)</f>
        <v/>
      </c>
      <c r="L552" s="62">
        <f>IF('Übung 10'!L$40="","",'Übung 10'!L$40)</f>
        <v/>
      </c>
      <c r="M552" s="62">
        <f>IF('Übung 11'!L$40="","",'Übung 11'!L$40)</f>
        <v/>
      </c>
      <c r="N552" s="62">
        <f>IF('Übung 12'!L$40="","",'Übung 12'!L$40)</f>
        <v/>
      </c>
      <c r="O552" s="62">
        <f>IF('Übung 13'!L$40="","",'Übung 13'!L$40)</f>
        <v/>
      </c>
      <c r="P552" s="62">
        <f>IF('Übung 14'!L$40="","",'Übung 14'!L$40)</f>
        <v/>
      </c>
      <c r="Q552" s="62">
        <f>IF('Übung 15'!L$40="","",'Übung 15'!L$40)</f>
        <v/>
      </c>
      <c r="R552" s="62">
        <f>IF('Übung 16'!L$40="","",'Übung 16'!L$40)</f>
        <v/>
      </c>
      <c r="S552" s="62">
        <f>IF('Übung 17'!L$40="","",'Übung 17'!L$40)</f>
        <v/>
      </c>
      <c r="T552" s="62">
        <f>IF('Übung 18'!L$40="","",'Übung 18'!L$40)</f>
        <v/>
      </c>
      <c r="U552" s="62">
        <f>IF('Übung 19'!L$40="","",'Übung 19'!L$40)</f>
        <v/>
      </c>
      <c r="V552" s="62">
        <f>IF('Übung 20'!L$40="","",'Übung 20'!L$40)</f>
        <v/>
      </c>
    </row>
    <row r="553">
      <c r="C553" s="62">
        <f>IF('Übung 01'!M$40="","",'Übung 01'!M$40)</f>
        <v/>
      </c>
      <c r="D553" s="62">
        <f>IF('Übung 02'!M$40="","",'Übung 02'!M$40)</f>
        <v/>
      </c>
      <c r="E553" s="62">
        <f>IF('Übung 03'!M$40="","",'Übung 03'!M$40)</f>
        <v/>
      </c>
      <c r="F553" s="62">
        <f>IF('Übung 04'!M$40="","",'Übung 04'!M$40)</f>
        <v/>
      </c>
      <c r="G553" s="62">
        <f>IF('Übung 05'!M$40="","",'Übung 05'!M$40)</f>
        <v/>
      </c>
      <c r="H553" s="62">
        <f>IF('Übung 06'!M$40="","",'Übung 06'!M$40)</f>
        <v/>
      </c>
      <c r="I553" s="62">
        <f>IF('Übung 07'!M$40="","",'Übung 07'!M$40)</f>
        <v/>
      </c>
      <c r="J553" s="62">
        <f>IF('Übung 08'!M$40="","",'Übung 08'!M$40)</f>
        <v/>
      </c>
      <c r="K553" s="62">
        <f>IF('Übung 09'!M$40="","",'Übung 09'!M$40)</f>
        <v/>
      </c>
      <c r="L553" s="62">
        <f>IF('Übung 10'!M$40="","",'Übung 10'!M$40)</f>
        <v/>
      </c>
      <c r="M553" s="62">
        <f>IF('Übung 11'!M$40="","",'Übung 11'!M$40)</f>
        <v/>
      </c>
      <c r="N553" s="62">
        <f>IF('Übung 12'!M$40="","",'Übung 12'!M$40)</f>
        <v/>
      </c>
      <c r="O553" s="62">
        <f>IF('Übung 13'!M$40="","",'Übung 13'!M$40)</f>
        <v/>
      </c>
      <c r="P553" s="62">
        <f>IF('Übung 14'!M$40="","",'Übung 14'!M$40)</f>
        <v/>
      </c>
      <c r="Q553" s="62">
        <f>IF('Übung 15'!M$40="","",'Übung 15'!M$40)</f>
        <v/>
      </c>
      <c r="R553" s="62">
        <f>IF('Übung 16'!M$40="","",'Übung 16'!M$40)</f>
        <v/>
      </c>
      <c r="S553" s="62">
        <f>IF('Übung 17'!M$40="","",'Übung 17'!M$40)</f>
        <v/>
      </c>
      <c r="T553" s="62">
        <f>IF('Übung 18'!M$40="","",'Übung 18'!M$40)</f>
        <v/>
      </c>
      <c r="U553" s="62">
        <f>IF('Übung 19'!M$40="","",'Übung 19'!M$40)</f>
        <v/>
      </c>
      <c r="V553" s="62">
        <f>IF('Übung 20'!M$40="","",'Übung 20'!M$40)</f>
        <v/>
      </c>
    </row>
    <row r="554">
      <c r="C554" s="62">
        <f>IF('Übung 01'!N$40="","",'Übung 01'!N$40)</f>
        <v/>
      </c>
      <c r="D554" s="62">
        <f>IF('Übung 02'!N$40="","",'Übung 02'!N$40)</f>
        <v/>
      </c>
      <c r="E554" s="62">
        <f>IF('Übung 03'!N$40="","",'Übung 03'!N$40)</f>
        <v/>
      </c>
      <c r="F554" s="62">
        <f>IF('Übung 04'!N$40="","",'Übung 04'!N$40)</f>
        <v/>
      </c>
      <c r="G554" s="62">
        <f>IF('Übung 05'!N$40="","",'Übung 05'!N$40)</f>
        <v/>
      </c>
      <c r="H554" s="62">
        <f>IF('Übung 06'!N$40="","",'Übung 06'!N$40)</f>
        <v/>
      </c>
      <c r="I554" s="62">
        <f>IF('Übung 07'!N$40="","",'Übung 07'!N$40)</f>
        <v/>
      </c>
      <c r="J554" s="62">
        <f>IF('Übung 08'!N$40="","",'Übung 08'!N$40)</f>
        <v/>
      </c>
      <c r="K554" s="62">
        <f>IF('Übung 09'!N$40="","",'Übung 09'!N$40)</f>
        <v/>
      </c>
      <c r="L554" s="62">
        <f>IF('Übung 10'!N$40="","",'Übung 10'!N$40)</f>
        <v/>
      </c>
      <c r="M554" s="62">
        <f>IF('Übung 11'!N$40="","",'Übung 11'!N$40)</f>
        <v/>
      </c>
      <c r="N554" s="62">
        <f>IF('Übung 12'!N$40="","",'Übung 12'!N$40)</f>
        <v/>
      </c>
      <c r="O554" s="62">
        <f>IF('Übung 13'!N$40="","",'Übung 13'!N$40)</f>
        <v/>
      </c>
      <c r="P554" s="62">
        <f>IF('Übung 14'!N$40="","",'Übung 14'!N$40)</f>
        <v/>
      </c>
      <c r="Q554" s="62">
        <f>IF('Übung 15'!N$40="","",'Übung 15'!N$40)</f>
        <v/>
      </c>
      <c r="R554" s="62">
        <f>IF('Übung 16'!N$40="","",'Übung 16'!N$40)</f>
        <v/>
      </c>
      <c r="S554" s="62">
        <f>IF('Übung 17'!N$40="","",'Übung 17'!N$40)</f>
        <v/>
      </c>
      <c r="T554" s="62">
        <f>IF('Übung 18'!N$40="","",'Übung 18'!N$40)</f>
        <v/>
      </c>
      <c r="U554" s="62">
        <f>IF('Übung 19'!N$40="","",'Übung 19'!N$40)</f>
        <v/>
      </c>
      <c r="V554" s="62">
        <f>IF('Übung 20'!N$40="","",'Übung 20'!N$40)</f>
        <v/>
      </c>
    </row>
    <row r="555">
      <c r="C555" s="62">
        <f>IF('Übung 01'!O$40="","",'Übung 01'!O$40)</f>
        <v/>
      </c>
      <c r="D555" s="62">
        <f>IF('Übung 02'!O$40="","",'Übung 02'!O$40)</f>
        <v/>
      </c>
      <c r="E555" s="62">
        <f>IF('Übung 03'!O$40="","",'Übung 03'!O$40)</f>
        <v/>
      </c>
      <c r="F555" s="62">
        <f>IF('Übung 04'!O$40="","",'Übung 04'!O$40)</f>
        <v/>
      </c>
      <c r="G555" s="62">
        <f>IF('Übung 05'!O$40="","",'Übung 05'!O$40)</f>
        <v/>
      </c>
      <c r="H555" s="62">
        <f>IF('Übung 06'!O$40="","",'Übung 06'!O$40)</f>
        <v/>
      </c>
      <c r="I555" s="62">
        <f>IF('Übung 07'!O$40="","",'Übung 07'!O$40)</f>
        <v/>
      </c>
      <c r="J555" s="62">
        <f>IF('Übung 08'!O$40="","",'Übung 08'!O$40)</f>
        <v/>
      </c>
      <c r="K555" s="62">
        <f>IF('Übung 09'!O$40="","",'Übung 09'!O$40)</f>
        <v/>
      </c>
      <c r="L555" s="62">
        <f>IF('Übung 10'!O$40="","",'Übung 10'!O$40)</f>
        <v/>
      </c>
      <c r="M555" s="62">
        <f>IF('Übung 11'!O$40="","",'Übung 11'!O$40)</f>
        <v/>
      </c>
      <c r="N555" s="62">
        <f>IF('Übung 12'!O$40="","",'Übung 12'!O$40)</f>
        <v/>
      </c>
      <c r="O555" s="62">
        <f>IF('Übung 13'!O$40="","",'Übung 13'!O$40)</f>
        <v/>
      </c>
      <c r="P555" s="62">
        <f>IF('Übung 14'!O$40="","",'Übung 14'!O$40)</f>
        <v/>
      </c>
      <c r="Q555" s="62">
        <f>IF('Übung 15'!O$40="","",'Übung 15'!O$40)</f>
        <v/>
      </c>
      <c r="R555" s="62">
        <f>IF('Übung 16'!O$40="","",'Übung 16'!O$40)</f>
        <v/>
      </c>
      <c r="S555" s="62">
        <f>IF('Übung 17'!O$40="","",'Übung 17'!O$40)</f>
        <v/>
      </c>
      <c r="T555" s="62">
        <f>IF('Übung 18'!O$40="","",'Übung 18'!O$40)</f>
        <v/>
      </c>
      <c r="U555" s="62">
        <f>IF('Übung 19'!O$40="","",'Übung 19'!O$40)</f>
        <v/>
      </c>
      <c r="V555" s="62">
        <f>IF('Übung 20'!O$40="","",'Übung 20'!O$40)</f>
        <v/>
      </c>
    </row>
    <row r="556">
      <c r="C556" s="62">
        <f>IF('Übung 01'!P$40="","",'Übung 01'!P$40)</f>
        <v/>
      </c>
      <c r="D556" s="62">
        <f>IF('Übung 02'!P$40="","",'Übung 02'!P$40)</f>
        <v/>
      </c>
      <c r="E556" s="62">
        <f>IF('Übung 03'!P$40="","",'Übung 03'!P$40)</f>
        <v/>
      </c>
      <c r="F556" s="62">
        <f>IF('Übung 04'!P$40="","",'Übung 04'!P$40)</f>
        <v/>
      </c>
      <c r="G556" s="62">
        <f>IF('Übung 05'!P$40="","",'Übung 05'!P$40)</f>
        <v/>
      </c>
      <c r="H556" s="62">
        <f>IF('Übung 06'!P$40="","",'Übung 06'!P$40)</f>
        <v/>
      </c>
      <c r="I556" s="62">
        <f>IF('Übung 07'!P$40="","",'Übung 07'!P$40)</f>
        <v/>
      </c>
      <c r="J556" s="62">
        <f>IF('Übung 08'!P$40="","",'Übung 08'!P$40)</f>
        <v/>
      </c>
      <c r="K556" s="62">
        <f>IF('Übung 09'!P$40="","",'Übung 09'!P$40)</f>
        <v/>
      </c>
      <c r="L556" s="62">
        <f>IF('Übung 10'!P$40="","",'Übung 10'!P$40)</f>
        <v/>
      </c>
      <c r="M556" s="62">
        <f>IF('Übung 11'!P$40="","",'Übung 11'!P$40)</f>
        <v/>
      </c>
      <c r="N556" s="62">
        <f>IF('Übung 12'!P$40="","",'Übung 12'!P$40)</f>
        <v/>
      </c>
      <c r="O556" s="62">
        <f>IF('Übung 13'!P$40="","",'Übung 13'!P$40)</f>
        <v/>
      </c>
      <c r="P556" s="62">
        <f>IF('Übung 14'!P$40="","",'Übung 14'!P$40)</f>
        <v/>
      </c>
      <c r="Q556" s="62">
        <f>IF('Übung 15'!P$40="","",'Übung 15'!P$40)</f>
        <v/>
      </c>
      <c r="R556" s="62">
        <f>IF('Übung 16'!P$40="","",'Übung 16'!P$40)</f>
        <v/>
      </c>
      <c r="S556" s="62">
        <f>IF('Übung 17'!P$40="","",'Übung 17'!P$40)</f>
        <v/>
      </c>
      <c r="T556" s="62">
        <f>IF('Übung 18'!P$40="","",'Übung 18'!P$40)</f>
        <v/>
      </c>
      <c r="U556" s="62">
        <f>IF('Übung 19'!P$40="","",'Übung 19'!P$40)</f>
        <v/>
      </c>
      <c r="V556" s="62">
        <f>IF('Übung 20'!P$40="","",'Übung 20'!P$40)</f>
        <v/>
      </c>
    </row>
    <row r="557">
      <c r="C557" s="62">
        <f>IF('Übung 01'!Q$40="","",'Übung 01'!Q$40)</f>
        <v/>
      </c>
      <c r="D557" s="62">
        <f>IF('Übung 02'!Q$40="","",'Übung 02'!Q$40)</f>
        <v/>
      </c>
      <c r="E557" s="62">
        <f>IF('Übung 03'!Q$40="","",'Übung 03'!Q$40)</f>
        <v/>
      </c>
      <c r="F557" s="62">
        <f>IF('Übung 04'!Q$40="","",'Übung 04'!Q$40)</f>
        <v/>
      </c>
      <c r="G557" s="62">
        <f>IF('Übung 05'!Q$40="","",'Übung 05'!Q$40)</f>
        <v/>
      </c>
      <c r="H557" s="62">
        <f>IF('Übung 06'!Q$40="","",'Übung 06'!Q$40)</f>
        <v/>
      </c>
      <c r="I557" s="62">
        <f>IF('Übung 07'!Q$40="","",'Übung 07'!Q$40)</f>
        <v/>
      </c>
      <c r="J557" s="62">
        <f>IF('Übung 08'!Q$40="","",'Übung 08'!Q$40)</f>
        <v/>
      </c>
      <c r="K557" s="62">
        <f>IF('Übung 09'!Q$40="","",'Übung 09'!Q$40)</f>
        <v/>
      </c>
      <c r="L557" s="62">
        <f>IF('Übung 10'!Q$40="","",'Übung 10'!Q$40)</f>
        <v/>
      </c>
      <c r="M557" s="62">
        <f>IF('Übung 11'!Q$40="","",'Übung 11'!Q$40)</f>
        <v/>
      </c>
      <c r="N557" s="62">
        <f>IF('Übung 12'!Q$40="","",'Übung 12'!Q$40)</f>
        <v/>
      </c>
      <c r="O557" s="62">
        <f>IF('Übung 13'!Q$40="","",'Übung 13'!Q$40)</f>
        <v/>
      </c>
      <c r="P557" s="62">
        <f>IF('Übung 14'!Q$40="","",'Übung 14'!Q$40)</f>
        <v/>
      </c>
      <c r="Q557" s="62">
        <f>IF('Übung 15'!Q$40="","",'Übung 15'!Q$40)</f>
        <v/>
      </c>
      <c r="R557" s="62">
        <f>IF('Übung 16'!Q$40="","",'Übung 16'!Q$40)</f>
        <v/>
      </c>
      <c r="S557" s="62">
        <f>IF('Übung 17'!Q$40="","",'Übung 17'!Q$40)</f>
        <v/>
      </c>
      <c r="T557" s="62">
        <f>IF('Übung 18'!Q$40="","",'Übung 18'!Q$40)</f>
        <v/>
      </c>
      <c r="U557" s="62">
        <f>IF('Übung 19'!Q$40="","",'Übung 19'!Q$40)</f>
        <v/>
      </c>
      <c r="V557" s="62">
        <f>IF('Übung 20'!Q$40="","",'Übung 20'!Q$40)</f>
        <v/>
      </c>
    </row>
    <row r="558">
      <c r="C558" s="62">
        <f>IF('Übung 01'!R$40="","",'Übung 01'!R$40)</f>
        <v/>
      </c>
      <c r="D558" s="62">
        <f>IF('Übung 02'!R$40="","",'Übung 02'!R$40)</f>
        <v/>
      </c>
      <c r="E558" s="62">
        <f>IF('Übung 03'!R$40="","",'Übung 03'!R$40)</f>
        <v/>
      </c>
      <c r="F558" s="62">
        <f>IF('Übung 04'!R$40="","",'Übung 04'!R$40)</f>
        <v/>
      </c>
      <c r="G558" s="62">
        <f>IF('Übung 05'!R$40="","",'Übung 05'!R$40)</f>
        <v/>
      </c>
      <c r="H558" s="62">
        <f>IF('Übung 06'!R$40="","",'Übung 06'!R$40)</f>
        <v/>
      </c>
      <c r="I558" s="62">
        <f>IF('Übung 07'!R$40="","",'Übung 07'!R$40)</f>
        <v/>
      </c>
      <c r="J558" s="62">
        <f>IF('Übung 08'!R$40="","",'Übung 08'!R$40)</f>
        <v/>
      </c>
      <c r="K558" s="62">
        <f>IF('Übung 09'!R$40="","",'Übung 09'!R$40)</f>
        <v/>
      </c>
      <c r="L558" s="62">
        <f>IF('Übung 10'!R$40="","",'Übung 10'!R$40)</f>
        <v/>
      </c>
      <c r="M558" s="62">
        <f>IF('Übung 11'!R$40="","",'Übung 11'!R$40)</f>
        <v/>
      </c>
      <c r="N558" s="62">
        <f>IF('Übung 12'!R$40="","",'Übung 12'!R$40)</f>
        <v/>
      </c>
      <c r="O558" s="62">
        <f>IF('Übung 13'!R$40="","",'Übung 13'!R$40)</f>
        <v/>
      </c>
      <c r="P558" s="62">
        <f>IF('Übung 14'!R$40="","",'Übung 14'!R$40)</f>
        <v/>
      </c>
      <c r="Q558" s="62">
        <f>IF('Übung 15'!R$40="","",'Übung 15'!R$40)</f>
        <v/>
      </c>
      <c r="R558" s="62">
        <f>IF('Übung 16'!R$40="","",'Übung 16'!R$40)</f>
        <v/>
      </c>
      <c r="S558" s="62">
        <f>IF('Übung 17'!R$40="","",'Übung 17'!R$40)</f>
        <v/>
      </c>
      <c r="T558" s="62">
        <f>IF('Übung 18'!R$40="","",'Übung 18'!R$40)</f>
        <v/>
      </c>
      <c r="U558" s="62">
        <f>IF('Übung 19'!R$40="","",'Übung 19'!R$40)</f>
        <v/>
      </c>
      <c r="V558" s="62">
        <f>IF('Übung 20'!R$40="","",'Übung 20'!R$40)</f>
        <v/>
      </c>
    </row>
    <row r="559">
      <c r="C559" s="62">
        <f>IF('Übung 01'!S$40="","",'Übung 01'!S$40)</f>
        <v/>
      </c>
      <c r="D559" s="62">
        <f>IF('Übung 02'!S$40="","",'Übung 02'!S$40)</f>
        <v/>
      </c>
      <c r="E559" s="62">
        <f>IF('Übung 03'!S$40="","",'Übung 03'!S$40)</f>
        <v/>
      </c>
      <c r="F559" s="62">
        <f>IF('Übung 04'!S$40="","",'Übung 04'!S$40)</f>
        <v/>
      </c>
      <c r="G559" s="62">
        <f>IF('Übung 05'!S$40="","",'Übung 05'!S$40)</f>
        <v/>
      </c>
      <c r="H559" s="62">
        <f>IF('Übung 06'!S$40="","",'Übung 06'!S$40)</f>
        <v/>
      </c>
      <c r="I559" s="62">
        <f>IF('Übung 07'!S$40="","",'Übung 07'!S$40)</f>
        <v/>
      </c>
      <c r="J559" s="62">
        <f>IF('Übung 08'!S$40="","",'Übung 08'!S$40)</f>
        <v/>
      </c>
      <c r="K559" s="62">
        <f>IF('Übung 09'!S$40="","",'Übung 09'!S$40)</f>
        <v/>
      </c>
      <c r="L559" s="62">
        <f>IF('Übung 10'!S$40="","",'Übung 10'!S$40)</f>
        <v/>
      </c>
      <c r="M559" s="62">
        <f>IF('Übung 11'!S$40="","",'Übung 11'!S$40)</f>
        <v/>
      </c>
      <c r="N559" s="62">
        <f>IF('Übung 12'!S$40="","",'Übung 12'!S$40)</f>
        <v/>
      </c>
      <c r="O559" s="62">
        <f>IF('Übung 13'!S$40="","",'Übung 13'!S$40)</f>
        <v/>
      </c>
      <c r="P559" s="62">
        <f>IF('Übung 14'!S$40="","",'Übung 14'!S$40)</f>
        <v/>
      </c>
      <c r="Q559" s="62">
        <f>IF('Übung 15'!S$40="","",'Übung 15'!S$40)</f>
        <v/>
      </c>
      <c r="R559" s="62">
        <f>IF('Übung 16'!S$40="","",'Übung 16'!S$40)</f>
        <v/>
      </c>
      <c r="S559" s="62">
        <f>IF('Übung 17'!S$40="","",'Übung 17'!S$40)</f>
        <v/>
      </c>
      <c r="T559" s="62">
        <f>IF('Übung 18'!S$40="","",'Übung 18'!S$40)</f>
        <v/>
      </c>
      <c r="U559" s="62">
        <f>IF('Übung 19'!S$40="","",'Übung 19'!S$40)</f>
        <v/>
      </c>
      <c r="V559" s="62">
        <f>IF('Übung 20'!S$40="","",'Übung 20'!S$40)</f>
        <v/>
      </c>
    </row>
    <row r="560">
      <c r="C560" s="62">
        <f>IF('Übung 01'!T$40="","",'Übung 01'!T$40)</f>
        <v/>
      </c>
      <c r="D560" s="62">
        <f>IF('Übung 02'!T$40="","",'Übung 02'!T$40)</f>
        <v/>
      </c>
      <c r="E560" s="62">
        <f>IF('Übung 03'!T$40="","",'Übung 03'!T$40)</f>
        <v/>
      </c>
      <c r="F560" s="62">
        <f>IF('Übung 04'!T$40="","",'Übung 04'!T$40)</f>
        <v/>
      </c>
      <c r="G560" s="62">
        <f>IF('Übung 05'!T$40="","",'Übung 05'!T$40)</f>
        <v/>
      </c>
      <c r="H560" s="62">
        <f>IF('Übung 06'!T$40="","",'Übung 06'!T$40)</f>
        <v/>
      </c>
      <c r="I560" s="62">
        <f>IF('Übung 07'!T$40="","",'Übung 07'!T$40)</f>
        <v/>
      </c>
      <c r="J560" s="62">
        <f>IF('Übung 08'!T$40="","",'Übung 08'!T$40)</f>
        <v/>
      </c>
      <c r="K560" s="62">
        <f>IF('Übung 09'!T$40="","",'Übung 09'!T$40)</f>
        <v/>
      </c>
      <c r="L560" s="62">
        <f>IF('Übung 10'!T$40="","",'Übung 10'!T$40)</f>
        <v/>
      </c>
      <c r="M560" s="62">
        <f>IF('Übung 11'!T$40="","",'Übung 11'!T$40)</f>
        <v/>
      </c>
      <c r="N560" s="62">
        <f>IF('Übung 12'!T$40="","",'Übung 12'!T$40)</f>
        <v/>
      </c>
      <c r="O560" s="62">
        <f>IF('Übung 13'!T$40="","",'Übung 13'!T$40)</f>
        <v/>
      </c>
      <c r="P560" s="62">
        <f>IF('Übung 14'!T$40="","",'Übung 14'!T$40)</f>
        <v/>
      </c>
      <c r="Q560" s="62">
        <f>IF('Übung 15'!T$40="","",'Übung 15'!T$40)</f>
        <v/>
      </c>
      <c r="R560" s="62">
        <f>IF('Übung 16'!T$40="","",'Übung 16'!T$40)</f>
        <v/>
      </c>
      <c r="S560" s="62">
        <f>IF('Übung 17'!T$40="","",'Übung 17'!T$40)</f>
        <v/>
      </c>
      <c r="T560" s="62">
        <f>IF('Übung 18'!T$40="","",'Übung 18'!T$40)</f>
        <v/>
      </c>
      <c r="U560" s="62">
        <f>IF('Übung 19'!T$40="","",'Übung 19'!T$40)</f>
        <v/>
      </c>
      <c r="V560" s="62">
        <f>IF('Übung 20'!T$40="","",'Übung 20'!T$40)</f>
        <v/>
      </c>
    </row>
    <row r="561">
      <c r="C561" s="62">
        <f>IF('Übung 01'!U$40="","",'Übung 01'!U$40)</f>
        <v/>
      </c>
      <c r="D561" s="62">
        <f>IF('Übung 02'!U$40="","",'Übung 02'!U$40)</f>
        <v/>
      </c>
      <c r="E561" s="62">
        <f>IF('Übung 03'!U$40="","",'Übung 03'!U$40)</f>
        <v/>
      </c>
      <c r="F561" s="62">
        <f>IF('Übung 04'!U$40="","",'Übung 04'!U$40)</f>
        <v/>
      </c>
      <c r="G561" s="62">
        <f>IF('Übung 05'!U$40="","",'Übung 05'!U$40)</f>
        <v/>
      </c>
      <c r="H561" s="62">
        <f>IF('Übung 06'!U$40="","",'Übung 06'!U$40)</f>
        <v/>
      </c>
      <c r="I561" s="62">
        <f>IF('Übung 07'!U$40="","",'Übung 07'!U$40)</f>
        <v/>
      </c>
      <c r="J561" s="62">
        <f>IF('Übung 08'!U$40="","",'Übung 08'!U$40)</f>
        <v/>
      </c>
      <c r="K561" s="62">
        <f>IF('Übung 09'!U$40="","",'Übung 09'!U$40)</f>
        <v/>
      </c>
      <c r="L561" s="62">
        <f>IF('Übung 10'!U$40="","",'Übung 10'!U$40)</f>
        <v/>
      </c>
      <c r="M561" s="62">
        <f>IF('Übung 11'!U$40="","",'Übung 11'!U$40)</f>
        <v/>
      </c>
      <c r="N561" s="62">
        <f>IF('Übung 12'!U$40="","",'Übung 12'!U$40)</f>
        <v/>
      </c>
      <c r="O561" s="62">
        <f>IF('Übung 13'!U$40="","",'Übung 13'!U$40)</f>
        <v/>
      </c>
      <c r="P561" s="62">
        <f>IF('Übung 14'!U$40="","",'Übung 14'!U$40)</f>
        <v/>
      </c>
      <c r="Q561" s="62">
        <f>IF('Übung 15'!U$40="","",'Übung 15'!U$40)</f>
        <v/>
      </c>
      <c r="R561" s="62">
        <f>IF('Übung 16'!U$40="","",'Übung 16'!U$40)</f>
        <v/>
      </c>
      <c r="S561" s="62">
        <f>IF('Übung 17'!U$40="","",'Übung 17'!U$40)</f>
        <v/>
      </c>
      <c r="T561" s="62">
        <f>IF('Übung 18'!U$40="","",'Übung 18'!U$40)</f>
        <v/>
      </c>
      <c r="U561" s="62">
        <f>IF('Übung 19'!U$40="","",'Übung 19'!U$40)</f>
        <v/>
      </c>
      <c r="V561" s="62">
        <f>IF('Übung 20'!U$40="","",'Übung 20'!U$40)</f>
        <v/>
      </c>
    </row>
    <row r="562">
      <c r="C562" s="62">
        <f>IF('Übung 01'!V$40="","",'Übung 01'!V$40)</f>
        <v/>
      </c>
      <c r="D562" s="62">
        <f>IF('Übung 02'!V$40="","",'Übung 02'!V$40)</f>
        <v/>
      </c>
      <c r="E562" s="62">
        <f>IF('Übung 03'!V$40="","",'Übung 03'!V$40)</f>
        <v/>
      </c>
      <c r="F562" s="62">
        <f>IF('Übung 04'!V$40="","",'Übung 04'!V$40)</f>
        <v/>
      </c>
      <c r="G562" s="62">
        <f>IF('Übung 05'!V$40="","",'Übung 05'!V$40)</f>
        <v/>
      </c>
      <c r="H562" s="62">
        <f>IF('Übung 06'!V$40="","",'Übung 06'!V$40)</f>
        <v/>
      </c>
      <c r="I562" s="62">
        <f>IF('Übung 07'!V$40="","",'Übung 07'!V$40)</f>
        <v/>
      </c>
      <c r="J562" s="62">
        <f>IF('Übung 08'!V$40="","",'Übung 08'!V$40)</f>
        <v/>
      </c>
      <c r="K562" s="62">
        <f>IF('Übung 09'!V$40="","",'Übung 09'!V$40)</f>
        <v/>
      </c>
      <c r="L562" s="62">
        <f>IF('Übung 10'!V$40="","",'Übung 10'!V$40)</f>
        <v/>
      </c>
      <c r="M562" s="62">
        <f>IF('Übung 11'!V$40="","",'Übung 11'!V$40)</f>
        <v/>
      </c>
      <c r="N562" s="62">
        <f>IF('Übung 12'!V$40="","",'Übung 12'!V$40)</f>
        <v/>
      </c>
      <c r="O562" s="62">
        <f>IF('Übung 13'!V$40="","",'Übung 13'!V$40)</f>
        <v/>
      </c>
      <c r="P562" s="62">
        <f>IF('Übung 14'!V$40="","",'Übung 14'!V$40)</f>
        <v/>
      </c>
      <c r="Q562" s="62">
        <f>IF('Übung 15'!V$40="","",'Übung 15'!V$40)</f>
        <v/>
      </c>
      <c r="R562" s="62">
        <f>IF('Übung 16'!V$40="","",'Übung 16'!V$40)</f>
        <v/>
      </c>
      <c r="S562" s="62">
        <f>IF('Übung 17'!V$40="","",'Übung 17'!V$40)</f>
        <v/>
      </c>
      <c r="T562" s="62">
        <f>IF('Übung 18'!V$40="","",'Übung 18'!V$40)</f>
        <v/>
      </c>
      <c r="U562" s="62">
        <f>IF('Übung 19'!V$40="","",'Übung 19'!V$40)</f>
        <v/>
      </c>
      <c r="V562" s="62">
        <f>IF('Übung 20'!V$40="","",'Übung 20'!V$40)</f>
        <v/>
      </c>
    </row>
    <row r="563">
      <c r="C563" s="62">
        <f>IF('Übung 01'!W$40="","",'Übung 01'!W$40)</f>
        <v/>
      </c>
      <c r="D563" s="62">
        <f>IF('Übung 02'!W$40="","",'Übung 02'!W$40)</f>
        <v/>
      </c>
      <c r="E563" s="62">
        <f>IF('Übung 03'!W$40="","",'Übung 03'!W$40)</f>
        <v/>
      </c>
      <c r="F563" s="62">
        <f>IF('Übung 04'!W$40="","",'Übung 04'!W$40)</f>
        <v/>
      </c>
      <c r="G563" s="62">
        <f>IF('Übung 05'!W$40="","",'Übung 05'!W$40)</f>
        <v/>
      </c>
      <c r="H563" s="62">
        <f>IF('Übung 06'!W$40="","",'Übung 06'!W$40)</f>
        <v/>
      </c>
      <c r="I563" s="62">
        <f>IF('Übung 07'!W$40="","",'Übung 07'!W$40)</f>
        <v/>
      </c>
      <c r="J563" s="62">
        <f>IF('Übung 08'!W$40="","",'Übung 08'!W$40)</f>
        <v/>
      </c>
      <c r="K563" s="62">
        <f>IF('Übung 09'!W$40="","",'Übung 09'!W$40)</f>
        <v/>
      </c>
      <c r="L563" s="62">
        <f>IF('Übung 10'!W$40="","",'Übung 10'!W$40)</f>
        <v/>
      </c>
      <c r="M563" s="62">
        <f>IF('Übung 11'!W$40="","",'Übung 11'!W$40)</f>
        <v/>
      </c>
      <c r="N563" s="62">
        <f>IF('Übung 12'!W$40="","",'Übung 12'!W$40)</f>
        <v/>
      </c>
      <c r="O563" s="62">
        <f>IF('Übung 13'!W$40="","",'Übung 13'!W$40)</f>
        <v/>
      </c>
      <c r="P563" s="62">
        <f>IF('Übung 14'!W$40="","",'Übung 14'!W$40)</f>
        <v/>
      </c>
      <c r="Q563" s="62">
        <f>IF('Übung 15'!W$40="","",'Übung 15'!W$40)</f>
        <v/>
      </c>
      <c r="R563" s="62">
        <f>IF('Übung 16'!W$40="","",'Übung 16'!W$40)</f>
        <v/>
      </c>
      <c r="S563" s="62">
        <f>IF('Übung 17'!W$40="","",'Übung 17'!W$40)</f>
        <v/>
      </c>
      <c r="T563" s="62">
        <f>IF('Übung 18'!W$40="","",'Übung 18'!W$40)</f>
        <v/>
      </c>
      <c r="U563" s="62">
        <f>IF('Übung 19'!W$40="","",'Übung 19'!W$40)</f>
        <v/>
      </c>
      <c r="V563" s="62">
        <f>IF('Übung 20'!W$40="","",'Übung 20'!W$40)</f>
        <v/>
      </c>
    </row>
    <row r="564">
      <c r="C564" s="62">
        <f>IF('Übung 01'!X$40="","",'Übung 01'!X$40)</f>
        <v/>
      </c>
      <c r="D564" s="62">
        <f>IF('Übung 02'!X$40="","",'Übung 02'!X$40)</f>
        <v/>
      </c>
      <c r="E564" s="62">
        <f>IF('Übung 03'!X$40="","",'Übung 03'!X$40)</f>
        <v/>
      </c>
      <c r="F564" s="62">
        <f>IF('Übung 04'!X$40="","",'Übung 04'!X$40)</f>
        <v/>
      </c>
      <c r="G564" s="62">
        <f>IF('Übung 05'!X$40="","",'Übung 05'!X$40)</f>
        <v/>
      </c>
      <c r="H564" s="62">
        <f>IF('Übung 06'!X$40="","",'Übung 06'!X$40)</f>
        <v/>
      </c>
      <c r="I564" s="62">
        <f>IF('Übung 07'!X$40="","",'Übung 07'!X$40)</f>
        <v/>
      </c>
      <c r="J564" s="62">
        <f>IF('Übung 08'!X$40="","",'Übung 08'!X$40)</f>
        <v/>
      </c>
      <c r="K564" s="62">
        <f>IF('Übung 09'!X$40="","",'Übung 09'!X$40)</f>
        <v/>
      </c>
      <c r="L564" s="62">
        <f>IF('Übung 10'!X$40="","",'Übung 10'!X$40)</f>
        <v/>
      </c>
      <c r="M564" s="62">
        <f>IF('Übung 11'!X$40="","",'Übung 11'!X$40)</f>
        <v/>
      </c>
      <c r="N564" s="62">
        <f>IF('Übung 12'!X$40="","",'Übung 12'!X$40)</f>
        <v/>
      </c>
      <c r="O564" s="62">
        <f>IF('Übung 13'!X$40="","",'Übung 13'!X$40)</f>
        <v/>
      </c>
      <c r="P564" s="62">
        <f>IF('Übung 14'!X$40="","",'Übung 14'!X$40)</f>
        <v/>
      </c>
      <c r="Q564" s="62">
        <f>IF('Übung 15'!X$40="","",'Übung 15'!X$40)</f>
        <v/>
      </c>
      <c r="R564" s="62">
        <f>IF('Übung 16'!X$40="","",'Übung 16'!X$40)</f>
        <v/>
      </c>
      <c r="S564" s="62">
        <f>IF('Übung 17'!X$40="","",'Übung 17'!X$40)</f>
        <v/>
      </c>
      <c r="T564" s="62">
        <f>IF('Übung 18'!X$40="","",'Übung 18'!X$40)</f>
        <v/>
      </c>
      <c r="U564" s="62">
        <f>IF('Übung 19'!X$40="","",'Übung 19'!X$40)</f>
        <v/>
      </c>
      <c r="V564" s="62">
        <f>IF('Übung 20'!X$40="","",'Übung 20'!X$40)</f>
        <v/>
      </c>
    </row>
    <row r="565">
      <c r="C565" s="62">
        <f>IF('Übung 01'!Y$40="","",'Übung 01'!Y$40)</f>
        <v/>
      </c>
      <c r="D565" s="62">
        <f>IF('Übung 02'!Y$40="","",'Übung 02'!Y$40)</f>
        <v/>
      </c>
      <c r="E565" s="62">
        <f>IF('Übung 03'!Y$40="","",'Übung 03'!Y$40)</f>
        <v/>
      </c>
      <c r="F565" s="62">
        <f>IF('Übung 04'!Y$40="","",'Übung 04'!Y$40)</f>
        <v/>
      </c>
      <c r="G565" s="62">
        <f>IF('Übung 05'!Y$40="","",'Übung 05'!Y$40)</f>
        <v/>
      </c>
      <c r="H565" s="62">
        <f>IF('Übung 06'!Y$40="","",'Übung 06'!Y$40)</f>
        <v/>
      </c>
      <c r="I565" s="62">
        <f>IF('Übung 07'!Y$40="","",'Übung 07'!Y$40)</f>
        <v/>
      </c>
      <c r="J565" s="62">
        <f>IF('Übung 08'!Y$40="","",'Übung 08'!Y$40)</f>
        <v/>
      </c>
      <c r="K565" s="62">
        <f>IF('Übung 09'!Y$40="","",'Übung 09'!Y$40)</f>
        <v/>
      </c>
      <c r="L565" s="62">
        <f>IF('Übung 10'!Y$40="","",'Übung 10'!Y$40)</f>
        <v/>
      </c>
      <c r="M565" s="62">
        <f>IF('Übung 11'!Y$40="","",'Übung 11'!Y$40)</f>
        <v/>
      </c>
      <c r="N565" s="62">
        <f>IF('Übung 12'!Y$40="","",'Übung 12'!Y$40)</f>
        <v/>
      </c>
      <c r="O565" s="62">
        <f>IF('Übung 13'!Y$40="","",'Übung 13'!Y$40)</f>
        <v/>
      </c>
      <c r="P565" s="62">
        <f>IF('Übung 14'!Y$40="","",'Übung 14'!Y$40)</f>
        <v/>
      </c>
      <c r="Q565" s="62">
        <f>IF('Übung 15'!Y$40="","",'Übung 15'!Y$40)</f>
        <v/>
      </c>
      <c r="R565" s="62">
        <f>IF('Übung 16'!Y$40="","",'Übung 16'!Y$40)</f>
        <v/>
      </c>
      <c r="S565" s="62">
        <f>IF('Übung 17'!Y$40="","",'Übung 17'!Y$40)</f>
        <v/>
      </c>
      <c r="T565" s="62">
        <f>IF('Übung 18'!Y$40="","",'Übung 18'!Y$40)</f>
        <v/>
      </c>
      <c r="U565" s="62">
        <f>IF('Übung 19'!Y$40="","",'Übung 19'!Y$40)</f>
        <v/>
      </c>
      <c r="V565" s="62">
        <f>IF('Übung 20'!Y$40="","",'Übung 20'!Y$40)</f>
        <v/>
      </c>
    </row>
    <row r="566">
      <c r="C566" s="62">
        <f>IF('Übung 01'!Z$40="","",'Übung 01'!Z$40)</f>
        <v/>
      </c>
      <c r="D566" s="62">
        <f>IF('Übung 02'!Z$40="","",'Übung 02'!Z$40)</f>
        <v/>
      </c>
      <c r="E566" s="62">
        <f>IF('Übung 03'!Z$40="","",'Übung 03'!Z$40)</f>
        <v/>
      </c>
      <c r="F566" s="62">
        <f>IF('Übung 04'!Z$40="","",'Übung 04'!Z$40)</f>
        <v/>
      </c>
      <c r="G566" s="62">
        <f>IF('Übung 05'!Z$40="","",'Übung 05'!Z$40)</f>
        <v/>
      </c>
      <c r="H566" s="62">
        <f>IF('Übung 06'!Z$40="","",'Übung 06'!Z$40)</f>
        <v/>
      </c>
      <c r="I566" s="62">
        <f>IF('Übung 07'!Z$40="","",'Übung 07'!Z$40)</f>
        <v/>
      </c>
      <c r="J566" s="62">
        <f>IF('Übung 08'!Z$40="","",'Übung 08'!Z$40)</f>
        <v/>
      </c>
      <c r="K566" s="62">
        <f>IF('Übung 09'!Z$40="","",'Übung 09'!Z$40)</f>
        <v/>
      </c>
      <c r="L566" s="62">
        <f>IF('Übung 10'!Z$40="","",'Übung 10'!Z$40)</f>
        <v/>
      </c>
      <c r="M566" s="62">
        <f>IF('Übung 11'!Z$40="","",'Übung 11'!Z$40)</f>
        <v/>
      </c>
      <c r="N566" s="62">
        <f>IF('Übung 12'!Z$40="","",'Übung 12'!Z$40)</f>
        <v/>
      </c>
      <c r="O566" s="62">
        <f>IF('Übung 13'!Z$40="","",'Übung 13'!Z$40)</f>
        <v/>
      </c>
      <c r="P566" s="62">
        <f>IF('Übung 14'!Z$40="","",'Übung 14'!Z$40)</f>
        <v/>
      </c>
      <c r="Q566" s="62">
        <f>IF('Übung 15'!Z$40="","",'Übung 15'!Z$40)</f>
        <v/>
      </c>
      <c r="R566" s="62">
        <f>IF('Übung 16'!Z$40="","",'Übung 16'!Z$40)</f>
        <v/>
      </c>
      <c r="S566" s="62">
        <f>IF('Übung 17'!Z$40="","",'Übung 17'!Z$40)</f>
        <v/>
      </c>
      <c r="T566" s="62">
        <f>IF('Übung 18'!Z$40="","",'Übung 18'!Z$40)</f>
        <v/>
      </c>
      <c r="U566" s="62">
        <f>IF('Übung 19'!Z$40="","",'Übung 19'!Z$40)</f>
        <v/>
      </c>
      <c r="V566" s="62">
        <f>IF('Übung 20'!Z$40="","",'Übung 20'!Z$40)</f>
        <v/>
      </c>
    </row>
    <row r="567">
      <c r="C567" s="62">
        <f>IF('Übung 01'!AA$40="","",'Übung 01'!AA$40)</f>
        <v/>
      </c>
      <c r="D567" s="62">
        <f>IF('Übung 02'!AA$40="","",'Übung 02'!AA$40)</f>
        <v/>
      </c>
      <c r="E567" s="62">
        <f>IF('Übung 03'!AA$40="","",'Übung 03'!AA$40)</f>
        <v/>
      </c>
      <c r="F567" s="62">
        <f>IF('Übung 04'!AA$40="","",'Übung 04'!AA$40)</f>
        <v/>
      </c>
      <c r="G567" s="62">
        <f>IF('Übung 05'!AA$40="","",'Übung 05'!AA$40)</f>
        <v/>
      </c>
      <c r="H567" s="62">
        <f>IF('Übung 06'!AA$40="","",'Übung 06'!AA$40)</f>
        <v/>
      </c>
      <c r="I567" s="62">
        <f>IF('Übung 07'!AA$40="","",'Übung 07'!AA$40)</f>
        <v/>
      </c>
      <c r="J567" s="62">
        <f>IF('Übung 08'!AA$40="","",'Übung 08'!AA$40)</f>
        <v/>
      </c>
      <c r="K567" s="62">
        <f>IF('Übung 09'!AA$40="","",'Übung 09'!AA$40)</f>
        <v/>
      </c>
      <c r="L567" s="62">
        <f>IF('Übung 10'!AA$40="","",'Übung 10'!AA$40)</f>
        <v/>
      </c>
      <c r="M567" s="62">
        <f>IF('Übung 11'!AA$40="","",'Übung 11'!AA$40)</f>
        <v/>
      </c>
      <c r="N567" s="62">
        <f>IF('Übung 12'!AA$40="","",'Übung 12'!AA$40)</f>
        <v/>
      </c>
      <c r="O567" s="62">
        <f>IF('Übung 13'!AA$40="","",'Übung 13'!AA$40)</f>
        <v/>
      </c>
      <c r="P567" s="62">
        <f>IF('Übung 14'!AA$40="","",'Übung 14'!AA$40)</f>
        <v/>
      </c>
      <c r="Q567" s="62">
        <f>IF('Übung 15'!AA$40="","",'Übung 15'!AA$40)</f>
        <v/>
      </c>
      <c r="R567" s="62">
        <f>IF('Übung 16'!AA$40="","",'Übung 16'!AA$40)</f>
        <v/>
      </c>
      <c r="S567" s="62">
        <f>IF('Übung 17'!AA$40="","",'Übung 17'!AA$40)</f>
        <v/>
      </c>
      <c r="T567" s="62">
        <f>IF('Übung 18'!AA$40="","",'Übung 18'!AA$40)</f>
        <v/>
      </c>
      <c r="U567" s="62">
        <f>IF('Übung 19'!AA$40="","",'Übung 19'!AA$40)</f>
        <v/>
      </c>
      <c r="V567" s="62">
        <f>IF('Übung 20'!AA$40="","",'Übung 20'!AA$40)</f>
        <v/>
      </c>
    </row>
    <row r="568">
      <c r="C568" s="62">
        <f>IF('Übung 01'!AB$40="","",'Übung 01'!AB$40)</f>
        <v/>
      </c>
      <c r="D568" s="62">
        <f>IF('Übung 02'!AB$40="","",'Übung 02'!AB$40)</f>
        <v/>
      </c>
      <c r="E568" s="62">
        <f>IF('Übung 03'!AB$40="","",'Übung 03'!AB$40)</f>
        <v/>
      </c>
      <c r="F568" s="62">
        <f>IF('Übung 04'!AB$40="","",'Übung 04'!AB$40)</f>
        <v/>
      </c>
      <c r="G568" s="62">
        <f>IF('Übung 05'!AB$40="","",'Übung 05'!AB$40)</f>
        <v/>
      </c>
      <c r="H568" s="62">
        <f>IF('Übung 06'!AB$40="","",'Übung 06'!AB$40)</f>
        <v/>
      </c>
      <c r="I568" s="62">
        <f>IF('Übung 07'!AB$40="","",'Übung 07'!AB$40)</f>
        <v/>
      </c>
      <c r="J568" s="62">
        <f>IF('Übung 08'!AB$40="","",'Übung 08'!AB$40)</f>
        <v/>
      </c>
      <c r="K568" s="62">
        <f>IF('Übung 09'!AB$40="","",'Übung 09'!AB$40)</f>
        <v/>
      </c>
      <c r="L568" s="62">
        <f>IF('Übung 10'!AB$40="","",'Übung 10'!AB$40)</f>
        <v/>
      </c>
      <c r="M568" s="62">
        <f>IF('Übung 11'!AB$40="","",'Übung 11'!AB$40)</f>
        <v/>
      </c>
      <c r="N568" s="62">
        <f>IF('Übung 12'!AB$40="","",'Übung 12'!AB$40)</f>
        <v/>
      </c>
      <c r="O568" s="62">
        <f>IF('Übung 13'!AB$40="","",'Übung 13'!AB$40)</f>
        <v/>
      </c>
      <c r="P568" s="62">
        <f>IF('Übung 14'!AB$40="","",'Übung 14'!AB$40)</f>
        <v/>
      </c>
      <c r="Q568" s="62">
        <f>IF('Übung 15'!AB$40="","",'Übung 15'!AB$40)</f>
        <v/>
      </c>
      <c r="R568" s="62">
        <f>IF('Übung 16'!AB$40="","",'Übung 16'!AB$40)</f>
        <v/>
      </c>
      <c r="S568" s="62">
        <f>IF('Übung 17'!AB$40="","",'Übung 17'!AB$40)</f>
        <v/>
      </c>
      <c r="T568" s="62">
        <f>IF('Übung 18'!AB$40="","",'Übung 18'!AB$40)</f>
        <v/>
      </c>
      <c r="U568" s="62">
        <f>IF('Übung 19'!AB$40="","",'Übung 19'!AB$40)</f>
        <v/>
      </c>
      <c r="V568" s="62">
        <f>IF('Übung 20'!AB$40="","",'Übung 20'!AB$40)</f>
        <v/>
      </c>
    </row>
    <row r="569">
      <c r="C569" s="62">
        <f>IF('Übung 01'!AC$40="","",'Übung 01'!AC$40)</f>
        <v/>
      </c>
      <c r="D569" s="62">
        <f>IF('Übung 02'!AC$40="","",'Übung 02'!AC$40)</f>
        <v/>
      </c>
      <c r="E569" s="62">
        <f>IF('Übung 03'!AC$40="","",'Übung 03'!AC$40)</f>
        <v/>
      </c>
      <c r="F569" s="62">
        <f>IF('Übung 04'!AC$40="","",'Übung 04'!AC$40)</f>
        <v/>
      </c>
      <c r="G569" s="62">
        <f>IF('Übung 05'!AC$40="","",'Übung 05'!AC$40)</f>
        <v/>
      </c>
      <c r="H569" s="62">
        <f>IF('Übung 06'!AC$40="","",'Übung 06'!AC$40)</f>
        <v/>
      </c>
      <c r="I569" s="62">
        <f>IF('Übung 07'!AC$40="","",'Übung 07'!AC$40)</f>
        <v/>
      </c>
      <c r="J569" s="62">
        <f>IF('Übung 08'!AC$40="","",'Übung 08'!AC$40)</f>
        <v/>
      </c>
      <c r="K569" s="62">
        <f>IF('Übung 09'!AC$40="","",'Übung 09'!AC$40)</f>
        <v/>
      </c>
      <c r="L569" s="62">
        <f>IF('Übung 10'!AC$40="","",'Übung 10'!AC$40)</f>
        <v/>
      </c>
      <c r="M569" s="62">
        <f>IF('Übung 11'!AC$40="","",'Übung 11'!AC$40)</f>
        <v/>
      </c>
      <c r="N569" s="62">
        <f>IF('Übung 12'!AC$40="","",'Übung 12'!AC$40)</f>
        <v/>
      </c>
      <c r="O569" s="62">
        <f>IF('Übung 13'!AC$40="","",'Übung 13'!AC$40)</f>
        <v/>
      </c>
      <c r="P569" s="62">
        <f>IF('Übung 14'!AC$40="","",'Übung 14'!AC$40)</f>
        <v/>
      </c>
      <c r="Q569" s="62">
        <f>IF('Übung 15'!AC$40="","",'Übung 15'!AC$40)</f>
        <v/>
      </c>
      <c r="R569" s="62">
        <f>IF('Übung 16'!AC$40="","",'Übung 16'!AC$40)</f>
        <v/>
      </c>
      <c r="S569" s="62">
        <f>IF('Übung 17'!AC$40="","",'Übung 17'!AC$40)</f>
        <v/>
      </c>
      <c r="T569" s="62">
        <f>IF('Übung 18'!AC$40="","",'Übung 18'!AC$40)</f>
        <v/>
      </c>
      <c r="U569" s="62">
        <f>IF('Übung 19'!AC$40="","",'Übung 19'!AC$40)</f>
        <v/>
      </c>
      <c r="V569" s="62">
        <f>IF('Übung 20'!AC$40="","",'Übung 20'!AC$40)</f>
        <v/>
      </c>
    </row>
    <row r="570">
      <c r="C570" s="62">
        <f>IF('Übung 01'!AE$40="","",'Übung 01'!AE$40)</f>
        <v/>
      </c>
      <c r="D570" s="62">
        <f>IF('Übung 02'!AE$40="","",'Übung 02'!AE$40)</f>
        <v/>
      </c>
      <c r="E570" s="62">
        <f>IF('Übung 03'!AE$40="","",'Übung 03'!AE$40)</f>
        <v/>
      </c>
      <c r="F570" s="62">
        <f>IF('Übung 04'!AE$40="","",'Übung 04'!AE$40)</f>
        <v/>
      </c>
      <c r="G570" s="62">
        <f>IF('Übung 05'!AE$40="","",'Übung 05'!AE$40)</f>
        <v/>
      </c>
      <c r="H570" s="62">
        <f>IF('Übung 06'!AE$40="","",'Übung 06'!AE$40)</f>
        <v/>
      </c>
      <c r="I570" s="62">
        <f>IF('Übung 07'!AE$40="","",'Übung 07'!AE$40)</f>
        <v/>
      </c>
      <c r="J570" s="62">
        <f>IF('Übung 08'!AE$40="","",'Übung 08'!AE$40)</f>
        <v/>
      </c>
      <c r="K570" s="62">
        <f>IF('Übung 09'!AE$40="","",'Übung 09'!AE$40)</f>
        <v/>
      </c>
      <c r="L570" s="62">
        <f>IF('Übung 10'!AE$40="","",'Übung 10'!AE$40)</f>
        <v/>
      </c>
      <c r="M570" s="62">
        <f>IF('Übung 11'!AE$40="","",'Übung 11'!AE$40)</f>
        <v/>
      </c>
      <c r="N570" s="62">
        <f>IF('Übung 12'!AE$40="","",'Übung 12'!AE$40)</f>
        <v/>
      </c>
      <c r="O570" s="62">
        <f>IF('Übung 13'!AE$40="","",'Übung 13'!AE$40)</f>
        <v/>
      </c>
      <c r="P570" s="62">
        <f>IF('Übung 14'!AE$40="","",'Übung 14'!AE$40)</f>
        <v/>
      </c>
      <c r="Q570" s="62">
        <f>IF('Übung 15'!AE$40="","",'Übung 15'!AE$40)</f>
        <v/>
      </c>
      <c r="R570" s="62">
        <f>IF('Übung 16'!AE$40="","",'Übung 16'!AE$40)</f>
        <v/>
      </c>
      <c r="S570" s="62">
        <f>IF('Übung 17'!AE$40="","",'Übung 17'!AE$40)</f>
        <v/>
      </c>
      <c r="T570" s="62">
        <f>IF('Übung 18'!AE$40="","",'Übung 18'!AE$40)</f>
        <v/>
      </c>
      <c r="U570" s="62">
        <f>IF('Übung 19'!AE$40="","",'Übung 19'!AE$40)</f>
        <v/>
      </c>
      <c r="V570" s="62">
        <f>IF('Übung 20'!AE$40="","",'Übung 20'!AE$40)</f>
        <v/>
      </c>
    </row>
    <row r="571">
      <c r="C571" s="62">
        <f>IF('Übung 01'!AF$40="","",'Übung 01'!AF$40)</f>
        <v/>
      </c>
      <c r="D571" s="62">
        <f>IF('Übung 02'!AF$40="","",'Übung 02'!AF$40)</f>
        <v/>
      </c>
      <c r="E571" s="62">
        <f>IF('Übung 03'!AF$40="","",'Übung 03'!AF$40)</f>
        <v/>
      </c>
      <c r="F571" s="62">
        <f>IF('Übung 04'!AF$40="","",'Übung 04'!AF$40)</f>
        <v/>
      </c>
      <c r="G571" s="62">
        <f>IF('Übung 05'!AF$40="","",'Übung 05'!AF$40)</f>
        <v/>
      </c>
      <c r="H571" s="62">
        <f>IF('Übung 06'!AF$40="","",'Übung 06'!AF$40)</f>
        <v/>
      </c>
      <c r="I571" s="62">
        <f>IF('Übung 07'!AF$40="","",'Übung 07'!AF$40)</f>
        <v/>
      </c>
      <c r="J571" s="62">
        <f>IF('Übung 08'!AF$40="","",'Übung 08'!AF$40)</f>
        <v/>
      </c>
      <c r="K571" s="62">
        <f>IF('Übung 09'!AF$40="","",'Übung 09'!AF$40)</f>
        <v/>
      </c>
      <c r="L571" s="62">
        <f>IF('Übung 10'!AF$40="","",'Übung 10'!AF$40)</f>
        <v/>
      </c>
      <c r="M571" s="62">
        <f>IF('Übung 11'!AF$40="","",'Übung 11'!AF$40)</f>
        <v/>
      </c>
      <c r="N571" s="62">
        <f>IF('Übung 12'!AF$40="","",'Übung 12'!AF$40)</f>
        <v/>
      </c>
      <c r="O571" s="62">
        <f>IF('Übung 13'!AF$40="","",'Übung 13'!AF$40)</f>
        <v/>
      </c>
      <c r="P571" s="62">
        <f>IF('Übung 14'!AF$40="","",'Übung 14'!AF$40)</f>
        <v/>
      </c>
      <c r="Q571" s="62">
        <f>IF('Übung 15'!AF$40="","",'Übung 15'!AF$40)</f>
        <v/>
      </c>
      <c r="R571" s="62">
        <f>IF('Übung 16'!AF$40="","",'Übung 16'!AF$40)</f>
        <v/>
      </c>
      <c r="S571" s="62">
        <f>IF('Übung 17'!AF$40="","",'Übung 17'!AF$40)</f>
        <v/>
      </c>
      <c r="T571" s="62">
        <f>IF('Übung 18'!AF$40="","",'Übung 18'!AF$40)</f>
        <v/>
      </c>
      <c r="U571" s="62">
        <f>IF('Übung 19'!AF$40="","",'Übung 19'!AF$40)</f>
        <v/>
      </c>
      <c r="V571" s="62">
        <f>IF('Übung 20'!AF$40="","",'Übung 20'!AF$40)</f>
        <v/>
      </c>
    </row>
    <row r="572">
      <c r="C572" s="62">
        <f>IF('Übung 01'!AG$40="","",'Übung 01'!AG$40)</f>
        <v/>
      </c>
      <c r="D572" s="62">
        <f>IF('Übung 02'!AG$40="","",'Übung 02'!AG$40)</f>
        <v/>
      </c>
      <c r="E572" s="62">
        <f>IF('Übung 03'!AG$40="","",'Übung 03'!AG$40)</f>
        <v/>
      </c>
      <c r="F572" s="62">
        <f>IF('Übung 04'!AG$40="","",'Übung 04'!AG$40)</f>
        <v/>
      </c>
      <c r="G572" s="62">
        <f>IF('Übung 05'!AG$40="","",'Übung 05'!AG$40)</f>
        <v/>
      </c>
      <c r="H572" s="62">
        <f>IF('Übung 06'!AG$40="","",'Übung 06'!AG$40)</f>
        <v/>
      </c>
      <c r="I572" s="62">
        <f>IF('Übung 07'!AG$40="","",'Übung 07'!AG$40)</f>
        <v/>
      </c>
      <c r="J572" s="62">
        <f>IF('Übung 08'!AG$40="","",'Übung 08'!AG$40)</f>
        <v/>
      </c>
      <c r="K572" s="62">
        <f>IF('Übung 09'!AG$40="","",'Übung 09'!AG$40)</f>
        <v/>
      </c>
      <c r="L572" s="62">
        <f>IF('Übung 10'!AG$40="","",'Übung 10'!AG$40)</f>
        <v/>
      </c>
      <c r="M572" s="62">
        <f>IF('Übung 11'!AG$40="","",'Übung 11'!AG$40)</f>
        <v/>
      </c>
      <c r="N572" s="62">
        <f>IF('Übung 12'!AG$40="","",'Übung 12'!AG$40)</f>
        <v/>
      </c>
      <c r="O572" s="62">
        <f>IF('Übung 13'!AG$40="","",'Übung 13'!AG$40)</f>
        <v/>
      </c>
      <c r="P572" s="62">
        <f>IF('Übung 14'!AG$40="","",'Übung 14'!AG$40)</f>
        <v/>
      </c>
      <c r="Q572" s="62">
        <f>IF('Übung 15'!AG$40="","",'Übung 15'!AG$40)</f>
        <v/>
      </c>
      <c r="R572" s="62">
        <f>IF('Übung 16'!AG$40="","",'Übung 16'!AG$40)</f>
        <v/>
      </c>
      <c r="S572" s="62">
        <f>IF('Übung 17'!AG$40="","",'Übung 17'!AG$40)</f>
        <v/>
      </c>
      <c r="T572" s="62">
        <f>IF('Übung 18'!AG$40="","",'Übung 18'!AG$40)</f>
        <v/>
      </c>
      <c r="U572" s="62">
        <f>IF('Übung 19'!AG$40="","",'Übung 19'!AG$40)</f>
        <v/>
      </c>
      <c r="V572" s="62">
        <f>IF('Übung 20'!AG$40="","",'Übung 20'!AG$40)</f>
        <v/>
      </c>
    </row>
    <row r="573">
      <c r="C573" s="62">
        <f>IF('Übung 01'!AH$40="","",'Übung 01'!AH$40)</f>
        <v/>
      </c>
      <c r="D573" s="62">
        <f>IF('Übung 02'!AH$40="","",'Übung 02'!AH$40)</f>
        <v/>
      </c>
      <c r="E573" s="62">
        <f>IF('Übung 03'!AH$40="","",'Übung 03'!AH$40)</f>
        <v/>
      </c>
      <c r="F573" s="62">
        <f>IF('Übung 04'!AH$40="","",'Übung 04'!AH$40)</f>
        <v/>
      </c>
      <c r="G573" s="62">
        <f>IF('Übung 05'!AH$40="","",'Übung 05'!AH$40)</f>
        <v/>
      </c>
      <c r="H573" s="62">
        <f>IF('Übung 06'!AH$40="","",'Übung 06'!AH$40)</f>
        <v/>
      </c>
      <c r="I573" s="62">
        <f>IF('Übung 07'!AH$40="","",'Übung 07'!AH$40)</f>
        <v/>
      </c>
      <c r="J573" s="62">
        <f>IF('Übung 08'!AH$40="","",'Übung 08'!AH$40)</f>
        <v/>
      </c>
      <c r="K573" s="62">
        <f>IF('Übung 09'!AH$40="","",'Übung 09'!AH$40)</f>
        <v/>
      </c>
      <c r="L573" s="62">
        <f>IF('Übung 10'!AH$40="","",'Übung 10'!AH$40)</f>
        <v/>
      </c>
      <c r="M573" s="62">
        <f>IF('Übung 11'!AH$40="","",'Übung 11'!AH$40)</f>
        <v/>
      </c>
      <c r="N573" s="62">
        <f>IF('Übung 12'!AH$40="","",'Übung 12'!AH$40)</f>
        <v/>
      </c>
      <c r="O573" s="62">
        <f>IF('Übung 13'!AH$40="","",'Übung 13'!AH$40)</f>
        <v/>
      </c>
      <c r="P573" s="62">
        <f>IF('Übung 14'!AH$40="","",'Übung 14'!AH$40)</f>
        <v/>
      </c>
      <c r="Q573" s="62">
        <f>IF('Übung 15'!AH$40="","",'Übung 15'!AH$40)</f>
        <v/>
      </c>
      <c r="R573" s="62">
        <f>IF('Übung 16'!AH$40="","",'Übung 16'!AH$40)</f>
        <v/>
      </c>
      <c r="S573" s="62">
        <f>IF('Übung 17'!AH$40="","",'Übung 17'!AH$40)</f>
        <v/>
      </c>
      <c r="T573" s="62">
        <f>IF('Übung 18'!AH$40="","",'Übung 18'!AH$40)</f>
        <v/>
      </c>
      <c r="U573" s="62">
        <f>IF('Übung 19'!AH$40="","",'Übung 19'!AH$40)</f>
        <v/>
      </c>
      <c r="V573" s="62">
        <f>IF('Übung 20'!AH$40="","",'Übung 20'!AH$40)</f>
        <v/>
      </c>
    </row>
    <row r="574">
      <c r="C574" s="62">
        <f>IF('Übung 01'!AI$40="","",'Übung 01'!AI$40)</f>
        <v/>
      </c>
      <c r="D574" s="62">
        <f>IF('Übung 02'!AI$40="","",'Übung 02'!AI$40)</f>
        <v/>
      </c>
      <c r="E574" s="62">
        <f>IF('Übung 03'!AI$40="","",'Übung 03'!AI$40)</f>
        <v/>
      </c>
      <c r="F574" s="62">
        <f>IF('Übung 04'!AI$40="","",'Übung 04'!AI$40)</f>
        <v/>
      </c>
      <c r="G574" s="62">
        <f>IF('Übung 05'!AI$40="","",'Übung 05'!AI$40)</f>
        <v/>
      </c>
      <c r="H574" s="62">
        <f>IF('Übung 06'!AI$40="","",'Übung 06'!AI$40)</f>
        <v/>
      </c>
      <c r="I574" s="62">
        <f>IF('Übung 07'!AI$40="","",'Übung 07'!AI$40)</f>
        <v/>
      </c>
      <c r="J574" s="62">
        <f>IF('Übung 08'!AI$40="","",'Übung 08'!AI$40)</f>
        <v/>
      </c>
      <c r="K574" s="62">
        <f>IF('Übung 09'!AI$40="","",'Übung 09'!AI$40)</f>
        <v/>
      </c>
      <c r="L574" s="62">
        <f>IF('Übung 10'!AI$40="","",'Übung 10'!AI$40)</f>
        <v/>
      </c>
      <c r="M574" s="62">
        <f>IF('Übung 11'!AI$40="","",'Übung 11'!AI$40)</f>
        <v/>
      </c>
      <c r="N574" s="62">
        <f>IF('Übung 12'!AI$40="","",'Übung 12'!AI$40)</f>
        <v/>
      </c>
      <c r="O574" s="62">
        <f>IF('Übung 13'!AI$40="","",'Übung 13'!AI$40)</f>
        <v/>
      </c>
      <c r="P574" s="62">
        <f>IF('Übung 14'!AI$40="","",'Übung 14'!AI$40)</f>
        <v/>
      </c>
      <c r="Q574" s="62">
        <f>IF('Übung 15'!AI$40="","",'Übung 15'!AI$40)</f>
        <v/>
      </c>
      <c r="R574" s="62">
        <f>IF('Übung 16'!AI$40="","",'Übung 16'!AI$40)</f>
        <v/>
      </c>
      <c r="S574" s="62">
        <f>IF('Übung 17'!AI$40="","",'Übung 17'!AI$40)</f>
        <v/>
      </c>
      <c r="T574" s="62">
        <f>IF('Übung 18'!AI$40="","",'Übung 18'!AI$40)</f>
        <v/>
      </c>
      <c r="U574" s="62">
        <f>IF('Übung 19'!AI$40="","",'Übung 19'!AI$40)</f>
        <v/>
      </c>
      <c r="V574" s="62">
        <f>IF('Übung 20'!AI$40="","",'Übung 20'!AI$40)</f>
        <v/>
      </c>
    </row>
    <row r="575">
      <c r="C575" s="62">
        <f>IF('Übung 01'!AJ$40="","",'Übung 01'!AJ$40)</f>
        <v/>
      </c>
      <c r="D575" s="62">
        <f>IF('Übung 02'!AJ$40="","",'Übung 02'!AJ$40)</f>
        <v/>
      </c>
      <c r="E575" s="62">
        <f>IF('Übung 03'!AJ$40="","",'Übung 03'!AJ$40)</f>
        <v/>
      </c>
      <c r="F575" s="62">
        <f>IF('Übung 04'!AJ$40="","",'Übung 04'!AJ$40)</f>
        <v/>
      </c>
      <c r="G575" s="62">
        <f>IF('Übung 05'!AJ$40="","",'Übung 05'!AJ$40)</f>
        <v/>
      </c>
      <c r="H575" s="62">
        <f>IF('Übung 06'!AJ$40="","",'Übung 06'!AJ$40)</f>
        <v/>
      </c>
      <c r="I575" s="62">
        <f>IF('Übung 07'!AJ$40="","",'Übung 07'!AJ$40)</f>
        <v/>
      </c>
      <c r="J575" s="62">
        <f>IF('Übung 08'!AJ$40="","",'Übung 08'!AJ$40)</f>
        <v/>
      </c>
      <c r="K575" s="62">
        <f>IF('Übung 09'!AJ$40="","",'Übung 09'!AJ$40)</f>
        <v/>
      </c>
      <c r="L575" s="62">
        <f>IF('Übung 10'!AJ$40="","",'Übung 10'!AJ$40)</f>
        <v/>
      </c>
      <c r="M575" s="62">
        <f>IF('Übung 11'!AJ$40="","",'Übung 11'!AJ$40)</f>
        <v/>
      </c>
      <c r="N575" s="62">
        <f>IF('Übung 12'!AJ$40="","",'Übung 12'!AJ$40)</f>
        <v/>
      </c>
      <c r="O575" s="62">
        <f>IF('Übung 13'!AJ$40="","",'Übung 13'!AJ$40)</f>
        <v/>
      </c>
      <c r="P575" s="62">
        <f>IF('Übung 14'!AJ$40="","",'Übung 14'!AJ$40)</f>
        <v/>
      </c>
      <c r="Q575" s="62">
        <f>IF('Übung 15'!AJ$40="","",'Übung 15'!AJ$40)</f>
        <v/>
      </c>
      <c r="R575" s="62">
        <f>IF('Übung 16'!AJ$40="","",'Übung 16'!AJ$40)</f>
        <v/>
      </c>
      <c r="S575" s="62">
        <f>IF('Übung 17'!AJ$40="","",'Übung 17'!AJ$40)</f>
        <v/>
      </c>
      <c r="T575" s="62">
        <f>IF('Übung 18'!AJ$40="","",'Übung 18'!AJ$40)</f>
        <v/>
      </c>
      <c r="U575" s="62">
        <f>IF('Übung 19'!AJ$40="","",'Übung 19'!AJ$40)</f>
        <v/>
      </c>
      <c r="V575" s="62">
        <f>IF('Übung 20'!AJ$40="","",'Übung 20'!AJ$40)</f>
        <v/>
      </c>
    </row>
    <row r="576">
      <c r="C576" s="62">
        <f>IF('Übung 01'!AK$40="","",'Übung 01'!AK$40)</f>
        <v/>
      </c>
      <c r="D576" s="62">
        <f>IF('Übung 02'!AK$40="","",'Übung 02'!AK$40)</f>
        <v/>
      </c>
      <c r="E576" s="62">
        <f>IF('Übung 03'!AK$40="","",'Übung 03'!AK$40)</f>
        <v/>
      </c>
      <c r="F576" s="62">
        <f>IF('Übung 04'!AK$40="","",'Übung 04'!AK$40)</f>
        <v/>
      </c>
      <c r="G576" s="62">
        <f>IF('Übung 05'!AK$40="","",'Übung 05'!AK$40)</f>
        <v/>
      </c>
      <c r="H576" s="62">
        <f>IF('Übung 06'!AK$40="","",'Übung 06'!AK$40)</f>
        <v/>
      </c>
      <c r="I576" s="62">
        <f>IF('Übung 07'!AK$40="","",'Übung 07'!AK$40)</f>
        <v/>
      </c>
      <c r="J576" s="62">
        <f>IF('Übung 08'!AK$40="","",'Übung 08'!AK$40)</f>
        <v/>
      </c>
      <c r="K576" s="62">
        <f>IF('Übung 09'!AK$40="","",'Übung 09'!AK$40)</f>
        <v/>
      </c>
      <c r="L576" s="62">
        <f>IF('Übung 10'!AK$40="","",'Übung 10'!AK$40)</f>
        <v/>
      </c>
      <c r="M576" s="62">
        <f>IF('Übung 11'!AK$40="","",'Übung 11'!AK$40)</f>
        <v/>
      </c>
      <c r="N576" s="62">
        <f>IF('Übung 12'!AK$40="","",'Übung 12'!AK$40)</f>
        <v/>
      </c>
      <c r="O576" s="62">
        <f>IF('Übung 13'!AK$40="","",'Übung 13'!AK$40)</f>
        <v/>
      </c>
      <c r="P576" s="62">
        <f>IF('Übung 14'!AK$40="","",'Übung 14'!AK$40)</f>
        <v/>
      </c>
      <c r="Q576" s="62">
        <f>IF('Übung 15'!AK$40="","",'Übung 15'!AK$40)</f>
        <v/>
      </c>
      <c r="R576" s="62">
        <f>IF('Übung 16'!AK$40="","",'Übung 16'!AK$40)</f>
        <v/>
      </c>
      <c r="S576" s="62">
        <f>IF('Übung 17'!AK$40="","",'Übung 17'!AK$40)</f>
        <v/>
      </c>
      <c r="T576" s="62">
        <f>IF('Übung 18'!AK$40="","",'Übung 18'!AK$40)</f>
        <v/>
      </c>
      <c r="U576" s="62">
        <f>IF('Übung 19'!AK$40="","",'Übung 19'!AK$40)</f>
        <v/>
      </c>
      <c r="V576" s="62">
        <f>IF('Übung 20'!AK$40="","",'Übung 20'!AK$40)</f>
        <v/>
      </c>
    </row>
    <row r="577">
      <c r="C577" s="62">
        <f>IF('Übung 01'!AL$40="","",'Übung 01'!AL$40)</f>
        <v/>
      </c>
      <c r="D577" s="62">
        <f>IF('Übung 02'!AL$40="","",'Übung 02'!AL$40)</f>
        <v/>
      </c>
      <c r="E577" s="62">
        <f>IF('Übung 03'!AL$40="","",'Übung 03'!AL$40)</f>
        <v/>
      </c>
      <c r="F577" s="62">
        <f>IF('Übung 04'!AL$40="","",'Übung 04'!AL$40)</f>
        <v/>
      </c>
      <c r="G577" s="62">
        <f>IF('Übung 05'!AL$40="","",'Übung 05'!AL$40)</f>
        <v/>
      </c>
      <c r="H577" s="62">
        <f>IF('Übung 06'!AL$40="","",'Übung 06'!AL$40)</f>
        <v/>
      </c>
      <c r="I577" s="62">
        <f>IF('Übung 07'!AL$40="","",'Übung 07'!AL$40)</f>
        <v/>
      </c>
      <c r="J577" s="62">
        <f>IF('Übung 08'!AL$40="","",'Übung 08'!AL$40)</f>
        <v/>
      </c>
      <c r="K577" s="62">
        <f>IF('Übung 09'!AL$40="","",'Übung 09'!AL$40)</f>
        <v/>
      </c>
      <c r="L577" s="62">
        <f>IF('Übung 10'!AL$40="","",'Übung 10'!AL$40)</f>
        <v/>
      </c>
      <c r="M577" s="62">
        <f>IF('Übung 11'!AL$40="","",'Übung 11'!AL$40)</f>
        <v/>
      </c>
      <c r="N577" s="62">
        <f>IF('Übung 12'!AL$40="","",'Übung 12'!AL$40)</f>
        <v/>
      </c>
      <c r="O577" s="62">
        <f>IF('Übung 13'!AL$40="","",'Übung 13'!AL$40)</f>
        <v/>
      </c>
      <c r="P577" s="62">
        <f>IF('Übung 14'!AL$40="","",'Übung 14'!AL$40)</f>
        <v/>
      </c>
      <c r="Q577" s="62">
        <f>IF('Übung 15'!AL$40="","",'Übung 15'!AL$40)</f>
        <v/>
      </c>
      <c r="R577" s="62">
        <f>IF('Übung 16'!AL$40="","",'Übung 16'!AL$40)</f>
        <v/>
      </c>
      <c r="S577" s="62">
        <f>IF('Übung 17'!AL$40="","",'Übung 17'!AL$40)</f>
        <v/>
      </c>
      <c r="T577" s="62">
        <f>IF('Übung 18'!AL$40="","",'Übung 18'!AL$40)</f>
        <v/>
      </c>
      <c r="U577" s="62">
        <f>IF('Übung 19'!AL$40="","",'Übung 19'!AL$40)</f>
        <v/>
      </c>
      <c r="V577" s="62">
        <f>IF('Übung 20'!AL$40="","",'Übung 20'!AL$40)</f>
        <v/>
      </c>
    </row>
    <row r="578">
      <c r="C578" s="62">
        <f>IF('Übung 01'!AM$40="","",'Übung 01'!AM$40)</f>
        <v/>
      </c>
      <c r="D578" s="62">
        <f>IF('Übung 02'!AM$40="","",'Übung 02'!AM$40)</f>
        <v/>
      </c>
      <c r="E578" s="62">
        <f>IF('Übung 03'!AM$40="","",'Übung 03'!AM$40)</f>
        <v/>
      </c>
      <c r="F578" s="62">
        <f>IF('Übung 04'!AM$40="","",'Übung 04'!AM$40)</f>
        <v/>
      </c>
      <c r="G578" s="62">
        <f>IF('Übung 05'!AM$40="","",'Übung 05'!AM$40)</f>
        <v/>
      </c>
      <c r="H578" s="62">
        <f>IF('Übung 06'!AM$40="","",'Übung 06'!AM$40)</f>
        <v/>
      </c>
      <c r="I578" s="62">
        <f>IF('Übung 07'!AM$40="","",'Übung 07'!AM$40)</f>
        <v/>
      </c>
      <c r="J578" s="62">
        <f>IF('Übung 08'!AM$40="","",'Übung 08'!AM$40)</f>
        <v/>
      </c>
      <c r="K578" s="62">
        <f>IF('Übung 09'!AM$40="","",'Übung 09'!AM$40)</f>
        <v/>
      </c>
      <c r="L578" s="62">
        <f>IF('Übung 10'!AM$40="","",'Übung 10'!AM$40)</f>
        <v/>
      </c>
      <c r="M578" s="62">
        <f>IF('Übung 11'!AM$40="","",'Übung 11'!AM$40)</f>
        <v/>
      </c>
      <c r="N578" s="62">
        <f>IF('Übung 12'!AM$40="","",'Übung 12'!AM$40)</f>
        <v/>
      </c>
      <c r="O578" s="62">
        <f>IF('Übung 13'!AM$40="","",'Übung 13'!AM$40)</f>
        <v/>
      </c>
      <c r="P578" s="62">
        <f>IF('Übung 14'!AM$40="","",'Übung 14'!AM$40)</f>
        <v/>
      </c>
      <c r="Q578" s="62">
        <f>IF('Übung 15'!AM$40="","",'Übung 15'!AM$40)</f>
        <v/>
      </c>
      <c r="R578" s="62">
        <f>IF('Übung 16'!AM$40="","",'Übung 16'!AM$40)</f>
        <v/>
      </c>
      <c r="S578" s="62">
        <f>IF('Übung 17'!AM$40="","",'Übung 17'!AM$40)</f>
        <v/>
      </c>
      <c r="T578" s="62">
        <f>IF('Übung 18'!AM$40="","",'Übung 18'!AM$40)</f>
        <v/>
      </c>
      <c r="U578" s="62">
        <f>IF('Übung 19'!AM$40="","",'Übung 19'!AM$40)</f>
        <v/>
      </c>
      <c r="V578" s="62">
        <f>IF('Übung 20'!AM$40="","",'Übung 20'!AM$40)</f>
        <v/>
      </c>
    </row>
    <row r="579">
      <c r="C579" s="62">
        <f>IF('Übung 01'!AN$40="","",'Übung 01'!AN$40)</f>
        <v/>
      </c>
      <c r="D579" s="62">
        <f>IF('Übung 02'!AN$40="","",'Übung 02'!AN$40)</f>
        <v/>
      </c>
      <c r="E579" s="62">
        <f>IF('Übung 03'!AN$40="","",'Übung 03'!AN$40)</f>
        <v/>
      </c>
      <c r="F579" s="62">
        <f>IF('Übung 04'!AN$40="","",'Übung 04'!AN$40)</f>
        <v/>
      </c>
      <c r="G579" s="62">
        <f>IF('Übung 05'!AN$40="","",'Übung 05'!AN$40)</f>
        <v/>
      </c>
      <c r="H579" s="62">
        <f>IF('Übung 06'!AN$40="","",'Übung 06'!AN$40)</f>
        <v/>
      </c>
      <c r="I579" s="62">
        <f>IF('Übung 07'!AN$40="","",'Übung 07'!AN$40)</f>
        <v/>
      </c>
      <c r="J579" s="62">
        <f>IF('Übung 08'!AN$40="","",'Übung 08'!AN$40)</f>
        <v/>
      </c>
      <c r="K579" s="62">
        <f>IF('Übung 09'!AN$40="","",'Übung 09'!AN$40)</f>
        <v/>
      </c>
      <c r="L579" s="62">
        <f>IF('Übung 10'!AN$40="","",'Übung 10'!AN$40)</f>
        <v/>
      </c>
      <c r="M579" s="62">
        <f>IF('Übung 11'!AN$40="","",'Übung 11'!AN$40)</f>
        <v/>
      </c>
      <c r="N579" s="62">
        <f>IF('Übung 12'!AN$40="","",'Übung 12'!AN$40)</f>
        <v/>
      </c>
      <c r="O579" s="62">
        <f>IF('Übung 13'!AN$40="","",'Übung 13'!AN$40)</f>
        <v/>
      </c>
      <c r="P579" s="62">
        <f>IF('Übung 14'!AN$40="","",'Übung 14'!AN$40)</f>
        <v/>
      </c>
      <c r="Q579" s="62">
        <f>IF('Übung 15'!AN$40="","",'Übung 15'!AN$40)</f>
        <v/>
      </c>
      <c r="R579" s="62">
        <f>IF('Übung 16'!AN$40="","",'Übung 16'!AN$40)</f>
        <v/>
      </c>
      <c r="S579" s="62">
        <f>IF('Übung 17'!AN$40="","",'Übung 17'!AN$40)</f>
        <v/>
      </c>
      <c r="T579" s="62">
        <f>IF('Übung 18'!AN$40="","",'Übung 18'!AN$40)</f>
        <v/>
      </c>
      <c r="U579" s="62">
        <f>IF('Übung 19'!AN$40="","",'Übung 19'!AN$40)</f>
        <v/>
      </c>
      <c r="V579" s="62">
        <f>IF('Übung 20'!AN$40="","",'Übung 20'!AN$40)</f>
        <v/>
      </c>
    </row>
    <row r="580">
      <c r="C580" s="62">
        <f>IF('Übung 01'!AO$40="","",'Übung 01'!AO$40)</f>
        <v/>
      </c>
      <c r="D580" s="62">
        <f>IF('Übung 02'!AO$40="","",'Übung 02'!AO$40)</f>
        <v/>
      </c>
      <c r="E580" s="62">
        <f>IF('Übung 03'!AO$40="","",'Übung 03'!AO$40)</f>
        <v/>
      </c>
      <c r="F580" s="62">
        <f>IF('Übung 04'!AO$40="","",'Übung 04'!AO$40)</f>
        <v/>
      </c>
      <c r="G580" s="62">
        <f>IF('Übung 05'!AO$40="","",'Übung 05'!AO$40)</f>
        <v/>
      </c>
      <c r="H580" s="62">
        <f>IF('Übung 06'!AO$40="","",'Übung 06'!AO$40)</f>
        <v/>
      </c>
      <c r="I580" s="62">
        <f>IF('Übung 07'!AO$40="","",'Übung 07'!AO$40)</f>
        <v/>
      </c>
      <c r="J580" s="62">
        <f>IF('Übung 08'!AO$40="","",'Übung 08'!AO$40)</f>
        <v/>
      </c>
      <c r="K580" s="62">
        <f>IF('Übung 09'!AO$40="","",'Übung 09'!AO$40)</f>
        <v/>
      </c>
      <c r="L580" s="62">
        <f>IF('Übung 10'!AO$40="","",'Übung 10'!AO$40)</f>
        <v/>
      </c>
      <c r="M580" s="62">
        <f>IF('Übung 11'!AO$40="","",'Übung 11'!AO$40)</f>
        <v/>
      </c>
      <c r="N580" s="62">
        <f>IF('Übung 12'!AO$40="","",'Übung 12'!AO$40)</f>
        <v/>
      </c>
      <c r="O580" s="62">
        <f>IF('Übung 13'!AO$40="","",'Übung 13'!AO$40)</f>
        <v/>
      </c>
      <c r="P580" s="62">
        <f>IF('Übung 14'!AO$40="","",'Übung 14'!AO$40)</f>
        <v/>
      </c>
      <c r="Q580" s="62">
        <f>IF('Übung 15'!AO$40="","",'Übung 15'!AO$40)</f>
        <v/>
      </c>
      <c r="R580" s="62">
        <f>IF('Übung 16'!AO$40="","",'Übung 16'!AO$40)</f>
        <v/>
      </c>
      <c r="S580" s="62">
        <f>IF('Übung 17'!AO$40="","",'Übung 17'!AO$40)</f>
        <v/>
      </c>
      <c r="T580" s="62">
        <f>IF('Übung 18'!AO$40="","",'Übung 18'!AO$40)</f>
        <v/>
      </c>
      <c r="U580" s="62">
        <f>IF('Übung 19'!AO$40="","",'Übung 19'!AO$40)</f>
        <v/>
      </c>
      <c r="V580" s="62">
        <f>IF('Übung 20'!AO$40="","",'Übung 20'!AO$40)</f>
        <v/>
      </c>
    </row>
    <row r="581">
      <c r="C581" s="62">
        <f>IF('Übung 01'!AP$40="","",'Übung 01'!AP$40)</f>
        <v/>
      </c>
      <c r="D581" s="62">
        <f>IF('Übung 02'!AP$40="","",'Übung 02'!AP$40)</f>
        <v/>
      </c>
      <c r="E581" s="62">
        <f>IF('Übung 03'!AP$40="","",'Übung 03'!AP$40)</f>
        <v/>
      </c>
      <c r="F581" s="62">
        <f>IF('Übung 04'!AP$40="","",'Übung 04'!AP$40)</f>
        <v/>
      </c>
      <c r="G581" s="62">
        <f>IF('Übung 05'!AP$40="","",'Übung 05'!AP$40)</f>
        <v/>
      </c>
      <c r="H581" s="62">
        <f>IF('Übung 06'!AP$40="","",'Übung 06'!AP$40)</f>
        <v/>
      </c>
      <c r="I581" s="62">
        <f>IF('Übung 07'!AP$40="","",'Übung 07'!AP$40)</f>
        <v/>
      </c>
      <c r="J581" s="62">
        <f>IF('Übung 08'!AP$40="","",'Übung 08'!AP$40)</f>
        <v/>
      </c>
      <c r="K581" s="62">
        <f>IF('Übung 09'!AP$40="","",'Übung 09'!AP$40)</f>
        <v/>
      </c>
      <c r="L581" s="62">
        <f>IF('Übung 10'!AP$40="","",'Übung 10'!AP$40)</f>
        <v/>
      </c>
      <c r="M581" s="62">
        <f>IF('Übung 11'!AP$40="","",'Übung 11'!AP$40)</f>
        <v/>
      </c>
      <c r="N581" s="62">
        <f>IF('Übung 12'!AP$40="","",'Übung 12'!AP$40)</f>
        <v/>
      </c>
      <c r="O581" s="62">
        <f>IF('Übung 13'!AP$40="","",'Übung 13'!AP$40)</f>
        <v/>
      </c>
      <c r="P581" s="62">
        <f>IF('Übung 14'!AP$40="","",'Übung 14'!AP$40)</f>
        <v/>
      </c>
      <c r="Q581" s="62">
        <f>IF('Übung 15'!AP$40="","",'Übung 15'!AP$40)</f>
        <v/>
      </c>
      <c r="R581" s="62">
        <f>IF('Übung 16'!AP$40="","",'Übung 16'!AP$40)</f>
        <v/>
      </c>
      <c r="S581" s="62">
        <f>IF('Übung 17'!AP$40="","",'Übung 17'!AP$40)</f>
        <v/>
      </c>
      <c r="T581" s="62">
        <f>IF('Übung 18'!AP$40="","",'Übung 18'!AP$40)</f>
        <v/>
      </c>
      <c r="U581" s="62">
        <f>IF('Übung 19'!AP$40="","",'Übung 19'!AP$40)</f>
        <v/>
      </c>
      <c r="V581" s="62">
        <f>IF('Übung 20'!AP$40="","",'Übung 20'!AP$40)</f>
        <v/>
      </c>
    </row>
    <row r="582">
      <c r="C582" s="62">
        <f>IF('Übung 01'!AQ$40="","",'Übung 01'!AQ$40)</f>
        <v/>
      </c>
      <c r="D582" s="62">
        <f>IF('Übung 02'!AQ$40="","",'Übung 02'!AQ$40)</f>
        <v/>
      </c>
      <c r="E582" s="62">
        <f>IF('Übung 03'!AQ$40="","",'Übung 03'!AQ$40)</f>
        <v/>
      </c>
      <c r="F582" s="62">
        <f>IF('Übung 04'!AQ$40="","",'Übung 04'!AQ$40)</f>
        <v/>
      </c>
      <c r="G582" s="62">
        <f>IF('Übung 05'!AQ$40="","",'Übung 05'!AQ$40)</f>
        <v/>
      </c>
      <c r="H582" s="62">
        <f>IF('Übung 06'!AQ$40="","",'Übung 06'!AQ$40)</f>
        <v/>
      </c>
      <c r="I582" s="62">
        <f>IF('Übung 07'!AQ$40="","",'Übung 07'!AQ$40)</f>
        <v/>
      </c>
      <c r="J582" s="62">
        <f>IF('Übung 08'!AQ$40="","",'Übung 08'!AQ$40)</f>
        <v/>
      </c>
      <c r="K582" s="62">
        <f>IF('Übung 09'!AQ$40="","",'Übung 09'!AQ$40)</f>
        <v/>
      </c>
      <c r="L582" s="62">
        <f>IF('Übung 10'!AQ$40="","",'Übung 10'!AQ$40)</f>
        <v/>
      </c>
      <c r="M582" s="62">
        <f>IF('Übung 11'!AQ$40="","",'Übung 11'!AQ$40)</f>
        <v/>
      </c>
      <c r="N582" s="62">
        <f>IF('Übung 12'!AQ$40="","",'Übung 12'!AQ$40)</f>
        <v/>
      </c>
      <c r="O582" s="62">
        <f>IF('Übung 13'!AQ$40="","",'Übung 13'!AQ$40)</f>
        <v/>
      </c>
      <c r="P582" s="62">
        <f>IF('Übung 14'!AQ$40="","",'Übung 14'!AQ$40)</f>
        <v/>
      </c>
      <c r="Q582" s="62">
        <f>IF('Übung 15'!AQ$40="","",'Übung 15'!AQ$40)</f>
        <v/>
      </c>
      <c r="R582" s="62">
        <f>IF('Übung 16'!AQ$40="","",'Übung 16'!AQ$40)</f>
        <v/>
      </c>
      <c r="S582" s="62">
        <f>IF('Übung 17'!AQ$40="","",'Übung 17'!AQ$40)</f>
        <v/>
      </c>
      <c r="T582" s="62">
        <f>IF('Übung 18'!AQ$40="","",'Übung 18'!AQ$40)</f>
        <v/>
      </c>
      <c r="U582" s="62">
        <f>IF('Übung 19'!AQ$40="","",'Übung 19'!AQ$40)</f>
        <v/>
      </c>
      <c r="V582" s="62">
        <f>IF('Übung 20'!AQ$40="","",'Übung 20'!AQ$40)</f>
        <v/>
      </c>
    </row>
    <row r="583">
      <c r="C583" s="62">
        <f>IF('Übung 01'!AR$40="","",'Übung 01'!AR$40)</f>
        <v/>
      </c>
      <c r="D583" s="62">
        <f>IF('Übung 02'!AR$40="","",'Übung 02'!AR$40)</f>
        <v/>
      </c>
      <c r="E583" s="62">
        <f>IF('Übung 03'!AR$40="","",'Übung 03'!AR$40)</f>
        <v/>
      </c>
      <c r="F583" s="62">
        <f>IF('Übung 04'!AR$40="","",'Übung 04'!AR$40)</f>
        <v/>
      </c>
      <c r="G583" s="62">
        <f>IF('Übung 05'!AR$40="","",'Übung 05'!AR$40)</f>
        <v/>
      </c>
      <c r="H583" s="62">
        <f>IF('Übung 06'!AR$40="","",'Übung 06'!AR$40)</f>
        <v/>
      </c>
      <c r="I583" s="62">
        <f>IF('Übung 07'!AR$40="","",'Übung 07'!AR$40)</f>
        <v/>
      </c>
      <c r="J583" s="62">
        <f>IF('Übung 08'!AR$40="","",'Übung 08'!AR$40)</f>
        <v/>
      </c>
      <c r="K583" s="62">
        <f>IF('Übung 09'!AR$40="","",'Übung 09'!AR$40)</f>
        <v/>
      </c>
      <c r="L583" s="62">
        <f>IF('Übung 10'!AR$40="","",'Übung 10'!AR$40)</f>
        <v/>
      </c>
      <c r="M583" s="62">
        <f>IF('Übung 11'!AR$40="","",'Übung 11'!AR$40)</f>
        <v/>
      </c>
      <c r="N583" s="62">
        <f>IF('Übung 12'!AR$40="","",'Übung 12'!AR$40)</f>
        <v/>
      </c>
      <c r="O583" s="62">
        <f>IF('Übung 13'!AR$40="","",'Übung 13'!AR$40)</f>
        <v/>
      </c>
      <c r="P583" s="62">
        <f>IF('Übung 14'!AR$40="","",'Übung 14'!AR$40)</f>
        <v/>
      </c>
      <c r="Q583" s="62">
        <f>IF('Übung 15'!AR$40="","",'Übung 15'!AR$40)</f>
        <v/>
      </c>
      <c r="R583" s="62">
        <f>IF('Übung 16'!AR$40="","",'Übung 16'!AR$40)</f>
        <v/>
      </c>
      <c r="S583" s="62">
        <f>IF('Übung 17'!AR$40="","",'Übung 17'!AR$40)</f>
        <v/>
      </c>
      <c r="T583" s="62">
        <f>IF('Übung 18'!AR$40="","",'Übung 18'!AR$40)</f>
        <v/>
      </c>
      <c r="U583" s="62">
        <f>IF('Übung 19'!AR$40="","",'Übung 19'!AR$40)</f>
        <v/>
      </c>
      <c r="V583" s="62">
        <f>IF('Übung 20'!AR$40="","",'Übung 20'!AR$40)</f>
        <v/>
      </c>
    </row>
    <row r="584">
      <c r="C584" s="62">
        <f>IF('Übung 01'!AS$40="","",'Übung 01'!AS$40)</f>
        <v/>
      </c>
      <c r="D584" s="62">
        <f>IF('Übung 02'!AS$40="","",'Übung 02'!AS$40)</f>
        <v/>
      </c>
      <c r="E584" s="62">
        <f>IF('Übung 03'!AS$40="","",'Übung 03'!AS$40)</f>
        <v/>
      </c>
      <c r="F584" s="62">
        <f>IF('Übung 04'!AS$40="","",'Übung 04'!AS$40)</f>
        <v/>
      </c>
      <c r="G584" s="62">
        <f>IF('Übung 05'!AS$40="","",'Übung 05'!AS$40)</f>
        <v/>
      </c>
      <c r="H584" s="62">
        <f>IF('Übung 06'!AS$40="","",'Übung 06'!AS$40)</f>
        <v/>
      </c>
      <c r="I584" s="62">
        <f>IF('Übung 07'!AS$40="","",'Übung 07'!AS$40)</f>
        <v/>
      </c>
      <c r="J584" s="62">
        <f>IF('Übung 08'!AS$40="","",'Übung 08'!AS$40)</f>
        <v/>
      </c>
      <c r="K584" s="62">
        <f>IF('Übung 09'!AS$40="","",'Übung 09'!AS$40)</f>
        <v/>
      </c>
      <c r="L584" s="62">
        <f>IF('Übung 10'!AS$40="","",'Übung 10'!AS$40)</f>
        <v/>
      </c>
      <c r="M584" s="62">
        <f>IF('Übung 11'!AS$40="","",'Übung 11'!AS$40)</f>
        <v/>
      </c>
      <c r="N584" s="62">
        <f>IF('Übung 12'!AS$40="","",'Übung 12'!AS$40)</f>
        <v/>
      </c>
      <c r="O584" s="62">
        <f>IF('Übung 13'!AS$40="","",'Übung 13'!AS$40)</f>
        <v/>
      </c>
      <c r="P584" s="62">
        <f>IF('Übung 14'!AS$40="","",'Übung 14'!AS$40)</f>
        <v/>
      </c>
      <c r="Q584" s="62">
        <f>IF('Übung 15'!AS$40="","",'Übung 15'!AS$40)</f>
        <v/>
      </c>
      <c r="R584" s="62">
        <f>IF('Übung 16'!AS$40="","",'Übung 16'!AS$40)</f>
        <v/>
      </c>
      <c r="S584" s="62">
        <f>IF('Übung 17'!AS$40="","",'Übung 17'!AS$40)</f>
        <v/>
      </c>
      <c r="T584" s="62">
        <f>IF('Übung 18'!AS$40="","",'Übung 18'!AS$40)</f>
        <v/>
      </c>
      <c r="U584" s="62">
        <f>IF('Übung 19'!AS$40="","",'Übung 19'!AS$40)</f>
        <v/>
      </c>
      <c r="V584" s="62">
        <f>IF('Übung 20'!AS$40="","",'Übung 20'!AS$40)</f>
        <v/>
      </c>
    </row>
    <row r="585">
      <c r="C585" s="62">
        <f>IF('Übung 01'!AT$40="","",'Übung 01'!AT$40)</f>
        <v/>
      </c>
      <c r="D585" s="62">
        <f>IF('Übung 02'!AT$40="","",'Übung 02'!AT$40)</f>
        <v/>
      </c>
      <c r="E585" s="62">
        <f>IF('Übung 03'!AT$40="","",'Übung 03'!AT$40)</f>
        <v/>
      </c>
      <c r="F585" s="62">
        <f>IF('Übung 04'!AT$40="","",'Übung 04'!AT$40)</f>
        <v/>
      </c>
      <c r="G585" s="62">
        <f>IF('Übung 05'!AT$40="","",'Übung 05'!AT$40)</f>
        <v/>
      </c>
      <c r="H585" s="62">
        <f>IF('Übung 06'!AT$40="","",'Übung 06'!AT$40)</f>
        <v/>
      </c>
      <c r="I585" s="62">
        <f>IF('Übung 07'!AT$40="","",'Übung 07'!AT$40)</f>
        <v/>
      </c>
      <c r="J585" s="62">
        <f>IF('Übung 08'!AT$40="","",'Übung 08'!AT$40)</f>
        <v/>
      </c>
      <c r="K585" s="62">
        <f>IF('Übung 09'!AT$40="","",'Übung 09'!AT$40)</f>
        <v/>
      </c>
      <c r="L585" s="62">
        <f>IF('Übung 10'!AT$40="","",'Übung 10'!AT$40)</f>
        <v/>
      </c>
      <c r="M585" s="62">
        <f>IF('Übung 11'!AT$40="","",'Übung 11'!AT$40)</f>
        <v/>
      </c>
      <c r="N585" s="62">
        <f>IF('Übung 12'!AT$40="","",'Übung 12'!AT$40)</f>
        <v/>
      </c>
      <c r="O585" s="62">
        <f>IF('Übung 13'!AT$40="","",'Übung 13'!AT$40)</f>
        <v/>
      </c>
      <c r="P585" s="62">
        <f>IF('Übung 14'!AT$40="","",'Übung 14'!AT$40)</f>
        <v/>
      </c>
      <c r="Q585" s="62">
        <f>IF('Übung 15'!AT$40="","",'Übung 15'!AT$40)</f>
        <v/>
      </c>
      <c r="R585" s="62">
        <f>IF('Übung 16'!AT$40="","",'Übung 16'!AT$40)</f>
        <v/>
      </c>
      <c r="S585" s="62">
        <f>IF('Übung 17'!AT$40="","",'Übung 17'!AT$40)</f>
        <v/>
      </c>
      <c r="T585" s="62">
        <f>IF('Übung 18'!AT$40="","",'Übung 18'!AT$40)</f>
        <v/>
      </c>
      <c r="U585" s="62">
        <f>IF('Übung 19'!AT$40="","",'Übung 19'!AT$40)</f>
        <v/>
      </c>
      <c r="V585" s="62">
        <f>IF('Übung 20'!AT$40="","",'Übung 20'!AT$40)</f>
        <v/>
      </c>
    </row>
    <row r="586">
      <c r="C586" s="62">
        <f>IF('Übung 01'!AU$40="","",'Übung 01'!AU$40)</f>
        <v/>
      </c>
      <c r="D586" s="62">
        <f>IF('Übung 02'!AU$40="","",'Übung 02'!AU$40)</f>
        <v/>
      </c>
      <c r="E586" s="62">
        <f>IF('Übung 03'!AU$40="","",'Übung 03'!AU$40)</f>
        <v/>
      </c>
      <c r="F586" s="62">
        <f>IF('Übung 04'!AU$40="","",'Übung 04'!AU$40)</f>
        <v/>
      </c>
      <c r="G586" s="62">
        <f>IF('Übung 05'!AU$40="","",'Übung 05'!AU$40)</f>
        <v/>
      </c>
      <c r="H586" s="62">
        <f>IF('Übung 06'!AU$40="","",'Übung 06'!AU$40)</f>
        <v/>
      </c>
      <c r="I586" s="62">
        <f>IF('Übung 07'!AU$40="","",'Übung 07'!AU$40)</f>
        <v/>
      </c>
      <c r="J586" s="62">
        <f>IF('Übung 08'!AU$40="","",'Übung 08'!AU$40)</f>
        <v/>
      </c>
      <c r="K586" s="62">
        <f>IF('Übung 09'!AU$40="","",'Übung 09'!AU$40)</f>
        <v/>
      </c>
      <c r="L586" s="62">
        <f>IF('Übung 10'!AU$40="","",'Übung 10'!AU$40)</f>
        <v/>
      </c>
      <c r="M586" s="62">
        <f>IF('Übung 11'!AU$40="","",'Übung 11'!AU$40)</f>
        <v/>
      </c>
      <c r="N586" s="62">
        <f>IF('Übung 12'!AU$40="","",'Übung 12'!AU$40)</f>
        <v/>
      </c>
      <c r="O586" s="62">
        <f>IF('Übung 13'!AU$40="","",'Übung 13'!AU$40)</f>
        <v/>
      </c>
      <c r="P586" s="62">
        <f>IF('Übung 14'!AU$40="","",'Übung 14'!AU$40)</f>
        <v/>
      </c>
      <c r="Q586" s="62">
        <f>IF('Übung 15'!AU$40="","",'Übung 15'!AU$40)</f>
        <v/>
      </c>
      <c r="R586" s="62">
        <f>IF('Übung 16'!AU$40="","",'Übung 16'!AU$40)</f>
        <v/>
      </c>
      <c r="S586" s="62">
        <f>IF('Übung 17'!AU$40="","",'Übung 17'!AU$40)</f>
        <v/>
      </c>
      <c r="T586" s="62">
        <f>IF('Übung 18'!AU$40="","",'Übung 18'!AU$40)</f>
        <v/>
      </c>
      <c r="U586" s="62">
        <f>IF('Übung 19'!AU$40="","",'Übung 19'!AU$40)</f>
        <v/>
      </c>
      <c r="V586" s="62">
        <f>IF('Übung 20'!AU$40="","",'Übung 20'!AU$40)</f>
        <v/>
      </c>
    </row>
    <row r="587">
      <c r="C587" s="62">
        <f>IF('Übung 01'!AV$40="","",'Übung 01'!AV$40)</f>
        <v/>
      </c>
      <c r="D587" s="62">
        <f>IF('Übung 02'!AV$40="","",'Übung 02'!AV$40)</f>
        <v/>
      </c>
      <c r="E587" s="62">
        <f>IF('Übung 03'!AV$40="","",'Übung 03'!AV$40)</f>
        <v/>
      </c>
      <c r="F587" s="62">
        <f>IF('Übung 04'!AV$40="","",'Übung 04'!AV$40)</f>
        <v/>
      </c>
      <c r="G587" s="62">
        <f>IF('Übung 05'!AV$40="","",'Übung 05'!AV$40)</f>
        <v/>
      </c>
      <c r="H587" s="62">
        <f>IF('Übung 06'!AV$40="","",'Übung 06'!AV$40)</f>
        <v/>
      </c>
      <c r="I587" s="62">
        <f>IF('Übung 07'!AV$40="","",'Übung 07'!AV$40)</f>
        <v/>
      </c>
      <c r="J587" s="62">
        <f>IF('Übung 08'!AV$40="","",'Übung 08'!AV$40)</f>
        <v/>
      </c>
      <c r="K587" s="62">
        <f>IF('Übung 09'!AV$40="","",'Übung 09'!AV$40)</f>
        <v/>
      </c>
      <c r="L587" s="62">
        <f>IF('Übung 10'!AV$40="","",'Übung 10'!AV$40)</f>
        <v/>
      </c>
      <c r="M587" s="62">
        <f>IF('Übung 11'!AV$40="","",'Übung 11'!AV$40)</f>
        <v/>
      </c>
      <c r="N587" s="62">
        <f>IF('Übung 12'!AV$40="","",'Übung 12'!AV$40)</f>
        <v/>
      </c>
      <c r="O587" s="62">
        <f>IF('Übung 13'!AV$40="","",'Übung 13'!AV$40)</f>
        <v/>
      </c>
      <c r="P587" s="62">
        <f>IF('Übung 14'!AV$40="","",'Übung 14'!AV$40)</f>
        <v/>
      </c>
      <c r="Q587" s="62">
        <f>IF('Übung 15'!AV$40="","",'Übung 15'!AV$40)</f>
        <v/>
      </c>
      <c r="R587" s="62">
        <f>IF('Übung 16'!AV$40="","",'Übung 16'!AV$40)</f>
        <v/>
      </c>
      <c r="S587" s="62">
        <f>IF('Übung 17'!AV$40="","",'Übung 17'!AV$40)</f>
        <v/>
      </c>
      <c r="T587" s="62">
        <f>IF('Übung 18'!AV$40="","",'Übung 18'!AV$40)</f>
        <v/>
      </c>
      <c r="U587" s="62">
        <f>IF('Übung 19'!AV$40="","",'Übung 19'!AV$40)</f>
        <v/>
      </c>
      <c r="V587" s="62">
        <f>IF('Übung 20'!AV$40="","",'Übung 20'!AV$40)</f>
        <v/>
      </c>
    </row>
    <row r="588">
      <c r="C588" s="62">
        <f>IF('Übung 01'!AW$40="","",'Übung 01'!AW$40)</f>
        <v/>
      </c>
      <c r="D588" s="62">
        <f>IF('Übung 02'!AW$40="","",'Übung 02'!AW$40)</f>
        <v/>
      </c>
      <c r="E588" s="62">
        <f>IF('Übung 03'!AW$40="","",'Übung 03'!AW$40)</f>
        <v/>
      </c>
      <c r="F588" s="62">
        <f>IF('Übung 04'!AW$40="","",'Übung 04'!AW$40)</f>
        <v/>
      </c>
      <c r="G588" s="62">
        <f>IF('Übung 05'!AW$40="","",'Übung 05'!AW$40)</f>
        <v/>
      </c>
      <c r="H588" s="62">
        <f>IF('Übung 06'!AW$40="","",'Übung 06'!AW$40)</f>
        <v/>
      </c>
      <c r="I588" s="62">
        <f>IF('Übung 07'!AW$40="","",'Übung 07'!AW$40)</f>
        <v/>
      </c>
      <c r="J588" s="62">
        <f>IF('Übung 08'!AW$40="","",'Übung 08'!AW$40)</f>
        <v/>
      </c>
      <c r="K588" s="62">
        <f>IF('Übung 09'!AW$40="","",'Übung 09'!AW$40)</f>
        <v/>
      </c>
      <c r="L588" s="62">
        <f>IF('Übung 10'!AW$40="","",'Übung 10'!AW$40)</f>
        <v/>
      </c>
      <c r="M588" s="62">
        <f>IF('Übung 11'!AW$40="","",'Übung 11'!AW$40)</f>
        <v/>
      </c>
      <c r="N588" s="62">
        <f>IF('Übung 12'!AW$40="","",'Übung 12'!AW$40)</f>
        <v/>
      </c>
      <c r="O588" s="62">
        <f>IF('Übung 13'!AW$40="","",'Übung 13'!AW$40)</f>
        <v/>
      </c>
      <c r="P588" s="62">
        <f>IF('Übung 14'!AW$40="","",'Übung 14'!AW$40)</f>
        <v/>
      </c>
      <c r="Q588" s="62">
        <f>IF('Übung 15'!AW$40="","",'Übung 15'!AW$40)</f>
        <v/>
      </c>
      <c r="R588" s="62">
        <f>IF('Übung 16'!AW$40="","",'Übung 16'!AW$40)</f>
        <v/>
      </c>
      <c r="S588" s="62">
        <f>IF('Übung 17'!AW$40="","",'Übung 17'!AW$40)</f>
        <v/>
      </c>
      <c r="T588" s="62">
        <f>IF('Übung 18'!AW$40="","",'Übung 18'!AW$40)</f>
        <v/>
      </c>
      <c r="U588" s="62">
        <f>IF('Übung 19'!AW$40="","",'Übung 19'!AW$40)</f>
        <v/>
      </c>
      <c r="V588" s="62">
        <f>IF('Übung 20'!AW$40="","",'Übung 20'!AW$40)</f>
        <v/>
      </c>
    </row>
    <row r="589">
      <c r="C589" s="62">
        <f>IF('Übung 01'!AX$40="","",'Übung 01'!AX$40)</f>
        <v/>
      </c>
      <c r="D589" s="62">
        <f>IF('Übung 02'!AX$40="","",'Übung 02'!AX$40)</f>
        <v/>
      </c>
      <c r="E589" s="62">
        <f>IF('Übung 03'!AX$40="","",'Übung 03'!AX$40)</f>
        <v/>
      </c>
      <c r="F589" s="62">
        <f>IF('Übung 04'!AX$40="","",'Übung 04'!AX$40)</f>
        <v/>
      </c>
      <c r="G589" s="62">
        <f>IF('Übung 05'!AX$40="","",'Übung 05'!AX$40)</f>
        <v/>
      </c>
      <c r="H589" s="62">
        <f>IF('Übung 06'!AX$40="","",'Übung 06'!AX$40)</f>
        <v/>
      </c>
      <c r="I589" s="62">
        <f>IF('Übung 07'!AX$40="","",'Übung 07'!AX$40)</f>
        <v/>
      </c>
      <c r="J589" s="62">
        <f>IF('Übung 08'!AX$40="","",'Übung 08'!AX$40)</f>
        <v/>
      </c>
      <c r="K589" s="62">
        <f>IF('Übung 09'!AX$40="","",'Übung 09'!AX$40)</f>
        <v/>
      </c>
      <c r="L589" s="62">
        <f>IF('Übung 10'!AX$40="","",'Übung 10'!AX$40)</f>
        <v/>
      </c>
      <c r="M589" s="62">
        <f>IF('Übung 11'!AX$40="","",'Übung 11'!AX$40)</f>
        <v/>
      </c>
      <c r="N589" s="62">
        <f>IF('Übung 12'!AX$40="","",'Übung 12'!AX$40)</f>
        <v/>
      </c>
      <c r="O589" s="62">
        <f>IF('Übung 13'!AX$40="","",'Übung 13'!AX$40)</f>
        <v/>
      </c>
      <c r="P589" s="62">
        <f>IF('Übung 14'!AX$40="","",'Übung 14'!AX$40)</f>
        <v/>
      </c>
      <c r="Q589" s="62">
        <f>IF('Übung 15'!AX$40="","",'Übung 15'!AX$40)</f>
        <v/>
      </c>
      <c r="R589" s="62">
        <f>IF('Übung 16'!AX$40="","",'Übung 16'!AX$40)</f>
        <v/>
      </c>
      <c r="S589" s="62">
        <f>IF('Übung 17'!AX$40="","",'Übung 17'!AX$40)</f>
        <v/>
      </c>
      <c r="T589" s="62">
        <f>IF('Übung 18'!AX$40="","",'Übung 18'!AX$40)</f>
        <v/>
      </c>
      <c r="U589" s="62">
        <f>IF('Übung 19'!AX$40="","",'Übung 19'!AX$40)</f>
        <v/>
      </c>
      <c r="V589" s="62">
        <f>IF('Übung 20'!AX$40="","",'Übung 20'!AX$40)</f>
        <v/>
      </c>
    </row>
    <row r="590">
      <c r="C590" s="62">
        <f>IF('Übung 01'!AY$40="","",'Übung 01'!AY$40)</f>
        <v/>
      </c>
      <c r="D590" s="62">
        <f>IF('Übung 02'!AY$40="","",'Übung 02'!AY$40)</f>
        <v/>
      </c>
      <c r="E590" s="62">
        <f>IF('Übung 03'!AY$40="","",'Übung 03'!AY$40)</f>
        <v/>
      </c>
      <c r="F590" s="62">
        <f>IF('Übung 04'!AY$40="","",'Übung 04'!AY$40)</f>
        <v/>
      </c>
      <c r="G590" s="62">
        <f>IF('Übung 05'!AY$40="","",'Übung 05'!AY$40)</f>
        <v/>
      </c>
      <c r="H590" s="62">
        <f>IF('Übung 06'!AY$40="","",'Übung 06'!AY$40)</f>
        <v/>
      </c>
      <c r="I590" s="62">
        <f>IF('Übung 07'!AY$40="","",'Übung 07'!AY$40)</f>
        <v/>
      </c>
      <c r="J590" s="62">
        <f>IF('Übung 08'!AY$40="","",'Übung 08'!AY$40)</f>
        <v/>
      </c>
      <c r="K590" s="62">
        <f>IF('Übung 09'!AY$40="","",'Übung 09'!AY$40)</f>
        <v/>
      </c>
      <c r="L590" s="62">
        <f>IF('Übung 10'!AY$40="","",'Übung 10'!AY$40)</f>
        <v/>
      </c>
      <c r="M590" s="62">
        <f>IF('Übung 11'!AY$40="","",'Übung 11'!AY$40)</f>
        <v/>
      </c>
      <c r="N590" s="62">
        <f>IF('Übung 12'!AY$40="","",'Übung 12'!AY$40)</f>
        <v/>
      </c>
      <c r="O590" s="62">
        <f>IF('Übung 13'!AY$40="","",'Übung 13'!AY$40)</f>
        <v/>
      </c>
      <c r="P590" s="62">
        <f>IF('Übung 14'!AY$40="","",'Übung 14'!AY$40)</f>
        <v/>
      </c>
      <c r="Q590" s="62">
        <f>IF('Übung 15'!AY$40="","",'Übung 15'!AY$40)</f>
        <v/>
      </c>
      <c r="R590" s="62">
        <f>IF('Übung 16'!AY$40="","",'Übung 16'!AY$40)</f>
        <v/>
      </c>
      <c r="S590" s="62">
        <f>IF('Übung 17'!AY$40="","",'Übung 17'!AY$40)</f>
        <v/>
      </c>
      <c r="T590" s="62">
        <f>IF('Übung 18'!AY$40="","",'Übung 18'!AY$40)</f>
        <v/>
      </c>
      <c r="U590" s="62">
        <f>IF('Übung 19'!AY$40="","",'Übung 19'!AY$40)</f>
        <v/>
      </c>
      <c r="V590" s="62">
        <f>IF('Übung 20'!AY$40="","",'Übung 20'!AY$40)</f>
        <v/>
      </c>
    </row>
    <row r="591">
      <c r="C591" s="62">
        <f>IF('Übung 01'!AZ$40="","",'Übung 01'!AZ$40)</f>
        <v/>
      </c>
      <c r="D591" s="62">
        <f>IF('Übung 02'!AZ$40="","",'Übung 02'!AZ$40)</f>
        <v/>
      </c>
      <c r="E591" s="62">
        <f>IF('Übung 03'!AZ$40="","",'Übung 03'!AZ$40)</f>
        <v/>
      </c>
      <c r="F591" s="62">
        <f>IF('Übung 04'!AZ$40="","",'Übung 04'!AZ$40)</f>
        <v/>
      </c>
      <c r="G591" s="62">
        <f>IF('Übung 05'!AZ$40="","",'Übung 05'!AZ$40)</f>
        <v/>
      </c>
      <c r="H591" s="62">
        <f>IF('Übung 06'!AZ$40="","",'Übung 06'!AZ$40)</f>
        <v/>
      </c>
      <c r="I591" s="62">
        <f>IF('Übung 07'!AZ$40="","",'Übung 07'!AZ$40)</f>
        <v/>
      </c>
      <c r="J591" s="62">
        <f>IF('Übung 08'!AZ$40="","",'Übung 08'!AZ$40)</f>
        <v/>
      </c>
      <c r="K591" s="62">
        <f>IF('Übung 09'!AZ$40="","",'Übung 09'!AZ$40)</f>
        <v/>
      </c>
      <c r="L591" s="62">
        <f>IF('Übung 10'!AZ$40="","",'Übung 10'!AZ$40)</f>
        <v/>
      </c>
      <c r="M591" s="62">
        <f>IF('Übung 11'!AZ$40="","",'Übung 11'!AZ$40)</f>
        <v/>
      </c>
      <c r="N591" s="62">
        <f>IF('Übung 12'!AZ$40="","",'Übung 12'!AZ$40)</f>
        <v/>
      </c>
      <c r="O591" s="62">
        <f>IF('Übung 13'!AZ$40="","",'Übung 13'!AZ$40)</f>
        <v/>
      </c>
      <c r="P591" s="62">
        <f>IF('Übung 14'!AZ$40="","",'Übung 14'!AZ$40)</f>
        <v/>
      </c>
      <c r="Q591" s="62">
        <f>IF('Übung 15'!AZ$40="","",'Übung 15'!AZ$40)</f>
        <v/>
      </c>
      <c r="R591" s="62">
        <f>IF('Übung 16'!AZ$40="","",'Übung 16'!AZ$40)</f>
        <v/>
      </c>
      <c r="S591" s="62">
        <f>IF('Übung 17'!AZ$40="","",'Übung 17'!AZ$40)</f>
        <v/>
      </c>
      <c r="T591" s="62">
        <f>IF('Übung 18'!AZ$40="","",'Übung 18'!AZ$40)</f>
        <v/>
      </c>
      <c r="U591" s="62">
        <f>IF('Übung 19'!AZ$40="","",'Übung 19'!AZ$40)</f>
        <v/>
      </c>
      <c r="V591" s="62">
        <f>IF('Übung 20'!AZ$40="","",'Übung 20'!AZ$40)</f>
        <v/>
      </c>
    </row>
    <row r="592">
      <c r="C592" s="62">
        <f>IF('Übung 01'!BA$40="","",'Übung 01'!BA$40)</f>
        <v/>
      </c>
      <c r="D592" s="62">
        <f>IF('Übung 02'!BA$40="","",'Übung 02'!BA$40)</f>
        <v/>
      </c>
      <c r="E592" s="62">
        <f>IF('Übung 03'!BA$40="","",'Übung 03'!BA$40)</f>
        <v/>
      </c>
      <c r="F592" s="62">
        <f>IF('Übung 04'!BA$40="","",'Übung 04'!BA$40)</f>
        <v/>
      </c>
      <c r="G592" s="62">
        <f>IF('Übung 05'!BA$40="","",'Übung 05'!BA$40)</f>
        <v/>
      </c>
      <c r="H592" s="62">
        <f>IF('Übung 06'!BA$40="","",'Übung 06'!BA$40)</f>
        <v/>
      </c>
      <c r="I592" s="62">
        <f>IF('Übung 07'!BA$40="","",'Übung 07'!BA$40)</f>
        <v/>
      </c>
      <c r="J592" s="62">
        <f>IF('Übung 08'!BA$40="","",'Übung 08'!BA$40)</f>
        <v/>
      </c>
      <c r="K592" s="62">
        <f>IF('Übung 09'!BA$40="","",'Übung 09'!BA$40)</f>
        <v/>
      </c>
      <c r="L592" s="62">
        <f>IF('Übung 10'!BA$40="","",'Übung 10'!BA$40)</f>
        <v/>
      </c>
      <c r="M592" s="62">
        <f>IF('Übung 11'!BA$40="","",'Übung 11'!BA$40)</f>
        <v/>
      </c>
      <c r="N592" s="62">
        <f>IF('Übung 12'!BA$40="","",'Übung 12'!BA$40)</f>
        <v/>
      </c>
      <c r="O592" s="62">
        <f>IF('Übung 13'!BA$40="","",'Übung 13'!BA$40)</f>
        <v/>
      </c>
      <c r="P592" s="62">
        <f>IF('Übung 14'!BA$40="","",'Übung 14'!BA$40)</f>
        <v/>
      </c>
      <c r="Q592" s="62">
        <f>IF('Übung 15'!BA$40="","",'Übung 15'!BA$40)</f>
        <v/>
      </c>
      <c r="R592" s="62">
        <f>IF('Übung 16'!BA$40="","",'Übung 16'!BA$40)</f>
        <v/>
      </c>
      <c r="S592" s="62">
        <f>IF('Übung 17'!BA$40="","",'Übung 17'!BA$40)</f>
        <v/>
      </c>
      <c r="T592" s="62">
        <f>IF('Übung 18'!BA$40="","",'Übung 18'!BA$40)</f>
        <v/>
      </c>
      <c r="U592" s="62">
        <f>IF('Übung 19'!BA$40="","",'Übung 19'!BA$40)</f>
        <v/>
      </c>
      <c r="V592" s="62">
        <f>IF('Übung 20'!BA$40="","",'Übung 20'!BA$40)</f>
        <v/>
      </c>
    </row>
    <row r="593">
      <c r="C593" s="62">
        <f>IF('Übung 01'!BB$40="","",'Übung 01'!BB$40)</f>
        <v/>
      </c>
      <c r="D593" s="62">
        <f>IF('Übung 02'!BB$40="","",'Übung 02'!BB$40)</f>
        <v/>
      </c>
      <c r="E593" s="62">
        <f>IF('Übung 03'!BB$40="","",'Übung 03'!BB$40)</f>
        <v/>
      </c>
      <c r="F593" s="62">
        <f>IF('Übung 04'!BB$40="","",'Übung 04'!BB$40)</f>
        <v/>
      </c>
      <c r="G593" s="62">
        <f>IF('Übung 05'!BB$40="","",'Übung 05'!BB$40)</f>
        <v/>
      </c>
      <c r="H593" s="62">
        <f>IF('Übung 06'!BB$40="","",'Übung 06'!BB$40)</f>
        <v/>
      </c>
      <c r="I593" s="62">
        <f>IF('Übung 07'!BB$40="","",'Übung 07'!BB$40)</f>
        <v/>
      </c>
      <c r="J593" s="62">
        <f>IF('Übung 08'!BB$40="","",'Übung 08'!BB$40)</f>
        <v/>
      </c>
      <c r="K593" s="62">
        <f>IF('Übung 09'!BB$40="","",'Übung 09'!BB$40)</f>
        <v/>
      </c>
      <c r="L593" s="62">
        <f>IF('Übung 10'!BB$40="","",'Übung 10'!BB$40)</f>
        <v/>
      </c>
      <c r="M593" s="62">
        <f>IF('Übung 11'!BB$40="","",'Übung 11'!BB$40)</f>
        <v/>
      </c>
      <c r="N593" s="62">
        <f>IF('Übung 12'!BB$40="","",'Übung 12'!BB$40)</f>
        <v/>
      </c>
      <c r="O593" s="62">
        <f>IF('Übung 13'!BB$40="","",'Übung 13'!BB$40)</f>
        <v/>
      </c>
      <c r="P593" s="62">
        <f>IF('Übung 14'!BB$40="","",'Übung 14'!BB$40)</f>
        <v/>
      </c>
      <c r="Q593" s="62">
        <f>IF('Übung 15'!BB$40="","",'Übung 15'!BB$40)</f>
        <v/>
      </c>
      <c r="R593" s="62">
        <f>IF('Übung 16'!BB$40="","",'Übung 16'!BB$40)</f>
        <v/>
      </c>
      <c r="S593" s="62">
        <f>IF('Übung 17'!BB$40="","",'Übung 17'!BB$40)</f>
        <v/>
      </c>
      <c r="T593" s="62">
        <f>IF('Übung 18'!BB$40="","",'Übung 18'!BB$40)</f>
        <v/>
      </c>
      <c r="U593" s="62">
        <f>IF('Übung 19'!BB$40="","",'Übung 19'!BB$40)</f>
        <v/>
      </c>
      <c r="V593" s="62">
        <f>IF('Übung 20'!BB$40="","",'Übung 20'!BB$40)</f>
        <v/>
      </c>
    </row>
    <row r="594">
      <c r="C594" s="62">
        <f>IF('Übung 01'!BC$40="","",'Übung 01'!BC$40)</f>
        <v/>
      </c>
      <c r="D594" s="62">
        <f>IF('Übung 02'!BC$40="","",'Übung 02'!BC$40)</f>
        <v/>
      </c>
      <c r="E594" s="62">
        <f>IF('Übung 03'!BC$40="","",'Übung 03'!BC$40)</f>
        <v/>
      </c>
      <c r="F594" s="62">
        <f>IF('Übung 04'!BC$40="","",'Übung 04'!BC$40)</f>
        <v/>
      </c>
      <c r="G594" s="62">
        <f>IF('Übung 05'!BC$40="","",'Übung 05'!BC$40)</f>
        <v/>
      </c>
      <c r="H594" s="62">
        <f>IF('Übung 06'!BC$40="","",'Übung 06'!BC$40)</f>
        <v/>
      </c>
      <c r="I594" s="62">
        <f>IF('Übung 07'!BC$40="","",'Übung 07'!BC$40)</f>
        <v/>
      </c>
      <c r="J594" s="62">
        <f>IF('Übung 08'!BC$40="","",'Übung 08'!BC$40)</f>
        <v/>
      </c>
      <c r="K594" s="62">
        <f>IF('Übung 09'!BC$40="","",'Übung 09'!BC$40)</f>
        <v/>
      </c>
      <c r="L594" s="62">
        <f>IF('Übung 10'!BC$40="","",'Übung 10'!BC$40)</f>
        <v/>
      </c>
      <c r="M594" s="62">
        <f>IF('Übung 11'!BC$40="","",'Übung 11'!BC$40)</f>
        <v/>
      </c>
      <c r="N594" s="62">
        <f>IF('Übung 12'!BC$40="","",'Übung 12'!BC$40)</f>
        <v/>
      </c>
      <c r="O594" s="62">
        <f>IF('Übung 13'!BC$40="","",'Übung 13'!BC$40)</f>
        <v/>
      </c>
      <c r="P594" s="62">
        <f>IF('Übung 14'!BC$40="","",'Übung 14'!BC$40)</f>
        <v/>
      </c>
      <c r="Q594" s="62">
        <f>IF('Übung 15'!BC$40="","",'Übung 15'!BC$40)</f>
        <v/>
      </c>
      <c r="R594" s="62">
        <f>IF('Übung 16'!BC$40="","",'Übung 16'!BC$40)</f>
        <v/>
      </c>
      <c r="S594" s="62">
        <f>IF('Übung 17'!BC$40="","",'Übung 17'!BC$40)</f>
        <v/>
      </c>
      <c r="T594" s="62">
        <f>IF('Übung 18'!BC$40="","",'Übung 18'!BC$40)</f>
        <v/>
      </c>
      <c r="U594" s="62">
        <f>IF('Übung 19'!BC$40="","",'Übung 19'!BC$40)</f>
        <v/>
      </c>
      <c r="V594" s="62">
        <f>IF('Übung 20'!BC$40="","",'Übung 20'!BC$40)</f>
        <v/>
      </c>
    </row>
    <row r="595">
      <c r="C595" s="62">
        <f>IF('Übung 01'!BE$40="","",'Übung 01'!BE$40)</f>
        <v/>
      </c>
      <c r="D595" s="62">
        <f>IF('Übung 02'!BE$40="","",'Übung 02'!BE$40)</f>
        <v/>
      </c>
      <c r="E595" s="62">
        <f>IF('Übung 03'!BE$40="","",'Übung 03'!BE$40)</f>
        <v/>
      </c>
      <c r="F595" s="62">
        <f>IF('Übung 04'!BE$40="","",'Übung 04'!BE$40)</f>
        <v/>
      </c>
      <c r="G595" s="62">
        <f>IF('Übung 05'!BE$40="","",'Übung 05'!BE$40)</f>
        <v/>
      </c>
      <c r="H595" s="62">
        <f>IF('Übung 06'!BE$40="","",'Übung 06'!BE$40)</f>
        <v/>
      </c>
      <c r="I595" s="62">
        <f>IF('Übung 07'!BE$40="","",'Übung 07'!BE$40)</f>
        <v/>
      </c>
      <c r="J595" s="62">
        <f>IF('Übung 08'!BE$40="","",'Übung 08'!BE$40)</f>
        <v/>
      </c>
      <c r="K595" s="62">
        <f>IF('Übung 09'!BE$40="","",'Übung 09'!BE$40)</f>
        <v/>
      </c>
      <c r="L595" s="62">
        <f>IF('Übung 10'!BE$40="","",'Übung 10'!BE$40)</f>
        <v/>
      </c>
      <c r="M595" s="62">
        <f>IF('Übung 11'!BE$40="","",'Übung 11'!BE$40)</f>
        <v/>
      </c>
      <c r="N595" s="62">
        <f>IF('Übung 12'!BE$40="","",'Übung 12'!BE$40)</f>
        <v/>
      </c>
      <c r="O595" s="62">
        <f>IF('Übung 13'!BE$40="","",'Übung 13'!BE$40)</f>
        <v/>
      </c>
      <c r="P595" s="62">
        <f>IF('Übung 14'!BE$40="","",'Übung 14'!BE$40)</f>
        <v/>
      </c>
      <c r="Q595" s="62">
        <f>IF('Übung 15'!BE$40="","",'Übung 15'!BE$40)</f>
        <v/>
      </c>
      <c r="R595" s="62">
        <f>IF('Übung 16'!BE$40="","",'Übung 16'!BE$40)</f>
        <v/>
      </c>
      <c r="S595" s="62">
        <f>IF('Übung 17'!BE$40="","",'Übung 17'!BE$40)</f>
        <v/>
      </c>
      <c r="T595" s="62">
        <f>IF('Übung 18'!BE$40="","",'Übung 18'!BE$40)</f>
        <v/>
      </c>
      <c r="U595" s="62">
        <f>IF('Übung 19'!BE$40="","",'Übung 19'!BE$40)</f>
        <v/>
      </c>
      <c r="V595" s="62">
        <f>IF('Übung 20'!BE$40="","",'Übung 20'!BE$40)</f>
        <v/>
      </c>
    </row>
    <row r="596">
      <c r="C596" s="62">
        <f>IF('Übung 01'!BF$40="","",'Übung 01'!BF$40)</f>
        <v/>
      </c>
      <c r="D596" s="62">
        <f>IF('Übung 02'!BF$40="","",'Übung 02'!BF$40)</f>
        <v/>
      </c>
      <c r="E596" s="62">
        <f>IF('Übung 03'!BF$40="","",'Übung 03'!BF$40)</f>
        <v/>
      </c>
      <c r="F596" s="62">
        <f>IF('Übung 04'!BF$40="","",'Übung 04'!BF$40)</f>
        <v/>
      </c>
      <c r="G596" s="62">
        <f>IF('Übung 05'!BF$40="","",'Übung 05'!BF$40)</f>
        <v/>
      </c>
      <c r="H596" s="62">
        <f>IF('Übung 06'!BF$40="","",'Übung 06'!BF$40)</f>
        <v/>
      </c>
      <c r="I596" s="62">
        <f>IF('Übung 07'!BF$40="","",'Übung 07'!BF$40)</f>
        <v/>
      </c>
      <c r="J596" s="62">
        <f>IF('Übung 08'!BF$40="","",'Übung 08'!BF$40)</f>
        <v/>
      </c>
      <c r="K596" s="62">
        <f>IF('Übung 09'!BF$40="","",'Übung 09'!BF$40)</f>
        <v/>
      </c>
      <c r="L596" s="62">
        <f>IF('Übung 10'!BF$40="","",'Übung 10'!BF$40)</f>
        <v/>
      </c>
      <c r="M596" s="62">
        <f>IF('Übung 11'!BF$40="","",'Übung 11'!BF$40)</f>
        <v/>
      </c>
      <c r="N596" s="62">
        <f>IF('Übung 12'!BF$40="","",'Übung 12'!BF$40)</f>
        <v/>
      </c>
      <c r="O596" s="62">
        <f>IF('Übung 13'!BF$40="","",'Übung 13'!BF$40)</f>
        <v/>
      </c>
      <c r="P596" s="62">
        <f>IF('Übung 14'!BF$40="","",'Übung 14'!BF$40)</f>
        <v/>
      </c>
      <c r="Q596" s="62">
        <f>IF('Übung 15'!BF$40="","",'Übung 15'!BF$40)</f>
        <v/>
      </c>
      <c r="R596" s="62">
        <f>IF('Übung 16'!BF$40="","",'Übung 16'!BF$40)</f>
        <v/>
      </c>
      <c r="S596" s="62">
        <f>IF('Übung 17'!BF$40="","",'Übung 17'!BF$40)</f>
        <v/>
      </c>
      <c r="T596" s="62">
        <f>IF('Übung 18'!BF$40="","",'Übung 18'!BF$40)</f>
        <v/>
      </c>
      <c r="U596" s="62">
        <f>IF('Übung 19'!BF$40="","",'Übung 19'!BF$40)</f>
        <v/>
      </c>
      <c r="V596" s="62">
        <f>IF('Übung 20'!BF$40="","",'Übung 20'!BF$40)</f>
        <v/>
      </c>
    </row>
    <row r="597">
      <c r="C597" s="62">
        <f>IF('Übung 01'!BG$40="","",'Übung 01'!BG$40)</f>
        <v/>
      </c>
      <c r="D597" s="62">
        <f>IF('Übung 02'!BG$40="","",'Übung 02'!BG$40)</f>
        <v/>
      </c>
      <c r="E597" s="62">
        <f>IF('Übung 03'!BG$40="","",'Übung 03'!BG$40)</f>
        <v/>
      </c>
      <c r="F597" s="62">
        <f>IF('Übung 04'!BG$40="","",'Übung 04'!BG$40)</f>
        <v/>
      </c>
      <c r="G597" s="62">
        <f>IF('Übung 05'!BG$40="","",'Übung 05'!BG$40)</f>
        <v/>
      </c>
      <c r="H597" s="62">
        <f>IF('Übung 06'!BG$40="","",'Übung 06'!BG$40)</f>
        <v/>
      </c>
      <c r="I597" s="62">
        <f>IF('Übung 07'!BG$40="","",'Übung 07'!BG$40)</f>
        <v/>
      </c>
      <c r="J597" s="62">
        <f>IF('Übung 08'!BG$40="","",'Übung 08'!BG$40)</f>
        <v/>
      </c>
      <c r="K597" s="62">
        <f>IF('Übung 09'!BG$40="","",'Übung 09'!BG$40)</f>
        <v/>
      </c>
      <c r="L597" s="62">
        <f>IF('Übung 10'!BG$40="","",'Übung 10'!BG$40)</f>
        <v/>
      </c>
      <c r="M597" s="62">
        <f>IF('Übung 11'!BG$40="","",'Übung 11'!BG$40)</f>
        <v/>
      </c>
      <c r="N597" s="62">
        <f>IF('Übung 12'!BG$40="","",'Übung 12'!BG$40)</f>
        <v/>
      </c>
      <c r="O597" s="62">
        <f>IF('Übung 13'!BG$40="","",'Übung 13'!BG$40)</f>
        <v/>
      </c>
      <c r="P597" s="62">
        <f>IF('Übung 14'!BG$40="","",'Übung 14'!BG$40)</f>
        <v/>
      </c>
      <c r="Q597" s="62">
        <f>IF('Übung 15'!BG$40="","",'Übung 15'!BG$40)</f>
        <v/>
      </c>
      <c r="R597" s="62">
        <f>IF('Übung 16'!BG$40="","",'Übung 16'!BG$40)</f>
        <v/>
      </c>
      <c r="S597" s="62">
        <f>IF('Übung 17'!BG$40="","",'Übung 17'!BG$40)</f>
        <v/>
      </c>
      <c r="T597" s="62">
        <f>IF('Übung 18'!BG$40="","",'Übung 18'!BG$40)</f>
        <v/>
      </c>
      <c r="U597" s="62">
        <f>IF('Übung 19'!BG$40="","",'Übung 19'!BG$40)</f>
        <v/>
      </c>
      <c r="V597" s="62">
        <f>IF('Übung 20'!BG$40="","",'Übung 20'!BG$40)</f>
        <v/>
      </c>
    </row>
    <row r="598">
      <c r="C598" s="62">
        <f>IF('Übung 01'!BH$40="","",'Übung 01'!BH$40)</f>
        <v/>
      </c>
      <c r="D598" s="62">
        <f>IF('Übung 02'!BH$40="","",'Übung 02'!BH$40)</f>
        <v/>
      </c>
      <c r="E598" s="62">
        <f>IF('Übung 03'!BH$40="","",'Übung 03'!BH$40)</f>
        <v/>
      </c>
      <c r="F598" s="62">
        <f>IF('Übung 04'!BH$40="","",'Übung 04'!BH$40)</f>
        <v/>
      </c>
      <c r="G598" s="62">
        <f>IF('Übung 05'!BH$40="","",'Übung 05'!BH$40)</f>
        <v/>
      </c>
      <c r="H598" s="62">
        <f>IF('Übung 06'!BH$40="","",'Übung 06'!BH$40)</f>
        <v/>
      </c>
      <c r="I598" s="62">
        <f>IF('Übung 07'!BH$40="","",'Übung 07'!BH$40)</f>
        <v/>
      </c>
      <c r="J598" s="62">
        <f>IF('Übung 08'!BH$40="","",'Übung 08'!BH$40)</f>
        <v/>
      </c>
      <c r="K598" s="62">
        <f>IF('Übung 09'!BH$40="","",'Übung 09'!BH$40)</f>
        <v/>
      </c>
      <c r="L598" s="62">
        <f>IF('Übung 10'!BH$40="","",'Übung 10'!BH$40)</f>
        <v/>
      </c>
      <c r="M598" s="62">
        <f>IF('Übung 11'!BH$40="","",'Übung 11'!BH$40)</f>
        <v/>
      </c>
      <c r="N598" s="62">
        <f>IF('Übung 12'!BH$40="","",'Übung 12'!BH$40)</f>
        <v/>
      </c>
      <c r="O598" s="62">
        <f>IF('Übung 13'!BH$40="","",'Übung 13'!BH$40)</f>
        <v/>
      </c>
      <c r="P598" s="62">
        <f>IF('Übung 14'!BH$40="","",'Übung 14'!BH$40)</f>
        <v/>
      </c>
      <c r="Q598" s="62">
        <f>IF('Übung 15'!BH$40="","",'Übung 15'!BH$40)</f>
        <v/>
      </c>
      <c r="R598" s="62">
        <f>IF('Übung 16'!BH$40="","",'Übung 16'!BH$40)</f>
        <v/>
      </c>
      <c r="S598" s="62">
        <f>IF('Übung 17'!BH$40="","",'Übung 17'!BH$40)</f>
        <v/>
      </c>
      <c r="T598" s="62">
        <f>IF('Übung 18'!BH$40="","",'Übung 18'!BH$40)</f>
        <v/>
      </c>
      <c r="U598" s="62">
        <f>IF('Übung 19'!BH$40="","",'Übung 19'!BH$40)</f>
        <v/>
      </c>
      <c r="V598" s="62">
        <f>IF('Übung 20'!BH$40="","",'Übung 20'!BH$40)</f>
        <v/>
      </c>
    </row>
    <row r="599">
      <c r="C599" s="62">
        <f>IF('Übung 01'!BI$40="","",'Übung 01'!BI$40)</f>
        <v/>
      </c>
      <c r="D599" s="62">
        <f>IF('Übung 02'!BI$40="","",'Übung 02'!BI$40)</f>
        <v/>
      </c>
      <c r="E599" s="62">
        <f>IF('Übung 03'!BI$40="","",'Übung 03'!BI$40)</f>
        <v/>
      </c>
      <c r="F599" s="62">
        <f>IF('Übung 04'!BI$40="","",'Übung 04'!BI$40)</f>
        <v/>
      </c>
      <c r="G599" s="62">
        <f>IF('Übung 05'!BI$40="","",'Übung 05'!BI$40)</f>
        <v/>
      </c>
      <c r="H599" s="62">
        <f>IF('Übung 06'!BI$40="","",'Übung 06'!BI$40)</f>
        <v/>
      </c>
      <c r="I599" s="62">
        <f>IF('Übung 07'!BI$40="","",'Übung 07'!BI$40)</f>
        <v/>
      </c>
      <c r="J599" s="62">
        <f>IF('Übung 08'!BI$40="","",'Übung 08'!BI$40)</f>
        <v/>
      </c>
      <c r="K599" s="62">
        <f>IF('Übung 09'!BI$40="","",'Übung 09'!BI$40)</f>
        <v/>
      </c>
      <c r="L599" s="62">
        <f>IF('Übung 10'!BI$40="","",'Übung 10'!BI$40)</f>
        <v/>
      </c>
      <c r="M599" s="62">
        <f>IF('Übung 11'!BI$40="","",'Übung 11'!BI$40)</f>
        <v/>
      </c>
      <c r="N599" s="62">
        <f>IF('Übung 12'!BI$40="","",'Übung 12'!BI$40)</f>
        <v/>
      </c>
      <c r="O599" s="62">
        <f>IF('Übung 13'!BI$40="","",'Übung 13'!BI$40)</f>
        <v/>
      </c>
      <c r="P599" s="62">
        <f>IF('Übung 14'!BI$40="","",'Übung 14'!BI$40)</f>
        <v/>
      </c>
      <c r="Q599" s="62">
        <f>IF('Übung 15'!BI$40="","",'Übung 15'!BI$40)</f>
        <v/>
      </c>
      <c r="R599" s="62">
        <f>IF('Übung 16'!BI$40="","",'Übung 16'!BI$40)</f>
        <v/>
      </c>
      <c r="S599" s="62">
        <f>IF('Übung 17'!BI$40="","",'Übung 17'!BI$40)</f>
        <v/>
      </c>
      <c r="T599" s="62">
        <f>IF('Übung 18'!BI$40="","",'Übung 18'!BI$40)</f>
        <v/>
      </c>
      <c r="U599" s="62">
        <f>IF('Übung 19'!BI$40="","",'Übung 19'!BI$40)</f>
        <v/>
      </c>
      <c r="V599" s="62">
        <f>IF('Übung 20'!BI$40="","",'Übung 20'!BI$40)</f>
        <v/>
      </c>
    </row>
    <row r="600">
      <c r="C600" s="62">
        <f>IF('Übung 01'!BJ$40="","",'Übung 01'!BJ$40)</f>
        <v/>
      </c>
      <c r="D600" s="62">
        <f>IF('Übung 02'!BJ$40="","",'Übung 02'!BJ$40)</f>
        <v/>
      </c>
      <c r="E600" s="62">
        <f>IF('Übung 03'!BJ$40="","",'Übung 03'!BJ$40)</f>
        <v/>
      </c>
      <c r="F600" s="62">
        <f>IF('Übung 04'!BJ$40="","",'Übung 04'!BJ$40)</f>
        <v/>
      </c>
      <c r="G600" s="62">
        <f>IF('Übung 05'!BJ$40="","",'Übung 05'!BJ$40)</f>
        <v/>
      </c>
      <c r="H600" s="62">
        <f>IF('Übung 06'!BJ$40="","",'Übung 06'!BJ$40)</f>
        <v/>
      </c>
      <c r="I600" s="62">
        <f>IF('Übung 07'!BJ$40="","",'Übung 07'!BJ$40)</f>
        <v/>
      </c>
      <c r="J600" s="62">
        <f>IF('Übung 08'!BJ$40="","",'Übung 08'!BJ$40)</f>
        <v/>
      </c>
      <c r="K600" s="62">
        <f>IF('Übung 09'!BJ$40="","",'Übung 09'!BJ$40)</f>
        <v/>
      </c>
      <c r="L600" s="62">
        <f>IF('Übung 10'!BJ$40="","",'Übung 10'!BJ$40)</f>
        <v/>
      </c>
      <c r="M600" s="62">
        <f>IF('Übung 11'!BJ$40="","",'Übung 11'!BJ$40)</f>
        <v/>
      </c>
      <c r="N600" s="62">
        <f>IF('Übung 12'!BJ$40="","",'Übung 12'!BJ$40)</f>
        <v/>
      </c>
      <c r="O600" s="62">
        <f>IF('Übung 13'!BJ$40="","",'Übung 13'!BJ$40)</f>
        <v/>
      </c>
      <c r="P600" s="62">
        <f>IF('Übung 14'!BJ$40="","",'Übung 14'!BJ$40)</f>
        <v/>
      </c>
      <c r="Q600" s="62">
        <f>IF('Übung 15'!BJ$40="","",'Übung 15'!BJ$40)</f>
        <v/>
      </c>
      <c r="R600" s="62">
        <f>IF('Übung 16'!BJ$40="","",'Übung 16'!BJ$40)</f>
        <v/>
      </c>
      <c r="S600" s="62">
        <f>IF('Übung 17'!BJ$40="","",'Übung 17'!BJ$40)</f>
        <v/>
      </c>
      <c r="T600" s="62">
        <f>IF('Übung 18'!BJ$40="","",'Übung 18'!BJ$40)</f>
        <v/>
      </c>
      <c r="U600" s="62">
        <f>IF('Übung 19'!BJ$40="","",'Übung 19'!BJ$40)</f>
        <v/>
      </c>
      <c r="V600" s="62">
        <f>IF('Übung 20'!BJ$40="","",'Übung 20'!BJ$40)</f>
        <v/>
      </c>
    </row>
    <row r="601">
      <c r="C601" s="62">
        <f>IF('Übung 01'!BK$40="","",'Übung 01'!BK$40)</f>
        <v/>
      </c>
      <c r="D601" s="62">
        <f>IF('Übung 02'!BK$40="","",'Übung 02'!BK$40)</f>
        <v/>
      </c>
      <c r="E601" s="62">
        <f>IF('Übung 03'!BK$40="","",'Übung 03'!BK$40)</f>
        <v/>
      </c>
      <c r="F601" s="62">
        <f>IF('Übung 04'!BK$40="","",'Übung 04'!BK$40)</f>
        <v/>
      </c>
      <c r="G601" s="62">
        <f>IF('Übung 05'!BK$40="","",'Übung 05'!BK$40)</f>
        <v/>
      </c>
      <c r="H601" s="62">
        <f>IF('Übung 06'!BK$40="","",'Übung 06'!BK$40)</f>
        <v/>
      </c>
      <c r="I601" s="62">
        <f>IF('Übung 07'!BK$40="","",'Übung 07'!BK$40)</f>
        <v/>
      </c>
      <c r="J601" s="62">
        <f>IF('Übung 08'!BK$40="","",'Übung 08'!BK$40)</f>
        <v/>
      </c>
      <c r="K601" s="62">
        <f>IF('Übung 09'!BK$40="","",'Übung 09'!BK$40)</f>
        <v/>
      </c>
      <c r="L601" s="62">
        <f>IF('Übung 10'!BK$40="","",'Übung 10'!BK$40)</f>
        <v/>
      </c>
      <c r="M601" s="62">
        <f>IF('Übung 11'!BK$40="","",'Übung 11'!BK$40)</f>
        <v/>
      </c>
      <c r="N601" s="62">
        <f>IF('Übung 12'!BK$40="","",'Übung 12'!BK$40)</f>
        <v/>
      </c>
      <c r="O601" s="62">
        <f>IF('Übung 13'!BK$40="","",'Übung 13'!BK$40)</f>
        <v/>
      </c>
      <c r="P601" s="62">
        <f>IF('Übung 14'!BK$40="","",'Übung 14'!BK$40)</f>
        <v/>
      </c>
      <c r="Q601" s="62">
        <f>IF('Übung 15'!BK$40="","",'Übung 15'!BK$40)</f>
        <v/>
      </c>
      <c r="R601" s="62">
        <f>IF('Übung 16'!BK$40="","",'Übung 16'!BK$40)</f>
        <v/>
      </c>
      <c r="S601" s="62">
        <f>IF('Übung 17'!BK$40="","",'Übung 17'!BK$40)</f>
        <v/>
      </c>
      <c r="T601" s="62">
        <f>IF('Übung 18'!BK$40="","",'Übung 18'!BK$40)</f>
        <v/>
      </c>
      <c r="U601" s="62">
        <f>IF('Übung 19'!BK$40="","",'Übung 19'!BK$40)</f>
        <v/>
      </c>
      <c r="V601" s="62">
        <f>IF('Übung 20'!BK$40="","",'Übung 20'!BK$40)</f>
        <v/>
      </c>
    </row>
    <row r="602">
      <c r="C602" s="62">
        <f>IF('Übung 01'!BL$40="","",'Übung 01'!BL$40)</f>
        <v/>
      </c>
      <c r="D602" s="62">
        <f>IF('Übung 02'!BL$40="","",'Übung 02'!BL$40)</f>
        <v/>
      </c>
      <c r="E602" s="62">
        <f>IF('Übung 03'!BL$40="","",'Übung 03'!BL$40)</f>
        <v/>
      </c>
      <c r="F602" s="62">
        <f>IF('Übung 04'!BL$40="","",'Übung 04'!BL$40)</f>
        <v/>
      </c>
      <c r="G602" s="62">
        <f>IF('Übung 05'!BL$40="","",'Übung 05'!BL$40)</f>
        <v/>
      </c>
      <c r="H602" s="62">
        <f>IF('Übung 06'!BL$40="","",'Übung 06'!BL$40)</f>
        <v/>
      </c>
      <c r="I602" s="62">
        <f>IF('Übung 07'!BL$40="","",'Übung 07'!BL$40)</f>
        <v/>
      </c>
      <c r="J602" s="62">
        <f>IF('Übung 08'!BL$40="","",'Übung 08'!BL$40)</f>
        <v/>
      </c>
      <c r="K602" s="62">
        <f>IF('Übung 09'!BL$40="","",'Übung 09'!BL$40)</f>
        <v/>
      </c>
      <c r="L602" s="62">
        <f>IF('Übung 10'!BL$40="","",'Übung 10'!BL$40)</f>
        <v/>
      </c>
      <c r="M602" s="62">
        <f>IF('Übung 11'!BL$40="","",'Übung 11'!BL$40)</f>
        <v/>
      </c>
      <c r="N602" s="62">
        <f>IF('Übung 12'!BL$40="","",'Übung 12'!BL$40)</f>
        <v/>
      </c>
      <c r="O602" s="62">
        <f>IF('Übung 13'!BL$40="","",'Übung 13'!BL$40)</f>
        <v/>
      </c>
      <c r="P602" s="62">
        <f>IF('Übung 14'!BL$40="","",'Übung 14'!BL$40)</f>
        <v/>
      </c>
      <c r="Q602" s="62">
        <f>IF('Übung 15'!BL$40="","",'Übung 15'!BL$40)</f>
        <v/>
      </c>
      <c r="R602" s="62">
        <f>IF('Übung 16'!BL$40="","",'Übung 16'!BL$40)</f>
        <v/>
      </c>
      <c r="S602" s="62">
        <f>IF('Übung 17'!BL$40="","",'Übung 17'!BL$40)</f>
        <v/>
      </c>
      <c r="T602" s="62">
        <f>IF('Übung 18'!BL$40="","",'Übung 18'!BL$40)</f>
        <v/>
      </c>
      <c r="U602" s="62">
        <f>IF('Übung 19'!BL$40="","",'Übung 19'!BL$40)</f>
        <v/>
      </c>
      <c r="V602" s="62">
        <f>IF('Übung 20'!BL$40="","",'Übung 20'!BL$40)</f>
        <v/>
      </c>
    </row>
    <row r="603">
      <c r="C603" s="62">
        <f>IF('Übung 01'!BM$40="","",'Übung 01'!BM$40)</f>
        <v/>
      </c>
      <c r="D603" s="62">
        <f>IF('Übung 02'!BM$40="","",'Übung 02'!BM$40)</f>
        <v/>
      </c>
      <c r="E603" s="62">
        <f>IF('Übung 03'!BM$40="","",'Übung 03'!BM$40)</f>
        <v/>
      </c>
      <c r="F603" s="62">
        <f>IF('Übung 04'!BM$40="","",'Übung 04'!BM$40)</f>
        <v/>
      </c>
      <c r="G603" s="62">
        <f>IF('Übung 05'!BM$40="","",'Übung 05'!BM$40)</f>
        <v/>
      </c>
      <c r="H603" s="62">
        <f>IF('Übung 06'!BM$40="","",'Übung 06'!BM$40)</f>
        <v/>
      </c>
      <c r="I603" s="62">
        <f>IF('Übung 07'!BM$40="","",'Übung 07'!BM$40)</f>
        <v/>
      </c>
      <c r="J603" s="62">
        <f>IF('Übung 08'!BM$40="","",'Übung 08'!BM$40)</f>
        <v/>
      </c>
      <c r="K603" s="62">
        <f>IF('Übung 09'!BM$40="","",'Übung 09'!BM$40)</f>
        <v/>
      </c>
      <c r="L603" s="62">
        <f>IF('Übung 10'!BM$40="","",'Übung 10'!BM$40)</f>
        <v/>
      </c>
      <c r="M603" s="62">
        <f>IF('Übung 11'!BM$40="","",'Übung 11'!BM$40)</f>
        <v/>
      </c>
      <c r="N603" s="62">
        <f>IF('Übung 12'!BM$40="","",'Übung 12'!BM$40)</f>
        <v/>
      </c>
      <c r="O603" s="62">
        <f>IF('Übung 13'!BM$40="","",'Übung 13'!BM$40)</f>
        <v/>
      </c>
      <c r="P603" s="62">
        <f>IF('Übung 14'!BM$40="","",'Übung 14'!BM$40)</f>
        <v/>
      </c>
      <c r="Q603" s="62">
        <f>IF('Übung 15'!BM$40="","",'Übung 15'!BM$40)</f>
        <v/>
      </c>
      <c r="R603" s="62">
        <f>IF('Übung 16'!BM$40="","",'Übung 16'!BM$40)</f>
        <v/>
      </c>
      <c r="S603" s="62">
        <f>IF('Übung 17'!BM$40="","",'Übung 17'!BM$40)</f>
        <v/>
      </c>
      <c r="T603" s="62">
        <f>IF('Übung 18'!BM$40="","",'Übung 18'!BM$40)</f>
        <v/>
      </c>
      <c r="U603" s="62">
        <f>IF('Übung 19'!BM$40="","",'Übung 19'!BM$40)</f>
        <v/>
      </c>
      <c r="V603" s="62">
        <f>IF('Übung 20'!BM$40="","",'Übung 20'!BM$40)</f>
        <v/>
      </c>
    </row>
    <row r="604">
      <c r="C604" s="62">
        <f>IF('Übung 01'!BN$40="","",'Übung 01'!BN$40)</f>
        <v/>
      </c>
      <c r="D604" s="62">
        <f>IF('Übung 02'!BN$40="","",'Übung 02'!BN$40)</f>
        <v/>
      </c>
      <c r="E604" s="62">
        <f>IF('Übung 03'!BN$40="","",'Übung 03'!BN$40)</f>
        <v/>
      </c>
      <c r="F604" s="62">
        <f>IF('Übung 04'!BN$40="","",'Übung 04'!BN$40)</f>
        <v/>
      </c>
      <c r="G604" s="62">
        <f>IF('Übung 05'!BN$40="","",'Übung 05'!BN$40)</f>
        <v/>
      </c>
      <c r="H604" s="62">
        <f>IF('Übung 06'!BN$40="","",'Übung 06'!BN$40)</f>
        <v/>
      </c>
      <c r="I604" s="62">
        <f>IF('Übung 07'!BN$40="","",'Übung 07'!BN$40)</f>
        <v/>
      </c>
      <c r="J604" s="62">
        <f>IF('Übung 08'!BN$40="","",'Übung 08'!BN$40)</f>
        <v/>
      </c>
      <c r="K604" s="62">
        <f>IF('Übung 09'!BN$40="","",'Übung 09'!BN$40)</f>
        <v/>
      </c>
      <c r="L604" s="62">
        <f>IF('Übung 10'!BN$40="","",'Übung 10'!BN$40)</f>
        <v/>
      </c>
      <c r="M604" s="62">
        <f>IF('Übung 11'!BN$40="","",'Übung 11'!BN$40)</f>
        <v/>
      </c>
      <c r="N604" s="62">
        <f>IF('Übung 12'!BN$40="","",'Übung 12'!BN$40)</f>
        <v/>
      </c>
      <c r="O604" s="62">
        <f>IF('Übung 13'!BN$40="","",'Übung 13'!BN$40)</f>
        <v/>
      </c>
      <c r="P604" s="62">
        <f>IF('Übung 14'!BN$40="","",'Übung 14'!BN$40)</f>
        <v/>
      </c>
      <c r="Q604" s="62">
        <f>IF('Übung 15'!BN$40="","",'Übung 15'!BN$40)</f>
        <v/>
      </c>
      <c r="R604" s="62">
        <f>IF('Übung 16'!BN$40="","",'Übung 16'!BN$40)</f>
        <v/>
      </c>
      <c r="S604" s="62">
        <f>IF('Übung 17'!BN$40="","",'Übung 17'!BN$40)</f>
        <v/>
      </c>
      <c r="T604" s="62">
        <f>IF('Übung 18'!BN$40="","",'Übung 18'!BN$40)</f>
        <v/>
      </c>
      <c r="U604" s="62">
        <f>IF('Übung 19'!BN$40="","",'Übung 19'!BN$40)</f>
        <v/>
      </c>
      <c r="V604" s="62">
        <f>IF('Übung 20'!BN$40="","",'Übung 20'!BN$40)</f>
        <v/>
      </c>
    </row>
    <row r="605">
      <c r="C605" s="62">
        <f>IF('Übung 01'!BO$40="","",'Übung 01'!BO$40)</f>
        <v/>
      </c>
      <c r="D605" s="62">
        <f>IF('Übung 02'!BO$40="","",'Übung 02'!BO$40)</f>
        <v/>
      </c>
      <c r="E605" s="62">
        <f>IF('Übung 03'!BO$40="","",'Übung 03'!BO$40)</f>
        <v/>
      </c>
      <c r="F605" s="62">
        <f>IF('Übung 04'!BO$40="","",'Übung 04'!BO$40)</f>
        <v/>
      </c>
      <c r="G605" s="62">
        <f>IF('Übung 05'!BO$40="","",'Übung 05'!BO$40)</f>
        <v/>
      </c>
      <c r="H605" s="62">
        <f>IF('Übung 06'!BO$40="","",'Übung 06'!BO$40)</f>
        <v/>
      </c>
      <c r="I605" s="62">
        <f>IF('Übung 07'!BO$40="","",'Übung 07'!BO$40)</f>
        <v/>
      </c>
      <c r="J605" s="62">
        <f>IF('Übung 08'!BO$40="","",'Übung 08'!BO$40)</f>
        <v/>
      </c>
      <c r="K605" s="62">
        <f>IF('Übung 09'!BO$40="","",'Übung 09'!BO$40)</f>
        <v/>
      </c>
      <c r="L605" s="62">
        <f>IF('Übung 10'!BO$40="","",'Übung 10'!BO$40)</f>
        <v/>
      </c>
      <c r="M605" s="62">
        <f>IF('Übung 11'!BO$40="","",'Übung 11'!BO$40)</f>
        <v/>
      </c>
      <c r="N605" s="62">
        <f>IF('Übung 12'!BO$40="","",'Übung 12'!BO$40)</f>
        <v/>
      </c>
      <c r="O605" s="62">
        <f>IF('Übung 13'!BO$40="","",'Übung 13'!BO$40)</f>
        <v/>
      </c>
      <c r="P605" s="62">
        <f>IF('Übung 14'!BO$40="","",'Übung 14'!BO$40)</f>
        <v/>
      </c>
      <c r="Q605" s="62">
        <f>IF('Übung 15'!BO$40="","",'Übung 15'!BO$40)</f>
        <v/>
      </c>
      <c r="R605" s="62">
        <f>IF('Übung 16'!BO$40="","",'Übung 16'!BO$40)</f>
        <v/>
      </c>
      <c r="S605" s="62">
        <f>IF('Übung 17'!BO$40="","",'Übung 17'!BO$40)</f>
        <v/>
      </c>
      <c r="T605" s="62">
        <f>IF('Übung 18'!BO$40="","",'Übung 18'!BO$40)</f>
        <v/>
      </c>
      <c r="U605" s="62">
        <f>IF('Übung 19'!BO$40="","",'Übung 19'!BO$40)</f>
        <v/>
      </c>
      <c r="V605" s="62">
        <f>IF('Übung 20'!BO$40="","",'Übung 20'!BO$40)</f>
        <v/>
      </c>
    </row>
    <row r="606">
      <c r="C606" s="62">
        <f>IF('Übung 01'!BP$40="","",'Übung 01'!BP$40)</f>
        <v/>
      </c>
      <c r="D606" s="62">
        <f>IF('Übung 02'!BP$40="","",'Übung 02'!BP$40)</f>
        <v/>
      </c>
      <c r="E606" s="62">
        <f>IF('Übung 03'!BP$40="","",'Übung 03'!BP$40)</f>
        <v/>
      </c>
      <c r="F606" s="62">
        <f>IF('Übung 04'!BP$40="","",'Übung 04'!BP$40)</f>
        <v/>
      </c>
      <c r="G606" s="62">
        <f>IF('Übung 05'!BP$40="","",'Übung 05'!BP$40)</f>
        <v/>
      </c>
      <c r="H606" s="62">
        <f>IF('Übung 06'!BP$40="","",'Übung 06'!BP$40)</f>
        <v/>
      </c>
      <c r="I606" s="62">
        <f>IF('Übung 07'!BP$40="","",'Übung 07'!BP$40)</f>
        <v/>
      </c>
      <c r="J606" s="62">
        <f>IF('Übung 08'!BP$40="","",'Übung 08'!BP$40)</f>
        <v/>
      </c>
      <c r="K606" s="62">
        <f>IF('Übung 09'!BP$40="","",'Übung 09'!BP$40)</f>
        <v/>
      </c>
      <c r="L606" s="62">
        <f>IF('Übung 10'!BP$40="","",'Übung 10'!BP$40)</f>
        <v/>
      </c>
      <c r="M606" s="62">
        <f>IF('Übung 11'!BP$40="","",'Übung 11'!BP$40)</f>
        <v/>
      </c>
      <c r="N606" s="62">
        <f>IF('Übung 12'!BP$40="","",'Übung 12'!BP$40)</f>
        <v/>
      </c>
      <c r="O606" s="62">
        <f>IF('Übung 13'!BP$40="","",'Übung 13'!BP$40)</f>
        <v/>
      </c>
      <c r="P606" s="62">
        <f>IF('Übung 14'!BP$40="","",'Übung 14'!BP$40)</f>
        <v/>
      </c>
      <c r="Q606" s="62">
        <f>IF('Übung 15'!BP$40="","",'Übung 15'!BP$40)</f>
        <v/>
      </c>
      <c r="R606" s="62">
        <f>IF('Übung 16'!BP$40="","",'Übung 16'!BP$40)</f>
        <v/>
      </c>
      <c r="S606" s="62">
        <f>IF('Übung 17'!BP$40="","",'Übung 17'!BP$40)</f>
        <v/>
      </c>
      <c r="T606" s="62">
        <f>IF('Übung 18'!BP$40="","",'Übung 18'!BP$40)</f>
        <v/>
      </c>
      <c r="U606" s="62">
        <f>IF('Übung 19'!BP$40="","",'Übung 19'!BP$40)</f>
        <v/>
      </c>
      <c r="V606" s="62">
        <f>IF('Übung 20'!BP$40="","",'Übung 20'!BP$40)</f>
        <v/>
      </c>
    </row>
    <row r="607">
      <c r="C607" s="62">
        <f>IF('Übung 01'!BQ$40="","",'Übung 01'!BQ$40)</f>
        <v/>
      </c>
      <c r="D607" s="62">
        <f>IF('Übung 02'!BQ$40="","",'Übung 02'!BQ$40)</f>
        <v/>
      </c>
      <c r="E607" s="62">
        <f>IF('Übung 03'!BQ$40="","",'Übung 03'!BQ$40)</f>
        <v/>
      </c>
      <c r="F607" s="62">
        <f>IF('Übung 04'!BQ$40="","",'Übung 04'!BQ$40)</f>
        <v/>
      </c>
      <c r="G607" s="62">
        <f>IF('Übung 05'!BQ$40="","",'Übung 05'!BQ$40)</f>
        <v/>
      </c>
      <c r="H607" s="62">
        <f>IF('Übung 06'!BQ$40="","",'Übung 06'!BQ$40)</f>
        <v/>
      </c>
      <c r="I607" s="62">
        <f>IF('Übung 07'!BQ$40="","",'Übung 07'!BQ$40)</f>
        <v/>
      </c>
      <c r="J607" s="62">
        <f>IF('Übung 08'!BQ$40="","",'Übung 08'!BQ$40)</f>
        <v/>
      </c>
      <c r="K607" s="62">
        <f>IF('Übung 09'!BQ$40="","",'Übung 09'!BQ$40)</f>
        <v/>
      </c>
      <c r="L607" s="62">
        <f>IF('Übung 10'!BQ$40="","",'Übung 10'!BQ$40)</f>
        <v/>
      </c>
      <c r="M607" s="62">
        <f>IF('Übung 11'!BQ$40="","",'Übung 11'!BQ$40)</f>
        <v/>
      </c>
      <c r="N607" s="62">
        <f>IF('Übung 12'!BQ$40="","",'Übung 12'!BQ$40)</f>
        <v/>
      </c>
      <c r="O607" s="62">
        <f>IF('Übung 13'!BQ$40="","",'Übung 13'!BQ$40)</f>
        <v/>
      </c>
      <c r="P607" s="62">
        <f>IF('Übung 14'!BQ$40="","",'Übung 14'!BQ$40)</f>
        <v/>
      </c>
      <c r="Q607" s="62">
        <f>IF('Übung 15'!BQ$40="","",'Übung 15'!BQ$40)</f>
        <v/>
      </c>
      <c r="R607" s="62">
        <f>IF('Übung 16'!BQ$40="","",'Übung 16'!BQ$40)</f>
        <v/>
      </c>
      <c r="S607" s="62">
        <f>IF('Übung 17'!BQ$40="","",'Übung 17'!BQ$40)</f>
        <v/>
      </c>
      <c r="T607" s="62">
        <f>IF('Übung 18'!BQ$40="","",'Übung 18'!BQ$40)</f>
        <v/>
      </c>
      <c r="U607" s="62">
        <f>IF('Übung 19'!BQ$40="","",'Übung 19'!BQ$40)</f>
        <v/>
      </c>
      <c r="V607" s="62">
        <f>IF('Übung 20'!BQ$40="","",'Übung 20'!BQ$40)</f>
        <v/>
      </c>
    </row>
    <row r="608">
      <c r="C608" s="62">
        <f>IF('Übung 01'!BR$40="","",'Übung 01'!BR$40)</f>
        <v/>
      </c>
      <c r="D608" s="62">
        <f>IF('Übung 02'!BR$40="","",'Übung 02'!BR$40)</f>
        <v/>
      </c>
      <c r="E608" s="62">
        <f>IF('Übung 03'!BR$40="","",'Übung 03'!BR$40)</f>
        <v/>
      </c>
      <c r="F608" s="62">
        <f>IF('Übung 04'!BR$40="","",'Übung 04'!BR$40)</f>
        <v/>
      </c>
      <c r="G608" s="62">
        <f>IF('Übung 05'!BR$40="","",'Übung 05'!BR$40)</f>
        <v/>
      </c>
      <c r="H608" s="62">
        <f>IF('Übung 06'!BR$40="","",'Übung 06'!BR$40)</f>
        <v/>
      </c>
      <c r="I608" s="62">
        <f>IF('Übung 07'!BR$40="","",'Übung 07'!BR$40)</f>
        <v/>
      </c>
      <c r="J608" s="62">
        <f>IF('Übung 08'!BR$40="","",'Übung 08'!BR$40)</f>
        <v/>
      </c>
      <c r="K608" s="62">
        <f>IF('Übung 09'!BR$40="","",'Übung 09'!BR$40)</f>
        <v/>
      </c>
      <c r="L608" s="62">
        <f>IF('Übung 10'!BR$40="","",'Übung 10'!BR$40)</f>
        <v/>
      </c>
      <c r="M608" s="62">
        <f>IF('Übung 11'!BR$40="","",'Übung 11'!BR$40)</f>
        <v/>
      </c>
      <c r="N608" s="62">
        <f>IF('Übung 12'!BR$40="","",'Übung 12'!BR$40)</f>
        <v/>
      </c>
      <c r="O608" s="62">
        <f>IF('Übung 13'!BR$40="","",'Übung 13'!BR$40)</f>
        <v/>
      </c>
      <c r="P608" s="62">
        <f>IF('Übung 14'!BR$40="","",'Übung 14'!BR$40)</f>
        <v/>
      </c>
      <c r="Q608" s="62">
        <f>IF('Übung 15'!BR$40="","",'Übung 15'!BR$40)</f>
        <v/>
      </c>
      <c r="R608" s="62">
        <f>IF('Übung 16'!BR$40="","",'Übung 16'!BR$40)</f>
        <v/>
      </c>
      <c r="S608" s="62">
        <f>IF('Übung 17'!BR$40="","",'Übung 17'!BR$40)</f>
        <v/>
      </c>
      <c r="T608" s="62">
        <f>IF('Übung 18'!BR$40="","",'Übung 18'!BR$40)</f>
        <v/>
      </c>
      <c r="U608" s="62">
        <f>IF('Übung 19'!BR$40="","",'Übung 19'!BR$40)</f>
        <v/>
      </c>
      <c r="V608" s="62">
        <f>IF('Übung 20'!BR$40="","",'Übung 20'!BR$40)</f>
        <v/>
      </c>
    </row>
    <row r="609">
      <c r="C609" s="62">
        <f>IF('Übung 01'!BS$40="","",'Übung 01'!BS$40)</f>
        <v/>
      </c>
      <c r="D609" s="62">
        <f>IF('Übung 02'!BS$40="","",'Übung 02'!BS$40)</f>
        <v/>
      </c>
      <c r="E609" s="62">
        <f>IF('Übung 03'!BS$40="","",'Übung 03'!BS$40)</f>
        <v/>
      </c>
      <c r="F609" s="62">
        <f>IF('Übung 04'!BS$40="","",'Übung 04'!BS$40)</f>
        <v/>
      </c>
      <c r="G609" s="62">
        <f>IF('Übung 05'!BS$40="","",'Übung 05'!BS$40)</f>
        <v/>
      </c>
      <c r="H609" s="62">
        <f>IF('Übung 06'!BS$40="","",'Übung 06'!BS$40)</f>
        <v/>
      </c>
      <c r="I609" s="62">
        <f>IF('Übung 07'!BS$40="","",'Übung 07'!BS$40)</f>
        <v/>
      </c>
      <c r="J609" s="62">
        <f>IF('Übung 08'!BS$40="","",'Übung 08'!BS$40)</f>
        <v/>
      </c>
      <c r="K609" s="62">
        <f>IF('Übung 09'!BS$40="","",'Übung 09'!BS$40)</f>
        <v/>
      </c>
      <c r="L609" s="62">
        <f>IF('Übung 10'!BS$40="","",'Übung 10'!BS$40)</f>
        <v/>
      </c>
      <c r="M609" s="62">
        <f>IF('Übung 11'!BS$40="","",'Übung 11'!BS$40)</f>
        <v/>
      </c>
      <c r="N609" s="62">
        <f>IF('Übung 12'!BS$40="","",'Übung 12'!BS$40)</f>
        <v/>
      </c>
      <c r="O609" s="62">
        <f>IF('Übung 13'!BS$40="","",'Übung 13'!BS$40)</f>
        <v/>
      </c>
      <c r="P609" s="62">
        <f>IF('Übung 14'!BS$40="","",'Übung 14'!BS$40)</f>
        <v/>
      </c>
      <c r="Q609" s="62">
        <f>IF('Übung 15'!BS$40="","",'Übung 15'!BS$40)</f>
        <v/>
      </c>
      <c r="R609" s="62">
        <f>IF('Übung 16'!BS$40="","",'Übung 16'!BS$40)</f>
        <v/>
      </c>
      <c r="S609" s="62">
        <f>IF('Übung 17'!BS$40="","",'Übung 17'!BS$40)</f>
        <v/>
      </c>
      <c r="T609" s="62">
        <f>IF('Übung 18'!BS$40="","",'Übung 18'!BS$40)</f>
        <v/>
      </c>
      <c r="U609" s="62">
        <f>IF('Übung 19'!BS$40="","",'Übung 19'!BS$40)</f>
        <v/>
      </c>
      <c r="V609" s="62">
        <f>IF('Übung 20'!BS$40="","",'Übung 20'!BS$40)</f>
        <v/>
      </c>
    </row>
    <row r="610">
      <c r="C610" s="62">
        <f>IF('Übung 01'!BT$40="","",'Übung 01'!BT$40)</f>
        <v/>
      </c>
      <c r="D610" s="62">
        <f>IF('Übung 02'!BT$40="","",'Übung 02'!BT$40)</f>
        <v/>
      </c>
      <c r="E610" s="62">
        <f>IF('Übung 03'!BT$40="","",'Übung 03'!BT$40)</f>
        <v/>
      </c>
      <c r="F610" s="62">
        <f>IF('Übung 04'!BT$40="","",'Übung 04'!BT$40)</f>
        <v/>
      </c>
      <c r="G610" s="62">
        <f>IF('Übung 05'!BT$40="","",'Übung 05'!BT$40)</f>
        <v/>
      </c>
      <c r="H610" s="62">
        <f>IF('Übung 06'!BT$40="","",'Übung 06'!BT$40)</f>
        <v/>
      </c>
      <c r="I610" s="62">
        <f>IF('Übung 07'!BT$40="","",'Übung 07'!BT$40)</f>
        <v/>
      </c>
      <c r="J610" s="62">
        <f>IF('Übung 08'!BT$40="","",'Übung 08'!BT$40)</f>
        <v/>
      </c>
      <c r="K610" s="62">
        <f>IF('Übung 09'!BT$40="","",'Übung 09'!BT$40)</f>
        <v/>
      </c>
      <c r="L610" s="62">
        <f>IF('Übung 10'!BT$40="","",'Übung 10'!BT$40)</f>
        <v/>
      </c>
      <c r="M610" s="62">
        <f>IF('Übung 11'!BT$40="","",'Übung 11'!BT$40)</f>
        <v/>
      </c>
      <c r="N610" s="62">
        <f>IF('Übung 12'!BT$40="","",'Übung 12'!BT$40)</f>
        <v/>
      </c>
      <c r="O610" s="62">
        <f>IF('Übung 13'!BT$40="","",'Übung 13'!BT$40)</f>
        <v/>
      </c>
      <c r="P610" s="62">
        <f>IF('Übung 14'!BT$40="","",'Übung 14'!BT$40)</f>
        <v/>
      </c>
      <c r="Q610" s="62">
        <f>IF('Übung 15'!BT$40="","",'Übung 15'!BT$40)</f>
        <v/>
      </c>
      <c r="R610" s="62">
        <f>IF('Übung 16'!BT$40="","",'Übung 16'!BT$40)</f>
        <v/>
      </c>
      <c r="S610" s="62">
        <f>IF('Übung 17'!BT$40="","",'Übung 17'!BT$40)</f>
        <v/>
      </c>
      <c r="T610" s="62">
        <f>IF('Übung 18'!BT$40="","",'Übung 18'!BT$40)</f>
        <v/>
      </c>
      <c r="U610" s="62">
        <f>IF('Übung 19'!BT$40="","",'Übung 19'!BT$40)</f>
        <v/>
      </c>
      <c r="V610" s="62">
        <f>IF('Übung 20'!BT$40="","",'Übung 20'!BT$40)</f>
        <v/>
      </c>
    </row>
    <row r="611">
      <c r="C611" s="62">
        <f>IF('Übung 01'!BU$40="","",'Übung 01'!BU$40)</f>
        <v/>
      </c>
      <c r="D611" s="62">
        <f>IF('Übung 02'!BU$40="","",'Übung 02'!BU$40)</f>
        <v/>
      </c>
      <c r="E611" s="62">
        <f>IF('Übung 03'!BU$40="","",'Übung 03'!BU$40)</f>
        <v/>
      </c>
      <c r="F611" s="62">
        <f>IF('Übung 04'!BU$40="","",'Übung 04'!BU$40)</f>
        <v/>
      </c>
      <c r="G611" s="62">
        <f>IF('Übung 05'!BU$40="","",'Übung 05'!BU$40)</f>
        <v/>
      </c>
      <c r="H611" s="62">
        <f>IF('Übung 06'!BU$40="","",'Übung 06'!BU$40)</f>
        <v/>
      </c>
      <c r="I611" s="62">
        <f>IF('Übung 07'!BU$40="","",'Übung 07'!BU$40)</f>
        <v/>
      </c>
      <c r="J611" s="62">
        <f>IF('Übung 08'!BU$40="","",'Übung 08'!BU$40)</f>
        <v/>
      </c>
      <c r="K611" s="62">
        <f>IF('Übung 09'!BU$40="","",'Übung 09'!BU$40)</f>
        <v/>
      </c>
      <c r="L611" s="62">
        <f>IF('Übung 10'!BU$40="","",'Übung 10'!BU$40)</f>
        <v/>
      </c>
      <c r="M611" s="62">
        <f>IF('Übung 11'!BU$40="","",'Übung 11'!BU$40)</f>
        <v/>
      </c>
      <c r="N611" s="62">
        <f>IF('Übung 12'!BU$40="","",'Übung 12'!BU$40)</f>
        <v/>
      </c>
      <c r="O611" s="62">
        <f>IF('Übung 13'!BU$40="","",'Übung 13'!BU$40)</f>
        <v/>
      </c>
      <c r="P611" s="62">
        <f>IF('Übung 14'!BU$40="","",'Übung 14'!BU$40)</f>
        <v/>
      </c>
      <c r="Q611" s="62">
        <f>IF('Übung 15'!BU$40="","",'Übung 15'!BU$40)</f>
        <v/>
      </c>
      <c r="R611" s="62">
        <f>IF('Übung 16'!BU$40="","",'Übung 16'!BU$40)</f>
        <v/>
      </c>
      <c r="S611" s="62">
        <f>IF('Übung 17'!BU$40="","",'Übung 17'!BU$40)</f>
        <v/>
      </c>
      <c r="T611" s="62">
        <f>IF('Übung 18'!BU$40="","",'Übung 18'!BU$40)</f>
        <v/>
      </c>
      <c r="U611" s="62">
        <f>IF('Übung 19'!BU$40="","",'Übung 19'!BU$40)</f>
        <v/>
      </c>
      <c r="V611" s="62">
        <f>IF('Übung 20'!BU$40="","",'Übung 20'!BU$40)</f>
        <v/>
      </c>
    </row>
    <row r="612">
      <c r="C612" s="62">
        <f>IF('Übung 01'!BV$40="","",'Übung 01'!BV$40)</f>
        <v/>
      </c>
      <c r="D612" s="62">
        <f>IF('Übung 02'!BV$40="","",'Übung 02'!BV$40)</f>
        <v/>
      </c>
      <c r="E612" s="62">
        <f>IF('Übung 03'!BV$40="","",'Übung 03'!BV$40)</f>
        <v/>
      </c>
      <c r="F612" s="62">
        <f>IF('Übung 04'!BV$40="","",'Übung 04'!BV$40)</f>
        <v/>
      </c>
      <c r="G612" s="62">
        <f>IF('Übung 05'!BV$40="","",'Übung 05'!BV$40)</f>
        <v/>
      </c>
      <c r="H612" s="62">
        <f>IF('Übung 06'!BV$40="","",'Übung 06'!BV$40)</f>
        <v/>
      </c>
      <c r="I612" s="62">
        <f>IF('Übung 07'!BV$40="","",'Übung 07'!BV$40)</f>
        <v/>
      </c>
      <c r="J612" s="62">
        <f>IF('Übung 08'!BV$40="","",'Übung 08'!BV$40)</f>
        <v/>
      </c>
      <c r="K612" s="62">
        <f>IF('Übung 09'!BV$40="","",'Übung 09'!BV$40)</f>
        <v/>
      </c>
      <c r="L612" s="62">
        <f>IF('Übung 10'!BV$40="","",'Übung 10'!BV$40)</f>
        <v/>
      </c>
      <c r="M612" s="62">
        <f>IF('Übung 11'!BV$40="","",'Übung 11'!BV$40)</f>
        <v/>
      </c>
      <c r="N612" s="62">
        <f>IF('Übung 12'!BV$40="","",'Übung 12'!BV$40)</f>
        <v/>
      </c>
      <c r="O612" s="62">
        <f>IF('Übung 13'!BV$40="","",'Übung 13'!BV$40)</f>
        <v/>
      </c>
      <c r="P612" s="62">
        <f>IF('Übung 14'!BV$40="","",'Übung 14'!BV$40)</f>
        <v/>
      </c>
      <c r="Q612" s="62">
        <f>IF('Übung 15'!BV$40="","",'Übung 15'!BV$40)</f>
        <v/>
      </c>
      <c r="R612" s="62">
        <f>IF('Übung 16'!BV$40="","",'Übung 16'!BV$40)</f>
        <v/>
      </c>
      <c r="S612" s="62">
        <f>IF('Übung 17'!BV$40="","",'Übung 17'!BV$40)</f>
        <v/>
      </c>
      <c r="T612" s="62">
        <f>IF('Übung 18'!BV$40="","",'Übung 18'!BV$40)</f>
        <v/>
      </c>
      <c r="U612" s="62">
        <f>IF('Übung 19'!BV$40="","",'Übung 19'!BV$40)</f>
        <v/>
      </c>
      <c r="V612" s="62">
        <f>IF('Übung 20'!BV$40="","",'Übung 20'!BV$40)</f>
        <v/>
      </c>
    </row>
    <row r="613">
      <c r="C613" s="62">
        <f>IF('Übung 01'!BW$40="","",'Übung 01'!BW$40)</f>
        <v/>
      </c>
      <c r="D613" s="62">
        <f>IF('Übung 02'!BW$40="","",'Übung 02'!BW$40)</f>
        <v/>
      </c>
      <c r="E613" s="62">
        <f>IF('Übung 03'!BW$40="","",'Übung 03'!BW$40)</f>
        <v/>
      </c>
      <c r="F613" s="62">
        <f>IF('Übung 04'!BW$40="","",'Übung 04'!BW$40)</f>
        <v/>
      </c>
      <c r="G613" s="62">
        <f>IF('Übung 05'!BW$40="","",'Übung 05'!BW$40)</f>
        <v/>
      </c>
      <c r="H613" s="62">
        <f>IF('Übung 06'!BW$40="","",'Übung 06'!BW$40)</f>
        <v/>
      </c>
      <c r="I613" s="62">
        <f>IF('Übung 07'!BW$40="","",'Übung 07'!BW$40)</f>
        <v/>
      </c>
      <c r="J613" s="62">
        <f>IF('Übung 08'!BW$40="","",'Übung 08'!BW$40)</f>
        <v/>
      </c>
      <c r="K613" s="62">
        <f>IF('Übung 09'!BW$40="","",'Übung 09'!BW$40)</f>
        <v/>
      </c>
      <c r="L613" s="62">
        <f>IF('Übung 10'!BW$40="","",'Übung 10'!BW$40)</f>
        <v/>
      </c>
      <c r="M613" s="62">
        <f>IF('Übung 11'!BW$40="","",'Übung 11'!BW$40)</f>
        <v/>
      </c>
      <c r="N613" s="62">
        <f>IF('Übung 12'!BW$40="","",'Übung 12'!BW$40)</f>
        <v/>
      </c>
      <c r="O613" s="62">
        <f>IF('Übung 13'!BW$40="","",'Übung 13'!BW$40)</f>
        <v/>
      </c>
      <c r="P613" s="62">
        <f>IF('Übung 14'!BW$40="","",'Übung 14'!BW$40)</f>
        <v/>
      </c>
      <c r="Q613" s="62">
        <f>IF('Übung 15'!BW$40="","",'Übung 15'!BW$40)</f>
        <v/>
      </c>
      <c r="R613" s="62">
        <f>IF('Übung 16'!BW$40="","",'Übung 16'!BW$40)</f>
        <v/>
      </c>
      <c r="S613" s="62">
        <f>IF('Übung 17'!BW$40="","",'Übung 17'!BW$40)</f>
        <v/>
      </c>
      <c r="T613" s="62">
        <f>IF('Übung 18'!BW$40="","",'Übung 18'!BW$40)</f>
        <v/>
      </c>
      <c r="U613" s="62">
        <f>IF('Übung 19'!BW$40="","",'Übung 19'!BW$40)</f>
        <v/>
      </c>
      <c r="V613" s="62">
        <f>IF('Übung 20'!BW$40="","",'Übung 20'!BW$40)</f>
        <v/>
      </c>
    </row>
    <row r="614">
      <c r="C614" s="62">
        <f>IF('Übung 01'!BX$40="","",'Übung 01'!BX$40)</f>
        <v/>
      </c>
      <c r="D614" s="62">
        <f>IF('Übung 02'!BX$40="","",'Übung 02'!BX$40)</f>
        <v/>
      </c>
      <c r="E614" s="62">
        <f>IF('Übung 03'!BX$40="","",'Übung 03'!BX$40)</f>
        <v/>
      </c>
      <c r="F614" s="62">
        <f>IF('Übung 04'!BX$40="","",'Übung 04'!BX$40)</f>
        <v/>
      </c>
      <c r="G614" s="62">
        <f>IF('Übung 05'!BX$40="","",'Übung 05'!BX$40)</f>
        <v/>
      </c>
      <c r="H614" s="62">
        <f>IF('Übung 06'!BX$40="","",'Übung 06'!BX$40)</f>
        <v/>
      </c>
      <c r="I614" s="62">
        <f>IF('Übung 07'!BX$40="","",'Übung 07'!BX$40)</f>
        <v/>
      </c>
      <c r="J614" s="62">
        <f>IF('Übung 08'!BX$40="","",'Übung 08'!BX$40)</f>
        <v/>
      </c>
      <c r="K614" s="62">
        <f>IF('Übung 09'!BX$40="","",'Übung 09'!BX$40)</f>
        <v/>
      </c>
      <c r="L614" s="62">
        <f>IF('Übung 10'!BX$40="","",'Übung 10'!BX$40)</f>
        <v/>
      </c>
      <c r="M614" s="62">
        <f>IF('Übung 11'!BX$40="","",'Übung 11'!BX$40)</f>
        <v/>
      </c>
      <c r="N614" s="62">
        <f>IF('Übung 12'!BX$40="","",'Übung 12'!BX$40)</f>
        <v/>
      </c>
      <c r="O614" s="62">
        <f>IF('Übung 13'!BX$40="","",'Übung 13'!BX$40)</f>
        <v/>
      </c>
      <c r="P614" s="62">
        <f>IF('Übung 14'!BX$40="","",'Übung 14'!BX$40)</f>
        <v/>
      </c>
      <c r="Q614" s="62">
        <f>IF('Übung 15'!BX$40="","",'Übung 15'!BX$40)</f>
        <v/>
      </c>
      <c r="R614" s="62">
        <f>IF('Übung 16'!BX$40="","",'Übung 16'!BX$40)</f>
        <v/>
      </c>
      <c r="S614" s="62">
        <f>IF('Übung 17'!BX$40="","",'Übung 17'!BX$40)</f>
        <v/>
      </c>
      <c r="T614" s="62">
        <f>IF('Übung 18'!BX$40="","",'Übung 18'!BX$40)</f>
        <v/>
      </c>
      <c r="U614" s="62">
        <f>IF('Übung 19'!BX$40="","",'Übung 19'!BX$40)</f>
        <v/>
      </c>
      <c r="V614" s="62">
        <f>IF('Übung 20'!BX$40="","",'Übung 20'!BX$40)</f>
        <v/>
      </c>
    </row>
    <row r="615">
      <c r="C615" s="62">
        <f>IF('Übung 01'!BY$40="","",'Übung 01'!BY$40)</f>
        <v/>
      </c>
      <c r="D615" s="62">
        <f>IF('Übung 02'!BY$40="","",'Übung 02'!BY$40)</f>
        <v/>
      </c>
      <c r="E615" s="62">
        <f>IF('Übung 03'!BY$40="","",'Übung 03'!BY$40)</f>
        <v/>
      </c>
      <c r="F615" s="62">
        <f>IF('Übung 04'!BY$40="","",'Übung 04'!BY$40)</f>
        <v/>
      </c>
      <c r="G615" s="62">
        <f>IF('Übung 05'!BY$40="","",'Übung 05'!BY$40)</f>
        <v/>
      </c>
      <c r="H615" s="62">
        <f>IF('Übung 06'!BY$40="","",'Übung 06'!BY$40)</f>
        <v/>
      </c>
      <c r="I615" s="62">
        <f>IF('Übung 07'!BY$40="","",'Übung 07'!BY$40)</f>
        <v/>
      </c>
      <c r="J615" s="62">
        <f>IF('Übung 08'!BY$40="","",'Übung 08'!BY$40)</f>
        <v/>
      </c>
      <c r="K615" s="62">
        <f>IF('Übung 09'!BY$40="","",'Übung 09'!BY$40)</f>
        <v/>
      </c>
      <c r="L615" s="62">
        <f>IF('Übung 10'!BY$40="","",'Übung 10'!BY$40)</f>
        <v/>
      </c>
      <c r="M615" s="62">
        <f>IF('Übung 11'!BY$40="","",'Übung 11'!BY$40)</f>
        <v/>
      </c>
      <c r="N615" s="62">
        <f>IF('Übung 12'!BY$40="","",'Übung 12'!BY$40)</f>
        <v/>
      </c>
      <c r="O615" s="62">
        <f>IF('Übung 13'!BY$40="","",'Übung 13'!BY$40)</f>
        <v/>
      </c>
      <c r="P615" s="62">
        <f>IF('Übung 14'!BY$40="","",'Übung 14'!BY$40)</f>
        <v/>
      </c>
      <c r="Q615" s="62">
        <f>IF('Übung 15'!BY$40="","",'Übung 15'!BY$40)</f>
        <v/>
      </c>
      <c r="R615" s="62">
        <f>IF('Übung 16'!BY$40="","",'Übung 16'!BY$40)</f>
        <v/>
      </c>
      <c r="S615" s="62">
        <f>IF('Übung 17'!BY$40="","",'Übung 17'!BY$40)</f>
        <v/>
      </c>
      <c r="T615" s="62">
        <f>IF('Übung 18'!BY$40="","",'Übung 18'!BY$40)</f>
        <v/>
      </c>
      <c r="U615" s="62">
        <f>IF('Übung 19'!BY$40="","",'Übung 19'!BY$40)</f>
        <v/>
      </c>
      <c r="V615" s="62">
        <f>IF('Übung 20'!BY$40="","",'Übung 20'!BY$40)</f>
        <v/>
      </c>
    </row>
    <row r="616">
      <c r="C616" s="62">
        <f>IF('Übung 01'!BZ$40="","",'Übung 01'!BZ$40)</f>
        <v/>
      </c>
      <c r="D616" s="62">
        <f>IF('Übung 02'!BZ$40="","",'Übung 02'!BZ$40)</f>
        <v/>
      </c>
      <c r="E616" s="62">
        <f>IF('Übung 03'!BZ$40="","",'Übung 03'!BZ$40)</f>
        <v/>
      </c>
      <c r="F616" s="62">
        <f>IF('Übung 04'!BZ$40="","",'Übung 04'!BZ$40)</f>
        <v/>
      </c>
      <c r="G616" s="62">
        <f>IF('Übung 05'!BZ$40="","",'Übung 05'!BZ$40)</f>
        <v/>
      </c>
      <c r="H616" s="62">
        <f>IF('Übung 06'!BZ$40="","",'Übung 06'!BZ$40)</f>
        <v/>
      </c>
      <c r="I616" s="62">
        <f>IF('Übung 07'!BZ$40="","",'Übung 07'!BZ$40)</f>
        <v/>
      </c>
      <c r="J616" s="62">
        <f>IF('Übung 08'!BZ$40="","",'Übung 08'!BZ$40)</f>
        <v/>
      </c>
      <c r="K616" s="62">
        <f>IF('Übung 09'!BZ$40="","",'Übung 09'!BZ$40)</f>
        <v/>
      </c>
      <c r="L616" s="62">
        <f>IF('Übung 10'!BZ$40="","",'Übung 10'!BZ$40)</f>
        <v/>
      </c>
      <c r="M616" s="62">
        <f>IF('Übung 11'!BZ$40="","",'Übung 11'!BZ$40)</f>
        <v/>
      </c>
      <c r="N616" s="62">
        <f>IF('Übung 12'!BZ$40="","",'Übung 12'!BZ$40)</f>
        <v/>
      </c>
      <c r="O616" s="62">
        <f>IF('Übung 13'!BZ$40="","",'Übung 13'!BZ$40)</f>
        <v/>
      </c>
      <c r="P616" s="62">
        <f>IF('Übung 14'!BZ$40="","",'Übung 14'!BZ$40)</f>
        <v/>
      </c>
      <c r="Q616" s="62">
        <f>IF('Übung 15'!BZ$40="","",'Übung 15'!BZ$40)</f>
        <v/>
      </c>
      <c r="R616" s="62">
        <f>IF('Übung 16'!BZ$40="","",'Übung 16'!BZ$40)</f>
        <v/>
      </c>
      <c r="S616" s="62">
        <f>IF('Übung 17'!BZ$40="","",'Übung 17'!BZ$40)</f>
        <v/>
      </c>
      <c r="T616" s="62">
        <f>IF('Übung 18'!BZ$40="","",'Übung 18'!BZ$40)</f>
        <v/>
      </c>
      <c r="U616" s="62">
        <f>IF('Übung 19'!BZ$40="","",'Übung 19'!BZ$40)</f>
        <v/>
      </c>
      <c r="V616" s="62">
        <f>IF('Übung 20'!BZ$40="","",'Übung 20'!BZ$40)</f>
        <v/>
      </c>
    </row>
    <row r="617">
      <c r="C617" s="62">
        <f>IF('Übung 01'!CA$40="","",'Übung 01'!CA$40)</f>
        <v/>
      </c>
      <c r="D617" s="62">
        <f>IF('Übung 02'!CA$40="","",'Übung 02'!CA$40)</f>
        <v/>
      </c>
      <c r="E617" s="62">
        <f>IF('Übung 03'!CA$40="","",'Übung 03'!CA$40)</f>
        <v/>
      </c>
      <c r="F617" s="62">
        <f>IF('Übung 04'!CA$40="","",'Übung 04'!CA$40)</f>
        <v/>
      </c>
      <c r="G617" s="62">
        <f>IF('Übung 05'!CA$40="","",'Übung 05'!CA$40)</f>
        <v/>
      </c>
      <c r="H617" s="62">
        <f>IF('Übung 06'!CA$40="","",'Übung 06'!CA$40)</f>
        <v/>
      </c>
      <c r="I617" s="62">
        <f>IF('Übung 07'!CA$40="","",'Übung 07'!CA$40)</f>
        <v/>
      </c>
      <c r="J617" s="62">
        <f>IF('Übung 08'!CA$40="","",'Übung 08'!CA$40)</f>
        <v/>
      </c>
      <c r="K617" s="62">
        <f>IF('Übung 09'!CA$40="","",'Übung 09'!CA$40)</f>
        <v/>
      </c>
      <c r="L617" s="62">
        <f>IF('Übung 10'!CA$40="","",'Übung 10'!CA$40)</f>
        <v/>
      </c>
      <c r="M617" s="62">
        <f>IF('Übung 11'!CA$40="","",'Übung 11'!CA$40)</f>
        <v/>
      </c>
      <c r="N617" s="62">
        <f>IF('Übung 12'!CA$40="","",'Übung 12'!CA$40)</f>
        <v/>
      </c>
      <c r="O617" s="62">
        <f>IF('Übung 13'!CA$40="","",'Übung 13'!CA$40)</f>
        <v/>
      </c>
      <c r="P617" s="62">
        <f>IF('Übung 14'!CA$40="","",'Übung 14'!CA$40)</f>
        <v/>
      </c>
      <c r="Q617" s="62">
        <f>IF('Übung 15'!CA$40="","",'Übung 15'!CA$40)</f>
        <v/>
      </c>
      <c r="R617" s="62">
        <f>IF('Übung 16'!CA$40="","",'Übung 16'!CA$40)</f>
        <v/>
      </c>
      <c r="S617" s="62">
        <f>IF('Übung 17'!CA$40="","",'Übung 17'!CA$40)</f>
        <v/>
      </c>
      <c r="T617" s="62">
        <f>IF('Übung 18'!CA$40="","",'Übung 18'!CA$40)</f>
        <v/>
      </c>
      <c r="U617" s="62">
        <f>IF('Übung 19'!CA$40="","",'Übung 19'!CA$40)</f>
        <v/>
      </c>
      <c r="V617" s="62">
        <f>IF('Übung 20'!CA$40="","",'Übung 20'!CA$40)</f>
        <v/>
      </c>
    </row>
    <row r="618">
      <c r="C618" s="62">
        <f>IF('Übung 01'!CB$40="","",'Übung 01'!CB$40)</f>
        <v/>
      </c>
      <c r="D618" s="62">
        <f>IF('Übung 02'!CB$40="","",'Übung 02'!CB$40)</f>
        <v/>
      </c>
      <c r="E618" s="62">
        <f>IF('Übung 03'!CB$40="","",'Übung 03'!CB$40)</f>
        <v/>
      </c>
      <c r="F618" s="62">
        <f>IF('Übung 04'!CB$40="","",'Übung 04'!CB$40)</f>
        <v/>
      </c>
      <c r="G618" s="62">
        <f>IF('Übung 05'!CB$40="","",'Übung 05'!CB$40)</f>
        <v/>
      </c>
      <c r="H618" s="62">
        <f>IF('Übung 06'!CB$40="","",'Übung 06'!CB$40)</f>
        <v/>
      </c>
      <c r="I618" s="62">
        <f>IF('Übung 07'!CB$40="","",'Übung 07'!CB$40)</f>
        <v/>
      </c>
      <c r="J618" s="62">
        <f>IF('Übung 08'!CB$40="","",'Übung 08'!CB$40)</f>
        <v/>
      </c>
      <c r="K618" s="62">
        <f>IF('Übung 09'!CB$40="","",'Übung 09'!CB$40)</f>
        <v/>
      </c>
      <c r="L618" s="62">
        <f>IF('Übung 10'!CB$40="","",'Übung 10'!CB$40)</f>
        <v/>
      </c>
      <c r="M618" s="62">
        <f>IF('Übung 11'!CB$40="","",'Übung 11'!CB$40)</f>
        <v/>
      </c>
      <c r="N618" s="62">
        <f>IF('Übung 12'!CB$40="","",'Übung 12'!CB$40)</f>
        <v/>
      </c>
      <c r="O618" s="62">
        <f>IF('Übung 13'!CB$40="","",'Übung 13'!CB$40)</f>
        <v/>
      </c>
      <c r="P618" s="62">
        <f>IF('Übung 14'!CB$40="","",'Übung 14'!CB$40)</f>
        <v/>
      </c>
      <c r="Q618" s="62">
        <f>IF('Übung 15'!CB$40="","",'Übung 15'!CB$40)</f>
        <v/>
      </c>
      <c r="R618" s="62">
        <f>IF('Übung 16'!CB$40="","",'Übung 16'!CB$40)</f>
        <v/>
      </c>
      <c r="S618" s="62">
        <f>IF('Übung 17'!CB$40="","",'Übung 17'!CB$40)</f>
        <v/>
      </c>
      <c r="T618" s="62">
        <f>IF('Übung 18'!CB$40="","",'Übung 18'!CB$40)</f>
        <v/>
      </c>
      <c r="U618" s="62">
        <f>IF('Übung 19'!CB$40="","",'Übung 19'!CB$40)</f>
        <v/>
      </c>
      <c r="V618" s="62">
        <f>IF('Übung 20'!CB$40="","",'Übung 20'!CB$40)</f>
        <v/>
      </c>
    </row>
    <row r="619">
      <c r="C619" s="62">
        <f>IF('Übung 01'!CC$40="","",'Übung 01'!CC$40)</f>
        <v/>
      </c>
      <c r="D619" s="62">
        <f>IF('Übung 02'!CC$40="","",'Übung 02'!CC$40)</f>
        <v/>
      </c>
      <c r="E619" s="62">
        <f>IF('Übung 03'!CC$40="","",'Übung 03'!CC$40)</f>
        <v/>
      </c>
      <c r="F619" s="62">
        <f>IF('Übung 04'!CC$40="","",'Übung 04'!CC$40)</f>
        <v/>
      </c>
      <c r="G619" s="62">
        <f>IF('Übung 05'!CC$40="","",'Übung 05'!CC$40)</f>
        <v/>
      </c>
      <c r="H619" s="62">
        <f>IF('Übung 06'!CC$40="","",'Übung 06'!CC$40)</f>
        <v/>
      </c>
      <c r="I619" s="62">
        <f>IF('Übung 07'!CC$40="","",'Übung 07'!CC$40)</f>
        <v/>
      </c>
      <c r="J619" s="62">
        <f>IF('Übung 08'!CC$40="","",'Übung 08'!CC$40)</f>
        <v/>
      </c>
      <c r="K619" s="62">
        <f>IF('Übung 09'!CC$40="","",'Übung 09'!CC$40)</f>
        <v/>
      </c>
      <c r="L619" s="62">
        <f>IF('Übung 10'!CC$40="","",'Übung 10'!CC$40)</f>
        <v/>
      </c>
      <c r="M619" s="62">
        <f>IF('Übung 11'!CC$40="","",'Übung 11'!CC$40)</f>
        <v/>
      </c>
      <c r="N619" s="62">
        <f>IF('Übung 12'!CC$40="","",'Übung 12'!CC$40)</f>
        <v/>
      </c>
      <c r="O619" s="62">
        <f>IF('Übung 13'!CC$40="","",'Übung 13'!CC$40)</f>
        <v/>
      </c>
      <c r="P619" s="62">
        <f>IF('Übung 14'!CC$40="","",'Übung 14'!CC$40)</f>
        <v/>
      </c>
      <c r="Q619" s="62">
        <f>IF('Übung 15'!CC$40="","",'Übung 15'!CC$40)</f>
        <v/>
      </c>
      <c r="R619" s="62">
        <f>IF('Übung 16'!CC$40="","",'Übung 16'!CC$40)</f>
        <v/>
      </c>
      <c r="S619" s="62">
        <f>IF('Übung 17'!CC$40="","",'Übung 17'!CC$40)</f>
        <v/>
      </c>
      <c r="T619" s="62">
        <f>IF('Übung 18'!CC$40="","",'Übung 18'!CC$40)</f>
        <v/>
      </c>
      <c r="U619" s="62">
        <f>IF('Übung 19'!CC$40="","",'Übung 19'!CC$40)</f>
        <v/>
      </c>
      <c r="V619" s="62">
        <f>IF('Übung 20'!CC$40="","",'Übung 20'!CC$40)</f>
        <v/>
      </c>
    </row>
    <row r="620">
      <c r="C620" s="62">
        <f>IF('Übung 01'!CE$40="","",'Übung 01'!CE$40)</f>
        <v/>
      </c>
      <c r="D620" s="62">
        <f>IF('Übung 02'!CE$40="","",'Übung 02'!CE$40)</f>
        <v/>
      </c>
      <c r="E620" s="62">
        <f>IF('Übung 03'!CE$40="","",'Übung 03'!CE$40)</f>
        <v/>
      </c>
      <c r="F620" s="62">
        <f>IF('Übung 04'!CE$40="","",'Übung 04'!CE$40)</f>
        <v/>
      </c>
      <c r="G620" s="62">
        <f>IF('Übung 05'!CE$40="","",'Übung 05'!CE$40)</f>
        <v/>
      </c>
      <c r="H620" s="62">
        <f>IF('Übung 06'!CE$40="","",'Übung 06'!CE$40)</f>
        <v/>
      </c>
      <c r="I620" s="62">
        <f>IF('Übung 07'!CE$40="","",'Übung 07'!CE$40)</f>
        <v/>
      </c>
      <c r="J620" s="62">
        <f>IF('Übung 08'!CE$40="","",'Übung 08'!CE$40)</f>
        <v/>
      </c>
      <c r="K620" s="62">
        <f>IF('Übung 09'!CE$40="","",'Übung 09'!CE$40)</f>
        <v/>
      </c>
      <c r="L620" s="62">
        <f>IF('Übung 10'!CE$40="","",'Übung 10'!CE$40)</f>
        <v/>
      </c>
      <c r="M620" s="62">
        <f>IF('Übung 11'!CE$40="","",'Übung 11'!CE$40)</f>
        <v/>
      </c>
      <c r="N620" s="62">
        <f>IF('Übung 12'!CE$40="","",'Übung 12'!CE$40)</f>
        <v/>
      </c>
      <c r="O620" s="62">
        <f>IF('Übung 13'!CE$40="","",'Übung 13'!CE$40)</f>
        <v/>
      </c>
      <c r="P620" s="62">
        <f>IF('Übung 14'!CE$40="","",'Übung 14'!CE$40)</f>
        <v/>
      </c>
      <c r="Q620" s="62">
        <f>IF('Übung 15'!CE$40="","",'Übung 15'!CE$40)</f>
        <v/>
      </c>
      <c r="R620" s="62">
        <f>IF('Übung 16'!CE$40="","",'Übung 16'!CE$40)</f>
        <v/>
      </c>
      <c r="S620" s="62">
        <f>IF('Übung 17'!CE$40="","",'Übung 17'!CE$40)</f>
        <v/>
      </c>
      <c r="T620" s="62">
        <f>IF('Übung 18'!CE$40="","",'Übung 18'!CE$40)</f>
        <v/>
      </c>
      <c r="U620" s="62">
        <f>IF('Übung 19'!CE$40="","",'Übung 19'!CE$40)</f>
        <v/>
      </c>
      <c r="V620" s="62">
        <f>IF('Übung 20'!CE$40="","",'Übung 20'!CE$40)</f>
        <v/>
      </c>
    </row>
    <row r="621">
      <c r="C621" s="62">
        <f>IF('Übung 01'!CF$40="","",'Übung 01'!CF$40)</f>
        <v/>
      </c>
      <c r="D621" s="62">
        <f>IF('Übung 02'!CF$40="","",'Übung 02'!CF$40)</f>
        <v/>
      </c>
      <c r="E621" s="62">
        <f>IF('Übung 03'!CF$40="","",'Übung 03'!CF$40)</f>
        <v/>
      </c>
      <c r="F621" s="62">
        <f>IF('Übung 04'!CF$40="","",'Übung 04'!CF$40)</f>
        <v/>
      </c>
      <c r="G621" s="62">
        <f>IF('Übung 05'!CF$40="","",'Übung 05'!CF$40)</f>
        <v/>
      </c>
      <c r="H621" s="62">
        <f>IF('Übung 06'!CF$40="","",'Übung 06'!CF$40)</f>
        <v/>
      </c>
      <c r="I621" s="62">
        <f>IF('Übung 07'!CF$40="","",'Übung 07'!CF$40)</f>
        <v/>
      </c>
      <c r="J621" s="62">
        <f>IF('Übung 08'!CF$40="","",'Übung 08'!CF$40)</f>
        <v/>
      </c>
      <c r="K621" s="62">
        <f>IF('Übung 09'!CF$40="","",'Übung 09'!CF$40)</f>
        <v/>
      </c>
      <c r="L621" s="62">
        <f>IF('Übung 10'!CF$40="","",'Übung 10'!CF$40)</f>
        <v/>
      </c>
      <c r="M621" s="62">
        <f>IF('Übung 11'!CF$40="","",'Übung 11'!CF$40)</f>
        <v/>
      </c>
      <c r="N621" s="62">
        <f>IF('Übung 12'!CF$40="","",'Übung 12'!CF$40)</f>
        <v/>
      </c>
      <c r="O621" s="62">
        <f>IF('Übung 13'!CF$40="","",'Übung 13'!CF$40)</f>
        <v/>
      </c>
      <c r="P621" s="62">
        <f>IF('Übung 14'!CF$40="","",'Übung 14'!CF$40)</f>
        <v/>
      </c>
      <c r="Q621" s="62">
        <f>IF('Übung 15'!CF$40="","",'Übung 15'!CF$40)</f>
        <v/>
      </c>
      <c r="R621" s="62">
        <f>IF('Übung 16'!CF$40="","",'Übung 16'!CF$40)</f>
        <v/>
      </c>
      <c r="S621" s="62">
        <f>IF('Übung 17'!CF$40="","",'Übung 17'!CF$40)</f>
        <v/>
      </c>
      <c r="T621" s="62">
        <f>IF('Übung 18'!CF$40="","",'Übung 18'!CF$40)</f>
        <v/>
      </c>
      <c r="U621" s="62">
        <f>IF('Übung 19'!CF$40="","",'Übung 19'!CF$40)</f>
        <v/>
      </c>
      <c r="V621" s="62">
        <f>IF('Übung 20'!CF$40="","",'Übung 20'!CF$40)</f>
        <v/>
      </c>
    </row>
    <row r="622">
      <c r="C622" s="62">
        <f>IF('Übung 01'!CG$40="","",'Übung 01'!CG$40)</f>
        <v/>
      </c>
      <c r="D622" s="62">
        <f>IF('Übung 02'!CG$40="","",'Übung 02'!CG$40)</f>
        <v/>
      </c>
      <c r="E622" s="62">
        <f>IF('Übung 03'!CG$40="","",'Übung 03'!CG$40)</f>
        <v/>
      </c>
      <c r="F622" s="62">
        <f>IF('Übung 04'!CG$40="","",'Übung 04'!CG$40)</f>
        <v/>
      </c>
      <c r="G622" s="62">
        <f>IF('Übung 05'!CG$40="","",'Übung 05'!CG$40)</f>
        <v/>
      </c>
      <c r="H622" s="62">
        <f>IF('Übung 06'!CG$40="","",'Übung 06'!CG$40)</f>
        <v/>
      </c>
      <c r="I622" s="62">
        <f>IF('Übung 07'!CG$40="","",'Übung 07'!CG$40)</f>
        <v/>
      </c>
      <c r="J622" s="62">
        <f>IF('Übung 08'!CG$40="","",'Übung 08'!CG$40)</f>
        <v/>
      </c>
      <c r="K622" s="62">
        <f>IF('Übung 09'!CG$40="","",'Übung 09'!CG$40)</f>
        <v/>
      </c>
      <c r="L622" s="62">
        <f>IF('Übung 10'!CG$40="","",'Übung 10'!CG$40)</f>
        <v/>
      </c>
      <c r="M622" s="62">
        <f>IF('Übung 11'!CG$40="","",'Übung 11'!CG$40)</f>
        <v/>
      </c>
      <c r="N622" s="62">
        <f>IF('Übung 12'!CG$40="","",'Übung 12'!CG$40)</f>
        <v/>
      </c>
      <c r="O622" s="62">
        <f>IF('Übung 13'!CG$40="","",'Übung 13'!CG$40)</f>
        <v/>
      </c>
      <c r="P622" s="62">
        <f>IF('Übung 14'!CG$40="","",'Übung 14'!CG$40)</f>
        <v/>
      </c>
      <c r="Q622" s="62">
        <f>IF('Übung 15'!CG$40="","",'Übung 15'!CG$40)</f>
        <v/>
      </c>
      <c r="R622" s="62">
        <f>IF('Übung 16'!CG$40="","",'Übung 16'!CG$40)</f>
        <v/>
      </c>
      <c r="S622" s="62">
        <f>IF('Übung 17'!CG$40="","",'Übung 17'!CG$40)</f>
        <v/>
      </c>
      <c r="T622" s="62">
        <f>IF('Übung 18'!CG$40="","",'Übung 18'!CG$40)</f>
        <v/>
      </c>
      <c r="U622" s="62">
        <f>IF('Übung 19'!CG$40="","",'Übung 19'!CG$40)</f>
        <v/>
      </c>
      <c r="V622" s="62">
        <f>IF('Übung 20'!CG$40="","",'Übung 20'!CG$40)</f>
        <v/>
      </c>
    </row>
    <row r="623">
      <c r="C623" s="62">
        <f>IF('Übung 01'!CH$40="","",'Übung 01'!CH$40)</f>
        <v/>
      </c>
      <c r="D623" s="62">
        <f>IF('Übung 02'!CH$40="","",'Übung 02'!CH$40)</f>
        <v/>
      </c>
      <c r="E623" s="62">
        <f>IF('Übung 03'!CH$40="","",'Übung 03'!CH$40)</f>
        <v/>
      </c>
      <c r="F623" s="62">
        <f>IF('Übung 04'!CH$40="","",'Übung 04'!CH$40)</f>
        <v/>
      </c>
      <c r="G623" s="62">
        <f>IF('Übung 05'!CH$40="","",'Übung 05'!CH$40)</f>
        <v/>
      </c>
      <c r="H623" s="62">
        <f>IF('Übung 06'!CH$40="","",'Übung 06'!CH$40)</f>
        <v/>
      </c>
      <c r="I623" s="62">
        <f>IF('Übung 07'!CH$40="","",'Übung 07'!CH$40)</f>
        <v/>
      </c>
      <c r="J623" s="62">
        <f>IF('Übung 08'!CH$40="","",'Übung 08'!CH$40)</f>
        <v/>
      </c>
      <c r="K623" s="62">
        <f>IF('Übung 09'!CH$40="","",'Übung 09'!CH$40)</f>
        <v/>
      </c>
      <c r="L623" s="62">
        <f>IF('Übung 10'!CH$40="","",'Übung 10'!CH$40)</f>
        <v/>
      </c>
      <c r="M623" s="62">
        <f>IF('Übung 11'!CH$40="","",'Übung 11'!CH$40)</f>
        <v/>
      </c>
      <c r="N623" s="62">
        <f>IF('Übung 12'!CH$40="","",'Übung 12'!CH$40)</f>
        <v/>
      </c>
      <c r="O623" s="62">
        <f>IF('Übung 13'!CH$40="","",'Übung 13'!CH$40)</f>
        <v/>
      </c>
      <c r="P623" s="62">
        <f>IF('Übung 14'!CH$40="","",'Übung 14'!CH$40)</f>
        <v/>
      </c>
      <c r="Q623" s="62">
        <f>IF('Übung 15'!CH$40="","",'Übung 15'!CH$40)</f>
        <v/>
      </c>
      <c r="R623" s="62">
        <f>IF('Übung 16'!CH$40="","",'Übung 16'!CH$40)</f>
        <v/>
      </c>
      <c r="S623" s="62">
        <f>IF('Übung 17'!CH$40="","",'Übung 17'!CH$40)</f>
        <v/>
      </c>
      <c r="T623" s="62">
        <f>IF('Übung 18'!CH$40="","",'Übung 18'!CH$40)</f>
        <v/>
      </c>
      <c r="U623" s="62">
        <f>IF('Übung 19'!CH$40="","",'Übung 19'!CH$40)</f>
        <v/>
      </c>
      <c r="V623" s="62">
        <f>IF('Übung 20'!CH$40="","",'Übung 20'!CH$40)</f>
        <v/>
      </c>
    </row>
    <row r="624">
      <c r="C624" s="62">
        <f>IF('Übung 01'!CI$40="","",'Übung 01'!CI$40)</f>
        <v/>
      </c>
      <c r="D624" s="62">
        <f>IF('Übung 02'!CI$40="","",'Übung 02'!CI$40)</f>
        <v/>
      </c>
      <c r="E624" s="62">
        <f>IF('Übung 03'!CI$40="","",'Übung 03'!CI$40)</f>
        <v/>
      </c>
      <c r="F624" s="62">
        <f>IF('Übung 04'!CI$40="","",'Übung 04'!CI$40)</f>
        <v/>
      </c>
      <c r="G624" s="62">
        <f>IF('Übung 05'!CI$40="","",'Übung 05'!CI$40)</f>
        <v/>
      </c>
      <c r="H624" s="62">
        <f>IF('Übung 06'!CI$40="","",'Übung 06'!CI$40)</f>
        <v/>
      </c>
      <c r="I624" s="62">
        <f>IF('Übung 07'!CI$40="","",'Übung 07'!CI$40)</f>
        <v/>
      </c>
      <c r="J624" s="62">
        <f>IF('Übung 08'!CI$40="","",'Übung 08'!CI$40)</f>
        <v/>
      </c>
      <c r="K624" s="62">
        <f>IF('Übung 09'!CI$40="","",'Übung 09'!CI$40)</f>
        <v/>
      </c>
      <c r="L624" s="62">
        <f>IF('Übung 10'!CI$40="","",'Übung 10'!CI$40)</f>
        <v/>
      </c>
      <c r="M624" s="62">
        <f>IF('Übung 11'!CI$40="","",'Übung 11'!CI$40)</f>
        <v/>
      </c>
      <c r="N624" s="62">
        <f>IF('Übung 12'!CI$40="","",'Übung 12'!CI$40)</f>
        <v/>
      </c>
      <c r="O624" s="62">
        <f>IF('Übung 13'!CI$40="","",'Übung 13'!CI$40)</f>
        <v/>
      </c>
      <c r="P624" s="62">
        <f>IF('Übung 14'!CI$40="","",'Übung 14'!CI$40)</f>
        <v/>
      </c>
      <c r="Q624" s="62">
        <f>IF('Übung 15'!CI$40="","",'Übung 15'!CI$40)</f>
        <v/>
      </c>
      <c r="R624" s="62">
        <f>IF('Übung 16'!CI$40="","",'Übung 16'!CI$40)</f>
        <v/>
      </c>
      <c r="S624" s="62">
        <f>IF('Übung 17'!CI$40="","",'Übung 17'!CI$40)</f>
        <v/>
      </c>
      <c r="T624" s="62">
        <f>IF('Übung 18'!CI$40="","",'Übung 18'!CI$40)</f>
        <v/>
      </c>
      <c r="U624" s="62">
        <f>IF('Übung 19'!CI$40="","",'Übung 19'!CI$40)</f>
        <v/>
      </c>
      <c r="V624" s="62">
        <f>IF('Übung 20'!CI$40="","",'Übung 20'!CI$40)</f>
        <v/>
      </c>
    </row>
    <row r="625">
      <c r="C625" s="62">
        <f>IF('Übung 01'!CJ$40="","",'Übung 01'!CJ$40)</f>
        <v/>
      </c>
      <c r="D625" s="62">
        <f>IF('Übung 02'!CJ$40="","",'Übung 02'!CJ$40)</f>
        <v/>
      </c>
      <c r="E625" s="62">
        <f>IF('Übung 03'!CJ$40="","",'Übung 03'!CJ$40)</f>
        <v/>
      </c>
      <c r="F625" s="62">
        <f>IF('Übung 04'!CJ$40="","",'Übung 04'!CJ$40)</f>
        <v/>
      </c>
      <c r="G625" s="62">
        <f>IF('Übung 05'!CJ$40="","",'Übung 05'!CJ$40)</f>
        <v/>
      </c>
      <c r="H625" s="62">
        <f>IF('Übung 06'!CJ$40="","",'Übung 06'!CJ$40)</f>
        <v/>
      </c>
      <c r="I625" s="62">
        <f>IF('Übung 07'!CJ$40="","",'Übung 07'!CJ$40)</f>
        <v/>
      </c>
      <c r="J625" s="62">
        <f>IF('Übung 08'!CJ$40="","",'Übung 08'!CJ$40)</f>
        <v/>
      </c>
      <c r="K625" s="62">
        <f>IF('Übung 09'!CJ$40="","",'Übung 09'!CJ$40)</f>
        <v/>
      </c>
      <c r="L625" s="62">
        <f>IF('Übung 10'!CJ$40="","",'Übung 10'!CJ$40)</f>
        <v/>
      </c>
      <c r="M625" s="62">
        <f>IF('Übung 11'!CJ$40="","",'Übung 11'!CJ$40)</f>
        <v/>
      </c>
      <c r="N625" s="62">
        <f>IF('Übung 12'!CJ$40="","",'Übung 12'!CJ$40)</f>
        <v/>
      </c>
      <c r="O625" s="62">
        <f>IF('Übung 13'!CJ$40="","",'Übung 13'!CJ$40)</f>
        <v/>
      </c>
      <c r="P625" s="62">
        <f>IF('Übung 14'!CJ$40="","",'Übung 14'!CJ$40)</f>
        <v/>
      </c>
      <c r="Q625" s="62">
        <f>IF('Übung 15'!CJ$40="","",'Übung 15'!CJ$40)</f>
        <v/>
      </c>
      <c r="R625" s="62">
        <f>IF('Übung 16'!CJ$40="","",'Übung 16'!CJ$40)</f>
        <v/>
      </c>
      <c r="S625" s="62">
        <f>IF('Übung 17'!CJ$40="","",'Übung 17'!CJ$40)</f>
        <v/>
      </c>
      <c r="T625" s="62">
        <f>IF('Übung 18'!CJ$40="","",'Übung 18'!CJ$40)</f>
        <v/>
      </c>
      <c r="U625" s="62">
        <f>IF('Übung 19'!CJ$40="","",'Übung 19'!CJ$40)</f>
        <v/>
      </c>
      <c r="V625" s="62">
        <f>IF('Übung 20'!CJ$40="","",'Übung 20'!CJ$40)</f>
        <v/>
      </c>
    </row>
    <row r="626">
      <c r="C626" s="62">
        <f>IF('Übung 01'!CK$40="","",'Übung 01'!CK$40)</f>
        <v/>
      </c>
      <c r="D626" s="62">
        <f>IF('Übung 02'!CK$40="","",'Übung 02'!CK$40)</f>
        <v/>
      </c>
      <c r="E626" s="62">
        <f>IF('Übung 03'!CK$40="","",'Übung 03'!CK$40)</f>
        <v/>
      </c>
      <c r="F626" s="62">
        <f>IF('Übung 04'!CK$40="","",'Übung 04'!CK$40)</f>
        <v/>
      </c>
      <c r="G626" s="62">
        <f>IF('Übung 05'!CK$40="","",'Übung 05'!CK$40)</f>
        <v/>
      </c>
      <c r="H626" s="62">
        <f>IF('Übung 06'!CK$40="","",'Übung 06'!CK$40)</f>
        <v/>
      </c>
      <c r="I626" s="62">
        <f>IF('Übung 07'!CK$40="","",'Übung 07'!CK$40)</f>
        <v/>
      </c>
      <c r="J626" s="62">
        <f>IF('Übung 08'!CK$40="","",'Übung 08'!CK$40)</f>
        <v/>
      </c>
      <c r="K626" s="62">
        <f>IF('Übung 09'!CK$40="","",'Übung 09'!CK$40)</f>
        <v/>
      </c>
      <c r="L626" s="62">
        <f>IF('Übung 10'!CK$40="","",'Übung 10'!CK$40)</f>
        <v/>
      </c>
      <c r="M626" s="62">
        <f>IF('Übung 11'!CK$40="","",'Übung 11'!CK$40)</f>
        <v/>
      </c>
      <c r="N626" s="62">
        <f>IF('Übung 12'!CK$40="","",'Übung 12'!CK$40)</f>
        <v/>
      </c>
      <c r="O626" s="62">
        <f>IF('Übung 13'!CK$40="","",'Übung 13'!CK$40)</f>
        <v/>
      </c>
      <c r="P626" s="62">
        <f>IF('Übung 14'!CK$40="","",'Übung 14'!CK$40)</f>
        <v/>
      </c>
      <c r="Q626" s="62">
        <f>IF('Übung 15'!CK$40="","",'Übung 15'!CK$40)</f>
        <v/>
      </c>
      <c r="R626" s="62">
        <f>IF('Übung 16'!CK$40="","",'Übung 16'!CK$40)</f>
        <v/>
      </c>
      <c r="S626" s="62">
        <f>IF('Übung 17'!CK$40="","",'Übung 17'!CK$40)</f>
        <v/>
      </c>
      <c r="T626" s="62">
        <f>IF('Übung 18'!CK$40="","",'Übung 18'!CK$40)</f>
        <v/>
      </c>
      <c r="U626" s="62">
        <f>IF('Übung 19'!CK$40="","",'Übung 19'!CK$40)</f>
        <v/>
      </c>
      <c r="V626" s="62">
        <f>IF('Übung 20'!CK$40="","",'Übung 20'!CK$40)</f>
        <v/>
      </c>
    </row>
    <row r="627">
      <c r="C627" s="62">
        <f>IF('Übung 01'!CL$40="","",'Übung 01'!CL$40)</f>
        <v/>
      </c>
      <c r="D627" s="62">
        <f>IF('Übung 02'!CL$40="","",'Übung 02'!CL$40)</f>
        <v/>
      </c>
      <c r="E627" s="62">
        <f>IF('Übung 03'!CL$40="","",'Übung 03'!CL$40)</f>
        <v/>
      </c>
      <c r="F627" s="62">
        <f>IF('Übung 04'!CL$40="","",'Übung 04'!CL$40)</f>
        <v/>
      </c>
      <c r="G627" s="62">
        <f>IF('Übung 05'!CL$40="","",'Übung 05'!CL$40)</f>
        <v/>
      </c>
      <c r="H627" s="62">
        <f>IF('Übung 06'!CL$40="","",'Übung 06'!CL$40)</f>
        <v/>
      </c>
      <c r="I627" s="62">
        <f>IF('Übung 07'!CL$40="","",'Übung 07'!CL$40)</f>
        <v/>
      </c>
      <c r="J627" s="62">
        <f>IF('Übung 08'!CL$40="","",'Übung 08'!CL$40)</f>
        <v/>
      </c>
      <c r="K627" s="62">
        <f>IF('Übung 09'!CL$40="","",'Übung 09'!CL$40)</f>
        <v/>
      </c>
      <c r="L627" s="62">
        <f>IF('Übung 10'!CL$40="","",'Übung 10'!CL$40)</f>
        <v/>
      </c>
      <c r="M627" s="62">
        <f>IF('Übung 11'!CL$40="","",'Übung 11'!CL$40)</f>
        <v/>
      </c>
      <c r="N627" s="62">
        <f>IF('Übung 12'!CL$40="","",'Übung 12'!CL$40)</f>
        <v/>
      </c>
      <c r="O627" s="62">
        <f>IF('Übung 13'!CL$40="","",'Übung 13'!CL$40)</f>
        <v/>
      </c>
      <c r="P627" s="62">
        <f>IF('Übung 14'!CL$40="","",'Übung 14'!CL$40)</f>
        <v/>
      </c>
      <c r="Q627" s="62">
        <f>IF('Übung 15'!CL$40="","",'Übung 15'!CL$40)</f>
        <v/>
      </c>
      <c r="R627" s="62">
        <f>IF('Übung 16'!CL$40="","",'Übung 16'!CL$40)</f>
        <v/>
      </c>
      <c r="S627" s="62">
        <f>IF('Übung 17'!CL$40="","",'Übung 17'!CL$40)</f>
        <v/>
      </c>
      <c r="T627" s="62">
        <f>IF('Übung 18'!CL$40="","",'Übung 18'!CL$40)</f>
        <v/>
      </c>
      <c r="U627" s="62">
        <f>IF('Übung 19'!CL$40="","",'Übung 19'!CL$40)</f>
        <v/>
      </c>
      <c r="V627" s="62">
        <f>IF('Übung 20'!CL$40="","",'Übung 20'!CL$40)</f>
        <v/>
      </c>
    </row>
    <row r="628">
      <c r="C628" s="62">
        <f>IF('Übung 01'!CM$40="","",'Übung 01'!CM$40)</f>
        <v/>
      </c>
      <c r="D628" s="62">
        <f>IF('Übung 02'!CM$40="","",'Übung 02'!CM$40)</f>
        <v/>
      </c>
      <c r="E628" s="62">
        <f>IF('Übung 03'!CM$40="","",'Übung 03'!CM$40)</f>
        <v/>
      </c>
      <c r="F628" s="62">
        <f>IF('Übung 04'!CM$40="","",'Übung 04'!CM$40)</f>
        <v/>
      </c>
      <c r="G628" s="62">
        <f>IF('Übung 05'!CM$40="","",'Übung 05'!CM$40)</f>
        <v/>
      </c>
      <c r="H628" s="62">
        <f>IF('Übung 06'!CM$40="","",'Übung 06'!CM$40)</f>
        <v/>
      </c>
      <c r="I628" s="62">
        <f>IF('Übung 07'!CM$40="","",'Übung 07'!CM$40)</f>
        <v/>
      </c>
      <c r="J628" s="62">
        <f>IF('Übung 08'!CM$40="","",'Übung 08'!CM$40)</f>
        <v/>
      </c>
      <c r="K628" s="62">
        <f>IF('Übung 09'!CM$40="","",'Übung 09'!CM$40)</f>
        <v/>
      </c>
      <c r="L628" s="62">
        <f>IF('Übung 10'!CM$40="","",'Übung 10'!CM$40)</f>
        <v/>
      </c>
      <c r="M628" s="62">
        <f>IF('Übung 11'!CM$40="","",'Übung 11'!CM$40)</f>
        <v/>
      </c>
      <c r="N628" s="62">
        <f>IF('Übung 12'!CM$40="","",'Übung 12'!CM$40)</f>
        <v/>
      </c>
      <c r="O628" s="62">
        <f>IF('Übung 13'!CM$40="","",'Übung 13'!CM$40)</f>
        <v/>
      </c>
      <c r="P628" s="62">
        <f>IF('Übung 14'!CM$40="","",'Übung 14'!CM$40)</f>
        <v/>
      </c>
      <c r="Q628" s="62">
        <f>IF('Übung 15'!CM$40="","",'Übung 15'!CM$40)</f>
        <v/>
      </c>
      <c r="R628" s="62">
        <f>IF('Übung 16'!CM$40="","",'Übung 16'!CM$40)</f>
        <v/>
      </c>
      <c r="S628" s="62">
        <f>IF('Übung 17'!CM$40="","",'Übung 17'!CM$40)</f>
        <v/>
      </c>
      <c r="T628" s="62">
        <f>IF('Übung 18'!CM$40="","",'Übung 18'!CM$40)</f>
        <v/>
      </c>
      <c r="U628" s="62">
        <f>IF('Übung 19'!CM$40="","",'Übung 19'!CM$40)</f>
        <v/>
      </c>
      <c r="V628" s="62">
        <f>IF('Übung 20'!CM$40="","",'Übung 20'!CM$40)</f>
        <v/>
      </c>
    </row>
    <row r="629">
      <c r="C629" s="62">
        <f>IF('Übung 01'!CN$40="","",'Übung 01'!CN$40)</f>
        <v/>
      </c>
      <c r="D629" s="62">
        <f>IF('Übung 02'!CN$40="","",'Übung 02'!CN$40)</f>
        <v/>
      </c>
      <c r="E629" s="62">
        <f>IF('Übung 03'!CN$40="","",'Übung 03'!CN$40)</f>
        <v/>
      </c>
      <c r="F629" s="62">
        <f>IF('Übung 04'!CN$40="","",'Übung 04'!CN$40)</f>
        <v/>
      </c>
      <c r="G629" s="62">
        <f>IF('Übung 05'!CN$40="","",'Übung 05'!CN$40)</f>
        <v/>
      </c>
      <c r="H629" s="62">
        <f>IF('Übung 06'!CN$40="","",'Übung 06'!CN$40)</f>
        <v/>
      </c>
      <c r="I629" s="62">
        <f>IF('Übung 07'!CN$40="","",'Übung 07'!CN$40)</f>
        <v/>
      </c>
      <c r="J629" s="62">
        <f>IF('Übung 08'!CN$40="","",'Übung 08'!CN$40)</f>
        <v/>
      </c>
      <c r="K629" s="62">
        <f>IF('Übung 09'!CN$40="","",'Übung 09'!CN$40)</f>
        <v/>
      </c>
      <c r="L629" s="62">
        <f>IF('Übung 10'!CN$40="","",'Übung 10'!CN$40)</f>
        <v/>
      </c>
      <c r="M629" s="62">
        <f>IF('Übung 11'!CN$40="","",'Übung 11'!CN$40)</f>
        <v/>
      </c>
      <c r="N629" s="62">
        <f>IF('Übung 12'!CN$40="","",'Übung 12'!CN$40)</f>
        <v/>
      </c>
      <c r="O629" s="62">
        <f>IF('Übung 13'!CN$40="","",'Übung 13'!CN$40)</f>
        <v/>
      </c>
      <c r="P629" s="62">
        <f>IF('Übung 14'!CN$40="","",'Übung 14'!CN$40)</f>
        <v/>
      </c>
      <c r="Q629" s="62">
        <f>IF('Übung 15'!CN$40="","",'Übung 15'!CN$40)</f>
        <v/>
      </c>
      <c r="R629" s="62">
        <f>IF('Übung 16'!CN$40="","",'Übung 16'!CN$40)</f>
        <v/>
      </c>
      <c r="S629" s="62">
        <f>IF('Übung 17'!CN$40="","",'Übung 17'!CN$40)</f>
        <v/>
      </c>
      <c r="T629" s="62">
        <f>IF('Übung 18'!CN$40="","",'Übung 18'!CN$40)</f>
        <v/>
      </c>
      <c r="U629" s="62">
        <f>IF('Übung 19'!CN$40="","",'Übung 19'!CN$40)</f>
        <v/>
      </c>
      <c r="V629" s="62">
        <f>IF('Übung 20'!CN$40="","",'Übung 20'!CN$40)</f>
        <v/>
      </c>
    </row>
    <row r="630">
      <c r="C630" s="62">
        <f>IF('Übung 01'!CO$40="","",'Übung 01'!CO$40)</f>
        <v/>
      </c>
      <c r="D630" s="62">
        <f>IF('Übung 02'!CO$40="","",'Übung 02'!CO$40)</f>
        <v/>
      </c>
      <c r="E630" s="62">
        <f>IF('Übung 03'!CO$40="","",'Übung 03'!CO$40)</f>
        <v/>
      </c>
      <c r="F630" s="62">
        <f>IF('Übung 04'!CO$40="","",'Übung 04'!CO$40)</f>
        <v/>
      </c>
      <c r="G630" s="62">
        <f>IF('Übung 05'!CO$40="","",'Übung 05'!CO$40)</f>
        <v/>
      </c>
      <c r="H630" s="62">
        <f>IF('Übung 06'!CO$40="","",'Übung 06'!CO$40)</f>
        <v/>
      </c>
      <c r="I630" s="62">
        <f>IF('Übung 07'!CO$40="","",'Übung 07'!CO$40)</f>
        <v/>
      </c>
      <c r="J630" s="62">
        <f>IF('Übung 08'!CO$40="","",'Übung 08'!CO$40)</f>
        <v/>
      </c>
      <c r="K630" s="62">
        <f>IF('Übung 09'!CO$40="","",'Übung 09'!CO$40)</f>
        <v/>
      </c>
      <c r="L630" s="62">
        <f>IF('Übung 10'!CO$40="","",'Übung 10'!CO$40)</f>
        <v/>
      </c>
      <c r="M630" s="62">
        <f>IF('Übung 11'!CO$40="","",'Übung 11'!CO$40)</f>
        <v/>
      </c>
      <c r="N630" s="62">
        <f>IF('Übung 12'!CO$40="","",'Übung 12'!CO$40)</f>
        <v/>
      </c>
      <c r="O630" s="62">
        <f>IF('Übung 13'!CO$40="","",'Übung 13'!CO$40)</f>
        <v/>
      </c>
      <c r="P630" s="62">
        <f>IF('Übung 14'!CO$40="","",'Übung 14'!CO$40)</f>
        <v/>
      </c>
      <c r="Q630" s="62">
        <f>IF('Übung 15'!CO$40="","",'Übung 15'!CO$40)</f>
        <v/>
      </c>
      <c r="R630" s="62">
        <f>IF('Übung 16'!CO$40="","",'Übung 16'!CO$40)</f>
        <v/>
      </c>
      <c r="S630" s="62">
        <f>IF('Übung 17'!CO$40="","",'Übung 17'!CO$40)</f>
        <v/>
      </c>
      <c r="T630" s="62">
        <f>IF('Übung 18'!CO$40="","",'Übung 18'!CO$40)</f>
        <v/>
      </c>
      <c r="U630" s="62">
        <f>IF('Übung 19'!CO$40="","",'Übung 19'!CO$40)</f>
        <v/>
      </c>
      <c r="V630" s="62">
        <f>IF('Übung 20'!CO$40="","",'Übung 20'!CO$40)</f>
        <v/>
      </c>
    </row>
    <row r="631">
      <c r="C631" s="62">
        <f>IF('Übung 01'!CP$40="","",'Übung 01'!CP$40)</f>
        <v/>
      </c>
      <c r="D631" s="62">
        <f>IF('Übung 02'!CP$40="","",'Übung 02'!CP$40)</f>
        <v/>
      </c>
      <c r="E631" s="62">
        <f>IF('Übung 03'!CP$40="","",'Übung 03'!CP$40)</f>
        <v/>
      </c>
      <c r="F631" s="62">
        <f>IF('Übung 04'!CP$40="","",'Übung 04'!CP$40)</f>
        <v/>
      </c>
      <c r="G631" s="62">
        <f>IF('Übung 05'!CP$40="","",'Übung 05'!CP$40)</f>
        <v/>
      </c>
      <c r="H631" s="62">
        <f>IF('Übung 06'!CP$40="","",'Übung 06'!CP$40)</f>
        <v/>
      </c>
      <c r="I631" s="62">
        <f>IF('Übung 07'!CP$40="","",'Übung 07'!CP$40)</f>
        <v/>
      </c>
      <c r="J631" s="62">
        <f>IF('Übung 08'!CP$40="","",'Übung 08'!CP$40)</f>
        <v/>
      </c>
      <c r="K631" s="62">
        <f>IF('Übung 09'!CP$40="","",'Übung 09'!CP$40)</f>
        <v/>
      </c>
      <c r="L631" s="62">
        <f>IF('Übung 10'!CP$40="","",'Übung 10'!CP$40)</f>
        <v/>
      </c>
      <c r="M631" s="62">
        <f>IF('Übung 11'!CP$40="","",'Übung 11'!CP$40)</f>
        <v/>
      </c>
      <c r="N631" s="62">
        <f>IF('Übung 12'!CP$40="","",'Übung 12'!CP$40)</f>
        <v/>
      </c>
      <c r="O631" s="62">
        <f>IF('Übung 13'!CP$40="","",'Übung 13'!CP$40)</f>
        <v/>
      </c>
      <c r="P631" s="62">
        <f>IF('Übung 14'!CP$40="","",'Übung 14'!CP$40)</f>
        <v/>
      </c>
      <c r="Q631" s="62">
        <f>IF('Übung 15'!CP$40="","",'Übung 15'!CP$40)</f>
        <v/>
      </c>
      <c r="R631" s="62">
        <f>IF('Übung 16'!CP$40="","",'Übung 16'!CP$40)</f>
        <v/>
      </c>
      <c r="S631" s="62">
        <f>IF('Übung 17'!CP$40="","",'Übung 17'!CP$40)</f>
        <v/>
      </c>
      <c r="T631" s="62">
        <f>IF('Übung 18'!CP$40="","",'Übung 18'!CP$40)</f>
        <v/>
      </c>
      <c r="U631" s="62">
        <f>IF('Übung 19'!CP$40="","",'Übung 19'!CP$40)</f>
        <v/>
      </c>
      <c r="V631" s="62">
        <f>IF('Übung 20'!CP$40="","",'Übung 20'!CP$40)</f>
        <v/>
      </c>
    </row>
    <row r="632">
      <c r="C632" s="62">
        <f>IF('Übung 01'!CQ$40="","",'Übung 01'!CQ$40)</f>
        <v/>
      </c>
      <c r="D632" s="62">
        <f>IF('Übung 02'!CQ$40="","",'Übung 02'!CQ$40)</f>
        <v/>
      </c>
      <c r="E632" s="62">
        <f>IF('Übung 03'!CQ$40="","",'Übung 03'!CQ$40)</f>
        <v/>
      </c>
      <c r="F632" s="62">
        <f>IF('Übung 04'!CQ$40="","",'Übung 04'!CQ$40)</f>
        <v/>
      </c>
      <c r="G632" s="62">
        <f>IF('Übung 05'!CQ$40="","",'Übung 05'!CQ$40)</f>
        <v/>
      </c>
      <c r="H632" s="62">
        <f>IF('Übung 06'!CQ$40="","",'Übung 06'!CQ$40)</f>
        <v/>
      </c>
      <c r="I632" s="62">
        <f>IF('Übung 07'!CQ$40="","",'Übung 07'!CQ$40)</f>
        <v/>
      </c>
      <c r="J632" s="62">
        <f>IF('Übung 08'!CQ$40="","",'Übung 08'!CQ$40)</f>
        <v/>
      </c>
      <c r="K632" s="62">
        <f>IF('Übung 09'!CQ$40="","",'Übung 09'!CQ$40)</f>
        <v/>
      </c>
      <c r="L632" s="62">
        <f>IF('Übung 10'!CQ$40="","",'Übung 10'!CQ$40)</f>
        <v/>
      </c>
      <c r="M632" s="62">
        <f>IF('Übung 11'!CQ$40="","",'Übung 11'!CQ$40)</f>
        <v/>
      </c>
      <c r="N632" s="62">
        <f>IF('Übung 12'!CQ$40="","",'Übung 12'!CQ$40)</f>
        <v/>
      </c>
      <c r="O632" s="62">
        <f>IF('Übung 13'!CQ$40="","",'Übung 13'!CQ$40)</f>
        <v/>
      </c>
      <c r="P632" s="62">
        <f>IF('Übung 14'!CQ$40="","",'Übung 14'!CQ$40)</f>
        <v/>
      </c>
      <c r="Q632" s="62">
        <f>IF('Übung 15'!CQ$40="","",'Übung 15'!CQ$40)</f>
        <v/>
      </c>
      <c r="R632" s="62">
        <f>IF('Übung 16'!CQ$40="","",'Übung 16'!CQ$40)</f>
        <v/>
      </c>
      <c r="S632" s="62">
        <f>IF('Übung 17'!CQ$40="","",'Übung 17'!CQ$40)</f>
        <v/>
      </c>
      <c r="T632" s="62">
        <f>IF('Übung 18'!CQ$40="","",'Übung 18'!CQ$40)</f>
        <v/>
      </c>
      <c r="U632" s="62">
        <f>IF('Übung 19'!CQ$40="","",'Übung 19'!CQ$40)</f>
        <v/>
      </c>
      <c r="V632" s="62">
        <f>IF('Übung 20'!CQ$40="","",'Übung 20'!CQ$40)</f>
        <v/>
      </c>
    </row>
    <row r="633">
      <c r="C633" s="62">
        <f>IF('Übung 01'!CR$40="","",'Übung 01'!CR$40)</f>
        <v/>
      </c>
      <c r="D633" s="62">
        <f>IF('Übung 02'!CR$40="","",'Übung 02'!CR$40)</f>
        <v/>
      </c>
      <c r="E633" s="62">
        <f>IF('Übung 03'!CR$40="","",'Übung 03'!CR$40)</f>
        <v/>
      </c>
      <c r="F633" s="62">
        <f>IF('Übung 04'!CR$40="","",'Übung 04'!CR$40)</f>
        <v/>
      </c>
      <c r="G633" s="62">
        <f>IF('Übung 05'!CR$40="","",'Übung 05'!CR$40)</f>
        <v/>
      </c>
      <c r="H633" s="62">
        <f>IF('Übung 06'!CR$40="","",'Übung 06'!CR$40)</f>
        <v/>
      </c>
      <c r="I633" s="62">
        <f>IF('Übung 07'!CR$40="","",'Übung 07'!CR$40)</f>
        <v/>
      </c>
      <c r="J633" s="62">
        <f>IF('Übung 08'!CR$40="","",'Übung 08'!CR$40)</f>
        <v/>
      </c>
      <c r="K633" s="62">
        <f>IF('Übung 09'!CR$40="","",'Übung 09'!CR$40)</f>
        <v/>
      </c>
      <c r="L633" s="62">
        <f>IF('Übung 10'!CR$40="","",'Übung 10'!CR$40)</f>
        <v/>
      </c>
      <c r="M633" s="62">
        <f>IF('Übung 11'!CR$40="","",'Übung 11'!CR$40)</f>
        <v/>
      </c>
      <c r="N633" s="62">
        <f>IF('Übung 12'!CR$40="","",'Übung 12'!CR$40)</f>
        <v/>
      </c>
      <c r="O633" s="62">
        <f>IF('Übung 13'!CR$40="","",'Übung 13'!CR$40)</f>
        <v/>
      </c>
      <c r="P633" s="62">
        <f>IF('Übung 14'!CR$40="","",'Übung 14'!CR$40)</f>
        <v/>
      </c>
      <c r="Q633" s="62">
        <f>IF('Übung 15'!CR$40="","",'Übung 15'!CR$40)</f>
        <v/>
      </c>
      <c r="R633" s="62">
        <f>IF('Übung 16'!CR$40="","",'Übung 16'!CR$40)</f>
        <v/>
      </c>
      <c r="S633" s="62">
        <f>IF('Übung 17'!CR$40="","",'Übung 17'!CR$40)</f>
        <v/>
      </c>
      <c r="T633" s="62">
        <f>IF('Übung 18'!CR$40="","",'Übung 18'!CR$40)</f>
        <v/>
      </c>
      <c r="U633" s="62">
        <f>IF('Übung 19'!CR$40="","",'Übung 19'!CR$40)</f>
        <v/>
      </c>
      <c r="V633" s="62">
        <f>IF('Übung 20'!CR$40="","",'Übung 20'!CR$40)</f>
        <v/>
      </c>
    </row>
    <row r="634">
      <c r="C634" s="62">
        <f>IF('Übung 01'!CS$40="","",'Übung 01'!CS$40)</f>
        <v/>
      </c>
      <c r="D634" s="62">
        <f>IF('Übung 02'!CS$40="","",'Übung 02'!CS$40)</f>
        <v/>
      </c>
      <c r="E634" s="62">
        <f>IF('Übung 03'!CS$40="","",'Übung 03'!CS$40)</f>
        <v/>
      </c>
      <c r="F634" s="62">
        <f>IF('Übung 04'!CS$40="","",'Übung 04'!CS$40)</f>
        <v/>
      </c>
      <c r="G634" s="62">
        <f>IF('Übung 05'!CS$40="","",'Übung 05'!CS$40)</f>
        <v/>
      </c>
      <c r="H634" s="62">
        <f>IF('Übung 06'!CS$40="","",'Übung 06'!CS$40)</f>
        <v/>
      </c>
      <c r="I634" s="62">
        <f>IF('Übung 07'!CS$40="","",'Übung 07'!CS$40)</f>
        <v/>
      </c>
      <c r="J634" s="62">
        <f>IF('Übung 08'!CS$40="","",'Übung 08'!CS$40)</f>
        <v/>
      </c>
      <c r="K634" s="62">
        <f>IF('Übung 09'!CS$40="","",'Übung 09'!CS$40)</f>
        <v/>
      </c>
      <c r="L634" s="62">
        <f>IF('Übung 10'!CS$40="","",'Übung 10'!CS$40)</f>
        <v/>
      </c>
      <c r="M634" s="62">
        <f>IF('Übung 11'!CS$40="","",'Übung 11'!CS$40)</f>
        <v/>
      </c>
      <c r="N634" s="62">
        <f>IF('Übung 12'!CS$40="","",'Übung 12'!CS$40)</f>
        <v/>
      </c>
      <c r="O634" s="62">
        <f>IF('Übung 13'!CS$40="","",'Übung 13'!CS$40)</f>
        <v/>
      </c>
      <c r="P634" s="62">
        <f>IF('Übung 14'!CS$40="","",'Übung 14'!CS$40)</f>
        <v/>
      </c>
      <c r="Q634" s="62">
        <f>IF('Übung 15'!CS$40="","",'Übung 15'!CS$40)</f>
        <v/>
      </c>
      <c r="R634" s="62">
        <f>IF('Übung 16'!CS$40="","",'Übung 16'!CS$40)</f>
        <v/>
      </c>
      <c r="S634" s="62">
        <f>IF('Übung 17'!CS$40="","",'Übung 17'!CS$40)</f>
        <v/>
      </c>
      <c r="T634" s="62">
        <f>IF('Übung 18'!CS$40="","",'Übung 18'!CS$40)</f>
        <v/>
      </c>
      <c r="U634" s="62">
        <f>IF('Übung 19'!CS$40="","",'Übung 19'!CS$40)</f>
        <v/>
      </c>
      <c r="V634" s="62">
        <f>IF('Übung 20'!CS$40="","",'Übung 20'!CS$40)</f>
        <v/>
      </c>
    </row>
    <row r="635">
      <c r="C635" s="62">
        <f>IF('Übung 01'!CT$40="","",'Übung 01'!CT$40)</f>
        <v/>
      </c>
      <c r="D635" s="62">
        <f>IF('Übung 02'!CT$40="","",'Übung 02'!CT$40)</f>
        <v/>
      </c>
      <c r="E635" s="62">
        <f>IF('Übung 03'!CT$40="","",'Übung 03'!CT$40)</f>
        <v/>
      </c>
      <c r="F635" s="62">
        <f>IF('Übung 04'!CT$40="","",'Übung 04'!CT$40)</f>
        <v/>
      </c>
      <c r="G635" s="62">
        <f>IF('Übung 05'!CT$40="","",'Übung 05'!CT$40)</f>
        <v/>
      </c>
      <c r="H635" s="62">
        <f>IF('Übung 06'!CT$40="","",'Übung 06'!CT$40)</f>
        <v/>
      </c>
      <c r="I635" s="62">
        <f>IF('Übung 07'!CT$40="","",'Übung 07'!CT$40)</f>
        <v/>
      </c>
      <c r="J635" s="62">
        <f>IF('Übung 08'!CT$40="","",'Übung 08'!CT$40)</f>
        <v/>
      </c>
      <c r="K635" s="62">
        <f>IF('Übung 09'!CT$40="","",'Übung 09'!CT$40)</f>
        <v/>
      </c>
      <c r="L635" s="62">
        <f>IF('Übung 10'!CT$40="","",'Übung 10'!CT$40)</f>
        <v/>
      </c>
      <c r="M635" s="62">
        <f>IF('Übung 11'!CT$40="","",'Übung 11'!CT$40)</f>
        <v/>
      </c>
      <c r="N635" s="62">
        <f>IF('Übung 12'!CT$40="","",'Übung 12'!CT$40)</f>
        <v/>
      </c>
      <c r="O635" s="62">
        <f>IF('Übung 13'!CT$40="","",'Übung 13'!CT$40)</f>
        <v/>
      </c>
      <c r="P635" s="62">
        <f>IF('Übung 14'!CT$40="","",'Übung 14'!CT$40)</f>
        <v/>
      </c>
      <c r="Q635" s="62">
        <f>IF('Übung 15'!CT$40="","",'Übung 15'!CT$40)</f>
        <v/>
      </c>
      <c r="R635" s="62">
        <f>IF('Übung 16'!CT$40="","",'Übung 16'!CT$40)</f>
        <v/>
      </c>
      <c r="S635" s="62">
        <f>IF('Übung 17'!CT$40="","",'Übung 17'!CT$40)</f>
        <v/>
      </c>
      <c r="T635" s="62">
        <f>IF('Übung 18'!CT$40="","",'Übung 18'!CT$40)</f>
        <v/>
      </c>
      <c r="U635" s="62">
        <f>IF('Übung 19'!CT$40="","",'Übung 19'!CT$40)</f>
        <v/>
      </c>
      <c r="V635" s="62">
        <f>IF('Übung 20'!CT$40="","",'Übung 20'!CT$40)</f>
        <v/>
      </c>
    </row>
    <row r="636">
      <c r="C636" s="62">
        <f>IF('Übung 01'!CU$40="","",'Übung 01'!CU$40)</f>
        <v/>
      </c>
      <c r="D636" s="62">
        <f>IF('Übung 02'!CU$40="","",'Übung 02'!CU$40)</f>
        <v/>
      </c>
      <c r="E636" s="62">
        <f>IF('Übung 03'!CU$40="","",'Übung 03'!CU$40)</f>
        <v/>
      </c>
      <c r="F636" s="62">
        <f>IF('Übung 04'!CU$40="","",'Übung 04'!CU$40)</f>
        <v/>
      </c>
      <c r="G636" s="62">
        <f>IF('Übung 05'!CU$40="","",'Übung 05'!CU$40)</f>
        <v/>
      </c>
      <c r="H636" s="62">
        <f>IF('Übung 06'!CU$40="","",'Übung 06'!CU$40)</f>
        <v/>
      </c>
      <c r="I636" s="62">
        <f>IF('Übung 07'!CU$40="","",'Übung 07'!CU$40)</f>
        <v/>
      </c>
      <c r="J636" s="62">
        <f>IF('Übung 08'!CU$40="","",'Übung 08'!CU$40)</f>
        <v/>
      </c>
      <c r="K636" s="62">
        <f>IF('Übung 09'!CU$40="","",'Übung 09'!CU$40)</f>
        <v/>
      </c>
      <c r="L636" s="62">
        <f>IF('Übung 10'!CU$40="","",'Übung 10'!CU$40)</f>
        <v/>
      </c>
      <c r="M636" s="62">
        <f>IF('Übung 11'!CU$40="","",'Übung 11'!CU$40)</f>
        <v/>
      </c>
      <c r="N636" s="62">
        <f>IF('Übung 12'!CU$40="","",'Übung 12'!CU$40)</f>
        <v/>
      </c>
      <c r="O636" s="62">
        <f>IF('Übung 13'!CU$40="","",'Übung 13'!CU$40)</f>
        <v/>
      </c>
      <c r="P636" s="62">
        <f>IF('Übung 14'!CU$40="","",'Übung 14'!CU$40)</f>
        <v/>
      </c>
      <c r="Q636" s="62">
        <f>IF('Übung 15'!CU$40="","",'Übung 15'!CU$40)</f>
        <v/>
      </c>
      <c r="R636" s="62">
        <f>IF('Übung 16'!CU$40="","",'Übung 16'!CU$40)</f>
        <v/>
      </c>
      <c r="S636" s="62">
        <f>IF('Übung 17'!CU$40="","",'Übung 17'!CU$40)</f>
        <v/>
      </c>
      <c r="T636" s="62">
        <f>IF('Übung 18'!CU$40="","",'Übung 18'!CU$40)</f>
        <v/>
      </c>
      <c r="U636" s="62">
        <f>IF('Übung 19'!CU$40="","",'Übung 19'!CU$40)</f>
        <v/>
      </c>
      <c r="V636" s="62">
        <f>IF('Übung 20'!CU$40="","",'Übung 20'!CU$40)</f>
        <v/>
      </c>
    </row>
    <row r="637">
      <c r="C637" s="62">
        <f>IF('Übung 01'!CV$40="","",'Übung 01'!CV$40)</f>
        <v/>
      </c>
      <c r="D637" s="62">
        <f>IF('Übung 02'!CV$40="","",'Übung 02'!CV$40)</f>
        <v/>
      </c>
      <c r="E637" s="62">
        <f>IF('Übung 03'!CV$40="","",'Übung 03'!CV$40)</f>
        <v/>
      </c>
      <c r="F637" s="62">
        <f>IF('Übung 04'!CV$40="","",'Übung 04'!CV$40)</f>
        <v/>
      </c>
      <c r="G637" s="62">
        <f>IF('Übung 05'!CV$40="","",'Übung 05'!CV$40)</f>
        <v/>
      </c>
      <c r="H637" s="62">
        <f>IF('Übung 06'!CV$40="","",'Übung 06'!CV$40)</f>
        <v/>
      </c>
      <c r="I637" s="62">
        <f>IF('Übung 07'!CV$40="","",'Übung 07'!CV$40)</f>
        <v/>
      </c>
      <c r="J637" s="62">
        <f>IF('Übung 08'!CV$40="","",'Übung 08'!CV$40)</f>
        <v/>
      </c>
      <c r="K637" s="62">
        <f>IF('Übung 09'!CV$40="","",'Übung 09'!CV$40)</f>
        <v/>
      </c>
      <c r="L637" s="62">
        <f>IF('Übung 10'!CV$40="","",'Übung 10'!CV$40)</f>
        <v/>
      </c>
      <c r="M637" s="62">
        <f>IF('Übung 11'!CV$40="","",'Übung 11'!CV$40)</f>
        <v/>
      </c>
      <c r="N637" s="62">
        <f>IF('Übung 12'!CV$40="","",'Übung 12'!CV$40)</f>
        <v/>
      </c>
      <c r="O637" s="62">
        <f>IF('Übung 13'!CV$40="","",'Übung 13'!CV$40)</f>
        <v/>
      </c>
      <c r="P637" s="62">
        <f>IF('Übung 14'!CV$40="","",'Übung 14'!CV$40)</f>
        <v/>
      </c>
      <c r="Q637" s="62">
        <f>IF('Übung 15'!CV$40="","",'Übung 15'!CV$40)</f>
        <v/>
      </c>
      <c r="R637" s="62">
        <f>IF('Übung 16'!CV$40="","",'Übung 16'!CV$40)</f>
        <v/>
      </c>
      <c r="S637" s="62">
        <f>IF('Übung 17'!CV$40="","",'Übung 17'!CV$40)</f>
        <v/>
      </c>
      <c r="T637" s="62">
        <f>IF('Übung 18'!CV$40="","",'Übung 18'!CV$40)</f>
        <v/>
      </c>
      <c r="U637" s="62">
        <f>IF('Übung 19'!CV$40="","",'Übung 19'!CV$40)</f>
        <v/>
      </c>
      <c r="V637" s="62">
        <f>IF('Übung 20'!CV$40="","",'Übung 20'!CV$40)</f>
        <v/>
      </c>
    </row>
    <row r="638">
      <c r="C638" s="62">
        <f>IF('Übung 01'!CW$40="","",'Übung 01'!CW$40)</f>
        <v/>
      </c>
      <c r="D638" s="62">
        <f>IF('Übung 02'!CW$40="","",'Übung 02'!CW$40)</f>
        <v/>
      </c>
      <c r="E638" s="62">
        <f>IF('Übung 03'!CW$40="","",'Übung 03'!CW$40)</f>
        <v/>
      </c>
      <c r="F638" s="62">
        <f>IF('Übung 04'!CW$40="","",'Übung 04'!CW$40)</f>
        <v/>
      </c>
      <c r="G638" s="62">
        <f>IF('Übung 05'!CW$40="","",'Übung 05'!CW$40)</f>
        <v/>
      </c>
      <c r="H638" s="62">
        <f>IF('Übung 06'!CW$40="","",'Übung 06'!CW$40)</f>
        <v/>
      </c>
      <c r="I638" s="62">
        <f>IF('Übung 07'!CW$40="","",'Übung 07'!CW$40)</f>
        <v/>
      </c>
      <c r="J638" s="62">
        <f>IF('Übung 08'!CW$40="","",'Übung 08'!CW$40)</f>
        <v/>
      </c>
      <c r="K638" s="62">
        <f>IF('Übung 09'!CW$40="","",'Übung 09'!CW$40)</f>
        <v/>
      </c>
      <c r="L638" s="62">
        <f>IF('Übung 10'!CW$40="","",'Übung 10'!CW$40)</f>
        <v/>
      </c>
      <c r="M638" s="62">
        <f>IF('Übung 11'!CW$40="","",'Übung 11'!CW$40)</f>
        <v/>
      </c>
      <c r="N638" s="62">
        <f>IF('Übung 12'!CW$40="","",'Übung 12'!CW$40)</f>
        <v/>
      </c>
      <c r="O638" s="62">
        <f>IF('Übung 13'!CW$40="","",'Übung 13'!CW$40)</f>
        <v/>
      </c>
      <c r="P638" s="62">
        <f>IF('Übung 14'!CW$40="","",'Übung 14'!CW$40)</f>
        <v/>
      </c>
      <c r="Q638" s="62">
        <f>IF('Übung 15'!CW$40="","",'Übung 15'!CW$40)</f>
        <v/>
      </c>
      <c r="R638" s="62">
        <f>IF('Übung 16'!CW$40="","",'Übung 16'!CW$40)</f>
        <v/>
      </c>
      <c r="S638" s="62">
        <f>IF('Übung 17'!CW$40="","",'Übung 17'!CW$40)</f>
        <v/>
      </c>
      <c r="T638" s="62">
        <f>IF('Übung 18'!CW$40="","",'Übung 18'!CW$40)</f>
        <v/>
      </c>
      <c r="U638" s="62">
        <f>IF('Übung 19'!CW$40="","",'Übung 19'!CW$40)</f>
        <v/>
      </c>
      <c r="V638" s="62">
        <f>IF('Übung 20'!CW$40="","",'Übung 20'!CW$40)</f>
        <v/>
      </c>
    </row>
    <row r="639">
      <c r="C639" s="62">
        <f>IF('Übung 01'!CX$40="","",'Übung 01'!CX$40)</f>
        <v/>
      </c>
      <c r="D639" s="62">
        <f>IF('Übung 02'!CX$40="","",'Übung 02'!CX$40)</f>
        <v/>
      </c>
      <c r="E639" s="62">
        <f>IF('Übung 03'!CX$40="","",'Übung 03'!CX$40)</f>
        <v/>
      </c>
      <c r="F639" s="62">
        <f>IF('Übung 04'!CX$40="","",'Übung 04'!CX$40)</f>
        <v/>
      </c>
      <c r="G639" s="62">
        <f>IF('Übung 05'!CX$40="","",'Übung 05'!CX$40)</f>
        <v/>
      </c>
      <c r="H639" s="62">
        <f>IF('Übung 06'!CX$40="","",'Übung 06'!CX$40)</f>
        <v/>
      </c>
      <c r="I639" s="62">
        <f>IF('Übung 07'!CX$40="","",'Übung 07'!CX$40)</f>
        <v/>
      </c>
      <c r="J639" s="62">
        <f>IF('Übung 08'!CX$40="","",'Übung 08'!CX$40)</f>
        <v/>
      </c>
      <c r="K639" s="62">
        <f>IF('Übung 09'!CX$40="","",'Übung 09'!CX$40)</f>
        <v/>
      </c>
      <c r="L639" s="62">
        <f>IF('Übung 10'!CX$40="","",'Übung 10'!CX$40)</f>
        <v/>
      </c>
      <c r="M639" s="62">
        <f>IF('Übung 11'!CX$40="","",'Übung 11'!CX$40)</f>
        <v/>
      </c>
      <c r="N639" s="62">
        <f>IF('Übung 12'!CX$40="","",'Übung 12'!CX$40)</f>
        <v/>
      </c>
      <c r="O639" s="62">
        <f>IF('Übung 13'!CX$40="","",'Übung 13'!CX$40)</f>
        <v/>
      </c>
      <c r="P639" s="62">
        <f>IF('Übung 14'!CX$40="","",'Übung 14'!CX$40)</f>
        <v/>
      </c>
      <c r="Q639" s="62">
        <f>IF('Übung 15'!CX$40="","",'Übung 15'!CX$40)</f>
        <v/>
      </c>
      <c r="R639" s="62">
        <f>IF('Übung 16'!CX$40="","",'Übung 16'!CX$40)</f>
        <v/>
      </c>
      <c r="S639" s="62">
        <f>IF('Übung 17'!CX$40="","",'Übung 17'!CX$40)</f>
        <v/>
      </c>
      <c r="T639" s="62">
        <f>IF('Übung 18'!CX$40="","",'Übung 18'!CX$40)</f>
        <v/>
      </c>
      <c r="U639" s="62">
        <f>IF('Übung 19'!CX$40="","",'Übung 19'!CX$40)</f>
        <v/>
      </c>
      <c r="V639" s="62">
        <f>IF('Übung 20'!CX$40="","",'Übung 20'!CX$40)</f>
        <v/>
      </c>
    </row>
    <row r="640">
      <c r="C640" s="62">
        <f>IF('Übung 01'!CY$40="","",'Übung 01'!CY$40)</f>
        <v/>
      </c>
      <c r="D640" s="62">
        <f>IF('Übung 02'!CY$40="","",'Übung 02'!CY$40)</f>
        <v/>
      </c>
      <c r="E640" s="62">
        <f>IF('Übung 03'!CY$40="","",'Übung 03'!CY$40)</f>
        <v/>
      </c>
      <c r="F640" s="62">
        <f>IF('Übung 04'!CY$40="","",'Übung 04'!CY$40)</f>
        <v/>
      </c>
      <c r="G640" s="62">
        <f>IF('Übung 05'!CY$40="","",'Übung 05'!CY$40)</f>
        <v/>
      </c>
      <c r="H640" s="62">
        <f>IF('Übung 06'!CY$40="","",'Übung 06'!CY$40)</f>
        <v/>
      </c>
      <c r="I640" s="62">
        <f>IF('Übung 07'!CY$40="","",'Übung 07'!CY$40)</f>
        <v/>
      </c>
      <c r="J640" s="62">
        <f>IF('Übung 08'!CY$40="","",'Übung 08'!CY$40)</f>
        <v/>
      </c>
      <c r="K640" s="62">
        <f>IF('Übung 09'!CY$40="","",'Übung 09'!CY$40)</f>
        <v/>
      </c>
      <c r="L640" s="62">
        <f>IF('Übung 10'!CY$40="","",'Übung 10'!CY$40)</f>
        <v/>
      </c>
      <c r="M640" s="62">
        <f>IF('Übung 11'!CY$40="","",'Übung 11'!CY$40)</f>
        <v/>
      </c>
      <c r="N640" s="62">
        <f>IF('Übung 12'!CY$40="","",'Übung 12'!CY$40)</f>
        <v/>
      </c>
      <c r="O640" s="62">
        <f>IF('Übung 13'!CY$40="","",'Übung 13'!CY$40)</f>
        <v/>
      </c>
      <c r="P640" s="62">
        <f>IF('Übung 14'!CY$40="","",'Übung 14'!CY$40)</f>
        <v/>
      </c>
      <c r="Q640" s="62">
        <f>IF('Übung 15'!CY$40="","",'Übung 15'!CY$40)</f>
        <v/>
      </c>
      <c r="R640" s="62">
        <f>IF('Übung 16'!CY$40="","",'Übung 16'!CY$40)</f>
        <v/>
      </c>
      <c r="S640" s="62">
        <f>IF('Übung 17'!CY$40="","",'Übung 17'!CY$40)</f>
        <v/>
      </c>
      <c r="T640" s="62">
        <f>IF('Übung 18'!CY$40="","",'Übung 18'!CY$40)</f>
        <v/>
      </c>
      <c r="U640" s="62">
        <f>IF('Übung 19'!CY$40="","",'Übung 19'!CY$40)</f>
        <v/>
      </c>
      <c r="V640" s="62">
        <f>IF('Übung 20'!CY$40="","",'Übung 20'!CY$40)</f>
        <v/>
      </c>
    </row>
    <row r="641">
      <c r="C641" s="62">
        <f>IF('Übung 01'!CZ$40="","",'Übung 01'!CZ$40)</f>
        <v/>
      </c>
      <c r="D641" s="62">
        <f>IF('Übung 02'!CZ$40="","",'Übung 02'!CZ$40)</f>
        <v/>
      </c>
      <c r="E641" s="62">
        <f>IF('Übung 03'!CZ$40="","",'Übung 03'!CZ$40)</f>
        <v/>
      </c>
      <c r="F641" s="62">
        <f>IF('Übung 04'!CZ$40="","",'Übung 04'!CZ$40)</f>
        <v/>
      </c>
      <c r="G641" s="62">
        <f>IF('Übung 05'!CZ$40="","",'Übung 05'!CZ$40)</f>
        <v/>
      </c>
      <c r="H641" s="62">
        <f>IF('Übung 06'!CZ$40="","",'Übung 06'!CZ$40)</f>
        <v/>
      </c>
      <c r="I641" s="62">
        <f>IF('Übung 07'!CZ$40="","",'Übung 07'!CZ$40)</f>
        <v/>
      </c>
      <c r="J641" s="62">
        <f>IF('Übung 08'!CZ$40="","",'Übung 08'!CZ$40)</f>
        <v/>
      </c>
      <c r="K641" s="62">
        <f>IF('Übung 09'!CZ$40="","",'Übung 09'!CZ$40)</f>
        <v/>
      </c>
      <c r="L641" s="62">
        <f>IF('Übung 10'!CZ$40="","",'Übung 10'!CZ$40)</f>
        <v/>
      </c>
      <c r="M641" s="62">
        <f>IF('Übung 11'!CZ$40="","",'Übung 11'!CZ$40)</f>
        <v/>
      </c>
      <c r="N641" s="62">
        <f>IF('Übung 12'!CZ$40="","",'Übung 12'!CZ$40)</f>
        <v/>
      </c>
      <c r="O641" s="62">
        <f>IF('Übung 13'!CZ$40="","",'Übung 13'!CZ$40)</f>
        <v/>
      </c>
      <c r="P641" s="62">
        <f>IF('Übung 14'!CZ$40="","",'Übung 14'!CZ$40)</f>
        <v/>
      </c>
      <c r="Q641" s="62">
        <f>IF('Übung 15'!CZ$40="","",'Übung 15'!CZ$40)</f>
        <v/>
      </c>
      <c r="R641" s="62">
        <f>IF('Übung 16'!CZ$40="","",'Übung 16'!CZ$40)</f>
        <v/>
      </c>
      <c r="S641" s="62">
        <f>IF('Übung 17'!CZ$40="","",'Übung 17'!CZ$40)</f>
        <v/>
      </c>
      <c r="T641" s="62">
        <f>IF('Übung 18'!CZ$40="","",'Übung 18'!CZ$40)</f>
        <v/>
      </c>
      <c r="U641" s="62">
        <f>IF('Übung 19'!CZ$40="","",'Übung 19'!CZ$40)</f>
        <v/>
      </c>
      <c r="V641" s="62">
        <f>IF('Übung 20'!CZ$40="","",'Übung 20'!CZ$40)</f>
        <v/>
      </c>
    </row>
    <row r="642">
      <c r="C642" s="62">
        <f>IF('Übung 01'!DA$40="","",'Übung 01'!DA$40)</f>
        <v/>
      </c>
      <c r="D642" s="62">
        <f>IF('Übung 02'!DA$40="","",'Übung 02'!DA$40)</f>
        <v/>
      </c>
      <c r="E642" s="62">
        <f>IF('Übung 03'!DA$40="","",'Übung 03'!DA$40)</f>
        <v/>
      </c>
      <c r="F642" s="62">
        <f>IF('Übung 04'!DA$40="","",'Übung 04'!DA$40)</f>
        <v/>
      </c>
      <c r="G642" s="62">
        <f>IF('Übung 05'!DA$40="","",'Übung 05'!DA$40)</f>
        <v/>
      </c>
      <c r="H642" s="62">
        <f>IF('Übung 06'!DA$40="","",'Übung 06'!DA$40)</f>
        <v/>
      </c>
      <c r="I642" s="62">
        <f>IF('Übung 07'!DA$40="","",'Übung 07'!DA$40)</f>
        <v/>
      </c>
      <c r="J642" s="62">
        <f>IF('Übung 08'!DA$40="","",'Übung 08'!DA$40)</f>
        <v/>
      </c>
      <c r="K642" s="62">
        <f>IF('Übung 09'!DA$40="","",'Übung 09'!DA$40)</f>
        <v/>
      </c>
      <c r="L642" s="62">
        <f>IF('Übung 10'!DA$40="","",'Übung 10'!DA$40)</f>
        <v/>
      </c>
      <c r="M642" s="62">
        <f>IF('Übung 11'!DA$40="","",'Übung 11'!DA$40)</f>
        <v/>
      </c>
      <c r="N642" s="62">
        <f>IF('Übung 12'!DA$40="","",'Übung 12'!DA$40)</f>
        <v/>
      </c>
      <c r="O642" s="62">
        <f>IF('Übung 13'!DA$40="","",'Übung 13'!DA$40)</f>
        <v/>
      </c>
      <c r="P642" s="62">
        <f>IF('Übung 14'!DA$40="","",'Übung 14'!DA$40)</f>
        <v/>
      </c>
      <c r="Q642" s="62">
        <f>IF('Übung 15'!DA$40="","",'Übung 15'!DA$40)</f>
        <v/>
      </c>
      <c r="R642" s="62">
        <f>IF('Übung 16'!DA$40="","",'Übung 16'!DA$40)</f>
        <v/>
      </c>
      <c r="S642" s="62">
        <f>IF('Übung 17'!DA$40="","",'Übung 17'!DA$40)</f>
        <v/>
      </c>
      <c r="T642" s="62">
        <f>IF('Übung 18'!DA$40="","",'Übung 18'!DA$40)</f>
        <v/>
      </c>
      <c r="U642" s="62">
        <f>IF('Übung 19'!DA$40="","",'Übung 19'!DA$40)</f>
        <v/>
      </c>
      <c r="V642" s="62">
        <f>IF('Übung 20'!DA$40="","",'Übung 20'!DA$40)</f>
        <v/>
      </c>
    </row>
    <row r="643">
      <c r="C643" s="62">
        <f>IF('Übung 01'!DB$40="","",'Übung 01'!DB$40)</f>
        <v/>
      </c>
      <c r="D643" s="62">
        <f>IF('Übung 02'!DB$40="","",'Übung 02'!DB$40)</f>
        <v/>
      </c>
      <c r="E643" s="62">
        <f>IF('Übung 03'!DB$40="","",'Übung 03'!DB$40)</f>
        <v/>
      </c>
      <c r="F643" s="62">
        <f>IF('Übung 04'!DB$40="","",'Übung 04'!DB$40)</f>
        <v/>
      </c>
      <c r="G643" s="62">
        <f>IF('Übung 05'!DB$40="","",'Übung 05'!DB$40)</f>
        <v/>
      </c>
      <c r="H643" s="62">
        <f>IF('Übung 06'!DB$40="","",'Übung 06'!DB$40)</f>
        <v/>
      </c>
      <c r="I643" s="62">
        <f>IF('Übung 07'!DB$40="","",'Übung 07'!DB$40)</f>
        <v/>
      </c>
      <c r="J643" s="62">
        <f>IF('Übung 08'!DB$40="","",'Übung 08'!DB$40)</f>
        <v/>
      </c>
      <c r="K643" s="62">
        <f>IF('Übung 09'!DB$40="","",'Übung 09'!DB$40)</f>
        <v/>
      </c>
      <c r="L643" s="62">
        <f>IF('Übung 10'!DB$40="","",'Übung 10'!DB$40)</f>
        <v/>
      </c>
      <c r="M643" s="62">
        <f>IF('Übung 11'!DB$40="","",'Übung 11'!DB$40)</f>
        <v/>
      </c>
      <c r="N643" s="62">
        <f>IF('Übung 12'!DB$40="","",'Übung 12'!DB$40)</f>
        <v/>
      </c>
      <c r="O643" s="62">
        <f>IF('Übung 13'!DB$40="","",'Übung 13'!DB$40)</f>
        <v/>
      </c>
      <c r="P643" s="62">
        <f>IF('Übung 14'!DB$40="","",'Übung 14'!DB$40)</f>
        <v/>
      </c>
      <c r="Q643" s="62">
        <f>IF('Übung 15'!DB$40="","",'Übung 15'!DB$40)</f>
        <v/>
      </c>
      <c r="R643" s="62">
        <f>IF('Übung 16'!DB$40="","",'Übung 16'!DB$40)</f>
        <v/>
      </c>
      <c r="S643" s="62">
        <f>IF('Übung 17'!DB$40="","",'Übung 17'!DB$40)</f>
        <v/>
      </c>
      <c r="T643" s="62">
        <f>IF('Übung 18'!DB$40="","",'Übung 18'!DB$40)</f>
        <v/>
      </c>
      <c r="U643" s="62">
        <f>IF('Übung 19'!DB$40="","",'Übung 19'!DB$40)</f>
        <v/>
      </c>
      <c r="V643" s="62">
        <f>IF('Übung 20'!DB$40="","",'Übung 20'!DB$40)</f>
        <v/>
      </c>
    </row>
    <row r="644">
      <c r="C644" s="62">
        <f>IF('Übung 01'!DC$40="","",'Übung 01'!DC$40)</f>
        <v/>
      </c>
      <c r="D644" s="62">
        <f>IF('Übung 02'!DC$40="","",'Übung 02'!DC$40)</f>
        <v/>
      </c>
      <c r="E644" s="62">
        <f>IF('Übung 03'!DC$40="","",'Übung 03'!DC$40)</f>
        <v/>
      </c>
      <c r="F644" s="62">
        <f>IF('Übung 04'!DC$40="","",'Übung 04'!DC$40)</f>
        <v/>
      </c>
      <c r="G644" s="62">
        <f>IF('Übung 05'!DC$40="","",'Übung 05'!DC$40)</f>
        <v/>
      </c>
      <c r="H644" s="62">
        <f>IF('Übung 06'!DC$40="","",'Übung 06'!DC$40)</f>
        <v/>
      </c>
      <c r="I644" s="62">
        <f>IF('Übung 07'!DC$40="","",'Übung 07'!DC$40)</f>
        <v/>
      </c>
      <c r="J644" s="62">
        <f>IF('Übung 08'!DC$40="","",'Übung 08'!DC$40)</f>
        <v/>
      </c>
      <c r="K644" s="62">
        <f>IF('Übung 09'!DC$40="","",'Übung 09'!DC$40)</f>
        <v/>
      </c>
      <c r="L644" s="62">
        <f>IF('Übung 10'!DC$40="","",'Übung 10'!DC$40)</f>
        <v/>
      </c>
      <c r="M644" s="62">
        <f>IF('Übung 11'!DC$40="","",'Übung 11'!DC$40)</f>
        <v/>
      </c>
      <c r="N644" s="62">
        <f>IF('Übung 12'!DC$40="","",'Übung 12'!DC$40)</f>
        <v/>
      </c>
      <c r="O644" s="62">
        <f>IF('Übung 13'!DC$40="","",'Übung 13'!DC$40)</f>
        <v/>
      </c>
      <c r="P644" s="62">
        <f>IF('Übung 14'!DC$40="","",'Übung 14'!DC$40)</f>
        <v/>
      </c>
      <c r="Q644" s="62">
        <f>IF('Übung 15'!DC$40="","",'Übung 15'!DC$40)</f>
        <v/>
      </c>
      <c r="R644" s="62">
        <f>IF('Übung 16'!DC$40="","",'Übung 16'!DC$40)</f>
        <v/>
      </c>
      <c r="S644" s="62">
        <f>IF('Übung 17'!DC$40="","",'Übung 17'!DC$40)</f>
        <v/>
      </c>
      <c r="T644" s="62">
        <f>IF('Übung 18'!DC$40="","",'Übung 18'!DC$40)</f>
        <v/>
      </c>
      <c r="U644" s="62">
        <f>IF('Übung 19'!DC$40="","",'Übung 19'!DC$40)</f>
        <v/>
      </c>
      <c r="V644" s="62">
        <f>IF('Übung 20'!DC$40="","",'Übung 20'!DC$40)</f>
        <v/>
      </c>
    </row>
    <row r="649">
      <c r="A649" s="171" t="inlineStr">
        <is>
          <t>Wertung Wdh.</t>
        </is>
      </c>
    </row>
    <row r="650">
      <c r="C650" s="62">
        <f>IF('Übung 01'!E$42="","",'Übung 01'!E$42)</f>
        <v/>
      </c>
      <c r="D650" s="62">
        <f>IF('Übung 02'!E$42="","",'Übung 02'!E$42)</f>
        <v/>
      </c>
      <c r="E650" s="62">
        <f>IF('Übung 03'!E$42="","",'Übung 03'!E$42)</f>
        <v/>
      </c>
      <c r="F650" s="62">
        <f>IF('Übung 04'!E$42="","",'Übung 04'!E$42)</f>
        <v/>
      </c>
      <c r="G650" s="62">
        <f>IF('Übung 05'!E$42="","",'Übung 05'!E$42)</f>
        <v/>
      </c>
      <c r="H650" s="62">
        <f>IF('Übung 06'!E$42="","",'Übung 06'!E$42)</f>
        <v/>
      </c>
      <c r="I650" s="62">
        <f>IF('Übung 07'!E$42="","",'Übung 07'!E$42)</f>
        <v/>
      </c>
      <c r="J650" s="62">
        <f>IF('Übung 08'!E$42="","",'Übung 08'!E$42)</f>
        <v/>
      </c>
      <c r="K650" s="62">
        <f>IF('Übung 09'!E$42="","",'Übung 09'!E$42)</f>
        <v/>
      </c>
      <c r="L650" s="62">
        <f>IF('Übung 10'!E$42="","",'Übung 10'!E$42)</f>
        <v/>
      </c>
      <c r="M650" s="62">
        <f>IF('Übung 11'!E$42="","",'Übung 11'!E$42)</f>
        <v/>
      </c>
      <c r="N650" s="62">
        <f>IF('Übung 12'!E$42="","",'Übung 12'!E$42)</f>
        <v/>
      </c>
      <c r="O650" s="62">
        <f>IF('Übung 13'!E$42="","",'Übung 13'!E$42)</f>
        <v/>
      </c>
      <c r="P650" s="62">
        <f>IF('Übung 14'!E$42="","",'Übung 14'!E$42)</f>
        <v/>
      </c>
      <c r="Q650" s="62">
        <f>IF('Übung 15'!E$42="","",'Übung 15'!E$42)</f>
        <v/>
      </c>
      <c r="R650" s="62">
        <f>IF('Übung 16'!E$42="","",'Übung 16'!E$42)</f>
        <v/>
      </c>
      <c r="S650" s="62">
        <f>IF('Übung 17'!E$42="","",'Übung 17'!E$42)</f>
        <v/>
      </c>
      <c r="T650" s="62">
        <f>IF('Übung 18'!E$42="","",'Übung 18'!E$42)</f>
        <v/>
      </c>
      <c r="U650" s="62">
        <f>IF('Übung 19'!E$42="","",'Übung 19'!E$42)</f>
        <v/>
      </c>
      <c r="V650" s="62">
        <f>IF('Übung 20'!E$42="","",'Übung 20'!E$42)</f>
        <v/>
      </c>
    </row>
    <row r="651">
      <c r="C651" s="62">
        <f>IF('Übung 01'!F$42="","",'Übung 01'!F$42)</f>
        <v/>
      </c>
      <c r="D651" s="62">
        <f>IF('Übung 02'!F$42="","",'Übung 02'!F$42)</f>
        <v/>
      </c>
      <c r="E651" s="62">
        <f>IF('Übung 03'!F$42="","",'Übung 03'!F$42)</f>
        <v/>
      </c>
      <c r="F651" s="62">
        <f>IF('Übung 04'!F$42="","",'Übung 04'!F$42)</f>
        <v/>
      </c>
      <c r="G651" s="62">
        <f>IF('Übung 05'!F$42="","",'Übung 05'!F$42)</f>
        <v/>
      </c>
      <c r="H651" s="62">
        <f>IF('Übung 06'!F$42="","",'Übung 06'!F$42)</f>
        <v/>
      </c>
      <c r="I651" s="62">
        <f>IF('Übung 07'!F$42="","",'Übung 07'!F$42)</f>
        <v/>
      </c>
      <c r="J651" s="62">
        <f>IF('Übung 08'!F$42="","",'Übung 08'!F$42)</f>
        <v/>
      </c>
      <c r="K651" s="62">
        <f>IF('Übung 09'!F$42="","",'Übung 09'!F$42)</f>
        <v/>
      </c>
      <c r="L651" s="62">
        <f>IF('Übung 10'!F$42="","",'Übung 10'!F$42)</f>
        <v/>
      </c>
      <c r="M651" s="62">
        <f>IF('Übung 11'!F$42="","",'Übung 11'!F$42)</f>
        <v/>
      </c>
      <c r="N651" s="62">
        <f>IF('Übung 12'!F$42="","",'Übung 12'!F$42)</f>
        <v/>
      </c>
      <c r="O651" s="62">
        <f>IF('Übung 13'!F$42="","",'Übung 13'!F$42)</f>
        <v/>
      </c>
      <c r="P651" s="62">
        <f>IF('Übung 14'!F$42="","",'Übung 14'!F$42)</f>
        <v/>
      </c>
      <c r="Q651" s="62">
        <f>IF('Übung 15'!F$42="","",'Übung 15'!F$42)</f>
        <v/>
      </c>
      <c r="R651" s="62">
        <f>IF('Übung 16'!F$42="","",'Übung 16'!F$42)</f>
        <v/>
      </c>
      <c r="S651" s="62">
        <f>IF('Übung 17'!F$42="","",'Übung 17'!F$42)</f>
        <v/>
      </c>
      <c r="T651" s="62">
        <f>IF('Übung 18'!F$42="","",'Übung 18'!F$42)</f>
        <v/>
      </c>
      <c r="U651" s="62">
        <f>IF('Übung 19'!F$42="","",'Übung 19'!F$42)</f>
        <v/>
      </c>
      <c r="V651" s="62">
        <f>IF('Übung 20'!F$42="","",'Übung 20'!F$42)</f>
        <v/>
      </c>
    </row>
    <row r="652">
      <c r="C652" s="62">
        <f>IF('Übung 01'!G$42="","",'Übung 01'!G$42)</f>
        <v/>
      </c>
      <c r="D652" s="62">
        <f>IF('Übung 02'!G$42="","",'Übung 02'!G$42)</f>
        <v/>
      </c>
      <c r="E652" s="62">
        <f>IF('Übung 03'!G$42="","",'Übung 03'!G$42)</f>
        <v/>
      </c>
      <c r="F652" s="62">
        <f>IF('Übung 04'!G$42="","",'Übung 04'!G$42)</f>
        <v/>
      </c>
      <c r="G652" s="62">
        <f>IF('Übung 05'!G$42="","",'Übung 05'!G$42)</f>
        <v/>
      </c>
      <c r="H652" s="62">
        <f>IF('Übung 06'!G$42="","",'Übung 06'!G$42)</f>
        <v/>
      </c>
      <c r="I652" s="62">
        <f>IF('Übung 07'!G$42="","",'Übung 07'!G$42)</f>
        <v/>
      </c>
      <c r="J652" s="62">
        <f>IF('Übung 08'!G$42="","",'Übung 08'!G$42)</f>
        <v/>
      </c>
      <c r="K652" s="62">
        <f>IF('Übung 09'!G$42="","",'Übung 09'!G$42)</f>
        <v/>
      </c>
      <c r="L652" s="62">
        <f>IF('Übung 10'!G$42="","",'Übung 10'!G$42)</f>
        <v/>
      </c>
      <c r="M652" s="62">
        <f>IF('Übung 11'!G$42="","",'Übung 11'!G$42)</f>
        <v/>
      </c>
      <c r="N652" s="62">
        <f>IF('Übung 12'!G$42="","",'Übung 12'!G$42)</f>
        <v/>
      </c>
      <c r="O652" s="62">
        <f>IF('Übung 13'!G$42="","",'Übung 13'!G$42)</f>
        <v/>
      </c>
      <c r="P652" s="62">
        <f>IF('Übung 14'!G$42="","",'Übung 14'!G$42)</f>
        <v/>
      </c>
      <c r="Q652" s="62">
        <f>IF('Übung 15'!G$42="","",'Übung 15'!G$42)</f>
        <v/>
      </c>
      <c r="R652" s="62">
        <f>IF('Übung 16'!G$42="","",'Übung 16'!G$42)</f>
        <v/>
      </c>
      <c r="S652" s="62">
        <f>IF('Übung 17'!G$42="","",'Übung 17'!G$42)</f>
        <v/>
      </c>
      <c r="T652" s="62">
        <f>IF('Übung 18'!G$42="","",'Übung 18'!G$42)</f>
        <v/>
      </c>
      <c r="U652" s="62">
        <f>IF('Übung 19'!G$42="","",'Übung 19'!G$42)</f>
        <v/>
      </c>
      <c r="V652" s="62">
        <f>IF('Übung 20'!G$42="","",'Übung 20'!G$42)</f>
        <v/>
      </c>
    </row>
    <row r="653">
      <c r="C653" s="62">
        <f>IF('Übung 01'!H$42="","",'Übung 01'!H$42)</f>
        <v/>
      </c>
      <c r="D653" s="62">
        <f>IF('Übung 02'!H$42="","",'Übung 02'!H$42)</f>
        <v/>
      </c>
      <c r="E653" s="62">
        <f>IF('Übung 03'!H$42="","",'Übung 03'!H$42)</f>
        <v/>
      </c>
      <c r="F653" s="62">
        <f>IF('Übung 04'!H$42="","",'Übung 04'!H$42)</f>
        <v/>
      </c>
      <c r="G653" s="62">
        <f>IF('Übung 05'!H$42="","",'Übung 05'!H$42)</f>
        <v/>
      </c>
      <c r="H653" s="62">
        <f>IF('Übung 06'!H$42="","",'Übung 06'!H$42)</f>
        <v/>
      </c>
      <c r="I653" s="62">
        <f>IF('Übung 07'!H$42="","",'Übung 07'!H$42)</f>
        <v/>
      </c>
      <c r="J653" s="62">
        <f>IF('Übung 08'!H$42="","",'Übung 08'!H$42)</f>
        <v/>
      </c>
      <c r="K653" s="62">
        <f>IF('Übung 09'!H$42="","",'Übung 09'!H$42)</f>
        <v/>
      </c>
      <c r="L653" s="62">
        <f>IF('Übung 10'!H$42="","",'Übung 10'!H$42)</f>
        <v/>
      </c>
      <c r="M653" s="62">
        <f>IF('Übung 11'!H$42="","",'Übung 11'!H$42)</f>
        <v/>
      </c>
      <c r="N653" s="62">
        <f>IF('Übung 12'!H$42="","",'Übung 12'!H$42)</f>
        <v/>
      </c>
      <c r="O653" s="62">
        <f>IF('Übung 13'!H$42="","",'Übung 13'!H$42)</f>
        <v/>
      </c>
      <c r="P653" s="62">
        <f>IF('Übung 14'!H$42="","",'Übung 14'!H$42)</f>
        <v/>
      </c>
      <c r="Q653" s="62">
        <f>IF('Übung 15'!H$42="","",'Übung 15'!H$42)</f>
        <v/>
      </c>
      <c r="R653" s="62">
        <f>IF('Übung 16'!H$42="","",'Übung 16'!H$42)</f>
        <v/>
      </c>
      <c r="S653" s="62">
        <f>IF('Übung 17'!H$42="","",'Übung 17'!H$42)</f>
        <v/>
      </c>
      <c r="T653" s="62">
        <f>IF('Übung 18'!H$42="","",'Übung 18'!H$42)</f>
        <v/>
      </c>
      <c r="U653" s="62">
        <f>IF('Übung 19'!H$42="","",'Übung 19'!H$42)</f>
        <v/>
      </c>
      <c r="V653" s="62">
        <f>IF('Übung 20'!H$42="","",'Übung 20'!H$42)</f>
        <v/>
      </c>
    </row>
    <row r="654">
      <c r="C654" s="62">
        <f>IF('Übung 01'!I$42="","",'Übung 01'!I$42)</f>
        <v/>
      </c>
      <c r="D654" s="62">
        <f>IF('Übung 02'!I$42="","",'Übung 02'!I$42)</f>
        <v/>
      </c>
      <c r="E654" s="62">
        <f>IF('Übung 03'!I$42="","",'Übung 03'!I$42)</f>
        <v/>
      </c>
      <c r="F654" s="62">
        <f>IF('Übung 04'!I$42="","",'Übung 04'!I$42)</f>
        <v/>
      </c>
      <c r="G654" s="62">
        <f>IF('Übung 05'!I$42="","",'Übung 05'!I$42)</f>
        <v/>
      </c>
      <c r="H654" s="62">
        <f>IF('Übung 06'!I$42="","",'Übung 06'!I$42)</f>
        <v/>
      </c>
      <c r="I654" s="62">
        <f>IF('Übung 07'!I$42="","",'Übung 07'!I$42)</f>
        <v/>
      </c>
      <c r="J654" s="62">
        <f>IF('Übung 08'!I$42="","",'Übung 08'!I$42)</f>
        <v/>
      </c>
      <c r="K654" s="62">
        <f>IF('Übung 09'!I$42="","",'Übung 09'!I$42)</f>
        <v/>
      </c>
      <c r="L654" s="62">
        <f>IF('Übung 10'!I$42="","",'Übung 10'!I$42)</f>
        <v/>
      </c>
      <c r="M654" s="62">
        <f>IF('Übung 11'!I$42="","",'Übung 11'!I$42)</f>
        <v/>
      </c>
      <c r="N654" s="62">
        <f>IF('Übung 12'!I$42="","",'Übung 12'!I$42)</f>
        <v/>
      </c>
      <c r="O654" s="62">
        <f>IF('Übung 13'!I$42="","",'Übung 13'!I$42)</f>
        <v/>
      </c>
      <c r="P654" s="62">
        <f>IF('Übung 14'!I$42="","",'Übung 14'!I$42)</f>
        <v/>
      </c>
      <c r="Q654" s="62">
        <f>IF('Übung 15'!I$42="","",'Übung 15'!I$42)</f>
        <v/>
      </c>
      <c r="R654" s="62">
        <f>IF('Übung 16'!I$42="","",'Übung 16'!I$42)</f>
        <v/>
      </c>
      <c r="S654" s="62">
        <f>IF('Übung 17'!I$42="","",'Übung 17'!I$42)</f>
        <v/>
      </c>
      <c r="T654" s="62">
        <f>IF('Übung 18'!I$42="","",'Übung 18'!I$42)</f>
        <v/>
      </c>
      <c r="U654" s="62">
        <f>IF('Übung 19'!I$42="","",'Übung 19'!I$42)</f>
        <v/>
      </c>
      <c r="V654" s="62">
        <f>IF('Übung 20'!I$42="","",'Übung 20'!I$42)</f>
        <v/>
      </c>
    </row>
    <row r="655">
      <c r="C655" s="62">
        <f>IF('Übung 01'!J$42="","",'Übung 01'!J$42)</f>
        <v/>
      </c>
      <c r="D655" s="62">
        <f>IF('Übung 02'!J$42="","",'Übung 02'!J$42)</f>
        <v/>
      </c>
      <c r="E655" s="62">
        <f>IF('Übung 03'!J$42="","",'Übung 03'!J$42)</f>
        <v/>
      </c>
      <c r="F655" s="62">
        <f>IF('Übung 04'!J$42="","",'Übung 04'!J$42)</f>
        <v/>
      </c>
      <c r="G655" s="62">
        <f>IF('Übung 05'!J$42="","",'Übung 05'!J$42)</f>
        <v/>
      </c>
      <c r="H655" s="62">
        <f>IF('Übung 06'!J$42="","",'Übung 06'!J$42)</f>
        <v/>
      </c>
      <c r="I655" s="62">
        <f>IF('Übung 07'!J$42="","",'Übung 07'!J$42)</f>
        <v/>
      </c>
      <c r="J655" s="62">
        <f>IF('Übung 08'!J$42="","",'Übung 08'!J$42)</f>
        <v/>
      </c>
      <c r="K655" s="62">
        <f>IF('Übung 09'!J$42="","",'Übung 09'!J$42)</f>
        <v/>
      </c>
      <c r="L655" s="62">
        <f>IF('Übung 10'!J$42="","",'Übung 10'!J$42)</f>
        <v/>
      </c>
      <c r="M655" s="62">
        <f>IF('Übung 11'!J$42="","",'Übung 11'!J$42)</f>
        <v/>
      </c>
      <c r="N655" s="62">
        <f>IF('Übung 12'!J$42="","",'Übung 12'!J$42)</f>
        <v/>
      </c>
      <c r="O655" s="62">
        <f>IF('Übung 13'!J$42="","",'Übung 13'!J$42)</f>
        <v/>
      </c>
      <c r="P655" s="62">
        <f>IF('Übung 14'!J$42="","",'Übung 14'!J$42)</f>
        <v/>
      </c>
      <c r="Q655" s="62">
        <f>IF('Übung 15'!J$42="","",'Übung 15'!J$42)</f>
        <v/>
      </c>
      <c r="R655" s="62">
        <f>IF('Übung 16'!J$42="","",'Übung 16'!J$42)</f>
        <v/>
      </c>
      <c r="S655" s="62">
        <f>IF('Übung 17'!J$42="","",'Übung 17'!J$42)</f>
        <v/>
      </c>
      <c r="T655" s="62">
        <f>IF('Übung 18'!J$42="","",'Übung 18'!J$42)</f>
        <v/>
      </c>
      <c r="U655" s="62">
        <f>IF('Übung 19'!J$42="","",'Übung 19'!J$42)</f>
        <v/>
      </c>
      <c r="V655" s="62">
        <f>IF('Übung 20'!J$42="","",'Übung 20'!J$42)</f>
        <v/>
      </c>
    </row>
    <row r="656">
      <c r="C656" s="62">
        <f>IF('Übung 01'!K$42="","",'Übung 01'!K$42)</f>
        <v/>
      </c>
      <c r="D656" s="62">
        <f>IF('Übung 02'!K$42="","",'Übung 02'!K$42)</f>
        <v/>
      </c>
      <c r="E656" s="62">
        <f>IF('Übung 03'!K$42="","",'Übung 03'!K$42)</f>
        <v/>
      </c>
      <c r="F656" s="62">
        <f>IF('Übung 04'!K$42="","",'Übung 04'!K$42)</f>
        <v/>
      </c>
      <c r="G656" s="62">
        <f>IF('Übung 05'!K$42="","",'Übung 05'!K$42)</f>
        <v/>
      </c>
      <c r="H656" s="62">
        <f>IF('Übung 06'!K$42="","",'Übung 06'!K$42)</f>
        <v/>
      </c>
      <c r="I656" s="62">
        <f>IF('Übung 07'!K$42="","",'Übung 07'!K$42)</f>
        <v/>
      </c>
      <c r="J656" s="62">
        <f>IF('Übung 08'!K$42="","",'Übung 08'!K$42)</f>
        <v/>
      </c>
      <c r="K656" s="62">
        <f>IF('Übung 09'!K$42="","",'Übung 09'!K$42)</f>
        <v/>
      </c>
      <c r="L656" s="62">
        <f>IF('Übung 10'!K$42="","",'Übung 10'!K$42)</f>
        <v/>
      </c>
      <c r="M656" s="62">
        <f>IF('Übung 11'!K$42="","",'Übung 11'!K$42)</f>
        <v/>
      </c>
      <c r="N656" s="62">
        <f>IF('Übung 12'!K$42="","",'Übung 12'!K$42)</f>
        <v/>
      </c>
      <c r="O656" s="62">
        <f>IF('Übung 13'!K$42="","",'Übung 13'!K$42)</f>
        <v/>
      </c>
      <c r="P656" s="62">
        <f>IF('Übung 14'!K$42="","",'Übung 14'!K$42)</f>
        <v/>
      </c>
      <c r="Q656" s="62">
        <f>IF('Übung 15'!K$42="","",'Übung 15'!K$42)</f>
        <v/>
      </c>
      <c r="R656" s="62">
        <f>IF('Übung 16'!K$42="","",'Übung 16'!K$42)</f>
        <v/>
      </c>
      <c r="S656" s="62">
        <f>IF('Übung 17'!K$42="","",'Übung 17'!K$42)</f>
        <v/>
      </c>
      <c r="T656" s="62">
        <f>IF('Übung 18'!K$42="","",'Übung 18'!K$42)</f>
        <v/>
      </c>
      <c r="U656" s="62">
        <f>IF('Übung 19'!K$42="","",'Übung 19'!K$42)</f>
        <v/>
      </c>
      <c r="V656" s="62">
        <f>IF('Übung 20'!K$42="","",'Übung 20'!K$42)</f>
        <v/>
      </c>
    </row>
    <row r="657">
      <c r="C657" s="62">
        <f>IF('Übung 01'!L$42="","",'Übung 01'!L$42)</f>
        <v/>
      </c>
      <c r="D657" s="62">
        <f>IF('Übung 02'!L$42="","",'Übung 02'!L$42)</f>
        <v/>
      </c>
      <c r="E657" s="62">
        <f>IF('Übung 03'!L$42="","",'Übung 03'!L$42)</f>
        <v/>
      </c>
      <c r="F657" s="62">
        <f>IF('Übung 04'!L$42="","",'Übung 04'!L$42)</f>
        <v/>
      </c>
      <c r="G657" s="62">
        <f>IF('Übung 05'!L$42="","",'Übung 05'!L$42)</f>
        <v/>
      </c>
      <c r="H657" s="62">
        <f>IF('Übung 06'!L$42="","",'Übung 06'!L$42)</f>
        <v/>
      </c>
      <c r="I657" s="62">
        <f>IF('Übung 07'!L$42="","",'Übung 07'!L$42)</f>
        <v/>
      </c>
      <c r="J657" s="62">
        <f>IF('Übung 08'!L$42="","",'Übung 08'!L$42)</f>
        <v/>
      </c>
      <c r="K657" s="62">
        <f>IF('Übung 09'!L$42="","",'Übung 09'!L$42)</f>
        <v/>
      </c>
      <c r="L657" s="62">
        <f>IF('Übung 10'!L$42="","",'Übung 10'!L$42)</f>
        <v/>
      </c>
      <c r="M657" s="62">
        <f>IF('Übung 11'!L$42="","",'Übung 11'!L$42)</f>
        <v/>
      </c>
      <c r="N657" s="62">
        <f>IF('Übung 12'!L$42="","",'Übung 12'!L$42)</f>
        <v/>
      </c>
      <c r="O657" s="62">
        <f>IF('Übung 13'!L$42="","",'Übung 13'!L$42)</f>
        <v/>
      </c>
      <c r="P657" s="62">
        <f>IF('Übung 14'!L$42="","",'Übung 14'!L$42)</f>
        <v/>
      </c>
      <c r="Q657" s="62">
        <f>IF('Übung 15'!L$42="","",'Übung 15'!L$42)</f>
        <v/>
      </c>
      <c r="R657" s="62">
        <f>IF('Übung 16'!L$42="","",'Übung 16'!L$42)</f>
        <v/>
      </c>
      <c r="S657" s="62">
        <f>IF('Übung 17'!L$42="","",'Übung 17'!L$42)</f>
        <v/>
      </c>
      <c r="T657" s="62">
        <f>IF('Übung 18'!L$42="","",'Übung 18'!L$42)</f>
        <v/>
      </c>
      <c r="U657" s="62">
        <f>IF('Übung 19'!L$42="","",'Übung 19'!L$42)</f>
        <v/>
      </c>
      <c r="V657" s="62">
        <f>IF('Übung 20'!L$42="","",'Übung 20'!L$42)</f>
        <v/>
      </c>
    </row>
    <row r="658">
      <c r="C658" s="62">
        <f>IF('Übung 01'!M$42="","",'Übung 01'!M$42)</f>
        <v/>
      </c>
      <c r="D658" s="62">
        <f>IF('Übung 02'!M$42="","",'Übung 02'!M$42)</f>
        <v/>
      </c>
      <c r="E658" s="62">
        <f>IF('Übung 03'!M$42="","",'Übung 03'!M$42)</f>
        <v/>
      </c>
      <c r="F658" s="62">
        <f>IF('Übung 04'!M$42="","",'Übung 04'!M$42)</f>
        <v/>
      </c>
      <c r="G658" s="62">
        <f>IF('Übung 05'!M$42="","",'Übung 05'!M$42)</f>
        <v/>
      </c>
      <c r="H658" s="62">
        <f>IF('Übung 06'!M$42="","",'Übung 06'!M$42)</f>
        <v/>
      </c>
      <c r="I658" s="62">
        <f>IF('Übung 07'!M$42="","",'Übung 07'!M$42)</f>
        <v/>
      </c>
      <c r="J658" s="62">
        <f>IF('Übung 08'!M$42="","",'Übung 08'!M$42)</f>
        <v/>
      </c>
      <c r="K658" s="62">
        <f>IF('Übung 09'!M$42="","",'Übung 09'!M$42)</f>
        <v/>
      </c>
      <c r="L658" s="62">
        <f>IF('Übung 10'!M$42="","",'Übung 10'!M$42)</f>
        <v/>
      </c>
      <c r="M658" s="62">
        <f>IF('Übung 11'!M$42="","",'Übung 11'!M$42)</f>
        <v/>
      </c>
      <c r="N658" s="62">
        <f>IF('Übung 12'!M$42="","",'Übung 12'!M$42)</f>
        <v/>
      </c>
      <c r="O658" s="62">
        <f>IF('Übung 13'!M$42="","",'Übung 13'!M$42)</f>
        <v/>
      </c>
      <c r="P658" s="62">
        <f>IF('Übung 14'!M$42="","",'Übung 14'!M$42)</f>
        <v/>
      </c>
      <c r="Q658" s="62">
        <f>IF('Übung 15'!M$42="","",'Übung 15'!M$42)</f>
        <v/>
      </c>
      <c r="R658" s="62">
        <f>IF('Übung 16'!M$42="","",'Übung 16'!M$42)</f>
        <v/>
      </c>
      <c r="S658" s="62">
        <f>IF('Übung 17'!M$42="","",'Übung 17'!M$42)</f>
        <v/>
      </c>
      <c r="T658" s="62">
        <f>IF('Übung 18'!M$42="","",'Übung 18'!M$42)</f>
        <v/>
      </c>
      <c r="U658" s="62">
        <f>IF('Übung 19'!M$42="","",'Übung 19'!M$42)</f>
        <v/>
      </c>
      <c r="V658" s="62">
        <f>IF('Übung 20'!M$42="","",'Übung 20'!M$42)</f>
        <v/>
      </c>
    </row>
    <row r="659">
      <c r="C659" s="62">
        <f>IF('Übung 01'!N$42="","",'Übung 01'!N$42)</f>
        <v/>
      </c>
      <c r="D659" s="62">
        <f>IF('Übung 02'!N$42="","",'Übung 02'!N$42)</f>
        <v/>
      </c>
      <c r="E659" s="62">
        <f>IF('Übung 03'!N$42="","",'Übung 03'!N$42)</f>
        <v/>
      </c>
      <c r="F659" s="62">
        <f>IF('Übung 04'!N$42="","",'Übung 04'!N$42)</f>
        <v/>
      </c>
      <c r="G659" s="62">
        <f>IF('Übung 05'!N$42="","",'Übung 05'!N$42)</f>
        <v/>
      </c>
      <c r="H659" s="62">
        <f>IF('Übung 06'!N$42="","",'Übung 06'!N$42)</f>
        <v/>
      </c>
      <c r="I659" s="62">
        <f>IF('Übung 07'!N$42="","",'Übung 07'!N$42)</f>
        <v/>
      </c>
      <c r="J659" s="62">
        <f>IF('Übung 08'!N$42="","",'Übung 08'!N$42)</f>
        <v/>
      </c>
      <c r="K659" s="62">
        <f>IF('Übung 09'!N$42="","",'Übung 09'!N$42)</f>
        <v/>
      </c>
      <c r="L659" s="62">
        <f>IF('Übung 10'!N$42="","",'Übung 10'!N$42)</f>
        <v/>
      </c>
      <c r="M659" s="62">
        <f>IF('Übung 11'!N$42="","",'Übung 11'!N$42)</f>
        <v/>
      </c>
      <c r="N659" s="62">
        <f>IF('Übung 12'!N$42="","",'Übung 12'!N$42)</f>
        <v/>
      </c>
      <c r="O659" s="62">
        <f>IF('Übung 13'!N$42="","",'Übung 13'!N$42)</f>
        <v/>
      </c>
      <c r="P659" s="62">
        <f>IF('Übung 14'!N$42="","",'Übung 14'!N$42)</f>
        <v/>
      </c>
      <c r="Q659" s="62">
        <f>IF('Übung 15'!N$42="","",'Übung 15'!N$42)</f>
        <v/>
      </c>
      <c r="R659" s="62">
        <f>IF('Übung 16'!N$42="","",'Übung 16'!N$42)</f>
        <v/>
      </c>
      <c r="S659" s="62">
        <f>IF('Übung 17'!N$42="","",'Übung 17'!N$42)</f>
        <v/>
      </c>
      <c r="T659" s="62">
        <f>IF('Übung 18'!N$42="","",'Übung 18'!N$42)</f>
        <v/>
      </c>
      <c r="U659" s="62">
        <f>IF('Übung 19'!N$42="","",'Übung 19'!N$42)</f>
        <v/>
      </c>
      <c r="V659" s="62">
        <f>IF('Übung 20'!N$42="","",'Übung 20'!N$42)</f>
        <v/>
      </c>
    </row>
    <row r="660">
      <c r="C660" s="62">
        <f>IF('Übung 01'!O$42="","",'Übung 01'!O$42)</f>
        <v/>
      </c>
      <c r="D660" s="62">
        <f>IF('Übung 02'!O$42="","",'Übung 02'!O$42)</f>
        <v/>
      </c>
      <c r="E660" s="62">
        <f>IF('Übung 03'!O$42="","",'Übung 03'!O$42)</f>
        <v/>
      </c>
      <c r="F660" s="62">
        <f>IF('Übung 04'!O$42="","",'Übung 04'!O$42)</f>
        <v/>
      </c>
      <c r="G660" s="62">
        <f>IF('Übung 05'!O$42="","",'Übung 05'!O$42)</f>
        <v/>
      </c>
      <c r="H660" s="62">
        <f>IF('Übung 06'!O$42="","",'Übung 06'!O$42)</f>
        <v/>
      </c>
      <c r="I660" s="62">
        <f>IF('Übung 07'!O$42="","",'Übung 07'!O$42)</f>
        <v/>
      </c>
      <c r="J660" s="62">
        <f>IF('Übung 08'!O$42="","",'Übung 08'!O$42)</f>
        <v/>
      </c>
      <c r="K660" s="62">
        <f>IF('Übung 09'!O$42="","",'Übung 09'!O$42)</f>
        <v/>
      </c>
      <c r="L660" s="62">
        <f>IF('Übung 10'!O$42="","",'Übung 10'!O$42)</f>
        <v/>
      </c>
      <c r="M660" s="62">
        <f>IF('Übung 11'!O$42="","",'Übung 11'!O$42)</f>
        <v/>
      </c>
      <c r="N660" s="62">
        <f>IF('Übung 12'!O$42="","",'Übung 12'!O$42)</f>
        <v/>
      </c>
      <c r="O660" s="62">
        <f>IF('Übung 13'!O$42="","",'Übung 13'!O$42)</f>
        <v/>
      </c>
      <c r="P660" s="62">
        <f>IF('Übung 14'!O$42="","",'Übung 14'!O$42)</f>
        <v/>
      </c>
      <c r="Q660" s="62">
        <f>IF('Übung 15'!O$42="","",'Übung 15'!O$42)</f>
        <v/>
      </c>
      <c r="R660" s="62">
        <f>IF('Übung 16'!O$42="","",'Übung 16'!O$42)</f>
        <v/>
      </c>
      <c r="S660" s="62">
        <f>IF('Übung 17'!O$42="","",'Übung 17'!O$42)</f>
        <v/>
      </c>
      <c r="T660" s="62">
        <f>IF('Übung 18'!O$42="","",'Übung 18'!O$42)</f>
        <v/>
      </c>
      <c r="U660" s="62">
        <f>IF('Übung 19'!O$42="","",'Übung 19'!O$42)</f>
        <v/>
      </c>
      <c r="V660" s="62">
        <f>IF('Übung 20'!O$42="","",'Übung 20'!O$42)</f>
        <v/>
      </c>
    </row>
    <row r="661">
      <c r="C661" s="62">
        <f>IF('Übung 01'!P$42="","",'Übung 01'!P$42)</f>
        <v/>
      </c>
      <c r="D661" s="62">
        <f>IF('Übung 02'!P$42="","",'Übung 02'!P$42)</f>
        <v/>
      </c>
      <c r="E661" s="62">
        <f>IF('Übung 03'!P$42="","",'Übung 03'!P$42)</f>
        <v/>
      </c>
      <c r="F661" s="62">
        <f>IF('Übung 04'!P$42="","",'Übung 04'!P$42)</f>
        <v/>
      </c>
      <c r="G661" s="62">
        <f>IF('Übung 05'!P$42="","",'Übung 05'!P$42)</f>
        <v/>
      </c>
      <c r="H661" s="62">
        <f>IF('Übung 06'!P$42="","",'Übung 06'!P$42)</f>
        <v/>
      </c>
      <c r="I661" s="62">
        <f>IF('Übung 07'!P$42="","",'Übung 07'!P$42)</f>
        <v/>
      </c>
      <c r="J661" s="62">
        <f>IF('Übung 08'!P$42="","",'Übung 08'!P$42)</f>
        <v/>
      </c>
      <c r="K661" s="62">
        <f>IF('Übung 09'!P$42="","",'Übung 09'!P$42)</f>
        <v/>
      </c>
      <c r="L661" s="62">
        <f>IF('Übung 10'!P$42="","",'Übung 10'!P$42)</f>
        <v/>
      </c>
      <c r="M661" s="62">
        <f>IF('Übung 11'!P$42="","",'Übung 11'!P$42)</f>
        <v/>
      </c>
      <c r="N661" s="62">
        <f>IF('Übung 12'!P$42="","",'Übung 12'!P$42)</f>
        <v/>
      </c>
      <c r="O661" s="62">
        <f>IF('Übung 13'!P$42="","",'Übung 13'!P$42)</f>
        <v/>
      </c>
      <c r="P661" s="62">
        <f>IF('Übung 14'!P$42="","",'Übung 14'!P$42)</f>
        <v/>
      </c>
      <c r="Q661" s="62">
        <f>IF('Übung 15'!P$42="","",'Übung 15'!P$42)</f>
        <v/>
      </c>
      <c r="R661" s="62">
        <f>IF('Übung 16'!P$42="","",'Übung 16'!P$42)</f>
        <v/>
      </c>
      <c r="S661" s="62">
        <f>IF('Übung 17'!P$42="","",'Übung 17'!P$42)</f>
        <v/>
      </c>
      <c r="T661" s="62">
        <f>IF('Übung 18'!P$42="","",'Übung 18'!P$42)</f>
        <v/>
      </c>
      <c r="U661" s="62">
        <f>IF('Übung 19'!P$42="","",'Übung 19'!P$42)</f>
        <v/>
      </c>
      <c r="V661" s="62">
        <f>IF('Übung 20'!P$42="","",'Übung 20'!P$42)</f>
        <v/>
      </c>
    </row>
    <row r="662">
      <c r="C662" s="62">
        <f>IF('Übung 01'!Q$42="","",'Übung 01'!Q$42)</f>
        <v/>
      </c>
      <c r="D662" s="62">
        <f>IF('Übung 02'!Q$42="","",'Übung 02'!Q$42)</f>
        <v/>
      </c>
      <c r="E662" s="62">
        <f>IF('Übung 03'!Q$42="","",'Übung 03'!Q$42)</f>
        <v/>
      </c>
      <c r="F662" s="62">
        <f>IF('Übung 04'!Q$42="","",'Übung 04'!Q$42)</f>
        <v/>
      </c>
      <c r="G662" s="62">
        <f>IF('Übung 05'!Q$42="","",'Übung 05'!Q$42)</f>
        <v/>
      </c>
      <c r="H662" s="62">
        <f>IF('Übung 06'!Q$42="","",'Übung 06'!Q$42)</f>
        <v/>
      </c>
      <c r="I662" s="62">
        <f>IF('Übung 07'!Q$42="","",'Übung 07'!Q$42)</f>
        <v/>
      </c>
      <c r="J662" s="62">
        <f>IF('Übung 08'!Q$42="","",'Übung 08'!Q$42)</f>
        <v/>
      </c>
      <c r="K662" s="62">
        <f>IF('Übung 09'!Q$42="","",'Übung 09'!Q$42)</f>
        <v/>
      </c>
      <c r="L662" s="62">
        <f>IF('Übung 10'!Q$42="","",'Übung 10'!Q$42)</f>
        <v/>
      </c>
      <c r="M662" s="62">
        <f>IF('Übung 11'!Q$42="","",'Übung 11'!Q$42)</f>
        <v/>
      </c>
      <c r="N662" s="62">
        <f>IF('Übung 12'!Q$42="","",'Übung 12'!Q$42)</f>
        <v/>
      </c>
      <c r="O662" s="62">
        <f>IF('Übung 13'!Q$42="","",'Übung 13'!Q$42)</f>
        <v/>
      </c>
      <c r="P662" s="62">
        <f>IF('Übung 14'!Q$42="","",'Übung 14'!Q$42)</f>
        <v/>
      </c>
      <c r="Q662" s="62">
        <f>IF('Übung 15'!Q$42="","",'Übung 15'!Q$42)</f>
        <v/>
      </c>
      <c r="R662" s="62">
        <f>IF('Übung 16'!Q$42="","",'Übung 16'!Q$42)</f>
        <v/>
      </c>
      <c r="S662" s="62">
        <f>IF('Übung 17'!Q$42="","",'Übung 17'!Q$42)</f>
        <v/>
      </c>
      <c r="T662" s="62">
        <f>IF('Übung 18'!Q$42="","",'Übung 18'!Q$42)</f>
        <v/>
      </c>
      <c r="U662" s="62">
        <f>IF('Übung 19'!Q$42="","",'Übung 19'!Q$42)</f>
        <v/>
      </c>
      <c r="V662" s="62">
        <f>IF('Übung 20'!Q$42="","",'Übung 20'!Q$42)</f>
        <v/>
      </c>
    </row>
    <row r="663">
      <c r="C663" s="62">
        <f>IF('Übung 01'!R$42="","",'Übung 01'!R$42)</f>
        <v/>
      </c>
      <c r="D663" s="62">
        <f>IF('Übung 02'!R$42="","",'Übung 02'!R$42)</f>
        <v/>
      </c>
      <c r="E663" s="62">
        <f>IF('Übung 03'!R$42="","",'Übung 03'!R$42)</f>
        <v/>
      </c>
      <c r="F663" s="62">
        <f>IF('Übung 04'!R$42="","",'Übung 04'!R$42)</f>
        <v/>
      </c>
      <c r="G663" s="62">
        <f>IF('Übung 05'!R$42="","",'Übung 05'!R$42)</f>
        <v/>
      </c>
      <c r="H663" s="62">
        <f>IF('Übung 06'!R$42="","",'Übung 06'!R$42)</f>
        <v/>
      </c>
      <c r="I663" s="62">
        <f>IF('Übung 07'!R$42="","",'Übung 07'!R$42)</f>
        <v/>
      </c>
      <c r="J663" s="62">
        <f>IF('Übung 08'!R$42="","",'Übung 08'!R$42)</f>
        <v/>
      </c>
      <c r="K663" s="62">
        <f>IF('Übung 09'!R$42="","",'Übung 09'!R$42)</f>
        <v/>
      </c>
      <c r="L663" s="62">
        <f>IF('Übung 10'!R$42="","",'Übung 10'!R$42)</f>
        <v/>
      </c>
      <c r="M663" s="62">
        <f>IF('Übung 11'!R$42="","",'Übung 11'!R$42)</f>
        <v/>
      </c>
      <c r="N663" s="62">
        <f>IF('Übung 12'!R$42="","",'Übung 12'!R$42)</f>
        <v/>
      </c>
      <c r="O663" s="62">
        <f>IF('Übung 13'!R$42="","",'Übung 13'!R$42)</f>
        <v/>
      </c>
      <c r="P663" s="62">
        <f>IF('Übung 14'!R$42="","",'Übung 14'!R$42)</f>
        <v/>
      </c>
      <c r="Q663" s="62">
        <f>IF('Übung 15'!R$42="","",'Übung 15'!R$42)</f>
        <v/>
      </c>
      <c r="R663" s="62">
        <f>IF('Übung 16'!R$42="","",'Übung 16'!R$42)</f>
        <v/>
      </c>
      <c r="S663" s="62">
        <f>IF('Übung 17'!R$42="","",'Übung 17'!R$42)</f>
        <v/>
      </c>
      <c r="T663" s="62">
        <f>IF('Übung 18'!R$42="","",'Übung 18'!R$42)</f>
        <v/>
      </c>
      <c r="U663" s="62">
        <f>IF('Übung 19'!R$42="","",'Übung 19'!R$42)</f>
        <v/>
      </c>
      <c r="V663" s="62">
        <f>IF('Übung 20'!R$42="","",'Übung 20'!R$42)</f>
        <v/>
      </c>
    </row>
    <row r="664">
      <c r="C664" s="62">
        <f>IF('Übung 01'!S$42="","",'Übung 01'!S$42)</f>
        <v/>
      </c>
      <c r="D664" s="62">
        <f>IF('Übung 02'!S$42="","",'Übung 02'!S$42)</f>
        <v/>
      </c>
      <c r="E664" s="62">
        <f>IF('Übung 03'!S$42="","",'Übung 03'!S$42)</f>
        <v/>
      </c>
      <c r="F664" s="62">
        <f>IF('Übung 04'!S$42="","",'Übung 04'!S$42)</f>
        <v/>
      </c>
      <c r="G664" s="62">
        <f>IF('Übung 05'!S$42="","",'Übung 05'!S$42)</f>
        <v/>
      </c>
      <c r="H664" s="62">
        <f>IF('Übung 06'!S$42="","",'Übung 06'!S$42)</f>
        <v/>
      </c>
      <c r="I664" s="62">
        <f>IF('Übung 07'!S$42="","",'Übung 07'!S$42)</f>
        <v/>
      </c>
      <c r="J664" s="62">
        <f>IF('Übung 08'!S$42="","",'Übung 08'!S$42)</f>
        <v/>
      </c>
      <c r="K664" s="62">
        <f>IF('Übung 09'!S$42="","",'Übung 09'!S$42)</f>
        <v/>
      </c>
      <c r="L664" s="62">
        <f>IF('Übung 10'!S$42="","",'Übung 10'!S$42)</f>
        <v/>
      </c>
      <c r="M664" s="62">
        <f>IF('Übung 11'!S$42="","",'Übung 11'!S$42)</f>
        <v/>
      </c>
      <c r="N664" s="62">
        <f>IF('Übung 12'!S$42="","",'Übung 12'!S$42)</f>
        <v/>
      </c>
      <c r="O664" s="62">
        <f>IF('Übung 13'!S$42="","",'Übung 13'!S$42)</f>
        <v/>
      </c>
      <c r="P664" s="62">
        <f>IF('Übung 14'!S$42="","",'Übung 14'!S$42)</f>
        <v/>
      </c>
      <c r="Q664" s="62">
        <f>IF('Übung 15'!S$42="","",'Übung 15'!S$42)</f>
        <v/>
      </c>
      <c r="R664" s="62">
        <f>IF('Übung 16'!S$42="","",'Übung 16'!S$42)</f>
        <v/>
      </c>
      <c r="S664" s="62">
        <f>IF('Übung 17'!S$42="","",'Übung 17'!S$42)</f>
        <v/>
      </c>
      <c r="T664" s="62">
        <f>IF('Übung 18'!S$42="","",'Übung 18'!S$42)</f>
        <v/>
      </c>
      <c r="U664" s="62">
        <f>IF('Übung 19'!S$42="","",'Übung 19'!S$42)</f>
        <v/>
      </c>
      <c r="V664" s="62">
        <f>IF('Übung 20'!S$42="","",'Übung 20'!S$42)</f>
        <v/>
      </c>
    </row>
    <row r="665">
      <c r="C665" s="62">
        <f>IF('Übung 01'!T$42="","",'Übung 01'!T$42)</f>
        <v/>
      </c>
      <c r="D665" s="62">
        <f>IF('Übung 02'!T$42="","",'Übung 02'!T$42)</f>
        <v/>
      </c>
      <c r="E665" s="62">
        <f>IF('Übung 03'!T$42="","",'Übung 03'!T$42)</f>
        <v/>
      </c>
      <c r="F665" s="62">
        <f>IF('Übung 04'!T$42="","",'Übung 04'!T$42)</f>
        <v/>
      </c>
      <c r="G665" s="62">
        <f>IF('Übung 05'!T$42="","",'Übung 05'!T$42)</f>
        <v/>
      </c>
      <c r="H665" s="62">
        <f>IF('Übung 06'!T$42="","",'Übung 06'!T$42)</f>
        <v/>
      </c>
      <c r="I665" s="62">
        <f>IF('Übung 07'!T$42="","",'Übung 07'!T$42)</f>
        <v/>
      </c>
      <c r="J665" s="62">
        <f>IF('Übung 08'!T$42="","",'Übung 08'!T$42)</f>
        <v/>
      </c>
      <c r="K665" s="62">
        <f>IF('Übung 09'!T$42="","",'Übung 09'!T$42)</f>
        <v/>
      </c>
      <c r="L665" s="62">
        <f>IF('Übung 10'!T$42="","",'Übung 10'!T$42)</f>
        <v/>
      </c>
      <c r="M665" s="62">
        <f>IF('Übung 11'!T$42="","",'Übung 11'!T$42)</f>
        <v/>
      </c>
      <c r="N665" s="62">
        <f>IF('Übung 12'!T$42="","",'Übung 12'!T$42)</f>
        <v/>
      </c>
      <c r="O665" s="62">
        <f>IF('Übung 13'!T$42="","",'Übung 13'!T$42)</f>
        <v/>
      </c>
      <c r="P665" s="62">
        <f>IF('Übung 14'!T$42="","",'Übung 14'!T$42)</f>
        <v/>
      </c>
      <c r="Q665" s="62">
        <f>IF('Übung 15'!T$42="","",'Übung 15'!T$42)</f>
        <v/>
      </c>
      <c r="R665" s="62">
        <f>IF('Übung 16'!T$42="","",'Übung 16'!T$42)</f>
        <v/>
      </c>
      <c r="S665" s="62">
        <f>IF('Übung 17'!T$42="","",'Übung 17'!T$42)</f>
        <v/>
      </c>
      <c r="T665" s="62">
        <f>IF('Übung 18'!T$42="","",'Übung 18'!T$42)</f>
        <v/>
      </c>
      <c r="U665" s="62">
        <f>IF('Übung 19'!T$42="","",'Übung 19'!T$42)</f>
        <v/>
      </c>
      <c r="V665" s="62">
        <f>IF('Übung 20'!T$42="","",'Übung 20'!T$42)</f>
        <v/>
      </c>
    </row>
    <row r="666">
      <c r="C666" s="62">
        <f>IF('Übung 01'!U$42="","",'Übung 01'!U$42)</f>
        <v/>
      </c>
      <c r="D666" s="62">
        <f>IF('Übung 02'!U$42="","",'Übung 02'!U$42)</f>
        <v/>
      </c>
      <c r="E666" s="62">
        <f>IF('Übung 03'!U$42="","",'Übung 03'!U$42)</f>
        <v/>
      </c>
      <c r="F666" s="62">
        <f>IF('Übung 04'!U$42="","",'Übung 04'!U$42)</f>
        <v/>
      </c>
      <c r="G666" s="62">
        <f>IF('Übung 05'!U$42="","",'Übung 05'!U$42)</f>
        <v/>
      </c>
      <c r="H666" s="62">
        <f>IF('Übung 06'!U$42="","",'Übung 06'!U$42)</f>
        <v/>
      </c>
      <c r="I666" s="62">
        <f>IF('Übung 07'!U$42="","",'Übung 07'!U$42)</f>
        <v/>
      </c>
      <c r="J666" s="62">
        <f>IF('Übung 08'!U$42="","",'Übung 08'!U$42)</f>
        <v/>
      </c>
      <c r="K666" s="62">
        <f>IF('Übung 09'!U$42="","",'Übung 09'!U$42)</f>
        <v/>
      </c>
      <c r="L666" s="62">
        <f>IF('Übung 10'!U$42="","",'Übung 10'!U$42)</f>
        <v/>
      </c>
      <c r="M666" s="62">
        <f>IF('Übung 11'!U$42="","",'Übung 11'!U$42)</f>
        <v/>
      </c>
      <c r="N666" s="62">
        <f>IF('Übung 12'!U$42="","",'Übung 12'!U$42)</f>
        <v/>
      </c>
      <c r="O666" s="62">
        <f>IF('Übung 13'!U$42="","",'Übung 13'!U$42)</f>
        <v/>
      </c>
      <c r="P666" s="62">
        <f>IF('Übung 14'!U$42="","",'Übung 14'!U$42)</f>
        <v/>
      </c>
      <c r="Q666" s="62">
        <f>IF('Übung 15'!U$42="","",'Übung 15'!U$42)</f>
        <v/>
      </c>
      <c r="R666" s="62">
        <f>IF('Übung 16'!U$42="","",'Übung 16'!U$42)</f>
        <v/>
      </c>
      <c r="S666" s="62">
        <f>IF('Übung 17'!U$42="","",'Übung 17'!U$42)</f>
        <v/>
      </c>
      <c r="T666" s="62">
        <f>IF('Übung 18'!U$42="","",'Übung 18'!U$42)</f>
        <v/>
      </c>
      <c r="U666" s="62">
        <f>IF('Übung 19'!U$42="","",'Übung 19'!U$42)</f>
        <v/>
      </c>
      <c r="V666" s="62">
        <f>IF('Übung 20'!U$42="","",'Übung 20'!U$42)</f>
        <v/>
      </c>
    </row>
    <row r="667">
      <c r="C667" s="62">
        <f>IF('Übung 01'!V$42="","",'Übung 01'!V$42)</f>
        <v/>
      </c>
      <c r="D667" s="62">
        <f>IF('Übung 02'!V$42="","",'Übung 02'!V$42)</f>
        <v/>
      </c>
      <c r="E667" s="62">
        <f>IF('Übung 03'!V$42="","",'Übung 03'!V$42)</f>
        <v/>
      </c>
      <c r="F667" s="62">
        <f>IF('Übung 04'!V$42="","",'Übung 04'!V$42)</f>
        <v/>
      </c>
      <c r="G667" s="62">
        <f>IF('Übung 05'!V$42="","",'Übung 05'!V$42)</f>
        <v/>
      </c>
      <c r="H667" s="62">
        <f>IF('Übung 06'!V$42="","",'Übung 06'!V$42)</f>
        <v/>
      </c>
      <c r="I667" s="62">
        <f>IF('Übung 07'!V$42="","",'Übung 07'!V$42)</f>
        <v/>
      </c>
      <c r="J667" s="62">
        <f>IF('Übung 08'!V$42="","",'Übung 08'!V$42)</f>
        <v/>
      </c>
      <c r="K667" s="62">
        <f>IF('Übung 09'!V$42="","",'Übung 09'!V$42)</f>
        <v/>
      </c>
      <c r="L667" s="62">
        <f>IF('Übung 10'!V$42="","",'Übung 10'!V$42)</f>
        <v/>
      </c>
      <c r="M667" s="62">
        <f>IF('Übung 11'!V$42="","",'Übung 11'!V$42)</f>
        <v/>
      </c>
      <c r="N667" s="62">
        <f>IF('Übung 12'!V$42="","",'Übung 12'!V$42)</f>
        <v/>
      </c>
      <c r="O667" s="62">
        <f>IF('Übung 13'!V$42="","",'Übung 13'!V$42)</f>
        <v/>
      </c>
      <c r="P667" s="62">
        <f>IF('Übung 14'!V$42="","",'Übung 14'!V$42)</f>
        <v/>
      </c>
      <c r="Q667" s="62">
        <f>IF('Übung 15'!V$42="","",'Übung 15'!V$42)</f>
        <v/>
      </c>
      <c r="R667" s="62">
        <f>IF('Übung 16'!V$42="","",'Übung 16'!V$42)</f>
        <v/>
      </c>
      <c r="S667" s="62">
        <f>IF('Übung 17'!V$42="","",'Übung 17'!V$42)</f>
        <v/>
      </c>
      <c r="T667" s="62">
        <f>IF('Übung 18'!V$42="","",'Übung 18'!V$42)</f>
        <v/>
      </c>
      <c r="U667" s="62">
        <f>IF('Übung 19'!V$42="","",'Übung 19'!V$42)</f>
        <v/>
      </c>
      <c r="V667" s="62">
        <f>IF('Übung 20'!V$42="","",'Übung 20'!V$42)</f>
        <v/>
      </c>
    </row>
    <row r="668">
      <c r="C668" s="62">
        <f>IF('Übung 01'!W$42="","",'Übung 01'!W$42)</f>
        <v/>
      </c>
      <c r="D668" s="62">
        <f>IF('Übung 02'!W$42="","",'Übung 02'!W$42)</f>
        <v/>
      </c>
      <c r="E668" s="62">
        <f>IF('Übung 03'!W$42="","",'Übung 03'!W$42)</f>
        <v/>
      </c>
      <c r="F668" s="62">
        <f>IF('Übung 04'!W$42="","",'Übung 04'!W$42)</f>
        <v/>
      </c>
      <c r="G668" s="62">
        <f>IF('Übung 05'!W$42="","",'Übung 05'!W$42)</f>
        <v/>
      </c>
      <c r="H668" s="62">
        <f>IF('Übung 06'!W$42="","",'Übung 06'!W$42)</f>
        <v/>
      </c>
      <c r="I668" s="62">
        <f>IF('Übung 07'!W$42="","",'Übung 07'!W$42)</f>
        <v/>
      </c>
      <c r="J668" s="62">
        <f>IF('Übung 08'!W$42="","",'Übung 08'!W$42)</f>
        <v/>
      </c>
      <c r="K668" s="62">
        <f>IF('Übung 09'!W$42="","",'Übung 09'!W$42)</f>
        <v/>
      </c>
      <c r="L668" s="62">
        <f>IF('Übung 10'!W$42="","",'Übung 10'!W$42)</f>
        <v/>
      </c>
      <c r="M668" s="62">
        <f>IF('Übung 11'!W$42="","",'Übung 11'!W$42)</f>
        <v/>
      </c>
      <c r="N668" s="62">
        <f>IF('Übung 12'!W$42="","",'Übung 12'!W$42)</f>
        <v/>
      </c>
      <c r="O668" s="62">
        <f>IF('Übung 13'!W$42="","",'Übung 13'!W$42)</f>
        <v/>
      </c>
      <c r="P668" s="62">
        <f>IF('Übung 14'!W$42="","",'Übung 14'!W$42)</f>
        <v/>
      </c>
      <c r="Q668" s="62">
        <f>IF('Übung 15'!W$42="","",'Übung 15'!W$42)</f>
        <v/>
      </c>
      <c r="R668" s="62">
        <f>IF('Übung 16'!W$42="","",'Übung 16'!W$42)</f>
        <v/>
      </c>
      <c r="S668" s="62">
        <f>IF('Übung 17'!W$42="","",'Übung 17'!W$42)</f>
        <v/>
      </c>
      <c r="T668" s="62">
        <f>IF('Übung 18'!W$42="","",'Übung 18'!W$42)</f>
        <v/>
      </c>
      <c r="U668" s="62">
        <f>IF('Übung 19'!W$42="","",'Übung 19'!W$42)</f>
        <v/>
      </c>
      <c r="V668" s="62">
        <f>IF('Übung 20'!W$42="","",'Übung 20'!W$42)</f>
        <v/>
      </c>
    </row>
    <row r="669">
      <c r="C669" s="62">
        <f>IF('Übung 01'!X$42="","",'Übung 01'!X$42)</f>
        <v/>
      </c>
      <c r="D669" s="62">
        <f>IF('Übung 02'!X$42="","",'Übung 02'!X$42)</f>
        <v/>
      </c>
      <c r="E669" s="62">
        <f>IF('Übung 03'!X$42="","",'Übung 03'!X$42)</f>
        <v/>
      </c>
      <c r="F669" s="62">
        <f>IF('Übung 04'!X$42="","",'Übung 04'!X$42)</f>
        <v/>
      </c>
      <c r="G669" s="62">
        <f>IF('Übung 05'!X$42="","",'Übung 05'!X$42)</f>
        <v/>
      </c>
      <c r="H669" s="62">
        <f>IF('Übung 06'!X$42="","",'Übung 06'!X$42)</f>
        <v/>
      </c>
      <c r="I669" s="62">
        <f>IF('Übung 07'!X$42="","",'Übung 07'!X$42)</f>
        <v/>
      </c>
      <c r="J669" s="62">
        <f>IF('Übung 08'!X$42="","",'Übung 08'!X$42)</f>
        <v/>
      </c>
      <c r="K669" s="62">
        <f>IF('Übung 09'!X$42="","",'Übung 09'!X$42)</f>
        <v/>
      </c>
      <c r="L669" s="62">
        <f>IF('Übung 10'!X$42="","",'Übung 10'!X$42)</f>
        <v/>
      </c>
      <c r="M669" s="62">
        <f>IF('Übung 11'!X$42="","",'Übung 11'!X$42)</f>
        <v/>
      </c>
      <c r="N669" s="62">
        <f>IF('Übung 12'!X$42="","",'Übung 12'!X$42)</f>
        <v/>
      </c>
      <c r="O669" s="62">
        <f>IF('Übung 13'!X$42="","",'Übung 13'!X$42)</f>
        <v/>
      </c>
      <c r="P669" s="62">
        <f>IF('Übung 14'!X$42="","",'Übung 14'!X$42)</f>
        <v/>
      </c>
      <c r="Q669" s="62">
        <f>IF('Übung 15'!X$42="","",'Übung 15'!X$42)</f>
        <v/>
      </c>
      <c r="R669" s="62">
        <f>IF('Übung 16'!X$42="","",'Übung 16'!X$42)</f>
        <v/>
      </c>
      <c r="S669" s="62">
        <f>IF('Übung 17'!X$42="","",'Übung 17'!X$42)</f>
        <v/>
      </c>
      <c r="T669" s="62">
        <f>IF('Übung 18'!X$42="","",'Übung 18'!X$42)</f>
        <v/>
      </c>
      <c r="U669" s="62">
        <f>IF('Übung 19'!X$42="","",'Übung 19'!X$42)</f>
        <v/>
      </c>
      <c r="V669" s="62">
        <f>IF('Übung 20'!X$42="","",'Übung 20'!X$42)</f>
        <v/>
      </c>
    </row>
    <row r="670">
      <c r="C670" s="62">
        <f>IF('Übung 01'!Y$42="","",'Übung 01'!Y$42)</f>
        <v/>
      </c>
      <c r="D670" s="62">
        <f>IF('Übung 02'!Y$42="","",'Übung 02'!Y$42)</f>
        <v/>
      </c>
      <c r="E670" s="62">
        <f>IF('Übung 03'!Y$42="","",'Übung 03'!Y$42)</f>
        <v/>
      </c>
      <c r="F670" s="62">
        <f>IF('Übung 04'!Y$42="","",'Übung 04'!Y$42)</f>
        <v/>
      </c>
      <c r="G670" s="62">
        <f>IF('Übung 05'!Y$42="","",'Übung 05'!Y$42)</f>
        <v/>
      </c>
      <c r="H670" s="62">
        <f>IF('Übung 06'!Y$42="","",'Übung 06'!Y$42)</f>
        <v/>
      </c>
      <c r="I670" s="62">
        <f>IF('Übung 07'!Y$42="","",'Übung 07'!Y$42)</f>
        <v/>
      </c>
      <c r="J670" s="62">
        <f>IF('Übung 08'!Y$42="","",'Übung 08'!Y$42)</f>
        <v/>
      </c>
      <c r="K670" s="62">
        <f>IF('Übung 09'!Y$42="","",'Übung 09'!Y$42)</f>
        <v/>
      </c>
      <c r="L670" s="62">
        <f>IF('Übung 10'!Y$42="","",'Übung 10'!Y$42)</f>
        <v/>
      </c>
      <c r="M670" s="62">
        <f>IF('Übung 11'!Y$42="","",'Übung 11'!Y$42)</f>
        <v/>
      </c>
      <c r="N670" s="62">
        <f>IF('Übung 12'!Y$42="","",'Übung 12'!Y$42)</f>
        <v/>
      </c>
      <c r="O670" s="62">
        <f>IF('Übung 13'!Y$42="","",'Übung 13'!Y$42)</f>
        <v/>
      </c>
      <c r="P670" s="62">
        <f>IF('Übung 14'!Y$42="","",'Übung 14'!Y$42)</f>
        <v/>
      </c>
      <c r="Q670" s="62">
        <f>IF('Übung 15'!Y$42="","",'Übung 15'!Y$42)</f>
        <v/>
      </c>
      <c r="R670" s="62">
        <f>IF('Übung 16'!Y$42="","",'Übung 16'!Y$42)</f>
        <v/>
      </c>
      <c r="S670" s="62">
        <f>IF('Übung 17'!Y$42="","",'Übung 17'!Y$42)</f>
        <v/>
      </c>
      <c r="T670" s="62">
        <f>IF('Übung 18'!Y$42="","",'Übung 18'!Y$42)</f>
        <v/>
      </c>
      <c r="U670" s="62">
        <f>IF('Übung 19'!Y$42="","",'Übung 19'!Y$42)</f>
        <v/>
      </c>
      <c r="V670" s="62">
        <f>IF('Übung 20'!Y$42="","",'Übung 20'!Y$42)</f>
        <v/>
      </c>
    </row>
    <row r="671">
      <c r="C671" s="62">
        <f>IF('Übung 01'!Z$42="","",'Übung 01'!Z$42)</f>
        <v/>
      </c>
      <c r="D671" s="62">
        <f>IF('Übung 02'!Z$42="","",'Übung 02'!Z$42)</f>
        <v/>
      </c>
      <c r="E671" s="62">
        <f>IF('Übung 03'!Z$42="","",'Übung 03'!Z$42)</f>
        <v/>
      </c>
      <c r="F671" s="62">
        <f>IF('Übung 04'!Z$42="","",'Übung 04'!Z$42)</f>
        <v/>
      </c>
      <c r="G671" s="62">
        <f>IF('Übung 05'!Z$42="","",'Übung 05'!Z$42)</f>
        <v/>
      </c>
      <c r="H671" s="62">
        <f>IF('Übung 06'!Z$42="","",'Übung 06'!Z$42)</f>
        <v/>
      </c>
      <c r="I671" s="62">
        <f>IF('Übung 07'!Z$42="","",'Übung 07'!Z$42)</f>
        <v/>
      </c>
      <c r="J671" s="62">
        <f>IF('Übung 08'!Z$42="","",'Übung 08'!Z$42)</f>
        <v/>
      </c>
      <c r="K671" s="62">
        <f>IF('Übung 09'!Z$42="","",'Übung 09'!Z$42)</f>
        <v/>
      </c>
      <c r="L671" s="62">
        <f>IF('Übung 10'!Z$42="","",'Übung 10'!Z$42)</f>
        <v/>
      </c>
      <c r="M671" s="62">
        <f>IF('Übung 11'!Z$42="","",'Übung 11'!Z$42)</f>
        <v/>
      </c>
      <c r="N671" s="62">
        <f>IF('Übung 12'!Z$42="","",'Übung 12'!Z$42)</f>
        <v/>
      </c>
      <c r="O671" s="62">
        <f>IF('Übung 13'!Z$42="","",'Übung 13'!Z$42)</f>
        <v/>
      </c>
      <c r="P671" s="62">
        <f>IF('Übung 14'!Z$42="","",'Übung 14'!Z$42)</f>
        <v/>
      </c>
      <c r="Q671" s="62">
        <f>IF('Übung 15'!Z$42="","",'Übung 15'!Z$42)</f>
        <v/>
      </c>
      <c r="R671" s="62">
        <f>IF('Übung 16'!Z$42="","",'Übung 16'!Z$42)</f>
        <v/>
      </c>
      <c r="S671" s="62">
        <f>IF('Übung 17'!Z$42="","",'Übung 17'!Z$42)</f>
        <v/>
      </c>
      <c r="T671" s="62">
        <f>IF('Übung 18'!Z$42="","",'Übung 18'!Z$42)</f>
        <v/>
      </c>
      <c r="U671" s="62">
        <f>IF('Übung 19'!Z$42="","",'Übung 19'!Z$42)</f>
        <v/>
      </c>
      <c r="V671" s="62">
        <f>IF('Übung 20'!Z$42="","",'Übung 20'!Z$42)</f>
        <v/>
      </c>
    </row>
    <row r="672">
      <c r="C672" s="62">
        <f>IF('Übung 01'!AA$42="","",'Übung 01'!AA$42)</f>
        <v/>
      </c>
      <c r="D672" s="62">
        <f>IF('Übung 02'!AA$42="","",'Übung 02'!AA$42)</f>
        <v/>
      </c>
      <c r="E672" s="62">
        <f>IF('Übung 03'!AA$42="","",'Übung 03'!AA$42)</f>
        <v/>
      </c>
      <c r="F672" s="62">
        <f>IF('Übung 04'!AA$42="","",'Übung 04'!AA$42)</f>
        <v/>
      </c>
      <c r="G672" s="62">
        <f>IF('Übung 05'!AA$42="","",'Übung 05'!AA$42)</f>
        <v/>
      </c>
      <c r="H672" s="62">
        <f>IF('Übung 06'!AA$42="","",'Übung 06'!AA$42)</f>
        <v/>
      </c>
      <c r="I672" s="62">
        <f>IF('Übung 07'!AA$42="","",'Übung 07'!AA$42)</f>
        <v/>
      </c>
      <c r="J672" s="62">
        <f>IF('Übung 08'!AA$42="","",'Übung 08'!AA$42)</f>
        <v/>
      </c>
      <c r="K672" s="62">
        <f>IF('Übung 09'!AA$42="","",'Übung 09'!AA$42)</f>
        <v/>
      </c>
      <c r="L672" s="62">
        <f>IF('Übung 10'!AA$42="","",'Übung 10'!AA$42)</f>
        <v/>
      </c>
      <c r="M672" s="62">
        <f>IF('Übung 11'!AA$42="","",'Übung 11'!AA$42)</f>
        <v/>
      </c>
      <c r="N672" s="62">
        <f>IF('Übung 12'!AA$42="","",'Übung 12'!AA$42)</f>
        <v/>
      </c>
      <c r="O672" s="62">
        <f>IF('Übung 13'!AA$42="","",'Übung 13'!AA$42)</f>
        <v/>
      </c>
      <c r="P672" s="62">
        <f>IF('Übung 14'!AA$42="","",'Übung 14'!AA$42)</f>
        <v/>
      </c>
      <c r="Q672" s="62">
        <f>IF('Übung 15'!AA$42="","",'Übung 15'!AA$42)</f>
        <v/>
      </c>
      <c r="R672" s="62">
        <f>IF('Übung 16'!AA$42="","",'Übung 16'!AA$42)</f>
        <v/>
      </c>
      <c r="S672" s="62">
        <f>IF('Übung 17'!AA$42="","",'Übung 17'!AA$42)</f>
        <v/>
      </c>
      <c r="T672" s="62">
        <f>IF('Übung 18'!AA$42="","",'Übung 18'!AA$42)</f>
        <v/>
      </c>
      <c r="U672" s="62">
        <f>IF('Übung 19'!AA$42="","",'Übung 19'!AA$42)</f>
        <v/>
      </c>
      <c r="V672" s="62">
        <f>IF('Übung 20'!AA$42="","",'Übung 20'!AA$42)</f>
        <v/>
      </c>
    </row>
    <row r="673">
      <c r="C673" s="62">
        <f>IF('Übung 01'!AB$42="","",'Übung 01'!AB$42)</f>
        <v/>
      </c>
      <c r="D673" s="62">
        <f>IF('Übung 02'!AB$42="","",'Übung 02'!AB$42)</f>
        <v/>
      </c>
      <c r="E673" s="62">
        <f>IF('Übung 03'!AB$42="","",'Übung 03'!AB$42)</f>
        <v/>
      </c>
      <c r="F673" s="62">
        <f>IF('Übung 04'!AB$42="","",'Übung 04'!AB$42)</f>
        <v/>
      </c>
      <c r="G673" s="62">
        <f>IF('Übung 05'!AB$42="","",'Übung 05'!AB$42)</f>
        <v/>
      </c>
      <c r="H673" s="62">
        <f>IF('Übung 06'!AB$42="","",'Übung 06'!AB$42)</f>
        <v/>
      </c>
      <c r="I673" s="62">
        <f>IF('Übung 07'!AB$42="","",'Übung 07'!AB$42)</f>
        <v/>
      </c>
      <c r="J673" s="62">
        <f>IF('Übung 08'!AB$42="","",'Übung 08'!AB$42)</f>
        <v/>
      </c>
      <c r="K673" s="62">
        <f>IF('Übung 09'!AB$42="","",'Übung 09'!AB$42)</f>
        <v/>
      </c>
      <c r="L673" s="62">
        <f>IF('Übung 10'!AB$42="","",'Übung 10'!AB$42)</f>
        <v/>
      </c>
      <c r="M673" s="62">
        <f>IF('Übung 11'!AB$42="","",'Übung 11'!AB$42)</f>
        <v/>
      </c>
      <c r="N673" s="62">
        <f>IF('Übung 12'!AB$42="","",'Übung 12'!AB$42)</f>
        <v/>
      </c>
      <c r="O673" s="62">
        <f>IF('Übung 13'!AB$42="","",'Übung 13'!AB$42)</f>
        <v/>
      </c>
      <c r="P673" s="62">
        <f>IF('Übung 14'!AB$42="","",'Übung 14'!AB$42)</f>
        <v/>
      </c>
      <c r="Q673" s="62">
        <f>IF('Übung 15'!AB$42="","",'Übung 15'!AB$42)</f>
        <v/>
      </c>
      <c r="R673" s="62">
        <f>IF('Übung 16'!AB$42="","",'Übung 16'!AB$42)</f>
        <v/>
      </c>
      <c r="S673" s="62">
        <f>IF('Übung 17'!AB$42="","",'Übung 17'!AB$42)</f>
        <v/>
      </c>
      <c r="T673" s="62">
        <f>IF('Übung 18'!AB$42="","",'Übung 18'!AB$42)</f>
        <v/>
      </c>
      <c r="U673" s="62">
        <f>IF('Übung 19'!AB$42="","",'Übung 19'!AB$42)</f>
        <v/>
      </c>
      <c r="V673" s="62">
        <f>IF('Übung 20'!AB$42="","",'Übung 20'!AB$42)</f>
        <v/>
      </c>
    </row>
    <row r="674">
      <c r="C674" s="62">
        <f>IF('Übung 01'!AC$42="","",'Übung 01'!AC$42)</f>
        <v/>
      </c>
      <c r="D674" s="62">
        <f>IF('Übung 02'!AC$42="","",'Übung 02'!AC$42)</f>
        <v/>
      </c>
      <c r="E674" s="62">
        <f>IF('Übung 03'!AC$42="","",'Übung 03'!AC$42)</f>
        <v/>
      </c>
      <c r="F674" s="62">
        <f>IF('Übung 04'!AC$42="","",'Übung 04'!AC$42)</f>
        <v/>
      </c>
      <c r="G674" s="62">
        <f>IF('Übung 05'!AC$42="","",'Übung 05'!AC$42)</f>
        <v/>
      </c>
      <c r="H674" s="62">
        <f>IF('Übung 06'!AC$42="","",'Übung 06'!AC$42)</f>
        <v/>
      </c>
      <c r="I674" s="62">
        <f>IF('Übung 07'!AC$42="","",'Übung 07'!AC$42)</f>
        <v/>
      </c>
      <c r="J674" s="62">
        <f>IF('Übung 08'!AC$42="","",'Übung 08'!AC$42)</f>
        <v/>
      </c>
      <c r="K674" s="62">
        <f>IF('Übung 09'!AC$42="","",'Übung 09'!AC$42)</f>
        <v/>
      </c>
      <c r="L674" s="62">
        <f>IF('Übung 10'!AC$42="","",'Übung 10'!AC$42)</f>
        <v/>
      </c>
      <c r="M674" s="62">
        <f>IF('Übung 11'!AC$42="","",'Übung 11'!AC$42)</f>
        <v/>
      </c>
      <c r="N674" s="62">
        <f>IF('Übung 12'!AC$42="","",'Übung 12'!AC$42)</f>
        <v/>
      </c>
      <c r="O674" s="62">
        <f>IF('Übung 13'!AC$42="","",'Übung 13'!AC$42)</f>
        <v/>
      </c>
      <c r="P674" s="62">
        <f>IF('Übung 14'!AC$42="","",'Übung 14'!AC$42)</f>
        <v/>
      </c>
      <c r="Q674" s="62">
        <f>IF('Übung 15'!AC$42="","",'Übung 15'!AC$42)</f>
        <v/>
      </c>
      <c r="R674" s="62">
        <f>IF('Übung 16'!AC$42="","",'Übung 16'!AC$42)</f>
        <v/>
      </c>
      <c r="S674" s="62">
        <f>IF('Übung 17'!AC$42="","",'Übung 17'!AC$42)</f>
        <v/>
      </c>
      <c r="T674" s="62">
        <f>IF('Übung 18'!AC$42="","",'Übung 18'!AC$42)</f>
        <v/>
      </c>
      <c r="U674" s="62">
        <f>IF('Übung 19'!AC$42="","",'Übung 19'!AC$42)</f>
        <v/>
      </c>
      <c r="V674" s="62">
        <f>IF('Übung 20'!AC$42="","",'Übung 20'!AC$42)</f>
        <v/>
      </c>
    </row>
    <row r="675">
      <c r="C675" s="62">
        <f>IF('Übung 01'!AE$42="","",'Übung 01'!AE$42)</f>
        <v/>
      </c>
      <c r="D675" s="62">
        <f>IF('Übung 02'!AE$42="","",'Übung 02'!AE$42)</f>
        <v/>
      </c>
      <c r="E675" s="62">
        <f>IF('Übung 03'!AE$42="","",'Übung 03'!AE$42)</f>
        <v/>
      </c>
      <c r="F675" s="62">
        <f>IF('Übung 04'!AE$42="","",'Übung 04'!AE$42)</f>
        <v/>
      </c>
      <c r="G675" s="62">
        <f>IF('Übung 05'!AE$42="","",'Übung 05'!AE$42)</f>
        <v/>
      </c>
      <c r="H675" s="62">
        <f>IF('Übung 06'!AE$42="","",'Übung 06'!AE$42)</f>
        <v/>
      </c>
      <c r="I675" s="62">
        <f>IF('Übung 07'!AE$42="","",'Übung 07'!AE$42)</f>
        <v/>
      </c>
      <c r="J675" s="62">
        <f>IF('Übung 08'!AE$42="","",'Übung 08'!AE$42)</f>
        <v/>
      </c>
      <c r="K675" s="62">
        <f>IF('Übung 09'!AE$42="","",'Übung 09'!AE$42)</f>
        <v/>
      </c>
      <c r="L675" s="62">
        <f>IF('Übung 10'!AE$42="","",'Übung 10'!AE$42)</f>
        <v/>
      </c>
      <c r="M675" s="62">
        <f>IF('Übung 11'!AE$42="","",'Übung 11'!AE$42)</f>
        <v/>
      </c>
      <c r="N675" s="62">
        <f>IF('Übung 12'!AE$42="","",'Übung 12'!AE$42)</f>
        <v/>
      </c>
      <c r="O675" s="62">
        <f>IF('Übung 13'!AE$42="","",'Übung 13'!AE$42)</f>
        <v/>
      </c>
      <c r="P675" s="62">
        <f>IF('Übung 14'!AE$42="","",'Übung 14'!AE$42)</f>
        <v/>
      </c>
      <c r="Q675" s="62">
        <f>IF('Übung 15'!AE$42="","",'Übung 15'!AE$42)</f>
        <v/>
      </c>
      <c r="R675" s="62">
        <f>IF('Übung 16'!AE$42="","",'Übung 16'!AE$42)</f>
        <v/>
      </c>
      <c r="S675" s="62">
        <f>IF('Übung 17'!AE$42="","",'Übung 17'!AE$42)</f>
        <v/>
      </c>
      <c r="T675" s="62">
        <f>IF('Übung 18'!AE$42="","",'Übung 18'!AE$42)</f>
        <v/>
      </c>
      <c r="U675" s="62">
        <f>IF('Übung 19'!AE$42="","",'Übung 19'!AE$42)</f>
        <v/>
      </c>
      <c r="V675" s="62">
        <f>IF('Übung 20'!AE$42="","",'Übung 20'!AE$42)</f>
        <v/>
      </c>
    </row>
    <row r="676">
      <c r="C676" s="62">
        <f>IF('Übung 01'!AF$42="","",'Übung 01'!AF$42)</f>
        <v/>
      </c>
      <c r="D676" s="62">
        <f>IF('Übung 02'!AF$42="","",'Übung 02'!AF$42)</f>
        <v/>
      </c>
      <c r="E676" s="62">
        <f>IF('Übung 03'!AF$42="","",'Übung 03'!AF$42)</f>
        <v/>
      </c>
      <c r="F676" s="62">
        <f>IF('Übung 04'!AF$42="","",'Übung 04'!AF$42)</f>
        <v/>
      </c>
      <c r="G676" s="62">
        <f>IF('Übung 05'!AF$42="","",'Übung 05'!AF$42)</f>
        <v/>
      </c>
      <c r="H676" s="62">
        <f>IF('Übung 06'!AF$42="","",'Übung 06'!AF$42)</f>
        <v/>
      </c>
      <c r="I676" s="62">
        <f>IF('Übung 07'!AF$42="","",'Übung 07'!AF$42)</f>
        <v/>
      </c>
      <c r="J676" s="62">
        <f>IF('Übung 08'!AF$42="","",'Übung 08'!AF$42)</f>
        <v/>
      </c>
      <c r="K676" s="62">
        <f>IF('Übung 09'!AF$42="","",'Übung 09'!AF$42)</f>
        <v/>
      </c>
      <c r="L676" s="62">
        <f>IF('Übung 10'!AF$42="","",'Übung 10'!AF$42)</f>
        <v/>
      </c>
      <c r="M676" s="62">
        <f>IF('Übung 11'!AF$42="","",'Übung 11'!AF$42)</f>
        <v/>
      </c>
      <c r="N676" s="62">
        <f>IF('Übung 12'!AF$42="","",'Übung 12'!AF$42)</f>
        <v/>
      </c>
      <c r="O676" s="62">
        <f>IF('Übung 13'!AF$42="","",'Übung 13'!AF$42)</f>
        <v/>
      </c>
      <c r="P676" s="62">
        <f>IF('Übung 14'!AF$42="","",'Übung 14'!AF$42)</f>
        <v/>
      </c>
      <c r="Q676" s="62">
        <f>IF('Übung 15'!AF$42="","",'Übung 15'!AF$42)</f>
        <v/>
      </c>
      <c r="R676" s="62">
        <f>IF('Übung 16'!AF$42="","",'Übung 16'!AF$42)</f>
        <v/>
      </c>
      <c r="S676" s="62">
        <f>IF('Übung 17'!AF$42="","",'Übung 17'!AF$42)</f>
        <v/>
      </c>
      <c r="T676" s="62">
        <f>IF('Übung 18'!AF$42="","",'Übung 18'!AF$42)</f>
        <v/>
      </c>
      <c r="U676" s="62">
        <f>IF('Übung 19'!AF$42="","",'Übung 19'!AF$42)</f>
        <v/>
      </c>
      <c r="V676" s="62">
        <f>IF('Übung 20'!AF$42="","",'Übung 20'!AF$42)</f>
        <v/>
      </c>
    </row>
    <row r="677">
      <c r="C677" s="62">
        <f>IF('Übung 01'!AG$42="","",'Übung 01'!AG$42)</f>
        <v/>
      </c>
      <c r="D677" s="62">
        <f>IF('Übung 02'!AG$42="","",'Übung 02'!AG$42)</f>
        <v/>
      </c>
      <c r="E677" s="62">
        <f>IF('Übung 03'!AG$42="","",'Übung 03'!AG$42)</f>
        <v/>
      </c>
      <c r="F677" s="62">
        <f>IF('Übung 04'!AG$42="","",'Übung 04'!AG$42)</f>
        <v/>
      </c>
      <c r="G677" s="62">
        <f>IF('Übung 05'!AG$42="","",'Übung 05'!AG$42)</f>
        <v/>
      </c>
      <c r="H677" s="62">
        <f>IF('Übung 06'!AG$42="","",'Übung 06'!AG$42)</f>
        <v/>
      </c>
      <c r="I677" s="62">
        <f>IF('Übung 07'!AG$42="","",'Übung 07'!AG$42)</f>
        <v/>
      </c>
      <c r="J677" s="62">
        <f>IF('Übung 08'!AG$42="","",'Übung 08'!AG$42)</f>
        <v/>
      </c>
      <c r="K677" s="62">
        <f>IF('Übung 09'!AG$42="","",'Übung 09'!AG$42)</f>
        <v/>
      </c>
      <c r="L677" s="62">
        <f>IF('Übung 10'!AG$42="","",'Übung 10'!AG$42)</f>
        <v/>
      </c>
      <c r="M677" s="62">
        <f>IF('Übung 11'!AG$42="","",'Übung 11'!AG$42)</f>
        <v/>
      </c>
      <c r="N677" s="62">
        <f>IF('Übung 12'!AG$42="","",'Übung 12'!AG$42)</f>
        <v/>
      </c>
      <c r="O677" s="62">
        <f>IF('Übung 13'!AG$42="","",'Übung 13'!AG$42)</f>
        <v/>
      </c>
      <c r="P677" s="62">
        <f>IF('Übung 14'!AG$42="","",'Übung 14'!AG$42)</f>
        <v/>
      </c>
      <c r="Q677" s="62">
        <f>IF('Übung 15'!AG$42="","",'Übung 15'!AG$42)</f>
        <v/>
      </c>
      <c r="R677" s="62">
        <f>IF('Übung 16'!AG$42="","",'Übung 16'!AG$42)</f>
        <v/>
      </c>
      <c r="S677" s="62">
        <f>IF('Übung 17'!AG$42="","",'Übung 17'!AG$42)</f>
        <v/>
      </c>
      <c r="T677" s="62">
        <f>IF('Übung 18'!AG$42="","",'Übung 18'!AG$42)</f>
        <v/>
      </c>
      <c r="U677" s="62">
        <f>IF('Übung 19'!AG$42="","",'Übung 19'!AG$42)</f>
        <v/>
      </c>
      <c r="V677" s="62">
        <f>IF('Übung 20'!AG$42="","",'Übung 20'!AG$42)</f>
        <v/>
      </c>
    </row>
    <row r="678">
      <c r="C678" s="62">
        <f>IF('Übung 01'!AH$42="","",'Übung 01'!AH$42)</f>
        <v/>
      </c>
      <c r="D678" s="62">
        <f>IF('Übung 02'!AH$42="","",'Übung 02'!AH$42)</f>
        <v/>
      </c>
      <c r="E678" s="62">
        <f>IF('Übung 03'!AH$42="","",'Übung 03'!AH$42)</f>
        <v/>
      </c>
      <c r="F678" s="62">
        <f>IF('Übung 04'!AH$42="","",'Übung 04'!AH$42)</f>
        <v/>
      </c>
      <c r="G678" s="62">
        <f>IF('Übung 05'!AH$42="","",'Übung 05'!AH$42)</f>
        <v/>
      </c>
      <c r="H678" s="62">
        <f>IF('Übung 06'!AH$42="","",'Übung 06'!AH$42)</f>
        <v/>
      </c>
      <c r="I678" s="62">
        <f>IF('Übung 07'!AH$42="","",'Übung 07'!AH$42)</f>
        <v/>
      </c>
      <c r="J678" s="62">
        <f>IF('Übung 08'!AH$42="","",'Übung 08'!AH$42)</f>
        <v/>
      </c>
      <c r="K678" s="62">
        <f>IF('Übung 09'!AH$42="","",'Übung 09'!AH$42)</f>
        <v/>
      </c>
      <c r="L678" s="62">
        <f>IF('Übung 10'!AH$42="","",'Übung 10'!AH$42)</f>
        <v/>
      </c>
      <c r="M678" s="62">
        <f>IF('Übung 11'!AH$42="","",'Übung 11'!AH$42)</f>
        <v/>
      </c>
      <c r="N678" s="62">
        <f>IF('Übung 12'!AH$42="","",'Übung 12'!AH$42)</f>
        <v/>
      </c>
      <c r="O678" s="62">
        <f>IF('Übung 13'!AH$42="","",'Übung 13'!AH$42)</f>
        <v/>
      </c>
      <c r="P678" s="62">
        <f>IF('Übung 14'!AH$42="","",'Übung 14'!AH$42)</f>
        <v/>
      </c>
      <c r="Q678" s="62">
        <f>IF('Übung 15'!AH$42="","",'Übung 15'!AH$42)</f>
        <v/>
      </c>
      <c r="R678" s="62">
        <f>IF('Übung 16'!AH$42="","",'Übung 16'!AH$42)</f>
        <v/>
      </c>
      <c r="S678" s="62">
        <f>IF('Übung 17'!AH$42="","",'Übung 17'!AH$42)</f>
        <v/>
      </c>
      <c r="T678" s="62">
        <f>IF('Übung 18'!AH$42="","",'Übung 18'!AH$42)</f>
        <v/>
      </c>
      <c r="U678" s="62">
        <f>IF('Übung 19'!AH$42="","",'Übung 19'!AH$42)</f>
        <v/>
      </c>
      <c r="V678" s="62">
        <f>IF('Übung 20'!AH$42="","",'Übung 20'!AH$42)</f>
        <v/>
      </c>
    </row>
    <row r="679">
      <c r="C679" s="62">
        <f>IF('Übung 01'!AI$42="","",'Übung 01'!AI$42)</f>
        <v/>
      </c>
      <c r="D679" s="62">
        <f>IF('Übung 02'!AI$42="","",'Übung 02'!AI$42)</f>
        <v/>
      </c>
      <c r="E679" s="62">
        <f>IF('Übung 03'!AI$42="","",'Übung 03'!AI$42)</f>
        <v/>
      </c>
      <c r="F679" s="62">
        <f>IF('Übung 04'!AI$42="","",'Übung 04'!AI$42)</f>
        <v/>
      </c>
      <c r="G679" s="62">
        <f>IF('Übung 05'!AI$42="","",'Übung 05'!AI$42)</f>
        <v/>
      </c>
      <c r="H679" s="62">
        <f>IF('Übung 06'!AI$42="","",'Übung 06'!AI$42)</f>
        <v/>
      </c>
      <c r="I679" s="62">
        <f>IF('Übung 07'!AI$42="","",'Übung 07'!AI$42)</f>
        <v/>
      </c>
      <c r="J679" s="62">
        <f>IF('Übung 08'!AI$42="","",'Übung 08'!AI$42)</f>
        <v/>
      </c>
      <c r="K679" s="62">
        <f>IF('Übung 09'!AI$42="","",'Übung 09'!AI$42)</f>
        <v/>
      </c>
      <c r="L679" s="62">
        <f>IF('Übung 10'!AI$42="","",'Übung 10'!AI$42)</f>
        <v/>
      </c>
      <c r="M679" s="62">
        <f>IF('Übung 11'!AI$42="","",'Übung 11'!AI$42)</f>
        <v/>
      </c>
      <c r="N679" s="62">
        <f>IF('Übung 12'!AI$42="","",'Übung 12'!AI$42)</f>
        <v/>
      </c>
      <c r="O679" s="62">
        <f>IF('Übung 13'!AI$42="","",'Übung 13'!AI$42)</f>
        <v/>
      </c>
      <c r="P679" s="62">
        <f>IF('Übung 14'!AI$42="","",'Übung 14'!AI$42)</f>
        <v/>
      </c>
      <c r="Q679" s="62">
        <f>IF('Übung 15'!AI$42="","",'Übung 15'!AI$42)</f>
        <v/>
      </c>
      <c r="R679" s="62">
        <f>IF('Übung 16'!AI$42="","",'Übung 16'!AI$42)</f>
        <v/>
      </c>
      <c r="S679" s="62">
        <f>IF('Übung 17'!AI$42="","",'Übung 17'!AI$42)</f>
        <v/>
      </c>
      <c r="T679" s="62">
        <f>IF('Übung 18'!AI$42="","",'Übung 18'!AI$42)</f>
        <v/>
      </c>
      <c r="U679" s="62">
        <f>IF('Übung 19'!AI$42="","",'Übung 19'!AI$42)</f>
        <v/>
      </c>
      <c r="V679" s="62">
        <f>IF('Übung 20'!AI$42="","",'Übung 20'!AI$42)</f>
        <v/>
      </c>
    </row>
    <row r="680">
      <c r="C680" s="62">
        <f>IF('Übung 01'!AJ$42="","",'Übung 01'!AJ$42)</f>
        <v/>
      </c>
      <c r="D680" s="62">
        <f>IF('Übung 02'!AJ$42="","",'Übung 02'!AJ$42)</f>
        <v/>
      </c>
      <c r="E680" s="62">
        <f>IF('Übung 03'!AJ$42="","",'Übung 03'!AJ$42)</f>
        <v/>
      </c>
      <c r="F680" s="62">
        <f>IF('Übung 04'!AJ$42="","",'Übung 04'!AJ$42)</f>
        <v/>
      </c>
      <c r="G680" s="62">
        <f>IF('Übung 05'!AJ$42="","",'Übung 05'!AJ$42)</f>
        <v/>
      </c>
      <c r="H680" s="62">
        <f>IF('Übung 06'!AJ$42="","",'Übung 06'!AJ$42)</f>
        <v/>
      </c>
      <c r="I680" s="62">
        <f>IF('Übung 07'!AJ$42="","",'Übung 07'!AJ$42)</f>
        <v/>
      </c>
      <c r="J680" s="62">
        <f>IF('Übung 08'!AJ$42="","",'Übung 08'!AJ$42)</f>
        <v/>
      </c>
      <c r="K680" s="62">
        <f>IF('Übung 09'!AJ$42="","",'Übung 09'!AJ$42)</f>
        <v/>
      </c>
      <c r="L680" s="62">
        <f>IF('Übung 10'!AJ$42="","",'Übung 10'!AJ$42)</f>
        <v/>
      </c>
      <c r="M680" s="62">
        <f>IF('Übung 11'!AJ$42="","",'Übung 11'!AJ$42)</f>
        <v/>
      </c>
      <c r="N680" s="62">
        <f>IF('Übung 12'!AJ$42="","",'Übung 12'!AJ$42)</f>
        <v/>
      </c>
      <c r="O680" s="62">
        <f>IF('Übung 13'!AJ$42="","",'Übung 13'!AJ$42)</f>
        <v/>
      </c>
      <c r="P680" s="62">
        <f>IF('Übung 14'!AJ$42="","",'Übung 14'!AJ$42)</f>
        <v/>
      </c>
      <c r="Q680" s="62">
        <f>IF('Übung 15'!AJ$42="","",'Übung 15'!AJ$42)</f>
        <v/>
      </c>
      <c r="R680" s="62">
        <f>IF('Übung 16'!AJ$42="","",'Übung 16'!AJ$42)</f>
        <v/>
      </c>
      <c r="S680" s="62">
        <f>IF('Übung 17'!AJ$42="","",'Übung 17'!AJ$42)</f>
        <v/>
      </c>
      <c r="T680" s="62">
        <f>IF('Übung 18'!AJ$42="","",'Übung 18'!AJ$42)</f>
        <v/>
      </c>
      <c r="U680" s="62">
        <f>IF('Übung 19'!AJ$42="","",'Übung 19'!AJ$42)</f>
        <v/>
      </c>
      <c r="V680" s="62">
        <f>IF('Übung 20'!AJ$42="","",'Übung 20'!AJ$42)</f>
        <v/>
      </c>
    </row>
    <row r="681">
      <c r="C681" s="62">
        <f>IF('Übung 01'!AK$42="","",'Übung 01'!AK$42)</f>
        <v/>
      </c>
      <c r="D681" s="62">
        <f>IF('Übung 02'!AK$42="","",'Übung 02'!AK$42)</f>
        <v/>
      </c>
      <c r="E681" s="62">
        <f>IF('Übung 03'!AK$42="","",'Übung 03'!AK$42)</f>
        <v/>
      </c>
      <c r="F681" s="62">
        <f>IF('Übung 04'!AK$42="","",'Übung 04'!AK$42)</f>
        <v/>
      </c>
      <c r="G681" s="62">
        <f>IF('Übung 05'!AK$42="","",'Übung 05'!AK$42)</f>
        <v/>
      </c>
      <c r="H681" s="62">
        <f>IF('Übung 06'!AK$42="","",'Übung 06'!AK$42)</f>
        <v/>
      </c>
      <c r="I681" s="62">
        <f>IF('Übung 07'!AK$42="","",'Übung 07'!AK$42)</f>
        <v/>
      </c>
      <c r="J681" s="62">
        <f>IF('Übung 08'!AK$42="","",'Übung 08'!AK$42)</f>
        <v/>
      </c>
      <c r="K681" s="62">
        <f>IF('Übung 09'!AK$42="","",'Übung 09'!AK$42)</f>
        <v/>
      </c>
      <c r="L681" s="62">
        <f>IF('Übung 10'!AK$42="","",'Übung 10'!AK$42)</f>
        <v/>
      </c>
      <c r="M681" s="62">
        <f>IF('Übung 11'!AK$42="","",'Übung 11'!AK$42)</f>
        <v/>
      </c>
      <c r="N681" s="62">
        <f>IF('Übung 12'!AK$42="","",'Übung 12'!AK$42)</f>
        <v/>
      </c>
      <c r="O681" s="62">
        <f>IF('Übung 13'!AK$42="","",'Übung 13'!AK$42)</f>
        <v/>
      </c>
      <c r="P681" s="62">
        <f>IF('Übung 14'!AK$42="","",'Übung 14'!AK$42)</f>
        <v/>
      </c>
      <c r="Q681" s="62">
        <f>IF('Übung 15'!AK$42="","",'Übung 15'!AK$42)</f>
        <v/>
      </c>
      <c r="R681" s="62">
        <f>IF('Übung 16'!AK$42="","",'Übung 16'!AK$42)</f>
        <v/>
      </c>
      <c r="S681" s="62">
        <f>IF('Übung 17'!AK$42="","",'Übung 17'!AK$42)</f>
        <v/>
      </c>
      <c r="T681" s="62">
        <f>IF('Übung 18'!AK$42="","",'Übung 18'!AK$42)</f>
        <v/>
      </c>
      <c r="U681" s="62">
        <f>IF('Übung 19'!AK$42="","",'Übung 19'!AK$42)</f>
        <v/>
      </c>
      <c r="V681" s="62">
        <f>IF('Übung 20'!AK$42="","",'Übung 20'!AK$42)</f>
        <v/>
      </c>
    </row>
    <row r="682">
      <c r="C682" s="62">
        <f>IF('Übung 01'!AL$42="","",'Übung 01'!AL$42)</f>
        <v/>
      </c>
      <c r="D682" s="62">
        <f>IF('Übung 02'!AL$42="","",'Übung 02'!AL$42)</f>
        <v/>
      </c>
      <c r="E682" s="62">
        <f>IF('Übung 03'!AL$42="","",'Übung 03'!AL$42)</f>
        <v/>
      </c>
      <c r="F682" s="62">
        <f>IF('Übung 04'!AL$42="","",'Übung 04'!AL$42)</f>
        <v/>
      </c>
      <c r="G682" s="62">
        <f>IF('Übung 05'!AL$42="","",'Übung 05'!AL$42)</f>
        <v/>
      </c>
      <c r="H682" s="62">
        <f>IF('Übung 06'!AL$42="","",'Übung 06'!AL$42)</f>
        <v/>
      </c>
      <c r="I682" s="62">
        <f>IF('Übung 07'!AL$42="","",'Übung 07'!AL$42)</f>
        <v/>
      </c>
      <c r="J682" s="62">
        <f>IF('Übung 08'!AL$42="","",'Übung 08'!AL$42)</f>
        <v/>
      </c>
      <c r="K682" s="62">
        <f>IF('Übung 09'!AL$42="","",'Übung 09'!AL$42)</f>
        <v/>
      </c>
      <c r="L682" s="62">
        <f>IF('Übung 10'!AL$42="","",'Übung 10'!AL$42)</f>
        <v/>
      </c>
      <c r="M682" s="62">
        <f>IF('Übung 11'!AL$42="","",'Übung 11'!AL$42)</f>
        <v/>
      </c>
      <c r="N682" s="62">
        <f>IF('Übung 12'!AL$42="","",'Übung 12'!AL$42)</f>
        <v/>
      </c>
      <c r="O682" s="62">
        <f>IF('Übung 13'!AL$42="","",'Übung 13'!AL$42)</f>
        <v/>
      </c>
      <c r="P682" s="62">
        <f>IF('Übung 14'!AL$42="","",'Übung 14'!AL$42)</f>
        <v/>
      </c>
      <c r="Q682" s="62">
        <f>IF('Übung 15'!AL$42="","",'Übung 15'!AL$42)</f>
        <v/>
      </c>
      <c r="R682" s="62">
        <f>IF('Übung 16'!AL$42="","",'Übung 16'!AL$42)</f>
        <v/>
      </c>
      <c r="S682" s="62">
        <f>IF('Übung 17'!AL$42="","",'Übung 17'!AL$42)</f>
        <v/>
      </c>
      <c r="T682" s="62">
        <f>IF('Übung 18'!AL$42="","",'Übung 18'!AL$42)</f>
        <v/>
      </c>
      <c r="U682" s="62">
        <f>IF('Übung 19'!AL$42="","",'Übung 19'!AL$42)</f>
        <v/>
      </c>
      <c r="V682" s="62">
        <f>IF('Übung 20'!AL$42="","",'Übung 20'!AL$42)</f>
        <v/>
      </c>
    </row>
    <row r="683">
      <c r="C683" s="62">
        <f>IF('Übung 01'!AM$42="","",'Übung 01'!AM$42)</f>
        <v/>
      </c>
      <c r="D683" s="62">
        <f>IF('Übung 02'!AM$42="","",'Übung 02'!AM$42)</f>
        <v/>
      </c>
      <c r="E683" s="62">
        <f>IF('Übung 03'!AM$42="","",'Übung 03'!AM$42)</f>
        <v/>
      </c>
      <c r="F683" s="62">
        <f>IF('Übung 04'!AM$42="","",'Übung 04'!AM$42)</f>
        <v/>
      </c>
      <c r="G683" s="62">
        <f>IF('Übung 05'!AM$42="","",'Übung 05'!AM$42)</f>
        <v/>
      </c>
      <c r="H683" s="62">
        <f>IF('Übung 06'!AM$42="","",'Übung 06'!AM$42)</f>
        <v/>
      </c>
      <c r="I683" s="62">
        <f>IF('Übung 07'!AM$42="","",'Übung 07'!AM$42)</f>
        <v/>
      </c>
      <c r="J683" s="62">
        <f>IF('Übung 08'!AM$42="","",'Übung 08'!AM$42)</f>
        <v/>
      </c>
      <c r="K683" s="62">
        <f>IF('Übung 09'!AM$42="","",'Übung 09'!AM$42)</f>
        <v/>
      </c>
      <c r="L683" s="62">
        <f>IF('Übung 10'!AM$42="","",'Übung 10'!AM$42)</f>
        <v/>
      </c>
      <c r="M683" s="62">
        <f>IF('Übung 11'!AM$42="","",'Übung 11'!AM$42)</f>
        <v/>
      </c>
      <c r="N683" s="62">
        <f>IF('Übung 12'!AM$42="","",'Übung 12'!AM$42)</f>
        <v/>
      </c>
      <c r="O683" s="62">
        <f>IF('Übung 13'!AM$42="","",'Übung 13'!AM$42)</f>
        <v/>
      </c>
      <c r="P683" s="62">
        <f>IF('Übung 14'!AM$42="","",'Übung 14'!AM$42)</f>
        <v/>
      </c>
      <c r="Q683" s="62">
        <f>IF('Übung 15'!AM$42="","",'Übung 15'!AM$42)</f>
        <v/>
      </c>
      <c r="R683" s="62">
        <f>IF('Übung 16'!AM$42="","",'Übung 16'!AM$42)</f>
        <v/>
      </c>
      <c r="S683" s="62">
        <f>IF('Übung 17'!AM$42="","",'Übung 17'!AM$42)</f>
        <v/>
      </c>
      <c r="T683" s="62">
        <f>IF('Übung 18'!AM$42="","",'Übung 18'!AM$42)</f>
        <v/>
      </c>
      <c r="U683" s="62">
        <f>IF('Übung 19'!AM$42="","",'Übung 19'!AM$42)</f>
        <v/>
      </c>
      <c r="V683" s="62">
        <f>IF('Übung 20'!AM$42="","",'Übung 20'!AM$42)</f>
        <v/>
      </c>
    </row>
    <row r="684">
      <c r="C684" s="62">
        <f>IF('Übung 01'!AN$42="","",'Übung 01'!AN$42)</f>
        <v/>
      </c>
      <c r="D684" s="62">
        <f>IF('Übung 02'!AN$42="","",'Übung 02'!AN$42)</f>
        <v/>
      </c>
      <c r="E684" s="62">
        <f>IF('Übung 03'!AN$42="","",'Übung 03'!AN$42)</f>
        <v/>
      </c>
      <c r="F684" s="62">
        <f>IF('Übung 04'!AN$42="","",'Übung 04'!AN$42)</f>
        <v/>
      </c>
      <c r="G684" s="62">
        <f>IF('Übung 05'!AN$42="","",'Übung 05'!AN$42)</f>
        <v/>
      </c>
      <c r="H684" s="62">
        <f>IF('Übung 06'!AN$42="","",'Übung 06'!AN$42)</f>
        <v/>
      </c>
      <c r="I684" s="62">
        <f>IF('Übung 07'!AN$42="","",'Übung 07'!AN$42)</f>
        <v/>
      </c>
      <c r="J684" s="62">
        <f>IF('Übung 08'!AN$42="","",'Übung 08'!AN$42)</f>
        <v/>
      </c>
      <c r="K684" s="62">
        <f>IF('Übung 09'!AN$42="","",'Übung 09'!AN$42)</f>
        <v/>
      </c>
      <c r="L684" s="62">
        <f>IF('Übung 10'!AN$42="","",'Übung 10'!AN$42)</f>
        <v/>
      </c>
      <c r="M684" s="62">
        <f>IF('Übung 11'!AN$42="","",'Übung 11'!AN$42)</f>
        <v/>
      </c>
      <c r="N684" s="62">
        <f>IF('Übung 12'!AN$42="","",'Übung 12'!AN$42)</f>
        <v/>
      </c>
      <c r="O684" s="62">
        <f>IF('Übung 13'!AN$42="","",'Übung 13'!AN$42)</f>
        <v/>
      </c>
      <c r="P684" s="62">
        <f>IF('Übung 14'!AN$42="","",'Übung 14'!AN$42)</f>
        <v/>
      </c>
      <c r="Q684" s="62">
        <f>IF('Übung 15'!AN$42="","",'Übung 15'!AN$42)</f>
        <v/>
      </c>
      <c r="R684" s="62">
        <f>IF('Übung 16'!AN$42="","",'Übung 16'!AN$42)</f>
        <v/>
      </c>
      <c r="S684" s="62">
        <f>IF('Übung 17'!AN$42="","",'Übung 17'!AN$42)</f>
        <v/>
      </c>
      <c r="T684" s="62">
        <f>IF('Übung 18'!AN$42="","",'Übung 18'!AN$42)</f>
        <v/>
      </c>
      <c r="U684" s="62">
        <f>IF('Übung 19'!AN$42="","",'Übung 19'!AN$42)</f>
        <v/>
      </c>
      <c r="V684" s="62">
        <f>IF('Übung 20'!AN$42="","",'Übung 20'!AN$42)</f>
        <v/>
      </c>
    </row>
    <row r="685">
      <c r="C685" s="62">
        <f>IF('Übung 01'!AO$42="","",'Übung 01'!AO$42)</f>
        <v/>
      </c>
      <c r="D685" s="62">
        <f>IF('Übung 02'!AO$42="","",'Übung 02'!AO$42)</f>
        <v/>
      </c>
      <c r="E685" s="62">
        <f>IF('Übung 03'!AO$42="","",'Übung 03'!AO$42)</f>
        <v/>
      </c>
      <c r="F685" s="62">
        <f>IF('Übung 04'!AO$42="","",'Übung 04'!AO$42)</f>
        <v/>
      </c>
      <c r="G685" s="62">
        <f>IF('Übung 05'!AO$42="","",'Übung 05'!AO$42)</f>
        <v/>
      </c>
      <c r="H685" s="62">
        <f>IF('Übung 06'!AO$42="","",'Übung 06'!AO$42)</f>
        <v/>
      </c>
      <c r="I685" s="62">
        <f>IF('Übung 07'!AO$42="","",'Übung 07'!AO$42)</f>
        <v/>
      </c>
      <c r="J685" s="62">
        <f>IF('Übung 08'!AO$42="","",'Übung 08'!AO$42)</f>
        <v/>
      </c>
      <c r="K685" s="62">
        <f>IF('Übung 09'!AO$42="","",'Übung 09'!AO$42)</f>
        <v/>
      </c>
      <c r="L685" s="62">
        <f>IF('Übung 10'!AO$42="","",'Übung 10'!AO$42)</f>
        <v/>
      </c>
      <c r="M685" s="62">
        <f>IF('Übung 11'!AO$42="","",'Übung 11'!AO$42)</f>
        <v/>
      </c>
      <c r="N685" s="62">
        <f>IF('Übung 12'!AO$42="","",'Übung 12'!AO$42)</f>
        <v/>
      </c>
      <c r="O685" s="62">
        <f>IF('Übung 13'!AO$42="","",'Übung 13'!AO$42)</f>
        <v/>
      </c>
      <c r="P685" s="62">
        <f>IF('Übung 14'!AO$42="","",'Übung 14'!AO$42)</f>
        <v/>
      </c>
      <c r="Q685" s="62">
        <f>IF('Übung 15'!AO$42="","",'Übung 15'!AO$42)</f>
        <v/>
      </c>
      <c r="R685" s="62">
        <f>IF('Übung 16'!AO$42="","",'Übung 16'!AO$42)</f>
        <v/>
      </c>
      <c r="S685" s="62">
        <f>IF('Übung 17'!AO$42="","",'Übung 17'!AO$42)</f>
        <v/>
      </c>
      <c r="T685" s="62">
        <f>IF('Übung 18'!AO$42="","",'Übung 18'!AO$42)</f>
        <v/>
      </c>
      <c r="U685" s="62">
        <f>IF('Übung 19'!AO$42="","",'Übung 19'!AO$42)</f>
        <v/>
      </c>
      <c r="V685" s="62">
        <f>IF('Übung 20'!AO$42="","",'Übung 20'!AO$42)</f>
        <v/>
      </c>
    </row>
    <row r="686">
      <c r="C686" s="62">
        <f>IF('Übung 01'!AP$42="","",'Übung 01'!AP$42)</f>
        <v/>
      </c>
      <c r="D686" s="62">
        <f>IF('Übung 02'!AP$42="","",'Übung 02'!AP$42)</f>
        <v/>
      </c>
      <c r="E686" s="62">
        <f>IF('Übung 03'!AP$42="","",'Übung 03'!AP$42)</f>
        <v/>
      </c>
      <c r="F686" s="62">
        <f>IF('Übung 04'!AP$42="","",'Übung 04'!AP$42)</f>
        <v/>
      </c>
      <c r="G686" s="62">
        <f>IF('Übung 05'!AP$42="","",'Übung 05'!AP$42)</f>
        <v/>
      </c>
      <c r="H686" s="62">
        <f>IF('Übung 06'!AP$42="","",'Übung 06'!AP$42)</f>
        <v/>
      </c>
      <c r="I686" s="62">
        <f>IF('Übung 07'!AP$42="","",'Übung 07'!AP$42)</f>
        <v/>
      </c>
      <c r="J686" s="62">
        <f>IF('Übung 08'!AP$42="","",'Übung 08'!AP$42)</f>
        <v/>
      </c>
      <c r="K686" s="62">
        <f>IF('Übung 09'!AP$42="","",'Übung 09'!AP$42)</f>
        <v/>
      </c>
      <c r="L686" s="62">
        <f>IF('Übung 10'!AP$42="","",'Übung 10'!AP$42)</f>
        <v/>
      </c>
      <c r="M686" s="62">
        <f>IF('Übung 11'!AP$42="","",'Übung 11'!AP$42)</f>
        <v/>
      </c>
      <c r="N686" s="62">
        <f>IF('Übung 12'!AP$42="","",'Übung 12'!AP$42)</f>
        <v/>
      </c>
      <c r="O686" s="62">
        <f>IF('Übung 13'!AP$42="","",'Übung 13'!AP$42)</f>
        <v/>
      </c>
      <c r="P686" s="62">
        <f>IF('Übung 14'!AP$42="","",'Übung 14'!AP$42)</f>
        <v/>
      </c>
      <c r="Q686" s="62">
        <f>IF('Übung 15'!AP$42="","",'Übung 15'!AP$42)</f>
        <v/>
      </c>
      <c r="R686" s="62">
        <f>IF('Übung 16'!AP$42="","",'Übung 16'!AP$42)</f>
        <v/>
      </c>
      <c r="S686" s="62">
        <f>IF('Übung 17'!AP$42="","",'Übung 17'!AP$42)</f>
        <v/>
      </c>
      <c r="T686" s="62">
        <f>IF('Übung 18'!AP$42="","",'Übung 18'!AP$42)</f>
        <v/>
      </c>
      <c r="U686" s="62">
        <f>IF('Übung 19'!AP$42="","",'Übung 19'!AP$42)</f>
        <v/>
      </c>
      <c r="V686" s="62">
        <f>IF('Übung 20'!AP$42="","",'Übung 20'!AP$42)</f>
        <v/>
      </c>
    </row>
    <row r="687">
      <c r="C687" s="62">
        <f>IF('Übung 01'!AQ$42="","",'Übung 01'!AQ$42)</f>
        <v/>
      </c>
      <c r="D687" s="62">
        <f>IF('Übung 02'!AQ$42="","",'Übung 02'!AQ$42)</f>
        <v/>
      </c>
      <c r="E687" s="62">
        <f>IF('Übung 03'!AQ$42="","",'Übung 03'!AQ$42)</f>
        <v/>
      </c>
      <c r="F687" s="62">
        <f>IF('Übung 04'!AQ$42="","",'Übung 04'!AQ$42)</f>
        <v/>
      </c>
      <c r="G687" s="62">
        <f>IF('Übung 05'!AQ$42="","",'Übung 05'!AQ$42)</f>
        <v/>
      </c>
      <c r="H687" s="62">
        <f>IF('Übung 06'!AQ$42="","",'Übung 06'!AQ$42)</f>
        <v/>
      </c>
      <c r="I687" s="62">
        <f>IF('Übung 07'!AQ$42="","",'Übung 07'!AQ$42)</f>
        <v/>
      </c>
      <c r="J687" s="62">
        <f>IF('Übung 08'!AQ$42="","",'Übung 08'!AQ$42)</f>
        <v/>
      </c>
      <c r="K687" s="62">
        <f>IF('Übung 09'!AQ$42="","",'Übung 09'!AQ$42)</f>
        <v/>
      </c>
      <c r="L687" s="62">
        <f>IF('Übung 10'!AQ$42="","",'Übung 10'!AQ$42)</f>
        <v/>
      </c>
      <c r="M687" s="62">
        <f>IF('Übung 11'!AQ$42="","",'Übung 11'!AQ$42)</f>
        <v/>
      </c>
      <c r="N687" s="62">
        <f>IF('Übung 12'!AQ$42="","",'Übung 12'!AQ$42)</f>
        <v/>
      </c>
      <c r="O687" s="62">
        <f>IF('Übung 13'!AQ$42="","",'Übung 13'!AQ$42)</f>
        <v/>
      </c>
      <c r="P687" s="62">
        <f>IF('Übung 14'!AQ$42="","",'Übung 14'!AQ$42)</f>
        <v/>
      </c>
      <c r="Q687" s="62">
        <f>IF('Übung 15'!AQ$42="","",'Übung 15'!AQ$42)</f>
        <v/>
      </c>
      <c r="R687" s="62">
        <f>IF('Übung 16'!AQ$42="","",'Übung 16'!AQ$42)</f>
        <v/>
      </c>
      <c r="S687" s="62">
        <f>IF('Übung 17'!AQ$42="","",'Übung 17'!AQ$42)</f>
        <v/>
      </c>
      <c r="T687" s="62">
        <f>IF('Übung 18'!AQ$42="","",'Übung 18'!AQ$42)</f>
        <v/>
      </c>
      <c r="U687" s="62">
        <f>IF('Übung 19'!AQ$42="","",'Übung 19'!AQ$42)</f>
        <v/>
      </c>
      <c r="V687" s="62">
        <f>IF('Übung 20'!AQ$42="","",'Übung 20'!AQ$42)</f>
        <v/>
      </c>
    </row>
    <row r="688">
      <c r="C688" s="62">
        <f>IF('Übung 01'!AR$42="","",'Übung 01'!AR$42)</f>
        <v/>
      </c>
      <c r="D688" s="62">
        <f>IF('Übung 02'!AR$42="","",'Übung 02'!AR$42)</f>
        <v/>
      </c>
      <c r="E688" s="62">
        <f>IF('Übung 03'!AR$42="","",'Übung 03'!AR$42)</f>
        <v/>
      </c>
      <c r="F688" s="62">
        <f>IF('Übung 04'!AR$42="","",'Übung 04'!AR$42)</f>
        <v/>
      </c>
      <c r="G688" s="62">
        <f>IF('Übung 05'!AR$42="","",'Übung 05'!AR$42)</f>
        <v/>
      </c>
      <c r="H688" s="62">
        <f>IF('Übung 06'!AR$42="","",'Übung 06'!AR$42)</f>
        <v/>
      </c>
      <c r="I688" s="62">
        <f>IF('Übung 07'!AR$42="","",'Übung 07'!AR$42)</f>
        <v/>
      </c>
      <c r="J688" s="62">
        <f>IF('Übung 08'!AR$42="","",'Übung 08'!AR$42)</f>
        <v/>
      </c>
      <c r="K688" s="62">
        <f>IF('Übung 09'!AR$42="","",'Übung 09'!AR$42)</f>
        <v/>
      </c>
      <c r="L688" s="62">
        <f>IF('Übung 10'!AR$42="","",'Übung 10'!AR$42)</f>
        <v/>
      </c>
      <c r="M688" s="62">
        <f>IF('Übung 11'!AR$42="","",'Übung 11'!AR$42)</f>
        <v/>
      </c>
      <c r="N688" s="62">
        <f>IF('Übung 12'!AR$42="","",'Übung 12'!AR$42)</f>
        <v/>
      </c>
      <c r="O688" s="62">
        <f>IF('Übung 13'!AR$42="","",'Übung 13'!AR$42)</f>
        <v/>
      </c>
      <c r="P688" s="62">
        <f>IF('Übung 14'!AR$42="","",'Übung 14'!AR$42)</f>
        <v/>
      </c>
      <c r="Q688" s="62">
        <f>IF('Übung 15'!AR$42="","",'Übung 15'!AR$42)</f>
        <v/>
      </c>
      <c r="R688" s="62">
        <f>IF('Übung 16'!AR$42="","",'Übung 16'!AR$42)</f>
        <v/>
      </c>
      <c r="S688" s="62">
        <f>IF('Übung 17'!AR$42="","",'Übung 17'!AR$42)</f>
        <v/>
      </c>
      <c r="T688" s="62">
        <f>IF('Übung 18'!AR$42="","",'Übung 18'!AR$42)</f>
        <v/>
      </c>
      <c r="U688" s="62">
        <f>IF('Übung 19'!AR$42="","",'Übung 19'!AR$42)</f>
        <v/>
      </c>
      <c r="V688" s="62">
        <f>IF('Übung 20'!AR$42="","",'Übung 20'!AR$42)</f>
        <v/>
      </c>
    </row>
    <row r="689">
      <c r="C689" s="62">
        <f>IF('Übung 01'!AS$42="","",'Übung 01'!AS$42)</f>
        <v/>
      </c>
      <c r="D689" s="62">
        <f>IF('Übung 02'!AS$42="","",'Übung 02'!AS$42)</f>
        <v/>
      </c>
      <c r="E689" s="62">
        <f>IF('Übung 03'!AS$42="","",'Übung 03'!AS$42)</f>
        <v/>
      </c>
      <c r="F689" s="62">
        <f>IF('Übung 04'!AS$42="","",'Übung 04'!AS$42)</f>
        <v/>
      </c>
      <c r="G689" s="62">
        <f>IF('Übung 05'!AS$42="","",'Übung 05'!AS$42)</f>
        <v/>
      </c>
      <c r="H689" s="62">
        <f>IF('Übung 06'!AS$42="","",'Übung 06'!AS$42)</f>
        <v/>
      </c>
      <c r="I689" s="62">
        <f>IF('Übung 07'!AS$42="","",'Übung 07'!AS$42)</f>
        <v/>
      </c>
      <c r="J689" s="62">
        <f>IF('Übung 08'!AS$42="","",'Übung 08'!AS$42)</f>
        <v/>
      </c>
      <c r="K689" s="62">
        <f>IF('Übung 09'!AS$42="","",'Übung 09'!AS$42)</f>
        <v/>
      </c>
      <c r="L689" s="62">
        <f>IF('Übung 10'!AS$42="","",'Übung 10'!AS$42)</f>
        <v/>
      </c>
      <c r="M689" s="62">
        <f>IF('Übung 11'!AS$42="","",'Übung 11'!AS$42)</f>
        <v/>
      </c>
      <c r="N689" s="62">
        <f>IF('Übung 12'!AS$42="","",'Übung 12'!AS$42)</f>
        <v/>
      </c>
      <c r="O689" s="62">
        <f>IF('Übung 13'!AS$42="","",'Übung 13'!AS$42)</f>
        <v/>
      </c>
      <c r="P689" s="62">
        <f>IF('Übung 14'!AS$42="","",'Übung 14'!AS$42)</f>
        <v/>
      </c>
      <c r="Q689" s="62">
        <f>IF('Übung 15'!AS$42="","",'Übung 15'!AS$42)</f>
        <v/>
      </c>
      <c r="R689" s="62">
        <f>IF('Übung 16'!AS$42="","",'Übung 16'!AS$42)</f>
        <v/>
      </c>
      <c r="S689" s="62">
        <f>IF('Übung 17'!AS$42="","",'Übung 17'!AS$42)</f>
        <v/>
      </c>
      <c r="T689" s="62">
        <f>IF('Übung 18'!AS$42="","",'Übung 18'!AS$42)</f>
        <v/>
      </c>
      <c r="U689" s="62">
        <f>IF('Übung 19'!AS$42="","",'Übung 19'!AS$42)</f>
        <v/>
      </c>
      <c r="V689" s="62">
        <f>IF('Übung 20'!AS$42="","",'Übung 20'!AS$42)</f>
        <v/>
      </c>
    </row>
    <row r="690">
      <c r="C690" s="62">
        <f>IF('Übung 01'!AT$42="","",'Übung 01'!AT$42)</f>
        <v/>
      </c>
      <c r="D690" s="62">
        <f>IF('Übung 02'!AT$42="","",'Übung 02'!AT$42)</f>
        <v/>
      </c>
      <c r="E690" s="62">
        <f>IF('Übung 03'!AT$42="","",'Übung 03'!AT$42)</f>
        <v/>
      </c>
      <c r="F690" s="62">
        <f>IF('Übung 04'!AT$42="","",'Übung 04'!AT$42)</f>
        <v/>
      </c>
      <c r="G690" s="62">
        <f>IF('Übung 05'!AT$42="","",'Übung 05'!AT$42)</f>
        <v/>
      </c>
      <c r="H690" s="62">
        <f>IF('Übung 06'!AT$42="","",'Übung 06'!AT$42)</f>
        <v/>
      </c>
      <c r="I690" s="62">
        <f>IF('Übung 07'!AT$42="","",'Übung 07'!AT$42)</f>
        <v/>
      </c>
      <c r="J690" s="62">
        <f>IF('Übung 08'!AT$42="","",'Übung 08'!AT$42)</f>
        <v/>
      </c>
      <c r="K690" s="62">
        <f>IF('Übung 09'!AT$42="","",'Übung 09'!AT$42)</f>
        <v/>
      </c>
      <c r="L690" s="62">
        <f>IF('Übung 10'!AT$42="","",'Übung 10'!AT$42)</f>
        <v/>
      </c>
      <c r="M690" s="62">
        <f>IF('Übung 11'!AT$42="","",'Übung 11'!AT$42)</f>
        <v/>
      </c>
      <c r="N690" s="62">
        <f>IF('Übung 12'!AT$42="","",'Übung 12'!AT$42)</f>
        <v/>
      </c>
      <c r="O690" s="62">
        <f>IF('Übung 13'!AT$42="","",'Übung 13'!AT$42)</f>
        <v/>
      </c>
      <c r="P690" s="62">
        <f>IF('Übung 14'!AT$42="","",'Übung 14'!AT$42)</f>
        <v/>
      </c>
      <c r="Q690" s="62">
        <f>IF('Übung 15'!AT$42="","",'Übung 15'!AT$42)</f>
        <v/>
      </c>
      <c r="R690" s="62">
        <f>IF('Übung 16'!AT$42="","",'Übung 16'!AT$42)</f>
        <v/>
      </c>
      <c r="S690" s="62">
        <f>IF('Übung 17'!AT$42="","",'Übung 17'!AT$42)</f>
        <v/>
      </c>
      <c r="T690" s="62">
        <f>IF('Übung 18'!AT$42="","",'Übung 18'!AT$42)</f>
        <v/>
      </c>
      <c r="U690" s="62">
        <f>IF('Übung 19'!AT$42="","",'Übung 19'!AT$42)</f>
        <v/>
      </c>
      <c r="V690" s="62">
        <f>IF('Übung 20'!AT$42="","",'Übung 20'!AT$42)</f>
        <v/>
      </c>
    </row>
    <row r="691">
      <c r="C691" s="62">
        <f>IF('Übung 01'!AU$42="","",'Übung 01'!AU$42)</f>
        <v/>
      </c>
      <c r="D691" s="62">
        <f>IF('Übung 02'!AU$42="","",'Übung 02'!AU$42)</f>
        <v/>
      </c>
      <c r="E691" s="62">
        <f>IF('Übung 03'!AU$42="","",'Übung 03'!AU$42)</f>
        <v/>
      </c>
      <c r="F691" s="62">
        <f>IF('Übung 04'!AU$42="","",'Übung 04'!AU$42)</f>
        <v/>
      </c>
      <c r="G691" s="62">
        <f>IF('Übung 05'!AU$42="","",'Übung 05'!AU$42)</f>
        <v/>
      </c>
      <c r="H691" s="62">
        <f>IF('Übung 06'!AU$42="","",'Übung 06'!AU$42)</f>
        <v/>
      </c>
      <c r="I691" s="62">
        <f>IF('Übung 07'!AU$42="","",'Übung 07'!AU$42)</f>
        <v/>
      </c>
      <c r="J691" s="62">
        <f>IF('Übung 08'!AU$42="","",'Übung 08'!AU$42)</f>
        <v/>
      </c>
      <c r="K691" s="62">
        <f>IF('Übung 09'!AU$42="","",'Übung 09'!AU$42)</f>
        <v/>
      </c>
      <c r="L691" s="62">
        <f>IF('Übung 10'!AU$42="","",'Übung 10'!AU$42)</f>
        <v/>
      </c>
      <c r="M691" s="62">
        <f>IF('Übung 11'!AU$42="","",'Übung 11'!AU$42)</f>
        <v/>
      </c>
      <c r="N691" s="62">
        <f>IF('Übung 12'!AU$42="","",'Übung 12'!AU$42)</f>
        <v/>
      </c>
      <c r="O691" s="62">
        <f>IF('Übung 13'!AU$42="","",'Übung 13'!AU$42)</f>
        <v/>
      </c>
      <c r="P691" s="62">
        <f>IF('Übung 14'!AU$42="","",'Übung 14'!AU$42)</f>
        <v/>
      </c>
      <c r="Q691" s="62">
        <f>IF('Übung 15'!AU$42="","",'Übung 15'!AU$42)</f>
        <v/>
      </c>
      <c r="R691" s="62">
        <f>IF('Übung 16'!AU$42="","",'Übung 16'!AU$42)</f>
        <v/>
      </c>
      <c r="S691" s="62">
        <f>IF('Übung 17'!AU$42="","",'Übung 17'!AU$42)</f>
        <v/>
      </c>
      <c r="T691" s="62">
        <f>IF('Übung 18'!AU$42="","",'Übung 18'!AU$42)</f>
        <v/>
      </c>
      <c r="U691" s="62">
        <f>IF('Übung 19'!AU$42="","",'Übung 19'!AU$42)</f>
        <v/>
      </c>
      <c r="V691" s="62">
        <f>IF('Übung 20'!AU$42="","",'Übung 20'!AU$42)</f>
        <v/>
      </c>
    </row>
    <row r="692">
      <c r="C692" s="62">
        <f>IF('Übung 01'!AV$42="","",'Übung 01'!AV$42)</f>
        <v/>
      </c>
      <c r="D692" s="62">
        <f>IF('Übung 02'!AV$42="","",'Übung 02'!AV$42)</f>
        <v/>
      </c>
      <c r="E692" s="62">
        <f>IF('Übung 03'!AV$42="","",'Übung 03'!AV$42)</f>
        <v/>
      </c>
      <c r="F692" s="62">
        <f>IF('Übung 04'!AV$42="","",'Übung 04'!AV$42)</f>
        <v/>
      </c>
      <c r="G692" s="62">
        <f>IF('Übung 05'!AV$42="","",'Übung 05'!AV$42)</f>
        <v/>
      </c>
      <c r="H692" s="62">
        <f>IF('Übung 06'!AV$42="","",'Übung 06'!AV$42)</f>
        <v/>
      </c>
      <c r="I692" s="62">
        <f>IF('Übung 07'!AV$42="","",'Übung 07'!AV$42)</f>
        <v/>
      </c>
      <c r="J692" s="62">
        <f>IF('Übung 08'!AV$42="","",'Übung 08'!AV$42)</f>
        <v/>
      </c>
      <c r="K692" s="62">
        <f>IF('Übung 09'!AV$42="","",'Übung 09'!AV$42)</f>
        <v/>
      </c>
      <c r="L692" s="62">
        <f>IF('Übung 10'!AV$42="","",'Übung 10'!AV$42)</f>
        <v/>
      </c>
      <c r="M692" s="62">
        <f>IF('Übung 11'!AV$42="","",'Übung 11'!AV$42)</f>
        <v/>
      </c>
      <c r="N692" s="62">
        <f>IF('Übung 12'!AV$42="","",'Übung 12'!AV$42)</f>
        <v/>
      </c>
      <c r="O692" s="62">
        <f>IF('Übung 13'!AV$42="","",'Übung 13'!AV$42)</f>
        <v/>
      </c>
      <c r="P692" s="62">
        <f>IF('Übung 14'!AV$42="","",'Übung 14'!AV$42)</f>
        <v/>
      </c>
      <c r="Q692" s="62">
        <f>IF('Übung 15'!AV$42="","",'Übung 15'!AV$42)</f>
        <v/>
      </c>
      <c r="R692" s="62">
        <f>IF('Übung 16'!AV$42="","",'Übung 16'!AV$42)</f>
        <v/>
      </c>
      <c r="S692" s="62">
        <f>IF('Übung 17'!AV$42="","",'Übung 17'!AV$42)</f>
        <v/>
      </c>
      <c r="T692" s="62">
        <f>IF('Übung 18'!AV$42="","",'Übung 18'!AV$42)</f>
        <v/>
      </c>
      <c r="U692" s="62">
        <f>IF('Übung 19'!AV$42="","",'Übung 19'!AV$42)</f>
        <v/>
      </c>
      <c r="V692" s="62">
        <f>IF('Übung 20'!AV$42="","",'Übung 20'!AV$42)</f>
        <v/>
      </c>
    </row>
    <row r="693">
      <c r="C693" s="62">
        <f>IF('Übung 01'!AW$42="","",'Übung 01'!AW$42)</f>
        <v/>
      </c>
      <c r="D693" s="62">
        <f>IF('Übung 02'!AW$42="","",'Übung 02'!AW$42)</f>
        <v/>
      </c>
      <c r="E693" s="62">
        <f>IF('Übung 03'!AW$42="","",'Übung 03'!AW$42)</f>
        <v/>
      </c>
      <c r="F693" s="62">
        <f>IF('Übung 04'!AW$42="","",'Übung 04'!AW$42)</f>
        <v/>
      </c>
      <c r="G693" s="62">
        <f>IF('Übung 05'!AW$42="","",'Übung 05'!AW$42)</f>
        <v/>
      </c>
      <c r="H693" s="62">
        <f>IF('Übung 06'!AW$42="","",'Übung 06'!AW$42)</f>
        <v/>
      </c>
      <c r="I693" s="62">
        <f>IF('Übung 07'!AW$42="","",'Übung 07'!AW$42)</f>
        <v/>
      </c>
      <c r="J693" s="62">
        <f>IF('Übung 08'!AW$42="","",'Übung 08'!AW$42)</f>
        <v/>
      </c>
      <c r="K693" s="62">
        <f>IF('Übung 09'!AW$42="","",'Übung 09'!AW$42)</f>
        <v/>
      </c>
      <c r="L693" s="62">
        <f>IF('Übung 10'!AW$42="","",'Übung 10'!AW$42)</f>
        <v/>
      </c>
      <c r="M693" s="62">
        <f>IF('Übung 11'!AW$42="","",'Übung 11'!AW$42)</f>
        <v/>
      </c>
      <c r="N693" s="62">
        <f>IF('Übung 12'!AW$42="","",'Übung 12'!AW$42)</f>
        <v/>
      </c>
      <c r="O693" s="62">
        <f>IF('Übung 13'!AW$42="","",'Übung 13'!AW$42)</f>
        <v/>
      </c>
      <c r="P693" s="62">
        <f>IF('Übung 14'!AW$42="","",'Übung 14'!AW$42)</f>
        <v/>
      </c>
      <c r="Q693" s="62">
        <f>IF('Übung 15'!AW$42="","",'Übung 15'!AW$42)</f>
        <v/>
      </c>
      <c r="R693" s="62">
        <f>IF('Übung 16'!AW$42="","",'Übung 16'!AW$42)</f>
        <v/>
      </c>
      <c r="S693" s="62">
        <f>IF('Übung 17'!AW$42="","",'Übung 17'!AW$42)</f>
        <v/>
      </c>
      <c r="T693" s="62">
        <f>IF('Übung 18'!AW$42="","",'Übung 18'!AW$42)</f>
        <v/>
      </c>
      <c r="U693" s="62">
        <f>IF('Übung 19'!AW$42="","",'Übung 19'!AW$42)</f>
        <v/>
      </c>
      <c r="V693" s="62">
        <f>IF('Übung 20'!AW$42="","",'Übung 20'!AW$42)</f>
        <v/>
      </c>
    </row>
    <row r="694">
      <c r="C694" s="62">
        <f>IF('Übung 01'!AX$42="","",'Übung 01'!AX$42)</f>
        <v/>
      </c>
      <c r="D694" s="62">
        <f>IF('Übung 02'!AX$42="","",'Übung 02'!AX$42)</f>
        <v/>
      </c>
      <c r="E694" s="62">
        <f>IF('Übung 03'!AX$42="","",'Übung 03'!AX$42)</f>
        <v/>
      </c>
      <c r="F694" s="62">
        <f>IF('Übung 04'!AX$42="","",'Übung 04'!AX$42)</f>
        <v/>
      </c>
      <c r="G694" s="62">
        <f>IF('Übung 05'!AX$42="","",'Übung 05'!AX$42)</f>
        <v/>
      </c>
      <c r="H694" s="62">
        <f>IF('Übung 06'!AX$42="","",'Übung 06'!AX$42)</f>
        <v/>
      </c>
      <c r="I694" s="62">
        <f>IF('Übung 07'!AX$42="","",'Übung 07'!AX$42)</f>
        <v/>
      </c>
      <c r="J694" s="62">
        <f>IF('Übung 08'!AX$42="","",'Übung 08'!AX$42)</f>
        <v/>
      </c>
      <c r="K694" s="62">
        <f>IF('Übung 09'!AX$42="","",'Übung 09'!AX$42)</f>
        <v/>
      </c>
      <c r="L694" s="62">
        <f>IF('Übung 10'!AX$42="","",'Übung 10'!AX$42)</f>
        <v/>
      </c>
      <c r="M694" s="62">
        <f>IF('Übung 11'!AX$42="","",'Übung 11'!AX$42)</f>
        <v/>
      </c>
      <c r="N694" s="62">
        <f>IF('Übung 12'!AX$42="","",'Übung 12'!AX$42)</f>
        <v/>
      </c>
      <c r="O694" s="62">
        <f>IF('Übung 13'!AX$42="","",'Übung 13'!AX$42)</f>
        <v/>
      </c>
      <c r="P694" s="62">
        <f>IF('Übung 14'!AX$42="","",'Übung 14'!AX$42)</f>
        <v/>
      </c>
      <c r="Q694" s="62">
        <f>IF('Übung 15'!AX$42="","",'Übung 15'!AX$42)</f>
        <v/>
      </c>
      <c r="R694" s="62">
        <f>IF('Übung 16'!AX$42="","",'Übung 16'!AX$42)</f>
        <v/>
      </c>
      <c r="S694" s="62">
        <f>IF('Übung 17'!AX$42="","",'Übung 17'!AX$42)</f>
        <v/>
      </c>
      <c r="T694" s="62">
        <f>IF('Übung 18'!AX$42="","",'Übung 18'!AX$42)</f>
        <v/>
      </c>
      <c r="U694" s="62">
        <f>IF('Übung 19'!AX$42="","",'Übung 19'!AX$42)</f>
        <v/>
      </c>
      <c r="V694" s="62">
        <f>IF('Übung 20'!AX$42="","",'Übung 20'!AX$42)</f>
        <v/>
      </c>
    </row>
    <row r="695">
      <c r="C695" s="62">
        <f>IF('Übung 01'!AY$42="","",'Übung 01'!AY$42)</f>
        <v/>
      </c>
      <c r="D695" s="62">
        <f>IF('Übung 02'!AY$42="","",'Übung 02'!AY$42)</f>
        <v/>
      </c>
      <c r="E695" s="62">
        <f>IF('Übung 03'!AY$42="","",'Übung 03'!AY$42)</f>
        <v/>
      </c>
      <c r="F695" s="62">
        <f>IF('Übung 04'!AY$42="","",'Übung 04'!AY$42)</f>
        <v/>
      </c>
      <c r="G695" s="62">
        <f>IF('Übung 05'!AY$42="","",'Übung 05'!AY$42)</f>
        <v/>
      </c>
      <c r="H695" s="62">
        <f>IF('Übung 06'!AY$42="","",'Übung 06'!AY$42)</f>
        <v/>
      </c>
      <c r="I695" s="62">
        <f>IF('Übung 07'!AY$42="","",'Übung 07'!AY$42)</f>
        <v/>
      </c>
      <c r="J695" s="62">
        <f>IF('Übung 08'!AY$42="","",'Übung 08'!AY$42)</f>
        <v/>
      </c>
      <c r="K695" s="62">
        <f>IF('Übung 09'!AY$42="","",'Übung 09'!AY$42)</f>
        <v/>
      </c>
      <c r="L695" s="62">
        <f>IF('Übung 10'!AY$42="","",'Übung 10'!AY$42)</f>
        <v/>
      </c>
      <c r="M695" s="62">
        <f>IF('Übung 11'!AY$42="","",'Übung 11'!AY$42)</f>
        <v/>
      </c>
      <c r="N695" s="62">
        <f>IF('Übung 12'!AY$42="","",'Übung 12'!AY$42)</f>
        <v/>
      </c>
      <c r="O695" s="62">
        <f>IF('Übung 13'!AY$42="","",'Übung 13'!AY$42)</f>
        <v/>
      </c>
      <c r="P695" s="62">
        <f>IF('Übung 14'!AY$42="","",'Übung 14'!AY$42)</f>
        <v/>
      </c>
      <c r="Q695" s="62">
        <f>IF('Übung 15'!AY$42="","",'Übung 15'!AY$42)</f>
        <v/>
      </c>
      <c r="R695" s="62">
        <f>IF('Übung 16'!AY$42="","",'Übung 16'!AY$42)</f>
        <v/>
      </c>
      <c r="S695" s="62">
        <f>IF('Übung 17'!AY$42="","",'Übung 17'!AY$42)</f>
        <v/>
      </c>
      <c r="T695" s="62">
        <f>IF('Übung 18'!AY$42="","",'Übung 18'!AY$42)</f>
        <v/>
      </c>
      <c r="U695" s="62">
        <f>IF('Übung 19'!AY$42="","",'Übung 19'!AY$42)</f>
        <v/>
      </c>
      <c r="V695" s="62">
        <f>IF('Übung 20'!AY$42="","",'Übung 20'!AY$42)</f>
        <v/>
      </c>
    </row>
    <row r="696">
      <c r="C696" s="62">
        <f>IF('Übung 01'!AZ$42="","",'Übung 01'!AZ$42)</f>
        <v/>
      </c>
      <c r="D696" s="62">
        <f>IF('Übung 02'!AZ$42="","",'Übung 02'!AZ$42)</f>
        <v/>
      </c>
      <c r="E696" s="62">
        <f>IF('Übung 03'!AZ$42="","",'Übung 03'!AZ$42)</f>
        <v/>
      </c>
      <c r="F696" s="62">
        <f>IF('Übung 04'!AZ$42="","",'Übung 04'!AZ$42)</f>
        <v/>
      </c>
      <c r="G696" s="62">
        <f>IF('Übung 05'!AZ$42="","",'Übung 05'!AZ$42)</f>
        <v/>
      </c>
      <c r="H696" s="62">
        <f>IF('Übung 06'!AZ$42="","",'Übung 06'!AZ$42)</f>
        <v/>
      </c>
      <c r="I696" s="62">
        <f>IF('Übung 07'!AZ$42="","",'Übung 07'!AZ$42)</f>
        <v/>
      </c>
      <c r="J696" s="62">
        <f>IF('Übung 08'!AZ$42="","",'Übung 08'!AZ$42)</f>
        <v/>
      </c>
      <c r="K696" s="62">
        <f>IF('Übung 09'!AZ$42="","",'Übung 09'!AZ$42)</f>
        <v/>
      </c>
      <c r="L696" s="62">
        <f>IF('Übung 10'!AZ$42="","",'Übung 10'!AZ$42)</f>
        <v/>
      </c>
      <c r="M696" s="62">
        <f>IF('Übung 11'!AZ$42="","",'Übung 11'!AZ$42)</f>
        <v/>
      </c>
      <c r="N696" s="62">
        <f>IF('Übung 12'!AZ$42="","",'Übung 12'!AZ$42)</f>
        <v/>
      </c>
      <c r="O696" s="62">
        <f>IF('Übung 13'!AZ$42="","",'Übung 13'!AZ$42)</f>
        <v/>
      </c>
      <c r="P696" s="62">
        <f>IF('Übung 14'!AZ$42="","",'Übung 14'!AZ$42)</f>
        <v/>
      </c>
      <c r="Q696" s="62">
        <f>IF('Übung 15'!AZ$42="","",'Übung 15'!AZ$42)</f>
        <v/>
      </c>
      <c r="R696" s="62">
        <f>IF('Übung 16'!AZ$42="","",'Übung 16'!AZ$42)</f>
        <v/>
      </c>
      <c r="S696" s="62">
        <f>IF('Übung 17'!AZ$42="","",'Übung 17'!AZ$42)</f>
        <v/>
      </c>
      <c r="T696" s="62">
        <f>IF('Übung 18'!AZ$42="","",'Übung 18'!AZ$42)</f>
        <v/>
      </c>
      <c r="U696" s="62">
        <f>IF('Übung 19'!AZ$42="","",'Übung 19'!AZ$42)</f>
        <v/>
      </c>
      <c r="V696" s="62">
        <f>IF('Übung 20'!AZ$42="","",'Übung 20'!AZ$42)</f>
        <v/>
      </c>
    </row>
    <row r="697">
      <c r="C697" s="62">
        <f>IF('Übung 01'!BA$42="","",'Übung 01'!BA$42)</f>
        <v/>
      </c>
      <c r="D697" s="62">
        <f>IF('Übung 02'!BA$42="","",'Übung 02'!BA$42)</f>
        <v/>
      </c>
      <c r="E697" s="62">
        <f>IF('Übung 03'!BA$42="","",'Übung 03'!BA$42)</f>
        <v/>
      </c>
      <c r="F697" s="62">
        <f>IF('Übung 04'!BA$42="","",'Übung 04'!BA$42)</f>
        <v/>
      </c>
      <c r="G697" s="62">
        <f>IF('Übung 05'!BA$42="","",'Übung 05'!BA$42)</f>
        <v/>
      </c>
      <c r="H697" s="62">
        <f>IF('Übung 06'!BA$42="","",'Übung 06'!BA$42)</f>
        <v/>
      </c>
      <c r="I697" s="62">
        <f>IF('Übung 07'!BA$42="","",'Übung 07'!BA$42)</f>
        <v/>
      </c>
      <c r="J697" s="62">
        <f>IF('Übung 08'!BA$42="","",'Übung 08'!BA$42)</f>
        <v/>
      </c>
      <c r="K697" s="62">
        <f>IF('Übung 09'!BA$42="","",'Übung 09'!BA$42)</f>
        <v/>
      </c>
      <c r="L697" s="62">
        <f>IF('Übung 10'!BA$42="","",'Übung 10'!BA$42)</f>
        <v/>
      </c>
      <c r="M697" s="62">
        <f>IF('Übung 11'!BA$42="","",'Übung 11'!BA$42)</f>
        <v/>
      </c>
      <c r="N697" s="62">
        <f>IF('Übung 12'!BA$42="","",'Übung 12'!BA$42)</f>
        <v/>
      </c>
      <c r="O697" s="62">
        <f>IF('Übung 13'!BA$42="","",'Übung 13'!BA$42)</f>
        <v/>
      </c>
      <c r="P697" s="62">
        <f>IF('Übung 14'!BA$42="","",'Übung 14'!BA$42)</f>
        <v/>
      </c>
      <c r="Q697" s="62">
        <f>IF('Übung 15'!BA$42="","",'Übung 15'!BA$42)</f>
        <v/>
      </c>
      <c r="R697" s="62">
        <f>IF('Übung 16'!BA$42="","",'Übung 16'!BA$42)</f>
        <v/>
      </c>
      <c r="S697" s="62">
        <f>IF('Übung 17'!BA$42="","",'Übung 17'!BA$42)</f>
        <v/>
      </c>
      <c r="T697" s="62">
        <f>IF('Übung 18'!BA$42="","",'Übung 18'!BA$42)</f>
        <v/>
      </c>
      <c r="U697" s="62">
        <f>IF('Übung 19'!BA$42="","",'Übung 19'!BA$42)</f>
        <v/>
      </c>
      <c r="V697" s="62">
        <f>IF('Übung 20'!BA$42="","",'Übung 20'!BA$42)</f>
        <v/>
      </c>
    </row>
    <row r="698">
      <c r="C698" s="62">
        <f>IF('Übung 01'!BB$42="","",'Übung 01'!BB$42)</f>
        <v/>
      </c>
      <c r="D698" s="62">
        <f>IF('Übung 02'!BB$42="","",'Übung 02'!BB$42)</f>
        <v/>
      </c>
      <c r="E698" s="62">
        <f>IF('Übung 03'!BB$42="","",'Übung 03'!BB$42)</f>
        <v/>
      </c>
      <c r="F698" s="62">
        <f>IF('Übung 04'!BB$42="","",'Übung 04'!BB$42)</f>
        <v/>
      </c>
      <c r="G698" s="62">
        <f>IF('Übung 05'!BB$42="","",'Übung 05'!BB$42)</f>
        <v/>
      </c>
      <c r="H698" s="62">
        <f>IF('Übung 06'!BB$42="","",'Übung 06'!BB$42)</f>
        <v/>
      </c>
      <c r="I698" s="62">
        <f>IF('Übung 07'!BB$42="","",'Übung 07'!BB$42)</f>
        <v/>
      </c>
      <c r="J698" s="62">
        <f>IF('Übung 08'!BB$42="","",'Übung 08'!BB$42)</f>
        <v/>
      </c>
      <c r="K698" s="62">
        <f>IF('Übung 09'!BB$42="","",'Übung 09'!BB$42)</f>
        <v/>
      </c>
      <c r="L698" s="62">
        <f>IF('Übung 10'!BB$42="","",'Übung 10'!BB$42)</f>
        <v/>
      </c>
      <c r="M698" s="62">
        <f>IF('Übung 11'!BB$42="","",'Übung 11'!BB$42)</f>
        <v/>
      </c>
      <c r="N698" s="62">
        <f>IF('Übung 12'!BB$42="","",'Übung 12'!BB$42)</f>
        <v/>
      </c>
      <c r="O698" s="62">
        <f>IF('Übung 13'!BB$42="","",'Übung 13'!BB$42)</f>
        <v/>
      </c>
      <c r="P698" s="62">
        <f>IF('Übung 14'!BB$42="","",'Übung 14'!BB$42)</f>
        <v/>
      </c>
      <c r="Q698" s="62">
        <f>IF('Übung 15'!BB$42="","",'Übung 15'!BB$42)</f>
        <v/>
      </c>
      <c r="R698" s="62">
        <f>IF('Übung 16'!BB$42="","",'Übung 16'!BB$42)</f>
        <v/>
      </c>
      <c r="S698" s="62">
        <f>IF('Übung 17'!BB$42="","",'Übung 17'!BB$42)</f>
        <v/>
      </c>
      <c r="T698" s="62">
        <f>IF('Übung 18'!BB$42="","",'Übung 18'!BB$42)</f>
        <v/>
      </c>
      <c r="U698" s="62">
        <f>IF('Übung 19'!BB$42="","",'Übung 19'!BB$42)</f>
        <v/>
      </c>
      <c r="V698" s="62">
        <f>IF('Übung 20'!BB$42="","",'Übung 20'!BB$42)</f>
        <v/>
      </c>
    </row>
    <row r="699">
      <c r="C699" s="62">
        <f>IF('Übung 01'!BC$42="","",'Übung 01'!BC$42)</f>
        <v/>
      </c>
      <c r="D699" s="62">
        <f>IF('Übung 02'!BC$42="","",'Übung 02'!BC$42)</f>
        <v/>
      </c>
      <c r="E699" s="62">
        <f>IF('Übung 03'!BC$42="","",'Übung 03'!BC$42)</f>
        <v/>
      </c>
      <c r="F699" s="62">
        <f>IF('Übung 04'!BC$42="","",'Übung 04'!BC$42)</f>
        <v/>
      </c>
      <c r="G699" s="62">
        <f>IF('Übung 05'!BC$42="","",'Übung 05'!BC$42)</f>
        <v/>
      </c>
      <c r="H699" s="62">
        <f>IF('Übung 06'!BC$42="","",'Übung 06'!BC$42)</f>
        <v/>
      </c>
      <c r="I699" s="62">
        <f>IF('Übung 07'!BC$42="","",'Übung 07'!BC$42)</f>
        <v/>
      </c>
      <c r="J699" s="62">
        <f>IF('Übung 08'!BC$42="","",'Übung 08'!BC$42)</f>
        <v/>
      </c>
      <c r="K699" s="62">
        <f>IF('Übung 09'!BC$42="","",'Übung 09'!BC$42)</f>
        <v/>
      </c>
      <c r="L699" s="62">
        <f>IF('Übung 10'!BC$42="","",'Übung 10'!BC$42)</f>
        <v/>
      </c>
      <c r="M699" s="62">
        <f>IF('Übung 11'!BC$42="","",'Übung 11'!BC$42)</f>
        <v/>
      </c>
      <c r="N699" s="62">
        <f>IF('Übung 12'!BC$42="","",'Übung 12'!BC$42)</f>
        <v/>
      </c>
      <c r="O699" s="62">
        <f>IF('Übung 13'!BC$42="","",'Übung 13'!BC$42)</f>
        <v/>
      </c>
      <c r="P699" s="62">
        <f>IF('Übung 14'!BC$42="","",'Übung 14'!BC$42)</f>
        <v/>
      </c>
      <c r="Q699" s="62">
        <f>IF('Übung 15'!BC$42="","",'Übung 15'!BC$42)</f>
        <v/>
      </c>
      <c r="R699" s="62">
        <f>IF('Übung 16'!BC$42="","",'Übung 16'!BC$42)</f>
        <v/>
      </c>
      <c r="S699" s="62">
        <f>IF('Übung 17'!BC$42="","",'Übung 17'!BC$42)</f>
        <v/>
      </c>
      <c r="T699" s="62">
        <f>IF('Übung 18'!BC$42="","",'Übung 18'!BC$42)</f>
        <v/>
      </c>
      <c r="U699" s="62">
        <f>IF('Übung 19'!BC$42="","",'Übung 19'!BC$42)</f>
        <v/>
      </c>
      <c r="V699" s="62">
        <f>IF('Übung 20'!BC$42="","",'Übung 20'!BC$42)</f>
        <v/>
      </c>
    </row>
    <row r="700">
      <c r="C700" s="62">
        <f>IF('Übung 01'!BE$42="","",'Übung 01'!BE$42)</f>
        <v/>
      </c>
      <c r="D700" s="62">
        <f>IF('Übung 02'!BE$42="","",'Übung 02'!BE$42)</f>
        <v/>
      </c>
      <c r="E700" s="62">
        <f>IF('Übung 03'!BE$42="","",'Übung 03'!BE$42)</f>
        <v/>
      </c>
      <c r="F700" s="62">
        <f>IF('Übung 04'!BE$42="","",'Übung 04'!BE$42)</f>
        <v/>
      </c>
      <c r="G700" s="62">
        <f>IF('Übung 05'!BE$42="","",'Übung 05'!BE$42)</f>
        <v/>
      </c>
      <c r="H700" s="62">
        <f>IF('Übung 06'!BE$42="","",'Übung 06'!BE$42)</f>
        <v/>
      </c>
      <c r="I700" s="62">
        <f>IF('Übung 07'!BE$42="","",'Übung 07'!BE$42)</f>
        <v/>
      </c>
      <c r="J700" s="62">
        <f>IF('Übung 08'!BE$42="","",'Übung 08'!BE$42)</f>
        <v/>
      </c>
      <c r="K700" s="62">
        <f>IF('Übung 09'!BE$42="","",'Übung 09'!BE$42)</f>
        <v/>
      </c>
      <c r="L700" s="62">
        <f>IF('Übung 10'!BE$42="","",'Übung 10'!BE$42)</f>
        <v/>
      </c>
      <c r="M700" s="62">
        <f>IF('Übung 11'!BE$42="","",'Übung 11'!BE$42)</f>
        <v/>
      </c>
      <c r="N700" s="62">
        <f>IF('Übung 12'!BE$42="","",'Übung 12'!BE$42)</f>
        <v/>
      </c>
      <c r="O700" s="62">
        <f>IF('Übung 13'!BE$42="","",'Übung 13'!BE$42)</f>
        <v/>
      </c>
      <c r="P700" s="62">
        <f>IF('Übung 14'!BE$42="","",'Übung 14'!BE$42)</f>
        <v/>
      </c>
      <c r="Q700" s="62">
        <f>IF('Übung 15'!BE$42="","",'Übung 15'!BE$42)</f>
        <v/>
      </c>
      <c r="R700" s="62">
        <f>IF('Übung 16'!BE$42="","",'Übung 16'!BE$42)</f>
        <v/>
      </c>
      <c r="S700" s="62">
        <f>IF('Übung 17'!BE$42="","",'Übung 17'!BE$42)</f>
        <v/>
      </c>
      <c r="T700" s="62">
        <f>IF('Übung 18'!BE$42="","",'Übung 18'!BE$42)</f>
        <v/>
      </c>
      <c r="U700" s="62">
        <f>IF('Übung 19'!BE$42="","",'Übung 19'!BE$42)</f>
        <v/>
      </c>
      <c r="V700" s="62">
        <f>IF('Übung 20'!BE$42="","",'Übung 20'!BE$42)</f>
        <v/>
      </c>
    </row>
    <row r="701">
      <c r="C701" s="62">
        <f>IF('Übung 01'!BF$42="","",'Übung 01'!BF$42)</f>
        <v/>
      </c>
      <c r="D701" s="62">
        <f>IF('Übung 02'!BF$42="","",'Übung 02'!BF$42)</f>
        <v/>
      </c>
      <c r="E701" s="62">
        <f>IF('Übung 03'!BF$42="","",'Übung 03'!BF$42)</f>
        <v/>
      </c>
      <c r="F701" s="62">
        <f>IF('Übung 04'!BF$42="","",'Übung 04'!BF$42)</f>
        <v/>
      </c>
      <c r="G701" s="62">
        <f>IF('Übung 05'!BF$42="","",'Übung 05'!BF$42)</f>
        <v/>
      </c>
      <c r="H701" s="62">
        <f>IF('Übung 06'!BF$42="","",'Übung 06'!BF$42)</f>
        <v/>
      </c>
      <c r="I701" s="62">
        <f>IF('Übung 07'!BF$42="","",'Übung 07'!BF$42)</f>
        <v/>
      </c>
      <c r="J701" s="62">
        <f>IF('Übung 08'!BF$42="","",'Übung 08'!BF$42)</f>
        <v/>
      </c>
      <c r="K701" s="62">
        <f>IF('Übung 09'!BF$42="","",'Übung 09'!BF$42)</f>
        <v/>
      </c>
      <c r="L701" s="62">
        <f>IF('Übung 10'!BF$42="","",'Übung 10'!BF$42)</f>
        <v/>
      </c>
      <c r="M701" s="62">
        <f>IF('Übung 11'!BF$42="","",'Übung 11'!BF$42)</f>
        <v/>
      </c>
      <c r="N701" s="62">
        <f>IF('Übung 12'!BF$42="","",'Übung 12'!BF$42)</f>
        <v/>
      </c>
      <c r="O701" s="62">
        <f>IF('Übung 13'!BF$42="","",'Übung 13'!BF$42)</f>
        <v/>
      </c>
      <c r="P701" s="62">
        <f>IF('Übung 14'!BF$42="","",'Übung 14'!BF$42)</f>
        <v/>
      </c>
      <c r="Q701" s="62">
        <f>IF('Übung 15'!BF$42="","",'Übung 15'!BF$42)</f>
        <v/>
      </c>
      <c r="R701" s="62">
        <f>IF('Übung 16'!BF$42="","",'Übung 16'!BF$42)</f>
        <v/>
      </c>
      <c r="S701" s="62">
        <f>IF('Übung 17'!BF$42="","",'Übung 17'!BF$42)</f>
        <v/>
      </c>
      <c r="T701" s="62">
        <f>IF('Übung 18'!BF$42="","",'Übung 18'!BF$42)</f>
        <v/>
      </c>
      <c r="U701" s="62">
        <f>IF('Übung 19'!BF$42="","",'Übung 19'!BF$42)</f>
        <v/>
      </c>
      <c r="V701" s="62">
        <f>IF('Übung 20'!BF$42="","",'Übung 20'!BF$42)</f>
        <v/>
      </c>
    </row>
    <row r="702">
      <c r="C702" s="62">
        <f>IF('Übung 01'!BG$42="","",'Übung 01'!BG$42)</f>
        <v/>
      </c>
      <c r="D702" s="62">
        <f>IF('Übung 02'!BG$42="","",'Übung 02'!BG$42)</f>
        <v/>
      </c>
      <c r="E702" s="62">
        <f>IF('Übung 03'!BG$42="","",'Übung 03'!BG$42)</f>
        <v/>
      </c>
      <c r="F702" s="62">
        <f>IF('Übung 04'!BG$42="","",'Übung 04'!BG$42)</f>
        <v/>
      </c>
      <c r="G702" s="62">
        <f>IF('Übung 05'!BG$42="","",'Übung 05'!BG$42)</f>
        <v/>
      </c>
      <c r="H702" s="62">
        <f>IF('Übung 06'!BG$42="","",'Übung 06'!BG$42)</f>
        <v/>
      </c>
      <c r="I702" s="62">
        <f>IF('Übung 07'!BG$42="","",'Übung 07'!BG$42)</f>
        <v/>
      </c>
      <c r="J702" s="62">
        <f>IF('Übung 08'!BG$42="","",'Übung 08'!BG$42)</f>
        <v/>
      </c>
      <c r="K702" s="62">
        <f>IF('Übung 09'!BG$42="","",'Übung 09'!BG$42)</f>
        <v/>
      </c>
      <c r="L702" s="62">
        <f>IF('Übung 10'!BG$42="","",'Übung 10'!BG$42)</f>
        <v/>
      </c>
      <c r="M702" s="62">
        <f>IF('Übung 11'!BG$42="","",'Übung 11'!BG$42)</f>
        <v/>
      </c>
      <c r="N702" s="62">
        <f>IF('Übung 12'!BG$42="","",'Übung 12'!BG$42)</f>
        <v/>
      </c>
      <c r="O702" s="62">
        <f>IF('Übung 13'!BG$42="","",'Übung 13'!BG$42)</f>
        <v/>
      </c>
      <c r="P702" s="62">
        <f>IF('Übung 14'!BG$42="","",'Übung 14'!BG$42)</f>
        <v/>
      </c>
      <c r="Q702" s="62">
        <f>IF('Übung 15'!BG$42="","",'Übung 15'!BG$42)</f>
        <v/>
      </c>
      <c r="R702" s="62">
        <f>IF('Übung 16'!BG$42="","",'Übung 16'!BG$42)</f>
        <v/>
      </c>
      <c r="S702" s="62">
        <f>IF('Übung 17'!BG$42="","",'Übung 17'!BG$42)</f>
        <v/>
      </c>
      <c r="T702" s="62">
        <f>IF('Übung 18'!BG$42="","",'Übung 18'!BG$42)</f>
        <v/>
      </c>
      <c r="U702" s="62">
        <f>IF('Übung 19'!BG$42="","",'Übung 19'!BG$42)</f>
        <v/>
      </c>
      <c r="V702" s="62">
        <f>IF('Übung 20'!BG$42="","",'Übung 20'!BG$42)</f>
        <v/>
      </c>
    </row>
    <row r="703">
      <c r="C703" s="62">
        <f>IF('Übung 01'!BH$42="","",'Übung 01'!BH$42)</f>
        <v/>
      </c>
      <c r="D703" s="62">
        <f>IF('Übung 02'!BH$42="","",'Übung 02'!BH$42)</f>
        <v/>
      </c>
      <c r="E703" s="62">
        <f>IF('Übung 03'!BH$42="","",'Übung 03'!BH$42)</f>
        <v/>
      </c>
      <c r="F703" s="62">
        <f>IF('Übung 04'!BH$42="","",'Übung 04'!BH$42)</f>
        <v/>
      </c>
      <c r="G703" s="62">
        <f>IF('Übung 05'!BH$42="","",'Übung 05'!BH$42)</f>
        <v/>
      </c>
      <c r="H703" s="62">
        <f>IF('Übung 06'!BH$42="","",'Übung 06'!BH$42)</f>
        <v/>
      </c>
      <c r="I703" s="62">
        <f>IF('Übung 07'!BH$42="","",'Übung 07'!BH$42)</f>
        <v/>
      </c>
      <c r="J703" s="62">
        <f>IF('Übung 08'!BH$42="","",'Übung 08'!BH$42)</f>
        <v/>
      </c>
      <c r="K703" s="62">
        <f>IF('Übung 09'!BH$42="","",'Übung 09'!BH$42)</f>
        <v/>
      </c>
      <c r="L703" s="62">
        <f>IF('Übung 10'!BH$42="","",'Übung 10'!BH$42)</f>
        <v/>
      </c>
      <c r="M703" s="62">
        <f>IF('Übung 11'!BH$42="","",'Übung 11'!BH$42)</f>
        <v/>
      </c>
      <c r="N703" s="62">
        <f>IF('Übung 12'!BH$42="","",'Übung 12'!BH$42)</f>
        <v/>
      </c>
      <c r="O703" s="62">
        <f>IF('Übung 13'!BH$42="","",'Übung 13'!BH$42)</f>
        <v/>
      </c>
      <c r="P703" s="62">
        <f>IF('Übung 14'!BH$42="","",'Übung 14'!BH$42)</f>
        <v/>
      </c>
      <c r="Q703" s="62">
        <f>IF('Übung 15'!BH$42="","",'Übung 15'!BH$42)</f>
        <v/>
      </c>
      <c r="R703" s="62">
        <f>IF('Übung 16'!BH$42="","",'Übung 16'!BH$42)</f>
        <v/>
      </c>
      <c r="S703" s="62">
        <f>IF('Übung 17'!BH$42="","",'Übung 17'!BH$42)</f>
        <v/>
      </c>
      <c r="T703" s="62">
        <f>IF('Übung 18'!BH$42="","",'Übung 18'!BH$42)</f>
        <v/>
      </c>
      <c r="U703" s="62">
        <f>IF('Übung 19'!BH$42="","",'Übung 19'!BH$42)</f>
        <v/>
      </c>
      <c r="V703" s="62">
        <f>IF('Übung 20'!BH$42="","",'Übung 20'!BH$42)</f>
        <v/>
      </c>
    </row>
    <row r="704">
      <c r="C704" s="62">
        <f>IF('Übung 01'!BI$42="","",'Übung 01'!BI$42)</f>
        <v/>
      </c>
      <c r="D704" s="62">
        <f>IF('Übung 02'!BI$42="","",'Übung 02'!BI$42)</f>
        <v/>
      </c>
      <c r="E704" s="62">
        <f>IF('Übung 03'!BI$42="","",'Übung 03'!BI$42)</f>
        <v/>
      </c>
      <c r="F704" s="62">
        <f>IF('Übung 04'!BI$42="","",'Übung 04'!BI$42)</f>
        <v/>
      </c>
      <c r="G704" s="62">
        <f>IF('Übung 05'!BI$42="","",'Übung 05'!BI$42)</f>
        <v/>
      </c>
      <c r="H704" s="62">
        <f>IF('Übung 06'!BI$42="","",'Übung 06'!BI$42)</f>
        <v/>
      </c>
      <c r="I704" s="62">
        <f>IF('Übung 07'!BI$42="","",'Übung 07'!BI$42)</f>
        <v/>
      </c>
      <c r="J704" s="62">
        <f>IF('Übung 08'!BI$42="","",'Übung 08'!BI$42)</f>
        <v/>
      </c>
      <c r="K704" s="62">
        <f>IF('Übung 09'!BI$42="","",'Übung 09'!BI$42)</f>
        <v/>
      </c>
      <c r="L704" s="62">
        <f>IF('Übung 10'!BI$42="","",'Übung 10'!BI$42)</f>
        <v/>
      </c>
      <c r="M704" s="62">
        <f>IF('Übung 11'!BI$42="","",'Übung 11'!BI$42)</f>
        <v/>
      </c>
      <c r="N704" s="62">
        <f>IF('Übung 12'!BI$42="","",'Übung 12'!BI$42)</f>
        <v/>
      </c>
      <c r="O704" s="62">
        <f>IF('Übung 13'!BI$42="","",'Übung 13'!BI$42)</f>
        <v/>
      </c>
      <c r="P704" s="62">
        <f>IF('Übung 14'!BI$42="","",'Übung 14'!BI$42)</f>
        <v/>
      </c>
      <c r="Q704" s="62">
        <f>IF('Übung 15'!BI$42="","",'Übung 15'!BI$42)</f>
        <v/>
      </c>
      <c r="R704" s="62">
        <f>IF('Übung 16'!BI$42="","",'Übung 16'!BI$42)</f>
        <v/>
      </c>
      <c r="S704" s="62">
        <f>IF('Übung 17'!BI$42="","",'Übung 17'!BI$42)</f>
        <v/>
      </c>
      <c r="T704" s="62">
        <f>IF('Übung 18'!BI$42="","",'Übung 18'!BI$42)</f>
        <v/>
      </c>
      <c r="U704" s="62">
        <f>IF('Übung 19'!BI$42="","",'Übung 19'!BI$42)</f>
        <v/>
      </c>
      <c r="V704" s="62">
        <f>IF('Übung 20'!BI$42="","",'Übung 20'!BI$42)</f>
        <v/>
      </c>
    </row>
    <row r="705">
      <c r="C705" s="62">
        <f>IF('Übung 01'!BJ$42="","",'Übung 01'!BJ$42)</f>
        <v/>
      </c>
      <c r="D705" s="62">
        <f>IF('Übung 02'!BJ$42="","",'Übung 02'!BJ$42)</f>
        <v/>
      </c>
      <c r="E705" s="62">
        <f>IF('Übung 03'!BJ$42="","",'Übung 03'!BJ$42)</f>
        <v/>
      </c>
      <c r="F705" s="62">
        <f>IF('Übung 04'!BJ$42="","",'Übung 04'!BJ$42)</f>
        <v/>
      </c>
      <c r="G705" s="62">
        <f>IF('Übung 05'!BJ$42="","",'Übung 05'!BJ$42)</f>
        <v/>
      </c>
      <c r="H705" s="62">
        <f>IF('Übung 06'!BJ$42="","",'Übung 06'!BJ$42)</f>
        <v/>
      </c>
      <c r="I705" s="62">
        <f>IF('Übung 07'!BJ$42="","",'Übung 07'!BJ$42)</f>
        <v/>
      </c>
      <c r="J705" s="62">
        <f>IF('Übung 08'!BJ$42="","",'Übung 08'!BJ$42)</f>
        <v/>
      </c>
      <c r="K705" s="62">
        <f>IF('Übung 09'!BJ$42="","",'Übung 09'!BJ$42)</f>
        <v/>
      </c>
      <c r="L705" s="62">
        <f>IF('Übung 10'!BJ$42="","",'Übung 10'!BJ$42)</f>
        <v/>
      </c>
      <c r="M705" s="62">
        <f>IF('Übung 11'!BJ$42="","",'Übung 11'!BJ$42)</f>
        <v/>
      </c>
      <c r="N705" s="62">
        <f>IF('Übung 12'!BJ$42="","",'Übung 12'!BJ$42)</f>
        <v/>
      </c>
      <c r="O705" s="62">
        <f>IF('Übung 13'!BJ$42="","",'Übung 13'!BJ$42)</f>
        <v/>
      </c>
      <c r="P705" s="62">
        <f>IF('Übung 14'!BJ$42="","",'Übung 14'!BJ$42)</f>
        <v/>
      </c>
      <c r="Q705" s="62">
        <f>IF('Übung 15'!BJ$42="","",'Übung 15'!BJ$42)</f>
        <v/>
      </c>
      <c r="R705" s="62">
        <f>IF('Übung 16'!BJ$42="","",'Übung 16'!BJ$42)</f>
        <v/>
      </c>
      <c r="S705" s="62">
        <f>IF('Übung 17'!BJ$42="","",'Übung 17'!BJ$42)</f>
        <v/>
      </c>
      <c r="T705" s="62">
        <f>IF('Übung 18'!BJ$42="","",'Übung 18'!BJ$42)</f>
        <v/>
      </c>
      <c r="U705" s="62">
        <f>IF('Übung 19'!BJ$42="","",'Übung 19'!BJ$42)</f>
        <v/>
      </c>
      <c r="V705" s="62">
        <f>IF('Übung 20'!BJ$42="","",'Übung 20'!BJ$42)</f>
        <v/>
      </c>
    </row>
    <row r="706">
      <c r="C706" s="62">
        <f>IF('Übung 01'!BK$42="","",'Übung 01'!BK$42)</f>
        <v/>
      </c>
      <c r="D706" s="62">
        <f>IF('Übung 02'!BK$42="","",'Übung 02'!BK$42)</f>
        <v/>
      </c>
      <c r="E706" s="62">
        <f>IF('Übung 03'!BK$42="","",'Übung 03'!BK$42)</f>
        <v/>
      </c>
      <c r="F706" s="62">
        <f>IF('Übung 04'!BK$42="","",'Übung 04'!BK$42)</f>
        <v/>
      </c>
      <c r="G706" s="62">
        <f>IF('Übung 05'!BK$42="","",'Übung 05'!BK$42)</f>
        <v/>
      </c>
      <c r="H706" s="62">
        <f>IF('Übung 06'!BK$42="","",'Übung 06'!BK$42)</f>
        <v/>
      </c>
      <c r="I706" s="62">
        <f>IF('Übung 07'!BK$42="","",'Übung 07'!BK$42)</f>
        <v/>
      </c>
      <c r="J706" s="62">
        <f>IF('Übung 08'!BK$42="","",'Übung 08'!BK$42)</f>
        <v/>
      </c>
      <c r="K706" s="62">
        <f>IF('Übung 09'!BK$42="","",'Übung 09'!BK$42)</f>
        <v/>
      </c>
      <c r="L706" s="62">
        <f>IF('Übung 10'!BK$42="","",'Übung 10'!BK$42)</f>
        <v/>
      </c>
      <c r="M706" s="62">
        <f>IF('Übung 11'!BK$42="","",'Übung 11'!BK$42)</f>
        <v/>
      </c>
      <c r="N706" s="62">
        <f>IF('Übung 12'!BK$42="","",'Übung 12'!BK$42)</f>
        <v/>
      </c>
      <c r="O706" s="62">
        <f>IF('Übung 13'!BK$42="","",'Übung 13'!BK$42)</f>
        <v/>
      </c>
      <c r="P706" s="62">
        <f>IF('Übung 14'!BK$42="","",'Übung 14'!BK$42)</f>
        <v/>
      </c>
      <c r="Q706" s="62">
        <f>IF('Übung 15'!BK$42="","",'Übung 15'!BK$42)</f>
        <v/>
      </c>
      <c r="R706" s="62">
        <f>IF('Übung 16'!BK$42="","",'Übung 16'!BK$42)</f>
        <v/>
      </c>
      <c r="S706" s="62">
        <f>IF('Übung 17'!BK$42="","",'Übung 17'!BK$42)</f>
        <v/>
      </c>
      <c r="T706" s="62">
        <f>IF('Übung 18'!BK$42="","",'Übung 18'!BK$42)</f>
        <v/>
      </c>
      <c r="U706" s="62">
        <f>IF('Übung 19'!BK$42="","",'Übung 19'!BK$42)</f>
        <v/>
      </c>
      <c r="V706" s="62">
        <f>IF('Übung 20'!BK$42="","",'Übung 20'!BK$42)</f>
        <v/>
      </c>
    </row>
    <row r="707">
      <c r="C707" s="62">
        <f>IF('Übung 01'!BL$42="","",'Übung 01'!BL$42)</f>
        <v/>
      </c>
      <c r="D707" s="62">
        <f>IF('Übung 02'!BL$42="","",'Übung 02'!BL$42)</f>
        <v/>
      </c>
      <c r="E707" s="62">
        <f>IF('Übung 03'!BL$42="","",'Übung 03'!BL$42)</f>
        <v/>
      </c>
      <c r="F707" s="62">
        <f>IF('Übung 04'!BL$42="","",'Übung 04'!BL$42)</f>
        <v/>
      </c>
      <c r="G707" s="62">
        <f>IF('Übung 05'!BL$42="","",'Übung 05'!BL$42)</f>
        <v/>
      </c>
      <c r="H707" s="62">
        <f>IF('Übung 06'!BL$42="","",'Übung 06'!BL$42)</f>
        <v/>
      </c>
      <c r="I707" s="62">
        <f>IF('Übung 07'!BL$42="","",'Übung 07'!BL$42)</f>
        <v/>
      </c>
      <c r="J707" s="62">
        <f>IF('Übung 08'!BL$42="","",'Übung 08'!BL$42)</f>
        <v/>
      </c>
      <c r="K707" s="62">
        <f>IF('Übung 09'!BL$42="","",'Übung 09'!BL$42)</f>
        <v/>
      </c>
      <c r="L707" s="62">
        <f>IF('Übung 10'!BL$42="","",'Übung 10'!BL$42)</f>
        <v/>
      </c>
      <c r="M707" s="62">
        <f>IF('Übung 11'!BL$42="","",'Übung 11'!BL$42)</f>
        <v/>
      </c>
      <c r="N707" s="62">
        <f>IF('Übung 12'!BL$42="","",'Übung 12'!BL$42)</f>
        <v/>
      </c>
      <c r="O707" s="62">
        <f>IF('Übung 13'!BL$42="","",'Übung 13'!BL$42)</f>
        <v/>
      </c>
      <c r="P707" s="62">
        <f>IF('Übung 14'!BL$42="","",'Übung 14'!BL$42)</f>
        <v/>
      </c>
      <c r="Q707" s="62">
        <f>IF('Übung 15'!BL$42="","",'Übung 15'!BL$42)</f>
        <v/>
      </c>
      <c r="R707" s="62">
        <f>IF('Übung 16'!BL$42="","",'Übung 16'!BL$42)</f>
        <v/>
      </c>
      <c r="S707" s="62">
        <f>IF('Übung 17'!BL$42="","",'Übung 17'!BL$42)</f>
        <v/>
      </c>
      <c r="T707" s="62">
        <f>IF('Übung 18'!BL$42="","",'Übung 18'!BL$42)</f>
        <v/>
      </c>
      <c r="U707" s="62">
        <f>IF('Übung 19'!BL$42="","",'Übung 19'!BL$42)</f>
        <v/>
      </c>
      <c r="V707" s="62">
        <f>IF('Übung 20'!BL$42="","",'Übung 20'!BL$42)</f>
        <v/>
      </c>
    </row>
    <row r="708">
      <c r="C708" s="62">
        <f>IF('Übung 01'!BM$42="","",'Übung 01'!BM$42)</f>
        <v/>
      </c>
      <c r="D708" s="62">
        <f>IF('Übung 02'!BM$42="","",'Übung 02'!BM$42)</f>
        <v/>
      </c>
      <c r="E708" s="62">
        <f>IF('Übung 03'!BM$42="","",'Übung 03'!BM$42)</f>
        <v/>
      </c>
      <c r="F708" s="62">
        <f>IF('Übung 04'!BM$42="","",'Übung 04'!BM$42)</f>
        <v/>
      </c>
      <c r="G708" s="62">
        <f>IF('Übung 05'!BM$42="","",'Übung 05'!BM$42)</f>
        <v/>
      </c>
      <c r="H708" s="62">
        <f>IF('Übung 06'!BM$42="","",'Übung 06'!BM$42)</f>
        <v/>
      </c>
      <c r="I708" s="62">
        <f>IF('Übung 07'!BM$42="","",'Übung 07'!BM$42)</f>
        <v/>
      </c>
      <c r="J708" s="62">
        <f>IF('Übung 08'!BM$42="","",'Übung 08'!BM$42)</f>
        <v/>
      </c>
      <c r="K708" s="62">
        <f>IF('Übung 09'!BM$42="","",'Übung 09'!BM$42)</f>
        <v/>
      </c>
      <c r="L708" s="62">
        <f>IF('Übung 10'!BM$42="","",'Übung 10'!BM$42)</f>
        <v/>
      </c>
      <c r="M708" s="62">
        <f>IF('Übung 11'!BM$42="","",'Übung 11'!BM$42)</f>
        <v/>
      </c>
      <c r="N708" s="62">
        <f>IF('Übung 12'!BM$42="","",'Übung 12'!BM$42)</f>
        <v/>
      </c>
      <c r="O708" s="62">
        <f>IF('Übung 13'!BM$42="","",'Übung 13'!BM$42)</f>
        <v/>
      </c>
      <c r="P708" s="62">
        <f>IF('Übung 14'!BM$42="","",'Übung 14'!BM$42)</f>
        <v/>
      </c>
      <c r="Q708" s="62">
        <f>IF('Übung 15'!BM$42="","",'Übung 15'!BM$42)</f>
        <v/>
      </c>
      <c r="R708" s="62">
        <f>IF('Übung 16'!BM$42="","",'Übung 16'!BM$42)</f>
        <v/>
      </c>
      <c r="S708" s="62">
        <f>IF('Übung 17'!BM$42="","",'Übung 17'!BM$42)</f>
        <v/>
      </c>
      <c r="T708" s="62">
        <f>IF('Übung 18'!BM$42="","",'Übung 18'!BM$42)</f>
        <v/>
      </c>
      <c r="U708" s="62">
        <f>IF('Übung 19'!BM$42="","",'Übung 19'!BM$42)</f>
        <v/>
      </c>
      <c r="V708" s="62">
        <f>IF('Übung 20'!BM$42="","",'Übung 20'!BM$42)</f>
        <v/>
      </c>
    </row>
    <row r="709">
      <c r="C709" s="62">
        <f>IF('Übung 01'!BN$42="","",'Übung 01'!BN$42)</f>
        <v/>
      </c>
      <c r="D709" s="62">
        <f>IF('Übung 02'!BN$42="","",'Übung 02'!BN$42)</f>
        <v/>
      </c>
      <c r="E709" s="62">
        <f>IF('Übung 03'!BN$42="","",'Übung 03'!BN$42)</f>
        <v/>
      </c>
      <c r="F709" s="62">
        <f>IF('Übung 04'!BN$42="","",'Übung 04'!BN$42)</f>
        <v/>
      </c>
      <c r="G709" s="62">
        <f>IF('Übung 05'!BN$42="","",'Übung 05'!BN$42)</f>
        <v/>
      </c>
      <c r="H709" s="62">
        <f>IF('Übung 06'!BN$42="","",'Übung 06'!BN$42)</f>
        <v/>
      </c>
      <c r="I709" s="62">
        <f>IF('Übung 07'!BN$42="","",'Übung 07'!BN$42)</f>
        <v/>
      </c>
      <c r="J709" s="62">
        <f>IF('Übung 08'!BN$42="","",'Übung 08'!BN$42)</f>
        <v/>
      </c>
      <c r="K709" s="62">
        <f>IF('Übung 09'!BN$42="","",'Übung 09'!BN$42)</f>
        <v/>
      </c>
      <c r="L709" s="62">
        <f>IF('Übung 10'!BN$42="","",'Übung 10'!BN$42)</f>
        <v/>
      </c>
      <c r="M709" s="62">
        <f>IF('Übung 11'!BN$42="","",'Übung 11'!BN$42)</f>
        <v/>
      </c>
      <c r="N709" s="62">
        <f>IF('Übung 12'!BN$42="","",'Übung 12'!BN$42)</f>
        <v/>
      </c>
      <c r="O709" s="62">
        <f>IF('Übung 13'!BN$42="","",'Übung 13'!BN$42)</f>
        <v/>
      </c>
      <c r="P709" s="62">
        <f>IF('Übung 14'!BN$42="","",'Übung 14'!BN$42)</f>
        <v/>
      </c>
      <c r="Q709" s="62">
        <f>IF('Übung 15'!BN$42="","",'Übung 15'!BN$42)</f>
        <v/>
      </c>
      <c r="R709" s="62">
        <f>IF('Übung 16'!BN$42="","",'Übung 16'!BN$42)</f>
        <v/>
      </c>
      <c r="S709" s="62">
        <f>IF('Übung 17'!BN$42="","",'Übung 17'!BN$42)</f>
        <v/>
      </c>
      <c r="T709" s="62">
        <f>IF('Übung 18'!BN$42="","",'Übung 18'!BN$42)</f>
        <v/>
      </c>
      <c r="U709" s="62">
        <f>IF('Übung 19'!BN$42="","",'Übung 19'!BN$42)</f>
        <v/>
      </c>
      <c r="V709" s="62">
        <f>IF('Übung 20'!BN$42="","",'Übung 20'!BN$42)</f>
        <v/>
      </c>
    </row>
    <row r="710">
      <c r="C710" s="62">
        <f>IF('Übung 01'!BO$42="","",'Übung 01'!BO$42)</f>
        <v/>
      </c>
      <c r="D710" s="62">
        <f>IF('Übung 02'!BO$42="","",'Übung 02'!BO$42)</f>
        <v/>
      </c>
      <c r="E710" s="62">
        <f>IF('Übung 03'!BO$42="","",'Übung 03'!BO$42)</f>
        <v/>
      </c>
      <c r="F710" s="62">
        <f>IF('Übung 04'!BO$42="","",'Übung 04'!BO$42)</f>
        <v/>
      </c>
      <c r="G710" s="62">
        <f>IF('Übung 05'!BO$42="","",'Übung 05'!BO$42)</f>
        <v/>
      </c>
      <c r="H710" s="62">
        <f>IF('Übung 06'!BO$42="","",'Übung 06'!BO$42)</f>
        <v/>
      </c>
      <c r="I710" s="62">
        <f>IF('Übung 07'!BO$42="","",'Übung 07'!BO$42)</f>
        <v/>
      </c>
      <c r="J710" s="62">
        <f>IF('Übung 08'!BO$42="","",'Übung 08'!BO$42)</f>
        <v/>
      </c>
      <c r="K710" s="62">
        <f>IF('Übung 09'!BO$42="","",'Übung 09'!BO$42)</f>
        <v/>
      </c>
      <c r="L710" s="62">
        <f>IF('Übung 10'!BO$42="","",'Übung 10'!BO$42)</f>
        <v/>
      </c>
      <c r="M710" s="62">
        <f>IF('Übung 11'!BO$42="","",'Übung 11'!BO$42)</f>
        <v/>
      </c>
      <c r="N710" s="62">
        <f>IF('Übung 12'!BO$42="","",'Übung 12'!BO$42)</f>
        <v/>
      </c>
      <c r="O710" s="62">
        <f>IF('Übung 13'!BO$42="","",'Übung 13'!BO$42)</f>
        <v/>
      </c>
      <c r="P710" s="62">
        <f>IF('Übung 14'!BO$42="","",'Übung 14'!BO$42)</f>
        <v/>
      </c>
      <c r="Q710" s="62">
        <f>IF('Übung 15'!BO$42="","",'Übung 15'!BO$42)</f>
        <v/>
      </c>
      <c r="R710" s="62">
        <f>IF('Übung 16'!BO$42="","",'Übung 16'!BO$42)</f>
        <v/>
      </c>
      <c r="S710" s="62">
        <f>IF('Übung 17'!BO$42="","",'Übung 17'!BO$42)</f>
        <v/>
      </c>
      <c r="T710" s="62">
        <f>IF('Übung 18'!BO$42="","",'Übung 18'!BO$42)</f>
        <v/>
      </c>
      <c r="U710" s="62">
        <f>IF('Übung 19'!BO$42="","",'Übung 19'!BO$42)</f>
        <v/>
      </c>
      <c r="V710" s="62">
        <f>IF('Übung 20'!BO$42="","",'Übung 20'!BO$42)</f>
        <v/>
      </c>
    </row>
    <row r="711">
      <c r="C711" s="62">
        <f>IF('Übung 01'!BP$42="","",'Übung 01'!BP$42)</f>
        <v/>
      </c>
      <c r="D711" s="62">
        <f>IF('Übung 02'!BP$42="","",'Übung 02'!BP$42)</f>
        <v/>
      </c>
      <c r="E711" s="62">
        <f>IF('Übung 03'!BP$42="","",'Übung 03'!BP$42)</f>
        <v/>
      </c>
      <c r="F711" s="62">
        <f>IF('Übung 04'!BP$42="","",'Übung 04'!BP$42)</f>
        <v/>
      </c>
      <c r="G711" s="62">
        <f>IF('Übung 05'!BP$42="","",'Übung 05'!BP$42)</f>
        <v/>
      </c>
      <c r="H711" s="62">
        <f>IF('Übung 06'!BP$42="","",'Übung 06'!BP$42)</f>
        <v/>
      </c>
      <c r="I711" s="62">
        <f>IF('Übung 07'!BP$42="","",'Übung 07'!BP$42)</f>
        <v/>
      </c>
      <c r="J711" s="62">
        <f>IF('Übung 08'!BP$42="","",'Übung 08'!BP$42)</f>
        <v/>
      </c>
      <c r="K711" s="62">
        <f>IF('Übung 09'!BP$42="","",'Übung 09'!BP$42)</f>
        <v/>
      </c>
      <c r="L711" s="62">
        <f>IF('Übung 10'!BP$42="","",'Übung 10'!BP$42)</f>
        <v/>
      </c>
      <c r="M711" s="62">
        <f>IF('Übung 11'!BP$42="","",'Übung 11'!BP$42)</f>
        <v/>
      </c>
      <c r="N711" s="62">
        <f>IF('Übung 12'!BP$42="","",'Übung 12'!BP$42)</f>
        <v/>
      </c>
      <c r="O711" s="62">
        <f>IF('Übung 13'!BP$42="","",'Übung 13'!BP$42)</f>
        <v/>
      </c>
      <c r="P711" s="62">
        <f>IF('Übung 14'!BP$42="","",'Übung 14'!BP$42)</f>
        <v/>
      </c>
      <c r="Q711" s="62">
        <f>IF('Übung 15'!BP$42="","",'Übung 15'!BP$42)</f>
        <v/>
      </c>
      <c r="R711" s="62">
        <f>IF('Übung 16'!BP$42="","",'Übung 16'!BP$42)</f>
        <v/>
      </c>
      <c r="S711" s="62">
        <f>IF('Übung 17'!BP$42="","",'Übung 17'!BP$42)</f>
        <v/>
      </c>
      <c r="T711" s="62">
        <f>IF('Übung 18'!BP$42="","",'Übung 18'!BP$42)</f>
        <v/>
      </c>
      <c r="U711" s="62">
        <f>IF('Übung 19'!BP$42="","",'Übung 19'!BP$42)</f>
        <v/>
      </c>
      <c r="V711" s="62">
        <f>IF('Übung 20'!BP$42="","",'Übung 20'!BP$42)</f>
        <v/>
      </c>
    </row>
    <row r="712">
      <c r="C712" s="62">
        <f>IF('Übung 01'!BQ$42="","",'Übung 01'!BQ$42)</f>
        <v/>
      </c>
      <c r="D712" s="62">
        <f>IF('Übung 02'!BQ$42="","",'Übung 02'!BQ$42)</f>
        <v/>
      </c>
      <c r="E712" s="62">
        <f>IF('Übung 03'!BQ$42="","",'Übung 03'!BQ$42)</f>
        <v/>
      </c>
      <c r="F712" s="62">
        <f>IF('Übung 04'!BQ$42="","",'Übung 04'!BQ$42)</f>
        <v/>
      </c>
      <c r="G712" s="62">
        <f>IF('Übung 05'!BQ$42="","",'Übung 05'!BQ$42)</f>
        <v/>
      </c>
      <c r="H712" s="62">
        <f>IF('Übung 06'!BQ$42="","",'Übung 06'!BQ$42)</f>
        <v/>
      </c>
      <c r="I712" s="62">
        <f>IF('Übung 07'!BQ$42="","",'Übung 07'!BQ$42)</f>
        <v/>
      </c>
      <c r="J712" s="62">
        <f>IF('Übung 08'!BQ$42="","",'Übung 08'!BQ$42)</f>
        <v/>
      </c>
      <c r="K712" s="62">
        <f>IF('Übung 09'!BQ$42="","",'Übung 09'!BQ$42)</f>
        <v/>
      </c>
      <c r="L712" s="62">
        <f>IF('Übung 10'!BQ$42="","",'Übung 10'!BQ$42)</f>
        <v/>
      </c>
      <c r="M712" s="62">
        <f>IF('Übung 11'!BQ$42="","",'Übung 11'!BQ$42)</f>
        <v/>
      </c>
      <c r="N712" s="62">
        <f>IF('Übung 12'!BQ$42="","",'Übung 12'!BQ$42)</f>
        <v/>
      </c>
      <c r="O712" s="62">
        <f>IF('Übung 13'!BQ$42="","",'Übung 13'!BQ$42)</f>
        <v/>
      </c>
      <c r="P712" s="62">
        <f>IF('Übung 14'!BQ$42="","",'Übung 14'!BQ$42)</f>
        <v/>
      </c>
      <c r="Q712" s="62">
        <f>IF('Übung 15'!BQ$42="","",'Übung 15'!BQ$42)</f>
        <v/>
      </c>
      <c r="R712" s="62">
        <f>IF('Übung 16'!BQ$42="","",'Übung 16'!BQ$42)</f>
        <v/>
      </c>
      <c r="S712" s="62">
        <f>IF('Übung 17'!BQ$42="","",'Übung 17'!BQ$42)</f>
        <v/>
      </c>
      <c r="T712" s="62">
        <f>IF('Übung 18'!BQ$42="","",'Übung 18'!BQ$42)</f>
        <v/>
      </c>
      <c r="U712" s="62">
        <f>IF('Übung 19'!BQ$42="","",'Übung 19'!BQ$42)</f>
        <v/>
      </c>
      <c r="V712" s="62">
        <f>IF('Übung 20'!BQ$42="","",'Übung 20'!BQ$42)</f>
        <v/>
      </c>
    </row>
    <row r="713">
      <c r="C713" s="62">
        <f>IF('Übung 01'!BR$42="","",'Übung 01'!BR$42)</f>
        <v/>
      </c>
      <c r="D713" s="62">
        <f>IF('Übung 02'!BR$42="","",'Übung 02'!BR$42)</f>
        <v/>
      </c>
      <c r="E713" s="62">
        <f>IF('Übung 03'!BR$42="","",'Übung 03'!BR$42)</f>
        <v/>
      </c>
      <c r="F713" s="62">
        <f>IF('Übung 04'!BR$42="","",'Übung 04'!BR$42)</f>
        <v/>
      </c>
      <c r="G713" s="62">
        <f>IF('Übung 05'!BR$42="","",'Übung 05'!BR$42)</f>
        <v/>
      </c>
      <c r="H713" s="62">
        <f>IF('Übung 06'!BR$42="","",'Übung 06'!BR$42)</f>
        <v/>
      </c>
      <c r="I713" s="62">
        <f>IF('Übung 07'!BR$42="","",'Übung 07'!BR$42)</f>
        <v/>
      </c>
      <c r="J713" s="62">
        <f>IF('Übung 08'!BR$42="","",'Übung 08'!BR$42)</f>
        <v/>
      </c>
      <c r="K713" s="62">
        <f>IF('Übung 09'!BR$42="","",'Übung 09'!BR$42)</f>
        <v/>
      </c>
      <c r="L713" s="62">
        <f>IF('Übung 10'!BR$42="","",'Übung 10'!BR$42)</f>
        <v/>
      </c>
      <c r="M713" s="62">
        <f>IF('Übung 11'!BR$42="","",'Übung 11'!BR$42)</f>
        <v/>
      </c>
      <c r="N713" s="62">
        <f>IF('Übung 12'!BR$42="","",'Übung 12'!BR$42)</f>
        <v/>
      </c>
      <c r="O713" s="62">
        <f>IF('Übung 13'!BR$42="","",'Übung 13'!BR$42)</f>
        <v/>
      </c>
      <c r="P713" s="62">
        <f>IF('Übung 14'!BR$42="","",'Übung 14'!BR$42)</f>
        <v/>
      </c>
      <c r="Q713" s="62">
        <f>IF('Übung 15'!BR$42="","",'Übung 15'!BR$42)</f>
        <v/>
      </c>
      <c r="R713" s="62">
        <f>IF('Übung 16'!BR$42="","",'Übung 16'!BR$42)</f>
        <v/>
      </c>
      <c r="S713" s="62">
        <f>IF('Übung 17'!BR$42="","",'Übung 17'!BR$42)</f>
        <v/>
      </c>
      <c r="T713" s="62">
        <f>IF('Übung 18'!BR$42="","",'Übung 18'!BR$42)</f>
        <v/>
      </c>
      <c r="U713" s="62">
        <f>IF('Übung 19'!BR$42="","",'Übung 19'!BR$42)</f>
        <v/>
      </c>
      <c r="V713" s="62">
        <f>IF('Übung 20'!BR$42="","",'Übung 20'!BR$42)</f>
        <v/>
      </c>
    </row>
    <row r="714">
      <c r="C714" s="62">
        <f>IF('Übung 01'!BS$42="","",'Übung 01'!BS$42)</f>
        <v/>
      </c>
      <c r="D714" s="62">
        <f>IF('Übung 02'!BS$42="","",'Übung 02'!BS$42)</f>
        <v/>
      </c>
      <c r="E714" s="62">
        <f>IF('Übung 03'!BS$42="","",'Übung 03'!BS$42)</f>
        <v/>
      </c>
      <c r="F714" s="62">
        <f>IF('Übung 04'!BS$42="","",'Übung 04'!BS$42)</f>
        <v/>
      </c>
      <c r="G714" s="62">
        <f>IF('Übung 05'!BS$42="","",'Übung 05'!BS$42)</f>
        <v/>
      </c>
      <c r="H714" s="62">
        <f>IF('Übung 06'!BS$42="","",'Übung 06'!BS$42)</f>
        <v/>
      </c>
      <c r="I714" s="62">
        <f>IF('Übung 07'!BS$42="","",'Übung 07'!BS$42)</f>
        <v/>
      </c>
      <c r="J714" s="62">
        <f>IF('Übung 08'!BS$42="","",'Übung 08'!BS$42)</f>
        <v/>
      </c>
      <c r="K714" s="62">
        <f>IF('Übung 09'!BS$42="","",'Übung 09'!BS$42)</f>
        <v/>
      </c>
      <c r="L714" s="62">
        <f>IF('Übung 10'!BS$42="","",'Übung 10'!BS$42)</f>
        <v/>
      </c>
      <c r="M714" s="62">
        <f>IF('Übung 11'!BS$42="","",'Übung 11'!BS$42)</f>
        <v/>
      </c>
      <c r="N714" s="62">
        <f>IF('Übung 12'!BS$42="","",'Übung 12'!BS$42)</f>
        <v/>
      </c>
      <c r="O714" s="62">
        <f>IF('Übung 13'!BS$42="","",'Übung 13'!BS$42)</f>
        <v/>
      </c>
      <c r="P714" s="62">
        <f>IF('Übung 14'!BS$42="","",'Übung 14'!BS$42)</f>
        <v/>
      </c>
      <c r="Q714" s="62">
        <f>IF('Übung 15'!BS$42="","",'Übung 15'!BS$42)</f>
        <v/>
      </c>
      <c r="R714" s="62">
        <f>IF('Übung 16'!BS$42="","",'Übung 16'!BS$42)</f>
        <v/>
      </c>
      <c r="S714" s="62">
        <f>IF('Übung 17'!BS$42="","",'Übung 17'!BS$42)</f>
        <v/>
      </c>
      <c r="T714" s="62">
        <f>IF('Übung 18'!BS$42="","",'Übung 18'!BS$42)</f>
        <v/>
      </c>
      <c r="U714" s="62">
        <f>IF('Übung 19'!BS$42="","",'Übung 19'!BS$42)</f>
        <v/>
      </c>
      <c r="V714" s="62">
        <f>IF('Übung 20'!BS$42="","",'Übung 20'!BS$42)</f>
        <v/>
      </c>
    </row>
    <row r="715">
      <c r="C715" s="62">
        <f>IF('Übung 01'!BT$42="","",'Übung 01'!BT$42)</f>
        <v/>
      </c>
      <c r="D715" s="62">
        <f>IF('Übung 02'!BT$42="","",'Übung 02'!BT$42)</f>
        <v/>
      </c>
      <c r="E715" s="62">
        <f>IF('Übung 03'!BT$42="","",'Übung 03'!BT$42)</f>
        <v/>
      </c>
      <c r="F715" s="62">
        <f>IF('Übung 04'!BT$42="","",'Übung 04'!BT$42)</f>
        <v/>
      </c>
      <c r="G715" s="62">
        <f>IF('Übung 05'!BT$42="","",'Übung 05'!BT$42)</f>
        <v/>
      </c>
      <c r="H715" s="62">
        <f>IF('Übung 06'!BT$42="","",'Übung 06'!BT$42)</f>
        <v/>
      </c>
      <c r="I715" s="62">
        <f>IF('Übung 07'!BT$42="","",'Übung 07'!BT$42)</f>
        <v/>
      </c>
      <c r="J715" s="62">
        <f>IF('Übung 08'!BT$42="","",'Übung 08'!BT$42)</f>
        <v/>
      </c>
      <c r="K715" s="62">
        <f>IF('Übung 09'!BT$42="","",'Übung 09'!BT$42)</f>
        <v/>
      </c>
      <c r="L715" s="62">
        <f>IF('Übung 10'!BT$42="","",'Übung 10'!BT$42)</f>
        <v/>
      </c>
      <c r="M715" s="62">
        <f>IF('Übung 11'!BT$42="","",'Übung 11'!BT$42)</f>
        <v/>
      </c>
      <c r="N715" s="62">
        <f>IF('Übung 12'!BT$42="","",'Übung 12'!BT$42)</f>
        <v/>
      </c>
      <c r="O715" s="62">
        <f>IF('Übung 13'!BT$42="","",'Übung 13'!BT$42)</f>
        <v/>
      </c>
      <c r="P715" s="62">
        <f>IF('Übung 14'!BT$42="","",'Übung 14'!BT$42)</f>
        <v/>
      </c>
      <c r="Q715" s="62">
        <f>IF('Übung 15'!BT$42="","",'Übung 15'!BT$42)</f>
        <v/>
      </c>
      <c r="R715" s="62">
        <f>IF('Übung 16'!BT$42="","",'Übung 16'!BT$42)</f>
        <v/>
      </c>
      <c r="S715" s="62">
        <f>IF('Übung 17'!BT$42="","",'Übung 17'!BT$42)</f>
        <v/>
      </c>
      <c r="T715" s="62">
        <f>IF('Übung 18'!BT$42="","",'Übung 18'!BT$42)</f>
        <v/>
      </c>
      <c r="U715" s="62">
        <f>IF('Übung 19'!BT$42="","",'Übung 19'!BT$42)</f>
        <v/>
      </c>
      <c r="V715" s="62">
        <f>IF('Übung 20'!BT$42="","",'Übung 20'!BT$42)</f>
        <v/>
      </c>
    </row>
    <row r="716">
      <c r="C716" s="62">
        <f>IF('Übung 01'!BU$42="","",'Übung 01'!BU$42)</f>
        <v/>
      </c>
      <c r="D716" s="62">
        <f>IF('Übung 02'!BU$42="","",'Übung 02'!BU$42)</f>
        <v/>
      </c>
      <c r="E716" s="62">
        <f>IF('Übung 03'!BU$42="","",'Übung 03'!BU$42)</f>
        <v/>
      </c>
      <c r="F716" s="62">
        <f>IF('Übung 04'!BU$42="","",'Übung 04'!BU$42)</f>
        <v/>
      </c>
      <c r="G716" s="62">
        <f>IF('Übung 05'!BU$42="","",'Übung 05'!BU$42)</f>
        <v/>
      </c>
      <c r="H716" s="62">
        <f>IF('Übung 06'!BU$42="","",'Übung 06'!BU$42)</f>
        <v/>
      </c>
      <c r="I716" s="62">
        <f>IF('Übung 07'!BU$42="","",'Übung 07'!BU$42)</f>
        <v/>
      </c>
      <c r="J716" s="62">
        <f>IF('Übung 08'!BU$42="","",'Übung 08'!BU$42)</f>
        <v/>
      </c>
      <c r="K716" s="62">
        <f>IF('Übung 09'!BU$42="","",'Übung 09'!BU$42)</f>
        <v/>
      </c>
      <c r="L716" s="62">
        <f>IF('Übung 10'!BU$42="","",'Übung 10'!BU$42)</f>
        <v/>
      </c>
      <c r="M716" s="62">
        <f>IF('Übung 11'!BU$42="","",'Übung 11'!BU$42)</f>
        <v/>
      </c>
      <c r="N716" s="62">
        <f>IF('Übung 12'!BU$42="","",'Übung 12'!BU$42)</f>
        <v/>
      </c>
      <c r="O716" s="62">
        <f>IF('Übung 13'!BU$42="","",'Übung 13'!BU$42)</f>
        <v/>
      </c>
      <c r="P716" s="62">
        <f>IF('Übung 14'!BU$42="","",'Übung 14'!BU$42)</f>
        <v/>
      </c>
      <c r="Q716" s="62">
        <f>IF('Übung 15'!BU$42="","",'Übung 15'!BU$42)</f>
        <v/>
      </c>
      <c r="R716" s="62">
        <f>IF('Übung 16'!BU$42="","",'Übung 16'!BU$42)</f>
        <v/>
      </c>
      <c r="S716" s="62">
        <f>IF('Übung 17'!BU$42="","",'Übung 17'!BU$42)</f>
        <v/>
      </c>
      <c r="T716" s="62">
        <f>IF('Übung 18'!BU$42="","",'Übung 18'!BU$42)</f>
        <v/>
      </c>
      <c r="U716" s="62">
        <f>IF('Übung 19'!BU$42="","",'Übung 19'!BU$42)</f>
        <v/>
      </c>
      <c r="V716" s="62">
        <f>IF('Übung 20'!BU$42="","",'Übung 20'!BU$42)</f>
        <v/>
      </c>
    </row>
    <row r="717">
      <c r="C717" s="62">
        <f>IF('Übung 01'!BV$42="","",'Übung 01'!BV$42)</f>
        <v/>
      </c>
      <c r="D717" s="62">
        <f>IF('Übung 02'!BV$42="","",'Übung 02'!BV$42)</f>
        <v/>
      </c>
      <c r="E717" s="62">
        <f>IF('Übung 03'!BV$42="","",'Übung 03'!BV$42)</f>
        <v/>
      </c>
      <c r="F717" s="62">
        <f>IF('Übung 04'!BV$42="","",'Übung 04'!BV$42)</f>
        <v/>
      </c>
      <c r="G717" s="62">
        <f>IF('Übung 05'!BV$42="","",'Übung 05'!BV$42)</f>
        <v/>
      </c>
      <c r="H717" s="62">
        <f>IF('Übung 06'!BV$42="","",'Übung 06'!BV$42)</f>
        <v/>
      </c>
      <c r="I717" s="62">
        <f>IF('Übung 07'!BV$42="","",'Übung 07'!BV$42)</f>
        <v/>
      </c>
      <c r="J717" s="62">
        <f>IF('Übung 08'!BV$42="","",'Übung 08'!BV$42)</f>
        <v/>
      </c>
      <c r="K717" s="62">
        <f>IF('Übung 09'!BV$42="","",'Übung 09'!BV$42)</f>
        <v/>
      </c>
      <c r="L717" s="62">
        <f>IF('Übung 10'!BV$42="","",'Übung 10'!BV$42)</f>
        <v/>
      </c>
      <c r="M717" s="62">
        <f>IF('Übung 11'!BV$42="","",'Übung 11'!BV$42)</f>
        <v/>
      </c>
      <c r="N717" s="62">
        <f>IF('Übung 12'!BV$42="","",'Übung 12'!BV$42)</f>
        <v/>
      </c>
      <c r="O717" s="62">
        <f>IF('Übung 13'!BV$42="","",'Übung 13'!BV$42)</f>
        <v/>
      </c>
      <c r="P717" s="62">
        <f>IF('Übung 14'!BV$42="","",'Übung 14'!BV$42)</f>
        <v/>
      </c>
      <c r="Q717" s="62">
        <f>IF('Übung 15'!BV$42="","",'Übung 15'!BV$42)</f>
        <v/>
      </c>
      <c r="R717" s="62">
        <f>IF('Übung 16'!BV$42="","",'Übung 16'!BV$42)</f>
        <v/>
      </c>
      <c r="S717" s="62">
        <f>IF('Übung 17'!BV$42="","",'Übung 17'!BV$42)</f>
        <v/>
      </c>
      <c r="T717" s="62">
        <f>IF('Übung 18'!BV$42="","",'Übung 18'!BV$42)</f>
        <v/>
      </c>
      <c r="U717" s="62">
        <f>IF('Übung 19'!BV$42="","",'Übung 19'!BV$42)</f>
        <v/>
      </c>
      <c r="V717" s="62">
        <f>IF('Übung 20'!BV$42="","",'Übung 20'!BV$42)</f>
        <v/>
      </c>
    </row>
    <row r="718">
      <c r="C718" s="62">
        <f>IF('Übung 01'!BW$42="","",'Übung 01'!BW$42)</f>
        <v/>
      </c>
      <c r="D718" s="62">
        <f>IF('Übung 02'!BW$42="","",'Übung 02'!BW$42)</f>
        <v/>
      </c>
      <c r="E718" s="62">
        <f>IF('Übung 03'!BW$42="","",'Übung 03'!BW$42)</f>
        <v/>
      </c>
      <c r="F718" s="62">
        <f>IF('Übung 04'!BW$42="","",'Übung 04'!BW$42)</f>
        <v/>
      </c>
      <c r="G718" s="62">
        <f>IF('Übung 05'!BW$42="","",'Übung 05'!BW$42)</f>
        <v/>
      </c>
      <c r="H718" s="62">
        <f>IF('Übung 06'!BW$42="","",'Übung 06'!BW$42)</f>
        <v/>
      </c>
      <c r="I718" s="62">
        <f>IF('Übung 07'!BW$42="","",'Übung 07'!BW$42)</f>
        <v/>
      </c>
      <c r="J718" s="62">
        <f>IF('Übung 08'!BW$42="","",'Übung 08'!BW$42)</f>
        <v/>
      </c>
      <c r="K718" s="62">
        <f>IF('Übung 09'!BW$42="","",'Übung 09'!BW$42)</f>
        <v/>
      </c>
      <c r="L718" s="62">
        <f>IF('Übung 10'!BW$42="","",'Übung 10'!BW$42)</f>
        <v/>
      </c>
      <c r="M718" s="62">
        <f>IF('Übung 11'!BW$42="","",'Übung 11'!BW$42)</f>
        <v/>
      </c>
      <c r="N718" s="62">
        <f>IF('Übung 12'!BW$42="","",'Übung 12'!BW$42)</f>
        <v/>
      </c>
      <c r="O718" s="62">
        <f>IF('Übung 13'!BW$42="","",'Übung 13'!BW$42)</f>
        <v/>
      </c>
      <c r="P718" s="62">
        <f>IF('Übung 14'!BW$42="","",'Übung 14'!BW$42)</f>
        <v/>
      </c>
      <c r="Q718" s="62">
        <f>IF('Übung 15'!BW$42="","",'Übung 15'!BW$42)</f>
        <v/>
      </c>
      <c r="R718" s="62">
        <f>IF('Übung 16'!BW$42="","",'Übung 16'!BW$42)</f>
        <v/>
      </c>
      <c r="S718" s="62">
        <f>IF('Übung 17'!BW$42="","",'Übung 17'!BW$42)</f>
        <v/>
      </c>
      <c r="T718" s="62">
        <f>IF('Übung 18'!BW$42="","",'Übung 18'!BW$42)</f>
        <v/>
      </c>
      <c r="U718" s="62">
        <f>IF('Übung 19'!BW$42="","",'Übung 19'!BW$42)</f>
        <v/>
      </c>
      <c r="V718" s="62">
        <f>IF('Übung 20'!BW$42="","",'Übung 20'!BW$42)</f>
        <v/>
      </c>
    </row>
    <row r="719">
      <c r="C719" s="62">
        <f>IF('Übung 01'!BX$42="","",'Übung 01'!BX$42)</f>
        <v/>
      </c>
      <c r="D719" s="62">
        <f>IF('Übung 02'!BX$42="","",'Übung 02'!BX$42)</f>
        <v/>
      </c>
      <c r="E719" s="62">
        <f>IF('Übung 03'!BX$42="","",'Übung 03'!BX$42)</f>
        <v/>
      </c>
      <c r="F719" s="62">
        <f>IF('Übung 04'!BX$42="","",'Übung 04'!BX$42)</f>
        <v/>
      </c>
      <c r="G719" s="62">
        <f>IF('Übung 05'!BX$42="","",'Übung 05'!BX$42)</f>
        <v/>
      </c>
      <c r="H719" s="62">
        <f>IF('Übung 06'!BX$42="","",'Übung 06'!BX$42)</f>
        <v/>
      </c>
      <c r="I719" s="62">
        <f>IF('Übung 07'!BX$42="","",'Übung 07'!BX$42)</f>
        <v/>
      </c>
      <c r="J719" s="62">
        <f>IF('Übung 08'!BX$42="","",'Übung 08'!BX$42)</f>
        <v/>
      </c>
      <c r="K719" s="62">
        <f>IF('Übung 09'!BX$42="","",'Übung 09'!BX$42)</f>
        <v/>
      </c>
      <c r="L719" s="62">
        <f>IF('Übung 10'!BX$42="","",'Übung 10'!BX$42)</f>
        <v/>
      </c>
      <c r="M719" s="62">
        <f>IF('Übung 11'!BX$42="","",'Übung 11'!BX$42)</f>
        <v/>
      </c>
      <c r="N719" s="62">
        <f>IF('Übung 12'!BX$42="","",'Übung 12'!BX$42)</f>
        <v/>
      </c>
      <c r="O719" s="62">
        <f>IF('Übung 13'!BX$42="","",'Übung 13'!BX$42)</f>
        <v/>
      </c>
      <c r="P719" s="62">
        <f>IF('Übung 14'!BX$42="","",'Übung 14'!BX$42)</f>
        <v/>
      </c>
      <c r="Q719" s="62">
        <f>IF('Übung 15'!BX$42="","",'Übung 15'!BX$42)</f>
        <v/>
      </c>
      <c r="R719" s="62">
        <f>IF('Übung 16'!BX$42="","",'Übung 16'!BX$42)</f>
        <v/>
      </c>
      <c r="S719" s="62">
        <f>IF('Übung 17'!BX$42="","",'Übung 17'!BX$42)</f>
        <v/>
      </c>
      <c r="T719" s="62">
        <f>IF('Übung 18'!BX$42="","",'Übung 18'!BX$42)</f>
        <v/>
      </c>
      <c r="U719" s="62">
        <f>IF('Übung 19'!BX$42="","",'Übung 19'!BX$42)</f>
        <v/>
      </c>
      <c r="V719" s="62">
        <f>IF('Übung 20'!BX$42="","",'Übung 20'!BX$42)</f>
        <v/>
      </c>
    </row>
    <row r="720">
      <c r="C720" s="62">
        <f>IF('Übung 01'!BY$42="","",'Übung 01'!BY$42)</f>
        <v/>
      </c>
      <c r="D720" s="62">
        <f>IF('Übung 02'!BY$42="","",'Übung 02'!BY$42)</f>
        <v/>
      </c>
      <c r="E720" s="62">
        <f>IF('Übung 03'!BY$42="","",'Übung 03'!BY$42)</f>
        <v/>
      </c>
      <c r="F720" s="62">
        <f>IF('Übung 04'!BY$42="","",'Übung 04'!BY$42)</f>
        <v/>
      </c>
      <c r="G720" s="62">
        <f>IF('Übung 05'!BY$42="","",'Übung 05'!BY$42)</f>
        <v/>
      </c>
      <c r="H720" s="62">
        <f>IF('Übung 06'!BY$42="","",'Übung 06'!BY$42)</f>
        <v/>
      </c>
      <c r="I720" s="62">
        <f>IF('Übung 07'!BY$42="","",'Übung 07'!BY$42)</f>
        <v/>
      </c>
      <c r="J720" s="62">
        <f>IF('Übung 08'!BY$42="","",'Übung 08'!BY$42)</f>
        <v/>
      </c>
      <c r="K720" s="62">
        <f>IF('Übung 09'!BY$42="","",'Übung 09'!BY$42)</f>
        <v/>
      </c>
      <c r="L720" s="62">
        <f>IF('Übung 10'!BY$42="","",'Übung 10'!BY$42)</f>
        <v/>
      </c>
      <c r="M720" s="62">
        <f>IF('Übung 11'!BY$42="","",'Übung 11'!BY$42)</f>
        <v/>
      </c>
      <c r="N720" s="62">
        <f>IF('Übung 12'!BY$42="","",'Übung 12'!BY$42)</f>
        <v/>
      </c>
      <c r="O720" s="62">
        <f>IF('Übung 13'!BY$42="","",'Übung 13'!BY$42)</f>
        <v/>
      </c>
      <c r="P720" s="62">
        <f>IF('Übung 14'!BY$42="","",'Übung 14'!BY$42)</f>
        <v/>
      </c>
      <c r="Q720" s="62">
        <f>IF('Übung 15'!BY$42="","",'Übung 15'!BY$42)</f>
        <v/>
      </c>
      <c r="R720" s="62">
        <f>IF('Übung 16'!BY$42="","",'Übung 16'!BY$42)</f>
        <v/>
      </c>
      <c r="S720" s="62">
        <f>IF('Übung 17'!BY$42="","",'Übung 17'!BY$42)</f>
        <v/>
      </c>
      <c r="T720" s="62">
        <f>IF('Übung 18'!BY$42="","",'Übung 18'!BY$42)</f>
        <v/>
      </c>
      <c r="U720" s="62">
        <f>IF('Übung 19'!BY$42="","",'Übung 19'!BY$42)</f>
        <v/>
      </c>
      <c r="V720" s="62">
        <f>IF('Übung 20'!BY$42="","",'Übung 20'!BY$42)</f>
        <v/>
      </c>
    </row>
    <row r="721">
      <c r="C721" s="62">
        <f>IF('Übung 01'!BZ$42="","",'Übung 01'!BZ$42)</f>
        <v/>
      </c>
      <c r="D721" s="62">
        <f>IF('Übung 02'!BZ$42="","",'Übung 02'!BZ$42)</f>
        <v/>
      </c>
      <c r="E721" s="62">
        <f>IF('Übung 03'!BZ$42="","",'Übung 03'!BZ$42)</f>
        <v/>
      </c>
      <c r="F721" s="62">
        <f>IF('Übung 04'!BZ$42="","",'Übung 04'!BZ$42)</f>
        <v/>
      </c>
      <c r="G721" s="62">
        <f>IF('Übung 05'!BZ$42="","",'Übung 05'!BZ$42)</f>
        <v/>
      </c>
      <c r="H721" s="62">
        <f>IF('Übung 06'!BZ$42="","",'Übung 06'!BZ$42)</f>
        <v/>
      </c>
      <c r="I721" s="62">
        <f>IF('Übung 07'!BZ$42="","",'Übung 07'!BZ$42)</f>
        <v/>
      </c>
      <c r="J721" s="62">
        <f>IF('Übung 08'!BZ$42="","",'Übung 08'!BZ$42)</f>
        <v/>
      </c>
      <c r="K721" s="62">
        <f>IF('Übung 09'!BZ$42="","",'Übung 09'!BZ$42)</f>
        <v/>
      </c>
      <c r="L721" s="62">
        <f>IF('Übung 10'!BZ$42="","",'Übung 10'!BZ$42)</f>
        <v/>
      </c>
      <c r="M721" s="62">
        <f>IF('Übung 11'!BZ$42="","",'Übung 11'!BZ$42)</f>
        <v/>
      </c>
      <c r="N721" s="62">
        <f>IF('Übung 12'!BZ$42="","",'Übung 12'!BZ$42)</f>
        <v/>
      </c>
      <c r="O721" s="62">
        <f>IF('Übung 13'!BZ$42="","",'Übung 13'!BZ$42)</f>
        <v/>
      </c>
      <c r="P721" s="62">
        <f>IF('Übung 14'!BZ$42="","",'Übung 14'!BZ$42)</f>
        <v/>
      </c>
      <c r="Q721" s="62">
        <f>IF('Übung 15'!BZ$42="","",'Übung 15'!BZ$42)</f>
        <v/>
      </c>
      <c r="R721" s="62">
        <f>IF('Übung 16'!BZ$42="","",'Übung 16'!BZ$42)</f>
        <v/>
      </c>
      <c r="S721" s="62">
        <f>IF('Übung 17'!BZ$42="","",'Übung 17'!BZ$42)</f>
        <v/>
      </c>
      <c r="T721" s="62">
        <f>IF('Übung 18'!BZ$42="","",'Übung 18'!BZ$42)</f>
        <v/>
      </c>
      <c r="U721" s="62">
        <f>IF('Übung 19'!BZ$42="","",'Übung 19'!BZ$42)</f>
        <v/>
      </c>
      <c r="V721" s="62">
        <f>IF('Übung 20'!BZ$42="","",'Übung 20'!BZ$42)</f>
        <v/>
      </c>
    </row>
    <row r="722">
      <c r="C722" s="62">
        <f>IF('Übung 01'!CA$42="","",'Übung 01'!CA$42)</f>
        <v/>
      </c>
      <c r="D722" s="62">
        <f>IF('Übung 02'!CA$42="","",'Übung 02'!CA$42)</f>
        <v/>
      </c>
      <c r="E722" s="62">
        <f>IF('Übung 03'!CA$42="","",'Übung 03'!CA$42)</f>
        <v/>
      </c>
      <c r="F722" s="62">
        <f>IF('Übung 04'!CA$42="","",'Übung 04'!CA$42)</f>
        <v/>
      </c>
      <c r="G722" s="62">
        <f>IF('Übung 05'!CA$42="","",'Übung 05'!CA$42)</f>
        <v/>
      </c>
      <c r="H722" s="62">
        <f>IF('Übung 06'!CA$42="","",'Übung 06'!CA$42)</f>
        <v/>
      </c>
      <c r="I722" s="62">
        <f>IF('Übung 07'!CA$42="","",'Übung 07'!CA$42)</f>
        <v/>
      </c>
      <c r="J722" s="62">
        <f>IF('Übung 08'!CA$42="","",'Übung 08'!CA$42)</f>
        <v/>
      </c>
      <c r="K722" s="62">
        <f>IF('Übung 09'!CA$42="","",'Übung 09'!CA$42)</f>
        <v/>
      </c>
      <c r="L722" s="62">
        <f>IF('Übung 10'!CA$42="","",'Übung 10'!CA$42)</f>
        <v/>
      </c>
      <c r="M722" s="62">
        <f>IF('Übung 11'!CA$42="","",'Übung 11'!CA$42)</f>
        <v/>
      </c>
      <c r="N722" s="62">
        <f>IF('Übung 12'!CA$42="","",'Übung 12'!CA$42)</f>
        <v/>
      </c>
      <c r="O722" s="62">
        <f>IF('Übung 13'!CA$42="","",'Übung 13'!CA$42)</f>
        <v/>
      </c>
      <c r="P722" s="62">
        <f>IF('Übung 14'!CA$42="","",'Übung 14'!CA$42)</f>
        <v/>
      </c>
      <c r="Q722" s="62">
        <f>IF('Übung 15'!CA$42="","",'Übung 15'!CA$42)</f>
        <v/>
      </c>
      <c r="R722" s="62">
        <f>IF('Übung 16'!CA$42="","",'Übung 16'!CA$42)</f>
        <v/>
      </c>
      <c r="S722" s="62">
        <f>IF('Übung 17'!CA$42="","",'Übung 17'!CA$42)</f>
        <v/>
      </c>
      <c r="T722" s="62">
        <f>IF('Übung 18'!CA$42="","",'Übung 18'!CA$42)</f>
        <v/>
      </c>
      <c r="U722" s="62">
        <f>IF('Übung 19'!CA$42="","",'Übung 19'!CA$42)</f>
        <v/>
      </c>
      <c r="V722" s="62">
        <f>IF('Übung 20'!CA$42="","",'Übung 20'!CA$42)</f>
        <v/>
      </c>
    </row>
    <row r="723">
      <c r="C723" s="62">
        <f>IF('Übung 01'!CB$42="","",'Übung 01'!CB$42)</f>
        <v/>
      </c>
      <c r="D723" s="62">
        <f>IF('Übung 02'!CB$42="","",'Übung 02'!CB$42)</f>
        <v/>
      </c>
      <c r="E723" s="62">
        <f>IF('Übung 03'!CB$42="","",'Übung 03'!CB$42)</f>
        <v/>
      </c>
      <c r="F723" s="62">
        <f>IF('Übung 04'!CB$42="","",'Übung 04'!CB$42)</f>
        <v/>
      </c>
      <c r="G723" s="62">
        <f>IF('Übung 05'!CB$42="","",'Übung 05'!CB$42)</f>
        <v/>
      </c>
      <c r="H723" s="62">
        <f>IF('Übung 06'!CB$42="","",'Übung 06'!CB$42)</f>
        <v/>
      </c>
      <c r="I723" s="62">
        <f>IF('Übung 07'!CB$42="","",'Übung 07'!CB$42)</f>
        <v/>
      </c>
      <c r="J723" s="62">
        <f>IF('Übung 08'!CB$42="","",'Übung 08'!CB$42)</f>
        <v/>
      </c>
      <c r="K723" s="62">
        <f>IF('Übung 09'!CB$42="","",'Übung 09'!CB$42)</f>
        <v/>
      </c>
      <c r="L723" s="62">
        <f>IF('Übung 10'!CB$42="","",'Übung 10'!CB$42)</f>
        <v/>
      </c>
      <c r="M723" s="62">
        <f>IF('Übung 11'!CB$42="","",'Übung 11'!CB$42)</f>
        <v/>
      </c>
      <c r="N723" s="62">
        <f>IF('Übung 12'!CB$42="","",'Übung 12'!CB$42)</f>
        <v/>
      </c>
      <c r="O723" s="62">
        <f>IF('Übung 13'!CB$42="","",'Übung 13'!CB$42)</f>
        <v/>
      </c>
      <c r="P723" s="62">
        <f>IF('Übung 14'!CB$42="","",'Übung 14'!CB$42)</f>
        <v/>
      </c>
      <c r="Q723" s="62">
        <f>IF('Übung 15'!CB$42="","",'Übung 15'!CB$42)</f>
        <v/>
      </c>
      <c r="R723" s="62">
        <f>IF('Übung 16'!CB$42="","",'Übung 16'!CB$42)</f>
        <v/>
      </c>
      <c r="S723" s="62">
        <f>IF('Übung 17'!CB$42="","",'Übung 17'!CB$42)</f>
        <v/>
      </c>
      <c r="T723" s="62">
        <f>IF('Übung 18'!CB$42="","",'Übung 18'!CB$42)</f>
        <v/>
      </c>
      <c r="U723" s="62">
        <f>IF('Übung 19'!CB$42="","",'Übung 19'!CB$42)</f>
        <v/>
      </c>
      <c r="V723" s="62">
        <f>IF('Übung 20'!CB$42="","",'Übung 20'!CB$42)</f>
        <v/>
      </c>
    </row>
    <row r="724">
      <c r="C724" s="62">
        <f>IF('Übung 01'!CC$42="","",'Übung 01'!CC$42)</f>
        <v/>
      </c>
      <c r="D724" s="62">
        <f>IF('Übung 02'!CC$42="","",'Übung 02'!CC$42)</f>
        <v/>
      </c>
      <c r="E724" s="62">
        <f>IF('Übung 03'!CC$42="","",'Übung 03'!CC$42)</f>
        <v/>
      </c>
      <c r="F724" s="62">
        <f>IF('Übung 04'!CC$42="","",'Übung 04'!CC$42)</f>
        <v/>
      </c>
      <c r="G724" s="62">
        <f>IF('Übung 05'!CC$42="","",'Übung 05'!CC$42)</f>
        <v/>
      </c>
      <c r="H724" s="62">
        <f>IF('Übung 06'!CC$42="","",'Übung 06'!CC$42)</f>
        <v/>
      </c>
      <c r="I724" s="62">
        <f>IF('Übung 07'!CC$42="","",'Übung 07'!CC$42)</f>
        <v/>
      </c>
      <c r="J724" s="62">
        <f>IF('Übung 08'!CC$42="","",'Übung 08'!CC$42)</f>
        <v/>
      </c>
      <c r="K724" s="62">
        <f>IF('Übung 09'!CC$42="","",'Übung 09'!CC$42)</f>
        <v/>
      </c>
      <c r="L724" s="62">
        <f>IF('Übung 10'!CC$42="","",'Übung 10'!CC$42)</f>
        <v/>
      </c>
      <c r="M724" s="62">
        <f>IF('Übung 11'!CC$42="","",'Übung 11'!CC$42)</f>
        <v/>
      </c>
      <c r="N724" s="62">
        <f>IF('Übung 12'!CC$42="","",'Übung 12'!CC$42)</f>
        <v/>
      </c>
      <c r="O724" s="62">
        <f>IF('Übung 13'!CC$42="","",'Übung 13'!CC$42)</f>
        <v/>
      </c>
      <c r="P724" s="62">
        <f>IF('Übung 14'!CC$42="","",'Übung 14'!CC$42)</f>
        <v/>
      </c>
      <c r="Q724" s="62">
        <f>IF('Übung 15'!CC$42="","",'Übung 15'!CC$42)</f>
        <v/>
      </c>
      <c r="R724" s="62">
        <f>IF('Übung 16'!CC$42="","",'Übung 16'!CC$42)</f>
        <v/>
      </c>
      <c r="S724" s="62">
        <f>IF('Übung 17'!CC$42="","",'Übung 17'!CC$42)</f>
        <v/>
      </c>
      <c r="T724" s="62">
        <f>IF('Übung 18'!CC$42="","",'Übung 18'!CC$42)</f>
        <v/>
      </c>
      <c r="U724" s="62">
        <f>IF('Übung 19'!CC$42="","",'Übung 19'!CC$42)</f>
        <v/>
      </c>
      <c r="V724" s="62">
        <f>IF('Übung 20'!CC$42="","",'Übung 20'!CC$42)</f>
        <v/>
      </c>
    </row>
    <row r="725">
      <c r="C725" s="62">
        <f>IF('Übung 01'!CE$42="","",'Übung 01'!CE$42)</f>
        <v/>
      </c>
      <c r="D725" s="62">
        <f>IF('Übung 02'!CE$42="","",'Übung 02'!CE$42)</f>
        <v/>
      </c>
      <c r="E725" s="62">
        <f>IF('Übung 03'!CE$42="","",'Übung 03'!CE$42)</f>
        <v/>
      </c>
      <c r="F725" s="62">
        <f>IF('Übung 04'!CE$42="","",'Übung 04'!CE$42)</f>
        <v/>
      </c>
      <c r="G725" s="62">
        <f>IF('Übung 05'!CE$42="","",'Übung 05'!CE$42)</f>
        <v/>
      </c>
      <c r="H725" s="62">
        <f>IF('Übung 06'!CE$42="","",'Übung 06'!CE$42)</f>
        <v/>
      </c>
      <c r="I725" s="62">
        <f>IF('Übung 07'!CE$42="","",'Übung 07'!CE$42)</f>
        <v/>
      </c>
      <c r="J725" s="62">
        <f>IF('Übung 08'!CE$42="","",'Übung 08'!CE$42)</f>
        <v/>
      </c>
      <c r="K725" s="62">
        <f>IF('Übung 09'!CE$42="","",'Übung 09'!CE$42)</f>
        <v/>
      </c>
      <c r="L725" s="62">
        <f>IF('Übung 10'!CE$42="","",'Übung 10'!CE$42)</f>
        <v/>
      </c>
      <c r="M725" s="62">
        <f>IF('Übung 11'!CE$42="","",'Übung 11'!CE$42)</f>
        <v/>
      </c>
      <c r="N725" s="62">
        <f>IF('Übung 12'!CE$42="","",'Übung 12'!CE$42)</f>
        <v/>
      </c>
      <c r="O725" s="62">
        <f>IF('Übung 13'!CE$42="","",'Übung 13'!CE$42)</f>
        <v/>
      </c>
      <c r="P725" s="62">
        <f>IF('Übung 14'!CE$42="","",'Übung 14'!CE$42)</f>
        <v/>
      </c>
      <c r="Q725" s="62">
        <f>IF('Übung 15'!CE$42="","",'Übung 15'!CE$42)</f>
        <v/>
      </c>
      <c r="R725" s="62">
        <f>IF('Übung 16'!CE$42="","",'Übung 16'!CE$42)</f>
        <v/>
      </c>
      <c r="S725" s="62">
        <f>IF('Übung 17'!CE$42="","",'Übung 17'!CE$42)</f>
        <v/>
      </c>
      <c r="T725" s="62">
        <f>IF('Übung 18'!CE$42="","",'Übung 18'!CE$42)</f>
        <v/>
      </c>
      <c r="U725" s="62">
        <f>IF('Übung 19'!CE$42="","",'Übung 19'!CE$42)</f>
        <v/>
      </c>
      <c r="V725" s="62">
        <f>IF('Übung 20'!CE$42="","",'Übung 20'!CE$42)</f>
        <v/>
      </c>
    </row>
    <row r="726">
      <c r="C726" s="62">
        <f>IF('Übung 01'!CF$42="","",'Übung 01'!CF$42)</f>
        <v/>
      </c>
      <c r="D726" s="62">
        <f>IF('Übung 02'!CF$42="","",'Übung 02'!CF$42)</f>
        <v/>
      </c>
      <c r="E726" s="62">
        <f>IF('Übung 03'!CF$42="","",'Übung 03'!CF$42)</f>
        <v/>
      </c>
      <c r="F726" s="62">
        <f>IF('Übung 04'!CF$42="","",'Übung 04'!CF$42)</f>
        <v/>
      </c>
      <c r="G726" s="62">
        <f>IF('Übung 05'!CF$42="","",'Übung 05'!CF$42)</f>
        <v/>
      </c>
      <c r="H726" s="62">
        <f>IF('Übung 06'!CF$42="","",'Übung 06'!CF$42)</f>
        <v/>
      </c>
      <c r="I726" s="62">
        <f>IF('Übung 07'!CF$42="","",'Übung 07'!CF$42)</f>
        <v/>
      </c>
      <c r="J726" s="62">
        <f>IF('Übung 08'!CF$42="","",'Übung 08'!CF$42)</f>
        <v/>
      </c>
      <c r="K726" s="62">
        <f>IF('Übung 09'!CF$42="","",'Übung 09'!CF$42)</f>
        <v/>
      </c>
      <c r="L726" s="62">
        <f>IF('Übung 10'!CF$42="","",'Übung 10'!CF$42)</f>
        <v/>
      </c>
      <c r="M726" s="62">
        <f>IF('Übung 11'!CF$42="","",'Übung 11'!CF$42)</f>
        <v/>
      </c>
      <c r="N726" s="62">
        <f>IF('Übung 12'!CF$42="","",'Übung 12'!CF$42)</f>
        <v/>
      </c>
      <c r="O726" s="62">
        <f>IF('Übung 13'!CF$42="","",'Übung 13'!CF$42)</f>
        <v/>
      </c>
      <c r="P726" s="62">
        <f>IF('Übung 14'!CF$42="","",'Übung 14'!CF$42)</f>
        <v/>
      </c>
      <c r="Q726" s="62">
        <f>IF('Übung 15'!CF$42="","",'Übung 15'!CF$42)</f>
        <v/>
      </c>
      <c r="R726" s="62">
        <f>IF('Übung 16'!CF$42="","",'Übung 16'!CF$42)</f>
        <v/>
      </c>
      <c r="S726" s="62">
        <f>IF('Übung 17'!CF$42="","",'Übung 17'!CF$42)</f>
        <v/>
      </c>
      <c r="T726" s="62">
        <f>IF('Übung 18'!CF$42="","",'Übung 18'!CF$42)</f>
        <v/>
      </c>
      <c r="U726" s="62">
        <f>IF('Übung 19'!CF$42="","",'Übung 19'!CF$42)</f>
        <v/>
      </c>
      <c r="V726" s="62">
        <f>IF('Übung 20'!CF$42="","",'Übung 20'!CF$42)</f>
        <v/>
      </c>
    </row>
    <row r="727">
      <c r="C727" s="62">
        <f>IF('Übung 01'!CG$42="","",'Übung 01'!CG$42)</f>
        <v/>
      </c>
      <c r="D727" s="62">
        <f>IF('Übung 02'!CG$42="","",'Übung 02'!CG$42)</f>
        <v/>
      </c>
      <c r="E727" s="62">
        <f>IF('Übung 03'!CG$42="","",'Übung 03'!CG$42)</f>
        <v/>
      </c>
      <c r="F727" s="62">
        <f>IF('Übung 04'!CG$42="","",'Übung 04'!CG$42)</f>
        <v/>
      </c>
      <c r="G727" s="62">
        <f>IF('Übung 05'!CG$42="","",'Übung 05'!CG$42)</f>
        <v/>
      </c>
      <c r="H727" s="62">
        <f>IF('Übung 06'!CG$42="","",'Übung 06'!CG$42)</f>
        <v/>
      </c>
      <c r="I727" s="62">
        <f>IF('Übung 07'!CG$42="","",'Übung 07'!CG$42)</f>
        <v/>
      </c>
      <c r="J727" s="62">
        <f>IF('Übung 08'!CG$42="","",'Übung 08'!CG$42)</f>
        <v/>
      </c>
      <c r="K727" s="62">
        <f>IF('Übung 09'!CG$42="","",'Übung 09'!CG$42)</f>
        <v/>
      </c>
      <c r="L727" s="62">
        <f>IF('Übung 10'!CG$42="","",'Übung 10'!CG$42)</f>
        <v/>
      </c>
      <c r="M727" s="62">
        <f>IF('Übung 11'!CG$42="","",'Übung 11'!CG$42)</f>
        <v/>
      </c>
      <c r="N727" s="62">
        <f>IF('Übung 12'!CG$42="","",'Übung 12'!CG$42)</f>
        <v/>
      </c>
      <c r="O727" s="62">
        <f>IF('Übung 13'!CG$42="","",'Übung 13'!CG$42)</f>
        <v/>
      </c>
      <c r="P727" s="62">
        <f>IF('Übung 14'!CG$42="","",'Übung 14'!CG$42)</f>
        <v/>
      </c>
      <c r="Q727" s="62">
        <f>IF('Übung 15'!CG$42="","",'Übung 15'!CG$42)</f>
        <v/>
      </c>
      <c r="R727" s="62">
        <f>IF('Übung 16'!CG$42="","",'Übung 16'!CG$42)</f>
        <v/>
      </c>
      <c r="S727" s="62">
        <f>IF('Übung 17'!CG$42="","",'Übung 17'!CG$42)</f>
        <v/>
      </c>
      <c r="T727" s="62">
        <f>IF('Übung 18'!CG$42="","",'Übung 18'!CG$42)</f>
        <v/>
      </c>
      <c r="U727" s="62">
        <f>IF('Übung 19'!CG$42="","",'Übung 19'!CG$42)</f>
        <v/>
      </c>
      <c r="V727" s="62">
        <f>IF('Übung 20'!CG$42="","",'Übung 20'!CG$42)</f>
        <v/>
      </c>
    </row>
    <row r="728">
      <c r="C728" s="62">
        <f>IF('Übung 01'!CH$42="","",'Übung 01'!CH$42)</f>
        <v/>
      </c>
      <c r="D728" s="62">
        <f>IF('Übung 02'!CH$42="","",'Übung 02'!CH$42)</f>
        <v/>
      </c>
      <c r="E728" s="62">
        <f>IF('Übung 03'!CH$42="","",'Übung 03'!CH$42)</f>
        <v/>
      </c>
      <c r="F728" s="62">
        <f>IF('Übung 04'!CH$42="","",'Übung 04'!CH$42)</f>
        <v/>
      </c>
      <c r="G728" s="62">
        <f>IF('Übung 05'!CH$42="","",'Übung 05'!CH$42)</f>
        <v/>
      </c>
      <c r="H728" s="62">
        <f>IF('Übung 06'!CH$42="","",'Übung 06'!CH$42)</f>
        <v/>
      </c>
      <c r="I728" s="62">
        <f>IF('Übung 07'!CH$42="","",'Übung 07'!CH$42)</f>
        <v/>
      </c>
      <c r="J728" s="62">
        <f>IF('Übung 08'!CH$42="","",'Übung 08'!CH$42)</f>
        <v/>
      </c>
      <c r="K728" s="62">
        <f>IF('Übung 09'!CH$42="","",'Übung 09'!CH$42)</f>
        <v/>
      </c>
      <c r="L728" s="62">
        <f>IF('Übung 10'!CH$42="","",'Übung 10'!CH$42)</f>
        <v/>
      </c>
      <c r="M728" s="62">
        <f>IF('Übung 11'!CH$42="","",'Übung 11'!CH$42)</f>
        <v/>
      </c>
      <c r="N728" s="62">
        <f>IF('Übung 12'!CH$42="","",'Übung 12'!CH$42)</f>
        <v/>
      </c>
      <c r="O728" s="62">
        <f>IF('Übung 13'!CH$42="","",'Übung 13'!CH$42)</f>
        <v/>
      </c>
      <c r="P728" s="62">
        <f>IF('Übung 14'!CH$42="","",'Übung 14'!CH$42)</f>
        <v/>
      </c>
      <c r="Q728" s="62">
        <f>IF('Übung 15'!CH$42="","",'Übung 15'!CH$42)</f>
        <v/>
      </c>
      <c r="R728" s="62">
        <f>IF('Übung 16'!CH$42="","",'Übung 16'!CH$42)</f>
        <v/>
      </c>
      <c r="S728" s="62">
        <f>IF('Übung 17'!CH$42="","",'Übung 17'!CH$42)</f>
        <v/>
      </c>
      <c r="T728" s="62">
        <f>IF('Übung 18'!CH$42="","",'Übung 18'!CH$42)</f>
        <v/>
      </c>
      <c r="U728" s="62">
        <f>IF('Übung 19'!CH$42="","",'Übung 19'!CH$42)</f>
        <v/>
      </c>
      <c r="V728" s="62">
        <f>IF('Übung 20'!CH$42="","",'Übung 20'!CH$42)</f>
        <v/>
      </c>
    </row>
    <row r="729">
      <c r="C729" s="62">
        <f>IF('Übung 01'!CI$42="","",'Übung 01'!CI$42)</f>
        <v/>
      </c>
      <c r="D729" s="62">
        <f>IF('Übung 02'!CI$42="","",'Übung 02'!CI$42)</f>
        <v/>
      </c>
      <c r="E729" s="62">
        <f>IF('Übung 03'!CI$42="","",'Übung 03'!CI$42)</f>
        <v/>
      </c>
      <c r="F729" s="62">
        <f>IF('Übung 04'!CI$42="","",'Übung 04'!CI$42)</f>
        <v/>
      </c>
      <c r="G729" s="62">
        <f>IF('Übung 05'!CI$42="","",'Übung 05'!CI$42)</f>
        <v/>
      </c>
      <c r="H729" s="62">
        <f>IF('Übung 06'!CI$42="","",'Übung 06'!CI$42)</f>
        <v/>
      </c>
      <c r="I729" s="62">
        <f>IF('Übung 07'!CI$42="","",'Übung 07'!CI$42)</f>
        <v/>
      </c>
      <c r="J729" s="62">
        <f>IF('Übung 08'!CI$42="","",'Übung 08'!CI$42)</f>
        <v/>
      </c>
      <c r="K729" s="62">
        <f>IF('Übung 09'!CI$42="","",'Übung 09'!CI$42)</f>
        <v/>
      </c>
      <c r="L729" s="62">
        <f>IF('Übung 10'!CI$42="","",'Übung 10'!CI$42)</f>
        <v/>
      </c>
      <c r="M729" s="62">
        <f>IF('Übung 11'!CI$42="","",'Übung 11'!CI$42)</f>
        <v/>
      </c>
      <c r="N729" s="62">
        <f>IF('Übung 12'!CI$42="","",'Übung 12'!CI$42)</f>
        <v/>
      </c>
      <c r="O729" s="62">
        <f>IF('Übung 13'!CI$42="","",'Übung 13'!CI$42)</f>
        <v/>
      </c>
      <c r="P729" s="62">
        <f>IF('Übung 14'!CI$42="","",'Übung 14'!CI$42)</f>
        <v/>
      </c>
      <c r="Q729" s="62">
        <f>IF('Übung 15'!CI$42="","",'Übung 15'!CI$42)</f>
        <v/>
      </c>
      <c r="R729" s="62">
        <f>IF('Übung 16'!CI$42="","",'Übung 16'!CI$42)</f>
        <v/>
      </c>
      <c r="S729" s="62">
        <f>IF('Übung 17'!CI$42="","",'Übung 17'!CI$42)</f>
        <v/>
      </c>
      <c r="T729" s="62">
        <f>IF('Übung 18'!CI$42="","",'Übung 18'!CI$42)</f>
        <v/>
      </c>
      <c r="U729" s="62">
        <f>IF('Übung 19'!CI$42="","",'Übung 19'!CI$42)</f>
        <v/>
      </c>
      <c r="V729" s="62">
        <f>IF('Übung 20'!CI$42="","",'Übung 20'!CI$42)</f>
        <v/>
      </c>
    </row>
    <row r="730">
      <c r="C730" s="62">
        <f>IF('Übung 01'!CJ$42="","",'Übung 01'!CJ$42)</f>
        <v/>
      </c>
      <c r="D730" s="62">
        <f>IF('Übung 02'!CJ$42="","",'Übung 02'!CJ$42)</f>
        <v/>
      </c>
      <c r="E730" s="62">
        <f>IF('Übung 03'!CJ$42="","",'Übung 03'!CJ$42)</f>
        <v/>
      </c>
      <c r="F730" s="62">
        <f>IF('Übung 04'!CJ$42="","",'Übung 04'!CJ$42)</f>
        <v/>
      </c>
      <c r="G730" s="62">
        <f>IF('Übung 05'!CJ$42="","",'Übung 05'!CJ$42)</f>
        <v/>
      </c>
      <c r="H730" s="62">
        <f>IF('Übung 06'!CJ$42="","",'Übung 06'!CJ$42)</f>
        <v/>
      </c>
      <c r="I730" s="62">
        <f>IF('Übung 07'!CJ$42="","",'Übung 07'!CJ$42)</f>
        <v/>
      </c>
      <c r="J730" s="62">
        <f>IF('Übung 08'!CJ$42="","",'Übung 08'!CJ$42)</f>
        <v/>
      </c>
      <c r="K730" s="62">
        <f>IF('Übung 09'!CJ$42="","",'Übung 09'!CJ$42)</f>
        <v/>
      </c>
      <c r="L730" s="62">
        <f>IF('Übung 10'!CJ$42="","",'Übung 10'!CJ$42)</f>
        <v/>
      </c>
      <c r="M730" s="62">
        <f>IF('Übung 11'!CJ$42="","",'Übung 11'!CJ$42)</f>
        <v/>
      </c>
      <c r="N730" s="62">
        <f>IF('Übung 12'!CJ$42="","",'Übung 12'!CJ$42)</f>
        <v/>
      </c>
      <c r="O730" s="62">
        <f>IF('Übung 13'!CJ$42="","",'Übung 13'!CJ$42)</f>
        <v/>
      </c>
      <c r="P730" s="62">
        <f>IF('Übung 14'!CJ$42="","",'Übung 14'!CJ$42)</f>
        <v/>
      </c>
      <c r="Q730" s="62">
        <f>IF('Übung 15'!CJ$42="","",'Übung 15'!CJ$42)</f>
        <v/>
      </c>
      <c r="R730" s="62">
        <f>IF('Übung 16'!CJ$42="","",'Übung 16'!CJ$42)</f>
        <v/>
      </c>
      <c r="S730" s="62">
        <f>IF('Übung 17'!CJ$42="","",'Übung 17'!CJ$42)</f>
        <v/>
      </c>
      <c r="T730" s="62">
        <f>IF('Übung 18'!CJ$42="","",'Übung 18'!CJ$42)</f>
        <v/>
      </c>
      <c r="U730" s="62">
        <f>IF('Übung 19'!CJ$42="","",'Übung 19'!CJ$42)</f>
        <v/>
      </c>
      <c r="V730" s="62">
        <f>IF('Übung 20'!CJ$42="","",'Übung 20'!CJ$42)</f>
        <v/>
      </c>
    </row>
    <row r="731">
      <c r="C731" s="62">
        <f>IF('Übung 01'!CK$42="","",'Übung 01'!CK$42)</f>
        <v/>
      </c>
      <c r="D731" s="62">
        <f>IF('Übung 02'!CK$42="","",'Übung 02'!CK$42)</f>
        <v/>
      </c>
      <c r="E731" s="62">
        <f>IF('Übung 03'!CK$42="","",'Übung 03'!CK$42)</f>
        <v/>
      </c>
      <c r="F731" s="62">
        <f>IF('Übung 04'!CK$42="","",'Übung 04'!CK$42)</f>
        <v/>
      </c>
      <c r="G731" s="62">
        <f>IF('Übung 05'!CK$42="","",'Übung 05'!CK$42)</f>
        <v/>
      </c>
      <c r="H731" s="62">
        <f>IF('Übung 06'!CK$42="","",'Übung 06'!CK$42)</f>
        <v/>
      </c>
      <c r="I731" s="62">
        <f>IF('Übung 07'!CK$42="","",'Übung 07'!CK$42)</f>
        <v/>
      </c>
      <c r="J731" s="62">
        <f>IF('Übung 08'!CK$42="","",'Übung 08'!CK$42)</f>
        <v/>
      </c>
      <c r="K731" s="62">
        <f>IF('Übung 09'!CK$42="","",'Übung 09'!CK$42)</f>
        <v/>
      </c>
      <c r="L731" s="62">
        <f>IF('Übung 10'!CK$42="","",'Übung 10'!CK$42)</f>
        <v/>
      </c>
      <c r="M731" s="62">
        <f>IF('Übung 11'!CK$42="","",'Übung 11'!CK$42)</f>
        <v/>
      </c>
      <c r="N731" s="62">
        <f>IF('Übung 12'!CK$42="","",'Übung 12'!CK$42)</f>
        <v/>
      </c>
      <c r="O731" s="62">
        <f>IF('Übung 13'!CK$42="","",'Übung 13'!CK$42)</f>
        <v/>
      </c>
      <c r="P731" s="62">
        <f>IF('Übung 14'!CK$42="","",'Übung 14'!CK$42)</f>
        <v/>
      </c>
      <c r="Q731" s="62">
        <f>IF('Übung 15'!CK$42="","",'Übung 15'!CK$42)</f>
        <v/>
      </c>
      <c r="R731" s="62">
        <f>IF('Übung 16'!CK$42="","",'Übung 16'!CK$42)</f>
        <v/>
      </c>
      <c r="S731" s="62">
        <f>IF('Übung 17'!CK$42="","",'Übung 17'!CK$42)</f>
        <v/>
      </c>
      <c r="T731" s="62">
        <f>IF('Übung 18'!CK$42="","",'Übung 18'!CK$42)</f>
        <v/>
      </c>
      <c r="U731" s="62">
        <f>IF('Übung 19'!CK$42="","",'Übung 19'!CK$42)</f>
        <v/>
      </c>
      <c r="V731" s="62">
        <f>IF('Übung 20'!CK$42="","",'Übung 20'!CK$42)</f>
        <v/>
      </c>
    </row>
    <row r="732">
      <c r="C732" s="62">
        <f>IF('Übung 01'!CL$42="","",'Übung 01'!CL$42)</f>
        <v/>
      </c>
      <c r="D732" s="62">
        <f>IF('Übung 02'!CL$42="","",'Übung 02'!CL$42)</f>
        <v/>
      </c>
      <c r="E732" s="62">
        <f>IF('Übung 03'!CL$42="","",'Übung 03'!CL$42)</f>
        <v/>
      </c>
      <c r="F732" s="62">
        <f>IF('Übung 04'!CL$42="","",'Übung 04'!CL$42)</f>
        <v/>
      </c>
      <c r="G732" s="62">
        <f>IF('Übung 05'!CL$42="","",'Übung 05'!CL$42)</f>
        <v/>
      </c>
      <c r="H732" s="62">
        <f>IF('Übung 06'!CL$42="","",'Übung 06'!CL$42)</f>
        <v/>
      </c>
      <c r="I732" s="62">
        <f>IF('Übung 07'!CL$42="","",'Übung 07'!CL$42)</f>
        <v/>
      </c>
      <c r="J732" s="62">
        <f>IF('Übung 08'!CL$42="","",'Übung 08'!CL$42)</f>
        <v/>
      </c>
      <c r="K732" s="62">
        <f>IF('Übung 09'!CL$42="","",'Übung 09'!CL$42)</f>
        <v/>
      </c>
      <c r="L732" s="62">
        <f>IF('Übung 10'!CL$42="","",'Übung 10'!CL$42)</f>
        <v/>
      </c>
      <c r="M732" s="62">
        <f>IF('Übung 11'!CL$42="","",'Übung 11'!CL$42)</f>
        <v/>
      </c>
      <c r="N732" s="62">
        <f>IF('Übung 12'!CL$42="","",'Übung 12'!CL$42)</f>
        <v/>
      </c>
      <c r="O732" s="62">
        <f>IF('Übung 13'!CL$42="","",'Übung 13'!CL$42)</f>
        <v/>
      </c>
      <c r="P732" s="62">
        <f>IF('Übung 14'!CL$42="","",'Übung 14'!CL$42)</f>
        <v/>
      </c>
      <c r="Q732" s="62">
        <f>IF('Übung 15'!CL$42="","",'Übung 15'!CL$42)</f>
        <v/>
      </c>
      <c r="R732" s="62">
        <f>IF('Übung 16'!CL$42="","",'Übung 16'!CL$42)</f>
        <v/>
      </c>
      <c r="S732" s="62">
        <f>IF('Übung 17'!CL$42="","",'Übung 17'!CL$42)</f>
        <v/>
      </c>
      <c r="T732" s="62">
        <f>IF('Übung 18'!CL$42="","",'Übung 18'!CL$42)</f>
        <v/>
      </c>
      <c r="U732" s="62">
        <f>IF('Übung 19'!CL$42="","",'Übung 19'!CL$42)</f>
        <v/>
      </c>
      <c r="V732" s="62">
        <f>IF('Übung 20'!CL$42="","",'Übung 20'!CL$42)</f>
        <v/>
      </c>
    </row>
    <row r="733">
      <c r="C733" s="62">
        <f>IF('Übung 01'!CM$42="","",'Übung 01'!CM$42)</f>
        <v/>
      </c>
      <c r="D733" s="62">
        <f>IF('Übung 02'!CM$42="","",'Übung 02'!CM$42)</f>
        <v/>
      </c>
      <c r="E733" s="62">
        <f>IF('Übung 03'!CM$42="","",'Übung 03'!CM$42)</f>
        <v/>
      </c>
      <c r="F733" s="62">
        <f>IF('Übung 04'!CM$42="","",'Übung 04'!CM$42)</f>
        <v/>
      </c>
      <c r="G733" s="62">
        <f>IF('Übung 05'!CM$42="","",'Übung 05'!CM$42)</f>
        <v/>
      </c>
      <c r="H733" s="62">
        <f>IF('Übung 06'!CM$42="","",'Übung 06'!CM$42)</f>
        <v/>
      </c>
      <c r="I733" s="62">
        <f>IF('Übung 07'!CM$42="","",'Übung 07'!CM$42)</f>
        <v/>
      </c>
      <c r="J733" s="62">
        <f>IF('Übung 08'!CM$42="","",'Übung 08'!CM$42)</f>
        <v/>
      </c>
      <c r="K733" s="62">
        <f>IF('Übung 09'!CM$42="","",'Übung 09'!CM$42)</f>
        <v/>
      </c>
      <c r="L733" s="62">
        <f>IF('Übung 10'!CM$42="","",'Übung 10'!CM$42)</f>
        <v/>
      </c>
      <c r="M733" s="62">
        <f>IF('Übung 11'!CM$42="","",'Übung 11'!CM$42)</f>
        <v/>
      </c>
      <c r="N733" s="62">
        <f>IF('Übung 12'!CM$42="","",'Übung 12'!CM$42)</f>
        <v/>
      </c>
      <c r="O733" s="62">
        <f>IF('Übung 13'!CM$42="","",'Übung 13'!CM$42)</f>
        <v/>
      </c>
      <c r="P733" s="62">
        <f>IF('Übung 14'!CM$42="","",'Übung 14'!CM$42)</f>
        <v/>
      </c>
      <c r="Q733" s="62">
        <f>IF('Übung 15'!CM$42="","",'Übung 15'!CM$42)</f>
        <v/>
      </c>
      <c r="R733" s="62">
        <f>IF('Übung 16'!CM$42="","",'Übung 16'!CM$42)</f>
        <v/>
      </c>
      <c r="S733" s="62">
        <f>IF('Übung 17'!CM$42="","",'Übung 17'!CM$42)</f>
        <v/>
      </c>
      <c r="T733" s="62">
        <f>IF('Übung 18'!CM$42="","",'Übung 18'!CM$42)</f>
        <v/>
      </c>
      <c r="U733" s="62">
        <f>IF('Übung 19'!CM$42="","",'Übung 19'!CM$42)</f>
        <v/>
      </c>
      <c r="V733" s="62">
        <f>IF('Übung 20'!CM$42="","",'Übung 20'!CM$42)</f>
        <v/>
      </c>
    </row>
    <row r="734">
      <c r="C734" s="62">
        <f>IF('Übung 01'!CN$42="","",'Übung 01'!CN$42)</f>
        <v/>
      </c>
      <c r="D734" s="62">
        <f>IF('Übung 02'!CN$42="","",'Übung 02'!CN$42)</f>
        <v/>
      </c>
      <c r="E734" s="62">
        <f>IF('Übung 03'!CN$42="","",'Übung 03'!CN$42)</f>
        <v/>
      </c>
      <c r="F734" s="62">
        <f>IF('Übung 04'!CN$42="","",'Übung 04'!CN$42)</f>
        <v/>
      </c>
      <c r="G734" s="62">
        <f>IF('Übung 05'!CN$42="","",'Übung 05'!CN$42)</f>
        <v/>
      </c>
      <c r="H734" s="62">
        <f>IF('Übung 06'!CN$42="","",'Übung 06'!CN$42)</f>
        <v/>
      </c>
      <c r="I734" s="62">
        <f>IF('Übung 07'!CN$42="","",'Übung 07'!CN$42)</f>
        <v/>
      </c>
      <c r="J734" s="62">
        <f>IF('Übung 08'!CN$42="","",'Übung 08'!CN$42)</f>
        <v/>
      </c>
      <c r="K734" s="62">
        <f>IF('Übung 09'!CN$42="","",'Übung 09'!CN$42)</f>
        <v/>
      </c>
      <c r="L734" s="62">
        <f>IF('Übung 10'!CN$42="","",'Übung 10'!CN$42)</f>
        <v/>
      </c>
      <c r="M734" s="62">
        <f>IF('Übung 11'!CN$42="","",'Übung 11'!CN$42)</f>
        <v/>
      </c>
      <c r="N734" s="62">
        <f>IF('Übung 12'!CN$42="","",'Übung 12'!CN$42)</f>
        <v/>
      </c>
      <c r="O734" s="62">
        <f>IF('Übung 13'!CN$42="","",'Übung 13'!CN$42)</f>
        <v/>
      </c>
      <c r="P734" s="62">
        <f>IF('Übung 14'!CN$42="","",'Übung 14'!CN$42)</f>
        <v/>
      </c>
      <c r="Q734" s="62">
        <f>IF('Übung 15'!CN$42="","",'Übung 15'!CN$42)</f>
        <v/>
      </c>
      <c r="R734" s="62">
        <f>IF('Übung 16'!CN$42="","",'Übung 16'!CN$42)</f>
        <v/>
      </c>
      <c r="S734" s="62">
        <f>IF('Übung 17'!CN$42="","",'Übung 17'!CN$42)</f>
        <v/>
      </c>
      <c r="T734" s="62">
        <f>IF('Übung 18'!CN$42="","",'Übung 18'!CN$42)</f>
        <v/>
      </c>
      <c r="U734" s="62">
        <f>IF('Übung 19'!CN$42="","",'Übung 19'!CN$42)</f>
        <v/>
      </c>
      <c r="V734" s="62">
        <f>IF('Übung 20'!CN$42="","",'Übung 20'!CN$42)</f>
        <v/>
      </c>
    </row>
    <row r="735">
      <c r="C735" s="62">
        <f>IF('Übung 01'!CO$42="","",'Übung 01'!CO$42)</f>
        <v/>
      </c>
      <c r="D735" s="62">
        <f>IF('Übung 02'!CO$42="","",'Übung 02'!CO$42)</f>
        <v/>
      </c>
      <c r="E735" s="62">
        <f>IF('Übung 03'!CO$42="","",'Übung 03'!CO$42)</f>
        <v/>
      </c>
      <c r="F735" s="62">
        <f>IF('Übung 04'!CO$42="","",'Übung 04'!CO$42)</f>
        <v/>
      </c>
      <c r="G735" s="62">
        <f>IF('Übung 05'!CO$42="","",'Übung 05'!CO$42)</f>
        <v/>
      </c>
      <c r="H735" s="62">
        <f>IF('Übung 06'!CO$42="","",'Übung 06'!CO$42)</f>
        <v/>
      </c>
      <c r="I735" s="62">
        <f>IF('Übung 07'!CO$42="","",'Übung 07'!CO$42)</f>
        <v/>
      </c>
      <c r="J735" s="62">
        <f>IF('Übung 08'!CO$42="","",'Übung 08'!CO$42)</f>
        <v/>
      </c>
      <c r="K735" s="62">
        <f>IF('Übung 09'!CO$42="","",'Übung 09'!CO$42)</f>
        <v/>
      </c>
      <c r="L735" s="62">
        <f>IF('Übung 10'!CO$42="","",'Übung 10'!CO$42)</f>
        <v/>
      </c>
      <c r="M735" s="62">
        <f>IF('Übung 11'!CO$42="","",'Übung 11'!CO$42)</f>
        <v/>
      </c>
      <c r="N735" s="62">
        <f>IF('Übung 12'!CO$42="","",'Übung 12'!CO$42)</f>
        <v/>
      </c>
      <c r="O735" s="62">
        <f>IF('Übung 13'!CO$42="","",'Übung 13'!CO$42)</f>
        <v/>
      </c>
      <c r="P735" s="62">
        <f>IF('Übung 14'!CO$42="","",'Übung 14'!CO$42)</f>
        <v/>
      </c>
      <c r="Q735" s="62">
        <f>IF('Übung 15'!CO$42="","",'Übung 15'!CO$42)</f>
        <v/>
      </c>
      <c r="R735" s="62">
        <f>IF('Übung 16'!CO$42="","",'Übung 16'!CO$42)</f>
        <v/>
      </c>
      <c r="S735" s="62">
        <f>IF('Übung 17'!CO$42="","",'Übung 17'!CO$42)</f>
        <v/>
      </c>
      <c r="T735" s="62">
        <f>IF('Übung 18'!CO$42="","",'Übung 18'!CO$42)</f>
        <v/>
      </c>
      <c r="U735" s="62">
        <f>IF('Übung 19'!CO$42="","",'Übung 19'!CO$42)</f>
        <v/>
      </c>
      <c r="V735" s="62">
        <f>IF('Übung 20'!CO$42="","",'Übung 20'!CO$42)</f>
        <v/>
      </c>
    </row>
    <row r="736">
      <c r="C736" s="62">
        <f>IF('Übung 01'!CP$42="","",'Übung 01'!CP$42)</f>
        <v/>
      </c>
      <c r="D736" s="62">
        <f>IF('Übung 02'!CP$42="","",'Übung 02'!CP$42)</f>
        <v/>
      </c>
      <c r="E736" s="62">
        <f>IF('Übung 03'!CP$42="","",'Übung 03'!CP$42)</f>
        <v/>
      </c>
      <c r="F736" s="62">
        <f>IF('Übung 04'!CP$42="","",'Übung 04'!CP$42)</f>
        <v/>
      </c>
      <c r="G736" s="62">
        <f>IF('Übung 05'!CP$42="","",'Übung 05'!CP$42)</f>
        <v/>
      </c>
      <c r="H736" s="62">
        <f>IF('Übung 06'!CP$42="","",'Übung 06'!CP$42)</f>
        <v/>
      </c>
      <c r="I736" s="62">
        <f>IF('Übung 07'!CP$42="","",'Übung 07'!CP$42)</f>
        <v/>
      </c>
      <c r="J736" s="62">
        <f>IF('Übung 08'!CP$42="","",'Übung 08'!CP$42)</f>
        <v/>
      </c>
      <c r="K736" s="62">
        <f>IF('Übung 09'!CP$42="","",'Übung 09'!CP$42)</f>
        <v/>
      </c>
      <c r="L736" s="62">
        <f>IF('Übung 10'!CP$42="","",'Übung 10'!CP$42)</f>
        <v/>
      </c>
      <c r="M736" s="62">
        <f>IF('Übung 11'!CP$42="","",'Übung 11'!CP$42)</f>
        <v/>
      </c>
      <c r="N736" s="62">
        <f>IF('Übung 12'!CP$42="","",'Übung 12'!CP$42)</f>
        <v/>
      </c>
      <c r="O736" s="62">
        <f>IF('Übung 13'!CP$42="","",'Übung 13'!CP$42)</f>
        <v/>
      </c>
      <c r="P736" s="62">
        <f>IF('Übung 14'!CP$42="","",'Übung 14'!CP$42)</f>
        <v/>
      </c>
      <c r="Q736" s="62">
        <f>IF('Übung 15'!CP$42="","",'Übung 15'!CP$42)</f>
        <v/>
      </c>
      <c r="R736" s="62">
        <f>IF('Übung 16'!CP$42="","",'Übung 16'!CP$42)</f>
        <v/>
      </c>
      <c r="S736" s="62">
        <f>IF('Übung 17'!CP$42="","",'Übung 17'!CP$42)</f>
        <v/>
      </c>
      <c r="T736" s="62">
        <f>IF('Übung 18'!CP$42="","",'Übung 18'!CP$42)</f>
        <v/>
      </c>
      <c r="U736" s="62">
        <f>IF('Übung 19'!CP$42="","",'Übung 19'!CP$42)</f>
        <v/>
      </c>
      <c r="V736" s="62">
        <f>IF('Übung 20'!CP$42="","",'Übung 20'!CP$42)</f>
        <v/>
      </c>
    </row>
    <row r="737">
      <c r="C737" s="62">
        <f>IF('Übung 01'!CQ$42="","",'Übung 01'!CQ$42)</f>
        <v/>
      </c>
      <c r="D737" s="62">
        <f>IF('Übung 02'!CQ$42="","",'Übung 02'!CQ$42)</f>
        <v/>
      </c>
      <c r="E737" s="62">
        <f>IF('Übung 03'!CQ$42="","",'Übung 03'!CQ$42)</f>
        <v/>
      </c>
      <c r="F737" s="62">
        <f>IF('Übung 04'!CQ$42="","",'Übung 04'!CQ$42)</f>
        <v/>
      </c>
      <c r="G737" s="62">
        <f>IF('Übung 05'!CQ$42="","",'Übung 05'!CQ$42)</f>
        <v/>
      </c>
      <c r="H737" s="62">
        <f>IF('Übung 06'!CQ$42="","",'Übung 06'!CQ$42)</f>
        <v/>
      </c>
      <c r="I737" s="62">
        <f>IF('Übung 07'!CQ$42="","",'Übung 07'!CQ$42)</f>
        <v/>
      </c>
      <c r="J737" s="62">
        <f>IF('Übung 08'!CQ$42="","",'Übung 08'!CQ$42)</f>
        <v/>
      </c>
      <c r="K737" s="62">
        <f>IF('Übung 09'!CQ$42="","",'Übung 09'!CQ$42)</f>
        <v/>
      </c>
      <c r="L737" s="62">
        <f>IF('Übung 10'!CQ$42="","",'Übung 10'!CQ$42)</f>
        <v/>
      </c>
      <c r="M737" s="62">
        <f>IF('Übung 11'!CQ$42="","",'Übung 11'!CQ$42)</f>
        <v/>
      </c>
      <c r="N737" s="62">
        <f>IF('Übung 12'!CQ$42="","",'Übung 12'!CQ$42)</f>
        <v/>
      </c>
      <c r="O737" s="62">
        <f>IF('Übung 13'!CQ$42="","",'Übung 13'!CQ$42)</f>
        <v/>
      </c>
      <c r="P737" s="62">
        <f>IF('Übung 14'!CQ$42="","",'Übung 14'!CQ$42)</f>
        <v/>
      </c>
      <c r="Q737" s="62">
        <f>IF('Übung 15'!CQ$42="","",'Übung 15'!CQ$42)</f>
        <v/>
      </c>
      <c r="R737" s="62">
        <f>IF('Übung 16'!CQ$42="","",'Übung 16'!CQ$42)</f>
        <v/>
      </c>
      <c r="S737" s="62">
        <f>IF('Übung 17'!CQ$42="","",'Übung 17'!CQ$42)</f>
        <v/>
      </c>
      <c r="T737" s="62">
        <f>IF('Übung 18'!CQ$42="","",'Übung 18'!CQ$42)</f>
        <v/>
      </c>
      <c r="U737" s="62">
        <f>IF('Übung 19'!CQ$42="","",'Übung 19'!CQ$42)</f>
        <v/>
      </c>
      <c r="V737" s="62">
        <f>IF('Übung 20'!CQ$42="","",'Übung 20'!CQ$42)</f>
        <v/>
      </c>
    </row>
    <row r="738">
      <c r="C738" s="62">
        <f>IF('Übung 01'!CR$42="","",'Übung 01'!CR$42)</f>
        <v/>
      </c>
      <c r="D738" s="62">
        <f>IF('Übung 02'!CR$42="","",'Übung 02'!CR$42)</f>
        <v/>
      </c>
      <c r="E738" s="62">
        <f>IF('Übung 03'!CR$42="","",'Übung 03'!CR$42)</f>
        <v/>
      </c>
      <c r="F738" s="62">
        <f>IF('Übung 04'!CR$42="","",'Übung 04'!CR$42)</f>
        <v/>
      </c>
      <c r="G738" s="62">
        <f>IF('Übung 05'!CR$42="","",'Übung 05'!CR$42)</f>
        <v/>
      </c>
      <c r="H738" s="62">
        <f>IF('Übung 06'!CR$42="","",'Übung 06'!CR$42)</f>
        <v/>
      </c>
      <c r="I738" s="62">
        <f>IF('Übung 07'!CR$42="","",'Übung 07'!CR$42)</f>
        <v/>
      </c>
      <c r="J738" s="62">
        <f>IF('Übung 08'!CR$42="","",'Übung 08'!CR$42)</f>
        <v/>
      </c>
      <c r="K738" s="62">
        <f>IF('Übung 09'!CR$42="","",'Übung 09'!CR$42)</f>
        <v/>
      </c>
      <c r="L738" s="62">
        <f>IF('Übung 10'!CR$42="","",'Übung 10'!CR$42)</f>
        <v/>
      </c>
      <c r="M738" s="62">
        <f>IF('Übung 11'!CR$42="","",'Übung 11'!CR$42)</f>
        <v/>
      </c>
      <c r="N738" s="62">
        <f>IF('Übung 12'!CR$42="","",'Übung 12'!CR$42)</f>
        <v/>
      </c>
      <c r="O738" s="62">
        <f>IF('Übung 13'!CR$42="","",'Übung 13'!CR$42)</f>
        <v/>
      </c>
      <c r="P738" s="62">
        <f>IF('Übung 14'!CR$42="","",'Übung 14'!CR$42)</f>
        <v/>
      </c>
      <c r="Q738" s="62">
        <f>IF('Übung 15'!CR$42="","",'Übung 15'!CR$42)</f>
        <v/>
      </c>
      <c r="R738" s="62">
        <f>IF('Übung 16'!CR$42="","",'Übung 16'!CR$42)</f>
        <v/>
      </c>
      <c r="S738" s="62">
        <f>IF('Übung 17'!CR$42="","",'Übung 17'!CR$42)</f>
        <v/>
      </c>
      <c r="T738" s="62">
        <f>IF('Übung 18'!CR$42="","",'Übung 18'!CR$42)</f>
        <v/>
      </c>
      <c r="U738" s="62">
        <f>IF('Übung 19'!CR$42="","",'Übung 19'!CR$42)</f>
        <v/>
      </c>
      <c r="V738" s="62">
        <f>IF('Übung 20'!CR$42="","",'Übung 20'!CR$42)</f>
        <v/>
      </c>
    </row>
    <row r="739">
      <c r="C739" s="62">
        <f>IF('Übung 01'!CS$42="","",'Übung 01'!CS$42)</f>
        <v/>
      </c>
      <c r="D739" s="62">
        <f>IF('Übung 02'!CS$42="","",'Übung 02'!CS$42)</f>
        <v/>
      </c>
      <c r="E739" s="62">
        <f>IF('Übung 03'!CS$42="","",'Übung 03'!CS$42)</f>
        <v/>
      </c>
      <c r="F739" s="62">
        <f>IF('Übung 04'!CS$42="","",'Übung 04'!CS$42)</f>
        <v/>
      </c>
      <c r="G739" s="62">
        <f>IF('Übung 05'!CS$42="","",'Übung 05'!CS$42)</f>
        <v/>
      </c>
      <c r="H739" s="62">
        <f>IF('Übung 06'!CS$42="","",'Übung 06'!CS$42)</f>
        <v/>
      </c>
      <c r="I739" s="62">
        <f>IF('Übung 07'!CS$42="","",'Übung 07'!CS$42)</f>
        <v/>
      </c>
      <c r="J739" s="62">
        <f>IF('Übung 08'!CS$42="","",'Übung 08'!CS$42)</f>
        <v/>
      </c>
      <c r="K739" s="62">
        <f>IF('Übung 09'!CS$42="","",'Übung 09'!CS$42)</f>
        <v/>
      </c>
      <c r="L739" s="62">
        <f>IF('Übung 10'!CS$42="","",'Übung 10'!CS$42)</f>
        <v/>
      </c>
      <c r="M739" s="62">
        <f>IF('Übung 11'!CS$42="","",'Übung 11'!CS$42)</f>
        <v/>
      </c>
      <c r="N739" s="62">
        <f>IF('Übung 12'!CS$42="","",'Übung 12'!CS$42)</f>
        <v/>
      </c>
      <c r="O739" s="62">
        <f>IF('Übung 13'!CS$42="","",'Übung 13'!CS$42)</f>
        <v/>
      </c>
      <c r="P739" s="62">
        <f>IF('Übung 14'!CS$42="","",'Übung 14'!CS$42)</f>
        <v/>
      </c>
      <c r="Q739" s="62">
        <f>IF('Übung 15'!CS$42="","",'Übung 15'!CS$42)</f>
        <v/>
      </c>
      <c r="R739" s="62">
        <f>IF('Übung 16'!CS$42="","",'Übung 16'!CS$42)</f>
        <v/>
      </c>
      <c r="S739" s="62">
        <f>IF('Übung 17'!CS$42="","",'Übung 17'!CS$42)</f>
        <v/>
      </c>
      <c r="T739" s="62">
        <f>IF('Übung 18'!CS$42="","",'Übung 18'!CS$42)</f>
        <v/>
      </c>
      <c r="U739" s="62">
        <f>IF('Übung 19'!CS$42="","",'Übung 19'!CS$42)</f>
        <v/>
      </c>
      <c r="V739" s="62">
        <f>IF('Übung 20'!CS$42="","",'Übung 20'!CS$42)</f>
        <v/>
      </c>
    </row>
    <row r="740">
      <c r="C740" s="62">
        <f>IF('Übung 01'!CT$42="","",'Übung 01'!CT$42)</f>
        <v/>
      </c>
      <c r="D740" s="62">
        <f>IF('Übung 02'!CT$42="","",'Übung 02'!CT$42)</f>
        <v/>
      </c>
      <c r="E740" s="62">
        <f>IF('Übung 03'!CT$42="","",'Übung 03'!CT$42)</f>
        <v/>
      </c>
      <c r="F740" s="62">
        <f>IF('Übung 04'!CT$42="","",'Übung 04'!CT$42)</f>
        <v/>
      </c>
      <c r="G740" s="62">
        <f>IF('Übung 05'!CT$42="","",'Übung 05'!CT$42)</f>
        <v/>
      </c>
      <c r="H740" s="62">
        <f>IF('Übung 06'!CT$42="","",'Übung 06'!CT$42)</f>
        <v/>
      </c>
      <c r="I740" s="62">
        <f>IF('Übung 07'!CT$42="","",'Übung 07'!CT$42)</f>
        <v/>
      </c>
      <c r="J740" s="62">
        <f>IF('Übung 08'!CT$42="","",'Übung 08'!CT$42)</f>
        <v/>
      </c>
      <c r="K740" s="62">
        <f>IF('Übung 09'!CT$42="","",'Übung 09'!CT$42)</f>
        <v/>
      </c>
      <c r="L740" s="62">
        <f>IF('Übung 10'!CT$42="","",'Übung 10'!CT$42)</f>
        <v/>
      </c>
      <c r="M740" s="62">
        <f>IF('Übung 11'!CT$42="","",'Übung 11'!CT$42)</f>
        <v/>
      </c>
      <c r="N740" s="62">
        <f>IF('Übung 12'!CT$42="","",'Übung 12'!CT$42)</f>
        <v/>
      </c>
      <c r="O740" s="62">
        <f>IF('Übung 13'!CT$42="","",'Übung 13'!CT$42)</f>
        <v/>
      </c>
      <c r="P740" s="62">
        <f>IF('Übung 14'!CT$42="","",'Übung 14'!CT$42)</f>
        <v/>
      </c>
      <c r="Q740" s="62">
        <f>IF('Übung 15'!CT$42="","",'Übung 15'!CT$42)</f>
        <v/>
      </c>
      <c r="R740" s="62">
        <f>IF('Übung 16'!CT$42="","",'Übung 16'!CT$42)</f>
        <v/>
      </c>
      <c r="S740" s="62">
        <f>IF('Übung 17'!CT$42="","",'Übung 17'!CT$42)</f>
        <v/>
      </c>
      <c r="T740" s="62">
        <f>IF('Übung 18'!CT$42="","",'Übung 18'!CT$42)</f>
        <v/>
      </c>
      <c r="U740" s="62">
        <f>IF('Übung 19'!CT$42="","",'Übung 19'!CT$42)</f>
        <v/>
      </c>
      <c r="V740" s="62">
        <f>IF('Übung 20'!CT$42="","",'Übung 20'!CT$42)</f>
        <v/>
      </c>
    </row>
    <row r="741">
      <c r="C741" s="62">
        <f>IF('Übung 01'!CU$42="","",'Übung 01'!CU$42)</f>
        <v/>
      </c>
      <c r="D741" s="62">
        <f>IF('Übung 02'!CU$42="","",'Übung 02'!CU$42)</f>
        <v/>
      </c>
      <c r="E741" s="62">
        <f>IF('Übung 03'!CU$42="","",'Übung 03'!CU$42)</f>
        <v/>
      </c>
      <c r="F741" s="62">
        <f>IF('Übung 04'!CU$42="","",'Übung 04'!CU$42)</f>
        <v/>
      </c>
      <c r="G741" s="62">
        <f>IF('Übung 05'!CU$42="","",'Übung 05'!CU$42)</f>
        <v/>
      </c>
      <c r="H741" s="62">
        <f>IF('Übung 06'!CU$42="","",'Übung 06'!CU$42)</f>
        <v/>
      </c>
      <c r="I741" s="62">
        <f>IF('Übung 07'!CU$42="","",'Übung 07'!CU$42)</f>
        <v/>
      </c>
      <c r="J741" s="62">
        <f>IF('Übung 08'!CU$42="","",'Übung 08'!CU$42)</f>
        <v/>
      </c>
      <c r="K741" s="62">
        <f>IF('Übung 09'!CU$42="","",'Übung 09'!CU$42)</f>
        <v/>
      </c>
      <c r="L741" s="62">
        <f>IF('Übung 10'!CU$42="","",'Übung 10'!CU$42)</f>
        <v/>
      </c>
      <c r="M741" s="62">
        <f>IF('Übung 11'!CU$42="","",'Übung 11'!CU$42)</f>
        <v/>
      </c>
      <c r="N741" s="62">
        <f>IF('Übung 12'!CU$42="","",'Übung 12'!CU$42)</f>
        <v/>
      </c>
      <c r="O741" s="62">
        <f>IF('Übung 13'!CU$42="","",'Übung 13'!CU$42)</f>
        <v/>
      </c>
      <c r="P741" s="62">
        <f>IF('Übung 14'!CU$42="","",'Übung 14'!CU$42)</f>
        <v/>
      </c>
      <c r="Q741" s="62">
        <f>IF('Übung 15'!CU$42="","",'Übung 15'!CU$42)</f>
        <v/>
      </c>
      <c r="R741" s="62">
        <f>IF('Übung 16'!CU$42="","",'Übung 16'!CU$42)</f>
        <v/>
      </c>
      <c r="S741" s="62">
        <f>IF('Übung 17'!CU$42="","",'Übung 17'!CU$42)</f>
        <v/>
      </c>
      <c r="T741" s="62">
        <f>IF('Übung 18'!CU$42="","",'Übung 18'!CU$42)</f>
        <v/>
      </c>
      <c r="U741" s="62">
        <f>IF('Übung 19'!CU$42="","",'Übung 19'!CU$42)</f>
        <v/>
      </c>
      <c r="V741" s="62">
        <f>IF('Übung 20'!CU$42="","",'Übung 20'!CU$42)</f>
        <v/>
      </c>
    </row>
    <row r="742">
      <c r="C742" s="62">
        <f>IF('Übung 01'!CV$42="","",'Übung 01'!CV$42)</f>
        <v/>
      </c>
      <c r="D742" s="62">
        <f>IF('Übung 02'!CV$42="","",'Übung 02'!CV$42)</f>
        <v/>
      </c>
      <c r="E742" s="62">
        <f>IF('Übung 03'!CV$42="","",'Übung 03'!CV$42)</f>
        <v/>
      </c>
      <c r="F742" s="62">
        <f>IF('Übung 04'!CV$42="","",'Übung 04'!CV$42)</f>
        <v/>
      </c>
      <c r="G742" s="62">
        <f>IF('Übung 05'!CV$42="","",'Übung 05'!CV$42)</f>
        <v/>
      </c>
      <c r="H742" s="62">
        <f>IF('Übung 06'!CV$42="","",'Übung 06'!CV$42)</f>
        <v/>
      </c>
      <c r="I742" s="62">
        <f>IF('Übung 07'!CV$42="","",'Übung 07'!CV$42)</f>
        <v/>
      </c>
      <c r="J742" s="62">
        <f>IF('Übung 08'!CV$42="","",'Übung 08'!CV$42)</f>
        <v/>
      </c>
      <c r="K742" s="62">
        <f>IF('Übung 09'!CV$42="","",'Übung 09'!CV$42)</f>
        <v/>
      </c>
      <c r="L742" s="62">
        <f>IF('Übung 10'!CV$42="","",'Übung 10'!CV$42)</f>
        <v/>
      </c>
      <c r="M742" s="62">
        <f>IF('Übung 11'!CV$42="","",'Übung 11'!CV$42)</f>
        <v/>
      </c>
      <c r="N742" s="62">
        <f>IF('Übung 12'!CV$42="","",'Übung 12'!CV$42)</f>
        <v/>
      </c>
      <c r="O742" s="62">
        <f>IF('Übung 13'!CV$42="","",'Übung 13'!CV$42)</f>
        <v/>
      </c>
      <c r="P742" s="62">
        <f>IF('Übung 14'!CV$42="","",'Übung 14'!CV$42)</f>
        <v/>
      </c>
      <c r="Q742" s="62">
        <f>IF('Übung 15'!CV$42="","",'Übung 15'!CV$42)</f>
        <v/>
      </c>
      <c r="R742" s="62">
        <f>IF('Übung 16'!CV$42="","",'Übung 16'!CV$42)</f>
        <v/>
      </c>
      <c r="S742" s="62">
        <f>IF('Übung 17'!CV$42="","",'Übung 17'!CV$42)</f>
        <v/>
      </c>
      <c r="T742" s="62">
        <f>IF('Übung 18'!CV$42="","",'Übung 18'!CV$42)</f>
        <v/>
      </c>
      <c r="U742" s="62">
        <f>IF('Übung 19'!CV$42="","",'Übung 19'!CV$42)</f>
        <v/>
      </c>
      <c r="V742" s="62">
        <f>IF('Übung 20'!CV$42="","",'Übung 20'!CV$42)</f>
        <v/>
      </c>
    </row>
    <row r="743">
      <c r="C743" s="62">
        <f>IF('Übung 01'!CW$42="","",'Übung 01'!CW$42)</f>
        <v/>
      </c>
      <c r="D743" s="62">
        <f>IF('Übung 02'!CW$42="","",'Übung 02'!CW$42)</f>
        <v/>
      </c>
      <c r="E743" s="62">
        <f>IF('Übung 03'!CW$42="","",'Übung 03'!CW$42)</f>
        <v/>
      </c>
      <c r="F743" s="62">
        <f>IF('Übung 04'!CW$42="","",'Übung 04'!CW$42)</f>
        <v/>
      </c>
      <c r="G743" s="62">
        <f>IF('Übung 05'!CW$42="","",'Übung 05'!CW$42)</f>
        <v/>
      </c>
      <c r="H743" s="62">
        <f>IF('Übung 06'!CW$42="","",'Übung 06'!CW$42)</f>
        <v/>
      </c>
      <c r="I743" s="62">
        <f>IF('Übung 07'!CW$42="","",'Übung 07'!CW$42)</f>
        <v/>
      </c>
      <c r="J743" s="62">
        <f>IF('Übung 08'!CW$42="","",'Übung 08'!CW$42)</f>
        <v/>
      </c>
      <c r="K743" s="62">
        <f>IF('Übung 09'!CW$42="","",'Übung 09'!CW$42)</f>
        <v/>
      </c>
      <c r="L743" s="62">
        <f>IF('Übung 10'!CW$42="","",'Übung 10'!CW$42)</f>
        <v/>
      </c>
      <c r="M743" s="62">
        <f>IF('Übung 11'!CW$42="","",'Übung 11'!CW$42)</f>
        <v/>
      </c>
      <c r="N743" s="62">
        <f>IF('Übung 12'!CW$42="","",'Übung 12'!CW$42)</f>
        <v/>
      </c>
      <c r="O743" s="62">
        <f>IF('Übung 13'!CW$42="","",'Übung 13'!CW$42)</f>
        <v/>
      </c>
      <c r="P743" s="62">
        <f>IF('Übung 14'!CW$42="","",'Übung 14'!CW$42)</f>
        <v/>
      </c>
      <c r="Q743" s="62">
        <f>IF('Übung 15'!CW$42="","",'Übung 15'!CW$42)</f>
        <v/>
      </c>
      <c r="R743" s="62">
        <f>IF('Übung 16'!CW$42="","",'Übung 16'!CW$42)</f>
        <v/>
      </c>
      <c r="S743" s="62">
        <f>IF('Übung 17'!CW$42="","",'Übung 17'!CW$42)</f>
        <v/>
      </c>
      <c r="T743" s="62">
        <f>IF('Übung 18'!CW$42="","",'Übung 18'!CW$42)</f>
        <v/>
      </c>
      <c r="U743" s="62">
        <f>IF('Übung 19'!CW$42="","",'Übung 19'!CW$42)</f>
        <v/>
      </c>
      <c r="V743" s="62">
        <f>IF('Übung 20'!CW$42="","",'Übung 20'!CW$42)</f>
        <v/>
      </c>
    </row>
    <row r="744">
      <c r="C744" s="62">
        <f>IF('Übung 01'!CX$42="","",'Übung 01'!CX$42)</f>
        <v/>
      </c>
      <c r="D744" s="62">
        <f>IF('Übung 02'!CX$42="","",'Übung 02'!CX$42)</f>
        <v/>
      </c>
      <c r="E744" s="62">
        <f>IF('Übung 03'!CX$42="","",'Übung 03'!CX$42)</f>
        <v/>
      </c>
      <c r="F744" s="62">
        <f>IF('Übung 04'!CX$42="","",'Übung 04'!CX$42)</f>
        <v/>
      </c>
      <c r="G744" s="62">
        <f>IF('Übung 05'!CX$42="","",'Übung 05'!CX$42)</f>
        <v/>
      </c>
      <c r="H744" s="62">
        <f>IF('Übung 06'!CX$42="","",'Übung 06'!CX$42)</f>
        <v/>
      </c>
      <c r="I744" s="62">
        <f>IF('Übung 07'!CX$42="","",'Übung 07'!CX$42)</f>
        <v/>
      </c>
      <c r="J744" s="62">
        <f>IF('Übung 08'!CX$42="","",'Übung 08'!CX$42)</f>
        <v/>
      </c>
      <c r="K744" s="62">
        <f>IF('Übung 09'!CX$42="","",'Übung 09'!CX$42)</f>
        <v/>
      </c>
      <c r="L744" s="62">
        <f>IF('Übung 10'!CX$42="","",'Übung 10'!CX$42)</f>
        <v/>
      </c>
      <c r="M744" s="62">
        <f>IF('Übung 11'!CX$42="","",'Übung 11'!CX$42)</f>
        <v/>
      </c>
      <c r="N744" s="62">
        <f>IF('Übung 12'!CX$42="","",'Übung 12'!CX$42)</f>
        <v/>
      </c>
      <c r="O744" s="62">
        <f>IF('Übung 13'!CX$42="","",'Übung 13'!CX$42)</f>
        <v/>
      </c>
      <c r="P744" s="62">
        <f>IF('Übung 14'!CX$42="","",'Übung 14'!CX$42)</f>
        <v/>
      </c>
      <c r="Q744" s="62">
        <f>IF('Übung 15'!CX$42="","",'Übung 15'!CX$42)</f>
        <v/>
      </c>
      <c r="R744" s="62">
        <f>IF('Übung 16'!CX$42="","",'Übung 16'!CX$42)</f>
        <v/>
      </c>
      <c r="S744" s="62">
        <f>IF('Übung 17'!CX$42="","",'Übung 17'!CX$42)</f>
        <v/>
      </c>
      <c r="T744" s="62">
        <f>IF('Übung 18'!CX$42="","",'Übung 18'!CX$42)</f>
        <v/>
      </c>
      <c r="U744" s="62">
        <f>IF('Übung 19'!CX$42="","",'Übung 19'!CX$42)</f>
        <v/>
      </c>
      <c r="V744" s="62">
        <f>IF('Übung 20'!CX$42="","",'Übung 20'!CX$42)</f>
        <v/>
      </c>
    </row>
    <row r="745">
      <c r="C745" s="62">
        <f>IF('Übung 01'!CY$42="","",'Übung 01'!CY$42)</f>
        <v/>
      </c>
      <c r="D745" s="62">
        <f>IF('Übung 02'!CY$42="","",'Übung 02'!CY$42)</f>
        <v/>
      </c>
      <c r="E745" s="62">
        <f>IF('Übung 03'!CY$42="","",'Übung 03'!CY$42)</f>
        <v/>
      </c>
      <c r="F745" s="62">
        <f>IF('Übung 04'!CY$42="","",'Übung 04'!CY$42)</f>
        <v/>
      </c>
      <c r="G745" s="62">
        <f>IF('Übung 05'!CY$42="","",'Übung 05'!CY$42)</f>
        <v/>
      </c>
      <c r="H745" s="62">
        <f>IF('Übung 06'!CY$42="","",'Übung 06'!CY$42)</f>
        <v/>
      </c>
      <c r="I745" s="62">
        <f>IF('Übung 07'!CY$42="","",'Übung 07'!CY$42)</f>
        <v/>
      </c>
      <c r="J745" s="62">
        <f>IF('Übung 08'!CY$42="","",'Übung 08'!CY$42)</f>
        <v/>
      </c>
      <c r="K745" s="62">
        <f>IF('Übung 09'!CY$42="","",'Übung 09'!CY$42)</f>
        <v/>
      </c>
      <c r="L745" s="62">
        <f>IF('Übung 10'!CY$42="","",'Übung 10'!CY$42)</f>
        <v/>
      </c>
      <c r="M745" s="62">
        <f>IF('Übung 11'!CY$42="","",'Übung 11'!CY$42)</f>
        <v/>
      </c>
      <c r="N745" s="62">
        <f>IF('Übung 12'!CY$42="","",'Übung 12'!CY$42)</f>
        <v/>
      </c>
      <c r="O745" s="62">
        <f>IF('Übung 13'!CY$42="","",'Übung 13'!CY$42)</f>
        <v/>
      </c>
      <c r="P745" s="62">
        <f>IF('Übung 14'!CY$42="","",'Übung 14'!CY$42)</f>
        <v/>
      </c>
      <c r="Q745" s="62">
        <f>IF('Übung 15'!CY$42="","",'Übung 15'!CY$42)</f>
        <v/>
      </c>
      <c r="R745" s="62">
        <f>IF('Übung 16'!CY$42="","",'Übung 16'!CY$42)</f>
        <v/>
      </c>
      <c r="S745" s="62">
        <f>IF('Übung 17'!CY$42="","",'Übung 17'!CY$42)</f>
        <v/>
      </c>
      <c r="T745" s="62">
        <f>IF('Übung 18'!CY$42="","",'Übung 18'!CY$42)</f>
        <v/>
      </c>
      <c r="U745" s="62">
        <f>IF('Übung 19'!CY$42="","",'Übung 19'!CY$42)</f>
        <v/>
      </c>
      <c r="V745" s="62">
        <f>IF('Übung 20'!CY$42="","",'Übung 20'!CY$42)</f>
        <v/>
      </c>
    </row>
    <row r="746">
      <c r="C746" s="62">
        <f>IF('Übung 01'!CZ$42="","",'Übung 01'!CZ$42)</f>
        <v/>
      </c>
      <c r="D746" s="62">
        <f>IF('Übung 02'!CZ$42="","",'Übung 02'!CZ$42)</f>
        <v/>
      </c>
      <c r="E746" s="62">
        <f>IF('Übung 03'!CZ$42="","",'Übung 03'!CZ$42)</f>
        <v/>
      </c>
      <c r="F746" s="62">
        <f>IF('Übung 04'!CZ$42="","",'Übung 04'!CZ$42)</f>
        <v/>
      </c>
      <c r="G746" s="62">
        <f>IF('Übung 05'!CZ$42="","",'Übung 05'!CZ$42)</f>
        <v/>
      </c>
      <c r="H746" s="62">
        <f>IF('Übung 06'!CZ$42="","",'Übung 06'!CZ$42)</f>
        <v/>
      </c>
      <c r="I746" s="62">
        <f>IF('Übung 07'!CZ$42="","",'Übung 07'!CZ$42)</f>
        <v/>
      </c>
      <c r="J746" s="62">
        <f>IF('Übung 08'!CZ$42="","",'Übung 08'!CZ$42)</f>
        <v/>
      </c>
      <c r="K746" s="62">
        <f>IF('Übung 09'!CZ$42="","",'Übung 09'!CZ$42)</f>
        <v/>
      </c>
      <c r="L746" s="62">
        <f>IF('Übung 10'!CZ$42="","",'Übung 10'!CZ$42)</f>
        <v/>
      </c>
      <c r="M746" s="62">
        <f>IF('Übung 11'!CZ$42="","",'Übung 11'!CZ$42)</f>
        <v/>
      </c>
      <c r="N746" s="62">
        <f>IF('Übung 12'!CZ$42="","",'Übung 12'!CZ$42)</f>
        <v/>
      </c>
      <c r="O746" s="62">
        <f>IF('Übung 13'!CZ$42="","",'Übung 13'!CZ$42)</f>
        <v/>
      </c>
      <c r="P746" s="62">
        <f>IF('Übung 14'!CZ$42="","",'Übung 14'!CZ$42)</f>
        <v/>
      </c>
      <c r="Q746" s="62">
        <f>IF('Übung 15'!CZ$42="","",'Übung 15'!CZ$42)</f>
        <v/>
      </c>
      <c r="R746" s="62">
        <f>IF('Übung 16'!CZ$42="","",'Übung 16'!CZ$42)</f>
        <v/>
      </c>
      <c r="S746" s="62">
        <f>IF('Übung 17'!CZ$42="","",'Übung 17'!CZ$42)</f>
        <v/>
      </c>
      <c r="T746" s="62">
        <f>IF('Übung 18'!CZ$42="","",'Übung 18'!CZ$42)</f>
        <v/>
      </c>
      <c r="U746" s="62">
        <f>IF('Übung 19'!CZ$42="","",'Übung 19'!CZ$42)</f>
        <v/>
      </c>
      <c r="V746" s="62">
        <f>IF('Übung 20'!CZ$42="","",'Übung 20'!CZ$42)</f>
        <v/>
      </c>
    </row>
    <row r="747">
      <c r="C747" s="62">
        <f>IF('Übung 01'!DA$42="","",'Übung 01'!DA$42)</f>
        <v/>
      </c>
      <c r="D747" s="62">
        <f>IF('Übung 02'!DA$42="","",'Übung 02'!DA$42)</f>
        <v/>
      </c>
      <c r="E747" s="62">
        <f>IF('Übung 03'!DA$42="","",'Übung 03'!DA$42)</f>
        <v/>
      </c>
      <c r="F747" s="62">
        <f>IF('Übung 04'!DA$42="","",'Übung 04'!DA$42)</f>
        <v/>
      </c>
      <c r="G747" s="62">
        <f>IF('Übung 05'!DA$42="","",'Übung 05'!DA$42)</f>
        <v/>
      </c>
      <c r="H747" s="62">
        <f>IF('Übung 06'!DA$42="","",'Übung 06'!DA$42)</f>
        <v/>
      </c>
      <c r="I747" s="62">
        <f>IF('Übung 07'!DA$42="","",'Übung 07'!DA$42)</f>
        <v/>
      </c>
      <c r="J747" s="62">
        <f>IF('Übung 08'!DA$42="","",'Übung 08'!DA$42)</f>
        <v/>
      </c>
      <c r="K747" s="62">
        <f>IF('Übung 09'!DA$42="","",'Übung 09'!DA$42)</f>
        <v/>
      </c>
      <c r="L747" s="62">
        <f>IF('Übung 10'!DA$42="","",'Übung 10'!DA$42)</f>
        <v/>
      </c>
      <c r="M747" s="62">
        <f>IF('Übung 11'!DA$42="","",'Übung 11'!DA$42)</f>
        <v/>
      </c>
      <c r="N747" s="62">
        <f>IF('Übung 12'!DA$42="","",'Übung 12'!DA$42)</f>
        <v/>
      </c>
      <c r="O747" s="62">
        <f>IF('Übung 13'!DA$42="","",'Übung 13'!DA$42)</f>
        <v/>
      </c>
      <c r="P747" s="62">
        <f>IF('Übung 14'!DA$42="","",'Übung 14'!DA$42)</f>
        <v/>
      </c>
      <c r="Q747" s="62">
        <f>IF('Übung 15'!DA$42="","",'Übung 15'!DA$42)</f>
        <v/>
      </c>
      <c r="R747" s="62">
        <f>IF('Übung 16'!DA$42="","",'Übung 16'!DA$42)</f>
        <v/>
      </c>
      <c r="S747" s="62">
        <f>IF('Übung 17'!DA$42="","",'Übung 17'!DA$42)</f>
        <v/>
      </c>
      <c r="T747" s="62">
        <f>IF('Übung 18'!DA$42="","",'Übung 18'!DA$42)</f>
        <v/>
      </c>
      <c r="U747" s="62">
        <f>IF('Übung 19'!DA$42="","",'Übung 19'!DA$42)</f>
        <v/>
      </c>
      <c r="V747" s="62">
        <f>IF('Übung 20'!DA$42="","",'Übung 20'!DA$42)</f>
        <v/>
      </c>
    </row>
    <row r="748">
      <c r="C748" s="62">
        <f>IF('Übung 01'!DB$42="","",'Übung 01'!DB$42)</f>
        <v/>
      </c>
      <c r="D748" s="62">
        <f>IF('Übung 02'!DB$42="","",'Übung 02'!DB$42)</f>
        <v/>
      </c>
      <c r="E748" s="62">
        <f>IF('Übung 03'!DB$42="","",'Übung 03'!DB$42)</f>
        <v/>
      </c>
      <c r="F748" s="62">
        <f>IF('Übung 04'!DB$42="","",'Übung 04'!DB$42)</f>
        <v/>
      </c>
      <c r="G748" s="62">
        <f>IF('Übung 05'!DB$42="","",'Übung 05'!DB$42)</f>
        <v/>
      </c>
      <c r="H748" s="62">
        <f>IF('Übung 06'!DB$42="","",'Übung 06'!DB$42)</f>
        <v/>
      </c>
      <c r="I748" s="62">
        <f>IF('Übung 07'!DB$42="","",'Übung 07'!DB$42)</f>
        <v/>
      </c>
      <c r="J748" s="62">
        <f>IF('Übung 08'!DB$42="","",'Übung 08'!DB$42)</f>
        <v/>
      </c>
      <c r="K748" s="62">
        <f>IF('Übung 09'!DB$42="","",'Übung 09'!DB$42)</f>
        <v/>
      </c>
      <c r="L748" s="62">
        <f>IF('Übung 10'!DB$42="","",'Übung 10'!DB$42)</f>
        <v/>
      </c>
      <c r="M748" s="62">
        <f>IF('Übung 11'!DB$42="","",'Übung 11'!DB$42)</f>
        <v/>
      </c>
      <c r="N748" s="62">
        <f>IF('Übung 12'!DB$42="","",'Übung 12'!DB$42)</f>
        <v/>
      </c>
      <c r="O748" s="62">
        <f>IF('Übung 13'!DB$42="","",'Übung 13'!DB$42)</f>
        <v/>
      </c>
      <c r="P748" s="62">
        <f>IF('Übung 14'!DB$42="","",'Übung 14'!DB$42)</f>
        <v/>
      </c>
      <c r="Q748" s="62">
        <f>IF('Übung 15'!DB$42="","",'Übung 15'!DB$42)</f>
        <v/>
      </c>
      <c r="R748" s="62">
        <f>IF('Übung 16'!DB$42="","",'Übung 16'!DB$42)</f>
        <v/>
      </c>
      <c r="S748" s="62">
        <f>IF('Übung 17'!DB$42="","",'Übung 17'!DB$42)</f>
        <v/>
      </c>
      <c r="T748" s="62">
        <f>IF('Übung 18'!DB$42="","",'Übung 18'!DB$42)</f>
        <v/>
      </c>
      <c r="U748" s="62">
        <f>IF('Übung 19'!DB$42="","",'Übung 19'!DB$42)</f>
        <v/>
      </c>
      <c r="V748" s="62">
        <f>IF('Übung 20'!DB$42="","",'Übung 20'!DB$42)</f>
        <v/>
      </c>
    </row>
    <row r="749">
      <c r="C749" s="62">
        <f>IF('Übung 01'!DC$42="","",'Übung 01'!DC$42)</f>
        <v/>
      </c>
      <c r="D749" s="62">
        <f>IF('Übung 02'!DC$42="","",'Übung 02'!DC$42)</f>
        <v/>
      </c>
      <c r="E749" s="62">
        <f>IF('Übung 03'!DC$42="","",'Übung 03'!DC$42)</f>
        <v/>
      </c>
      <c r="F749" s="62">
        <f>IF('Übung 04'!DC$42="","",'Übung 04'!DC$42)</f>
        <v/>
      </c>
      <c r="G749" s="62">
        <f>IF('Übung 05'!DC$42="","",'Übung 05'!DC$42)</f>
        <v/>
      </c>
      <c r="H749" s="62">
        <f>IF('Übung 06'!DC$42="","",'Übung 06'!DC$42)</f>
        <v/>
      </c>
      <c r="I749" s="62">
        <f>IF('Übung 07'!DC$42="","",'Übung 07'!DC$42)</f>
        <v/>
      </c>
      <c r="J749" s="62">
        <f>IF('Übung 08'!DC$42="","",'Übung 08'!DC$42)</f>
        <v/>
      </c>
      <c r="K749" s="62">
        <f>IF('Übung 09'!DC$42="","",'Übung 09'!DC$42)</f>
        <v/>
      </c>
      <c r="L749" s="62">
        <f>IF('Übung 10'!DC$42="","",'Übung 10'!DC$42)</f>
        <v/>
      </c>
      <c r="M749" s="62">
        <f>IF('Übung 11'!DC$42="","",'Übung 11'!DC$42)</f>
        <v/>
      </c>
      <c r="N749" s="62">
        <f>IF('Übung 12'!DC$42="","",'Übung 12'!DC$42)</f>
        <v/>
      </c>
      <c r="O749" s="62">
        <f>IF('Übung 13'!DC$42="","",'Übung 13'!DC$42)</f>
        <v/>
      </c>
      <c r="P749" s="62">
        <f>IF('Übung 14'!DC$42="","",'Übung 14'!DC$42)</f>
        <v/>
      </c>
      <c r="Q749" s="62">
        <f>IF('Übung 15'!DC$42="","",'Übung 15'!DC$42)</f>
        <v/>
      </c>
      <c r="R749" s="62">
        <f>IF('Übung 16'!DC$42="","",'Übung 16'!DC$42)</f>
        <v/>
      </c>
      <c r="S749" s="62">
        <f>IF('Übung 17'!DC$42="","",'Übung 17'!DC$42)</f>
        <v/>
      </c>
      <c r="T749" s="62">
        <f>IF('Übung 18'!DC$42="","",'Übung 18'!DC$42)</f>
        <v/>
      </c>
      <c r="U749" s="62">
        <f>IF('Übung 19'!DC$42="","",'Übung 19'!DC$42)</f>
        <v/>
      </c>
      <c r="V749" s="62">
        <f>IF('Übung 20'!DC$42="","",'Übung 20'!DC$42)</f>
        <v/>
      </c>
    </row>
    <row r="754">
      <c r="A754" s="171" t="inlineStr">
        <is>
          <t>Felder gefüllt</t>
        </is>
      </c>
    </row>
    <row r="755">
      <c r="C755" s="62">
        <f>COUNT('Übung 01'!E$11:E$35)+COUNTIF('Übung 01'!E$11:E$35,"n.b.")</f>
        <v/>
      </c>
      <c r="D755" s="62">
        <f>COUNT('Übung 02'!E$11:E$35)+COUNTIF('Übung 02'!E$11:E$35,"n.b.")</f>
        <v/>
      </c>
      <c r="E755" s="62">
        <f>COUNT('Übung 03'!E$11:E$35)+COUNTIF('Übung 03'!E$11:E$35,"n.b.")</f>
        <v/>
      </c>
      <c r="F755" s="62">
        <f>COUNT('Übung 04'!E$11:E$35)+COUNTIF('Übung 04'!E$11:E$35,"n.b.")</f>
        <v/>
      </c>
      <c r="G755" s="62">
        <f>COUNT('Übung 05'!E$11:E$35)+COUNTIF('Übung 05'!E$11:E$35,"n.b.")</f>
        <v/>
      </c>
      <c r="H755" s="62">
        <f>COUNT('Übung 06'!E$11:E$35)+COUNTIF('Übung 06'!E$11:E$35,"n.b.")</f>
        <v/>
      </c>
      <c r="I755" s="62">
        <f>COUNT('Übung 07'!E$11:E$35)+COUNTIF('Übung 07'!E$11:E$35,"n.b.")</f>
        <v/>
      </c>
      <c r="J755" s="62">
        <f>COUNT('Übung 08'!E$11:E$35)+COUNTIF('Übung 08'!E$11:E$35,"n.b.")</f>
        <v/>
      </c>
      <c r="K755" s="62">
        <f>COUNT('Übung 09'!E$11:E$35)+COUNTIF('Übung 09'!E$11:E$35,"n.b.")</f>
        <v/>
      </c>
      <c r="L755" s="62">
        <f>COUNT('Übung 10'!E$11:E$35)+COUNTIF('Übung 10'!E$11:E$35,"n.b.")</f>
        <v/>
      </c>
      <c r="M755" s="62">
        <f>COUNT('Übung 11'!E$11:E$35)+COUNTIF('Übung 11'!E$11:E$35,"n.b.")</f>
        <v/>
      </c>
      <c r="N755" s="62">
        <f>COUNT('Übung 12'!E$11:E$35)+COUNTIF('Übung 12'!E$11:E$35,"n.b.")</f>
        <v/>
      </c>
      <c r="O755" s="62">
        <f>COUNT('Übung 13'!E$11:E$35)+COUNTIF('Übung 13'!E$11:E$35,"n.b.")</f>
        <v/>
      </c>
      <c r="P755" s="62">
        <f>COUNT('Übung 14'!E$11:E$35)+COUNTIF('Übung 14'!E$11:E$35,"n.b.")</f>
        <v/>
      </c>
      <c r="Q755" s="62">
        <f>COUNT('Übung 15'!E$11:E$35)+COUNTIF('Übung 15'!E$11:E$35,"n.b.")</f>
        <v/>
      </c>
      <c r="R755" s="62">
        <f>COUNT('Übung 16'!E$11:E$35)+COUNTIF('Übung 16'!E$11:E$35,"n.b.")</f>
        <v/>
      </c>
      <c r="S755" s="62">
        <f>COUNT('Übung 17'!E$11:E$35)+COUNTIF('Übung 17'!E$11:E$35,"n.b.")</f>
        <v/>
      </c>
      <c r="T755" s="62">
        <f>COUNT('Übung 18'!E$11:E$35)+COUNTIF('Übung 18'!E$11:E$35,"n.b.")</f>
        <v/>
      </c>
      <c r="U755" s="62">
        <f>COUNT('Übung 19'!E$11:E$35)+COUNTIF('Übung 19'!E$11:E$35,"n.b.")</f>
        <v/>
      </c>
      <c r="V755" s="62">
        <f>COUNT('Übung 20'!E$11:E$35)+COUNTIF('Übung 20'!E$11:E$35,"n.b.")</f>
        <v/>
      </c>
    </row>
    <row r="756">
      <c r="C756" s="62">
        <f>COUNT('Übung 01'!F$11:F$35)+COUNTIF('Übung 01'!F$11:F$35,"n.b.")</f>
        <v/>
      </c>
      <c r="D756" s="62">
        <f>COUNT('Übung 02'!F$11:F$35)+COUNTIF('Übung 02'!F$11:F$35,"n.b.")</f>
        <v/>
      </c>
      <c r="E756" s="62">
        <f>COUNT('Übung 03'!F$11:F$35)+COUNTIF('Übung 03'!F$11:F$35,"n.b.")</f>
        <v/>
      </c>
      <c r="F756" s="62">
        <f>COUNT('Übung 04'!F$11:F$35)+COUNTIF('Übung 04'!F$11:F$35,"n.b.")</f>
        <v/>
      </c>
      <c r="G756" s="62">
        <f>COUNT('Übung 05'!F$11:F$35)+COUNTIF('Übung 05'!F$11:F$35,"n.b.")</f>
        <v/>
      </c>
      <c r="H756" s="62">
        <f>COUNT('Übung 06'!F$11:F$35)+COUNTIF('Übung 06'!F$11:F$35,"n.b.")</f>
        <v/>
      </c>
      <c r="I756" s="62">
        <f>COUNT('Übung 07'!F$11:F$35)+COUNTIF('Übung 07'!F$11:F$35,"n.b.")</f>
        <v/>
      </c>
      <c r="J756" s="62">
        <f>COUNT('Übung 08'!F$11:F$35)+COUNTIF('Übung 08'!F$11:F$35,"n.b.")</f>
        <v/>
      </c>
      <c r="K756" s="62">
        <f>COUNT('Übung 09'!F$11:F$35)+COUNTIF('Übung 09'!F$11:F$35,"n.b.")</f>
        <v/>
      </c>
      <c r="L756" s="62">
        <f>COUNT('Übung 10'!F$11:F$35)+COUNTIF('Übung 10'!F$11:F$35,"n.b.")</f>
        <v/>
      </c>
      <c r="M756" s="62">
        <f>COUNT('Übung 11'!F$11:F$35)+COUNTIF('Übung 11'!F$11:F$35,"n.b.")</f>
        <v/>
      </c>
      <c r="N756" s="62">
        <f>COUNT('Übung 12'!F$11:F$35)+COUNTIF('Übung 12'!F$11:F$35,"n.b.")</f>
        <v/>
      </c>
      <c r="O756" s="62">
        <f>COUNT('Übung 13'!F$11:F$35)+COUNTIF('Übung 13'!F$11:F$35,"n.b.")</f>
        <v/>
      </c>
      <c r="P756" s="62">
        <f>COUNT('Übung 14'!F$11:F$35)+COUNTIF('Übung 14'!F$11:F$35,"n.b.")</f>
        <v/>
      </c>
      <c r="Q756" s="62">
        <f>COUNT('Übung 15'!F$11:F$35)+COUNTIF('Übung 15'!F$11:F$35,"n.b.")</f>
        <v/>
      </c>
      <c r="R756" s="62">
        <f>COUNT('Übung 16'!F$11:F$35)+COUNTIF('Übung 16'!F$11:F$35,"n.b.")</f>
        <v/>
      </c>
      <c r="S756" s="62">
        <f>COUNT('Übung 17'!F$11:F$35)+COUNTIF('Übung 17'!F$11:F$35,"n.b.")</f>
        <v/>
      </c>
      <c r="T756" s="62">
        <f>COUNT('Übung 18'!F$11:F$35)+COUNTIF('Übung 18'!F$11:F$35,"n.b.")</f>
        <v/>
      </c>
      <c r="U756" s="62">
        <f>COUNT('Übung 19'!F$11:F$35)+COUNTIF('Übung 19'!F$11:F$35,"n.b.")</f>
        <v/>
      </c>
      <c r="V756" s="62">
        <f>COUNT('Übung 20'!F$11:F$35)+COUNTIF('Übung 20'!F$11:F$35,"n.b.")</f>
        <v/>
      </c>
    </row>
    <row r="757">
      <c r="C757" s="62">
        <f>COUNT('Übung 01'!G$11:G$35)+COUNTIF('Übung 01'!G$11:G$35,"n.b.")</f>
        <v/>
      </c>
      <c r="D757" s="62">
        <f>COUNT('Übung 02'!G$11:G$35)+COUNTIF('Übung 02'!G$11:G$35,"n.b.")</f>
        <v/>
      </c>
      <c r="E757" s="62">
        <f>COUNT('Übung 03'!G$11:G$35)+COUNTIF('Übung 03'!G$11:G$35,"n.b.")</f>
        <v/>
      </c>
      <c r="F757" s="62">
        <f>COUNT('Übung 04'!G$11:G$35)+COUNTIF('Übung 04'!G$11:G$35,"n.b.")</f>
        <v/>
      </c>
      <c r="G757" s="62">
        <f>COUNT('Übung 05'!G$11:G$35)+COUNTIF('Übung 05'!G$11:G$35,"n.b.")</f>
        <v/>
      </c>
      <c r="H757" s="62">
        <f>COUNT('Übung 06'!G$11:G$35)+COUNTIF('Übung 06'!G$11:G$35,"n.b.")</f>
        <v/>
      </c>
      <c r="I757" s="62">
        <f>COUNT('Übung 07'!G$11:G$35)+COUNTIF('Übung 07'!G$11:G$35,"n.b.")</f>
        <v/>
      </c>
      <c r="J757" s="62">
        <f>COUNT('Übung 08'!G$11:G$35)+COUNTIF('Übung 08'!G$11:G$35,"n.b.")</f>
        <v/>
      </c>
      <c r="K757" s="62">
        <f>COUNT('Übung 09'!G$11:G$35)+COUNTIF('Übung 09'!G$11:G$35,"n.b.")</f>
        <v/>
      </c>
      <c r="L757" s="62">
        <f>COUNT('Übung 10'!G$11:G$35)+COUNTIF('Übung 10'!G$11:G$35,"n.b.")</f>
        <v/>
      </c>
      <c r="M757" s="62">
        <f>COUNT('Übung 11'!G$11:G$35)+COUNTIF('Übung 11'!G$11:G$35,"n.b.")</f>
        <v/>
      </c>
      <c r="N757" s="62">
        <f>COUNT('Übung 12'!G$11:G$35)+COUNTIF('Übung 12'!G$11:G$35,"n.b.")</f>
        <v/>
      </c>
      <c r="O757" s="62">
        <f>COUNT('Übung 13'!G$11:G$35)+COUNTIF('Übung 13'!G$11:G$35,"n.b.")</f>
        <v/>
      </c>
      <c r="P757" s="62">
        <f>COUNT('Übung 14'!G$11:G$35)+COUNTIF('Übung 14'!G$11:G$35,"n.b.")</f>
        <v/>
      </c>
      <c r="Q757" s="62">
        <f>COUNT('Übung 15'!G$11:G$35)+COUNTIF('Übung 15'!G$11:G$35,"n.b.")</f>
        <v/>
      </c>
      <c r="R757" s="62">
        <f>COUNT('Übung 16'!G$11:G$35)+COUNTIF('Übung 16'!G$11:G$35,"n.b.")</f>
        <v/>
      </c>
      <c r="S757" s="62">
        <f>COUNT('Übung 17'!G$11:G$35)+COUNTIF('Übung 17'!G$11:G$35,"n.b.")</f>
        <v/>
      </c>
      <c r="T757" s="62">
        <f>COUNT('Übung 18'!G$11:G$35)+COUNTIF('Übung 18'!G$11:G$35,"n.b.")</f>
        <v/>
      </c>
      <c r="U757" s="62">
        <f>COUNT('Übung 19'!G$11:G$35)+COUNTIF('Übung 19'!G$11:G$35,"n.b.")</f>
        <v/>
      </c>
      <c r="V757" s="62">
        <f>COUNT('Übung 20'!G$11:G$35)+COUNTIF('Übung 20'!G$11:G$35,"n.b.")</f>
        <v/>
      </c>
    </row>
    <row r="758">
      <c r="C758" s="62">
        <f>COUNT('Übung 01'!H$11:H$35)+COUNTIF('Übung 01'!H$11:H$35,"n.b.")</f>
        <v/>
      </c>
      <c r="D758" s="62">
        <f>COUNT('Übung 02'!H$11:H$35)+COUNTIF('Übung 02'!H$11:H$35,"n.b.")</f>
        <v/>
      </c>
      <c r="E758" s="62">
        <f>COUNT('Übung 03'!H$11:H$35)+COUNTIF('Übung 03'!H$11:H$35,"n.b.")</f>
        <v/>
      </c>
      <c r="F758" s="62">
        <f>COUNT('Übung 04'!H$11:H$35)+COUNTIF('Übung 04'!H$11:H$35,"n.b.")</f>
        <v/>
      </c>
      <c r="G758" s="62">
        <f>COUNT('Übung 05'!H$11:H$35)+COUNTIF('Übung 05'!H$11:H$35,"n.b.")</f>
        <v/>
      </c>
      <c r="H758" s="62">
        <f>COUNT('Übung 06'!H$11:H$35)+COUNTIF('Übung 06'!H$11:H$35,"n.b.")</f>
        <v/>
      </c>
      <c r="I758" s="62">
        <f>COUNT('Übung 07'!H$11:H$35)+COUNTIF('Übung 07'!H$11:H$35,"n.b.")</f>
        <v/>
      </c>
      <c r="J758" s="62">
        <f>COUNT('Übung 08'!H$11:H$35)+COUNTIF('Übung 08'!H$11:H$35,"n.b.")</f>
        <v/>
      </c>
      <c r="K758" s="62">
        <f>COUNT('Übung 09'!H$11:H$35)+COUNTIF('Übung 09'!H$11:H$35,"n.b.")</f>
        <v/>
      </c>
      <c r="L758" s="62">
        <f>COUNT('Übung 10'!H$11:H$35)+COUNTIF('Übung 10'!H$11:H$35,"n.b.")</f>
        <v/>
      </c>
      <c r="M758" s="62">
        <f>COUNT('Übung 11'!H$11:H$35)+COUNTIF('Übung 11'!H$11:H$35,"n.b.")</f>
        <v/>
      </c>
      <c r="N758" s="62">
        <f>COUNT('Übung 12'!H$11:H$35)+COUNTIF('Übung 12'!H$11:H$35,"n.b.")</f>
        <v/>
      </c>
      <c r="O758" s="62">
        <f>COUNT('Übung 13'!H$11:H$35)+COUNTIF('Übung 13'!H$11:H$35,"n.b.")</f>
        <v/>
      </c>
      <c r="P758" s="62">
        <f>COUNT('Übung 14'!H$11:H$35)+COUNTIF('Übung 14'!H$11:H$35,"n.b.")</f>
        <v/>
      </c>
      <c r="Q758" s="62">
        <f>COUNT('Übung 15'!H$11:H$35)+COUNTIF('Übung 15'!H$11:H$35,"n.b.")</f>
        <v/>
      </c>
      <c r="R758" s="62">
        <f>COUNT('Übung 16'!H$11:H$35)+COUNTIF('Übung 16'!H$11:H$35,"n.b.")</f>
        <v/>
      </c>
      <c r="S758" s="62">
        <f>COUNT('Übung 17'!H$11:H$35)+COUNTIF('Übung 17'!H$11:H$35,"n.b.")</f>
        <v/>
      </c>
      <c r="T758" s="62">
        <f>COUNT('Übung 18'!H$11:H$35)+COUNTIF('Übung 18'!H$11:H$35,"n.b.")</f>
        <v/>
      </c>
      <c r="U758" s="62">
        <f>COUNT('Übung 19'!H$11:H$35)+COUNTIF('Übung 19'!H$11:H$35,"n.b.")</f>
        <v/>
      </c>
      <c r="V758" s="62">
        <f>COUNT('Übung 20'!H$11:H$35)+COUNTIF('Übung 20'!H$11:H$35,"n.b.")</f>
        <v/>
      </c>
    </row>
    <row r="759">
      <c r="C759" s="62">
        <f>COUNT('Übung 01'!I$11:I$35)+COUNTIF('Übung 01'!I$11:I$35,"n.b.")</f>
        <v/>
      </c>
      <c r="D759" s="62">
        <f>COUNT('Übung 02'!I$11:I$35)+COUNTIF('Übung 02'!I$11:I$35,"n.b.")</f>
        <v/>
      </c>
      <c r="E759" s="62">
        <f>COUNT('Übung 03'!I$11:I$35)+COUNTIF('Übung 03'!I$11:I$35,"n.b.")</f>
        <v/>
      </c>
      <c r="F759" s="62">
        <f>COUNT('Übung 04'!I$11:I$35)+COUNTIF('Übung 04'!I$11:I$35,"n.b.")</f>
        <v/>
      </c>
      <c r="G759" s="62">
        <f>COUNT('Übung 05'!I$11:I$35)+COUNTIF('Übung 05'!I$11:I$35,"n.b.")</f>
        <v/>
      </c>
      <c r="H759" s="62">
        <f>COUNT('Übung 06'!I$11:I$35)+COUNTIF('Übung 06'!I$11:I$35,"n.b.")</f>
        <v/>
      </c>
      <c r="I759" s="62">
        <f>COUNT('Übung 07'!I$11:I$35)+COUNTIF('Übung 07'!I$11:I$35,"n.b.")</f>
        <v/>
      </c>
      <c r="J759" s="62">
        <f>COUNT('Übung 08'!I$11:I$35)+COUNTIF('Übung 08'!I$11:I$35,"n.b.")</f>
        <v/>
      </c>
      <c r="K759" s="62">
        <f>COUNT('Übung 09'!I$11:I$35)+COUNTIF('Übung 09'!I$11:I$35,"n.b.")</f>
        <v/>
      </c>
      <c r="L759" s="62">
        <f>COUNT('Übung 10'!I$11:I$35)+COUNTIF('Übung 10'!I$11:I$35,"n.b.")</f>
        <v/>
      </c>
      <c r="M759" s="62">
        <f>COUNT('Übung 11'!I$11:I$35)+COUNTIF('Übung 11'!I$11:I$35,"n.b.")</f>
        <v/>
      </c>
      <c r="N759" s="62">
        <f>COUNT('Übung 12'!I$11:I$35)+COUNTIF('Übung 12'!I$11:I$35,"n.b.")</f>
        <v/>
      </c>
      <c r="O759" s="62">
        <f>COUNT('Übung 13'!I$11:I$35)+COUNTIF('Übung 13'!I$11:I$35,"n.b.")</f>
        <v/>
      </c>
      <c r="P759" s="62">
        <f>COUNT('Übung 14'!I$11:I$35)+COUNTIF('Übung 14'!I$11:I$35,"n.b.")</f>
        <v/>
      </c>
      <c r="Q759" s="62">
        <f>COUNT('Übung 15'!I$11:I$35)+COUNTIF('Übung 15'!I$11:I$35,"n.b.")</f>
        <v/>
      </c>
      <c r="R759" s="62">
        <f>COUNT('Übung 16'!I$11:I$35)+COUNTIF('Übung 16'!I$11:I$35,"n.b.")</f>
        <v/>
      </c>
      <c r="S759" s="62">
        <f>COUNT('Übung 17'!I$11:I$35)+COUNTIF('Übung 17'!I$11:I$35,"n.b.")</f>
        <v/>
      </c>
      <c r="T759" s="62">
        <f>COUNT('Übung 18'!I$11:I$35)+COUNTIF('Übung 18'!I$11:I$35,"n.b.")</f>
        <v/>
      </c>
      <c r="U759" s="62">
        <f>COUNT('Übung 19'!I$11:I$35)+COUNTIF('Übung 19'!I$11:I$35,"n.b.")</f>
        <v/>
      </c>
      <c r="V759" s="62">
        <f>COUNT('Übung 20'!I$11:I$35)+COUNTIF('Übung 20'!I$11:I$35,"n.b.")</f>
        <v/>
      </c>
    </row>
    <row r="760">
      <c r="C760" s="62">
        <f>COUNT('Übung 01'!J$11:J$35)+COUNTIF('Übung 01'!J$11:J$35,"n.b.")</f>
        <v/>
      </c>
      <c r="D760" s="62">
        <f>COUNT('Übung 02'!J$11:J$35)+COUNTIF('Übung 02'!J$11:J$35,"n.b.")</f>
        <v/>
      </c>
      <c r="E760" s="62">
        <f>COUNT('Übung 03'!J$11:J$35)+COUNTIF('Übung 03'!J$11:J$35,"n.b.")</f>
        <v/>
      </c>
      <c r="F760" s="62">
        <f>COUNT('Übung 04'!J$11:J$35)+COUNTIF('Übung 04'!J$11:J$35,"n.b.")</f>
        <v/>
      </c>
      <c r="G760" s="62">
        <f>COUNT('Übung 05'!J$11:J$35)+COUNTIF('Übung 05'!J$11:J$35,"n.b.")</f>
        <v/>
      </c>
      <c r="H760" s="62">
        <f>COUNT('Übung 06'!J$11:J$35)+COUNTIF('Übung 06'!J$11:J$35,"n.b.")</f>
        <v/>
      </c>
      <c r="I760" s="62">
        <f>COUNT('Übung 07'!J$11:J$35)+COUNTIF('Übung 07'!J$11:J$35,"n.b.")</f>
        <v/>
      </c>
      <c r="J760" s="62">
        <f>COUNT('Übung 08'!J$11:J$35)+COUNTIF('Übung 08'!J$11:J$35,"n.b.")</f>
        <v/>
      </c>
      <c r="K760" s="62">
        <f>COUNT('Übung 09'!J$11:J$35)+COUNTIF('Übung 09'!J$11:J$35,"n.b.")</f>
        <v/>
      </c>
      <c r="L760" s="62">
        <f>COUNT('Übung 10'!J$11:J$35)+COUNTIF('Übung 10'!J$11:J$35,"n.b.")</f>
        <v/>
      </c>
      <c r="M760" s="62">
        <f>COUNT('Übung 11'!J$11:J$35)+COUNTIF('Übung 11'!J$11:J$35,"n.b.")</f>
        <v/>
      </c>
      <c r="N760" s="62">
        <f>COUNT('Übung 12'!J$11:J$35)+COUNTIF('Übung 12'!J$11:J$35,"n.b.")</f>
        <v/>
      </c>
      <c r="O760" s="62">
        <f>COUNT('Übung 13'!J$11:J$35)+COUNTIF('Übung 13'!J$11:J$35,"n.b.")</f>
        <v/>
      </c>
      <c r="P760" s="62">
        <f>COUNT('Übung 14'!J$11:J$35)+COUNTIF('Übung 14'!J$11:J$35,"n.b.")</f>
        <v/>
      </c>
      <c r="Q760" s="62">
        <f>COUNT('Übung 15'!J$11:J$35)+COUNTIF('Übung 15'!J$11:J$35,"n.b.")</f>
        <v/>
      </c>
      <c r="R760" s="62">
        <f>COUNT('Übung 16'!J$11:J$35)+COUNTIF('Übung 16'!J$11:J$35,"n.b.")</f>
        <v/>
      </c>
      <c r="S760" s="62">
        <f>COUNT('Übung 17'!J$11:J$35)+COUNTIF('Übung 17'!J$11:J$35,"n.b.")</f>
        <v/>
      </c>
      <c r="T760" s="62">
        <f>COUNT('Übung 18'!J$11:J$35)+COUNTIF('Übung 18'!J$11:J$35,"n.b.")</f>
        <v/>
      </c>
      <c r="U760" s="62">
        <f>COUNT('Übung 19'!J$11:J$35)+COUNTIF('Übung 19'!J$11:J$35,"n.b.")</f>
        <v/>
      </c>
      <c r="V760" s="62">
        <f>COUNT('Übung 20'!J$11:J$35)+COUNTIF('Übung 20'!J$11:J$35,"n.b.")</f>
        <v/>
      </c>
    </row>
    <row r="761">
      <c r="C761" s="62">
        <f>COUNT('Übung 01'!K$11:K$35)+COUNTIF('Übung 01'!K$11:K$35,"n.b.")</f>
        <v/>
      </c>
      <c r="D761" s="62">
        <f>COUNT('Übung 02'!K$11:K$35)+COUNTIF('Übung 02'!K$11:K$35,"n.b.")</f>
        <v/>
      </c>
      <c r="E761" s="62">
        <f>COUNT('Übung 03'!K$11:K$35)+COUNTIF('Übung 03'!K$11:K$35,"n.b.")</f>
        <v/>
      </c>
      <c r="F761" s="62">
        <f>COUNT('Übung 04'!K$11:K$35)+COUNTIF('Übung 04'!K$11:K$35,"n.b.")</f>
        <v/>
      </c>
      <c r="G761" s="62">
        <f>COUNT('Übung 05'!K$11:K$35)+COUNTIF('Übung 05'!K$11:K$35,"n.b.")</f>
        <v/>
      </c>
      <c r="H761" s="62">
        <f>COUNT('Übung 06'!K$11:K$35)+COUNTIF('Übung 06'!K$11:K$35,"n.b.")</f>
        <v/>
      </c>
      <c r="I761" s="62">
        <f>COUNT('Übung 07'!K$11:K$35)+COUNTIF('Übung 07'!K$11:K$35,"n.b.")</f>
        <v/>
      </c>
      <c r="J761" s="62">
        <f>COUNT('Übung 08'!K$11:K$35)+COUNTIF('Übung 08'!K$11:K$35,"n.b.")</f>
        <v/>
      </c>
      <c r="K761" s="62">
        <f>COUNT('Übung 09'!K$11:K$35)+COUNTIF('Übung 09'!K$11:K$35,"n.b.")</f>
        <v/>
      </c>
      <c r="L761" s="62">
        <f>COUNT('Übung 10'!K$11:K$35)+COUNTIF('Übung 10'!K$11:K$35,"n.b.")</f>
        <v/>
      </c>
      <c r="M761" s="62">
        <f>COUNT('Übung 11'!K$11:K$35)+COUNTIF('Übung 11'!K$11:K$35,"n.b.")</f>
        <v/>
      </c>
      <c r="N761" s="62">
        <f>COUNT('Übung 12'!K$11:K$35)+COUNTIF('Übung 12'!K$11:K$35,"n.b.")</f>
        <v/>
      </c>
      <c r="O761" s="62">
        <f>COUNT('Übung 13'!K$11:K$35)+COUNTIF('Übung 13'!K$11:K$35,"n.b.")</f>
        <v/>
      </c>
      <c r="P761" s="62">
        <f>COUNT('Übung 14'!K$11:K$35)+COUNTIF('Übung 14'!K$11:K$35,"n.b.")</f>
        <v/>
      </c>
      <c r="Q761" s="62">
        <f>COUNT('Übung 15'!K$11:K$35)+COUNTIF('Übung 15'!K$11:K$35,"n.b.")</f>
        <v/>
      </c>
      <c r="R761" s="62">
        <f>COUNT('Übung 16'!K$11:K$35)+COUNTIF('Übung 16'!K$11:K$35,"n.b.")</f>
        <v/>
      </c>
      <c r="S761" s="62">
        <f>COUNT('Übung 17'!K$11:K$35)+COUNTIF('Übung 17'!K$11:K$35,"n.b.")</f>
        <v/>
      </c>
      <c r="T761" s="62">
        <f>COUNT('Übung 18'!K$11:K$35)+COUNTIF('Übung 18'!K$11:K$35,"n.b.")</f>
        <v/>
      </c>
      <c r="U761" s="62">
        <f>COUNT('Übung 19'!K$11:K$35)+COUNTIF('Übung 19'!K$11:K$35,"n.b.")</f>
        <v/>
      </c>
      <c r="V761" s="62">
        <f>COUNT('Übung 20'!K$11:K$35)+COUNTIF('Übung 20'!K$11:K$35,"n.b.")</f>
        <v/>
      </c>
    </row>
    <row r="762">
      <c r="C762" s="62">
        <f>COUNT('Übung 01'!L$11:L$35)+COUNTIF('Übung 01'!L$11:L$35,"n.b.")</f>
        <v/>
      </c>
      <c r="D762" s="62">
        <f>COUNT('Übung 02'!L$11:L$35)+COUNTIF('Übung 02'!L$11:L$35,"n.b.")</f>
        <v/>
      </c>
      <c r="E762" s="62">
        <f>COUNT('Übung 03'!L$11:L$35)+COUNTIF('Übung 03'!L$11:L$35,"n.b.")</f>
        <v/>
      </c>
      <c r="F762" s="62">
        <f>COUNT('Übung 04'!L$11:L$35)+COUNTIF('Übung 04'!L$11:L$35,"n.b.")</f>
        <v/>
      </c>
      <c r="G762" s="62">
        <f>COUNT('Übung 05'!L$11:L$35)+COUNTIF('Übung 05'!L$11:L$35,"n.b.")</f>
        <v/>
      </c>
      <c r="H762" s="62">
        <f>COUNT('Übung 06'!L$11:L$35)+COUNTIF('Übung 06'!L$11:L$35,"n.b.")</f>
        <v/>
      </c>
      <c r="I762" s="62">
        <f>COUNT('Übung 07'!L$11:L$35)+COUNTIF('Übung 07'!L$11:L$35,"n.b.")</f>
        <v/>
      </c>
      <c r="J762" s="62">
        <f>COUNT('Übung 08'!L$11:L$35)+COUNTIF('Übung 08'!L$11:L$35,"n.b.")</f>
        <v/>
      </c>
      <c r="K762" s="62">
        <f>COUNT('Übung 09'!L$11:L$35)+COUNTIF('Übung 09'!L$11:L$35,"n.b.")</f>
        <v/>
      </c>
      <c r="L762" s="62">
        <f>COUNT('Übung 10'!L$11:L$35)+COUNTIF('Übung 10'!L$11:L$35,"n.b.")</f>
        <v/>
      </c>
      <c r="M762" s="62">
        <f>COUNT('Übung 11'!L$11:L$35)+COUNTIF('Übung 11'!L$11:L$35,"n.b.")</f>
        <v/>
      </c>
      <c r="N762" s="62">
        <f>COUNT('Übung 12'!L$11:L$35)+COUNTIF('Übung 12'!L$11:L$35,"n.b.")</f>
        <v/>
      </c>
      <c r="O762" s="62">
        <f>COUNT('Übung 13'!L$11:L$35)+COUNTIF('Übung 13'!L$11:L$35,"n.b.")</f>
        <v/>
      </c>
      <c r="P762" s="62">
        <f>COUNT('Übung 14'!L$11:L$35)+COUNTIF('Übung 14'!L$11:L$35,"n.b.")</f>
        <v/>
      </c>
      <c r="Q762" s="62">
        <f>COUNT('Übung 15'!L$11:L$35)+COUNTIF('Übung 15'!L$11:L$35,"n.b.")</f>
        <v/>
      </c>
      <c r="R762" s="62">
        <f>COUNT('Übung 16'!L$11:L$35)+COUNTIF('Übung 16'!L$11:L$35,"n.b.")</f>
        <v/>
      </c>
      <c r="S762" s="62">
        <f>COUNT('Übung 17'!L$11:L$35)+COUNTIF('Übung 17'!L$11:L$35,"n.b.")</f>
        <v/>
      </c>
      <c r="T762" s="62">
        <f>COUNT('Übung 18'!L$11:L$35)+COUNTIF('Übung 18'!L$11:L$35,"n.b.")</f>
        <v/>
      </c>
      <c r="U762" s="62">
        <f>COUNT('Übung 19'!L$11:L$35)+COUNTIF('Übung 19'!L$11:L$35,"n.b.")</f>
        <v/>
      </c>
      <c r="V762" s="62">
        <f>COUNT('Übung 20'!L$11:L$35)+COUNTIF('Übung 20'!L$11:L$35,"n.b.")</f>
        <v/>
      </c>
    </row>
    <row r="763">
      <c r="C763" s="62">
        <f>COUNT('Übung 01'!M$11:M$35)+COUNTIF('Übung 01'!M$11:M$35,"n.b.")</f>
        <v/>
      </c>
      <c r="D763" s="62">
        <f>COUNT('Übung 02'!M$11:M$35)+COUNTIF('Übung 02'!M$11:M$35,"n.b.")</f>
        <v/>
      </c>
      <c r="E763" s="62">
        <f>COUNT('Übung 03'!M$11:M$35)+COUNTIF('Übung 03'!M$11:M$35,"n.b.")</f>
        <v/>
      </c>
      <c r="F763" s="62">
        <f>COUNT('Übung 04'!M$11:M$35)+COUNTIF('Übung 04'!M$11:M$35,"n.b.")</f>
        <v/>
      </c>
      <c r="G763" s="62">
        <f>COUNT('Übung 05'!M$11:M$35)+COUNTIF('Übung 05'!M$11:M$35,"n.b.")</f>
        <v/>
      </c>
      <c r="H763" s="62">
        <f>COUNT('Übung 06'!M$11:M$35)+COUNTIF('Übung 06'!M$11:M$35,"n.b.")</f>
        <v/>
      </c>
      <c r="I763" s="62">
        <f>COUNT('Übung 07'!M$11:M$35)+COUNTIF('Übung 07'!M$11:M$35,"n.b.")</f>
        <v/>
      </c>
      <c r="J763" s="62">
        <f>COUNT('Übung 08'!M$11:M$35)+COUNTIF('Übung 08'!M$11:M$35,"n.b.")</f>
        <v/>
      </c>
      <c r="K763" s="62">
        <f>COUNT('Übung 09'!M$11:M$35)+COUNTIF('Übung 09'!M$11:M$35,"n.b.")</f>
        <v/>
      </c>
      <c r="L763" s="62">
        <f>COUNT('Übung 10'!M$11:M$35)+COUNTIF('Übung 10'!M$11:M$35,"n.b.")</f>
        <v/>
      </c>
      <c r="M763" s="62">
        <f>COUNT('Übung 11'!M$11:M$35)+COUNTIF('Übung 11'!M$11:M$35,"n.b.")</f>
        <v/>
      </c>
      <c r="N763" s="62">
        <f>COUNT('Übung 12'!M$11:M$35)+COUNTIF('Übung 12'!M$11:M$35,"n.b.")</f>
        <v/>
      </c>
      <c r="O763" s="62">
        <f>COUNT('Übung 13'!M$11:M$35)+COUNTIF('Übung 13'!M$11:M$35,"n.b.")</f>
        <v/>
      </c>
      <c r="P763" s="62">
        <f>COUNT('Übung 14'!M$11:M$35)+COUNTIF('Übung 14'!M$11:M$35,"n.b.")</f>
        <v/>
      </c>
      <c r="Q763" s="62">
        <f>COUNT('Übung 15'!M$11:M$35)+COUNTIF('Übung 15'!M$11:M$35,"n.b.")</f>
        <v/>
      </c>
      <c r="R763" s="62">
        <f>COUNT('Übung 16'!M$11:M$35)+COUNTIF('Übung 16'!M$11:M$35,"n.b.")</f>
        <v/>
      </c>
      <c r="S763" s="62">
        <f>COUNT('Übung 17'!M$11:M$35)+COUNTIF('Übung 17'!M$11:M$35,"n.b.")</f>
        <v/>
      </c>
      <c r="T763" s="62">
        <f>COUNT('Übung 18'!M$11:M$35)+COUNTIF('Übung 18'!M$11:M$35,"n.b.")</f>
        <v/>
      </c>
      <c r="U763" s="62">
        <f>COUNT('Übung 19'!M$11:M$35)+COUNTIF('Übung 19'!M$11:M$35,"n.b.")</f>
        <v/>
      </c>
      <c r="V763" s="62">
        <f>COUNT('Übung 20'!M$11:M$35)+COUNTIF('Übung 20'!M$11:M$35,"n.b.")</f>
        <v/>
      </c>
    </row>
    <row r="764">
      <c r="C764" s="62">
        <f>COUNT('Übung 01'!N$11:N$35)+COUNTIF('Übung 01'!N$11:N$35,"n.b.")</f>
        <v/>
      </c>
      <c r="D764" s="62">
        <f>COUNT('Übung 02'!N$11:N$35)+COUNTIF('Übung 02'!N$11:N$35,"n.b.")</f>
        <v/>
      </c>
      <c r="E764" s="62">
        <f>COUNT('Übung 03'!N$11:N$35)+COUNTIF('Übung 03'!N$11:N$35,"n.b.")</f>
        <v/>
      </c>
      <c r="F764" s="62">
        <f>COUNT('Übung 04'!N$11:N$35)+COUNTIF('Übung 04'!N$11:N$35,"n.b.")</f>
        <v/>
      </c>
      <c r="G764" s="62">
        <f>COUNT('Übung 05'!N$11:N$35)+COUNTIF('Übung 05'!N$11:N$35,"n.b.")</f>
        <v/>
      </c>
      <c r="H764" s="62">
        <f>COUNT('Übung 06'!N$11:N$35)+COUNTIF('Übung 06'!N$11:N$35,"n.b.")</f>
        <v/>
      </c>
      <c r="I764" s="62">
        <f>COUNT('Übung 07'!N$11:N$35)+COUNTIF('Übung 07'!N$11:N$35,"n.b.")</f>
        <v/>
      </c>
      <c r="J764" s="62">
        <f>COUNT('Übung 08'!N$11:N$35)+COUNTIF('Übung 08'!N$11:N$35,"n.b.")</f>
        <v/>
      </c>
      <c r="K764" s="62">
        <f>COUNT('Übung 09'!N$11:N$35)+COUNTIF('Übung 09'!N$11:N$35,"n.b.")</f>
        <v/>
      </c>
      <c r="L764" s="62">
        <f>COUNT('Übung 10'!N$11:N$35)+COUNTIF('Übung 10'!N$11:N$35,"n.b.")</f>
        <v/>
      </c>
      <c r="M764" s="62">
        <f>COUNT('Übung 11'!N$11:N$35)+COUNTIF('Übung 11'!N$11:N$35,"n.b.")</f>
        <v/>
      </c>
      <c r="N764" s="62">
        <f>COUNT('Übung 12'!N$11:N$35)+COUNTIF('Übung 12'!N$11:N$35,"n.b.")</f>
        <v/>
      </c>
      <c r="O764" s="62">
        <f>COUNT('Übung 13'!N$11:N$35)+COUNTIF('Übung 13'!N$11:N$35,"n.b.")</f>
        <v/>
      </c>
      <c r="P764" s="62">
        <f>COUNT('Übung 14'!N$11:N$35)+COUNTIF('Übung 14'!N$11:N$35,"n.b.")</f>
        <v/>
      </c>
      <c r="Q764" s="62">
        <f>COUNT('Übung 15'!N$11:N$35)+COUNTIF('Übung 15'!N$11:N$35,"n.b.")</f>
        <v/>
      </c>
      <c r="R764" s="62">
        <f>COUNT('Übung 16'!N$11:N$35)+COUNTIF('Übung 16'!N$11:N$35,"n.b.")</f>
        <v/>
      </c>
      <c r="S764" s="62">
        <f>COUNT('Übung 17'!N$11:N$35)+COUNTIF('Übung 17'!N$11:N$35,"n.b.")</f>
        <v/>
      </c>
      <c r="T764" s="62">
        <f>COUNT('Übung 18'!N$11:N$35)+COUNTIF('Übung 18'!N$11:N$35,"n.b.")</f>
        <v/>
      </c>
      <c r="U764" s="62">
        <f>COUNT('Übung 19'!N$11:N$35)+COUNTIF('Übung 19'!N$11:N$35,"n.b.")</f>
        <v/>
      </c>
      <c r="V764" s="62">
        <f>COUNT('Übung 20'!N$11:N$35)+COUNTIF('Übung 20'!N$11:N$35,"n.b.")</f>
        <v/>
      </c>
    </row>
    <row r="765">
      <c r="C765" s="62">
        <f>COUNT('Übung 01'!O$11:O$35)+COUNTIF('Übung 01'!O$11:O$35,"n.b.")</f>
        <v/>
      </c>
      <c r="D765" s="62">
        <f>COUNT('Übung 02'!O$11:O$35)+COUNTIF('Übung 02'!O$11:O$35,"n.b.")</f>
        <v/>
      </c>
      <c r="E765" s="62">
        <f>COUNT('Übung 03'!O$11:O$35)+COUNTIF('Übung 03'!O$11:O$35,"n.b.")</f>
        <v/>
      </c>
      <c r="F765" s="62">
        <f>COUNT('Übung 04'!O$11:O$35)+COUNTIF('Übung 04'!O$11:O$35,"n.b.")</f>
        <v/>
      </c>
      <c r="G765" s="62">
        <f>COUNT('Übung 05'!O$11:O$35)+COUNTIF('Übung 05'!O$11:O$35,"n.b.")</f>
        <v/>
      </c>
      <c r="H765" s="62">
        <f>COUNT('Übung 06'!O$11:O$35)+COUNTIF('Übung 06'!O$11:O$35,"n.b.")</f>
        <v/>
      </c>
      <c r="I765" s="62">
        <f>COUNT('Übung 07'!O$11:O$35)+COUNTIF('Übung 07'!O$11:O$35,"n.b.")</f>
        <v/>
      </c>
      <c r="J765" s="62">
        <f>COUNT('Übung 08'!O$11:O$35)+COUNTIF('Übung 08'!O$11:O$35,"n.b.")</f>
        <v/>
      </c>
      <c r="K765" s="62">
        <f>COUNT('Übung 09'!O$11:O$35)+COUNTIF('Übung 09'!O$11:O$35,"n.b.")</f>
        <v/>
      </c>
      <c r="L765" s="62">
        <f>COUNT('Übung 10'!O$11:O$35)+COUNTIF('Übung 10'!O$11:O$35,"n.b.")</f>
        <v/>
      </c>
      <c r="M765" s="62">
        <f>COUNT('Übung 11'!O$11:O$35)+COUNTIF('Übung 11'!O$11:O$35,"n.b.")</f>
        <v/>
      </c>
      <c r="N765" s="62">
        <f>COUNT('Übung 12'!O$11:O$35)+COUNTIF('Übung 12'!O$11:O$35,"n.b.")</f>
        <v/>
      </c>
      <c r="O765" s="62">
        <f>COUNT('Übung 13'!O$11:O$35)+COUNTIF('Übung 13'!O$11:O$35,"n.b.")</f>
        <v/>
      </c>
      <c r="P765" s="62">
        <f>COUNT('Übung 14'!O$11:O$35)+COUNTIF('Übung 14'!O$11:O$35,"n.b.")</f>
        <v/>
      </c>
      <c r="Q765" s="62">
        <f>COUNT('Übung 15'!O$11:O$35)+COUNTIF('Übung 15'!O$11:O$35,"n.b.")</f>
        <v/>
      </c>
      <c r="R765" s="62">
        <f>COUNT('Übung 16'!O$11:O$35)+COUNTIF('Übung 16'!O$11:O$35,"n.b.")</f>
        <v/>
      </c>
      <c r="S765" s="62">
        <f>COUNT('Übung 17'!O$11:O$35)+COUNTIF('Übung 17'!O$11:O$35,"n.b.")</f>
        <v/>
      </c>
      <c r="T765" s="62">
        <f>COUNT('Übung 18'!O$11:O$35)+COUNTIF('Übung 18'!O$11:O$35,"n.b.")</f>
        <v/>
      </c>
      <c r="U765" s="62">
        <f>COUNT('Übung 19'!O$11:O$35)+COUNTIF('Übung 19'!O$11:O$35,"n.b.")</f>
        <v/>
      </c>
      <c r="V765" s="62">
        <f>COUNT('Übung 20'!O$11:O$35)+COUNTIF('Übung 20'!O$11:O$35,"n.b.")</f>
        <v/>
      </c>
    </row>
    <row r="766">
      <c r="C766" s="62">
        <f>COUNT('Übung 01'!P$11:P$35)+COUNTIF('Übung 01'!P$11:P$35,"n.b.")</f>
        <v/>
      </c>
      <c r="D766" s="62">
        <f>COUNT('Übung 02'!P$11:P$35)+COUNTIF('Übung 02'!P$11:P$35,"n.b.")</f>
        <v/>
      </c>
      <c r="E766" s="62">
        <f>COUNT('Übung 03'!P$11:P$35)+COUNTIF('Übung 03'!P$11:P$35,"n.b.")</f>
        <v/>
      </c>
      <c r="F766" s="62">
        <f>COUNT('Übung 04'!P$11:P$35)+COUNTIF('Übung 04'!P$11:P$35,"n.b.")</f>
        <v/>
      </c>
      <c r="G766" s="62">
        <f>COUNT('Übung 05'!P$11:P$35)+COUNTIF('Übung 05'!P$11:P$35,"n.b.")</f>
        <v/>
      </c>
      <c r="H766" s="62">
        <f>COUNT('Übung 06'!P$11:P$35)+COUNTIF('Übung 06'!P$11:P$35,"n.b.")</f>
        <v/>
      </c>
      <c r="I766" s="62">
        <f>COUNT('Übung 07'!P$11:P$35)+COUNTIF('Übung 07'!P$11:P$35,"n.b.")</f>
        <v/>
      </c>
      <c r="J766" s="62">
        <f>COUNT('Übung 08'!P$11:P$35)+COUNTIF('Übung 08'!P$11:P$35,"n.b.")</f>
        <v/>
      </c>
      <c r="K766" s="62">
        <f>COUNT('Übung 09'!P$11:P$35)+COUNTIF('Übung 09'!P$11:P$35,"n.b.")</f>
        <v/>
      </c>
      <c r="L766" s="62">
        <f>COUNT('Übung 10'!P$11:P$35)+COUNTIF('Übung 10'!P$11:P$35,"n.b.")</f>
        <v/>
      </c>
      <c r="M766" s="62">
        <f>COUNT('Übung 11'!P$11:P$35)+COUNTIF('Übung 11'!P$11:P$35,"n.b.")</f>
        <v/>
      </c>
      <c r="N766" s="62">
        <f>COUNT('Übung 12'!P$11:P$35)+COUNTIF('Übung 12'!P$11:P$35,"n.b.")</f>
        <v/>
      </c>
      <c r="O766" s="62">
        <f>COUNT('Übung 13'!P$11:P$35)+COUNTIF('Übung 13'!P$11:P$35,"n.b.")</f>
        <v/>
      </c>
      <c r="P766" s="62">
        <f>COUNT('Übung 14'!P$11:P$35)+COUNTIF('Übung 14'!P$11:P$35,"n.b.")</f>
        <v/>
      </c>
      <c r="Q766" s="62">
        <f>COUNT('Übung 15'!P$11:P$35)+COUNTIF('Übung 15'!P$11:P$35,"n.b.")</f>
        <v/>
      </c>
      <c r="R766" s="62">
        <f>COUNT('Übung 16'!P$11:P$35)+COUNTIF('Übung 16'!P$11:P$35,"n.b.")</f>
        <v/>
      </c>
      <c r="S766" s="62">
        <f>COUNT('Übung 17'!P$11:P$35)+COUNTIF('Übung 17'!P$11:P$35,"n.b.")</f>
        <v/>
      </c>
      <c r="T766" s="62">
        <f>COUNT('Übung 18'!P$11:P$35)+COUNTIF('Übung 18'!P$11:P$35,"n.b.")</f>
        <v/>
      </c>
      <c r="U766" s="62">
        <f>COUNT('Übung 19'!P$11:P$35)+COUNTIF('Übung 19'!P$11:P$35,"n.b.")</f>
        <v/>
      </c>
      <c r="V766" s="62">
        <f>COUNT('Übung 20'!P$11:P$35)+COUNTIF('Übung 20'!P$11:P$35,"n.b.")</f>
        <v/>
      </c>
    </row>
    <row r="767">
      <c r="C767" s="62">
        <f>COUNT('Übung 01'!Q$11:Q$35)+COUNTIF('Übung 01'!Q$11:Q$35,"n.b.")</f>
        <v/>
      </c>
      <c r="D767" s="62">
        <f>COUNT('Übung 02'!Q$11:Q$35)+COUNTIF('Übung 02'!Q$11:Q$35,"n.b.")</f>
        <v/>
      </c>
      <c r="E767" s="62">
        <f>COUNT('Übung 03'!Q$11:Q$35)+COUNTIF('Übung 03'!Q$11:Q$35,"n.b.")</f>
        <v/>
      </c>
      <c r="F767" s="62">
        <f>COUNT('Übung 04'!Q$11:Q$35)+COUNTIF('Übung 04'!Q$11:Q$35,"n.b.")</f>
        <v/>
      </c>
      <c r="G767" s="62">
        <f>COUNT('Übung 05'!Q$11:Q$35)+COUNTIF('Übung 05'!Q$11:Q$35,"n.b.")</f>
        <v/>
      </c>
      <c r="H767" s="62">
        <f>COUNT('Übung 06'!Q$11:Q$35)+COUNTIF('Übung 06'!Q$11:Q$35,"n.b.")</f>
        <v/>
      </c>
      <c r="I767" s="62">
        <f>COUNT('Übung 07'!Q$11:Q$35)+COUNTIF('Übung 07'!Q$11:Q$35,"n.b.")</f>
        <v/>
      </c>
      <c r="J767" s="62">
        <f>COUNT('Übung 08'!Q$11:Q$35)+COUNTIF('Übung 08'!Q$11:Q$35,"n.b.")</f>
        <v/>
      </c>
      <c r="K767" s="62">
        <f>COUNT('Übung 09'!Q$11:Q$35)+COUNTIF('Übung 09'!Q$11:Q$35,"n.b.")</f>
        <v/>
      </c>
      <c r="L767" s="62">
        <f>COUNT('Übung 10'!Q$11:Q$35)+COUNTIF('Übung 10'!Q$11:Q$35,"n.b.")</f>
        <v/>
      </c>
      <c r="M767" s="62">
        <f>COUNT('Übung 11'!Q$11:Q$35)+COUNTIF('Übung 11'!Q$11:Q$35,"n.b.")</f>
        <v/>
      </c>
      <c r="N767" s="62">
        <f>COUNT('Übung 12'!Q$11:Q$35)+COUNTIF('Übung 12'!Q$11:Q$35,"n.b.")</f>
        <v/>
      </c>
      <c r="O767" s="62">
        <f>COUNT('Übung 13'!Q$11:Q$35)+COUNTIF('Übung 13'!Q$11:Q$35,"n.b.")</f>
        <v/>
      </c>
      <c r="P767" s="62">
        <f>COUNT('Übung 14'!Q$11:Q$35)+COUNTIF('Übung 14'!Q$11:Q$35,"n.b.")</f>
        <v/>
      </c>
      <c r="Q767" s="62">
        <f>COUNT('Übung 15'!Q$11:Q$35)+COUNTIF('Übung 15'!Q$11:Q$35,"n.b.")</f>
        <v/>
      </c>
      <c r="R767" s="62">
        <f>COUNT('Übung 16'!Q$11:Q$35)+COUNTIF('Übung 16'!Q$11:Q$35,"n.b.")</f>
        <v/>
      </c>
      <c r="S767" s="62">
        <f>COUNT('Übung 17'!Q$11:Q$35)+COUNTIF('Übung 17'!Q$11:Q$35,"n.b.")</f>
        <v/>
      </c>
      <c r="T767" s="62">
        <f>COUNT('Übung 18'!Q$11:Q$35)+COUNTIF('Übung 18'!Q$11:Q$35,"n.b.")</f>
        <v/>
      </c>
      <c r="U767" s="62">
        <f>COUNT('Übung 19'!Q$11:Q$35)+COUNTIF('Übung 19'!Q$11:Q$35,"n.b.")</f>
        <v/>
      </c>
      <c r="V767" s="62">
        <f>COUNT('Übung 20'!Q$11:Q$35)+COUNTIF('Übung 20'!Q$11:Q$35,"n.b.")</f>
        <v/>
      </c>
    </row>
    <row r="768">
      <c r="C768" s="62">
        <f>COUNT('Übung 01'!R$11:R$35)+COUNTIF('Übung 01'!R$11:R$35,"n.b.")</f>
        <v/>
      </c>
      <c r="D768" s="62">
        <f>COUNT('Übung 02'!R$11:R$35)+COUNTIF('Übung 02'!R$11:R$35,"n.b.")</f>
        <v/>
      </c>
      <c r="E768" s="62">
        <f>COUNT('Übung 03'!R$11:R$35)+COUNTIF('Übung 03'!R$11:R$35,"n.b.")</f>
        <v/>
      </c>
      <c r="F768" s="62">
        <f>COUNT('Übung 04'!R$11:R$35)+COUNTIF('Übung 04'!R$11:R$35,"n.b.")</f>
        <v/>
      </c>
      <c r="G768" s="62">
        <f>COUNT('Übung 05'!R$11:R$35)+COUNTIF('Übung 05'!R$11:R$35,"n.b.")</f>
        <v/>
      </c>
      <c r="H768" s="62">
        <f>COUNT('Übung 06'!R$11:R$35)+COUNTIF('Übung 06'!R$11:R$35,"n.b.")</f>
        <v/>
      </c>
      <c r="I768" s="62">
        <f>COUNT('Übung 07'!R$11:R$35)+COUNTIF('Übung 07'!R$11:R$35,"n.b.")</f>
        <v/>
      </c>
      <c r="J768" s="62">
        <f>COUNT('Übung 08'!R$11:R$35)+COUNTIF('Übung 08'!R$11:R$35,"n.b.")</f>
        <v/>
      </c>
      <c r="K768" s="62">
        <f>COUNT('Übung 09'!R$11:R$35)+COUNTIF('Übung 09'!R$11:R$35,"n.b.")</f>
        <v/>
      </c>
      <c r="L768" s="62">
        <f>COUNT('Übung 10'!R$11:R$35)+COUNTIF('Übung 10'!R$11:R$35,"n.b.")</f>
        <v/>
      </c>
      <c r="M768" s="62">
        <f>COUNT('Übung 11'!R$11:R$35)+COUNTIF('Übung 11'!R$11:R$35,"n.b.")</f>
        <v/>
      </c>
      <c r="N768" s="62">
        <f>COUNT('Übung 12'!R$11:R$35)+COUNTIF('Übung 12'!R$11:R$35,"n.b.")</f>
        <v/>
      </c>
      <c r="O768" s="62">
        <f>COUNT('Übung 13'!R$11:R$35)+COUNTIF('Übung 13'!R$11:R$35,"n.b.")</f>
        <v/>
      </c>
      <c r="P768" s="62">
        <f>COUNT('Übung 14'!R$11:R$35)+COUNTIF('Übung 14'!R$11:R$35,"n.b.")</f>
        <v/>
      </c>
      <c r="Q768" s="62">
        <f>COUNT('Übung 15'!R$11:R$35)+COUNTIF('Übung 15'!R$11:R$35,"n.b.")</f>
        <v/>
      </c>
      <c r="R768" s="62">
        <f>COUNT('Übung 16'!R$11:R$35)+COUNTIF('Übung 16'!R$11:R$35,"n.b.")</f>
        <v/>
      </c>
      <c r="S768" s="62">
        <f>COUNT('Übung 17'!R$11:R$35)+COUNTIF('Übung 17'!R$11:R$35,"n.b.")</f>
        <v/>
      </c>
      <c r="T768" s="62">
        <f>COUNT('Übung 18'!R$11:R$35)+COUNTIF('Übung 18'!R$11:R$35,"n.b.")</f>
        <v/>
      </c>
      <c r="U768" s="62">
        <f>COUNT('Übung 19'!R$11:R$35)+COUNTIF('Übung 19'!R$11:R$35,"n.b.")</f>
        <v/>
      </c>
      <c r="V768" s="62">
        <f>COUNT('Übung 20'!R$11:R$35)+COUNTIF('Übung 20'!R$11:R$35,"n.b.")</f>
        <v/>
      </c>
    </row>
    <row r="769">
      <c r="C769" s="62">
        <f>COUNT('Übung 01'!S$11:S$35)+COUNTIF('Übung 01'!S$11:S$35,"n.b.")</f>
        <v/>
      </c>
      <c r="D769" s="62">
        <f>COUNT('Übung 02'!S$11:S$35)+COUNTIF('Übung 02'!S$11:S$35,"n.b.")</f>
        <v/>
      </c>
      <c r="E769" s="62">
        <f>COUNT('Übung 03'!S$11:S$35)+COUNTIF('Übung 03'!S$11:S$35,"n.b.")</f>
        <v/>
      </c>
      <c r="F769" s="62">
        <f>COUNT('Übung 04'!S$11:S$35)+COUNTIF('Übung 04'!S$11:S$35,"n.b.")</f>
        <v/>
      </c>
      <c r="G769" s="62">
        <f>COUNT('Übung 05'!S$11:S$35)+COUNTIF('Übung 05'!S$11:S$35,"n.b.")</f>
        <v/>
      </c>
      <c r="H769" s="62">
        <f>COUNT('Übung 06'!S$11:S$35)+COUNTIF('Übung 06'!S$11:S$35,"n.b.")</f>
        <v/>
      </c>
      <c r="I769" s="62">
        <f>COUNT('Übung 07'!S$11:S$35)+COUNTIF('Übung 07'!S$11:S$35,"n.b.")</f>
        <v/>
      </c>
      <c r="J769" s="62">
        <f>COUNT('Übung 08'!S$11:S$35)+COUNTIF('Übung 08'!S$11:S$35,"n.b.")</f>
        <v/>
      </c>
      <c r="K769" s="62">
        <f>COUNT('Übung 09'!S$11:S$35)+COUNTIF('Übung 09'!S$11:S$35,"n.b.")</f>
        <v/>
      </c>
      <c r="L769" s="62">
        <f>COUNT('Übung 10'!S$11:S$35)+COUNTIF('Übung 10'!S$11:S$35,"n.b.")</f>
        <v/>
      </c>
      <c r="M769" s="62">
        <f>COUNT('Übung 11'!S$11:S$35)+COUNTIF('Übung 11'!S$11:S$35,"n.b.")</f>
        <v/>
      </c>
      <c r="N769" s="62">
        <f>COUNT('Übung 12'!S$11:S$35)+COUNTIF('Übung 12'!S$11:S$35,"n.b.")</f>
        <v/>
      </c>
      <c r="O769" s="62">
        <f>COUNT('Übung 13'!S$11:S$35)+COUNTIF('Übung 13'!S$11:S$35,"n.b.")</f>
        <v/>
      </c>
      <c r="P769" s="62">
        <f>COUNT('Übung 14'!S$11:S$35)+COUNTIF('Übung 14'!S$11:S$35,"n.b.")</f>
        <v/>
      </c>
      <c r="Q769" s="62">
        <f>COUNT('Übung 15'!S$11:S$35)+COUNTIF('Übung 15'!S$11:S$35,"n.b.")</f>
        <v/>
      </c>
      <c r="R769" s="62">
        <f>COUNT('Übung 16'!S$11:S$35)+COUNTIF('Übung 16'!S$11:S$35,"n.b.")</f>
        <v/>
      </c>
      <c r="S769" s="62">
        <f>COUNT('Übung 17'!S$11:S$35)+COUNTIF('Übung 17'!S$11:S$35,"n.b.")</f>
        <v/>
      </c>
      <c r="T769" s="62">
        <f>COUNT('Übung 18'!S$11:S$35)+COUNTIF('Übung 18'!S$11:S$35,"n.b.")</f>
        <v/>
      </c>
      <c r="U769" s="62">
        <f>COUNT('Übung 19'!S$11:S$35)+COUNTIF('Übung 19'!S$11:S$35,"n.b.")</f>
        <v/>
      </c>
      <c r="V769" s="62">
        <f>COUNT('Übung 20'!S$11:S$35)+COUNTIF('Übung 20'!S$11:S$35,"n.b.")</f>
        <v/>
      </c>
    </row>
    <row r="770">
      <c r="C770" s="62">
        <f>COUNT('Übung 01'!T$11:T$35)+COUNTIF('Übung 01'!T$11:T$35,"n.b.")</f>
        <v/>
      </c>
      <c r="D770" s="62">
        <f>COUNT('Übung 02'!T$11:T$35)+COUNTIF('Übung 02'!T$11:T$35,"n.b.")</f>
        <v/>
      </c>
      <c r="E770" s="62">
        <f>COUNT('Übung 03'!T$11:T$35)+COUNTIF('Übung 03'!T$11:T$35,"n.b.")</f>
        <v/>
      </c>
      <c r="F770" s="62">
        <f>COUNT('Übung 04'!T$11:T$35)+COUNTIF('Übung 04'!T$11:T$35,"n.b.")</f>
        <v/>
      </c>
      <c r="G770" s="62">
        <f>COUNT('Übung 05'!T$11:T$35)+COUNTIF('Übung 05'!T$11:T$35,"n.b.")</f>
        <v/>
      </c>
      <c r="H770" s="62">
        <f>COUNT('Übung 06'!T$11:T$35)+COUNTIF('Übung 06'!T$11:T$35,"n.b.")</f>
        <v/>
      </c>
      <c r="I770" s="62">
        <f>COUNT('Übung 07'!T$11:T$35)+COUNTIF('Übung 07'!T$11:T$35,"n.b.")</f>
        <v/>
      </c>
      <c r="J770" s="62">
        <f>COUNT('Übung 08'!T$11:T$35)+COUNTIF('Übung 08'!T$11:T$35,"n.b.")</f>
        <v/>
      </c>
      <c r="K770" s="62">
        <f>COUNT('Übung 09'!T$11:T$35)+COUNTIF('Übung 09'!T$11:T$35,"n.b.")</f>
        <v/>
      </c>
      <c r="L770" s="62">
        <f>COUNT('Übung 10'!T$11:T$35)+COUNTIF('Übung 10'!T$11:T$35,"n.b.")</f>
        <v/>
      </c>
      <c r="M770" s="62">
        <f>COUNT('Übung 11'!T$11:T$35)+COUNTIF('Übung 11'!T$11:T$35,"n.b.")</f>
        <v/>
      </c>
      <c r="N770" s="62">
        <f>COUNT('Übung 12'!T$11:T$35)+COUNTIF('Übung 12'!T$11:T$35,"n.b.")</f>
        <v/>
      </c>
      <c r="O770" s="62">
        <f>COUNT('Übung 13'!T$11:T$35)+COUNTIF('Übung 13'!T$11:T$35,"n.b.")</f>
        <v/>
      </c>
      <c r="P770" s="62">
        <f>COUNT('Übung 14'!T$11:T$35)+COUNTIF('Übung 14'!T$11:T$35,"n.b.")</f>
        <v/>
      </c>
      <c r="Q770" s="62">
        <f>COUNT('Übung 15'!T$11:T$35)+COUNTIF('Übung 15'!T$11:T$35,"n.b.")</f>
        <v/>
      </c>
      <c r="R770" s="62">
        <f>COUNT('Übung 16'!T$11:T$35)+COUNTIF('Übung 16'!T$11:T$35,"n.b.")</f>
        <v/>
      </c>
      <c r="S770" s="62">
        <f>COUNT('Übung 17'!T$11:T$35)+COUNTIF('Übung 17'!T$11:T$35,"n.b.")</f>
        <v/>
      </c>
      <c r="T770" s="62">
        <f>COUNT('Übung 18'!T$11:T$35)+COUNTIF('Übung 18'!T$11:T$35,"n.b.")</f>
        <v/>
      </c>
      <c r="U770" s="62">
        <f>COUNT('Übung 19'!T$11:T$35)+COUNTIF('Übung 19'!T$11:T$35,"n.b.")</f>
        <v/>
      </c>
      <c r="V770" s="62">
        <f>COUNT('Übung 20'!T$11:T$35)+COUNTIF('Übung 20'!T$11:T$35,"n.b.")</f>
        <v/>
      </c>
    </row>
    <row r="771">
      <c r="C771" s="62">
        <f>COUNT('Übung 01'!U$11:U$35)+COUNTIF('Übung 01'!U$11:U$35,"n.b.")</f>
        <v/>
      </c>
      <c r="D771" s="62">
        <f>COUNT('Übung 02'!U$11:U$35)+COUNTIF('Übung 02'!U$11:U$35,"n.b.")</f>
        <v/>
      </c>
      <c r="E771" s="62">
        <f>COUNT('Übung 03'!U$11:U$35)+COUNTIF('Übung 03'!U$11:U$35,"n.b.")</f>
        <v/>
      </c>
      <c r="F771" s="62">
        <f>COUNT('Übung 04'!U$11:U$35)+COUNTIF('Übung 04'!U$11:U$35,"n.b.")</f>
        <v/>
      </c>
      <c r="G771" s="62">
        <f>COUNT('Übung 05'!U$11:U$35)+COUNTIF('Übung 05'!U$11:U$35,"n.b.")</f>
        <v/>
      </c>
      <c r="H771" s="62">
        <f>COUNT('Übung 06'!U$11:U$35)+COUNTIF('Übung 06'!U$11:U$35,"n.b.")</f>
        <v/>
      </c>
      <c r="I771" s="62">
        <f>COUNT('Übung 07'!U$11:U$35)+COUNTIF('Übung 07'!U$11:U$35,"n.b.")</f>
        <v/>
      </c>
      <c r="J771" s="62">
        <f>COUNT('Übung 08'!U$11:U$35)+COUNTIF('Übung 08'!U$11:U$35,"n.b.")</f>
        <v/>
      </c>
      <c r="K771" s="62">
        <f>COUNT('Übung 09'!U$11:U$35)+COUNTIF('Übung 09'!U$11:U$35,"n.b.")</f>
        <v/>
      </c>
      <c r="L771" s="62">
        <f>COUNT('Übung 10'!U$11:U$35)+COUNTIF('Übung 10'!U$11:U$35,"n.b.")</f>
        <v/>
      </c>
      <c r="M771" s="62">
        <f>COUNT('Übung 11'!U$11:U$35)+COUNTIF('Übung 11'!U$11:U$35,"n.b.")</f>
        <v/>
      </c>
      <c r="N771" s="62">
        <f>COUNT('Übung 12'!U$11:U$35)+COUNTIF('Übung 12'!U$11:U$35,"n.b.")</f>
        <v/>
      </c>
      <c r="O771" s="62">
        <f>COUNT('Übung 13'!U$11:U$35)+COUNTIF('Übung 13'!U$11:U$35,"n.b.")</f>
        <v/>
      </c>
      <c r="P771" s="62">
        <f>COUNT('Übung 14'!U$11:U$35)+COUNTIF('Übung 14'!U$11:U$35,"n.b.")</f>
        <v/>
      </c>
      <c r="Q771" s="62">
        <f>COUNT('Übung 15'!U$11:U$35)+COUNTIF('Übung 15'!U$11:U$35,"n.b.")</f>
        <v/>
      </c>
      <c r="R771" s="62">
        <f>COUNT('Übung 16'!U$11:U$35)+COUNTIF('Übung 16'!U$11:U$35,"n.b.")</f>
        <v/>
      </c>
      <c r="S771" s="62">
        <f>COUNT('Übung 17'!U$11:U$35)+COUNTIF('Übung 17'!U$11:U$35,"n.b.")</f>
        <v/>
      </c>
      <c r="T771" s="62">
        <f>COUNT('Übung 18'!U$11:U$35)+COUNTIF('Übung 18'!U$11:U$35,"n.b.")</f>
        <v/>
      </c>
      <c r="U771" s="62">
        <f>COUNT('Übung 19'!U$11:U$35)+COUNTIF('Übung 19'!U$11:U$35,"n.b.")</f>
        <v/>
      </c>
      <c r="V771" s="62">
        <f>COUNT('Übung 20'!U$11:U$35)+COUNTIF('Übung 20'!U$11:U$35,"n.b.")</f>
        <v/>
      </c>
    </row>
    <row r="772">
      <c r="C772" s="62">
        <f>COUNT('Übung 01'!V$11:V$35)+COUNTIF('Übung 01'!V$11:V$35,"n.b.")</f>
        <v/>
      </c>
      <c r="D772" s="62">
        <f>COUNT('Übung 02'!V$11:V$35)+COUNTIF('Übung 02'!V$11:V$35,"n.b.")</f>
        <v/>
      </c>
      <c r="E772" s="62">
        <f>COUNT('Übung 03'!V$11:V$35)+COUNTIF('Übung 03'!V$11:V$35,"n.b.")</f>
        <v/>
      </c>
      <c r="F772" s="62">
        <f>COUNT('Übung 04'!V$11:V$35)+COUNTIF('Übung 04'!V$11:V$35,"n.b.")</f>
        <v/>
      </c>
      <c r="G772" s="62">
        <f>COUNT('Übung 05'!V$11:V$35)+COUNTIF('Übung 05'!V$11:V$35,"n.b.")</f>
        <v/>
      </c>
      <c r="H772" s="62">
        <f>COUNT('Übung 06'!V$11:V$35)+COUNTIF('Übung 06'!V$11:V$35,"n.b.")</f>
        <v/>
      </c>
      <c r="I772" s="62">
        <f>COUNT('Übung 07'!V$11:V$35)+COUNTIF('Übung 07'!V$11:V$35,"n.b.")</f>
        <v/>
      </c>
      <c r="J772" s="62">
        <f>COUNT('Übung 08'!V$11:V$35)+COUNTIF('Übung 08'!V$11:V$35,"n.b.")</f>
        <v/>
      </c>
      <c r="K772" s="62">
        <f>COUNT('Übung 09'!V$11:V$35)+COUNTIF('Übung 09'!V$11:V$35,"n.b.")</f>
        <v/>
      </c>
      <c r="L772" s="62">
        <f>COUNT('Übung 10'!V$11:V$35)+COUNTIF('Übung 10'!V$11:V$35,"n.b.")</f>
        <v/>
      </c>
      <c r="M772" s="62">
        <f>COUNT('Übung 11'!V$11:V$35)+COUNTIF('Übung 11'!V$11:V$35,"n.b.")</f>
        <v/>
      </c>
      <c r="N772" s="62">
        <f>COUNT('Übung 12'!V$11:V$35)+COUNTIF('Übung 12'!V$11:V$35,"n.b.")</f>
        <v/>
      </c>
      <c r="O772" s="62">
        <f>COUNT('Übung 13'!V$11:V$35)+COUNTIF('Übung 13'!V$11:V$35,"n.b.")</f>
        <v/>
      </c>
      <c r="P772" s="62">
        <f>COUNT('Übung 14'!V$11:V$35)+COUNTIF('Übung 14'!V$11:V$35,"n.b.")</f>
        <v/>
      </c>
      <c r="Q772" s="62">
        <f>COUNT('Übung 15'!V$11:V$35)+COUNTIF('Übung 15'!V$11:V$35,"n.b.")</f>
        <v/>
      </c>
      <c r="R772" s="62">
        <f>COUNT('Übung 16'!V$11:V$35)+COUNTIF('Übung 16'!V$11:V$35,"n.b.")</f>
        <v/>
      </c>
      <c r="S772" s="62">
        <f>COUNT('Übung 17'!V$11:V$35)+COUNTIF('Übung 17'!V$11:V$35,"n.b.")</f>
        <v/>
      </c>
      <c r="T772" s="62">
        <f>COUNT('Übung 18'!V$11:V$35)+COUNTIF('Übung 18'!V$11:V$35,"n.b.")</f>
        <v/>
      </c>
      <c r="U772" s="62">
        <f>COUNT('Übung 19'!V$11:V$35)+COUNTIF('Übung 19'!V$11:V$35,"n.b.")</f>
        <v/>
      </c>
      <c r="V772" s="62">
        <f>COUNT('Übung 20'!V$11:V$35)+COUNTIF('Übung 20'!V$11:V$35,"n.b.")</f>
        <v/>
      </c>
    </row>
    <row r="773">
      <c r="C773" s="62">
        <f>COUNT('Übung 01'!W$11:W$35)+COUNTIF('Übung 01'!W$11:W$35,"n.b.")</f>
        <v/>
      </c>
      <c r="D773" s="62">
        <f>COUNT('Übung 02'!W$11:W$35)+COUNTIF('Übung 02'!W$11:W$35,"n.b.")</f>
        <v/>
      </c>
      <c r="E773" s="62">
        <f>COUNT('Übung 03'!W$11:W$35)+COUNTIF('Übung 03'!W$11:W$35,"n.b.")</f>
        <v/>
      </c>
      <c r="F773" s="62">
        <f>COUNT('Übung 04'!W$11:W$35)+COUNTIF('Übung 04'!W$11:W$35,"n.b.")</f>
        <v/>
      </c>
      <c r="G773" s="62">
        <f>COUNT('Übung 05'!W$11:W$35)+COUNTIF('Übung 05'!W$11:W$35,"n.b.")</f>
        <v/>
      </c>
      <c r="H773" s="62">
        <f>COUNT('Übung 06'!W$11:W$35)+COUNTIF('Übung 06'!W$11:W$35,"n.b.")</f>
        <v/>
      </c>
      <c r="I773" s="62">
        <f>COUNT('Übung 07'!W$11:W$35)+COUNTIF('Übung 07'!W$11:W$35,"n.b.")</f>
        <v/>
      </c>
      <c r="J773" s="62">
        <f>COUNT('Übung 08'!W$11:W$35)+COUNTIF('Übung 08'!W$11:W$35,"n.b.")</f>
        <v/>
      </c>
      <c r="K773" s="62">
        <f>COUNT('Übung 09'!W$11:W$35)+COUNTIF('Übung 09'!W$11:W$35,"n.b.")</f>
        <v/>
      </c>
      <c r="L773" s="62">
        <f>COUNT('Übung 10'!W$11:W$35)+COUNTIF('Übung 10'!W$11:W$35,"n.b.")</f>
        <v/>
      </c>
      <c r="M773" s="62">
        <f>COUNT('Übung 11'!W$11:W$35)+COUNTIF('Übung 11'!W$11:W$35,"n.b.")</f>
        <v/>
      </c>
      <c r="N773" s="62">
        <f>COUNT('Übung 12'!W$11:W$35)+COUNTIF('Übung 12'!W$11:W$35,"n.b.")</f>
        <v/>
      </c>
      <c r="O773" s="62">
        <f>COUNT('Übung 13'!W$11:W$35)+COUNTIF('Übung 13'!W$11:W$35,"n.b.")</f>
        <v/>
      </c>
      <c r="P773" s="62">
        <f>COUNT('Übung 14'!W$11:W$35)+COUNTIF('Übung 14'!W$11:W$35,"n.b.")</f>
        <v/>
      </c>
      <c r="Q773" s="62">
        <f>COUNT('Übung 15'!W$11:W$35)+COUNTIF('Übung 15'!W$11:W$35,"n.b.")</f>
        <v/>
      </c>
      <c r="R773" s="62">
        <f>COUNT('Übung 16'!W$11:W$35)+COUNTIF('Übung 16'!W$11:W$35,"n.b.")</f>
        <v/>
      </c>
      <c r="S773" s="62">
        <f>COUNT('Übung 17'!W$11:W$35)+COUNTIF('Übung 17'!W$11:W$35,"n.b.")</f>
        <v/>
      </c>
      <c r="T773" s="62">
        <f>COUNT('Übung 18'!W$11:W$35)+COUNTIF('Übung 18'!W$11:W$35,"n.b.")</f>
        <v/>
      </c>
      <c r="U773" s="62">
        <f>COUNT('Übung 19'!W$11:W$35)+COUNTIF('Übung 19'!W$11:W$35,"n.b.")</f>
        <v/>
      </c>
      <c r="V773" s="62">
        <f>COUNT('Übung 20'!W$11:W$35)+COUNTIF('Übung 20'!W$11:W$35,"n.b.")</f>
        <v/>
      </c>
    </row>
    <row r="774">
      <c r="C774" s="62">
        <f>COUNT('Übung 01'!X$11:X$35)+COUNTIF('Übung 01'!X$11:X$35,"n.b.")</f>
        <v/>
      </c>
      <c r="D774" s="62">
        <f>COUNT('Übung 02'!X$11:X$35)+COUNTIF('Übung 02'!X$11:X$35,"n.b.")</f>
        <v/>
      </c>
      <c r="E774" s="62">
        <f>COUNT('Übung 03'!X$11:X$35)+COUNTIF('Übung 03'!X$11:X$35,"n.b.")</f>
        <v/>
      </c>
      <c r="F774" s="62">
        <f>COUNT('Übung 04'!X$11:X$35)+COUNTIF('Übung 04'!X$11:X$35,"n.b.")</f>
        <v/>
      </c>
      <c r="G774" s="62">
        <f>COUNT('Übung 05'!X$11:X$35)+COUNTIF('Übung 05'!X$11:X$35,"n.b.")</f>
        <v/>
      </c>
      <c r="H774" s="62">
        <f>COUNT('Übung 06'!X$11:X$35)+COUNTIF('Übung 06'!X$11:X$35,"n.b.")</f>
        <v/>
      </c>
      <c r="I774" s="62">
        <f>COUNT('Übung 07'!X$11:X$35)+COUNTIF('Übung 07'!X$11:X$35,"n.b.")</f>
        <v/>
      </c>
      <c r="J774" s="62">
        <f>COUNT('Übung 08'!X$11:X$35)+COUNTIF('Übung 08'!X$11:X$35,"n.b.")</f>
        <v/>
      </c>
      <c r="K774" s="62">
        <f>COUNT('Übung 09'!X$11:X$35)+COUNTIF('Übung 09'!X$11:X$35,"n.b.")</f>
        <v/>
      </c>
      <c r="L774" s="62">
        <f>COUNT('Übung 10'!X$11:X$35)+COUNTIF('Übung 10'!X$11:X$35,"n.b.")</f>
        <v/>
      </c>
      <c r="M774" s="62">
        <f>COUNT('Übung 11'!X$11:X$35)+COUNTIF('Übung 11'!X$11:X$35,"n.b.")</f>
        <v/>
      </c>
      <c r="N774" s="62">
        <f>COUNT('Übung 12'!X$11:X$35)+COUNTIF('Übung 12'!X$11:X$35,"n.b.")</f>
        <v/>
      </c>
      <c r="O774" s="62">
        <f>COUNT('Übung 13'!X$11:X$35)+COUNTIF('Übung 13'!X$11:X$35,"n.b.")</f>
        <v/>
      </c>
      <c r="P774" s="62">
        <f>COUNT('Übung 14'!X$11:X$35)+COUNTIF('Übung 14'!X$11:X$35,"n.b.")</f>
        <v/>
      </c>
      <c r="Q774" s="62">
        <f>COUNT('Übung 15'!X$11:X$35)+COUNTIF('Übung 15'!X$11:X$35,"n.b.")</f>
        <v/>
      </c>
      <c r="R774" s="62">
        <f>COUNT('Übung 16'!X$11:X$35)+COUNTIF('Übung 16'!X$11:X$35,"n.b.")</f>
        <v/>
      </c>
      <c r="S774" s="62">
        <f>COUNT('Übung 17'!X$11:X$35)+COUNTIF('Übung 17'!X$11:X$35,"n.b.")</f>
        <v/>
      </c>
      <c r="T774" s="62">
        <f>COUNT('Übung 18'!X$11:X$35)+COUNTIF('Übung 18'!X$11:X$35,"n.b.")</f>
        <v/>
      </c>
      <c r="U774" s="62">
        <f>COUNT('Übung 19'!X$11:X$35)+COUNTIF('Übung 19'!X$11:X$35,"n.b.")</f>
        <v/>
      </c>
      <c r="V774" s="62">
        <f>COUNT('Übung 20'!X$11:X$35)+COUNTIF('Übung 20'!X$11:X$35,"n.b.")</f>
        <v/>
      </c>
    </row>
    <row r="775">
      <c r="C775" s="62">
        <f>COUNT('Übung 01'!Y$11:Y$35)+COUNTIF('Übung 01'!Y$11:Y$35,"n.b.")</f>
        <v/>
      </c>
      <c r="D775" s="62">
        <f>COUNT('Übung 02'!Y$11:Y$35)+COUNTIF('Übung 02'!Y$11:Y$35,"n.b.")</f>
        <v/>
      </c>
      <c r="E775" s="62">
        <f>COUNT('Übung 03'!Y$11:Y$35)+COUNTIF('Übung 03'!Y$11:Y$35,"n.b.")</f>
        <v/>
      </c>
      <c r="F775" s="62">
        <f>COUNT('Übung 04'!Y$11:Y$35)+COUNTIF('Übung 04'!Y$11:Y$35,"n.b.")</f>
        <v/>
      </c>
      <c r="G775" s="62">
        <f>COUNT('Übung 05'!Y$11:Y$35)+COUNTIF('Übung 05'!Y$11:Y$35,"n.b.")</f>
        <v/>
      </c>
      <c r="H775" s="62">
        <f>COUNT('Übung 06'!Y$11:Y$35)+COUNTIF('Übung 06'!Y$11:Y$35,"n.b.")</f>
        <v/>
      </c>
      <c r="I775" s="62">
        <f>COUNT('Übung 07'!Y$11:Y$35)+COUNTIF('Übung 07'!Y$11:Y$35,"n.b.")</f>
        <v/>
      </c>
      <c r="J775" s="62">
        <f>COUNT('Übung 08'!Y$11:Y$35)+COUNTIF('Übung 08'!Y$11:Y$35,"n.b.")</f>
        <v/>
      </c>
      <c r="K775" s="62">
        <f>COUNT('Übung 09'!Y$11:Y$35)+COUNTIF('Übung 09'!Y$11:Y$35,"n.b.")</f>
        <v/>
      </c>
      <c r="L775" s="62">
        <f>COUNT('Übung 10'!Y$11:Y$35)+COUNTIF('Übung 10'!Y$11:Y$35,"n.b.")</f>
        <v/>
      </c>
      <c r="M775" s="62">
        <f>COUNT('Übung 11'!Y$11:Y$35)+COUNTIF('Übung 11'!Y$11:Y$35,"n.b.")</f>
        <v/>
      </c>
      <c r="N775" s="62">
        <f>COUNT('Übung 12'!Y$11:Y$35)+COUNTIF('Übung 12'!Y$11:Y$35,"n.b.")</f>
        <v/>
      </c>
      <c r="O775" s="62">
        <f>COUNT('Übung 13'!Y$11:Y$35)+COUNTIF('Übung 13'!Y$11:Y$35,"n.b.")</f>
        <v/>
      </c>
      <c r="P775" s="62">
        <f>COUNT('Übung 14'!Y$11:Y$35)+COUNTIF('Übung 14'!Y$11:Y$35,"n.b.")</f>
        <v/>
      </c>
      <c r="Q775" s="62">
        <f>COUNT('Übung 15'!Y$11:Y$35)+COUNTIF('Übung 15'!Y$11:Y$35,"n.b.")</f>
        <v/>
      </c>
      <c r="R775" s="62">
        <f>COUNT('Übung 16'!Y$11:Y$35)+COUNTIF('Übung 16'!Y$11:Y$35,"n.b.")</f>
        <v/>
      </c>
      <c r="S775" s="62">
        <f>COUNT('Übung 17'!Y$11:Y$35)+COUNTIF('Übung 17'!Y$11:Y$35,"n.b.")</f>
        <v/>
      </c>
      <c r="T775" s="62">
        <f>COUNT('Übung 18'!Y$11:Y$35)+COUNTIF('Übung 18'!Y$11:Y$35,"n.b.")</f>
        <v/>
      </c>
      <c r="U775" s="62">
        <f>COUNT('Übung 19'!Y$11:Y$35)+COUNTIF('Übung 19'!Y$11:Y$35,"n.b.")</f>
        <v/>
      </c>
      <c r="V775" s="62">
        <f>COUNT('Übung 20'!Y$11:Y$35)+COUNTIF('Übung 20'!Y$11:Y$35,"n.b.")</f>
        <v/>
      </c>
    </row>
    <row r="776">
      <c r="C776" s="62">
        <f>COUNT('Übung 01'!Z$11:Z$35)+COUNTIF('Übung 01'!Z$11:Z$35,"n.b.")</f>
        <v/>
      </c>
      <c r="D776" s="62">
        <f>COUNT('Übung 02'!Z$11:Z$35)+COUNTIF('Übung 02'!Z$11:Z$35,"n.b.")</f>
        <v/>
      </c>
      <c r="E776" s="62">
        <f>COUNT('Übung 03'!Z$11:Z$35)+COUNTIF('Übung 03'!Z$11:Z$35,"n.b.")</f>
        <v/>
      </c>
      <c r="F776" s="62">
        <f>COUNT('Übung 04'!Z$11:Z$35)+COUNTIF('Übung 04'!Z$11:Z$35,"n.b.")</f>
        <v/>
      </c>
      <c r="G776" s="62">
        <f>COUNT('Übung 05'!Z$11:Z$35)+COUNTIF('Übung 05'!Z$11:Z$35,"n.b.")</f>
        <v/>
      </c>
      <c r="H776" s="62">
        <f>COUNT('Übung 06'!Z$11:Z$35)+COUNTIF('Übung 06'!Z$11:Z$35,"n.b.")</f>
        <v/>
      </c>
      <c r="I776" s="62">
        <f>COUNT('Übung 07'!Z$11:Z$35)+COUNTIF('Übung 07'!Z$11:Z$35,"n.b.")</f>
        <v/>
      </c>
      <c r="J776" s="62">
        <f>COUNT('Übung 08'!Z$11:Z$35)+COUNTIF('Übung 08'!Z$11:Z$35,"n.b.")</f>
        <v/>
      </c>
      <c r="K776" s="62">
        <f>COUNT('Übung 09'!Z$11:Z$35)+COUNTIF('Übung 09'!Z$11:Z$35,"n.b.")</f>
        <v/>
      </c>
      <c r="L776" s="62">
        <f>COUNT('Übung 10'!Z$11:Z$35)+COUNTIF('Übung 10'!Z$11:Z$35,"n.b.")</f>
        <v/>
      </c>
      <c r="M776" s="62">
        <f>COUNT('Übung 11'!Z$11:Z$35)+COUNTIF('Übung 11'!Z$11:Z$35,"n.b.")</f>
        <v/>
      </c>
      <c r="N776" s="62">
        <f>COUNT('Übung 12'!Z$11:Z$35)+COUNTIF('Übung 12'!Z$11:Z$35,"n.b.")</f>
        <v/>
      </c>
      <c r="O776" s="62">
        <f>COUNT('Übung 13'!Z$11:Z$35)+COUNTIF('Übung 13'!Z$11:Z$35,"n.b.")</f>
        <v/>
      </c>
      <c r="P776" s="62">
        <f>COUNT('Übung 14'!Z$11:Z$35)+COUNTIF('Übung 14'!Z$11:Z$35,"n.b.")</f>
        <v/>
      </c>
      <c r="Q776" s="62">
        <f>COUNT('Übung 15'!Z$11:Z$35)+COUNTIF('Übung 15'!Z$11:Z$35,"n.b.")</f>
        <v/>
      </c>
      <c r="R776" s="62">
        <f>COUNT('Übung 16'!Z$11:Z$35)+COUNTIF('Übung 16'!Z$11:Z$35,"n.b.")</f>
        <v/>
      </c>
      <c r="S776" s="62">
        <f>COUNT('Übung 17'!Z$11:Z$35)+COUNTIF('Übung 17'!Z$11:Z$35,"n.b.")</f>
        <v/>
      </c>
      <c r="T776" s="62">
        <f>COUNT('Übung 18'!Z$11:Z$35)+COUNTIF('Übung 18'!Z$11:Z$35,"n.b.")</f>
        <v/>
      </c>
      <c r="U776" s="62">
        <f>COUNT('Übung 19'!Z$11:Z$35)+COUNTIF('Übung 19'!Z$11:Z$35,"n.b.")</f>
        <v/>
      </c>
      <c r="V776" s="62">
        <f>COUNT('Übung 20'!Z$11:Z$35)+COUNTIF('Übung 20'!Z$11:Z$35,"n.b.")</f>
        <v/>
      </c>
    </row>
    <row r="777">
      <c r="C777" s="62">
        <f>COUNT('Übung 01'!AA$11:AA$35)+COUNTIF('Übung 01'!AA$11:AA$35,"n.b.")</f>
        <v/>
      </c>
      <c r="D777" s="62">
        <f>COUNT('Übung 02'!AA$11:AA$35)+COUNTIF('Übung 02'!AA$11:AA$35,"n.b.")</f>
        <v/>
      </c>
      <c r="E777" s="62">
        <f>COUNT('Übung 03'!AA$11:AA$35)+COUNTIF('Übung 03'!AA$11:AA$35,"n.b.")</f>
        <v/>
      </c>
      <c r="F777" s="62">
        <f>COUNT('Übung 04'!AA$11:AA$35)+COUNTIF('Übung 04'!AA$11:AA$35,"n.b.")</f>
        <v/>
      </c>
      <c r="G777" s="62">
        <f>COUNT('Übung 05'!AA$11:AA$35)+COUNTIF('Übung 05'!AA$11:AA$35,"n.b.")</f>
        <v/>
      </c>
      <c r="H777" s="62">
        <f>COUNT('Übung 06'!AA$11:AA$35)+COUNTIF('Übung 06'!AA$11:AA$35,"n.b.")</f>
        <v/>
      </c>
      <c r="I777" s="62">
        <f>COUNT('Übung 07'!AA$11:AA$35)+COUNTIF('Übung 07'!AA$11:AA$35,"n.b.")</f>
        <v/>
      </c>
      <c r="J777" s="62">
        <f>COUNT('Übung 08'!AA$11:AA$35)+COUNTIF('Übung 08'!AA$11:AA$35,"n.b.")</f>
        <v/>
      </c>
      <c r="K777" s="62">
        <f>COUNT('Übung 09'!AA$11:AA$35)+COUNTIF('Übung 09'!AA$11:AA$35,"n.b.")</f>
        <v/>
      </c>
      <c r="L777" s="62">
        <f>COUNT('Übung 10'!AA$11:AA$35)+COUNTIF('Übung 10'!AA$11:AA$35,"n.b.")</f>
        <v/>
      </c>
      <c r="M777" s="62">
        <f>COUNT('Übung 11'!AA$11:AA$35)+COUNTIF('Übung 11'!AA$11:AA$35,"n.b.")</f>
        <v/>
      </c>
      <c r="N777" s="62">
        <f>COUNT('Übung 12'!AA$11:AA$35)+COUNTIF('Übung 12'!AA$11:AA$35,"n.b.")</f>
        <v/>
      </c>
      <c r="O777" s="62">
        <f>COUNT('Übung 13'!AA$11:AA$35)+COUNTIF('Übung 13'!AA$11:AA$35,"n.b.")</f>
        <v/>
      </c>
      <c r="P777" s="62">
        <f>COUNT('Übung 14'!AA$11:AA$35)+COUNTIF('Übung 14'!AA$11:AA$35,"n.b.")</f>
        <v/>
      </c>
      <c r="Q777" s="62">
        <f>COUNT('Übung 15'!AA$11:AA$35)+COUNTIF('Übung 15'!AA$11:AA$35,"n.b.")</f>
        <v/>
      </c>
      <c r="R777" s="62">
        <f>COUNT('Übung 16'!AA$11:AA$35)+COUNTIF('Übung 16'!AA$11:AA$35,"n.b.")</f>
        <v/>
      </c>
      <c r="S777" s="62">
        <f>COUNT('Übung 17'!AA$11:AA$35)+COUNTIF('Übung 17'!AA$11:AA$35,"n.b.")</f>
        <v/>
      </c>
      <c r="T777" s="62">
        <f>COUNT('Übung 18'!AA$11:AA$35)+COUNTIF('Übung 18'!AA$11:AA$35,"n.b.")</f>
        <v/>
      </c>
      <c r="U777" s="62">
        <f>COUNT('Übung 19'!AA$11:AA$35)+COUNTIF('Übung 19'!AA$11:AA$35,"n.b.")</f>
        <v/>
      </c>
      <c r="V777" s="62">
        <f>COUNT('Übung 20'!AA$11:AA$35)+COUNTIF('Übung 20'!AA$11:AA$35,"n.b.")</f>
        <v/>
      </c>
    </row>
    <row r="778">
      <c r="C778" s="62">
        <f>COUNT('Übung 01'!AB$11:AB$35)+COUNTIF('Übung 01'!AB$11:AB$35,"n.b.")</f>
        <v/>
      </c>
      <c r="D778" s="62">
        <f>COUNT('Übung 02'!AB$11:AB$35)+COUNTIF('Übung 02'!AB$11:AB$35,"n.b.")</f>
        <v/>
      </c>
      <c r="E778" s="62">
        <f>COUNT('Übung 03'!AB$11:AB$35)+COUNTIF('Übung 03'!AB$11:AB$35,"n.b.")</f>
        <v/>
      </c>
      <c r="F778" s="62">
        <f>COUNT('Übung 04'!AB$11:AB$35)+COUNTIF('Übung 04'!AB$11:AB$35,"n.b.")</f>
        <v/>
      </c>
      <c r="G778" s="62">
        <f>COUNT('Übung 05'!AB$11:AB$35)+COUNTIF('Übung 05'!AB$11:AB$35,"n.b.")</f>
        <v/>
      </c>
      <c r="H778" s="62">
        <f>COUNT('Übung 06'!AB$11:AB$35)+COUNTIF('Übung 06'!AB$11:AB$35,"n.b.")</f>
        <v/>
      </c>
      <c r="I778" s="62">
        <f>COUNT('Übung 07'!AB$11:AB$35)+COUNTIF('Übung 07'!AB$11:AB$35,"n.b.")</f>
        <v/>
      </c>
      <c r="J778" s="62">
        <f>COUNT('Übung 08'!AB$11:AB$35)+COUNTIF('Übung 08'!AB$11:AB$35,"n.b.")</f>
        <v/>
      </c>
      <c r="K778" s="62">
        <f>COUNT('Übung 09'!AB$11:AB$35)+COUNTIF('Übung 09'!AB$11:AB$35,"n.b.")</f>
        <v/>
      </c>
      <c r="L778" s="62">
        <f>COUNT('Übung 10'!AB$11:AB$35)+COUNTIF('Übung 10'!AB$11:AB$35,"n.b.")</f>
        <v/>
      </c>
      <c r="M778" s="62">
        <f>COUNT('Übung 11'!AB$11:AB$35)+COUNTIF('Übung 11'!AB$11:AB$35,"n.b.")</f>
        <v/>
      </c>
      <c r="N778" s="62">
        <f>COUNT('Übung 12'!AB$11:AB$35)+COUNTIF('Übung 12'!AB$11:AB$35,"n.b.")</f>
        <v/>
      </c>
      <c r="O778" s="62">
        <f>COUNT('Übung 13'!AB$11:AB$35)+COUNTIF('Übung 13'!AB$11:AB$35,"n.b.")</f>
        <v/>
      </c>
      <c r="P778" s="62">
        <f>COUNT('Übung 14'!AB$11:AB$35)+COUNTIF('Übung 14'!AB$11:AB$35,"n.b.")</f>
        <v/>
      </c>
      <c r="Q778" s="62">
        <f>COUNT('Übung 15'!AB$11:AB$35)+COUNTIF('Übung 15'!AB$11:AB$35,"n.b.")</f>
        <v/>
      </c>
      <c r="R778" s="62">
        <f>COUNT('Übung 16'!AB$11:AB$35)+COUNTIF('Übung 16'!AB$11:AB$35,"n.b.")</f>
        <v/>
      </c>
      <c r="S778" s="62">
        <f>COUNT('Übung 17'!AB$11:AB$35)+COUNTIF('Übung 17'!AB$11:AB$35,"n.b.")</f>
        <v/>
      </c>
      <c r="T778" s="62">
        <f>COUNT('Übung 18'!AB$11:AB$35)+COUNTIF('Übung 18'!AB$11:AB$35,"n.b.")</f>
        <v/>
      </c>
      <c r="U778" s="62">
        <f>COUNT('Übung 19'!AB$11:AB$35)+COUNTIF('Übung 19'!AB$11:AB$35,"n.b.")</f>
        <v/>
      </c>
      <c r="V778" s="62">
        <f>COUNT('Übung 20'!AB$11:AB$35)+COUNTIF('Übung 20'!AB$11:AB$35,"n.b.")</f>
        <v/>
      </c>
    </row>
    <row r="779">
      <c r="C779" s="62">
        <f>COUNT('Übung 01'!AC$11:AC$35)+COUNTIF('Übung 01'!AC$11:AC$35,"n.b.")</f>
        <v/>
      </c>
      <c r="D779" s="62">
        <f>COUNT('Übung 02'!AC$11:AC$35)+COUNTIF('Übung 02'!AC$11:AC$35,"n.b.")</f>
        <v/>
      </c>
      <c r="E779" s="62">
        <f>COUNT('Übung 03'!AC$11:AC$35)+COUNTIF('Übung 03'!AC$11:AC$35,"n.b.")</f>
        <v/>
      </c>
      <c r="F779" s="62">
        <f>COUNT('Übung 04'!AC$11:AC$35)+COUNTIF('Übung 04'!AC$11:AC$35,"n.b.")</f>
        <v/>
      </c>
      <c r="G779" s="62">
        <f>COUNT('Übung 05'!AC$11:AC$35)+COUNTIF('Übung 05'!AC$11:AC$35,"n.b.")</f>
        <v/>
      </c>
      <c r="H779" s="62">
        <f>COUNT('Übung 06'!AC$11:AC$35)+COUNTIF('Übung 06'!AC$11:AC$35,"n.b.")</f>
        <v/>
      </c>
      <c r="I779" s="62">
        <f>COUNT('Übung 07'!AC$11:AC$35)+COUNTIF('Übung 07'!AC$11:AC$35,"n.b.")</f>
        <v/>
      </c>
      <c r="J779" s="62">
        <f>COUNT('Übung 08'!AC$11:AC$35)+COUNTIF('Übung 08'!AC$11:AC$35,"n.b.")</f>
        <v/>
      </c>
      <c r="K779" s="62">
        <f>COUNT('Übung 09'!AC$11:AC$35)+COUNTIF('Übung 09'!AC$11:AC$35,"n.b.")</f>
        <v/>
      </c>
      <c r="L779" s="62">
        <f>COUNT('Übung 10'!AC$11:AC$35)+COUNTIF('Übung 10'!AC$11:AC$35,"n.b.")</f>
        <v/>
      </c>
      <c r="M779" s="62">
        <f>COUNT('Übung 11'!AC$11:AC$35)+COUNTIF('Übung 11'!AC$11:AC$35,"n.b.")</f>
        <v/>
      </c>
      <c r="N779" s="62">
        <f>COUNT('Übung 12'!AC$11:AC$35)+COUNTIF('Übung 12'!AC$11:AC$35,"n.b.")</f>
        <v/>
      </c>
      <c r="O779" s="62">
        <f>COUNT('Übung 13'!AC$11:AC$35)+COUNTIF('Übung 13'!AC$11:AC$35,"n.b.")</f>
        <v/>
      </c>
      <c r="P779" s="62">
        <f>COUNT('Übung 14'!AC$11:AC$35)+COUNTIF('Übung 14'!AC$11:AC$35,"n.b.")</f>
        <v/>
      </c>
      <c r="Q779" s="62">
        <f>COUNT('Übung 15'!AC$11:AC$35)+COUNTIF('Übung 15'!AC$11:AC$35,"n.b.")</f>
        <v/>
      </c>
      <c r="R779" s="62">
        <f>COUNT('Übung 16'!AC$11:AC$35)+COUNTIF('Übung 16'!AC$11:AC$35,"n.b.")</f>
        <v/>
      </c>
      <c r="S779" s="62">
        <f>COUNT('Übung 17'!AC$11:AC$35)+COUNTIF('Übung 17'!AC$11:AC$35,"n.b.")</f>
        <v/>
      </c>
      <c r="T779" s="62">
        <f>COUNT('Übung 18'!AC$11:AC$35)+COUNTIF('Übung 18'!AC$11:AC$35,"n.b.")</f>
        <v/>
      </c>
      <c r="U779" s="62">
        <f>COUNT('Übung 19'!AC$11:AC$35)+COUNTIF('Übung 19'!AC$11:AC$35,"n.b.")</f>
        <v/>
      </c>
      <c r="V779" s="62">
        <f>COUNT('Übung 20'!AC$11:AC$35)+COUNTIF('Übung 20'!AC$11:AC$35,"n.b.")</f>
        <v/>
      </c>
    </row>
    <row r="780">
      <c r="C780" s="62">
        <f>COUNT('Übung 01'!AE$11:AE$35)+COUNTIF('Übung 01'!AE$11:AE$35,"n.b.")</f>
        <v/>
      </c>
      <c r="D780" s="62">
        <f>COUNT('Übung 02'!AE$11:AE$35)+COUNTIF('Übung 02'!AE$11:AE$35,"n.b.")</f>
        <v/>
      </c>
      <c r="E780" s="62">
        <f>COUNT('Übung 03'!AE$11:AE$35)+COUNTIF('Übung 03'!AE$11:AE$35,"n.b.")</f>
        <v/>
      </c>
      <c r="F780" s="62">
        <f>COUNT('Übung 04'!AE$11:AE$35)+COUNTIF('Übung 04'!AE$11:AE$35,"n.b.")</f>
        <v/>
      </c>
      <c r="G780" s="62">
        <f>COUNT('Übung 05'!AE$11:AE$35)+COUNTIF('Übung 05'!AE$11:AE$35,"n.b.")</f>
        <v/>
      </c>
      <c r="H780" s="62">
        <f>COUNT('Übung 06'!AE$11:AE$35)+COUNTIF('Übung 06'!AE$11:AE$35,"n.b.")</f>
        <v/>
      </c>
      <c r="I780" s="62">
        <f>COUNT('Übung 07'!AE$11:AE$35)+COUNTIF('Übung 07'!AE$11:AE$35,"n.b.")</f>
        <v/>
      </c>
      <c r="J780" s="62">
        <f>COUNT('Übung 08'!AE$11:AE$35)+COUNTIF('Übung 08'!AE$11:AE$35,"n.b.")</f>
        <v/>
      </c>
      <c r="K780" s="62">
        <f>COUNT('Übung 09'!AE$11:AE$35)+COUNTIF('Übung 09'!AE$11:AE$35,"n.b.")</f>
        <v/>
      </c>
      <c r="L780" s="62">
        <f>COUNT('Übung 10'!AE$11:AE$35)+COUNTIF('Übung 10'!AE$11:AE$35,"n.b.")</f>
        <v/>
      </c>
      <c r="M780" s="62">
        <f>COUNT('Übung 11'!AE$11:AE$35)+COUNTIF('Übung 11'!AE$11:AE$35,"n.b.")</f>
        <v/>
      </c>
      <c r="N780" s="62">
        <f>COUNT('Übung 12'!AE$11:AE$35)+COUNTIF('Übung 12'!AE$11:AE$35,"n.b.")</f>
        <v/>
      </c>
      <c r="O780" s="62">
        <f>COUNT('Übung 13'!AE$11:AE$35)+COUNTIF('Übung 13'!AE$11:AE$35,"n.b.")</f>
        <v/>
      </c>
      <c r="P780" s="62">
        <f>COUNT('Übung 14'!AE$11:AE$35)+COUNTIF('Übung 14'!AE$11:AE$35,"n.b.")</f>
        <v/>
      </c>
      <c r="Q780" s="62">
        <f>COUNT('Übung 15'!AE$11:AE$35)+COUNTIF('Übung 15'!AE$11:AE$35,"n.b.")</f>
        <v/>
      </c>
      <c r="R780" s="62">
        <f>COUNT('Übung 16'!AE$11:AE$35)+COUNTIF('Übung 16'!AE$11:AE$35,"n.b.")</f>
        <v/>
      </c>
      <c r="S780" s="62">
        <f>COUNT('Übung 17'!AE$11:AE$35)+COUNTIF('Übung 17'!AE$11:AE$35,"n.b.")</f>
        <v/>
      </c>
      <c r="T780" s="62">
        <f>COUNT('Übung 18'!AE$11:AE$35)+COUNTIF('Übung 18'!AE$11:AE$35,"n.b.")</f>
        <v/>
      </c>
      <c r="U780" s="62">
        <f>COUNT('Übung 19'!AE$11:AE$35)+COUNTIF('Übung 19'!AE$11:AE$35,"n.b.")</f>
        <v/>
      </c>
      <c r="V780" s="62">
        <f>COUNT('Übung 20'!AE$11:AE$35)+COUNTIF('Übung 20'!AE$11:AE$35,"n.b.")</f>
        <v/>
      </c>
    </row>
    <row r="781">
      <c r="C781" s="62">
        <f>COUNT('Übung 01'!AF$11:AF$35)+COUNTIF('Übung 01'!AF$11:AF$35,"n.b.")</f>
        <v/>
      </c>
      <c r="D781" s="62">
        <f>COUNT('Übung 02'!AF$11:AF$35)+COUNTIF('Übung 02'!AF$11:AF$35,"n.b.")</f>
        <v/>
      </c>
      <c r="E781" s="62">
        <f>COUNT('Übung 03'!AF$11:AF$35)+COUNTIF('Übung 03'!AF$11:AF$35,"n.b.")</f>
        <v/>
      </c>
      <c r="F781" s="62">
        <f>COUNT('Übung 04'!AF$11:AF$35)+COUNTIF('Übung 04'!AF$11:AF$35,"n.b.")</f>
        <v/>
      </c>
      <c r="G781" s="62">
        <f>COUNT('Übung 05'!AF$11:AF$35)+COUNTIF('Übung 05'!AF$11:AF$35,"n.b.")</f>
        <v/>
      </c>
      <c r="H781" s="62">
        <f>COUNT('Übung 06'!AF$11:AF$35)+COUNTIF('Übung 06'!AF$11:AF$35,"n.b.")</f>
        <v/>
      </c>
      <c r="I781" s="62">
        <f>COUNT('Übung 07'!AF$11:AF$35)+COUNTIF('Übung 07'!AF$11:AF$35,"n.b.")</f>
        <v/>
      </c>
      <c r="J781" s="62">
        <f>COUNT('Übung 08'!AF$11:AF$35)+COUNTIF('Übung 08'!AF$11:AF$35,"n.b.")</f>
        <v/>
      </c>
      <c r="K781" s="62">
        <f>COUNT('Übung 09'!AF$11:AF$35)+COUNTIF('Übung 09'!AF$11:AF$35,"n.b.")</f>
        <v/>
      </c>
      <c r="L781" s="62">
        <f>COUNT('Übung 10'!AF$11:AF$35)+COUNTIF('Übung 10'!AF$11:AF$35,"n.b.")</f>
        <v/>
      </c>
      <c r="M781" s="62">
        <f>COUNT('Übung 11'!AF$11:AF$35)+COUNTIF('Übung 11'!AF$11:AF$35,"n.b.")</f>
        <v/>
      </c>
      <c r="N781" s="62">
        <f>COUNT('Übung 12'!AF$11:AF$35)+COUNTIF('Übung 12'!AF$11:AF$35,"n.b.")</f>
        <v/>
      </c>
      <c r="O781" s="62">
        <f>COUNT('Übung 13'!AF$11:AF$35)+COUNTIF('Übung 13'!AF$11:AF$35,"n.b.")</f>
        <v/>
      </c>
      <c r="P781" s="62">
        <f>COUNT('Übung 14'!AF$11:AF$35)+COUNTIF('Übung 14'!AF$11:AF$35,"n.b.")</f>
        <v/>
      </c>
      <c r="Q781" s="62">
        <f>COUNT('Übung 15'!AF$11:AF$35)+COUNTIF('Übung 15'!AF$11:AF$35,"n.b.")</f>
        <v/>
      </c>
      <c r="R781" s="62">
        <f>COUNT('Übung 16'!AF$11:AF$35)+COUNTIF('Übung 16'!AF$11:AF$35,"n.b.")</f>
        <v/>
      </c>
      <c r="S781" s="62">
        <f>COUNT('Übung 17'!AF$11:AF$35)+COUNTIF('Übung 17'!AF$11:AF$35,"n.b.")</f>
        <v/>
      </c>
      <c r="T781" s="62">
        <f>COUNT('Übung 18'!AF$11:AF$35)+COUNTIF('Übung 18'!AF$11:AF$35,"n.b.")</f>
        <v/>
      </c>
      <c r="U781" s="62">
        <f>COUNT('Übung 19'!AF$11:AF$35)+COUNTIF('Übung 19'!AF$11:AF$35,"n.b.")</f>
        <v/>
      </c>
      <c r="V781" s="62">
        <f>COUNT('Übung 20'!AF$11:AF$35)+COUNTIF('Übung 20'!AF$11:AF$35,"n.b.")</f>
        <v/>
      </c>
    </row>
    <row r="782">
      <c r="C782" s="62">
        <f>COUNT('Übung 01'!AG$11:AG$35)+COUNTIF('Übung 01'!AG$11:AG$35,"n.b.")</f>
        <v/>
      </c>
      <c r="D782" s="62">
        <f>COUNT('Übung 02'!AG$11:AG$35)+COUNTIF('Übung 02'!AG$11:AG$35,"n.b.")</f>
        <v/>
      </c>
      <c r="E782" s="62">
        <f>COUNT('Übung 03'!AG$11:AG$35)+COUNTIF('Übung 03'!AG$11:AG$35,"n.b.")</f>
        <v/>
      </c>
      <c r="F782" s="62">
        <f>COUNT('Übung 04'!AG$11:AG$35)+COUNTIF('Übung 04'!AG$11:AG$35,"n.b.")</f>
        <v/>
      </c>
      <c r="G782" s="62">
        <f>COUNT('Übung 05'!AG$11:AG$35)+COUNTIF('Übung 05'!AG$11:AG$35,"n.b.")</f>
        <v/>
      </c>
      <c r="H782" s="62">
        <f>COUNT('Übung 06'!AG$11:AG$35)+COUNTIF('Übung 06'!AG$11:AG$35,"n.b.")</f>
        <v/>
      </c>
      <c r="I782" s="62">
        <f>COUNT('Übung 07'!AG$11:AG$35)+COUNTIF('Übung 07'!AG$11:AG$35,"n.b.")</f>
        <v/>
      </c>
      <c r="J782" s="62">
        <f>COUNT('Übung 08'!AG$11:AG$35)+COUNTIF('Übung 08'!AG$11:AG$35,"n.b.")</f>
        <v/>
      </c>
      <c r="K782" s="62">
        <f>COUNT('Übung 09'!AG$11:AG$35)+COUNTIF('Übung 09'!AG$11:AG$35,"n.b.")</f>
        <v/>
      </c>
      <c r="L782" s="62">
        <f>COUNT('Übung 10'!AG$11:AG$35)+COUNTIF('Übung 10'!AG$11:AG$35,"n.b.")</f>
        <v/>
      </c>
      <c r="M782" s="62">
        <f>COUNT('Übung 11'!AG$11:AG$35)+COUNTIF('Übung 11'!AG$11:AG$35,"n.b.")</f>
        <v/>
      </c>
      <c r="N782" s="62">
        <f>COUNT('Übung 12'!AG$11:AG$35)+COUNTIF('Übung 12'!AG$11:AG$35,"n.b.")</f>
        <v/>
      </c>
      <c r="O782" s="62">
        <f>COUNT('Übung 13'!AG$11:AG$35)+COUNTIF('Übung 13'!AG$11:AG$35,"n.b.")</f>
        <v/>
      </c>
      <c r="P782" s="62">
        <f>COUNT('Übung 14'!AG$11:AG$35)+COUNTIF('Übung 14'!AG$11:AG$35,"n.b.")</f>
        <v/>
      </c>
      <c r="Q782" s="62">
        <f>COUNT('Übung 15'!AG$11:AG$35)+COUNTIF('Übung 15'!AG$11:AG$35,"n.b.")</f>
        <v/>
      </c>
      <c r="R782" s="62">
        <f>COUNT('Übung 16'!AG$11:AG$35)+COUNTIF('Übung 16'!AG$11:AG$35,"n.b.")</f>
        <v/>
      </c>
      <c r="S782" s="62">
        <f>COUNT('Übung 17'!AG$11:AG$35)+COUNTIF('Übung 17'!AG$11:AG$35,"n.b.")</f>
        <v/>
      </c>
      <c r="T782" s="62">
        <f>COUNT('Übung 18'!AG$11:AG$35)+COUNTIF('Übung 18'!AG$11:AG$35,"n.b.")</f>
        <v/>
      </c>
      <c r="U782" s="62">
        <f>COUNT('Übung 19'!AG$11:AG$35)+COUNTIF('Übung 19'!AG$11:AG$35,"n.b.")</f>
        <v/>
      </c>
      <c r="V782" s="62">
        <f>COUNT('Übung 20'!AG$11:AG$35)+COUNTIF('Übung 20'!AG$11:AG$35,"n.b.")</f>
        <v/>
      </c>
    </row>
    <row r="783">
      <c r="C783" s="62">
        <f>COUNT('Übung 01'!AH$11:AH$35)+COUNTIF('Übung 01'!AH$11:AH$35,"n.b.")</f>
        <v/>
      </c>
      <c r="D783" s="62">
        <f>COUNT('Übung 02'!AH$11:AH$35)+COUNTIF('Übung 02'!AH$11:AH$35,"n.b.")</f>
        <v/>
      </c>
      <c r="E783" s="62">
        <f>COUNT('Übung 03'!AH$11:AH$35)+COUNTIF('Übung 03'!AH$11:AH$35,"n.b.")</f>
        <v/>
      </c>
      <c r="F783" s="62">
        <f>COUNT('Übung 04'!AH$11:AH$35)+COUNTIF('Übung 04'!AH$11:AH$35,"n.b.")</f>
        <v/>
      </c>
      <c r="G783" s="62">
        <f>COUNT('Übung 05'!AH$11:AH$35)+COUNTIF('Übung 05'!AH$11:AH$35,"n.b.")</f>
        <v/>
      </c>
      <c r="H783" s="62">
        <f>COUNT('Übung 06'!AH$11:AH$35)+COUNTIF('Übung 06'!AH$11:AH$35,"n.b.")</f>
        <v/>
      </c>
      <c r="I783" s="62">
        <f>COUNT('Übung 07'!AH$11:AH$35)+COUNTIF('Übung 07'!AH$11:AH$35,"n.b.")</f>
        <v/>
      </c>
      <c r="J783" s="62">
        <f>COUNT('Übung 08'!AH$11:AH$35)+COUNTIF('Übung 08'!AH$11:AH$35,"n.b.")</f>
        <v/>
      </c>
      <c r="K783" s="62">
        <f>COUNT('Übung 09'!AH$11:AH$35)+COUNTIF('Übung 09'!AH$11:AH$35,"n.b.")</f>
        <v/>
      </c>
      <c r="L783" s="62">
        <f>COUNT('Übung 10'!AH$11:AH$35)+COUNTIF('Übung 10'!AH$11:AH$35,"n.b.")</f>
        <v/>
      </c>
      <c r="M783" s="62">
        <f>COUNT('Übung 11'!AH$11:AH$35)+COUNTIF('Übung 11'!AH$11:AH$35,"n.b.")</f>
        <v/>
      </c>
      <c r="N783" s="62">
        <f>COUNT('Übung 12'!AH$11:AH$35)+COUNTIF('Übung 12'!AH$11:AH$35,"n.b.")</f>
        <v/>
      </c>
      <c r="O783" s="62">
        <f>COUNT('Übung 13'!AH$11:AH$35)+COUNTIF('Übung 13'!AH$11:AH$35,"n.b.")</f>
        <v/>
      </c>
      <c r="P783" s="62">
        <f>COUNT('Übung 14'!AH$11:AH$35)+COUNTIF('Übung 14'!AH$11:AH$35,"n.b.")</f>
        <v/>
      </c>
      <c r="Q783" s="62">
        <f>COUNT('Übung 15'!AH$11:AH$35)+COUNTIF('Übung 15'!AH$11:AH$35,"n.b.")</f>
        <v/>
      </c>
      <c r="R783" s="62">
        <f>COUNT('Übung 16'!AH$11:AH$35)+COUNTIF('Übung 16'!AH$11:AH$35,"n.b.")</f>
        <v/>
      </c>
      <c r="S783" s="62">
        <f>COUNT('Übung 17'!AH$11:AH$35)+COUNTIF('Übung 17'!AH$11:AH$35,"n.b.")</f>
        <v/>
      </c>
      <c r="T783" s="62">
        <f>COUNT('Übung 18'!AH$11:AH$35)+COUNTIF('Übung 18'!AH$11:AH$35,"n.b.")</f>
        <v/>
      </c>
      <c r="U783" s="62">
        <f>COUNT('Übung 19'!AH$11:AH$35)+COUNTIF('Übung 19'!AH$11:AH$35,"n.b.")</f>
        <v/>
      </c>
      <c r="V783" s="62">
        <f>COUNT('Übung 20'!AH$11:AH$35)+COUNTIF('Übung 20'!AH$11:AH$35,"n.b.")</f>
        <v/>
      </c>
    </row>
    <row r="784">
      <c r="C784" s="62">
        <f>COUNT('Übung 01'!AI$11:AI$35)+COUNTIF('Übung 01'!AI$11:AI$35,"n.b.")</f>
        <v/>
      </c>
      <c r="D784" s="62">
        <f>COUNT('Übung 02'!AI$11:AI$35)+COUNTIF('Übung 02'!AI$11:AI$35,"n.b.")</f>
        <v/>
      </c>
      <c r="E784" s="62">
        <f>COUNT('Übung 03'!AI$11:AI$35)+COUNTIF('Übung 03'!AI$11:AI$35,"n.b.")</f>
        <v/>
      </c>
      <c r="F784" s="62">
        <f>COUNT('Übung 04'!AI$11:AI$35)+COUNTIF('Übung 04'!AI$11:AI$35,"n.b.")</f>
        <v/>
      </c>
      <c r="G784" s="62">
        <f>COUNT('Übung 05'!AI$11:AI$35)+COUNTIF('Übung 05'!AI$11:AI$35,"n.b.")</f>
        <v/>
      </c>
      <c r="H784" s="62">
        <f>COUNT('Übung 06'!AI$11:AI$35)+COUNTIF('Übung 06'!AI$11:AI$35,"n.b.")</f>
        <v/>
      </c>
      <c r="I784" s="62">
        <f>COUNT('Übung 07'!AI$11:AI$35)+COUNTIF('Übung 07'!AI$11:AI$35,"n.b.")</f>
        <v/>
      </c>
      <c r="J784" s="62">
        <f>COUNT('Übung 08'!AI$11:AI$35)+COUNTIF('Übung 08'!AI$11:AI$35,"n.b.")</f>
        <v/>
      </c>
      <c r="K784" s="62">
        <f>COUNT('Übung 09'!AI$11:AI$35)+COUNTIF('Übung 09'!AI$11:AI$35,"n.b.")</f>
        <v/>
      </c>
      <c r="L784" s="62">
        <f>COUNT('Übung 10'!AI$11:AI$35)+COUNTIF('Übung 10'!AI$11:AI$35,"n.b.")</f>
        <v/>
      </c>
      <c r="M784" s="62">
        <f>COUNT('Übung 11'!AI$11:AI$35)+COUNTIF('Übung 11'!AI$11:AI$35,"n.b.")</f>
        <v/>
      </c>
      <c r="N784" s="62">
        <f>COUNT('Übung 12'!AI$11:AI$35)+COUNTIF('Übung 12'!AI$11:AI$35,"n.b.")</f>
        <v/>
      </c>
      <c r="O784" s="62">
        <f>COUNT('Übung 13'!AI$11:AI$35)+COUNTIF('Übung 13'!AI$11:AI$35,"n.b.")</f>
        <v/>
      </c>
      <c r="P784" s="62">
        <f>COUNT('Übung 14'!AI$11:AI$35)+COUNTIF('Übung 14'!AI$11:AI$35,"n.b.")</f>
        <v/>
      </c>
      <c r="Q784" s="62">
        <f>COUNT('Übung 15'!AI$11:AI$35)+COUNTIF('Übung 15'!AI$11:AI$35,"n.b.")</f>
        <v/>
      </c>
      <c r="R784" s="62">
        <f>COUNT('Übung 16'!AI$11:AI$35)+COUNTIF('Übung 16'!AI$11:AI$35,"n.b.")</f>
        <v/>
      </c>
      <c r="S784" s="62">
        <f>COUNT('Übung 17'!AI$11:AI$35)+COUNTIF('Übung 17'!AI$11:AI$35,"n.b.")</f>
        <v/>
      </c>
      <c r="T784" s="62">
        <f>COUNT('Übung 18'!AI$11:AI$35)+COUNTIF('Übung 18'!AI$11:AI$35,"n.b.")</f>
        <v/>
      </c>
      <c r="U784" s="62">
        <f>COUNT('Übung 19'!AI$11:AI$35)+COUNTIF('Übung 19'!AI$11:AI$35,"n.b.")</f>
        <v/>
      </c>
      <c r="V784" s="62">
        <f>COUNT('Übung 20'!AI$11:AI$35)+COUNTIF('Übung 20'!AI$11:AI$35,"n.b.")</f>
        <v/>
      </c>
    </row>
    <row r="785">
      <c r="C785" s="62">
        <f>COUNT('Übung 01'!AJ$11:AJ$35)+COUNTIF('Übung 01'!AJ$11:AJ$35,"n.b.")</f>
        <v/>
      </c>
      <c r="D785" s="62">
        <f>COUNT('Übung 02'!AJ$11:AJ$35)+COUNTIF('Übung 02'!AJ$11:AJ$35,"n.b.")</f>
        <v/>
      </c>
      <c r="E785" s="62">
        <f>COUNT('Übung 03'!AJ$11:AJ$35)+COUNTIF('Übung 03'!AJ$11:AJ$35,"n.b.")</f>
        <v/>
      </c>
      <c r="F785" s="62">
        <f>COUNT('Übung 04'!AJ$11:AJ$35)+COUNTIF('Übung 04'!AJ$11:AJ$35,"n.b.")</f>
        <v/>
      </c>
      <c r="G785" s="62">
        <f>COUNT('Übung 05'!AJ$11:AJ$35)+COUNTIF('Übung 05'!AJ$11:AJ$35,"n.b.")</f>
        <v/>
      </c>
      <c r="H785" s="62">
        <f>COUNT('Übung 06'!AJ$11:AJ$35)+COUNTIF('Übung 06'!AJ$11:AJ$35,"n.b.")</f>
        <v/>
      </c>
      <c r="I785" s="62">
        <f>COUNT('Übung 07'!AJ$11:AJ$35)+COUNTIF('Übung 07'!AJ$11:AJ$35,"n.b.")</f>
        <v/>
      </c>
      <c r="J785" s="62">
        <f>COUNT('Übung 08'!AJ$11:AJ$35)+COUNTIF('Übung 08'!AJ$11:AJ$35,"n.b.")</f>
        <v/>
      </c>
      <c r="K785" s="62">
        <f>COUNT('Übung 09'!AJ$11:AJ$35)+COUNTIF('Übung 09'!AJ$11:AJ$35,"n.b.")</f>
        <v/>
      </c>
      <c r="L785" s="62">
        <f>COUNT('Übung 10'!AJ$11:AJ$35)+COUNTIF('Übung 10'!AJ$11:AJ$35,"n.b.")</f>
        <v/>
      </c>
      <c r="M785" s="62">
        <f>COUNT('Übung 11'!AJ$11:AJ$35)+COUNTIF('Übung 11'!AJ$11:AJ$35,"n.b.")</f>
        <v/>
      </c>
      <c r="N785" s="62">
        <f>COUNT('Übung 12'!AJ$11:AJ$35)+COUNTIF('Übung 12'!AJ$11:AJ$35,"n.b.")</f>
        <v/>
      </c>
      <c r="O785" s="62">
        <f>COUNT('Übung 13'!AJ$11:AJ$35)+COUNTIF('Übung 13'!AJ$11:AJ$35,"n.b.")</f>
        <v/>
      </c>
      <c r="P785" s="62">
        <f>COUNT('Übung 14'!AJ$11:AJ$35)+COUNTIF('Übung 14'!AJ$11:AJ$35,"n.b.")</f>
        <v/>
      </c>
      <c r="Q785" s="62">
        <f>COUNT('Übung 15'!AJ$11:AJ$35)+COUNTIF('Übung 15'!AJ$11:AJ$35,"n.b.")</f>
        <v/>
      </c>
      <c r="R785" s="62">
        <f>COUNT('Übung 16'!AJ$11:AJ$35)+COUNTIF('Übung 16'!AJ$11:AJ$35,"n.b.")</f>
        <v/>
      </c>
      <c r="S785" s="62">
        <f>COUNT('Übung 17'!AJ$11:AJ$35)+COUNTIF('Übung 17'!AJ$11:AJ$35,"n.b.")</f>
        <v/>
      </c>
      <c r="T785" s="62">
        <f>COUNT('Übung 18'!AJ$11:AJ$35)+COUNTIF('Übung 18'!AJ$11:AJ$35,"n.b.")</f>
        <v/>
      </c>
      <c r="U785" s="62">
        <f>COUNT('Übung 19'!AJ$11:AJ$35)+COUNTIF('Übung 19'!AJ$11:AJ$35,"n.b.")</f>
        <v/>
      </c>
      <c r="V785" s="62">
        <f>COUNT('Übung 20'!AJ$11:AJ$35)+COUNTIF('Übung 20'!AJ$11:AJ$35,"n.b.")</f>
        <v/>
      </c>
    </row>
    <row r="786">
      <c r="C786" s="62">
        <f>COUNT('Übung 01'!AK$11:AK$35)+COUNTIF('Übung 01'!AK$11:AK$35,"n.b.")</f>
        <v/>
      </c>
      <c r="D786" s="62">
        <f>COUNT('Übung 02'!AK$11:AK$35)+COUNTIF('Übung 02'!AK$11:AK$35,"n.b.")</f>
        <v/>
      </c>
      <c r="E786" s="62">
        <f>COUNT('Übung 03'!AK$11:AK$35)+COUNTIF('Übung 03'!AK$11:AK$35,"n.b.")</f>
        <v/>
      </c>
      <c r="F786" s="62">
        <f>COUNT('Übung 04'!AK$11:AK$35)+COUNTIF('Übung 04'!AK$11:AK$35,"n.b.")</f>
        <v/>
      </c>
      <c r="G786" s="62">
        <f>COUNT('Übung 05'!AK$11:AK$35)+COUNTIF('Übung 05'!AK$11:AK$35,"n.b.")</f>
        <v/>
      </c>
      <c r="H786" s="62">
        <f>COUNT('Übung 06'!AK$11:AK$35)+COUNTIF('Übung 06'!AK$11:AK$35,"n.b.")</f>
        <v/>
      </c>
      <c r="I786" s="62">
        <f>COUNT('Übung 07'!AK$11:AK$35)+COUNTIF('Übung 07'!AK$11:AK$35,"n.b.")</f>
        <v/>
      </c>
      <c r="J786" s="62">
        <f>COUNT('Übung 08'!AK$11:AK$35)+COUNTIF('Übung 08'!AK$11:AK$35,"n.b.")</f>
        <v/>
      </c>
      <c r="K786" s="62">
        <f>COUNT('Übung 09'!AK$11:AK$35)+COUNTIF('Übung 09'!AK$11:AK$35,"n.b.")</f>
        <v/>
      </c>
      <c r="L786" s="62">
        <f>COUNT('Übung 10'!AK$11:AK$35)+COUNTIF('Übung 10'!AK$11:AK$35,"n.b.")</f>
        <v/>
      </c>
      <c r="M786" s="62">
        <f>COUNT('Übung 11'!AK$11:AK$35)+COUNTIF('Übung 11'!AK$11:AK$35,"n.b.")</f>
        <v/>
      </c>
      <c r="N786" s="62">
        <f>COUNT('Übung 12'!AK$11:AK$35)+COUNTIF('Übung 12'!AK$11:AK$35,"n.b.")</f>
        <v/>
      </c>
      <c r="O786" s="62">
        <f>COUNT('Übung 13'!AK$11:AK$35)+COUNTIF('Übung 13'!AK$11:AK$35,"n.b.")</f>
        <v/>
      </c>
      <c r="P786" s="62">
        <f>COUNT('Übung 14'!AK$11:AK$35)+COUNTIF('Übung 14'!AK$11:AK$35,"n.b.")</f>
        <v/>
      </c>
      <c r="Q786" s="62">
        <f>COUNT('Übung 15'!AK$11:AK$35)+COUNTIF('Übung 15'!AK$11:AK$35,"n.b.")</f>
        <v/>
      </c>
      <c r="R786" s="62">
        <f>COUNT('Übung 16'!AK$11:AK$35)+COUNTIF('Übung 16'!AK$11:AK$35,"n.b.")</f>
        <v/>
      </c>
      <c r="S786" s="62">
        <f>COUNT('Übung 17'!AK$11:AK$35)+COUNTIF('Übung 17'!AK$11:AK$35,"n.b.")</f>
        <v/>
      </c>
      <c r="T786" s="62">
        <f>COUNT('Übung 18'!AK$11:AK$35)+COUNTIF('Übung 18'!AK$11:AK$35,"n.b.")</f>
        <v/>
      </c>
      <c r="U786" s="62">
        <f>COUNT('Übung 19'!AK$11:AK$35)+COUNTIF('Übung 19'!AK$11:AK$35,"n.b.")</f>
        <v/>
      </c>
      <c r="V786" s="62">
        <f>COUNT('Übung 20'!AK$11:AK$35)+COUNTIF('Übung 20'!AK$11:AK$35,"n.b.")</f>
        <v/>
      </c>
    </row>
    <row r="787">
      <c r="C787" s="62">
        <f>COUNT('Übung 01'!AL$11:AL$35)+COUNTIF('Übung 01'!AL$11:AL$35,"n.b.")</f>
        <v/>
      </c>
      <c r="D787" s="62">
        <f>COUNT('Übung 02'!AL$11:AL$35)+COUNTIF('Übung 02'!AL$11:AL$35,"n.b.")</f>
        <v/>
      </c>
      <c r="E787" s="62">
        <f>COUNT('Übung 03'!AL$11:AL$35)+COUNTIF('Übung 03'!AL$11:AL$35,"n.b.")</f>
        <v/>
      </c>
      <c r="F787" s="62">
        <f>COUNT('Übung 04'!AL$11:AL$35)+COUNTIF('Übung 04'!AL$11:AL$35,"n.b.")</f>
        <v/>
      </c>
      <c r="G787" s="62">
        <f>COUNT('Übung 05'!AL$11:AL$35)+COUNTIF('Übung 05'!AL$11:AL$35,"n.b.")</f>
        <v/>
      </c>
      <c r="H787" s="62">
        <f>COUNT('Übung 06'!AL$11:AL$35)+COUNTIF('Übung 06'!AL$11:AL$35,"n.b.")</f>
        <v/>
      </c>
      <c r="I787" s="62">
        <f>COUNT('Übung 07'!AL$11:AL$35)+COUNTIF('Übung 07'!AL$11:AL$35,"n.b.")</f>
        <v/>
      </c>
      <c r="J787" s="62">
        <f>COUNT('Übung 08'!AL$11:AL$35)+COUNTIF('Übung 08'!AL$11:AL$35,"n.b.")</f>
        <v/>
      </c>
      <c r="K787" s="62">
        <f>COUNT('Übung 09'!AL$11:AL$35)+COUNTIF('Übung 09'!AL$11:AL$35,"n.b.")</f>
        <v/>
      </c>
      <c r="L787" s="62">
        <f>COUNT('Übung 10'!AL$11:AL$35)+COUNTIF('Übung 10'!AL$11:AL$35,"n.b.")</f>
        <v/>
      </c>
      <c r="M787" s="62">
        <f>COUNT('Übung 11'!AL$11:AL$35)+COUNTIF('Übung 11'!AL$11:AL$35,"n.b.")</f>
        <v/>
      </c>
      <c r="N787" s="62">
        <f>COUNT('Übung 12'!AL$11:AL$35)+COUNTIF('Übung 12'!AL$11:AL$35,"n.b.")</f>
        <v/>
      </c>
      <c r="O787" s="62">
        <f>COUNT('Übung 13'!AL$11:AL$35)+COUNTIF('Übung 13'!AL$11:AL$35,"n.b.")</f>
        <v/>
      </c>
      <c r="P787" s="62">
        <f>COUNT('Übung 14'!AL$11:AL$35)+COUNTIF('Übung 14'!AL$11:AL$35,"n.b.")</f>
        <v/>
      </c>
      <c r="Q787" s="62">
        <f>COUNT('Übung 15'!AL$11:AL$35)+COUNTIF('Übung 15'!AL$11:AL$35,"n.b.")</f>
        <v/>
      </c>
      <c r="R787" s="62">
        <f>COUNT('Übung 16'!AL$11:AL$35)+COUNTIF('Übung 16'!AL$11:AL$35,"n.b.")</f>
        <v/>
      </c>
      <c r="S787" s="62">
        <f>COUNT('Übung 17'!AL$11:AL$35)+COUNTIF('Übung 17'!AL$11:AL$35,"n.b.")</f>
        <v/>
      </c>
      <c r="T787" s="62">
        <f>COUNT('Übung 18'!AL$11:AL$35)+COUNTIF('Übung 18'!AL$11:AL$35,"n.b.")</f>
        <v/>
      </c>
      <c r="U787" s="62">
        <f>COUNT('Übung 19'!AL$11:AL$35)+COUNTIF('Übung 19'!AL$11:AL$35,"n.b.")</f>
        <v/>
      </c>
      <c r="V787" s="62">
        <f>COUNT('Übung 20'!AL$11:AL$35)+COUNTIF('Übung 20'!AL$11:AL$35,"n.b.")</f>
        <v/>
      </c>
    </row>
    <row r="788">
      <c r="C788" s="62">
        <f>COUNT('Übung 01'!AM$11:AM$35)+COUNTIF('Übung 01'!AM$11:AM$35,"n.b.")</f>
        <v/>
      </c>
      <c r="D788" s="62">
        <f>COUNT('Übung 02'!AM$11:AM$35)+COUNTIF('Übung 02'!AM$11:AM$35,"n.b.")</f>
        <v/>
      </c>
      <c r="E788" s="62">
        <f>COUNT('Übung 03'!AM$11:AM$35)+COUNTIF('Übung 03'!AM$11:AM$35,"n.b.")</f>
        <v/>
      </c>
      <c r="F788" s="62">
        <f>COUNT('Übung 04'!AM$11:AM$35)+COUNTIF('Übung 04'!AM$11:AM$35,"n.b.")</f>
        <v/>
      </c>
      <c r="G788" s="62">
        <f>COUNT('Übung 05'!AM$11:AM$35)+COUNTIF('Übung 05'!AM$11:AM$35,"n.b.")</f>
        <v/>
      </c>
      <c r="H788" s="62">
        <f>COUNT('Übung 06'!AM$11:AM$35)+COUNTIF('Übung 06'!AM$11:AM$35,"n.b.")</f>
        <v/>
      </c>
      <c r="I788" s="62">
        <f>COUNT('Übung 07'!AM$11:AM$35)+COUNTIF('Übung 07'!AM$11:AM$35,"n.b.")</f>
        <v/>
      </c>
      <c r="J788" s="62">
        <f>COUNT('Übung 08'!AM$11:AM$35)+COUNTIF('Übung 08'!AM$11:AM$35,"n.b.")</f>
        <v/>
      </c>
      <c r="K788" s="62">
        <f>COUNT('Übung 09'!AM$11:AM$35)+COUNTIF('Übung 09'!AM$11:AM$35,"n.b.")</f>
        <v/>
      </c>
      <c r="L788" s="62">
        <f>COUNT('Übung 10'!AM$11:AM$35)+COUNTIF('Übung 10'!AM$11:AM$35,"n.b.")</f>
        <v/>
      </c>
      <c r="M788" s="62">
        <f>COUNT('Übung 11'!AM$11:AM$35)+COUNTIF('Übung 11'!AM$11:AM$35,"n.b.")</f>
        <v/>
      </c>
      <c r="N788" s="62">
        <f>COUNT('Übung 12'!AM$11:AM$35)+COUNTIF('Übung 12'!AM$11:AM$35,"n.b.")</f>
        <v/>
      </c>
      <c r="O788" s="62">
        <f>COUNT('Übung 13'!AM$11:AM$35)+COUNTIF('Übung 13'!AM$11:AM$35,"n.b.")</f>
        <v/>
      </c>
      <c r="P788" s="62">
        <f>COUNT('Übung 14'!AM$11:AM$35)+COUNTIF('Übung 14'!AM$11:AM$35,"n.b.")</f>
        <v/>
      </c>
      <c r="Q788" s="62">
        <f>COUNT('Übung 15'!AM$11:AM$35)+COUNTIF('Übung 15'!AM$11:AM$35,"n.b.")</f>
        <v/>
      </c>
      <c r="R788" s="62">
        <f>COUNT('Übung 16'!AM$11:AM$35)+COUNTIF('Übung 16'!AM$11:AM$35,"n.b.")</f>
        <v/>
      </c>
      <c r="S788" s="62">
        <f>COUNT('Übung 17'!AM$11:AM$35)+COUNTIF('Übung 17'!AM$11:AM$35,"n.b.")</f>
        <v/>
      </c>
      <c r="T788" s="62">
        <f>COUNT('Übung 18'!AM$11:AM$35)+COUNTIF('Übung 18'!AM$11:AM$35,"n.b.")</f>
        <v/>
      </c>
      <c r="U788" s="62">
        <f>COUNT('Übung 19'!AM$11:AM$35)+COUNTIF('Übung 19'!AM$11:AM$35,"n.b.")</f>
        <v/>
      </c>
      <c r="V788" s="62">
        <f>COUNT('Übung 20'!AM$11:AM$35)+COUNTIF('Übung 20'!AM$11:AM$35,"n.b.")</f>
        <v/>
      </c>
    </row>
    <row r="789">
      <c r="C789" s="62">
        <f>COUNT('Übung 01'!AN$11:AN$35)+COUNTIF('Übung 01'!AN$11:AN$35,"n.b.")</f>
        <v/>
      </c>
      <c r="D789" s="62">
        <f>COUNT('Übung 02'!AN$11:AN$35)+COUNTIF('Übung 02'!AN$11:AN$35,"n.b.")</f>
        <v/>
      </c>
      <c r="E789" s="62">
        <f>COUNT('Übung 03'!AN$11:AN$35)+COUNTIF('Übung 03'!AN$11:AN$35,"n.b.")</f>
        <v/>
      </c>
      <c r="F789" s="62">
        <f>COUNT('Übung 04'!AN$11:AN$35)+COUNTIF('Übung 04'!AN$11:AN$35,"n.b.")</f>
        <v/>
      </c>
      <c r="G789" s="62">
        <f>COUNT('Übung 05'!AN$11:AN$35)+COUNTIF('Übung 05'!AN$11:AN$35,"n.b.")</f>
        <v/>
      </c>
      <c r="H789" s="62">
        <f>COUNT('Übung 06'!AN$11:AN$35)+COUNTIF('Übung 06'!AN$11:AN$35,"n.b.")</f>
        <v/>
      </c>
      <c r="I789" s="62">
        <f>COUNT('Übung 07'!AN$11:AN$35)+COUNTIF('Übung 07'!AN$11:AN$35,"n.b.")</f>
        <v/>
      </c>
      <c r="J789" s="62">
        <f>COUNT('Übung 08'!AN$11:AN$35)+COUNTIF('Übung 08'!AN$11:AN$35,"n.b.")</f>
        <v/>
      </c>
      <c r="K789" s="62">
        <f>COUNT('Übung 09'!AN$11:AN$35)+COUNTIF('Übung 09'!AN$11:AN$35,"n.b.")</f>
        <v/>
      </c>
      <c r="L789" s="62">
        <f>COUNT('Übung 10'!AN$11:AN$35)+COUNTIF('Übung 10'!AN$11:AN$35,"n.b.")</f>
        <v/>
      </c>
      <c r="M789" s="62">
        <f>COUNT('Übung 11'!AN$11:AN$35)+COUNTIF('Übung 11'!AN$11:AN$35,"n.b.")</f>
        <v/>
      </c>
      <c r="N789" s="62">
        <f>COUNT('Übung 12'!AN$11:AN$35)+COUNTIF('Übung 12'!AN$11:AN$35,"n.b.")</f>
        <v/>
      </c>
      <c r="O789" s="62">
        <f>COUNT('Übung 13'!AN$11:AN$35)+COUNTIF('Übung 13'!AN$11:AN$35,"n.b.")</f>
        <v/>
      </c>
      <c r="P789" s="62">
        <f>COUNT('Übung 14'!AN$11:AN$35)+COUNTIF('Übung 14'!AN$11:AN$35,"n.b.")</f>
        <v/>
      </c>
      <c r="Q789" s="62">
        <f>COUNT('Übung 15'!AN$11:AN$35)+COUNTIF('Übung 15'!AN$11:AN$35,"n.b.")</f>
        <v/>
      </c>
      <c r="R789" s="62">
        <f>COUNT('Übung 16'!AN$11:AN$35)+COUNTIF('Übung 16'!AN$11:AN$35,"n.b.")</f>
        <v/>
      </c>
      <c r="S789" s="62">
        <f>COUNT('Übung 17'!AN$11:AN$35)+COUNTIF('Übung 17'!AN$11:AN$35,"n.b.")</f>
        <v/>
      </c>
      <c r="T789" s="62">
        <f>COUNT('Übung 18'!AN$11:AN$35)+COUNTIF('Übung 18'!AN$11:AN$35,"n.b.")</f>
        <v/>
      </c>
      <c r="U789" s="62">
        <f>COUNT('Übung 19'!AN$11:AN$35)+COUNTIF('Übung 19'!AN$11:AN$35,"n.b.")</f>
        <v/>
      </c>
      <c r="V789" s="62">
        <f>COUNT('Übung 20'!AN$11:AN$35)+COUNTIF('Übung 20'!AN$11:AN$35,"n.b.")</f>
        <v/>
      </c>
    </row>
    <row r="790">
      <c r="C790" s="62">
        <f>COUNT('Übung 01'!AO$11:AO$35)+COUNTIF('Übung 01'!AO$11:AO$35,"n.b.")</f>
        <v/>
      </c>
      <c r="D790" s="62">
        <f>COUNT('Übung 02'!AO$11:AO$35)+COUNTIF('Übung 02'!AO$11:AO$35,"n.b.")</f>
        <v/>
      </c>
      <c r="E790" s="62">
        <f>COUNT('Übung 03'!AO$11:AO$35)+COUNTIF('Übung 03'!AO$11:AO$35,"n.b.")</f>
        <v/>
      </c>
      <c r="F790" s="62">
        <f>COUNT('Übung 04'!AO$11:AO$35)+COUNTIF('Übung 04'!AO$11:AO$35,"n.b.")</f>
        <v/>
      </c>
      <c r="G790" s="62">
        <f>COUNT('Übung 05'!AO$11:AO$35)+COUNTIF('Übung 05'!AO$11:AO$35,"n.b.")</f>
        <v/>
      </c>
      <c r="H790" s="62">
        <f>COUNT('Übung 06'!AO$11:AO$35)+COUNTIF('Übung 06'!AO$11:AO$35,"n.b.")</f>
        <v/>
      </c>
      <c r="I790" s="62">
        <f>COUNT('Übung 07'!AO$11:AO$35)+COUNTIF('Übung 07'!AO$11:AO$35,"n.b.")</f>
        <v/>
      </c>
      <c r="J790" s="62">
        <f>COUNT('Übung 08'!AO$11:AO$35)+COUNTIF('Übung 08'!AO$11:AO$35,"n.b.")</f>
        <v/>
      </c>
      <c r="K790" s="62">
        <f>COUNT('Übung 09'!AO$11:AO$35)+COUNTIF('Übung 09'!AO$11:AO$35,"n.b.")</f>
        <v/>
      </c>
      <c r="L790" s="62">
        <f>COUNT('Übung 10'!AO$11:AO$35)+COUNTIF('Übung 10'!AO$11:AO$35,"n.b.")</f>
        <v/>
      </c>
      <c r="M790" s="62">
        <f>COUNT('Übung 11'!AO$11:AO$35)+COUNTIF('Übung 11'!AO$11:AO$35,"n.b.")</f>
        <v/>
      </c>
      <c r="N790" s="62">
        <f>COUNT('Übung 12'!AO$11:AO$35)+COUNTIF('Übung 12'!AO$11:AO$35,"n.b.")</f>
        <v/>
      </c>
      <c r="O790" s="62">
        <f>COUNT('Übung 13'!AO$11:AO$35)+COUNTIF('Übung 13'!AO$11:AO$35,"n.b.")</f>
        <v/>
      </c>
      <c r="P790" s="62">
        <f>COUNT('Übung 14'!AO$11:AO$35)+COUNTIF('Übung 14'!AO$11:AO$35,"n.b.")</f>
        <v/>
      </c>
      <c r="Q790" s="62">
        <f>COUNT('Übung 15'!AO$11:AO$35)+COUNTIF('Übung 15'!AO$11:AO$35,"n.b.")</f>
        <v/>
      </c>
      <c r="R790" s="62">
        <f>COUNT('Übung 16'!AO$11:AO$35)+COUNTIF('Übung 16'!AO$11:AO$35,"n.b.")</f>
        <v/>
      </c>
      <c r="S790" s="62">
        <f>COUNT('Übung 17'!AO$11:AO$35)+COUNTIF('Übung 17'!AO$11:AO$35,"n.b.")</f>
        <v/>
      </c>
      <c r="T790" s="62">
        <f>COUNT('Übung 18'!AO$11:AO$35)+COUNTIF('Übung 18'!AO$11:AO$35,"n.b.")</f>
        <v/>
      </c>
      <c r="U790" s="62">
        <f>COUNT('Übung 19'!AO$11:AO$35)+COUNTIF('Übung 19'!AO$11:AO$35,"n.b.")</f>
        <v/>
      </c>
      <c r="V790" s="62">
        <f>COUNT('Übung 20'!AO$11:AO$35)+COUNTIF('Übung 20'!AO$11:AO$35,"n.b.")</f>
        <v/>
      </c>
    </row>
    <row r="791">
      <c r="C791" s="62">
        <f>COUNT('Übung 01'!AP$11:AP$35)+COUNTIF('Übung 01'!AP$11:AP$35,"n.b.")</f>
        <v/>
      </c>
      <c r="D791" s="62">
        <f>COUNT('Übung 02'!AP$11:AP$35)+COUNTIF('Übung 02'!AP$11:AP$35,"n.b.")</f>
        <v/>
      </c>
      <c r="E791" s="62">
        <f>COUNT('Übung 03'!AP$11:AP$35)+COUNTIF('Übung 03'!AP$11:AP$35,"n.b.")</f>
        <v/>
      </c>
      <c r="F791" s="62">
        <f>COUNT('Übung 04'!AP$11:AP$35)+COUNTIF('Übung 04'!AP$11:AP$35,"n.b.")</f>
        <v/>
      </c>
      <c r="G791" s="62">
        <f>COUNT('Übung 05'!AP$11:AP$35)+COUNTIF('Übung 05'!AP$11:AP$35,"n.b.")</f>
        <v/>
      </c>
      <c r="H791" s="62">
        <f>COUNT('Übung 06'!AP$11:AP$35)+COUNTIF('Übung 06'!AP$11:AP$35,"n.b.")</f>
        <v/>
      </c>
      <c r="I791" s="62">
        <f>COUNT('Übung 07'!AP$11:AP$35)+COUNTIF('Übung 07'!AP$11:AP$35,"n.b.")</f>
        <v/>
      </c>
      <c r="J791" s="62">
        <f>COUNT('Übung 08'!AP$11:AP$35)+COUNTIF('Übung 08'!AP$11:AP$35,"n.b.")</f>
        <v/>
      </c>
      <c r="K791" s="62">
        <f>COUNT('Übung 09'!AP$11:AP$35)+COUNTIF('Übung 09'!AP$11:AP$35,"n.b.")</f>
        <v/>
      </c>
      <c r="L791" s="62">
        <f>COUNT('Übung 10'!AP$11:AP$35)+COUNTIF('Übung 10'!AP$11:AP$35,"n.b.")</f>
        <v/>
      </c>
      <c r="M791" s="62">
        <f>COUNT('Übung 11'!AP$11:AP$35)+COUNTIF('Übung 11'!AP$11:AP$35,"n.b.")</f>
        <v/>
      </c>
      <c r="N791" s="62">
        <f>COUNT('Übung 12'!AP$11:AP$35)+COUNTIF('Übung 12'!AP$11:AP$35,"n.b.")</f>
        <v/>
      </c>
      <c r="O791" s="62">
        <f>COUNT('Übung 13'!AP$11:AP$35)+COUNTIF('Übung 13'!AP$11:AP$35,"n.b.")</f>
        <v/>
      </c>
      <c r="P791" s="62">
        <f>COUNT('Übung 14'!AP$11:AP$35)+COUNTIF('Übung 14'!AP$11:AP$35,"n.b.")</f>
        <v/>
      </c>
      <c r="Q791" s="62">
        <f>COUNT('Übung 15'!AP$11:AP$35)+COUNTIF('Übung 15'!AP$11:AP$35,"n.b.")</f>
        <v/>
      </c>
      <c r="R791" s="62">
        <f>COUNT('Übung 16'!AP$11:AP$35)+COUNTIF('Übung 16'!AP$11:AP$35,"n.b.")</f>
        <v/>
      </c>
      <c r="S791" s="62">
        <f>COUNT('Übung 17'!AP$11:AP$35)+COUNTIF('Übung 17'!AP$11:AP$35,"n.b.")</f>
        <v/>
      </c>
      <c r="T791" s="62">
        <f>COUNT('Übung 18'!AP$11:AP$35)+COUNTIF('Übung 18'!AP$11:AP$35,"n.b.")</f>
        <v/>
      </c>
      <c r="U791" s="62">
        <f>COUNT('Übung 19'!AP$11:AP$35)+COUNTIF('Übung 19'!AP$11:AP$35,"n.b.")</f>
        <v/>
      </c>
      <c r="V791" s="62">
        <f>COUNT('Übung 20'!AP$11:AP$35)+COUNTIF('Übung 20'!AP$11:AP$35,"n.b.")</f>
        <v/>
      </c>
    </row>
    <row r="792">
      <c r="C792" s="62">
        <f>COUNT('Übung 01'!AQ$11:AQ$35)+COUNTIF('Übung 01'!AQ$11:AQ$35,"n.b.")</f>
        <v/>
      </c>
      <c r="D792" s="62">
        <f>COUNT('Übung 02'!AQ$11:AQ$35)+COUNTIF('Übung 02'!AQ$11:AQ$35,"n.b.")</f>
        <v/>
      </c>
      <c r="E792" s="62">
        <f>COUNT('Übung 03'!AQ$11:AQ$35)+COUNTIF('Übung 03'!AQ$11:AQ$35,"n.b.")</f>
        <v/>
      </c>
      <c r="F792" s="62">
        <f>COUNT('Übung 04'!AQ$11:AQ$35)+COUNTIF('Übung 04'!AQ$11:AQ$35,"n.b.")</f>
        <v/>
      </c>
      <c r="G792" s="62">
        <f>COUNT('Übung 05'!AQ$11:AQ$35)+COUNTIF('Übung 05'!AQ$11:AQ$35,"n.b.")</f>
        <v/>
      </c>
      <c r="H792" s="62">
        <f>COUNT('Übung 06'!AQ$11:AQ$35)+COUNTIF('Übung 06'!AQ$11:AQ$35,"n.b.")</f>
        <v/>
      </c>
      <c r="I792" s="62">
        <f>COUNT('Übung 07'!AQ$11:AQ$35)+COUNTIF('Übung 07'!AQ$11:AQ$35,"n.b.")</f>
        <v/>
      </c>
      <c r="J792" s="62">
        <f>COUNT('Übung 08'!AQ$11:AQ$35)+COUNTIF('Übung 08'!AQ$11:AQ$35,"n.b.")</f>
        <v/>
      </c>
      <c r="K792" s="62">
        <f>COUNT('Übung 09'!AQ$11:AQ$35)+COUNTIF('Übung 09'!AQ$11:AQ$35,"n.b.")</f>
        <v/>
      </c>
      <c r="L792" s="62">
        <f>COUNT('Übung 10'!AQ$11:AQ$35)+COUNTIF('Übung 10'!AQ$11:AQ$35,"n.b.")</f>
        <v/>
      </c>
      <c r="M792" s="62">
        <f>COUNT('Übung 11'!AQ$11:AQ$35)+COUNTIF('Übung 11'!AQ$11:AQ$35,"n.b.")</f>
        <v/>
      </c>
      <c r="N792" s="62">
        <f>COUNT('Übung 12'!AQ$11:AQ$35)+COUNTIF('Übung 12'!AQ$11:AQ$35,"n.b.")</f>
        <v/>
      </c>
      <c r="O792" s="62">
        <f>COUNT('Übung 13'!AQ$11:AQ$35)+COUNTIF('Übung 13'!AQ$11:AQ$35,"n.b.")</f>
        <v/>
      </c>
      <c r="P792" s="62">
        <f>COUNT('Übung 14'!AQ$11:AQ$35)+COUNTIF('Übung 14'!AQ$11:AQ$35,"n.b.")</f>
        <v/>
      </c>
      <c r="Q792" s="62">
        <f>COUNT('Übung 15'!AQ$11:AQ$35)+COUNTIF('Übung 15'!AQ$11:AQ$35,"n.b.")</f>
        <v/>
      </c>
      <c r="R792" s="62">
        <f>COUNT('Übung 16'!AQ$11:AQ$35)+COUNTIF('Übung 16'!AQ$11:AQ$35,"n.b.")</f>
        <v/>
      </c>
      <c r="S792" s="62">
        <f>COUNT('Übung 17'!AQ$11:AQ$35)+COUNTIF('Übung 17'!AQ$11:AQ$35,"n.b.")</f>
        <v/>
      </c>
      <c r="T792" s="62">
        <f>COUNT('Übung 18'!AQ$11:AQ$35)+COUNTIF('Übung 18'!AQ$11:AQ$35,"n.b.")</f>
        <v/>
      </c>
      <c r="U792" s="62">
        <f>COUNT('Übung 19'!AQ$11:AQ$35)+COUNTIF('Übung 19'!AQ$11:AQ$35,"n.b.")</f>
        <v/>
      </c>
      <c r="V792" s="62">
        <f>COUNT('Übung 20'!AQ$11:AQ$35)+COUNTIF('Übung 20'!AQ$11:AQ$35,"n.b.")</f>
        <v/>
      </c>
    </row>
    <row r="793">
      <c r="C793" s="62">
        <f>COUNT('Übung 01'!AR$11:AR$35)+COUNTIF('Übung 01'!AR$11:AR$35,"n.b.")</f>
        <v/>
      </c>
      <c r="D793" s="62">
        <f>COUNT('Übung 02'!AR$11:AR$35)+COUNTIF('Übung 02'!AR$11:AR$35,"n.b.")</f>
        <v/>
      </c>
      <c r="E793" s="62">
        <f>COUNT('Übung 03'!AR$11:AR$35)+COUNTIF('Übung 03'!AR$11:AR$35,"n.b.")</f>
        <v/>
      </c>
      <c r="F793" s="62">
        <f>COUNT('Übung 04'!AR$11:AR$35)+COUNTIF('Übung 04'!AR$11:AR$35,"n.b.")</f>
        <v/>
      </c>
      <c r="G793" s="62">
        <f>COUNT('Übung 05'!AR$11:AR$35)+COUNTIF('Übung 05'!AR$11:AR$35,"n.b.")</f>
        <v/>
      </c>
      <c r="H793" s="62">
        <f>COUNT('Übung 06'!AR$11:AR$35)+COUNTIF('Übung 06'!AR$11:AR$35,"n.b.")</f>
        <v/>
      </c>
      <c r="I793" s="62">
        <f>COUNT('Übung 07'!AR$11:AR$35)+COUNTIF('Übung 07'!AR$11:AR$35,"n.b.")</f>
        <v/>
      </c>
      <c r="J793" s="62">
        <f>COUNT('Übung 08'!AR$11:AR$35)+COUNTIF('Übung 08'!AR$11:AR$35,"n.b.")</f>
        <v/>
      </c>
      <c r="K793" s="62">
        <f>COUNT('Übung 09'!AR$11:AR$35)+COUNTIF('Übung 09'!AR$11:AR$35,"n.b.")</f>
        <v/>
      </c>
      <c r="L793" s="62">
        <f>COUNT('Übung 10'!AR$11:AR$35)+COUNTIF('Übung 10'!AR$11:AR$35,"n.b.")</f>
        <v/>
      </c>
      <c r="M793" s="62">
        <f>COUNT('Übung 11'!AR$11:AR$35)+COUNTIF('Übung 11'!AR$11:AR$35,"n.b.")</f>
        <v/>
      </c>
      <c r="N793" s="62">
        <f>COUNT('Übung 12'!AR$11:AR$35)+COUNTIF('Übung 12'!AR$11:AR$35,"n.b.")</f>
        <v/>
      </c>
      <c r="O793" s="62">
        <f>COUNT('Übung 13'!AR$11:AR$35)+COUNTIF('Übung 13'!AR$11:AR$35,"n.b.")</f>
        <v/>
      </c>
      <c r="P793" s="62">
        <f>COUNT('Übung 14'!AR$11:AR$35)+COUNTIF('Übung 14'!AR$11:AR$35,"n.b.")</f>
        <v/>
      </c>
      <c r="Q793" s="62">
        <f>COUNT('Übung 15'!AR$11:AR$35)+COUNTIF('Übung 15'!AR$11:AR$35,"n.b.")</f>
        <v/>
      </c>
      <c r="R793" s="62">
        <f>COUNT('Übung 16'!AR$11:AR$35)+COUNTIF('Übung 16'!AR$11:AR$35,"n.b.")</f>
        <v/>
      </c>
      <c r="S793" s="62">
        <f>COUNT('Übung 17'!AR$11:AR$35)+COUNTIF('Übung 17'!AR$11:AR$35,"n.b.")</f>
        <v/>
      </c>
      <c r="T793" s="62">
        <f>COUNT('Übung 18'!AR$11:AR$35)+COUNTIF('Übung 18'!AR$11:AR$35,"n.b.")</f>
        <v/>
      </c>
      <c r="U793" s="62">
        <f>COUNT('Übung 19'!AR$11:AR$35)+COUNTIF('Übung 19'!AR$11:AR$35,"n.b.")</f>
        <v/>
      </c>
      <c r="V793" s="62">
        <f>COUNT('Übung 20'!AR$11:AR$35)+COUNTIF('Übung 20'!AR$11:AR$35,"n.b.")</f>
        <v/>
      </c>
    </row>
    <row r="794">
      <c r="C794" s="62">
        <f>COUNT('Übung 01'!AS$11:AS$35)+COUNTIF('Übung 01'!AS$11:AS$35,"n.b.")</f>
        <v/>
      </c>
      <c r="D794" s="62">
        <f>COUNT('Übung 02'!AS$11:AS$35)+COUNTIF('Übung 02'!AS$11:AS$35,"n.b.")</f>
        <v/>
      </c>
      <c r="E794" s="62">
        <f>COUNT('Übung 03'!AS$11:AS$35)+COUNTIF('Übung 03'!AS$11:AS$35,"n.b.")</f>
        <v/>
      </c>
      <c r="F794" s="62">
        <f>COUNT('Übung 04'!AS$11:AS$35)+COUNTIF('Übung 04'!AS$11:AS$35,"n.b.")</f>
        <v/>
      </c>
      <c r="G794" s="62">
        <f>COUNT('Übung 05'!AS$11:AS$35)+COUNTIF('Übung 05'!AS$11:AS$35,"n.b.")</f>
        <v/>
      </c>
      <c r="H794" s="62">
        <f>COUNT('Übung 06'!AS$11:AS$35)+COUNTIF('Übung 06'!AS$11:AS$35,"n.b.")</f>
        <v/>
      </c>
      <c r="I794" s="62">
        <f>COUNT('Übung 07'!AS$11:AS$35)+COUNTIF('Übung 07'!AS$11:AS$35,"n.b.")</f>
        <v/>
      </c>
      <c r="J794" s="62">
        <f>COUNT('Übung 08'!AS$11:AS$35)+COUNTIF('Übung 08'!AS$11:AS$35,"n.b.")</f>
        <v/>
      </c>
      <c r="K794" s="62">
        <f>COUNT('Übung 09'!AS$11:AS$35)+COUNTIF('Übung 09'!AS$11:AS$35,"n.b.")</f>
        <v/>
      </c>
      <c r="L794" s="62">
        <f>COUNT('Übung 10'!AS$11:AS$35)+COUNTIF('Übung 10'!AS$11:AS$35,"n.b.")</f>
        <v/>
      </c>
      <c r="M794" s="62">
        <f>COUNT('Übung 11'!AS$11:AS$35)+COUNTIF('Übung 11'!AS$11:AS$35,"n.b.")</f>
        <v/>
      </c>
      <c r="N794" s="62">
        <f>COUNT('Übung 12'!AS$11:AS$35)+COUNTIF('Übung 12'!AS$11:AS$35,"n.b.")</f>
        <v/>
      </c>
      <c r="O794" s="62">
        <f>COUNT('Übung 13'!AS$11:AS$35)+COUNTIF('Übung 13'!AS$11:AS$35,"n.b.")</f>
        <v/>
      </c>
      <c r="P794" s="62">
        <f>COUNT('Übung 14'!AS$11:AS$35)+COUNTIF('Übung 14'!AS$11:AS$35,"n.b.")</f>
        <v/>
      </c>
      <c r="Q794" s="62">
        <f>COUNT('Übung 15'!AS$11:AS$35)+COUNTIF('Übung 15'!AS$11:AS$35,"n.b.")</f>
        <v/>
      </c>
      <c r="R794" s="62">
        <f>COUNT('Übung 16'!AS$11:AS$35)+COUNTIF('Übung 16'!AS$11:AS$35,"n.b.")</f>
        <v/>
      </c>
      <c r="S794" s="62">
        <f>COUNT('Übung 17'!AS$11:AS$35)+COUNTIF('Übung 17'!AS$11:AS$35,"n.b.")</f>
        <v/>
      </c>
      <c r="T794" s="62">
        <f>COUNT('Übung 18'!AS$11:AS$35)+COUNTIF('Übung 18'!AS$11:AS$35,"n.b.")</f>
        <v/>
      </c>
      <c r="U794" s="62">
        <f>COUNT('Übung 19'!AS$11:AS$35)+COUNTIF('Übung 19'!AS$11:AS$35,"n.b.")</f>
        <v/>
      </c>
      <c r="V794" s="62">
        <f>COUNT('Übung 20'!AS$11:AS$35)+COUNTIF('Übung 20'!AS$11:AS$35,"n.b.")</f>
        <v/>
      </c>
    </row>
    <row r="795">
      <c r="C795" s="62">
        <f>COUNT('Übung 01'!AT$11:AT$35)+COUNTIF('Übung 01'!AT$11:AT$35,"n.b.")</f>
        <v/>
      </c>
      <c r="D795" s="62">
        <f>COUNT('Übung 02'!AT$11:AT$35)+COUNTIF('Übung 02'!AT$11:AT$35,"n.b.")</f>
        <v/>
      </c>
      <c r="E795" s="62">
        <f>COUNT('Übung 03'!AT$11:AT$35)+COUNTIF('Übung 03'!AT$11:AT$35,"n.b.")</f>
        <v/>
      </c>
      <c r="F795" s="62">
        <f>COUNT('Übung 04'!AT$11:AT$35)+COUNTIF('Übung 04'!AT$11:AT$35,"n.b.")</f>
        <v/>
      </c>
      <c r="G795" s="62">
        <f>COUNT('Übung 05'!AT$11:AT$35)+COUNTIF('Übung 05'!AT$11:AT$35,"n.b.")</f>
        <v/>
      </c>
      <c r="H795" s="62">
        <f>COUNT('Übung 06'!AT$11:AT$35)+COUNTIF('Übung 06'!AT$11:AT$35,"n.b.")</f>
        <v/>
      </c>
      <c r="I795" s="62">
        <f>COUNT('Übung 07'!AT$11:AT$35)+COUNTIF('Übung 07'!AT$11:AT$35,"n.b.")</f>
        <v/>
      </c>
      <c r="J795" s="62">
        <f>COUNT('Übung 08'!AT$11:AT$35)+COUNTIF('Übung 08'!AT$11:AT$35,"n.b.")</f>
        <v/>
      </c>
      <c r="K795" s="62">
        <f>COUNT('Übung 09'!AT$11:AT$35)+COUNTIF('Übung 09'!AT$11:AT$35,"n.b.")</f>
        <v/>
      </c>
      <c r="L795" s="62">
        <f>COUNT('Übung 10'!AT$11:AT$35)+COUNTIF('Übung 10'!AT$11:AT$35,"n.b.")</f>
        <v/>
      </c>
      <c r="M795" s="62">
        <f>COUNT('Übung 11'!AT$11:AT$35)+COUNTIF('Übung 11'!AT$11:AT$35,"n.b.")</f>
        <v/>
      </c>
      <c r="N795" s="62">
        <f>COUNT('Übung 12'!AT$11:AT$35)+COUNTIF('Übung 12'!AT$11:AT$35,"n.b.")</f>
        <v/>
      </c>
      <c r="O795" s="62">
        <f>COUNT('Übung 13'!AT$11:AT$35)+COUNTIF('Übung 13'!AT$11:AT$35,"n.b.")</f>
        <v/>
      </c>
      <c r="P795" s="62">
        <f>COUNT('Übung 14'!AT$11:AT$35)+COUNTIF('Übung 14'!AT$11:AT$35,"n.b.")</f>
        <v/>
      </c>
      <c r="Q795" s="62">
        <f>COUNT('Übung 15'!AT$11:AT$35)+COUNTIF('Übung 15'!AT$11:AT$35,"n.b.")</f>
        <v/>
      </c>
      <c r="R795" s="62">
        <f>COUNT('Übung 16'!AT$11:AT$35)+COUNTIF('Übung 16'!AT$11:AT$35,"n.b.")</f>
        <v/>
      </c>
      <c r="S795" s="62">
        <f>COUNT('Übung 17'!AT$11:AT$35)+COUNTIF('Übung 17'!AT$11:AT$35,"n.b.")</f>
        <v/>
      </c>
      <c r="T795" s="62">
        <f>COUNT('Übung 18'!AT$11:AT$35)+COUNTIF('Übung 18'!AT$11:AT$35,"n.b.")</f>
        <v/>
      </c>
      <c r="U795" s="62">
        <f>COUNT('Übung 19'!AT$11:AT$35)+COUNTIF('Übung 19'!AT$11:AT$35,"n.b.")</f>
        <v/>
      </c>
      <c r="V795" s="62">
        <f>COUNT('Übung 20'!AT$11:AT$35)+COUNTIF('Übung 20'!AT$11:AT$35,"n.b.")</f>
        <v/>
      </c>
    </row>
    <row r="796">
      <c r="C796" s="62">
        <f>COUNT('Übung 01'!AU$11:AU$35)+COUNTIF('Übung 01'!AU$11:AU$35,"n.b.")</f>
        <v/>
      </c>
      <c r="D796" s="62">
        <f>COUNT('Übung 02'!AU$11:AU$35)+COUNTIF('Übung 02'!AU$11:AU$35,"n.b.")</f>
        <v/>
      </c>
      <c r="E796" s="62">
        <f>COUNT('Übung 03'!AU$11:AU$35)+COUNTIF('Übung 03'!AU$11:AU$35,"n.b.")</f>
        <v/>
      </c>
      <c r="F796" s="62">
        <f>COUNT('Übung 04'!AU$11:AU$35)+COUNTIF('Übung 04'!AU$11:AU$35,"n.b.")</f>
        <v/>
      </c>
      <c r="G796" s="62">
        <f>COUNT('Übung 05'!AU$11:AU$35)+COUNTIF('Übung 05'!AU$11:AU$35,"n.b.")</f>
        <v/>
      </c>
      <c r="H796" s="62">
        <f>COUNT('Übung 06'!AU$11:AU$35)+COUNTIF('Übung 06'!AU$11:AU$35,"n.b.")</f>
        <v/>
      </c>
      <c r="I796" s="62">
        <f>COUNT('Übung 07'!AU$11:AU$35)+COUNTIF('Übung 07'!AU$11:AU$35,"n.b.")</f>
        <v/>
      </c>
      <c r="J796" s="62">
        <f>COUNT('Übung 08'!AU$11:AU$35)+COUNTIF('Übung 08'!AU$11:AU$35,"n.b.")</f>
        <v/>
      </c>
      <c r="K796" s="62">
        <f>COUNT('Übung 09'!AU$11:AU$35)+COUNTIF('Übung 09'!AU$11:AU$35,"n.b.")</f>
        <v/>
      </c>
      <c r="L796" s="62">
        <f>COUNT('Übung 10'!AU$11:AU$35)+COUNTIF('Übung 10'!AU$11:AU$35,"n.b.")</f>
        <v/>
      </c>
      <c r="M796" s="62">
        <f>COUNT('Übung 11'!AU$11:AU$35)+COUNTIF('Übung 11'!AU$11:AU$35,"n.b.")</f>
        <v/>
      </c>
      <c r="N796" s="62">
        <f>COUNT('Übung 12'!AU$11:AU$35)+COUNTIF('Übung 12'!AU$11:AU$35,"n.b.")</f>
        <v/>
      </c>
      <c r="O796" s="62">
        <f>COUNT('Übung 13'!AU$11:AU$35)+COUNTIF('Übung 13'!AU$11:AU$35,"n.b.")</f>
        <v/>
      </c>
      <c r="P796" s="62">
        <f>COUNT('Übung 14'!AU$11:AU$35)+COUNTIF('Übung 14'!AU$11:AU$35,"n.b.")</f>
        <v/>
      </c>
      <c r="Q796" s="62">
        <f>COUNT('Übung 15'!AU$11:AU$35)+COUNTIF('Übung 15'!AU$11:AU$35,"n.b.")</f>
        <v/>
      </c>
      <c r="R796" s="62">
        <f>COUNT('Übung 16'!AU$11:AU$35)+COUNTIF('Übung 16'!AU$11:AU$35,"n.b.")</f>
        <v/>
      </c>
      <c r="S796" s="62">
        <f>COUNT('Übung 17'!AU$11:AU$35)+COUNTIF('Übung 17'!AU$11:AU$35,"n.b.")</f>
        <v/>
      </c>
      <c r="T796" s="62">
        <f>COUNT('Übung 18'!AU$11:AU$35)+COUNTIF('Übung 18'!AU$11:AU$35,"n.b.")</f>
        <v/>
      </c>
      <c r="U796" s="62">
        <f>COUNT('Übung 19'!AU$11:AU$35)+COUNTIF('Übung 19'!AU$11:AU$35,"n.b.")</f>
        <v/>
      </c>
      <c r="V796" s="62">
        <f>COUNT('Übung 20'!AU$11:AU$35)+COUNTIF('Übung 20'!AU$11:AU$35,"n.b.")</f>
        <v/>
      </c>
    </row>
    <row r="797">
      <c r="C797" s="62">
        <f>COUNT('Übung 01'!AV$11:AV$35)+COUNTIF('Übung 01'!AV$11:AV$35,"n.b.")</f>
        <v/>
      </c>
      <c r="D797" s="62">
        <f>COUNT('Übung 02'!AV$11:AV$35)+COUNTIF('Übung 02'!AV$11:AV$35,"n.b.")</f>
        <v/>
      </c>
      <c r="E797" s="62">
        <f>COUNT('Übung 03'!AV$11:AV$35)+COUNTIF('Übung 03'!AV$11:AV$35,"n.b.")</f>
        <v/>
      </c>
      <c r="F797" s="62">
        <f>COUNT('Übung 04'!AV$11:AV$35)+COUNTIF('Übung 04'!AV$11:AV$35,"n.b.")</f>
        <v/>
      </c>
      <c r="G797" s="62">
        <f>COUNT('Übung 05'!AV$11:AV$35)+COUNTIF('Übung 05'!AV$11:AV$35,"n.b.")</f>
        <v/>
      </c>
      <c r="H797" s="62">
        <f>COUNT('Übung 06'!AV$11:AV$35)+COUNTIF('Übung 06'!AV$11:AV$35,"n.b.")</f>
        <v/>
      </c>
      <c r="I797" s="62">
        <f>COUNT('Übung 07'!AV$11:AV$35)+COUNTIF('Übung 07'!AV$11:AV$35,"n.b.")</f>
        <v/>
      </c>
      <c r="J797" s="62">
        <f>COUNT('Übung 08'!AV$11:AV$35)+COUNTIF('Übung 08'!AV$11:AV$35,"n.b.")</f>
        <v/>
      </c>
      <c r="K797" s="62">
        <f>COUNT('Übung 09'!AV$11:AV$35)+COUNTIF('Übung 09'!AV$11:AV$35,"n.b.")</f>
        <v/>
      </c>
      <c r="L797" s="62">
        <f>COUNT('Übung 10'!AV$11:AV$35)+COUNTIF('Übung 10'!AV$11:AV$35,"n.b.")</f>
        <v/>
      </c>
      <c r="M797" s="62">
        <f>COUNT('Übung 11'!AV$11:AV$35)+COUNTIF('Übung 11'!AV$11:AV$35,"n.b.")</f>
        <v/>
      </c>
      <c r="N797" s="62">
        <f>COUNT('Übung 12'!AV$11:AV$35)+COUNTIF('Übung 12'!AV$11:AV$35,"n.b.")</f>
        <v/>
      </c>
      <c r="O797" s="62">
        <f>COUNT('Übung 13'!AV$11:AV$35)+COUNTIF('Übung 13'!AV$11:AV$35,"n.b.")</f>
        <v/>
      </c>
      <c r="P797" s="62">
        <f>COUNT('Übung 14'!AV$11:AV$35)+COUNTIF('Übung 14'!AV$11:AV$35,"n.b.")</f>
        <v/>
      </c>
      <c r="Q797" s="62">
        <f>COUNT('Übung 15'!AV$11:AV$35)+COUNTIF('Übung 15'!AV$11:AV$35,"n.b.")</f>
        <v/>
      </c>
      <c r="R797" s="62">
        <f>COUNT('Übung 16'!AV$11:AV$35)+COUNTIF('Übung 16'!AV$11:AV$35,"n.b.")</f>
        <v/>
      </c>
      <c r="S797" s="62">
        <f>COUNT('Übung 17'!AV$11:AV$35)+COUNTIF('Übung 17'!AV$11:AV$35,"n.b.")</f>
        <v/>
      </c>
      <c r="T797" s="62">
        <f>COUNT('Übung 18'!AV$11:AV$35)+COUNTIF('Übung 18'!AV$11:AV$35,"n.b.")</f>
        <v/>
      </c>
      <c r="U797" s="62">
        <f>COUNT('Übung 19'!AV$11:AV$35)+COUNTIF('Übung 19'!AV$11:AV$35,"n.b.")</f>
        <v/>
      </c>
      <c r="V797" s="62">
        <f>COUNT('Übung 20'!AV$11:AV$35)+COUNTIF('Übung 20'!AV$11:AV$35,"n.b.")</f>
        <v/>
      </c>
    </row>
    <row r="798">
      <c r="C798" s="62">
        <f>COUNT('Übung 01'!AW$11:AW$35)+COUNTIF('Übung 01'!AW$11:AW$35,"n.b.")</f>
        <v/>
      </c>
      <c r="D798" s="62">
        <f>COUNT('Übung 02'!AW$11:AW$35)+COUNTIF('Übung 02'!AW$11:AW$35,"n.b.")</f>
        <v/>
      </c>
      <c r="E798" s="62">
        <f>COUNT('Übung 03'!AW$11:AW$35)+COUNTIF('Übung 03'!AW$11:AW$35,"n.b.")</f>
        <v/>
      </c>
      <c r="F798" s="62">
        <f>COUNT('Übung 04'!AW$11:AW$35)+COUNTIF('Übung 04'!AW$11:AW$35,"n.b.")</f>
        <v/>
      </c>
      <c r="G798" s="62">
        <f>COUNT('Übung 05'!AW$11:AW$35)+COUNTIF('Übung 05'!AW$11:AW$35,"n.b.")</f>
        <v/>
      </c>
      <c r="H798" s="62">
        <f>COUNT('Übung 06'!AW$11:AW$35)+COUNTIF('Übung 06'!AW$11:AW$35,"n.b.")</f>
        <v/>
      </c>
      <c r="I798" s="62">
        <f>COUNT('Übung 07'!AW$11:AW$35)+COUNTIF('Übung 07'!AW$11:AW$35,"n.b.")</f>
        <v/>
      </c>
      <c r="J798" s="62">
        <f>COUNT('Übung 08'!AW$11:AW$35)+COUNTIF('Übung 08'!AW$11:AW$35,"n.b.")</f>
        <v/>
      </c>
      <c r="K798" s="62">
        <f>COUNT('Übung 09'!AW$11:AW$35)+COUNTIF('Übung 09'!AW$11:AW$35,"n.b.")</f>
        <v/>
      </c>
      <c r="L798" s="62">
        <f>COUNT('Übung 10'!AW$11:AW$35)+COUNTIF('Übung 10'!AW$11:AW$35,"n.b.")</f>
        <v/>
      </c>
      <c r="M798" s="62">
        <f>COUNT('Übung 11'!AW$11:AW$35)+COUNTIF('Übung 11'!AW$11:AW$35,"n.b.")</f>
        <v/>
      </c>
      <c r="N798" s="62">
        <f>COUNT('Übung 12'!AW$11:AW$35)+COUNTIF('Übung 12'!AW$11:AW$35,"n.b.")</f>
        <v/>
      </c>
      <c r="O798" s="62">
        <f>COUNT('Übung 13'!AW$11:AW$35)+COUNTIF('Übung 13'!AW$11:AW$35,"n.b.")</f>
        <v/>
      </c>
      <c r="P798" s="62">
        <f>COUNT('Übung 14'!AW$11:AW$35)+COUNTIF('Übung 14'!AW$11:AW$35,"n.b.")</f>
        <v/>
      </c>
      <c r="Q798" s="62">
        <f>COUNT('Übung 15'!AW$11:AW$35)+COUNTIF('Übung 15'!AW$11:AW$35,"n.b.")</f>
        <v/>
      </c>
      <c r="R798" s="62">
        <f>COUNT('Übung 16'!AW$11:AW$35)+COUNTIF('Übung 16'!AW$11:AW$35,"n.b.")</f>
        <v/>
      </c>
      <c r="S798" s="62">
        <f>COUNT('Übung 17'!AW$11:AW$35)+COUNTIF('Übung 17'!AW$11:AW$35,"n.b.")</f>
        <v/>
      </c>
      <c r="T798" s="62">
        <f>COUNT('Übung 18'!AW$11:AW$35)+COUNTIF('Übung 18'!AW$11:AW$35,"n.b.")</f>
        <v/>
      </c>
      <c r="U798" s="62">
        <f>COUNT('Übung 19'!AW$11:AW$35)+COUNTIF('Übung 19'!AW$11:AW$35,"n.b.")</f>
        <v/>
      </c>
      <c r="V798" s="62">
        <f>COUNT('Übung 20'!AW$11:AW$35)+COUNTIF('Übung 20'!AW$11:AW$35,"n.b.")</f>
        <v/>
      </c>
    </row>
    <row r="799">
      <c r="C799" s="62">
        <f>COUNT('Übung 01'!AX$11:AX$35)+COUNTIF('Übung 01'!AX$11:AX$35,"n.b.")</f>
        <v/>
      </c>
      <c r="D799" s="62">
        <f>COUNT('Übung 02'!AX$11:AX$35)+COUNTIF('Übung 02'!AX$11:AX$35,"n.b.")</f>
        <v/>
      </c>
      <c r="E799" s="62">
        <f>COUNT('Übung 03'!AX$11:AX$35)+COUNTIF('Übung 03'!AX$11:AX$35,"n.b.")</f>
        <v/>
      </c>
      <c r="F799" s="62">
        <f>COUNT('Übung 04'!AX$11:AX$35)+COUNTIF('Übung 04'!AX$11:AX$35,"n.b.")</f>
        <v/>
      </c>
      <c r="G799" s="62">
        <f>COUNT('Übung 05'!AX$11:AX$35)+COUNTIF('Übung 05'!AX$11:AX$35,"n.b.")</f>
        <v/>
      </c>
      <c r="H799" s="62">
        <f>COUNT('Übung 06'!AX$11:AX$35)+COUNTIF('Übung 06'!AX$11:AX$35,"n.b.")</f>
        <v/>
      </c>
      <c r="I799" s="62">
        <f>COUNT('Übung 07'!AX$11:AX$35)+COUNTIF('Übung 07'!AX$11:AX$35,"n.b.")</f>
        <v/>
      </c>
      <c r="J799" s="62">
        <f>COUNT('Übung 08'!AX$11:AX$35)+COUNTIF('Übung 08'!AX$11:AX$35,"n.b.")</f>
        <v/>
      </c>
      <c r="K799" s="62">
        <f>COUNT('Übung 09'!AX$11:AX$35)+COUNTIF('Übung 09'!AX$11:AX$35,"n.b.")</f>
        <v/>
      </c>
      <c r="L799" s="62">
        <f>COUNT('Übung 10'!AX$11:AX$35)+COUNTIF('Übung 10'!AX$11:AX$35,"n.b.")</f>
        <v/>
      </c>
      <c r="M799" s="62">
        <f>COUNT('Übung 11'!AX$11:AX$35)+COUNTIF('Übung 11'!AX$11:AX$35,"n.b.")</f>
        <v/>
      </c>
      <c r="N799" s="62">
        <f>COUNT('Übung 12'!AX$11:AX$35)+COUNTIF('Übung 12'!AX$11:AX$35,"n.b.")</f>
        <v/>
      </c>
      <c r="O799" s="62">
        <f>COUNT('Übung 13'!AX$11:AX$35)+COUNTIF('Übung 13'!AX$11:AX$35,"n.b.")</f>
        <v/>
      </c>
      <c r="P799" s="62">
        <f>COUNT('Übung 14'!AX$11:AX$35)+COUNTIF('Übung 14'!AX$11:AX$35,"n.b.")</f>
        <v/>
      </c>
      <c r="Q799" s="62">
        <f>COUNT('Übung 15'!AX$11:AX$35)+COUNTIF('Übung 15'!AX$11:AX$35,"n.b.")</f>
        <v/>
      </c>
      <c r="R799" s="62">
        <f>COUNT('Übung 16'!AX$11:AX$35)+COUNTIF('Übung 16'!AX$11:AX$35,"n.b.")</f>
        <v/>
      </c>
      <c r="S799" s="62">
        <f>COUNT('Übung 17'!AX$11:AX$35)+COUNTIF('Übung 17'!AX$11:AX$35,"n.b.")</f>
        <v/>
      </c>
      <c r="T799" s="62">
        <f>COUNT('Übung 18'!AX$11:AX$35)+COUNTIF('Übung 18'!AX$11:AX$35,"n.b.")</f>
        <v/>
      </c>
      <c r="U799" s="62">
        <f>COUNT('Übung 19'!AX$11:AX$35)+COUNTIF('Übung 19'!AX$11:AX$35,"n.b.")</f>
        <v/>
      </c>
      <c r="V799" s="62">
        <f>COUNT('Übung 20'!AX$11:AX$35)+COUNTIF('Übung 20'!AX$11:AX$35,"n.b.")</f>
        <v/>
      </c>
    </row>
    <row r="800">
      <c r="C800" s="62">
        <f>COUNT('Übung 01'!AY$11:AY$35)+COUNTIF('Übung 01'!AY$11:AY$35,"n.b.")</f>
        <v/>
      </c>
      <c r="D800" s="62">
        <f>COUNT('Übung 02'!AY$11:AY$35)+COUNTIF('Übung 02'!AY$11:AY$35,"n.b.")</f>
        <v/>
      </c>
      <c r="E800" s="62">
        <f>COUNT('Übung 03'!AY$11:AY$35)+COUNTIF('Übung 03'!AY$11:AY$35,"n.b.")</f>
        <v/>
      </c>
      <c r="F800" s="62">
        <f>COUNT('Übung 04'!AY$11:AY$35)+COUNTIF('Übung 04'!AY$11:AY$35,"n.b.")</f>
        <v/>
      </c>
      <c r="G800" s="62">
        <f>COUNT('Übung 05'!AY$11:AY$35)+COUNTIF('Übung 05'!AY$11:AY$35,"n.b.")</f>
        <v/>
      </c>
      <c r="H800" s="62">
        <f>COUNT('Übung 06'!AY$11:AY$35)+COUNTIF('Übung 06'!AY$11:AY$35,"n.b.")</f>
        <v/>
      </c>
      <c r="I800" s="62">
        <f>COUNT('Übung 07'!AY$11:AY$35)+COUNTIF('Übung 07'!AY$11:AY$35,"n.b.")</f>
        <v/>
      </c>
      <c r="J800" s="62">
        <f>COUNT('Übung 08'!AY$11:AY$35)+COUNTIF('Übung 08'!AY$11:AY$35,"n.b.")</f>
        <v/>
      </c>
      <c r="K800" s="62">
        <f>COUNT('Übung 09'!AY$11:AY$35)+COUNTIF('Übung 09'!AY$11:AY$35,"n.b.")</f>
        <v/>
      </c>
      <c r="L800" s="62">
        <f>COUNT('Übung 10'!AY$11:AY$35)+COUNTIF('Übung 10'!AY$11:AY$35,"n.b.")</f>
        <v/>
      </c>
      <c r="M800" s="62">
        <f>COUNT('Übung 11'!AY$11:AY$35)+COUNTIF('Übung 11'!AY$11:AY$35,"n.b.")</f>
        <v/>
      </c>
      <c r="N800" s="62">
        <f>COUNT('Übung 12'!AY$11:AY$35)+COUNTIF('Übung 12'!AY$11:AY$35,"n.b.")</f>
        <v/>
      </c>
      <c r="O800" s="62">
        <f>COUNT('Übung 13'!AY$11:AY$35)+COUNTIF('Übung 13'!AY$11:AY$35,"n.b.")</f>
        <v/>
      </c>
      <c r="P800" s="62">
        <f>COUNT('Übung 14'!AY$11:AY$35)+COUNTIF('Übung 14'!AY$11:AY$35,"n.b.")</f>
        <v/>
      </c>
      <c r="Q800" s="62">
        <f>COUNT('Übung 15'!AY$11:AY$35)+COUNTIF('Übung 15'!AY$11:AY$35,"n.b.")</f>
        <v/>
      </c>
      <c r="R800" s="62">
        <f>COUNT('Übung 16'!AY$11:AY$35)+COUNTIF('Übung 16'!AY$11:AY$35,"n.b.")</f>
        <v/>
      </c>
      <c r="S800" s="62">
        <f>COUNT('Übung 17'!AY$11:AY$35)+COUNTIF('Übung 17'!AY$11:AY$35,"n.b.")</f>
        <v/>
      </c>
      <c r="T800" s="62">
        <f>COUNT('Übung 18'!AY$11:AY$35)+COUNTIF('Übung 18'!AY$11:AY$35,"n.b.")</f>
        <v/>
      </c>
      <c r="U800" s="62">
        <f>COUNT('Übung 19'!AY$11:AY$35)+COUNTIF('Übung 19'!AY$11:AY$35,"n.b.")</f>
        <v/>
      </c>
      <c r="V800" s="62">
        <f>COUNT('Übung 20'!AY$11:AY$35)+COUNTIF('Übung 20'!AY$11:AY$35,"n.b.")</f>
        <v/>
      </c>
    </row>
    <row r="801">
      <c r="C801" s="62">
        <f>COUNT('Übung 01'!AZ$11:AZ$35)+COUNTIF('Übung 01'!AZ$11:AZ$35,"n.b.")</f>
        <v/>
      </c>
      <c r="D801" s="62">
        <f>COUNT('Übung 02'!AZ$11:AZ$35)+COUNTIF('Übung 02'!AZ$11:AZ$35,"n.b.")</f>
        <v/>
      </c>
      <c r="E801" s="62">
        <f>COUNT('Übung 03'!AZ$11:AZ$35)+COUNTIF('Übung 03'!AZ$11:AZ$35,"n.b.")</f>
        <v/>
      </c>
      <c r="F801" s="62">
        <f>COUNT('Übung 04'!AZ$11:AZ$35)+COUNTIF('Übung 04'!AZ$11:AZ$35,"n.b.")</f>
        <v/>
      </c>
      <c r="G801" s="62">
        <f>COUNT('Übung 05'!AZ$11:AZ$35)+COUNTIF('Übung 05'!AZ$11:AZ$35,"n.b.")</f>
        <v/>
      </c>
      <c r="H801" s="62">
        <f>COUNT('Übung 06'!AZ$11:AZ$35)+COUNTIF('Übung 06'!AZ$11:AZ$35,"n.b.")</f>
        <v/>
      </c>
      <c r="I801" s="62">
        <f>COUNT('Übung 07'!AZ$11:AZ$35)+COUNTIF('Übung 07'!AZ$11:AZ$35,"n.b.")</f>
        <v/>
      </c>
      <c r="J801" s="62">
        <f>COUNT('Übung 08'!AZ$11:AZ$35)+COUNTIF('Übung 08'!AZ$11:AZ$35,"n.b.")</f>
        <v/>
      </c>
      <c r="K801" s="62">
        <f>COUNT('Übung 09'!AZ$11:AZ$35)+COUNTIF('Übung 09'!AZ$11:AZ$35,"n.b.")</f>
        <v/>
      </c>
      <c r="L801" s="62">
        <f>COUNT('Übung 10'!AZ$11:AZ$35)+COUNTIF('Übung 10'!AZ$11:AZ$35,"n.b.")</f>
        <v/>
      </c>
      <c r="M801" s="62">
        <f>COUNT('Übung 11'!AZ$11:AZ$35)+COUNTIF('Übung 11'!AZ$11:AZ$35,"n.b.")</f>
        <v/>
      </c>
      <c r="N801" s="62">
        <f>COUNT('Übung 12'!AZ$11:AZ$35)+COUNTIF('Übung 12'!AZ$11:AZ$35,"n.b.")</f>
        <v/>
      </c>
      <c r="O801" s="62">
        <f>COUNT('Übung 13'!AZ$11:AZ$35)+COUNTIF('Übung 13'!AZ$11:AZ$35,"n.b.")</f>
        <v/>
      </c>
      <c r="P801" s="62">
        <f>COUNT('Übung 14'!AZ$11:AZ$35)+COUNTIF('Übung 14'!AZ$11:AZ$35,"n.b.")</f>
        <v/>
      </c>
      <c r="Q801" s="62">
        <f>COUNT('Übung 15'!AZ$11:AZ$35)+COUNTIF('Übung 15'!AZ$11:AZ$35,"n.b.")</f>
        <v/>
      </c>
      <c r="R801" s="62">
        <f>COUNT('Übung 16'!AZ$11:AZ$35)+COUNTIF('Übung 16'!AZ$11:AZ$35,"n.b.")</f>
        <v/>
      </c>
      <c r="S801" s="62">
        <f>COUNT('Übung 17'!AZ$11:AZ$35)+COUNTIF('Übung 17'!AZ$11:AZ$35,"n.b.")</f>
        <v/>
      </c>
      <c r="T801" s="62">
        <f>COUNT('Übung 18'!AZ$11:AZ$35)+COUNTIF('Übung 18'!AZ$11:AZ$35,"n.b.")</f>
        <v/>
      </c>
      <c r="U801" s="62">
        <f>COUNT('Übung 19'!AZ$11:AZ$35)+COUNTIF('Übung 19'!AZ$11:AZ$35,"n.b.")</f>
        <v/>
      </c>
      <c r="V801" s="62">
        <f>COUNT('Übung 20'!AZ$11:AZ$35)+COUNTIF('Übung 20'!AZ$11:AZ$35,"n.b.")</f>
        <v/>
      </c>
    </row>
    <row r="802">
      <c r="C802" s="62">
        <f>COUNT('Übung 01'!BA$11:BA$35)+COUNTIF('Übung 01'!BA$11:BA$35,"n.b.")</f>
        <v/>
      </c>
      <c r="D802" s="62">
        <f>COUNT('Übung 02'!BA$11:BA$35)+COUNTIF('Übung 02'!BA$11:BA$35,"n.b.")</f>
        <v/>
      </c>
      <c r="E802" s="62">
        <f>COUNT('Übung 03'!BA$11:BA$35)+COUNTIF('Übung 03'!BA$11:BA$35,"n.b.")</f>
        <v/>
      </c>
      <c r="F802" s="62">
        <f>COUNT('Übung 04'!BA$11:BA$35)+COUNTIF('Übung 04'!BA$11:BA$35,"n.b.")</f>
        <v/>
      </c>
      <c r="G802" s="62">
        <f>COUNT('Übung 05'!BA$11:BA$35)+COUNTIF('Übung 05'!BA$11:BA$35,"n.b.")</f>
        <v/>
      </c>
      <c r="H802" s="62">
        <f>COUNT('Übung 06'!BA$11:BA$35)+COUNTIF('Übung 06'!BA$11:BA$35,"n.b.")</f>
        <v/>
      </c>
      <c r="I802" s="62">
        <f>COUNT('Übung 07'!BA$11:BA$35)+COUNTIF('Übung 07'!BA$11:BA$35,"n.b.")</f>
        <v/>
      </c>
      <c r="J802" s="62">
        <f>COUNT('Übung 08'!BA$11:BA$35)+COUNTIF('Übung 08'!BA$11:BA$35,"n.b.")</f>
        <v/>
      </c>
      <c r="K802" s="62">
        <f>COUNT('Übung 09'!BA$11:BA$35)+COUNTIF('Übung 09'!BA$11:BA$35,"n.b.")</f>
        <v/>
      </c>
      <c r="L802" s="62">
        <f>COUNT('Übung 10'!BA$11:BA$35)+COUNTIF('Übung 10'!BA$11:BA$35,"n.b.")</f>
        <v/>
      </c>
      <c r="M802" s="62">
        <f>COUNT('Übung 11'!BA$11:BA$35)+COUNTIF('Übung 11'!BA$11:BA$35,"n.b.")</f>
        <v/>
      </c>
      <c r="N802" s="62">
        <f>COUNT('Übung 12'!BA$11:BA$35)+COUNTIF('Übung 12'!BA$11:BA$35,"n.b.")</f>
        <v/>
      </c>
      <c r="O802" s="62">
        <f>COUNT('Übung 13'!BA$11:BA$35)+COUNTIF('Übung 13'!BA$11:BA$35,"n.b.")</f>
        <v/>
      </c>
      <c r="P802" s="62">
        <f>COUNT('Übung 14'!BA$11:BA$35)+COUNTIF('Übung 14'!BA$11:BA$35,"n.b.")</f>
        <v/>
      </c>
      <c r="Q802" s="62">
        <f>COUNT('Übung 15'!BA$11:BA$35)+COUNTIF('Übung 15'!BA$11:BA$35,"n.b.")</f>
        <v/>
      </c>
      <c r="R802" s="62">
        <f>COUNT('Übung 16'!BA$11:BA$35)+COUNTIF('Übung 16'!BA$11:BA$35,"n.b.")</f>
        <v/>
      </c>
      <c r="S802" s="62">
        <f>COUNT('Übung 17'!BA$11:BA$35)+COUNTIF('Übung 17'!BA$11:BA$35,"n.b.")</f>
        <v/>
      </c>
      <c r="T802" s="62">
        <f>COUNT('Übung 18'!BA$11:BA$35)+COUNTIF('Übung 18'!BA$11:BA$35,"n.b.")</f>
        <v/>
      </c>
      <c r="U802" s="62">
        <f>COUNT('Übung 19'!BA$11:BA$35)+COUNTIF('Übung 19'!BA$11:BA$35,"n.b.")</f>
        <v/>
      </c>
      <c r="V802" s="62">
        <f>COUNT('Übung 20'!BA$11:BA$35)+COUNTIF('Übung 20'!BA$11:BA$35,"n.b.")</f>
        <v/>
      </c>
    </row>
    <row r="803">
      <c r="C803" s="62">
        <f>COUNT('Übung 01'!BB$11:BB$35)+COUNTIF('Übung 01'!BB$11:BB$35,"n.b.")</f>
        <v/>
      </c>
      <c r="D803" s="62">
        <f>COUNT('Übung 02'!BB$11:BB$35)+COUNTIF('Übung 02'!BB$11:BB$35,"n.b.")</f>
        <v/>
      </c>
      <c r="E803" s="62">
        <f>COUNT('Übung 03'!BB$11:BB$35)+COUNTIF('Übung 03'!BB$11:BB$35,"n.b.")</f>
        <v/>
      </c>
      <c r="F803" s="62">
        <f>COUNT('Übung 04'!BB$11:BB$35)+COUNTIF('Übung 04'!BB$11:BB$35,"n.b.")</f>
        <v/>
      </c>
      <c r="G803" s="62">
        <f>COUNT('Übung 05'!BB$11:BB$35)+COUNTIF('Übung 05'!BB$11:BB$35,"n.b.")</f>
        <v/>
      </c>
      <c r="H803" s="62">
        <f>COUNT('Übung 06'!BB$11:BB$35)+COUNTIF('Übung 06'!BB$11:BB$35,"n.b.")</f>
        <v/>
      </c>
      <c r="I803" s="62">
        <f>COUNT('Übung 07'!BB$11:BB$35)+COUNTIF('Übung 07'!BB$11:BB$35,"n.b.")</f>
        <v/>
      </c>
      <c r="J803" s="62">
        <f>COUNT('Übung 08'!BB$11:BB$35)+COUNTIF('Übung 08'!BB$11:BB$35,"n.b.")</f>
        <v/>
      </c>
      <c r="K803" s="62">
        <f>COUNT('Übung 09'!BB$11:BB$35)+COUNTIF('Übung 09'!BB$11:BB$35,"n.b.")</f>
        <v/>
      </c>
      <c r="L803" s="62">
        <f>COUNT('Übung 10'!BB$11:BB$35)+COUNTIF('Übung 10'!BB$11:BB$35,"n.b.")</f>
        <v/>
      </c>
      <c r="M803" s="62">
        <f>COUNT('Übung 11'!BB$11:BB$35)+COUNTIF('Übung 11'!BB$11:BB$35,"n.b.")</f>
        <v/>
      </c>
      <c r="N803" s="62">
        <f>COUNT('Übung 12'!BB$11:BB$35)+COUNTIF('Übung 12'!BB$11:BB$35,"n.b.")</f>
        <v/>
      </c>
      <c r="O803" s="62">
        <f>COUNT('Übung 13'!BB$11:BB$35)+COUNTIF('Übung 13'!BB$11:BB$35,"n.b.")</f>
        <v/>
      </c>
      <c r="P803" s="62">
        <f>COUNT('Übung 14'!BB$11:BB$35)+COUNTIF('Übung 14'!BB$11:BB$35,"n.b.")</f>
        <v/>
      </c>
      <c r="Q803" s="62">
        <f>COUNT('Übung 15'!BB$11:BB$35)+COUNTIF('Übung 15'!BB$11:BB$35,"n.b.")</f>
        <v/>
      </c>
      <c r="R803" s="62">
        <f>COUNT('Übung 16'!BB$11:BB$35)+COUNTIF('Übung 16'!BB$11:BB$35,"n.b.")</f>
        <v/>
      </c>
      <c r="S803" s="62">
        <f>COUNT('Übung 17'!BB$11:BB$35)+COUNTIF('Übung 17'!BB$11:BB$35,"n.b.")</f>
        <v/>
      </c>
      <c r="T803" s="62">
        <f>COUNT('Übung 18'!BB$11:BB$35)+COUNTIF('Übung 18'!BB$11:BB$35,"n.b.")</f>
        <v/>
      </c>
      <c r="U803" s="62">
        <f>COUNT('Übung 19'!BB$11:BB$35)+COUNTIF('Übung 19'!BB$11:BB$35,"n.b.")</f>
        <v/>
      </c>
      <c r="V803" s="62">
        <f>COUNT('Übung 20'!BB$11:BB$35)+COUNTIF('Übung 20'!BB$11:BB$35,"n.b.")</f>
        <v/>
      </c>
    </row>
    <row r="804">
      <c r="C804" s="62">
        <f>COUNT('Übung 01'!BC$11:BC$35)+COUNTIF('Übung 01'!BC$11:BC$35,"n.b.")</f>
        <v/>
      </c>
      <c r="D804" s="62">
        <f>COUNT('Übung 02'!BC$11:BC$35)+COUNTIF('Übung 02'!BC$11:BC$35,"n.b.")</f>
        <v/>
      </c>
      <c r="E804" s="62">
        <f>COUNT('Übung 03'!BC$11:BC$35)+COUNTIF('Übung 03'!BC$11:BC$35,"n.b.")</f>
        <v/>
      </c>
      <c r="F804" s="62">
        <f>COUNT('Übung 04'!BC$11:BC$35)+COUNTIF('Übung 04'!BC$11:BC$35,"n.b.")</f>
        <v/>
      </c>
      <c r="G804" s="62">
        <f>COUNT('Übung 05'!BC$11:BC$35)+COUNTIF('Übung 05'!BC$11:BC$35,"n.b.")</f>
        <v/>
      </c>
      <c r="H804" s="62">
        <f>COUNT('Übung 06'!BC$11:BC$35)+COUNTIF('Übung 06'!BC$11:BC$35,"n.b.")</f>
        <v/>
      </c>
      <c r="I804" s="62">
        <f>COUNT('Übung 07'!BC$11:BC$35)+COUNTIF('Übung 07'!BC$11:BC$35,"n.b.")</f>
        <v/>
      </c>
      <c r="J804" s="62">
        <f>COUNT('Übung 08'!BC$11:BC$35)+COUNTIF('Übung 08'!BC$11:BC$35,"n.b.")</f>
        <v/>
      </c>
      <c r="K804" s="62">
        <f>COUNT('Übung 09'!BC$11:BC$35)+COUNTIF('Übung 09'!BC$11:BC$35,"n.b.")</f>
        <v/>
      </c>
      <c r="L804" s="62">
        <f>COUNT('Übung 10'!BC$11:BC$35)+COUNTIF('Übung 10'!BC$11:BC$35,"n.b.")</f>
        <v/>
      </c>
      <c r="M804" s="62">
        <f>COUNT('Übung 11'!BC$11:BC$35)+COUNTIF('Übung 11'!BC$11:BC$35,"n.b.")</f>
        <v/>
      </c>
      <c r="N804" s="62">
        <f>COUNT('Übung 12'!BC$11:BC$35)+COUNTIF('Übung 12'!BC$11:BC$35,"n.b.")</f>
        <v/>
      </c>
      <c r="O804" s="62">
        <f>COUNT('Übung 13'!BC$11:BC$35)+COUNTIF('Übung 13'!BC$11:BC$35,"n.b.")</f>
        <v/>
      </c>
      <c r="P804" s="62">
        <f>COUNT('Übung 14'!BC$11:BC$35)+COUNTIF('Übung 14'!BC$11:BC$35,"n.b.")</f>
        <v/>
      </c>
      <c r="Q804" s="62">
        <f>COUNT('Übung 15'!BC$11:BC$35)+COUNTIF('Übung 15'!BC$11:BC$35,"n.b.")</f>
        <v/>
      </c>
      <c r="R804" s="62">
        <f>COUNT('Übung 16'!BC$11:BC$35)+COUNTIF('Übung 16'!BC$11:BC$35,"n.b.")</f>
        <v/>
      </c>
      <c r="S804" s="62">
        <f>COUNT('Übung 17'!BC$11:BC$35)+COUNTIF('Übung 17'!BC$11:BC$35,"n.b.")</f>
        <v/>
      </c>
      <c r="T804" s="62">
        <f>COUNT('Übung 18'!BC$11:BC$35)+COUNTIF('Übung 18'!BC$11:BC$35,"n.b.")</f>
        <v/>
      </c>
      <c r="U804" s="62">
        <f>COUNT('Übung 19'!BC$11:BC$35)+COUNTIF('Übung 19'!BC$11:BC$35,"n.b.")</f>
        <v/>
      </c>
      <c r="V804" s="62">
        <f>COUNT('Übung 20'!BC$11:BC$35)+COUNTIF('Übung 20'!BC$11:BC$35,"n.b.")</f>
        <v/>
      </c>
    </row>
    <row r="805">
      <c r="C805" s="62">
        <f>COUNT('Übung 01'!BE$11:BE$35)+COUNTIF('Übung 01'!BE$11:BE$35,"n.b.")</f>
        <v/>
      </c>
      <c r="D805" s="62">
        <f>COUNT('Übung 02'!BE$11:BE$35)+COUNTIF('Übung 02'!BE$11:BE$35,"n.b.")</f>
        <v/>
      </c>
      <c r="E805" s="62">
        <f>COUNT('Übung 03'!BE$11:BE$35)+COUNTIF('Übung 03'!BE$11:BE$35,"n.b.")</f>
        <v/>
      </c>
      <c r="F805" s="62">
        <f>COUNT('Übung 04'!BE$11:BE$35)+COUNTIF('Übung 04'!BE$11:BE$35,"n.b.")</f>
        <v/>
      </c>
      <c r="G805" s="62">
        <f>COUNT('Übung 05'!BE$11:BE$35)+COUNTIF('Übung 05'!BE$11:BE$35,"n.b.")</f>
        <v/>
      </c>
      <c r="H805" s="62">
        <f>COUNT('Übung 06'!BE$11:BE$35)+COUNTIF('Übung 06'!BE$11:BE$35,"n.b.")</f>
        <v/>
      </c>
      <c r="I805" s="62">
        <f>COUNT('Übung 07'!BE$11:BE$35)+COUNTIF('Übung 07'!BE$11:BE$35,"n.b.")</f>
        <v/>
      </c>
      <c r="J805" s="62">
        <f>COUNT('Übung 08'!BE$11:BE$35)+COUNTIF('Übung 08'!BE$11:BE$35,"n.b.")</f>
        <v/>
      </c>
      <c r="K805" s="62">
        <f>COUNT('Übung 09'!BE$11:BE$35)+COUNTIF('Übung 09'!BE$11:BE$35,"n.b.")</f>
        <v/>
      </c>
      <c r="L805" s="62">
        <f>COUNT('Übung 10'!BE$11:BE$35)+COUNTIF('Übung 10'!BE$11:BE$35,"n.b.")</f>
        <v/>
      </c>
      <c r="M805" s="62">
        <f>COUNT('Übung 11'!BE$11:BE$35)+COUNTIF('Übung 11'!BE$11:BE$35,"n.b.")</f>
        <v/>
      </c>
      <c r="N805" s="62">
        <f>COUNT('Übung 12'!BE$11:BE$35)+COUNTIF('Übung 12'!BE$11:BE$35,"n.b.")</f>
        <v/>
      </c>
      <c r="O805" s="62">
        <f>COUNT('Übung 13'!BE$11:BE$35)+COUNTIF('Übung 13'!BE$11:BE$35,"n.b.")</f>
        <v/>
      </c>
      <c r="P805" s="62">
        <f>COUNT('Übung 14'!BE$11:BE$35)+COUNTIF('Übung 14'!BE$11:BE$35,"n.b.")</f>
        <v/>
      </c>
      <c r="Q805" s="62">
        <f>COUNT('Übung 15'!BE$11:BE$35)+COUNTIF('Übung 15'!BE$11:BE$35,"n.b.")</f>
        <v/>
      </c>
      <c r="R805" s="62">
        <f>COUNT('Übung 16'!BE$11:BE$35)+COUNTIF('Übung 16'!BE$11:BE$35,"n.b.")</f>
        <v/>
      </c>
      <c r="S805" s="62">
        <f>COUNT('Übung 17'!BE$11:BE$35)+COUNTIF('Übung 17'!BE$11:BE$35,"n.b.")</f>
        <v/>
      </c>
      <c r="T805" s="62">
        <f>COUNT('Übung 18'!BE$11:BE$35)+COUNTIF('Übung 18'!BE$11:BE$35,"n.b.")</f>
        <v/>
      </c>
      <c r="U805" s="62">
        <f>COUNT('Übung 19'!BE$11:BE$35)+COUNTIF('Übung 19'!BE$11:BE$35,"n.b.")</f>
        <v/>
      </c>
      <c r="V805" s="62">
        <f>COUNT('Übung 20'!BE$11:BE$35)+COUNTIF('Übung 20'!BE$11:BE$35,"n.b.")</f>
        <v/>
      </c>
    </row>
    <row r="806">
      <c r="C806" s="62">
        <f>COUNT('Übung 01'!BF$11:BF$35)+COUNTIF('Übung 01'!BF$11:BF$35,"n.b.")</f>
        <v/>
      </c>
      <c r="D806" s="62">
        <f>COUNT('Übung 02'!BF$11:BF$35)+COUNTIF('Übung 02'!BF$11:BF$35,"n.b.")</f>
        <v/>
      </c>
      <c r="E806" s="62">
        <f>COUNT('Übung 03'!BF$11:BF$35)+COUNTIF('Übung 03'!BF$11:BF$35,"n.b.")</f>
        <v/>
      </c>
      <c r="F806" s="62">
        <f>COUNT('Übung 04'!BF$11:BF$35)+COUNTIF('Übung 04'!BF$11:BF$35,"n.b.")</f>
        <v/>
      </c>
      <c r="G806" s="62">
        <f>COUNT('Übung 05'!BF$11:BF$35)+COUNTIF('Übung 05'!BF$11:BF$35,"n.b.")</f>
        <v/>
      </c>
      <c r="H806" s="62">
        <f>COUNT('Übung 06'!BF$11:BF$35)+COUNTIF('Übung 06'!BF$11:BF$35,"n.b.")</f>
        <v/>
      </c>
      <c r="I806" s="62">
        <f>COUNT('Übung 07'!BF$11:BF$35)+COUNTIF('Übung 07'!BF$11:BF$35,"n.b.")</f>
        <v/>
      </c>
      <c r="J806" s="62">
        <f>COUNT('Übung 08'!BF$11:BF$35)+COUNTIF('Übung 08'!BF$11:BF$35,"n.b.")</f>
        <v/>
      </c>
      <c r="K806" s="62">
        <f>COUNT('Übung 09'!BF$11:BF$35)+COUNTIF('Übung 09'!BF$11:BF$35,"n.b.")</f>
        <v/>
      </c>
      <c r="L806" s="62">
        <f>COUNT('Übung 10'!BF$11:BF$35)+COUNTIF('Übung 10'!BF$11:BF$35,"n.b.")</f>
        <v/>
      </c>
      <c r="M806" s="62">
        <f>COUNT('Übung 11'!BF$11:BF$35)+COUNTIF('Übung 11'!BF$11:BF$35,"n.b.")</f>
        <v/>
      </c>
      <c r="N806" s="62">
        <f>COUNT('Übung 12'!BF$11:BF$35)+COUNTIF('Übung 12'!BF$11:BF$35,"n.b.")</f>
        <v/>
      </c>
      <c r="O806" s="62">
        <f>COUNT('Übung 13'!BF$11:BF$35)+COUNTIF('Übung 13'!BF$11:BF$35,"n.b.")</f>
        <v/>
      </c>
      <c r="P806" s="62">
        <f>COUNT('Übung 14'!BF$11:BF$35)+COUNTIF('Übung 14'!BF$11:BF$35,"n.b.")</f>
        <v/>
      </c>
      <c r="Q806" s="62">
        <f>COUNT('Übung 15'!BF$11:BF$35)+COUNTIF('Übung 15'!BF$11:BF$35,"n.b.")</f>
        <v/>
      </c>
      <c r="R806" s="62">
        <f>COUNT('Übung 16'!BF$11:BF$35)+COUNTIF('Übung 16'!BF$11:BF$35,"n.b.")</f>
        <v/>
      </c>
      <c r="S806" s="62">
        <f>COUNT('Übung 17'!BF$11:BF$35)+COUNTIF('Übung 17'!BF$11:BF$35,"n.b.")</f>
        <v/>
      </c>
      <c r="T806" s="62">
        <f>COUNT('Übung 18'!BF$11:BF$35)+COUNTIF('Übung 18'!BF$11:BF$35,"n.b.")</f>
        <v/>
      </c>
      <c r="U806" s="62">
        <f>COUNT('Übung 19'!BF$11:BF$35)+COUNTIF('Übung 19'!BF$11:BF$35,"n.b.")</f>
        <v/>
      </c>
      <c r="V806" s="62">
        <f>COUNT('Übung 20'!BF$11:BF$35)+COUNTIF('Übung 20'!BF$11:BF$35,"n.b.")</f>
        <v/>
      </c>
    </row>
    <row r="807">
      <c r="C807" s="62">
        <f>COUNT('Übung 01'!BG$11:BG$35)+COUNTIF('Übung 01'!BG$11:BG$35,"n.b.")</f>
        <v/>
      </c>
      <c r="D807" s="62">
        <f>COUNT('Übung 02'!BG$11:BG$35)+COUNTIF('Übung 02'!BG$11:BG$35,"n.b.")</f>
        <v/>
      </c>
      <c r="E807" s="62">
        <f>COUNT('Übung 03'!BG$11:BG$35)+COUNTIF('Übung 03'!BG$11:BG$35,"n.b.")</f>
        <v/>
      </c>
      <c r="F807" s="62">
        <f>COUNT('Übung 04'!BG$11:BG$35)+COUNTIF('Übung 04'!BG$11:BG$35,"n.b.")</f>
        <v/>
      </c>
      <c r="G807" s="62">
        <f>COUNT('Übung 05'!BG$11:BG$35)+COUNTIF('Übung 05'!BG$11:BG$35,"n.b.")</f>
        <v/>
      </c>
      <c r="H807" s="62">
        <f>COUNT('Übung 06'!BG$11:BG$35)+COUNTIF('Übung 06'!BG$11:BG$35,"n.b.")</f>
        <v/>
      </c>
      <c r="I807" s="62">
        <f>COUNT('Übung 07'!BG$11:BG$35)+COUNTIF('Übung 07'!BG$11:BG$35,"n.b.")</f>
        <v/>
      </c>
      <c r="J807" s="62">
        <f>COUNT('Übung 08'!BG$11:BG$35)+COUNTIF('Übung 08'!BG$11:BG$35,"n.b.")</f>
        <v/>
      </c>
      <c r="K807" s="62">
        <f>COUNT('Übung 09'!BG$11:BG$35)+COUNTIF('Übung 09'!BG$11:BG$35,"n.b.")</f>
        <v/>
      </c>
      <c r="L807" s="62">
        <f>COUNT('Übung 10'!BG$11:BG$35)+COUNTIF('Übung 10'!BG$11:BG$35,"n.b.")</f>
        <v/>
      </c>
      <c r="M807" s="62">
        <f>COUNT('Übung 11'!BG$11:BG$35)+COUNTIF('Übung 11'!BG$11:BG$35,"n.b.")</f>
        <v/>
      </c>
      <c r="N807" s="62">
        <f>COUNT('Übung 12'!BG$11:BG$35)+COUNTIF('Übung 12'!BG$11:BG$35,"n.b.")</f>
        <v/>
      </c>
      <c r="O807" s="62">
        <f>COUNT('Übung 13'!BG$11:BG$35)+COUNTIF('Übung 13'!BG$11:BG$35,"n.b.")</f>
        <v/>
      </c>
      <c r="P807" s="62">
        <f>COUNT('Übung 14'!BG$11:BG$35)+COUNTIF('Übung 14'!BG$11:BG$35,"n.b.")</f>
        <v/>
      </c>
      <c r="Q807" s="62">
        <f>COUNT('Übung 15'!BG$11:BG$35)+COUNTIF('Übung 15'!BG$11:BG$35,"n.b.")</f>
        <v/>
      </c>
      <c r="R807" s="62">
        <f>COUNT('Übung 16'!BG$11:BG$35)+COUNTIF('Übung 16'!BG$11:BG$35,"n.b.")</f>
        <v/>
      </c>
      <c r="S807" s="62">
        <f>COUNT('Übung 17'!BG$11:BG$35)+COUNTIF('Übung 17'!BG$11:BG$35,"n.b.")</f>
        <v/>
      </c>
      <c r="T807" s="62">
        <f>COUNT('Übung 18'!BG$11:BG$35)+COUNTIF('Übung 18'!BG$11:BG$35,"n.b.")</f>
        <v/>
      </c>
      <c r="U807" s="62">
        <f>COUNT('Übung 19'!BG$11:BG$35)+COUNTIF('Übung 19'!BG$11:BG$35,"n.b.")</f>
        <v/>
      </c>
      <c r="V807" s="62">
        <f>COUNT('Übung 20'!BG$11:BG$35)+COUNTIF('Übung 20'!BG$11:BG$35,"n.b.")</f>
        <v/>
      </c>
    </row>
    <row r="808">
      <c r="C808" s="62">
        <f>COUNT('Übung 01'!BH$11:BH$35)+COUNTIF('Übung 01'!BH$11:BH$35,"n.b.")</f>
        <v/>
      </c>
      <c r="D808" s="62">
        <f>COUNT('Übung 02'!BH$11:BH$35)+COUNTIF('Übung 02'!BH$11:BH$35,"n.b.")</f>
        <v/>
      </c>
      <c r="E808" s="62">
        <f>COUNT('Übung 03'!BH$11:BH$35)+COUNTIF('Übung 03'!BH$11:BH$35,"n.b.")</f>
        <v/>
      </c>
      <c r="F808" s="62">
        <f>COUNT('Übung 04'!BH$11:BH$35)+COUNTIF('Übung 04'!BH$11:BH$35,"n.b.")</f>
        <v/>
      </c>
      <c r="G808" s="62">
        <f>COUNT('Übung 05'!BH$11:BH$35)+COUNTIF('Übung 05'!BH$11:BH$35,"n.b.")</f>
        <v/>
      </c>
      <c r="H808" s="62">
        <f>COUNT('Übung 06'!BH$11:BH$35)+COUNTIF('Übung 06'!BH$11:BH$35,"n.b.")</f>
        <v/>
      </c>
      <c r="I808" s="62">
        <f>COUNT('Übung 07'!BH$11:BH$35)+COUNTIF('Übung 07'!BH$11:BH$35,"n.b.")</f>
        <v/>
      </c>
      <c r="J808" s="62">
        <f>COUNT('Übung 08'!BH$11:BH$35)+COUNTIF('Übung 08'!BH$11:BH$35,"n.b.")</f>
        <v/>
      </c>
      <c r="K808" s="62">
        <f>COUNT('Übung 09'!BH$11:BH$35)+COUNTIF('Übung 09'!BH$11:BH$35,"n.b.")</f>
        <v/>
      </c>
      <c r="L808" s="62">
        <f>COUNT('Übung 10'!BH$11:BH$35)+COUNTIF('Übung 10'!BH$11:BH$35,"n.b.")</f>
        <v/>
      </c>
      <c r="M808" s="62">
        <f>COUNT('Übung 11'!BH$11:BH$35)+COUNTIF('Übung 11'!BH$11:BH$35,"n.b.")</f>
        <v/>
      </c>
      <c r="N808" s="62">
        <f>COUNT('Übung 12'!BH$11:BH$35)+COUNTIF('Übung 12'!BH$11:BH$35,"n.b.")</f>
        <v/>
      </c>
      <c r="O808" s="62">
        <f>COUNT('Übung 13'!BH$11:BH$35)+COUNTIF('Übung 13'!BH$11:BH$35,"n.b.")</f>
        <v/>
      </c>
      <c r="P808" s="62">
        <f>COUNT('Übung 14'!BH$11:BH$35)+COUNTIF('Übung 14'!BH$11:BH$35,"n.b.")</f>
        <v/>
      </c>
      <c r="Q808" s="62">
        <f>COUNT('Übung 15'!BH$11:BH$35)+COUNTIF('Übung 15'!BH$11:BH$35,"n.b.")</f>
        <v/>
      </c>
      <c r="R808" s="62">
        <f>COUNT('Übung 16'!BH$11:BH$35)+COUNTIF('Übung 16'!BH$11:BH$35,"n.b.")</f>
        <v/>
      </c>
      <c r="S808" s="62">
        <f>COUNT('Übung 17'!BH$11:BH$35)+COUNTIF('Übung 17'!BH$11:BH$35,"n.b.")</f>
        <v/>
      </c>
      <c r="T808" s="62">
        <f>COUNT('Übung 18'!BH$11:BH$35)+COUNTIF('Übung 18'!BH$11:BH$35,"n.b.")</f>
        <v/>
      </c>
      <c r="U808" s="62">
        <f>COUNT('Übung 19'!BH$11:BH$35)+COUNTIF('Übung 19'!BH$11:BH$35,"n.b.")</f>
        <v/>
      </c>
      <c r="V808" s="62">
        <f>COUNT('Übung 20'!BH$11:BH$35)+COUNTIF('Übung 20'!BH$11:BH$35,"n.b.")</f>
        <v/>
      </c>
    </row>
    <row r="809">
      <c r="C809" s="62">
        <f>COUNT('Übung 01'!BI$11:BI$35)+COUNTIF('Übung 01'!BI$11:BI$35,"n.b.")</f>
        <v/>
      </c>
      <c r="D809" s="62">
        <f>COUNT('Übung 02'!BI$11:BI$35)+COUNTIF('Übung 02'!BI$11:BI$35,"n.b.")</f>
        <v/>
      </c>
      <c r="E809" s="62">
        <f>COUNT('Übung 03'!BI$11:BI$35)+COUNTIF('Übung 03'!BI$11:BI$35,"n.b.")</f>
        <v/>
      </c>
      <c r="F809" s="62">
        <f>COUNT('Übung 04'!BI$11:BI$35)+COUNTIF('Übung 04'!BI$11:BI$35,"n.b.")</f>
        <v/>
      </c>
      <c r="G809" s="62">
        <f>COUNT('Übung 05'!BI$11:BI$35)+COUNTIF('Übung 05'!BI$11:BI$35,"n.b.")</f>
        <v/>
      </c>
      <c r="H809" s="62">
        <f>COUNT('Übung 06'!BI$11:BI$35)+COUNTIF('Übung 06'!BI$11:BI$35,"n.b.")</f>
        <v/>
      </c>
      <c r="I809" s="62">
        <f>COUNT('Übung 07'!BI$11:BI$35)+COUNTIF('Übung 07'!BI$11:BI$35,"n.b.")</f>
        <v/>
      </c>
      <c r="J809" s="62">
        <f>COUNT('Übung 08'!BI$11:BI$35)+COUNTIF('Übung 08'!BI$11:BI$35,"n.b.")</f>
        <v/>
      </c>
      <c r="K809" s="62">
        <f>COUNT('Übung 09'!BI$11:BI$35)+COUNTIF('Übung 09'!BI$11:BI$35,"n.b.")</f>
        <v/>
      </c>
      <c r="L809" s="62">
        <f>COUNT('Übung 10'!BI$11:BI$35)+COUNTIF('Übung 10'!BI$11:BI$35,"n.b.")</f>
        <v/>
      </c>
      <c r="M809" s="62">
        <f>COUNT('Übung 11'!BI$11:BI$35)+COUNTIF('Übung 11'!BI$11:BI$35,"n.b.")</f>
        <v/>
      </c>
      <c r="N809" s="62">
        <f>COUNT('Übung 12'!BI$11:BI$35)+COUNTIF('Übung 12'!BI$11:BI$35,"n.b.")</f>
        <v/>
      </c>
      <c r="O809" s="62">
        <f>COUNT('Übung 13'!BI$11:BI$35)+COUNTIF('Übung 13'!BI$11:BI$35,"n.b.")</f>
        <v/>
      </c>
      <c r="P809" s="62">
        <f>COUNT('Übung 14'!BI$11:BI$35)+COUNTIF('Übung 14'!BI$11:BI$35,"n.b.")</f>
        <v/>
      </c>
      <c r="Q809" s="62">
        <f>COUNT('Übung 15'!BI$11:BI$35)+COUNTIF('Übung 15'!BI$11:BI$35,"n.b.")</f>
        <v/>
      </c>
      <c r="R809" s="62">
        <f>COUNT('Übung 16'!BI$11:BI$35)+COUNTIF('Übung 16'!BI$11:BI$35,"n.b.")</f>
        <v/>
      </c>
      <c r="S809" s="62">
        <f>COUNT('Übung 17'!BI$11:BI$35)+COUNTIF('Übung 17'!BI$11:BI$35,"n.b.")</f>
        <v/>
      </c>
      <c r="T809" s="62">
        <f>COUNT('Übung 18'!BI$11:BI$35)+COUNTIF('Übung 18'!BI$11:BI$35,"n.b.")</f>
        <v/>
      </c>
      <c r="U809" s="62">
        <f>COUNT('Übung 19'!BI$11:BI$35)+COUNTIF('Übung 19'!BI$11:BI$35,"n.b.")</f>
        <v/>
      </c>
      <c r="V809" s="62">
        <f>COUNT('Übung 20'!BI$11:BI$35)+COUNTIF('Übung 20'!BI$11:BI$35,"n.b.")</f>
        <v/>
      </c>
    </row>
    <row r="810">
      <c r="C810" s="62">
        <f>COUNT('Übung 01'!BJ$11:BJ$35)+COUNTIF('Übung 01'!BJ$11:BJ$35,"n.b.")</f>
        <v/>
      </c>
      <c r="D810" s="62">
        <f>COUNT('Übung 02'!BJ$11:BJ$35)+COUNTIF('Übung 02'!BJ$11:BJ$35,"n.b.")</f>
        <v/>
      </c>
      <c r="E810" s="62">
        <f>COUNT('Übung 03'!BJ$11:BJ$35)+COUNTIF('Übung 03'!BJ$11:BJ$35,"n.b.")</f>
        <v/>
      </c>
      <c r="F810" s="62">
        <f>COUNT('Übung 04'!BJ$11:BJ$35)+COUNTIF('Übung 04'!BJ$11:BJ$35,"n.b.")</f>
        <v/>
      </c>
      <c r="G810" s="62">
        <f>COUNT('Übung 05'!BJ$11:BJ$35)+COUNTIF('Übung 05'!BJ$11:BJ$35,"n.b.")</f>
        <v/>
      </c>
      <c r="H810" s="62">
        <f>COUNT('Übung 06'!BJ$11:BJ$35)+COUNTIF('Übung 06'!BJ$11:BJ$35,"n.b.")</f>
        <v/>
      </c>
      <c r="I810" s="62">
        <f>COUNT('Übung 07'!BJ$11:BJ$35)+COUNTIF('Übung 07'!BJ$11:BJ$35,"n.b.")</f>
        <v/>
      </c>
      <c r="J810" s="62">
        <f>COUNT('Übung 08'!BJ$11:BJ$35)+COUNTIF('Übung 08'!BJ$11:BJ$35,"n.b.")</f>
        <v/>
      </c>
      <c r="K810" s="62">
        <f>COUNT('Übung 09'!BJ$11:BJ$35)+COUNTIF('Übung 09'!BJ$11:BJ$35,"n.b.")</f>
        <v/>
      </c>
      <c r="L810" s="62">
        <f>COUNT('Übung 10'!BJ$11:BJ$35)+COUNTIF('Übung 10'!BJ$11:BJ$35,"n.b.")</f>
        <v/>
      </c>
      <c r="M810" s="62">
        <f>COUNT('Übung 11'!BJ$11:BJ$35)+COUNTIF('Übung 11'!BJ$11:BJ$35,"n.b.")</f>
        <v/>
      </c>
      <c r="N810" s="62">
        <f>COUNT('Übung 12'!BJ$11:BJ$35)+COUNTIF('Übung 12'!BJ$11:BJ$35,"n.b.")</f>
        <v/>
      </c>
      <c r="O810" s="62">
        <f>COUNT('Übung 13'!BJ$11:BJ$35)+COUNTIF('Übung 13'!BJ$11:BJ$35,"n.b.")</f>
        <v/>
      </c>
      <c r="P810" s="62">
        <f>COUNT('Übung 14'!BJ$11:BJ$35)+COUNTIF('Übung 14'!BJ$11:BJ$35,"n.b.")</f>
        <v/>
      </c>
      <c r="Q810" s="62">
        <f>COUNT('Übung 15'!BJ$11:BJ$35)+COUNTIF('Übung 15'!BJ$11:BJ$35,"n.b.")</f>
        <v/>
      </c>
      <c r="R810" s="62">
        <f>COUNT('Übung 16'!BJ$11:BJ$35)+COUNTIF('Übung 16'!BJ$11:BJ$35,"n.b.")</f>
        <v/>
      </c>
      <c r="S810" s="62">
        <f>COUNT('Übung 17'!BJ$11:BJ$35)+COUNTIF('Übung 17'!BJ$11:BJ$35,"n.b.")</f>
        <v/>
      </c>
      <c r="T810" s="62">
        <f>COUNT('Übung 18'!BJ$11:BJ$35)+COUNTIF('Übung 18'!BJ$11:BJ$35,"n.b.")</f>
        <v/>
      </c>
      <c r="U810" s="62">
        <f>COUNT('Übung 19'!BJ$11:BJ$35)+COUNTIF('Übung 19'!BJ$11:BJ$35,"n.b.")</f>
        <v/>
      </c>
      <c r="V810" s="62">
        <f>COUNT('Übung 20'!BJ$11:BJ$35)+COUNTIF('Übung 20'!BJ$11:BJ$35,"n.b.")</f>
        <v/>
      </c>
    </row>
    <row r="811">
      <c r="C811" s="62">
        <f>COUNT('Übung 01'!BK$11:BK$35)+COUNTIF('Übung 01'!BK$11:BK$35,"n.b.")</f>
        <v/>
      </c>
      <c r="D811" s="62">
        <f>COUNT('Übung 02'!BK$11:BK$35)+COUNTIF('Übung 02'!BK$11:BK$35,"n.b.")</f>
        <v/>
      </c>
      <c r="E811" s="62">
        <f>COUNT('Übung 03'!BK$11:BK$35)+COUNTIF('Übung 03'!BK$11:BK$35,"n.b.")</f>
        <v/>
      </c>
      <c r="F811" s="62">
        <f>COUNT('Übung 04'!BK$11:BK$35)+COUNTIF('Übung 04'!BK$11:BK$35,"n.b.")</f>
        <v/>
      </c>
      <c r="G811" s="62">
        <f>COUNT('Übung 05'!BK$11:BK$35)+COUNTIF('Übung 05'!BK$11:BK$35,"n.b.")</f>
        <v/>
      </c>
      <c r="H811" s="62">
        <f>COUNT('Übung 06'!BK$11:BK$35)+COUNTIF('Übung 06'!BK$11:BK$35,"n.b.")</f>
        <v/>
      </c>
      <c r="I811" s="62">
        <f>COUNT('Übung 07'!BK$11:BK$35)+COUNTIF('Übung 07'!BK$11:BK$35,"n.b.")</f>
        <v/>
      </c>
      <c r="J811" s="62">
        <f>COUNT('Übung 08'!BK$11:BK$35)+COUNTIF('Übung 08'!BK$11:BK$35,"n.b.")</f>
        <v/>
      </c>
      <c r="K811" s="62">
        <f>COUNT('Übung 09'!BK$11:BK$35)+COUNTIF('Übung 09'!BK$11:BK$35,"n.b.")</f>
        <v/>
      </c>
      <c r="L811" s="62">
        <f>COUNT('Übung 10'!BK$11:BK$35)+COUNTIF('Übung 10'!BK$11:BK$35,"n.b.")</f>
        <v/>
      </c>
      <c r="M811" s="62">
        <f>COUNT('Übung 11'!BK$11:BK$35)+COUNTIF('Übung 11'!BK$11:BK$35,"n.b.")</f>
        <v/>
      </c>
      <c r="N811" s="62">
        <f>COUNT('Übung 12'!BK$11:BK$35)+COUNTIF('Übung 12'!BK$11:BK$35,"n.b.")</f>
        <v/>
      </c>
      <c r="O811" s="62">
        <f>COUNT('Übung 13'!BK$11:BK$35)+COUNTIF('Übung 13'!BK$11:BK$35,"n.b.")</f>
        <v/>
      </c>
      <c r="P811" s="62">
        <f>COUNT('Übung 14'!BK$11:BK$35)+COUNTIF('Übung 14'!BK$11:BK$35,"n.b.")</f>
        <v/>
      </c>
      <c r="Q811" s="62">
        <f>COUNT('Übung 15'!BK$11:BK$35)+COUNTIF('Übung 15'!BK$11:BK$35,"n.b.")</f>
        <v/>
      </c>
      <c r="R811" s="62">
        <f>COUNT('Übung 16'!BK$11:BK$35)+COUNTIF('Übung 16'!BK$11:BK$35,"n.b.")</f>
        <v/>
      </c>
      <c r="S811" s="62">
        <f>COUNT('Übung 17'!BK$11:BK$35)+COUNTIF('Übung 17'!BK$11:BK$35,"n.b.")</f>
        <v/>
      </c>
      <c r="T811" s="62">
        <f>COUNT('Übung 18'!BK$11:BK$35)+COUNTIF('Übung 18'!BK$11:BK$35,"n.b.")</f>
        <v/>
      </c>
      <c r="U811" s="62">
        <f>COUNT('Übung 19'!BK$11:BK$35)+COUNTIF('Übung 19'!BK$11:BK$35,"n.b.")</f>
        <v/>
      </c>
      <c r="V811" s="62">
        <f>COUNT('Übung 20'!BK$11:BK$35)+COUNTIF('Übung 20'!BK$11:BK$35,"n.b.")</f>
        <v/>
      </c>
    </row>
    <row r="812">
      <c r="C812" s="62">
        <f>COUNT('Übung 01'!BL$11:BL$35)+COUNTIF('Übung 01'!BL$11:BL$35,"n.b.")</f>
        <v/>
      </c>
      <c r="D812" s="62">
        <f>COUNT('Übung 02'!BL$11:BL$35)+COUNTIF('Übung 02'!BL$11:BL$35,"n.b.")</f>
        <v/>
      </c>
      <c r="E812" s="62">
        <f>COUNT('Übung 03'!BL$11:BL$35)+COUNTIF('Übung 03'!BL$11:BL$35,"n.b.")</f>
        <v/>
      </c>
      <c r="F812" s="62">
        <f>COUNT('Übung 04'!BL$11:BL$35)+COUNTIF('Übung 04'!BL$11:BL$35,"n.b.")</f>
        <v/>
      </c>
      <c r="G812" s="62">
        <f>COUNT('Übung 05'!BL$11:BL$35)+COUNTIF('Übung 05'!BL$11:BL$35,"n.b.")</f>
        <v/>
      </c>
      <c r="H812" s="62">
        <f>COUNT('Übung 06'!BL$11:BL$35)+COUNTIF('Übung 06'!BL$11:BL$35,"n.b.")</f>
        <v/>
      </c>
      <c r="I812" s="62">
        <f>COUNT('Übung 07'!BL$11:BL$35)+COUNTIF('Übung 07'!BL$11:BL$35,"n.b.")</f>
        <v/>
      </c>
      <c r="J812" s="62">
        <f>COUNT('Übung 08'!BL$11:BL$35)+COUNTIF('Übung 08'!BL$11:BL$35,"n.b.")</f>
        <v/>
      </c>
      <c r="K812" s="62">
        <f>COUNT('Übung 09'!BL$11:BL$35)+COUNTIF('Übung 09'!BL$11:BL$35,"n.b.")</f>
        <v/>
      </c>
      <c r="L812" s="62">
        <f>COUNT('Übung 10'!BL$11:BL$35)+COUNTIF('Übung 10'!BL$11:BL$35,"n.b.")</f>
        <v/>
      </c>
      <c r="M812" s="62">
        <f>COUNT('Übung 11'!BL$11:BL$35)+COUNTIF('Übung 11'!BL$11:BL$35,"n.b.")</f>
        <v/>
      </c>
      <c r="N812" s="62">
        <f>COUNT('Übung 12'!BL$11:BL$35)+COUNTIF('Übung 12'!BL$11:BL$35,"n.b.")</f>
        <v/>
      </c>
      <c r="O812" s="62">
        <f>COUNT('Übung 13'!BL$11:BL$35)+COUNTIF('Übung 13'!BL$11:BL$35,"n.b.")</f>
        <v/>
      </c>
      <c r="P812" s="62">
        <f>COUNT('Übung 14'!BL$11:BL$35)+COUNTIF('Übung 14'!BL$11:BL$35,"n.b.")</f>
        <v/>
      </c>
      <c r="Q812" s="62">
        <f>COUNT('Übung 15'!BL$11:BL$35)+COUNTIF('Übung 15'!BL$11:BL$35,"n.b.")</f>
        <v/>
      </c>
      <c r="R812" s="62">
        <f>COUNT('Übung 16'!BL$11:BL$35)+COUNTIF('Übung 16'!BL$11:BL$35,"n.b.")</f>
        <v/>
      </c>
      <c r="S812" s="62">
        <f>COUNT('Übung 17'!BL$11:BL$35)+COUNTIF('Übung 17'!BL$11:BL$35,"n.b.")</f>
        <v/>
      </c>
      <c r="T812" s="62">
        <f>COUNT('Übung 18'!BL$11:BL$35)+COUNTIF('Übung 18'!BL$11:BL$35,"n.b.")</f>
        <v/>
      </c>
      <c r="U812" s="62">
        <f>COUNT('Übung 19'!BL$11:BL$35)+COUNTIF('Übung 19'!BL$11:BL$35,"n.b.")</f>
        <v/>
      </c>
      <c r="V812" s="62">
        <f>COUNT('Übung 20'!BL$11:BL$35)+COUNTIF('Übung 20'!BL$11:BL$35,"n.b.")</f>
        <v/>
      </c>
    </row>
    <row r="813">
      <c r="C813" s="62">
        <f>COUNT('Übung 01'!BM$11:BM$35)+COUNTIF('Übung 01'!BM$11:BM$35,"n.b.")</f>
        <v/>
      </c>
      <c r="D813" s="62">
        <f>COUNT('Übung 02'!BM$11:BM$35)+COUNTIF('Übung 02'!BM$11:BM$35,"n.b.")</f>
        <v/>
      </c>
      <c r="E813" s="62">
        <f>COUNT('Übung 03'!BM$11:BM$35)+COUNTIF('Übung 03'!BM$11:BM$35,"n.b.")</f>
        <v/>
      </c>
      <c r="F813" s="62">
        <f>COUNT('Übung 04'!BM$11:BM$35)+COUNTIF('Übung 04'!BM$11:BM$35,"n.b.")</f>
        <v/>
      </c>
      <c r="G813" s="62">
        <f>COUNT('Übung 05'!BM$11:BM$35)+COUNTIF('Übung 05'!BM$11:BM$35,"n.b.")</f>
        <v/>
      </c>
      <c r="H813" s="62">
        <f>COUNT('Übung 06'!BM$11:BM$35)+COUNTIF('Übung 06'!BM$11:BM$35,"n.b.")</f>
        <v/>
      </c>
      <c r="I813" s="62">
        <f>COUNT('Übung 07'!BM$11:BM$35)+COUNTIF('Übung 07'!BM$11:BM$35,"n.b.")</f>
        <v/>
      </c>
      <c r="J813" s="62">
        <f>COUNT('Übung 08'!BM$11:BM$35)+COUNTIF('Übung 08'!BM$11:BM$35,"n.b.")</f>
        <v/>
      </c>
      <c r="K813" s="62">
        <f>COUNT('Übung 09'!BM$11:BM$35)+COUNTIF('Übung 09'!BM$11:BM$35,"n.b.")</f>
        <v/>
      </c>
      <c r="L813" s="62">
        <f>COUNT('Übung 10'!BM$11:BM$35)+COUNTIF('Übung 10'!BM$11:BM$35,"n.b.")</f>
        <v/>
      </c>
      <c r="M813" s="62">
        <f>COUNT('Übung 11'!BM$11:BM$35)+COUNTIF('Übung 11'!BM$11:BM$35,"n.b.")</f>
        <v/>
      </c>
      <c r="N813" s="62">
        <f>COUNT('Übung 12'!BM$11:BM$35)+COUNTIF('Übung 12'!BM$11:BM$35,"n.b.")</f>
        <v/>
      </c>
      <c r="O813" s="62">
        <f>COUNT('Übung 13'!BM$11:BM$35)+COUNTIF('Übung 13'!BM$11:BM$35,"n.b.")</f>
        <v/>
      </c>
      <c r="P813" s="62">
        <f>COUNT('Übung 14'!BM$11:BM$35)+COUNTIF('Übung 14'!BM$11:BM$35,"n.b.")</f>
        <v/>
      </c>
      <c r="Q813" s="62">
        <f>COUNT('Übung 15'!BM$11:BM$35)+COUNTIF('Übung 15'!BM$11:BM$35,"n.b.")</f>
        <v/>
      </c>
      <c r="R813" s="62">
        <f>COUNT('Übung 16'!BM$11:BM$35)+COUNTIF('Übung 16'!BM$11:BM$35,"n.b.")</f>
        <v/>
      </c>
      <c r="S813" s="62">
        <f>COUNT('Übung 17'!BM$11:BM$35)+COUNTIF('Übung 17'!BM$11:BM$35,"n.b.")</f>
        <v/>
      </c>
      <c r="T813" s="62">
        <f>COUNT('Übung 18'!BM$11:BM$35)+COUNTIF('Übung 18'!BM$11:BM$35,"n.b.")</f>
        <v/>
      </c>
      <c r="U813" s="62">
        <f>COUNT('Übung 19'!BM$11:BM$35)+COUNTIF('Übung 19'!BM$11:BM$35,"n.b.")</f>
        <v/>
      </c>
      <c r="V813" s="62">
        <f>COUNT('Übung 20'!BM$11:BM$35)+COUNTIF('Übung 20'!BM$11:BM$35,"n.b.")</f>
        <v/>
      </c>
    </row>
    <row r="814">
      <c r="C814" s="62">
        <f>COUNT('Übung 01'!BN$11:BN$35)+COUNTIF('Übung 01'!BN$11:BN$35,"n.b.")</f>
        <v/>
      </c>
      <c r="D814" s="62">
        <f>COUNT('Übung 02'!BN$11:BN$35)+COUNTIF('Übung 02'!BN$11:BN$35,"n.b.")</f>
        <v/>
      </c>
      <c r="E814" s="62">
        <f>COUNT('Übung 03'!BN$11:BN$35)+COUNTIF('Übung 03'!BN$11:BN$35,"n.b.")</f>
        <v/>
      </c>
      <c r="F814" s="62">
        <f>COUNT('Übung 04'!BN$11:BN$35)+COUNTIF('Übung 04'!BN$11:BN$35,"n.b.")</f>
        <v/>
      </c>
      <c r="G814" s="62">
        <f>COUNT('Übung 05'!BN$11:BN$35)+COUNTIF('Übung 05'!BN$11:BN$35,"n.b.")</f>
        <v/>
      </c>
      <c r="H814" s="62">
        <f>COUNT('Übung 06'!BN$11:BN$35)+COUNTIF('Übung 06'!BN$11:BN$35,"n.b.")</f>
        <v/>
      </c>
      <c r="I814" s="62">
        <f>COUNT('Übung 07'!BN$11:BN$35)+COUNTIF('Übung 07'!BN$11:BN$35,"n.b.")</f>
        <v/>
      </c>
      <c r="J814" s="62">
        <f>COUNT('Übung 08'!BN$11:BN$35)+COUNTIF('Übung 08'!BN$11:BN$35,"n.b.")</f>
        <v/>
      </c>
      <c r="K814" s="62">
        <f>COUNT('Übung 09'!BN$11:BN$35)+COUNTIF('Übung 09'!BN$11:BN$35,"n.b.")</f>
        <v/>
      </c>
      <c r="L814" s="62">
        <f>COUNT('Übung 10'!BN$11:BN$35)+COUNTIF('Übung 10'!BN$11:BN$35,"n.b.")</f>
        <v/>
      </c>
      <c r="M814" s="62">
        <f>COUNT('Übung 11'!BN$11:BN$35)+COUNTIF('Übung 11'!BN$11:BN$35,"n.b.")</f>
        <v/>
      </c>
      <c r="N814" s="62">
        <f>COUNT('Übung 12'!BN$11:BN$35)+COUNTIF('Übung 12'!BN$11:BN$35,"n.b.")</f>
        <v/>
      </c>
      <c r="O814" s="62">
        <f>COUNT('Übung 13'!BN$11:BN$35)+COUNTIF('Übung 13'!BN$11:BN$35,"n.b.")</f>
        <v/>
      </c>
      <c r="P814" s="62">
        <f>COUNT('Übung 14'!BN$11:BN$35)+COUNTIF('Übung 14'!BN$11:BN$35,"n.b.")</f>
        <v/>
      </c>
      <c r="Q814" s="62">
        <f>COUNT('Übung 15'!BN$11:BN$35)+COUNTIF('Übung 15'!BN$11:BN$35,"n.b.")</f>
        <v/>
      </c>
      <c r="R814" s="62">
        <f>COUNT('Übung 16'!BN$11:BN$35)+COUNTIF('Übung 16'!BN$11:BN$35,"n.b.")</f>
        <v/>
      </c>
      <c r="S814" s="62">
        <f>COUNT('Übung 17'!BN$11:BN$35)+COUNTIF('Übung 17'!BN$11:BN$35,"n.b.")</f>
        <v/>
      </c>
      <c r="T814" s="62">
        <f>COUNT('Übung 18'!BN$11:BN$35)+COUNTIF('Übung 18'!BN$11:BN$35,"n.b.")</f>
        <v/>
      </c>
      <c r="U814" s="62">
        <f>COUNT('Übung 19'!BN$11:BN$35)+COUNTIF('Übung 19'!BN$11:BN$35,"n.b.")</f>
        <v/>
      </c>
      <c r="V814" s="62">
        <f>COUNT('Übung 20'!BN$11:BN$35)+COUNTIF('Übung 20'!BN$11:BN$35,"n.b.")</f>
        <v/>
      </c>
    </row>
    <row r="815">
      <c r="C815" s="62">
        <f>COUNT('Übung 01'!BO$11:BO$35)+COUNTIF('Übung 01'!BO$11:BO$35,"n.b.")</f>
        <v/>
      </c>
      <c r="D815" s="62">
        <f>COUNT('Übung 02'!BO$11:BO$35)+COUNTIF('Übung 02'!BO$11:BO$35,"n.b.")</f>
        <v/>
      </c>
      <c r="E815" s="62">
        <f>COUNT('Übung 03'!BO$11:BO$35)+COUNTIF('Übung 03'!BO$11:BO$35,"n.b.")</f>
        <v/>
      </c>
      <c r="F815" s="62">
        <f>COUNT('Übung 04'!BO$11:BO$35)+COUNTIF('Übung 04'!BO$11:BO$35,"n.b.")</f>
        <v/>
      </c>
      <c r="G815" s="62">
        <f>COUNT('Übung 05'!BO$11:BO$35)+COUNTIF('Übung 05'!BO$11:BO$35,"n.b.")</f>
        <v/>
      </c>
      <c r="H815" s="62">
        <f>COUNT('Übung 06'!BO$11:BO$35)+COUNTIF('Übung 06'!BO$11:BO$35,"n.b.")</f>
        <v/>
      </c>
      <c r="I815" s="62">
        <f>COUNT('Übung 07'!BO$11:BO$35)+COUNTIF('Übung 07'!BO$11:BO$35,"n.b.")</f>
        <v/>
      </c>
      <c r="J815" s="62">
        <f>COUNT('Übung 08'!BO$11:BO$35)+COUNTIF('Übung 08'!BO$11:BO$35,"n.b.")</f>
        <v/>
      </c>
      <c r="K815" s="62">
        <f>COUNT('Übung 09'!BO$11:BO$35)+COUNTIF('Übung 09'!BO$11:BO$35,"n.b.")</f>
        <v/>
      </c>
      <c r="L815" s="62">
        <f>COUNT('Übung 10'!BO$11:BO$35)+COUNTIF('Übung 10'!BO$11:BO$35,"n.b.")</f>
        <v/>
      </c>
      <c r="M815" s="62">
        <f>COUNT('Übung 11'!BO$11:BO$35)+COUNTIF('Übung 11'!BO$11:BO$35,"n.b.")</f>
        <v/>
      </c>
      <c r="N815" s="62">
        <f>COUNT('Übung 12'!BO$11:BO$35)+COUNTIF('Übung 12'!BO$11:BO$35,"n.b.")</f>
        <v/>
      </c>
      <c r="O815" s="62">
        <f>COUNT('Übung 13'!BO$11:BO$35)+COUNTIF('Übung 13'!BO$11:BO$35,"n.b.")</f>
        <v/>
      </c>
      <c r="P815" s="62">
        <f>COUNT('Übung 14'!BO$11:BO$35)+COUNTIF('Übung 14'!BO$11:BO$35,"n.b.")</f>
        <v/>
      </c>
      <c r="Q815" s="62">
        <f>COUNT('Übung 15'!BO$11:BO$35)+COUNTIF('Übung 15'!BO$11:BO$35,"n.b.")</f>
        <v/>
      </c>
      <c r="R815" s="62">
        <f>COUNT('Übung 16'!BO$11:BO$35)+COUNTIF('Übung 16'!BO$11:BO$35,"n.b.")</f>
        <v/>
      </c>
      <c r="S815" s="62">
        <f>COUNT('Übung 17'!BO$11:BO$35)+COUNTIF('Übung 17'!BO$11:BO$35,"n.b.")</f>
        <v/>
      </c>
      <c r="T815" s="62">
        <f>COUNT('Übung 18'!BO$11:BO$35)+COUNTIF('Übung 18'!BO$11:BO$35,"n.b.")</f>
        <v/>
      </c>
      <c r="U815" s="62">
        <f>COUNT('Übung 19'!BO$11:BO$35)+COUNTIF('Übung 19'!BO$11:BO$35,"n.b.")</f>
        <v/>
      </c>
      <c r="V815" s="62">
        <f>COUNT('Übung 20'!BO$11:BO$35)+COUNTIF('Übung 20'!BO$11:BO$35,"n.b.")</f>
        <v/>
      </c>
    </row>
    <row r="816">
      <c r="C816" s="62">
        <f>COUNT('Übung 01'!BP$11:BP$35)+COUNTIF('Übung 01'!BP$11:BP$35,"n.b.")</f>
        <v/>
      </c>
      <c r="D816" s="62">
        <f>COUNT('Übung 02'!BP$11:BP$35)+COUNTIF('Übung 02'!BP$11:BP$35,"n.b.")</f>
        <v/>
      </c>
      <c r="E816" s="62">
        <f>COUNT('Übung 03'!BP$11:BP$35)+COUNTIF('Übung 03'!BP$11:BP$35,"n.b.")</f>
        <v/>
      </c>
      <c r="F816" s="62">
        <f>COUNT('Übung 04'!BP$11:BP$35)+COUNTIF('Übung 04'!BP$11:BP$35,"n.b.")</f>
        <v/>
      </c>
      <c r="G816" s="62">
        <f>COUNT('Übung 05'!BP$11:BP$35)+COUNTIF('Übung 05'!BP$11:BP$35,"n.b.")</f>
        <v/>
      </c>
      <c r="H816" s="62">
        <f>COUNT('Übung 06'!BP$11:BP$35)+COUNTIF('Übung 06'!BP$11:BP$35,"n.b.")</f>
        <v/>
      </c>
      <c r="I816" s="62">
        <f>COUNT('Übung 07'!BP$11:BP$35)+COUNTIF('Übung 07'!BP$11:BP$35,"n.b.")</f>
        <v/>
      </c>
      <c r="J816" s="62">
        <f>COUNT('Übung 08'!BP$11:BP$35)+COUNTIF('Übung 08'!BP$11:BP$35,"n.b.")</f>
        <v/>
      </c>
      <c r="K816" s="62">
        <f>COUNT('Übung 09'!BP$11:BP$35)+COUNTIF('Übung 09'!BP$11:BP$35,"n.b.")</f>
        <v/>
      </c>
      <c r="L816" s="62">
        <f>COUNT('Übung 10'!BP$11:BP$35)+COUNTIF('Übung 10'!BP$11:BP$35,"n.b.")</f>
        <v/>
      </c>
      <c r="M816" s="62">
        <f>COUNT('Übung 11'!BP$11:BP$35)+COUNTIF('Übung 11'!BP$11:BP$35,"n.b.")</f>
        <v/>
      </c>
      <c r="N816" s="62">
        <f>COUNT('Übung 12'!BP$11:BP$35)+COUNTIF('Übung 12'!BP$11:BP$35,"n.b.")</f>
        <v/>
      </c>
      <c r="O816" s="62">
        <f>COUNT('Übung 13'!BP$11:BP$35)+COUNTIF('Übung 13'!BP$11:BP$35,"n.b.")</f>
        <v/>
      </c>
      <c r="P816" s="62">
        <f>COUNT('Übung 14'!BP$11:BP$35)+COUNTIF('Übung 14'!BP$11:BP$35,"n.b.")</f>
        <v/>
      </c>
      <c r="Q816" s="62">
        <f>COUNT('Übung 15'!BP$11:BP$35)+COUNTIF('Übung 15'!BP$11:BP$35,"n.b.")</f>
        <v/>
      </c>
      <c r="R816" s="62">
        <f>COUNT('Übung 16'!BP$11:BP$35)+COUNTIF('Übung 16'!BP$11:BP$35,"n.b.")</f>
        <v/>
      </c>
      <c r="S816" s="62">
        <f>COUNT('Übung 17'!BP$11:BP$35)+COUNTIF('Übung 17'!BP$11:BP$35,"n.b.")</f>
        <v/>
      </c>
      <c r="T816" s="62">
        <f>COUNT('Übung 18'!BP$11:BP$35)+COUNTIF('Übung 18'!BP$11:BP$35,"n.b.")</f>
        <v/>
      </c>
      <c r="U816" s="62">
        <f>COUNT('Übung 19'!BP$11:BP$35)+COUNTIF('Übung 19'!BP$11:BP$35,"n.b.")</f>
        <v/>
      </c>
      <c r="V816" s="62">
        <f>COUNT('Übung 20'!BP$11:BP$35)+COUNTIF('Übung 20'!BP$11:BP$35,"n.b.")</f>
        <v/>
      </c>
    </row>
    <row r="817">
      <c r="C817" s="62">
        <f>COUNT('Übung 01'!BQ$11:BQ$35)+COUNTIF('Übung 01'!BQ$11:BQ$35,"n.b.")</f>
        <v/>
      </c>
      <c r="D817" s="62">
        <f>COUNT('Übung 02'!BQ$11:BQ$35)+COUNTIF('Übung 02'!BQ$11:BQ$35,"n.b.")</f>
        <v/>
      </c>
      <c r="E817" s="62">
        <f>COUNT('Übung 03'!BQ$11:BQ$35)+COUNTIF('Übung 03'!BQ$11:BQ$35,"n.b.")</f>
        <v/>
      </c>
      <c r="F817" s="62">
        <f>COUNT('Übung 04'!BQ$11:BQ$35)+COUNTIF('Übung 04'!BQ$11:BQ$35,"n.b.")</f>
        <v/>
      </c>
      <c r="G817" s="62">
        <f>COUNT('Übung 05'!BQ$11:BQ$35)+COUNTIF('Übung 05'!BQ$11:BQ$35,"n.b.")</f>
        <v/>
      </c>
      <c r="H817" s="62">
        <f>COUNT('Übung 06'!BQ$11:BQ$35)+COUNTIF('Übung 06'!BQ$11:BQ$35,"n.b.")</f>
        <v/>
      </c>
      <c r="I817" s="62">
        <f>COUNT('Übung 07'!BQ$11:BQ$35)+COUNTIF('Übung 07'!BQ$11:BQ$35,"n.b.")</f>
        <v/>
      </c>
      <c r="J817" s="62">
        <f>COUNT('Übung 08'!BQ$11:BQ$35)+COUNTIF('Übung 08'!BQ$11:BQ$35,"n.b.")</f>
        <v/>
      </c>
      <c r="K817" s="62">
        <f>COUNT('Übung 09'!BQ$11:BQ$35)+COUNTIF('Übung 09'!BQ$11:BQ$35,"n.b.")</f>
        <v/>
      </c>
      <c r="L817" s="62">
        <f>COUNT('Übung 10'!BQ$11:BQ$35)+COUNTIF('Übung 10'!BQ$11:BQ$35,"n.b.")</f>
        <v/>
      </c>
      <c r="M817" s="62">
        <f>COUNT('Übung 11'!BQ$11:BQ$35)+COUNTIF('Übung 11'!BQ$11:BQ$35,"n.b.")</f>
        <v/>
      </c>
      <c r="N817" s="62">
        <f>COUNT('Übung 12'!BQ$11:BQ$35)+COUNTIF('Übung 12'!BQ$11:BQ$35,"n.b.")</f>
        <v/>
      </c>
      <c r="O817" s="62">
        <f>COUNT('Übung 13'!BQ$11:BQ$35)+COUNTIF('Übung 13'!BQ$11:BQ$35,"n.b.")</f>
        <v/>
      </c>
      <c r="P817" s="62">
        <f>COUNT('Übung 14'!BQ$11:BQ$35)+COUNTIF('Übung 14'!BQ$11:BQ$35,"n.b.")</f>
        <v/>
      </c>
      <c r="Q817" s="62">
        <f>COUNT('Übung 15'!BQ$11:BQ$35)+COUNTIF('Übung 15'!BQ$11:BQ$35,"n.b.")</f>
        <v/>
      </c>
      <c r="R817" s="62">
        <f>COUNT('Übung 16'!BQ$11:BQ$35)+COUNTIF('Übung 16'!BQ$11:BQ$35,"n.b.")</f>
        <v/>
      </c>
      <c r="S817" s="62">
        <f>COUNT('Übung 17'!BQ$11:BQ$35)+COUNTIF('Übung 17'!BQ$11:BQ$35,"n.b.")</f>
        <v/>
      </c>
      <c r="T817" s="62">
        <f>COUNT('Übung 18'!BQ$11:BQ$35)+COUNTIF('Übung 18'!BQ$11:BQ$35,"n.b.")</f>
        <v/>
      </c>
      <c r="U817" s="62">
        <f>COUNT('Übung 19'!BQ$11:BQ$35)+COUNTIF('Übung 19'!BQ$11:BQ$35,"n.b.")</f>
        <v/>
      </c>
      <c r="V817" s="62">
        <f>COUNT('Übung 20'!BQ$11:BQ$35)+COUNTIF('Übung 20'!BQ$11:BQ$35,"n.b.")</f>
        <v/>
      </c>
    </row>
    <row r="818">
      <c r="C818" s="62">
        <f>COUNT('Übung 01'!BR$11:BR$35)+COUNTIF('Übung 01'!BR$11:BR$35,"n.b.")</f>
        <v/>
      </c>
      <c r="D818" s="62">
        <f>COUNT('Übung 02'!BR$11:BR$35)+COUNTIF('Übung 02'!BR$11:BR$35,"n.b.")</f>
        <v/>
      </c>
      <c r="E818" s="62">
        <f>COUNT('Übung 03'!BR$11:BR$35)+COUNTIF('Übung 03'!BR$11:BR$35,"n.b.")</f>
        <v/>
      </c>
      <c r="F818" s="62">
        <f>COUNT('Übung 04'!BR$11:BR$35)+COUNTIF('Übung 04'!BR$11:BR$35,"n.b.")</f>
        <v/>
      </c>
      <c r="G818" s="62">
        <f>COUNT('Übung 05'!BR$11:BR$35)+COUNTIF('Übung 05'!BR$11:BR$35,"n.b.")</f>
        <v/>
      </c>
      <c r="H818" s="62">
        <f>COUNT('Übung 06'!BR$11:BR$35)+COUNTIF('Übung 06'!BR$11:BR$35,"n.b.")</f>
        <v/>
      </c>
      <c r="I818" s="62">
        <f>COUNT('Übung 07'!BR$11:BR$35)+COUNTIF('Übung 07'!BR$11:BR$35,"n.b.")</f>
        <v/>
      </c>
      <c r="J818" s="62">
        <f>COUNT('Übung 08'!BR$11:BR$35)+COUNTIF('Übung 08'!BR$11:BR$35,"n.b.")</f>
        <v/>
      </c>
      <c r="K818" s="62">
        <f>COUNT('Übung 09'!BR$11:BR$35)+COUNTIF('Übung 09'!BR$11:BR$35,"n.b.")</f>
        <v/>
      </c>
      <c r="L818" s="62">
        <f>COUNT('Übung 10'!BR$11:BR$35)+COUNTIF('Übung 10'!BR$11:BR$35,"n.b.")</f>
        <v/>
      </c>
      <c r="M818" s="62">
        <f>COUNT('Übung 11'!BR$11:BR$35)+COUNTIF('Übung 11'!BR$11:BR$35,"n.b.")</f>
        <v/>
      </c>
      <c r="N818" s="62">
        <f>COUNT('Übung 12'!BR$11:BR$35)+COUNTIF('Übung 12'!BR$11:BR$35,"n.b.")</f>
        <v/>
      </c>
      <c r="O818" s="62">
        <f>COUNT('Übung 13'!BR$11:BR$35)+COUNTIF('Übung 13'!BR$11:BR$35,"n.b.")</f>
        <v/>
      </c>
      <c r="P818" s="62">
        <f>COUNT('Übung 14'!BR$11:BR$35)+COUNTIF('Übung 14'!BR$11:BR$35,"n.b.")</f>
        <v/>
      </c>
      <c r="Q818" s="62">
        <f>COUNT('Übung 15'!BR$11:BR$35)+COUNTIF('Übung 15'!BR$11:BR$35,"n.b.")</f>
        <v/>
      </c>
      <c r="R818" s="62">
        <f>COUNT('Übung 16'!BR$11:BR$35)+COUNTIF('Übung 16'!BR$11:BR$35,"n.b.")</f>
        <v/>
      </c>
      <c r="S818" s="62">
        <f>COUNT('Übung 17'!BR$11:BR$35)+COUNTIF('Übung 17'!BR$11:BR$35,"n.b.")</f>
        <v/>
      </c>
      <c r="T818" s="62">
        <f>COUNT('Übung 18'!BR$11:BR$35)+COUNTIF('Übung 18'!BR$11:BR$35,"n.b.")</f>
        <v/>
      </c>
      <c r="U818" s="62">
        <f>COUNT('Übung 19'!BR$11:BR$35)+COUNTIF('Übung 19'!BR$11:BR$35,"n.b.")</f>
        <v/>
      </c>
      <c r="V818" s="62">
        <f>COUNT('Übung 20'!BR$11:BR$35)+COUNTIF('Übung 20'!BR$11:BR$35,"n.b.")</f>
        <v/>
      </c>
    </row>
    <row r="819">
      <c r="C819" s="62">
        <f>COUNT('Übung 01'!BS$11:BS$35)+COUNTIF('Übung 01'!BS$11:BS$35,"n.b.")</f>
        <v/>
      </c>
      <c r="D819" s="62">
        <f>COUNT('Übung 02'!BS$11:BS$35)+COUNTIF('Übung 02'!BS$11:BS$35,"n.b.")</f>
        <v/>
      </c>
      <c r="E819" s="62">
        <f>COUNT('Übung 03'!BS$11:BS$35)+COUNTIF('Übung 03'!BS$11:BS$35,"n.b.")</f>
        <v/>
      </c>
      <c r="F819" s="62">
        <f>COUNT('Übung 04'!BS$11:BS$35)+COUNTIF('Übung 04'!BS$11:BS$35,"n.b.")</f>
        <v/>
      </c>
      <c r="G819" s="62">
        <f>COUNT('Übung 05'!BS$11:BS$35)+COUNTIF('Übung 05'!BS$11:BS$35,"n.b.")</f>
        <v/>
      </c>
      <c r="H819" s="62">
        <f>COUNT('Übung 06'!BS$11:BS$35)+COUNTIF('Übung 06'!BS$11:BS$35,"n.b.")</f>
        <v/>
      </c>
      <c r="I819" s="62">
        <f>COUNT('Übung 07'!BS$11:BS$35)+COUNTIF('Übung 07'!BS$11:BS$35,"n.b.")</f>
        <v/>
      </c>
      <c r="J819" s="62">
        <f>COUNT('Übung 08'!BS$11:BS$35)+COUNTIF('Übung 08'!BS$11:BS$35,"n.b.")</f>
        <v/>
      </c>
      <c r="K819" s="62">
        <f>COUNT('Übung 09'!BS$11:BS$35)+COUNTIF('Übung 09'!BS$11:BS$35,"n.b.")</f>
        <v/>
      </c>
      <c r="L819" s="62">
        <f>COUNT('Übung 10'!BS$11:BS$35)+COUNTIF('Übung 10'!BS$11:BS$35,"n.b.")</f>
        <v/>
      </c>
      <c r="M819" s="62">
        <f>COUNT('Übung 11'!BS$11:BS$35)+COUNTIF('Übung 11'!BS$11:BS$35,"n.b.")</f>
        <v/>
      </c>
      <c r="N819" s="62">
        <f>COUNT('Übung 12'!BS$11:BS$35)+COUNTIF('Übung 12'!BS$11:BS$35,"n.b.")</f>
        <v/>
      </c>
      <c r="O819" s="62">
        <f>COUNT('Übung 13'!BS$11:BS$35)+COUNTIF('Übung 13'!BS$11:BS$35,"n.b.")</f>
        <v/>
      </c>
      <c r="P819" s="62">
        <f>COUNT('Übung 14'!BS$11:BS$35)+COUNTIF('Übung 14'!BS$11:BS$35,"n.b.")</f>
        <v/>
      </c>
      <c r="Q819" s="62">
        <f>COUNT('Übung 15'!BS$11:BS$35)+COUNTIF('Übung 15'!BS$11:BS$35,"n.b.")</f>
        <v/>
      </c>
      <c r="R819" s="62">
        <f>COUNT('Übung 16'!BS$11:BS$35)+COUNTIF('Übung 16'!BS$11:BS$35,"n.b.")</f>
        <v/>
      </c>
      <c r="S819" s="62">
        <f>COUNT('Übung 17'!BS$11:BS$35)+COUNTIF('Übung 17'!BS$11:BS$35,"n.b.")</f>
        <v/>
      </c>
      <c r="T819" s="62">
        <f>COUNT('Übung 18'!BS$11:BS$35)+COUNTIF('Übung 18'!BS$11:BS$35,"n.b.")</f>
        <v/>
      </c>
      <c r="U819" s="62">
        <f>COUNT('Übung 19'!BS$11:BS$35)+COUNTIF('Übung 19'!BS$11:BS$35,"n.b.")</f>
        <v/>
      </c>
      <c r="V819" s="62">
        <f>COUNT('Übung 20'!BS$11:BS$35)+COUNTIF('Übung 20'!BS$11:BS$35,"n.b.")</f>
        <v/>
      </c>
    </row>
    <row r="820">
      <c r="C820" s="62">
        <f>COUNT('Übung 01'!BT$11:BT$35)+COUNTIF('Übung 01'!BT$11:BT$35,"n.b.")</f>
        <v/>
      </c>
      <c r="D820" s="62">
        <f>COUNT('Übung 02'!BT$11:BT$35)+COUNTIF('Übung 02'!BT$11:BT$35,"n.b.")</f>
        <v/>
      </c>
      <c r="E820" s="62">
        <f>COUNT('Übung 03'!BT$11:BT$35)+COUNTIF('Übung 03'!BT$11:BT$35,"n.b.")</f>
        <v/>
      </c>
      <c r="F820" s="62">
        <f>COUNT('Übung 04'!BT$11:BT$35)+COUNTIF('Übung 04'!BT$11:BT$35,"n.b.")</f>
        <v/>
      </c>
      <c r="G820" s="62">
        <f>COUNT('Übung 05'!BT$11:BT$35)+COUNTIF('Übung 05'!BT$11:BT$35,"n.b.")</f>
        <v/>
      </c>
      <c r="H820" s="62">
        <f>COUNT('Übung 06'!BT$11:BT$35)+COUNTIF('Übung 06'!BT$11:BT$35,"n.b.")</f>
        <v/>
      </c>
      <c r="I820" s="62">
        <f>COUNT('Übung 07'!BT$11:BT$35)+COUNTIF('Übung 07'!BT$11:BT$35,"n.b.")</f>
        <v/>
      </c>
      <c r="J820" s="62">
        <f>COUNT('Übung 08'!BT$11:BT$35)+COUNTIF('Übung 08'!BT$11:BT$35,"n.b.")</f>
        <v/>
      </c>
      <c r="K820" s="62">
        <f>COUNT('Übung 09'!BT$11:BT$35)+COUNTIF('Übung 09'!BT$11:BT$35,"n.b.")</f>
        <v/>
      </c>
      <c r="L820" s="62">
        <f>COUNT('Übung 10'!BT$11:BT$35)+COUNTIF('Übung 10'!BT$11:BT$35,"n.b.")</f>
        <v/>
      </c>
      <c r="M820" s="62">
        <f>COUNT('Übung 11'!BT$11:BT$35)+COUNTIF('Übung 11'!BT$11:BT$35,"n.b.")</f>
        <v/>
      </c>
      <c r="N820" s="62">
        <f>COUNT('Übung 12'!BT$11:BT$35)+COUNTIF('Übung 12'!BT$11:BT$35,"n.b.")</f>
        <v/>
      </c>
      <c r="O820" s="62">
        <f>COUNT('Übung 13'!BT$11:BT$35)+COUNTIF('Übung 13'!BT$11:BT$35,"n.b.")</f>
        <v/>
      </c>
      <c r="P820" s="62">
        <f>COUNT('Übung 14'!BT$11:BT$35)+COUNTIF('Übung 14'!BT$11:BT$35,"n.b.")</f>
        <v/>
      </c>
      <c r="Q820" s="62">
        <f>COUNT('Übung 15'!BT$11:BT$35)+COUNTIF('Übung 15'!BT$11:BT$35,"n.b.")</f>
        <v/>
      </c>
      <c r="R820" s="62">
        <f>COUNT('Übung 16'!BT$11:BT$35)+COUNTIF('Übung 16'!BT$11:BT$35,"n.b.")</f>
        <v/>
      </c>
      <c r="S820" s="62">
        <f>COUNT('Übung 17'!BT$11:BT$35)+COUNTIF('Übung 17'!BT$11:BT$35,"n.b.")</f>
        <v/>
      </c>
      <c r="T820" s="62">
        <f>COUNT('Übung 18'!BT$11:BT$35)+COUNTIF('Übung 18'!BT$11:BT$35,"n.b.")</f>
        <v/>
      </c>
      <c r="U820" s="62">
        <f>COUNT('Übung 19'!BT$11:BT$35)+COUNTIF('Übung 19'!BT$11:BT$35,"n.b.")</f>
        <v/>
      </c>
      <c r="V820" s="62">
        <f>COUNT('Übung 20'!BT$11:BT$35)+COUNTIF('Übung 20'!BT$11:BT$35,"n.b.")</f>
        <v/>
      </c>
    </row>
    <row r="821">
      <c r="C821" s="62">
        <f>COUNT('Übung 01'!BU$11:BU$35)+COUNTIF('Übung 01'!BU$11:BU$35,"n.b.")</f>
        <v/>
      </c>
      <c r="D821" s="62">
        <f>COUNT('Übung 02'!BU$11:BU$35)+COUNTIF('Übung 02'!BU$11:BU$35,"n.b.")</f>
        <v/>
      </c>
      <c r="E821" s="62">
        <f>COUNT('Übung 03'!BU$11:BU$35)+COUNTIF('Übung 03'!BU$11:BU$35,"n.b.")</f>
        <v/>
      </c>
      <c r="F821" s="62">
        <f>COUNT('Übung 04'!BU$11:BU$35)+COUNTIF('Übung 04'!BU$11:BU$35,"n.b.")</f>
        <v/>
      </c>
      <c r="G821" s="62">
        <f>COUNT('Übung 05'!BU$11:BU$35)+COUNTIF('Übung 05'!BU$11:BU$35,"n.b.")</f>
        <v/>
      </c>
      <c r="H821" s="62">
        <f>COUNT('Übung 06'!BU$11:BU$35)+COUNTIF('Übung 06'!BU$11:BU$35,"n.b.")</f>
        <v/>
      </c>
      <c r="I821" s="62">
        <f>COUNT('Übung 07'!BU$11:BU$35)+COUNTIF('Übung 07'!BU$11:BU$35,"n.b.")</f>
        <v/>
      </c>
      <c r="J821" s="62">
        <f>COUNT('Übung 08'!BU$11:BU$35)+COUNTIF('Übung 08'!BU$11:BU$35,"n.b.")</f>
        <v/>
      </c>
      <c r="K821" s="62">
        <f>COUNT('Übung 09'!BU$11:BU$35)+COUNTIF('Übung 09'!BU$11:BU$35,"n.b.")</f>
        <v/>
      </c>
      <c r="L821" s="62">
        <f>COUNT('Übung 10'!BU$11:BU$35)+COUNTIF('Übung 10'!BU$11:BU$35,"n.b.")</f>
        <v/>
      </c>
      <c r="M821" s="62">
        <f>COUNT('Übung 11'!BU$11:BU$35)+COUNTIF('Übung 11'!BU$11:BU$35,"n.b.")</f>
        <v/>
      </c>
      <c r="N821" s="62">
        <f>COUNT('Übung 12'!BU$11:BU$35)+COUNTIF('Übung 12'!BU$11:BU$35,"n.b.")</f>
        <v/>
      </c>
      <c r="O821" s="62">
        <f>COUNT('Übung 13'!BU$11:BU$35)+COUNTIF('Übung 13'!BU$11:BU$35,"n.b.")</f>
        <v/>
      </c>
      <c r="P821" s="62">
        <f>COUNT('Übung 14'!BU$11:BU$35)+COUNTIF('Übung 14'!BU$11:BU$35,"n.b.")</f>
        <v/>
      </c>
      <c r="Q821" s="62">
        <f>COUNT('Übung 15'!BU$11:BU$35)+COUNTIF('Übung 15'!BU$11:BU$35,"n.b.")</f>
        <v/>
      </c>
      <c r="R821" s="62">
        <f>COUNT('Übung 16'!BU$11:BU$35)+COUNTIF('Übung 16'!BU$11:BU$35,"n.b.")</f>
        <v/>
      </c>
      <c r="S821" s="62">
        <f>COUNT('Übung 17'!BU$11:BU$35)+COUNTIF('Übung 17'!BU$11:BU$35,"n.b.")</f>
        <v/>
      </c>
      <c r="T821" s="62">
        <f>COUNT('Übung 18'!BU$11:BU$35)+COUNTIF('Übung 18'!BU$11:BU$35,"n.b.")</f>
        <v/>
      </c>
      <c r="U821" s="62">
        <f>COUNT('Übung 19'!BU$11:BU$35)+COUNTIF('Übung 19'!BU$11:BU$35,"n.b.")</f>
        <v/>
      </c>
      <c r="V821" s="62">
        <f>COUNT('Übung 20'!BU$11:BU$35)+COUNTIF('Übung 20'!BU$11:BU$35,"n.b.")</f>
        <v/>
      </c>
    </row>
    <row r="822">
      <c r="C822" s="62">
        <f>COUNT('Übung 01'!BV$11:BV$35)+COUNTIF('Übung 01'!BV$11:BV$35,"n.b.")</f>
        <v/>
      </c>
      <c r="D822" s="62">
        <f>COUNT('Übung 02'!BV$11:BV$35)+COUNTIF('Übung 02'!BV$11:BV$35,"n.b.")</f>
        <v/>
      </c>
      <c r="E822" s="62">
        <f>COUNT('Übung 03'!BV$11:BV$35)+COUNTIF('Übung 03'!BV$11:BV$35,"n.b.")</f>
        <v/>
      </c>
      <c r="F822" s="62">
        <f>COUNT('Übung 04'!BV$11:BV$35)+COUNTIF('Übung 04'!BV$11:BV$35,"n.b.")</f>
        <v/>
      </c>
      <c r="G822" s="62">
        <f>COUNT('Übung 05'!BV$11:BV$35)+COUNTIF('Übung 05'!BV$11:BV$35,"n.b.")</f>
        <v/>
      </c>
      <c r="H822" s="62">
        <f>COUNT('Übung 06'!BV$11:BV$35)+COUNTIF('Übung 06'!BV$11:BV$35,"n.b.")</f>
        <v/>
      </c>
      <c r="I822" s="62">
        <f>COUNT('Übung 07'!BV$11:BV$35)+COUNTIF('Übung 07'!BV$11:BV$35,"n.b.")</f>
        <v/>
      </c>
      <c r="J822" s="62">
        <f>COUNT('Übung 08'!BV$11:BV$35)+COUNTIF('Übung 08'!BV$11:BV$35,"n.b.")</f>
        <v/>
      </c>
      <c r="K822" s="62">
        <f>COUNT('Übung 09'!BV$11:BV$35)+COUNTIF('Übung 09'!BV$11:BV$35,"n.b.")</f>
        <v/>
      </c>
      <c r="L822" s="62">
        <f>COUNT('Übung 10'!BV$11:BV$35)+COUNTIF('Übung 10'!BV$11:BV$35,"n.b.")</f>
        <v/>
      </c>
      <c r="M822" s="62">
        <f>COUNT('Übung 11'!BV$11:BV$35)+COUNTIF('Übung 11'!BV$11:BV$35,"n.b.")</f>
        <v/>
      </c>
      <c r="N822" s="62">
        <f>COUNT('Übung 12'!BV$11:BV$35)+COUNTIF('Übung 12'!BV$11:BV$35,"n.b.")</f>
        <v/>
      </c>
      <c r="O822" s="62">
        <f>COUNT('Übung 13'!BV$11:BV$35)+COUNTIF('Übung 13'!BV$11:BV$35,"n.b.")</f>
        <v/>
      </c>
      <c r="P822" s="62">
        <f>COUNT('Übung 14'!BV$11:BV$35)+COUNTIF('Übung 14'!BV$11:BV$35,"n.b.")</f>
        <v/>
      </c>
      <c r="Q822" s="62">
        <f>COUNT('Übung 15'!BV$11:BV$35)+COUNTIF('Übung 15'!BV$11:BV$35,"n.b.")</f>
        <v/>
      </c>
      <c r="R822" s="62">
        <f>COUNT('Übung 16'!BV$11:BV$35)+COUNTIF('Übung 16'!BV$11:BV$35,"n.b.")</f>
        <v/>
      </c>
      <c r="S822" s="62">
        <f>COUNT('Übung 17'!BV$11:BV$35)+COUNTIF('Übung 17'!BV$11:BV$35,"n.b.")</f>
        <v/>
      </c>
      <c r="T822" s="62">
        <f>COUNT('Übung 18'!BV$11:BV$35)+COUNTIF('Übung 18'!BV$11:BV$35,"n.b.")</f>
        <v/>
      </c>
      <c r="U822" s="62">
        <f>COUNT('Übung 19'!BV$11:BV$35)+COUNTIF('Übung 19'!BV$11:BV$35,"n.b.")</f>
        <v/>
      </c>
      <c r="V822" s="62">
        <f>COUNT('Übung 20'!BV$11:BV$35)+COUNTIF('Übung 20'!BV$11:BV$35,"n.b.")</f>
        <v/>
      </c>
    </row>
    <row r="823">
      <c r="C823" s="62">
        <f>COUNT('Übung 01'!BW$11:BW$35)+COUNTIF('Übung 01'!BW$11:BW$35,"n.b.")</f>
        <v/>
      </c>
      <c r="D823" s="62">
        <f>COUNT('Übung 02'!BW$11:BW$35)+COUNTIF('Übung 02'!BW$11:BW$35,"n.b.")</f>
        <v/>
      </c>
      <c r="E823" s="62">
        <f>COUNT('Übung 03'!BW$11:BW$35)+COUNTIF('Übung 03'!BW$11:BW$35,"n.b.")</f>
        <v/>
      </c>
      <c r="F823" s="62">
        <f>COUNT('Übung 04'!BW$11:BW$35)+COUNTIF('Übung 04'!BW$11:BW$35,"n.b.")</f>
        <v/>
      </c>
      <c r="G823" s="62">
        <f>COUNT('Übung 05'!BW$11:BW$35)+COUNTIF('Übung 05'!BW$11:BW$35,"n.b.")</f>
        <v/>
      </c>
      <c r="H823" s="62">
        <f>COUNT('Übung 06'!BW$11:BW$35)+COUNTIF('Übung 06'!BW$11:BW$35,"n.b.")</f>
        <v/>
      </c>
      <c r="I823" s="62">
        <f>COUNT('Übung 07'!BW$11:BW$35)+COUNTIF('Übung 07'!BW$11:BW$35,"n.b.")</f>
        <v/>
      </c>
      <c r="J823" s="62">
        <f>COUNT('Übung 08'!BW$11:BW$35)+COUNTIF('Übung 08'!BW$11:BW$35,"n.b.")</f>
        <v/>
      </c>
      <c r="K823" s="62">
        <f>COUNT('Übung 09'!BW$11:BW$35)+COUNTIF('Übung 09'!BW$11:BW$35,"n.b.")</f>
        <v/>
      </c>
      <c r="L823" s="62">
        <f>COUNT('Übung 10'!BW$11:BW$35)+COUNTIF('Übung 10'!BW$11:BW$35,"n.b.")</f>
        <v/>
      </c>
      <c r="M823" s="62">
        <f>COUNT('Übung 11'!BW$11:BW$35)+COUNTIF('Übung 11'!BW$11:BW$35,"n.b.")</f>
        <v/>
      </c>
      <c r="N823" s="62">
        <f>COUNT('Übung 12'!BW$11:BW$35)+COUNTIF('Übung 12'!BW$11:BW$35,"n.b.")</f>
        <v/>
      </c>
      <c r="O823" s="62">
        <f>COUNT('Übung 13'!BW$11:BW$35)+COUNTIF('Übung 13'!BW$11:BW$35,"n.b.")</f>
        <v/>
      </c>
      <c r="P823" s="62">
        <f>COUNT('Übung 14'!BW$11:BW$35)+COUNTIF('Übung 14'!BW$11:BW$35,"n.b.")</f>
        <v/>
      </c>
      <c r="Q823" s="62">
        <f>COUNT('Übung 15'!BW$11:BW$35)+COUNTIF('Übung 15'!BW$11:BW$35,"n.b.")</f>
        <v/>
      </c>
      <c r="R823" s="62">
        <f>COUNT('Übung 16'!BW$11:BW$35)+COUNTIF('Übung 16'!BW$11:BW$35,"n.b.")</f>
        <v/>
      </c>
      <c r="S823" s="62">
        <f>COUNT('Übung 17'!BW$11:BW$35)+COUNTIF('Übung 17'!BW$11:BW$35,"n.b.")</f>
        <v/>
      </c>
      <c r="T823" s="62">
        <f>COUNT('Übung 18'!BW$11:BW$35)+COUNTIF('Übung 18'!BW$11:BW$35,"n.b.")</f>
        <v/>
      </c>
      <c r="U823" s="62">
        <f>COUNT('Übung 19'!BW$11:BW$35)+COUNTIF('Übung 19'!BW$11:BW$35,"n.b.")</f>
        <v/>
      </c>
      <c r="V823" s="62">
        <f>COUNT('Übung 20'!BW$11:BW$35)+COUNTIF('Übung 20'!BW$11:BW$35,"n.b.")</f>
        <v/>
      </c>
    </row>
    <row r="824">
      <c r="C824" s="62">
        <f>COUNT('Übung 01'!BX$11:BX$35)+COUNTIF('Übung 01'!BX$11:BX$35,"n.b.")</f>
        <v/>
      </c>
      <c r="D824" s="62">
        <f>COUNT('Übung 02'!BX$11:BX$35)+COUNTIF('Übung 02'!BX$11:BX$35,"n.b.")</f>
        <v/>
      </c>
      <c r="E824" s="62">
        <f>COUNT('Übung 03'!BX$11:BX$35)+COUNTIF('Übung 03'!BX$11:BX$35,"n.b.")</f>
        <v/>
      </c>
      <c r="F824" s="62">
        <f>COUNT('Übung 04'!BX$11:BX$35)+COUNTIF('Übung 04'!BX$11:BX$35,"n.b.")</f>
        <v/>
      </c>
      <c r="G824" s="62">
        <f>COUNT('Übung 05'!BX$11:BX$35)+COUNTIF('Übung 05'!BX$11:BX$35,"n.b.")</f>
        <v/>
      </c>
      <c r="H824" s="62">
        <f>COUNT('Übung 06'!BX$11:BX$35)+COUNTIF('Übung 06'!BX$11:BX$35,"n.b.")</f>
        <v/>
      </c>
      <c r="I824" s="62">
        <f>COUNT('Übung 07'!BX$11:BX$35)+COUNTIF('Übung 07'!BX$11:BX$35,"n.b.")</f>
        <v/>
      </c>
      <c r="J824" s="62">
        <f>COUNT('Übung 08'!BX$11:BX$35)+COUNTIF('Übung 08'!BX$11:BX$35,"n.b.")</f>
        <v/>
      </c>
      <c r="K824" s="62">
        <f>COUNT('Übung 09'!BX$11:BX$35)+COUNTIF('Übung 09'!BX$11:BX$35,"n.b.")</f>
        <v/>
      </c>
      <c r="L824" s="62">
        <f>COUNT('Übung 10'!BX$11:BX$35)+COUNTIF('Übung 10'!BX$11:BX$35,"n.b.")</f>
        <v/>
      </c>
      <c r="M824" s="62">
        <f>COUNT('Übung 11'!BX$11:BX$35)+COUNTIF('Übung 11'!BX$11:BX$35,"n.b.")</f>
        <v/>
      </c>
      <c r="N824" s="62">
        <f>COUNT('Übung 12'!BX$11:BX$35)+COUNTIF('Übung 12'!BX$11:BX$35,"n.b.")</f>
        <v/>
      </c>
      <c r="O824" s="62">
        <f>COUNT('Übung 13'!BX$11:BX$35)+COUNTIF('Übung 13'!BX$11:BX$35,"n.b.")</f>
        <v/>
      </c>
      <c r="P824" s="62">
        <f>COUNT('Übung 14'!BX$11:BX$35)+COUNTIF('Übung 14'!BX$11:BX$35,"n.b.")</f>
        <v/>
      </c>
      <c r="Q824" s="62">
        <f>COUNT('Übung 15'!BX$11:BX$35)+COUNTIF('Übung 15'!BX$11:BX$35,"n.b.")</f>
        <v/>
      </c>
      <c r="R824" s="62">
        <f>COUNT('Übung 16'!BX$11:BX$35)+COUNTIF('Übung 16'!BX$11:BX$35,"n.b.")</f>
        <v/>
      </c>
      <c r="S824" s="62">
        <f>COUNT('Übung 17'!BX$11:BX$35)+COUNTIF('Übung 17'!BX$11:BX$35,"n.b.")</f>
        <v/>
      </c>
      <c r="T824" s="62">
        <f>COUNT('Übung 18'!BX$11:BX$35)+COUNTIF('Übung 18'!BX$11:BX$35,"n.b.")</f>
        <v/>
      </c>
      <c r="U824" s="62">
        <f>COUNT('Übung 19'!BX$11:BX$35)+COUNTIF('Übung 19'!BX$11:BX$35,"n.b.")</f>
        <v/>
      </c>
      <c r="V824" s="62">
        <f>COUNT('Übung 20'!BX$11:BX$35)+COUNTIF('Übung 20'!BX$11:BX$35,"n.b.")</f>
        <v/>
      </c>
    </row>
    <row r="825">
      <c r="C825" s="62">
        <f>COUNT('Übung 01'!BY$11:BY$35)+COUNTIF('Übung 01'!BY$11:BY$35,"n.b.")</f>
        <v/>
      </c>
      <c r="D825" s="62">
        <f>COUNT('Übung 02'!BY$11:BY$35)+COUNTIF('Übung 02'!BY$11:BY$35,"n.b.")</f>
        <v/>
      </c>
      <c r="E825" s="62">
        <f>COUNT('Übung 03'!BY$11:BY$35)+COUNTIF('Übung 03'!BY$11:BY$35,"n.b.")</f>
        <v/>
      </c>
      <c r="F825" s="62">
        <f>COUNT('Übung 04'!BY$11:BY$35)+COUNTIF('Übung 04'!BY$11:BY$35,"n.b.")</f>
        <v/>
      </c>
      <c r="G825" s="62">
        <f>COUNT('Übung 05'!BY$11:BY$35)+COUNTIF('Übung 05'!BY$11:BY$35,"n.b.")</f>
        <v/>
      </c>
      <c r="H825" s="62">
        <f>COUNT('Übung 06'!BY$11:BY$35)+COUNTIF('Übung 06'!BY$11:BY$35,"n.b.")</f>
        <v/>
      </c>
      <c r="I825" s="62">
        <f>COUNT('Übung 07'!BY$11:BY$35)+COUNTIF('Übung 07'!BY$11:BY$35,"n.b.")</f>
        <v/>
      </c>
      <c r="J825" s="62">
        <f>COUNT('Übung 08'!BY$11:BY$35)+COUNTIF('Übung 08'!BY$11:BY$35,"n.b.")</f>
        <v/>
      </c>
      <c r="K825" s="62">
        <f>COUNT('Übung 09'!BY$11:BY$35)+COUNTIF('Übung 09'!BY$11:BY$35,"n.b.")</f>
        <v/>
      </c>
      <c r="L825" s="62">
        <f>COUNT('Übung 10'!BY$11:BY$35)+COUNTIF('Übung 10'!BY$11:BY$35,"n.b.")</f>
        <v/>
      </c>
      <c r="M825" s="62">
        <f>COUNT('Übung 11'!BY$11:BY$35)+COUNTIF('Übung 11'!BY$11:BY$35,"n.b.")</f>
        <v/>
      </c>
      <c r="N825" s="62">
        <f>COUNT('Übung 12'!BY$11:BY$35)+COUNTIF('Übung 12'!BY$11:BY$35,"n.b.")</f>
        <v/>
      </c>
      <c r="O825" s="62">
        <f>COUNT('Übung 13'!BY$11:BY$35)+COUNTIF('Übung 13'!BY$11:BY$35,"n.b.")</f>
        <v/>
      </c>
      <c r="P825" s="62">
        <f>COUNT('Übung 14'!BY$11:BY$35)+COUNTIF('Übung 14'!BY$11:BY$35,"n.b.")</f>
        <v/>
      </c>
      <c r="Q825" s="62">
        <f>COUNT('Übung 15'!BY$11:BY$35)+COUNTIF('Übung 15'!BY$11:BY$35,"n.b.")</f>
        <v/>
      </c>
      <c r="R825" s="62">
        <f>COUNT('Übung 16'!BY$11:BY$35)+COUNTIF('Übung 16'!BY$11:BY$35,"n.b.")</f>
        <v/>
      </c>
      <c r="S825" s="62">
        <f>COUNT('Übung 17'!BY$11:BY$35)+COUNTIF('Übung 17'!BY$11:BY$35,"n.b.")</f>
        <v/>
      </c>
      <c r="T825" s="62">
        <f>COUNT('Übung 18'!BY$11:BY$35)+COUNTIF('Übung 18'!BY$11:BY$35,"n.b.")</f>
        <v/>
      </c>
      <c r="U825" s="62">
        <f>COUNT('Übung 19'!BY$11:BY$35)+COUNTIF('Übung 19'!BY$11:BY$35,"n.b.")</f>
        <v/>
      </c>
      <c r="V825" s="62">
        <f>COUNT('Übung 20'!BY$11:BY$35)+COUNTIF('Übung 20'!BY$11:BY$35,"n.b.")</f>
        <v/>
      </c>
    </row>
    <row r="826">
      <c r="C826" s="62">
        <f>COUNT('Übung 01'!BZ$11:BZ$35)+COUNTIF('Übung 01'!BZ$11:BZ$35,"n.b.")</f>
        <v/>
      </c>
      <c r="D826" s="62">
        <f>COUNT('Übung 02'!BZ$11:BZ$35)+COUNTIF('Übung 02'!BZ$11:BZ$35,"n.b.")</f>
        <v/>
      </c>
      <c r="E826" s="62">
        <f>COUNT('Übung 03'!BZ$11:BZ$35)+COUNTIF('Übung 03'!BZ$11:BZ$35,"n.b.")</f>
        <v/>
      </c>
      <c r="F826" s="62">
        <f>COUNT('Übung 04'!BZ$11:BZ$35)+COUNTIF('Übung 04'!BZ$11:BZ$35,"n.b.")</f>
        <v/>
      </c>
      <c r="G826" s="62">
        <f>COUNT('Übung 05'!BZ$11:BZ$35)+COUNTIF('Übung 05'!BZ$11:BZ$35,"n.b.")</f>
        <v/>
      </c>
      <c r="H826" s="62">
        <f>COUNT('Übung 06'!BZ$11:BZ$35)+COUNTIF('Übung 06'!BZ$11:BZ$35,"n.b.")</f>
        <v/>
      </c>
      <c r="I826" s="62">
        <f>COUNT('Übung 07'!BZ$11:BZ$35)+COUNTIF('Übung 07'!BZ$11:BZ$35,"n.b.")</f>
        <v/>
      </c>
      <c r="J826" s="62">
        <f>COUNT('Übung 08'!BZ$11:BZ$35)+COUNTIF('Übung 08'!BZ$11:BZ$35,"n.b.")</f>
        <v/>
      </c>
      <c r="K826" s="62">
        <f>COUNT('Übung 09'!BZ$11:BZ$35)+COUNTIF('Übung 09'!BZ$11:BZ$35,"n.b.")</f>
        <v/>
      </c>
      <c r="L826" s="62">
        <f>COUNT('Übung 10'!BZ$11:BZ$35)+COUNTIF('Übung 10'!BZ$11:BZ$35,"n.b.")</f>
        <v/>
      </c>
      <c r="M826" s="62">
        <f>COUNT('Übung 11'!BZ$11:BZ$35)+COUNTIF('Übung 11'!BZ$11:BZ$35,"n.b.")</f>
        <v/>
      </c>
      <c r="N826" s="62">
        <f>COUNT('Übung 12'!BZ$11:BZ$35)+COUNTIF('Übung 12'!BZ$11:BZ$35,"n.b.")</f>
        <v/>
      </c>
      <c r="O826" s="62">
        <f>COUNT('Übung 13'!BZ$11:BZ$35)+COUNTIF('Übung 13'!BZ$11:BZ$35,"n.b.")</f>
        <v/>
      </c>
      <c r="P826" s="62">
        <f>COUNT('Übung 14'!BZ$11:BZ$35)+COUNTIF('Übung 14'!BZ$11:BZ$35,"n.b.")</f>
        <v/>
      </c>
      <c r="Q826" s="62">
        <f>COUNT('Übung 15'!BZ$11:BZ$35)+COUNTIF('Übung 15'!BZ$11:BZ$35,"n.b.")</f>
        <v/>
      </c>
      <c r="R826" s="62">
        <f>COUNT('Übung 16'!BZ$11:BZ$35)+COUNTIF('Übung 16'!BZ$11:BZ$35,"n.b.")</f>
        <v/>
      </c>
      <c r="S826" s="62">
        <f>COUNT('Übung 17'!BZ$11:BZ$35)+COUNTIF('Übung 17'!BZ$11:BZ$35,"n.b.")</f>
        <v/>
      </c>
      <c r="T826" s="62">
        <f>COUNT('Übung 18'!BZ$11:BZ$35)+COUNTIF('Übung 18'!BZ$11:BZ$35,"n.b.")</f>
        <v/>
      </c>
      <c r="U826" s="62">
        <f>COUNT('Übung 19'!BZ$11:BZ$35)+COUNTIF('Übung 19'!BZ$11:BZ$35,"n.b.")</f>
        <v/>
      </c>
      <c r="V826" s="62">
        <f>COUNT('Übung 20'!BZ$11:BZ$35)+COUNTIF('Übung 20'!BZ$11:BZ$35,"n.b.")</f>
        <v/>
      </c>
    </row>
    <row r="827">
      <c r="C827" s="62">
        <f>COUNT('Übung 01'!CA$11:CA$35)+COUNTIF('Übung 01'!CA$11:CA$35,"n.b.")</f>
        <v/>
      </c>
      <c r="D827" s="62">
        <f>COUNT('Übung 02'!CA$11:CA$35)+COUNTIF('Übung 02'!CA$11:CA$35,"n.b.")</f>
        <v/>
      </c>
      <c r="E827" s="62">
        <f>COUNT('Übung 03'!CA$11:CA$35)+COUNTIF('Übung 03'!CA$11:CA$35,"n.b.")</f>
        <v/>
      </c>
      <c r="F827" s="62">
        <f>COUNT('Übung 04'!CA$11:CA$35)+COUNTIF('Übung 04'!CA$11:CA$35,"n.b.")</f>
        <v/>
      </c>
      <c r="G827" s="62">
        <f>COUNT('Übung 05'!CA$11:CA$35)+COUNTIF('Übung 05'!CA$11:CA$35,"n.b.")</f>
        <v/>
      </c>
      <c r="H827" s="62">
        <f>COUNT('Übung 06'!CA$11:CA$35)+COUNTIF('Übung 06'!CA$11:CA$35,"n.b.")</f>
        <v/>
      </c>
      <c r="I827" s="62">
        <f>COUNT('Übung 07'!CA$11:CA$35)+COUNTIF('Übung 07'!CA$11:CA$35,"n.b.")</f>
        <v/>
      </c>
      <c r="J827" s="62">
        <f>COUNT('Übung 08'!CA$11:CA$35)+COUNTIF('Übung 08'!CA$11:CA$35,"n.b.")</f>
        <v/>
      </c>
      <c r="K827" s="62">
        <f>COUNT('Übung 09'!CA$11:CA$35)+COUNTIF('Übung 09'!CA$11:CA$35,"n.b.")</f>
        <v/>
      </c>
      <c r="L827" s="62">
        <f>COUNT('Übung 10'!CA$11:CA$35)+COUNTIF('Übung 10'!CA$11:CA$35,"n.b.")</f>
        <v/>
      </c>
      <c r="M827" s="62">
        <f>COUNT('Übung 11'!CA$11:CA$35)+COUNTIF('Übung 11'!CA$11:CA$35,"n.b.")</f>
        <v/>
      </c>
      <c r="N827" s="62">
        <f>COUNT('Übung 12'!CA$11:CA$35)+COUNTIF('Übung 12'!CA$11:CA$35,"n.b.")</f>
        <v/>
      </c>
      <c r="O827" s="62">
        <f>COUNT('Übung 13'!CA$11:CA$35)+COUNTIF('Übung 13'!CA$11:CA$35,"n.b.")</f>
        <v/>
      </c>
      <c r="P827" s="62">
        <f>COUNT('Übung 14'!CA$11:CA$35)+COUNTIF('Übung 14'!CA$11:CA$35,"n.b.")</f>
        <v/>
      </c>
      <c r="Q827" s="62">
        <f>COUNT('Übung 15'!CA$11:CA$35)+COUNTIF('Übung 15'!CA$11:CA$35,"n.b.")</f>
        <v/>
      </c>
      <c r="R827" s="62">
        <f>COUNT('Übung 16'!CA$11:CA$35)+COUNTIF('Übung 16'!CA$11:CA$35,"n.b.")</f>
        <v/>
      </c>
      <c r="S827" s="62">
        <f>COUNT('Übung 17'!CA$11:CA$35)+COUNTIF('Übung 17'!CA$11:CA$35,"n.b.")</f>
        <v/>
      </c>
      <c r="T827" s="62">
        <f>COUNT('Übung 18'!CA$11:CA$35)+COUNTIF('Übung 18'!CA$11:CA$35,"n.b.")</f>
        <v/>
      </c>
      <c r="U827" s="62">
        <f>COUNT('Übung 19'!CA$11:CA$35)+COUNTIF('Übung 19'!CA$11:CA$35,"n.b.")</f>
        <v/>
      </c>
      <c r="V827" s="62">
        <f>COUNT('Übung 20'!CA$11:CA$35)+COUNTIF('Übung 20'!CA$11:CA$35,"n.b.")</f>
        <v/>
      </c>
    </row>
    <row r="828">
      <c r="C828" s="62">
        <f>COUNT('Übung 01'!CB$11:CB$35)+COUNTIF('Übung 01'!CB$11:CB$35,"n.b.")</f>
        <v/>
      </c>
      <c r="D828" s="62">
        <f>COUNT('Übung 02'!CB$11:CB$35)+COUNTIF('Übung 02'!CB$11:CB$35,"n.b.")</f>
        <v/>
      </c>
      <c r="E828" s="62">
        <f>COUNT('Übung 03'!CB$11:CB$35)+COUNTIF('Übung 03'!CB$11:CB$35,"n.b.")</f>
        <v/>
      </c>
      <c r="F828" s="62">
        <f>COUNT('Übung 04'!CB$11:CB$35)+COUNTIF('Übung 04'!CB$11:CB$35,"n.b.")</f>
        <v/>
      </c>
      <c r="G828" s="62">
        <f>COUNT('Übung 05'!CB$11:CB$35)+COUNTIF('Übung 05'!CB$11:CB$35,"n.b.")</f>
        <v/>
      </c>
      <c r="H828" s="62">
        <f>COUNT('Übung 06'!CB$11:CB$35)+COUNTIF('Übung 06'!CB$11:CB$35,"n.b.")</f>
        <v/>
      </c>
      <c r="I828" s="62">
        <f>COUNT('Übung 07'!CB$11:CB$35)+COUNTIF('Übung 07'!CB$11:CB$35,"n.b.")</f>
        <v/>
      </c>
      <c r="J828" s="62">
        <f>COUNT('Übung 08'!CB$11:CB$35)+COUNTIF('Übung 08'!CB$11:CB$35,"n.b.")</f>
        <v/>
      </c>
      <c r="K828" s="62">
        <f>COUNT('Übung 09'!CB$11:CB$35)+COUNTIF('Übung 09'!CB$11:CB$35,"n.b.")</f>
        <v/>
      </c>
      <c r="L828" s="62">
        <f>COUNT('Übung 10'!CB$11:CB$35)+COUNTIF('Übung 10'!CB$11:CB$35,"n.b.")</f>
        <v/>
      </c>
      <c r="M828" s="62">
        <f>COUNT('Übung 11'!CB$11:CB$35)+COUNTIF('Übung 11'!CB$11:CB$35,"n.b.")</f>
        <v/>
      </c>
      <c r="N828" s="62">
        <f>COUNT('Übung 12'!CB$11:CB$35)+COUNTIF('Übung 12'!CB$11:CB$35,"n.b.")</f>
        <v/>
      </c>
      <c r="O828" s="62">
        <f>COUNT('Übung 13'!CB$11:CB$35)+COUNTIF('Übung 13'!CB$11:CB$35,"n.b.")</f>
        <v/>
      </c>
      <c r="P828" s="62">
        <f>COUNT('Übung 14'!CB$11:CB$35)+COUNTIF('Übung 14'!CB$11:CB$35,"n.b.")</f>
        <v/>
      </c>
      <c r="Q828" s="62">
        <f>COUNT('Übung 15'!CB$11:CB$35)+COUNTIF('Übung 15'!CB$11:CB$35,"n.b.")</f>
        <v/>
      </c>
      <c r="R828" s="62">
        <f>COUNT('Übung 16'!CB$11:CB$35)+COUNTIF('Übung 16'!CB$11:CB$35,"n.b.")</f>
        <v/>
      </c>
      <c r="S828" s="62">
        <f>COUNT('Übung 17'!CB$11:CB$35)+COUNTIF('Übung 17'!CB$11:CB$35,"n.b.")</f>
        <v/>
      </c>
      <c r="T828" s="62">
        <f>COUNT('Übung 18'!CB$11:CB$35)+COUNTIF('Übung 18'!CB$11:CB$35,"n.b.")</f>
        <v/>
      </c>
      <c r="U828" s="62">
        <f>COUNT('Übung 19'!CB$11:CB$35)+COUNTIF('Übung 19'!CB$11:CB$35,"n.b.")</f>
        <v/>
      </c>
      <c r="V828" s="62">
        <f>COUNT('Übung 20'!CB$11:CB$35)+COUNTIF('Übung 20'!CB$11:CB$35,"n.b.")</f>
        <v/>
      </c>
    </row>
    <row r="829">
      <c r="C829" s="62">
        <f>COUNT('Übung 01'!CC$11:CC$35)+COUNTIF('Übung 01'!CC$11:CC$35,"n.b.")</f>
        <v/>
      </c>
      <c r="D829" s="62">
        <f>COUNT('Übung 02'!CC$11:CC$35)+COUNTIF('Übung 02'!CC$11:CC$35,"n.b.")</f>
        <v/>
      </c>
      <c r="E829" s="62">
        <f>COUNT('Übung 03'!CC$11:CC$35)+COUNTIF('Übung 03'!CC$11:CC$35,"n.b.")</f>
        <v/>
      </c>
      <c r="F829" s="62">
        <f>COUNT('Übung 04'!CC$11:CC$35)+COUNTIF('Übung 04'!CC$11:CC$35,"n.b.")</f>
        <v/>
      </c>
      <c r="G829" s="62">
        <f>COUNT('Übung 05'!CC$11:CC$35)+COUNTIF('Übung 05'!CC$11:CC$35,"n.b.")</f>
        <v/>
      </c>
      <c r="H829" s="62">
        <f>COUNT('Übung 06'!CC$11:CC$35)+COUNTIF('Übung 06'!CC$11:CC$35,"n.b.")</f>
        <v/>
      </c>
      <c r="I829" s="62">
        <f>COUNT('Übung 07'!CC$11:CC$35)+COUNTIF('Übung 07'!CC$11:CC$35,"n.b.")</f>
        <v/>
      </c>
      <c r="J829" s="62">
        <f>COUNT('Übung 08'!CC$11:CC$35)+COUNTIF('Übung 08'!CC$11:CC$35,"n.b.")</f>
        <v/>
      </c>
      <c r="K829" s="62">
        <f>COUNT('Übung 09'!CC$11:CC$35)+COUNTIF('Übung 09'!CC$11:CC$35,"n.b.")</f>
        <v/>
      </c>
      <c r="L829" s="62">
        <f>COUNT('Übung 10'!CC$11:CC$35)+COUNTIF('Übung 10'!CC$11:CC$35,"n.b.")</f>
        <v/>
      </c>
      <c r="M829" s="62">
        <f>COUNT('Übung 11'!CC$11:CC$35)+COUNTIF('Übung 11'!CC$11:CC$35,"n.b.")</f>
        <v/>
      </c>
      <c r="N829" s="62">
        <f>COUNT('Übung 12'!CC$11:CC$35)+COUNTIF('Übung 12'!CC$11:CC$35,"n.b.")</f>
        <v/>
      </c>
      <c r="O829" s="62">
        <f>COUNT('Übung 13'!CC$11:CC$35)+COUNTIF('Übung 13'!CC$11:CC$35,"n.b.")</f>
        <v/>
      </c>
      <c r="P829" s="62">
        <f>COUNT('Übung 14'!CC$11:CC$35)+COUNTIF('Übung 14'!CC$11:CC$35,"n.b.")</f>
        <v/>
      </c>
      <c r="Q829" s="62">
        <f>COUNT('Übung 15'!CC$11:CC$35)+COUNTIF('Übung 15'!CC$11:CC$35,"n.b.")</f>
        <v/>
      </c>
      <c r="R829" s="62">
        <f>COUNT('Übung 16'!CC$11:CC$35)+COUNTIF('Übung 16'!CC$11:CC$35,"n.b.")</f>
        <v/>
      </c>
      <c r="S829" s="62">
        <f>COUNT('Übung 17'!CC$11:CC$35)+COUNTIF('Übung 17'!CC$11:CC$35,"n.b.")</f>
        <v/>
      </c>
      <c r="T829" s="62">
        <f>COUNT('Übung 18'!CC$11:CC$35)+COUNTIF('Übung 18'!CC$11:CC$35,"n.b.")</f>
        <v/>
      </c>
      <c r="U829" s="62">
        <f>COUNT('Übung 19'!CC$11:CC$35)+COUNTIF('Übung 19'!CC$11:CC$35,"n.b.")</f>
        <v/>
      </c>
      <c r="V829" s="62">
        <f>COUNT('Übung 20'!CC$11:CC$35)+COUNTIF('Übung 20'!CC$11:CC$35,"n.b.")</f>
        <v/>
      </c>
    </row>
    <row r="830">
      <c r="C830" s="62">
        <f>COUNT('Übung 01'!CE$11:CE$35)+COUNTIF('Übung 01'!CE$11:CE$35,"n.b.")</f>
        <v/>
      </c>
      <c r="D830" s="62">
        <f>COUNT('Übung 02'!CE$11:CE$35)+COUNTIF('Übung 02'!CE$11:CE$35,"n.b.")</f>
        <v/>
      </c>
      <c r="E830" s="62">
        <f>COUNT('Übung 03'!CE$11:CE$35)+COUNTIF('Übung 03'!CE$11:CE$35,"n.b.")</f>
        <v/>
      </c>
      <c r="F830" s="62">
        <f>COUNT('Übung 04'!CE$11:CE$35)+COUNTIF('Übung 04'!CE$11:CE$35,"n.b.")</f>
        <v/>
      </c>
      <c r="G830" s="62">
        <f>COUNT('Übung 05'!CE$11:CE$35)+COUNTIF('Übung 05'!CE$11:CE$35,"n.b.")</f>
        <v/>
      </c>
      <c r="H830" s="62">
        <f>COUNT('Übung 06'!CE$11:CE$35)+COUNTIF('Übung 06'!CE$11:CE$35,"n.b.")</f>
        <v/>
      </c>
      <c r="I830" s="62">
        <f>COUNT('Übung 07'!CE$11:CE$35)+COUNTIF('Übung 07'!CE$11:CE$35,"n.b.")</f>
        <v/>
      </c>
      <c r="J830" s="62">
        <f>COUNT('Übung 08'!CE$11:CE$35)+COUNTIF('Übung 08'!CE$11:CE$35,"n.b.")</f>
        <v/>
      </c>
      <c r="K830" s="62">
        <f>COUNT('Übung 09'!CE$11:CE$35)+COUNTIF('Übung 09'!CE$11:CE$35,"n.b.")</f>
        <v/>
      </c>
      <c r="L830" s="62">
        <f>COUNT('Übung 10'!CE$11:CE$35)+COUNTIF('Übung 10'!CE$11:CE$35,"n.b.")</f>
        <v/>
      </c>
      <c r="M830" s="62">
        <f>COUNT('Übung 11'!CE$11:CE$35)+COUNTIF('Übung 11'!CE$11:CE$35,"n.b.")</f>
        <v/>
      </c>
      <c r="N830" s="62">
        <f>COUNT('Übung 12'!CE$11:CE$35)+COUNTIF('Übung 12'!CE$11:CE$35,"n.b.")</f>
        <v/>
      </c>
      <c r="O830" s="62">
        <f>COUNT('Übung 13'!CE$11:CE$35)+COUNTIF('Übung 13'!CE$11:CE$35,"n.b.")</f>
        <v/>
      </c>
      <c r="P830" s="62">
        <f>COUNT('Übung 14'!CE$11:CE$35)+COUNTIF('Übung 14'!CE$11:CE$35,"n.b.")</f>
        <v/>
      </c>
      <c r="Q830" s="62">
        <f>COUNT('Übung 15'!CE$11:CE$35)+COUNTIF('Übung 15'!CE$11:CE$35,"n.b.")</f>
        <v/>
      </c>
      <c r="R830" s="62">
        <f>COUNT('Übung 16'!CE$11:CE$35)+COUNTIF('Übung 16'!CE$11:CE$35,"n.b.")</f>
        <v/>
      </c>
      <c r="S830" s="62">
        <f>COUNT('Übung 17'!CE$11:CE$35)+COUNTIF('Übung 17'!CE$11:CE$35,"n.b.")</f>
        <v/>
      </c>
      <c r="T830" s="62">
        <f>COUNT('Übung 18'!CE$11:CE$35)+COUNTIF('Übung 18'!CE$11:CE$35,"n.b.")</f>
        <v/>
      </c>
      <c r="U830" s="62">
        <f>COUNT('Übung 19'!CE$11:CE$35)+COUNTIF('Übung 19'!CE$11:CE$35,"n.b.")</f>
        <v/>
      </c>
      <c r="V830" s="62">
        <f>COUNT('Übung 20'!CE$11:CE$35)+COUNTIF('Übung 20'!CE$11:CE$35,"n.b.")</f>
        <v/>
      </c>
    </row>
    <row r="831">
      <c r="C831" s="62">
        <f>COUNT('Übung 01'!CF$11:CF$35)+COUNTIF('Übung 01'!CF$11:CF$35,"n.b.")</f>
        <v/>
      </c>
      <c r="D831" s="62">
        <f>COUNT('Übung 02'!CF$11:CF$35)+COUNTIF('Übung 02'!CF$11:CF$35,"n.b.")</f>
        <v/>
      </c>
      <c r="E831" s="62">
        <f>COUNT('Übung 03'!CF$11:CF$35)+COUNTIF('Übung 03'!CF$11:CF$35,"n.b.")</f>
        <v/>
      </c>
      <c r="F831" s="62">
        <f>COUNT('Übung 04'!CF$11:CF$35)+COUNTIF('Übung 04'!CF$11:CF$35,"n.b.")</f>
        <v/>
      </c>
      <c r="G831" s="62">
        <f>COUNT('Übung 05'!CF$11:CF$35)+COUNTIF('Übung 05'!CF$11:CF$35,"n.b.")</f>
        <v/>
      </c>
      <c r="H831" s="62">
        <f>COUNT('Übung 06'!CF$11:CF$35)+COUNTIF('Übung 06'!CF$11:CF$35,"n.b.")</f>
        <v/>
      </c>
      <c r="I831" s="62">
        <f>COUNT('Übung 07'!CF$11:CF$35)+COUNTIF('Übung 07'!CF$11:CF$35,"n.b.")</f>
        <v/>
      </c>
      <c r="J831" s="62">
        <f>COUNT('Übung 08'!CF$11:CF$35)+COUNTIF('Übung 08'!CF$11:CF$35,"n.b.")</f>
        <v/>
      </c>
      <c r="K831" s="62">
        <f>COUNT('Übung 09'!CF$11:CF$35)+COUNTIF('Übung 09'!CF$11:CF$35,"n.b.")</f>
        <v/>
      </c>
      <c r="L831" s="62">
        <f>COUNT('Übung 10'!CF$11:CF$35)+COUNTIF('Übung 10'!CF$11:CF$35,"n.b.")</f>
        <v/>
      </c>
      <c r="M831" s="62">
        <f>COUNT('Übung 11'!CF$11:CF$35)+COUNTIF('Übung 11'!CF$11:CF$35,"n.b.")</f>
        <v/>
      </c>
      <c r="N831" s="62">
        <f>COUNT('Übung 12'!CF$11:CF$35)+COUNTIF('Übung 12'!CF$11:CF$35,"n.b.")</f>
        <v/>
      </c>
      <c r="O831" s="62">
        <f>COUNT('Übung 13'!CF$11:CF$35)+COUNTIF('Übung 13'!CF$11:CF$35,"n.b.")</f>
        <v/>
      </c>
      <c r="P831" s="62">
        <f>COUNT('Übung 14'!CF$11:CF$35)+COUNTIF('Übung 14'!CF$11:CF$35,"n.b.")</f>
        <v/>
      </c>
      <c r="Q831" s="62">
        <f>COUNT('Übung 15'!CF$11:CF$35)+COUNTIF('Übung 15'!CF$11:CF$35,"n.b.")</f>
        <v/>
      </c>
      <c r="R831" s="62">
        <f>COUNT('Übung 16'!CF$11:CF$35)+COUNTIF('Übung 16'!CF$11:CF$35,"n.b.")</f>
        <v/>
      </c>
      <c r="S831" s="62">
        <f>COUNT('Übung 17'!CF$11:CF$35)+COUNTIF('Übung 17'!CF$11:CF$35,"n.b.")</f>
        <v/>
      </c>
      <c r="T831" s="62">
        <f>COUNT('Übung 18'!CF$11:CF$35)+COUNTIF('Übung 18'!CF$11:CF$35,"n.b.")</f>
        <v/>
      </c>
      <c r="U831" s="62">
        <f>COUNT('Übung 19'!CF$11:CF$35)+COUNTIF('Übung 19'!CF$11:CF$35,"n.b.")</f>
        <v/>
      </c>
      <c r="V831" s="62">
        <f>COUNT('Übung 20'!CF$11:CF$35)+COUNTIF('Übung 20'!CF$11:CF$35,"n.b.")</f>
        <v/>
      </c>
    </row>
    <row r="832">
      <c r="C832" s="62">
        <f>COUNT('Übung 01'!CG$11:CG$35)+COUNTIF('Übung 01'!CG$11:CG$35,"n.b.")</f>
        <v/>
      </c>
      <c r="D832" s="62">
        <f>COUNT('Übung 02'!CG$11:CG$35)+COUNTIF('Übung 02'!CG$11:CG$35,"n.b.")</f>
        <v/>
      </c>
      <c r="E832" s="62">
        <f>COUNT('Übung 03'!CG$11:CG$35)+COUNTIF('Übung 03'!CG$11:CG$35,"n.b.")</f>
        <v/>
      </c>
      <c r="F832" s="62">
        <f>COUNT('Übung 04'!CG$11:CG$35)+COUNTIF('Übung 04'!CG$11:CG$35,"n.b.")</f>
        <v/>
      </c>
      <c r="G832" s="62">
        <f>COUNT('Übung 05'!CG$11:CG$35)+COUNTIF('Übung 05'!CG$11:CG$35,"n.b.")</f>
        <v/>
      </c>
      <c r="H832" s="62">
        <f>COUNT('Übung 06'!CG$11:CG$35)+COUNTIF('Übung 06'!CG$11:CG$35,"n.b.")</f>
        <v/>
      </c>
      <c r="I832" s="62">
        <f>COUNT('Übung 07'!CG$11:CG$35)+COUNTIF('Übung 07'!CG$11:CG$35,"n.b.")</f>
        <v/>
      </c>
      <c r="J832" s="62">
        <f>COUNT('Übung 08'!CG$11:CG$35)+COUNTIF('Übung 08'!CG$11:CG$35,"n.b.")</f>
        <v/>
      </c>
      <c r="K832" s="62">
        <f>COUNT('Übung 09'!CG$11:CG$35)+COUNTIF('Übung 09'!CG$11:CG$35,"n.b.")</f>
        <v/>
      </c>
      <c r="L832" s="62">
        <f>COUNT('Übung 10'!CG$11:CG$35)+COUNTIF('Übung 10'!CG$11:CG$35,"n.b.")</f>
        <v/>
      </c>
      <c r="M832" s="62">
        <f>COUNT('Übung 11'!CG$11:CG$35)+COUNTIF('Übung 11'!CG$11:CG$35,"n.b.")</f>
        <v/>
      </c>
      <c r="N832" s="62">
        <f>COUNT('Übung 12'!CG$11:CG$35)+COUNTIF('Übung 12'!CG$11:CG$35,"n.b.")</f>
        <v/>
      </c>
      <c r="O832" s="62">
        <f>COUNT('Übung 13'!CG$11:CG$35)+COUNTIF('Übung 13'!CG$11:CG$35,"n.b.")</f>
        <v/>
      </c>
      <c r="P832" s="62">
        <f>COUNT('Übung 14'!CG$11:CG$35)+COUNTIF('Übung 14'!CG$11:CG$35,"n.b.")</f>
        <v/>
      </c>
      <c r="Q832" s="62">
        <f>COUNT('Übung 15'!CG$11:CG$35)+COUNTIF('Übung 15'!CG$11:CG$35,"n.b.")</f>
        <v/>
      </c>
      <c r="R832" s="62">
        <f>COUNT('Übung 16'!CG$11:CG$35)+COUNTIF('Übung 16'!CG$11:CG$35,"n.b.")</f>
        <v/>
      </c>
      <c r="S832" s="62">
        <f>COUNT('Übung 17'!CG$11:CG$35)+COUNTIF('Übung 17'!CG$11:CG$35,"n.b.")</f>
        <v/>
      </c>
      <c r="T832" s="62">
        <f>COUNT('Übung 18'!CG$11:CG$35)+COUNTIF('Übung 18'!CG$11:CG$35,"n.b.")</f>
        <v/>
      </c>
      <c r="U832" s="62">
        <f>COUNT('Übung 19'!CG$11:CG$35)+COUNTIF('Übung 19'!CG$11:CG$35,"n.b.")</f>
        <v/>
      </c>
      <c r="V832" s="62">
        <f>COUNT('Übung 20'!CG$11:CG$35)+COUNTIF('Übung 20'!CG$11:CG$35,"n.b.")</f>
        <v/>
      </c>
    </row>
    <row r="833">
      <c r="C833" s="62">
        <f>COUNT('Übung 01'!CH$11:CH$35)+COUNTIF('Übung 01'!CH$11:CH$35,"n.b.")</f>
        <v/>
      </c>
      <c r="D833" s="62">
        <f>COUNT('Übung 02'!CH$11:CH$35)+COUNTIF('Übung 02'!CH$11:CH$35,"n.b.")</f>
        <v/>
      </c>
      <c r="E833" s="62">
        <f>COUNT('Übung 03'!CH$11:CH$35)+COUNTIF('Übung 03'!CH$11:CH$35,"n.b.")</f>
        <v/>
      </c>
      <c r="F833" s="62">
        <f>COUNT('Übung 04'!CH$11:CH$35)+COUNTIF('Übung 04'!CH$11:CH$35,"n.b.")</f>
        <v/>
      </c>
      <c r="G833" s="62">
        <f>COUNT('Übung 05'!CH$11:CH$35)+COUNTIF('Übung 05'!CH$11:CH$35,"n.b.")</f>
        <v/>
      </c>
      <c r="H833" s="62">
        <f>COUNT('Übung 06'!CH$11:CH$35)+COUNTIF('Übung 06'!CH$11:CH$35,"n.b.")</f>
        <v/>
      </c>
      <c r="I833" s="62">
        <f>COUNT('Übung 07'!CH$11:CH$35)+COUNTIF('Übung 07'!CH$11:CH$35,"n.b.")</f>
        <v/>
      </c>
      <c r="J833" s="62">
        <f>COUNT('Übung 08'!CH$11:CH$35)+COUNTIF('Übung 08'!CH$11:CH$35,"n.b.")</f>
        <v/>
      </c>
      <c r="K833" s="62">
        <f>COUNT('Übung 09'!CH$11:CH$35)+COUNTIF('Übung 09'!CH$11:CH$35,"n.b.")</f>
        <v/>
      </c>
      <c r="L833" s="62">
        <f>COUNT('Übung 10'!CH$11:CH$35)+COUNTIF('Übung 10'!CH$11:CH$35,"n.b.")</f>
        <v/>
      </c>
      <c r="M833" s="62">
        <f>COUNT('Übung 11'!CH$11:CH$35)+COUNTIF('Übung 11'!CH$11:CH$35,"n.b.")</f>
        <v/>
      </c>
      <c r="N833" s="62">
        <f>COUNT('Übung 12'!CH$11:CH$35)+COUNTIF('Übung 12'!CH$11:CH$35,"n.b.")</f>
        <v/>
      </c>
      <c r="O833" s="62">
        <f>COUNT('Übung 13'!CH$11:CH$35)+COUNTIF('Übung 13'!CH$11:CH$35,"n.b.")</f>
        <v/>
      </c>
      <c r="P833" s="62">
        <f>COUNT('Übung 14'!CH$11:CH$35)+COUNTIF('Übung 14'!CH$11:CH$35,"n.b.")</f>
        <v/>
      </c>
      <c r="Q833" s="62">
        <f>COUNT('Übung 15'!CH$11:CH$35)+COUNTIF('Übung 15'!CH$11:CH$35,"n.b.")</f>
        <v/>
      </c>
      <c r="R833" s="62">
        <f>COUNT('Übung 16'!CH$11:CH$35)+COUNTIF('Übung 16'!CH$11:CH$35,"n.b.")</f>
        <v/>
      </c>
      <c r="S833" s="62">
        <f>COUNT('Übung 17'!CH$11:CH$35)+COUNTIF('Übung 17'!CH$11:CH$35,"n.b.")</f>
        <v/>
      </c>
      <c r="T833" s="62">
        <f>COUNT('Übung 18'!CH$11:CH$35)+COUNTIF('Übung 18'!CH$11:CH$35,"n.b.")</f>
        <v/>
      </c>
      <c r="U833" s="62">
        <f>COUNT('Übung 19'!CH$11:CH$35)+COUNTIF('Übung 19'!CH$11:CH$35,"n.b.")</f>
        <v/>
      </c>
      <c r="V833" s="62">
        <f>COUNT('Übung 20'!CH$11:CH$35)+COUNTIF('Übung 20'!CH$11:CH$35,"n.b.")</f>
        <v/>
      </c>
    </row>
    <row r="834">
      <c r="C834" s="62">
        <f>COUNT('Übung 01'!CI$11:CI$35)+COUNTIF('Übung 01'!CI$11:CI$35,"n.b.")</f>
        <v/>
      </c>
      <c r="D834" s="62">
        <f>COUNT('Übung 02'!CI$11:CI$35)+COUNTIF('Übung 02'!CI$11:CI$35,"n.b.")</f>
        <v/>
      </c>
      <c r="E834" s="62">
        <f>COUNT('Übung 03'!CI$11:CI$35)+COUNTIF('Übung 03'!CI$11:CI$35,"n.b.")</f>
        <v/>
      </c>
      <c r="F834" s="62">
        <f>COUNT('Übung 04'!CI$11:CI$35)+COUNTIF('Übung 04'!CI$11:CI$35,"n.b.")</f>
        <v/>
      </c>
      <c r="G834" s="62">
        <f>COUNT('Übung 05'!CI$11:CI$35)+COUNTIF('Übung 05'!CI$11:CI$35,"n.b.")</f>
        <v/>
      </c>
      <c r="H834" s="62">
        <f>COUNT('Übung 06'!CI$11:CI$35)+COUNTIF('Übung 06'!CI$11:CI$35,"n.b.")</f>
        <v/>
      </c>
      <c r="I834" s="62">
        <f>COUNT('Übung 07'!CI$11:CI$35)+COUNTIF('Übung 07'!CI$11:CI$35,"n.b.")</f>
        <v/>
      </c>
      <c r="J834" s="62">
        <f>COUNT('Übung 08'!CI$11:CI$35)+COUNTIF('Übung 08'!CI$11:CI$35,"n.b.")</f>
        <v/>
      </c>
      <c r="K834" s="62">
        <f>COUNT('Übung 09'!CI$11:CI$35)+COUNTIF('Übung 09'!CI$11:CI$35,"n.b.")</f>
        <v/>
      </c>
      <c r="L834" s="62">
        <f>COUNT('Übung 10'!CI$11:CI$35)+COUNTIF('Übung 10'!CI$11:CI$35,"n.b.")</f>
        <v/>
      </c>
      <c r="M834" s="62">
        <f>COUNT('Übung 11'!CI$11:CI$35)+COUNTIF('Übung 11'!CI$11:CI$35,"n.b.")</f>
        <v/>
      </c>
      <c r="N834" s="62">
        <f>COUNT('Übung 12'!CI$11:CI$35)+COUNTIF('Übung 12'!CI$11:CI$35,"n.b.")</f>
        <v/>
      </c>
      <c r="O834" s="62">
        <f>COUNT('Übung 13'!CI$11:CI$35)+COUNTIF('Übung 13'!CI$11:CI$35,"n.b.")</f>
        <v/>
      </c>
      <c r="P834" s="62">
        <f>COUNT('Übung 14'!CI$11:CI$35)+COUNTIF('Übung 14'!CI$11:CI$35,"n.b.")</f>
        <v/>
      </c>
      <c r="Q834" s="62">
        <f>COUNT('Übung 15'!CI$11:CI$35)+COUNTIF('Übung 15'!CI$11:CI$35,"n.b.")</f>
        <v/>
      </c>
      <c r="R834" s="62">
        <f>COUNT('Übung 16'!CI$11:CI$35)+COUNTIF('Übung 16'!CI$11:CI$35,"n.b.")</f>
        <v/>
      </c>
      <c r="S834" s="62">
        <f>COUNT('Übung 17'!CI$11:CI$35)+COUNTIF('Übung 17'!CI$11:CI$35,"n.b.")</f>
        <v/>
      </c>
      <c r="T834" s="62">
        <f>COUNT('Übung 18'!CI$11:CI$35)+COUNTIF('Übung 18'!CI$11:CI$35,"n.b.")</f>
        <v/>
      </c>
      <c r="U834" s="62">
        <f>COUNT('Übung 19'!CI$11:CI$35)+COUNTIF('Übung 19'!CI$11:CI$35,"n.b.")</f>
        <v/>
      </c>
      <c r="V834" s="62">
        <f>COUNT('Übung 20'!CI$11:CI$35)+COUNTIF('Übung 20'!CI$11:CI$35,"n.b.")</f>
        <v/>
      </c>
    </row>
    <row r="835">
      <c r="C835" s="62">
        <f>COUNT('Übung 01'!CJ$11:CJ$35)+COUNTIF('Übung 01'!CJ$11:CJ$35,"n.b.")</f>
        <v/>
      </c>
      <c r="D835" s="62">
        <f>COUNT('Übung 02'!CJ$11:CJ$35)+COUNTIF('Übung 02'!CJ$11:CJ$35,"n.b.")</f>
        <v/>
      </c>
      <c r="E835" s="62">
        <f>COUNT('Übung 03'!CJ$11:CJ$35)+COUNTIF('Übung 03'!CJ$11:CJ$35,"n.b.")</f>
        <v/>
      </c>
      <c r="F835" s="62">
        <f>COUNT('Übung 04'!CJ$11:CJ$35)+COUNTIF('Übung 04'!CJ$11:CJ$35,"n.b.")</f>
        <v/>
      </c>
      <c r="G835" s="62">
        <f>COUNT('Übung 05'!CJ$11:CJ$35)+COUNTIF('Übung 05'!CJ$11:CJ$35,"n.b.")</f>
        <v/>
      </c>
      <c r="H835" s="62">
        <f>COUNT('Übung 06'!CJ$11:CJ$35)+COUNTIF('Übung 06'!CJ$11:CJ$35,"n.b.")</f>
        <v/>
      </c>
      <c r="I835" s="62">
        <f>COUNT('Übung 07'!CJ$11:CJ$35)+COUNTIF('Übung 07'!CJ$11:CJ$35,"n.b.")</f>
        <v/>
      </c>
      <c r="J835" s="62">
        <f>COUNT('Übung 08'!CJ$11:CJ$35)+COUNTIF('Übung 08'!CJ$11:CJ$35,"n.b.")</f>
        <v/>
      </c>
      <c r="K835" s="62">
        <f>COUNT('Übung 09'!CJ$11:CJ$35)+COUNTIF('Übung 09'!CJ$11:CJ$35,"n.b.")</f>
        <v/>
      </c>
      <c r="L835" s="62">
        <f>COUNT('Übung 10'!CJ$11:CJ$35)+COUNTIF('Übung 10'!CJ$11:CJ$35,"n.b.")</f>
        <v/>
      </c>
      <c r="M835" s="62">
        <f>COUNT('Übung 11'!CJ$11:CJ$35)+COUNTIF('Übung 11'!CJ$11:CJ$35,"n.b.")</f>
        <v/>
      </c>
      <c r="N835" s="62">
        <f>COUNT('Übung 12'!CJ$11:CJ$35)+COUNTIF('Übung 12'!CJ$11:CJ$35,"n.b.")</f>
        <v/>
      </c>
      <c r="O835" s="62">
        <f>COUNT('Übung 13'!CJ$11:CJ$35)+COUNTIF('Übung 13'!CJ$11:CJ$35,"n.b.")</f>
        <v/>
      </c>
      <c r="P835" s="62">
        <f>COUNT('Übung 14'!CJ$11:CJ$35)+COUNTIF('Übung 14'!CJ$11:CJ$35,"n.b.")</f>
        <v/>
      </c>
      <c r="Q835" s="62">
        <f>COUNT('Übung 15'!CJ$11:CJ$35)+COUNTIF('Übung 15'!CJ$11:CJ$35,"n.b.")</f>
        <v/>
      </c>
      <c r="R835" s="62">
        <f>COUNT('Übung 16'!CJ$11:CJ$35)+COUNTIF('Übung 16'!CJ$11:CJ$35,"n.b.")</f>
        <v/>
      </c>
      <c r="S835" s="62">
        <f>COUNT('Übung 17'!CJ$11:CJ$35)+COUNTIF('Übung 17'!CJ$11:CJ$35,"n.b.")</f>
        <v/>
      </c>
      <c r="T835" s="62">
        <f>COUNT('Übung 18'!CJ$11:CJ$35)+COUNTIF('Übung 18'!CJ$11:CJ$35,"n.b.")</f>
        <v/>
      </c>
      <c r="U835" s="62">
        <f>COUNT('Übung 19'!CJ$11:CJ$35)+COUNTIF('Übung 19'!CJ$11:CJ$35,"n.b.")</f>
        <v/>
      </c>
      <c r="V835" s="62">
        <f>COUNT('Übung 20'!CJ$11:CJ$35)+COUNTIF('Übung 20'!CJ$11:CJ$35,"n.b.")</f>
        <v/>
      </c>
    </row>
    <row r="836">
      <c r="C836" s="62">
        <f>COUNT('Übung 01'!CK$11:CK$35)+COUNTIF('Übung 01'!CK$11:CK$35,"n.b.")</f>
        <v/>
      </c>
      <c r="D836" s="62">
        <f>COUNT('Übung 02'!CK$11:CK$35)+COUNTIF('Übung 02'!CK$11:CK$35,"n.b.")</f>
        <v/>
      </c>
      <c r="E836" s="62">
        <f>COUNT('Übung 03'!CK$11:CK$35)+COUNTIF('Übung 03'!CK$11:CK$35,"n.b.")</f>
        <v/>
      </c>
      <c r="F836" s="62">
        <f>COUNT('Übung 04'!CK$11:CK$35)+COUNTIF('Übung 04'!CK$11:CK$35,"n.b.")</f>
        <v/>
      </c>
      <c r="G836" s="62">
        <f>COUNT('Übung 05'!CK$11:CK$35)+COUNTIF('Übung 05'!CK$11:CK$35,"n.b.")</f>
        <v/>
      </c>
      <c r="H836" s="62">
        <f>COUNT('Übung 06'!CK$11:CK$35)+COUNTIF('Übung 06'!CK$11:CK$35,"n.b.")</f>
        <v/>
      </c>
      <c r="I836" s="62">
        <f>COUNT('Übung 07'!CK$11:CK$35)+COUNTIF('Übung 07'!CK$11:CK$35,"n.b.")</f>
        <v/>
      </c>
      <c r="J836" s="62">
        <f>COUNT('Übung 08'!CK$11:CK$35)+COUNTIF('Übung 08'!CK$11:CK$35,"n.b.")</f>
        <v/>
      </c>
      <c r="K836" s="62">
        <f>COUNT('Übung 09'!CK$11:CK$35)+COUNTIF('Übung 09'!CK$11:CK$35,"n.b.")</f>
        <v/>
      </c>
      <c r="L836" s="62">
        <f>COUNT('Übung 10'!CK$11:CK$35)+COUNTIF('Übung 10'!CK$11:CK$35,"n.b.")</f>
        <v/>
      </c>
      <c r="M836" s="62">
        <f>COUNT('Übung 11'!CK$11:CK$35)+COUNTIF('Übung 11'!CK$11:CK$35,"n.b.")</f>
        <v/>
      </c>
      <c r="N836" s="62">
        <f>COUNT('Übung 12'!CK$11:CK$35)+COUNTIF('Übung 12'!CK$11:CK$35,"n.b.")</f>
        <v/>
      </c>
      <c r="O836" s="62">
        <f>COUNT('Übung 13'!CK$11:CK$35)+COUNTIF('Übung 13'!CK$11:CK$35,"n.b.")</f>
        <v/>
      </c>
      <c r="P836" s="62">
        <f>COUNT('Übung 14'!CK$11:CK$35)+COUNTIF('Übung 14'!CK$11:CK$35,"n.b.")</f>
        <v/>
      </c>
      <c r="Q836" s="62">
        <f>COUNT('Übung 15'!CK$11:CK$35)+COUNTIF('Übung 15'!CK$11:CK$35,"n.b.")</f>
        <v/>
      </c>
      <c r="R836" s="62">
        <f>COUNT('Übung 16'!CK$11:CK$35)+COUNTIF('Übung 16'!CK$11:CK$35,"n.b.")</f>
        <v/>
      </c>
      <c r="S836" s="62">
        <f>COUNT('Übung 17'!CK$11:CK$35)+COUNTIF('Übung 17'!CK$11:CK$35,"n.b.")</f>
        <v/>
      </c>
      <c r="T836" s="62">
        <f>COUNT('Übung 18'!CK$11:CK$35)+COUNTIF('Übung 18'!CK$11:CK$35,"n.b.")</f>
        <v/>
      </c>
      <c r="U836" s="62">
        <f>COUNT('Übung 19'!CK$11:CK$35)+COUNTIF('Übung 19'!CK$11:CK$35,"n.b.")</f>
        <v/>
      </c>
      <c r="V836" s="62">
        <f>COUNT('Übung 20'!CK$11:CK$35)+COUNTIF('Übung 20'!CK$11:CK$35,"n.b.")</f>
        <v/>
      </c>
    </row>
    <row r="837">
      <c r="C837" s="62">
        <f>COUNT('Übung 01'!CL$11:CL$35)+COUNTIF('Übung 01'!CL$11:CL$35,"n.b.")</f>
        <v/>
      </c>
      <c r="D837" s="62">
        <f>COUNT('Übung 02'!CL$11:CL$35)+COUNTIF('Übung 02'!CL$11:CL$35,"n.b.")</f>
        <v/>
      </c>
      <c r="E837" s="62">
        <f>COUNT('Übung 03'!CL$11:CL$35)+COUNTIF('Übung 03'!CL$11:CL$35,"n.b.")</f>
        <v/>
      </c>
      <c r="F837" s="62">
        <f>COUNT('Übung 04'!CL$11:CL$35)+COUNTIF('Übung 04'!CL$11:CL$35,"n.b.")</f>
        <v/>
      </c>
      <c r="G837" s="62">
        <f>COUNT('Übung 05'!CL$11:CL$35)+COUNTIF('Übung 05'!CL$11:CL$35,"n.b.")</f>
        <v/>
      </c>
      <c r="H837" s="62">
        <f>COUNT('Übung 06'!CL$11:CL$35)+COUNTIF('Übung 06'!CL$11:CL$35,"n.b.")</f>
        <v/>
      </c>
      <c r="I837" s="62">
        <f>COUNT('Übung 07'!CL$11:CL$35)+COUNTIF('Übung 07'!CL$11:CL$35,"n.b.")</f>
        <v/>
      </c>
      <c r="J837" s="62">
        <f>COUNT('Übung 08'!CL$11:CL$35)+COUNTIF('Übung 08'!CL$11:CL$35,"n.b.")</f>
        <v/>
      </c>
      <c r="K837" s="62">
        <f>COUNT('Übung 09'!CL$11:CL$35)+COUNTIF('Übung 09'!CL$11:CL$35,"n.b.")</f>
        <v/>
      </c>
      <c r="L837" s="62">
        <f>COUNT('Übung 10'!CL$11:CL$35)+COUNTIF('Übung 10'!CL$11:CL$35,"n.b.")</f>
        <v/>
      </c>
      <c r="M837" s="62">
        <f>COUNT('Übung 11'!CL$11:CL$35)+COUNTIF('Übung 11'!CL$11:CL$35,"n.b.")</f>
        <v/>
      </c>
      <c r="N837" s="62">
        <f>COUNT('Übung 12'!CL$11:CL$35)+COUNTIF('Übung 12'!CL$11:CL$35,"n.b.")</f>
        <v/>
      </c>
      <c r="O837" s="62">
        <f>COUNT('Übung 13'!CL$11:CL$35)+COUNTIF('Übung 13'!CL$11:CL$35,"n.b.")</f>
        <v/>
      </c>
      <c r="P837" s="62">
        <f>COUNT('Übung 14'!CL$11:CL$35)+COUNTIF('Übung 14'!CL$11:CL$35,"n.b.")</f>
        <v/>
      </c>
      <c r="Q837" s="62">
        <f>COUNT('Übung 15'!CL$11:CL$35)+COUNTIF('Übung 15'!CL$11:CL$35,"n.b.")</f>
        <v/>
      </c>
      <c r="R837" s="62">
        <f>COUNT('Übung 16'!CL$11:CL$35)+COUNTIF('Übung 16'!CL$11:CL$35,"n.b.")</f>
        <v/>
      </c>
      <c r="S837" s="62">
        <f>COUNT('Übung 17'!CL$11:CL$35)+COUNTIF('Übung 17'!CL$11:CL$35,"n.b.")</f>
        <v/>
      </c>
      <c r="T837" s="62">
        <f>COUNT('Übung 18'!CL$11:CL$35)+COUNTIF('Übung 18'!CL$11:CL$35,"n.b.")</f>
        <v/>
      </c>
      <c r="U837" s="62">
        <f>COUNT('Übung 19'!CL$11:CL$35)+COUNTIF('Übung 19'!CL$11:CL$35,"n.b.")</f>
        <v/>
      </c>
      <c r="V837" s="62">
        <f>COUNT('Übung 20'!CL$11:CL$35)+COUNTIF('Übung 20'!CL$11:CL$35,"n.b.")</f>
        <v/>
      </c>
    </row>
    <row r="838">
      <c r="C838" s="62">
        <f>COUNT('Übung 01'!CM$11:CM$35)+COUNTIF('Übung 01'!CM$11:CM$35,"n.b.")</f>
        <v/>
      </c>
      <c r="D838" s="62">
        <f>COUNT('Übung 02'!CM$11:CM$35)+COUNTIF('Übung 02'!CM$11:CM$35,"n.b.")</f>
        <v/>
      </c>
      <c r="E838" s="62">
        <f>COUNT('Übung 03'!CM$11:CM$35)+COUNTIF('Übung 03'!CM$11:CM$35,"n.b.")</f>
        <v/>
      </c>
      <c r="F838" s="62">
        <f>COUNT('Übung 04'!CM$11:CM$35)+COUNTIF('Übung 04'!CM$11:CM$35,"n.b.")</f>
        <v/>
      </c>
      <c r="G838" s="62">
        <f>COUNT('Übung 05'!CM$11:CM$35)+COUNTIF('Übung 05'!CM$11:CM$35,"n.b.")</f>
        <v/>
      </c>
      <c r="H838" s="62">
        <f>COUNT('Übung 06'!CM$11:CM$35)+COUNTIF('Übung 06'!CM$11:CM$35,"n.b.")</f>
        <v/>
      </c>
      <c r="I838" s="62">
        <f>COUNT('Übung 07'!CM$11:CM$35)+COUNTIF('Übung 07'!CM$11:CM$35,"n.b.")</f>
        <v/>
      </c>
      <c r="J838" s="62">
        <f>COUNT('Übung 08'!CM$11:CM$35)+COUNTIF('Übung 08'!CM$11:CM$35,"n.b.")</f>
        <v/>
      </c>
      <c r="K838" s="62">
        <f>COUNT('Übung 09'!CM$11:CM$35)+COUNTIF('Übung 09'!CM$11:CM$35,"n.b.")</f>
        <v/>
      </c>
      <c r="L838" s="62">
        <f>COUNT('Übung 10'!CM$11:CM$35)+COUNTIF('Übung 10'!CM$11:CM$35,"n.b.")</f>
        <v/>
      </c>
      <c r="M838" s="62">
        <f>COUNT('Übung 11'!CM$11:CM$35)+COUNTIF('Übung 11'!CM$11:CM$35,"n.b.")</f>
        <v/>
      </c>
      <c r="N838" s="62">
        <f>COUNT('Übung 12'!CM$11:CM$35)+COUNTIF('Übung 12'!CM$11:CM$35,"n.b.")</f>
        <v/>
      </c>
      <c r="O838" s="62">
        <f>COUNT('Übung 13'!CM$11:CM$35)+COUNTIF('Übung 13'!CM$11:CM$35,"n.b.")</f>
        <v/>
      </c>
      <c r="P838" s="62">
        <f>COUNT('Übung 14'!CM$11:CM$35)+COUNTIF('Übung 14'!CM$11:CM$35,"n.b.")</f>
        <v/>
      </c>
      <c r="Q838" s="62">
        <f>COUNT('Übung 15'!CM$11:CM$35)+COUNTIF('Übung 15'!CM$11:CM$35,"n.b.")</f>
        <v/>
      </c>
      <c r="R838" s="62">
        <f>COUNT('Übung 16'!CM$11:CM$35)+COUNTIF('Übung 16'!CM$11:CM$35,"n.b.")</f>
        <v/>
      </c>
      <c r="S838" s="62">
        <f>COUNT('Übung 17'!CM$11:CM$35)+COUNTIF('Übung 17'!CM$11:CM$35,"n.b.")</f>
        <v/>
      </c>
      <c r="T838" s="62">
        <f>COUNT('Übung 18'!CM$11:CM$35)+COUNTIF('Übung 18'!CM$11:CM$35,"n.b.")</f>
        <v/>
      </c>
      <c r="U838" s="62">
        <f>COUNT('Übung 19'!CM$11:CM$35)+COUNTIF('Übung 19'!CM$11:CM$35,"n.b.")</f>
        <v/>
      </c>
      <c r="V838" s="62">
        <f>COUNT('Übung 20'!CM$11:CM$35)+COUNTIF('Übung 20'!CM$11:CM$35,"n.b.")</f>
        <v/>
      </c>
    </row>
    <row r="839">
      <c r="C839" s="62">
        <f>COUNT('Übung 01'!CN$11:CN$35)+COUNTIF('Übung 01'!CN$11:CN$35,"n.b.")</f>
        <v/>
      </c>
      <c r="D839" s="62">
        <f>COUNT('Übung 02'!CN$11:CN$35)+COUNTIF('Übung 02'!CN$11:CN$35,"n.b.")</f>
        <v/>
      </c>
      <c r="E839" s="62">
        <f>COUNT('Übung 03'!CN$11:CN$35)+COUNTIF('Übung 03'!CN$11:CN$35,"n.b.")</f>
        <v/>
      </c>
      <c r="F839" s="62">
        <f>COUNT('Übung 04'!CN$11:CN$35)+COUNTIF('Übung 04'!CN$11:CN$35,"n.b.")</f>
        <v/>
      </c>
      <c r="G839" s="62">
        <f>COUNT('Übung 05'!CN$11:CN$35)+COUNTIF('Übung 05'!CN$11:CN$35,"n.b.")</f>
        <v/>
      </c>
      <c r="H839" s="62">
        <f>COUNT('Übung 06'!CN$11:CN$35)+COUNTIF('Übung 06'!CN$11:CN$35,"n.b.")</f>
        <v/>
      </c>
      <c r="I839" s="62">
        <f>COUNT('Übung 07'!CN$11:CN$35)+COUNTIF('Übung 07'!CN$11:CN$35,"n.b.")</f>
        <v/>
      </c>
      <c r="J839" s="62">
        <f>COUNT('Übung 08'!CN$11:CN$35)+COUNTIF('Übung 08'!CN$11:CN$35,"n.b.")</f>
        <v/>
      </c>
      <c r="K839" s="62">
        <f>COUNT('Übung 09'!CN$11:CN$35)+COUNTIF('Übung 09'!CN$11:CN$35,"n.b.")</f>
        <v/>
      </c>
      <c r="L839" s="62">
        <f>COUNT('Übung 10'!CN$11:CN$35)+COUNTIF('Übung 10'!CN$11:CN$35,"n.b.")</f>
        <v/>
      </c>
      <c r="M839" s="62">
        <f>COUNT('Übung 11'!CN$11:CN$35)+COUNTIF('Übung 11'!CN$11:CN$35,"n.b.")</f>
        <v/>
      </c>
      <c r="N839" s="62">
        <f>COUNT('Übung 12'!CN$11:CN$35)+COUNTIF('Übung 12'!CN$11:CN$35,"n.b.")</f>
        <v/>
      </c>
      <c r="O839" s="62">
        <f>COUNT('Übung 13'!CN$11:CN$35)+COUNTIF('Übung 13'!CN$11:CN$35,"n.b.")</f>
        <v/>
      </c>
      <c r="P839" s="62">
        <f>COUNT('Übung 14'!CN$11:CN$35)+COUNTIF('Übung 14'!CN$11:CN$35,"n.b.")</f>
        <v/>
      </c>
      <c r="Q839" s="62">
        <f>COUNT('Übung 15'!CN$11:CN$35)+COUNTIF('Übung 15'!CN$11:CN$35,"n.b.")</f>
        <v/>
      </c>
      <c r="R839" s="62">
        <f>COUNT('Übung 16'!CN$11:CN$35)+COUNTIF('Übung 16'!CN$11:CN$35,"n.b.")</f>
        <v/>
      </c>
      <c r="S839" s="62">
        <f>COUNT('Übung 17'!CN$11:CN$35)+COUNTIF('Übung 17'!CN$11:CN$35,"n.b.")</f>
        <v/>
      </c>
      <c r="T839" s="62">
        <f>COUNT('Übung 18'!CN$11:CN$35)+COUNTIF('Übung 18'!CN$11:CN$35,"n.b.")</f>
        <v/>
      </c>
      <c r="U839" s="62">
        <f>COUNT('Übung 19'!CN$11:CN$35)+COUNTIF('Übung 19'!CN$11:CN$35,"n.b.")</f>
        <v/>
      </c>
      <c r="V839" s="62">
        <f>COUNT('Übung 20'!CN$11:CN$35)+COUNTIF('Übung 20'!CN$11:CN$35,"n.b.")</f>
        <v/>
      </c>
    </row>
    <row r="840">
      <c r="C840" s="62">
        <f>COUNT('Übung 01'!CO$11:CO$35)+COUNTIF('Übung 01'!CO$11:CO$35,"n.b.")</f>
        <v/>
      </c>
      <c r="D840" s="62">
        <f>COUNT('Übung 02'!CO$11:CO$35)+COUNTIF('Übung 02'!CO$11:CO$35,"n.b.")</f>
        <v/>
      </c>
      <c r="E840" s="62">
        <f>COUNT('Übung 03'!CO$11:CO$35)+COUNTIF('Übung 03'!CO$11:CO$35,"n.b.")</f>
        <v/>
      </c>
      <c r="F840" s="62">
        <f>COUNT('Übung 04'!CO$11:CO$35)+COUNTIF('Übung 04'!CO$11:CO$35,"n.b.")</f>
        <v/>
      </c>
      <c r="G840" s="62">
        <f>COUNT('Übung 05'!CO$11:CO$35)+COUNTIF('Übung 05'!CO$11:CO$35,"n.b.")</f>
        <v/>
      </c>
      <c r="H840" s="62">
        <f>COUNT('Übung 06'!CO$11:CO$35)+COUNTIF('Übung 06'!CO$11:CO$35,"n.b.")</f>
        <v/>
      </c>
      <c r="I840" s="62">
        <f>COUNT('Übung 07'!CO$11:CO$35)+COUNTIF('Übung 07'!CO$11:CO$35,"n.b.")</f>
        <v/>
      </c>
      <c r="J840" s="62">
        <f>COUNT('Übung 08'!CO$11:CO$35)+COUNTIF('Übung 08'!CO$11:CO$35,"n.b.")</f>
        <v/>
      </c>
      <c r="K840" s="62">
        <f>COUNT('Übung 09'!CO$11:CO$35)+COUNTIF('Übung 09'!CO$11:CO$35,"n.b.")</f>
        <v/>
      </c>
      <c r="L840" s="62">
        <f>COUNT('Übung 10'!CO$11:CO$35)+COUNTIF('Übung 10'!CO$11:CO$35,"n.b.")</f>
        <v/>
      </c>
      <c r="M840" s="62">
        <f>COUNT('Übung 11'!CO$11:CO$35)+COUNTIF('Übung 11'!CO$11:CO$35,"n.b.")</f>
        <v/>
      </c>
      <c r="N840" s="62">
        <f>COUNT('Übung 12'!CO$11:CO$35)+COUNTIF('Übung 12'!CO$11:CO$35,"n.b.")</f>
        <v/>
      </c>
      <c r="O840" s="62">
        <f>COUNT('Übung 13'!CO$11:CO$35)+COUNTIF('Übung 13'!CO$11:CO$35,"n.b.")</f>
        <v/>
      </c>
      <c r="P840" s="62">
        <f>COUNT('Übung 14'!CO$11:CO$35)+COUNTIF('Übung 14'!CO$11:CO$35,"n.b.")</f>
        <v/>
      </c>
      <c r="Q840" s="62">
        <f>COUNT('Übung 15'!CO$11:CO$35)+COUNTIF('Übung 15'!CO$11:CO$35,"n.b.")</f>
        <v/>
      </c>
      <c r="R840" s="62">
        <f>COUNT('Übung 16'!CO$11:CO$35)+COUNTIF('Übung 16'!CO$11:CO$35,"n.b.")</f>
        <v/>
      </c>
      <c r="S840" s="62">
        <f>COUNT('Übung 17'!CO$11:CO$35)+COUNTIF('Übung 17'!CO$11:CO$35,"n.b.")</f>
        <v/>
      </c>
      <c r="T840" s="62">
        <f>COUNT('Übung 18'!CO$11:CO$35)+COUNTIF('Übung 18'!CO$11:CO$35,"n.b.")</f>
        <v/>
      </c>
      <c r="U840" s="62">
        <f>COUNT('Übung 19'!CO$11:CO$35)+COUNTIF('Übung 19'!CO$11:CO$35,"n.b.")</f>
        <v/>
      </c>
      <c r="V840" s="62">
        <f>COUNT('Übung 20'!CO$11:CO$35)+COUNTIF('Übung 20'!CO$11:CO$35,"n.b.")</f>
        <v/>
      </c>
    </row>
    <row r="841">
      <c r="C841" s="62">
        <f>COUNT('Übung 01'!CP$11:CP$35)+COUNTIF('Übung 01'!CP$11:CP$35,"n.b.")</f>
        <v/>
      </c>
      <c r="D841" s="62">
        <f>COUNT('Übung 02'!CP$11:CP$35)+COUNTIF('Übung 02'!CP$11:CP$35,"n.b.")</f>
        <v/>
      </c>
      <c r="E841" s="62">
        <f>COUNT('Übung 03'!CP$11:CP$35)+COUNTIF('Übung 03'!CP$11:CP$35,"n.b.")</f>
        <v/>
      </c>
      <c r="F841" s="62">
        <f>COUNT('Übung 04'!CP$11:CP$35)+COUNTIF('Übung 04'!CP$11:CP$35,"n.b.")</f>
        <v/>
      </c>
      <c r="G841" s="62">
        <f>COUNT('Übung 05'!CP$11:CP$35)+COUNTIF('Übung 05'!CP$11:CP$35,"n.b.")</f>
        <v/>
      </c>
      <c r="H841" s="62">
        <f>COUNT('Übung 06'!CP$11:CP$35)+COUNTIF('Übung 06'!CP$11:CP$35,"n.b.")</f>
        <v/>
      </c>
      <c r="I841" s="62">
        <f>COUNT('Übung 07'!CP$11:CP$35)+COUNTIF('Übung 07'!CP$11:CP$35,"n.b.")</f>
        <v/>
      </c>
      <c r="J841" s="62">
        <f>COUNT('Übung 08'!CP$11:CP$35)+COUNTIF('Übung 08'!CP$11:CP$35,"n.b.")</f>
        <v/>
      </c>
      <c r="K841" s="62">
        <f>COUNT('Übung 09'!CP$11:CP$35)+COUNTIF('Übung 09'!CP$11:CP$35,"n.b.")</f>
        <v/>
      </c>
      <c r="L841" s="62">
        <f>COUNT('Übung 10'!CP$11:CP$35)+COUNTIF('Übung 10'!CP$11:CP$35,"n.b.")</f>
        <v/>
      </c>
      <c r="M841" s="62">
        <f>COUNT('Übung 11'!CP$11:CP$35)+COUNTIF('Übung 11'!CP$11:CP$35,"n.b.")</f>
        <v/>
      </c>
      <c r="N841" s="62">
        <f>COUNT('Übung 12'!CP$11:CP$35)+COUNTIF('Übung 12'!CP$11:CP$35,"n.b.")</f>
        <v/>
      </c>
      <c r="O841" s="62">
        <f>COUNT('Übung 13'!CP$11:CP$35)+COUNTIF('Übung 13'!CP$11:CP$35,"n.b.")</f>
        <v/>
      </c>
      <c r="P841" s="62">
        <f>COUNT('Übung 14'!CP$11:CP$35)+COUNTIF('Übung 14'!CP$11:CP$35,"n.b.")</f>
        <v/>
      </c>
      <c r="Q841" s="62">
        <f>COUNT('Übung 15'!CP$11:CP$35)+COUNTIF('Übung 15'!CP$11:CP$35,"n.b.")</f>
        <v/>
      </c>
      <c r="R841" s="62">
        <f>COUNT('Übung 16'!CP$11:CP$35)+COUNTIF('Übung 16'!CP$11:CP$35,"n.b.")</f>
        <v/>
      </c>
      <c r="S841" s="62">
        <f>COUNT('Übung 17'!CP$11:CP$35)+COUNTIF('Übung 17'!CP$11:CP$35,"n.b.")</f>
        <v/>
      </c>
      <c r="T841" s="62">
        <f>COUNT('Übung 18'!CP$11:CP$35)+COUNTIF('Übung 18'!CP$11:CP$35,"n.b.")</f>
        <v/>
      </c>
      <c r="U841" s="62">
        <f>COUNT('Übung 19'!CP$11:CP$35)+COUNTIF('Übung 19'!CP$11:CP$35,"n.b.")</f>
        <v/>
      </c>
      <c r="V841" s="62">
        <f>COUNT('Übung 20'!CP$11:CP$35)+COUNTIF('Übung 20'!CP$11:CP$35,"n.b.")</f>
        <v/>
      </c>
    </row>
    <row r="842">
      <c r="C842" s="62">
        <f>COUNT('Übung 01'!CQ$11:CQ$35)+COUNTIF('Übung 01'!CQ$11:CQ$35,"n.b.")</f>
        <v/>
      </c>
      <c r="D842" s="62">
        <f>COUNT('Übung 02'!CQ$11:CQ$35)+COUNTIF('Übung 02'!CQ$11:CQ$35,"n.b.")</f>
        <v/>
      </c>
      <c r="E842" s="62">
        <f>COUNT('Übung 03'!CQ$11:CQ$35)+COUNTIF('Übung 03'!CQ$11:CQ$35,"n.b.")</f>
        <v/>
      </c>
      <c r="F842" s="62">
        <f>COUNT('Übung 04'!CQ$11:CQ$35)+COUNTIF('Übung 04'!CQ$11:CQ$35,"n.b.")</f>
        <v/>
      </c>
      <c r="G842" s="62">
        <f>COUNT('Übung 05'!CQ$11:CQ$35)+COUNTIF('Übung 05'!CQ$11:CQ$35,"n.b.")</f>
        <v/>
      </c>
      <c r="H842" s="62">
        <f>COUNT('Übung 06'!CQ$11:CQ$35)+COUNTIF('Übung 06'!CQ$11:CQ$35,"n.b.")</f>
        <v/>
      </c>
      <c r="I842" s="62">
        <f>COUNT('Übung 07'!CQ$11:CQ$35)+COUNTIF('Übung 07'!CQ$11:CQ$35,"n.b.")</f>
        <v/>
      </c>
      <c r="J842" s="62">
        <f>COUNT('Übung 08'!CQ$11:CQ$35)+COUNTIF('Übung 08'!CQ$11:CQ$35,"n.b.")</f>
        <v/>
      </c>
      <c r="K842" s="62">
        <f>COUNT('Übung 09'!CQ$11:CQ$35)+COUNTIF('Übung 09'!CQ$11:CQ$35,"n.b.")</f>
        <v/>
      </c>
      <c r="L842" s="62">
        <f>COUNT('Übung 10'!CQ$11:CQ$35)+COUNTIF('Übung 10'!CQ$11:CQ$35,"n.b.")</f>
        <v/>
      </c>
      <c r="M842" s="62">
        <f>COUNT('Übung 11'!CQ$11:CQ$35)+COUNTIF('Übung 11'!CQ$11:CQ$35,"n.b.")</f>
        <v/>
      </c>
      <c r="N842" s="62">
        <f>COUNT('Übung 12'!CQ$11:CQ$35)+COUNTIF('Übung 12'!CQ$11:CQ$35,"n.b.")</f>
        <v/>
      </c>
      <c r="O842" s="62">
        <f>COUNT('Übung 13'!CQ$11:CQ$35)+COUNTIF('Übung 13'!CQ$11:CQ$35,"n.b.")</f>
        <v/>
      </c>
      <c r="P842" s="62">
        <f>COUNT('Übung 14'!CQ$11:CQ$35)+COUNTIF('Übung 14'!CQ$11:CQ$35,"n.b.")</f>
        <v/>
      </c>
      <c r="Q842" s="62">
        <f>COUNT('Übung 15'!CQ$11:CQ$35)+COUNTIF('Übung 15'!CQ$11:CQ$35,"n.b.")</f>
        <v/>
      </c>
      <c r="R842" s="62">
        <f>COUNT('Übung 16'!CQ$11:CQ$35)+COUNTIF('Übung 16'!CQ$11:CQ$35,"n.b.")</f>
        <v/>
      </c>
      <c r="S842" s="62">
        <f>COUNT('Übung 17'!CQ$11:CQ$35)+COUNTIF('Übung 17'!CQ$11:CQ$35,"n.b.")</f>
        <v/>
      </c>
      <c r="T842" s="62">
        <f>COUNT('Übung 18'!CQ$11:CQ$35)+COUNTIF('Übung 18'!CQ$11:CQ$35,"n.b.")</f>
        <v/>
      </c>
      <c r="U842" s="62">
        <f>COUNT('Übung 19'!CQ$11:CQ$35)+COUNTIF('Übung 19'!CQ$11:CQ$35,"n.b.")</f>
        <v/>
      </c>
      <c r="V842" s="62">
        <f>COUNT('Übung 20'!CQ$11:CQ$35)+COUNTIF('Übung 20'!CQ$11:CQ$35,"n.b.")</f>
        <v/>
      </c>
    </row>
    <row r="843">
      <c r="C843" s="62">
        <f>COUNT('Übung 01'!CR$11:CR$35)+COUNTIF('Übung 01'!CR$11:CR$35,"n.b.")</f>
        <v/>
      </c>
      <c r="D843" s="62">
        <f>COUNT('Übung 02'!CR$11:CR$35)+COUNTIF('Übung 02'!CR$11:CR$35,"n.b.")</f>
        <v/>
      </c>
      <c r="E843" s="62">
        <f>COUNT('Übung 03'!CR$11:CR$35)+COUNTIF('Übung 03'!CR$11:CR$35,"n.b.")</f>
        <v/>
      </c>
      <c r="F843" s="62">
        <f>COUNT('Übung 04'!CR$11:CR$35)+COUNTIF('Übung 04'!CR$11:CR$35,"n.b.")</f>
        <v/>
      </c>
      <c r="G843" s="62">
        <f>COUNT('Übung 05'!CR$11:CR$35)+COUNTIF('Übung 05'!CR$11:CR$35,"n.b.")</f>
        <v/>
      </c>
      <c r="H843" s="62">
        <f>COUNT('Übung 06'!CR$11:CR$35)+COUNTIF('Übung 06'!CR$11:CR$35,"n.b.")</f>
        <v/>
      </c>
      <c r="I843" s="62">
        <f>COUNT('Übung 07'!CR$11:CR$35)+COUNTIF('Übung 07'!CR$11:CR$35,"n.b.")</f>
        <v/>
      </c>
      <c r="J843" s="62">
        <f>COUNT('Übung 08'!CR$11:CR$35)+COUNTIF('Übung 08'!CR$11:CR$35,"n.b.")</f>
        <v/>
      </c>
      <c r="K843" s="62">
        <f>COUNT('Übung 09'!CR$11:CR$35)+COUNTIF('Übung 09'!CR$11:CR$35,"n.b.")</f>
        <v/>
      </c>
      <c r="L843" s="62">
        <f>COUNT('Übung 10'!CR$11:CR$35)+COUNTIF('Übung 10'!CR$11:CR$35,"n.b.")</f>
        <v/>
      </c>
      <c r="M843" s="62">
        <f>COUNT('Übung 11'!CR$11:CR$35)+COUNTIF('Übung 11'!CR$11:CR$35,"n.b.")</f>
        <v/>
      </c>
      <c r="N843" s="62">
        <f>COUNT('Übung 12'!CR$11:CR$35)+COUNTIF('Übung 12'!CR$11:CR$35,"n.b.")</f>
        <v/>
      </c>
      <c r="O843" s="62">
        <f>COUNT('Übung 13'!CR$11:CR$35)+COUNTIF('Übung 13'!CR$11:CR$35,"n.b.")</f>
        <v/>
      </c>
      <c r="P843" s="62">
        <f>COUNT('Übung 14'!CR$11:CR$35)+COUNTIF('Übung 14'!CR$11:CR$35,"n.b.")</f>
        <v/>
      </c>
      <c r="Q843" s="62">
        <f>COUNT('Übung 15'!CR$11:CR$35)+COUNTIF('Übung 15'!CR$11:CR$35,"n.b.")</f>
        <v/>
      </c>
      <c r="R843" s="62">
        <f>COUNT('Übung 16'!CR$11:CR$35)+COUNTIF('Übung 16'!CR$11:CR$35,"n.b.")</f>
        <v/>
      </c>
      <c r="S843" s="62">
        <f>COUNT('Übung 17'!CR$11:CR$35)+COUNTIF('Übung 17'!CR$11:CR$35,"n.b.")</f>
        <v/>
      </c>
      <c r="T843" s="62">
        <f>COUNT('Übung 18'!CR$11:CR$35)+COUNTIF('Übung 18'!CR$11:CR$35,"n.b.")</f>
        <v/>
      </c>
      <c r="U843" s="62">
        <f>COUNT('Übung 19'!CR$11:CR$35)+COUNTIF('Übung 19'!CR$11:CR$35,"n.b.")</f>
        <v/>
      </c>
      <c r="V843" s="62">
        <f>COUNT('Übung 20'!CR$11:CR$35)+COUNTIF('Übung 20'!CR$11:CR$35,"n.b.")</f>
        <v/>
      </c>
    </row>
    <row r="844">
      <c r="C844" s="62">
        <f>COUNT('Übung 01'!CS$11:CS$35)+COUNTIF('Übung 01'!CS$11:CS$35,"n.b.")</f>
        <v/>
      </c>
      <c r="D844" s="62">
        <f>COUNT('Übung 02'!CS$11:CS$35)+COUNTIF('Übung 02'!CS$11:CS$35,"n.b.")</f>
        <v/>
      </c>
      <c r="E844" s="62">
        <f>COUNT('Übung 03'!CS$11:CS$35)+COUNTIF('Übung 03'!CS$11:CS$35,"n.b.")</f>
        <v/>
      </c>
      <c r="F844" s="62">
        <f>COUNT('Übung 04'!CS$11:CS$35)+COUNTIF('Übung 04'!CS$11:CS$35,"n.b.")</f>
        <v/>
      </c>
      <c r="G844" s="62">
        <f>COUNT('Übung 05'!CS$11:CS$35)+COUNTIF('Übung 05'!CS$11:CS$35,"n.b.")</f>
        <v/>
      </c>
      <c r="H844" s="62">
        <f>COUNT('Übung 06'!CS$11:CS$35)+COUNTIF('Übung 06'!CS$11:CS$35,"n.b.")</f>
        <v/>
      </c>
      <c r="I844" s="62">
        <f>COUNT('Übung 07'!CS$11:CS$35)+COUNTIF('Übung 07'!CS$11:CS$35,"n.b.")</f>
        <v/>
      </c>
      <c r="J844" s="62">
        <f>COUNT('Übung 08'!CS$11:CS$35)+COUNTIF('Übung 08'!CS$11:CS$35,"n.b.")</f>
        <v/>
      </c>
      <c r="K844" s="62">
        <f>COUNT('Übung 09'!CS$11:CS$35)+COUNTIF('Übung 09'!CS$11:CS$35,"n.b.")</f>
        <v/>
      </c>
      <c r="L844" s="62">
        <f>COUNT('Übung 10'!CS$11:CS$35)+COUNTIF('Übung 10'!CS$11:CS$35,"n.b.")</f>
        <v/>
      </c>
      <c r="M844" s="62">
        <f>COUNT('Übung 11'!CS$11:CS$35)+COUNTIF('Übung 11'!CS$11:CS$35,"n.b.")</f>
        <v/>
      </c>
      <c r="N844" s="62">
        <f>COUNT('Übung 12'!CS$11:CS$35)+COUNTIF('Übung 12'!CS$11:CS$35,"n.b.")</f>
        <v/>
      </c>
      <c r="O844" s="62">
        <f>COUNT('Übung 13'!CS$11:CS$35)+COUNTIF('Übung 13'!CS$11:CS$35,"n.b.")</f>
        <v/>
      </c>
      <c r="P844" s="62">
        <f>COUNT('Übung 14'!CS$11:CS$35)+COUNTIF('Übung 14'!CS$11:CS$35,"n.b.")</f>
        <v/>
      </c>
      <c r="Q844" s="62">
        <f>COUNT('Übung 15'!CS$11:CS$35)+COUNTIF('Übung 15'!CS$11:CS$35,"n.b.")</f>
        <v/>
      </c>
      <c r="R844" s="62">
        <f>COUNT('Übung 16'!CS$11:CS$35)+COUNTIF('Übung 16'!CS$11:CS$35,"n.b.")</f>
        <v/>
      </c>
      <c r="S844" s="62">
        <f>COUNT('Übung 17'!CS$11:CS$35)+COUNTIF('Übung 17'!CS$11:CS$35,"n.b.")</f>
        <v/>
      </c>
      <c r="T844" s="62">
        <f>COUNT('Übung 18'!CS$11:CS$35)+COUNTIF('Übung 18'!CS$11:CS$35,"n.b.")</f>
        <v/>
      </c>
      <c r="U844" s="62">
        <f>COUNT('Übung 19'!CS$11:CS$35)+COUNTIF('Übung 19'!CS$11:CS$35,"n.b.")</f>
        <v/>
      </c>
      <c r="V844" s="62">
        <f>COUNT('Übung 20'!CS$11:CS$35)+COUNTIF('Übung 20'!CS$11:CS$35,"n.b.")</f>
        <v/>
      </c>
    </row>
    <row r="845">
      <c r="C845" s="62">
        <f>COUNT('Übung 01'!CT$11:CT$35)+COUNTIF('Übung 01'!CT$11:CT$35,"n.b.")</f>
        <v/>
      </c>
      <c r="D845" s="62">
        <f>COUNT('Übung 02'!CT$11:CT$35)+COUNTIF('Übung 02'!CT$11:CT$35,"n.b.")</f>
        <v/>
      </c>
      <c r="E845" s="62">
        <f>COUNT('Übung 03'!CT$11:CT$35)+COUNTIF('Übung 03'!CT$11:CT$35,"n.b.")</f>
        <v/>
      </c>
      <c r="F845" s="62">
        <f>COUNT('Übung 04'!CT$11:CT$35)+COUNTIF('Übung 04'!CT$11:CT$35,"n.b.")</f>
        <v/>
      </c>
      <c r="G845" s="62">
        <f>COUNT('Übung 05'!CT$11:CT$35)+COUNTIF('Übung 05'!CT$11:CT$35,"n.b.")</f>
        <v/>
      </c>
      <c r="H845" s="62">
        <f>COUNT('Übung 06'!CT$11:CT$35)+COUNTIF('Übung 06'!CT$11:CT$35,"n.b.")</f>
        <v/>
      </c>
      <c r="I845" s="62">
        <f>COUNT('Übung 07'!CT$11:CT$35)+COUNTIF('Übung 07'!CT$11:CT$35,"n.b.")</f>
        <v/>
      </c>
      <c r="J845" s="62">
        <f>COUNT('Übung 08'!CT$11:CT$35)+COUNTIF('Übung 08'!CT$11:CT$35,"n.b.")</f>
        <v/>
      </c>
      <c r="K845" s="62">
        <f>COUNT('Übung 09'!CT$11:CT$35)+COUNTIF('Übung 09'!CT$11:CT$35,"n.b.")</f>
        <v/>
      </c>
      <c r="L845" s="62">
        <f>COUNT('Übung 10'!CT$11:CT$35)+COUNTIF('Übung 10'!CT$11:CT$35,"n.b.")</f>
        <v/>
      </c>
      <c r="M845" s="62">
        <f>COUNT('Übung 11'!CT$11:CT$35)+COUNTIF('Übung 11'!CT$11:CT$35,"n.b.")</f>
        <v/>
      </c>
      <c r="N845" s="62">
        <f>COUNT('Übung 12'!CT$11:CT$35)+COUNTIF('Übung 12'!CT$11:CT$35,"n.b.")</f>
        <v/>
      </c>
      <c r="O845" s="62">
        <f>COUNT('Übung 13'!CT$11:CT$35)+COUNTIF('Übung 13'!CT$11:CT$35,"n.b.")</f>
        <v/>
      </c>
      <c r="P845" s="62">
        <f>COUNT('Übung 14'!CT$11:CT$35)+COUNTIF('Übung 14'!CT$11:CT$35,"n.b.")</f>
        <v/>
      </c>
      <c r="Q845" s="62">
        <f>COUNT('Übung 15'!CT$11:CT$35)+COUNTIF('Übung 15'!CT$11:CT$35,"n.b.")</f>
        <v/>
      </c>
      <c r="R845" s="62">
        <f>COUNT('Übung 16'!CT$11:CT$35)+COUNTIF('Übung 16'!CT$11:CT$35,"n.b.")</f>
        <v/>
      </c>
      <c r="S845" s="62">
        <f>COUNT('Übung 17'!CT$11:CT$35)+COUNTIF('Übung 17'!CT$11:CT$35,"n.b.")</f>
        <v/>
      </c>
      <c r="T845" s="62">
        <f>COUNT('Übung 18'!CT$11:CT$35)+COUNTIF('Übung 18'!CT$11:CT$35,"n.b.")</f>
        <v/>
      </c>
      <c r="U845" s="62">
        <f>COUNT('Übung 19'!CT$11:CT$35)+COUNTIF('Übung 19'!CT$11:CT$35,"n.b.")</f>
        <v/>
      </c>
      <c r="V845" s="62">
        <f>COUNT('Übung 20'!CT$11:CT$35)+COUNTIF('Übung 20'!CT$11:CT$35,"n.b.")</f>
        <v/>
      </c>
    </row>
    <row r="846">
      <c r="C846" s="62">
        <f>COUNT('Übung 01'!CU$11:CU$35)+COUNTIF('Übung 01'!CU$11:CU$35,"n.b.")</f>
        <v/>
      </c>
      <c r="D846" s="62">
        <f>COUNT('Übung 02'!CU$11:CU$35)+COUNTIF('Übung 02'!CU$11:CU$35,"n.b.")</f>
        <v/>
      </c>
      <c r="E846" s="62">
        <f>COUNT('Übung 03'!CU$11:CU$35)+COUNTIF('Übung 03'!CU$11:CU$35,"n.b.")</f>
        <v/>
      </c>
      <c r="F846" s="62">
        <f>COUNT('Übung 04'!CU$11:CU$35)+COUNTIF('Übung 04'!CU$11:CU$35,"n.b.")</f>
        <v/>
      </c>
      <c r="G846" s="62">
        <f>COUNT('Übung 05'!CU$11:CU$35)+COUNTIF('Übung 05'!CU$11:CU$35,"n.b.")</f>
        <v/>
      </c>
      <c r="H846" s="62">
        <f>COUNT('Übung 06'!CU$11:CU$35)+COUNTIF('Übung 06'!CU$11:CU$35,"n.b.")</f>
        <v/>
      </c>
      <c r="I846" s="62">
        <f>COUNT('Übung 07'!CU$11:CU$35)+COUNTIF('Übung 07'!CU$11:CU$35,"n.b.")</f>
        <v/>
      </c>
      <c r="J846" s="62">
        <f>COUNT('Übung 08'!CU$11:CU$35)+COUNTIF('Übung 08'!CU$11:CU$35,"n.b.")</f>
        <v/>
      </c>
      <c r="K846" s="62">
        <f>COUNT('Übung 09'!CU$11:CU$35)+COUNTIF('Übung 09'!CU$11:CU$35,"n.b.")</f>
        <v/>
      </c>
      <c r="L846" s="62">
        <f>COUNT('Übung 10'!CU$11:CU$35)+COUNTIF('Übung 10'!CU$11:CU$35,"n.b.")</f>
        <v/>
      </c>
      <c r="M846" s="62">
        <f>COUNT('Übung 11'!CU$11:CU$35)+COUNTIF('Übung 11'!CU$11:CU$35,"n.b.")</f>
        <v/>
      </c>
      <c r="N846" s="62">
        <f>COUNT('Übung 12'!CU$11:CU$35)+COUNTIF('Übung 12'!CU$11:CU$35,"n.b.")</f>
        <v/>
      </c>
      <c r="O846" s="62">
        <f>COUNT('Übung 13'!CU$11:CU$35)+COUNTIF('Übung 13'!CU$11:CU$35,"n.b.")</f>
        <v/>
      </c>
      <c r="P846" s="62">
        <f>COUNT('Übung 14'!CU$11:CU$35)+COUNTIF('Übung 14'!CU$11:CU$35,"n.b.")</f>
        <v/>
      </c>
      <c r="Q846" s="62">
        <f>COUNT('Übung 15'!CU$11:CU$35)+COUNTIF('Übung 15'!CU$11:CU$35,"n.b.")</f>
        <v/>
      </c>
      <c r="R846" s="62">
        <f>COUNT('Übung 16'!CU$11:CU$35)+COUNTIF('Übung 16'!CU$11:CU$35,"n.b.")</f>
        <v/>
      </c>
      <c r="S846" s="62">
        <f>COUNT('Übung 17'!CU$11:CU$35)+COUNTIF('Übung 17'!CU$11:CU$35,"n.b.")</f>
        <v/>
      </c>
      <c r="T846" s="62">
        <f>COUNT('Übung 18'!CU$11:CU$35)+COUNTIF('Übung 18'!CU$11:CU$35,"n.b.")</f>
        <v/>
      </c>
      <c r="U846" s="62">
        <f>COUNT('Übung 19'!CU$11:CU$35)+COUNTIF('Übung 19'!CU$11:CU$35,"n.b.")</f>
        <v/>
      </c>
      <c r="V846" s="62">
        <f>COUNT('Übung 20'!CU$11:CU$35)+COUNTIF('Übung 20'!CU$11:CU$35,"n.b.")</f>
        <v/>
      </c>
    </row>
    <row r="847">
      <c r="C847" s="62">
        <f>COUNT('Übung 01'!CV$11:CV$35)+COUNTIF('Übung 01'!CV$11:CV$35,"n.b.")</f>
        <v/>
      </c>
      <c r="D847" s="62">
        <f>COUNT('Übung 02'!CV$11:CV$35)+COUNTIF('Übung 02'!CV$11:CV$35,"n.b.")</f>
        <v/>
      </c>
      <c r="E847" s="62">
        <f>COUNT('Übung 03'!CV$11:CV$35)+COUNTIF('Übung 03'!CV$11:CV$35,"n.b.")</f>
        <v/>
      </c>
      <c r="F847" s="62">
        <f>COUNT('Übung 04'!CV$11:CV$35)+COUNTIF('Übung 04'!CV$11:CV$35,"n.b.")</f>
        <v/>
      </c>
      <c r="G847" s="62">
        <f>COUNT('Übung 05'!CV$11:CV$35)+COUNTIF('Übung 05'!CV$11:CV$35,"n.b.")</f>
        <v/>
      </c>
      <c r="H847" s="62">
        <f>COUNT('Übung 06'!CV$11:CV$35)+COUNTIF('Übung 06'!CV$11:CV$35,"n.b.")</f>
        <v/>
      </c>
      <c r="I847" s="62">
        <f>COUNT('Übung 07'!CV$11:CV$35)+COUNTIF('Übung 07'!CV$11:CV$35,"n.b.")</f>
        <v/>
      </c>
      <c r="J847" s="62">
        <f>COUNT('Übung 08'!CV$11:CV$35)+COUNTIF('Übung 08'!CV$11:CV$35,"n.b.")</f>
        <v/>
      </c>
      <c r="K847" s="62">
        <f>COUNT('Übung 09'!CV$11:CV$35)+COUNTIF('Übung 09'!CV$11:CV$35,"n.b.")</f>
        <v/>
      </c>
      <c r="L847" s="62">
        <f>COUNT('Übung 10'!CV$11:CV$35)+COUNTIF('Übung 10'!CV$11:CV$35,"n.b.")</f>
        <v/>
      </c>
      <c r="M847" s="62">
        <f>COUNT('Übung 11'!CV$11:CV$35)+COUNTIF('Übung 11'!CV$11:CV$35,"n.b.")</f>
        <v/>
      </c>
      <c r="N847" s="62">
        <f>COUNT('Übung 12'!CV$11:CV$35)+COUNTIF('Übung 12'!CV$11:CV$35,"n.b.")</f>
        <v/>
      </c>
      <c r="O847" s="62">
        <f>COUNT('Übung 13'!CV$11:CV$35)+COUNTIF('Übung 13'!CV$11:CV$35,"n.b.")</f>
        <v/>
      </c>
      <c r="P847" s="62">
        <f>COUNT('Übung 14'!CV$11:CV$35)+COUNTIF('Übung 14'!CV$11:CV$35,"n.b.")</f>
        <v/>
      </c>
      <c r="Q847" s="62">
        <f>COUNT('Übung 15'!CV$11:CV$35)+COUNTIF('Übung 15'!CV$11:CV$35,"n.b.")</f>
        <v/>
      </c>
      <c r="R847" s="62">
        <f>COUNT('Übung 16'!CV$11:CV$35)+COUNTIF('Übung 16'!CV$11:CV$35,"n.b.")</f>
        <v/>
      </c>
      <c r="S847" s="62">
        <f>COUNT('Übung 17'!CV$11:CV$35)+COUNTIF('Übung 17'!CV$11:CV$35,"n.b.")</f>
        <v/>
      </c>
      <c r="T847" s="62">
        <f>COUNT('Übung 18'!CV$11:CV$35)+COUNTIF('Übung 18'!CV$11:CV$35,"n.b.")</f>
        <v/>
      </c>
      <c r="U847" s="62">
        <f>COUNT('Übung 19'!CV$11:CV$35)+COUNTIF('Übung 19'!CV$11:CV$35,"n.b.")</f>
        <v/>
      </c>
      <c r="V847" s="62">
        <f>COUNT('Übung 20'!CV$11:CV$35)+COUNTIF('Übung 20'!CV$11:CV$35,"n.b.")</f>
        <v/>
      </c>
    </row>
    <row r="848">
      <c r="C848" s="62">
        <f>COUNT('Übung 01'!CW$11:CW$35)+COUNTIF('Übung 01'!CW$11:CW$35,"n.b.")</f>
        <v/>
      </c>
      <c r="D848" s="62">
        <f>COUNT('Übung 02'!CW$11:CW$35)+COUNTIF('Übung 02'!CW$11:CW$35,"n.b.")</f>
        <v/>
      </c>
      <c r="E848" s="62">
        <f>COUNT('Übung 03'!CW$11:CW$35)+COUNTIF('Übung 03'!CW$11:CW$35,"n.b.")</f>
        <v/>
      </c>
      <c r="F848" s="62">
        <f>COUNT('Übung 04'!CW$11:CW$35)+COUNTIF('Übung 04'!CW$11:CW$35,"n.b.")</f>
        <v/>
      </c>
      <c r="G848" s="62">
        <f>COUNT('Übung 05'!CW$11:CW$35)+COUNTIF('Übung 05'!CW$11:CW$35,"n.b.")</f>
        <v/>
      </c>
      <c r="H848" s="62">
        <f>COUNT('Übung 06'!CW$11:CW$35)+COUNTIF('Übung 06'!CW$11:CW$35,"n.b.")</f>
        <v/>
      </c>
      <c r="I848" s="62">
        <f>COUNT('Übung 07'!CW$11:CW$35)+COUNTIF('Übung 07'!CW$11:CW$35,"n.b.")</f>
        <v/>
      </c>
      <c r="J848" s="62">
        <f>COUNT('Übung 08'!CW$11:CW$35)+COUNTIF('Übung 08'!CW$11:CW$35,"n.b.")</f>
        <v/>
      </c>
      <c r="K848" s="62">
        <f>COUNT('Übung 09'!CW$11:CW$35)+COUNTIF('Übung 09'!CW$11:CW$35,"n.b.")</f>
        <v/>
      </c>
      <c r="L848" s="62">
        <f>COUNT('Übung 10'!CW$11:CW$35)+COUNTIF('Übung 10'!CW$11:CW$35,"n.b.")</f>
        <v/>
      </c>
      <c r="M848" s="62">
        <f>COUNT('Übung 11'!CW$11:CW$35)+COUNTIF('Übung 11'!CW$11:CW$35,"n.b.")</f>
        <v/>
      </c>
      <c r="N848" s="62">
        <f>COUNT('Übung 12'!CW$11:CW$35)+COUNTIF('Übung 12'!CW$11:CW$35,"n.b.")</f>
        <v/>
      </c>
      <c r="O848" s="62">
        <f>COUNT('Übung 13'!CW$11:CW$35)+COUNTIF('Übung 13'!CW$11:CW$35,"n.b.")</f>
        <v/>
      </c>
      <c r="P848" s="62">
        <f>COUNT('Übung 14'!CW$11:CW$35)+COUNTIF('Übung 14'!CW$11:CW$35,"n.b.")</f>
        <v/>
      </c>
      <c r="Q848" s="62">
        <f>COUNT('Übung 15'!CW$11:CW$35)+COUNTIF('Übung 15'!CW$11:CW$35,"n.b.")</f>
        <v/>
      </c>
      <c r="R848" s="62">
        <f>COUNT('Übung 16'!CW$11:CW$35)+COUNTIF('Übung 16'!CW$11:CW$35,"n.b.")</f>
        <v/>
      </c>
      <c r="S848" s="62">
        <f>COUNT('Übung 17'!CW$11:CW$35)+COUNTIF('Übung 17'!CW$11:CW$35,"n.b.")</f>
        <v/>
      </c>
      <c r="T848" s="62">
        <f>COUNT('Übung 18'!CW$11:CW$35)+COUNTIF('Übung 18'!CW$11:CW$35,"n.b.")</f>
        <v/>
      </c>
      <c r="U848" s="62">
        <f>COUNT('Übung 19'!CW$11:CW$35)+COUNTIF('Übung 19'!CW$11:CW$35,"n.b.")</f>
        <v/>
      </c>
      <c r="V848" s="62">
        <f>COUNT('Übung 20'!CW$11:CW$35)+COUNTIF('Übung 20'!CW$11:CW$35,"n.b.")</f>
        <v/>
      </c>
    </row>
    <row r="849">
      <c r="C849" s="62">
        <f>COUNT('Übung 01'!CX$11:CX$35)+COUNTIF('Übung 01'!CX$11:CX$35,"n.b.")</f>
        <v/>
      </c>
      <c r="D849" s="62">
        <f>COUNT('Übung 02'!CX$11:CX$35)+COUNTIF('Übung 02'!CX$11:CX$35,"n.b.")</f>
        <v/>
      </c>
      <c r="E849" s="62">
        <f>COUNT('Übung 03'!CX$11:CX$35)+COUNTIF('Übung 03'!CX$11:CX$35,"n.b.")</f>
        <v/>
      </c>
      <c r="F849" s="62">
        <f>COUNT('Übung 04'!CX$11:CX$35)+COUNTIF('Übung 04'!CX$11:CX$35,"n.b.")</f>
        <v/>
      </c>
      <c r="G849" s="62">
        <f>COUNT('Übung 05'!CX$11:CX$35)+COUNTIF('Übung 05'!CX$11:CX$35,"n.b.")</f>
        <v/>
      </c>
      <c r="H849" s="62">
        <f>COUNT('Übung 06'!CX$11:CX$35)+COUNTIF('Übung 06'!CX$11:CX$35,"n.b.")</f>
        <v/>
      </c>
      <c r="I849" s="62">
        <f>COUNT('Übung 07'!CX$11:CX$35)+COUNTIF('Übung 07'!CX$11:CX$35,"n.b.")</f>
        <v/>
      </c>
      <c r="J849" s="62">
        <f>COUNT('Übung 08'!CX$11:CX$35)+COUNTIF('Übung 08'!CX$11:CX$35,"n.b.")</f>
        <v/>
      </c>
      <c r="K849" s="62">
        <f>COUNT('Übung 09'!CX$11:CX$35)+COUNTIF('Übung 09'!CX$11:CX$35,"n.b.")</f>
        <v/>
      </c>
      <c r="L849" s="62">
        <f>COUNT('Übung 10'!CX$11:CX$35)+COUNTIF('Übung 10'!CX$11:CX$35,"n.b.")</f>
        <v/>
      </c>
      <c r="M849" s="62">
        <f>COUNT('Übung 11'!CX$11:CX$35)+COUNTIF('Übung 11'!CX$11:CX$35,"n.b.")</f>
        <v/>
      </c>
      <c r="N849" s="62">
        <f>COUNT('Übung 12'!CX$11:CX$35)+COUNTIF('Übung 12'!CX$11:CX$35,"n.b.")</f>
        <v/>
      </c>
      <c r="O849" s="62">
        <f>COUNT('Übung 13'!CX$11:CX$35)+COUNTIF('Übung 13'!CX$11:CX$35,"n.b.")</f>
        <v/>
      </c>
      <c r="P849" s="62">
        <f>COUNT('Übung 14'!CX$11:CX$35)+COUNTIF('Übung 14'!CX$11:CX$35,"n.b.")</f>
        <v/>
      </c>
      <c r="Q849" s="62">
        <f>COUNT('Übung 15'!CX$11:CX$35)+COUNTIF('Übung 15'!CX$11:CX$35,"n.b.")</f>
        <v/>
      </c>
      <c r="R849" s="62">
        <f>COUNT('Übung 16'!CX$11:CX$35)+COUNTIF('Übung 16'!CX$11:CX$35,"n.b.")</f>
        <v/>
      </c>
      <c r="S849" s="62">
        <f>COUNT('Übung 17'!CX$11:CX$35)+COUNTIF('Übung 17'!CX$11:CX$35,"n.b.")</f>
        <v/>
      </c>
      <c r="T849" s="62">
        <f>COUNT('Übung 18'!CX$11:CX$35)+COUNTIF('Übung 18'!CX$11:CX$35,"n.b.")</f>
        <v/>
      </c>
      <c r="U849" s="62">
        <f>COUNT('Übung 19'!CX$11:CX$35)+COUNTIF('Übung 19'!CX$11:CX$35,"n.b.")</f>
        <v/>
      </c>
      <c r="V849" s="62">
        <f>COUNT('Übung 20'!CX$11:CX$35)+COUNTIF('Übung 20'!CX$11:CX$35,"n.b.")</f>
        <v/>
      </c>
    </row>
    <row r="850">
      <c r="C850" s="62">
        <f>COUNT('Übung 01'!CY$11:CY$35)+COUNTIF('Übung 01'!CY$11:CY$35,"n.b.")</f>
        <v/>
      </c>
      <c r="D850" s="62">
        <f>COUNT('Übung 02'!CY$11:CY$35)+COUNTIF('Übung 02'!CY$11:CY$35,"n.b.")</f>
        <v/>
      </c>
      <c r="E850" s="62">
        <f>COUNT('Übung 03'!CY$11:CY$35)+COUNTIF('Übung 03'!CY$11:CY$35,"n.b.")</f>
        <v/>
      </c>
      <c r="F850" s="62">
        <f>COUNT('Übung 04'!CY$11:CY$35)+COUNTIF('Übung 04'!CY$11:CY$35,"n.b.")</f>
        <v/>
      </c>
      <c r="G850" s="62">
        <f>COUNT('Übung 05'!CY$11:CY$35)+COUNTIF('Übung 05'!CY$11:CY$35,"n.b.")</f>
        <v/>
      </c>
      <c r="H850" s="62">
        <f>COUNT('Übung 06'!CY$11:CY$35)+COUNTIF('Übung 06'!CY$11:CY$35,"n.b.")</f>
        <v/>
      </c>
      <c r="I850" s="62">
        <f>COUNT('Übung 07'!CY$11:CY$35)+COUNTIF('Übung 07'!CY$11:CY$35,"n.b.")</f>
        <v/>
      </c>
      <c r="J850" s="62">
        <f>COUNT('Übung 08'!CY$11:CY$35)+COUNTIF('Übung 08'!CY$11:CY$35,"n.b.")</f>
        <v/>
      </c>
      <c r="K850" s="62">
        <f>COUNT('Übung 09'!CY$11:CY$35)+COUNTIF('Übung 09'!CY$11:CY$35,"n.b.")</f>
        <v/>
      </c>
      <c r="L850" s="62">
        <f>COUNT('Übung 10'!CY$11:CY$35)+COUNTIF('Übung 10'!CY$11:CY$35,"n.b.")</f>
        <v/>
      </c>
      <c r="M850" s="62">
        <f>COUNT('Übung 11'!CY$11:CY$35)+COUNTIF('Übung 11'!CY$11:CY$35,"n.b.")</f>
        <v/>
      </c>
      <c r="N850" s="62">
        <f>COUNT('Übung 12'!CY$11:CY$35)+COUNTIF('Übung 12'!CY$11:CY$35,"n.b.")</f>
        <v/>
      </c>
      <c r="O850" s="62">
        <f>COUNT('Übung 13'!CY$11:CY$35)+COUNTIF('Übung 13'!CY$11:CY$35,"n.b.")</f>
        <v/>
      </c>
      <c r="P850" s="62">
        <f>COUNT('Übung 14'!CY$11:CY$35)+COUNTIF('Übung 14'!CY$11:CY$35,"n.b.")</f>
        <v/>
      </c>
      <c r="Q850" s="62">
        <f>COUNT('Übung 15'!CY$11:CY$35)+COUNTIF('Übung 15'!CY$11:CY$35,"n.b.")</f>
        <v/>
      </c>
      <c r="R850" s="62">
        <f>COUNT('Übung 16'!CY$11:CY$35)+COUNTIF('Übung 16'!CY$11:CY$35,"n.b.")</f>
        <v/>
      </c>
      <c r="S850" s="62">
        <f>COUNT('Übung 17'!CY$11:CY$35)+COUNTIF('Übung 17'!CY$11:CY$35,"n.b.")</f>
        <v/>
      </c>
      <c r="T850" s="62">
        <f>COUNT('Übung 18'!CY$11:CY$35)+COUNTIF('Übung 18'!CY$11:CY$35,"n.b.")</f>
        <v/>
      </c>
      <c r="U850" s="62">
        <f>COUNT('Übung 19'!CY$11:CY$35)+COUNTIF('Übung 19'!CY$11:CY$35,"n.b.")</f>
        <v/>
      </c>
      <c r="V850" s="62">
        <f>COUNT('Übung 20'!CY$11:CY$35)+COUNTIF('Übung 20'!CY$11:CY$35,"n.b.")</f>
        <v/>
      </c>
    </row>
    <row r="851">
      <c r="C851" s="62">
        <f>COUNT('Übung 01'!CZ$11:CZ$35)+COUNTIF('Übung 01'!CZ$11:CZ$35,"n.b.")</f>
        <v/>
      </c>
      <c r="D851" s="62">
        <f>COUNT('Übung 02'!CZ$11:CZ$35)+COUNTIF('Übung 02'!CZ$11:CZ$35,"n.b.")</f>
        <v/>
      </c>
      <c r="E851" s="62">
        <f>COUNT('Übung 03'!CZ$11:CZ$35)+COUNTIF('Übung 03'!CZ$11:CZ$35,"n.b.")</f>
        <v/>
      </c>
      <c r="F851" s="62">
        <f>COUNT('Übung 04'!CZ$11:CZ$35)+COUNTIF('Übung 04'!CZ$11:CZ$35,"n.b.")</f>
        <v/>
      </c>
      <c r="G851" s="62">
        <f>COUNT('Übung 05'!CZ$11:CZ$35)+COUNTIF('Übung 05'!CZ$11:CZ$35,"n.b.")</f>
        <v/>
      </c>
      <c r="H851" s="62">
        <f>COUNT('Übung 06'!CZ$11:CZ$35)+COUNTIF('Übung 06'!CZ$11:CZ$35,"n.b.")</f>
        <v/>
      </c>
      <c r="I851" s="62">
        <f>COUNT('Übung 07'!CZ$11:CZ$35)+COUNTIF('Übung 07'!CZ$11:CZ$35,"n.b.")</f>
        <v/>
      </c>
      <c r="J851" s="62">
        <f>COUNT('Übung 08'!CZ$11:CZ$35)+COUNTIF('Übung 08'!CZ$11:CZ$35,"n.b.")</f>
        <v/>
      </c>
      <c r="K851" s="62">
        <f>COUNT('Übung 09'!CZ$11:CZ$35)+COUNTIF('Übung 09'!CZ$11:CZ$35,"n.b.")</f>
        <v/>
      </c>
      <c r="L851" s="62">
        <f>COUNT('Übung 10'!CZ$11:CZ$35)+COUNTIF('Übung 10'!CZ$11:CZ$35,"n.b.")</f>
        <v/>
      </c>
      <c r="M851" s="62">
        <f>COUNT('Übung 11'!CZ$11:CZ$35)+COUNTIF('Übung 11'!CZ$11:CZ$35,"n.b.")</f>
        <v/>
      </c>
      <c r="N851" s="62">
        <f>COUNT('Übung 12'!CZ$11:CZ$35)+COUNTIF('Übung 12'!CZ$11:CZ$35,"n.b.")</f>
        <v/>
      </c>
      <c r="O851" s="62">
        <f>COUNT('Übung 13'!CZ$11:CZ$35)+COUNTIF('Übung 13'!CZ$11:CZ$35,"n.b.")</f>
        <v/>
      </c>
      <c r="P851" s="62">
        <f>COUNT('Übung 14'!CZ$11:CZ$35)+COUNTIF('Übung 14'!CZ$11:CZ$35,"n.b.")</f>
        <v/>
      </c>
      <c r="Q851" s="62">
        <f>COUNT('Übung 15'!CZ$11:CZ$35)+COUNTIF('Übung 15'!CZ$11:CZ$35,"n.b.")</f>
        <v/>
      </c>
      <c r="R851" s="62">
        <f>COUNT('Übung 16'!CZ$11:CZ$35)+COUNTIF('Übung 16'!CZ$11:CZ$35,"n.b.")</f>
        <v/>
      </c>
      <c r="S851" s="62">
        <f>COUNT('Übung 17'!CZ$11:CZ$35)+COUNTIF('Übung 17'!CZ$11:CZ$35,"n.b.")</f>
        <v/>
      </c>
      <c r="T851" s="62">
        <f>COUNT('Übung 18'!CZ$11:CZ$35)+COUNTIF('Übung 18'!CZ$11:CZ$35,"n.b.")</f>
        <v/>
      </c>
      <c r="U851" s="62">
        <f>COUNT('Übung 19'!CZ$11:CZ$35)+COUNTIF('Übung 19'!CZ$11:CZ$35,"n.b.")</f>
        <v/>
      </c>
      <c r="V851" s="62">
        <f>COUNT('Übung 20'!CZ$11:CZ$35)+COUNTIF('Übung 20'!CZ$11:CZ$35,"n.b.")</f>
        <v/>
      </c>
    </row>
    <row r="852">
      <c r="C852" s="62">
        <f>COUNT('Übung 01'!DA$11:DA$35)+COUNTIF('Übung 01'!DA$11:DA$35,"n.b.")</f>
        <v/>
      </c>
      <c r="D852" s="62">
        <f>COUNT('Übung 02'!DA$11:DA$35)+COUNTIF('Übung 02'!DA$11:DA$35,"n.b.")</f>
        <v/>
      </c>
      <c r="E852" s="62">
        <f>COUNT('Übung 03'!DA$11:DA$35)+COUNTIF('Übung 03'!DA$11:DA$35,"n.b.")</f>
        <v/>
      </c>
      <c r="F852" s="62">
        <f>COUNT('Übung 04'!DA$11:DA$35)+COUNTIF('Übung 04'!DA$11:DA$35,"n.b.")</f>
        <v/>
      </c>
      <c r="G852" s="62">
        <f>COUNT('Übung 05'!DA$11:DA$35)+COUNTIF('Übung 05'!DA$11:DA$35,"n.b.")</f>
        <v/>
      </c>
      <c r="H852" s="62">
        <f>COUNT('Übung 06'!DA$11:DA$35)+COUNTIF('Übung 06'!DA$11:DA$35,"n.b.")</f>
        <v/>
      </c>
      <c r="I852" s="62">
        <f>COUNT('Übung 07'!DA$11:DA$35)+COUNTIF('Übung 07'!DA$11:DA$35,"n.b.")</f>
        <v/>
      </c>
      <c r="J852" s="62">
        <f>COUNT('Übung 08'!DA$11:DA$35)+COUNTIF('Übung 08'!DA$11:DA$35,"n.b.")</f>
        <v/>
      </c>
      <c r="K852" s="62">
        <f>COUNT('Übung 09'!DA$11:DA$35)+COUNTIF('Übung 09'!DA$11:DA$35,"n.b.")</f>
        <v/>
      </c>
      <c r="L852" s="62">
        <f>COUNT('Übung 10'!DA$11:DA$35)+COUNTIF('Übung 10'!DA$11:DA$35,"n.b.")</f>
        <v/>
      </c>
      <c r="M852" s="62">
        <f>COUNT('Übung 11'!DA$11:DA$35)+COUNTIF('Übung 11'!DA$11:DA$35,"n.b.")</f>
        <v/>
      </c>
      <c r="N852" s="62">
        <f>COUNT('Übung 12'!DA$11:DA$35)+COUNTIF('Übung 12'!DA$11:DA$35,"n.b.")</f>
        <v/>
      </c>
      <c r="O852" s="62">
        <f>COUNT('Übung 13'!DA$11:DA$35)+COUNTIF('Übung 13'!DA$11:DA$35,"n.b.")</f>
        <v/>
      </c>
      <c r="P852" s="62">
        <f>COUNT('Übung 14'!DA$11:DA$35)+COUNTIF('Übung 14'!DA$11:DA$35,"n.b.")</f>
        <v/>
      </c>
      <c r="Q852" s="62">
        <f>COUNT('Übung 15'!DA$11:DA$35)+COUNTIF('Übung 15'!DA$11:DA$35,"n.b.")</f>
        <v/>
      </c>
      <c r="R852" s="62">
        <f>COUNT('Übung 16'!DA$11:DA$35)+COUNTIF('Übung 16'!DA$11:DA$35,"n.b.")</f>
        <v/>
      </c>
      <c r="S852" s="62">
        <f>COUNT('Übung 17'!DA$11:DA$35)+COUNTIF('Übung 17'!DA$11:DA$35,"n.b.")</f>
        <v/>
      </c>
      <c r="T852" s="62">
        <f>COUNT('Übung 18'!DA$11:DA$35)+COUNTIF('Übung 18'!DA$11:DA$35,"n.b.")</f>
        <v/>
      </c>
      <c r="U852" s="62">
        <f>COUNT('Übung 19'!DA$11:DA$35)+COUNTIF('Übung 19'!DA$11:DA$35,"n.b.")</f>
        <v/>
      </c>
      <c r="V852" s="62">
        <f>COUNT('Übung 20'!DA$11:DA$35)+COUNTIF('Übung 20'!DA$11:DA$35,"n.b.")</f>
        <v/>
      </c>
    </row>
    <row r="853">
      <c r="C853" s="62">
        <f>COUNT('Übung 01'!DB$11:DB$35)+COUNTIF('Übung 01'!DB$11:DB$35,"n.b.")</f>
        <v/>
      </c>
      <c r="D853" s="62">
        <f>COUNT('Übung 02'!DB$11:DB$35)+COUNTIF('Übung 02'!DB$11:DB$35,"n.b.")</f>
        <v/>
      </c>
      <c r="E853" s="62">
        <f>COUNT('Übung 03'!DB$11:DB$35)+COUNTIF('Übung 03'!DB$11:DB$35,"n.b.")</f>
        <v/>
      </c>
      <c r="F853" s="62">
        <f>COUNT('Übung 04'!DB$11:DB$35)+COUNTIF('Übung 04'!DB$11:DB$35,"n.b.")</f>
        <v/>
      </c>
      <c r="G853" s="62">
        <f>COUNT('Übung 05'!DB$11:DB$35)+COUNTIF('Übung 05'!DB$11:DB$35,"n.b.")</f>
        <v/>
      </c>
      <c r="H853" s="62">
        <f>COUNT('Übung 06'!DB$11:DB$35)+COUNTIF('Übung 06'!DB$11:DB$35,"n.b.")</f>
        <v/>
      </c>
      <c r="I853" s="62">
        <f>COUNT('Übung 07'!DB$11:DB$35)+COUNTIF('Übung 07'!DB$11:DB$35,"n.b.")</f>
        <v/>
      </c>
      <c r="J853" s="62">
        <f>COUNT('Übung 08'!DB$11:DB$35)+COUNTIF('Übung 08'!DB$11:DB$35,"n.b.")</f>
        <v/>
      </c>
      <c r="K853" s="62">
        <f>COUNT('Übung 09'!DB$11:DB$35)+COUNTIF('Übung 09'!DB$11:DB$35,"n.b.")</f>
        <v/>
      </c>
      <c r="L853" s="62">
        <f>COUNT('Übung 10'!DB$11:DB$35)+COUNTIF('Übung 10'!DB$11:DB$35,"n.b.")</f>
        <v/>
      </c>
      <c r="M853" s="62">
        <f>COUNT('Übung 11'!DB$11:DB$35)+COUNTIF('Übung 11'!DB$11:DB$35,"n.b.")</f>
        <v/>
      </c>
      <c r="N853" s="62">
        <f>COUNT('Übung 12'!DB$11:DB$35)+COUNTIF('Übung 12'!DB$11:DB$35,"n.b.")</f>
        <v/>
      </c>
      <c r="O853" s="62">
        <f>COUNT('Übung 13'!DB$11:DB$35)+COUNTIF('Übung 13'!DB$11:DB$35,"n.b.")</f>
        <v/>
      </c>
      <c r="P853" s="62">
        <f>COUNT('Übung 14'!DB$11:DB$35)+COUNTIF('Übung 14'!DB$11:DB$35,"n.b.")</f>
        <v/>
      </c>
      <c r="Q853" s="62">
        <f>COUNT('Übung 15'!DB$11:DB$35)+COUNTIF('Übung 15'!DB$11:DB$35,"n.b.")</f>
        <v/>
      </c>
      <c r="R853" s="62">
        <f>COUNT('Übung 16'!DB$11:DB$35)+COUNTIF('Übung 16'!DB$11:DB$35,"n.b.")</f>
        <v/>
      </c>
      <c r="S853" s="62">
        <f>COUNT('Übung 17'!DB$11:DB$35)+COUNTIF('Übung 17'!DB$11:DB$35,"n.b.")</f>
        <v/>
      </c>
      <c r="T853" s="62">
        <f>COUNT('Übung 18'!DB$11:DB$35)+COUNTIF('Übung 18'!DB$11:DB$35,"n.b.")</f>
        <v/>
      </c>
      <c r="U853" s="62">
        <f>COUNT('Übung 19'!DB$11:DB$35)+COUNTIF('Übung 19'!DB$11:DB$35,"n.b.")</f>
        <v/>
      </c>
      <c r="V853" s="62">
        <f>COUNT('Übung 20'!DB$11:DB$35)+COUNTIF('Übung 20'!DB$11:DB$35,"n.b.")</f>
        <v/>
      </c>
    </row>
    <row r="854">
      <c r="C854" s="62">
        <f>COUNT('Übung 01'!DC$11:DC$35)+COUNTIF('Übung 01'!DC$11:DC$35,"n.b.")</f>
        <v/>
      </c>
      <c r="D854" s="62">
        <f>COUNT('Übung 02'!DC$11:DC$35)+COUNTIF('Übung 02'!DC$11:DC$35,"n.b.")</f>
        <v/>
      </c>
      <c r="E854" s="62">
        <f>COUNT('Übung 03'!DC$11:DC$35)+COUNTIF('Übung 03'!DC$11:DC$35,"n.b.")</f>
        <v/>
      </c>
      <c r="F854" s="62">
        <f>COUNT('Übung 04'!DC$11:DC$35)+COUNTIF('Übung 04'!DC$11:DC$35,"n.b.")</f>
        <v/>
      </c>
      <c r="G854" s="62">
        <f>COUNT('Übung 05'!DC$11:DC$35)+COUNTIF('Übung 05'!DC$11:DC$35,"n.b.")</f>
        <v/>
      </c>
      <c r="H854" s="62">
        <f>COUNT('Übung 06'!DC$11:DC$35)+COUNTIF('Übung 06'!DC$11:DC$35,"n.b.")</f>
        <v/>
      </c>
      <c r="I854" s="62">
        <f>COUNT('Übung 07'!DC$11:DC$35)+COUNTIF('Übung 07'!DC$11:DC$35,"n.b.")</f>
        <v/>
      </c>
      <c r="J854" s="62">
        <f>COUNT('Übung 08'!DC$11:DC$35)+COUNTIF('Übung 08'!DC$11:DC$35,"n.b.")</f>
        <v/>
      </c>
      <c r="K854" s="62">
        <f>COUNT('Übung 09'!DC$11:DC$35)+COUNTIF('Übung 09'!DC$11:DC$35,"n.b.")</f>
        <v/>
      </c>
      <c r="L854" s="62">
        <f>COUNT('Übung 10'!DC$11:DC$35)+COUNTIF('Übung 10'!DC$11:DC$35,"n.b.")</f>
        <v/>
      </c>
      <c r="M854" s="62">
        <f>COUNT('Übung 11'!DC$11:DC$35)+COUNTIF('Übung 11'!DC$11:DC$35,"n.b.")</f>
        <v/>
      </c>
      <c r="N854" s="62">
        <f>COUNT('Übung 12'!DC$11:DC$35)+COUNTIF('Übung 12'!DC$11:DC$35,"n.b.")</f>
        <v/>
      </c>
      <c r="O854" s="62">
        <f>COUNT('Übung 13'!DC$11:DC$35)+COUNTIF('Übung 13'!DC$11:DC$35,"n.b.")</f>
        <v/>
      </c>
      <c r="P854" s="62">
        <f>COUNT('Übung 14'!DC$11:DC$35)+COUNTIF('Übung 14'!DC$11:DC$35,"n.b.")</f>
        <v/>
      </c>
      <c r="Q854" s="62">
        <f>COUNT('Übung 15'!DC$11:DC$35)+COUNTIF('Übung 15'!DC$11:DC$35,"n.b.")</f>
        <v/>
      </c>
      <c r="R854" s="62">
        <f>COUNT('Übung 16'!DC$11:DC$35)+COUNTIF('Übung 16'!DC$11:DC$35,"n.b.")</f>
        <v/>
      </c>
      <c r="S854" s="62">
        <f>COUNT('Übung 17'!DC$11:DC$35)+COUNTIF('Übung 17'!DC$11:DC$35,"n.b.")</f>
        <v/>
      </c>
      <c r="T854" s="62">
        <f>COUNT('Übung 18'!DC$11:DC$35)+COUNTIF('Übung 18'!DC$11:DC$35,"n.b.")</f>
        <v/>
      </c>
      <c r="U854" s="62">
        <f>COUNT('Übung 19'!DC$11:DC$35)+COUNTIF('Übung 19'!DC$11:DC$35,"n.b.")</f>
        <v/>
      </c>
      <c r="V854" s="62">
        <f>COUNT('Übung 20'!DC$11:DC$35)+COUNTIF('Übung 20'!DC$11:DC$35,"n.b.")</f>
        <v/>
      </c>
    </row>
    <row r="859">
      <c r="A859" s="171" t="inlineStr">
        <is>
          <t>letzte bewertete der Gruppe</t>
        </is>
      </c>
    </row>
    <row r="860">
      <c r="C860" s="62">
        <f>IF(C$15&lt;=1,0,SUMPRODUCT(MAX(($C$12:$V$12=C$12)*($C$125:$V$125)*$C$3:$V$3)))</f>
        <v/>
      </c>
      <c r="D860" s="62">
        <f>IF(D$15&lt;=1,0,SUMPRODUCT(MAX(($C$12:$V$12=D$12)*($C$125:$V$125)*$C$3:$V$3)))</f>
        <v/>
      </c>
      <c r="E860" s="62">
        <f>IF(E$15&lt;=1,0,SUMPRODUCT(MAX(($C$12:$V$12=E$12)*($C$125:$V$125)*$C$3:$V$3)))</f>
        <v/>
      </c>
      <c r="F860" s="62">
        <f>IF(F$15&lt;=1,0,SUMPRODUCT(MAX(($C$12:$V$12=F$12)*($C$125:$V$125)*$C$3:$V$3)))</f>
        <v/>
      </c>
      <c r="G860" s="62">
        <f>IF(G$15&lt;=1,0,SUMPRODUCT(MAX(($C$12:$V$12=G$12)*($C$125:$V$125)*$C$3:$V$3)))</f>
        <v/>
      </c>
      <c r="H860" s="62">
        <f>IF(H$15&lt;=1,0,SUMPRODUCT(MAX(($C$12:$V$12=H$12)*($C$125:$V$125)*$C$3:$V$3)))</f>
        <v/>
      </c>
      <c r="I860" s="62">
        <f>IF(I$15&lt;=1,0,SUMPRODUCT(MAX(($C$12:$V$12=I$12)*($C$125:$V$125)*$C$3:$V$3)))</f>
        <v/>
      </c>
      <c r="J860" s="62">
        <f>IF(J$15&lt;=1,0,SUMPRODUCT(MAX(($C$12:$V$12=J$12)*($C$125:$V$125)*$C$3:$V$3)))</f>
        <v/>
      </c>
      <c r="K860" s="62">
        <f>IF(K$15&lt;=1,0,SUMPRODUCT(MAX(($C$12:$V$12=K$12)*($C$125:$V$125)*$C$3:$V$3)))</f>
        <v/>
      </c>
      <c r="L860" s="62">
        <f>IF(L$15&lt;=1,0,SUMPRODUCT(MAX(($C$12:$V$12=L$12)*($C$125:$V$125)*$C$3:$V$3)))</f>
        <v/>
      </c>
      <c r="M860" s="62">
        <f>IF(M$15&lt;=1,0,SUMPRODUCT(MAX(($C$12:$V$12=M$12)*($C$125:$V$125)*$C$3:$V$3)))</f>
        <v/>
      </c>
      <c r="N860" s="62">
        <f>IF(N$15&lt;=1,0,SUMPRODUCT(MAX(($C$12:$V$12=N$12)*($C$125:$V$125)*$C$3:$V$3)))</f>
        <v/>
      </c>
      <c r="O860" s="62">
        <f>IF(O$15&lt;=1,0,SUMPRODUCT(MAX(($C$12:$V$12=O$12)*($C$125:$V$125)*$C$3:$V$3)))</f>
        <v/>
      </c>
      <c r="P860" s="62">
        <f>IF(P$15&lt;=1,0,SUMPRODUCT(MAX(($C$12:$V$12=P$12)*($C$125:$V$125)*$C$3:$V$3)))</f>
        <v/>
      </c>
      <c r="Q860" s="62">
        <f>IF(Q$15&lt;=1,0,SUMPRODUCT(MAX(($C$12:$V$12=Q$12)*($C$125:$V$125)*$C$3:$V$3)))</f>
        <v/>
      </c>
      <c r="R860" s="62">
        <f>IF(R$15&lt;=1,0,SUMPRODUCT(MAX(($C$12:$V$12=R$12)*($C$125:$V$125)*$C$3:$V$3)))</f>
        <v/>
      </c>
      <c r="S860" s="62">
        <f>IF(S$15&lt;=1,0,SUMPRODUCT(MAX(($C$12:$V$12=S$12)*($C$125:$V$125)*$C$3:$V$3)))</f>
        <v/>
      </c>
      <c r="T860" s="62">
        <f>IF(T$15&lt;=1,0,SUMPRODUCT(MAX(($C$12:$V$12=T$12)*($C$125:$V$125)*$C$3:$V$3)))</f>
        <v/>
      </c>
      <c r="U860" s="62">
        <f>IF(U$15&lt;=1,0,SUMPRODUCT(MAX(($C$12:$V$12=U$12)*($C$125:$V$125)*$C$3:$V$3)))</f>
        <v/>
      </c>
      <c r="V860" s="62">
        <f>IF(V$15&lt;=1,0,SUMPRODUCT(MAX(($C$12:$V$12=V$12)*($C$125:$V$125)*$C$3:$V$3)))</f>
        <v/>
      </c>
    </row>
    <row r="861">
      <c r="C861" s="62">
        <f>IF(C$15&lt;=1,0,SUMPRODUCT(MAX(($C$12:$V$12=C$12)*($C$126:$V$126)*$C$3:$V$3)))</f>
        <v/>
      </c>
      <c r="D861" s="62">
        <f>IF(D$15&lt;=1,0,SUMPRODUCT(MAX(($C$12:$V$12=D$12)*($C$126:$V$126)*$C$3:$V$3)))</f>
        <v/>
      </c>
      <c r="E861" s="62">
        <f>IF(E$15&lt;=1,0,SUMPRODUCT(MAX(($C$12:$V$12=E$12)*($C$126:$V$126)*$C$3:$V$3)))</f>
        <v/>
      </c>
      <c r="F861" s="62">
        <f>IF(F$15&lt;=1,0,SUMPRODUCT(MAX(($C$12:$V$12=F$12)*($C$126:$V$126)*$C$3:$V$3)))</f>
        <v/>
      </c>
      <c r="G861" s="62">
        <f>IF(G$15&lt;=1,0,SUMPRODUCT(MAX(($C$12:$V$12=G$12)*($C$126:$V$126)*$C$3:$V$3)))</f>
        <v/>
      </c>
      <c r="H861" s="62">
        <f>IF(H$15&lt;=1,0,SUMPRODUCT(MAX(($C$12:$V$12=H$12)*($C$126:$V$126)*$C$3:$V$3)))</f>
        <v/>
      </c>
      <c r="I861" s="62">
        <f>IF(I$15&lt;=1,0,SUMPRODUCT(MAX(($C$12:$V$12=I$12)*($C$126:$V$126)*$C$3:$V$3)))</f>
        <v/>
      </c>
      <c r="J861" s="62">
        <f>IF(J$15&lt;=1,0,SUMPRODUCT(MAX(($C$12:$V$12=J$12)*($C$126:$V$126)*$C$3:$V$3)))</f>
        <v/>
      </c>
      <c r="K861" s="62">
        <f>IF(K$15&lt;=1,0,SUMPRODUCT(MAX(($C$12:$V$12=K$12)*($C$126:$V$126)*$C$3:$V$3)))</f>
        <v/>
      </c>
      <c r="L861" s="62">
        <f>IF(L$15&lt;=1,0,SUMPRODUCT(MAX(($C$12:$V$12=L$12)*($C$126:$V$126)*$C$3:$V$3)))</f>
        <v/>
      </c>
      <c r="M861" s="62">
        <f>IF(M$15&lt;=1,0,SUMPRODUCT(MAX(($C$12:$V$12=M$12)*($C$126:$V$126)*$C$3:$V$3)))</f>
        <v/>
      </c>
      <c r="N861" s="62">
        <f>IF(N$15&lt;=1,0,SUMPRODUCT(MAX(($C$12:$V$12=N$12)*($C$126:$V$126)*$C$3:$V$3)))</f>
        <v/>
      </c>
      <c r="O861" s="62">
        <f>IF(O$15&lt;=1,0,SUMPRODUCT(MAX(($C$12:$V$12=O$12)*($C$126:$V$126)*$C$3:$V$3)))</f>
        <v/>
      </c>
      <c r="P861" s="62">
        <f>IF(P$15&lt;=1,0,SUMPRODUCT(MAX(($C$12:$V$12=P$12)*($C$126:$V$126)*$C$3:$V$3)))</f>
        <v/>
      </c>
      <c r="Q861" s="62">
        <f>IF(Q$15&lt;=1,0,SUMPRODUCT(MAX(($C$12:$V$12=Q$12)*($C$126:$V$126)*$C$3:$V$3)))</f>
        <v/>
      </c>
      <c r="R861" s="62">
        <f>IF(R$15&lt;=1,0,SUMPRODUCT(MAX(($C$12:$V$12=R$12)*($C$126:$V$126)*$C$3:$V$3)))</f>
        <v/>
      </c>
      <c r="S861" s="62">
        <f>IF(S$15&lt;=1,0,SUMPRODUCT(MAX(($C$12:$V$12=S$12)*($C$126:$V$126)*$C$3:$V$3)))</f>
        <v/>
      </c>
      <c r="T861" s="62">
        <f>IF(T$15&lt;=1,0,SUMPRODUCT(MAX(($C$12:$V$12=T$12)*($C$126:$V$126)*$C$3:$V$3)))</f>
        <v/>
      </c>
      <c r="U861" s="62">
        <f>IF(U$15&lt;=1,0,SUMPRODUCT(MAX(($C$12:$V$12=U$12)*($C$126:$V$126)*$C$3:$V$3)))</f>
        <v/>
      </c>
      <c r="V861" s="62">
        <f>IF(V$15&lt;=1,0,SUMPRODUCT(MAX(($C$12:$V$12=V$12)*($C$126:$V$126)*$C$3:$V$3)))</f>
        <v/>
      </c>
    </row>
    <row r="862">
      <c r="C862" s="62">
        <f>IF(C$15&lt;=1,0,SUMPRODUCT(MAX(($C$12:$V$12=C$12)*($C$127:$V$127)*$C$3:$V$3)))</f>
        <v/>
      </c>
      <c r="D862" s="62">
        <f>IF(D$15&lt;=1,0,SUMPRODUCT(MAX(($C$12:$V$12=D$12)*($C$127:$V$127)*$C$3:$V$3)))</f>
        <v/>
      </c>
      <c r="E862" s="62">
        <f>IF(E$15&lt;=1,0,SUMPRODUCT(MAX(($C$12:$V$12=E$12)*($C$127:$V$127)*$C$3:$V$3)))</f>
        <v/>
      </c>
      <c r="F862" s="62">
        <f>IF(F$15&lt;=1,0,SUMPRODUCT(MAX(($C$12:$V$12=F$12)*($C$127:$V$127)*$C$3:$V$3)))</f>
        <v/>
      </c>
      <c r="G862" s="62">
        <f>IF(G$15&lt;=1,0,SUMPRODUCT(MAX(($C$12:$V$12=G$12)*($C$127:$V$127)*$C$3:$V$3)))</f>
        <v/>
      </c>
      <c r="H862" s="62">
        <f>IF(H$15&lt;=1,0,SUMPRODUCT(MAX(($C$12:$V$12=H$12)*($C$127:$V$127)*$C$3:$V$3)))</f>
        <v/>
      </c>
      <c r="I862" s="62">
        <f>IF(I$15&lt;=1,0,SUMPRODUCT(MAX(($C$12:$V$12=I$12)*($C$127:$V$127)*$C$3:$V$3)))</f>
        <v/>
      </c>
      <c r="J862" s="62">
        <f>IF(J$15&lt;=1,0,SUMPRODUCT(MAX(($C$12:$V$12=J$12)*($C$127:$V$127)*$C$3:$V$3)))</f>
        <v/>
      </c>
      <c r="K862" s="62">
        <f>IF(K$15&lt;=1,0,SUMPRODUCT(MAX(($C$12:$V$12=K$12)*($C$127:$V$127)*$C$3:$V$3)))</f>
        <v/>
      </c>
      <c r="L862" s="62">
        <f>IF(L$15&lt;=1,0,SUMPRODUCT(MAX(($C$12:$V$12=L$12)*($C$127:$V$127)*$C$3:$V$3)))</f>
        <v/>
      </c>
      <c r="M862" s="62">
        <f>IF(M$15&lt;=1,0,SUMPRODUCT(MAX(($C$12:$V$12=M$12)*($C$127:$V$127)*$C$3:$V$3)))</f>
        <v/>
      </c>
      <c r="N862" s="62">
        <f>IF(N$15&lt;=1,0,SUMPRODUCT(MAX(($C$12:$V$12=N$12)*($C$127:$V$127)*$C$3:$V$3)))</f>
        <v/>
      </c>
      <c r="O862" s="62">
        <f>IF(O$15&lt;=1,0,SUMPRODUCT(MAX(($C$12:$V$12=O$12)*($C$127:$V$127)*$C$3:$V$3)))</f>
        <v/>
      </c>
      <c r="P862" s="62">
        <f>IF(P$15&lt;=1,0,SUMPRODUCT(MAX(($C$12:$V$12=P$12)*($C$127:$V$127)*$C$3:$V$3)))</f>
        <v/>
      </c>
      <c r="Q862" s="62">
        <f>IF(Q$15&lt;=1,0,SUMPRODUCT(MAX(($C$12:$V$12=Q$12)*($C$127:$V$127)*$C$3:$V$3)))</f>
        <v/>
      </c>
      <c r="R862" s="62">
        <f>IF(R$15&lt;=1,0,SUMPRODUCT(MAX(($C$12:$V$12=R$12)*($C$127:$V$127)*$C$3:$V$3)))</f>
        <v/>
      </c>
      <c r="S862" s="62">
        <f>IF(S$15&lt;=1,0,SUMPRODUCT(MAX(($C$12:$V$12=S$12)*($C$127:$V$127)*$C$3:$V$3)))</f>
        <v/>
      </c>
      <c r="T862" s="62">
        <f>IF(T$15&lt;=1,0,SUMPRODUCT(MAX(($C$12:$V$12=T$12)*($C$127:$V$127)*$C$3:$V$3)))</f>
        <v/>
      </c>
      <c r="U862" s="62">
        <f>IF(U$15&lt;=1,0,SUMPRODUCT(MAX(($C$12:$V$12=U$12)*($C$127:$V$127)*$C$3:$V$3)))</f>
        <v/>
      </c>
      <c r="V862" s="62">
        <f>IF(V$15&lt;=1,0,SUMPRODUCT(MAX(($C$12:$V$12=V$12)*($C$127:$V$127)*$C$3:$V$3)))</f>
        <v/>
      </c>
    </row>
    <row r="863">
      <c r="C863" s="62">
        <f>IF(C$15&lt;=1,0,SUMPRODUCT(MAX(($C$12:$V$12=C$12)*($C$128:$V$128)*$C$3:$V$3)))</f>
        <v/>
      </c>
      <c r="D863" s="62">
        <f>IF(D$15&lt;=1,0,SUMPRODUCT(MAX(($C$12:$V$12=D$12)*($C$128:$V$128)*$C$3:$V$3)))</f>
        <v/>
      </c>
      <c r="E863" s="62">
        <f>IF(E$15&lt;=1,0,SUMPRODUCT(MAX(($C$12:$V$12=E$12)*($C$128:$V$128)*$C$3:$V$3)))</f>
        <v/>
      </c>
      <c r="F863" s="62">
        <f>IF(F$15&lt;=1,0,SUMPRODUCT(MAX(($C$12:$V$12=F$12)*($C$128:$V$128)*$C$3:$V$3)))</f>
        <v/>
      </c>
      <c r="G863" s="62">
        <f>IF(G$15&lt;=1,0,SUMPRODUCT(MAX(($C$12:$V$12=G$12)*($C$128:$V$128)*$C$3:$V$3)))</f>
        <v/>
      </c>
      <c r="H863" s="62">
        <f>IF(H$15&lt;=1,0,SUMPRODUCT(MAX(($C$12:$V$12=H$12)*($C$128:$V$128)*$C$3:$V$3)))</f>
        <v/>
      </c>
      <c r="I863" s="62">
        <f>IF(I$15&lt;=1,0,SUMPRODUCT(MAX(($C$12:$V$12=I$12)*($C$128:$V$128)*$C$3:$V$3)))</f>
        <v/>
      </c>
      <c r="J863" s="62">
        <f>IF(J$15&lt;=1,0,SUMPRODUCT(MAX(($C$12:$V$12=J$12)*($C$128:$V$128)*$C$3:$V$3)))</f>
        <v/>
      </c>
      <c r="K863" s="62">
        <f>IF(K$15&lt;=1,0,SUMPRODUCT(MAX(($C$12:$V$12=K$12)*($C$128:$V$128)*$C$3:$V$3)))</f>
        <v/>
      </c>
      <c r="L863" s="62">
        <f>IF(L$15&lt;=1,0,SUMPRODUCT(MAX(($C$12:$V$12=L$12)*($C$128:$V$128)*$C$3:$V$3)))</f>
        <v/>
      </c>
      <c r="M863" s="62">
        <f>IF(M$15&lt;=1,0,SUMPRODUCT(MAX(($C$12:$V$12=M$12)*($C$128:$V$128)*$C$3:$V$3)))</f>
        <v/>
      </c>
      <c r="N863" s="62">
        <f>IF(N$15&lt;=1,0,SUMPRODUCT(MAX(($C$12:$V$12=N$12)*($C$128:$V$128)*$C$3:$V$3)))</f>
        <v/>
      </c>
      <c r="O863" s="62">
        <f>IF(O$15&lt;=1,0,SUMPRODUCT(MAX(($C$12:$V$12=O$12)*($C$128:$V$128)*$C$3:$V$3)))</f>
        <v/>
      </c>
      <c r="P863" s="62">
        <f>IF(P$15&lt;=1,0,SUMPRODUCT(MAX(($C$12:$V$12=P$12)*($C$128:$V$128)*$C$3:$V$3)))</f>
        <v/>
      </c>
      <c r="Q863" s="62">
        <f>IF(Q$15&lt;=1,0,SUMPRODUCT(MAX(($C$12:$V$12=Q$12)*($C$128:$V$128)*$C$3:$V$3)))</f>
        <v/>
      </c>
      <c r="R863" s="62">
        <f>IF(R$15&lt;=1,0,SUMPRODUCT(MAX(($C$12:$V$12=R$12)*($C$128:$V$128)*$C$3:$V$3)))</f>
        <v/>
      </c>
      <c r="S863" s="62">
        <f>IF(S$15&lt;=1,0,SUMPRODUCT(MAX(($C$12:$V$12=S$12)*($C$128:$V$128)*$C$3:$V$3)))</f>
        <v/>
      </c>
      <c r="T863" s="62">
        <f>IF(T$15&lt;=1,0,SUMPRODUCT(MAX(($C$12:$V$12=T$12)*($C$128:$V$128)*$C$3:$V$3)))</f>
        <v/>
      </c>
      <c r="U863" s="62">
        <f>IF(U$15&lt;=1,0,SUMPRODUCT(MAX(($C$12:$V$12=U$12)*($C$128:$V$128)*$C$3:$V$3)))</f>
        <v/>
      </c>
      <c r="V863" s="62">
        <f>IF(V$15&lt;=1,0,SUMPRODUCT(MAX(($C$12:$V$12=V$12)*($C$128:$V$128)*$C$3:$V$3)))</f>
        <v/>
      </c>
    </row>
    <row r="864">
      <c r="C864" s="62">
        <f>IF(C$15&lt;=1,0,SUMPRODUCT(MAX(($C$12:$V$12=C$12)*($C$129:$V$129)*$C$3:$V$3)))</f>
        <v/>
      </c>
      <c r="D864" s="62">
        <f>IF(D$15&lt;=1,0,SUMPRODUCT(MAX(($C$12:$V$12=D$12)*($C$129:$V$129)*$C$3:$V$3)))</f>
        <v/>
      </c>
      <c r="E864" s="62">
        <f>IF(E$15&lt;=1,0,SUMPRODUCT(MAX(($C$12:$V$12=E$12)*($C$129:$V$129)*$C$3:$V$3)))</f>
        <v/>
      </c>
      <c r="F864" s="62">
        <f>IF(F$15&lt;=1,0,SUMPRODUCT(MAX(($C$12:$V$12=F$12)*($C$129:$V$129)*$C$3:$V$3)))</f>
        <v/>
      </c>
      <c r="G864" s="62">
        <f>IF(G$15&lt;=1,0,SUMPRODUCT(MAX(($C$12:$V$12=G$12)*($C$129:$V$129)*$C$3:$V$3)))</f>
        <v/>
      </c>
      <c r="H864" s="62">
        <f>IF(H$15&lt;=1,0,SUMPRODUCT(MAX(($C$12:$V$12=H$12)*($C$129:$V$129)*$C$3:$V$3)))</f>
        <v/>
      </c>
      <c r="I864" s="62">
        <f>IF(I$15&lt;=1,0,SUMPRODUCT(MAX(($C$12:$V$12=I$12)*($C$129:$V$129)*$C$3:$V$3)))</f>
        <v/>
      </c>
      <c r="J864" s="62">
        <f>IF(J$15&lt;=1,0,SUMPRODUCT(MAX(($C$12:$V$12=J$12)*($C$129:$V$129)*$C$3:$V$3)))</f>
        <v/>
      </c>
      <c r="K864" s="62">
        <f>IF(K$15&lt;=1,0,SUMPRODUCT(MAX(($C$12:$V$12=K$12)*($C$129:$V$129)*$C$3:$V$3)))</f>
        <v/>
      </c>
      <c r="L864" s="62">
        <f>IF(L$15&lt;=1,0,SUMPRODUCT(MAX(($C$12:$V$12=L$12)*($C$129:$V$129)*$C$3:$V$3)))</f>
        <v/>
      </c>
      <c r="M864" s="62">
        <f>IF(M$15&lt;=1,0,SUMPRODUCT(MAX(($C$12:$V$12=M$12)*($C$129:$V$129)*$C$3:$V$3)))</f>
        <v/>
      </c>
      <c r="N864" s="62">
        <f>IF(N$15&lt;=1,0,SUMPRODUCT(MAX(($C$12:$V$12=N$12)*($C$129:$V$129)*$C$3:$V$3)))</f>
        <v/>
      </c>
      <c r="O864" s="62">
        <f>IF(O$15&lt;=1,0,SUMPRODUCT(MAX(($C$12:$V$12=O$12)*($C$129:$V$129)*$C$3:$V$3)))</f>
        <v/>
      </c>
      <c r="P864" s="62">
        <f>IF(P$15&lt;=1,0,SUMPRODUCT(MAX(($C$12:$V$12=P$12)*($C$129:$V$129)*$C$3:$V$3)))</f>
        <v/>
      </c>
      <c r="Q864" s="62">
        <f>IF(Q$15&lt;=1,0,SUMPRODUCT(MAX(($C$12:$V$12=Q$12)*($C$129:$V$129)*$C$3:$V$3)))</f>
        <v/>
      </c>
      <c r="R864" s="62">
        <f>IF(R$15&lt;=1,0,SUMPRODUCT(MAX(($C$12:$V$12=R$12)*($C$129:$V$129)*$C$3:$V$3)))</f>
        <v/>
      </c>
      <c r="S864" s="62">
        <f>IF(S$15&lt;=1,0,SUMPRODUCT(MAX(($C$12:$V$12=S$12)*($C$129:$V$129)*$C$3:$V$3)))</f>
        <v/>
      </c>
      <c r="T864" s="62">
        <f>IF(T$15&lt;=1,0,SUMPRODUCT(MAX(($C$12:$V$12=T$12)*($C$129:$V$129)*$C$3:$V$3)))</f>
        <v/>
      </c>
      <c r="U864" s="62">
        <f>IF(U$15&lt;=1,0,SUMPRODUCT(MAX(($C$12:$V$12=U$12)*($C$129:$V$129)*$C$3:$V$3)))</f>
        <v/>
      </c>
      <c r="V864" s="62">
        <f>IF(V$15&lt;=1,0,SUMPRODUCT(MAX(($C$12:$V$12=V$12)*($C$129:$V$129)*$C$3:$V$3)))</f>
        <v/>
      </c>
    </row>
    <row r="865">
      <c r="C865" s="62">
        <f>IF(C$15&lt;=1,0,SUMPRODUCT(MAX(($C$12:$V$12=C$12)*($C$130:$V$130)*$C$3:$V$3)))</f>
        <v/>
      </c>
      <c r="D865" s="62">
        <f>IF(D$15&lt;=1,0,SUMPRODUCT(MAX(($C$12:$V$12=D$12)*($C$130:$V$130)*$C$3:$V$3)))</f>
        <v/>
      </c>
      <c r="E865" s="62">
        <f>IF(E$15&lt;=1,0,SUMPRODUCT(MAX(($C$12:$V$12=E$12)*($C$130:$V$130)*$C$3:$V$3)))</f>
        <v/>
      </c>
      <c r="F865" s="62">
        <f>IF(F$15&lt;=1,0,SUMPRODUCT(MAX(($C$12:$V$12=F$12)*($C$130:$V$130)*$C$3:$V$3)))</f>
        <v/>
      </c>
      <c r="G865" s="62">
        <f>IF(G$15&lt;=1,0,SUMPRODUCT(MAX(($C$12:$V$12=G$12)*($C$130:$V$130)*$C$3:$V$3)))</f>
        <v/>
      </c>
      <c r="H865" s="62">
        <f>IF(H$15&lt;=1,0,SUMPRODUCT(MAX(($C$12:$V$12=H$12)*($C$130:$V$130)*$C$3:$V$3)))</f>
        <v/>
      </c>
      <c r="I865" s="62">
        <f>IF(I$15&lt;=1,0,SUMPRODUCT(MAX(($C$12:$V$12=I$12)*($C$130:$V$130)*$C$3:$V$3)))</f>
        <v/>
      </c>
      <c r="J865" s="62">
        <f>IF(J$15&lt;=1,0,SUMPRODUCT(MAX(($C$12:$V$12=J$12)*($C$130:$V$130)*$C$3:$V$3)))</f>
        <v/>
      </c>
      <c r="K865" s="62">
        <f>IF(K$15&lt;=1,0,SUMPRODUCT(MAX(($C$12:$V$12=K$12)*($C$130:$V$130)*$C$3:$V$3)))</f>
        <v/>
      </c>
      <c r="L865" s="62">
        <f>IF(L$15&lt;=1,0,SUMPRODUCT(MAX(($C$12:$V$12=L$12)*($C$130:$V$130)*$C$3:$V$3)))</f>
        <v/>
      </c>
      <c r="M865" s="62">
        <f>IF(M$15&lt;=1,0,SUMPRODUCT(MAX(($C$12:$V$12=M$12)*($C$130:$V$130)*$C$3:$V$3)))</f>
        <v/>
      </c>
      <c r="N865" s="62">
        <f>IF(N$15&lt;=1,0,SUMPRODUCT(MAX(($C$12:$V$12=N$12)*($C$130:$V$130)*$C$3:$V$3)))</f>
        <v/>
      </c>
      <c r="O865" s="62">
        <f>IF(O$15&lt;=1,0,SUMPRODUCT(MAX(($C$12:$V$12=O$12)*($C$130:$V$130)*$C$3:$V$3)))</f>
        <v/>
      </c>
      <c r="P865" s="62">
        <f>IF(P$15&lt;=1,0,SUMPRODUCT(MAX(($C$12:$V$12=P$12)*($C$130:$V$130)*$C$3:$V$3)))</f>
        <v/>
      </c>
      <c r="Q865" s="62">
        <f>IF(Q$15&lt;=1,0,SUMPRODUCT(MAX(($C$12:$V$12=Q$12)*($C$130:$V$130)*$C$3:$V$3)))</f>
        <v/>
      </c>
      <c r="R865" s="62">
        <f>IF(R$15&lt;=1,0,SUMPRODUCT(MAX(($C$12:$V$12=R$12)*($C$130:$V$130)*$C$3:$V$3)))</f>
        <v/>
      </c>
      <c r="S865" s="62">
        <f>IF(S$15&lt;=1,0,SUMPRODUCT(MAX(($C$12:$V$12=S$12)*($C$130:$V$130)*$C$3:$V$3)))</f>
        <v/>
      </c>
      <c r="T865" s="62">
        <f>IF(T$15&lt;=1,0,SUMPRODUCT(MAX(($C$12:$V$12=T$12)*($C$130:$V$130)*$C$3:$V$3)))</f>
        <v/>
      </c>
      <c r="U865" s="62">
        <f>IF(U$15&lt;=1,0,SUMPRODUCT(MAX(($C$12:$V$12=U$12)*($C$130:$V$130)*$C$3:$V$3)))</f>
        <v/>
      </c>
      <c r="V865" s="62">
        <f>IF(V$15&lt;=1,0,SUMPRODUCT(MAX(($C$12:$V$12=V$12)*($C$130:$V$130)*$C$3:$V$3)))</f>
        <v/>
      </c>
    </row>
    <row r="866">
      <c r="C866" s="62">
        <f>IF(C$15&lt;=1,0,SUMPRODUCT(MAX(($C$12:$V$12=C$12)*($C$131:$V$131)*$C$3:$V$3)))</f>
        <v/>
      </c>
      <c r="D866" s="62">
        <f>IF(D$15&lt;=1,0,SUMPRODUCT(MAX(($C$12:$V$12=D$12)*($C$131:$V$131)*$C$3:$V$3)))</f>
        <v/>
      </c>
      <c r="E866" s="62">
        <f>IF(E$15&lt;=1,0,SUMPRODUCT(MAX(($C$12:$V$12=E$12)*($C$131:$V$131)*$C$3:$V$3)))</f>
        <v/>
      </c>
      <c r="F866" s="62">
        <f>IF(F$15&lt;=1,0,SUMPRODUCT(MAX(($C$12:$V$12=F$12)*($C$131:$V$131)*$C$3:$V$3)))</f>
        <v/>
      </c>
      <c r="G866" s="62">
        <f>IF(G$15&lt;=1,0,SUMPRODUCT(MAX(($C$12:$V$12=G$12)*($C$131:$V$131)*$C$3:$V$3)))</f>
        <v/>
      </c>
      <c r="H866" s="62">
        <f>IF(H$15&lt;=1,0,SUMPRODUCT(MAX(($C$12:$V$12=H$12)*($C$131:$V$131)*$C$3:$V$3)))</f>
        <v/>
      </c>
      <c r="I866" s="62">
        <f>IF(I$15&lt;=1,0,SUMPRODUCT(MAX(($C$12:$V$12=I$12)*($C$131:$V$131)*$C$3:$V$3)))</f>
        <v/>
      </c>
      <c r="J866" s="62">
        <f>IF(J$15&lt;=1,0,SUMPRODUCT(MAX(($C$12:$V$12=J$12)*($C$131:$V$131)*$C$3:$V$3)))</f>
        <v/>
      </c>
      <c r="K866" s="62">
        <f>IF(K$15&lt;=1,0,SUMPRODUCT(MAX(($C$12:$V$12=K$12)*($C$131:$V$131)*$C$3:$V$3)))</f>
        <v/>
      </c>
      <c r="L866" s="62">
        <f>IF(L$15&lt;=1,0,SUMPRODUCT(MAX(($C$12:$V$12=L$12)*($C$131:$V$131)*$C$3:$V$3)))</f>
        <v/>
      </c>
      <c r="M866" s="62">
        <f>IF(M$15&lt;=1,0,SUMPRODUCT(MAX(($C$12:$V$12=M$12)*($C$131:$V$131)*$C$3:$V$3)))</f>
        <v/>
      </c>
      <c r="N866" s="62">
        <f>IF(N$15&lt;=1,0,SUMPRODUCT(MAX(($C$12:$V$12=N$12)*($C$131:$V$131)*$C$3:$V$3)))</f>
        <v/>
      </c>
      <c r="O866" s="62">
        <f>IF(O$15&lt;=1,0,SUMPRODUCT(MAX(($C$12:$V$12=O$12)*($C$131:$V$131)*$C$3:$V$3)))</f>
        <v/>
      </c>
      <c r="P866" s="62">
        <f>IF(P$15&lt;=1,0,SUMPRODUCT(MAX(($C$12:$V$12=P$12)*($C$131:$V$131)*$C$3:$V$3)))</f>
        <v/>
      </c>
      <c r="Q866" s="62">
        <f>IF(Q$15&lt;=1,0,SUMPRODUCT(MAX(($C$12:$V$12=Q$12)*($C$131:$V$131)*$C$3:$V$3)))</f>
        <v/>
      </c>
      <c r="R866" s="62">
        <f>IF(R$15&lt;=1,0,SUMPRODUCT(MAX(($C$12:$V$12=R$12)*($C$131:$V$131)*$C$3:$V$3)))</f>
        <v/>
      </c>
      <c r="S866" s="62">
        <f>IF(S$15&lt;=1,0,SUMPRODUCT(MAX(($C$12:$V$12=S$12)*($C$131:$V$131)*$C$3:$V$3)))</f>
        <v/>
      </c>
      <c r="T866" s="62">
        <f>IF(T$15&lt;=1,0,SUMPRODUCT(MAX(($C$12:$V$12=T$12)*($C$131:$V$131)*$C$3:$V$3)))</f>
        <v/>
      </c>
      <c r="U866" s="62">
        <f>IF(U$15&lt;=1,0,SUMPRODUCT(MAX(($C$12:$V$12=U$12)*($C$131:$V$131)*$C$3:$V$3)))</f>
        <v/>
      </c>
      <c r="V866" s="62">
        <f>IF(V$15&lt;=1,0,SUMPRODUCT(MAX(($C$12:$V$12=V$12)*($C$131:$V$131)*$C$3:$V$3)))</f>
        <v/>
      </c>
    </row>
    <row r="867">
      <c r="C867" s="62">
        <f>IF(C$15&lt;=1,0,SUMPRODUCT(MAX(($C$12:$V$12=C$12)*($C$132:$V$132)*$C$3:$V$3)))</f>
        <v/>
      </c>
      <c r="D867" s="62">
        <f>IF(D$15&lt;=1,0,SUMPRODUCT(MAX(($C$12:$V$12=D$12)*($C$132:$V$132)*$C$3:$V$3)))</f>
        <v/>
      </c>
      <c r="E867" s="62">
        <f>IF(E$15&lt;=1,0,SUMPRODUCT(MAX(($C$12:$V$12=E$12)*($C$132:$V$132)*$C$3:$V$3)))</f>
        <v/>
      </c>
      <c r="F867" s="62">
        <f>IF(F$15&lt;=1,0,SUMPRODUCT(MAX(($C$12:$V$12=F$12)*($C$132:$V$132)*$C$3:$V$3)))</f>
        <v/>
      </c>
      <c r="G867" s="62">
        <f>IF(G$15&lt;=1,0,SUMPRODUCT(MAX(($C$12:$V$12=G$12)*($C$132:$V$132)*$C$3:$V$3)))</f>
        <v/>
      </c>
      <c r="H867" s="62">
        <f>IF(H$15&lt;=1,0,SUMPRODUCT(MAX(($C$12:$V$12=H$12)*($C$132:$V$132)*$C$3:$V$3)))</f>
        <v/>
      </c>
      <c r="I867" s="62">
        <f>IF(I$15&lt;=1,0,SUMPRODUCT(MAX(($C$12:$V$12=I$12)*($C$132:$V$132)*$C$3:$V$3)))</f>
        <v/>
      </c>
      <c r="J867" s="62">
        <f>IF(J$15&lt;=1,0,SUMPRODUCT(MAX(($C$12:$V$12=J$12)*($C$132:$V$132)*$C$3:$V$3)))</f>
        <v/>
      </c>
      <c r="K867" s="62">
        <f>IF(K$15&lt;=1,0,SUMPRODUCT(MAX(($C$12:$V$12=K$12)*($C$132:$V$132)*$C$3:$V$3)))</f>
        <v/>
      </c>
      <c r="L867" s="62">
        <f>IF(L$15&lt;=1,0,SUMPRODUCT(MAX(($C$12:$V$12=L$12)*($C$132:$V$132)*$C$3:$V$3)))</f>
        <v/>
      </c>
      <c r="M867" s="62">
        <f>IF(M$15&lt;=1,0,SUMPRODUCT(MAX(($C$12:$V$12=M$12)*($C$132:$V$132)*$C$3:$V$3)))</f>
        <v/>
      </c>
      <c r="N867" s="62">
        <f>IF(N$15&lt;=1,0,SUMPRODUCT(MAX(($C$12:$V$12=N$12)*($C$132:$V$132)*$C$3:$V$3)))</f>
        <v/>
      </c>
      <c r="O867" s="62">
        <f>IF(O$15&lt;=1,0,SUMPRODUCT(MAX(($C$12:$V$12=O$12)*($C$132:$V$132)*$C$3:$V$3)))</f>
        <v/>
      </c>
      <c r="P867" s="62">
        <f>IF(P$15&lt;=1,0,SUMPRODUCT(MAX(($C$12:$V$12=P$12)*($C$132:$V$132)*$C$3:$V$3)))</f>
        <v/>
      </c>
      <c r="Q867" s="62">
        <f>IF(Q$15&lt;=1,0,SUMPRODUCT(MAX(($C$12:$V$12=Q$12)*($C$132:$V$132)*$C$3:$V$3)))</f>
        <v/>
      </c>
      <c r="R867" s="62">
        <f>IF(R$15&lt;=1,0,SUMPRODUCT(MAX(($C$12:$V$12=R$12)*($C$132:$V$132)*$C$3:$V$3)))</f>
        <v/>
      </c>
      <c r="S867" s="62">
        <f>IF(S$15&lt;=1,0,SUMPRODUCT(MAX(($C$12:$V$12=S$12)*($C$132:$V$132)*$C$3:$V$3)))</f>
        <v/>
      </c>
      <c r="T867" s="62">
        <f>IF(T$15&lt;=1,0,SUMPRODUCT(MAX(($C$12:$V$12=T$12)*($C$132:$V$132)*$C$3:$V$3)))</f>
        <v/>
      </c>
      <c r="U867" s="62">
        <f>IF(U$15&lt;=1,0,SUMPRODUCT(MAX(($C$12:$V$12=U$12)*($C$132:$V$132)*$C$3:$V$3)))</f>
        <v/>
      </c>
      <c r="V867" s="62">
        <f>IF(V$15&lt;=1,0,SUMPRODUCT(MAX(($C$12:$V$12=V$12)*($C$132:$V$132)*$C$3:$V$3)))</f>
        <v/>
      </c>
    </row>
    <row r="868">
      <c r="C868" s="62">
        <f>IF(C$15&lt;=1,0,SUMPRODUCT(MAX(($C$12:$V$12=C$12)*($C$133:$V$133)*$C$3:$V$3)))</f>
        <v/>
      </c>
      <c r="D868" s="62">
        <f>IF(D$15&lt;=1,0,SUMPRODUCT(MAX(($C$12:$V$12=D$12)*($C$133:$V$133)*$C$3:$V$3)))</f>
        <v/>
      </c>
      <c r="E868" s="62">
        <f>IF(E$15&lt;=1,0,SUMPRODUCT(MAX(($C$12:$V$12=E$12)*($C$133:$V$133)*$C$3:$V$3)))</f>
        <v/>
      </c>
      <c r="F868" s="62">
        <f>IF(F$15&lt;=1,0,SUMPRODUCT(MAX(($C$12:$V$12=F$12)*($C$133:$V$133)*$C$3:$V$3)))</f>
        <v/>
      </c>
      <c r="G868" s="62">
        <f>IF(G$15&lt;=1,0,SUMPRODUCT(MAX(($C$12:$V$12=G$12)*($C$133:$V$133)*$C$3:$V$3)))</f>
        <v/>
      </c>
      <c r="H868" s="62">
        <f>IF(H$15&lt;=1,0,SUMPRODUCT(MAX(($C$12:$V$12=H$12)*($C$133:$V$133)*$C$3:$V$3)))</f>
        <v/>
      </c>
      <c r="I868" s="62">
        <f>IF(I$15&lt;=1,0,SUMPRODUCT(MAX(($C$12:$V$12=I$12)*($C$133:$V$133)*$C$3:$V$3)))</f>
        <v/>
      </c>
      <c r="J868" s="62">
        <f>IF(J$15&lt;=1,0,SUMPRODUCT(MAX(($C$12:$V$12=J$12)*($C$133:$V$133)*$C$3:$V$3)))</f>
        <v/>
      </c>
      <c r="K868" s="62">
        <f>IF(K$15&lt;=1,0,SUMPRODUCT(MAX(($C$12:$V$12=K$12)*($C$133:$V$133)*$C$3:$V$3)))</f>
        <v/>
      </c>
      <c r="L868" s="62">
        <f>IF(L$15&lt;=1,0,SUMPRODUCT(MAX(($C$12:$V$12=L$12)*($C$133:$V$133)*$C$3:$V$3)))</f>
        <v/>
      </c>
      <c r="M868" s="62">
        <f>IF(M$15&lt;=1,0,SUMPRODUCT(MAX(($C$12:$V$12=M$12)*($C$133:$V$133)*$C$3:$V$3)))</f>
        <v/>
      </c>
      <c r="N868" s="62">
        <f>IF(N$15&lt;=1,0,SUMPRODUCT(MAX(($C$12:$V$12=N$12)*($C$133:$V$133)*$C$3:$V$3)))</f>
        <v/>
      </c>
      <c r="O868" s="62">
        <f>IF(O$15&lt;=1,0,SUMPRODUCT(MAX(($C$12:$V$12=O$12)*($C$133:$V$133)*$C$3:$V$3)))</f>
        <v/>
      </c>
      <c r="P868" s="62">
        <f>IF(P$15&lt;=1,0,SUMPRODUCT(MAX(($C$12:$V$12=P$12)*($C$133:$V$133)*$C$3:$V$3)))</f>
        <v/>
      </c>
      <c r="Q868" s="62">
        <f>IF(Q$15&lt;=1,0,SUMPRODUCT(MAX(($C$12:$V$12=Q$12)*($C$133:$V$133)*$C$3:$V$3)))</f>
        <v/>
      </c>
      <c r="R868" s="62">
        <f>IF(R$15&lt;=1,0,SUMPRODUCT(MAX(($C$12:$V$12=R$12)*($C$133:$V$133)*$C$3:$V$3)))</f>
        <v/>
      </c>
      <c r="S868" s="62">
        <f>IF(S$15&lt;=1,0,SUMPRODUCT(MAX(($C$12:$V$12=S$12)*($C$133:$V$133)*$C$3:$V$3)))</f>
        <v/>
      </c>
      <c r="T868" s="62">
        <f>IF(T$15&lt;=1,0,SUMPRODUCT(MAX(($C$12:$V$12=T$12)*($C$133:$V$133)*$C$3:$V$3)))</f>
        <v/>
      </c>
      <c r="U868" s="62">
        <f>IF(U$15&lt;=1,0,SUMPRODUCT(MAX(($C$12:$V$12=U$12)*($C$133:$V$133)*$C$3:$V$3)))</f>
        <v/>
      </c>
      <c r="V868" s="62">
        <f>IF(V$15&lt;=1,0,SUMPRODUCT(MAX(($C$12:$V$12=V$12)*($C$133:$V$133)*$C$3:$V$3)))</f>
        <v/>
      </c>
    </row>
    <row r="869">
      <c r="C869" s="62">
        <f>IF(C$15&lt;=1,0,SUMPRODUCT(MAX(($C$12:$V$12=C$12)*($C$134:$V$134)*$C$3:$V$3)))</f>
        <v/>
      </c>
      <c r="D869" s="62">
        <f>IF(D$15&lt;=1,0,SUMPRODUCT(MAX(($C$12:$V$12=D$12)*($C$134:$V$134)*$C$3:$V$3)))</f>
        <v/>
      </c>
      <c r="E869" s="62">
        <f>IF(E$15&lt;=1,0,SUMPRODUCT(MAX(($C$12:$V$12=E$12)*($C$134:$V$134)*$C$3:$V$3)))</f>
        <v/>
      </c>
      <c r="F869" s="62">
        <f>IF(F$15&lt;=1,0,SUMPRODUCT(MAX(($C$12:$V$12=F$12)*($C$134:$V$134)*$C$3:$V$3)))</f>
        <v/>
      </c>
      <c r="G869" s="62">
        <f>IF(G$15&lt;=1,0,SUMPRODUCT(MAX(($C$12:$V$12=G$12)*($C$134:$V$134)*$C$3:$V$3)))</f>
        <v/>
      </c>
      <c r="H869" s="62">
        <f>IF(H$15&lt;=1,0,SUMPRODUCT(MAX(($C$12:$V$12=H$12)*($C$134:$V$134)*$C$3:$V$3)))</f>
        <v/>
      </c>
      <c r="I869" s="62">
        <f>IF(I$15&lt;=1,0,SUMPRODUCT(MAX(($C$12:$V$12=I$12)*($C$134:$V$134)*$C$3:$V$3)))</f>
        <v/>
      </c>
      <c r="J869" s="62">
        <f>IF(J$15&lt;=1,0,SUMPRODUCT(MAX(($C$12:$V$12=J$12)*($C$134:$V$134)*$C$3:$V$3)))</f>
        <v/>
      </c>
      <c r="K869" s="62">
        <f>IF(K$15&lt;=1,0,SUMPRODUCT(MAX(($C$12:$V$12=K$12)*($C$134:$V$134)*$C$3:$V$3)))</f>
        <v/>
      </c>
      <c r="L869" s="62">
        <f>IF(L$15&lt;=1,0,SUMPRODUCT(MAX(($C$12:$V$12=L$12)*($C$134:$V$134)*$C$3:$V$3)))</f>
        <v/>
      </c>
      <c r="M869" s="62">
        <f>IF(M$15&lt;=1,0,SUMPRODUCT(MAX(($C$12:$V$12=M$12)*($C$134:$V$134)*$C$3:$V$3)))</f>
        <v/>
      </c>
      <c r="N869" s="62">
        <f>IF(N$15&lt;=1,0,SUMPRODUCT(MAX(($C$12:$V$12=N$12)*($C$134:$V$134)*$C$3:$V$3)))</f>
        <v/>
      </c>
      <c r="O869" s="62">
        <f>IF(O$15&lt;=1,0,SUMPRODUCT(MAX(($C$12:$V$12=O$12)*($C$134:$V$134)*$C$3:$V$3)))</f>
        <v/>
      </c>
      <c r="P869" s="62">
        <f>IF(P$15&lt;=1,0,SUMPRODUCT(MAX(($C$12:$V$12=P$12)*($C$134:$V$134)*$C$3:$V$3)))</f>
        <v/>
      </c>
      <c r="Q869" s="62">
        <f>IF(Q$15&lt;=1,0,SUMPRODUCT(MAX(($C$12:$V$12=Q$12)*($C$134:$V$134)*$C$3:$V$3)))</f>
        <v/>
      </c>
      <c r="R869" s="62">
        <f>IF(R$15&lt;=1,0,SUMPRODUCT(MAX(($C$12:$V$12=R$12)*($C$134:$V$134)*$C$3:$V$3)))</f>
        <v/>
      </c>
      <c r="S869" s="62">
        <f>IF(S$15&lt;=1,0,SUMPRODUCT(MAX(($C$12:$V$12=S$12)*($C$134:$V$134)*$C$3:$V$3)))</f>
        <v/>
      </c>
      <c r="T869" s="62">
        <f>IF(T$15&lt;=1,0,SUMPRODUCT(MAX(($C$12:$V$12=T$12)*($C$134:$V$134)*$C$3:$V$3)))</f>
        <v/>
      </c>
      <c r="U869" s="62">
        <f>IF(U$15&lt;=1,0,SUMPRODUCT(MAX(($C$12:$V$12=U$12)*($C$134:$V$134)*$C$3:$V$3)))</f>
        <v/>
      </c>
      <c r="V869" s="62">
        <f>IF(V$15&lt;=1,0,SUMPRODUCT(MAX(($C$12:$V$12=V$12)*($C$134:$V$134)*$C$3:$V$3)))</f>
        <v/>
      </c>
    </row>
    <row r="870">
      <c r="C870" s="62">
        <f>IF(C$15&lt;=1,0,SUMPRODUCT(MAX(($C$12:$V$12=C$12)*($C$135:$V$135)*$C$3:$V$3)))</f>
        <v/>
      </c>
      <c r="D870" s="62">
        <f>IF(D$15&lt;=1,0,SUMPRODUCT(MAX(($C$12:$V$12=D$12)*($C$135:$V$135)*$C$3:$V$3)))</f>
        <v/>
      </c>
      <c r="E870" s="62">
        <f>IF(E$15&lt;=1,0,SUMPRODUCT(MAX(($C$12:$V$12=E$12)*($C$135:$V$135)*$C$3:$V$3)))</f>
        <v/>
      </c>
      <c r="F870" s="62">
        <f>IF(F$15&lt;=1,0,SUMPRODUCT(MAX(($C$12:$V$12=F$12)*($C$135:$V$135)*$C$3:$V$3)))</f>
        <v/>
      </c>
      <c r="G870" s="62">
        <f>IF(G$15&lt;=1,0,SUMPRODUCT(MAX(($C$12:$V$12=G$12)*($C$135:$V$135)*$C$3:$V$3)))</f>
        <v/>
      </c>
      <c r="H870" s="62">
        <f>IF(H$15&lt;=1,0,SUMPRODUCT(MAX(($C$12:$V$12=H$12)*($C$135:$V$135)*$C$3:$V$3)))</f>
        <v/>
      </c>
      <c r="I870" s="62">
        <f>IF(I$15&lt;=1,0,SUMPRODUCT(MAX(($C$12:$V$12=I$12)*($C$135:$V$135)*$C$3:$V$3)))</f>
        <v/>
      </c>
      <c r="J870" s="62">
        <f>IF(J$15&lt;=1,0,SUMPRODUCT(MAX(($C$12:$V$12=J$12)*($C$135:$V$135)*$C$3:$V$3)))</f>
        <v/>
      </c>
      <c r="K870" s="62">
        <f>IF(K$15&lt;=1,0,SUMPRODUCT(MAX(($C$12:$V$12=K$12)*($C$135:$V$135)*$C$3:$V$3)))</f>
        <v/>
      </c>
      <c r="L870" s="62">
        <f>IF(L$15&lt;=1,0,SUMPRODUCT(MAX(($C$12:$V$12=L$12)*($C$135:$V$135)*$C$3:$V$3)))</f>
        <v/>
      </c>
      <c r="M870" s="62">
        <f>IF(M$15&lt;=1,0,SUMPRODUCT(MAX(($C$12:$V$12=M$12)*($C$135:$V$135)*$C$3:$V$3)))</f>
        <v/>
      </c>
      <c r="N870" s="62">
        <f>IF(N$15&lt;=1,0,SUMPRODUCT(MAX(($C$12:$V$12=N$12)*($C$135:$V$135)*$C$3:$V$3)))</f>
        <v/>
      </c>
      <c r="O870" s="62">
        <f>IF(O$15&lt;=1,0,SUMPRODUCT(MAX(($C$12:$V$12=O$12)*($C$135:$V$135)*$C$3:$V$3)))</f>
        <v/>
      </c>
      <c r="P870" s="62">
        <f>IF(P$15&lt;=1,0,SUMPRODUCT(MAX(($C$12:$V$12=P$12)*($C$135:$V$135)*$C$3:$V$3)))</f>
        <v/>
      </c>
      <c r="Q870" s="62">
        <f>IF(Q$15&lt;=1,0,SUMPRODUCT(MAX(($C$12:$V$12=Q$12)*($C$135:$V$135)*$C$3:$V$3)))</f>
        <v/>
      </c>
      <c r="R870" s="62">
        <f>IF(R$15&lt;=1,0,SUMPRODUCT(MAX(($C$12:$V$12=R$12)*($C$135:$V$135)*$C$3:$V$3)))</f>
        <v/>
      </c>
      <c r="S870" s="62">
        <f>IF(S$15&lt;=1,0,SUMPRODUCT(MAX(($C$12:$V$12=S$12)*($C$135:$V$135)*$C$3:$V$3)))</f>
        <v/>
      </c>
      <c r="T870" s="62">
        <f>IF(T$15&lt;=1,0,SUMPRODUCT(MAX(($C$12:$V$12=T$12)*($C$135:$V$135)*$C$3:$V$3)))</f>
        <v/>
      </c>
      <c r="U870" s="62">
        <f>IF(U$15&lt;=1,0,SUMPRODUCT(MAX(($C$12:$V$12=U$12)*($C$135:$V$135)*$C$3:$V$3)))</f>
        <v/>
      </c>
      <c r="V870" s="62">
        <f>IF(V$15&lt;=1,0,SUMPRODUCT(MAX(($C$12:$V$12=V$12)*($C$135:$V$135)*$C$3:$V$3)))</f>
        <v/>
      </c>
    </row>
    <row r="871">
      <c r="C871" s="62">
        <f>IF(C$15&lt;=1,0,SUMPRODUCT(MAX(($C$12:$V$12=C$12)*($C$136:$V$136)*$C$3:$V$3)))</f>
        <v/>
      </c>
      <c r="D871" s="62">
        <f>IF(D$15&lt;=1,0,SUMPRODUCT(MAX(($C$12:$V$12=D$12)*($C$136:$V$136)*$C$3:$V$3)))</f>
        <v/>
      </c>
      <c r="E871" s="62">
        <f>IF(E$15&lt;=1,0,SUMPRODUCT(MAX(($C$12:$V$12=E$12)*($C$136:$V$136)*$C$3:$V$3)))</f>
        <v/>
      </c>
      <c r="F871" s="62">
        <f>IF(F$15&lt;=1,0,SUMPRODUCT(MAX(($C$12:$V$12=F$12)*($C$136:$V$136)*$C$3:$V$3)))</f>
        <v/>
      </c>
      <c r="G871" s="62">
        <f>IF(G$15&lt;=1,0,SUMPRODUCT(MAX(($C$12:$V$12=G$12)*($C$136:$V$136)*$C$3:$V$3)))</f>
        <v/>
      </c>
      <c r="H871" s="62">
        <f>IF(H$15&lt;=1,0,SUMPRODUCT(MAX(($C$12:$V$12=H$12)*($C$136:$V$136)*$C$3:$V$3)))</f>
        <v/>
      </c>
      <c r="I871" s="62">
        <f>IF(I$15&lt;=1,0,SUMPRODUCT(MAX(($C$12:$V$12=I$12)*($C$136:$V$136)*$C$3:$V$3)))</f>
        <v/>
      </c>
      <c r="J871" s="62">
        <f>IF(J$15&lt;=1,0,SUMPRODUCT(MAX(($C$12:$V$12=J$12)*($C$136:$V$136)*$C$3:$V$3)))</f>
        <v/>
      </c>
      <c r="K871" s="62">
        <f>IF(K$15&lt;=1,0,SUMPRODUCT(MAX(($C$12:$V$12=K$12)*($C$136:$V$136)*$C$3:$V$3)))</f>
        <v/>
      </c>
      <c r="L871" s="62">
        <f>IF(L$15&lt;=1,0,SUMPRODUCT(MAX(($C$12:$V$12=L$12)*($C$136:$V$136)*$C$3:$V$3)))</f>
        <v/>
      </c>
      <c r="M871" s="62">
        <f>IF(M$15&lt;=1,0,SUMPRODUCT(MAX(($C$12:$V$12=M$12)*($C$136:$V$136)*$C$3:$V$3)))</f>
        <v/>
      </c>
      <c r="N871" s="62">
        <f>IF(N$15&lt;=1,0,SUMPRODUCT(MAX(($C$12:$V$12=N$12)*($C$136:$V$136)*$C$3:$V$3)))</f>
        <v/>
      </c>
      <c r="O871" s="62">
        <f>IF(O$15&lt;=1,0,SUMPRODUCT(MAX(($C$12:$V$12=O$12)*($C$136:$V$136)*$C$3:$V$3)))</f>
        <v/>
      </c>
      <c r="P871" s="62">
        <f>IF(P$15&lt;=1,0,SUMPRODUCT(MAX(($C$12:$V$12=P$12)*($C$136:$V$136)*$C$3:$V$3)))</f>
        <v/>
      </c>
      <c r="Q871" s="62">
        <f>IF(Q$15&lt;=1,0,SUMPRODUCT(MAX(($C$12:$V$12=Q$12)*($C$136:$V$136)*$C$3:$V$3)))</f>
        <v/>
      </c>
      <c r="R871" s="62">
        <f>IF(R$15&lt;=1,0,SUMPRODUCT(MAX(($C$12:$V$12=R$12)*($C$136:$V$136)*$C$3:$V$3)))</f>
        <v/>
      </c>
      <c r="S871" s="62">
        <f>IF(S$15&lt;=1,0,SUMPRODUCT(MAX(($C$12:$V$12=S$12)*($C$136:$V$136)*$C$3:$V$3)))</f>
        <v/>
      </c>
      <c r="T871" s="62">
        <f>IF(T$15&lt;=1,0,SUMPRODUCT(MAX(($C$12:$V$12=T$12)*($C$136:$V$136)*$C$3:$V$3)))</f>
        <v/>
      </c>
      <c r="U871" s="62">
        <f>IF(U$15&lt;=1,0,SUMPRODUCT(MAX(($C$12:$V$12=U$12)*($C$136:$V$136)*$C$3:$V$3)))</f>
        <v/>
      </c>
      <c r="V871" s="62">
        <f>IF(V$15&lt;=1,0,SUMPRODUCT(MAX(($C$12:$V$12=V$12)*($C$136:$V$136)*$C$3:$V$3)))</f>
        <v/>
      </c>
    </row>
    <row r="872">
      <c r="C872" s="62">
        <f>IF(C$15&lt;=1,0,SUMPRODUCT(MAX(($C$12:$V$12=C$12)*($C$137:$V$137)*$C$3:$V$3)))</f>
        <v/>
      </c>
      <c r="D872" s="62">
        <f>IF(D$15&lt;=1,0,SUMPRODUCT(MAX(($C$12:$V$12=D$12)*($C$137:$V$137)*$C$3:$V$3)))</f>
        <v/>
      </c>
      <c r="E872" s="62">
        <f>IF(E$15&lt;=1,0,SUMPRODUCT(MAX(($C$12:$V$12=E$12)*($C$137:$V$137)*$C$3:$V$3)))</f>
        <v/>
      </c>
      <c r="F872" s="62">
        <f>IF(F$15&lt;=1,0,SUMPRODUCT(MAX(($C$12:$V$12=F$12)*($C$137:$V$137)*$C$3:$V$3)))</f>
        <v/>
      </c>
      <c r="G872" s="62">
        <f>IF(G$15&lt;=1,0,SUMPRODUCT(MAX(($C$12:$V$12=G$12)*($C$137:$V$137)*$C$3:$V$3)))</f>
        <v/>
      </c>
      <c r="H872" s="62">
        <f>IF(H$15&lt;=1,0,SUMPRODUCT(MAX(($C$12:$V$12=H$12)*($C$137:$V$137)*$C$3:$V$3)))</f>
        <v/>
      </c>
      <c r="I872" s="62">
        <f>IF(I$15&lt;=1,0,SUMPRODUCT(MAX(($C$12:$V$12=I$12)*($C$137:$V$137)*$C$3:$V$3)))</f>
        <v/>
      </c>
      <c r="J872" s="62">
        <f>IF(J$15&lt;=1,0,SUMPRODUCT(MAX(($C$12:$V$12=J$12)*($C$137:$V$137)*$C$3:$V$3)))</f>
        <v/>
      </c>
      <c r="K872" s="62">
        <f>IF(K$15&lt;=1,0,SUMPRODUCT(MAX(($C$12:$V$12=K$12)*($C$137:$V$137)*$C$3:$V$3)))</f>
        <v/>
      </c>
      <c r="L872" s="62">
        <f>IF(L$15&lt;=1,0,SUMPRODUCT(MAX(($C$12:$V$12=L$12)*($C$137:$V$137)*$C$3:$V$3)))</f>
        <v/>
      </c>
      <c r="M872" s="62">
        <f>IF(M$15&lt;=1,0,SUMPRODUCT(MAX(($C$12:$V$12=M$12)*($C$137:$V$137)*$C$3:$V$3)))</f>
        <v/>
      </c>
      <c r="N872" s="62">
        <f>IF(N$15&lt;=1,0,SUMPRODUCT(MAX(($C$12:$V$12=N$12)*($C$137:$V$137)*$C$3:$V$3)))</f>
        <v/>
      </c>
      <c r="O872" s="62">
        <f>IF(O$15&lt;=1,0,SUMPRODUCT(MAX(($C$12:$V$12=O$12)*($C$137:$V$137)*$C$3:$V$3)))</f>
        <v/>
      </c>
      <c r="P872" s="62">
        <f>IF(P$15&lt;=1,0,SUMPRODUCT(MAX(($C$12:$V$12=P$12)*($C$137:$V$137)*$C$3:$V$3)))</f>
        <v/>
      </c>
      <c r="Q872" s="62">
        <f>IF(Q$15&lt;=1,0,SUMPRODUCT(MAX(($C$12:$V$12=Q$12)*($C$137:$V$137)*$C$3:$V$3)))</f>
        <v/>
      </c>
      <c r="R872" s="62">
        <f>IF(R$15&lt;=1,0,SUMPRODUCT(MAX(($C$12:$V$12=R$12)*($C$137:$V$137)*$C$3:$V$3)))</f>
        <v/>
      </c>
      <c r="S872" s="62">
        <f>IF(S$15&lt;=1,0,SUMPRODUCT(MAX(($C$12:$V$12=S$12)*($C$137:$V$137)*$C$3:$V$3)))</f>
        <v/>
      </c>
      <c r="T872" s="62">
        <f>IF(T$15&lt;=1,0,SUMPRODUCT(MAX(($C$12:$V$12=T$12)*($C$137:$V$137)*$C$3:$V$3)))</f>
        <v/>
      </c>
      <c r="U872" s="62">
        <f>IF(U$15&lt;=1,0,SUMPRODUCT(MAX(($C$12:$V$12=U$12)*($C$137:$V$137)*$C$3:$V$3)))</f>
        <v/>
      </c>
      <c r="V872" s="62">
        <f>IF(V$15&lt;=1,0,SUMPRODUCT(MAX(($C$12:$V$12=V$12)*($C$137:$V$137)*$C$3:$V$3)))</f>
        <v/>
      </c>
    </row>
    <row r="873">
      <c r="C873" s="62">
        <f>IF(C$15&lt;=1,0,SUMPRODUCT(MAX(($C$12:$V$12=C$12)*($C$138:$V$138)*$C$3:$V$3)))</f>
        <v/>
      </c>
      <c r="D873" s="62">
        <f>IF(D$15&lt;=1,0,SUMPRODUCT(MAX(($C$12:$V$12=D$12)*($C$138:$V$138)*$C$3:$V$3)))</f>
        <v/>
      </c>
      <c r="E873" s="62">
        <f>IF(E$15&lt;=1,0,SUMPRODUCT(MAX(($C$12:$V$12=E$12)*($C$138:$V$138)*$C$3:$V$3)))</f>
        <v/>
      </c>
      <c r="F873" s="62">
        <f>IF(F$15&lt;=1,0,SUMPRODUCT(MAX(($C$12:$V$12=F$12)*($C$138:$V$138)*$C$3:$V$3)))</f>
        <v/>
      </c>
      <c r="G873" s="62">
        <f>IF(G$15&lt;=1,0,SUMPRODUCT(MAX(($C$12:$V$12=G$12)*($C$138:$V$138)*$C$3:$V$3)))</f>
        <v/>
      </c>
      <c r="H873" s="62">
        <f>IF(H$15&lt;=1,0,SUMPRODUCT(MAX(($C$12:$V$12=H$12)*($C$138:$V$138)*$C$3:$V$3)))</f>
        <v/>
      </c>
      <c r="I873" s="62">
        <f>IF(I$15&lt;=1,0,SUMPRODUCT(MAX(($C$12:$V$12=I$12)*($C$138:$V$138)*$C$3:$V$3)))</f>
        <v/>
      </c>
      <c r="J873" s="62">
        <f>IF(J$15&lt;=1,0,SUMPRODUCT(MAX(($C$12:$V$12=J$12)*($C$138:$V$138)*$C$3:$V$3)))</f>
        <v/>
      </c>
      <c r="K873" s="62">
        <f>IF(K$15&lt;=1,0,SUMPRODUCT(MAX(($C$12:$V$12=K$12)*($C$138:$V$138)*$C$3:$V$3)))</f>
        <v/>
      </c>
      <c r="L873" s="62">
        <f>IF(L$15&lt;=1,0,SUMPRODUCT(MAX(($C$12:$V$12=L$12)*($C$138:$V$138)*$C$3:$V$3)))</f>
        <v/>
      </c>
      <c r="M873" s="62">
        <f>IF(M$15&lt;=1,0,SUMPRODUCT(MAX(($C$12:$V$12=M$12)*($C$138:$V$138)*$C$3:$V$3)))</f>
        <v/>
      </c>
      <c r="N873" s="62">
        <f>IF(N$15&lt;=1,0,SUMPRODUCT(MAX(($C$12:$V$12=N$12)*($C$138:$V$138)*$C$3:$V$3)))</f>
        <v/>
      </c>
      <c r="O873" s="62">
        <f>IF(O$15&lt;=1,0,SUMPRODUCT(MAX(($C$12:$V$12=O$12)*($C$138:$V$138)*$C$3:$V$3)))</f>
        <v/>
      </c>
      <c r="P873" s="62">
        <f>IF(P$15&lt;=1,0,SUMPRODUCT(MAX(($C$12:$V$12=P$12)*($C$138:$V$138)*$C$3:$V$3)))</f>
        <v/>
      </c>
      <c r="Q873" s="62">
        <f>IF(Q$15&lt;=1,0,SUMPRODUCT(MAX(($C$12:$V$12=Q$12)*($C$138:$V$138)*$C$3:$V$3)))</f>
        <v/>
      </c>
      <c r="R873" s="62">
        <f>IF(R$15&lt;=1,0,SUMPRODUCT(MAX(($C$12:$V$12=R$12)*($C$138:$V$138)*$C$3:$V$3)))</f>
        <v/>
      </c>
      <c r="S873" s="62">
        <f>IF(S$15&lt;=1,0,SUMPRODUCT(MAX(($C$12:$V$12=S$12)*($C$138:$V$138)*$C$3:$V$3)))</f>
        <v/>
      </c>
      <c r="T873" s="62">
        <f>IF(T$15&lt;=1,0,SUMPRODUCT(MAX(($C$12:$V$12=T$12)*($C$138:$V$138)*$C$3:$V$3)))</f>
        <v/>
      </c>
      <c r="U873" s="62">
        <f>IF(U$15&lt;=1,0,SUMPRODUCT(MAX(($C$12:$V$12=U$12)*($C$138:$V$138)*$C$3:$V$3)))</f>
        <v/>
      </c>
      <c r="V873" s="62">
        <f>IF(V$15&lt;=1,0,SUMPRODUCT(MAX(($C$12:$V$12=V$12)*($C$138:$V$138)*$C$3:$V$3)))</f>
        <v/>
      </c>
    </row>
    <row r="874">
      <c r="C874" s="62">
        <f>IF(C$15&lt;=1,0,SUMPRODUCT(MAX(($C$12:$V$12=C$12)*($C$139:$V$139)*$C$3:$V$3)))</f>
        <v/>
      </c>
      <c r="D874" s="62">
        <f>IF(D$15&lt;=1,0,SUMPRODUCT(MAX(($C$12:$V$12=D$12)*($C$139:$V$139)*$C$3:$V$3)))</f>
        <v/>
      </c>
      <c r="E874" s="62">
        <f>IF(E$15&lt;=1,0,SUMPRODUCT(MAX(($C$12:$V$12=E$12)*($C$139:$V$139)*$C$3:$V$3)))</f>
        <v/>
      </c>
      <c r="F874" s="62">
        <f>IF(F$15&lt;=1,0,SUMPRODUCT(MAX(($C$12:$V$12=F$12)*($C$139:$V$139)*$C$3:$V$3)))</f>
        <v/>
      </c>
      <c r="G874" s="62">
        <f>IF(G$15&lt;=1,0,SUMPRODUCT(MAX(($C$12:$V$12=G$12)*($C$139:$V$139)*$C$3:$V$3)))</f>
        <v/>
      </c>
      <c r="H874" s="62">
        <f>IF(H$15&lt;=1,0,SUMPRODUCT(MAX(($C$12:$V$12=H$12)*($C$139:$V$139)*$C$3:$V$3)))</f>
        <v/>
      </c>
      <c r="I874" s="62">
        <f>IF(I$15&lt;=1,0,SUMPRODUCT(MAX(($C$12:$V$12=I$12)*($C$139:$V$139)*$C$3:$V$3)))</f>
        <v/>
      </c>
      <c r="J874" s="62">
        <f>IF(J$15&lt;=1,0,SUMPRODUCT(MAX(($C$12:$V$12=J$12)*($C$139:$V$139)*$C$3:$V$3)))</f>
        <v/>
      </c>
      <c r="K874" s="62">
        <f>IF(K$15&lt;=1,0,SUMPRODUCT(MAX(($C$12:$V$12=K$12)*($C$139:$V$139)*$C$3:$V$3)))</f>
        <v/>
      </c>
      <c r="L874" s="62">
        <f>IF(L$15&lt;=1,0,SUMPRODUCT(MAX(($C$12:$V$12=L$12)*($C$139:$V$139)*$C$3:$V$3)))</f>
        <v/>
      </c>
      <c r="M874" s="62">
        <f>IF(M$15&lt;=1,0,SUMPRODUCT(MAX(($C$12:$V$12=M$12)*($C$139:$V$139)*$C$3:$V$3)))</f>
        <v/>
      </c>
      <c r="N874" s="62">
        <f>IF(N$15&lt;=1,0,SUMPRODUCT(MAX(($C$12:$V$12=N$12)*($C$139:$V$139)*$C$3:$V$3)))</f>
        <v/>
      </c>
      <c r="O874" s="62">
        <f>IF(O$15&lt;=1,0,SUMPRODUCT(MAX(($C$12:$V$12=O$12)*($C$139:$V$139)*$C$3:$V$3)))</f>
        <v/>
      </c>
      <c r="P874" s="62">
        <f>IF(P$15&lt;=1,0,SUMPRODUCT(MAX(($C$12:$V$12=P$12)*($C$139:$V$139)*$C$3:$V$3)))</f>
        <v/>
      </c>
      <c r="Q874" s="62">
        <f>IF(Q$15&lt;=1,0,SUMPRODUCT(MAX(($C$12:$V$12=Q$12)*($C$139:$V$139)*$C$3:$V$3)))</f>
        <v/>
      </c>
      <c r="R874" s="62">
        <f>IF(R$15&lt;=1,0,SUMPRODUCT(MAX(($C$12:$V$12=R$12)*($C$139:$V$139)*$C$3:$V$3)))</f>
        <v/>
      </c>
      <c r="S874" s="62">
        <f>IF(S$15&lt;=1,0,SUMPRODUCT(MAX(($C$12:$V$12=S$12)*($C$139:$V$139)*$C$3:$V$3)))</f>
        <v/>
      </c>
      <c r="T874" s="62">
        <f>IF(T$15&lt;=1,0,SUMPRODUCT(MAX(($C$12:$V$12=T$12)*($C$139:$V$139)*$C$3:$V$3)))</f>
        <v/>
      </c>
      <c r="U874" s="62">
        <f>IF(U$15&lt;=1,0,SUMPRODUCT(MAX(($C$12:$V$12=U$12)*($C$139:$V$139)*$C$3:$V$3)))</f>
        <v/>
      </c>
      <c r="V874" s="62">
        <f>IF(V$15&lt;=1,0,SUMPRODUCT(MAX(($C$12:$V$12=V$12)*($C$139:$V$139)*$C$3:$V$3)))</f>
        <v/>
      </c>
    </row>
    <row r="875">
      <c r="C875" s="62">
        <f>IF(C$15&lt;=1,0,SUMPRODUCT(MAX(($C$12:$V$12=C$12)*($C$140:$V$140)*$C$3:$V$3)))</f>
        <v/>
      </c>
      <c r="D875" s="62">
        <f>IF(D$15&lt;=1,0,SUMPRODUCT(MAX(($C$12:$V$12=D$12)*($C$140:$V$140)*$C$3:$V$3)))</f>
        <v/>
      </c>
      <c r="E875" s="62">
        <f>IF(E$15&lt;=1,0,SUMPRODUCT(MAX(($C$12:$V$12=E$12)*($C$140:$V$140)*$C$3:$V$3)))</f>
        <v/>
      </c>
      <c r="F875" s="62">
        <f>IF(F$15&lt;=1,0,SUMPRODUCT(MAX(($C$12:$V$12=F$12)*($C$140:$V$140)*$C$3:$V$3)))</f>
        <v/>
      </c>
      <c r="G875" s="62">
        <f>IF(G$15&lt;=1,0,SUMPRODUCT(MAX(($C$12:$V$12=G$12)*($C$140:$V$140)*$C$3:$V$3)))</f>
        <v/>
      </c>
      <c r="H875" s="62">
        <f>IF(H$15&lt;=1,0,SUMPRODUCT(MAX(($C$12:$V$12=H$12)*($C$140:$V$140)*$C$3:$V$3)))</f>
        <v/>
      </c>
      <c r="I875" s="62">
        <f>IF(I$15&lt;=1,0,SUMPRODUCT(MAX(($C$12:$V$12=I$12)*($C$140:$V$140)*$C$3:$V$3)))</f>
        <v/>
      </c>
      <c r="J875" s="62">
        <f>IF(J$15&lt;=1,0,SUMPRODUCT(MAX(($C$12:$V$12=J$12)*($C$140:$V$140)*$C$3:$V$3)))</f>
        <v/>
      </c>
      <c r="K875" s="62">
        <f>IF(K$15&lt;=1,0,SUMPRODUCT(MAX(($C$12:$V$12=K$12)*($C$140:$V$140)*$C$3:$V$3)))</f>
        <v/>
      </c>
      <c r="L875" s="62">
        <f>IF(L$15&lt;=1,0,SUMPRODUCT(MAX(($C$12:$V$12=L$12)*($C$140:$V$140)*$C$3:$V$3)))</f>
        <v/>
      </c>
      <c r="M875" s="62">
        <f>IF(M$15&lt;=1,0,SUMPRODUCT(MAX(($C$12:$V$12=M$12)*($C$140:$V$140)*$C$3:$V$3)))</f>
        <v/>
      </c>
      <c r="N875" s="62">
        <f>IF(N$15&lt;=1,0,SUMPRODUCT(MAX(($C$12:$V$12=N$12)*($C$140:$V$140)*$C$3:$V$3)))</f>
        <v/>
      </c>
      <c r="O875" s="62">
        <f>IF(O$15&lt;=1,0,SUMPRODUCT(MAX(($C$12:$V$12=O$12)*($C$140:$V$140)*$C$3:$V$3)))</f>
        <v/>
      </c>
      <c r="P875" s="62">
        <f>IF(P$15&lt;=1,0,SUMPRODUCT(MAX(($C$12:$V$12=P$12)*($C$140:$V$140)*$C$3:$V$3)))</f>
        <v/>
      </c>
      <c r="Q875" s="62">
        <f>IF(Q$15&lt;=1,0,SUMPRODUCT(MAX(($C$12:$V$12=Q$12)*($C$140:$V$140)*$C$3:$V$3)))</f>
        <v/>
      </c>
      <c r="R875" s="62">
        <f>IF(R$15&lt;=1,0,SUMPRODUCT(MAX(($C$12:$V$12=R$12)*($C$140:$V$140)*$C$3:$V$3)))</f>
        <v/>
      </c>
      <c r="S875" s="62">
        <f>IF(S$15&lt;=1,0,SUMPRODUCT(MAX(($C$12:$V$12=S$12)*($C$140:$V$140)*$C$3:$V$3)))</f>
        <v/>
      </c>
      <c r="T875" s="62">
        <f>IF(T$15&lt;=1,0,SUMPRODUCT(MAX(($C$12:$V$12=T$12)*($C$140:$V$140)*$C$3:$V$3)))</f>
        <v/>
      </c>
      <c r="U875" s="62">
        <f>IF(U$15&lt;=1,0,SUMPRODUCT(MAX(($C$12:$V$12=U$12)*($C$140:$V$140)*$C$3:$V$3)))</f>
        <v/>
      </c>
      <c r="V875" s="62">
        <f>IF(V$15&lt;=1,0,SUMPRODUCT(MAX(($C$12:$V$12=V$12)*($C$140:$V$140)*$C$3:$V$3)))</f>
        <v/>
      </c>
    </row>
    <row r="876">
      <c r="C876" s="62">
        <f>IF(C$15&lt;=1,0,SUMPRODUCT(MAX(($C$12:$V$12=C$12)*($C$141:$V$141)*$C$3:$V$3)))</f>
        <v/>
      </c>
      <c r="D876" s="62">
        <f>IF(D$15&lt;=1,0,SUMPRODUCT(MAX(($C$12:$V$12=D$12)*($C$141:$V$141)*$C$3:$V$3)))</f>
        <v/>
      </c>
      <c r="E876" s="62">
        <f>IF(E$15&lt;=1,0,SUMPRODUCT(MAX(($C$12:$V$12=E$12)*($C$141:$V$141)*$C$3:$V$3)))</f>
        <v/>
      </c>
      <c r="F876" s="62">
        <f>IF(F$15&lt;=1,0,SUMPRODUCT(MAX(($C$12:$V$12=F$12)*($C$141:$V$141)*$C$3:$V$3)))</f>
        <v/>
      </c>
      <c r="G876" s="62">
        <f>IF(G$15&lt;=1,0,SUMPRODUCT(MAX(($C$12:$V$12=G$12)*($C$141:$V$141)*$C$3:$V$3)))</f>
        <v/>
      </c>
      <c r="H876" s="62">
        <f>IF(H$15&lt;=1,0,SUMPRODUCT(MAX(($C$12:$V$12=H$12)*($C$141:$V$141)*$C$3:$V$3)))</f>
        <v/>
      </c>
      <c r="I876" s="62">
        <f>IF(I$15&lt;=1,0,SUMPRODUCT(MAX(($C$12:$V$12=I$12)*($C$141:$V$141)*$C$3:$V$3)))</f>
        <v/>
      </c>
      <c r="J876" s="62">
        <f>IF(J$15&lt;=1,0,SUMPRODUCT(MAX(($C$12:$V$12=J$12)*($C$141:$V$141)*$C$3:$V$3)))</f>
        <v/>
      </c>
      <c r="K876" s="62">
        <f>IF(K$15&lt;=1,0,SUMPRODUCT(MAX(($C$12:$V$12=K$12)*($C$141:$V$141)*$C$3:$V$3)))</f>
        <v/>
      </c>
      <c r="L876" s="62">
        <f>IF(L$15&lt;=1,0,SUMPRODUCT(MAX(($C$12:$V$12=L$12)*($C$141:$V$141)*$C$3:$V$3)))</f>
        <v/>
      </c>
      <c r="M876" s="62">
        <f>IF(M$15&lt;=1,0,SUMPRODUCT(MAX(($C$12:$V$12=M$12)*($C$141:$V$141)*$C$3:$V$3)))</f>
        <v/>
      </c>
      <c r="N876" s="62">
        <f>IF(N$15&lt;=1,0,SUMPRODUCT(MAX(($C$12:$V$12=N$12)*($C$141:$V$141)*$C$3:$V$3)))</f>
        <v/>
      </c>
      <c r="O876" s="62">
        <f>IF(O$15&lt;=1,0,SUMPRODUCT(MAX(($C$12:$V$12=O$12)*($C$141:$V$141)*$C$3:$V$3)))</f>
        <v/>
      </c>
      <c r="P876" s="62">
        <f>IF(P$15&lt;=1,0,SUMPRODUCT(MAX(($C$12:$V$12=P$12)*($C$141:$V$141)*$C$3:$V$3)))</f>
        <v/>
      </c>
      <c r="Q876" s="62">
        <f>IF(Q$15&lt;=1,0,SUMPRODUCT(MAX(($C$12:$V$12=Q$12)*($C$141:$V$141)*$C$3:$V$3)))</f>
        <v/>
      </c>
      <c r="R876" s="62">
        <f>IF(R$15&lt;=1,0,SUMPRODUCT(MAX(($C$12:$V$12=R$12)*($C$141:$V$141)*$C$3:$V$3)))</f>
        <v/>
      </c>
      <c r="S876" s="62">
        <f>IF(S$15&lt;=1,0,SUMPRODUCT(MAX(($C$12:$V$12=S$12)*($C$141:$V$141)*$C$3:$V$3)))</f>
        <v/>
      </c>
      <c r="T876" s="62">
        <f>IF(T$15&lt;=1,0,SUMPRODUCT(MAX(($C$12:$V$12=T$12)*($C$141:$V$141)*$C$3:$V$3)))</f>
        <v/>
      </c>
      <c r="U876" s="62">
        <f>IF(U$15&lt;=1,0,SUMPRODUCT(MAX(($C$12:$V$12=U$12)*($C$141:$V$141)*$C$3:$V$3)))</f>
        <v/>
      </c>
      <c r="V876" s="62">
        <f>IF(V$15&lt;=1,0,SUMPRODUCT(MAX(($C$12:$V$12=V$12)*($C$141:$V$141)*$C$3:$V$3)))</f>
        <v/>
      </c>
    </row>
    <row r="877">
      <c r="C877" s="62">
        <f>IF(C$15&lt;=1,0,SUMPRODUCT(MAX(($C$12:$V$12=C$12)*($C$142:$V$142)*$C$3:$V$3)))</f>
        <v/>
      </c>
      <c r="D877" s="62">
        <f>IF(D$15&lt;=1,0,SUMPRODUCT(MAX(($C$12:$V$12=D$12)*($C$142:$V$142)*$C$3:$V$3)))</f>
        <v/>
      </c>
      <c r="E877" s="62">
        <f>IF(E$15&lt;=1,0,SUMPRODUCT(MAX(($C$12:$V$12=E$12)*($C$142:$V$142)*$C$3:$V$3)))</f>
        <v/>
      </c>
      <c r="F877" s="62">
        <f>IF(F$15&lt;=1,0,SUMPRODUCT(MAX(($C$12:$V$12=F$12)*($C$142:$V$142)*$C$3:$V$3)))</f>
        <v/>
      </c>
      <c r="G877" s="62">
        <f>IF(G$15&lt;=1,0,SUMPRODUCT(MAX(($C$12:$V$12=G$12)*($C$142:$V$142)*$C$3:$V$3)))</f>
        <v/>
      </c>
      <c r="H877" s="62">
        <f>IF(H$15&lt;=1,0,SUMPRODUCT(MAX(($C$12:$V$12=H$12)*($C$142:$V$142)*$C$3:$V$3)))</f>
        <v/>
      </c>
      <c r="I877" s="62">
        <f>IF(I$15&lt;=1,0,SUMPRODUCT(MAX(($C$12:$V$12=I$12)*($C$142:$V$142)*$C$3:$V$3)))</f>
        <v/>
      </c>
      <c r="J877" s="62">
        <f>IF(J$15&lt;=1,0,SUMPRODUCT(MAX(($C$12:$V$12=J$12)*($C$142:$V$142)*$C$3:$V$3)))</f>
        <v/>
      </c>
      <c r="K877" s="62">
        <f>IF(K$15&lt;=1,0,SUMPRODUCT(MAX(($C$12:$V$12=K$12)*($C$142:$V$142)*$C$3:$V$3)))</f>
        <v/>
      </c>
      <c r="L877" s="62">
        <f>IF(L$15&lt;=1,0,SUMPRODUCT(MAX(($C$12:$V$12=L$12)*($C$142:$V$142)*$C$3:$V$3)))</f>
        <v/>
      </c>
      <c r="M877" s="62">
        <f>IF(M$15&lt;=1,0,SUMPRODUCT(MAX(($C$12:$V$12=M$12)*($C$142:$V$142)*$C$3:$V$3)))</f>
        <v/>
      </c>
      <c r="N877" s="62">
        <f>IF(N$15&lt;=1,0,SUMPRODUCT(MAX(($C$12:$V$12=N$12)*($C$142:$V$142)*$C$3:$V$3)))</f>
        <v/>
      </c>
      <c r="O877" s="62">
        <f>IF(O$15&lt;=1,0,SUMPRODUCT(MAX(($C$12:$V$12=O$12)*($C$142:$V$142)*$C$3:$V$3)))</f>
        <v/>
      </c>
      <c r="P877" s="62">
        <f>IF(P$15&lt;=1,0,SUMPRODUCT(MAX(($C$12:$V$12=P$12)*($C$142:$V$142)*$C$3:$V$3)))</f>
        <v/>
      </c>
      <c r="Q877" s="62">
        <f>IF(Q$15&lt;=1,0,SUMPRODUCT(MAX(($C$12:$V$12=Q$12)*($C$142:$V$142)*$C$3:$V$3)))</f>
        <v/>
      </c>
      <c r="R877" s="62">
        <f>IF(R$15&lt;=1,0,SUMPRODUCT(MAX(($C$12:$V$12=R$12)*($C$142:$V$142)*$C$3:$V$3)))</f>
        <v/>
      </c>
      <c r="S877" s="62">
        <f>IF(S$15&lt;=1,0,SUMPRODUCT(MAX(($C$12:$V$12=S$12)*($C$142:$V$142)*$C$3:$V$3)))</f>
        <v/>
      </c>
      <c r="T877" s="62">
        <f>IF(T$15&lt;=1,0,SUMPRODUCT(MAX(($C$12:$V$12=T$12)*($C$142:$V$142)*$C$3:$V$3)))</f>
        <v/>
      </c>
      <c r="U877" s="62">
        <f>IF(U$15&lt;=1,0,SUMPRODUCT(MAX(($C$12:$V$12=U$12)*($C$142:$V$142)*$C$3:$V$3)))</f>
        <v/>
      </c>
      <c r="V877" s="62">
        <f>IF(V$15&lt;=1,0,SUMPRODUCT(MAX(($C$12:$V$12=V$12)*($C$142:$V$142)*$C$3:$V$3)))</f>
        <v/>
      </c>
    </row>
    <row r="878">
      <c r="C878" s="62">
        <f>IF(C$15&lt;=1,0,SUMPRODUCT(MAX(($C$12:$V$12=C$12)*($C$143:$V$143)*$C$3:$V$3)))</f>
        <v/>
      </c>
      <c r="D878" s="62">
        <f>IF(D$15&lt;=1,0,SUMPRODUCT(MAX(($C$12:$V$12=D$12)*($C$143:$V$143)*$C$3:$V$3)))</f>
        <v/>
      </c>
      <c r="E878" s="62">
        <f>IF(E$15&lt;=1,0,SUMPRODUCT(MAX(($C$12:$V$12=E$12)*($C$143:$V$143)*$C$3:$V$3)))</f>
        <v/>
      </c>
      <c r="F878" s="62">
        <f>IF(F$15&lt;=1,0,SUMPRODUCT(MAX(($C$12:$V$12=F$12)*($C$143:$V$143)*$C$3:$V$3)))</f>
        <v/>
      </c>
      <c r="G878" s="62">
        <f>IF(G$15&lt;=1,0,SUMPRODUCT(MAX(($C$12:$V$12=G$12)*($C$143:$V$143)*$C$3:$V$3)))</f>
        <v/>
      </c>
      <c r="H878" s="62">
        <f>IF(H$15&lt;=1,0,SUMPRODUCT(MAX(($C$12:$V$12=H$12)*($C$143:$V$143)*$C$3:$V$3)))</f>
        <v/>
      </c>
      <c r="I878" s="62">
        <f>IF(I$15&lt;=1,0,SUMPRODUCT(MAX(($C$12:$V$12=I$12)*($C$143:$V$143)*$C$3:$V$3)))</f>
        <v/>
      </c>
      <c r="J878" s="62">
        <f>IF(J$15&lt;=1,0,SUMPRODUCT(MAX(($C$12:$V$12=J$12)*($C$143:$V$143)*$C$3:$V$3)))</f>
        <v/>
      </c>
      <c r="K878" s="62">
        <f>IF(K$15&lt;=1,0,SUMPRODUCT(MAX(($C$12:$V$12=K$12)*($C$143:$V$143)*$C$3:$V$3)))</f>
        <v/>
      </c>
      <c r="L878" s="62">
        <f>IF(L$15&lt;=1,0,SUMPRODUCT(MAX(($C$12:$V$12=L$12)*($C$143:$V$143)*$C$3:$V$3)))</f>
        <v/>
      </c>
      <c r="M878" s="62">
        <f>IF(M$15&lt;=1,0,SUMPRODUCT(MAX(($C$12:$V$12=M$12)*($C$143:$V$143)*$C$3:$V$3)))</f>
        <v/>
      </c>
      <c r="N878" s="62">
        <f>IF(N$15&lt;=1,0,SUMPRODUCT(MAX(($C$12:$V$12=N$12)*($C$143:$V$143)*$C$3:$V$3)))</f>
        <v/>
      </c>
      <c r="O878" s="62">
        <f>IF(O$15&lt;=1,0,SUMPRODUCT(MAX(($C$12:$V$12=O$12)*($C$143:$V$143)*$C$3:$V$3)))</f>
        <v/>
      </c>
      <c r="P878" s="62">
        <f>IF(P$15&lt;=1,0,SUMPRODUCT(MAX(($C$12:$V$12=P$12)*($C$143:$V$143)*$C$3:$V$3)))</f>
        <v/>
      </c>
      <c r="Q878" s="62">
        <f>IF(Q$15&lt;=1,0,SUMPRODUCT(MAX(($C$12:$V$12=Q$12)*($C$143:$V$143)*$C$3:$V$3)))</f>
        <v/>
      </c>
      <c r="R878" s="62">
        <f>IF(R$15&lt;=1,0,SUMPRODUCT(MAX(($C$12:$V$12=R$12)*($C$143:$V$143)*$C$3:$V$3)))</f>
        <v/>
      </c>
      <c r="S878" s="62">
        <f>IF(S$15&lt;=1,0,SUMPRODUCT(MAX(($C$12:$V$12=S$12)*($C$143:$V$143)*$C$3:$V$3)))</f>
        <v/>
      </c>
      <c r="T878" s="62">
        <f>IF(T$15&lt;=1,0,SUMPRODUCT(MAX(($C$12:$V$12=T$12)*($C$143:$V$143)*$C$3:$V$3)))</f>
        <v/>
      </c>
      <c r="U878" s="62">
        <f>IF(U$15&lt;=1,0,SUMPRODUCT(MAX(($C$12:$V$12=U$12)*($C$143:$V$143)*$C$3:$V$3)))</f>
        <v/>
      </c>
      <c r="V878" s="62">
        <f>IF(V$15&lt;=1,0,SUMPRODUCT(MAX(($C$12:$V$12=V$12)*($C$143:$V$143)*$C$3:$V$3)))</f>
        <v/>
      </c>
    </row>
    <row r="879">
      <c r="C879" s="62">
        <f>IF(C$15&lt;=1,0,SUMPRODUCT(MAX(($C$12:$V$12=C$12)*($C$144:$V$144)*$C$3:$V$3)))</f>
        <v/>
      </c>
      <c r="D879" s="62">
        <f>IF(D$15&lt;=1,0,SUMPRODUCT(MAX(($C$12:$V$12=D$12)*($C$144:$V$144)*$C$3:$V$3)))</f>
        <v/>
      </c>
      <c r="E879" s="62">
        <f>IF(E$15&lt;=1,0,SUMPRODUCT(MAX(($C$12:$V$12=E$12)*($C$144:$V$144)*$C$3:$V$3)))</f>
        <v/>
      </c>
      <c r="F879" s="62">
        <f>IF(F$15&lt;=1,0,SUMPRODUCT(MAX(($C$12:$V$12=F$12)*($C$144:$V$144)*$C$3:$V$3)))</f>
        <v/>
      </c>
      <c r="G879" s="62">
        <f>IF(G$15&lt;=1,0,SUMPRODUCT(MAX(($C$12:$V$12=G$12)*($C$144:$V$144)*$C$3:$V$3)))</f>
        <v/>
      </c>
      <c r="H879" s="62">
        <f>IF(H$15&lt;=1,0,SUMPRODUCT(MAX(($C$12:$V$12=H$12)*($C$144:$V$144)*$C$3:$V$3)))</f>
        <v/>
      </c>
      <c r="I879" s="62">
        <f>IF(I$15&lt;=1,0,SUMPRODUCT(MAX(($C$12:$V$12=I$12)*($C$144:$V$144)*$C$3:$V$3)))</f>
        <v/>
      </c>
      <c r="J879" s="62">
        <f>IF(J$15&lt;=1,0,SUMPRODUCT(MAX(($C$12:$V$12=J$12)*($C$144:$V$144)*$C$3:$V$3)))</f>
        <v/>
      </c>
      <c r="K879" s="62">
        <f>IF(K$15&lt;=1,0,SUMPRODUCT(MAX(($C$12:$V$12=K$12)*($C$144:$V$144)*$C$3:$V$3)))</f>
        <v/>
      </c>
      <c r="L879" s="62">
        <f>IF(L$15&lt;=1,0,SUMPRODUCT(MAX(($C$12:$V$12=L$12)*($C$144:$V$144)*$C$3:$V$3)))</f>
        <v/>
      </c>
      <c r="M879" s="62">
        <f>IF(M$15&lt;=1,0,SUMPRODUCT(MAX(($C$12:$V$12=M$12)*($C$144:$V$144)*$C$3:$V$3)))</f>
        <v/>
      </c>
      <c r="N879" s="62">
        <f>IF(N$15&lt;=1,0,SUMPRODUCT(MAX(($C$12:$V$12=N$12)*($C$144:$V$144)*$C$3:$V$3)))</f>
        <v/>
      </c>
      <c r="O879" s="62">
        <f>IF(O$15&lt;=1,0,SUMPRODUCT(MAX(($C$12:$V$12=O$12)*($C$144:$V$144)*$C$3:$V$3)))</f>
        <v/>
      </c>
      <c r="P879" s="62">
        <f>IF(P$15&lt;=1,0,SUMPRODUCT(MAX(($C$12:$V$12=P$12)*($C$144:$V$144)*$C$3:$V$3)))</f>
        <v/>
      </c>
      <c r="Q879" s="62">
        <f>IF(Q$15&lt;=1,0,SUMPRODUCT(MAX(($C$12:$V$12=Q$12)*($C$144:$V$144)*$C$3:$V$3)))</f>
        <v/>
      </c>
      <c r="R879" s="62">
        <f>IF(R$15&lt;=1,0,SUMPRODUCT(MAX(($C$12:$V$12=R$12)*($C$144:$V$144)*$C$3:$V$3)))</f>
        <v/>
      </c>
      <c r="S879" s="62">
        <f>IF(S$15&lt;=1,0,SUMPRODUCT(MAX(($C$12:$V$12=S$12)*($C$144:$V$144)*$C$3:$V$3)))</f>
        <v/>
      </c>
      <c r="T879" s="62">
        <f>IF(T$15&lt;=1,0,SUMPRODUCT(MAX(($C$12:$V$12=T$12)*($C$144:$V$144)*$C$3:$V$3)))</f>
        <v/>
      </c>
      <c r="U879" s="62">
        <f>IF(U$15&lt;=1,0,SUMPRODUCT(MAX(($C$12:$V$12=U$12)*($C$144:$V$144)*$C$3:$V$3)))</f>
        <v/>
      </c>
      <c r="V879" s="62">
        <f>IF(V$15&lt;=1,0,SUMPRODUCT(MAX(($C$12:$V$12=V$12)*($C$144:$V$144)*$C$3:$V$3)))</f>
        <v/>
      </c>
    </row>
    <row r="880">
      <c r="C880" s="62">
        <f>IF(C$15&lt;=1,0,SUMPRODUCT(MAX(($C$12:$V$12=C$12)*($C$145:$V$145)*$C$3:$V$3)))</f>
        <v/>
      </c>
      <c r="D880" s="62">
        <f>IF(D$15&lt;=1,0,SUMPRODUCT(MAX(($C$12:$V$12=D$12)*($C$145:$V$145)*$C$3:$V$3)))</f>
        <v/>
      </c>
      <c r="E880" s="62">
        <f>IF(E$15&lt;=1,0,SUMPRODUCT(MAX(($C$12:$V$12=E$12)*($C$145:$V$145)*$C$3:$V$3)))</f>
        <v/>
      </c>
      <c r="F880" s="62">
        <f>IF(F$15&lt;=1,0,SUMPRODUCT(MAX(($C$12:$V$12=F$12)*($C$145:$V$145)*$C$3:$V$3)))</f>
        <v/>
      </c>
      <c r="G880" s="62">
        <f>IF(G$15&lt;=1,0,SUMPRODUCT(MAX(($C$12:$V$12=G$12)*($C$145:$V$145)*$C$3:$V$3)))</f>
        <v/>
      </c>
      <c r="H880" s="62">
        <f>IF(H$15&lt;=1,0,SUMPRODUCT(MAX(($C$12:$V$12=H$12)*($C$145:$V$145)*$C$3:$V$3)))</f>
        <v/>
      </c>
      <c r="I880" s="62">
        <f>IF(I$15&lt;=1,0,SUMPRODUCT(MAX(($C$12:$V$12=I$12)*($C$145:$V$145)*$C$3:$V$3)))</f>
        <v/>
      </c>
      <c r="J880" s="62">
        <f>IF(J$15&lt;=1,0,SUMPRODUCT(MAX(($C$12:$V$12=J$12)*($C$145:$V$145)*$C$3:$V$3)))</f>
        <v/>
      </c>
      <c r="K880" s="62">
        <f>IF(K$15&lt;=1,0,SUMPRODUCT(MAX(($C$12:$V$12=K$12)*($C$145:$V$145)*$C$3:$V$3)))</f>
        <v/>
      </c>
      <c r="L880" s="62">
        <f>IF(L$15&lt;=1,0,SUMPRODUCT(MAX(($C$12:$V$12=L$12)*($C$145:$V$145)*$C$3:$V$3)))</f>
        <v/>
      </c>
      <c r="M880" s="62">
        <f>IF(M$15&lt;=1,0,SUMPRODUCT(MAX(($C$12:$V$12=M$12)*($C$145:$V$145)*$C$3:$V$3)))</f>
        <v/>
      </c>
      <c r="N880" s="62">
        <f>IF(N$15&lt;=1,0,SUMPRODUCT(MAX(($C$12:$V$12=N$12)*($C$145:$V$145)*$C$3:$V$3)))</f>
        <v/>
      </c>
      <c r="O880" s="62">
        <f>IF(O$15&lt;=1,0,SUMPRODUCT(MAX(($C$12:$V$12=O$12)*($C$145:$V$145)*$C$3:$V$3)))</f>
        <v/>
      </c>
      <c r="P880" s="62">
        <f>IF(P$15&lt;=1,0,SUMPRODUCT(MAX(($C$12:$V$12=P$12)*($C$145:$V$145)*$C$3:$V$3)))</f>
        <v/>
      </c>
      <c r="Q880" s="62">
        <f>IF(Q$15&lt;=1,0,SUMPRODUCT(MAX(($C$12:$V$12=Q$12)*($C$145:$V$145)*$C$3:$V$3)))</f>
        <v/>
      </c>
      <c r="R880" s="62">
        <f>IF(R$15&lt;=1,0,SUMPRODUCT(MAX(($C$12:$V$12=R$12)*($C$145:$V$145)*$C$3:$V$3)))</f>
        <v/>
      </c>
      <c r="S880" s="62">
        <f>IF(S$15&lt;=1,0,SUMPRODUCT(MAX(($C$12:$V$12=S$12)*($C$145:$V$145)*$C$3:$V$3)))</f>
        <v/>
      </c>
      <c r="T880" s="62">
        <f>IF(T$15&lt;=1,0,SUMPRODUCT(MAX(($C$12:$V$12=T$12)*($C$145:$V$145)*$C$3:$V$3)))</f>
        <v/>
      </c>
      <c r="U880" s="62">
        <f>IF(U$15&lt;=1,0,SUMPRODUCT(MAX(($C$12:$V$12=U$12)*($C$145:$V$145)*$C$3:$V$3)))</f>
        <v/>
      </c>
      <c r="V880" s="62">
        <f>IF(V$15&lt;=1,0,SUMPRODUCT(MAX(($C$12:$V$12=V$12)*($C$145:$V$145)*$C$3:$V$3)))</f>
        <v/>
      </c>
    </row>
    <row r="881">
      <c r="C881" s="62">
        <f>IF(C$15&lt;=1,0,SUMPRODUCT(MAX(($C$12:$V$12=C$12)*($C$146:$V$146)*$C$3:$V$3)))</f>
        <v/>
      </c>
      <c r="D881" s="62">
        <f>IF(D$15&lt;=1,0,SUMPRODUCT(MAX(($C$12:$V$12=D$12)*($C$146:$V$146)*$C$3:$V$3)))</f>
        <v/>
      </c>
      <c r="E881" s="62">
        <f>IF(E$15&lt;=1,0,SUMPRODUCT(MAX(($C$12:$V$12=E$12)*($C$146:$V$146)*$C$3:$V$3)))</f>
        <v/>
      </c>
      <c r="F881" s="62">
        <f>IF(F$15&lt;=1,0,SUMPRODUCT(MAX(($C$12:$V$12=F$12)*($C$146:$V$146)*$C$3:$V$3)))</f>
        <v/>
      </c>
      <c r="G881" s="62">
        <f>IF(G$15&lt;=1,0,SUMPRODUCT(MAX(($C$12:$V$12=G$12)*($C$146:$V$146)*$C$3:$V$3)))</f>
        <v/>
      </c>
      <c r="H881" s="62">
        <f>IF(H$15&lt;=1,0,SUMPRODUCT(MAX(($C$12:$V$12=H$12)*($C$146:$V$146)*$C$3:$V$3)))</f>
        <v/>
      </c>
      <c r="I881" s="62">
        <f>IF(I$15&lt;=1,0,SUMPRODUCT(MAX(($C$12:$V$12=I$12)*($C$146:$V$146)*$C$3:$V$3)))</f>
        <v/>
      </c>
      <c r="J881" s="62">
        <f>IF(J$15&lt;=1,0,SUMPRODUCT(MAX(($C$12:$V$12=J$12)*($C$146:$V$146)*$C$3:$V$3)))</f>
        <v/>
      </c>
      <c r="K881" s="62">
        <f>IF(K$15&lt;=1,0,SUMPRODUCT(MAX(($C$12:$V$12=K$12)*($C$146:$V$146)*$C$3:$V$3)))</f>
        <v/>
      </c>
      <c r="L881" s="62">
        <f>IF(L$15&lt;=1,0,SUMPRODUCT(MAX(($C$12:$V$12=L$12)*($C$146:$V$146)*$C$3:$V$3)))</f>
        <v/>
      </c>
      <c r="M881" s="62">
        <f>IF(M$15&lt;=1,0,SUMPRODUCT(MAX(($C$12:$V$12=M$12)*($C$146:$V$146)*$C$3:$V$3)))</f>
        <v/>
      </c>
      <c r="N881" s="62">
        <f>IF(N$15&lt;=1,0,SUMPRODUCT(MAX(($C$12:$V$12=N$12)*($C$146:$V$146)*$C$3:$V$3)))</f>
        <v/>
      </c>
      <c r="O881" s="62">
        <f>IF(O$15&lt;=1,0,SUMPRODUCT(MAX(($C$12:$V$12=O$12)*($C$146:$V$146)*$C$3:$V$3)))</f>
        <v/>
      </c>
      <c r="P881" s="62">
        <f>IF(P$15&lt;=1,0,SUMPRODUCT(MAX(($C$12:$V$12=P$12)*($C$146:$V$146)*$C$3:$V$3)))</f>
        <v/>
      </c>
      <c r="Q881" s="62">
        <f>IF(Q$15&lt;=1,0,SUMPRODUCT(MAX(($C$12:$V$12=Q$12)*($C$146:$V$146)*$C$3:$V$3)))</f>
        <v/>
      </c>
      <c r="R881" s="62">
        <f>IF(R$15&lt;=1,0,SUMPRODUCT(MAX(($C$12:$V$12=R$12)*($C$146:$V$146)*$C$3:$V$3)))</f>
        <v/>
      </c>
      <c r="S881" s="62">
        <f>IF(S$15&lt;=1,0,SUMPRODUCT(MAX(($C$12:$V$12=S$12)*($C$146:$V$146)*$C$3:$V$3)))</f>
        <v/>
      </c>
      <c r="T881" s="62">
        <f>IF(T$15&lt;=1,0,SUMPRODUCT(MAX(($C$12:$V$12=T$12)*($C$146:$V$146)*$C$3:$V$3)))</f>
        <v/>
      </c>
      <c r="U881" s="62">
        <f>IF(U$15&lt;=1,0,SUMPRODUCT(MAX(($C$12:$V$12=U$12)*($C$146:$V$146)*$C$3:$V$3)))</f>
        <v/>
      </c>
      <c r="V881" s="62">
        <f>IF(V$15&lt;=1,0,SUMPRODUCT(MAX(($C$12:$V$12=V$12)*($C$146:$V$146)*$C$3:$V$3)))</f>
        <v/>
      </c>
    </row>
    <row r="882">
      <c r="C882" s="62">
        <f>IF(C$15&lt;=1,0,SUMPRODUCT(MAX(($C$12:$V$12=C$12)*($C$147:$V$147)*$C$3:$V$3)))</f>
        <v/>
      </c>
      <c r="D882" s="62">
        <f>IF(D$15&lt;=1,0,SUMPRODUCT(MAX(($C$12:$V$12=D$12)*($C$147:$V$147)*$C$3:$V$3)))</f>
        <v/>
      </c>
      <c r="E882" s="62">
        <f>IF(E$15&lt;=1,0,SUMPRODUCT(MAX(($C$12:$V$12=E$12)*($C$147:$V$147)*$C$3:$V$3)))</f>
        <v/>
      </c>
      <c r="F882" s="62">
        <f>IF(F$15&lt;=1,0,SUMPRODUCT(MAX(($C$12:$V$12=F$12)*($C$147:$V$147)*$C$3:$V$3)))</f>
        <v/>
      </c>
      <c r="G882" s="62">
        <f>IF(G$15&lt;=1,0,SUMPRODUCT(MAX(($C$12:$V$12=G$12)*($C$147:$V$147)*$C$3:$V$3)))</f>
        <v/>
      </c>
      <c r="H882" s="62">
        <f>IF(H$15&lt;=1,0,SUMPRODUCT(MAX(($C$12:$V$12=H$12)*($C$147:$V$147)*$C$3:$V$3)))</f>
        <v/>
      </c>
      <c r="I882" s="62">
        <f>IF(I$15&lt;=1,0,SUMPRODUCT(MAX(($C$12:$V$12=I$12)*($C$147:$V$147)*$C$3:$V$3)))</f>
        <v/>
      </c>
      <c r="J882" s="62">
        <f>IF(J$15&lt;=1,0,SUMPRODUCT(MAX(($C$12:$V$12=J$12)*($C$147:$V$147)*$C$3:$V$3)))</f>
        <v/>
      </c>
      <c r="K882" s="62">
        <f>IF(K$15&lt;=1,0,SUMPRODUCT(MAX(($C$12:$V$12=K$12)*($C$147:$V$147)*$C$3:$V$3)))</f>
        <v/>
      </c>
      <c r="L882" s="62">
        <f>IF(L$15&lt;=1,0,SUMPRODUCT(MAX(($C$12:$V$12=L$12)*($C$147:$V$147)*$C$3:$V$3)))</f>
        <v/>
      </c>
      <c r="M882" s="62">
        <f>IF(M$15&lt;=1,0,SUMPRODUCT(MAX(($C$12:$V$12=M$12)*($C$147:$V$147)*$C$3:$V$3)))</f>
        <v/>
      </c>
      <c r="N882" s="62">
        <f>IF(N$15&lt;=1,0,SUMPRODUCT(MAX(($C$12:$V$12=N$12)*($C$147:$V$147)*$C$3:$V$3)))</f>
        <v/>
      </c>
      <c r="O882" s="62">
        <f>IF(O$15&lt;=1,0,SUMPRODUCT(MAX(($C$12:$V$12=O$12)*($C$147:$V$147)*$C$3:$V$3)))</f>
        <v/>
      </c>
      <c r="P882" s="62">
        <f>IF(P$15&lt;=1,0,SUMPRODUCT(MAX(($C$12:$V$12=P$12)*($C$147:$V$147)*$C$3:$V$3)))</f>
        <v/>
      </c>
      <c r="Q882" s="62">
        <f>IF(Q$15&lt;=1,0,SUMPRODUCT(MAX(($C$12:$V$12=Q$12)*($C$147:$V$147)*$C$3:$V$3)))</f>
        <v/>
      </c>
      <c r="R882" s="62">
        <f>IF(R$15&lt;=1,0,SUMPRODUCT(MAX(($C$12:$V$12=R$12)*($C$147:$V$147)*$C$3:$V$3)))</f>
        <v/>
      </c>
      <c r="S882" s="62">
        <f>IF(S$15&lt;=1,0,SUMPRODUCT(MAX(($C$12:$V$12=S$12)*($C$147:$V$147)*$C$3:$V$3)))</f>
        <v/>
      </c>
      <c r="T882" s="62">
        <f>IF(T$15&lt;=1,0,SUMPRODUCT(MAX(($C$12:$V$12=T$12)*($C$147:$V$147)*$C$3:$V$3)))</f>
        <v/>
      </c>
      <c r="U882" s="62">
        <f>IF(U$15&lt;=1,0,SUMPRODUCT(MAX(($C$12:$V$12=U$12)*($C$147:$V$147)*$C$3:$V$3)))</f>
        <v/>
      </c>
      <c r="V882" s="62">
        <f>IF(V$15&lt;=1,0,SUMPRODUCT(MAX(($C$12:$V$12=V$12)*($C$147:$V$147)*$C$3:$V$3)))</f>
        <v/>
      </c>
    </row>
    <row r="883">
      <c r="C883" s="62">
        <f>IF(C$15&lt;=1,0,SUMPRODUCT(MAX(($C$12:$V$12=C$12)*($C$148:$V$148)*$C$3:$V$3)))</f>
        <v/>
      </c>
      <c r="D883" s="62">
        <f>IF(D$15&lt;=1,0,SUMPRODUCT(MAX(($C$12:$V$12=D$12)*($C$148:$V$148)*$C$3:$V$3)))</f>
        <v/>
      </c>
      <c r="E883" s="62">
        <f>IF(E$15&lt;=1,0,SUMPRODUCT(MAX(($C$12:$V$12=E$12)*($C$148:$V$148)*$C$3:$V$3)))</f>
        <v/>
      </c>
      <c r="F883" s="62">
        <f>IF(F$15&lt;=1,0,SUMPRODUCT(MAX(($C$12:$V$12=F$12)*($C$148:$V$148)*$C$3:$V$3)))</f>
        <v/>
      </c>
      <c r="G883" s="62">
        <f>IF(G$15&lt;=1,0,SUMPRODUCT(MAX(($C$12:$V$12=G$12)*($C$148:$V$148)*$C$3:$V$3)))</f>
        <v/>
      </c>
      <c r="H883" s="62">
        <f>IF(H$15&lt;=1,0,SUMPRODUCT(MAX(($C$12:$V$12=H$12)*($C$148:$V$148)*$C$3:$V$3)))</f>
        <v/>
      </c>
      <c r="I883" s="62">
        <f>IF(I$15&lt;=1,0,SUMPRODUCT(MAX(($C$12:$V$12=I$12)*($C$148:$V$148)*$C$3:$V$3)))</f>
        <v/>
      </c>
      <c r="J883" s="62">
        <f>IF(J$15&lt;=1,0,SUMPRODUCT(MAX(($C$12:$V$12=J$12)*($C$148:$V$148)*$C$3:$V$3)))</f>
        <v/>
      </c>
      <c r="K883" s="62">
        <f>IF(K$15&lt;=1,0,SUMPRODUCT(MAX(($C$12:$V$12=K$12)*($C$148:$V$148)*$C$3:$V$3)))</f>
        <v/>
      </c>
      <c r="L883" s="62">
        <f>IF(L$15&lt;=1,0,SUMPRODUCT(MAX(($C$12:$V$12=L$12)*($C$148:$V$148)*$C$3:$V$3)))</f>
        <v/>
      </c>
      <c r="M883" s="62">
        <f>IF(M$15&lt;=1,0,SUMPRODUCT(MAX(($C$12:$V$12=M$12)*($C$148:$V$148)*$C$3:$V$3)))</f>
        <v/>
      </c>
      <c r="N883" s="62">
        <f>IF(N$15&lt;=1,0,SUMPRODUCT(MAX(($C$12:$V$12=N$12)*($C$148:$V$148)*$C$3:$V$3)))</f>
        <v/>
      </c>
      <c r="O883" s="62">
        <f>IF(O$15&lt;=1,0,SUMPRODUCT(MAX(($C$12:$V$12=O$12)*($C$148:$V$148)*$C$3:$V$3)))</f>
        <v/>
      </c>
      <c r="P883" s="62">
        <f>IF(P$15&lt;=1,0,SUMPRODUCT(MAX(($C$12:$V$12=P$12)*($C$148:$V$148)*$C$3:$V$3)))</f>
        <v/>
      </c>
      <c r="Q883" s="62">
        <f>IF(Q$15&lt;=1,0,SUMPRODUCT(MAX(($C$12:$V$12=Q$12)*($C$148:$V$148)*$C$3:$V$3)))</f>
        <v/>
      </c>
      <c r="R883" s="62">
        <f>IF(R$15&lt;=1,0,SUMPRODUCT(MAX(($C$12:$V$12=R$12)*($C$148:$V$148)*$C$3:$V$3)))</f>
        <v/>
      </c>
      <c r="S883" s="62">
        <f>IF(S$15&lt;=1,0,SUMPRODUCT(MAX(($C$12:$V$12=S$12)*($C$148:$V$148)*$C$3:$V$3)))</f>
        <v/>
      </c>
      <c r="T883" s="62">
        <f>IF(T$15&lt;=1,0,SUMPRODUCT(MAX(($C$12:$V$12=T$12)*($C$148:$V$148)*$C$3:$V$3)))</f>
        <v/>
      </c>
      <c r="U883" s="62">
        <f>IF(U$15&lt;=1,0,SUMPRODUCT(MAX(($C$12:$V$12=U$12)*($C$148:$V$148)*$C$3:$V$3)))</f>
        <v/>
      </c>
      <c r="V883" s="62">
        <f>IF(V$15&lt;=1,0,SUMPRODUCT(MAX(($C$12:$V$12=V$12)*($C$148:$V$148)*$C$3:$V$3)))</f>
        <v/>
      </c>
    </row>
    <row r="884">
      <c r="C884" s="62">
        <f>IF(C$15&lt;=1,0,SUMPRODUCT(MAX(($C$12:$V$12=C$12)*($C$149:$V$149)*$C$3:$V$3)))</f>
        <v/>
      </c>
      <c r="D884" s="62">
        <f>IF(D$15&lt;=1,0,SUMPRODUCT(MAX(($C$12:$V$12=D$12)*($C$149:$V$149)*$C$3:$V$3)))</f>
        <v/>
      </c>
      <c r="E884" s="62">
        <f>IF(E$15&lt;=1,0,SUMPRODUCT(MAX(($C$12:$V$12=E$12)*($C$149:$V$149)*$C$3:$V$3)))</f>
        <v/>
      </c>
      <c r="F884" s="62">
        <f>IF(F$15&lt;=1,0,SUMPRODUCT(MAX(($C$12:$V$12=F$12)*($C$149:$V$149)*$C$3:$V$3)))</f>
        <v/>
      </c>
      <c r="G884" s="62">
        <f>IF(G$15&lt;=1,0,SUMPRODUCT(MAX(($C$12:$V$12=G$12)*($C$149:$V$149)*$C$3:$V$3)))</f>
        <v/>
      </c>
      <c r="H884" s="62">
        <f>IF(H$15&lt;=1,0,SUMPRODUCT(MAX(($C$12:$V$12=H$12)*($C$149:$V$149)*$C$3:$V$3)))</f>
        <v/>
      </c>
      <c r="I884" s="62">
        <f>IF(I$15&lt;=1,0,SUMPRODUCT(MAX(($C$12:$V$12=I$12)*($C$149:$V$149)*$C$3:$V$3)))</f>
        <v/>
      </c>
      <c r="J884" s="62">
        <f>IF(J$15&lt;=1,0,SUMPRODUCT(MAX(($C$12:$V$12=J$12)*($C$149:$V$149)*$C$3:$V$3)))</f>
        <v/>
      </c>
      <c r="K884" s="62">
        <f>IF(K$15&lt;=1,0,SUMPRODUCT(MAX(($C$12:$V$12=K$12)*($C$149:$V$149)*$C$3:$V$3)))</f>
        <v/>
      </c>
      <c r="L884" s="62">
        <f>IF(L$15&lt;=1,0,SUMPRODUCT(MAX(($C$12:$V$12=L$12)*($C$149:$V$149)*$C$3:$V$3)))</f>
        <v/>
      </c>
      <c r="M884" s="62">
        <f>IF(M$15&lt;=1,0,SUMPRODUCT(MAX(($C$12:$V$12=M$12)*($C$149:$V$149)*$C$3:$V$3)))</f>
        <v/>
      </c>
      <c r="N884" s="62">
        <f>IF(N$15&lt;=1,0,SUMPRODUCT(MAX(($C$12:$V$12=N$12)*($C$149:$V$149)*$C$3:$V$3)))</f>
        <v/>
      </c>
      <c r="O884" s="62">
        <f>IF(O$15&lt;=1,0,SUMPRODUCT(MAX(($C$12:$V$12=O$12)*($C$149:$V$149)*$C$3:$V$3)))</f>
        <v/>
      </c>
      <c r="P884" s="62">
        <f>IF(P$15&lt;=1,0,SUMPRODUCT(MAX(($C$12:$V$12=P$12)*($C$149:$V$149)*$C$3:$V$3)))</f>
        <v/>
      </c>
      <c r="Q884" s="62">
        <f>IF(Q$15&lt;=1,0,SUMPRODUCT(MAX(($C$12:$V$12=Q$12)*($C$149:$V$149)*$C$3:$V$3)))</f>
        <v/>
      </c>
      <c r="R884" s="62">
        <f>IF(R$15&lt;=1,0,SUMPRODUCT(MAX(($C$12:$V$12=R$12)*($C$149:$V$149)*$C$3:$V$3)))</f>
        <v/>
      </c>
      <c r="S884" s="62">
        <f>IF(S$15&lt;=1,0,SUMPRODUCT(MAX(($C$12:$V$12=S$12)*($C$149:$V$149)*$C$3:$V$3)))</f>
        <v/>
      </c>
      <c r="T884" s="62">
        <f>IF(T$15&lt;=1,0,SUMPRODUCT(MAX(($C$12:$V$12=T$12)*($C$149:$V$149)*$C$3:$V$3)))</f>
        <v/>
      </c>
      <c r="U884" s="62">
        <f>IF(U$15&lt;=1,0,SUMPRODUCT(MAX(($C$12:$V$12=U$12)*($C$149:$V$149)*$C$3:$V$3)))</f>
        <v/>
      </c>
      <c r="V884" s="62">
        <f>IF(V$15&lt;=1,0,SUMPRODUCT(MAX(($C$12:$V$12=V$12)*($C$149:$V$149)*$C$3:$V$3)))</f>
        <v/>
      </c>
    </row>
    <row r="885">
      <c r="C885" s="62">
        <f>IF(C$15&lt;=1,0,SUMPRODUCT(MAX(($C$12:$V$12=C$12)*($C$150:$V$150)*$C$3:$V$3)))</f>
        <v/>
      </c>
      <c r="D885" s="62">
        <f>IF(D$15&lt;=1,0,SUMPRODUCT(MAX(($C$12:$V$12=D$12)*($C$150:$V$150)*$C$3:$V$3)))</f>
        <v/>
      </c>
      <c r="E885" s="62">
        <f>IF(E$15&lt;=1,0,SUMPRODUCT(MAX(($C$12:$V$12=E$12)*($C$150:$V$150)*$C$3:$V$3)))</f>
        <v/>
      </c>
      <c r="F885" s="62">
        <f>IF(F$15&lt;=1,0,SUMPRODUCT(MAX(($C$12:$V$12=F$12)*($C$150:$V$150)*$C$3:$V$3)))</f>
        <v/>
      </c>
      <c r="G885" s="62">
        <f>IF(G$15&lt;=1,0,SUMPRODUCT(MAX(($C$12:$V$12=G$12)*($C$150:$V$150)*$C$3:$V$3)))</f>
        <v/>
      </c>
      <c r="H885" s="62">
        <f>IF(H$15&lt;=1,0,SUMPRODUCT(MAX(($C$12:$V$12=H$12)*($C$150:$V$150)*$C$3:$V$3)))</f>
        <v/>
      </c>
      <c r="I885" s="62">
        <f>IF(I$15&lt;=1,0,SUMPRODUCT(MAX(($C$12:$V$12=I$12)*($C$150:$V$150)*$C$3:$V$3)))</f>
        <v/>
      </c>
      <c r="J885" s="62">
        <f>IF(J$15&lt;=1,0,SUMPRODUCT(MAX(($C$12:$V$12=J$12)*($C$150:$V$150)*$C$3:$V$3)))</f>
        <v/>
      </c>
      <c r="K885" s="62">
        <f>IF(K$15&lt;=1,0,SUMPRODUCT(MAX(($C$12:$V$12=K$12)*($C$150:$V$150)*$C$3:$V$3)))</f>
        <v/>
      </c>
      <c r="L885" s="62">
        <f>IF(L$15&lt;=1,0,SUMPRODUCT(MAX(($C$12:$V$12=L$12)*($C$150:$V$150)*$C$3:$V$3)))</f>
        <v/>
      </c>
      <c r="M885" s="62">
        <f>IF(M$15&lt;=1,0,SUMPRODUCT(MAX(($C$12:$V$12=M$12)*($C$150:$V$150)*$C$3:$V$3)))</f>
        <v/>
      </c>
      <c r="N885" s="62">
        <f>IF(N$15&lt;=1,0,SUMPRODUCT(MAX(($C$12:$V$12=N$12)*($C$150:$V$150)*$C$3:$V$3)))</f>
        <v/>
      </c>
      <c r="O885" s="62">
        <f>IF(O$15&lt;=1,0,SUMPRODUCT(MAX(($C$12:$V$12=O$12)*($C$150:$V$150)*$C$3:$V$3)))</f>
        <v/>
      </c>
      <c r="P885" s="62">
        <f>IF(P$15&lt;=1,0,SUMPRODUCT(MAX(($C$12:$V$12=P$12)*($C$150:$V$150)*$C$3:$V$3)))</f>
        <v/>
      </c>
      <c r="Q885" s="62">
        <f>IF(Q$15&lt;=1,0,SUMPRODUCT(MAX(($C$12:$V$12=Q$12)*($C$150:$V$150)*$C$3:$V$3)))</f>
        <v/>
      </c>
      <c r="R885" s="62">
        <f>IF(R$15&lt;=1,0,SUMPRODUCT(MAX(($C$12:$V$12=R$12)*($C$150:$V$150)*$C$3:$V$3)))</f>
        <v/>
      </c>
      <c r="S885" s="62">
        <f>IF(S$15&lt;=1,0,SUMPRODUCT(MAX(($C$12:$V$12=S$12)*($C$150:$V$150)*$C$3:$V$3)))</f>
        <v/>
      </c>
      <c r="T885" s="62">
        <f>IF(T$15&lt;=1,0,SUMPRODUCT(MAX(($C$12:$V$12=T$12)*($C$150:$V$150)*$C$3:$V$3)))</f>
        <v/>
      </c>
      <c r="U885" s="62">
        <f>IF(U$15&lt;=1,0,SUMPRODUCT(MAX(($C$12:$V$12=U$12)*($C$150:$V$150)*$C$3:$V$3)))</f>
        <v/>
      </c>
      <c r="V885" s="62">
        <f>IF(V$15&lt;=1,0,SUMPRODUCT(MAX(($C$12:$V$12=V$12)*($C$150:$V$150)*$C$3:$V$3)))</f>
        <v/>
      </c>
    </row>
    <row r="886">
      <c r="C886" s="62">
        <f>IF(C$15&lt;=1,0,SUMPRODUCT(MAX(($C$12:$V$12=C$12)*($C$151:$V$151)*$C$3:$V$3)))</f>
        <v/>
      </c>
      <c r="D886" s="62">
        <f>IF(D$15&lt;=1,0,SUMPRODUCT(MAX(($C$12:$V$12=D$12)*($C$151:$V$151)*$C$3:$V$3)))</f>
        <v/>
      </c>
      <c r="E886" s="62">
        <f>IF(E$15&lt;=1,0,SUMPRODUCT(MAX(($C$12:$V$12=E$12)*($C$151:$V$151)*$C$3:$V$3)))</f>
        <v/>
      </c>
      <c r="F886" s="62">
        <f>IF(F$15&lt;=1,0,SUMPRODUCT(MAX(($C$12:$V$12=F$12)*($C$151:$V$151)*$C$3:$V$3)))</f>
        <v/>
      </c>
      <c r="G886" s="62">
        <f>IF(G$15&lt;=1,0,SUMPRODUCT(MAX(($C$12:$V$12=G$12)*($C$151:$V$151)*$C$3:$V$3)))</f>
        <v/>
      </c>
      <c r="H886" s="62">
        <f>IF(H$15&lt;=1,0,SUMPRODUCT(MAX(($C$12:$V$12=H$12)*($C$151:$V$151)*$C$3:$V$3)))</f>
        <v/>
      </c>
      <c r="I886" s="62">
        <f>IF(I$15&lt;=1,0,SUMPRODUCT(MAX(($C$12:$V$12=I$12)*($C$151:$V$151)*$C$3:$V$3)))</f>
        <v/>
      </c>
      <c r="J886" s="62">
        <f>IF(J$15&lt;=1,0,SUMPRODUCT(MAX(($C$12:$V$12=J$12)*($C$151:$V$151)*$C$3:$V$3)))</f>
        <v/>
      </c>
      <c r="K886" s="62">
        <f>IF(K$15&lt;=1,0,SUMPRODUCT(MAX(($C$12:$V$12=K$12)*($C$151:$V$151)*$C$3:$V$3)))</f>
        <v/>
      </c>
      <c r="L886" s="62">
        <f>IF(L$15&lt;=1,0,SUMPRODUCT(MAX(($C$12:$V$12=L$12)*($C$151:$V$151)*$C$3:$V$3)))</f>
        <v/>
      </c>
      <c r="M886" s="62">
        <f>IF(M$15&lt;=1,0,SUMPRODUCT(MAX(($C$12:$V$12=M$12)*($C$151:$V$151)*$C$3:$V$3)))</f>
        <v/>
      </c>
      <c r="N886" s="62">
        <f>IF(N$15&lt;=1,0,SUMPRODUCT(MAX(($C$12:$V$12=N$12)*($C$151:$V$151)*$C$3:$V$3)))</f>
        <v/>
      </c>
      <c r="O886" s="62">
        <f>IF(O$15&lt;=1,0,SUMPRODUCT(MAX(($C$12:$V$12=O$12)*($C$151:$V$151)*$C$3:$V$3)))</f>
        <v/>
      </c>
      <c r="P886" s="62">
        <f>IF(P$15&lt;=1,0,SUMPRODUCT(MAX(($C$12:$V$12=P$12)*($C$151:$V$151)*$C$3:$V$3)))</f>
        <v/>
      </c>
      <c r="Q886" s="62">
        <f>IF(Q$15&lt;=1,0,SUMPRODUCT(MAX(($C$12:$V$12=Q$12)*($C$151:$V$151)*$C$3:$V$3)))</f>
        <v/>
      </c>
      <c r="R886" s="62">
        <f>IF(R$15&lt;=1,0,SUMPRODUCT(MAX(($C$12:$V$12=R$12)*($C$151:$V$151)*$C$3:$V$3)))</f>
        <v/>
      </c>
      <c r="S886" s="62">
        <f>IF(S$15&lt;=1,0,SUMPRODUCT(MAX(($C$12:$V$12=S$12)*($C$151:$V$151)*$C$3:$V$3)))</f>
        <v/>
      </c>
      <c r="T886" s="62">
        <f>IF(T$15&lt;=1,0,SUMPRODUCT(MAX(($C$12:$V$12=T$12)*($C$151:$V$151)*$C$3:$V$3)))</f>
        <v/>
      </c>
      <c r="U886" s="62">
        <f>IF(U$15&lt;=1,0,SUMPRODUCT(MAX(($C$12:$V$12=U$12)*($C$151:$V$151)*$C$3:$V$3)))</f>
        <v/>
      </c>
      <c r="V886" s="62">
        <f>IF(V$15&lt;=1,0,SUMPRODUCT(MAX(($C$12:$V$12=V$12)*($C$151:$V$151)*$C$3:$V$3)))</f>
        <v/>
      </c>
    </row>
    <row r="887">
      <c r="C887" s="62">
        <f>IF(C$15&lt;=1,0,SUMPRODUCT(MAX(($C$12:$V$12=C$12)*($C$152:$V$152)*$C$3:$V$3)))</f>
        <v/>
      </c>
      <c r="D887" s="62">
        <f>IF(D$15&lt;=1,0,SUMPRODUCT(MAX(($C$12:$V$12=D$12)*($C$152:$V$152)*$C$3:$V$3)))</f>
        <v/>
      </c>
      <c r="E887" s="62">
        <f>IF(E$15&lt;=1,0,SUMPRODUCT(MAX(($C$12:$V$12=E$12)*($C$152:$V$152)*$C$3:$V$3)))</f>
        <v/>
      </c>
      <c r="F887" s="62">
        <f>IF(F$15&lt;=1,0,SUMPRODUCT(MAX(($C$12:$V$12=F$12)*($C$152:$V$152)*$C$3:$V$3)))</f>
        <v/>
      </c>
      <c r="G887" s="62">
        <f>IF(G$15&lt;=1,0,SUMPRODUCT(MAX(($C$12:$V$12=G$12)*($C$152:$V$152)*$C$3:$V$3)))</f>
        <v/>
      </c>
      <c r="H887" s="62">
        <f>IF(H$15&lt;=1,0,SUMPRODUCT(MAX(($C$12:$V$12=H$12)*($C$152:$V$152)*$C$3:$V$3)))</f>
        <v/>
      </c>
      <c r="I887" s="62">
        <f>IF(I$15&lt;=1,0,SUMPRODUCT(MAX(($C$12:$V$12=I$12)*($C$152:$V$152)*$C$3:$V$3)))</f>
        <v/>
      </c>
      <c r="J887" s="62">
        <f>IF(J$15&lt;=1,0,SUMPRODUCT(MAX(($C$12:$V$12=J$12)*($C$152:$V$152)*$C$3:$V$3)))</f>
        <v/>
      </c>
      <c r="K887" s="62">
        <f>IF(K$15&lt;=1,0,SUMPRODUCT(MAX(($C$12:$V$12=K$12)*($C$152:$V$152)*$C$3:$V$3)))</f>
        <v/>
      </c>
      <c r="L887" s="62">
        <f>IF(L$15&lt;=1,0,SUMPRODUCT(MAX(($C$12:$V$12=L$12)*($C$152:$V$152)*$C$3:$V$3)))</f>
        <v/>
      </c>
      <c r="M887" s="62">
        <f>IF(M$15&lt;=1,0,SUMPRODUCT(MAX(($C$12:$V$12=M$12)*($C$152:$V$152)*$C$3:$V$3)))</f>
        <v/>
      </c>
      <c r="N887" s="62">
        <f>IF(N$15&lt;=1,0,SUMPRODUCT(MAX(($C$12:$V$12=N$12)*($C$152:$V$152)*$C$3:$V$3)))</f>
        <v/>
      </c>
      <c r="O887" s="62">
        <f>IF(O$15&lt;=1,0,SUMPRODUCT(MAX(($C$12:$V$12=O$12)*($C$152:$V$152)*$C$3:$V$3)))</f>
        <v/>
      </c>
      <c r="P887" s="62">
        <f>IF(P$15&lt;=1,0,SUMPRODUCT(MAX(($C$12:$V$12=P$12)*($C$152:$V$152)*$C$3:$V$3)))</f>
        <v/>
      </c>
      <c r="Q887" s="62">
        <f>IF(Q$15&lt;=1,0,SUMPRODUCT(MAX(($C$12:$V$12=Q$12)*($C$152:$V$152)*$C$3:$V$3)))</f>
        <v/>
      </c>
      <c r="R887" s="62">
        <f>IF(R$15&lt;=1,0,SUMPRODUCT(MAX(($C$12:$V$12=R$12)*($C$152:$V$152)*$C$3:$V$3)))</f>
        <v/>
      </c>
      <c r="S887" s="62">
        <f>IF(S$15&lt;=1,0,SUMPRODUCT(MAX(($C$12:$V$12=S$12)*($C$152:$V$152)*$C$3:$V$3)))</f>
        <v/>
      </c>
      <c r="T887" s="62">
        <f>IF(T$15&lt;=1,0,SUMPRODUCT(MAX(($C$12:$V$12=T$12)*($C$152:$V$152)*$C$3:$V$3)))</f>
        <v/>
      </c>
      <c r="U887" s="62">
        <f>IF(U$15&lt;=1,0,SUMPRODUCT(MAX(($C$12:$V$12=U$12)*($C$152:$V$152)*$C$3:$V$3)))</f>
        <v/>
      </c>
      <c r="V887" s="62">
        <f>IF(V$15&lt;=1,0,SUMPRODUCT(MAX(($C$12:$V$12=V$12)*($C$152:$V$152)*$C$3:$V$3)))</f>
        <v/>
      </c>
    </row>
    <row r="888">
      <c r="C888" s="62">
        <f>IF(C$15&lt;=1,0,SUMPRODUCT(MAX(($C$12:$V$12=C$12)*($C$153:$V$153)*$C$3:$V$3)))</f>
        <v/>
      </c>
      <c r="D888" s="62">
        <f>IF(D$15&lt;=1,0,SUMPRODUCT(MAX(($C$12:$V$12=D$12)*($C$153:$V$153)*$C$3:$V$3)))</f>
        <v/>
      </c>
      <c r="E888" s="62">
        <f>IF(E$15&lt;=1,0,SUMPRODUCT(MAX(($C$12:$V$12=E$12)*($C$153:$V$153)*$C$3:$V$3)))</f>
        <v/>
      </c>
      <c r="F888" s="62">
        <f>IF(F$15&lt;=1,0,SUMPRODUCT(MAX(($C$12:$V$12=F$12)*($C$153:$V$153)*$C$3:$V$3)))</f>
        <v/>
      </c>
      <c r="G888" s="62">
        <f>IF(G$15&lt;=1,0,SUMPRODUCT(MAX(($C$12:$V$12=G$12)*($C$153:$V$153)*$C$3:$V$3)))</f>
        <v/>
      </c>
      <c r="H888" s="62">
        <f>IF(H$15&lt;=1,0,SUMPRODUCT(MAX(($C$12:$V$12=H$12)*($C$153:$V$153)*$C$3:$V$3)))</f>
        <v/>
      </c>
      <c r="I888" s="62">
        <f>IF(I$15&lt;=1,0,SUMPRODUCT(MAX(($C$12:$V$12=I$12)*($C$153:$V$153)*$C$3:$V$3)))</f>
        <v/>
      </c>
      <c r="J888" s="62">
        <f>IF(J$15&lt;=1,0,SUMPRODUCT(MAX(($C$12:$V$12=J$12)*($C$153:$V$153)*$C$3:$V$3)))</f>
        <v/>
      </c>
      <c r="K888" s="62">
        <f>IF(K$15&lt;=1,0,SUMPRODUCT(MAX(($C$12:$V$12=K$12)*($C$153:$V$153)*$C$3:$V$3)))</f>
        <v/>
      </c>
      <c r="L888" s="62">
        <f>IF(L$15&lt;=1,0,SUMPRODUCT(MAX(($C$12:$V$12=L$12)*($C$153:$V$153)*$C$3:$V$3)))</f>
        <v/>
      </c>
      <c r="M888" s="62">
        <f>IF(M$15&lt;=1,0,SUMPRODUCT(MAX(($C$12:$V$12=M$12)*($C$153:$V$153)*$C$3:$V$3)))</f>
        <v/>
      </c>
      <c r="N888" s="62">
        <f>IF(N$15&lt;=1,0,SUMPRODUCT(MAX(($C$12:$V$12=N$12)*($C$153:$V$153)*$C$3:$V$3)))</f>
        <v/>
      </c>
      <c r="O888" s="62">
        <f>IF(O$15&lt;=1,0,SUMPRODUCT(MAX(($C$12:$V$12=O$12)*($C$153:$V$153)*$C$3:$V$3)))</f>
        <v/>
      </c>
      <c r="P888" s="62">
        <f>IF(P$15&lt;=1,0,SUMPRODUCT(MAX(($C$12:$V$12=P$12)*($C$153:$V$153)*$C$3:$V$3)))</f>
        <v/>
      </c>
      <c r="Q888" s="62">
        <f>IF(Q$15&lt;=1,0,SUMPRODUCT(MAX(($C$12:$V$12=Q$12)*($C$153:$V$153)*$C$3:$V$3)))</f>
        <v/>
      </c>
      <c r="R888" s="62">
        <f>IF(R$15&lt;=1,0,SUMPRODUCT(MAX(($C$12:$V$12=R$12)*($C$153:$V$153)*$C$3:$V$3)))</f>
        <v/>
      </c>
      <c r="S888" s="62">
        <f>IF(S$15&lt;=1,0,SUMPRODUCT(MAX(($C$12:$V$12=S$12)*($C$153:$V$153)*$C$3:$V$3)))</f>
        <v/>
      </c>
      <c r="T888" s="62">
        <f>IF(T$15&lt;=1,0,SUMPRODUCT(MAX(($C$12:$V$12=T$12)*($C$153:$V$153)*$C$3:$V$3)))</f>
        <v/>
      </c>
      <c r="U888" s="62">
        <f>IF(U$15&lt;=1,0,SUMPRODUCT(MAX(($C$12:$V$12=U$12)*($C$153:$V$153)*$C$3:$V$3)))</f>
        <v/>
      </c>
      <c r="V888" s="62">
        <f>IF(V$15&lt;=1,0,SUMPRODUCT(MAX(($C$12:$V$12=V$12)*($C$153:$V$153)*$C$3:$V$3)))</f>
        <v/>
      </c>
    </row>
    <row r="889">
      <c r="C889" s="62">
        <f>IF(C$15&lt;=1,0,SUMPRODUCT(MAX(($C$12:$V$12=C$12)*($C$154:$V$154)*$C$3:$V$3)))</f>
        <v/>
      </c>
      <c r="D889" s="62">
        <f>IF(D$15&lt;=1,0,SUMPRODUCT(MAX(($C$12:$V$12=D$12)*($C$154:$V$154)*$C$3:$V$3)))</f>
        <v/>
      </c>
      <c r="E889" s="62">
        <f>IF(E$15&lt;=1,0,SUMPRODUCT(MAX(($C$12:$V$12=E$12)*($C$154:$V$154)*$C$3:$V$3)))</f>
        <v/>
      </c>
      <c r="F889" s="62">
        <f>IF(F$15&lt;=1,0,SUMPRODUCT(MAX(($C$12:$V$12=F$12)*($C$154:$V$154)*$C$3:$V$3)))</f>
        <v/>
      </c>
      <c r="G889" s="62">
        <f>IF(G$15&lt;=1,0,SUMPRODUCT(MAX(($C$12:$V$12=G$12)*($C$154:$V$154)*$C$3:$V$3)))</f>
        <v/>
      </c>
      <c r="H889" s="62">
        <f>IF(H$15&lt;=1,0,SUMPRODUCT(MAX(($C$12:$V$12=H$12)*($C$154:$V$154)*$C$3:$V$3)))</f>
        <v/>
      </c>
      <c r="I889" s="62">
        <f>IF(I$15&lt;=1,0,SUMPRODUCT(MAX(($C$12:$V$12=I$12)*($C$154:$V$154)*$C$3:$V$3)))</f>
        <v/>
      </c>
      <c r="J889" s="62">
        <f>IF(J$15&lt;=1,0,SUMPRODUCT(MAX(($C$12:$V$12=J$12)*($C$154:$V$154)*$C$3:$V$3)))</f>
        <v/>
      </c>
      <c r="K889" s="62">
        <f>IF(K$15&lt;=1,0,SUMPRODUCT(MAX(($C$12:$V$12=K$12)*($C$154:$V$154)*$C$3:$V$3)))</f>
        <v/>
      </c>
      <c r="L889" s="62">
        <f>IF(L$15&lt;=1,0,SUMPRODUCT(MAX(($C$12:$V$12=L$12)*($C$154:$V$154)*$C$3:$V$3)))</f>
        <v/>
      </c>
      <c r="M889" s="62">
        <f>IF(M$15&lt;=1,0,SUMPRODUCT(MAX(($C$12:$V$12=M$12)*($C$154:$V$154)*$C$3:$V$3)))</f>
        <v/>
      </c>
      <c r="N889" s="62">
        <f>IF(N$15&lt;=1,0,SUMPRODUCT(MAX(($C$12:$V$12=N$12)*($C$154:$V$154)*$C$3:$V$3)))</f>
        <v/>
      </c>
      <c r="O889" s="62">
        <f>IF(O$15&lt;=1,0,SUMPRODUCT(MAX(($C$12:$V$12=O$12)*($C$154:$V$154)*$C$3:$V$3)))</f>
        <v/>
      </c>
      <c r="P889" s="62">
        <f>IF(P$15&lt;=1,0,SUMPRODUCT(MAX(($C$12:$V$12=P$12)*($C$154:$V$154)*$C$3:$V$3)))</f>
        <v/>
      </c>
      <c r="Q889" s="62">
        <f>IF(Q$15&lt;=1,0,SUMPRODUCT(MAX(($C$12:$V$12=Q$12)*($C$154:$V$154)*$C$3:$V$3)))</f>
        <v/>
      </c>
      <c r="R889" s="62">
        <f>IF(R$15&lt;=1,0,SUMPRODUCT(MAX(($C$12:$V$12=R$12)*($C$154:$V$154)*$C$3:$V$3)))</f>
        <v/>
      </c>
      <c r="S889" s="62">
        <f>IF(S$15&lt;=1,0,SUMPRODUCT(MAX(($C$12:$V$12=S$12)*($C$154:$V$154)*$C$3:$V$3)))</f>
        <v/>
      </c>
      <c r="T889" s="62">
        <f>IF(T$15&lt;=1,0,SUMPRODUCT(MAX(($C$12:$V$12=T$12)*($C$154:$V$154)*$C$3:$V$3)))</f>
        <v/>
      </c>
      <c r="U889" s="62">
        <f>IF(U$15&lt;=1,0,SUMPRODUCT(MAX(($C$12:$V$12=U$12)*($C$154:$V$154)*$C$3:$V$3)))</f>
        <v/>
      </c>
      <c r="V889" s="62">
        <f>IF(V$15&lt;=1,0,SUMPRODUCT(MAX(($C$12:$V$12=V$12)*($C$154:$V$154)*$C$3:$V$3)))</f>
        <v/>
      </c>
    </row>
    <row r="890">
      <c r="C890" s="62">
        <f>IF(C$15&lt;=1,0,SUMPRODUCT(MAX(($C$12:$V$12=C$12)*($C$155:$V$155)*$C$3:$V$3)))</f>
        <v/>
      </c>
      <c r="D890" s="62">
        <f>IF(D$15&lt;=1,0,SUMPRODUCT(MAX(($C$12:$V$12=D$12)*($C$155:$V$155)*$C$3:$V$3)))</f>
        <v/>
      </c>
      <c r="E890" s="62">
        <f>IF(E$15&lt;=1,0,SUMPRODUCT(MAX(($C$12:$V$12=E$12)*($C$155:$V$155)*$C$3:$V$3)))</f>
        <v/>
      </c>
      <c r="F890" s="62">
        <f>IF(F$15&lt;=1,0,SUMPRODUCT(MAX(($C$12:$V$12=F$12)*($C$155:$V$155)*$C$3:$V$3)))</f>
        <v/>
      </c>
      <c r="G890" s="62">
        <f>IF(G$15&lt;=1,0,SUMPRODUCT(MAX(($C$12:$V$12=G$12)*($C$155:$V$155)*$C$3:$V$3)))</f>
        <v/>
      </c>
      <c r="H890" s="62">
        <f>IF(H$15&lt;=1,0,SUMPRODUCT(MAX(($C$12:$V$12=H$12)*($C$155:$V$155)*$C$3:$V$3)))</f>
        <v/>
      </c>
      <c r="I890" s="62">
        <f>IF(I$15&lt;=1,0,SUMPRODUCT(MAX(($C$12:$V$12=I$12)*($C$155:$V$155)*$C$3:$V$3)))</f>
        <v/>
      </c>
      <c r="J890" s="62">
        <f>IF(J$15&lt;=1,0,SUMPRODUCT(MAX(($C$12:$V$12=J$12)*($C$155:$V$155)*$C$3:$V$3)))</f>
        <v/>
      </c>
      <c r="K890" s="62">
        <f>IF(K$15&lt;=1,0,SUMPRODUCT(MAX(($C$12:$V$12=K$12)*($C$155:$V$155)*$C$3:$V$3)))</f>
        <v/>
      </c>
      <c r="L890" s="62">
        <f>IF(L$15&lt;=1,0,SUMPRODUCT(MAX(($C$12:$V$12=L$12)*($C$155:$V$155)*$C$3:$V$3)))</f>
        <v/>
      </c>
      <c r="M890" s="62">
        <f>IF(M$15&lt;=1,0,SUMPRODUCT(MAX(($C$12:$V$12=M$12)*($C$155:$V$155)*$C$3:$V$3)))</f>
        <v/>
      </c>
      <c r="N890" s="62">
        <f>IF(N$15&lt;=1,0,SUMPRODUCT(MAX(($C$12:$V$12=N$12)*($C$155:$V$155)*$C$3:$V$3)))</f>
        <v/>
      </c>
      <c r="O890" s="62">
        <f>IF(O$15&lt;=1,0,SUMPRODUCT(MAX(($C$12:$V$12=O$12)*($C$155:$V$155)*$C$3:$V$3)))</f>
        <v/>
      </c>
      <c r="P890" s="62">
        <f>IF(P$15&lt;=1,0,SUMPRODUCT(MAX(($C$12:$V$12=P$12)*($C$155:$V$155)*$C$3:$V$3)))</f>
        <v/>
      </c>
      <c r="Q890" s="62">
        <f>IF(Q$15&lt;=1,0,SUMPRODUCT(MAX(($C$12:$V$12=Q$12)*($C$155:$V$155)*$C$3:$V$3)))</f>
        <v/>
      </c>
      <c r="R890" s="62">
        <f>IF(R$15&lt;=1,0,SUMPRODUCT(MAX(($C$12:$V$12=R$12)*($C$155:$V$155)*$C$3:$V$3)))</f>
        <v/>
      </c>
      <c r="S890" s="62">
        <f>IF(S$15&lt;=1,0,SUMPRODUCT(MAX(($C$12:$V$12=S$12)*($C$155:$V$155)*$C$3:$V$3)))</f>
        <v/>
      </c>
      <c r="T890" s="62">
        <f>IF(T$15&lt;=1,0,SUMPRODUCT(MAX(($C$12:$V$12=T$12)*($C$155:$V$155)*$C$3:$V$3)))</f>
        <v/>
      </c>
      <c r="U890" s="62">
        <f>IF(U$15&lt;=1,0,SUMPRODUCT(MAX(($C$12:$V$12=U$12)*($C$155:$V$155)*$C$3:$V$3)))</f>
        <v/>
      </c>
      <c r="V890" s="62">
        <f>IF(V$15&lt;=1,0,SUMPRODUCT(MAX(($C$12:$V$12=V$12)*($C$155:$V$155)*$C$3:$V$3)))</f>
        <v/>
      </c>
    </row>
    <row r="891">
      <c r="C891" s="62">
        <f>IF(C$15&lt;=1,0,SUMPRODUCT(MAX(($C$12:$V$12=C$12)*($C$156:$V$156)*$C$3:$V$3)))</f>
        <v/>
      </c>
      <c r="D891" s="62">
        <f>IF(D$15&lt;=1,0,SUMPRODUCT(MAX(($C$12:$V$12=D$12)*($C$156:$V$156)*$C$3:$V$3)))</f>
        <v/>
      </c>
      <c r="E891" s="62">
        <f>IF(E$15&lt;=1,0,SUMPRODUCT(MAX(($C$12:$V$12=E$12)*($C$156:$V$156)*$C$3:$V$3)))</f>
        <v/>
      </c>
      <c r="F891" s="62">
        <f>IF(F$15&lt;=1,0,SUMPRODUCT(MAX(($C$12:$V$12=F$12)*($C$156:$V$156)*$C$3:$V$3)))</f>
        <v/>
      </c>
      <c r="G891" s="62">
        <f>IF(G$15&lt;=1,0,SUMPRODUCT(MAX(($C$12:$V$12=G$12)*($C$156:$V$156)*$C$3:$V$3)))</f>
        <v/>
      </c>
      <c r="H891" s="62">
        <f>IF(H$15&lt;=1,0,SUMPRODUCT(MAX(($C$12:$V$12=H$12)*($C$156:$V$156)*$C$3:$V$3)))</f>
        <v/>
      </c>
      <c r="I891" s="62">
        <f>IF(I$15&lt;=1,0,SUMPRODUCT(MAX(($C$12:$V$12=I$12)*($C$156:$V$156)*$C$3:$V$3)))</f>
        <v/>
      </c>
      <c r="J891" s="62">
        <f>IF(J$15&lt;=1,0,SUMPRODUCT(MAX(($C$12:$V$12=J$12)*($C$156:$V$156)*$C$3:$V$3)))</f>
        <v/>
      </c>
      <c r="K891" s="62">
        <f>IF(K$15&lt;=1,0,SUMPRODUCT(MAX(($C$12:$V$12=K$12)*($C$156:$V$156)*$C$3:$V$3)))</f>
        <v/>
      </c>
      <c r="L891" s="62">
        <f>IF(L$15&lt;=1,0,SUMPRODUCT(MAX(($C$12:$V$12=L$12)*($C$156:$V$156)*$C$3:$V$3)))</f>
        <v/>
      </c>
      <c r="M891" s="62">
        <f>IF(M$15&lt;=1,0,SUMPRODUCT(MAX(($C$12:$V$12=M$12)*($C$156:$V$156)*$C$3:$V$3)))</f>
        <v/>
      </c>
      <c r="N891" s="62">
        <f>IF(N$15&lt;=1,0,SUMPRODUCT(MAX(($C$12:$V$12=N$12)*($C$156:$V$156)*$C$3:$V$3)))</f>
        <v/>
      </c>
      <c r="O891" s="62">
        <f>IF(O$15&lt;=1,0,SUMPRODUCT(MAX(($C$12:$V$12=O$12)*($C$156:$V$156)*$C$3:$V$3)))</f>
        <v/>
      </c>
      <c r="P891" s="62">
        <f>IF(P$15&lt;=1,0,SUMPRODUCT(MAX(($C$12:$V$12=P$12)*($C$156:$V$156)*$C$3:$V$3)))</f>
        <v/>
      </c>
      <c r="Q891" s="62">
        <f>IF(Q$15&lt;=1,0,SUMPRODUCT(MAX(($C$12:$V$12=Q$12)*($C$156:$V$156)*$C$3:$V$3)))</f>
        <v/>
      </c>
      <c r="R891" s="62">
        <f>IF(R$15&lt;=1,0,SUMPRODUCT(MAX(($C$12:$V$12=R$12)*($C$156:$V$156)*$C$3:$V$3)))</f>
        <v/>
      </c>
      <c r="S891" s="62">
        <f>IF(S$15&lt;=1,0,SUMPRODUCT(MAX(($C$12:$V$12=S$12)*($C$156:$V$156)*$C$3:$V$3)))</f>
        <v/>
      </c>
      <c r="T891" s="62">
        <f>IF(T$15&lt;=1,0,SUMPRODUCT(MAX(($C$12:$V$12=T$12)*($C$156:$V$156)*$C$3:$V$3)))</f>
        <v/>
      </c>
      <c r="U891" s="62">
        <f>IF(U$15&lt;=1,0,SUMPRODUCT(MAX(($C$12:$V$12=U$12)*($C$156:$V$156)*$C$3:$V$3)))</f>
        <v/>
      </c>
      <c r="V891" s="62">
        <f>IF(V$15&lt;=1,0,SUMPRODUCT(MAX(($C$12:$V$12=V$12)*($C$156:$V$156)*$C$3:$V$3)))</f>
        <v/>
      </c>
    </row>
    <row r="892">
      <c r="C892" s="62">
        <f>IF(C$15&lt;=1,0,SUMPRODUCT(MAX(($C$12:$V$12=C$12)*($C$157:$V$157)*$C$3:$V$3)))</f>
        <v/>
      </c>
      <c r="D892" s="62">
        <f>IF(D$15&lt;=1,0,SUMPRODUCT(MAX(($C$12:$V$12=D$12)*($C$157:$V$157)*$C$3:$V$3)))</f>
        <v/>
      </c>
      <c r="E892" s="62">
        <f>IF(E$15&lt;=1,0,SUMPRODUCT(MAX(($C$12:$V$12=E$12)*($C$157:$V$157)*$C$3:$V$3)))</f>
        <v/>
      </c>
      <c r="F892" s="62">
        <f>IF(F$15&lt;=1,0,SUMPRODUCT(MAX(($C$12:$V$12=F$12)*($C$157:$V$157)*$C$3:$V$3)))</f>
        <v/>
      </c>
      <c r="G892" s="62">
        <f>IF(G$15&lt;=1,0,SUMPRODUCT(MAX(($C$12:$V$12=G$12)*($C$157:$V$157)*$C$3:$V$3)))</f>
        <v/>
      </c>
      <c r="H892" s="62">
        <f>IF(H$15&lt;=1,0,SUMPRODUCT(MAX(($C$12:$V$12=H$12)*($C$157:$V$157)*$C$3:$V$3)))</f>
        <v/>
      </c>
      <c r="I892" s="62">
        <f>IF(I$15&lt;=1,0,SUMPRODUCT(MAX(($C$12:$V$12=I$12)*($C$157:$V$157)*$C$3:$V$3)))</f>
        <v/>
      </c>
      <c r="J892" s="62">
        <f>IF(J$15&lt;=1,0,SUMPRODUCT(MAX(($C$12:$V$12=J$12)*($C$157:$V$157)*$C$3:$V$3)))</f>
        <v/>
      </c>
      <c r="K892" s="62">
        <f>IF(K$15&lt;=1,0,SUMPRODUCT(MAX(($C$12:$V$12=K$12)*($C$157:$V$157)*$C$3:$V$3)))</f>
        <v/>
      </c>
      <c r="L892" s="62">
        <f>IF(L$15&lt;=1,0,SUMPRODUCT(MAX(($C$12:$V$12=L$12)*($C$157:$V$157)*$C$3:$V$3)))</f>
        <v/>
      </c>
      <c r="M892" s="62">
        <f>IF(M$15&lt;=1,0,SUMPRODUCT(MAX(($C$12:$V$12=M$12)*($C$157:$V$157)*$C$3:$V$3)))</f>
        <v/>
      </c>
      <c r="N892" s="62">
        <f>IF(N$15&lt;=1,0,SUMPRODUCT(MAX(($C$12:$V$12=N$12)*($C$157:$V$157)*$C$3:$V$3)))</f>
        <v/>
      </c>
      <c r="O892" s="62">
        <f>IF(O$15&lt;=1,0,SUMPRODUCT(MAX(($C$12:$V$12=O$12)*($C$157:$V$157)*$C$3:$V$3)))</f>
        <v/>
      </c>
      <c r="P892" s="62">
        <f>IF(P$15&lt;=1,0,SUMPRODUCT(MAX(($C$12:$V$12=P$12)*($C$157:$V$157)*$C$3:$V$3)))</f>
        <v/>
      </c>
      <c r="Q892" s="62">
        <f>IF(Q$15&lt;=1,0,SUMPRODUCT(MAX(($C$12:$V$12=Q$12)*($C$157:$V$157)*$C$3:$V$3)))</f>
        <v/>
      </c>
      <c r="R892" s="62">
        <f>IF(R$15&lt;=1,0,SUMPRODUCT(MAX(($C$12:$V$12=R$12)*($C$157:$V$157)*$C$3:$V$3)))</f>
        <v/>
      </c>
      <c r="S892" s="62">
        <f>IF(S$15&lt;=1,0,SUMPRODUCT(MAX(($C$12:$V$12=S$12)*($C$157:$V$157)*$C$3:$V$3)))</f>
        <v/>
      </c>
      <c r="T892" s="62">
        <f>IF(T$15&lt;=1,0,SUMPRODUCT(MAX(($C$12:$V$12=T$12)*($C$157:$V$157)*$C$3:$V$3)))</f>
        <v/>
      </c>
      <c r="U892" s="62">
        <f>IF(U$15&lt;=1,0,SUMPRODUCT(MAX(($C$12:$V$12=U$12)*($C$157:$V$157)*$C$3:$V$3)))</f>
        <v/>
      </c>
      <c r="V892" s="62">
        <f>IF(V$15&lt;=1,0,SUMPRODUCT(MAX(($C$12:$V$12=V$12)*($C$157:$V$157)*$C$3:$V$3)))</f>
        <v/>
      </c>
    </row>
    <row r="893">
      <c r="C893" s="62">
        <f>IF(C$15&lt;=1,0,SUMPRODUCT(MAX(($C$12:$V$12=C$12)*($C$158:$V$158)*$C$3:$V$3)))</f>
        <v/>
      </c>
      <c r="D893" s="62">
        <f>IF(D$15&lt;=1,0,SUMPRODUCT(MAX(($C$12:$V$12=D$12)*($C$158:$V$158)*$C$3:$V$3)))</f>
        <v/>
      </c>
      <c r="E893" s="62">
        <f>IF(E$15&lt;=1,0,SUMPRODUCT(MAX(($C$12:$V$12=E$12)*($C$158:$V$158)*$C$3:$V$3)))</f>
        <v/>
      </c>
      <c r="F893" s="62">
        <f>IF(F$15&lt;=1,0,SUMPRODUCT(MAX(($C$12:$V$12=F$12)*($C$158:$V$158)*$C$3:$V$3)))</f>
        <v/>
      </c>
      <c r="G893" s="62">
        <f>IF(G$15&lt;=1,0,SUMPRODUCT(MAX(($C$12:$V$12=G$12)*($C$158:$V$158)*$C$3:$V$3)))</f>
        <v/>
      </c>
      <c r="H893" s="62">
        <f>IF(H$15&lt;=1,0,SUMPRODUCT(MAX(($C$12:$V$12=H$12)*($C$158:$V$158)*$C$3:$V$3)))</f>
        <v/>
      </c>
      <c r="I893" s="62">
        <f>IF(I$15&lt;=1,0,SUMPRODUCT(MAX(($C$12:$V$12=I$12)*($C$158:$V$158)*$C$3:$V$3)))</f>
        <v/>
      </c>
      <c r="J893" s="62">
        <f>IF(J$15&lt;=1,0,SUMPRODUCT(MAX(($C$12:$V$12=J$12)*($C$158:$V$158)*$C$3:$V$3)))</f>
        <v/>
      </c>
      <c r="K893" s="62">
        <f>IF(K$15&lt;=1,0,SUMPRODUCT(MAX(($C$12:$V$12=K$12)*($C$158:$V$158)*$C$3:$V$3)))</f>
        <v/>
      </c>
      <c r="L893" s="62">
        <f>IF(L$15&lt;=1,0,SUMPRODUCT(MAX(($C$12:$V$12=L$12)*($C$158:$V$158)*$C$3:$V$3)))</f>
        <v/>
      </c>
      <c r="M893" s="62">
        <f>IF(M$15&lt;=1,0,SUMPRODUCT(MAX(($C$12:$V$12=M$12)*($C$158:$V$158)*$C$3:$V$3)))</f>
        <v/>
      </c>
      <c r="N893" s="62">
        <f>IF(N$15&lt;=1,0,SUMPRODUCT(MAX(($C$12:$V$12=N$12)*($C$158:$V$158)*$C$3:$V$3)))</f>
        <v/>
      </c>
      <c r="O893" s="62">
        <f>IF(O$15&lt;=1,0,SUMPRODUCT(MAX(($C$12:$V$12=O$12)*($C$158:$V$158)*$C$3:$V$3)))</f>
        <v/>
      </c>
      <c r="P893" s="62">
        <f>IF(P$15&lt;=1,0,SUMPRODUCT(MAX(($C$12:$V$12=P$12)*($C$158:$V$158)*$C$3:$V$3)))</f>
        <v/>
      </c>
      <c r="Q893" s="62">
        <f>IF(Q$15&lt;=1,0,SUMPRODUCT(MAX(($C$12:$V$12=Q$12)*($C$158:$V$158)*$C$3:$V$3)))</f>
        <v/>
      </c>
      <c r="R893" s="62">
        <f>IF(R$15&lt;=1,0,SUMPRODUCT(MAX(($C$12:$V$12=R$12)*($C$158:$V$158)*$C$3:$V$3)))</f>
        <v/>
      </c>
      <c r="S893" s="62">
        <f>IF(S$15&lt;=1,0,SUMPRODUCT(MAX(($C$12:$V$12=S$12)*($C$158:$V$158)*$C$3:$V$3)))</f>
        <v/>
      </c>
      <c r="T893" s="62">
        <f>IF(T$15&lt;=1,0,SUMPRODUCT(MAX(($C$12:$V$12=T$12)*($C$158:$V$158)*$C$3:$V$3)))</f>
        <v/>
      </c>
      <c r="U893" s="62">
        <f>IF(U$15&lt;=1,0,SUMPRODUCT(MAX(($C$12:$V$12=U$12)*($C$158:$V$158)*$C$3:$V$3)))</f>
        <v/>
      </c>
      <c r="V893" s="62">
        <f>IF(V$15&lt;=1,0,SUMPRODUCT(MAX(($C$12:$V$12=V$12)*($C$158:$V$158)*$C$3:$V$3)))</f>
        <v/>
      </c>
    </row>
    <row r="894">
      <c r="C894" s="62">
        <f>IF(C$15&lt;=1,0,SUMPRODUCT(MAX(($C$12:$V$12=C$12)*($C$159:$V$159)*$C$3:$V$3)))</f>
        <v/>
      </c>
      <c r="D894" s="62">
        <f>IF(D$15&lt;=1,0,SUMPRODUCT(MAX(($C$12:$V$12=D$12)*($C$159:$V$159)*$C$3:$V$3)))</f>
        <v/>
      </c>
      <c r="E894" s="62">
        <f>IF(E$15&lt;=1,0,SUMPRODUCT(MAX(($C$12:$V$12=E$12)*($C$159:$V$159)*$C$3:$V$3)))</f>
        <v/>
      </c>
      <c r="F894" s="62">
        <f>IF(F$15&lt;=1,0,SUMPRODUCT(MAX(($C$12:$V$12=F$12)*($C$159:$V$159)*$C$3:$V$3)))</f>
        <v/>
      </c>
      <c r="G894" s="62">
        <f>IF(G$15&lt;=1,0,SUMPRODUCT(MAX(($C$12:$V$12=G$12)*($C$159:$V$159)*$C$3:$V$3)))</f>
        <v/>
      </c>
      <c r="H894" s="62">
        <f>IF(H$15&lt;=1,0,SUMPRODUCT(MAX(($C$12:$V$12=H$12)*($C$159:$V$159)*$C$3:$V$3)))</f>
        <v/>
      </c>
      <c r="I894" s="62">
        <f>IF(I$15&lt;=1,0,SUMPRODUCT(MAX(($C$12:$V$12=I$12)*($C$159:$V$159)*$C$3:$V$3)))</f>
        <v/>
      </c>
      <c r="J894" s="62">
        <f>IF(J$15&lt;=1,0,SUMPRODUCT(MAX(($C$12:$V$12=J$12)*($C$159:$V$159)*$C$3:$V$3)))</f>
        <v/>
      </c>
      <c r="K894" s="62">
        <f>IF(K$15&lt;=1,0,SUMPRODUCT(MAX(($C$12:$V$12=K$12)*($C$159:$V$159)*$C$3:$V$3)))</f>
        <v/>
      </c>
      <c r="L894" s="62">
        <f>IF(L$15&lt;=1,0,SUMPRODUCT(MAX(($C$12:$V$12=L$12)*($C$159:$V$159)*$C$3:$V$3)))</f>
        <v/>
      </c>
      <c r="M894" s="62">
        <f>IF(M$15&lt;=1,0,SUMPRODUCT(MAX(($C$12:$V$12=M$12)*($C$159:$V$159)*$C$3:$V$3)))</f>
        <v/>
      </c>
      <c r="N894" s="62">
        <f>IF(N$15&lt;=1,0,SUMPRODUCT(MAX(($C$12:$V$12=N$12)*($C$159:$V$159)*$C$3:$V$3)))</f>
        <v/>
      </c>
      <c r="O894" s="62">
        <f>IF(O$15&lt;=1,0,SUMPRODUCT(MAX(($C$12:$V$12=O$12)*($C$159:$V$159)*$C$3:$V$3)))</f>
        <v/>
      </c>
      <c r="P894" s="62">
        <f>IF(P$15&lt;=1,0,SUMPRODUCT(MAX(($C$12:$V$12=P$12)*($C$159:$V$159)*$C$3:$V$3)))</f>
        <v/>
      </c>
      <c r="Q894" s="62">
        <f>IF(Q$15&lt;=1,0,SUMPRODUCT(MAX(($C$12:$V$12=Q$12)*($C$159:$V$159)*$C$3:$V$3)))</f>
        <v/>
      </c>
      <c r="R894" s="62">
        <f>IF(R$15&lt;=1,0,SUMPRODUCT(MAX(($C$12:$V$12=R$12)*($C$159:$V$159)*$C$3:$V$3)))</f>
        <v/>
      </c>
      <c r="S894" s="62">
        <f>IF(S$15&lt;=1,0,SUMPRODUCT(MAX(($C$12:$V$12=S$12)*($C$159:$V$159)*$C$3:$V$3)))</f>
        <v/>
      </c>
      <c r="T894" s="62">
        <f>IF(T$15&lt;=1,0,SUMPRODUCT(MAX(($C$12:$V$12=T$12)*($C$159:$V$159)*$C$3:$V$3)))</f>
        <v/>
      </c>
      <c r="U894" s="62">
        <f>IF(U$15&lt;=1,0,SUMPRODUCT(MAX(($C$12:$V$12=U$12)*($C$159:$V$159)*$C$3:$V$3)))</f>
        <v/>
      </c>
      <c r="V894" s="62">
        <f>IF(V$15&lt;=1,0,SUMPRODUCT(MAX(($C$12:$V$12=V$12)*($C$159:$V$159)*$C$3:$V$3)))</f>
        <v/>
      </c>
    </row>
    <row r="895">
      <c r="C895" s="62">
        <f>IF(C$15&lt;=1,0,SUMPRODUCT(MAX(($C$12:$V$12=C$12)*($C$160:$V$160)*$C$3:$V$3)))</f>
        <v/>
      </c>
      <c r="D895" s="62">
        <f>IF(D$15&lt;=1,0,SUMPRODUCT(MAX(($C$12:$V$12=D$12)*($C$160:$V$160)*$C$3:$V$3)))</f>
        <v/>
      </c>
      <c r="E895" s="62">
        <f>IF(E$15&lt;=1,0,SUMPRODUCT(MAX(($C$12:$V$12=E$12)*($C$160:$V$160)*$C$3:$V$3)))</f>
        <v/>
      </c>
      <c r="F895" s="62">
        <f>IF(F$15&lt;=1,0,SUMPRODUCT(MAX(($C$12:$V$12=F$12)*($C$160:$V$160)*$C$3:$V$3)))</f>
        <v/>
      </c>
      <c r="G895" s="62">
        <f>IF(G$15&lt;=1,0,SUMPRODUCT(MAX(($C$12:$V$12=G$12)*($C$160:$V$160)*$C$3:$V$3)))</f>
        <v/>
      </c>
      <c r="H895" s="62">
        <f>IF(H$15&lt;=1,0,SUMPRODUCT(MAX(($C$12:$V$12=H$12)*($C$160:$V$160)*$C$3:$V$3)))</f>
        <v/>
      </c>
      <c r="I895" s="62">
        <f>IF(I$15&lt;=1,0,SUMPRODUCT(MAX(($C$12:$V$12=I$12)*($C$160:$V$160)*$C$3:$V$3)))</f>
        <v/>
      </c>
      <c r="J895" s="62">
        <f>IF(J$15&lt;=1,0,SUMPRODUCT(MAX(($C$12:$V$12=J$12)*($C$160:$V$160)*$C$3:$V$3)))</f>
        <v/>
      </c>
      <c r="K895" s="62">
        <f>IF(K$15&lt;=1,0,SUMPRODUCT(MAX(($C$12:$V$12=K$12)*($C$160:$V$160)*$C$3:$V$3)))</f>
        <v/>
      </c>
      <c r="L895" s="62">
        <f>IF(L$15&lt;=1,0,SUMPRODUCT(MAX(($C$12:$V$12=L$12)*($C$160:$V$160)*$C$3:$V$3)))</f>
        <v/>
      </c>
      <c r="M895" s="62">
        <f>IF(M$15&lt;=1,0,SUMPRODUCT(MAX(($C$12:$V$12=M$12)*($C$160:$V$160)*$C$3:$V$3)))</f>
        <v/>
      </c>
      <c r="N895" s="62">
        <f>IF(N$15&lt;=1,0,SUMPRODUCT(MAX(($C$12:$V$12=N$12)*($C$160:$V$160)*$C$3:$V$3)))</f>
        <v/>
      </c>
      <c r="O895" s="62">
        <f>IF(O$15&lt;=1,0,SUMPRODUCT(MAX(($C$12:$V$12=O$12)*($C$160:$V$160)*$C$3:$V$3)))</f>
        <v/>
      </c>
      <c r="P895" s="62">
        <f>IF(P$15&lt;=1,0,SUMPRODUCT(MAX(($C$12:$V$12=P$12)*($C$160:$V$160)*$C$3:$V$3)))</f>
        <v/>
      </c>
      <c r="Q895" s="62">
        <f>IF(Q$15&lt;=1,0,SUMPRODUCT(MAX(($C$12:$V$12=Q$12)*($C$160:$V$160)*$C$3:$V$3)))</f>
        <v/>
      </c>
      <c r="R895" s="62">
        <f>IF(R$15&lt;=1,0,SUMPRODUCT(MAX(($C$12:$V$12=R$12)*($C$160:$V$160)*$C$3:$V$3)))</f>
        <v/>
      </c>
      <c r="S895" s="62">
        <f>IF(S$15&lt;=1,0,SUMPRODUCT(MAX(($C$12:$V$12=S$12)*($C$160:$V$160)*$C$3:$V$3)))</f>
        <v/>
      </c>
      <c r="T895" s="62">
        <f>IF(T$15&lt;=1,0,SUMPRODUCT(MAX(($C$12:$V$12=T$12)*($C$160:$V$160)*$C$3:$V$3)))</f>
        <v/>
      </c>
      <c r="U895" s="62">
        <f>IF(U$15&lt;=1,0,SUMPRODUCT(MAX(($C$12:$V$12=U$12)*($C$160:$V$160)*$C$3:$V$3)))</f>
        <v/>
      </c>
      <c r="V895" s="62">
        <f>IF(V$15&lt;=1,0,SUMPRODUCT(MAX(($C$12:$V$12=V$12)*($C$160:$V$160)*$C$3:$V$3)))</f>
        <v/>
      </c>
    </row>
    <row r="896">
      <c r="C896" s="62">
        <f>IF(C$15&lt;=1,0,SUMPRODUCT(MAX(($C$12:$V$12=C$12)*($C$161:$V$161)*$C$3:$V$3)))</f>
        <v/>
      </c>
      <c r="D896" s="62">
        <f>IF(D$15&lt;=1,0,SUMPRODUCT(MAX(($C$12:$V$12=D$12)*($C$161:$V$161)*$C$3:$V$3)))</f>
        <v/>
      </c>
      <c r="E896" s="62">
        <f>IF(E$15&lt;=1,0,SUMPRODUCT(MAX(($C$12:$V$12=E$12)*($C$161:$V$161)*$C$3:$V$3)))</f>
        <v/>
      </c>
      <c r="F896" s="62">
        <f>IF(F$15&lt;=1,0,SUMPRODUCT(MAX(($C$12:$V$12=F$12)*($C$161:$V$161)*$C$3:$V$3)))</f>
        <v/>
      </c>
      <c r="G896" s="62">
        <f>IF(G$15&lt;=1,0,SUMPRODUCT(MAX(($C$12:$V$12=G$12)*($C$161:$V$161)*$C$3:$V$3)))</f>
        <v/>
      </c>
      <c r="H896" s="62">
        <f>IF(H$15&lt;=1,0,SUMPRODUCT(MAX(($C$12:$V$12=H$12)*($C$161:$V$161)*$C$3:$V$3)))</f>
        <v/>
      </c>
      <c r="I896" s="62">
        <f>IF(I$15&lt;=1,0,SUMPRODUCT(MAX(($C$12:$V$12=I$12)*($C$161:$V$161)*$C$3:$V$3)))</f>
        <v/>
      </c>
      <c r="J896" s="62">
        <f>IF(J$15&lt;=1,0,SUMPRODUCT(MAX(($C$12:$V$12=J$12)*($C$161:$V$161)*$C$3:$V$3)))</f>
        <v/>
      </c>
      <c r="K896" s="62">
        <f>IF(K$15&lt;=1,0,SUMPRODUCT(MAX(($C$12:$V$12=K$12)*($C$161:$V$161)*$C$3:$V$3)))</f>
        <v/>
      </c>
      <c r="L896" s="62">
        <f>IF(L$15&lt;=1,0,SUMPRODUCT(MAX(($C$12:$V$12=L$12)*($C$161:$V$161)*$C$3:$V$3)))</f>
        <v/>
      </c>
      <c r="M896" s="62">
        <f>IF(M$15&lt;=1,0,SUMPRODUCT(MAX(($C$12:$V$12=M$12)*($C$161:$V$161)*$C$3:$V$3)))</f>
        <v/>
      </c>
      <c r="N896" s="62">
        <f>IF(N$15&lt;=1,0,SUMPRODUCT(MAX(($C$12:$V$12=N$12)*($C$161:$V$161)*$C$3:$V$3)))</f>
        <v/>
      </c>
      <c r="O896" s="62">
        <f>IF(O$15&lt;=1,0,SUMPRODUCT(MAX(($C$12:$V$12=O$12)*($C$161:$V$161)*$C$3:$V$3)))</f>
        <v/>
      </c>
      <c r="P896" s="62">
        <f>IF(P$15&lt;=1,0,SUMPRODUCT(MAX(($C$12:$V$12=P$12)*($C$161:$V$161)*$C$3:$V$3)))</f>
        <v/>
      </c>
      <c r="Q896" s="62">
        <f>IF(Q$15&lt;=1,0,SUMPRODUCT(MAX(($C$12:$V$12=Q$12)*($C$161:$V$161)*$C$3:$V$3)))</f>
        <v/>
      </c>
      <c r="R896" s="62">
        <f>IF(R$15&lt;=1,0,SUMPRODUCT(MAX(($C$12:$V$12=R$12)*($C$161:$V$161)*$C$3:$V$3)))</f>
        <v/>
      </c>
      <c r="S896" s="62">
        <f>IF(S$15&lt;=1,0,SUMPRODUCT(MAX(($C$12:$V$12=S$12)*($C$161:$V$161)*$C$3:$V$3)))</f>
        <v/>
      </c>
      <c r="T896" s="62">
        <f>IF(T$15&lt;=1,0,SUMPRODUCT(MAX(($C$12:$V$12=T$12)*($C$161:$V$161)*$C$3:$V$3)))</f>
        <v/>
      </c>
      <c r="U896" s="62">
        <f>IF(U$15&lt;=1,0,SUMPRODUCT(MAX(($C$12:$V$12=U$12)*($C$161:$V$161)*$C$3:$V$3)))</f>
        <v/>
      </c>
      <c r="V896" s="62">
        <f>IF(V$15&lt;=1,0,SUMPRODUCT(MAX(($C$12:$V$12=V$12)*($C$161:$V$161)*$C$3:$V$3)))</f>
        <v/>
      </c>
    </row>
    <row r="897">
      <c r="C897" s="62">
        <f>IF(C$15&lt;=1,0,SUMPRODUCT(MAX(($C$12:$V$12=C$12)*($C$162:$V$162)*$C$3:$V$3)))</f>
        <v/>
      </c>
      <c r="D897" s="62">
        <f>IF(D$15&lt;=1,0,SUMPRODUCT(MAX(($C$12:$V$12=D$12)*($C$162:$V$162)*$C$3:$V$3)))</f>
        <v/>
      </c>
      <c r="E897" s="62">
        <f>IF(E$15&lt;=1,0,SUMPRODUCT(MAX(($C$12:$V$12=E$12)*($C$162:$V$162)*$C$3:$V$3)))</f>
        <v/>
      </c>
      <c r="F897" s="62">
        <f>IF(F$15&lt;=1,0,SUMPRODUCT(MAX(($C$12:$V$12=F$12)*($C$162:$V$162)*$C$3:$V$3)))</f>
        <v/>
      </c>
      <c r="G897" s="62">
        <f>IF(G$15&lt;=1,0,SUMPRODUCT(MAX(($C$12:$V$12=G$12)*($C$162:$V$162)*$C$3:$V$3)))</f>
        <v/>
      </c>
      <c r="H897" s="62">
        <f>IF(H$15&lt;=1,0,SUMPRODUCT(MAX(($C$12:$V$12=H$12)*($C$162:$V$162)*$C$3:$V$3)))</f>
        <v/>
      </c>
      <c r="I897" s="62">
        <f>IF(I$15&lt;=1,0,SUMPRODUCT(MAX(($C$12:$V$12=I$12)*($C$162:$V$162)*$C$3:$V$3)))</f>
        <v/>
      </c>
      <c r="J897" s="62">
        <f>IF(J$15&lt;=1,0,SUMPRODUCT(MAX(($C$12:$V$12=J$12)*($C$162:$V$162)*$C$3:$V$3)))</f>
        <v/>
      </c>
      <c r="K897" s="62">
        <f>IF(K$15&lt;=1,0,SUMPRODUCT(MAX(($C$12:$V$12=K$12)*($C$162:$V$162)*$C$3:$V$3)))</f>
        <v/>
      </c>
      <c r="L897" s="62">
        <f>IF(L$15&lt;=1,0,SUMPRODUCT(MAX(($C$12:$V$12=L$12)*($C$162:$V$162)*$C$3:$V$3)))</f>
        <v/>
      </c>
      <c r="M897" s="62">
        <f>IF(M$15&lt;=1,0,SUMPRODUCT(MAX(($C$12:$V$12=M$12)*($C$162:$V$162)*$C$3:$V$3)))</f>
        <v/>
      </c>
      <c r="N897" s="62">
        <f>IF(N$15&lt;=1,0,SUMPRODUCT(MAX(($C$12:$V$12=N$12)*($C$162:$V$162)*$C$3:$V$3)))</f>
        <v/>
      </c>
      <c r="O897" s="62">
        <f>IF(O$15&lt;=1,0,SUMPRODUCT(MAX(($C$12:$V$12=O$12)*($C$162:$V$162)*$C$3:$V$3)))</f>
        <v/>
      </c>
      <c r="P897" s="62">
        <f>IF(P$15&lt;=1,0,SUMPRODUCT(MAX(($C$12:$V$12=P$12)*($C$162:$V$162)*$C$3:$V$3)))</f>
        <v/>
      </c>
      <c r="Q897" s="62">
        <f>IF(Q$15&lt;=1,0,SUMPRODUCT(MAX(($C$12:$V$12=Q$12)*($C$162:$V$162)*$C$3:$V$3)))</f>
        <v/>
      </c>
      <c r="R897" s="62">
        <f>IF(R$15&lt;=1,0,SUMPRODUCT(MAX(($C$12:$V$12=R$12)*($C$162:$V$162)*$C$3:$V$3)))</f>
        <v/>
      </c>
      <c r="S897" s="62">
        <f>IF(S$15&lt;=1,0,SUMPRODUCT(MAX(($C$12:$V$12=S$12)*($C$162:$V$162)*$C$3:$V$3)))</f>
        <v/>
      </c>
      <c r="T897" s="62">
        <f>IF(T$15&lt;=1,0,SUMPRODUCT(MAX(($C$12:$V$12=T$12)*($C$162:$V$162)*$C$3:$V$3)))</f>
        <v/>
      </c>
      <c r="U897" s="62">
        <f>IF(U$15&lt;=1,0,SUMPRODUCT(MAX(($C$12:$V$12=U$12)*($C$162:$V$162)*$C$3:$V$3)))</f>
        <v/>
      </c>
      <c r="V897" s="62">
        <f>IF(V$15&lt;=1,0,SUMPRODUCT(MAX(($C$12:$V$12=V$12)*($C$162:$V$162)*$C$3:$V$3)))</f>
        <v/>
      </c>
    </row>
    <row r="898">
      <c r="C898" s="62">
        <f>IF(C$15&lt;=1,0,SUMPRODUCT(MAX(($C$12:$V$12=C$12)*($C$163:$V$163)*$C$3:$V$3)))</f>
        <v/>
      </c>
      <c r="D898" s="62">
        <f>IF(D$15&lt;=1,0,SUMPRODUCT(MAX(($C$12:$V$12=D$12)*($C$163:$V$163)*$C$3:$V$3)))</f>
        <v/>
      </c>
      <c r="E898" s="62">
        <f>IF(E$15&lt;=1,0,SUMPRODUCT(MAX(($C$12:$V$12=E$12)*($C$163:$V$163)*$C$3:$V$3)))</f>
        <v/>
      </c>
      <c r="F898" s="62">
        <f>IF(F$15&lt;=1,0,SUMPRODUCT(MAX(($C$12:$V$12=F$12)*($C$163:$V$163)*$C$3:$V$3)))</f>
        <v/>
      </c>
      <c r="G898" s="62">
        <f>IF(G$15&lt;=1,0,SUMPRODUCT(MAX(($C$12:$V$12=G$12)*($C$163:$V$163)*$C$3:$V$3)))</f>
        <v/>
      </c>
      <c r="H898" s="62">
        <f>IF(H$15&lt;=1,0,SUMPRODUCT(MAX(($C$12:$V$12=H$12)*($C$163:$V$163)*$C$3:$V$3)))</f>
        <v/>
      </c>
      <c r="I898" s="62">
        <f>IF(I$15&lt;=1,0,SUMPRODUCT(MAX(($C$12:$V$12=I$12)*($C$163:$V$163)*$C$3:$V$3)))</f>
        <v/>
      </c>
      <c r="J898" s="62">
        <f>IF(J$15&lt;=1,0,SUMPRODUCT(MAX(($C$12:$V$12=J$12)*($C$163:$V$163)*$C$3:$V$3)))</f>
        <v/>
      </c>
      <c r="K898" s="62">
        <f>IF(K$15&lt;=1,0,SUMPRODUCT(MAX(($C$12:$V$12=K$12)*($C$163:$V$163)*$C$3:$V$3)))</f>
        <v/>
      </c>
      <c r="L898" s="62">
        <f>IF(L$15&lt;=1,0,SUMPRODUCT(MAX(($C$12:$V$12=L$12)*($C$163:$V$163)*$C$3:$V$3)))</f>
        <v/>
      </c>
      <c r="M898" s="62">
        <f>IF(M$15&lt;=1,0,SUMPRODUCT(MAX(($C$12:$V$12=M$12)*($C$163:$V$163)*$C$3:$V$3)))</f>
        <v/>
      </c>
      <c r="N898" s="62">
        <f>IF(N$15&lt;=1,0,SUMPRODUCT(MAX(($C$12:$V$12=N$12)*($C$163:$V$163)*$C$3:$V$3)))</f>
        <v/>
      </c>
      <c r="O898" s="62">
        <f>IF(O$15&lt;=1,0,SUMPRODUCT(MAX(($C$12:$V$12=O$12)*($C$163:$V$163)*$C$3:$V$3)))</f>
        <v/>
      </c>
      <c r="P898" s="62">
        <f>IF(P$15&lt;=1,0,SUMPRODUCT(MAX(($C$12:$V$12=P$12)*($C$163:$V$163)*$C$3:$V$3)))</f>
        <v/>
      </c>
      <c r="Q898" s="62">
        <f>IF(Q$15&lt;=1,0,SUMPRODUCT(MAX(($C$12:$V$12=Q$12)*($C$163:$V$163)*$C$3:$V$3)))</f>
        <v/>
      </c>
      <c r="R898" s="62">
        <f>IF(R$15&lt;=1,0,SUMPRODUCT(MAX(($C$12:$V$12=R$12)*($C$163:$V$163)*$C$3:$V$3)))</f>
        <v/>
      </c>
      <c r="S898" s="62">
        <f>IF(S$15&lt;=1,0,SUMPRODUCT(MAX(($C$12:$V$12=S$12)*($C$163:$V$163)*$C$3:$V$3)))</f>
        <v/>
      </c>
      <c r="T898" s="62">
        <f>IF(T$15&lt;=1,0,SUMPRODUCT(MAX(($C$12:$V$12=T$12)*($C$163:$V$163)*$C$3:$V$3)))</f>
        <v/>
      </c>
      <c r="U898" s="62">
        <f>IF(U$15&lt;=1,0,SUMPRODUCT(MAX(($C$12:$V$12=U$12)*($C$163:$V$163)*$C$3:$V$3)))</f>
        <v/>
      </c>
      <c r="V898" s="62">
        <f>IF(V$15&lt;=1,0,SUMPRODUCT(MAX(($C$12:$V$12=V$12)*($C$163:$V$163)*$C$3:$V$3)))</f>
        <v/>
      </c>
    </row>
    <row r="899">
      <c r="C899" s="62">
        <f>IF(C$15&lt;=1,0,SUMPRODUCT(MAX(($C$12:$V$12=C$12)*($C$164:$V$164)*$C$3:$V$3)))</f>
        <v/>
      </c>
      <c r="D899" s="62">
        <f>IF(D$15&lt;=1,0,SUMPRODUCT(MAX(($C$12:$V$12=D$12)*($C$164:$V$164)*$C$3:$V$3)))</f>
        <v/>
      </c>
      <c r="E899" s="62">
        <f>IF(E$15&lt;=1,0,SUMPRODUCT(MAX(($C$12:$V$12=E$12)*($C$164:$V$164)*$C$3:$V$3)))</f>
        <v/>
      </c>
      <c r="F899" s="62">
        <f>IF(F$15&lt;=1,0,SUMPRODUCT(MAX(($C$12:$V$12=F$12)*($C$164:$V$164)*$C$3:$V$3)))</f>
        <v/>
      </c>
      <c r="G899" s="62">
        <f>IF(G$15&lt;=1,0,SUMPRODUCT(MAX(($C$12:$V$12=G$12)*($C$164:$V$164)*$C$3:$V$3)))</f>
        <v/>
      </c>
      <c r="H899" s="62">
        <f>IF(H$15&lt;=1,0,SUMPRODUCT(MAX(($C$12:$V$12=H$12)*($C$164:$V$164)*$C$3:$V$3)))</f>
        <v/>
      </c>
      <c r="I899" s="62">
        <f>IF(I$15&lt;=1,0,SUMPRODUCT(MAX(($C$12:$V$12=I$12)*($C$164:$V$164)*$C$3:$V$3)))</f>
        <v/>
      </c>
      <c r="J899" s="62">
        <f>IF(J$15&lt;=1,0,SUMPRODUCT(MAX(($C$12:$V$12=J$12)*($C$164:$V$164)*$C$3:$V$3)))</f>
        <v/>
      </c>
      <c r="K899" s="62">
        <f>IF(K$15&lt;=1,0,SUMPRODUCT(MAX(($C$12:$V$12=K$12)*($C$164:$V$164)*$C$3:$V$3)))</f>
        <v/>
      </c>
      <c r="L899" s="62">
        <f>IF(L$15&lt;=1,0,SUMPRODUCT(MAX(($C$12:$V$12=L$12)*($C$164:$V$164)*$C$3:$V$3)))</f>
        <v/>
      </c>
      <c r="M899" s="62">
        <f>IF(M$15&lt;=1,0,SUMPRODUCT(MAX(($C$12:$V$12=M$12)*($C$164:$V$164)*$C$3:$V$3)))</f>
        <v/>
      </c>
      <c r="N899" s="62">
        <f>IF(N$15&lt;=1,0,SUMPRODUCT(MAX(($C$12:$V$12=N$12)*($C$164:$V$164)*$C$3:$V$3)))</f>
        <v/>
      </c>
      <c r="O899" s="62">
        <f>IF(O$15&lt;=1,0,SUMPRODUCT(MAX(($C$12:$V$12=O$12)*($C$164:$V$164)*$C$3:$V$3)))</f>
        <v/>
      </c>
      <c r="P899" s="62">
        <f>IF(P$15&lt;=1,0,SUMPRODUCT(MAX(($C$12:$V$12=P$12)*($C$164:$V$164)*$C$3:$V$3)))</f>
        <v/>
      </c>
      <c r="Q899" s="62">
        <f>IF(Q$15&lt;=1,0,SUMPRODUCT(MAX(($C$12:$V$12=Q$12)*($C$164:$V$164)*$C$3:$V$3)))</f>
        <v/>
      </c>
      <c r="R899" s="62">
        <f>IF(R$15&lt;=1,0,SUMPRODUCT(MAX(($C$12:$V$12=R$12)*($C$164:$V$164)*$C$3:$V$3)))</f>
        <v/>
      </c>
      <c r="S899" s="62">
        <f>IF(S$15&lt;=1,0,SUMPRODUCT(MAX(($C$12:$V$12=S$12)*($C$164:$V$164)*$C$3:$V$3)))</f>
        <v/>
      </c>
      <c r="T899" s="62">
        <f>IF(T$15&lt;=1,0,SUMPRODUCT(MAX(($C$12:$V$12=T$12)*($C$164:$V$164)*$C$3:$V$3)))</f>
        <v/>
      </c>
      <c r="U899" s="62">
        <f>IF(U$15&lt;=1,0,SUMPRODUCT(MAX(($C$12:$V$12=U$12)*($C$164:$V$164)*$C$3:$V$3)))</f>
        <v/>
      </c>
      <c r="V899" s="62">
        <f>IF(V$15&lt;=1,0,SUMPRODUCT(MAX(($C$12:$V$12=V$12)*($C$164:$V$164)*$C$3:$V$3)))</f>
        <v/>
      </c>
    </row>
    <row r="900">
      <c r="C900" s="62">
        <f>IF(C$15&lt;=1,0,SUMPRODUCT(MAX(($C$12:$V$12=C$12)*($C$165:$V$165)*$C$3:$V$3)))</f>
        <v/>
      </c>
      <c r="D900" s="62">
        <f>IF(D$15&lt;=1,0,SUMPRODUCT(MAX(($C$12:$V$12=D$12)*($C$165:$V$165)*$C$3:$V$3)))</f>
        <v/>
      </c>
      <c r="E900" s="62">
        <f>IF(E$15&lt;=1,0,SUMPRODUCT(MAX(($C$12:$V$12=E$12)*($C$165:$V$165)*$C$3:$V$3)))</f>
        <v/>
      </c>
      <c r="F900" s="62">
        <f>IF(F$15&lt;=1,0,SUMPRODUCT(MAX(($C$12:$V$12=F$12)*($C$165:$V$165)*$C$3:$V$3)))</f>
        <v/>
      </c>
      <c r="G900" s="62">
        <f>IF(G$15&lt;=1,0,SUMPRODUCT(MAX(($C$12:$V$12=G$12)*($C$165:$V$165)*$C$3:$V$3)))</f>
        <v/>
      </c>
      <c r="H900" s="62">
        <f>IF(H$15&lt;=1,0,SUMPRODUCT(MAX(($C$12:$V$12=H$12)*($C$165:$V$165)*$C$3:$V$3)))</f>
        <v/>
      </c>
      <c r="I900" s="62">
        <f>IF(I$15&lt;=1,0,SUMPRODUCT(MAX(($C$12:$V$12=I$12)*($C$165:$V$165)*$C$3:$V$3)))</f>
        <v/>
      </c>
      <c r="J900" s="62">
        <f>IF(J$15&lt;=1,0,SUMPRODUCT(MAX(($C$12:$V$12=J$12)*($C$165:$V$165)*$C$3:$V$3)))</f>
        <v/>
      </c>
      <c r="K900" s="62">
        <f>IF(K$15&lt;=1,0,SUMPRODUCT(MAX(($C$12:$V$12=K$12)*($C$165:$V$165)*$C$3:$V$3)))</f>
        <v/>
      </c>
      <c r="L900" s="62">
        <f>IF(L$15&lt;=1,0,SUMPRODUCT(MAX(($C$12:$V$12=L$12)*($C$165:$V$165)*$C$3:$V$3)))</f>
        <v/>
      </c>
      <c r="M900" s="62">
        <f>IF(M$15&lt;=1,0,SUMPRODUCT(MAX(($C$12:$V$12=M$12)*($C$165:$V$165)*$C$3:$V$3)))</f>
        <v/>
      </c>
      <c r="N900" s="62">
        <f>IF(N$15&lt;=1,0,SUMPRODUCT(MAX(($C$12:$V$12=N$12)*($C$165:$V$165)*$C$3:$V$3)))</f>
        <v/>
      </c>
      <c r="O900" s="62">
        <f>IF(O$15&lt;=1,0,SUMPRODUCT(MAX(($C$12:$V$12=O$12)*($C$165:$V$165)*$C$3:$V$3)))</f>
        <v/>
      </c>
      <c r="P900" s="62">
        <f>IF(P$15&lt;=1,0,SUMPRODUCT(MAX(($C$12:$V$12=P$12)*($C$165:$V$165)*$C$3:$V$3)))</f>
        <v/>
      </c>
      <c r="Q900" s="62">
        <f>IF(Q$15&lt;=1,0,SUMPRODUCT(MAX(($C$12:$V$12=Q$12)*($C$165:$V$165)*$C$3:$V$3)))</f>
        <v/>
      </c>
      <c r="R900" s="62">
        <f>IF(R$15&lt;=1,0,SUMPRODUCT(MAX(($C$12:$V$12=R$12)*($C$165:$V$165)*$C$3:$V$3)))</f>
        <v/>
      </c>
      <c r="S900" s="62">
        <f>IF(S$15&lt;=1,0,SUMPRODUCT(MAX(($C$12:$V$12=S$12)*($C$165:$V$165)*$C$3:$V$3)))</f>
        <v/>
      </c>
      <c r="T900" s="62">
        <f>IF(T$15&lt;=1,0,SUMPRODUCT(MAX(($C$12:$V$12=T$12)*($C$165:$V$165)*$C$3:$V$3)))</f>
        <v/>
      </c>
      <c r="U900" s="62">
        <f>IF(U$15&lt;=1,0,SUMPRODUCT(MAX(($C$12:$V$12=U$12)*($C$165:$V$165)*$C$3:$V$3)))</f>
        <v/>
      </c>
      <c r="V900" s="62">
        <f>IF(V$15&lt;=1,0,SUMPRODUCT(MAX(($C$12:$V$12=V$12)*($C$165:$V$165)*$C$3:$V$3)))</f>
        <v/>
      </c>
    </row>
    <row r="901">
      <c r="C901" s="62">
        <f>IF(C$15&lt;=1,0,SUMPRODUCT(MAX(($C$12:$V$12=C$12)*($C$166:$V$166)*$C$3:$V$3)))</f>
        <v/>
      </c>
      <c r="D901" s="62">
        <f>IF(D$15&lt;=1,0,SUMPRODUCT(MAX(($C$12:$V$12=D$12)*($C$166:$V$166)*$C$3:$V$3)))</f>
        <v/>
      </c>
      <c r="E901" s="62">
        <f>IF(E$15&lt;=1,0,SUMPRODUCT(MAX(($C$12:$V$12=E$12)*($C$166:$V$166)*$C$3:$V$3)))</f>
        <v/>
      </c>
      <c r="F901" s="62">
        <f>IF(F$15&lt;=1,0,SUMPRODUCT(MAX(($C$12:$V$12=F$12)*($C$166:$V$166)*$C$3:$V$3)))</f>
        <v/>
      </c>
      <c r="G901" s="62">
        <f>IF(G$15&lt;=1,0,SUMPRODUCT(MAX(($C$12:$V$12=G$12)*($C$166:$V$166)*$C$3:$V$3)))</f>
        <v/>
      </c>
      <c r="H901" s="62">
        <f>IF(H$15&lt;=1,0,SUMPRODUCT(MAX(($C$12:$V$12=H$12)*($C$166:$V$166)*$C$3:$V$3)))</f>
        <v/>
      </c>
      <c r="I901" s="62">
        <f>IF(I$15&lt;=1,0,SUMPRODUCT(MAX(($C$12:$V$12=I$12)*($C$166:$V$166)*$C$3:$V$3)))</f>
        <v/>
      </c>
      <c r="J901" s="62">
        <f>IF(J$15&lt;=1,0,SUMPRODUCT(MAX(($C$12:$V$12=J$12)*($C$166:$V$166)*$C$3:$V$3)))</f>
        <v/>
      </c>
      <c r="K901" s="62">
        <f>IF(K$15&lt;=1,0,SUMPRODUCT(MAX(($C$12:$V$12=K$12)*($C$166:$V$166)*$C$3:$V$3)))</f>
        <v/>
      </c>
      <c r="L901" s="62">
        <f>IF(L$15&lt;=1,0,SUMPRODUCT(MAX(($C$12:$V$12=L$12)*($C$166:$V$166)*$C$3:$V$3)))</f>
        <v/>
      </c>
      <c r="M901" s="62">
        <f>IF(M$15&lt;=1,0,SUMPRODUCT(MAX(($C$12:$V$12=M$12)*($C$166:$V$166)*$C$3:$V$3)))</f>
        <v/>
      </c>
      <c r="N901" s="62">
        <f>IF(N$15&lt;=1,0,SUMPRODUCT(MAX(($C$12:$V$12=N$12)*($C$166:$V$166)*$C$3:$V$3)))</f>
        <v/>
      </c>
      <c r="O901" s="62">
        <f>IF(O$15&lt;=1,0,SUMPRODUCT(MAX(($C$12:$V$12=O$12)*($C$166:$V$166)*$C$3:$V$3)))</f>
        <v/>
      </c>
      <c r="P901" s="62">
        <f>IF(P$15&lt;=1,0,SUMPRODUCT(MAX(($C$12:$V$12=P$12)*($C$166:$V$166)*$C$3:$V$3)))</f>
        <v/>
      </c>
      <c r="Q901" s="62">
        <f>IF(Q$15&lt;=1,0,SUMPRODUCT(MAX(($C$12:$V$12=Q$12)*($C$166:$V$166)*$C$3:$V$3)))</f>
        <v/>
      </c>
      <c r="R901" s="62">
        <f>IF(R$15&lt;=1,0,SUMPRODUCT(MAX(($C$12:$V$12=R$12)*($C$166:$V$166)*$C$3:$V$3)))</f>
        <v/>
      </c>
      <c r="S901" s="62">
        <f>IF(S$15&lt;=1,0,SUMPRODUCT(MAX(($C$12:$V$12=S$12)*($C$166:$V$166)*$C$3:$V$3)))</f>
        <v/>
      </c>
      <c r="T901" s="62">
        <f>IF(T$15&lt;=1,0,SUMPRODUCT(MAX(($C$12:$V$12=T$12)*($C$166:$V$166)*$C$3:$V$3)))</f>
        <v/>
      </c>
      <c r="U901" s="62">
        <f>IF(U$15&lt;=1,0,SUMPRODUCT(MAX(($C$12:$V$12=U$12)*($C$166:$V$166)*$C$3:$V$3)))</f>
        <v/>
      </c>
      <c r="V901" s="62">
        <f>IF(V$15&lt;=1,0,SUMPRODUCT(MAX(($C$12:$V$12=V$12)*($C$166:$V$166)*$C$3:$V$3)))</f>
        <v/>
      </c>
    </row>
    <row r="902">
      <c r="C902" s="62">
        <f>IF(C$15&lt;=1,0,SUMPRODUCT(MAX(($C$12:$V$12=C$12)*($C$167:$V$167)*$C$3:$V$3)))</f>
        <v/>
      </c>
      <c r="D902" s="62">
        <f>IF(D$15&lt;=1,0,SUMPRODUCT(MAX(($C$12:$V$12=D$12)*($C$167:$V$167)*$C$3:$V$3)))</f>
        <v/>
      </c>
      <c r="E902" s="62">
        <f>IF(E$15&lt;=1,0,SUMPRODUCT(MAX(($C$12:$V$12=E$12)*($C$167:$V$167)*$C$3:$V$3)))</f>
        <v/>
      </c>
      <c r="F902" s="62">
        <f>IF(F$15&lt;=1,0,SUMPRODUCT(MAX(($C$12:$V$12=F$12)*($C$167:$V$167)*$C$3:$V$3)))</f>
        <v/>
      </c>
      <c r="G902" s="62">
        <f>IF(G$15&lt;=1,0,SUMPRODUCT(MAX(($C$12:$V$12=G$12)*($C$167:$V$167)*$C$3:$V$3)))</f>
        <v/>
      </c>
      <c r="H902" s="62">
        <f>IF(H$15&lt;=1,0,SUMPRODUCT(MAX(($C$12:$V$12=H$12)*($C$167:$V$167)*$C$3:$V$3)))</f>
        <v/>
      </c>
      <c r="I902" s="62">
        <f>IF(I$15&lt;=1,0,SUMPRODUCT(MAX(($C$12:$V$12=I$12)*($C$167:$V$167)*$C$3:$V$3)))</f>
        <v/>
      </c>
      <c r="J902" s="62">
        <f>IF(J$15&lt;=1,0,SUMPRODUCT(MAX(($C$12:$V$12=J$12)*($C$167:$V$167)*$C$3:$V$3)))</f>
        <v/>
      </c>
      <c r="K902" s="62">
        <f>IF(K$15&lt;=1,0,SUMPRODUCT(MAX(($C$12:$V$12=K$12)*($C$167:$V$167)*$C$3:$V$3)))</f>
        <v/>
      </c>
      <c r="L902" s="62">
        <f>IF(L$15&lt;=1,0,SUMPRODUCT(MAX(($C$12:$V$12=L$12)*($C$167:$V$167)*$C$3:$V$3)))</f>
        <v/>
      </c>
      <c r="M902" s="62">
        <f>IF(M$15&lt;=1,0,SUMPRODUCT(MAX(($C$12:$V$12=M$12)*($C$167:$V$167)*$C$3:$V$3)))</f>
        <v/>
      </c>
      <c r="N902" s="62">
        <f>IF(N$15&lt;=1,0,SUMPRODUCT(MAX(($C$12:$V$12=N$12)*($C$167:$V$167)*$C$3:$V$3)))</f>
        <v/>
      </c>
      <c r="O902" s="62">
        <f>IF(O$15&lt;=1,0,SUMPRODUCT(MAX(($C$12:$V$12=O$12)*($C$167:$V$167)*$C$3:$V$3)))</f>
        <v/>
      </c>
      <c r="P902" s="62">
        <f>IF(P$15&lt;=1,0,SUMPRODUCT(MAX(($C$12:$V$12=P$12)*($C$167:$V$167)*$C$3:$V$3)))</f>
        <v/>
      </c>
      <c r="Q902" s="62">
        <f>IF(Q$15&lt;=1,0,SUMPRODUCT(MAX(($C$12:$V$12=Q$12)*($C$167:$V$167)*$C$3:$V$3)))</f>
        <v/>
      </c>
      <c r="R902" s="62">
        <f>IF(R$15&lt;=1,0,SUMPRODUCT(MAX(($C$12:$V$12=R$12)*($C$167:$V$167)*$C$3:$V$3)))</f>
        <v/>
      </c>
      <c r="S902" s="62">
        <f>IF(S$15&lt;=1,0,SUMPRODUCT(MAX(($C$12:$V$12=S$12)*($C$167:$V$167)*$C$3:$V$3)))</f>
        <v/>
      </c>
      <c r="T902" s="62">
        <f>IF(T$15&lt;=1,0,SUMPRODUCT(MAX(($C$12:$V$12=T$12)*($C$167:$V$167)*$C$3:$V$3)))</f>
        <v/>
      </c>
      <c r="U902" s="62">
        <f>IF(U$15&lt;=1,0,SUMPRODUCT(MAX(($C$12:$V$12=U$12)*($C$167:$V$167)*$C$3:$V$3)))</f>
        <v/>
      </c>
      <c r="V902" s="62">
        <f>IF(V$15&lt;=1,0,SUMPRODUCT(MAX(($C$12:$V$12=V$12)*($C$167:$V$167)*$C$3:$V$3)))</f>
        <v/>
      </c>
    </row>
    <row r="903">
      <c r="C903" s="62">
        <f>IF(C$15&lt;=1,0,SUMPRODUCT(MAX(($C$12:$V$12=C$12)*($C$168:$V$168)*$C$3:$V$3)))</f>
        <v/>
      </c>
      <c r="D903" s="62">
        <f>IF(D$15&lt;=1,0,SUMPRODUCT(MAX(($C$12:$V$12=D$12)*($C$168:$V$168)*$C$3:$V$3)))</f>
        <v/>
      </c>
      <c r="E903" s="62">
        <f>IF(E$15&lt;=1,0,SUMPRODUCT(MAX(($C$12:$V$12=E$12)*($C$168:$V$168)*$C$3:$V$3)))</f>
        <v/>
      </c>
      <c r="F903" s="62">
        <f>IF(F$15&lt;=1,0,SUMPRODUCT(MAX(($C$12:$V$12=F$12)*($C$168:$V$168)*$C$3:$V$3)))</f>
        <v/>
      </c>
      <c r="G903" s="62">
        <f>IF(G$15&lt;=1,0,SUMPRODUCT(MAX(($C$12:$V$12=G$12)*($C$168:$V$168)*$C$3:$V$3)))</f>
        <v/>
      </c>
      <c r="H903" s="62">
        <f>IF(H$15&lt;=1,0,SUMPRODUCT(MAX(($C$12:$V$12=H$12)*($C$168:$V$168)*$C$3:$V$3)))</f>
        <v/>
      </c>
      <c r="I903" s="62">
        <f>IF(I$15&lt;=1,0,SUMPRODUCT(MAX(($C$12:$V$12=I$12)*($C$168:$V$168)*$C$3:$V$3)))</f>
        <v/>
      </c>
      <c r="J903" s="62">
        <f>IF(J$15&lt;=1,0,SUMPRODUCT(MAX(($C$12:$V$12=J$12)*($C$168:$V$168)*$C$3:$V$3)))</f>
        <v/>
      </c>
      <c r="K903" s="62">
        <f>IF(K$15&lt;=1,0,SUMPRODUCT(MAX(($C$12:$V$12=K$12)*($C$168:$V$168)*$C$3:$V$3)))</f>
        <v/>
      </c>
      <c r="L903" s="62">
        <f>IF(L$15&lt;=1,0,SUMPRODUCT(MAX(($C$12:$V$12=L$12)*($C$168:$V$168)*$C$3:$V$3)))</f>
        <v/>
      </c>
      <c r="M903" s="62">
        <f>IF(M$15&lt;=1,0,SUMPRODUCT(MAX(($C$12:$V$12=M$12)*($C$168:$V$168)*$C$3:$V$3)))</f>
        <v/>
      </c>
      <c r="N903" s="62">
        <f>IF(N$15&lt;=1,0,SUMPRODUCT(MAX(($C$12:$V$12=N$12)*($C$168:$V$168)*$C$3:$V$3)))</f>
        <v/>
      </c>
      <c r="O903" s="62">
        <f>IF(O$15&lt;=1,0,SUMPRODUCT(MAX(($C$12:$V$12=O$12)*($C$168:$V$168)*$C$3:$V$3)))</f>
        <v/>
      </c>
      <c r="P903" s="62">
        <f>IF(P$15&lt;=1,0,SUMPRODUCT(MAX(($C$12:$V$12=P$12)*($C$168:$V$168)*$C$3:$V$3)))</f>
        <v/>
      </c>
      <c r="Q903" s="62">
        <f>IF(Q$15&lt;=1,0,SUMPRODUCT(MAX(($C$12:$V$12=Q$12)*($C$168:$V$168)*$C$3:$V$3)))</f>
        <v/>
      </c>
      <c r="R903" s="62">
        <f>IF(R$15&lt;=1,0,SUMPRODUCT(MAX(($C$12:$V$12=R$12)*($C$168:$V$168)*$C$3:$V$3)))</f>
        <v/>
      </c>
      <c r="S903" s="62">
        <f>IF(S$15&lt;=1,0,SUMPRODUCT(MAX(($C$12:$V$12=S$12)*($C$168:$V$168)*$C$3:$V$3)))</f>
        <v/>
      </c>
      <c r="T903" s="62">
        <f>IF(T$15&lt;=1,0,SUMPRODUCT(MAX(($C$12:$V$12=T$12)*($C$168:$V$168)*$C$3:$V$3)))</f>
        <v/>
      </c>
      <c r="U903" s="62">
        <f>IF(U$15&lt;=1,0,SUMPRODUCT(MAX(($C$12:$V$12=U$12)*($C$168:$V$168)*$C$3:$V$3)))</f>
        <v/>
      </c>
      <c r="V903" s="62">
        <f>IF(V$15&lt;=1,0,SUMPRODUCT(MAX(($C$12:$V$12=V$12)*($C$168:$V$168)*$C$3:$V$3)))</f>
        <v/>
      </c>
    </row>
    <row r="904">
      <c r="C904" s="62">
        <f>IF(C$15&lt;=1,0,SUMPRODUCT(MAX(($C$12:$V$12=C$12)*($C$169:$V$169)*$C$3:$V$3)))</f>
        <v/>
      </c>
      <c r="D904" s="62">
        <f>IF(D$15&lt;=1,0,SUMPRODUCT(MAX(($C$12:$V$12=D$12)*($C$169:$V$169)*$C$3:$V$3)))</f>
        <v/>
      </c>
      <c r="E904" s="62">
        <f>IF(E$15&lt;=1,0,SUMPRODUCT(MAX(($C$12:$V$12=E$12)*($C$169:$V$169)*$C$3:$V$3)))</f>
        <v/>
      </c>
      <c r="F904" s="62">
        <f>IF(F$15&lt;=1,0,SUMPRODUCT(MAX(($C$12:$V$12=F$12)*($C$169:$V$169)*$C$3:$V$3)))</f>
        <v/>
      </c>
      <c r="G904" s="62">
        <f>IF(G$15&lt;=1,0,SUMPRODUCT(MAX(($C$12:$V$12=G$12)*($C$169:$V$169)*$C$3:$V$3)))</f>
        <v/>
      </c>
      <c r="H904" s="62">
        <f>IF(H$15&lt;=1,0,SUMPRODUCT(MAX(($C$12:$V$12=H$12)*($C$169:$V$169)*$C$3:$V$3)))</f>
        <v/>
      </c>
      <c r="I904" s="62">
        <f>IF(I$15&lt;=1,0,SUMPRODUCT(MAX(($C$12:$V$12=I$12)*($C$169:$V$169)*$C$3:$V$3)))</f>
        <v/>
      </c>
      <c r="J904" s="62">
        <f>IF(J$15&lt;=1,0,SUMPRODUCT(MAX(($C$12:$V$12=J$12)*($C$169:$V$169)*$C$3:$V$3)))</f>
        <v/>
      </c>
      <c r="K904" s="62">
        <f>IF(K$15&lt;=1,0,SUMPRODUCT(MAX(($C$12:$V$12=K$12)*($C$169:$V$169)*$C$3:$V$3)))</f>
        <v/>
      </c>
      <c r="L904" s="62">
        <f>IF(L$15&lt;=1,0,SUMPRODUCT(MAX(($C$12:$V$12=L$12)*($C$169:$V$169)*$C$3:$V$3)))</f>
        <v/>
      </c>
      <c r="M904" s="62">
        <f>IF(M$15&lt;=1,0,SUMPRODUCT(MAX(($C$12:$V$12=M$12)*($C$169:$V$169)*$C$3:$V$3)))</f>
        <v/>
      </c>
      <c r="N904" s="62">
        <f>IF(N$15&lt;=1,0,SUMPRODUCT(MAX(($C$12:$V$12=N$12)*($C$169:$V$169)*$C$3:$V$3)))</f>
        <v/>
      </c>
      <c r="O904" s="62">
        <f>IF(O$15&lt;=1,0,SUMPRODUCT(MAX(($C$12:$V$12=O$12)*($C$169:$V$169)*$C$3:$V$3)))</f>
        <v/>
      </c>
      <c r="P904" s="62">
        <f>IF(P$15&lt;=1,0,SUMPRODUCT(MAX(($C$12:$V$12=P$12)*($C$169:$V$169)*$C$3:$V$3)))</f>
        <v/>
      </c>
      <c r="Q904" s="62">
        <f>IF(Q$15&lt;=1,0,SUMPRODUCT(MAX(($C$12:$V$12=Q$12)*($C$169:$V$169)*$C$3:$V$3)))</f>
        <v/>
      </c>
      <c r="R904" s="62">
        <f>IF(R$15&lt;=1,0,SUMPRODUCT(MAX(($C$12:$V$12=R$12)*($C$169:$V$169)*$C$3:$V$3)))</f>
        <v/>
      </c>
      <c r="S904" s="62">
        <f>IF(S$15&lt;=1,0,SUMPRODUCT(MAX(($C$12:$V$12=S$12)*($C$169:$V$169)*$C$3:$V$3)))</f>
        <v/>
      </c>
      <c r="T904" s="62">
        <f>IF(T$15&lt;=1,0,SUMPRODUCT(MAX(($C$12:$V$12=T$12)*($C$169:$V$169)*$C$3:$V$3)))</f>
        <v/>
      </c>
      <c r="U904" s="62">
        <f>IF(U$15&lt;=1,0,SUMPRODUCT(MAX(($C$12:$V$12=U$12)*($C$169:$V$169)*$C$3:$V$3)))</f>
        <v/>
      </c>
      <c r="V904" s="62">
        <f>IF(V$15&lt;=1,0,SUMPRODUCT(MAX(($C$12:$V$12=V$12)*($C$169:$V$169)*$C$3:$V$3)))</f>
        <v/>
      </c>
    </row>
    <row r="905">
      <c r="C905" s="62">
        <f>IF(C$15&lt;=1,0,SUMPRODUCT(MAX(($C$12:$V$12=C$12)*($C$170:$V$170)*$C$3:$V$3)))</f>
        <v/>
      </c>
      <c r="D905" s="62">
        <f>IF(D$15&lt;=1,0,SUMPRODUCT(MAX(($C$12:$V$12=D$12)*($C$170:$V$170)*$C$3:$V$3)))</f>
        <v/>
      </c>
      <c r="E905" s="62">
        <f>IF(E$15&lt;=1,0,SUMPRODUCT(MAX(($C$12:$V$12=E$12)*($C$170:$V$170)*$C$3:$V$3)))</f>
        <v/>
      </c>
      <c r="F905" s="62">
        <f>IF(F$15&lt;=1,0,SUMPRODUCT(MAX(($C$12:$V$12=F$12)*($C$170:$V$170)*$C$3:$V$3)))</f>
        <v/>
      </c>
      <c r="G905" s="62">
        <f>IF(G$15&lt;=1,0,SUMPRODUCT(MAX(($C$12:$V$12=G$12)*($C$170:$V$170)*$C$3:$V$3)))</f>
        <v/>
      </c>
      <c r="H905" s="62">
        <f>IF(H$15&lt;=1,0,SUMPRODUCT(MAX(($C$12:$V$12=H$12)*($C$170:$V$170)*$C$3:$V$3)))</f>
        <v/>
      </c>
      <c r="I905" s="62">
        <f>IF(I$15&lt;=1,0,SUMPRODUCT(MAX(($C$12:$V$12=I$12)*($C$170:$V$170)*$C$3:$V$3)))</f>
        <v/>
      </c>
      <c r="J905" s="62">
        <f>IF(J$15&lt;=1,0,SUMPRODUCT(MAX(($C$12:$V$12=J$12)*($C$170:$V$170)*$C$3:$V$3)))</f>
        <v/>
      </c>
      <c r="K905" s="62">
        <f>IF(K$15&lt;=1,0,SUMPRODUCT(MAX(($C$12:$V$12=K$12)*($C$170:$V$170)*$C$3:$V$3)))</f>
        <v/>
      </c>
      <c r="L905" s="62">
        <f>IF(L$15&lt;=1,0,SUMPRODUCT(MAX(($C$12:$V$12=L$12)*($C$170:$V$170)*$C$3:$V$3)))</f>
        <v/>
      </c>
      <c r="M905" s="62">
        <f>IF(M$15&lt;=1,0,SUMPRODUCT(MAX(($C$12:$V$12=M$12)*($C$170:$V$170)*$C$3:$V$3)))</f>
        <v/>
      </c>
      <c r="N905" s="62">
        <f>IF(N$15&lt;=1,0,SUMPRODUCT(MAX(($C$12:$V$12=N$12)*($C$170:$V$170)*$C$3:$V$3)))</f>
        <v/>
      </c>
      <c r="O905" s="62">
        <f>IF(O$15&lt;=1,0,SUMPRODUCT(MAX(($C$12:$V$12=O$12)*($C$170:$V$170)*$C$3:$V$3)))</f>
        <v/>
      </c>
      <c r="P905" s="62">
        <f>IF(P$15&lt;=1,0,SUMPRODUCT(MAX(($C$12:$V$12=P$12)*($C$170:$V$170)*$C$3:$V$3)))</f>
        <v/>
      </c>
      <c r="Q905" s="62">
        <f>IF(Q$15&lt;=1,0,SUMPRODUCT(MAX(($C$12:$V$12=Q$12)*($C$170:$V$170)*$C$3:$V$3)))</f>
        <v/>
      </c>
      <c r="R905" s="62">
        <f>IF(R$15&lt;=1,0,SUMPRODUCT(MAX(($C$12:$V$12=R$12)*($C$170:$V$170)*$C$3:$V$3)))</f>
        <v/>
      </c>
      <c r="S905" s="62">
        <f>IF(S$15&lt;=1,0,SUMPRODUCT(MAX(($C$12:$V$12=S$12)*($C$170:$V$170)*$C$3:$V$3)))</f>
        <v/>
      </c>
      <c r="T905" s="62">
        <f>IF(T$15&lt;=1,0,SUMPRODUCT(MAX(($C$12:$V$12=T$12)*($C$170:$V$170)*$C$3:$V$3)))</f>
        <v/>
      </c>
      <c r="U905" s="62">
        <f>IF(U$15&lt;=1,0,SUMPRODUCT(MAX(($C$12:$V$12=U$12)*($C$170:$V$170)*$C$3:$V$3)))</f>
        <v/>
      </c>
      <c r="V905" s="62">
        <f>IF(V$15&lt;=1,0,SUMPRODUCT(MAX(($C$12:$V$12=V$12)*($C$170:$V$170)*$C$3:$V$3)))</f>
        <v/>
      </c>
    </row>
    <row r="906">
      <c r="C906" s="62">
        <f>IF(C$15&lt;=1,0,SUMPRODUCT(MAX(($C$12:$V$12=C$12)*($C$171:$V$171)*$C$3:$V$3)))</f>
        <v/>
      </c>
      <c r="D906" s="62">
        <f>IF(D$15&lt;=1,0,SUMPRODUCT(MAX(($C$12:$V$12=D$12)*($C$171:$V$171)*$C$3:$V$3)))</f>
        <v/>
      </c>
      <c r="E906" s="62">
        <f>IF(E$15&lt;=1,0,SUMPRODUCT(MAX(($C$12:$V$12=E$12)*($C$171:$V$171)*$C$3:$V$3)))</f>
        <v/>
      </c>
      <c r="F906" s="62">
        <f>IF(F$15&lt;=1,0,SUMPRODUCT(MAX(($C$12:$V$12=F$12)*($C$171:$V$171)*$C$3:$V$3)))</f>
        <v/>
      </c>
      <c r="G906" s="62">
        <f>IF(G$15&lt;=1,0,SUMPRODUCT(MAX(($C$12:$V$12=G$12)*($C$171:$V$171)*$C$3:$V$3)))</f>
        <v/>
      </c>
      <c r="H906" s="62">
        <f>IF(H$15&lt;=1,0,SUMPRODUCT(MAX(($C$12:$V$12=H$12)*($C$171:$V$171)*$C$3:$V$3)))</f>
        <v/>
      </c>
      <c r="I906" s="62">
        <f>IF(I$15&lt;=1,0,SUMPRODUCT(MAX(($C$12:$V$12=I$12)*($C$171:$V$171)*$C$3:$V$3)))</f>
        <v/>
      </c>
      <c r="J906" s="62">
        <f>IF(J$15&lt;=1,0,SUMPRODUCT(MAX(($C$12:$V$12=J$12)*($C$171:$V$171)*$C$3:$V$3)))</f>
        <v/>
      </c>
      <c r="K906" s="62">
        <f>IF(K$15&lt;=1,0,SUMPRODUCT(MAX(($C$12:$V$12=K$12)*($C$171:$V$171)*$C$3:$V$3)))</f>
        <v/>
      </c>
      <c r="L906" s="62">
        <f>IF(L$15&lt;=1,0,SUMPRODUCT(MAX(($C$12:$V$12=L$12)*($C$171:$V$171)*$C$3:$V$3)))</f>
        <v/>
      </c>
      <c r="M906" s="62">
        <f>IF(M$15&lt;=1,0,SUMPRODUCT(MAX(($C$12:$V$12=M$12)*($C$171:$V$171)*$C$3:$V$3)))</f>
        <v/>
      </c>
      <c r="N906" s="62">
        <f>IF(N$15&lt;=1,0,SUMPRODUCT(MAX(($C$12:$V$12=N$12)*($C$171:$V$171)*$C$3:$V$3)))</f>
        <v/>
      </c>
      <c r="O906" s="62">
        <f>IF(O$15&lt;=1,0,SUMPRODUCT(MAX(($C$12:$V$12=O$12)*($C$171:$V$171)*$C$3:$V$3)))</f>
        <v/>
      </c>
      <c r="P906" s="62">
        <f>IF(P$15&lt;=1,0,SUMPRODUCT(MAX(($C$12:$V$12=P$12)*($C$171:$V$171)*$C$3:$V$3)))</f>
        <v/>
      </c>
      <c r="Q906" s="62">
        <f>IF(Q$15&lt;=1,0,SUMPRODUCT(MAX(($C$12:$V$12=Q$12)*($C$171:$V$171)*$C$3:$V$3)))</f>
        <v/>
      </c>
      <c r="R906" s="62">
        <f>IF(R$15&lt;=1,0,SUMPRODUCT(MAX(($C$12:$V$12=R$12)*($C$171:$V$171)*$C$3:$V$3)))</f>
        <v/>
      </c>
      <c r="S906" s="62">
        <f>IF(S$15&lt;=1,0,SUMPRODUCT(MAX(($C$12:$V$12=S$12)*($C$171:$V$171)*$C$3:$V$3)))</f>
        <v/>
      </c>
      <c r="T906" s="62">
        <f>IF(T$15&lt;=1,0,SUMPRODUCT(MAX(($C$12:$V$12=T$12)*($C$171:$V$171)*$C$3:$V$3)))</f>
        <v/>
      </c>
      <c r="U906" s="62">
        <f>IF(U$15&lt;=1,0,SUMPRODUCT(MAX(($C$12:$V$12=U$12)*($C$171:$V$171)*$C$3:$V$3)))</f>
        <v/>
      </c>
      <c r="V906" s="62">
        <f>IF(V$15&lt;=1,0,SUMPRODUCT(MAX(($C$12:$V$12=V$12)*($C$171:$V$171)*$C$3:$V$3)))</f>
        <v/>
      </c>
    </row>
    <row r="907">
      <c r="C907" s="62">
        <f>IF(C$15&lt;=1,0,SUMPRODUCT(MAX(($C$12:$V$12=C$12)*($C$172:$V$172)*$C$3:$V$3)))</f>
        <v/>
      </c>
      <c r="D907" s="62">
        <f>IF(D$15&lt;=1,0,SUMPRODUCT(MAX(($C$12:$V$12=D$12)*($C$172:$V$172)*$C$3:$V$3)))</f>
        <v/>
      </c>
      <c r="E907" s="62">
        <f>IF(E$15&lt;=1,0,SUMPRODUCT(MAX(($C$12:$V$12=E$12)*($C$172:$V$172)*$C$3:$V$3)))</f>
        <v/>
      </c>
      <c r="F907" s="62">
        <f>IF(F$15&lt;=1,0,SUMPRODUCT(MAX(($C$12:$V$12=F$12)*($C$172:$V$172)*$C$3:$V$3)))</f>
        <v/>
      </c>
      <c r="G907" s="62">
        <f>IF(G$15&lt;=1,0,SUMPRODUCT(MAX(($C$12:$V$12=G$12)*($C$172:$V$172)*$C$3:$V$3)))</f>
        <v/>
      </c>
      <c r="H907" s="62">
        <f>IF(H$15&lt;=1,0,SUMPRODUCT(MAX(($C$12:$V$12=H$12)*($C$172:$V$172)*$C$3:$V$3)))</f>
        <v/>
      </c>
      <c r="I907" s="62">
        <f>IF(I$15&lt;=1,0,SUMPRODUCT(MAX(($C$12:$V$12=I$12)*($C$172:$V$172)*$C$3:$V$3)))</f>
        <v/>
      </c>
      <c r="J907" s="62">
        <f>IF(J$15&lt;=1,0,SUMPRODUCT(MAX(($C$12:$V$12=J$12)*($C$172:$V$172)*$C$3:$V$3)))</f>
        <v/>
      </c>
      <c r="K907" s="62">
        <f>IF(K$15&lt;=1,0,SUMPRODUCT(MAX(($C$12:$V$12=K$12)*($C$172:$V$172)*$C$3:$V$3)))</f>
        <v/>
      </c>
      <c r="L907" s="62">
        <f>IF(L$15&lt;=1,0,SUMPRODUCT(MAX(($C$12:$V$12=L$12)*($C$172:$V$172)*$C$3:$V$3)))</f>
        <v/>
      </c>
      <c r="M907" s="62">
        <f>IF(M$15&lt;=1,0,SUMPRODUCT(MAX(($C$12:$V$12=M$12)*($C$172:$V$172)*$C$3:$V$3)))</f>
        <v/>
      </c>
      <c r="N907" s="62">
        <f>IF(N$15&lt;=1,0,SUMPRODUCT(MAX(($C$12:$V$12=N$12)*($C$172:$V$172)*$C$3:$V$3)))</f>
        <v/>
      </c>
      <c r="O907" s="62">
        <f>IF(O$15&lt;=1,0,SUMPRODUCT(MAX(($C$12:$V$12=O$12)*($C$172:$V$172)*$C$3:$V$3)))</f>
        <v/>
      </c>
      <c r="P907" s="62">
        <f>IF(P$15&lt;=1,0,SUMPRODUCT(MAX(($C$12:$V$12=P$12)*($C$172:$V$172)*$C$3:$V$3)))</f>
        <v/>
      </c>
      <c r="Q907" s="62">
        <f>IF(Q$15&lt;=1,0,SUMPRODUCT(MAX(($C$12:$V$12=Q$12)*($C$172:$V$172)*$C$3:$V$3)))</f>
        <v/>
      </c>
      <c r="R907" s="62">
        <f>IF(R$15&lt;=1,0,SUMPRODUCT(MAX(($C$12:$V$12=R$12)*($C$172:$V$172)*$C$3:$V$3)))</f>
        <v/>
      </c>
      <c r="S907" s="62">
        <f>IF(S$15&lt;=1,0,SUMPRODUCT(MAX(($C$12:$V$12=S$12)*($C$172:$V$172)*$C$3:$V$3)))</f>
        <v/>
      </c>
      <c r="T907" s="62">
        <f>IF(T$15&lt;=1,0,SUMPRODUCT(MAX(($C$12:$V$12=T$12)*($C$172:$V$172)*$C$3:$V$3)))</f>
        <v/>
      </c>
      <c r="U907" s="62">
        <f>IF(U$15&lt;=1,0,SUMPRODUCT(MAX(($C$12:$V$12=U$12)*($C$172:$V$172)*$C$3:$V$3)))</f>
        <v/>
      </c>
      <c r="V907" s="62">
        <f>IF(V$15&lt;=1,0,SUMPRODUCT(MAX(($C$12:$V$12=V$12)*($C$172:$V$172)*$C$3:$V$3)))</f>
        <v/>
      </c>
    </row>
    <row r="908">
      <c r="C908" s="62">
        <f>IF(C$15&lt;=1,0,SUMPRODUCT(MAX(($C$12:$V$12=C$12)*($C$173:$V$173)*$C$3:$V$3)))</f>
        <v/>
      </c>
      <c r="D908" s="62">
        <f>IF(D$15&lt;=1,0,SUMPRODUCT(MAX(($C$12:$V$12=D$12)*($C$173:$V$173)*$C$3:$V$3)))</f>
        <v/>
      </c>
      <c r="E908" s="62">
        <f>IF(E$15&lt;=1,0,SUMPRODUCT(MAX(($C$12:$V$12=E$12)*($C$173:$V$173)*$C$3:$V$3)))</f>
        <v/>
      </c>
      <c r="F908" s="62">
        <f>IF(F$15&lt;=1,0,SUMPRODUCT(MAX(($C$12:$V$12=F$12)*($C$173:$V$173)*$C$3:$V$3)))</f>
        <v/>
      </c>
      <c r="G908" s="62">
        <f>IF(G$15&lt;=1,0,SUMPRODUCT(MAX(($C$12:$V$12=G$12)*($C$173:$V$173)*$C$3:$V$3)))</f>
        <v/>
      </c>
      <c r="H908" s="62">
        <f>IF(H$15&lt;=1,0,SUMPRODUCT(MAX(($C$12:$V$12=H$12)*($C$173:$V$173)*$C$3:$V$3)))</f>
        <v/>
      </c>
      <c r="I908" s="62">
        <f>IF(I$15&lt;=1,0,SUMPRODUCT(MAX(($C$12:$V$12=I$12)*($C$173:$V$173)*$C$3:$V$3)))</f>
        <v/>
      </c>
      <c r="J908" s="62">
        <f>IF(J$15&lt;=1,0,SUMPRODUCT(MAX(($C$12:$V$12=J$12)*($C$173:$V$173)*$C$3:$V$3)))</f>
        <v/>
      </c>
      <c r="K908" s="62">
        <f>IF(K$15&lt;=1,0,SUMPRODUCT(MAX(($C$12:$V$12=K$12)*($C$173:$V$173)*$C$3:$V$3)))</f>
        <v/>
      </c>
      <c r="L908" s="62">
        <f>IF(L$15&lt;=1,0,SUMPRODUCT(MAX(($C$12:$V$12=L$12)*($C$173:$V$173)*$C$3:$V$3)))</f>
        <v/>
      </c>
      <c r="M908" s="62">
        <f>IF(M$15&lt;=1,0,SUMPRODUCT(MAX(($C$12:$V$12=M$12)*($C$173:$V$173)*$C$3:$V$3)))</f>
        <v/>
      </c>
      <c r="N908" s="62">
        <f>IF(N$15&lt;=1,0,SUMPRODUCT(MAX(($C$12:$V$12=N$12)*($C$173:$V$173)*$C$3:$V$3)))</f>
        <v/>
      </c>
      <c r="O908" s="62">
        <f>IF(O$15&lt;=1,0,SUMPRODUCT(MAX(($C$12:$V$12=O$12)*($C$173:$V$173)*$C$3:$V$3)))</f>
        <v/>
      </c>
      <c r="P908" s="62">
        <f>IF(P$15&lt;=1,0,SUMPRODUCT(MAX(($C$12:$V$12=P$12)*($C$173:$V$173)*$C$3:$V$3)))</f>
        <v/>
      </c>
      <c r="Q908" s="62">
        <f>IF(Q$15&lt;=1,0,SUMPRODUCT(MAX(($C$12:$V$12=Q$12)*($C$173:$V$173)*$C$3:$V$3)))</f>
        <v/>
      </c>
      <c r="R908" s="62">
        <f>IF(R$15&lt;=1,0,SUMPRODUCT(MAX(($C$12:$V$12=R$12)*($C$173:$V$173)*$C$3:$V$3)))</f>
        <v/>
      </c>
      <c r="S908" s="62">
        <f>IF(S$15&lt;=1,0,SUMPRODUCT(MAX(($C$12:$V$12=S$12)*($C$173:$V$173)*$C$3:$V$3)))</f>
        <v/>
      </c>
      <c r="T908" s="62">
        <f>IF(T$15&lt;=1,0,SUMPRODUCT(MAX(($C$12:$V$12=T$12)*($C$173:$V$173)*$C$3:$V$3)))</f>
        <v/>
      </c>
      <c r="U908" s="62">
        <f>IF(U$15&lt;=1,0,SUMPRODUCT(MAX(($C$12:$V$12=U$12)*($C$173:$V$173)*$C$3:$V$3)))</f>
        <v/>
      </c>
      <c r="V908" s="62">
        <f>IF(V$15&lt;=1,0,SUMPRODUCT(MAX(($C$12:$V$12=V$12)*($C$173:$V$173)*$C$3:$V$3)))</f>
        <v/>
      </c>
    </row>
    <row r="909">
      <c r="C909" s="62">
        <f>IF(C$15&lt;=1,0,SUMPRODUCT(MAX(($C$12:$V$12=C$12)*($C$174:$V$174)*$C$3:$V$3)))</f>
        <v/>
      </c>
      <c r="D909" s="62">
        <f>IF(D$15&lt;=1,0,SUMPRODUCT(MAX(($C$12:$V$12=D$12)*($C$174:$V$174)*$C$3:$V$3)))</f>
        <v/>
      </c>
      <c r="E909" s="62">
        <f>IF(E$15&lt;=1,0,SUMPRODUCT(MAX(($C$12:$V$12=E$12)*($C$174:$V$174)*$C$3:$V$3)))</f>
        <v/>
      </c>
      <c r="F909" s="62">
        <f>IF(F$15&lt;=1,0,SUMPRODUCT(MAX(($C$12:$V$12=F$12)*($C$174:$V$174)*$C$3:$V$3)))</f>
        <v/>
      </c>
      <c r="G909" s="62">
        <f>IF(G$15&lt;=1,0,SUMPRODUCT(MAX(($C$12:$V$12=G$12)*($C$174:$V$174)*$C$3:$V$3)))</f>
        <v/>
      </c>
      <c r="H909" s="62">
        <f>IF(H$15&lt;=1,0,SUMPRODUCT(MAX(($C$12:$V$12=H$12)*($C$174:$V$174)*$C$3:$V$3)))</f>
        <v/>
      </c>
      <c r="I909" s="62">
        <f>IF(I$15&lt;=1,0,SUMPRODUCT(MAX(($C$12:$V$12=I$12)*($C$174:$V$174)*$C$3:$V$3)))</f>
        <v/>
      </c>
      <c r="J909" s="62">
        <f>IF(J$15&lt;=1,0,SUMPRODUCT(MAX(($C$12:$V$12=J$12)*($C$174:$V$174)*$C$3:$V$3)))</f>
        <v/>
      </c>
      <c r="K909" s="62">
        <f>IF(K$15&lt;=1,0,SUMPRODUCT(MAX(($C$12:$V$12=K$12)*($C$174:$V$174)*$C$3:$V$3)))</f>
        <v/>
      </c>
      <c r="L909" s="62">
        <f>IF(L$15&lt;=1,0,SUMPRODUCT(MAX(($C$12:$V$12=L$12)*($C$174:$V$174)*$C$3:$V$3)))</f>
        <v/>
      </c>
      <c r="M909" s="62">
        <f>IF(M$15&lt;=1,0,SUMPRODUCT(MAX(($C$12:$V$12=M$12)*($C$174:$V$174)*$C$3:$V$3)))</f>
        <v/>
      </c>
      <c r="N909" s="62">
        <f>IF(N$15&lt;=1,0,SUMPRODUCT(MAX(($C$12:$V$12=N$12)*($C$174:$V$174)*$C$3:$V$3)))</f>
        <v/>
      </c>
      <c r="O909" s="62">
        <f>IF(O$15&lt;=1,0,SUMPRODUCT(MAX(($C$12:$V$12=O$12)*($C$174:$V$174)*$C$3:$V$3)))</f>
        <v/>
      </c>
      <c r="P909" s="62">
        <f>IF(P$15&lt;=1,0,SUMPRODUCT(MAX(($C$12:$V$12=P$12)*($C$174:$V$174)*$C$3:$V$3)))</f>
        <v/>
      </c>
      <c r="Q909" s="62">
        <f>IF(Q$15&lt;=1,0,SUMPRODUCT(MAX(($C$12:$V$12=Q$12)*($C$174:$V$174)*$C$3:$V$3)))</f>
        <v/>
      </c>
      <c r="R909" s="62">
        <f>IF(R$15&lt;=1,0,SUMPRODUCT(MAX(($C$12:$V$12=R$12)*($C$174:$V$174)*$C$3:$V$3)))</f>
        <v/>
      </c>
      <c r="S909" s="62">
        <f>IF(S$15&lt;=1,0,SUMPRODUCT(MAX(($C$12:$V$12=S$12)*($C$174:$V$174)*$C$3:$V$3)))</f>
        <v/>
      </c>
      <c r="T909" s="62">
        <f>IF(T$15&lt;=1,0,SUMPRODUCT(MAX(($C$12:$V$12=T$12)*($C$174:$V$174)*$C$3:$V$3)))</f>
        <v/>
      </c>
      <c r="U909" s="62">
        <f>IF(U$15&lt;=1,0,SUMPRODUCT(MAX(($C$12:$V$12=U$12)*($C$174:$V$174)*$C$3:$V$3)))</f>
        <v/>
      </c>
      <c r="V909" s="62">
        <f>IF(V$15&lt;=1,0,SUMPRODUCT(MAX(($C$12:$V$12=V$12)*($C$174:$V$174)*$C$3:$V$3)))</f>
        <v/>
      </c>
    </row>
    <row r="910">
      <c r="C910" s="62">
        <f>IF(C$15&lt;=1,0,SUMPRODUCT(MAX(($C$12:$V$12=C$12)*($C$175:$V$175)*$C$3:$V$3)))</f>
        <v/>
      </c>
      <c r="D910" s="62">
        <f>IF(D$15&lt;=1,0,SUMPRODUCT(MAX(($C$12:$V$12=D$12)*($C$175:$V$175)*$C$3:$V$3)))</f>
        <v/>
      </c>
      <c r="E910" s="62">
        <f>IF(E$15&lt;=1,0,SUMPRODUCT(MAX(($C$12:$V$12=E$12)*($C$175:$V$175)*$C$3:$V$3)))</f>
        <v/>
      </c>
      <c r="F910" s="62">
        <f>IF(F$15&lt;=1,0,SUMPRODUCT(MAX(($C$12:$V$12=F$12)*($C$175:$V$175)*$C$3:$V$3)))</f>
        <v/>
      </c>
      <c r="G910" s="62">
        <f>IF(G$15&lt;=1,0,SUMPRODUCT(MAX(($C$12:$V$12=G$12)*($C$175:$V$175)*$C$3:$V$3)))</f>
        <v/>
      </c>
      <c r="H910" s="62">
        <f>IF(H$15&lt;=1,0,SUMPRODUCT(MAX(($C$12:$V$12=H$12)*($C$175:$V$175)*$C$3:$V$3)))</f>
        <v/>
      </c>
      <c r="I910" s="62">
        <f>IF(I$15&lt;=1,0,SUMPRODUCT(MAX(($C$12:$V$12=I$12)*($C$175:$V$175)*$C$3:$V$3)))</f>
        <v/>
      </c>
      <c r="J910" s="62">
        <f>IF(J$15&lt;=1,0,SUMPRODUCT(MAX(($C$12:$V$12=J$12)*($C$175:$V$175)*$C$3:$V$3)))</f>
        <v/>
      </c>
      <c r="K910" s="62">
        <f>IF(K$15&lt;=1,0,SUMPRODUCT(MAX(($C$12:$V$12=K$12)*($C$175:$V$175)*$C$3:$V$3)))</f>
        <v/>
      </c>
      <c r="L910" s="62">
        <f>IF(L$15&lt;=1,0,SUMPRODUCT(MAX(($C$12:$V$12=L$12)*($C$175:$V$175)*$C$3:$V$3)))</f>
        <v/>
      </c>
      <c r="M910" s="62">
        <f>IF(M$15&lt;=1,0,SUMPRODUCT(MAX(($C$12:$V$12=M$12)*($C$175:$V$175)*$C$3:$V$3)))</f>
        <v/>
      </c>
      <c r="N910" s="62">
        <f>IF(N$15&lt;=1,0,SUMPRODUCT(MAX(($C$12:$V$12=N$12)*($C$175:$V$175)*$C$3:$V$3)))</f>
        <v/>
      </c>
      <c r="O910" s="62">
        <f>IF(O$15&lt;=1,0,SUMPRODUCT(MAX(($C$12:$V$12=O$12)*($C$175:$V$175)*$C$3:$V$3)))</f>
        <v/>
      </c>
      <c r="P910" s="62">
        <f>IF(P$15&lt;=1,0,SUMPRODUCT(MAX(($C$12:$V$12=P$12)*($C$175:$V$175)*$C$3:$V$3)))</f>
        <v/>
      </c>
      <c r="Q910" s="62">
        <f>IF(Q$15&lt;=1,0,SUMPRODUCT(MAX(($C$12:$V$12=Q$12)*($C$175:$V$175)*$C$3:$V$3)))</f>
        <v/>
      </c>
      <c r="R910" s="62">
        <f>IF(R$15&lt;=1,0,SUMPRODUCT(MAX(($C$12:$V$12=R$12)*($C$175:$V$175)*$C$3:$V$3)))</f>
        <v/>
      </c>
      <c r="S910" s="62">
        <f>IF(S$15&lt;=1,0,SUMPRODUCT(MAX(($C$12:$V$12=S$12)*($C$175:$V$175)*$C$3:$V$3)))</f>
        <v/>
      </c>
      <c r="T910" s="62">
        <f>IF(T$15&lt;=1,0,SUMPRODUCT(MAX(($C$12:$V$12=T$12)*($C$175:$V$175)*$C$3:$V$3)))</f>
        <v/>
      </c>
      <c r="U910" s="62">
        <f>IF(U$15&lt;=1,0,SUMPRODUCT(MAX(($C$12:$V$12=U$12)*($C$175:$V$175)*$C$3:$V$3)))</f>
        <v/>
      </c>
      <c r="V910" s="62">
        <f>IF(V$15&lt;=1,0,SUMPRODUCT(MAX(($C$12:$V$12=V$12)*($C$175:$V$175)*$C$3:$V$3)))</f>
        <v/>
      </c>
    </row>
    <row r="911">
      <c r="C911" s="62">
        <f>IF(C$15&lt;=1,0,SUMPRODUCT(MAX(($C$12:$V$12=C$12)*($C$176:$V$176)*$C$3:$V$3)))</f>
        <v/>
      </c>
      <c r="D911" s="62">
        <f>IF(D$15&lt;=1,0,SUMPRODUCT(MAX(($C$12:$V$12=D$12)*($C$176:$V$176)*$C$3:$V$3)))</f>
        <v/>
      </c>
      <c r="E911" s="62">
        <f>IF(E$15&lt;=1,0,SUMPRODUCT(MAX(($C$12:$V$12=E$12)*($C$176:$V$176)*$C$3:$V$3)))</f>
        <v/>
      </c>
      <c r="F911" s="62">
        <f>IF(F$15&lt;=1,0,SUMPRODUCT(MAX(($C$12:$V$12=F$12)*($C$176:$V$176)*$C$3:$V$3)))</f>
        <v/>
      </c>
      <c r="G911" s="62">
        <f>IF(G$15&lt;=1,0,SUMPRODUCT(MAX(($C$12:$V$12=G$12)*($C$176:$V$176)*$C$3:$V$3)))</f>
        <v/>
      </c>
      <c r="H911" s="62">
        <f>IF(H$15&lt;=1,0,SUMPRODUCT(MAX(($C$12:$V$12=H$12)*($C$176:$V$176)*$C$3:$V$3)))</f>
        <v/>
      </c>
      <c r="I911" s="62">
        <f>IF(I$15&lt;=1,0,SUMPRODUCT(MAX(($C$12:$V$12=I$12)*($C$176:$V$176)*$C$3:$V$3)))</f>
        <v/>
      </c>
      <c r="J911" s="62">
        <f>IF(J$15&lt;=1,0,SUMPRODUCT(MAX(($C$12:$V$12=J$12)*($C$176:$V$176)*$C$3:$V$3)))</f>
        <v/>
      </c>
      <c r="K911" s="62">
        <f>IF(K$15&lt;=1,0,SUMPRODUCT(MAX(($C$12:$V$12=K$12)*($C$176:$V$176)*$C$3:$V$3)))</f>
        <v/>
      </c>
      <c r="L911" s="62">
        <f>IF(L$15&lt;=1,0,SUMPRODUCT(MAX(($C$12:$V$12=L$12)*($C$176:$V$176)*$C$3:$V$3)))</f>
        <v/>
      </c>
      <c r="M911" s="62">
        <f>IF(M$15&lt;=1,0,SUMPRODUCT(MAX(($C$12:$V$12=M$12)*($C$176:$V$176)*$C$3:$V$3)))</f>
        <v/>
      </c>
      <c r="N911" s="62">
        <f>IF(N$15&lt;=1,0,SUMPRODUCT(MAX(($C$12:$V$12=N$12)*($C$176:$V$176)*$C$3:$V$3)))</f>
        <v/>
      </c>
      <c r="O911" s="62">
        <f>IF(O$15&lt;=1,0,SUMPRODUCT(MAX(($C$12:$V$12=O$12)*($C$176:$V$176)*$C$3:$V$3)))</f>
        <v/>
      </c>
      <c r="P911" s="62">
        <f>IF(P$15&lt;=1,0,SUMPRODUCT(MAX(($C$12:$V$12=P$12)*($C$176:$V$176)*$C$3:$V$3)))</f>
        <v/>
      </c>
      <c r="Q911" s="62">
        <f>IF(Q$15&lt;=1,0,SUMPRODUCT(MAX(($C$12:$V$12=Q$12)*($C$176:$V$176)*$C$3:$V$3)))</f>
        <v/>
      </c>
      <c r="R911" s="62">
        <f>IF(R$15&lt;=1,0,SUMPRODUCT(MAX(($C$12:$V$12=R$12)*($C$176:$V$176)*$C$3:$V$3)))</f>
        <v/>
      </c>
      <c r="S911" s="62">
        <f>IF(S$15&lt;=1,0,SUMPRODUCT(MAX(($C$12:$V$12=S$12)*($C$176:$V$176)*$C$3:$V$3)))</f>
        <v/>
      </c>
      <c r="T911" s="62">
        <f>IF(T$15&lt;=1,0,SUMPRODUCT(MAX(($C$12:$V$12=T$12)*($C$176:$V$176)*$C$3:$V$3)))</f>
        <v/>
      </c>
      <c r="U911" s="62">
        <f>IF(U$15&lt;=1,0,SUMPRODUCT(MAX(($C$12:$V$12=U$12)*($C$176:$V$176)*$C$3:$V$3)))</f>
        <v/>
      </c>
      <c r="V911" s="62">
        <f>IF(V$15&lt;=1,0,SUMPRODUCT(MAX(($C$12:$V$12=V$12)*($C$176:$V$176)*$C$3:$V$3)))</f>
        <v/>
      </c>
    </row>
    <row r="912">
      <c r="C912" s="62">
        <f>IF(C$15&lt;=1,0,SUMPRODUCT(MAX(($C$12:$V$12=C$12)*($C$177:$V$177)*$C$3:$V$3)))</f>
        <v/>
      </c>
      <c r="D912" s="62">
        <f>IF(D$15&lt;=1,0,SUMPRODUCT(MAX(($C$12:$V$12=D$12)*($C$177:$V$177)*$C$3:$V$3)))</f>
        <v/>
      </c>
      <c r="E912" s="62">
        <f>IF(E$15&lt;=1,0,SUMPRODUCT(MAX(($C$12:$V$12=E$12)*($C$177:$V$177)*$C$3:$V$3)))</f>
        <v/>
      </c>
      <c r="F912" s="62">
        <f>IF(F$15&lt;=1,0,SUMPRODUCT(MAX(($C$12:$V$12=F$12)*($C$177:$V$177)*$C$3:$V$3)))</f>
        <v/>
      </c>
      <c r="G912" s="62">
        <f>IF(G$15&lt;=1,0,SUMPRODUCT(MAX(($C$12:$V$12=G$12)*($C$177:$V$177)*$C$3:$V$3)))</f>
        <v/>
      </c>
      <c r="H912" s="62">
        <f>IF(H$15&lt;=1,0,SUMPRODUCT(MAX(($C$12:$V$12=H$12)*($C$177:$V$177)*$C$3:$V$3)))</f>
        <v/>
      </c>
      <c r="I912" s="62">
        <f>IF(I$15&lt;=1,0,SUMPRODUCT(MAX(($C$12:$V$12=I$12)*($C$177:$V$177)*$C$3:$V$3)))</f>
        <v/>
      </c>
      <c r="J912" s="62">
        <f>IF(J$15&lt;=1,0,SUMPRODUCT(MAX(($C$12:$V$12=J$12)*($C$177:$V$177)*$C$3:$V$3)))</f>
        <v/>
      </c>
      <c r="K912" s="62">
        <f>IF(K$15&lt;=1,0,SUMPRODUCT(MAX(($C$12:$V$12=K$12)*($C$177:$V$177)*$C$3:$V$3)))</f>
        <v/>
      </c>
      <c r="L912" s="62">
        <f>IF(L$15&lt;=1,0,SUMPRODUCT(MAX(($C$12:$V$12=L$12)*($C$177:$V$177)*$C$3:$V$3)))</f>
        <v/>
      </c>
      <c r="M912" s="62">
        <f>IF(M$15&lt;=1,0,SUMPRODUCT(MAX(($C$12:$V$12=M$12)*($C$177:$V$177)*$C$3:$V$3)))</f>
        <v/>
      </c>
      <c r="N912" s="62">
        <f>IF(N$15&lt;=1,0,SUMPRODUCT(MAX(($C$12:$V$12=N$12)*($C$177:$V$177)*$C$3:$V$3)))</f>
        <v/>
      </c>
      <c r="O912" s="62">
        <f>IF(O$15&lt;=1,0,SUMPRODUCT(MAX(($C$12:$V$12=O$12)*($C$177:$V$177)*$C$3:$V$3)))</f>
        <v/>
      </c>
      <c r="P912" s="62">
        <f>IF(P$15&lt;=1,0,SUMPRODUCT(MAX(($C$12:$V$12=P$12)*($C$177:$V$177)*$C$3:$V$3)))</f>
        <v/>
      </c>
      <c r="Q912" s="62">
        <f>IF(Q$15&lt;=1,0,SUMPRODUCT(MAX(($C$12:$V$12=Q$12)*($C$177:$V$177)*$C$3:$V$3)))</f>
        <v/>
      </c>
      <c r="R912" s="62">
        <f>IF(R$15&lt;=1,0,SUMPRODUCT(MAX(($C$12:$V$12=R$12)*($C$177:$V$177)*$C$3:$V$3)))</f>
        <v/>
      </c>
      <c r="S912" s="62">
        <f>IF(S$15&lt;=1,0,SUMPRODUCT(MAX(($C$12:$V$12=S$12)*($C$177:$V$177)*$C$3:$V$3)))</f>
        <v/>
      </c>
      <c r="T912" s="62">
        <f>IF(T$15&lt;=1,0,SUMPRODUCT(MAX(($C$12:$V$12=T$12)*($C$177:$V$177)*$C$3:$V$3)))</f>
        <v/>
      </c>
      <c r="U912" s="62">
        <f>IF(U$15&lt;=1,0,SUMPRODUCT(MAX(($C$12:$V$12=U$12)*($C$177:$V$177)*$C$3:$V$3)))</f>
        <v/>
      </c>
      <c r="V912" s="62">
        <f>IF(V$15&lt;=1,0,SUMPRODUCT(MAX(($C$12:$V$12=V$12)*($C$177:$V$177)*$C$3:$V$3)))</f>
        <v/>
      </c>
    </row>
    <row r="913">
      <c r="C913" s="62">
        <f>IF(C$15&lt;=1,0,SUMPRODUCT(MAX(($C$12:$V$12=C$12)*($C$178:$V$178)*$C$3:$V$3)))</f>
        <v/>
      </c>
      <c r="D913" s="62">
        <f>IF(D$15&lt;=1,0,SUMPRODUCT(MAX(($C$12:$V$12=D$12)*($C$178:$V$178)*$C$3:$V$3)))</f>
        <v/>
      </c>
      <c r="E913" s="62">
        <f>IF(E$15&lt;=1,0,SUMPRODUCT(MAX(($C$12:$V$12=E$12)*($C$178:$V$178)*$C$3:$V$3)))</f>
        <v/>
      </c>
      <c r="F913" s="62">
        <f>IF(F$15&lt;=1,0,SUMPRODUCT(MAX(($C$12:$V$12=F$12)*($C$178:$V$178)*$C$3:$V$3)))</f>
        <v/>
      </c>
      <c r="G913" s="62">
        <f>IF(G$15&lt;=1,0,SUMPRODUCT(MAX(($C$12:$V$12=G$12)*($C$178:$V$178)*$C$3:$V$3)))</f>
        <v/>
      </c>
      <c r="H913" s="62">
        <f>IF(H$15&lt;=1,0,SUMPRODUCT(MAX(($C$12:$V$12=H$12)*($C$178:$V$178)*$C$3:$V$3)))</f>
        <v/>
      </c>
      <c r="I913" s="62">
        <f>IF(I$15&lt;=1,0,SUMPRODUCT(MAX(($C$12:$V$12=I$12)*($C$178:$V$178)*$C$3:$V$3)))</f>
        <v/>
      </c>
      <c r="J913" s="62">
        <f>IF(J$15&lt;=1,0,SUMPRODUCT(MAX(($C$12:$V$12=J$12)*($C$178:$V$178)*$C$3:$V$3)))</f>
        <v/>
      </c>
      <c r="K913" s="62">
        <f>IF(K$15&lt;=1,0,SUMPRODUCT(MAX(($C$12:$V$12=K$12)*($C$178:$V$178)*$C$3:$V$3)))</f>
        <v/>
      </c>
      <c r="L913" s="62">
        <f>IF(L$15&lt;=1,0,SUMPRODUCT(MAX(($C$12:$V$12=L$12)*($C$178:$V$178)*$C$3:$V$3)))</f>
        <v/>
      </c>
      <c r="M913" s="62">
        <f>IF(M$15&lt;=1,0,SUMPRODUCT(MAX(($C$12:$V$12=M$12)*($C$178:$V$178)*$C$3:$V$3)))</f>
        <v/>
      </c>
      <c r="N913" s="62">
        <f>IF(N$15&lt;=1,0,SUMPRODUCT(MAX(($C$12:$V$12=N$12)*($C$178:$V$178)*$C$3:$V$3)))</f>
        <v/>
      </c>
      <c r="O913" s="62">
        <f>IF(O$15&lt;=1,0,SUMPRODUCT(MAX(($C$12:$V$12=O$12)*($C$178:$V$178)*$C$3:$V$3)))</f>
        <v/>
      </c>
      <c r="P913" s="62">
        <f>IF(P$15&lt;=1,0,SUMPRODUCT(MAX(($C$12:$V$12=P$12)*($C$178:$V$178)*$C$3:$V$3)))</f>
        <v/>
      </c>
      <c r="Q913" s="62">
        <f>IF(Q$15&lt;=1,0,SUMPRODUCT(MAX(($C$12:$V$12=Q$12)*($C$178:$V$178)*$C$3:$V$3)))</f>
        <v/>
      </c>
      <c r="R913" s="62">
        <f>IF(R$15&lt;=1,0,SUMPRODUCT(MAX(($C$12:$V$12=R$12)*($C$178:$V$178)*$C$3:$V$3)))</f>
        <v/>
      </c>
      <c r="S913" s="62">
        <f>IF(S$15&lt;=1,0,SUMPRODUCT(MAX(($C$12:$V$12=S$12)*($C$178:$V$178)*$C$3:$V$3)))</f>
        <v/>
      </c>
      <c r="T913" s="62">
        <f>IF(T$15&lt;=1,0,SUMPRODUCT(MAX(($C$12:$V$12=T$12)*($C$178:$V$178)*$C$3:$V$3)))</f>
        <v/>
      </c>
      <c r="U913" s="62">
        <f>IF(U$15&lt;=1,0,SUMPRODUCT(MAX(($C$12:$V$12=U$12)*($C$178:$V$178)*$C$3:$V$3)))</f>
        <v/>
      </c>
      <c r="V913" s="62">
        <f>IF(V$15&lt;=1,0,SUMPRODUCT(MAX(($C$12:$V$12=V$12)*($C$178:$V$178)*$C$3:$V$3)))</f>
        <v/>
      </c>
    </row>
    <row r="914">
      <c r="C914" s="62">
        <f>IF(C$15&lt;=1,0,SUMPRODUCT(MAX(($C$12:$V$12=C$12)*($C$179:$V$179)*$C$3:$V$3)))</f>
        <v/>
      </c>
      <c r="D914" s="62">
        <f>IF(D$15&lt;=1,0,SUMPRODUCT(MAX(($C$12:$V$12=D$12)*($C$179:$V$179)*$C$3:$V$3)))</f>
        <v/>
      </c>
      <c r="E914" s="62">
        <f>IF(E$15&lt;=1,0,SUMPRODUCT(MAX(($C$12:$V$12=E$12)*($C$179:$V$179)*$C$3:$V$3)))</f>
        <v/>
      </c>
      <c r="F914" s="62">
        <f>IF(F$15&lt;=1,0,SUMPRODUCT(MAX(($C$12:$V$12=F$12)*($C$179:$V$179)*$C$3:$V$3)))</f>
        <v/>
      </c>
      <c r="G914" s="62">
        <f>IF(G$15&lt;=1,0,SUMPRODUCT(MAX(($C$12:$V$12=G$12)*($C$179:$V$179)*$C$3:$V$3)))</f>
        <v/>
      </c>
      <c r="H914" s="62">
        <f>IF(H$15&lt;=1,0,SUMPRODUCT(MAX(($C$12:$V$12=H$12)*($C$179:$V$179)*$C$3:$V$3)))</f>
        <v/>
      </c>
      <c r="I914" s="62">
        <f>IF(I$15&lt;=1,0,SUMPRODUCT(MAX(($C$12:$V$12=I$12)*($C$179:$V$179)*$C$3:$V$3)))</f>
        <v/>
      </c>
      <c r="J914" s="62">
        <f>IF(J$15&lt;=1,0,SUMPRODUCT(MAX(($C$12:$V$12=J$12)*($C$179:$V$179)*$C$3:$V$3)))</f>
        <v/>
      </c>
      <c r="K914" s="62">
        <f>IF(K$15&lt;=1,0,SUMPRODUCT(MAX(($C$12:$V$12=K$12)*($C$179:$V$179)*$C$3:$V$3)))</f>
        <v/>
      </c>
      <c r="L914" s="62">
        <f>IF(L$15&lt;=1,0,SUMPRODUCT(MAX(($C$12:$V$12=L$12)*($C$179:$V$179)*$C$3:$V$3)))</f>
        <v/>
      </c>
      <c r="M914" s="62">
        <f>IF(M$15&lt;=1,0,SUMPRODUCT(MAX(($C$12:$V$12=M$12)*($C$179:$V$179)*$C$3:$V$3)))</f>
        <v/>
      </c>
      <c r="N914" s="62">
        <f>IF(N$15&lt;=1,0,SUMPRODUCT(MAX(($C$12:$V$12=N$12)*($C$179:$V$179)*$C$3:$V$3)))</f>
        <v/>
      </c>
      <c r="O914" s="62">
        <f>IF(O$15&lt;=1,0,SUMPRODUCT(MAX(($C$12:$V$12=O$12)*($C$179:$V$179)*$C$3:$V$3)))</f>
        <v/>
      </c>
      <c r="P914" s="62">
        <f>IF(P$15&lt;=1,0,SUMPRODUCT(MAX(($C$12:$V$12=P$12)*($C$179:$V$179)*$C$3:$V$3)))</f>
        <v/>
      </c>
      <c r="Q914" s="62">
        <f>IF(Q$15&lt;=1,0,SUMPRODUCT(MAX(($C$12:$V$12=Q$12)*($C$179:$V$179)*$C$3:$V$3)))</f>
        <v/>
      </c>
      <c r="R914" s="62">
        <f>IF(R$15&lt;=1,0,SUMPRODUCT(MAX(($C$12:$V$12=R$12)*($C$179:$V$179)*$C$3:$V$3)))</f>
        <v/>
      </c>
      <c r="S914" s="62">
        <f>IF(S$15&lt;=1,0,SUMPRODUCT(MAX(($C$12:$V$12=S$12)*($C$179:$V$179)*$C$3:$V$3)))</f>
        <v/>
      </c>
      <c r="T914" s="62">
        <f>IF(T$15&lt;=1,0,SUMPRODUCT(MAX(($C$12:$V$12=T$12)*($C$179:$V$179)*$C$3:$V$3)))</f>
        <v/>
      </c>
      <c r="U914" s="62">
        <f>IF(U$15&lt;=1,0,SUMPRODUCT(MAX(($C$12:$V$12=U$12)*($C$179:$V$179)*$C$3:$V$3)))</f>
        <v/>
      </c>
      <c r="V914" s="62">
        <f>IF(V$15&lt;=1,0,SUMPRODUCT(MAX(($C$12:$V$12=V$12)*($C$179:$V$179)*$C$3:$V$3)))</f>
        <v/>
      </c>
    </row>
    <row r="915">
      <c r="C915" s="62">
        <f>IF(C$15&lt;=1,0,SUMPRODUCT(MAX(($C$12:$V$12=C$12)*($C$180:$V$180)*$C$3:$V$3)))</f>
        <v/>
      </c>
      <c r="D915" s="62">
        <f>IF(D$15&lt;=1,0,SUMPRODUCT(MAX(($C$12:$V$12=D$12)*($C$180:$V$180)*$C$3:$V$3)))</f>
        <v/>
      </c>
      <c r="E915" s="62">
        <f>IF(E$15&lt;=1,0,SUMPRODUCT(MAX(($C$12:$V$12=E$12)*($C$180:$V$180)*$C$3:$V$3)))</f>
        <v/>
      </c>
      <c r="F915" s="62">
        <f>IF(F$15&lt;=1,0,SUMPRODUCT(MAX(($C$12:$V$12=F$12)*($C$180:$V$180)*$C$3:$V$3)))</f>
        <v/>
      </c>
      <c r="G915" s="62">
        <f>IF(G$15&lt;=1,0,SUMPRODUCT(MAX(($C$12:$V$12=G$12)*($C$180:$V$180)*$C$3:$V$3)))</f>
        <v/>
      </c>
      <c r="H915" s="62">
        <f>IF(H$15&lt;=1,0,SUMPRODUCT(MAX(($C$12:$V$12=H$12)*($C$180:$V$180)*$C$3:$V$3)))</f>
        <v/>
      </c>
      <c r="I915" s="62">
        <f>IF(I$15&lt;=1,0,SUMPRODUCT(MAX(($C$12:$V$12=I$12)*($C$180:$V$180)*$C$3:$V$3)))</f>
        <v/>
      </c>
      <c r="J915" s="62">
        <f>IF(J$15&lt;=1,0,SUMPRODUCT(MAX(($C$12:$V$12=J$12)*($C$180:$V$180)*$C$3:$V$3)))</f>
        <v/>
      </c>
      <c r="K915" s="62">
        <f>IF(K$15&lt;=1,0,SUMPRODUCT(MAX(($C$12:$V$12=K$12)*($C$180:$V$180)*$C$3:$V$3)))</f>
        <v/>
      </c>
      <c r="L915" s="62">
        <f>IF(L$15&lt;=1,0,SUMPRODUCT(MAX(($C$12:$V$12=L$12)*($C$180:$V$180)*$C$3:$V$3)))</f>
        <v/>
      </c>
      <c r="M915" s="62">
        <f>IF(M$15&lt;=1,0,SUMPRODUCT(MAX(($C$12:$V$12=M$12)*($C$180:$V$180)*$C$3:$V$3)))</f>
        <v/>
      </c>
      <c r="N915" s="62">
        <f>IF(N$15&lt;=1,0,SUMPRODUCT(MAX(($C$12:$V$12=N$12)*($C$180:$V$180)*$C$3:$V$3)))</f>
        <v/>
      </c>
      <c r="O915" s="62">
        <f>IF(O$15&lt;=1,0,SUMPRODUCT(MAX(($C$12:$V$12=O$12)*($C$180:$V$180)*$C$3:$V$3)))</f>
        <v/>
      </c>
      <c r="P915" s="62">
        <f>IF(P$15&lt;=1,0,SUMPRODUCT(MAX(($C$12:$V$12=P$12)*($C$180:$V$180)*$C$3:$V$3)))</f>
        <v/>
      </c>
      <c r="Q915" s="62">
        <f>IF(Q$15&lt;=1,0,SUMPRODUCT(MAX(($C$12:$V$12=Q$12)*($C$180:$V$180)*$C$3:$V$3)))</f>
        <v/>
      </c>
      <c r="R915" s="62">
        <f>IF(R$15&lt;=1,0,SUMPRODUCT(MAX(($C$12:$V$12=R$12)*($C$180:$V$180)*$C$3:$V$3)))</f>
        <v/>
      </c>
      <c r="S915" s="62">
        <f>IF(S$15&lt;=1,0,SUMPRODUCT(MAX(($C$12:$V$12=S$12)*($C$180:$V$180)*$C$3:$V$3)))</f>
        <v/>
      </c>
      <c r="T915" s="62">
        <f>IF(T$15&lt;=1,0,SUMPRODUCT(MAX(($C$12:$V$12=T$12)*($C$180:$V$180)*$C$3:$V$3)))</f>
        <v/>
      </c>
      <c r="U915" s="62">
        <f>IF(U$15&lt;=1,0,SUMPRODUCT(MAX(($C$12:$V$12=U$12)*($C$180:$V$180)*$C$3:$V$3)))</f>
        <v/>
      </c>
      <c r="V915" s="62">
        <f>IF(V$15&lt;=1,0,SUMPRODUCT(MAX(($C$12:$V$12=V$12)*($C$180:$V$180)*$C$3:$V$3)))</f>
        <v/>
      </c>
    </row>
    <row r="916">
      <c r="C916" s="62">
        <f>IF(C$15&lt;=1,0,SUMPRODUCT(MAX(($C$12:$V$12=C$12)*($C$181:$V$181)*$C$3:$V$3)))</f>
        <v/>
      </c>
      <c r="D916" s="62">
        <f>IF(D$15&lt;=1,0,SUMPRODUCT(MAX(($C$12:$V$12=D$12)*($C$181:$V$181)*$C$3:$V$3)))</f>
        <v/>
      </c>
      <c r="E916" s="62">
        <f>IF(E$15&lt;=1,0,SUMPRODUCT(MAX(($C$12:$V$12=E$12)*($C$181:$V$181)*$C$3:$V$3)))</f>
        <v/>
      </c>
      <c r="F916" s="62">
        <f>IF(F$15&lt;=1,0,SUMPRODUCT(MAX(($C$12:$V$12=F$12)*($C$181:$V$181)*$C$3:$V$3)))</f>
        <v/>
      </c>
      <c r="G916" s="62">
        <f>IF(G$15&lt;=1,0,SUMPRODUCT(MAX(($C$12:$V$12=G$12)*($C$181:$V$181)*$C$3:$V$3)))</f>
        <v/>
      </c>
      <c r="H916" s="62">
        <f>IF(H$15&lt;=1,0,SUMPRODUCT(MAX(($C$12:$V$12=H$12)*($C$181:$V$181)*$C$3:$V$3)))</f>
        <v/>
      </c>
      <c r="I916" s="62">
        <f>IF(I$15&lt;=1,0,SUMPRODUCT(MAX(($C$12:$V$12=I$12)*($C$181:$V$181)*$C$3:$V$3)))</f>
        <v/>
      </c>
      <c r="J916" s="62">
        <f>IF(J$15&lt;=1,0,SUMPRODUCT(MAX(($C$12:$V$12=J$12)*($C$181:$V$181)*$C$3:$V$3)))</f>
        <v/>
      </c>
      <c r="K916" s="62">
        <f>IF(K$15&lt;=1,0,SUMPRODUCT(MAX(($C$12:$V$12=K$12)*($C$181:$V$181)*$C$3:$V$3)))</f>
        <v/>
      </c>
      <c r="L916" s="62">
        <f>IF(L$15&lt;=1,0,SUMPRODUCT(MAX(($C$12:$V$12=L$12)*($C$181:$V$181)*$C$3:$V$3)))</f>
        <v/>
      </c>
      <c r="M916" s="62">
        <f>IF(M$15&lt;=1,0,SUMPRODUCT(MAX(($C$12:$V$12=M$12)*($C$181:$V$181)*$C$3:$V$3)))</f>
        <v/>
      </c>
      <c r="N916" s="62">
        <f>IF(N$15&lt;=1,0,SUMPRODUCT(MAX(($C$12:$V$12=N$12)*($C$181:$V$181)*$C$3:$V$3)))</f>
        <v/>
      </c>
      <c r="O916" s="62">
        <f>IF(O$15&lt;=1,0,SUMPRODUCT(MAX(($C$12:$V$12=O$12)*($C$181:$V$181)*$C$3:$V$3)))</f>
        <v/>
      </c>
      <c r="P916" s="62">
        <f>IF(P$15&lt;=1,0,SUMPRODUCT(MAX(($C$12:$V$12=P$12)*($C$181:$V$181)*$C$3:$V$3)))</f>
        <v/>
      </c>
      <c r="Q916" s="62">
        <f>IF(Q$15&lt;=1,0,SUMPRODUCT(MAX(($C$12:$V$12=Q$12)*($C$181:$V$181)*$C$3:$V$3)))</f>
        <v/>
      </c>
      <c r="R916" s="62">
        <f>IF(R$15&lt;=1,0,SUMPRODUCT(MAX(($C$12:$V$12=R$12)*($C$181:$V$181)*$C$3:$V$3)))</f>
        <v/>
      </c>
      <c r="S916" s="62">
        <f>IF(S$15&lt;=1,0,SUMPRODUCT(MAX(($C$12:$V$12=S$12)*($C$181:$V$181)*$C$3:$V$3)))</f>
        <v/>
      </c>
      <c r="T916" s="62">
        <f>IF(T$15&lt;=1,0,SUMPRODUCT(MAX(($C$12:$V$12=T$12)*($C$181:$V$181)*$C$3:$V$3)))</f>
        <v/>
      </c>
      <c r="U916" s="62">
        <f>IF(U$15&lt;=1,0,SUMPRODUCT(MAX(($C$12:$V$12=U$12)*($C$181:$V$181)*$C$3:$V$3)))</f>
        <v/>
      </c>
      <c r="V916" s="62">
        <f>IF(V$15&lt;=1,0,SUMPRODUCT(MAX(($C$12:$V$12=V$12)*($C$181:$V$181)*$C$3:$V$3)))</f>
        <v/>
      </c>
    </row>
    <row r="917">
      <c r="C917" s="62">
        <f>IF(C$15&lt;=1,0,SUMPRODUCT(MAX(($C$12:$V$12=C$12)*($C$182:$V$182)*$C$3:$V$3)))</f>
        <v/>
      </c>
      <c r="D917" s="62">
        <f>IF(D$15&lt;=1,0,SUMPRODUCT(MAX(($C$12:$V$12=D$12)*($C$182:$V$182)*$C$3:$V$3)))</f>
        <v/>
      </c>
      <c r="E917" s="62">
        <f>IF(E$15&lt;=1,0,SUMPRODUCT(MAX(($C$12:$V$12=E$12)*($C$182:$V$182)*$C$3:$V$3)))</f>
        <v/>
      </c>
      <c r="F917" s="62">
        <f>IF(F$15&lt;=1,0,SUMPRODUCT(MAX(($C$12:$V$12=F$12)*($C$182:$V$182)*$C$3:$V$3)))</f>
        <v/>
      </c>
      <c r="G917" s="62">
        <f>IF(G$15&lt;=1,0,SUMPRODUCT(MAX(($C$12:$V$12=G$12)*($C$182:$V$182)*$C$3:$V$3)))</f>
        <v/>
      </c>
      <c r="H917" s="62">
        <f>IF(H$15&lt;=1,0,SUMPRODUCT(MAX(($C$12:$V$12=H$12)*($C$182:$V$182)*$C$3:$V$3)))</f>
        <v/>
      </c>
      <c r="I917" s="62">
        <f>IF(I$15&lt;=1,0,SUMPRODUCT(MAX(($C$12:$V$12=I$12)*($C$182:$V$182)*$C$3:$V$3)))</f>
        <v/>
      </c>
      <c r="J917" s="62">
        <f>IF(J$15&lt;=1,0,SUMPRODUCT(MAX(($C$12:$V$12=J$12)*($C$182:$V$182)*$C$3:$V$3)))</f>
        <v/>
      </c>
      <c r="K917" s="62">
        <f>IF(K$15&lt;=1,0,SUMPRODUCT(MAX(($C$12:$V$12=K$12)*($C$182:$V$182)*$C$3:$V$3)))</f>
        <v/>
      </c>
      <c r="L917" s="62">
        <f>IF(L$15&lt;=1,0,SUMPRODUCT(MAX(($C$12:$V$12=L$12)*($C$182:$V$182)*$C$3:$V$3)))</f>
        <v/>
      </c>
      <c r="M917" s="62">
        <f>IF(M$15&lt;=1,0,SUMPRODUCT(MAX(($C$12:$V$12=M$12)*($C$182:$V$182)*$C$3:$V$3)))</f>
        <v/>
      </c>
      <c r="N917" s="62">
        <f>IF(N$15&lt;=1,0,SUMPRODUCT(MAX(($C$12:$V$12=N$12)*($C$182:$V$182)*$C$3:$V$3)))</f>
        <v/>
      </c>
      <c r="O917" s="62">
        <f>IF(O$15&lt;=1,0,SUMPRODUCT(MAX(($C$12:$V$12=O$12)*($C$182:$V$182)*$C$3:$V$3)))</f>
        <v/>
      </c>
      <c r="P917" s="62">
        <f>IF(P$15&lt;=1,0,SUMPRODUCT(MAX(($C$12:$V$12=P$12)*($C$182:$V$182)*$C$3:$V$3)))</f>
        <v/>
      </c>
      <c r="Q917" s="62">
        <f>IF(Q$15&lt;=1,0,SUMPRODUCT(MAX(($C$12:$V$12=Q$12)*($C$182:$V$182)*$C$3:$V$3)))</f>
        <v/>
      </c>
      <c r="R917" s="62">
        <f>IF(R$15&lt;=1,0,SUMPRODUCT(MAX(($C$12:$V$12=R$12)*($C$182:$V$182)*$C$3:$V$3)))</f>
        <v/>
      </c>
      <c r="S917" s="62">
        <f>IF(S$15&lt;=1,0,SUMPRODUCT(MAX(($C$12:$V$12=S$12)*($C$182:$V$182)*$C$3:$V$3)))</f>
        <v/>
      </c>
      <c r="T917" s="62">
        <f>IF(T$15&lt;=1,0,SUMPRODUCT(MAX(($C$12:$V$12=T$12)*($C$182:$V$182)*$C$3:$V$3)))</f>
        <v/>
      </c>
      <c r="U917" s="62">
        <f>IF(U$15&lt;=1,0,SUMPRODUCT(MAX(($C$12:$V$12=U$12)*($C$182:$V$182)*$C$3:$V$3)))</f>
        <v/>
      </c>
      <c r="V917" s="62">
        <f>IF(V$15&lt;=1,0,SUMPRODUCT(MAX(($C$12:$V$12=V$12)*($C$182:$V$182)*$C$3:$V$3)))</f>
        <v/>
      </c>
    </row>
    <row r="918">
      <c r="C918" s="62">
        <f>IF(C$15&lt;=1,0,SUMPRODUCT(MAX(($C$12:$V$12=C$12)*($C$183:$V$183)*$C$3:$V$3)))</f>
        <v/>
      </c>
      <c r="D918" s="62">
        <f>IF(D$15&lt;=1,0,SUMPRODUCT(MAX(($C$12:$V$12=D$12)*($C$183:$V$183)*$C$3:$V$3)))</f>
        <v/>
      </c>
      <c r="E918" s="62">
        <f>IF(E$15&lt;=1,0,SUMPRODUCT(MAX(($C$12:$V$12=E$12)*($C$183:$V$183)*$C$3:$V$3)))</f>
        <v/>
      </c>
      <c r="F918" s="62">
        <f>IF(F$15&lt;=1,0,SUMPRODUCT(MAX(($C$12:$V$12=F$12)*($C$183:$V$183)*$C$3:$V$3)))</f>
        <v/>
      </c>
      <c r="G918" s="62">
        <f>IF(G$15&lt;=1,0,SUMPRODUCT(MAX(($C$12:$V$12=G$12)*($C$183:$V$183)*$C$3:$V$3)))</f>
        <v/>
      </c>
      <c r="H918" s="62">
        <f>IF(H$15&lt;=1,0,SUMPRODUCT(MAX(($C$12:$V$12=H$12)*($C$183:$V$183)*$C$3:$V$3)))</f>
        <v/>
      </c>
      <c r="I918" s="62">
        <f>IF(I$15&lt;=1,0,SUMPRODUCT(MAX(($C$12:$V$12=I$12)*($C$183:$V$183)*$C$3:$V$3)))</f>
        <v/>
      </c>
      <c r="J918" s="62">
        <f>IF(J$15&lt;=1,0,SUMPRODUCT(MAX(($C$12:$V$12=J$12)*($C$183:$V$183)*$C$3:$V$3)))</f>
        <v/>
      </c>
      <c r="K918" s="62">
        <f>IF(K$15&lt;=1,0,SUMPRODUCT(MAX(($C$12:$V$12=K$12)*($C$183:$V$183)*$C$3:$V$3)))</f>
        <v/>
      </c>
      <c r="L918" s="62">
        <f>IF(L$15&lt;=1,0,SUMPRODUCT(MAX(($C$12:$V$12=L$12)*($C$183:$V$183)*$C$3:$V$3)))</f>
        <v/>
      </c>
      <c r="M918" s="62">
        <f>IF(M$15&lt;=1,0,SUMPRODUCT(MAX(($C$12:$V$12=M$12)*($C$183:$V$183)*$C$3:$V$3)))</f>
        <v/>
      </c>
      <c r="N918" s="62">
        <f>IF(N$15&lt;=1,0,SUMPRODUCT(MAX(($C$12:$V$12=N$12)*($C$183:$V$183)*$C$3:$V$3)))</f>
        <v/>
      </c>
      <c r="O918" s="62">
        <f>IF(O$15&lt;=1,0,SUMPRODUCT(MAX(($C$12:$V$12=O$12)*($C$183:$V$183)*$C$3:$V$3)))</f>
        <v/>
      </c>
      <c r="P918" s="62">
        <f>IF(P$15&lt;=1,0,SUMPRODUCT(MAX(($C$12:$V$12=P$12)*($C$183:$V$183)*$C$3:$V$3)))</f>
        <v/>
      </c>
      <c r="Q918" s="62">
        <f>IF(Q$15&lt;=1,0,SUMPRODUCT(MAX(($C$12:$V$12=Q$12)*($C$183:$V$183)*$C$3:$V$3)))</f>
        <v/>
      </c>
      <c r="R918" s="62">
        <f>IF(R$15&lt;=1,0,SUMPRODUCT(MAX(($C$12:$V$12=R$12)*($C$183:$V$183)*$C$3:$V$3)))</f>
        <v/>
      </c>
      <c r="S918" s="62">
        <f>IF(S$15&lt;=1,0,SUMPRODUCT(MAX(($C$12:$V$12=S$12)*($C$183:$V$183)*$C$3:$V$3)))</f>
        <v/>
      </c>
      <c r="T918" s="62">
        <f>IF(T$15&lt;=1,0,SUMPRODUCT(MAX(($C$12:$V$12=T$12)*($C$183:$V$183)*$C$3:$V$3)))</f>
        <v/>
      </c>
      <c r="U918" s="62">
        <f>IF(U$15&lt;=1,0,SUMPRODUCT(MAX(($C$12:$V$12=U$12)*($C$183:$V$183)*$C$3:$V$3)))</f>
        <v/>
      </c>
      <c r="V918" s="62">
        <f>IF(V$15&lt;=1,0,SUMPRODUCT(MAX(($C$12:$V$12=V$12)*($C$183:$V$183)*$C$3:$V$3)))</f>
        <v/>
      </c>
    </row>
    <row r="919">
      <c r="C919" s="62">
        <f>IF(C$15&lt;=1,0,SUMPRODUCT(MAX(($C$12:$V$12=C$12)*($C$184:$V$184)*$C$3:$V$3)))</f>
        <v/>
      </c>
      <c r="D919" s="62">
        <f>IF(D$15&lt;=1,0,SUMPRODUCT(MAX(($C$12:$V$12=D$12)*($C$184:$V$184)*$C$3:$V$3)))</f>
        <v/>
      </c>
      <c r="E919" s="62">
        <f>IF(E$15&lt;=1,0,SUMPRODUCT(MAX(($C$12:$V$12=E$12)*($C$184:$V$184)*$C$3:$V$3)))</f>
        <v/>
      </c>
      <c r="F919" s="62">
        <f>IF(F$15&lt;=1,0,SUMPRODUCT(MAX(($C$12:$V$12=F$12)*($C$184:$V$184)*$C$3:$V$3)))</f>
        <v/>
      </c>
      <c r="G919" s="62">
        <f>IF(G$15&lt;=1,0,SUMPRODUCT(MAX(($C$12:$V$12=G$12)*($C$184:$V$184)*$C$3:$V$3)))</f>
        <v/>
      </c>
      <c r="H919" s="62">
        <f>IF(H$15&lt;=1,0,SUMPRODUCT(MAX(($C$12:$V$12=H$12)*($C$184:$V$184)*$C$3:$V$3)))</f>
        <v/>
      </c>
      <c r="I919" s="62">
        <f>IF(I$15&lt;=1,0,SUMPRODUCT(MAX(($C$12:$V$12=I$12)*($C$184:$V$184)*$C$3:$V$3)))</f>
        <v/>
      </c>
      <c r="J919" s="62">
        <f>IF(J$15&lt;=1,0,SUMPRODUCT(MAX(($C$12:$V$12=J$12)*($C$184:$V$184)*$C$3:$V$3)))</f>
        <v/>
      </c>
      <c r="K919" s="62">
        <f>IF(K$15&lt;=1,0,SUMPRODUCT(MAX(($C$12:$V$12=K$12)*($C$184:$V$184)*$C$3:$V$3)))</f>
        <v/>
      </c>
      <c r="L919" s="62">
        <f>IF(L$15&lt;=1,0,SUMPRODUCT(MAX(($C$12:$V$12=L$12)*($C$184:$V$184)*$C$3:$V$3)))</f>
        <v/>
      </c>
      <c r="M919" s="62">
        <f>IF(M$15&lt;=1,0,SUMPRODUCT(MAX(($C$12:$V$12=M$12)*($C$184:$V$184)*$C$3:$V$3)))</f>
        <v/>
      </c>
      <c r="N919" s="62">
        <f>IF(N$15&lt;=1,0,SUMPRODUCT(MAX(($C$12:$V$12=N$12)*($C$184:$V$184)*$C$3:$V$3)))</f>
        <v/>
      </c>
      <c r="O919" s="62">
        <f>IF(O$15&lt;=1,0,SUMPRODUCT(MAX(($C$12:$V$12=O$12)*($C$184:$V$184)*$C$3:$V$3)))</f>
        <v/>
      </c>
      <c r="P919" s="62">
        <f>IF(P$15&lt;=1,0,SUMPRODUCT(MAX(($C$12:$V$12=P$12)*($C$184:$V$184)*$C$3:$V$3)))</f>
        <v/>
      </c>
      <c r="Q919" s="62">
        <f>IF(Q$15&lt;=1,0,SUMPRODUCT(MAX(($C$12:$V$12=Q$12)*($C$184:$V$184)*$C$3:$V$3)))</f>
        <v/>
      </c>
      <c r="R919" s="62">
        <f>IF(R$15&lt;=1,0,SUMPRODUCT(MAX(($C$12:$V$12=R$12)*($C$184:$V$184)*$C$3:$V$3)))</f>
        <v/>
      </c>
      <c r="S919" s="62">
        <f>IF(S$15&lt;=1,0,SUMPRODUCT(MAX(($C$12:$V$12=S$12)*($C$184:$V$184)*$C$3:$V$3)))</f>
        <v/>
      </c>
      <c r="T919" s="62">
        <f>IF(T$15&lt;=1,0,SUMPRODUCT(MAX(($C$12:$V$12=T$12)*($C$184:$V$184)*$C$3:$V$3)))</f>
        <v/>
      </c>
      <c r="U919" s="62">
        <f>IF(U$15&lt;=1,0,SUMPRODUCT(MAX(($C$12:$V$12=U$12)*($C$184:$V$184)*$C$3:$V$3)))</f>
        <v/>
      </c>
      <c r="V919" s="62">
        <f>IF(V$15&lt;=1,0,SUMPRODUCT(MAX(($C$12:$V$12=V$12)*($C$184:$V$184)*$C$3:$V$3)))</f>
        <v/>
      </c>
    </row>
    <row r="920">
      <c r="C920" s="62">
        <f>IF(C$15&lt;=1,0,SUMPRODUCT(MAX(($C$12:$V$12=C$12)*($C$185:$V$185)*$C$3:$V$3)))</f>
        <v/>
      </c>
      <c r="D920" s="62">
        <f>IF(D$15&lt;=1,0,SUMPRODUCT(MAX(($C$12:$V$12=D$12)*($C$185:$V$185)*$C$3:$V$3)))</f>
        <v/>
      </c>
      <c r="E920" s="62">
        <f>IF(E$15&lt;=1,0,SUMPRODUCT(MAX(($C$12:$V$12=E$12)*($C$185:$V$185)*$C$3:$V$3)))</f>
        <v/>
      </c>
      <c r="F920" s="62">
        <f>IF(F$15&lt;=1,0,SUMPRODUCT(MAX(($C$12:$V$12=F$12)*($C$185:$V$185)*$C$3:$V$3)))</f>
        <v/>
      </c>
      <c r="G920" s="62">
        <f>IF(G$15&lt;=1,0,SUMPRODUCT(MAX(($C$12:$V$12=G$12)*($C$185:$V$185)*$C$3:$V$3)))</f>
        <v/>
      </c>
      <c r="H920" s="62">
        <f>IF(H$15&lt;=1,0,SUMPRODUCT(MAX(($C$12:$V$12=H$12)*($C$185:$V$185)*$C$3:$V$3)))</f>
        <v/>
      </c>
      <c r="I920" s="62">
        <f>IF(I$15&lt;=1,0,SUMPRODUCT(MAX(($C$12:$V$12=I$12)*($C$185:$V$185)*$C$3:$V$3)))</f>
        <v/>
      </c>
      <c r="J920" s="62">
        <f>IF(J$15&lt;=1,0,SUMPRODUCT(MAX(($C$12:$V$12=J$12)*($C$185:$V$185)*$C$3:$V$3)))</f>
        <v/>
      </c>
      <c r="K920" s="62">
        <f>IF(K$15&lt;=1,0,SUMPRODUCT(MAX(($C$12:$V$12=K$12)*($C$185:$V$185)*$C$3:$V$3)))</f>
        <v/>
      </c>
      <c r="L920" s="62">
        <f>IF(L$15&lt;=1,0,SUMPRODUCT(MAX(($C$12:$V$12=L$12)*($C$185:$V$185)*$C$3:$V$3)))</f>
        <v/>
      </c>
      <c r="M920" s="62">
        <f>IF(M$15&lt;=1,0,SUMPRODUCT(MAX(($C$12:$V$12=M$12)*($C$185:$V$185)*$C$3:$V$3)))</f>
        <v/>
      </c>
      <c r="N920" s="62">
        <f>IF(N$15&lt;=1,0,SUMPRODUCT(MAX(($C$12:$V$12=N$12)*($C$185:$V$185)*$C$3:$V$3)))</f>
        <v/>
      </c>
      <c r="O920" s="62">
        <f>IF(O$15&lt;=1,0,SUMPRODUCT(MAX(($C$12:$V$12=O$12)*($C$185:$V$185)*$C$3:$V$3)))</f>
        <v/>
      </c>
      <c r="P920" s="62">
        <f>IF(P$15&lt;=1,0,SUMPRODUCT(MAX(($C$12:$V$12=P$12)*($C$185:$V$185)*$C$3:$V$3)))</f>
        <v/>
      </c>
      <c r="Q920" s="62">
        <f>IF(Q$15&lt;=1,0,SUMPRODUCT(MAX(($C$12:$V$12=Q$12)*($C$185:$V$185)*$C$3:$V$3)))</f>
        <v/>
      </c>
      <c r="R920" s="62">
        <f>IF(R$15&lt;=1,0,SUMPRODUCT(MAX(($C$12:$V$12=R$12)*($C$185:$V$185)*$C$3:$V$3)))</f>
        <v/>
      </c>
      <c r="S920" s="62">
        <f>IF(S$15&lt;=1,0,SUMPRODUCT(MAX(($C$12:$V$12=S$12)*($C$185:$V$185)*$C$3:$V$3)))</f>
        <v/>
      </c>
      <c r="T920" s="62">
        <f>IF(T$15&lt;=1,0,SUMPRODUCT(MAX(($C$12:$V$12=T$12)*($C$185:$V$185)*$C$3:$V$3)))</f>
        <v/>
      </c>
      <c r="U920" s="62">
        <f>IF(U$15&lt;=1,0,SUMPRODUCT(MAX(($C$12:$V$12=U$12)*($C$185:$V$185)*$C$3:$V$3)))</f>
        <v/>
      </c>
      <c r="V920" s="62">
        <f>IF(V$15&lt;=1,0,SUMPRODUCT(MAX(($C$12:$V$12=V$12)*($C$185:$V$185)*$C$3:$V$3)))</f>
        <v/>
      </c>
    </row>
    <row r="921">
      <c r="C921" s="62">
        <f>IF(C$15&lt;=1,0,SUMPRODUCT(MAX(($C$12:$V$12=C$12)*($C$186:$V$186)*$C$3:$V$3)))</f>
        <v/>
      </c>
      <c r="D921" s="62">
        <f>IF(D$15&lt;=1,0,SUMPRODUCT(MAX(($C$12:$V$12=D$12)*($C$186:$V$186)*$C$3:$V$3)))</f>
        <v/>
      </c>
      <c r="E921" s="62">
        <f>IF(E$15&lt;=1,0,SUMPRODUCT(MAX(($C$12:$V$12=E$12)*($C$186:$V$186)*$C$3:$V$3)))</f>
        <v/>
      </c>
      <c r="F921" s="62">
        <f>IF(F$15&lt;=1,0,SUMPRODUCT(MAX(($C$12:$V$12=F$12)*($C$186:$V$186)*$C$3:$V$3)))</f>
        <v/>
      </c>
      <c r="G921" s="62">
        <f>IF(G$15&lt;=1,0,SUMPRODUCT(MAX(($C$12:$V$12=G$12)*($C$186:$V$186)*$C$3:$V$3)))</f>
        <v/>
      </c>
      <c r="H921" s="62">
        <f>IF(H$15&lt;=1,0,SUMPRODUCT(MAX(($C$12:$V$12=H$12)*($C$186:$V$186)*$C$3:$V$3)))</f>
        <v/>
      </c>
      <c r="I921" s="62">
        <f>IF(I$15&lt;=1,0,SUMPRODUCT(MAX(($C$12:$V$12=I$12)*($C$186:$V$186)*$C$3:$V$3)))</f>
        <v/>
      </c>
      <c r="J921" s="62">
        <f>IF(J$15&lt;=1,0,SUMPRODUCT(MAX(($C$12:$V$12=J$12)*($C$186:$V$186)*$C$3:$V$3)))</f>
        <v/>
      </c>
      <c r="K921" s="62">
        <f>IF(K$15&lt;=1,0,SUMPRODUCT(MAX(($C$12:$V$12=K$12)*($C$186:$V$186)*$C$3:$V$3)))</f>
        <v/>
      </c>
      <c r="L921" s="62">
        <f>IF(L$15&lt;=1,0,SUMPRODUCT(MAX(($C$12:$V$12=L$12)*($C$186:$V$186)*$C$3:$V$3)))</f>
        <v/>
      </c>
      <c r="M921" s="62">
        <f>IF(M$15&lt;=1,0,SUMPRODUCT(MAX(($C$12:$V$12=M$12)*($C$186:$V$186)*$C$3:$V$3)))</f>
        <v/>
      </c>
      <c r="N921" s="62">
        <f>IF(N$15&lt;=1,0,SUMPRODUCT(MAX(($C$12:$V$12=N$12)*($C$186:$V$186)*$C$3:$V$3)))</f>
        <v/>
      </c>
      <c r="O921" s="62">
        <f>IF(O$15&lt;=1,0,SUMPRODUCT(MAX(($C$12:$V$12=O$12)*($C$186:$V$186)*$C$3:$V$3)))</f>
        <v/>
      </c>
      <c r="P921" s="62">
        <f>IF(P$15&lt;=1,0,SUMPRODUCT(MAX(($C$12:$V$12=P$12)*($C$186:$V$186)*$C$3:$V$3)))</f>
        <v/>
      </c>
      <c r="Q921" s="62">
        <f>IF(Q$15&lt;=1,0,SUMPRODUCT(MAX(($C$12:$V$12=Q$12)*($C$186:$V$186)*$C$3:$V$3)))</f>
        <v/>
      </c>
      <c r="R921" s="62">
        <f>IF(R$15&lt;=1,0,SUMPRODUCT(MAX(($C$12:$V$12=R$12)*($C$186:$V$186)*$C$3:$V$3)))</f>
        <v/>
      </c>
      <c r="S921" s="62">
        <f>IF(S$15&lt;=1,0,SUMPRODUCT(MAX(($C$12:$V$12=S$12)*($C$186:$V$186)*$C$3:$V$3)))</f>
        <v/>
      </c>
      <c r="T921" s="62">
        <f>IF(T$15&lt;=1,0,SUMPRODUCT(MAX(($C$12:$V$12=T$12)*($C$186:$V$186)*$C$3:$V$3)))</f>
        <v/>
      </c>
      <c r="U921" s="62">
        <f>IF(U$15&lt;=1,0,SUMPRODUCT(MAX(($C$12:$V$12=U$12)*($C$186:$V$186)*$C$3:$V$3)))</f>
        <v/>
      </c>
      <c r="V921" s="62">
        <f>IF(V$15&lt;=1,0,SUMPRODUCT(MAX(($C$12:$V$12=V$12)*($C$186:$V$186)*$C$3:$V$3)))</f>
        <v/>
      </c>
    </row>
    <row r="922">
      <c r="C922" s="62">
        <f>IF(C$15&lt;=1,0,SUMPRODUCT(MAX(($C$12:$V$12=C$12)*($C$187:$V$187)*$C$3:$V$3)))</f>
        <v/>
      </c>
      <c r="D922" s="62">
        <f>IF(D$15&lt;=1,0,SUMPRODUCT(MAX(($C$12:$V$12=D$12)*($C$187:$V$187)*$C$3:$V$3)))</f>
        <v/>
      </c>
      <c r="E922" s="62">
        <f>IF(E$15&lt;=1,0,SUMPRODUCT(MAX(($C$12:$V$12=E$12)*($C$187:$V$187)*$C$3:$V$3)))</f>
        <v/>
      </c>
      <c r="F922" s="62">
        <f>IF(F$15&lt;=1,0,SUMPRODUCT(MAX(($C$12:$V$12=F$12)*($C$187:$V$187)*$C$3:$V$3)))</f>
        <v/>
      </c>
      <c r="G922" s="62">
        <f>IF(G$15&lt;=1,0,SUMPRODUCT(MAX(($C$12:$V$12=G$12)*($C$187:$V$187)*$C$3:$V$3)))</f>
        <v/>
      </c>
      <c r="H922" s="62">
        <f>IF(H$15&lt;=1,0,SUMPRODUCT(MAX(($C$12:$V$12=H$12)*($C$187:$V$187)*$C$3:$V$3)))</f>
        <v/>
      </c>
      <c r="I922" s="62">
        <f>IF(I$15&lt;=1,0,SUMPRODUCT(MAX(($C$12:$V$12=I$12)*($C$187:$V$187)*$C$3:$V$3)))</f>
        <v/>
      </c>
      <c r="J922" s="62">
        <f>IF(J$15&lt;=1,0,SUMPRODUCT(MAX(($C$12:$V$12=J$12)*($C$187:$V$187)*$C$3:$V$3)))</f>
        <v/>
      </c>
      <c r="K922" s="62">
        <f>IF(K$15&lt;=1,0,SUMPRODUCT(MAX(($C$12:$V$12=K$12)*($C$187:$V$187)*$C$3:$V$3)))</f>
        <v/>
      </c>
      <c r="L922" s="62">
        <f>IF(L$15&lt;=1,0,SUMPRODUCT(MAX(($C$12:$V$12=L$12)*($C$187:$V$187)*$C$3:$V$3)))</f>
        <v/>
      </c>
      <c r="M922" s="62">
        <f>IF(M$15&lt;=1,0,SUMPRODUCT(MAX(($C$12:$V$12=M$12)*($C$187:$V$187)*$C$3:$V$3)))</f>
        <v/>
      </c>
      <c r="N922" s="62">
        <f>IF(N$15&lt;=1,0,SUMPRODUCT(MAX(($C$12:$V$12=N$12)*($C$187:$V$187)*$C$3:$V$3)))</f>
        <v/>
      </c>
      <c r="O922" s="62">
        <f>IF(O$15&lt;=1,0,SUMPRODUCT(MAX(($C$12:$V$12=O$12)*($C$187:$V$187)*$C$3:$V$3)))</f>
        <v/>
      </c>
      <c r="P922" s="62">
        <f>IF(P$15&lt;=1,0,SUMPRODUCT(MAX(($C$12:$V$12=P$12)*($C$187:$V$187)*$C$3:$V$3)))</f>
        <v/>
      </c>
      <c r="Q922" s="62">
        <f>IF(Q$15&lt;=1,0,SUMPRODUCT(MAX(($C$12:$V$12=Q$12)*($C$187:$V$187)*$C$3:$V$3)))</f>
        <v/>
      </c>
      <c r="R922" s="62">
        <f>IF(R$15&lt;=1,0,SUMPRODUCT(MAX(($C$12:$V$12=R$12)*($C$187:$V$187)*$C$3:$V$3)))</f>
        <v/>
      </c>
      <c r="S922" s="62">
        <f>IF(S$15&lt;=1,0,SUMPRODUCT(MAX(($C$12:$V$12=S$12)*($C$187:$V$187)*$C$3:$V$3)))</f>
        <v/>
      </c>
      <c r="T922" s="62">
        <f>IF(T$15&lt;=1,0,SUMPRODUCT(MAX(($C$12:$V$12=T$12)*($C$187:$V$187)*$C$3:$V$3)))</f>
        <v/>
      </c>
      <c r="U922" s="62">
        <f>IF(U$15&lt;=1,0,SUMPRODUCT(MAX(($C$12:$V$12=U$12)*($C$187:$V$187)*$C$3:$V$3)))</f>
        <v/>
      </c>
      <c r="V922" s="62">
        <f>IF(V$15&lt;=1,0,SUMPRODUCT(MAX(($C$12:$V$12=V$12)*($C$187:$V$187)*$C$3:$V$3)))</f>
        <v/>
      </c>
    </row>
    <row r="923">
      <c r="C923" s="62">
        <f>IF(C$15&lt;=1,0,SUMPRODUCT(MAX(($C$12:$V$12=C$12)*($C$188:$V$188)*$C$3:$V$3)))</f>
        <v/>
      </c>
      <c r="D923" s="62">
        <f>IF(D$15&lt;=1,0,SUMPRODUCT(MAX(($C$12:$V$12=D$12)*($C$188:$V$188)*$C$3:$V$3)))</f>
        <v/>
      </c>
      <c r="E923" s="62">
        <f>IF(E$15&lt;=1,0,SUMPRODUCT(MAX(($C$12:$V$12=E$12)*($C$188:$V$188)*$C$3:$V$3)))</f>
        <v/>
      </c>
      <c r="F923" s="62">
        <f>IF(F$15&lt;=1,0,SUMPRODUCT(MAX(($C$12:$V$12=F$12)*($C$188:$V$188)*$C$3:$V$3)))</f>
        <v/>
      </c>
      <c r="G923" s="62">
        <f>IF(G$15&lt;=1,0,SUMPRODUCT(MAX(($C$12:$V$12=G$12)*($C$188:$V$188)*$C$3:$V$3)))</f>
        <v/>
      </c>
      <c r="H923" s="62">
        <f>IF(H$15&lt;=1,0,SUMPRODUCT(MAX(($C$12:$V$12=H$12)*($C$188:$V$188)*$C$3:$V$3)))</f>
        <v/>
      </c>
      <c r="I923" s="62">
        <f>IF(I$15&lt;=1,0,SUMPRODUCT(MAX(($C$12:$V$12=I$12)*($C$188:$V$188)*$C$3:$V$3)))</f>
        <v/>
      </c>
      <c r="J923" s="62">
        <f>IF(J$15&lt;=1,0,SUMPRODUCT(MAX(($C$12:$V$12=J$12)*($C$188:$V$188)*$C$3:$V$3)))</f>
        <v/>
      </c>
      <c r="K923" s="62">
        <f>IF(K$15&lt;=1,0,SUMPRODUCT(MAX(($C$12:$V$12=K$12)*($C$188:$V$188)*$C$3:$V$3)))</f>
        <v/>
      </c>
      <c r="L923" s="62">
        <f>IF(L$15&lt;=1,0,SUMPRODUCT(MAX(($C$12:$V$12=L$12)*($C$188:$V$188)*$C$3:$V$3)))</f>
        <v/>
      </c>
      <c r="M923" s="62">
        <f>IF(M$15&lt;=1,0,SUMPRODUCT(MAX(($C$12:$V$12=M$12)*($C$188:$V$188)*$C$3:$V$3)))</f>
        <v/>
      </c>
      <c r="N923" s="62">
        <f>IF(N$15&lt;=1,0,SUMPRODUCT(MAX(($C$12:$V$12=N$12)*($C$188:$V$188)*$C$3:$V$3)))</f>
        <v/>
      </c>
      <c r="O923" s="62">
        <f>IF(O$15&lt;=1,0,SUMPRODUCT(MAX(($C$12:$V$12=O$12)*($C$188:$V$188)*$C$3:$V$3)))</f>
        <v/>
      </c>
      <c r="P923" s="62">
        <f>IF(P$15&lt;=1,0,SUMPRODUCT(MAX(($C$12:$V$12=P$12)*($C$188:$V$188)*$C$3:$V$3)))</f>
        <v/>
      </c>
      <c r="Q923" s="62">
        <f>IF(Q$15&lt;=1,0,SUMPRODUCT(MAX(($C$12:$V$12=Q$12)*($C$188:$V$188)*$C$3:$V$3)))</f>
        <v/>
      </c>
      <c r="R923" s="62">
        <f>IF(R$15&lt;=1,0,SUMPRODUCT(MAX(($C$12:$V$12=R$12)*($C$188:$V$188)*$C$3:$V$3)))</f>
        <v/>
      </c>
      <c r="S923" s="62">
        <f>IF(S$15&lt;=1,0,SUMPRODUCT(MAX(($C$12:$V$12=S$12)*($C$188:$V$188)*$C$3:$V$3)))</f>
        <v/>
      </c>
      <c r="T923" s="62">
        <f>IF(T$15&lt;=1,0,SUMPRODUCT(MAX(($C$12:$V$12=T$12)*($C$188:$V$188)*$C$3:$V$3)))</f>
        <v/>
      </c>
      <c r="U923" s="62">
        <f>IF(U$15&lt;=1,0,SUMPRODUCT(MAX(($C$12:$V$12=U$12)*($C$188:$V$188)*$C$3:$V$3)))</f>
        <v/>
      </c>
      <c r="V923" s="62">
        <f>IF(V$15&lt;=1,0,SUMPRODUCT(MAX(($C$12:$V$12=V$12)*($C$188:$V$188)*$C$3:$V$3)))</f>
        <v/>
      </c>
    </row>
    <row r="924">
      <c r="C924" s="62">
        <f>IF(C$15&lt;=1,0,SUMPRODUCT(MAX(($C$12:$V$12=C$12)*($C$189:$V$189)*$C$3:$V$3)))</f>
        <v/>
      </c>
      <c r="D924" s="62">
        <f>IF(D$15&lt;=1,0,SUMPRODUCT(MAX(($C$12:$V$12=D$12)*($C$189:$V$189)*$C$3:$V$3)))</f>
        <v/>
      </c>
      <c r="E924" s="62">
        <f>IF(E$15&lt;=1,0,SUMPRODUCT(MAX(($C$12:$V$12=E$12)*($C$189:$V$189)*$C$3:$V$3)))</f>
        <v/>
      </c>
      <c r="F924" s="62">
        <f>IF(F$15&lt;=1,0,SUMPRODUCT(MAX(($C$12:$V$12=F$12)*($C$189:$V$189)*$C$3:$V$3)))</f>
        <v/>
      </c>
      <c r="G924" s="62">
        <f>IF(G$15&lt;=1,0,SUMPRODUCT(MAX(($C$12:$V$12=G$12)*($C$189:$V$189)*$C$3:$V$3)))</f>
        <v/>
      </c>
      <c r="H924" s="62">
        <f>IF(H$15&lt;=1,0,SUMPRODUCT(MAX(($C$12:$V$12=H$12)*($C$189:$V$189)*$C$3:$V$3)))</f>
        <v/>
      </c>
      <c r="I924" s="62">
        <f>IF(I$15&lt;=1,0,SUMPRODUCT(MAX(($C$12:$V$12=I$12)*($C$189:$V$189)*$C$3:$V$3)))</f>
        <v/>
      </c>
      <c r="J924" s="62">
        <f>IF(J$15&lt;=1,0,SUMPRODUCT(MAX(($C$12:$V$12=J$12)*($C$189:$V$189)*$C$3:$V$3)))</f>
        <v/>
      </c>
      <c r="K924" s="62">
        <f>IF(K$15&lt;=1,0,SUMPRODUCT(MAX(($C$12:$V$12=K$12)*($C$189:$V$189)*$C$3:$V$3)))</f>
        <v/>
      </c>
      <c r="L924" s="62">
        <f>IF(L$15&lt;=1,0,SUMPRODUCT(MAX(($C$12:$V$12=L$12)*($C$189:$V$189)*$C$3:$V$3)))</f>
        <v/>
      </c>
      <c r="M924" s="62">
        <f>IF(M$15&lt;=1,0,SUMPRODUCT(MAX(($C$12:$V$12=M$12)*($C$189:$V$189)*$C$3:$V$3)))</f>
        <v/>
      </c>
      <c r="N924" s="62">
        <f>IF(N$15&lt;=1,0,SUMPRODUCT(MAX(($C$12:$V$12=N$12)*($C$189:$V$189)*$C$3:$V$3)))</f>
        <v/>
      </c>
      <c r="O924" s="62">
        <f>IF(O$15&lt;=1,0,SUMPRODUCT(MAX(($C$12:$V$12=O$12)*($C$189:$V$189)*$C$3:$V$3)))</f>
        <v/>
      </c>
      <c r="P924" s="62">
        <f>IF(P$15&lt;=1,0,SUMPRODUCT(MAX(($C$12:$V$12=P$12)*($C$189:$V$189)*$C$3:$V$3)))</f>
        <v/>
      </c>
      <c r="Q924" s="62">
        <f>IF(Q$15&lt;=1,0,SUMPRODUCT(MAX(($C$12:$V$12=Q$12)*($C$189:$V$189)*$C$3:$V$3)))</f>
        <v/>
      </c>
      <c r="R924" s="62">
        <f>IF(R$15&lt;=1,0,SUMPRODUCT(MAX(($C$12:$V$12=R$12)*($C$189:$V$189)*$C$3:$V$3)))</f>
        <v/>
      </c>
      <c r="S924" s="62">
        <f>IF(S$15&lt;=1,0,SUMPRODUCT(MAX(($C$12:$V$12=S$12)*($C$189:$V$189)*$C$3:$V$3)))</f>
        <v/>
      </c>
      <c r="T924" s="62">
        <f>IF(T$15&lt;=1,0,SUMPRODUCT(MAX(($C$12:$V$12=T$12)*($C$189:$V$189)*$C$3:$V$3)))</f>
        <v/>
      </c>
      <c r="U924" s="62">
        <f>IF(U$15&lt;=1,0,SUMPRODUCT(MAX(($C$12:$V$12=U$12)*($C$189:$V$189)*$C$3:$V$3)))</f>
        <v/>
      </c>
      <c r="V924" s="62">
        <f>IF(V$15&lt;=1,0,SUMPRODUCT(MAX(($C$12:$V$12=V$12)*($C$189:$V$189)*$C$3:$V$3)))</f>
        <v/>
      </c>
    </row>
    <row r="925">
      <c r="C925" s="62">
        <f>IF(C$15&lt;=1,0,SUMPRODUCT(MAX(($C$12:$V$12=C$12)*($C$190:$V$190)*$C$3:$V$3)))</f>
        <v/>
      </c>
      <c r="D925" s="62">
        <f>IF(D$15&lt;=1,0,SUMPRODUCT(MAX(($C$12:$V$12=D$12)*($C$190:$V$190)*$C$3:$V$3)))</f>
        <v/>
      </c>
      <c r="E925" s="62">
        <f>IF(E$15&lt;=1,0,SUMPRODUCT(MAX(($C$12:$V$12=E$12)*($C$190:$V$190)*$C$3:$V$3)))</f>
        <v/>
      </c>
      <c r="F925" s="62">
        <f>IF(F$15&lt;=1,0,SUMPRODUCT(MAX(($C$12:$V$12=F$12)*($C$190:$V$190)*$C$3:$V$3)))</f>
        <v/>
      </c>
      <c r="G925" s="62">
        <f>IF(G$15&lt;=1,0,SUMPRODUCT(MAX(($C$12:$V$12=G$12)*($C$190:$V$190)*$C$3:$V$3)))</f>
        <v/>
      </c>
      <c r="H925" s="62">
        <f>IF(H$15&lt;=1,0,SUMPRODUCT(MAX(($C$12:$V$12=H$12)*($C$190:$V$190)*$C$3:$V$3)))</f>
        <v/>
      </c>
      <c r="I925" s="62">
        <f>IF(I$15&lt;=1,0,SUMPRODUCT(MAX(($C$12:$V$12=I$12)*($C$190:$V$190)*$C$3:$V$3)))</f>
        <v/>
      </c>
      <c r="J925" s="62">
        <f>IF(J$15&lt;=1,0,SUMPRODUCT(MAX(($C$12:$V$12=J$12)*($C$190:$V$190)*$C$3:$V$3)))</f>
        <v/>
      </c>
      <c r="K925" s="62">
        <f>IF(K$15&lt;=1,0,SUMPRODUCT(MAX(($C$12:$V$12=K$12)*($C$190:$V$190)*$C$3:$V$3)))</f>
        <v/>
      </c>
      <c r="L925" s="62">
        <f>IF(L$15&lt;=1,0,SUMPRODUCT(MAX(($C$12:$V$12=L$12)*($C$190:$V$190)*$C$3:$V$3)))</f>
        <v/>
      </c>
      <c r="M925" s="62">
        <f>IF(M$15&lt;=1,0,SUMPRODUCT(MAX(($C$12:$V$12=M$12)*($C$190:$V$190)*$C$3:$V$3)))</f>
        <v/>
      </c>
      <c r="N925" s="62">
        <f>IF(N$15&lt;=1,0,SUMPRODUCT(MAX(($C$12:$V$12=N$12)*($C$190:$V$190)*$C$3:$V$3)))</f>
        <v/>
      </c>
      <c r="O925" s="62">
        <f>IF(O$15&lt;=1,0,SUMPRODUCT(MAX(($C$12:$V$12=O$12)*($C$190:$V$190)*$C$3:$V$3)))</f>
        <v/>
      </c>
      <c r="P925" s="62">
        <f>IF(P$15&lt;=1,0,SUMPRODUCT(MAX(($C$12:$V$12=P$12)*($C$190:$V$190)*$C$3:$V$3)))</f>
        <v/>
      </c>
      <c r="Q925" s="62">
        <f>IF(Q$15&lt;=1,0,SUMPRODUCT(MAX(($C$12:$V$12=Q$12)*($C$190:$V$190)*$C$3:$V$3)))</f>
        <v/>
      </c>
      <c r="R925" s="62">
        <f>IF(R$15&lt;=1,0,SUMPRODUCT(MAX(($C$12:$V$12=R$12)*($C$190:$V$190)*$C$3:$V$3)))</f>
        <v/>
      </c>
      <c r="S925" s="62">
        <f>IF(S$15&lt;=1,0,SUMPRODUCT(MAX(($C$12:$V$12=S$12)*($C$190:$V$190)*$C$3:$V$3)))</f>
        <v/>
      </c>
      <c r="T925" s="62">
        <f>IF(T$15&lt;=1,0,SUMPRODUCT(MAX(($C$12:$V$12=T$12)*($C$190:$V$190)*$C$3:$V$3)))</f>
        <v/>
      </c>
      <c r="U925" s="62">
        <f>IF(U$15&lt;=1,0,SUMPRODUCT(MAX(($C$12:$V$12=U$12)*($C$190:$V$190)*$C$3:$V$3)))</f>
        <v/>
      </c>
      <c r="V925" s="62">
        <f>IF(V$15&lt;=1,0,SUMPRODUCT(MAX(($C$12:$V$12=V$12)*($C$190:$V$190)*$C$3:$V$3)))</f>
        <v/>
      </c>
    </row>
    <row r="926">
      <c r="C926" s="62">
        <f>IF(C$15&lt;=1,0,SUMPRODUCT(MAX(($C$12:$V$12=C$12)*($C$191:$V$191)*$C$3:$V$3)))</f>
        <v/>
      </c>
      <c r="D926" s="62">
        <f>IF(D$15&lt;=1,0,SUMPRODUCT(MAX(($C$12:$V$12=D$12)*($C$191:$V$191)*$C$3:$V$3)))</f>
        <v/>
      </c>
      <c r="E926" s="62">
        <f>IF(E$15&lt;=1,0,SUMPRODUCT(MAX(($C$12:$V$12=E$12)*($C$191:$V$191)*$C$3:$V$3)))</f>
        <v/>
      </c>
      <c r="F926" s="62">
        <f>IF(F$15&lt;=1,0,SUMPRODUCT(MAX(($C$12:$V$12=F$12)*($C$191:$V$191)*$C$3:$V$3)))</f>
        <v/>
      </c>
      <c r="G926" s="62">
        <f>IF(G$15&lt;=1,0,SUMPRODUCT(MAX(($C$12:$V$12=G$12)*($C$191:$V$191)*$C$3:$V$3)))</f>
        <v/>
      </c>
      <c r="H926" s="62">
        <f>IF(H$15&lt;=1,0,SUMPRODUCT(MAX(($C$12:$V$12=H$12)*($C$191:$V$191)*$C$3:$V$3)))</f>
        <v/>
      </c>
      <c r="I926" s="62">
        <f>IF(I$15&lt;=1,0,SUMPRODUCT(MAX(($C$12:$V$12=I$12)*($C$191:$V$191)*$C$3:$V$3)))</f>
        <v/>
      </c>
      <c r="J926" s="62">
        <f>IF(J$15&lt;=1,0,SUMPRODUCT(MAX(($C$12:$V$12=J$12)*($C$191:$V$191)*$C$3:$V$3)))</f>
        <v/>
      </c>
      <c r="K926" s="62">
        <f>IF(K$15&lt;=1,0,SUMPRODUCT(MAX(($C$12:$V$12=K$12)*($C$191:$V$191)*$C$3:$V$3)))</f>
        <v/>
      </c>
      <c r="L926" s="62">
        <f>IF(L$15&lt;=1,0,SUMPRODUCT(MAX(($C$12:$V$12=L$12)*($C$191:$V$191)*$C$3:$V$3)))</f>
        <v/>
      </c>
      <c r="M926" s="62">
        <f>IF(M$15&lt;=1,0,SUMPRODUCT(MAX(($C$12:$V$12=M$12)*($C$191:$V$191)*$C$3:$V$3)))</f>
        <v/>
      </c>
      <c r="N926" s="62">
        <f>IF(N$15&lt;=1,0,SUMPRODUCT(MAX(($C$12:$V$12=N$12)*($C$191:$V$191)*$C$3:$V$3)))</f>
        <v/>
      </c>
      <c r="O926" s="62">
        <f>IF(O$15&lt;=1,0,SUMPRODUCT(MAX(($C$12:$V$12=O$12)*($C$191:$V$191)*$C$3:$V$3)))</f>
        <v/>
      </c>
      <c r="P926" s="62">
        <f>IF(P$15&lt;=1,0,SUMPRODUCT(MAX(($C$12:$V$12=P$12)*($C$191:$V$191)*$C$3:$V$3)))</f>
        <v/>
      </c>
      <c r="Q926" s="62">
        <f>IF(Q$15&lt;=1,0,SUMPRODUCT(MAX(($C$12:$V$12=Q$12)*($C$191:$V$191)*$C$3:$V$3)))</f>
        <v/>
      </c>
      <c r="R926" s="62">
        <f>IF(R$15&lt;=1,0,SUMPRODUCT(MAX(($C$12:$V$12=R$12)*($C$191:$V$191)*$C$3:$V$3)))</f>
        <v/>
      </c>
      <c r="S926" s="62">
        <f>IF(S$15&lt;=1,0,SUMPRODUCT(MAX(($C$12:$V$12=S$12)*($C$191:$V$191)*$C$3:$V$3)))</f>
        <v/>
      </c>
      <c r="T926" s="62">
        <f>IF(T$15&lt;=1,0,SUMPRODUCT(MAX(($C$12:$V$12=T$12)*($C$191:$V$191)*$C$3:$V$3)))</f>
        <v/>
      </c>
      <c r="U926" s="62">
        <f>IF(U$15&lt;=1,0,SUMPRODUCT(MAX(($C$12:$V$12=U$12)*($C$191:$V$191)*$C$3:$V$3)))</f>
        <v/>
      </c>
      <c r="V926" s="62">
        <f>IF(V$15&lt;=1,0,SUMPRODUCT(MAX(($C$12:$V$12=V$12)*($C$191:$V$191)*$C$3:$V$3)))</f>
        <v/>
      </c>
    </row>
    <row r="927">
      <c r="C927" s="62">
        <f>IF(C$15&lt;=1,0,SUMPRODUCT(MAX(($C$12:$V$12=C$12)*($C$192:$V$192)*$C$3:$V$3)))</f>
        <v/>
      </c>
      <c r="D927" s="62">
        <f>IF(D$15&lt;=1,0,SUMPRODUCT(MAX(($C$12:$V$12=D$12)*($C$192:$V$192)*$C$3:$V$3)))</f>
        <v/>
      </c>
      <c r="E927" s="62">
        <f>IF(E$15&lt;=1,0,SUMPRODUCT(MAX(($C$12:$V$12=E$12)*($C$192:$V$192)*$C$3:$V$3)))</f>
        <v/>
      </c>
      <c r="F927" s="62">
        <f>IF(F$15&lt;=1,0,SUMPRODUCT(MAX(($C$12:$V$12=F$12)*($C$192:$V$192)*$C$3:$V$3)))</f>
        <v/>
      </c>
      <c r="G927" s="62">
        <f>IF(G$15&lt;=1,0,SUMPRODUCT(MAX(($C$12:$V$12=G$12)*($C$192:$V$192)*$C$3:$V$3)))</f>
        <v/>
      </c>
      <c r="H927" s="62">
        <f>IF(H$15&lt;=1,0,SUMPRODUCT(MAX(($C$12:$V$12=H$12)*($C$192:$V$192)*$C$3:$V$3)))</f>
        <v/>
      </c>
      <c r="I927" s="62">
        <f>IF(I$15&lt;=1,0,SUMPRODUCT(MAX(($C$12:$V$12=I$12)*($C$192:$V$192)*$C$3:$V$3)))</f>
        <v/>
      </c>
      <c r="J927" s="62">
        <f>IF(J$15&lt;=1,0,SUMPRODUCT(MAX(($C$12:$V$12=J$12)*($C$192:$V$192)*$C$3:$V$3)))</f>
        <v/>
      </c>
      <c r="K927" s="62">
        <f>IF(K$15&lt;=1,0,SUMPRODUCT(MAX(($C$12:$V$12=K$12)*($C$192:$V$192)*$C$3:$V$3)))</f>
        <v/>
      </c>
      <c r="L927" s="62">
        <f>IF(L$15&lt;=1,0,SUMPRODUCT(MAX(($C$12:$V$12=L$12)*($C$192:$V$192)*$C$3:$V$3)))</f>
        <v/>
      </c>
      <c r="M927" s="62">
        <f>IF(M$15&lt;=1,0,SUMPRODUCT(MAX(($C$12:$V$12=M$12)*($C$192:$V$192)*$C$3:$V$3)))</f>
        <v/>
      </c>
      <c r="N927" s="62">
        <f>IF(N$15&lt;=1,0,SUMPRODUCT(MAX(($C$12:$V$12=N$12)*($C$192:$V$192)*$C$3:$V$3)))</f>
        <v/>
      </c>
      <c r="O927" s="62">
        <f>IF(O$15&lt;=1,0,SUMPRODUCT(MAX(($C$12:$V$12=O$12)*($C$192:$V$192)*$C$3:$V$3)))</f>
        <v/>
      </c>
      <c r="P927" s="62">
        <f>IF(P$15&lt;=1,0,SUMPRODUCT(MAX(($C$12:$V$12=P$12)*($C$192:$V$192)*$C$3:$V$3)))</f>
        <v/>
      </c>
      <c r="Q927" s="62">
        <f>IF(Q$15&lt;=1,0,SUMPRODUCT(MAX(($C$12:$V$12=Q$12)*($C$192:$V$192)*$C$3:$V$3)))</f>
        <v/>
      </c>
      <c r="R927" s="62">
        <f>IF(R$15&lt;=1,0,SUMPRODUCT(MAX(($C$12:$V$12=R$12)*($C$192:$V$192)*$C$3:$V$3)))</f>
        <v/>
      </c>
      <c r="S927" s="62">
        <f>IF(S$15&lt;=1,0,SUMPRODUCT(MAX(($C$12:$V$12=S$12)*($C$192:$V$192)*$C$3:$V$3)))</f>
        <v/>
      </c>
      <c r="T927" s="62">
        <f>IF(T$15&lt;=1,0,SUMPRODUCT(MAX(($C$12:$V$12=T$12)*($C$192:$V$192)*$C$3:$V$3)))</f>
        <v/>
      </c>
      <c r="U927" s="62">
        <f>IF(U$15&lt;=1,0,SUMPRODUCT(MAX(($C$12:$V$12=U$12)*($C$192:$V$192)*$C$3:$V$3)))</f>
        <v/>
      </c>
      <c r="V927" s="62">
        <f>IF(V$15&lt;=1,0,SUMPRODUCT(MAX(($C$12:$V$12=V$12)*($C$192:$V$192)*$C$3:$V$3)))</f>
        <v/>
      </c>
    </row>
    <row r="928">
      <c r="C928" s="62">
        <f>IF(C$15&lt;=1,0,SUMPRODUCT(MAX(($C$12:$V$12=C$12)*($C$193:$V$193)*$C$3:$V$3)))</f>
        <v/>
      </c>
      <c r="D928" s="62">
        <f>IF(D$15&lt;=1,0,SUMPRODUCT(MAX(($C$12:$V$12=D$12)*($C$193:$V$193)*$C$3:$V$3)))</f>
        <v/>
      </c>
      <c r="E928" s="62">
        <f>IF(E$15&lt;=1,0,SUMPRODUCT(MAX(($C$12:$V$12=E$12)*($C$193:$V$193)*$C$3:$V$3)))</f>
        <v/>
      </c>
      <c r="F928" s="62">
        <f>IF(F$15&lt;=1,0,SUMPRODUCT(MAX(($C$12:$V$12=F$12)*($C$193:$V$193)*$C$3:$V$3)))</f>
        <v/>
      </c>
      <c r="G928" s="62">
        <f>IF(G$15&lt;=1,0,SUMPRODUCT(MAX(($C$12:$V$12=G$12)*($C$193:$V$193)*$C$3:$V$3)))</f>
        <v/>
      </c>
      <c r="H928" s="62">
        <f>IF(H$15&lt;=1,0,SUMPRODUCT(MAX(($C$12:$V$12=H$12)*($C$193:$V$193)*$C$3:$V$3)))</f>
        <v/>
      </c>
      <c r="I928" s="62">
        <f>IF(I$15&lt;=1,0,SUMPRODUCT(MAX(($C$12:$V$12=I$12)*($C$193:$V$193)*$C$3:$V$3)))</f>
        <v/>
      </c>
      <c r="J928" s="62">
        <f>IF(J$15&lt;=1,0,SUMPRODUCT(MAX(($C$12:$V$12=J$12)*($C$193:$V$193)*$C$3:$V$3)))</f>
        <v/>
      </c>
      <c r="K928" s="62">
        <f>IF(K$15&lt;=1,0,SUMPRODUCT(MAX(($C$12:$V$12=K$12)*($C$193:$V$193)*$C$3:$V$3)))</f>
        <v/>
      </c>
      <c r="L928" s="62">
        <f>IF(L$15&lt;=1,0,SUMPRODUCT(MAX(($C$12:$V$12=L$12)*($C$193:$V$193)*$C$3:$V$3)))</f>
        <v/>
      </c>
      <c r="M928" s="62">
        <f>IF(M$15&lt;=1,0,SUMPRODUCT(MAX(($C$12:$V$12=M$12)*($C$193:$V$193)*$C$3:$V$3)))</f>
        <v/>
      </c>
      <c r="N928" s="62">
        <f>IF(N$15&lt;=1,0,SUMPRODUCT(MAX(($C$12:$V$12=N$12)*($C$193:$V$193)*$C$3:$V$3)))</f>
        <v/>
      </c>
      <c r="O928" s="62">
        <f>IF(O$15&lt;=1,0,SUMPRODUCT(MAX(($C$12:$V$12=O$12)*($C$193:$V$193)*$C$3:$V$3)))</f>
        <v/>
      </c>
      <c r="P928" s="62">
        <f>IF(P$15&lt;=1,0,SUMPRODUCT(MAX(($C$12:$V$12=P$12)*($C$193:$V$193)*$C$3:$V$3)))</f>
        <v/>
      </c>
      <c r="Q928" s="62">
        <f>IF(Q$15&lt;=1,0,SUMPRODUCT(MAX(($C$12:$V$12=Q$12)*($C$193:$V$193)*$C$3:$V$3)))</f>
        <v/>
      </c>
      <c r="R928" s="62">
        <f>IF(R$15&lt;=1,0,SUMPRODUCT(MAX(($C$12:$V$12=R$12)*($C$193:$V$193)*$C$3:$V$3)))</f>
        <v/>
      </c>
      <c r="S928" s="62">
        <f>IF(S$15&lt;=1,0,SUMPRODUCT(MAX(($C$12:$V$12=S$12)*($C$193:$V$193)*$C$3:$V$3)))</f>
        <v/>
      </c>
      <c r="T928" s="62">
        <f>IF(T$15&lt;=1,0,SUMPRODUCT(MAX(($C$12:$V$12=T$12)*($C$193:$V$193)*$C$3:$V$3)))</f>
        <v/>
      </c>
      <c r="U928" s="62">
        <f>IF(U$15&lt;=1,0,SUMPRODUCT(MAX(($C$12:$V$12=U$12)*($C$193:$V$193)*$C$3:$V$3)))</f>
        <v/>
      </c>
      <c r="V928" s="62">
        <f>IF(V$15&lt;=1,0,SUMPRODUCT(MAX(($C$12:$V$12=V$12)*($C$193:$V$193)*$C$3:$V$3)))</f>
        <v/>
      </c>
    </row>
    <row r="929">
      <c r="C929" s="62">
        <f>IF(C$15&lt;=1,0,SUMPRODUCT(MAX(($C$12:$V$12=C$12)*($C$194:$V$194)*$C$3:$V$3)))</f>
        <v/>
      </c>
      <c r="D929" s="62">
        <f>IF(D$15&lt;=1,0,SUMPRODUCT(MAX(($C$12:$V$12=D$12)*($C$194:$V$194)*$C$3:$V$3)))</f>
        <v/>
      </c>
      <c r="E929" s="62">
        <f>IF(E$15&lt;=1,0,SUMPRODUCT(MAX(($C$12:$V$12=E$12)*($C$194:$V$194)*$C$3:$V$3)))</f>
        <v/>
      </c>
      <c r="F929" s="62">
        <f>IF(F$15&lt;=1,0,SUMPRODUCT(MAX(($C$12:$V$12=F$12)*($C$194:$V$194)*$C$3:$V$3)))</f>
        <v/>
      </c>
      <c r="G929" s="62">
        <f>IF(G$15&lt;=1,0,SUMPRODUCT(MAX(($C$12:$V$12=G$12)*($C$194:$V$194)*$C$3:$V$3)))</f>
        <v/>
      </c>
      <c r="H929" s="62">
        <f>IF(H$15&lt;=1,0,SUMPRODUCT(MAX(($C$12:$V$12=H$12)*($C$194:$V$194)*$C$3:$V$3)))</f>
        <v/>
      </c>
      <c r="I929" s="62">
        <f>IF(I$15&lt;=1,0,SUMPRODUCT(MAX(($C$12:$V$12=I$12)*($C$194:$V$194)*$C$3:$V$3)))</f>
        <v/>
      </c>
      <c r="J929" s="62">
        <f>IF(J$15&lt;=1,0,SUMPRODUCT(MAX(($C$12:$V$12=J$12)*($C$194:$V$194)*$C$3:$V$3)))</f>
        <v/>
      </c>
      <c r="K929" s="62">
        <f>IF(K$15&lt;=1,0,SUMPRODUCT(MAX(($C$12:$V$12=K$12)*($C$194:$V$194)*$C$3:$V$3)))</f>
        <v/>
      </c>
      <c r="L929" s="62">
        <f>IF(L$15&lt;=1,0,SUMPRODUCT(MAX(($C$12:$V$12=L$12)*($C$194:$V$194)*$C$3:$V$3)))</f>
        <v/>
      </c>
      <c r="M929" s="62">
        <f>IF(M$15&lt;=1,0,SUMPRODUCT(MAX(($C$12:$V$12=M$12)*($C$194:$V$194)*$C$3:$V$3)))</f>
        <v/>
      </c>
      <c r="N929" s="62">
        <f>IF(N$15&lt;=1,0,SUMPRODUCT(MAX(($C$12:$V$12=N$12)*($C$194:$V$194)*$C$3:$V$3)))</f>
        <v/>
      </c>
      <c r="O929" s="62">
        <f>IF(O$15&lt;=1,0,SUMPRODUCT(MAX(($C$12:$V$12=O$12)*($C$194:$V$194)*$C$3:$V$3)))</f>
        <v/>
      </c>
      <c r="P929" s="62">
        <f>IF(P$15&lt;=1,0,SUMPRODUCT(MAX(($C$12:$V$12=P$12)*($C$194:$V$194)*$C$3:$V$3)))</f>
        <v/>
      </c>
      <c r="Q929" s="62">
        <f>IF(Q$15&lt;=1,0,SUMPRODUCT(MAX(($C$12:$V$12=Q$12)*($C$194:$V$194)*$C$3:$V$3)))</f>
        <v/>
      </c>
      <c r="R929" s="62">
        <f>IF(R$15&lt;=1,0,SUMPRODUCT(MAX(($C$12:$V$12=R$12)*($C$194:$V$194)*$C$3:$V$3)))</f>
        <v/>
      </c>
      <c r="S929" s="62">
        <f>IF(S$15&lt;=1,0,SUMPRODUCT(MAX(($C$12:$V$12=S$12)*($C$194:$V$194)*$C$3:$V$3)))</f>
        <v/>
      </c>
      <c r="T929" s="62">
        <f>IF(T$15&lt;=1,0,SUMPRODUCT(MAX(($C$12:$V$12=T$12)*($C$194:$V$194)*$C$3:$V$3)))</f>
        <v/>
      </c>
      <c r="U929" s="62">
        <f>IF(U$15&lt;=1,0,SUMPRODUCT(MAX(($C$12:$V$12=U$12)*($C$194:$V$194)*$C$3:$V$3)))</f>
        <v/>
      </c>
      <c r="V929" s="62">
        <f>IF(V$15&lt;=1,0,SUMPRODUCT(MAX(($C$12:$V$12=V$12)*($C$194:$V$194)*$C$3:$V$3)))</f>
        <v/>
      </c>
    </row>
    <row r="930">
      <c r="C930" s="62">
        <f>IF(C$15&lt;=1,0,SUMPRODUCT(MAX(($C$12:$V$12=C$12)*($C$195:$V$195)*$C$3:$V$3)))</f>
        <v/>
      </c>
      <c r="D930" s="62">
        <f>IF(D$15&lt;=1,0,SUMPRODUCT(MAX(($C$12:$V$12=D$12)*($C$195:$V$195)*$C$3:$V$3)))</f>
        <v/>
      </c>
      <c r="E930" s="62">
        <f>IF(E$15&lt;=1,0,SUMPRODUCT(MAX(($C$12:$V$12=E$12)*($C$195:$V$195)*$C$3:$V$3)))</f>
        <v/>
      </c>
      <c r="F930" s="62">
        <f>IF(F$15&lt;=1,0,SUMPRODUCT(MAX(($C$12:$V$12=F$12)*($C$195:$V$195)*$C$3:$V$3)))</f>
        <v/>
      </c>
      <c r="G930" s="62">
        <f>IF(G$15&lt;=1,0,SUMPRODUCT(MAX(($C$12:$V$12=G$12)*($C$195:$V$195)*$C$3:$V$3)))</f>
        <v/>
      </c>
      <c r="H930" s="62">
        <f>IF(H$15&lt;=1,0,SUMPRODUCT(MAX(($C$12:$V$12=H$12)*($C$195:$V$195)*$C$3:$V$3)))</f>
        <v/>
      </c>
      <c r="I930" s="62">
        <f>IF(I$15&lt;=1,0,SUMPRODUCT(MAX(($C$12:$V$12=I$12)*($C$195:$V$195)*$C$3:$V$3)))</f>
        <v/>
      </c>
      <c r="J930" s="62">
        <f>IF(J$15&lt;=1,0,SUMPRODUCT(MAX(($C$12:$V$12=J$12)*($C$195:$V$195)*$C$3:$V$3)))</f>
        <v/>
      </c>
      <c r="K930" s="62">
        <f>IF(K$15&lt;=1,0,SUMPRODUCT(MAX(($C$12:$V$12=K$12)*($C$195:$V$195)*$C$3:$V$3)))</f>
        <v/>
      </c>
      <c r="L930" s="62">
        <f>IF(L$15&lt;=1,0,SUMPRODUCT(MAX(($C$12:$V$12=L$12)*($C$195:$V$195)*$C$3:$V$3)))</f>
        <v/>
      </c>
      <c r="M930" s="62">
        <f>IF(M$15&lt;=1,0,SUMPRODUCT(MAX(($C$12:$V$12=M$12)*($C$195:$V$195)*$C$3:$V$3)))</f>
        <v/>
      </c>
      <c r="N930" s="62">
        <f>IF(N$15&lt;=1,0,SUMPRODUCT(MAX(($C$12:$V$12=N$12)*($C$195:$V$195)*$C$3:$V$3)))</f>
        <v/>
      </c>
      <c r="O930" s="62">
        <f>IF(O$15&lt;=1,0,SUMPRODUCT(MAX(($C$12:$V$12=O$12)*($C$195:$V$195)*$C$3:$V$3)))</f>
        <v/>
      </c>
      <c r="P930" s="62">
        <f>IF(P$15&lt;=1,0,SUMPRODUCT(MAX(($C$12:$V$12=P$12)*($C$195:$V$195)*$C$3:$V$3)))</f>
        <v/>
      </c>
      <c r="Q930" s="62">
        <f>IF(Q$15&lt;=1,0,SUMPRODUCT(MAX(($C$12:$V$12=Q$12)*($C$195:$V$195)*$C$3:$V$3)))</f>
        <v/>
      </c>
      <c r="R930" s="62">
        <f>IF(R$15&lt;=1,0,SUMPRODUCT(MAX(($C$12:$V$12=R$12)*($C$195:$V$195)*$C$3:$V$3)))</f>
        <v/>
      </c>
      <c r="S930" s="62">
        <f>IF(S$15&lt;=1,0,SUMPRODUCT(MAX(($C$12:$V$12=S$12)*($C$195:$V$195)*$C$3:$V$3)))</f>
        <v/>
      </c>
      <c r="T930" s="62">
        <f>IF(T$15&lt;=1,0,SUMPRODUCT(MAX(($C$12:$V$12=T$12)*($C$195:$V$195)*$C$3:$V$3)))</f>
        <v/>
      </c>
      <c r="U930" s="62">
        <f>IF(U$15&lt;=1,0,SUMPRODUCT(MAX(($C$12:$V$12=U$12)*($C$195:$V$195)*$C$3:$V$3)))</f>
        <v/>
      </c>
      <c r="V930" s="62">
        <f>IF(V$15&lt;=1,0,SUMPRODUCT(MAX(($C$12:$V$12=V$12)*($C$195:$V$195)*$C$3:$V$3)))</f>
        <v/>
      </c>
    </row>
    <row r="931">
      <c r="C931" s="62">
        <f>IF(C$15&lt;=1,0,SUMPRODUCT(MAX(($C$12:$V$12=C$12)*($C$196:$V$196)*$C$3:$V$3)))</f>
        <v/>
      </c>
      <c r="D931" s="62">
        <f>IF(D$15&lt;=1,0,SUMPRODUCT(MAX(($C$12:$V$12=D$12)*($C$196:$V$196)*$C$3:$V$3)))</f>
        <v/>
      </c>
      <c r="E931" s="62">
        <f>IF(E$15&lt;=1,0,SUMPRODUCT(MAX(($C$12:$V$12=E$12)*($C$196:$V$196)*$C$3:$V$3)))</f>
        <v/>
      </c>
      <c r="F931" s="62">
        <f>IF(F$15&lt;=1,0,SUMPRODUCT(MAX(($C$12:$V$12=F$12)*($C$196:$V$196)*$C$3:$V$3)))</f>
        <v/>
      </c>
      <c r="G931" s="62">
        <f>IF(G$15&lt;=1,0,SUMPRODUCT(MAX(($C$12:$V$12=G$12)*($C$196:$V$196)*$C$3:$V$3)))</f>
        <v/>
      </c>
      <c r="H931" s="62">
        <f>IF(H$15&lt;=1,0,SUMPRODUCT(MAX(($C$12:$V$12=H$12)*($C$196:$V$196)*$C$3:$V$3)))</f>
        <v/>
      </c>
      <c r="I931" s="62">
        <f>IF(I$15&lt;=1,0,SUMPRODUCT(MAX(($C$12:$V$12=I$12)*($C$196:$V$196)*$C$3:$V$3)))</f>
        <v/>
      </c>
      <c r="J931" s="62">
        <f>IF(J$15&lt;=1,0,SUMPRODUCT(MAX(($C$12:$V$12=J$12)*($C$196:$V$196)*$C$3:$V$3)))</f>
        <v/>
      </c>
      <c r="K931" s="62">
        <f>IF(K$15&lt;=1,0,SUMPRODUCT(MAX(($C$12:$V$12=K$12)*($C$196:$V$196)*$C$3:$V$3)))</f>
        <v/>
      </c>
      <c r="L931" s="62">
        <f>IF(L$15&lt;=1,0,SUMPRODUCT(MAX(($C$12:$V$12=L$12)*($C$196:$V$196)*$C$3:$V$3)))</f>
        <v/>
      </c>
      <c r="M931" s="62">
        <f>IF(M$15&lt;=1,0,SUMPRODUCT(MAX(($C$12:$V$12=M$12)*($C$196:$V$196)*$C$3:$V$3)))</f>
        <v/>
      </c>
      <c r="N931" s="62">
        <f>IF(N$15&lt;=1,0,SUMPRODUCT(MAX(($C$12:$V$12=N$12)*($C$196:$V$196)*$C$3:$V$3)))</f>
        <v/>
      </c>
      <c r="O931" s="62">
        <f>IF(O$15&lt;=1,0,SUMPRODUCT(MAX(($C$12:$V$12=O$12)*($C$196:$V$196)*$C$3:$V$3)))</f>
        <v/>
      </c>
      <c r="P931" s="62">
        <f>IF(P$15&lt;=1,0,SUMPRODUCT(MAX(($C$12:$V$12=P$12)*($C$196:$V$196)*$C$3:$V$3)))</f>
        <v/>
      </c>
      <c r="Q931" s="62">
        <f>IF(Q$15&lt;=1,0,SUMPRODUCT(MAX(($C$12:$V$12=Q$12)*($C$196:$V$196)*$C$3:$V$3)))</f>
        <v/>
      </c>
      <c r="R931" s="62">
        <f>IF(R$15&lt;=1,0,SUMPRODUCT(MAX(($C$12:$V$12=R$12)*($C$196:$V$196)*$C$3:$V$3)))</f>
        <v/>
      </c>
      <c r="S931" s="62">
        <f>IF(S$15&lt;=1,0,SUMPRODUCT(MAX(($C$12:$V$12=S$12)*($C$196:$V$196)*$C$3:$V$3)))</f>
        <v/>
      </c>
      <c r="T931" s="62">
        <f>IF(T$15&lt;=1,0,SUMPRODUCT(MAX(($C$12:$V$12=T$12)*($C$196:$V$196)*$C$3:$V$3)))</f>
        <v/>
      </c>
      <c r="U931" s="62">
        <f>IF(U$15&lt;=1,0,SUMPRODUCT(MAX(($C$12:$V$12=U$12)*($C$196:$V$196)*$C$3:$V$3)))</f>
        <v/>
      </c>
      <c r="V931" s="62">
        <f>IF(V$15&lt;=1,0,SUMPRODUCT(MAX(($C$12:$V$12=V$12)*($C$196:$V$196)*$C$3:$V$3)))</f>
        <v/>
      </c>
    </row>
    <row r="932">
      <c r="C932" s="62">
        <f>IF(C$15&lt;=1,0,SUMPRODUCT(MAX(($C$12:$V$12=C$12)*($C$197:$V$197)*$C$3:$V$3)))</f>
        <v/>
      </c>
      <c r="D932" s="62">
        <f>IF(D$15&lt;=1,0,SUMPRODUCT(MAX(($C$12:$V$12=D$12)*($C$197:$V$197)*$C$3:$V$3)))</f>
        <v/>
      </c>
      <c r="E932" s="62">
        <f>IF(E$15&lt;=1,0,SUMPRODUCT(MAX(($C$12:$V$12=E$12)*($C$197:$V$197)*$C$3:$V$3)))</f>
        <v/>
      </c>
      <c r="F932" s="62">
        <f>IF(F$15&lt;=1,0,SUMPRODUCT(MAX(($C$12:$V$12=F$12)*($C$197:$V$197)*$C$3:$V$3)))</f>
        <v/>
      </c>
      <c r="G932" s="62">
        <f>IF(G$15&lt;=1,0,SUMPRODUCT(MAX(($C$12:$V$12=G$12)*($C$197:$V$197)*$C$3:$V$3)))</f>
        <v/>
      </c>
      <c r="H932" s="62">
        <f>IF(H$15&lt;=1,0,SUMPRODUCT(MAX(($C$12:$V$12=H$12)*($C$197:$V$197)*$C$3:$V$3)))</f>
        <v/>
      </c>
      <c r="I932" s="62">
        <f>IF(I$15&lt;=1,0,SUMPRODUCT(MAX(($C$12:$V$12=I$12)*($C$197:$V$197)*$C$3:$V$3)))</f>
        <v/>
      </c>
      <c r="J932" s="62">
        <f>IF(J$15&lt;=1,0,SUMPRODUCT(MAX(($C$12:$V$12=J$12)*($C$197:$V$197)*$C$3:$V$3)))</f>
        <v/>
      </c>
      <c r="K932" s="62">
        <f>IF(K$15&lt;=1,0,SUMPRODUCT(MAX(($C$12:$V$12=K$12)*($C$197:$V$197)*$C$3:$V$3)))</f>
        <v/>
      </c>
      <c r="L932" s="62">
        <f>IF(L$15&lt;=1,0,SUMPRODUCT(MAX(($C$12:$V$12=L$12)*($C$197:$V$197)*$C$3:$V$3)))</f>
        <v/>
      </c>
      <c r="M932" s="62">
        <f>IF(M$15&lt;=1,0,SUMPRODUCT(MAX(($C$12:$V$12=M$12)*($C$197:$V$197)*$C$3:$V$3)))</f>
        <v/>
      </c>
      <c r="N932" s="62">
        <f>IF(N$15&lt;=1,0,SUMPRODUCT(MAX(($C$12:$V$12=N$12)*($C$197:$V$197)*$C$3:$V$3)))</f>
        <v/>
      </c>
      <c r="O932" s="62">
        <f>IF(O$15&lt;=1,0,SUMPRODUCT(MAX(($C$12:$V$12=O$12)*($C$197:$V$197)*$C$3:$V$3)))</f>
        <v/>
      </c>
      <c r="P932" s="62">
        <f>IF(P$15&lt;=1,0,SUMPRODUCT(MAX(($C$12:$V$12=P$12)*($C$197:$V$197)*$C$3:$V$3)))</f>
        <v/>
      </c>
      <c r="Q932" s="62">
        <f>IF(Q$15&lt;=1,0,SUMPRODUCT(MAX(($C$12:$V$12=Q$12)*($C$197:$V$197)*$C$3:$V$3)))</f>
        <v/>
      </c>
      <c r="R932" s="62">
        <f>IF(R$15&lt;=1,0,SUMPRODUCT(MAX(($C$12:$V$12=R$12)*($C$197:$V$197)*$C$3:$V$3)))</f>
        <v/>
      </c>
      <c r="S932" s="62">
        <f>IF(S$15&lt;=1,0,SUMPRODUCT(MAX(($C$12:$V$12=S$12)*($C$197:$V$197)*$C$3:$V$3)))</f>
        <v/>
      </c>
      <c r="T932" s="62">
        <f>IF(T$15&lt;=1,0,SUMPRODUCT(MAX(($C$12:$V$12=T$12)*($C$197:$V$197)*$C$3:$V$3)))</f>
        <v/>
      </c>
      <c r="U932" s="62">
        <f>IF(U$15&lt;=1,0,SUMPRODUCT(MAX(($C$12:$V$12=U$12)*($C$197:$V$197)*$C$3:$V$3)))</f>
        <v/>
      </c>
      <c r="V932" s="62">
        <f>IF(V$15&lt;=1,0,SUMPRODUCT(MAX(($C$12:$V$12=V$12)*($C$197:$V$197)*$C$3:$V$3)))</f>
        <v/>
      </c>
    </row>
    <row r="933">
      <c r="C933" s="62">
        <f>IF(C$15&lt;=1,0,SUMPRODUCT(MAX(($C$12:$V$12=C$12)*($C$198:$V$198)*$C$3:$V$3)))</f>
        <v/>
      </c>
      <c r="D933" s="62">
        <f>IF(D$15&lt;=1,0,SUMPRODUCT(MAX(($C$12:$V$12=D$12)*($C$198:$V$198)*$C$3:$V$3)))</f>
        <v/>
      </c>
      <c r="E933" s="62">
        <f>IF(E$15&lt;=1,0,SUMPRODUCT(MAX(($C$12:$V$12=E$12)*($C$198:$V$198)*$C$3:$V$3)))</f>
        <v/>
      </c>
      <c r="F933" s="62">
        <f>IF(F$15&lt;=1,0,SUMPRODUCT(MAX(($C$12:$V$12=F$12)*($C$198:$V$198)*$C$3:$V$3)))</f>
        <v/>
      </c>
      <c r="G933" s="62">
        <f>IF(G$15&lt;=1,0,SUMPRODUCT(MAX(($C$12:$V$12=G$12)*($C$198:$V$198)*$C$3:$V$3)))</f>
        <v/>
      </c>
      <c r="H933" s="62">
        <f>IF(H$15&lt;=1,0,SUMPRODUCT(MAX(($C$12:$V$12=H$12)*($C$198:$V$198)*$C$3:$V$3)))</f>
        <v/>
      </c>
      <c r="I933" s="62">
        <f>IF(I$15&lt;=1,0,SUMPRODUCT(MAX(($C$12:$V$12=I$12)*($C$198:$V$198)*$C$3:$V$3)))</f>
        <v/>
      </c>
      <c r="J933" s="62">
        <f>IF(J$15&lt;=1,0,SUMPRODUCT(MAX(($C$12:$V$12=J$12)*($C$198:$V$198)*$C$3:$V$3)))</f>
        <v/>
      </c>
      <c r="K933" s="62">
        <f>IF(K$15&lt;=1,0,SUMPRODUCT(MAX(($C$12:$V$12=K$12)*($C$198:$V$198)*$C$3:$V$3)))</f>
        <v/>
      </c>
      <c r="L933" s="62">
        <f>IF(L$15&lt;=1,0,SUMPRODUCT(MAX(($C$12:$V$12=L$12)*($C$198:$V$198)*$C$3:$V$3)))</f>
        <v/>
      </c>
      <c r="M933" s="62">
        <f>IF(M$15&lt;=1,0,SUMPRODUCT(MAX(($C$12:$V$12=M$12)*($C$198:$V$198)*$C$3:$V$3)))</f>
        <v/>
      </c>
      <c r="N933" s="62">
        <f>IF(N$15&lt;=1,0,SUMPRODUCT(MAX(($C$12:$V$12=N$12)*($C$198:$V$198)*$C$3:$V$3)))</f>
        <v/>
      </c>
      <c r="O933" s="62">
        <f>IF(O$15&lt;=1,0,SUMPRODUCT(MAX(($C$12:$V$12=O$12)*($C$198:$V$198)*$C$3:$V$3)))</f>
        <v/>
      </c>
      <c r="P933" s="62">
        <f>IF(P$15&lt;=1,0,SUMPRODUCT(MAX(($C$12:$V$12=P$12)*($C$198:$V$198)*$C$3:$V$3)))</f>
        <v/>
      </c>
      <c r="Q933" s="62">
        <f>IF(Q$15&lt;=1,0,SUMPRODUCT(MAX(($C$12:$V$12=Q$12)*($C$198:$V$198)*$C$3:$V$3)))</f>
        <v/>
      </c>
      <c r="R933" s="62">
        <f>IF(R$15&lt;=1,0,SUMPRODUCT(MAX(($C$12:$V$12=R$12)*($C$198:$V$198)*$C$3:$V$3)))</f>
        <v/>
      </c>
      <c r="S933" s="62">
        <f>IF(S$15&lt;=1,0,SUMPRODUCT(MAX(($C$12:$V$12=S$12)*($C$198:$V$198)*$C$3:$V$3)))</f>
        <v/>
      </c>
      <c r="T933" s="62">
        <f>IF(T$15&lt;=1,0,SUMPRODUCT(MAX(($C$12:$V$12=T$12)*($C$198:$V$198)*$C$3:$V$3)))</f>
        <v/>
      </c>
      <c r="U933" s="62">
        <f>IF(U$15&lt;=1,0,SUMPRODUCT(MAX(($C$12:$V$12=U$12)*($C$198:$V$198)*$C$3:$V$3)))</f>
        <v/>
      </c>
      <c r="V933" s="62">
        <f>IF(V$15&lt;=1,0,SUMPRODUCT(MAX(($C$12:$V$12=V$12)*($C$198:$V$198)*$C$3:$V$3)))</f>
        <v/>
      </c>
    </row>
    <row r="934">
      <c r="C934" s="62">
        <f>IF(C$15&lt;=1,0,SUMPRODUCT(MAX(($C$12:$V$12=C$12)*($C$199:$V$199)*$C$3:$V$3)))</f>
        <v/>
      </c>
      <c r="D934" s="62">
        <f>IF(D$15&lt;=1,0,SUMPRODUCT(MAX(($C$12:$V$12=D$12)*($C$199:$V$199)*$C$3:$V$3)))</f>
        <v/>
      </c>
      <c r="E934" s="62">
        <f>IF(E$15&lt;=1,0,SUMPRODUCT(MAX(($C$12:$V$12=E$12)*($C$199:$V$199)*$C$3:$V$3)))</f>
        <v/>
      </c>
      <c r="F934" s="62">
        <f>IF(F$15&lt;=1,0,SUMPRODUCT(MAX(($C$12:$V$12=F$12)*($C$199:$V$199)*$C$3:$V$3)))</f>
        <v/>
      </c>
      <c r="G934" s="62">
        <f>IF(G$15&lt;=1,0,SUMPRODUCT(MAX(($C$12:$V$12=G$12)*($C$199:$V$199)*$C$3:$V$3)))</f>
        <v/>
      </c>
      <c r="H934" s="62">
        <f>IF(H$15&lt;=1,0,SUMPRODUCT(MAX(($C$12:$V$12=H$12)*($C$199:$V$199)*$C$3:$V$3)))</f>
        <v/>
      </c>
      <c r="I934" s="62">
        <f>IF(I$15&lt;=1,0,SUMPRODUCT(MAX(($C$12:$V$12=I$12)*($C$199:$V$199)*$C$3:$V$3)))</f>
        <v/>
      </c>
      <c r="J934" s="62">
        <f>IF(J$15&lt;=1,0,SUMPRODUCT(MAX(($C$12:$V$12=J$12)*($C$199:$V$199)*$C$3:$V$3)))</f>
        <v/>
      </c>
      <c r="K934" s="62">
        <f>IF(K$15&lt;=1,0,SUMPRODUCT(MAX(($C$12:$V$12=K$12)*($C$199:$V$199)*$C$3:$V$3)))</f>
        <v/>
      </c>
      <c r="L934" s="62">
        <f>IF(L$15&lt;=1,0,SUMPRODUCT(MAX(($C$12:$V$12=L$12)*($C$199:$V$199)*$C$3:$V$3)))</f>
        <v/>
      </c>
      <c r="M934" s="62">
        <f>IF(M$15&lt;=1,0,SUMPRODUCT(MAX(($C$12:$V$12=M$12)*($C$199:$V$199)*$C$3:$V$3)))</f>
        <v/>
      </c>
      <c r="N934" s="62">
        <f>IF(N$15&lt;=1,0,SUMPRODUCT(MAX(($C$12:$V$12=N$12)*($C$199:$V$199)*$C$3:$V$3)))</f>
        <v/>
      </c>
      <c r="O934" s="62">
        <f>IF(O$15&lt;=1,0,SUMPRODUCT(MAX(($C$12:$V$12=O$12)*($C$199:$V$199)*$C$3:$V$3)))</f>
        <v/>
      </c>
      <c r="P934" s="62">
        <f>IF(P$15&lt;=1,0,SUMPRODUCT(MAX(($C$12:$V$12=P$12)*($C$199:$V$199)*$C$3:$V$3)))</f>
        <v/>
      </c>
      <c r="Q934" s="62">
        <f>IF(Q$15&lt;=1,0,SUMPRODUCT(MAX(($C$12:$V$12=Q$12)*($C$199:$V$199)*$C$3:$V$3)))</f>
        <v/>
      </c>
      <c r="R934" s="62">
        <f>IF(R$15&lt;=1,0,SUMPRODUCT(MAX(($C$12:$V$12=R$12)*($C$199:$V$199)*$C$3:$V$3)))</f>
        <v/>
      </c>
      <c r="S934" s="62">
        <f>IF(S$15&lt;=1,0,SUMPRODUCT(MAX(($C$12:$V$12=S$12)*($C$199:$V$199)*$C$3:$V$3)))</f>
        <v/>
      </c>
      <c r="T934" s="62">
        <f>IF(T$15&lt;=1,0,SUMPRODUCT(MAX(($C$12:$V$12=T$12)*($C$199:$V$199)*$C$3:$V$3)))</f>
        <v/>
      </c>
      <c r="U934" s="62">
        <f>IF(U$15&lt;=1,0,SUMPRODUCT(MAX(($C$12:$V$12=U$12)*($C$199:$V$199)*$C$3:$V$3)))</f>
        <v/>
      </c>
      <c r="V934" s="62">
        <f>IF(V$15&lt;=1,0,SUMPRODUCT(MAX(($C$12:$V$12=V$12)*($C$199:$V$199)*$C$3:$V$3)))</f>
        <v/>
      </c>
    </row>
    <row r="935">
      <c r="C935" s="62">
        <f>IF(C$15&lt;=1,0,SUMPRODUCT(MAX(($C$12:$V$12=C$12)*($C$200:$V$200)*$C$3:$V$3)))</f>
        <v/>
      </c>
      <c r="D935" s="62">
        <f>IF(D$15&lt;=1,0,SUMPRODUCT(MAX(($C$12:$V$12=D$12)*($C$200:$V$200)*$C$3:$V$3)))</f>
        <v/>
      </c>
      <c r="E935" s="62">
        <f>IF(E$15&lt;=1,0,SUMPRODUCT(MAX(($C$12:$V$12=E$12)*($C$200:$V$200)*$C$3:$V$3)))</f>
        <v/>
      </c>
      <c r="F935" s="62">
        <f>IF(F$15&lt;=1,0,SUMPRODUCT(MAX(($C$12:$V$12=F$12)*($C$200:$V$200)*$C$3:$V$3)))</f>
        <v/>
      </c>
      <c r="G935" s="62">
        <f>IF(G$15&lt;=1,0,SUMPRODUCT(MAX(($C$12:$V$12=G$12)*($C$200:$V$200)*$C$3:$V$3)))</f>
        <v/>
      </c>
      <c r="H935" s="62">
        <f>IF(H$15&lt;=1,0,SUMPRODUCT(MAX(($C$12:$V$12=H$12)*($C$200:$V$200)*$C$3:$V$3)))</f>
        <v/>
      </c>
      <c r="I935" s="62">
        <f>IF(I$15&lt;=1,0,SUMPRODUCT(MAX(($C$12:$V$12=I$12)*($C$200:$V$200)*$C$3:$V$3)))</f>
        <v/>
      </c>
      <c r="J935" s="62">
        <f>IF(J$15&lt;=1,0,SUMPRODUCT(MAX(($C$12:$V$12=J$12)*($C$200:$V$200)*$C$3:$V$3)))</f>
        <v/>
      </c>
      <c r="K935" s="62">
        <f>IF(K$15&lt;=1,0,SUMPRODUCT(MAX(($C$12:$V$12=K$12)*($C$200:$V$200)*$C$3:$V$3)))</f>
        <v/>
      </c>
      <c r="L935" s="62">
        <f>IF(L$15&lt;=1,0,SUMPRODUCT(MAX(($C$12:$V$12=L$12)*($C$200:$V$200)*$C$3:$V$3)))</f>
        <v/>
      </c>
      <c r="M935" s="62">
        <f>IF(M$15&lt;=1,0,SUMPRODUCT(MAX(($C$12:$V$12=M$12)*($C$200:$V$200)*$C$3:$V$3)))</f>
        <v/>
      </c>
      <c r="N935" s="62">
        <f>IF(N$15&lt;=1,0,SUMPRODUCT(MAX(($C$12:$V$12=N$12)*($C$200:$V$200)*$C$3:$V$3)))</f>
        <v/>
      </c>
      <c r="O935" s="62">
        <f>IF(O$15&lt;=1,0,SUMPRODUCT(MAX(($C$12:$V$12=O$12)*($C$200:$V$200)*$C$3:$V$3)))</f>
        <v/>
      </c>
      <c r="P935" s="62">
        <f>IF(P$15&lt;=1,0,SUMPRODUCT(MAX(($C$12:$V$12=P$12)*($C$200:$V$200)*$C$3:$V$3)))</f>
        <v/>
      </c>
      <c r="Q935" s="62">
        <f>IF(Q$15&lt;=1,0,SUMPRODUCT(MAX(($C$12:$V$12=Q$12)*($C$200:$V$200)*$C$3:$V$3)))</f>
        <v/>
      </c>
      <c r="R935" s="62">
        <f>IF(R$15&lt;=1,0,SUMPRODUCT(MAX(($C$12:$V$12=R$12)*($C$200:$V$200)*$C$3:$V$3)))</f>
        <v/>
      </c>
      <c r="S935" s="62">
        <f>IF(S$15&lt;=1,0,SUMPRODUCT(MAX(($C$12:$V$12=S$12)*($C$200:$V$200)*$C$3:$V$3)))</f>
        <v/>
      </c>
      <c r="T935" s="62">
        <f>IF(T$15&lt;=1,0,SUMPRODUCT(MAX(($C$12:$V$12=T$12)*($C$200:$V$200)*$C$3:$V$3)))</f>
        <v/>
      </c>
      <c r="U935" s="62">
        <f>IF(U$15&lt;=1,0,SUMPRODUCT(MAX(($C$12:$V$12=U$12)*($C$200:$V$200)*$C$3:$V$3)))</f>
        <v/>
      </c>
      <c r="V935" s="62">
        <f>IF(V$15&lt;=1,0,SUMPRODUCT(MAX(($C$12:$V$12=V$12)*($C$200:$V$200)*$C$3:$V$3)))</f>
        <v/>
      </c>
    </row>
    <row r="936">
      <c r="C936" s="62">
        <f>IF(C$15&lt;=1,0,SUMPRODUCT(MAX(($C$12:$V$12=C$12)*($C$201:$V$201)*$C$3:$V$3)))</f>
        <v/>
      </c>
      <c r="D936" s="62">
        <f>IF(D$15&lt;=1,0,SUMPRODUCT(MAX(($C$12:$V$12=D$12)*($C$201:$V$201)*$C$3:$V$3)))</f>
        <v/>
      </c>
      <c r="E936" s="62">
        <f>IF(E$15&lt;=1,0,SUMPRODUCT(MAX(($C$12:$V$12=E$12)*($C$201:$V$201)*$C$3:$V$3)))</f>
        <v/>
      </c>
      <c r="F936" s="62">
        <f>IF(F$15&lt;=1,0,SUMPRODUCT(MAX(($C$12:$V$12=F$12)*($C$201:$V$201)*$C$3:$V$3)))</f>
        <v/>
      </c>
      <c r="G936" s="62">
        <f>IF(G$15&lt;=1,0,SUMPRODUCT(MAX(($C$12:$V$12=G$12)*($C$201:$V$201)*$C$3:$V$3)))</f>
        <v/>
      </c>
      <c r="H936" s="62">
        <f>IF(H$15&lt;=1,0,SUMPRODUCT(MAX(($C$12:$V$12=H$12)*($C$201:$V$201)*$C$3:$V$3)))</f>
        <v/>
      </c>
      <c r="I936" s="62">
        <f>IF(I$15&lt;=1,0,SUMPRODUCT(MAX(($C$12:$V$12=I$12)*($C$201:$V$201)*$C$3:$V$3)))</f>
        <v/>
      </c>
      <c r="J936" s="62">
        <f>IF(J$15&lt;=1,0,SUMPRODUCT(MAX(($C$12:$V$12=J$12)*($C$201:$V$201)*$C$3:$V$3)))</f>
        <v/>
      </c>
      <c r="K936" s="62">
        <f>IF(K$15&lt;=1,0,SUMPRODUCT(MAX(($C$12:$V$12=K$12)*($C$201:$V$201)*$C$3:$V$3)))</f>
        <v/>
      </c>
      <c r="L936" s="62">
        <f>IF(L$15&lt;=1,0,SUMPRODUCT(MAX(($C$12:$V$12=L$12)*($C$201:$V$201)*$C$3:$V$3)))</f>
        <v/>
      </c>
      <c r="M936" s="62">
        <f>IF(M$15&lt;=1,0,SUMPRODUCT(MAX(($C$12:$V$12=M$12)*($C$201:$V$201)*$C$3:$V$3)))</f>
        <v/>
      </c>
      <c r="N936" s="62">
        <f>IF(N$15&lt;=1,0,SUMPRODUCT(MAX(($C$12:$V$12=N$12)*($C$201:$V$201)*$C$3:$V$3)))</f>
        <v/>
      </c>
      <c r="O936" s="62">
        <f>IF(O$15&lt;=1,0,SUMPRODUCT(MAX(($C$12:$V$12=O$12)*($C$201:$V$201)*$C$3:$V$3)))</f>
        <v/>
      </c>
      <c r="P936" s="62">
        <f>IF(P$15&lt;=1,0,SUMPRODUCT(MAX(($C$12:$V$12=P$12)*($C$201:$V$201)*$C$3:$V$3)))</f>
        <v/>
      </c>
      <c r="Q936" s="62">
        <f>IF(Q$15&lt;=1,0,SUMPRODUCT(MAX(($C$12:$V$12=Q$12)*($C$201:$V$201)*$C$3:$V$3)))</f>
        <v/>
      </c>
      <c r="R936" s="62">
        <f>IF(R$15&lt;=1,0,SUMPRODUCT(MAX(($C$12:$V$12=R$12)*($C$201:$V$201)*$C$3:$V$3)))</f>
        <v/>
      </c>
      <c r="S936" s="62">
        <f>IF(S$15&lt;=1,0,SUMPRODUCT(MAX(($C$12:$V$12=S$12)*($C$201:$V$201)*$C$3:$V$3)))</f>
        <v/>
      </c>
      <c r="T936" s="62">
        <f>IF(T$15&lt;=1,0,SUMPRODUCT(MAX(($C$12:$V$12=T$12)*($C$201:$V$201)*$C$3:$V$3)))</f>
        <v/>
      </c>
      <c r="U936" s="62">
        <f>IF(U$15&lt;=1,0,SUMPRODUCT(MAX(($C$12:$V$12=U$12)*($C$201:$V$201)*$C$3:$V$3)))</f>
        <v/>
      </c>
      <c r="V936" s="62">
        <f>IF(V$15&lt;=1,0,SUMPRODUCT(MAX(($C$12:$V$12=V$12)*($C$201:$V$201)*$C$3:$V$3)))</f>
        <v/>
      </c>
    </row>
    <row r="937">
      <c r="C937" s="62">
        <f>IF(C$15&lt;=1,0,SUMPRODUCT(MAX(($C$12:$V$12=C$12)*($C$202:$V$202)*$C$3:$V$3)))</f>
        <v/>
      </c>
      <c r="D937" s="62">
        <f>IF(D$15&lt;=1,0,SUMPRODUCT(MAX(($C$12:$V$12=D$12)*($C$202:$V$202)*$C$3:$V$3)))</f>
        <v/>
      </c>
      <c r="E937" s="62">
        <f>IF(E$15&lt;=1,0,SUMPRODUCT(MAX(($C$12:$V$12=E$12)*($C$202:$V$202)*$C$3:$V$3)))</f>
        <v/>
      </c>
      <c r="F937" s="62">
        <f>IF(F$15&lt;=1,0,SUMPRODUCT(MAX(($C$12:$V$12=F$12)*($C$202:$V$202)*$C$3:$V$3)))</f>
        <v/>
      </c>
      <c r="G937" s="62">
        <f>IF(G$15&lt;=1,0,SUMPRODUCT(MAX(($C$12:$V$12=G$12)*($C$202:$V$202)*$C$3:$V$3)))</f>
        <v/>
      </c>
      <c r="H937" s="62">
        <f>IF(H$15&lt;=1,0,SUMPRODUCT(MAX(($C$12:$V$12=H$12)*($C$202:$V$202)*$C$3:$V$3)))</f>
        <v/>
      </c>
      <c r="I937" s="62">
        <f>IF(I$15&lt;=1,0,SUMPRODUCT(MAX(($C$12:$V$12=I$12)*($C$202:$V$202)*$C$3:$V$3)))</f>
        <v/>
      </c>
      <c r="J937" s="62">
        <f>IF(J$15&lt;=1,0,SUMPRODUCT(MAX(($C$12:$V$12=J$12)*($C$202:$V$202)*$C$3:$V$3)))</f>
        <v/>
      </c>
      <c r="K937" s="62">
        <f>IF(K$15&lt;=1,0,SUMPRODUCT(MAX(($C$12:$V$12=K$12)*($C$202:$V$202)*$C$3:$V$3)))</f>
        <v/>
      </c>
      <c r="L937" s="62">
        <f>IF(L$15&lt;=1,0,SUMPRODUCT(MAX(($C$12:$V$12=L$12)*($C$202:$V$202)*$C$3:$V$3)))</f>
        <v/>
      </c>
      <c r="M937" s="62">
        <f>IF(M$15&lt;=1,0,SUMPRODUCT(MAX(($C$12:$V$12=M$12)*($C$202:$V$202)*$C$3:$V$3)))</f>
        <v/>
      </c>
      <c r="N937" s="62">
        <f>IF(N$15&lt;=1,0,SUMPRODUCT(MAX(($C$12:$V$12=N$12)*($C$202:$V$202)*$C$3:$V$3)))</f>
        <v/>
      </c>
      <c r="O937" s="62">
        <f>IF(O$15&lt;=1,0,SUMPRODUCT(MAX(($C$12:$V$12=O$12)*($C$202:$V$202)*$C$3:$V$3)))</f>
        <v/>
      </c>
      <c r="P937" s="62">
        <f>IF(P$15&lt;=1,0,SUMPRODUCT(MAX(($C$12:$V$12=P$12)*($C$202:$V$202)*$C$3:$V$3)))</f>
        <v/>
      </c>
      <c r="Q937" s="62">
        <f>IF(Q$15&lt;=1,0,SUMPRODUCT(MAX(($C$12:$V$12=Q$12)*($C$202:$V$202)*$C$3:$V$3)))</f>
        <v/>
      </c>
      <c r="R937" s="62">
        <f>IF(R$15&lt;=1,0,SUMPRODUCT(MAX(($C$12:$V$12=R$12)*($C$202:$V$202)*$C$3:$V$3)))</f>
        <v/>
      </c>
      <c r="S937" s="62">
        <f>IF(S$15&lt;=1,0,SUMPRODUCT(MAX(($C$12:$V$12=S$12)*($C$202:$V$202)*$C$3:$V$3)))</f>
        <v/>
      </c>
      <c r="T937" s="62">
        <f>IF(T$15&lt;=1,0,SUMPRODUCT(MAX(($C$12:$V$12=T$12)*($C$202:$V$202)*$C$3:$V$3)))</f>
        <v/>
      </c>
      <c r="U937" s="62">
        <f>IF(U$15&lt;=1,0,SUMPRODUCT(MAX(($C$12:$V$12=U$12)*($C$202:$V$202)*$C$3:$V$3)))</f>
        <v/>
      </c>
      <c r="V937" s="62">
        <f>IF(V$15&lt;=1,0,SUMPRODUCT(MAX(($C$12:$V$12=V$12)*($C$202:$V$202)*$C$3:$V$3)))</f>
        <v/>
      </c>
    </row>
    <row r="938">
      <c r="C938" s="62">
        <f>IF(C$15&lt;=1,0,SUMPRODUCT(MAX(($C$12:$V$12=C$12)*($C$203:$V$203)*$C$3:$V$3)))</f>
        <v/>
      </c>
      <c r="D938" s="62">
        <f>IF(D$15&lt;=1,0,SUMPRODUCT(MAX(($C$12:$V$12=D$12)*($C$203:$V$203)*$C$3:$V$3)))</f>
        <v/>
      </c>
      <c r="E938" s="62">
        <f>IF(E$15&lt;=1,0,SUMPRODUCT(MAX(($C$12:$V$12=E$12)*($C$203:$V$203)*$C$3:$V$3)))</f>
        <v/>
      </c>
      <c r="F938" s="62">
        <f>IF(F$15&lt;=1,0,SUMPRODUCT(MAX(($C$12:$V$12=F$12)*($C$203:$V$203)*$C$3:$V$3)))</f>
        <v/>
      </c>
      <c r="G938" s="62">
        <f>IF(G$15&lt;=1,0,SUMPRODUCT(MAX(($C$12:$V$12=G$12)*($C$203:$V$203)*$C$3:$V$3)))</f>
        <v/>
      </c>
      <c r="H938" s="62">
        <f>IF(H$15&lt;=1,0,SUMPRODUCT(MAX(($C$12:$V$12=H$12)*($C$203:$V$203)*$C$3:$V$3)))</f>
        <v/>
      </c>
      <c r="I938" s="62">
        <f>IF(I$15&lt;=1,0,SUMPRODUCT(MAX(($C$12:$V$12=I$12)*($C$203:$V$203)*$C$3:$V$3)))</f>
        <v/>
      </c>
      <c r="J938" s="62">
        <f>IF(J$15&lt;=1,0,SUMPRODUCT(MAX(($C$12:$V$12=J$12)*($C$203:$V$203)*$C$3:$V$3)))</f>
        <v/>
      </c>
      <c r="K938" s="62">
        <f>IF(K$15&lt;=1,0,SUMPRODUCT(MAX(($C$12:$V$12=K$12)*($C$203:$V$203)*$C$3:$V$3)))</f>
        <v/>
      </c>
      <c r="L938" s="62">
        <f>IF(L$15&lt;=1,0,SUMPRODUCT(MAX(($C$12:$V$12=L$12)*($C$203:$V$203)*$C$3:$V$3)))</f>
        <v/>
      </c>
      <c r="M938" s="62">
        <f>IF(M$15&lt;=1,0,SUMPRODUCT(MAX(($C$12:$V$12=M$12)*($C$203:$V$203)*$C$3:$V$3)))</f>
        <v/>
      </c>
      <c r="N938" s="62">
        <f>IF(N$15&lt;=1,0,SUMPRODUCT(MAX(($C$12:$V$12=N$12)*($C$203:$V$203)*$C$3:$V$3)))</f>
        <v/>
      </c>
      <c r="O938" s="62">
        <f>IF(O$15&lt;=1,0,SUMPRODUCT(MAX(($C$12:$V$12=O$12)*($C$203:$V$203)*$C$3:$V$3)))</f>
        <v/>
      </c>
      <c r="P938" s="62">
        <f>IF(P$15&lt;=1,0,SUMPRODUCT(MAX(($C$12:$V$12=P$12)*($C$203:$V$203)*$C$3:$V$3)))</f>
        <v/>
      </c>
      <c r="Q938" s="62">
        <f>IF(Q$15&lt;=1,0,SUMPRODUCT(MAX(($C$12:$V$12=Q$12)*($C$203:$V$203)*$C$3:$V$3)))</f>
        <v/>
      </c>
      <c r="R938" s="62">
        <f>IF(R$15&lt;=1,0,SUMPRODUCT(MAX(($C$12:$V$12=R$12)*($C$203:$V$203)*$C$3:$V$3)))</f>
        <v/>
      </c>
      <c r="S938" s="62">
        <f>IF(S$15&lt;=1,0,SUMPRODUCT(MAX(($C$12:$V$12=S$12)*($C$203:$V$203)*$C$3:$V$3)))</f>
        <v/>
      </c>
      <c r="T938" s="62">
        <f>IF(T$15&lt;=1,0,SUMPRODUCT(MAX(($C$12:$V$12=T$12)*($C$203:$V$203)*$C$3:$V$3)))</f>
        <v/>
      </c>
      <c r="U938" s="62">
        <f>IF(U$15&lt;=1,0,SUMPRODUCT(MAX(($C$12:$V$12=U$12)*($C$203:$V$203)*$C$3:$V$3)))</f>
        <v/>
      </c>
      <c r="V938" s="62">
        <f>IF(V$15&lt;=1,0,SUMPRODUCT(MAX(($C$12:$V$12=V$12)*($C$203:$V$203)*$C$3:$V$3)))</f>
        <v/>
      </c>
    </row>
    <row r="939">
      <c r="C939" s="62">
        <f>IF(C$15&lt;=1,0,SUMPRODUCT(MAX(($C$12:$V$12=C$12)*($C$204:$V$204)*$C$3:$V$3)))</f>
        <v/>
      </c>
      <c r="D939" s="62">
        <f>IF(D$15&lt;=1,0,SUMPRODUCT(MAX(($C$12:$V$12=D$12)*($C$204:$V$204)*$C$3:$V$3)))</f>
        <v/>
      </c>
      <c r="E939" s="62">
        <f>IF(E$15&lt;=1,0,SUMPRODUCT(MAX(($C$12:$V$12=E$12)*($C$204:$V$204)*$C$3:$V$3)))</f>
        <v/>
      </c>
      <c r="F939" s="62">
        <f>IF(F$15&lt;=1,0,SUMPRODUCT(MAX(($C$12:$V$12=F$12)*($C$204:$V$204)*$C$3:$V$3)))</f>
        <v/>
      </c>
      <c r="G939" s="62">
        <f>IF(G$15&lt;=1,0,SUMPRODUCT(MAX(($C$12:$V$12=G$12)*($C$204:$V$204)*$C$3:$V$3)))</f>
        <v/>
      </c>
      <c r="H939" s="62">
        <f>IF(H$15&lt;=1,0,SUMPRODUCT(MAX(($C$12:$V$12=H$12)*($C$204:$V$204)*$C$3:$V$3)))</f>
        <v/>
      </c>
      <c r="I939" s="62">
        <f>IF(I$15&lt;=1,0,SUMPRODUCT(MAX(($C$12:$V$12=I$12)*($C$204:$V$204)*$C$3:$V$3)))</f>
        <v/>
      </c>
      <c r="J939" s="62">
        <f>IF(J$15&lt;=1,0,SUMPRODUCT(MAX(($C$12:$V$12=J$12)*($C$204:$V$204)*$C$3:$V$3)))</f>
        <v/>
      </c>
      <c r="K939" s="62">
        <f>IF(K$15&lt;=1,0,SUMPRODUCT(MAX(($C$12:$V$12=K$12)*($C$204:$V$204)*$C$3:$V$3)))</f>
        <v/>
      </c>
      <c r="L939" s="62">
        <f>IF(L$15&lt;=1,0,SUMPRODUCT(MAX(($C$12:$V$12=L$12)*($C$204:$V$204)*$C$3:$V$3)))</f>
        <v/>
      </c>
      <c r="M939" s="62">
        <f>IF(M$15&lt;=1,0,SUMPRODUCT(MAX(($C$12:$V$12=M$12)*($C$204:$V$204)*$C$3:$V$3)))</f>
        <v/>
      </c>
      <c r="N939" s="62">
        <f>IF(N$15&lt;=1,0,SUMPRODUCT(MAX(($C$12:$V$12=N$12)*($C$204:$V$204)*$C$3:$V$3)))</f>
        <v/>
      </c>
      <c r="O939" s="62">
        <f>IF(O$15&lt;=1,0,SUMPRODUCT(MAX(($C$12:$V$12=O$12)*($C$204:$V$204)*$C$3:$V$3)))</f>
        <v/>
      </c>
      <c r="P939" s="62">
        <f>IF(P$15&lt;=1,0,SUMPRODUCT(MAX(($C$12:$V$12=P$12)*($C$204:$V$204)*$C$3:$V$3)))</f>
        <v/>
      </c>
      <c r="Q939" s="62">
        <f>IF(Q$15&lt;=1,0,SUMPRODUCT(MAX(($C$12:$V$12=Q$12)*($C$204:$V$204)*$C$3:$V$3)))</f>
        <v/>
      </c>
      <c r="R939" s="62">
        <f>IF(R$15&lt;=1,0,SUMPRODUCT(MAX(($C$12:$V$12=R$12)*($C$204:$V$204)*$C$3:$V$3)))</f>
        <v/>
      </c>
      <c r="S939" s="62">
        <f>IF(S$15&lt;=1,0,SUMPRODUCT(MAX(($C$12:$V$12=S$12)*($C$204:$V$204)*$C$3:$V$3)))</f>
        <v/>
      </c>
      <c r="T939" s="62">
        <f>IF(T$15&lt;=1,0,SUMPRODUCT(MAX(($C$12:$V$12=T$12)*($C$204:$V$204)*$C$3:$V$3)))</f>
        <v/>
      </c>
      <c r="U939" s="62">
        <f>IF(U$15&lt;=1,0,SUMPRODUCT(MAX(($C$12:$V$12=U$12)*($C$204:$V$204)*$C$3:$V$3)))</f>
        <v/>
      </c>
      <c r="V939" s="62">
        <f>IF(V$15&lt;=1,0,SUMPRODUCT(MAX(($C$12:$V$12=V$12)*($C$204:$V$204)*$C$3:$V$3)))</f>
        <v/>
      </c>
    </row>
    <row r="940">
      <c r="C940" s="62">
        <f>IF(C$15&lt;=1,0,SUMPRODUCT(MAX(($C$12:$V$12=C$12)*($C$205:$V$205)*$C$3:$V$3)))</f>
        <v/>
      </c>
      <c r="D940" s="62">
        <f>IF(D$15&lt;=1,0,SUMPRODUCT(MAX(($C$12:$V$12=D$12)*($C$205:$V$205)*$C$3:$V$3)))</f>
        <v/>
      </c>
      <c r="E940" s="62">
        <f>IF(E$15&lt;=1,0,SUMPRODUCT(MAX(($C$12:$V$12=E$12)*($C$205:$V$205)*$C$3:$V$3)))</f>
        <v/>
      </c>
      <c r="F940" s="62">
        <f>IF(F$15&lt;=1,0,SUMPRODUCT(MAX(($C$12:$V$12=F$12)*($C$205:$V$205)*$C$3:$V$3)))</f>
        <v/>
      </c>
      <c r="G940" s="62">
        <f>IF(G$15&lt;=1,0,SUMPRODUCT(MAX(($C$12:$V$12=G$12)*($C$205:$V$205)*$C$3:$V$3)))</f>
        <v/>
      </c>
      <c r="H940" s="62">
        <f>IF(H$15&lt;=1,0,SUMPRODUCT(MAX(($C$12:$V$12=H$12)*($C$205:$V$205)*$C$3:$V$3)))</f>
        <v/>
      </c>
      <c r="I940" s="62">
        <f>IF(I$15&lt;=1,0,SUMPRODUCT(MAX(($C$12:$V$12=I$12)*($C$205:$V$205)*$C$3:$V$3)))</f>
        <v/>
      </c>
      <c r="J940" s="62">
        <f>IF(J$15&lt;=1,0,SUMPRODUCT(MAX(($C$12:$V$12=J$12)*($C$205:$V$205)*$C$3:$V$3)))</f>
        <v/>
      </c>
      <c r="K940" s="62">
        <f>IF(K$15&lt;=1,0,SUMPRODUCT(MAX(($C$12:$V$12=K$12)*($C$205:$V$205)*$C$3:$V$3)))</f>
        <v/>
      </c>
      <c r="L940" s="62">
        <f>IF(L$15&lt;=1,0,SUMPRODUCT(MAX(($C$12:$V$12=L$12)*($C$205:$V$205)*$C$3:$V$3)))</f>
        <v/>
      </c>
      <c r="M940" s="62">
        <f>IF(M$15&lt;=1,0,SUMPRODUCT(MAX(($C$12:$V$12=M$12)*($C$205:$V$205)*$C$3:$V$3)))</f>
        <v/>
      </c>
      <c r="N940" s="62">
        <f>IF(N$15&lt;=1,0,SUMPRODUCT(MAX(($C$12:$V$12=N$12)*($C$205:$V$205)*$C$3:$V$3)))</f>
        <v/>
      </c>
      <c r="O940" s="62">
        <f>IF(O$15&lt;=1,0,SUMPRODUCT(MAX(($C$12:$V$12=O$12)*($C$205:$V$205)*$C$3:$V$3)))</f>
        <v/>
      </c>
      <c r="P940" s="62">
        <f>IF(P$15&lt;=1,0,SUMPRODUCT(MAX(($C$12:$V$12=P$12)*($C$205:$V$205)*$C$3:$V$3)))</f>
        <v/>
      </c>
      <c r="Q940" s="62">
        <f>IF(Q$15&lt;=1,0,SUMPRODUCT(MAX(($C$12:$V$12=Q$12)*($C$205:$V$205)*$C$3:$V$3)))</f>
        <v/>
      </c>
      <c r="R940" s="62">
        <f>IF(R$15&lt;=1,0,SUMPRODUCT(MAX(($C$12:$V$12=R$12)*($C$205:$V$205)*$C$3:$V$3)))</f>
        <v/>
      </c>
      <c r="S940" s="62">
        <f>IF(S$15&lt;=1,0,SUMPRODUCT(MAX(($C$12:$V$12=S$12)*($C$205:$V$205)*$C$3:$V$3)))</f>
        <v/>
      </c>
      <c r="T940" s="62">
        <f>IF(T$15&lt;=1,0,SUMPRODUCT(MAX(($C$12:$V$12=T$12)*($C$205:$V$205)*$C$3:$V$3)))</f>
        <v/>
      </c>
      <c r="U940" s="62">
        <f>IF(U$15&lt;=1,0,SUMPRODUCT(MAX(($C$12:$V$12=U$12)*($C$205:$V$205)*$C$3:$V$3)))</f>
        <v/>
      </c>
      <c r="V940" s="62">
        <f>IF(V$15&lt;=1,0,SUMPRODUCT(MAX(($C$12:$V$12=V$12)*($C$205:$V$205)*$C$3:$V$3)))</f>
        <v/>
      </c>
    </row>
    <row r="941">
      <c r="C941" s="62">
        <f>IF(C$15&lt;=1,0,SUMPRODUCT(MAX(($C$12:$V$12=C$12)*($C$206:$V$206)*$C$3:$V$3)))</f>
        <v/>
      </c>
      <c r="D941" s="62">
        <f>IF(D$15&lt;=1,0,SUMPRODUCT(MAX(($C$12:$V$12=D$12)*($C$206:$V$206)*$C$3:$V$3)))</f>
        <v/>
      </c>
      <c r="E941" s="62">
        <f>IF(E$15&lt;=1,0,SUMPRODUCT(MAX(($C$12:$V$12=E$12)*($C$206:$V$206)*$C$3:$V$3)))</f>
        <v/>
      </c>
      <c r="F941" s="62">
        <f>IF(F$15&lt;=1,0,SUMPRODUCT(MAX(($C$12:$V$12=F$12)*($C$206:$V$206)*$C$3:$V$3)))</f>
        <v/>
      </c>
      <c r="G941" s="62">
        <f>IF(G$15&lt;=1,0,SUMPRODUCT(MAX(($C$12:$V$12=G$12)*($C$206:$V$206)*$C$3:$V$3)))</f>
        <v/>
      </c>
      <c r="H941" s="62">
        <f>IF(H$15&lt;=1,0,SUMPRODUCT(MAX(($C$12:$V$12=H$12)*($C$206:$V$206)*$C$3:$V$3)))</f>
        <v/>
      </c>
      <c r="I941" s="62">
        <f>IF(I$15&lt;=1,0,SUMPRODUCT(MAX(($C$12:$V$12=I$12)*($C$206:$V$206)*$C$3:$V$3)))</f>
        <v/>
      </c>
      <c r="J941" s="62">
        <f>IF(J$15&lt;=1,0,SUMPRODUCT(MAX(($C$12:$V$12=J$12)*($C$206:$V$206)*$C$3:$V$3)))</f>
        <v/>
      </c>
      <c r="K941" s="62">
        <f>IF(K$15&lt;=1,0,SUMPRODUCT(MAX(($C$12:$V$12=K$12)*($C$206:$V$206)*$C$3:$V$3)))</f>
        <v/>
      </c>
      <c r="L941" s="62">
        <f>IF(L$15&lt;=1,0,SUMPRODUCT(MAX(($C$12:$V$12=L$12)*($C$206:$V$206)*$C$3:$V$3)))</f>
        <v/>
      </c>
      <c r="M941" s="62">
        <f>IF(M$15&lt;=1,0,SUMPRODUCT(MAX(($C$12:$V$12=M$12)*($C$206:$V$206)*$C$3:$V$3)))</f>
        <v/>
      </c>
      <c r="N941" s="62">
        <f>IF(N$15&lt;=1,0,SUMPRODUCT(MAX(($C$12:$V$12=N$12)*($C$206:$V$206)*$C$3:$V$3)))</f>
        <v/>
      </c>
      <c r="O941" s="62">
        <f>IF(O$15&lt;=1,0,SUMPRODUCT(MAX(($C$12:$V$12=O$12)*($C$206:$V$206)*$C$3:$V$3)))</f>
        <v/>
      </c>
      <c r="P941" s="62">
        <f>IF(P$15&lt;=1,0,SUMPRODUCT(MAX(($C$12:$V$12=P$12)*($C$206:$V$206)*$C$3:$V$3)))</f>
        <v/>
      </c>
      <c r="Q941" s="62">
        <f>IF(Q$15&lt;=1,0,SUMPRODUCT(MAX(($C$12:$V$12=Q$12)*($C$206:$V$206)*$C$3:$V$3)))</f>
        <v/>
      </c>
      <c r="R941" s="62">
        <f>IF(R$15&lt;=1,0,SUMPRODUCT(MAX(($C$12:$V$12=R$12)*($C$206:$V$206)*$C$3:$V$3)))</f>
        <v/>
      </c>
      <c r="S941" s="62">
        <f>IF(S$15&lt;=1,0,SUMPRODUCT(MAX(($C$12:$V$12=S$12)*($C$206:$V$206)*$C$3:$V$3)))</f>
        <v/>
      </c>
      <c r="T941" s="62">
        <f>IF(T$15&lt;=1,0,SUMPRODUCT(MAX(($C$12:$V$12=T$12)*($C$206:$V$206)*$C$3:$V$3)))</f>
        <v/>
      </c>
      <c r="U941" s="62">
        <f>IF(U$15&lt;=1,0,SUMPRODUCT(MAX(($C$12:$V$12=U$12)*($C$206:$V$206)*$C$3:$V$3)))</f>
        <v/>
      </c>
      <c r="V941" s="62">
        <f>IF(V$15&lt;=1,0,SUMPRODUCT(MAX(($C$12:$V$12=V$12)*($C$206:$V$206)*$C$3:$V$3)))</f>
        <v/>
      </c>
    </row>
    <row r="942">
      <c r="C942" s="62">
        <f>IF(C$15&lt;=1,0,SUMPRODUCT(MAX(($C$12:$V$12=C$12)*($C$207:$V$207)*$C$3:$V$3)))</f>
        <v/>
      </c>
      <c r="D942" s="62">
        <f>IF(D$15&lt;=1,0,SUMPRODUCT(MAX(($C$12:$V$12=D$12)*($C$207:$V$207)*$C$3:$V$3)))</f>
        <v/>
      </c>
      <c r="E942" s="62">
        <f>IF(E$15&lt;=1,0,SUMPRODUCT(MAX(($C$12:$V$12=E$12)*($C$207:$V$207)*$C$3:$V$3)))</f>
        <v/>
      </c>
      <c r="F942" s="62">
        <f>IF(F$15&lt;=1,0,SUMPRODUCT(MAX(($C$12:$V$12=F$12)*($C$207:$V$207)*$C$3:$V$3)))</f>
        <v/>
      </c>
      <c r="G942" s="62">
        <f>IF(G$15&lt;=1,0,SUMPRODUCT(MAX(($C$12:$V$12=G$12)*($C$207:$V$207)*$C$3:$V$3)))</f>
        <v/>
      </c>
      <c r="H942" s="62">
        <f>IF(H$15&lt;=1,0,SUMPRODUCT(MAX(($C$12:$V$12=H$12)*($C$207:$V$207)*$C$3:$V$3)))</f>
        <v/>
      </c>
      <c r="I942" s="62">
        <f>IF(I$15&lt;=1,0,SUMPRODUCT(MAX(($C$12:$V$12=I$12)*($C$207:$V$207)*$C$3:$V$3)))</f>
        <v/>
      </c>
      <c r="J942" s="62">
        <f>IF(J$15&lt;=1,0,SUMPRODUCT(MAX(($C$12:$V$12=J$12)*($C$207:$V$207)*$C$3:$V$3)))</f>
        <v/>
      </c>
      <c r="K942" s="62">
        <f>IF(K$15&lt;=1,0,SUMPRODUCT(MAX(($C$12:$V$12=K$12)*($C$207:$V$207)*$C$3:$V$3)))</f>
        <v/>
      </c>
      <c r="L942" s="62">
        <f>IF(L$15&lt;=1,0,SUMPRODUCT(MAX(($C$12:$V$12=L$12)*($C$207:$V$207)*$C$3:$V$3)))</f>
        <v/>
      </c>
      <c r="M942" s="62">
        <f>IF(M$15&lt;=1,0,SUMPRODUCT(MAX(($C$12:$V$12=M$12)*($C$207:$V$207)*$C$3:$V$3)))</f>
        <v/>
      </c>
      <c r="N942" s="62">
        <f>IF(N$15&lt;=1,0,SUMPRODUCT(MAX(($C$12:$V$12=N$12)*($C$207:$V$207)*$C$3:$V$3)))</f>
        <v/>
      </c>
      <c r="O942" s="62">
        <f>IF(O$15&lt;=1,0,SUMPRODUCT(MAX(($C$12:$V$12=O$12)*($C$207:$V$207)*$C$3:$V$3)))</f>
        <v/>
      </c>
      <c r="P942" s="62">
        <f>IF(P$15&lt;=1,0,SUMPRODUCT(MAX(($C$12:$V$12=P$12)*($C$207:$V$207)*$C$3:$V$3)))</f>
        <v/>
      </c>
      <c r="Q942" s="62">
        <f>IF(Q$15&lt;=1,0,SUMPRODUCT(MAX(($C$12:$V$12=Q$12)*($C$207:$V$207)*$C$3:$V$3)))</f>
        <v/>
      </c>
      <c r="R942" s="62">
        <f>IF(R$15&lt;=1,0,SUMPRODUCT(MAX(($C$12:$V$12=R$12)*($C$207:$V$207)*$C$3:$V$3)))</f>
        <v/>
      </c>
      <c r="S942" s="62">
        <f>IF(S$15&lt;=1,0,SUMPRODUCT(MAX(($C$12:$V$12=S$12)*($C$207:$V$207)*$C$3:$V$3)))</f>
        <v/>
      </c>
      <c r="T942" s="62">
        <f>IF(T$15&lt;=1,0,SUMPRODUCT(MAX(($C$12:$V$12=T$12)*($C$207:$V$207)*$C$3:$V$3)))</f>
        <v/>
      </c>
      <c r="U942" s="62">
        <f>IF(U$15&lt;=1,0,SUMPRODUCT(MAX(($C$12:$V$12=U$12)*($C$207:$V$207)*$C$3:$V$3)))</f>
        <v/>
      </c>
      <c r="V942" s="62">
        <f>IF(V$15&lt;=1,0,SUMPRODUCT(MAX(($C$12:$V$12=V$12)*($C$207:$V$207)*$C$3:$V$3)))</f>
        <v/>
      </c>
    </row>
    <row r="943">
      <c r="C943" s="62">
        <f>IF(C$15&lt;=1,0,SUMPRODUCT(MAX(($C$12:$V$12=C$12)*($C$208:$V$208)*$C$3:$V$3)))</f>
        <v/>
      </c>
      <c r="D943" s="62">
        <f>IF(D$15&lt;=1,0,SUMPRODUCT(MAX(($C$12:$V$12=D$12)*($C$208:$V$208)*$C$3:$V$3)))</f>
        <v/>
      </c>
      <c r="E943" s="62">
        <f>IF(E$15&lt;=1,0,SUMPRODUCT(MAX(($C$12:$V$12=E$12)*($C$208:$V$208)*$C$3:$V$3)))</f>
        <v/>
      </c>
      <c r="F943" s="62">
        <f>IF(F$15&lt;=1,0,SUMPRODUCT(MAX(($C$12:$V$12=F$12)*($C$208:$V$208)*$C$3:$V$3)))</f>
        <v/>
      </c>
      <c r="G943" s="62">
        <f>IF(G$15&lt;=1,0,SUMPRODUCT(MAX(($C$12:$V$12=G$12)*($C$208:$V$208)*$C$3:$V$3)))</f>
        <v/>
      </c>
      <c r="H943" s="62">
        <f>IF(H$15&lt;=1,0,SUMPRODUCT(MAX(($C$12:$V$12=H$12)*($C$208:$V$208)*$C$3:$V$3)))</f>
        <v/>
      </c>
      <c r="I943" s="62">
        <f>IF(I$15&lt;=1,0,SUMPRODUCT(MAX(($C$12:$V$12=I$12)*($C$208:$V$208)*$C$3:$V$3)))</f>
        <v/>
      </c>
      <c r="J943" s="62">
        <f>IF(J$15&lt;=1,0,SUMPRODUCT(MAX(($C$12:$V$12=J$12)*($C$208:$V$208)*$C$3:$V$3)))</f>
        <v/>
      </c>
      <c r="K943" s="62">
        <f>IF(K$15&lt;=1,0,SUMPRODUCT(MAX(($C$12:$V$12=K$12)*($C$208:$V$208)*$C$3:$V$3)))</f>
        <v/>
      </c>
      <c r="L943" s="62">
        <f>IF(L$15&lt;=1,0,SUMPRODUCT(MAX(($C$12:$V$12=L$12)*($C$208:$V$208)*$C$3:$V$3)))</f>
        <v/>
      </c>
      <c r="M943" s="62">
        <f>IF(M$15&lt;=1,0,SUMPRODUCT(MAX(($C$12:$V$12=M$12)*($C$208:$V$208)*$C$3:$V$3)))</f>
        <v/>
      </c>
      <c r="N943" s="62">
        <f>IF(N$15&lt;=1,0,SUMPRODUCT(MAX(($C$12:$V$12=N$12)*($C$208:$V$208)*$C$3:$V$3)))</f>
        <v/>
      </c>
      <c r="O943" s="62">
        <f>IF(O$15&lt;=1,0,SUMPRODUCT(MAX(($C$12:$V$12=O$12)*($C$208:$V$208)*$C$3:$V$3)))</f>
        <v/>
      </c>
      <c r="P943" s="62">
        <f>IF(P$15&lt;=1,0,SUMPRODUCT(MAX(($C$12:$V$12=P$12)*($C$208:$V$208)*$C$3:$V$3)))</f>
        <v/>
      </c>
      <c r="Q943" s="62">
        <f>IF(Q$15&lt;=1,0,SUMPRODUCT(MAX(($C$12:$V$12=Q$12)*($C$208:$V$208)*$C$3:$V$3)))</f>
        <v/>
      </c>
      <c r="R943" s="62">
        <f>IF(R$15&lt;=1,0,SUMPRODUCT(MAX(($C$12:$V$12=R$12)*($C$208:$V$208)*$C$3:$V$3)))</f>
        <v/>
      </c>
      <c r="S943" s="62">
        <f>IF(S$15&lt;=1,0,SUMPRODUCT(MAX(($C$12:$V$12=S$12)*($C$208:$V$208)*$C$3:$V$3)))</f>
        <v/>
      </c>
      <c r="T943" s="62">
        <f>IF(T$15&lt;=1,0,SUMPRODUCT(MAX(($C$12:$V$12=T$12)*($C$208:$V$208)*$C$3:$V$3)))</f>
        <v/>
      </c>
      <c r="U943" s="62">
        <f>IF(U$15&lt;=1,0,SUMPRODUCT(MAX(($C$12:$V$12=U$12)*($C$208:$V$208)*$C$3:$V$3)))</f>
        <v/>
      </c>
      <c r="V943" s="62">
        <f>IF(V$15&lt;=1,0,SUMPRODUCT(MAX(($C$12:$V$12=V$12)*($C$208:$V$208)*$C$3:$V$3)))</f>
        <v/>
      </c>
    </row>
    <row r="944">
      <c r="C944" s="62">
        <f>IF(C$15&lt;=1,0,SUMPRODUCT(MAX(($C$12:$V$12=C$12)*($C$209:$V$209)*$C$3:$V$3)))</f>
        <v/>
      </c>
      <c r="D944" s="62">
        <f>IF(D$15&lt;=1,0,SUMPRODUCT(MAX(($C$12:$V$12=D$12)*($C$209:$V$209)*$C$3:$V$3)))</f>
        <v/>
      </c>
      <c r="E944" s="62">
        <f>IF(E$15&lt;=1,0,SUMPRODUCT(MAX(($C$12:$V$12=E$12)*($C$209:$V$209)*$C$3:$V$3)))</f>
        <v/>
      </c>
      <c r="F944" s="62">
        <f>IF(F$15&lt;=1,0,SUMPRODUCT(MAX(($C$12:$V$12=F$12)*($C$209:$V$209)*$C$3:$V$3)))</f>
        <v/>
      </c>
      <c r="G944" s="62">
        <f>IF(G$15&lt;=1,0,SUMPRODUCT(MAX(($C$12:$V$12=G$12)*($C$209:$V$209)*$C$3:$V$3)))</f>
        <v/>
      </c>
      <c r="H944" s="62">
        <f>IF(H$15&lt;=1,0,SUMPRODUCT(MAX(($C$12:$V$12=H$12)*($C$209:$V$209)*$C$3:$V$3)))</f>
        <v/>
      </c>
      <c r="I944" s="62">
        <f>IF(I$15&lt;=1,0,SUMPRODUCT(MAX(($C$12:$V$12=I$12)*($C$209:$V$209)*$C$3:$V$3)))</f>
        <v/>
      </c>
      <c r="J944" s="62">
        <f>IF(J$15&lt;=1,0,SUMPRODUCT(MAX(($C$12:$V$12=J$12)*($C$209:$V$209)*$C$3:$V$3)))</f>
        <v/>
      </c>
      <c r="K944" s="62">
        <f>IF(K$15&lt;=1,0,SUMPRODUCT(MAX(($C$12:$V$12=K$12)*($C$209:$V$209)*$C$3:$V$3)))</f>
        <v/>
      </c>
      <c r="L944" s="62">
        <f>IF(L$15&lt;=1,0,SUMPRODUCT(MAX(($C$12:$V$12=L$12)*($C$209:$V$209)*$C$3:$V$3)))</f>
        <v/>
      </c>
      <c r="M944" s="62">
        <f>IF(M$15&lt;=1,0,SUMPRODUCT(MAX(($C$12:$V$12=M$12)*($C$209:$V$209)*$C$3:$V$3)))</f>
        <v/>
      </c>
      <c r="N944" s="62">
        <f>IF(N$15&lt;=1,0,SUMPRODUCT(MAX(($C$12:$V$12=N$12)*($C$209:$V$209)*$C$3:$V$3)))</f>
        <v/>
      </c>
      <c r="O944" s="62">
        <f>IF(O$15&lt;=1,0,SUMPRODUCT(MAX(($C$12:$V$12=O$12)*($C$209:$V$209)*$C$3:$V$3)))</f>
        <v/>
      </c>
      <c r="P944" s="62">
        <f>IF(P$15&lt;=1,0,SUMPRODUCT(MAX(($C$12:$V$12=P$12)*($C$209:$V$209)*$C$3:$V$3)))</f>
        <v/>
      </c>
      <c r="Q944" s="62">
        <f>IF(Q$15&lt;=1,0,SUMPRODUCT(MAX(($C$12:$V$12=Q$12)*($C$209:$V$209)*$C$3:$V$3)))</f>
        <v/>
      </c>
      <c r="R944" s="62">
        <f>IF(R$15&lt;=1,0,SUMPRODUCT(MAX(($C$12:$V$12=R$12)*($C$209:$V$209)*$C$3:$V$3)))</f>
        <v/>
      </c>
      <c r="S944" s="62">
        <f>IF(S$15&lt;=1,0,SUMPRODUCT(MAX(($C$12:$V$12=S$12)*($C$209:$V$209)*$C$3:$V$3)))</f>
        <v/>
      </c>
      <c r="T944" s="62">
        <f>IF(T$15&lt;=1,0,SUMPRODUCT(MAX(($C$12:$V$12=T$12)*($C$209:$V$209)*$C$3:$V$3)))</f>
        <v/>
      </c>
      <c r="U944" s="62">
        <f>IF(U$15&lt;=1,0,SUMPRODUCT(MAX(($C$12:$V$12=U$12)*($C$209:$V$209)*$C$3:$V$3)))</f>
        <v/>
      </c>
      <c r="V944" s="62">
        <f>IF(V$15&lt;=1,0,SUMPRODUCT(MAX(($C$12:$V$12=V$12)*($C$209:$V$209)*$C$3:$V$3)))</f>
        <v/>
      </c>
    </row>
    <row r="945">
      <c r="C945" s="62">
        <f>IF(C$15&lt;=1,0,SUMPRODUCT(MAX(($C$12:$V$12=C$12)*($C$210:$V$210)*$C$3:$V$3)))</f>
        <v/>
      </c>
      <c r="D945" s="62">
        <f>IF(D$15&lt;=1,0,SUMPRODUCT(MAX(($C$12:$V$12=D$12)*($C$210:$V$210)*$C$3:$V$3)))</f>
        <v/>
      </c>
      <c r="E945" s="62">
        <f>IF(E$15&lt;=1,0,SUMPRODUCT(MAX(($C$12:$V$12=E$12)*($C$210:$V$210)*$C$3:$V$3)))</f>
        <v/>
      </c>
      <c r="F945" s="62">
        <f>IF(F$15&lt;=1,0,SUMPRODUCT(MAX(($C$12:$V$12=F$12)*($C$210:$V$210)*$C$3:$V$3)))</f>
        <v/>
      </c>
      <c r="G945" s="62">
        <f>IF(G$15&lt;=1,0,SUMPRODUCT(MAX(($C$12:$V$12=G$12)*($C$210:$V$210)*$C$3:$V$3)))</f>
        <v/>
      </c>
      <c r="H945" s="62">
        <f>IF(H$15&lt;=1,0,SUMPRODUCT(MAX(($C$12:$V$12=H$12)*($C$210:$V$210)*$C$3:$V$3)))</f>
        <v/>
      </c>
      <c r="I945" s="62">
        <f>IF(I$15&lt;=1,0,SUMPRODUCT(MAX(($C$12:$V$12=I$12)*($C$210:$V$210)*$C$3:$V$3)))</f>
        <v/>
      </c>
      <c r="J945" s="62">
        <f>IF(J$15&lt;=1,0,SUMPRODUCT(MAX(($C$12:$V$12=J$12)*($C$210:$V$210)*$C$3:$V$3)))</f>
        <v/>
      </c>
      <c r="K945" s="62">
        <f>IF(K$15&lt;=1,0,SUMPRODUCT(MAX(($C$12:$V$12=K$12)*($C$210:$V$210)*$C$3:$V$3)))</f>
        <v/>
      </c>
      <c r="L945" s="62">
        <f>IF(L$15&lt;=1,0,SUMPRODUCT(MAX(($C$12:$V$12=L$12)*($C$210:$V$210)*$C$3:$V$3)))</f>
        <v/>
      </c>
      <c r="M945" s="62">
        <f>IF(M$15&lt;=1,0,SUMPRODUCT(MAX(($C$12:$V$12=M$12)*($C$210:$V$210)*$C$3:$V$3)))</f>
        <v/>
      </c>
      <c r="N945" s="62">
        <f>IF(N$15&lt;=1,0,SUMPRODUCT(MAX(($C$12:$V$12=N$12)*($C$210:$V$210)*$C$3:$V$3)))</f>
        <v/>
      </c>
      <c r="O945" s="62">
        <f>IF(O$15&lt;=1,0,SUMPRODUCT(MAX(($C$12:$V$12=O$12)*($C$210:$V$210)*$C$3:$V$3)))</f>
        <v/>
      </c>
      <c r="P945" s="62">
        <f>IF(P$15&lt;=1,0,SUMPRODUCT(MAX(($C$12:$V$12=P$12)*($C$210:$V$210)*$C$3:$V$3)))</f>
        <v/>
      </c>
      <c r="Q945" s="62">
        <f>IF(Q$15&lt;=1,0,SUMPRODUCT(MAX(($C$12:$V$12=Q$12)*($C$210:$V$210)*$C$3:$V$3)))</f>
        <v/>
      </c>
      <c r="R945" s="62">
        <f>IF(R$15&lt;=1,0,SUMPRODUCT(MAX(($C$12:$V$12=R$12)*($C$210:$V$210)*$C$3:$V$3)))</f>
        <v/>
      </c>
      <c r="S945" s="62">
        <f>IF(S$15&lt;=1,0,SUMPRODUCT(MAX(($C$12:$V$12=S$12)*($C$210:$V$210)*$C$3:$V$3)))</f>
        <v/>
      </c>
      <c r="T945" s="62">
        <f>IF(T$15&lt;=1,0,SUMPRODUCT(MAX(($C$12:$V$12=T$12)*($C$210:$V$210)*$C$3:$V$3)))</f>
        <v/>
      </c>
      <c r="U945" s="62">
        <f>IF(U$15&lt;=1,0,SUMPRODUCT(MAX(($C$12:$V$12=U$12)*($C$210:$V$210)*$C$3:$V$3)))</f>
        <v/>
      </c>
      <c r="V945" s="62">
        <f>IF(V$15&lt;=1,0,SUMPRODUCT(MAX(($C$12:$V$12=V$12)*($C$210:$V$210)*$C$3:$V$3)))</f>
        <v/>
      </c>
    </row>
    <row r="946">
      <c r="C946" s="62">
        <f>IF(C$15&lt;=1,0,SUMPRODUCT(MAX(($C$12:$V$12=C$12)*($C$211:$V$211)*$C$3:$V$3)))</f>
        <v/>
      </c>
      <c r="D946" s="62">
        <f>IF(D$15&lt;=1,0,SUMPRODUCT(MAX(($C$12:$V$12=D$12)*($C$211:$V$211)*$C$3:$V$3)))</f>
        <v/>
      </c>
      <c r="E946" s="62">
        <f>IF(E$15&lt;=1,0,SUMPRODUCT(MAX(($C$12:$V$12=E$12)*($C$211:$V$211)*$C$3:$V$3)))</f>
        <v/>
      </c>
      <c r="F946" s="62">
        <f>IF(F$15&lt;=1,0,SUMPRODUCT(MAX(($C$12:$V$12=F$12)*($C$211:$V$211)*$C$3:$V$3)))</f>
        <v/>
      </c>
      <c r="G946" s="62">
        <f>IF(G$15&lt;=1,0,SUMPRODUCT(MAX(($C$12:$V$12=G$12)*($C$211:$V$211)*$C$3:$V$3)))</f>
        <v/>
      </c>
      <c r="H946" s="62">
        <f>IF(H$15&lt;=1,0,SUMPRODUCT(MAX(($C$12:$V$12=H$12)*($C$211:$V$211)*$C$3:$V$3)))</f>
        <v/>
      </c>
      <c r="I946" s="62">
        <f>IF(I$15&lt;=1,0,SUMPRODUCT(MAX(($C$12:$V$12=I$12)*($C$211:$V$211)*$C$3:$V$3)))</f>
        <v/>
      </c>
      <c r="J946" s="62">
        <f>IF(J$15&lt;=1,0,SUMPRODUCT(MAX(($C$12:$V$12=J$12)*($C$211:$V$211)*$C$3:$V$3)))</f>
        <v/>
      </c>
      <c r="K946" s="62">
        <f>IF(K$15&lt;=1,0,SUMPRODUCT(MAX(($C$12:$V$12=K$12)*($C$211:$V$211)*$C$3:$V$3)))</f>
        <v/>
      </c>
      <c r="L946" s="62">
        <f>IF(L$15&lt;=1,0,SUMPRODUCT(MAX(($C$12:$V$12=L$12)*($C$211:$V$211)*$C$3:$V$3)))</f>
        <v/>
      </c>
      <c r="M946" s="62">
        <f>IF(M$15&lt;=1,0,SUMPRODUCT(MAX(($C$12:$V$12=M$12)*($C$211:$V$211)*$C$3:$V$3)))</f>
        <v/>
      </c>
      <c r="N946" s="62">
        <f>IF(N$15&lt;=1,0,SUMPRODUCT(MAX(($C$12:$V$12=N$12)*($C$211:$V$211)*$C$3:$V$3)))</f>
        <v/>
      </c>
      <c r="O946" s="62">
        <f>IF(O$15&lt;=1,0,SUMPRODUCT(MAX(($C$12:$V$12=O$12)*($C$211:$V$211)*$C$3:$V$3)))</f>
        <v/>
      </c>
      <c r="P946" s="62">
        <f>IF(P$15&lt;=1,0,SUMPRODUCT(MAX(($C$12:$V$12=P$12)*($C$211:$V$211)*$C$3:$V$3)))</f>
        <v/>
      </c>
      <c r="Q946" s="62">
        <f>IF(Q$15&lt;=1,0,SUMPRODUCT(MAX(($C$12:$V$12=Q$12)*($C$211:$V$211)*$C$3:$V$3)))</f>
        <v/>
      </c>
      <c r="R946" s="62">
        <f>IF(R$15&lt;=1,0,SUMPRODUCT(MAX(($C$12:$V$12=R$12)*($C$211:$V$211)*$C$3:$V$3)))</f>
        <v/>
      </c>
      <c r="S946" s="62">
        <f>IF(S$15&lt;=1,0,SUMPRODUCT(MAX(($C$12:$V$12=S$12)*($C$211:$V$211)*$C$3:$V$3)))</f>
        <v/>
      </c>
      <c r="T946" s="62">
        <f>IF(T$15&lt;=1,0,SUMPRODUCT(MAX(($C$12:$V$12=T$12)*($C$211:$V$211)*$C$3:$V$3)))</f>
        <v/>
      </c>
      <c r="U946" s="62">
        <f>IF(U$15&lt;=1,0,SUMPRODUCT(MAX(($C$12:$V$12=U$12)*($C$211:$V$211)*$C$3:$V$3)))</f>
        <v/>
      </c>
      <c r="V946" s="62">
        <f>IF(V$15&lt;=1,0,SUMPRODUCT(MAX(($C$12:$V$12=V$12)*($C$211:$V$211)*$C$3:$V$3)))</f>
        <v/>
      </c>
    </row>
    <row r="947">
      <c r="C947" s="62">
        <f>IF(C$15&lt;=1,0,SUMPRODUCT(MAX(($C$12:$V$12=C$12)*($C$212:$V$212)*$C$3:$V$3)))</f>
        <v/>
      </c>
      <c r="D947" s="62">
        <f>IF(D$15&lt;=1,0,SUMPRODUCT(MAX(($C$12:$V$12=D$12)*($C$212:$V$212)*$C$3:$V$3)))</f>
        <v/>
      </c>
      <c r="E947" s="62">
        <f>IF(E$15&lt;=1,0,SUMPRODUCT(MAX(($C$12:$V$12=E$12)*($C$212:$V$212)*$C$3:$V$3)))</f>
        <v/>
      </c>
      <c r="F947" s="62">
        <f>IF(F$15&lt;=1,0,SUMPRODUCT(MAX(($C$12:$V$12=F$12)*($C$212:$V$212)*$C$3:$V$3)))</f>
        <v/>
      </c>
      <c r="G947" s="62">
        <f>IF(G$15&lt;=1,0,SUMPRODUCT(MAX(($C$12:$V$12=G$12)*($C$212:$V$212)*$C$3:$V$3)))</f>
        <v/>
      </c>
      <c r="H947" s="62">
        <f>IF(H$15&lt;=1,0,SUMPRODUCT(MAX(($C$12:$V$12=H$12)*($C$212:$V$212)*$C$3:$V$3)))</f>
        <v/>
      </c>
      <c r="I947" s="62">
        <f>IF(I$15&lt;=1,0,SUMPRODUCT(MAX(($C$12:$V$12=I$12)*($C$212:$V$212)*$C$3:$V$3)))</f>
        <v/>
      </c>
      <c r="J947" s="62">
        <f>IF(J$15&lt;=1,0,SUMPRODUCT(MAX(($C$12:$V$12=J$12)*($C$212:$V$212)*$C$3:$V$3)))</f>
        <v/>
      </c>
      <c r="K947" s="62">
        <f>IF(K$15&lt;=1,0,SUMPRODUCT(MAX(($C$12:$V$12=K$12)*($C$212:$V$212)*$C$3:$V$3)))</f>
        <v/>
      </c>
      <c r="L947" s="62">
        <f>IF(L$15&lt;=1,0,SUMPRODUCT(MAX(($C$12:$V$12=L$12)*($C$212:$V$212)*$C$3:$V$3)))</f>
        <v/>
      </c>
      <c r="M947" s="62">
        <f>IF(M$15&lt;=1,0,SUMPRODUCT(MAX(($C$12:$V$12=M$12)*($C$212:$V$212)*$C$3:$V$3)))</f>
        <v/>
      </c>
      <c r="N947" s="62">
        <f>IF(N$15&lt;=1,0,SUMPRODUCT(MAX(($C$12:$V$12=N$12)*($C$212:$V$212)*$C$3:$V$3)))</f>
        <v/>
      </c>
      <c r="O947" s="62">
        <f>IF(O$15&lt;=1,0,SUMPRODUCT(MAX(($C$12:$V$12=O$12)*($C$212:$V$212)*$C$3:$V$3)))</f>
        <v/>
      </c>
      <c r="P947" s="62">
        <f>IF(P$15&lt;=1,0,SUMPRODUCT(MAX(($C$12:$V$12=P$12)*($C$212:$V$212)*$C$3:$V$3)))</f>
        <v/>
      </c>
      <c r="Q947" s="62">
        <f>IF(Q$15&lt;=1,0,SUMPRODUCT(MAX(($C$12:$V$12=Q$12)*($C$212:$V$212)*$C$3:$V$3)))</f>
        <v/>
      </c>
      <c r="R947" s="62">
        <f>IF(R$15&lt;=1,0,SUMPRODUCT(MAX(($C$12:$V$12=R$12)*($C$212:$V$212)*$C$3:$V$3)))</f>
        <v/>
      </c>
      <c r="S947" s="62">
        <f>IF(S$15&lt;=1,0,SUMPRODUCT(MAX(($C$12:$V$12=S$12)*($C$212:$V$212)*$C$3:$V$3)))</f>
        <v/>
      </c>
      <c r="T947" s="62">
        <f>IF(T$15&lt;=1,0,SUMPRODUCT(MAX(($C$12:$V$12=T$12)*($C$212:$V$212)*$C$3:$V$3)))</f>
        <v/>
      </c>
      <c r="U947" s="62">
        <f>IF(U$15&lt;=1,0,SUMPRODUCT(MAX(($C$12:$V$12=U$12)*($C$212:$V$212)*$C$3:$V$3)))</f>
        <v/>
      </c>
      <c r="V947" s="62">
        <f>IF(V$15&lt;=1,0,SUMPRODUCT(MAX(($C$12:$V$12=V$12)*($C$212:$V$212)*$C$3:$V$3)))</f>
        <v/>
      </c>
    </row>
    <row r="948">
      <c r="C948" s="62">
        <f>IF(C$15&lt;=1,0,SUMPRODUCT(MAX(($C$12:$V$12=C$12)*($C$213:$V$213)*$C$3:$V$3)))</f>
        <v/>
      </c>
      <c r="D948" s="62">
        <f>IF(D$15&lt;=1,0,SUMPRODUCT(MAX(($C$12:$V$12=D$12)*($C$213:$V$213)*$C$3:$V$3)))</f>
        <v/>
      </c>
      <c r="E948" s="62">
        <f>IF(E$15&lt;=1,0,SUMPRODUCT(MAX(($C$12:$V$12=E$12)*($C$213:$V$213)*$C$3:$V$3)))</f>
        <v/>
      </c>
      <c r="F948" s="62">
        <f>IF(F$15&lt;=1,0,SUMPRODUCT(MAX(($C$12:$V$12=F$12)*($C$213:$V$213)*$C$3:$V$3)))</f>
        <v/>
      </c>
      <c r="G948" s="62">
        <f>IF(G$15&lt;=1,0,SUMPRODUCT(MAX(($C$12:$V$12=G$12)*($C$213:$V$213)*$C$3:$V$3)))</f>
        <v/>
      </c>
      <c r="H948" s="62">
        <f>IF(H$15&lt;=1,0,SUMPRODUCT(MAX(($C$12:$V$12=H$12)*($C$213:$V$213)*$C$3:$V$3)))</f>
        <v/>
      </c>
      <c r="I948" s="62">
        <f>IF(I$15&lt;=1,0,SUMPRODUCT(MAX(($C$12:$V$12=I$12)*($C$213:$V$213)*$C$3:$V$3)))</f>
        <v/>
      </c>
      <c r="J948" s="62">
        <f>IF(J$15&lt;=1,0,SUMPRODUCT(MAX(($C$12:$V$12=J$12)*($C$213:$V$213)*$C$3:$V$3)))</f>
        <v/>
      </c>
      <c r="K948" s="62">
        <f>IF(K$15&lt;=1,0,SUMPRODUCT(MAX(($C$12:$V$12=K$12)*($C$213:$V$213)*$C$3:$V$3)))</f>
        <v/>
      </c>
      <c r="L948" s="62">
        <f>IF(L$15&lt;=1,0,SUMPRODUCT(MAX(($C$12:$V$12=L$12)*($C$213:$V$213)*$C$3:$V$3)))</f>
        <v/>
      </c>
      <c r="M948" s="62">
        <f>IF(M$15&lt;=1,0,SUMPRODUCT(MAX(($C$12:$V$12=M$12)*($C$213:$V$213)*$C$3:$V$3)))</f>
        <v/>
      </c>
      <c r="N948" s="62">
        <f>IF(N$15&lt;=1,0,SUMPRODUCT(MAX(($C$12:$V$12=N$12)*($C$213:$V$213)*$C$3:$V$3)))</f>
        <v/>
      </c>
      <c r="O948" s="62">
        <f>IF(O$15&lt;=1,0,SUMPRODUCT(MAX(($C$12:$V$12=O$12)*($C$213:$V$213)*$C$3:$V$3)))</f>
        <v/>
      </c>
      <c r="P948" s="62">
        <f>IF(P$15&lt;=1,0,SUMPRODUCT(MAX(($C$12:$V$12=P$12)*($C$213:$V$213)*$C$3:$V$3)))</f>
        <v/>
      </c>
      <c r="Q948" s="62">
        <f>IF(Q$15&lt;=1,0,SUMPRODUCT(MAX(($C$12:$V$12=Q$12)*($C$213:$V$213)*$C$3:$V$3)))</f>
        <v/>
      </c>
      <c r="R948" s="62">
        <f>IF(R$15&lt;=1,0,SUMPRODUCT(MAX(($C$12:$V$12=R$12)*($C$213:$V$213)*$C$3:$V$3)))</f>
        <v/>
      </c>
      <c r="S948" s="62">
        <f>IF(S$15&lt;=1,0,SUMPRODUCT(MAX(($C$12:$V$12=S$12)*($C$213:$V$213)*$C$3:$V$3)))</f>
        <v/>
      </c>
      <c r="T948" s="62">
        <f>IF(T$15&lt;=1,0,SUMPRODUCT(MAX(($C$12:$V$12=T$12)*($C$213:$V$213)*$C$3:$V$3)))</f>
        <v/>
      </c>
      <c r="U948" s="62">
        <f>IF(U$15&lt;=1,0,SUMPRODUCT(MAX(($C$12:$V$12=U$12)*($C$213:$V$213)*$C$3:$V$3)))</f>
        <v/>
      </c>
      <c r="V948" s="62">
        <f>IF(V$15&lt;=1,0,SUMPRODUCT(MAX(($C$12:$V$12=V$12)*($C$213:$V$213)*$C$3:$V$3)))</f>
        <v/>
      </c>
    </row>
    <row r="949">
      <c r="C949" s="62">
        <f>IF(C$15&lt;=1,0,SUMPRODUCT(MAX(($C$12:$V$12=C$12)*($C$214:$V$214)*$C$3:$V$3)))</f>
        <v/>
      </c>
      <c r="D949" s="62">
        <f>IF(D$15&lt;=1,0,SUMPRODUCT(MAX(($C$12:$V$12=D$12)*($C$214:$V$214)*$C$3:$V$3)))</f>
        <v/>
      </c>
      <c r="E949" s="62">
        <f>IF(E$15&lt;=1,0,SUMPRODUCT(MAX(($C$12:$V$12=E$12)*($C$214:$V$214)*$C$3:$V$3)))</f>
        <v/>
      </c>
      <c r="F949" s="62">
        <f>IF(F$15&lt;=1,0,SUMPRODUCT(MAX(($C$12:$V$12=F$12)*($C$214:$V$214)*$C$3:$V$3)))</f>
        <v/>
      </c>
      <c r="G949" s="62">
        <f>IF(G$15&lt;=1,0,SUMPRODUCT(MAX(($C$12:$V$12=G$12)*($C$214:$V$214)*$C$3:$V$3)))</f>
        <v/>
      </c>
      <c r="H949" s="62">
        <f>IF(H$15&lt;=1,0,SUMPRODUCT(MAX(($C$12:$V$12=H$12)*($C$214:$V$214)*$C$3:$V$3)))</f>
        <v/>
      </c>
      <c r="I949" s="62">
        <f>IF(I$15&lt;=1,0,SUMPRODUCT(MAX(($C$12:$V$12=I$12)*($C$214:$V$214)*$C$3:$V$3)))</f>
        <v/>
      </c>
      <c r="J949" s="62">
        <f>IF(J$15&lt;=1,0,SUMPRODUCT(MAX(($C$12:$V$12=J$12)*($C$214:$V$214)*$C$3:$V$3)))</f>
        <v/>
      </c>
      <c r="K949" s="62">
        <f>IF(K$15&lt;=1,0,SUMPRODUCT(MAX(($C$12:$V$12=K$12)*($C$214:$V$214)*$C$3:$V$3)))</f>
        <v/>
      </c>
      <c r="L949" s="62">
        <f>IF(L$15&lt;=1,0,SUMPRODUCT(MAX(($C$12:$V$12=L$12)*($C$214:$V$214)*$C$3:$V$3)))</f>
        <v/>
      </c>
      <c r="M949" s="62">
        <f>IF(M$15&lt;=1,0,SUMPRODUCT(MAX(($C$12:$V$12=M$12)*($C$214:$V$214)*$C$3:$V$3)))</f>
        <v/>
      </c>
      <c r="N949" s="62">
        <f>IF(N$15&lt;=1,0,SUMPRODUCT(MAX(($C$12:$V$12=N$12)*($C$214:$V$214)*$C$3:$V$3)))</f>
        <v/>
      </c>
      <c r="O949" s="62">
        <f>IF(O$15&lt;=1,0,SUMPRODUCT(MAX(($C$12:$V$12=O$12)*($C$214:$V$214)*$C$3:$V$3)))</f>
        <v/>
      </c>
      <c r="P949" s="62">
        <f>IF(P$15&lt;=1,0,SUMPRODUCT(MAX(($C$12:$V$12=P$12)*($C$214:$V$214)*$C$3:$V$3)))</f>
        <v/>
      </c>
      <c r="Q949" s="62">
        <f>IF(Q$15&lt;=1,0,SUMPRODUCT(MAX(($C$12:$V$12=Q$12)*($C$214:$V$214)*$C$3:$V$3)))</f>
        <v/>
      </c>
      <c r="R949" s="62">
        <f>IF(R$15&lt;=1,0,SUMPRODUCT(MAX(($C$12:$V$12=R$12)*($C$214:$V$214)*$C$3:$V$3)))</f>
        <v/>
      </c>
      <c r="S949" s="62">
        <f>IF(S$15&lt;=1,0,SUMPRODUCT(MAX(($C$12:$V$12=S$12)*($C$214:$V$214)*$C$3:$V$3)))</f>
        <v/>
      </c>
      <c r="T949" s="62">
        <f>IF(T$15&lt;=1,0,SUMPRODUCT(MAX(($C$12:$V$12=T$12)*($C$214:$V$214)*$C$3:$V$3)))</f>
        <v/>
      </c>
      <c r="U949" s="62">
        <f>IF(U$15&lt;=1,0,SUMPRODUCT(MAX(($C$12:$V$12=U$12)*($C$214:$V$214)*$C$3:$V$3)))</f>
        <v/>
      </c>
      <c r="V949" s="62">
        <f>IF(V$15&lt;=1,0,SUMPRODUCT(MAX(($C$12:$V$12=V$12)*($C$214:$V$214)*$C$3:$V$3)))</f>
        <v/>
      </c>
    </row>
    <row r="950">
      <c r="C950" s="62">
        <f>IF(C$15&lt;=1,0,SUMPRODUCT(MAX(($C$12:$V$12=C$12)*($C$215:$V$215)*$C$3:$V$3)))</f>
        <v/>
      </c>
      <c r="D950" s="62">
        <f>IF(D$15&lt;=1,0,SUMPRODUCT(MAX(($C$12:$V$12=D$12)*($C$215:$V$215)*$C$3:$V$3)))</f>
        <v/>
      </c>
      <c r="E950" s="62">
        <f>IF(E$15&lt;=1,0,SUMPRODUCT(MAX(($C$12:$V$12=E$12)*($C$215:$V$215)*$C$3:$V$3)))</f>
        <v/>
      </c>
      <c r="F950" s="62">
        <f>IF(F$15&lt;=1,0,SUMPRODUCT(MAX(($C$12:$V$12=F$12)*($C$215:$V$215)*$C$3:$V$3)))</f>
        <v/>
      </c>
      <c r="G950" s="62">
        <f>IF(G$15&lt;=1,0,SUMPRODUCT(MAX(($C$12:$V$12=G$12)*($C$215:$V$215)*$C$3:$V$3)))</f>
        <v/>
      </c>
      <c r="H950" s="62">
        <f>IF(H$15&lt;=1,0,SUMPRODUCT(MAX(($C$12:$V$12=H$12)*($C$215:$V$215)*$C$3:$V$3)))</f>
        <v/>
      </c>
      <c r="I950" s="62">
        <f>IF(I$15&lt;=1,0,SUMPRODUCT(MAX(($C$12:$V$12=I$12)*($C$215:$V$215)*$C$3:$V$3)))</f>
        <v/>
      </c>
      <c r="J950" s="62">
        <f>IF(J$15&lt;=1,0,SUMPRODUCT(MAX(($C$12:$V$12=J$12)*($C$215:$V$215)*$C$3:$V$3)))</f>
        <v/>
      </c>
      <c r="K950" s="62">
        <f>IF(K$15&lt;=1,0,SUMPRODUCT(MAX(($C$12:$V$12=K$12)*($C$215:$V$215)*$C$3:$V$3)))</f>
        <v/>
      </c>
      <c r="L950" s="62">
        <f>IF(L$15&lt;=1,0,SUMPRODUCT(MAX(($C$12:$V$12=L$12)*($C$215:$V$215)*$C$3:$V$3)))</f>
        <v/>
      </c>
      <c r="M950" s="62">
        <f>IF(M$15&lt;=1,0,SUMPRODUCT(MAX(($C$12:$V$12=M$12)*($C$215:$V$215)*$C$3:$V$3)))</f>
        <v/>
      </c>
      <c r="N950" s="62">
        <f>IF(N$15&lt;=1,0,SUMPRODUCT(MAX(($C$12:$V$12=N$12)*($C$215:$V$215)*$C$3:$V$3)))</f>
        <v/>
      </c>
      <c r="O950" s="62">
        <f>IF(O$15&lt;=1,0,SUMPRODUCT(MAX(($C$12:$V$12=O$12)*($C$215:$V$215)*$C$3:$V$3)))</f>
        <v/>
      </c>
      <c r="P950" s="62">
        <f>IF(P$15&lt;=1,0,SUMPRODUCT(MAX(($C$12:$V$12=P$12)*($C$215:$V$215)*$C$3:$V$3)))</f>
        <v/>
      </c>
      <c r="Q950" s="62">
        <f>IF(Q$15&lt;=1,0,SUMPRODUCT(MAX(($C$12:$V$12=Q$12)*($C$215:$V$215)*$C$3:$V$3)))</f>
        <v/>
      </c>
      <c r="R950" s="62">
        <f>IF(R$15&lt;=1,0,SUMPRODUCT(MAX(($C$12:$V$12=R$12)*($C$215:$V$215)*$C$3:$V$3)))</f>
        <v/>
      </c>
      <c r="S950" s="62">
        <f>IF(S$15&lt;=1,0,SUMPRODUCT(MAX(($C$12:$V$12=S$12)*($C$215:$V$215)*$C$3:$V$3)))</f>
        <v/>
      </c>
      <c r="T950" s="62">
        <f>IF(T$15&lt;=1,0,SUMPRODUCT(MAX(($C$12:$V$12=T$12)*($C$215:$V$215)*$C$3:$V$3)))</f>
        <v/>
      </c>
      <c r="U950" s="62">
        <f>IF(U$15&lt;=1,0,SUMPRODUCT(MAX(($C$12:$V$12=U$12)*($C$215:$V$215)*$C$3:$V$3)))</f>
        <v/>
      </c>
      <c r="V950" s="62">
        <f>IF(V$15&lt;=1,0,SUMPRODUCT(MAX(($C$12:$V$12=V$12)*($C$215:$V$215)*$C$3:$V$3)))</f>
        <v/>
      </c>
    </row>
    <row r="951">
      <c r="C951" s="62">
        <f>IF(C$15&lt;=1,0,SUMPRODUCT(MAX(($C$12:$V$12=C$12)*($C$216:$V$216)*$C$3:$V$3)))</f>
        <v/>
      </c>
      <c r="D951" s="62">
        <f>IF(D$15&lt;=1,0,SUMPRODUCT(MAX(($C$12:$V$12=D$12)*($C$216:$V$216)*$C$3:$V$3)))</f>
        <v/>
      </c>
      <c r="E951" s="62">
        <f>IF(E$15&lt;=1,0,SUMPRODUCT(MAX(($C$12:$V$12=E$12)*($C$216:$V$216)*$C$3:$V$3)))</f>
        <v/>
      </c>
      <c r="F951" s="62">
        <f>IF(F$15&lt;=1,0,SUMPRODUCT(MAX(($C$12:$V$12=F$12)*($C$216:$V$216)*$C$3:$V$3)))</f>
        <v/>
      </c>
      <c r="G951" s="62">
        <f>IF(G$15&lt;=1,0,SUMPRODUCT(MAX(($C$12:$V$12=G$12)*($C$216:$V$216)*$C$3:$V$3)))</f>
        <v/>
      </c>
      <c r="H951" s="62">
        <f>IF(H$15&lt;=1,0,SUMPRODUCT(MAX(($C$12:$V$12=H$12)*($C$216:$V$216)*$C$3:$V$3)))</f>
        <v/>
      </c>
      <c r="I951" s="62">
        <f>IF(I$15&lt;=1,0,SUMPRODUCT(MAX(($C$12:$V$12=I$12)*($C$216:$V$216)*$C$3:$V$3)))</f>
        <v/>
      </c>
      <c r="J951" s="62">
        <f>IF(J$15&lt;=1,0,SUMPRODUCT(MAX(($C$12:$V$12=J$12)*($C$216:$V$216)*$C$3:$V$3)))</f>
        <v/>
      </c>
      <c r="K951" s="62">
        <f>IF(K$15&lt;=1,0,SUMPRODUCT(MAX(($C$12:$V$12=K$12)*($C$216:$V$216)*$C$3:$V$3)))</f>
        <v/>
      </c>
      <c r="L951" s="62">
        <f>IF(L$15&lt;=1,0,SUMPRODUCT(MAX(($C$12:$V$12=L$12)*($C$216:$V$216)*$C$3:$V$3)))</f>
        <v/>
      </c>
      <c r="M951" s="62">
        <f>IF(M$15&lt;=1,0,SUMPRODUCT(MAX(($C$12:$V$12=M$12)*($C$216:$V$216)*$C$3:$V$3)))</f>
        <v/>
      </c>
      <c r="N951" s="62">
        <f>IF(N$15&lt;=1,0,SUMPRODUCT(MAX(($C$12:$V$12=N$12)*($C$216:$V$216)*$C$3:$V$3)))</f>
        <v/>
      </c>
      <c r="O951" s="62">
        <f>IF(O$15&lt;=1,0,SUMPRODUCT(MAX(($C$12:$V$12=O$12)*($C$216:$V$216)*$C$3:$V$3)))</f>
        <v/>
      </c>
      <c r="P951" s="62">
        <f>IF(P$15&lt;=1,0,SUMPRODUCT(MAX(($C$12:$V$12=P$12)*($C$216:$V$216)*$C$3:$V$3)))</f>
        <v/>
      </c>
      <c r="Q951" s="62">
        <f>IF(Q$15&lt;=1,0,SUMPRODUCT(MAX(($C$12:$V$12=Q$12)*($C$216:$V$216)*$C$3:$V$3)))</f>
        <v/>
      </c>
      <c r="R951" s="62">
        <f>IF(R$15&lt;=1,0,SUMPRODUCT(MAX(($C$12:$V$12=R$12)*($C$216:$V$216)*$C$3:$V$3)))</f>
        <v/>
      </c>
      <c r="S951" s="62">
        <f>IF(S$15&lt;=1,0,SUMPRODUCT(MAX(($C$12:$V$12=S$12)*($C$216:$V$216)*$C$3:$V$3)))</f>
        <v/>
      </c>
      <c r="T951" s="62">
        <f>IF(T$15&lt;=1,0,SUMPRODUCT(MAX(($C$12:$V$12=T$12)*($C$216:$V$216)*$C$3:$V$3)))</f>
        <v/>
      </c>
      <c r="U951" s="62">
        <f>IF(U$15&lt;=1,0,SUMPRODUCT(MAX(($C$12:$V$12=U$12)*($C$216:$V$216)*$C$3:$V$3)))</f>
        <v/>
      </c>
      <c r="V951" s="62">
        <f>IF(V$15&lt;=1,0,SUMPRODUCT(MAX(($C$12:$V$12=V$12)*($C$216:$V$216)*$C$3:$V$3)))</f>
        <v/>
      </c>
    </row>
    <row r="952">
      <c r="C952" s="62">
        <f>IF(C$15&lt;=1,0,SUMPRODUCT(MAX(($C$12:$V$12=C$12)*($C$217:$V$217)*$C$3:$V$3)))</f>
        <v/>
      </c>
      <c r="D952" s="62">
        <f>IF(D$15&lt;=1,0,SUMPRODUCT(MAX(($C$12:$V$12=D$12)*($C$217:$V$217)*$C$3:$V$3)))</f>
        <v/>
      </c>
      <c r="E952" s="62">
        <f>IF(E$15&lt;=1,0,SUMPRODUCT(MAX(($C$12:$V$12=E$12)*($C$217:$V$217)*$C$3:$V$3)))</f>
        <v/>
      </c>
      <c r="F952" s="62">
        <f>IF(F$15&lt;=1,0,SUMPRODUCT(MAX(($C$12:$V$12=F$12)*($C$217:$V$217)*$C$3:$V$3)))</f>
        <v/>
      </c>
      <c r="G952" s="62">
        <f>IF(G$15&lt;=1,0,SUMPRODUCT(MAX(($C$12:$V$12=G$12)*($C$217:$V$217)*$C$3:$V$3)))</f>
        <v/>
      </c>
      <c r="H952" s="62">
        <f>IF(H$15&lt;=1,0,SUMPRODUCT(MAX(($C$12:$V$12=H$12)*($C$217:$V$217)*$C$3:$V$3)))</f>
        <v/>
      </c>
      <c r="I952" s="62">
        <f>IF(I$15&lt;=1,0,SUMPRODUCT(MAX(($C$12:$V$12=I$12)*($C$217:$V$217)*$C$3:$V$3)))</f>
        <v/>
      </c>
      <c r="J952" s="62">
        <f>IF(J$15&lt;=1,0,SUMPRODUCT(MAX(($C$12:$V$12=J$12)*($C$217:$V$217)*$C$3:$V$3)))</f>
        <v/>
      </c>
      <c r="K952" s="62">
        <f>IF(K$15&lt;=1,0,SUMPRODUCT(MAX(($C$12:$V$12=K$12)*($C$217:$V$217)*$C$3:$V$3)))</f>
        <v/>
      </c>
      <c r="L952" s="62">
        <f>IF(L$15&lt;=1,0,SUMPRODUCT(MAX(($C$12:$V$12=L$12)*($C$217:$V$217)*$C$3:$V$3)))</f>
        <v/>
      </c>
      <c r="M952" s="62">
        <f>IF(M$15&lt;=1,0,SUMPRODUCT(MAX(($C$12:$V$12=M$12)*($C$217:$V$217)*$C$3:$V$3)))</f>
        <v/>
      </c>
      <c r="N952" s="62">
        <f>IF(N$15&lt;=1,0,SUMPRODUCT(MAX(($C$12:$V$12=N$12)*($C$217:$V$217)*$C$3:$V$3)))</f>
        <v/>
      </c>
      <c r="O952" s="62">
        <f>IF(O$15&lt;=1,0,SUMPRODUCT(MAX(($C$12:$V$12=O$12)*($C$217:$V$217)*$C$3:$V$3)))</f>
        <v/>
      </c>
      <c r="P952" s="62">
        <f>IF(P$15&lt;=1,0,SUMPRODUCT(MAX(($C$12:$V$12=P$12)*($C$217:$V$217)*$C$3:$V$3)))</f>
        <v/>
      </c>
      <c r="Q952" s="62">
        <f>IF(Q$15&lt;=1,0,SUMPRODUCT(MAX(($C$12:$V$12=Q$12)*($C$217:$V$217)*$C$3:$V$3)))</f>
        <v/>
      </c>
      <c r="R952" s="62">
        <f>IF(R$15&lt;=1,0,SUMPRODUCT(MAX(($C$12:$V$12=R$12)*($C$217:$V$217)*$C$3:$V$3)))</f>
        <v/>
      </c>
      <c r="S952" s="62">
        <f>IF(S$15&lt;=1,0,SUMPRODUCT(MAX(($C$12:$V$12=S$12)*($C$217:$V$217)*$C$3:$V$3)))</f>
        <v/>
      </c>
      <c r="T952" s="62">
        <f>IF(T$15&lt;=1,0,SUMPRODUCT(MAX(($C$12:$V$12=T$12)*($C$217:$V$217)*$C$3:$V$3)))</f>
        <v/>
      </c>
      <c r="U952" s="62">
        <f>IF(U$15&lt;=1,0,SUMPRODUCT(MAX(($C$12:$V$12=U$12)*($C$217:$V$217)*$C$3:$V$3)))</f>
        <v/>
      </c>
      <c r="V952" s="62">
        <f>IF(V$15&lt;=1,0,SUMPRODUCT(MAX(($C$12:$V$12=V$12)*($C$217:$V$217)*$C$3:$V$3)))</f>
        <v/>
      </c>
    </row>
    <row r="953">
      <c r="C953" s="62">
        <f>IF(C$15&lt;=1,0,SUMPRODUCT(MAX(($C$12:$V$12=C$12)*($C$218:$V$218)*$C$3:$V$3)))</f>
        <v/>
      </c>
      <c r="D953" s="62">
        <f>IF(D$15&lt;=1,0,SUMPRODUCT(MAX(($C$12:$V$12=D$12)*($C$218:$V$218)*$C$3:$V$3)))</f>
        <v/>
      </c>
      <c r="E953" s="62">
        <f>IF(E$15&lt;=1,0,SUMPRODUCT(MAX(($C$12:$V$12=E$12)*($C$218:$V$218)*$C$3:$V$3)))</f>
        <v/>
      </c>
      <c r="F953" s="62">
        <f>IF(F$15&lt;=1,0,SUMPRODUCT(MAX(($C$12:$V$12=F$12)*($C$218:$V$218)*$C$3:$V$3)))</f>
        <v/>
      </c>
      <c r="G953" s="62">
        <f>IF(G$15&lt;=1,0,SUMPRODUCT(MAX(($C$12:$V$12=G$12)*($C$218:$V$218)*$C$3:$V$3)))</f>
        <v/>
      </c>
      <c r="H953" s="62">
        <f>IF(H$15&lt;=1,0,SUMPRODUCT(MAX(($C$12:$V$12=H$12)*($C$218:$V$218)*$C$3:$V$3)))</f>
        <v/>
      </c>
      <c r="I953" s="62">
        <f>IF(I$15&lt;=1,0,SUMPRODUCT(MAX(($C$12:$V$12=I$12)*($C$218:$V$218)*$C$3:$V$3)))</f>
        <v/>
      </c>
      <c r="J953" s="62">
        <f>IF(J$15&lt;=1,0,SUMPRODUCT(MAX(($C$12:$V$12=J$12)*($C$218:$V$218)*$C$3:$V$3)))</f>
        <v/>
      </c>
      <c r="K953" s="62">
        <f>IF(K$15&lt;=1,0,SUMPRODUCT(MAX(($C$12:$V$12=K$12)*($C$218:$V$218)*$C$3:$V$3)))</f>
        <v/>
      </c>
      <c r="L953" s="62">
        <f>IF(L$15&lt;=1,0,SUMPRODUCT(MAX(($C$12:$V$12=L$12)*($C$218:$V$218)*$C$3:$V$3)))</f>
        <v/>
      </c>
      <c r="M953" s="62">
        <f>IF(M$15&lt;=1,0,SUMPRODUCT(MAX(($C$12:$V$12=M$12)*($C$218:$V$218)*$C$3:$V$3)))</f>
        <v/>
      </c>
      <c r="N953" s="62">
        <f>IF(N$15&lt;=1,0,SUMPRODUCT(MAX(($C$12:$V$12=N$12)*($C$218:$V$218)*$C$3:$V$3)))</f>
        <v/>
      </c>
      <c r="O953" s="62">
        <f>IF(O$15&lt;=1,0,SUMPRODUCT(MAX(($C$12:$V$12=O$12)*($C$218:$V$218)*$C$3:$V$3)))</f>
        <v/>
      </c>
      <c r="P953" s="62">
        <f>IF(P$15&lt;=1,0,SUMPRODUCT(MAX(($C$12:$V$12=P$12)*($C$218:$V$218)*$C$3:$V$3)))</f>
        <v/>
      </c>
      <c r="Q953" s="62">
        <f>IF(Q$15&lt;=1,0,SUMPRODUCT(MAX(($C$12:$V$12=Q$12)*($C$218:$V$218)*$C$3:$V$3)))</f>
        <v/>
      </c>
      <c r="R953" s="62">
        <f>IF(R$15&lt;=1,0,SUMPRODUCT(MAX(($C$12:$V$12=R$12)*($C$218:$V$218)*$C$3:$V$3)))</f>
        <v/>
      </c>
      <c r="S953" s="62">
        <f>IF(S$15&lt;=1,0,SUMPRODUCT(MAX(($C$12:$V$12=S$12)*($C$218:$V$218)*$C$3:$V$3)))</f>
        <v/>
      </c>
      <c r="T953" s="62">
        <f>IF(T$15&lt;=1,0,SUMPRODUCT(MAX(($C$12:$V$12=T$12)*($C$218:$V$218)*$C$3:$V$3)))</f>
        <v/>
      </c>
      <c r="U953" s="62">
        <f>IF(U$15&lt;=1,0,SUMPRODUCT(MAX(($C$12:$V$12=U$12)*($C$218:$V$218)*$C$3:$V$3)))</f>
        <v/>
      </c>
      <c r="V953" s="62">
        <f>IF(V$15&lt;=1,0,SUMPRODUCT(MAX(($C$12:$V$12=V$12)*($C$218:$V$218)*$C$3:$V$3)))</f>
        <v/>
      </c>
    </row>
    <row r="954">
      <c r="C954" s="62">
        <f>IF(C$15&lt;=1,0,SUMPRODUCT(MAX(($C$12:$V$12=C$12)*($C$219:$V$219)*$C$3:$V$3)))</f>
        <v/>
      </c>
      <c r="D954" s="62">
        <f>IF(D$15&lt;=1,0,SUMPRODUCT(MAX(($C$12:$V$12=D$12)*($C$219:$V$219)*$C$3:$V$3)))</f>
        <v/>
      </c>
      <c r="E954" s="62">
        <f>IF(E$15&lt;=1,0,SUMPRODUCT(MAX(($C$12:$V$12=E$12)*($C$219:$V$219)*$C$3:$V$3)))</f>
        <v/>
      </c>
      <c r="F954" s="62">
        <f>IF(F$15&lt;=1,0,SUMPRODUCT(MAX(($C$12:$V$12=F$12)*($C$219:$V$219)*$C$3:$V$3)))</f>
        <v/>
      </c>
      <c r="G954" s="62">
        <f>IF(G$15&lt;=1,0,SUMPRODUCT(MAX(($C$12:$V$12=G$12)*($C$219:$V$219)*$C$3:$V$3)))</f>
        <v/>
      </c>
      <c r="H954" s="62">
        <f>IF(H$15&lt;=1,0,SUMPRODUCT(MAX(($C$12:$V$12=H$12)*($C$219:$V$219)*$C$3:$V$3)))</f>
        <v/>
      </c>
      <c r="I954" s="62">
        <f>IF(I$15&lt;=1,0,SUMPRODUCT(MAX(($C$12:$V$12=I$12)*($C$219:$V$219)*$C$3:$V$3)))</f>
        <v/>
      </c>
      <c r="J954" s="62">
        <f>IF(J$15&lt;=1,0,SUMPRODUCT(MAX(($C$12:$V$12=J$12)*($C$219:$V$219)*$C$3:$V$3)))</f>
        <v/>
      </c>
      <c r="K954" s="62">
        <f>IF(K$15&lt;=1,0,SUMPRODUCT(MAX(($C$12:$V$12=K$12)*($C$219:$V$219)*$C$3:$V$3)))</f>
        <v/>
      </c>
      <c r="L954" s="62">
        <f>IF(L$15&lt;=1,0,SUMPRODUCT(MAX(($C$12:$V$12=L$12)*($C$219:$V$219)*$C$3:$V$3)))</f>
        <v/>
      </c>
      <c r="M954" s="62">
        <f>IF(M$15&lt;=1,0,SUMPRODUCT(MAX(($C$12:$V$12=M$12)*($C$219:$V$219)*$C$3:$V$3)))</f>
        <v/>
      </c>
      <c r="N954" s="62">
        <f>IF(N$15&lt;=1,0,SUMPRODUCT(MAX(($C$12:$V$12=N$12)*($C$219:$V$219)*$C$3:$V$3)))</f>
        <v/>
      </c>
      <c r="O954" s="62">
        <f>IF(O$15&lt;=1,0,SUMPRODUCT(MAX(($C$12:$V$12=O$12)*($C$219:$V$219)*$C$3:$V$3)))</f>
        <v/>
      </c>
      <c r="P954" s="62">
        <f>IF(P$15&lt;=1,0,SUMPRODUCT(MAX(($C$12:$V$12=P$12)*($C$219:$V$219)*$C$3:$V$3)))</f>
        <v/>
      </c>
      <c r="Q954" s="62">
        <f>IF(Q$15&lt;=1,0,SUMPRODUCT(MAX(($C$12:$V$12=Q$12)*($C$219:$V$219)*$C$3:$V$3)))</f>
        <v/>
      </c>
      <c r="R954" s="62">
        <f>IF(R$15&lt;=1,0,SUMPRODUCT(MAX(($C$12:$V$12=R$12)*($C$219:$V$219)*$C$3:$V$3)))</f>
        <v/>
      </c>
      <c r="S954" s="62">
        <f>IF(S$15&lt;=1,0,SUMPRODUCT(MAX(($C$12:$V$12=S$12)*($C$219:$V$219)*$C$3:$V$3)))</f>
        <v/>
      </c>
      <c r="T954" s="62">
        <f>IF(T$15&lt;=1,0,SUMPRODUCT(MAX(($C$12:$V$12=T$12)*($C$219:$V$219)*$C$3:$V$3)))</f>
        <v/>
      </c>
      <c r="U954" s="62">
        <f>IF(U$15&lt;=1,0,SUMPRODUCT(MAX(($C$12:$V$12=U$12)*($C$219:$V$219)*$C$3:$V$3)))</f>
        <v/>
      </c>
      <c r="V954" s="62">
        <f>IF(V$15&lt;=1,0,SUMPRODUCT(MAX(($C$12:$V$12=V$12)*($C$219:$V$219)*$C$3:$V$3)))</f>
        <v/>
      </c>
    </row>
    <row r="955">
      <c r="C955" s="62">
        <f>IF(C$15&lt;=1,0,SUMPRODUCT(MAX(($C$12:$V$12=C$12)*($C$220:$V$220)*$C$3:$V$3)))</f>
        <v/>
      </c>
      <c r="D955" s="62">
        <f>IF(D$15&lt;=1,0,SUMPRODUCT(MAX(($C$12:$V$12=D$12)*($C$220:$V$220)*$C$3:$V$3)))</f>
        <v/>
      </c>
      <c r="E955" s="62">
        <f>IF(E$15&lt;=1,0,SUMPRODUCT(MAX(($C$12:$V$12=E$12)*($C$220:$V$220)*$C$3:$V$3)))</f>
        <v/>
      </c>
      <c r="F955" s="62">
        <f>IF(F$15&lt;=1,0,SUMPRODUCT(MAX(($C$12:$V$12=F$12)*($C$220:$V$220)*$C$3:$V$3)))</f>
        <v/>
      </c>
      <c r="G955" s="62">
        <f>IF(G$15&lt;=1,0,SUMPRODUCT(MAX(($C$12:$V$12=G$12)*($C$220:$V$220)*$C$3:$V$3)))</f>
        <v/>
      </c>
      <c r="H955" s="62">
        <f>IF(H$15&lt;=1,0,SUMPRODUCT(MAX(($C$12:$V$12=H$12)*($C$220:$V$220)*$C$3:$V$3)))</f>
        <v/>
      </c>
      <c r="I955" s="62">
        <f>IF(I$15&lt;=1,0,SUMPRODUCT(MAX(($C$12:$V$12=I$12)*($C$220:$V$220)*$C$3:$V$3)))</f>
        <v/>
      </c>
      <c r="J955" s="62">
        <f>IF(J$15&lt;=1,0,SUMPRODUCT(MAX(($C$12:$V$12=J$12)*($C$220:$V$220)*$C$3:$V$3)))</f>
        <v/>
      </c>
      <c r="K955" s="62">
        <f>IF(K$15&lt;=1,0,SUMPRODUCT(MAX(($C$12:$V$12=K$12)*($C$220:$V$220)*$C$3:$V$3)))</f>
        <v/>
      </c>
      <c r="L955" s="62">
        <f>IF(L$15&lt;=1,0,SUMPRODUCT(MAX(($C$12:$V$12=L$12)*($C$220:$V$220)*$C$3:$V$3)))</f>
        <v/>
      </c>
      <c r="M955" s="62">
        <f>IF(M$15&lt;=1,0,SUMPRODUCT(MAX(($C$12:$V$12=M$12)*($C$220:$V$220)*$C$3:$V$3)))</f>
        <v/>
      </c>
      <c r="N955" s="62">
        <f>IF(N$15&lt;=1,0,SUMPRODUCT(MAX(($C$12:$V$12=N$12)*($C$220:$V$220)*$C$3:$V$3)))</f>
        <v/>
      </c>
      <c r="O955" s="62">
        <f>IF(O$15&lt;=1,0,SUMPRODUCT(MAX(($C$12:$V$12=O$12)*($C$220:$V$220)*$C$3:$V$3)))</f>
        <v/>
      </c>
      <c r="P955" s="62">
        <f>IF(P$15&lt;=1,0,SUMPRODUCT(MAX(($C$12:$V$12=P$12)*($C$220:$V$220)*$C$3:$V$3)))</f>
        <v/>
      </c>
      <c r="Q955" s="62">
        <f>IF(Q$15&lt;=1,0,SUMPRODUCT(MAX(($C$12:$V$12=Q$12)*($C$220:$V$220)*$C$3:$V$3)))</f>
        <v/>
      </c>
      <c r="R955" s="62">
        <f>IF(R$15&lt;=1,0,SUMPRODUCT(MAX(($C$12:$V$12=R$12)*($C$220:$V$220)*$C$3:$V$3)))</f>
        <v/>
      </c>
      <c r="S955" s="62">
        <f>IF(S$15&lt;=1,0,SUMPRODUCT(MAX(($C$12:$V$12=S$12)*($C$220:$V$220)*$C$3:$V$3)))</f>
        <v/>
      </c>
      <c r="T955" s="62">
        <f>IF(T$15&lt;=1,0,SUMPRODUCT(MAX(($C$12:$V$12=T$12)*($C$220:$V$220)*$C$3:$V$3)))</f>
        <v/>
      </c>
      <c r="U955" s="62">
        <f>IF(U$15&lt;=1,0,SUMPRODUCT(MAX(($C$12:$V$12=U$12)*($C$220:$V$220)*$C$3:$V$3)))</f>
        <v/>
      </c>
      <c r="V955" s="62">
        <f>IF(V$15&lt;=1,0,SUMPRODUCT(MAX(($C$12:$V$12=V$12)*($C$220:$V$220)*$C$3:$V$3)))</f>
        <v/>
      </c>
    </row>
    <row r="956">
      <c r="C956" s="62">
        <f>IF(C$15&lt;=1,0,SUMPRODUCT(MAX(($C$12:$V$12=C$12)*($C$221:$V$221)*$C$3:$V$3)))</f>
        <v/>
      </c>
      <c r="D956" s="62">
        <f>IF(D$15&lt;=1,0,SUMPRODUCT(MAX(($C$12:$V$12=D$12)*($C$221:$V$221)*$C$3:$V$3)))</f>
        <v/>
      </c>
      <c r="E956" s="62">
        <f>IF(E$15&lt;=1,0,SUMPRODUCT(MAX(($C$12:$V$12=E$12)*($C$221:$V$221)*$C$3:$V$3)))</f>
        <v/>
      </c>
      <c r="F956" s="62">
        <f>IF(F$15&lt;=1,0,SUMPRODUCT(MAX(($C$12:$V$12=F$12)*($C$221:$V$221)*$C$3:$V$3)))</f>
        <v/>
      </c>
      <c r="G956" s="62">
        <f>IF(G$15&lt;=1,0,SUMPRODUCT(MAX(($C$12:$V$12=G$12)*($C$221:$V$221)*$C$3:$V$3)))</f>
        <v/>
      </c>
      <c r="H956" s="62">
        <f>IF(H$15&lt;=1,0,SUMPRODUCT(MAX(($C$12:$V$12=H$12)*($C$221:$V$221)*$C$3:$V$3)))</f>
        <v/>
      </c>
      <c r="I956" s="62">
        <f>IF(I$15&lt;=1,0,SUMPRODUCT(MAX(($C$12:$V$12=I$12)*($C$221:$V$221)*$C$3:$V$3)))</f>
        <v/>
      </c>
      <c r="J956" s="62">
        <f>IF(J$15&lt;=1,0,SUMPRODUCT(MAX(($C$12:$V$12=J$12)*($C$221:$V$221)*$C$3:$V$3)))</f>
        <v/>
      </c>
      <c r="K956" s="62">
        <f>IF(K$15&lt;=1,0,SUMPRODUCT(MAX(($C$12:$V$12=K$12)*($C$221:$V$221)*$C$3:$V$3)))</f>
        <v/>
      </c>
      <c r="L956" s="62">
        <f>IF(L$15&lt;=1,0,SUMPRODUCT(MAX(($C$12:$V$12=L$12)*($C$221:$V$221)*$C$3:$V$3)))</f>
        <v/>
      </c>
      <c r="M956" s="62">
        <f>IF(M$15&lt;=1,0,SUMPRODUCT(MAX(($C$12:$V$12=M$12)*($C$221:$V$221)*$C$3:$V$3)))</f>
        <v/>
      </c>
      <c r="N956" s="62">
        <f>IF(N$15&lt;=1,0,SUMPRODUCT(MAX(($C$12:$V$12=N$12)*($C$221:$V$221)*$C$3:$V$3)))</f>
        <v/>
      </c>
      <c r="O956" s="62">
        <f>IF(O$15&lt;=1,0,SUMPRODUCT(MAX(($C$12:$V$12=O$12)*($C$221:$V$221)*$C$3:$V$3)))</f>
        <v/>
      </c>
      <c r="P956" s="62">
        <f>IF(P$15&lt;=1,0,SUMPRODUCT(MAX(($C$12:$V$12=P$12)*($C$221:$V$221)*$C$3:$V$3)))</f>
        <v/>
      </c>
      <c r="Q956" s="62">
        <f>IF(Q$15&lt;=1,0,SUMPRODUCT(MAX(($C$12:$V$12=Q$12)*($C$221:$V$221)*$C$3:$V$3)))</f>
        <v/>
      </c>
      <c r="R956" s="62">
        <f>IF(R$15&lt;=1,0,SUMPRODUCT(MAX(($C$12:$V$12=R$12)*($C$221:$V$221)*$C$3:$V$3)))</f>
        <v/>
      </c>
      <c r="S956" s="62">
        <f>IF(S$15&lt;=1,0,SUMPRODUCT(MAX(($C$12:$V$12=S$12)*($C$221:$V$221)*$C$3:$V$3)))</f>
        <v/>
      </c>
      <c r="T956" s="62">
        <f>IF(T$15&lt;=1,0,SUMPRODUCT(MAX(($C$12:$V$12=T$12)*($C$221:$V$221)*$C$3:$V$3)))</f>
        <v/>
      </c>
      <c r="U956" s="62">
        <f>IF(U$15&lt;=1,0,SUMPRODUCT(MAX(($C$12:$V$12=U$12)*($C$221:$V$221)*$C$3:$V$3)))</f>
        <v/>
      </c>
      <c r="V956" s="62">
        <f>IF(V$15&lt;=1,0,SUMPRODUCT(MAX(($C$12:$V$12=V$12)*($C$221:$V$221)*$C$3:$V$3)))</f>
        <v/>
      </c>
    </row>
    <row r="957">
      <c r="C957" s="62">
        <f>IF(C$15&lt;=1,0,SUMPRODUCT(MAX(($C$12:$V$12=C$12)*($C$222:$V$222)*$C$3:$V$3)))</f>
        <v/>
      </c>
      <c r="D957" s="62">
        <f>IF(D$15&lt;=1,0,SUMPRODUCT(MAX(($C$12:$V$12=D$12)*($C$222:$V$222)*$C$3:$V$3)))</f>
        <v/>
      </c>
      <c r="E957" s="62">
        <f>IF(E$15&lt;=1,0,SUMPRODUCT(MAX(($C$12:$V$12=E$12)*($C$222:$V$222)*$C$3:$V$3)))</f>
        <v/>
      </c>
      <c r="F957" s="62">
        <f>IF(F$15&lt;=1,0,SUMPRODUCT(MAX(($C$12:$V$12=F$12)*($C$222:$V$222)*$C$3:$V$3)))</f>
        <v/>
      </c>
      <c r="G957" s="62">
        <f>IF(G$15&lt;=1,0,SUMPRODUCT(MAX(($C$12:$V$12=G$12)*($C$222:$V$222)*$C$3:$V$3)))</f>
        <v/>
      </c>
      <c r="H957" s="62">
        <f>IF(H$15&lt;=1,0,SUMPRODUCT(MAX(($C$12:$V$12=H$12)*($C$222:$V$222)*$C$3:$V$3)))</f>
        <v/>
      </c>
      <c r="I957" s="62">
        <f>IF(I$15&lt;=1,0,SUMPRODUCT(MAX(($C$12:$V$12=I$12)*($C$222:$V$222)*$C$3:$V$3)))</f>
        <v/>
      </c>
      <c r="J957" s="62">
        <f>IF(J$15&lt;=1,0,SUMPRODUCT(MAX(($C$12:$V$12=J$12)*($C$222:$V$222)*$C$3:$V$3)))</f>
        <v/>
      </c>
      <c r="K957" s="62">
        <f>IF(K$15&lt;=1,0,SUMPRODUCT(MAX(($C$12:$V$12=K$12)*($C$222:$V$222)*$C$3:$V$3)))</f>
        <v/>
      </c>
      <c r="L957" s="62">
        <f>IF(L$15&lt;=1,0,SUMPRODUCT(MAX(($C$12:$V$12=L$12)*($C$222:$V$222)*$C$3:$V$3)))</f>
        <v/>
      </c>
      <c r="M957" s="62">
        <f>IF(M$15&lt;=1,0,SUMPRODUCT(MAX(($C$12:$V$12=M$12)*($C$222:$V$222)*$C$3:$V$3)))</f>
        <v/>
      </c>
      <c r="N957" s="62">
        <f>IF(N$15&lt;=1,0,SUMPRODUCT(MAX(($C$12:$V$12=N$12)*($C$222:$V$222)*$C$3:$V$3)))</f>
        <v/>
      </c>
      <c r="O957" s="62">
        <f>IF(O$15&lt;=1,0,SUMPRODUCT(MAX(($C$12:$V$12=O$12)*($C$222:$V$222)*$C$3:$V$3)))</f>
        <v/>
      </c>
      <c r="P957" s="62">
        <f>IF(P$15&lt;=1,0,SUMPRODUCT(MAX(($C$12:$V$12=P$12)*($C$222:$V$222)*$C$3:$V$3)))</f>
        <v/>
      </c>
      <c r="Q957" s="62">
        <f>IF(Q$15&lt;=1,0,SUMPRODUCT(MAX(($C$12:$V$12=Q$12)*($C$222:$V$222)*$C$3:$V$3)))</f>
        <v/>
      </c>
      <c r="R957" s="62">
        <f>IF(R$15&lt;=1,0,SUMPRODUCT(MAX(($C$12:$V$12=R$12)*($C$222:$V$222)*$C$3:$V$3)))</f>
        <v/>
      </c>
      <c r="S957" s="62">
        <f>IF(S$15&lt;=1,0,SUMPRODUCT(MAX(($C$12:$V$12=S$12)*($C$222:$V$222)*$C$3:$V$3)))</f>
        <v/>
      </c>
      <c r="T957" s="62">
        <f>IF(T$15&lt;=1,0,SUMPRODUCT(MAX(($C$12:$V$12=T$12)*($C$222:$V$222)*$C$3:$V$3)))</f>
        <v/>
      </c>
      <c r="U957" s="62">
        <f>IF(U$15&lt;=1,0,SUMPRODUCT(MAX(($C$12:$V$12=U$12)*($C$222:$V$222)*$C$3:$V$3)))</f>
        <v/>
      </c>
      <c r="V957" s="62">
        <f>IF(V$15&lt;=1,0,SUMPRODUCT(MAX(($C$12:$V$12=V$12)*($C$222:$V$222)*$C$3:$V$3)))</f>
        <v/>
      </c>
    </row>
    <row r="958">
      <c r="C958" s="62">
        <f>IF(C$15&lt;=1,0,SUMPRODUCT(MAX(($C$12:$V$12=C$12)*($C$223:$V$223)*$C$3:$V$3)))</f>
        <v/>
      </c>
      <c r="D958" s="62">
        <f>IF(D$15&lt;=1,0,SUMPRODUCT(MAX(($C$12:$V$12=D$12)*($C$223:$V$223)*$C$3:$V$3)))</f>
        <v/>
      </c>
      <c r="E958" s="62">
        <f>IF(E$15&lt;=1,0,SUMPRODUCT(MAX(($C$12:$V$12=E$12)*($C$223:$V$223)*$C$3:$V$3)))</f>
        <v/>
      </c>
      <c r="F958" s="62">
        <f>IF(F$15&lt;=1,0,SUMPRODUCT(MAX(($C$12:$V$12=F$12)*($C$223:$V$223)*$C$3:$V$3)))</f>
        <v/>
      </c>
      <c r="G958" s="62">
        <f>IF(G$15&lt;=1,0,SUMPRODUCT(MAX(($C$12:$V$12=G$12)*($C$223:$V$223)*$C$3:$V$3)))</f>
        <v/>
      </c>
      <c r="H958" s="62">
        <f>IF(H$15&lt;=1,0,SUMPRODUCT(MAX(($C$12:$V$12=H$12)*($C$223:$V$223)*$C$3:$V$3)))</f>
        <v/>
      </c>
      <c r="I958" s="62">
        <f>IF(I$15&lt;=1,0,SUMPRODUCT(MAX(($C$12:$V$12=I$12)*($C$223:$V$223)*$C$3:$V$3)))</f>
        <v/>
      </c>
      <c r="J958" s="62">
        <f>IF(J$15&lt;=1,0,SUMPRODUCT(MAX(($C$12:$V$12=J$12)*($C$223:$V$223)*$C$3:$V$3)))</f>
        <v/>
      </c>
      <c r="K958" s="62">
        <f>IF(K$15&lt;=1,0,SUMPRODUCT(MAX(($C$12:$V$12=K$12)*($C$223:$V$223)*$C$3:$V$3)))</f>
        <v/>
      </c>
      <c r="L958" s="62">
        <f>IF(L$15&lt;=1,0,SUMPRODUCT(MAX(($C$12:$V$12=L$12)*($C$223:$V$223)*$C$3:$V$3)))</f>
        <v/>
      </c>
      <c r="M958" s="62">
        <f>IF(M$15&lt;=1,0,SUMPRODUCT(MAX(($C$12:$V$12=M$12)*($C$223:$V$223)*$C$3:$V$3)))</f>
        <v/>
      </c>
      <c r="N958" s="62">
        <f>IF(N$15&lt;=1,0,SUMPRODUCT(MAX(($C$12:$V$12=N$12)*($C$223:$V$223)*$C$3:$V$3)))</f>
        <v/>
      </c>
      <c r="O958" s="62">
        <f>IF(O$15&lt;=1,0,SUMPRODUCT(MAX(($C$12:$V$12=O$12)*($C$223:$V$223)*$C$3:$V$3)))</f>
        <v/>
      </c>
      <c r="P958" s="62">
        <f>IF(P$15&lt;=1,0,SUMPRODUCT(MAX(($C$12:$V$12=P$12)*($C$223:$V$223)*$C$3:$V$3)))</f>
        <v/>
      </c>
      <c r="Q958" s="62">
        <f>IF(Q$15&lt;=1,0,SUMPRODUCT(MAX(($C$12:$V$12=Q$12)*($C$223:$V$223)*$C$3:$V$3)))</f>
        <v/>
      </c>
      <c r="R958" s="62">
        <f>IF(R$15&lt;=1,0,SUMPRODUCT(MAX(($C$12:$V$12=R$12)*($C$223:$V$223)*$C$3:$V$3)))</f>
        <v/>
      </c>
      <c r="S958" s="62">
        <f>IF(S$15&lt;=1,0,SUMPRODUCT(MAX(($C$12:$V$12=S$12)*($C$223:$V$223)*$C$3:$V$3)))</f>
        <v/>
      </c>
      <c r="T958" s="62">
        <f>IF(T$15&lt;=1,0,SUMPRODUCT(MAX(($C$12:$V$12=T$12)*($C$223:$V$223)*$C$3:$V$3)))</f>
        <v/>
      </c>
      <c r="U958" s="62">
        <f>IF(U$15&lt;=1,0,SUMPRODUCT(MAX(($C$12:$V$12=U$12)*($C$223:$V$223)*$C$3:$V$3)))</f>
        <v/>
      </c>
      <c r="V958" s="62">
        <f>IF(V$15&lt;=1,0,SUMPRODUCT(MAX(($C$12:$V$12=V$12)*($C$223:$V$223)*$C$3:$V$3)))</f>
        <v/>
      </c>
    </row>
    <row r="959">
      <c r="C959" s="62">
        <f>IF(C$15&lt;=1,0,SUMPRODUCT(MAX(($C$12:$V$12=C$12)*($C$224:$V$224)*$C$3:$V$3)))</f>
        <v/>
      </c>
      <c r="D959" s="62">
        <f>IF(D$15&lt;=1,0,SUMPRODUCT(MAX(($C$12:$V$12=D$12)*($C$224:$V$224)*$C$3:$V$3)))</f>
        <v/>
      </c>
      <c r="E959" s="62">
        <f>IF(E$15&lt;=1,0,SUMPRODUCT(MAX(($C$12:$V$12=E$12)*($C$224:$V$224)*$C$3:$V$3)))</f>
        <v/>
      </c>
      <c r="F959" s="62">
        <f>IF(F$15&lt;=1,0,SUMPRODUCT(MAX(($C$12:$V$12=F$12)*($C$224:$V$224)*$C$3:$V$3)))</f>
        <v/>
      </c>
      <c r="G959" s="62">
        <f>IF(G$15&lt;=1,0,SUMPRODUCT(MAX(($C$12:$V$12=G$12)*($C$224:$V$224)*$C$3:$V$3)))</f>
        <v/>
      </c>
      <c r="H959" s="62">
        <f>IF(H$15&lt;=1,0,SUMPRODUCT(MAX(($C$12:$V$12=H$12)*($C$224:$V$224)*$C$3:$V$3)))</f>
        <v/>
      </c>
      <c r="I959" s="62">
        <f>IF(I$15&lt;=1,0,SUMPRODUCT(MAX(($C$12:$V$12=I$12)*($C$224:$V$224)*$C$3:$V$3)))</f>
        <v/>
      </c>
      <c r="J959" s="62">
        <f>IF(J$15&lt;=1,0,SUMPRODUCT(MAX(($C$12:$V$12=J$12)*($C$224:$V$224)*$C$3:$V$3)))</f>
        <v/>
      </c>
      <c r="K959" s="62">
        <f>IF(K$15&lt;=1,0,SUMPRODUCT(MAX(($C$12:$V$12=K$12)*($C$224:$V$224)*$C$3:$V$3)))</f>
        <v/>
      </c>
      <c r="L959" s="62">
        <f>IF(L$15&lt;=1,0,SUMPRODUCT(MAX(($C$12:$V$12=L$12)*($C$224:$V$224)*$C$3:$V$3)))</f>
        <v/>
      </c>
      <c r="M959" s="62">
        <f>IF(M$15&lt;=1,0,SUMPRODUCT(MAX(($C$12:$V$12=M$12)*($C$224:$V$224)*$C$3:$V$3)))</f>
        <v/>
      </c>
      <c r="N959" s="62">
        <f>IF(N$15&lt;=1,0,SUMPRODUCT(MAX(($C$12:$V$12=N$12)*($C$224:$V$224)*$C$3:$V$3)))</f>
        <v/>
      </c>
      <c r="O959" s="62">
        <f>IF(O$15&lt;=1,0,SUMPRODUCT(MAX(($C$12:$V$12=O$12)*($C$224:$V$224)*$C$3:$V$3)))</f>
        <v/>
      </c>
      <c r="P959" s="62">
        <f>IF(P$15&lt;=1,0,SUMPRODUCT(MAX(($C$12:$V$12=P$12)*($C$224:$V$224)*$C$3:$V$3)))</f>
        <v/>
      </c>
      <c r="Q959" s="62">
        <f>IF(Q$15&lt;=1,0,SUMPRODUCT(MAX(($C$12:$V$12=Q$12)*($C$224:$V$224)*$C$3:$V$3)))</f>
        <v/>
      </c>
      <c r="R959" s="62">
        <f>IF(R$15&lt;=1,0,SUMPRODUCT(MAX(($C$12:$V$12=R$12)*($C$224:$V$224)*$C$3:$V$3)))</f>
        <v/>
      </c>
      <c r="S959" s="62">
        <f>IF(S$15&lt;=1,0,SUMPRODUCT(MAX(($C$12:$V$12=S$12)*($C$224:$V$224)*$C$3:$V$3)))</f>
        <v/>
      </c>
      <c r="T959" s="62">
        <f>IF(T$15&lt;=1,0,SUMPRODUCT(MAX(($C$12:$V$12=T$12)*($C$224:$V$224)*$C$3:$V$3)))</f>
        <v/>
      </c>
      <c r="U959" s="62">
        <f>IF(U$15&lt;=1,0,SUMPRODUCT(MAX(($C$12:$V$12=U$12)*($C$224:$V$224)*$C$3:$V$3)))</f>
        <v/>
      </c>
      <c r="V959" s="62">
        <f>IF(V$15&lt;=1,0,SUMPRODUCT(MAX(($C$12:$V$12=V$12)*($C$224:$V$224)*$C$3:$V$3)))</f>
        <v/>
      </c>
    </row>
    <row r="964">
      <c r="A964" s="171" t="inlineStr">
        <is>
          <t>bester Prozentwert der Gruppe</t>
        </is>
      </c>
    </row>
    <row r="965">
      <c r="C965" s="62">
        <f>IF(C$15&lt;=1,0,SUMPRODUCT(MAX(($C$12:$V$12=C$12)*($C$125:$V$125)*($C$20:$V$20))))</f>
        <v/>
      </c>
      <c r="D965" s="62">
        <f>IF(D$15&lt;=1,0,SUMPRODUCT(MAX(($C$12:$V$12=D$12)*($C$125:$V$125)*($C$20:$V$20))))</f>
        <v/>
      </c>
      <c r="E965" s="62">
        <f>IF(E$15&lt;=1,0,SUMPRODUCT(MAX(($C$12:$V$12=E$12)*($C$125:$V$125)*($C$20:$V$20))))</f>
        <v/>
      </c>
      <c r="F965" s="62">
        <f>IF(F$15&lt;=1,0,SUMPRODUCT(MAX(($C$12:$V$12=F$12)*($C$125:$V$125)*($C$20:$V$20))))</f>
        <v/>
      </c>
      <c r="G965" s="62">
        <f>IF(G$15&lt;=1,0,SUMPRODUCT(MAX(($C$12:$V$12=G$12)*($C$125:$V$125)*($C$20:$V$20))))</f>
        <v/>
      </c>
      <c r="H965" s="62">
        <f>IF(H$15&lt;=1,0,SUMPRODUCT(MAX(($C$12:$V$12=H$12)*($C$125:$V$125)*($C$20:$V$20))))</f>
        <v/>
      </c>
      <c r="I965" s="62">
        <f>IF(I$15&lt;=1,0,SUMPRODUCT(MAX(($C$12:$V$12=I$12)*($C$125:$V$125)*($C$20:$V$20))))</f>
        <v/>
      </c>
      <c r="J965" s="62">
        <f>IF(J$15&lt;=1,0,SUMPRODUCT(MAX(($C$12:$V$12=J$12)*($C$125:$V$125)*($C$20:$V$20))))</f>
        <v/>
      </c>
      <c r="K965" s="62">
        <f>IF(K$15&lt;=1,0,SUMPRODUCT(MAX(($C$12:$V$12=K$12)*($C$125:$V$125)*($C$20:$V$20))))</f>
        <v/>
      </c>
      <c r="L965" s="62">
        <f>IF(L$15&lt;=1,0,SUMPRODUCT(MAX(($C$12:$V$12=L$12)*($C$125:$V$125)*($C$20:$V$20))))</f>
        <v/>
      </c>
      <c r="M965" s="62">
        <f>IF(M$15&lt;=1,0,SUMPRODUCT(MAX(($C$12:$V$12=M$12)*($C$125:$V$125)*($C$20:$V$20))))</f>
        <v/>
      </c>
      <c r="N965" s="62">
        <f>IF(N$15&lt;=1,0,SUMPRODUCT(MAX(($C$12:$V$12=N$12)*($C$125:$V$125)*($C$20:$V$20))))</f>
        <v/>
      </c>
      <c r="O965" s="62">
        <f>IF(O$15&lt;=1,0,SUMPRODUCT(MAX(($C$12:$V$12=O$12)*($C$125:$V$125)*($C$20:$V$20))))</f>
        <v/>
      </c>
      <c r="P965" s="62">
        <f>IF(P$15&lt;=1,0,SUMPRODUCT(MAX(($C$12:$V$12=P$12)*($C$125:$V$125)*($C$20:$V$20))))</f>
        <v/>
      </c>
      <c r="Q965" s="62">
        <f>IF(Q$15&lt;=1,0,SUMPRODUCT(MAX(($C$12:$V$12=Q$12)*($C$125:$V$125)*($C$20:$V$20))))</f>
        <v/>
      </c>
      <c r="R965" s="62">
        <f>IF(R$15&lt;=1,0,SUMPRODUCT(MAX(($C$12:$V$12=R$12)*($C$125:$V$125)*($C$20:$V$20))))</f>
        <v/>
      </c>
      <c r="S965" s="62">
        <f>IF(S$15&lt;=1,0,SUMPRODUCT(MAX(($C$12:$V$12=S$12)*($C$125:$V$125)*($C$20:$V$20))))</f>
        <v/>
      </c>
      <c r="T965" s="62">
        <f>IF(T$15&lt;=1,0,SUMPRODUCT(MAX(($C$12:$V$12=T$12)*($C$125:$V$125)*($C$20:$V$20))))</f>
        <v/>
      </c>
      <c r="U965" s="62">
        <f>IF(U$15&lt;=1,0,SUMPRODUCT(MAX(($C$12:$V$12=U$12)*($C$125:$V$125)*($C$20:$V$20))))</f>
        <v/>
      </c>
      <c r="V965" s="62">
        <f>IF(V$15&lt;=1,0,SUMPRODUCT(MAX(($C$12:$V$12=V$12)*($C$125:$V$125)*($C$20:$V$20))))</f>
        <v/>
      </c>
    </row>
    <row r="966">
      <c r="C966" s="62">
        <f>IF(C$15&lt;=1,0,SUMPRODUCT(MAX(($C$12:$V$12=C$12)*($C$126:$V$126)*($C$21:$V$21))))</f>
        <v/>
      </c>
      <c r="D966" s="62">
        <f>IF(D$15&lt;=1,0,SUMPRODUCT(MAX(($C$12:$V$12=D$12)*($C$126:$V$126)*($C$21:$V$21))))</f>
        <v/>
      </c>
      <c r="E966" s="62">
        <f>IF(E$15&lt;=1,0,SUMPRODUCT(MAX(($C$12:$V$12=E$12)*($C$126:$V$126)*($C$21:$V$21))))</f>
        <v/>
      </c>
      <c r="F966" s="62">
        <f>IF(F$15&lt;=1,0,SUMPRODUCT(MAX(($C$12:$V$12=F$12)*($C$126:$V$126)*($C$21:$V$21))))</f>
        <v/>
      </c>
      <c r="G966" s="62">
        <f>IF(G$15&lt;=1,0,SUMPRODUCT(MAX(($C$12:$V$12=G$12)*($C$126:$V$126)*($C$21:$V$21))))</f>
        <v/>
      </c>
      <c r="H966" s="62">
        <f>IF(H$15&lt;=1,0,SUMPRODUCT(MAX(($C$12:$V$12=H$12)*($C$126:$V$126)*($C$21:$V$21))))</f>
        <v/>
      </c>
      <c r="I966" s="62">
        <f>IF(I$15&lt;=1,0,SUMPRODUCT(MAX(($C$12:$V$12=I$12)*($C$126:$V$126)*($C$21:$V$21))))</f>
        <v/>
      </c>
      <c r="J966" s="62">
        <f>IF(J$15&lt;=1,0,SUMPRODUCT(MAX(($C$12:$V$12=J$12)*($C$126:$V$126)*($C$21:$V$21))))</f>
        <v/>
      </c>
      <c r="K966" s="62">
        <f>IF(K$15&lt;=1,0,SUMPRODUCT(MAX(($C$12:$V$12=K$12)*($C$126:$V$126)*($C$21:$V$21))))</f>
        <v/>
      </c>
      <c r="L966" s="62">
        <f>IF(L$15&lt;=1,0,SUMPRODUCT(MAX(($C$12:$V$12=L$12)*($C$126:$V$126)*($C$21:$V$21))))</f>
        <v/>
      </c>
      <c r="M966" s="62">
        <f>IF(M$15&lt;=1,0,SUMPRODUCT(MAX(($C$12:$V$12=M$12)*($C$126:$V$126)*($C$21:$V$21))))</f>
        <v/>
      </c>
      <c r="N966" s="62">
        <f>IF(N$15&lt;=1,0,SUMPRODUCT(MAX(($C$12:$V$12=N$12)*($C$126:$V$126)*($C$21:$V$21))))</f>
        <v/>
      </c>
      <c r="O966" s="62">
        <f>IF(O$15&lt;=1,0,SUMPRODUCT(MAX(($C$12:$V$12=O$12)*($C$126:$V$126)*($C$21:$V$21))))</f>
        <v/>
      </c>
      <c r="P966" s="62">
        <f>IF(P$15&lt;=1,0,SUMPRODUCT(MAX(($C$12:$V$12=P$12)*($C$126:$V$126)*($C$21:$V$21))))</f>
        <v/>
      </c>
      <c r="Q966" s="62">
        <f>IF(Q$15&lt;=1,0,SUMPRODUCT(MAX(($C$12:$V$12=Q$12)*($C$126:$V$126)*($C$21:$V$21))))</f>
        <v/>
      </c>
      <c r="R966" s="62">
        <f>IF(R$15&lt;=1,0,SUMPRODUCT(MAX(($C$12:$V$12=R$12)*($C$126:$V$126)*($C$21:$V$21))))</f>
        <v/>
      </c>
      <c r="S966" s="62">
        <f>IF(S$15&lt;=1,0,SUMPRODUCT(MAX(($C$12:$V$12=S$12)*($C$126:$V$126)*($C$21:$V$21))))</f>
        <v/>
      </c>
      <c r="T966" s="62">
        <f>IF(T$15&lt;=1,0,SUMPRODUCT(MAX(($C$12:$V$12=T$12)*($C$126:$V$126)*($C$21:$V$21))))</f>
        <v/>
      </c>
      <c r="U966" s="62">
        <f>IF(U$15&lt;=1,0,SUMPRODUCT(MAX(($C$12:$V$12=U$12)*($C$126:$V$126)*($C$21:$V$21))))</f>
        <v/>
      </c>
      <c r="V966" s="62">
        <f>IF(V$15&lt;=1,0,SUMPRODUCT(MAX(($C$12:$V$12=V$12)*($C$126:$V$126)*($C$21:$V$21))))</f>
        <v/>
      </c>
    </row>
    <row r="967">
      <c r="C967" s="62">
        <f>IF(C$15&lt;=1,0,SUMPRODUCT(MAX(($C$12:$V$12=C$12)*($C$127:$V$127)*($C$22:$V$22))))</f>
        <v/>
      </c>
      <c r="D967" s="62">
        <f>IF(D$15&lt;=1,0,SUMPRODUCT(MAX(($C$12:$V$12=D$12)*($C$127:$V$127)*($C$22:$V$22))))</f>
        <v/>
      </c>
      <c r="E967" s="62">
        <f>IF(E$15&lt;=1,0,SUMPRODUCT(MAX(($C$12:$V$12=E$12)*($C$127:$V$127)*($C$22:$V$22))))</f>
        <v/>
      </c>
      <c r="F967" s="62">
        <f>IF(F$15&lt;=1,0,SUMPRODUCT(MAX(($C$12:$V$12=F$12)*($C$127:$V$127)*($C$22:$V$22))))</f>
        <v/>
      </c>
      <c r="G967" s="62">
        <f>IF(G$15&lt;=1,0,SUMPRODUCT(MAX(($C$12:$V$12=G$12)*($C$127:$V$127)*($C$22:$V$22))))</f>
        <v/>
      </c>
      <c r="H967" s="62">
        <f>IF(H$15&lt;=1,0,SUMPRODUCT(MAX(($C$12:$V$12=H$12)*($C$127:$V$127)*($C$22:$V$22))))</f>
        <v/>
      </c>
      <c r="I967" s="62">
        <f>IF(I$15&lt;=1,0,SUMPRODUCT(MAX(($C$12:$V$12=I$12)*($C$127:$V$127)*($C$22:$V$22))))</f>
        <v/>
      </c>
      <c r="J967" s="62">
        <f>IF(J$15&lt;=1,0,SUMPRODUCT(MAX(($C$12:$V$12=J$12)*($C$127:$V$127)*($C$22:$V$22))))</f>
        <v/>
      </c>
      <c r="K967" s="62">
        <f>IF(K$15&lt;=1,0,SUMPRODUCT(MAX(($C$12:$V$12=K$12)*($C$127:$V$127)*($C$22:$V$22))))</f>
        <v/>
      </c>
      <c r="L967" s="62">
        <f>IF(L$15&lt;=1,0,SUMPRODUCT(MAX(($C$12:$V$12=L$12)*($C$127:$V$127)*($C$22:$V$22))))</f>
        <v/>
      </c>
      <c r="M967" s="62">
        <f>IF(M$15&lt;=1,0,SUMPRODUCT(MAX(($C$12:$V$12=M$12)*($C$127:$V$127)*($C$22:$V$22))))</f>
        <v/>
      </c>
      <c r="N967" s="62">
        <f>IF(N$15&lt;=1,0,SUMPRODUCT(MAX(($C$12:$V$12=N$12)*($C$127:$V$127)*($C$22:$V$22))))</f>
        <v/>
      </c>
      <c r="O967" s="62">
        <f>IF(O$15&lt;=1,0,SUMPRODUCT(MAX(($C$12:$V$12=O$12)*($C$127:$V$127)*($C$22:$V$22))))</f>
        <v/>
      </c>
      <c r="P967" s="62">
        <f>IF(P$15&lt;=1,0,SUMPRODUCT(MAX(($C$12:$V$12=P$12)*($C$127:$V$127)*($C$22:$V$22))))</f>
        <v/>
      </c>
      <c r="Q967" s="62">
        <f>IF(Q$15&lt;=1,0,SUMPRODUCT(MAX(($C$12:$V$12=Q$12)*($C$127:$V$127)*($C$22:$V$22))))</f>
        <v/>
      </c>
      <c r="R967" s="62">
        <f>IF(R$15&lt;=1,0,SUMPRODUCT(MAX(($C$12:$V$12=R$12)*($C$127:$V$127)*($C$22:$V$22))))</f>
        <v/>
      </c>
      <c r="S967" s="62">
        <f>IF(S$15&lt;=1,0,SUMPRODUCT(MAX(($C$12:$V$12=S$12)*($C$127:$V$127)*($C$22:$V$22))))</f>
        <v/>
      </c>
      <c r="T967" s="62">
        <f>IF(T$15&lt;=1,0,SUMPRODUCT(MAX(($C$12:$V$12=T$12)*($C$127:$V$127)*($C$22:$V$22))))</f>
        <v/>
      </c>
      <c r="U967" s="62">
        <f>IF(U$15&lt;=1,0,SUMPRODUCT(MAX(($C$12:$V$12=U$12)*($C$127:$V$127)*($C$22:$V$22))))</f>
        <v/>
      </c>
      <c r="V967" s="62">
        <f>IF(V$15&lt;=1,0,SUMPRODUCT(MAX(($C$12:$V$12=V$12)*($C$127:$V$127)*($C$22:$V$22))))</f>
        <v/>
      </c>
    </row>
    <row r="968">
      <c r="C968" s="62">
        <f>IF(C$15&lt;=1,0,SUMPRODUCT(MAX(($C$12:$V$12=C$12)*($C$128:$V$128)*($C$23:$V$23))))</f>
        <v/>
      </c>
      <c r="D968" s="62">
        <f>IF(D$15&lt;=1,0,SUMPRODUCT(MAX(($C$12:$V$12=D$12)*($C$128:$V$128)*($C$23:$V$23))))</f>
        <v/>
      </c>
      <c r="E968" s="62">
        <f>IF(E$15&lt;=1,0,SUMPRODUCT(MAX(($C$12:$V$12=E$12)*($C$128:$V$128)*($C$23:$V$23))))</f>
        <v/>
      </c>
      <c r="F968" s="62">
        <f>IF(F$15&lt;=1,0,SUMPRODUCT(MAX(($C$12:$V$12=F$12)*($C$128:$V$128)*($C$23:$V$23))))</f>
        <v/>
      </c>
      <c r="G968" s="62">
        <f>IF(G$15&lt;=1,0,SUMPRODUCT(MAX(($C$12:$V$12=G$12)*($C$128:$V$128)*($C$23:$V$23))))</f>
        <v/>
      </c>
      <c r="H968" s="62">
        <f>IF(H$15&lt;=1,0,SUMPRODUCT(MAX(($C$12:$V$12=H$12)*($C$128:$V$128)*($C$23:$V$23))))</f>
        <v/>
      </c>
      <c r="I968" s="62">
        <f>IF(I$15&lt;=1,0,SUMPRODUCT(MAX(($C$12:$V$12=I$12)*($C$128:$V$128)*($C$23:$V$23))))</f>
        <v/>
      </c>
      <c r="J968" s="62">
        <f>IF(J$15&lt;=1,0,SUMPRODUCT(MAX(($C$12:$V$12=J$12)*($C$128:$V$128)*($C$23:$V$23))))</f>
        <v/>
      </c>
      <c r="K968" s="62">
        <f>IF(K$15&lt;=1,0,SUMPRODUCT(MAX(($C$12:$V$12=K$12)*($C$128:$V$128)*($C$23:$V$23))))</f>
        <v/>
      </c>
      <c r="L968" s="62">
        <f>IF(L$15&lt;=1,0,SUMPRODUCT(MAX(($C$12:$V$12=L$12)*($C$128:$V$128)*($C$23:$V$23))))</f>
        <v/>
      </c>
      <c r="M968" s="62">
        <f>IF(M$15&lt;=1,0,SUMPRODUCT(MAX(($C$12:$V$12=M$12)*($C$128:$V$128)*($C$23:$V$23))))</f>
        <v/>
      </c>
      <c r="N968" s="62">
        <f>IF(N$15&lt;=1,0,SUMPRODUCT(MAX(($C$12:$V$12=N$12)*($C$128:$V$128)*($C$23:$V$23))))</f>
        <v/>
      </c>
      <c r="O968" s="62">
        <f>IF(O$15&lt;=1,0,SUMPRODUCT(MAX(($C$12:$V$12=O$12)*($C$128:$V$128)*($C$23:$V$23))))</f>
        <v/>
      </c>
      <c r="P968" s="62">
        <f>IF(P$15&lt;=1,0,SUMPRODUCT(MAX(($C$12:$V$12=P$12)*($C$128:$V$128)*($C$23:$V$23))))</f>
        <v/>
      </c>
      <c r="Q968" s="62">
        <f>IF(Q$15&lt;=1,0,SUMPRODUCT(MAX(($C$12:$V$12=Q$12)*($C$128:$V$128)*($C$23:$V$23))))</f>
        <v/>
      </c>
      <c r="R968" s="62">
        <f>IF(R$15&lt;=1,0,SUMPRODUCT(MAX(($C$12:$V$12=R$12)*($C$128:$V$128)*($C$23:$V$23))))</f>
        <v/>
      </c>
      <c r="S968" s="62">
        <f>IF(S$15&lt;=1,0,SUMPRODUCT(MAX(($C$12:$V$12=S$12)*($C$128:$V$128)*($C$23:$V$23))))</f>
        <v/>
      </c>
      <c r="T968" s="62">
        <f>IF(T$15&lt;=1,0,SUMPRODUCT(MAX(($C$12:$V$12=T$12)*($C$128:$V$128)*($C$23:$V$23))))</f>
        <v/>
      </c>
      <c r="U968" s="62">
        <f>IF(U$15&lt;=1,0,SUMPRODUCT(MAX(($C$12:$V$12=U$12)*($C$128:$V$128)*($C$23:$V$23))))</f>
        <v/>
      </c>
      <c r="V968" s="62">
        <f>IF(V$15&lt;=1,0,SUMPRODUCT(MAX(($C$12:$V$12=V$12)*($C$128:$V$128)*($C$23:$V$23))))</f>
        <v/>
      </c>
    </row>
    <row r="969">
      <c r="C969" s="62">
        <f>IF(C$15&lt;=1,0,SUMPRODUCT(MAX(($C$12:$V$12=C$12)*($C$129:$V$129)*($C$24:$V$24))))</f>
        <v/>
      </c>
      <c r="D969" s="62">
        <f>IF(D$15&lt;=1,0,SUMPRODUCT(MAX(($C$12:$V$12=D$12)*($C$129:$V$129)*($C$24:$V$24))))</f>
        <v/>
      </c>
      <c r="E969" s="62">
        <f>IF(E$15&lt;=1,0,SUMPRODUCT(MAX(($C$12:$V$12=E$12)*($C$129:$V$129)*($C$24:$V$24))))</f>
        <v/>
      </c>
      <c r="F969" s="62">
        <f>IF(F$15&lt;=1,0,SUMPRODUCT(MAX(($C$12:$V$12=F$12)*($C$129:$V$129)*($C$24:$V$24))))</f>
        <v/>
      </c>
      <c r="G969" s="62">
        <f>IF(G$15&lt;=1,0,SUMPRODUCT(MAX(($C$12:$V$12=G$12)*($C$129:$V$129)*($C$24:$V$24))))</f>
        <v/>
      </c>
      <c r="H969" s="62">
        <f>IF(H$15&lt;=1,0,SUMPRODUCT(MAX(($C$12:$V$12=H$12)*($C$129:$V$129)*($C$24:$V$24))))</f>
        <v/>
      </c>
      <c r="I969" s="62">
        <f>IF(I$15&lt;=1,0,SUMPRODUCT(MAX(($C$12:$V$12=I$12)*($C$129:$V$129)*($C$24:$V$24))))</f>
        <v/>
      </c>
      <c r="J969" s="62">
        <f>IF(J$15&lt;=1,0,SUMPRODUCT(MAX(($C$12:$V$12=J$12)*($C$129:$V$129)*($C$24:$V$24))))</f>
        <v/>
      </c>
      <c r="K969" s="62">
        <f>IF(K$15&lt;=1,0,SUMPRODUCT(MAX(($C$12:$V$12=K$12)*($C$129:$V$129)*($C$24:$V$24))))</f>
        <v/>
      </c>
      <c r="L969" s="62">
        <f>IF(L$15&lt;=1,0,SUMPRODUCT(MAX(($C$12:$V$12=L$12)*($C$129:$V$129)*($C$24:$V$24))))</f>
        <v/>
      </c>
      <c r="M969" s="62">
        <f>IF(M$15&lt;=1,0,SUMPRODUCT(MAX(($C$12:$V$12=M$12)*($C$129:$V$129)*($C$24:$V$24))))</f>
        <v/>
      </c>
      <c r="N969" s="62">
        <f>IF(N$15&lt;=1,0,SUMPRODUCT(MAX(($C$12:$V$12=N$12)*($C$129:$V$129)*($C$24:$V$24))))</f>
        <v/>
      </c>
      <c r="O969" s="62">
        <f>IF(O$15&lt;=1,0,SUMPRODUCT(MAX(($C$12:$V$12=O$12)*($C$129:$V$129)*($C$24:$V$24))))</f>
        <v/>
      </c>
      <c r="P969" s="62">
        <f>IF(P$15&lt;=1,0,SUMPRODUCT(MAX(($C$12:$V$12=P$12)*($C$129:$V$129)*($C$24:$V$24))))</f>
        <v/>
      </c>
      <c r="Q969" s="62">
        <f>IF(Q$15&lt;=1,0,SUMPRODUCT(MAX(($C$12:$V$12=Q$12)*($C$129:$V$129)*($C$24:$V$24))))</f>
        <v/>
      </c>
      <c r="R969" s="62">
        <f>IF(R$15&lt;=1,0,SUMPRODUCT(MAX(($C$12:$V$12=R$12)*($C$129:$V$129)*($C$24:$V$24))))</f>
        <v/>
      </c>
      <c r="S969" s="62">
        <f>IF(S$15&lt;=1,0,SUMPRODUCT(MAX(($C$12:$V$12=S$12)*($C$129:$V$129)*($C$24:$V$24))))</f>
        <v/>
      </c>
      <c r="T969" s="62">
        <f>IF(T$15&lt;=1,0,SUMPRODUCT(MAX(($C$12:$V$12=T$12)*($C$129:$V$129)*($C$24:$V$24))))</f>
        <v/>
      </c>
      <c r="U969" s="62">
        <f>IF(U$15&lt;=1,0,SUMPRODUCT(MAX(($C$12:$V$12=U$12)*($C$129:$V$129)*($C$24:$V$24))))</f>
        <v/>
      </c>
      <c r="V969" s="62">
        <f>IF(V$15&lt;=1,0,SUMPRODUCT(MAX(($C$12:$V$12=V$12)*($C$129:$V$129)*($C$24:$V$24))))</f>
        <v/>
      </c>
    </row>
    <row r="970">
      <c r="C970" s="62">
        <f>IF(C$15&lt;=1,0,SUMPRODUCT(MAX(($C$12:$V$12=C$12)*($C$130:$V$130)*($C$25:$V$25))))</f>
        <v/>
      </c>
      <c r="D970" s="62">
        <f>IF(D$15&lt;=1,0,SUMPRODUCT(MAX(($C$12:$V$12=D$12)*($C$130:$V$130)*($C$25:$V$25))))</f>
        <v/>
      </c>
      <c r="E970" s="62">
        <f>IF(E$15&lt;=1,0,SUMPRODUCT(MAX(($C$12:$V$12=E$12)*($C$130:$V$130)*($C$25:$V$25))))</f>
        <v/>
      </c>
      <c r="F970" s="62">
        <f>IF(F$15&lt;=1,0,SUMPRODUCT(MAX(($C$12:$V$12=F$12)*($C$130:$V$130)*($C$25:$V$25))))</f>
        <v/>
      </c>
      <c r="G970" s="62">
        <f>IF(G$15&lt;=1,0,SUMPRODUCT(MAX(($C$12:$V$12=G$12)*($C$130:$V$130)*($C$25:$V$25))))</f>
        <v/>
      </c>
      <c r="H970" s="62">
        <f>IF(H$15&lt;=1,0,SUMPRODUCT(MAX(($C$12:$V$12=H$12)*($C$130:$V$130)*($C$25:$V$25))))</f>
        <v/>
      </c>
      <c r="I970" s="62">
        <f>IF(I$15&lt;=1,0,SUMPRODUCT(MAX(($C$12:$V$12=I$12)*($C$130:$V$130)*($C$25:$V$25))))</f>
        <v/>
      </c>
      <c r="J970" s="62">
        <f>IF(J$15&lt;=1,0,SUMPRODUCT(MAX(($C$12:$V$12=J$12)*($C$130:$V$130)*($C$25:$V$25))))</f>
        <v/>
      </c>
      <c r="K970" s="62">
        <f>IF(K$15&lt;=1,0,SUMPRODUCT(MAX(($C$12:$V$12=K$12)*($C$130:$V$130)*($C$25:$V$25))))</f>
        <v/>
      </c>
      <c r="L970" s="62">
        <f>IF(L$15&lt;=1,0,SUMPRODUCT(MAX(($C$12:$V$12=L$12)*($C$130:$V$130)*($C$25:$V$25))))</f>
        <v/>
      </c>
      <c r="M970" s="62">
        <f>IF(M$15&lt;=1,0,SUMPRODUCT(MAX(($C$12:$V$12=M$12)*($C$130:$V$130)*($C$25:$V$25))))</f>
        <v/>
      </c>
      <c r="N970" s="62">
        <f>IF(N$15&lt;=1,0,SUMPRODUCT(MAX(($C$12:$V$12=N$12)*($C$130:$V$130)*($C$25:$V$25))))</f>
        <v/>
      </c>
      <c r="O970" s="62">
        <f>IF(O$15&lt;=1,0,SUMPRODUCT(MAX(($C$12:$V$12=O$12)*($C$130:$V$130)*($C$25:$V$25))))</f>
        <v/>
      </c>
      <c r="P970" s="62">
        <f>IF(P$15&lt;=1,0,SUMPRODUCT(MAX(($C$12:$V$12=P$12)*($C$130:$V$130)*($C$25:$V$25))))</f>
        <v/>
      </c>
      <c r="Q970" s="62">
        <f>IF(Q$15&lt;=1,0,SUMPRODUCT(MAX(($C$12:$V$12=Q$12)*($C$130:$V$130)*($C$25:$V$25))))</f>
        <v/>
      </c>
      <c r="R970" s="62">
        <f>IF(R$15&lt;=1,0,SUMPRODUCT(MAX(($C$12:$V$12=R$12)*($C$130:$V$130)*($C$25:$V$25))))</f>
        <v/>
      </c>
      <c r="S970" s="62">
        <f>IF(S$15&lt;=1,0,SUMPRODUCT(MAX(($C$12:$V$12=S$12)*($C$130:$V$130)*($C$25:$V$25))))</f>
        <v/>
      </c>
      <c r="T970" s="62">
        <f>IF(T$15&lt;=1,0,SUMPRODUCT(MAX(($C$12:$V$12=T$12)*($C$130:$V$130)*($C$25:$V$25))))</f>
        <v/>
      </c>
      <c r="U970" s="62">
        <f>IF(U$15&lt;=1,0,SUMPRODUCT(MAX(($C$12:$V$12=U$12)*($C$130:$V$130)*($C$25:$V$25))))</f>
        <v/>
      </c>
      <c r="V970" s="62">
        <f>IF(V$15&lt;=1,0,SUMPRODUCT(MAX(($C$12:$V$12=V$12)*($C$130:$V$130)*($C$25:$V$25))))</f>
        <v/>
      </c>
    </row>
    <row r="971">
      <c r="C971" s="62">
        <f>IF(C$15&lt;=1,0,SUMPRODUCT(MAX(($C$12:$V$12=C$12)*($C$131:$V$131)*($C$26:$V$26))))</f>
        <v/>
      </c>
      <c r="D971" s="62">
        <f>IF(D$15&lt;=1,0,SUMPRODUCT(MAX(($C$12:$V$12=D$12)*($C$131:$V$131)*($C$26:$V$26))))</f>
        <v/>
      </c>
      <c r="E971" s="62">
        <f>IF(E$15&lt;=1,0,SUMPRODUCT(MAX(($C$12:$V$12=E$12)*($C$131:$V$131)*($C$26:$V$26))))</f>
        <v/>
      </c>
      <c r="F971" s="62">
        <f>IF(F$15&lt;=1,0,SUMPRODUCT(MAX(($C$12:$V$12=F$12)*($C$131:$V$131)*($C$26:$V$26))))</f>
        <v/>
      </c>
      <c r="G971" s="62">
        <f>IF(G$15&lt;=1,0,SUMPRODUCT(MAX(($C$12:$V$12=G$12)*($C$131:$V$131)*($C$26:$V$26))))</f>
        <v/>
      </c>
      <c r="H971" s="62">
        <f>IF(H$15&lt;=1,0,SUMPRODUCT(MAX(($C$12:$V$12=H$12)*($C$131:$V$131)*($C$26:$V$26))))</f>
        <v/>
      </c>
      <c r="I971" s="62">
        <f>IF(I$15&lt;=1,0,SUMPRODUCT(MAX(($C$12:$V$12=I$12)*($C$131:$V$131)*($C$26:$V$26))))</f>
        <v/>
      </c>
      <c r="J971" s="62">
        <f>IF(J$15&lt;=1,0,SUMPRODUCT(MAX(($C$12:$V$12=J$12)*($C$131:$V$131)*($C$26:$V$26))))</f>
        <v/>
      </c>
      <c r="K971" s="62">
        <f>IF(K$15&lt;=1,0,SUMPRODUCT(MAX(($C$12:$V$12=K$12)*($C$131:$V$131)*($C$26:$V$26))))</f>
        <v/>
      </c>
      <c r="L971" s="62">
        <f>IF(L$15&lt;=1,0,SUMPRODUCT(MAX(($C$12:$V$12=L$12)*($C$131:$V$131)*($C$26:$V$26))))</f>
        <v/>
      </c>
      <c r="M971" s="62">
        <f>IF(M$15&lt;=1,0,SUMPRODUCT(MAX(($C$12:$V$12=M$12)*($C$131:$V$131)*($C$26:$V$26))))</f>
        <v/>
      </c>
      <c r="N971" s="62">
        <f>IF(N$15&lt;=1,0,SUMPRODUCT(MAX(($C$12:$V$12=N$12)*($C$131:$V$131)*($C$26:$V$26))))</f>
        <v/>
      </c>
      <c r="O971" s="62">
        <f>IF(O$15&lt;=1,0,SUMPRODUCT(MAX(($C$12:$V$12=O$12)*($C$131:$V$131)*($C$26:$V$26))))</f>
        <v/>
      </c>
      <c r="P971" s="62">
        <f>IF(P$15&lt;=1,0,SUMPRODUCT(MAX(($C$12:$V$12=P$12)*($C$131:$V$131)*($C$26:$V$26))))</f>
        <v/>
      </c>
      <c r="Q971" s="62">
        <f>IF(Q$15&lt;=1,0,SUMPRODUCT(MAX(($C$12:$V$12=Q$12)*($C$131:$V$131)*($C$26:$V$26))))</f>
        <v/>
      </c>
      <c r="R971" s="62">
        <f>IF(R$15&lt;=1,0,SUMPRODUCT(MAX(($C$12:$V$12=R$12)*($C$131:$V$131)*($C$26:$V$26))))</f>
        <v/>
      </c>
      <c r="S971" s="62">
        <f>IF(S$15&lt;=1,0,SUMPRODUCT(MAX(($C$12:$V$12=S$12)*($C$131:$V$131)*($C$26:$V$26))))</f>
        <v/>
      </c>
      <c r="T971" s="62">
        <f>IF(T$15&lt;=1,0,SUMPRODUCT(MAX(($C$12:$V$12=T$12)*($C$131:$V$131)*($C$26:$V$26))))</f>
        <v/>
      </c>
      <c r="U971" s="62">
        <f>IF(U$15&lt;=1,0,SUMPRODUCT(MAX(($C$12:$V$12=U$12)*($C$131:$V$131)*($C$26:$V$26))))</f>
        <v/>
      </c>
      <c r="V971" s="62">
        <f>IF(V$15&lt;=1,0,SUMPRODUCT(MAX(($C$12:$V$12=V$12)*($C$131:$V$131)*($C$26:$V$26))))</f>
        <v/>
      </c>
    </row>
    <row r="972">
      <c r="C972" s="62">
        <f>IF(C$15&lt;=1,0,SUMPRODUCT(MAX(($C$12:$V$12=C$12)*($C$132:$V$132)*($C$27:$V$27))))</f>
        <v/>
      </c>
      <c r="D972" s="62">
        <f>IF(D$15&lt;=1,0,SUMPRODUCT(MAX(($C$12:$V$12=D$12)*($C$132:$V$132)*($C$27:$V$27))))</f>
        <v/>
      </c>
      <c r="E972" s="62">
        <f>IF(E$15&lt;=1,0,SUMPRODUCT(MAX(($C$12:$V$12=E$12)*($C$132:$V$132)*($C$27:$V$27))))</f>
        <v/>
      </c>
      <c r="F972" s="62">
        <f>IF(F$15&lt;=1,0,SUMPRODUCT(MAX(($C$12:$V$12=F$12)*($C$132:$V$132)*($C$27:$V$27))))</f>
        <v/>
      </c>
      <c r="G972" s="62">
        <f>IF(G$15&lt;=1,0,SUMPRODUCT(MAX(($C$12:$V$12=G$12)*($C$132:$V$132)*($C$27:$V$27))))</f>
        <v/>
      </c>
      <c r="H972" s="62">
        <f>IF(H$15&lt;=1,0,SUMPRODUCT(MAX(($C$12:$V$12=H$12)*($C$132:$V$132)*($C$27:$V$27))))</f>
        <v/>
      </c>
      <c r="I972" s="62">
        <f>IF(I$15&lt;=1,0,SUMPRODUCT(MAX(($C$12:$V$12=I$12)*($C$132:$V$132)*($C$27:$V$27))))</f>
        <v/>
      </c>
      <c r="J972" s="62">
        <f>IF(J$15&lt;=1,0,SUMPRODUCT(MAX(($C$12:$V$12=J$12)*($C$132:$V$132)*($C$27:$V$27))))</f>
        <v/>
      </c>
      <c r="K972" s="62">
        <f>IF(K$15&lt;=1,0,SUMPRODUCT(MAX(($C$12:$V$12=K$12)*($C$132:$V$132)*($C$27:$V$27))))</f>
        <v/>
      </c>
      <c r="L972" s="62">
        <f>IF(L$15&lt;=1,0,SUMPRODUCT(MAX(($C$12:$V$12=L$12)*($C$132:$V$132)*($C$27:$V$27))))</f>
        <v/>
      </c>
      <c r="M972" s="62">
        <f>IF(M$15&lt;=1,0,SUMPRODUCT(MAX(($C$12:$V$12=M$12)*($C$132:$V$132)*($C$27:$V$27))))</f>
        <v/>
      </c>
      <c r="N972" s="62">
        <f>IF(N$15&lt;=1,0,SUMPRODUCT(MAX(($C$12:$V$12=N$12)*($C$132:$V$132)*($C$27:$V$27))))</f>
        <v/>
      </c>
      <c r="O972" s="62">
        <f>IF(O$15&lt;=1,0,SUMPRODUCT(MAX(($C$12:$V$12=O$12)*($C$132:$V$132)*($C$27:$V$27))))</f>
        <v/>
      </c>
      <c r="P972" s="62">
        <f>IF(P$15&lt;=1,0,SUMPRODUCT(MAX(($C$12:$V$12=P$12)*($C$132:$V$132)*($C$27:$V$27))))</f>
        <v/>
      </c>
      <c r="Q972" s="62">
        <f>IF(Q$15&lt;=1,0,SUMPRODUCT(MAX(($C$12:$V$12=Q$12)*($C$132:$V$132)*($C$27:$V$27))))</f>
        <v/>
      </c>
      <c r="R972" s="62">
        <f>IF(R$15&lt;=1,0,SUMPRODUCT(MAX(($C$12:$V$12=R$12)*($C$132:$V$132)*($C$27:$V$27))))</f>
        <v/>
      </c>
      <c r="S972" s="62">
        <f>IF(S$15&lt;=1,0,SUMPRODUCT(MAX(($C$12:$V$12=S$12)*($C$132:$V$132)*($C$27:$V$27))))</f>
        <v/>
      </c>
      <c r="T972" s="62">
        <f>IF(T$15&lt;=1,0,SUMPRODUCT(MAX(($C$12:$V$12=T$12)*($C$132:$V$132)*($C$27:$V$27))))</f>
        <v/>
      </c>
      <c r="U972" s="62">
        <f>IF(U$15&lt;=1,0,SUMPRODUCT(MAX(($C$12:$V$12=U$12)*($C$132:$V$132)*($C$27:$V$27))))</f>
        <v/>
      </c>
      <c r="V972" s="62">
        <f>IF(V$15&lt;=1,0,SUMPRODUCT(MAX(($C$12:$V$12=V$12)*($C$132:$V$132)*($C$27:$V$27))))</f>
        <v/>
      </c>
    </row>
    <row r="973">
      <c r="C973" s="62">
        <f>IF(C$15&lt;=1,0,SUMPRODUCT(MAX(($C$12:$V$12=C$12)*($C$133:$V$133)*($C$28:$V$28))))</f>
        <v/>
      </c>
      <c r="D973" s="62">
        <f>IF(D$15&lt;=1,0,SUMPRODUCT(MAX(($C$12:$V$12=D$12)*($C$133:$V$133)*($C$28:$V$28))))</f>
        <v/>
      </c>
      <c r="E973" s="62">
        <f>IF(E$15&lt;=1,0,SUMPRODUCT(MAX(($C$12:$V$12=E$12)*($C$133:$V$133)*($C$28:$V$28))))</f>
        <v/>
      </c>
      <c r="F973" s="62">
        <f>IF(F$15&lt;=1,0,SUMPRODUCT(MAX(($C$12:$V$12=F$12)*($C$133:$V$133)*($C$28:$V$28))))</f>
        <v/>
      </c>
      <c r="G973" s="62">
        <f>IF(G$15&lt;=1,0,SUMPRODUCT(MAX(($C$12:$V$12=G$12)*($C$133:$V$133)*($C$28:$V$28))))</f>
        <v/>
      </c>
      <c r="H973" s="62">
        <f>IF(H$15&lt;=1,0,SUMPRODUCT(MAX(($C$12:$V$12=H$12)*($C$133:$V$133)*($C$28:$V$28))))</f>
        <v/>
      </c>
      <c r="I973" s="62">
        <f>IF(I$15&lt;=1,0,SUMPRODUCT(MAX(($C$12:$V$12=I$12)*($C$133:$V$133)*($C$28:$V$28))))</f>
        <v/>
      </c>
      <c r="J973" s="62">
        <f>IF(J$15&lt;=1,0,SUMPRODUCT(MAX(($C$12:$V$12=J$12)*($C$133:$V$133)*($C$28:$V$28))))</f>
        <v/>
      </c>
      <c r="K973" s="62">
        <f>IF(K$15&lt;=1,0,SUMPRODUCT(MAX(($C$12:$V$12=K$12)*($C$133:$V$133)*($C$28:$V$28))))</f>
        <v/>
      </c>
      <c r="L973" s="62">
        <f>IF(L$15&lt;=1,0,SUMPRODUCT(MAX(($C$12:$V$12=L$12)*($C$133:$V$133)*($C$28:$V$28))))</f>
        <v/>
      </c>
      <c r="M973" s="62">
        <f>IF(M$15&lt;=1,0,SUMPRODUCT(MAX(($C$12:$V$12=M$12)*($C$133:$V$133)*($C$28:$V$28))))</f>
        <v/>
      </c>
      <c r="N973" s="62">
        <f>IF(N$15&lt;=1,0,SUMPRODUCT(MAX(($C$12:$V$12=N$12)*($C$133:$V$133)*($C$28:$V$28))))</f>
        <v/>
      </c>
      <c r="O973" s="62">
        <f>IF(O$15&lt;=1,0,SUMPRODUCT(MAX(($C$12:$V$12=O$12)*($C$133:$V$133)*($C$28:$V$28))))</f>
        <v/>
      </c>
      <c r="P973" s="62">
        <f>IF(P$15&lt;=1,0,SUMPRODUCT(MAX(($C$12:$V$12=P$12)*($C$133:$V$133)*($C$28:$V$28))))</f>
        <v/>
      </c>
      <c r="Q973" s="62">
        <f>IF(Q$15&lt;=1,0,SUMPRODUCT(MAX(($C$12:$V$12=Q$12)*($C$133:$V$133)*($C$28:$V$28))))</f>
        <v/>
      </c>
      <c r="R973" s="62">
        <f>IF(R$15&lt;=1,0,SUMPRODUCT(MAX(($C$12:$V$12=R$12)*($C$133:$V$133)*($C$28:$V$28))))</f>
        <v/>
      </c>
      <c r="S973" s="62">
        <f>IF(S$15&lt;=1,0,SUMPRODUCT(MAX(($C$12:$V$12=S$12)*($C$133:$V$133)*($C$28:$V$28))))</f>
        <v/>
      </c>
      <c r="T973" s="62">
        <f>IF(T$15&lt;=1,0,SUMPRODUCT(MAX(($C$12:$V$12=T$12)*($C$133:$V$133)*($C$28:$V$28))))</f>
        <v/>
      </c>
      <c r="U973" s="62">
        <f>IF(U$15&lt;=1,0,SUMPRODUCT(MAX(($C$12:$V$12=U$12)*($C$133:$V$133)*($C$28:$V$28))))</f>
        <v/>
      </c>
      <c r="V973" s="62">
        <f>IF(V$15&lt;=1,0,SUMPRODUCT(MAX(($C$12:$V$12=V$12)*($C$133:$V$133)*($C$28:$V$28))))</f>
        <v/>
      </c>
    </row>
    <row r="974">
      <c r="C974" s="62">
        <f>IF(C$15&lt;=1,0,SUMPRODUCT(MAX(($C$12:$V$12=C$12)*($C$134:$V$134)*($C$29:$V$29))))</f>
        <v/>
      </c>
      <c r="D974" s="62">
        <f>IF(D$15&lt;=1,0,SUMPRODUCT(MAX(($C$12:$V$12=D$12)*($C$134:$V$134)*($C$29:$V$29))))</f>
        <v/>
      </c>
      <c r="E974" s="62">
        <f>IF(E$15&lt;=1,0,SUMPRODUCT(MAX(($C$12:$V$12=E$12)*($C$134:$V$134)*($C$29:$V$29))))</f>
        <v/>
      </c>
      <c r="F974" s="62">
        <f>IF(F$15&lt;=1,0,SUMPRODUCT(MAX(($C$12:$V$12=F$12)*($C$134:$V$134)*($C$29:$V$29))))</f>
        <v/>
      </c>
      <c r="G974" s="62">
        <f>IF(G$15&lt;=1,0,SUMPRODUCT(MAX(($C$12:$V$12=G$12)*($C$134:$V$134)*($C$29:$V$29))))</f>
        <v/>
      </c>
      <c r="H974" s="62">
        <f>IF(H$15&lt;=1,0,SUMPRODUCT(MAX(($C$12:$V$12=H$12)*($C$134:$V$134)*($C$29:$V$29))))</f>
        <v/>
      </c>
      <c r="I974" s="62">
        <f>IF(I$15&lt;=1,0,SUMPRODUCT(MAX(($C$12:$V$12=I$12)*($C$134:$V$134)*($C$29:$V$29))))</f>
        <v/>
      </c>
      <c r="J974" s="62">
        <f>IF(J$15&lt;=1,0,SUMPRODUCT(MAX(($C$12:$V$12=J$12)*($C$134:$V$134)*($C$29:$V$29))))</f>
        <v/>
      </c>
      <c r="K974" s="62">
        <f>IF(K$15&lt;=1,0,SUMPRODUCT(MAX(($C$12:$V$12=K$12)*($C$134:$V$134)*($C$29:$V$29))))</f>
        <v/>
      </c>
      <c r="L974" s="62">
        <f>IF(L$15&lt;=1,0,SUMPRODUCT(MAX(($C$12:$V$12=L$12)*($C$134:$V$134)*($C$29:$V$29))))</f>
        <v/>
      </c>
      <c r="M974" s="62">
        <f>IF(M$15&lt;=1,0,SUMPRODUCT(MAX(($C$12:$V$12=M$12)*($C$134:$V$134)*($C$29:$V$29))))</f>
        <v/>
      </c>
      <c r="N974" s="62">
        <f>IF(N$15&lt;=1,0,SUMPRODUCT(MAX(($C$12:$V$12=N$12)*($C$134:$V$134)*($C$29:$V$29))))</f>
        <v/>
      </c>
      <c r="O974" s="62">
        <f>IF(O$15&lt;=1,0,SUMPRODUCT(MAX(($C$12:$V$12=O$12)*($C$134:$V$134)*($C$29:$V$29))))</f>
        <v/>
      </c>
      <c r="P974" s="62">
        <f>IF(P$15&lt;=1,0,SUMPRODUCT(MAX(($C$12:$V$12=P$12)*($C$134:$V$134)*($C$29:$V$29))))</f>
        <v/>
      </c>
      <c r="Q974" s="62">
        <f>IF(Q$15&lt;=1,0,SUMPRODUCT(MAX(($C$12:$V$12=Q$12)*($C$134:$V$134)*($C$29:$V$29))))</f>
        <v/>
      </c>
      <c r="R974" s="62">
        <f>IF(R$15&lt;=1,0,SUMPRODUCT(MAX(($C$12:$V$12=R$12)*($C$134:$V$134)*($C$29:$V$29))))</f>
        <v/>
      </c>
      <c r="S974" s="62">
        <f>IF(S$15&lt;=1,0,SUMPRODUCT(MAX(($C$12:$V$12=S$12)*($C$134:$V$134)*($C$29:$V$29))))</f>
        <v/>
      </c>
      <c r="T974" s="62">
        <f>IF(T$15&lt;=1,0,SUMPRODUCT(MAX(($C$12:$V$12=T$12)*($C$134:$V$134)*($C$29:$V$29))))</f>
        <v/>
      </c>
      <c r="U974" s="62">
        <f>IF(U$15&lt;=1,0,SUMPRODUCT(MAX(($C$12:$V$12=U$12)*($C$134:$V$134)*($C$29:$V$29))))</f>
        <v/>
      </c>
      <c r="V974" s="62">
        <f>IF(V$15&lt;=1,0,SUMPRODUCT(MAX(($C$12:$V$12=V$12)*($C$134:$V$134)*($C$29:$V$29))))</f>
        <v/>
      </c>
    </row>
    <row r="975">
      <c r="C975" s="62">
        <f>IF(C$15&lt;=1,0,SUMPRODUCT(MAX(($C$12:$V$12=C$12)*($C$135:$V$135)*($C$30:$V$30))))</f>
        <v/>
      </c>
      <c r="D975" s="62">
        <f>IF(D$15&lt;=1,0,SUMPRODUCT(MAX(($C$12:$V$12=D$12)*($C$135:$V$135)*($C$30:$V$30))))</f>
        <v/>
      </c>
      <c r="E975" s="62">
        <f>IF(E$15&lt;=1,0,SUMPRODUCT(MAX(($C$12:$V$12=E$12)*($C$135:$V$135)*($C$30:$V$30))))</f>
        <v/>
      </c>
      <c r="F975" s="62">
        <f>IF(F$15&lt;=1,0,SUMPRODUCT(MAX(($C$12:$V$12=F$12)*($C$135:$V$135)*($C$30:$V$30))))</f>
        <v/>
      </c>
      <c r="G975" s="62">
        <f>IF(G$15&lt;=1,0,SUMPRODUCT(MAX(($C$12:$V$12=G$12)*($C$135:$V$135)*($C$30:$V$30))))</f>
        <v/>
      </c>
      <c r="H975" s="62">
        <f>IF(H$15&lt;=1,0,SUMPRODUCT(MAX(($C$12:$V$12=H$12)*($C$135:$V$135)*($C$30:$V$30))))</f>
        <v/>
      </c>
      <c r="I975" s="62">
        <f>IF(I$15&lt;=1,0,SUMPRODUCT(MAX(($C$12:$V$12=I$12)*($C$135:$V$135)*($C$30:$V$30))))</f>
        <v/>
      </c>
      <c r="J975" s="62">
        <f>IF(J$15&lt;=1,0,SUMPRODUCT(MAX(($C$12:$V$12=J$12)*($C$135:$V$135)*($C$30:$V$30))))</f>
        <v/>
      </c>
      <c r="K975" s="62">
        <f>IF(K$15&lt;=1,0,SUMPRODUCT(MAX(($C$12:$V$12=K$12)*($C$135:$V$135)*($C$30:$V$30))))</f>
        <v/>
      </c>
      <c r="L975" s="62">
        <f>IF(L$15&lt;=1,0,SUMPRODUCT(MAX(($C$12:$V$12=L$12)*($C$135:$V$135)*($C$30:$V$30))))</f>
        <v/>
      </c>
      <c r="M975" s="62">
        <f>IF(M$15&lt;=1,0,SUMPRODUCT(MAX(($C$12:$V$12=M$12)*($C$135:$V$135)*($C$30:$V$30))))</f>
        <v/>
      </c>
      <c r="N975" s="62">
        <f>IF(N$15&lt;=1,0,SUMPRODUCT(MAX(($C$12:$V$12=N$12)*($C$135:$V$135)*($C$30:$V$30))))</f>
        <v/>
      </c>
      <c r="O975" s="62">
        <f>IF(O$15&lt;=1,0,SUMPRODUCT(MAX(($C$12:$V$12=O$12)*($C$135:$V$135)*($C$30:$V$30))))</f>
        <v/>
      </c>
      <c r="P975" s="62">
        <f>IF(P$15&lt;=1,0,SUMPRODUCT(MAX(($C$12:$V$12=P$12)*($C$135:$V$135)*($C$30:$V$30))))</f>
        <v/>
      </c>
      <c r="Q975" s="62">
        <f>IF(Q$15&lt;=1,0,SUMPRODUCT(MAX(($C$12:$V$12=Q$12)*($C$135:$V$135)*($C$30:$V$30))))</f>
        <v/>
      </c>
      <c r="R975" s="62">
        <f>IF(R$15&lt;=1,0,SUMPRODUCT(MAX(($C$12:$V$12=R$12)*($C$135:$V$135)*($C$30:$V$30))))</f>
        <v/>
      </c>
      <c r="S975" s="62">
        <f>IF(S$15&lt;=1,0,SUMPRODUCT(MAX(($C$12:$V$12=S$12)*($C$135:$V$135)*($C$30:$V$30))))</f>
        <v/>
      </c>
      <c r="T975" s="62">
        <f>IF(T$15&lt;=1,0,SUMPRODUCT(MAX(($C$12:$V$12=T$12)*($C$135:$V$135)*($C$30:$V$30))))</f>
        <v/>
      </c>
      <c r="U975" s="62">
        <f>IF(U$15&lt;=1,0,SUMPRODUCT(MAX(($C$12:$V$12=U$12)*($C$135:$V$135)*($C$30:$V$30))))</f>
        <v/>
      </c>
      <c r="V975" s="62">
        <f>IF(V$15&lt;=1,0,SUMPRODUCT(MAX(($C$12:$V$12=V$12)*($C$135:$V$135)*($C$30:$V$30))))</f>
        <v/>
      </c>
    </row>
    <row r="976">
      <c r="C976" s="62">
        <f>IF(C$15&lt;=1,0,SUMPRODUCT(MAX(($C$12:$V$12=C$12)*($C$136:$V$136)*($C$31:$V$31))))</f>
        <v/>
      </c>
      <c r="D976" s="62">
        <f>IF(D$15&lt;=1,0,SUMPRODUCT(MAX(($C$12:$V$12=D$12)*($C$136:$V$136)*($C$31:$V$31))))</f>
        <v/>
      </c>
      <c r="E976" s="62">
        <f>IF(E$15&lt;=1,0,SUMPRODUCT(MAX(($C$12:$V$12=E$12)*($C$136:$V$136)*($C$31:$V$31))))</f>
        <v/>
      </c>
      <c r="F976" s="62">
        <f>IF(F$15&lt;=1,0,SUMPRODUCT(MAX(($C$12:$V$12=F$12)*($C$136:$V$136)*($C$31:$V$31))))</f>
        <v/>
      </c>
      <c r="G976" s="62">
        <f>IF(G$15&lt;=1,0,SUMPRODUCT(MAX(($C$12:$V$12=G$12)*($C$136:$V$136)*($C$31:$V$31))))</f>
        <v/>
      </c>
      <c r="H976" s="62">
        <f>IF(H$15&lt;=1,0,SUMPRODUCT(MAX(($C$12:$V$12=H$12)*($C$136:$V$136)*($C$31:$V$31))))</f>
        <v/>
      </c>
      <c r="I976" s="62">
        <f>IF(I$15&lt;=1,0,SUMPRODUCT(MAX(($C$12:$V$12=I$12)*($C$136:$V$136)*($C$31:$V$31))))</f>
        <v/>
      </c>
      <c r="J976" s="62">
        <f>IF(J$15&lt;=1,0,SUMPRODUCT(MAX(($C$12:$V$12=J$12)*($C$136:$V$136)*($C$31:$V$31))))</f>
        <v/>
      </c>
      <c r="K976" s="62">
        <f>IF(K$15&lt;=1,0,SUMPRODUCT(MAX(($C$12:$V$12=K$12)*($C$136:$V$136)*($C$31:$V$31))))</f>
        <v/>
      </c>
      <c r="L976" s="62">
        <f>IF(L$15&lt;=1,0,SUMPRODUCT(MAX(($C$12:$V$12=L$12)*($C$136:$V$136)*($C$31:$V$31))))</f>
        <v/>
      </c>
      <c r="M976" s="62">
        <f>IF(M$15&lt;=1,0,SUMPRODUCT(MAX(($C$12:$V$12=M$12)*($C$136:$V$136)*($C$31:$V$31))))</f>
        <v/>
      </c>
      <c r="N976" s="62">
        <f>IF(N$15&lt;=1,0,SUMPRODUCT(MAX(($C$12:$V$12=N$12)*($C$136:$V$136)*($C$31:$V$31))))</f>
        <v/>
      </c>
      <c r="O976" s="62">
        <f>IF(O$15&lt;=1,0,SUMPRODUCT(MAX(($C$12:$V$12=O$12)*($C$136:$V$136)*($C$31:$V$31))))</f>
        <v/>
      </c>
      <c r="P976" s="62">
        <f>IF(P$15&lt;=1,0,SUMPRODUCT(MAX(($C$12:$V$12=P$12)*($C$136:$V$136)*($C$31:$V$31))))</f>
        <v/>
      </c>
      <c r="Q976" s="62">
        <f>IF(Q$15&lt;=1,0,SUMPRODUCT(MAX(($C$12:$V$12=Q$12)*($C$136:$V$136)*($C$31:$V$31))))</f>
        <v/>
      </c>
      <c r="R976" s="62">
        <f>IF(R$15&lt;=1,0,SUMPRODUCT(MAX(($C$12:$V$12=R$12)*($C$136:$V$136)*($C$31:$V$31))))</f>
        <v/>
      </c>
      <c r="S976" s="62">
        <f>IF(S$15&lt;=1,0,SUMPRODUCT(MAX(($C$12:$V$12=S$12)*($C$136:$V$136)*($C$31:$V$31))))</f>
        <v/>
      </c>
      <c r="T976" s="62">
        <f>IF(T$15&lt;=1,0,SUMPRODUCT(MAX(($C$12:$V$12=T$12)*($C$136:$V$136)*($C$31:$V$31))))</f>
        <v/>
      </c>
      <c r="U976" s="62">
        <f>IF(U$15&lt;=1,0,SUMPRODUCT(MAX(($C$12:$V$12=U$12)*($C$136:$V$136)*($C$31:$V$31))))</f>
        <v/>
      </c>
      <c r="V976" s="62">
        <f>IF(V$15&lt;=1,0,SUMPRODUCT(MAX(($C$12:$V$12=V$12)*($C$136:$V$136)*($C$31:$V$31))))</f>
        <v/>
      </c>
    </row>
    <row r="977">
      <c r="C977" s="62">
        <f>IF(C$15&lt;=1,0,SUMPRODUCT(MAX(($C$12:$V$12=C$12)*($C$137:$V$137)*($C$32:$V$32))))</f>
        <v/>
      </c>
      <c r="D977" s="62">
        <f>IF(D$15&lt;=1,0,SUMPRODUCT(MAX(($C$12:$V$12=D$12)*($C$137:$V$137)*($C$32:$V$32))))</f>
        <v/>
      </c>
      <c r="E977" s="62">
        <f>IF(E$15&lt;=1,0,SUMPRODUCT(MAX(($C$12:$V$12=E$12)*($C$137:$V$137)*($C$32:$V$32))))</f>
        <v/>
      </c>
      <c r="F977" s="62">
        <f>IF(F$15&lt;=1,0,SUMPRODUCT(MAX(($C$12:$V$12=F$12)*($C$137:$V$137)*($C$32:$V$32))))</f>
        <v/>
      </c>
      <c r="G977" s="62">
        <f>IF(G$15&lt;=1,0,SUMPRODUCT(MAX(($C$12:$V$12=G$12)*($C$137:$V$137)*($C$32:$V$32))))</f>
        <v/>
      </c>
      <c r="H977" s="62">
        <f>IF(H$15&lt;=1,0,SUMPRODUCT(MAX(($C$12:$V$12=H$12)*($C$137:$V$137)*($C$32:$V$32))))</f>
        <v/>
      </c>
      <c r="I977" s="62">
        <f>IF(I$15&lt;=1,0,SUMPRODUCT(MAX(($C$12:$V$12=I$12)*($C$137:$V$137)*($C$32:$V$32))))</f>
        <v/>
      </c>
      <c r="J977" s="62">
        <f>IF(J$15&lt;=1,0,SUMPRODUCT(MAX(($C$12:$V$12=J$12)*($C$137:$V$137)*($C$32:$V$32))))</f>
        <v/>
      </c>
      <c r="K977" s="62">
        <f>IF(K$15&lt;=1,0,SUMPRODUCT(MAX(($C$12:$V$12=K$12)*($C$137:$V$137)*($C$32:$V$32))))</f>
        <v/>
      </c>
      <c r="L977" s="62">
        <f>IF(L$15&lt;=1,0,SUMPRODUCT(MAX(($C$12:$V$12=L$12)*($C$137:$V$137)*($C$32:$V$32))))</f>
        <v/>
      </c>
      <c r="M977" s="62">
        <f>IF(M$15&lt;=1,0,SUMPRODUCT(MAX(($C$12:$V$12=M$12)*($C$137:$V$137)*($C$32:$V$32))))</f>
        <v/>
      </c>
      <c r="N977" s="62">
        <f>IF(N$15&lt;=1,0,SUMPRODUCT(MAX(($C$12:$V$12=N$12)*($C$137:$V$137)*($C$32:$V$32))))</f>
        <v/>
      </c>
      <c r="O977" s="62">
        <f>IF(O$15&lt;=1,0,SUMPRODUCT(MAX(($C$12:$V$12=O$12)*($C$137:$V$137)*($C$32:$V$32))))</f>
        <v/>
      </c>
      <c r="P977" s="62">
        <f>IF(P$15&lt;=1,0,SUMPRODUCT(MAX(($C$12:$V$12=P$12)*($C$137:$V$137)*($C$32:$V$32))))</f>
        <v/>
      </c>
      <c r="Q977" s="62">
        <f>IF(Q$15&lt;=1,0,SUMPRODUCT(MAX(($C$12:$V$12=Q$12)*($C$137:$V$137)*($C$32:$V$32))))</f>
        <v/>
      </c>
      <c r="R977" s="62">
        <f>IF(R$15&lt;=1,0,SUMPRODUCT(MAX(($C$12:$V$12=R$12)*($C$137:$V$137)*($C$32:$V$32))))</f>
        <v/>
      </c>
      <c r="S977" s="62">
        <f>IF(S$15&lt;=1,0,SUMPRODUCT(MAX(($C$12:$V$12=S$12)*($C$137:$V$137)*($C$32:$V$32))))</f>
        <v/>
      </c>
      <c r="T977" s="62">
        <f>IF(T$15&lt;=1,0,SUMPRODUCT(MAX(($C$12:$V$12=T$12)*($C$137:$V$137)*($C$32:$V$32))))</f>
        <v/>
      </c>
      <c r="U977" s="62">
        <f>IF(U$15&lt;=1,0,SUMPRODUCT(MAX(($C$12:$V$12=U$12)*($C$137:$V$137)*($C$32:$V$32))))</f>
        <v/>
      </c>
      <c r="V977" s="62">
        <f>IF(V$15&lt;=1,0,SUMPRODUCT(MAX(($C$12:$V$12=V$12)*($C$137:$V$137)*($C$32:$V$32))))</f>
        <v/>
      </c>
    </row>
    <row r="978">
      <c r="C978" s="62">
        <f>IF(C$15&lt;=1,0,SUMPRODUCT(MAX(($C$12:$V$12=C$12)*($C$138:$V$138)*($C$33:$V$33))))</f>
        <v/>
      </c>
      <c r="D978" s="62">
        <f>IF(D$15&lt;=1,0,SUMPRODUCT(MAX(($C$12:$V$12=D$12)*($C$138:$V$138)*($C$33:$V$33))))</f>
        <v/>
      </c>
      <c r="E978" s="62">
        <f>IF(E$15&lt;=1,0,SUMPRODUCT(MAX(($C$12:$V$12=E$12)*($C$138:$V$138)*($C$33:$V$33))))</f>
        <v/>
      </c>
      <c r="F978" s="62">
        <f>IF(F$15&lt;=1,0,SUMPRODUCT(MAX(($C$12:$V$12=F$12)*($C$138:$V$138)*($C$33:$V$33))))</f>
        <v/>
      </c>
      <c r="G978" s="62">
        <f>IF(G$15&lt;=1,0,SUMPRODUCT(MAX(($C$12:$V$12=G$12)*($C$138:$V$138)*($C$33:$V$33))))</f>
        <v/>
      </c>
      <c r="H978" s="62">
        <f>IF(H$15&lt;=1,0,SUMPRODUCT(MAX(($C$12:$V$12=H$12)*($C$138:$V$138)*($C$33:$V$33))))</f>
        <v/>
      </c>
      <c r="I978" s="62">
        <f>IF(I$15&lt;=1,0,SUMPRODUCT(MAX(($C$12:$V$12=I$12)*($C$138:$V$138)*($C$33:$V$33))))</f>
        <v/>
      </c>
      <c r="J978" s="62">
        <f>IF(J$15&lt;=1,0,SUMPRODUCT(MAX(($C$12:$V$12=J$12)*($C$138:$V$138)*($C$33:$V$33))))</f>
        <v/>
      </c>
      <c r="K978" s="62">
        <f>IF(K$15&lt;=1,0,SUMPRODUCT(MAX(($C$12:$V$12=K$12)*($C$138:$V$138)*($C$33:$V$33))))</f>
        <v/>
      </c>
      <c r="L978" s="62">
        <f>IF(L$15&lt;=1,0,SUMPRODUCT(MAX(($C$12:$V$12=L$12)*($C$138:$V$138)*($C$33:$V$33))))</f>
        <v/>
      </c>
      <c r="M978" s="62">
        <f>IF(M$15&lt;=1,0,SUMPRODUCT(MAX(($C$12:$V$12=M$12)*($C$138:$V$138)*($C$33:$V$33))))</f>
        <v/>
      </c>
      <c r="N978" s="62">
        <f>IF(N$15&lt;=1,0,SUMPRODUCT(MAX(($C$12:$V$12=N$12)*($C$138:$V$138)*($C$33:$V$33))))</f>
        <v/>
      </c>
      <c r="O978" s="62">
        <f>IF(O$15&lt;=1,0,SUMPRODUCT(MAX(($C$12:$V$12=O$12)*($C$138:$V$138)*($C$33:$V$33))))</f>
        <v/>
      </c>
      <c r="P978" s="62">
        <f>IF(P$15&lt;=1,0,SUMPRODUCT(MAX(($C$12:$V$12=P$12)*($C$138:$V$138)*($C$33:$V$33))))</f>
        <v/>
      </c>
      <c r="Q978" s="62">
        <f>IF(Q$15&lt;=1,0,SUMPRODUCT(MAX(($C$12:$V$12=Q$12)*($C$138:$V$138)*($C$33:$V$33))))</f>
        <v/>
      </c>
      <c r="R978" s="62">
        <f>IF(R$15&lt;=1,0,SUMPRODUCT(MAX(($C$12:$V$12=R$12)*($C$138:$V$138)*($C$33:$V$33))))</f>
        <v/>
      </c>
      <c r="S978" s="62">
        <f>IF(S$15&lt;=1,0,SUMPRODUCT(MAX(($C$12:$V$12=S$12)*($C$138:$V$138)*($C$33:$V$33))))</f>
        <v/>
      </c>
      <c r="T978" s="62">
        <f>IF(T$15&lt;=1,0,SUMPRODUCT(MAX(($C$12:$V$12=T$12)*($C$138:$V$138)*($C$33:$V$33))))</f>
        <v/>
      </c>
      <c r="U978" s="62">
        <f>IF(U$15&lt;=1,0,SUMPRODUCT(MAX(($C$12:$V$12=U$12)*($C$138:$V$138)*($C$33:$V$33))))</f>
        <v/>
      </c>
      <c r="V978" s="62">
        <f>IF(V$15&lt;=1,0,SUMPRODUCT(MAX(($C$12:$V$12=V$12)*($C$138:$V$138)*($C$33:$V$33))))</f>
        <v/>
      </c>
    </row>
    <row r="979">
      <c r="C979" s="62">
        <f>IF(C$15&lt;=1,0,SUMPRODUCT(MAX(($C$12:$V$12=C$12)*($C$139:$V$139)*($C$34:$V$34))))</f>
        <v/>
      </c>
      <c r="D979" s="62">
        <f>IF(D$15&lt;=1,0,SUMPRODUCT(MAX(($C$12:$V$12=D$12)*($C$139:$V$139)*($C$34:$V$34))))</f>
        <v/>
      </c>
      <c r="E979" s="62">
        <f>IF(E$15&lt;=1,0,SUMPRODUCT(MAX(($C$12:$V$12=E$12)*($C$139:$V$139)*($C$34:$V$34))))</f>
        <v/>
      </c>
      <c r="F979" s="62">
        <f>IF(F$15&lt;=1,0,SUMPRODUCT(MAX(($C$12:$V$12=F$12)*($C$139:$V$139)*($C$34:$V$34))))</f>
        <v/>
      </c>
      <c r="G979" s="62">
        <f>IF(G$15&lt;=1,0,SUMPRODUCT(MAX(($C$12:$V$12=G$12)*($C$139:$V$139)*($C$34:$V$34))))</f>
        <v/>
      </c>
      <c r="H979" s="62">
        <f>IF(H$15&lt;=1,0,SUMPRODUCT(MAX(($C$12:$V$12=H$12)*($C$139:$V$139)*($C$34:$V$34))))</f>
        <v/>
      </c>
      <c r="I979" s="62">
        <f>IF(I$15&lt;=1,0,SUMPRODUCT(MAX(($C$12:$V$12=I$12)*($C$139:$V$139)*($C$34:$V$34))))</f>
        <v/>
      </c>
      <c r="J979" s="62">
        <f>IF(J$15&lt;=1,0,SUMPRODUCT(MAX(($C$12:$V$12=J$12)*($C$139:$V$139)*($C$34:$V$34))))</f>
        <v/>
      </c>
      <c r="K979" s="62">
        <f>IF(K$15&lt;=1,0,SUMPRODUCT(MAX(($C$12:$V$12=K$12)*($C$139:$V$139)*($C$34:$V$34))))</f>
        <v/>
      </c>
      <c r="L979" s="62">
        <f>IF(L$15&lt;=1,0,SUMPRODUCT(MAX(($C$12:$V$12=L$12)*($C$139:$V$139)*($C$34:$V$34))))</f>
        <v/>
      </c>
      <c r="M979" s="62">
        <f>IF(M$15&lt;=1,0,SUMPRODUCT(MAX(($C$12:$V$12=M$12)*($C$139:$V$139)*($C$34:$V$34))))</f>
        <v/>
      </c>
      <c r="N979" s="62">
        <f>IF(N$15&lt;=1,0,SUMPRODUCT(MAX(($C$12:$V$12=N$12)*($C$139:$V$139)*($C$34:$V$34))))</f>
        <v/>
      </c>
      <c r="O979" s="62">
        <f>IF(O$15&lt;=1,0,SUMPRODUCT(MAX(($C$12:$V$12=O$12)*($C$139:$V$139)*($C$34:$V$34))))</f>
        <v/>
      </c>
      <c r="P979" s="62">
        <f>IF(P$15&lt;=1,0,SUMPRODUCT(MAX(($C$12:$V$12=P$12)*($C$139:$V$139)*($C$34:$V$34))))</f>
        <v/>
      </c>
      <c r="Q979" s="62">
        <f>IF(Q$15&lt;=1,0,SUMPRODUCT(MAX(($C$12:$V$12=Q$12)*($C$139:$V$139)*($C$34:$V$34))))</f>
        <v/>
      </c>
      <c r="R979" s="62">
        <f>IF(R$15&lt;=1,0,SUMPRODUCT(MAX(($C$12:$V$12=R$12)*($C$139:$V$139)*($C$34:$V$34))))</f>
        <v/>
      </c>
      <c r="S979" s="62">
        <f>IF(S$15&lt;=1,0,SUMPRODUCT(MAX(($C$12:$V$12=S$12)*($C$139:$V$139)*($C$34:$V$34))))</f>
        <v/>
      </c>
      <c r="T979" s="62">
        <f>IF(T$15&lt;=1,0,SUMPRODUCT(MAX(($C$12:$V$12=T$12)*($C$139:$V$139)*($C$34:$V$34))))</f>
        <v/>
      </c>
      <c r="U979" s="62">
        <f>IF(U$15&lt;=1,0,SUMPRODUCT(MAX(($C$12:$V$12=U$12)*($C$139:$V$139)*($C$34:$V$34))))</f>
        <v/>
      </c>
      <c r="V979" s="62">
        <f>IF(V$15&lt;=1,0,SUMPRODUCT(MAX(($C$12:$V$12=V$12)*($C$139:$V$139)*($C$34:$V$34))))</f>
        <v/>
      </c>
    </row>
    <row r="980">
      <c r="C980" s="62">
        <f>IF(C$15&lt;=1,0,SUMPRODUCT(MAX(($C$12:$V$12=C$12)*($C$140:$V$140)*($C$35:$V$35))))</f>
        <v/>
      </c>
      <c r="D980" s="62">
        <f>IF(D$15&lt;=1,0,SUMPRODUCT(MAX(($C$12:$V$12=D$12)*($C$140:$V$140)*($C$35:$V$35))))</f>
        <v/>
      </c>
      <c r="E980" s="62">
        <f>IF(E$15&lt;=1,0,SUMPRODUCT(MAX(($C$12:$V$12=E$12)*($C$140:$V$140)*($C$35:$V$35))))</f>
        <v/>
      </c>
      <c r="F980" s="62">
        <f>IF(F$15&lt;=1,0,SUMPRODUCT(MAX(($C$12:$V$12=F$12)*($C$140:$V$140)*($C$35:$V$35))))</f>
        <v/>
      </c>
      <c r="G980" s="62">
        <f>IF(G$15&lt;=1,0,SUMPRODUCT(MAX(($C$12:$V$12=G$12)*($C$140:$V$140)*($C$35:$V$35))))</f>
        <v/>
      </c>
      <c r="H980" s="62">
        <f>IF(H$15&lt;=1,0,SUMPRODUCT(MAX(($C$12:$V$12=H$12)*($C$140:$V$140)*($C$35:$V$35))))</f>
        <v/>
      </c>
      <c r="I980" s="62">
        <f>IF(I$15&lt;=1,0,SUMPRODUCT(MAX(($C$12:$V$12=I$12)*($C$140:$V$140)*($C$35:$V$35))))</f>
        <v/>
      </c>
      <c r="J980" s="62">
        <f>IF(J$15&lt;=1,0,SUMPRODUCT(MAX(($C$12:$V$12=J$12)*($C$140:$V$140)*($C$35:$V$35))))</f>
        <v/>
      </c>
      <c r="K980" s="62">
        <f>IF(K$15&lt;=1,0,SUMPRODUCT(MAX(($C$12:$V$12=K$12)*($C$140:$V$140)*($C$35:$V$35))))</f>
        <v/>
      </c>
      <c r="L980" s="62">
        <f>IF(L$15&lt;=1,0,SUMPRODUCT(MAX(($C$12:$V$12=L$12)*($C$140:$V$140)*($C$35:$V$35))))</f>
        <v/>
      </c>
      <c r="M980" s="62">
        <f>IF(M$15&lt;=1,0,SUMPRODUCT(MAX(($C$12:$V$12=M$12)*($C$140:$V$140)*($C$35:$V$35))))</f>
        <v/>
      </c>
      <c r="N980" s="62">
        <f>IF(N$15&lt;=1,0,SUMPRODUCT(MAX(($C$12:$V$12=N$12)*($C$140:$V$140)*($C$35:$V$35))))</f>
        <v/>
      </c>
      <c r="O980" s="62">
        <f>IF(O$15&lt;=1,0,SUMPRODUCT(MAX(($C$12:$V$12=O$12)*($C$140:$V$140)*($C$35:$V$35))))</f>
        <v/>
      </c>
      <c r="P980" s="62">
        <f>IF(P$15&lt;=1,0,SUMPRODUCT(MAX(($C$12:$V$12=P$12)*($C$140:$V$140)*($C$35:$V$35))))</f>
        <v/>
      </c>
      <c r="Q980" s="62">
        <f>IF(Q$15&lt;=1,0,SUMPRODUCT(MAX(($C$12:$V$12=Q$12)*($C$140:$V$140)*($C$35:$V$35))))</f>
        <v/>
      </c>
      <c r="R980" s="62">
        <f>IF(R$15&lt;=1,0,SUMPRODUCT(MAX(($C$12:$V$12=R$12)*($C$140:$V$140)*($C$35:$V$35))))</f>
        <v/>
      </c>
      <c r="S980" s="62">
        <f>IF(S$15&lt;=1,0,SUMPRODUCT(MAX(($C$12:$V$12=S$12)*($C$140:$V$140)*($C$35:$V$35))))</f>
        <v/>
      </c>
      <c r="T980" s="62">
        <f>IF(T$15&lt;=1,0,SUMPRODUCT(MAX(($C$12:$V$12=T$12)*($C$140:$V$140)*($C$35:$V$35))))</f>
        <v/>
      </c>
      <c r="U980" s="62">
        <f>IF(U$15&lt;=1,0,SUMPRODUCT(MAX(($C$12:$V$12=U$12)*($C$140:$V$140)*($C$35:$V$35))))</f>
        <v/>
      </c>
      <c r="V980" s="62">
        <f>IF(V$15&lt;=1,0,SUMPRODUCT(MAX(($C$12:$V$12=V$12)*($C$140:$V$140)*($C$35:$V$35))))</f>
        <v/>
      </c>
    </row>
    <row r="981">
      <c r="C981" s="62">
        <f>IF(C$15&lt;=1,0,SUMPRODUCT(MAX(($C$12:$V$12=C$12)*($C$141:$V$141)*($C$36:$V$36))))</f>
        <v/>
      </c>
      <c r="D981" s="62">
        <f>IF(D$15&lt;=1,0,SUMPRODUCT(MAX(($C$12:$V$12=D$12)*($C$141:$V$141)*($C$36:$V$36))))</f>
        <v/>
      </c>
      <c r="E981" s="62">
        <f>IF(E$15&lt;=1,0,SUMPRODUCT(MAX(($C$12:$V$12=E$12)*($C$141:$V$141)*($C$36:$V$36))))</f>
        <v/>
      </c>
      <c r="F981" s="62">
        <f>IF(F$15&lt;=1,0,SUMPRODUCT(MAX(($C$12:$V$12=F$12)*($C$141:$V$141)*($C$36:$V$36))))</f>
        <v/>
      </c>
      <c r="G981" s="62">
        <f>IF(G$15&lt;=1,0,SUMPRODUCT(MAX(($C$12:$V$12=G$12)*($C$141:$V$141)*($C$36:$V$36))))</f>
        <v/>
      </c>
      <c r="H981" s="62">
        <f>IF(H$15&lt;=1,0,SUMPRODUCT(MAX(($C$12:$V$12=H$12)*($C$141:$V$141)*($C$36:$V$36))))</f>
        <v/>
      </c>
      <c r="I981" s="62">
        <f>IF(I$15&lt;=1,0,SUMPRODUCT(MAX(($C$12:$V$12=I$12)*($C$141:$V$141)*($C$36:$V$36))))</f>
        <v/>
      </c>
      <c r="J981" s="62">
        <f>IF(J$15&lt;=1,0,SUMPRODUCT(MAX(($C$12:$V$12=J$12)*($C$141:$V$141)*($C$36:$V$36))))</f>
        <v/>
      </c>
      <c r="K981" s="62">
        <f>IF(K$15&lt;=1,0,SUMPRODUCT(MAX(($C$12:$V$12=K$12)*($C$141:$V$141)*($C$36:$V$36))))</f>
        <v/>
      </c>
      <c r="L981" s="62">
        <f>IF(L$15&lt;=1,0,SUMPRODUCT(MAX(($C$12:$V$12=L$12)*($C$141:$V$141)*($C$36:$V$36))))</f>
        <v/>
      </c>
      <c r="M981" s="62">
        <f>IF(M$15&lt;=1,0,SUMPRODUCT(MAX(($C$12:$V$12=M$12)*($C$141:$V$141)*($C$36:$V$36))))</f>
        <v/>
      </c>
      <c r="N981" s="62">
        <f>IF(N$15&lt;=1,0,SUMPRODUCT(MAX(($C$12:$V$12=N$12)*($C$141:$V$141)*($C$36:$V$36))))</f>
        <v/>
      </c>
      <c r="O981" s="62">
        <f>IF(O$15&lt;=1,0,SUMPRODUCT(MAX(($C$12:$V$12=O$12)*($C$141:$V$141)*($C$36:$V$36))))</f>
        <v/>
      </c>
      <c r="P981" s="62">
        <f>IF(P$15&lt;=1,0,SUMPRODUCT(MAX(($C$12:$V$12=P$12)*($C$141:$V$141)*($C$36:$V$36))))</f>
        <v/>
      </c>
      <c r="Q981" s="62">
        <f>IF(Q$15&lt;=1,0,SUMPRODUCT(MAX(($C$12:$V$12=Q$12)*($C$141:$V$141)*($C$36:$V$36))))</f>
        <v/>
      </c>
      <c r="R981" s="62">
        <f>IF(R$15&lt;=1,0,SUMPRODUCT(MAX(($C$12:$V$12=R$12)*($C$141:$V$141)*($C$36:$V$36))))</f>
        <v/>
      </c>
      <c r="S981" s="62">
        <f>IF(S$15&lt;=1,0,SUMPRODUCT(MAX(($C$12:$V$12=S$12)*($C$141:$V$141)*($C$36:$V$36))))</f>
        <v/>
      </c>
      <c r="T981" s="62">
        <f>IF(T$15&lt;=1,0,SUMPRODUCT(MAX(($C$12:$V$12=T$12)*($C$141:$V$141)*($C$36:$V$36))))</f>
        <v/>
      </c>
      <c r="U981" s="62">
        <f>IF(U$15&lt;=1,0,SUMPRODUCT(MAX(($C$12:$V$12=U$12)*($C$141:$V$141)*($C$36:$V$36))))</f>
        <v/>
      </c>
      <c r="V981" s="62">
        <f>IF(V$15&lt;=1,0,SUMPRODUCT(MAX(($C$12:$V$12=V$12)*($C$141:$V$141)*($C$36:$V$36))))</f>
        <v/>
      </c>
    </row>
    <row r="982">
      <c r="C982" s="62">
        <f>IF(C$15&lt;=1,0,SUMPRODUCT(MAX(($C$12:$V$12=C$12)*($C$142:$V$142)*($C$37:$V$37))))</f>
        <v/>
      </c>
      <c r="D982" s="62">
        <f>IF(D$15&lt;=1,0,SUMPRODUCT(MAX(($C$12:$V$12=D$12)*($C$142:$V$142)*($C$37:$V$37))))</f>
        <v/>
      </c>
      <c r="E982" s="62">
        <f>IF(E$15&lt;=1,0,SUMPRODUCT(MAX(($C$12:$V$12=E$12)*($C$142:$V$142)*($C$37:$V$37))))</f>
        <v/>
      </c>
      <c r="F982" s="62">
        <f>IF(F$15&lt;=1,0,SUMPRODUCT(MAX(($C$12:$V$12=F$12)*($C$142:$V$142)*($C$37:$V$37))))</f>
        <v/>
      </c>
      <c r="G982" s="62">
        <f>IF(G$15&lt;=1,0,SUMPRODUCT(MAX(($C$12:$V$12=G$12)*($C$142:$V$142)*($C$37:$V$37))))</f>
        <v/>
      </c>
      <c r="H982" s="62">
        <f>IF(H$15&lt;=1,0,SUMPRODUCT(MAX(($C$12:$V$12=H$12)*($C$142:$V$142)*($C$37:$V$37))))</f>
        <v/>
      </c>
      <c r="I982" s="62">
        <f>IF(I$15&lt;=1,0,SUMPRODUCT(MAX(($C$12:$V$12=I$12)*($C$142:$V$142)*($C$37:$V$37))))</f>
        <v/>
      </c>
      <c r="J982" s="62">
        <f>IF(J$15&lt;=1,0,SUMPRODUCT(MAX(($C$12:$V$12=J$12)*($C$142:$V$142)*($C$37:$V$37))))</f>
        <v/>
      </c>
      <c r="K982" s="62">
        <f>IF(K$15&lt;=1,0,SUMPRODUCT(MAX(($C$12:$V$12=K$12)*($C$142:$V$142)*($C$37:$V$37))))</f>
        <v/>
      </c>
      <c r="L982" s="62">
        <f>IF(L$15&lt;=1,0,SUMPRODUCT(MAX(($C$12:$V$12=L$12)*($C$142:$V$142)*($C$37:$V$37))))</f>
        <v/>
      </c>
      <c r="M982" s="62">
        <f>IF(M$15&lt;=1,0,SUMPRODUCT(MAX(($C$12:$V$12=M$12)*($C$142:$V$142)*($C$37:$V$37))))</f>
        <v/>
      </c>
      <c r="N982" s="62">
        <f>IF(N$15&lt;=1,0,SUMPRODUCT(MAX(($C$12:$V$12=N$12)*($C$142:$V$142)*($C$37:$V$37))))</f>
        <v/>
      </c>
      <c r="O982" s="62">
        <f>IF(O$15&lt;=1,0,SUMPRODUCT(MAX(($C$12:$V$12=O$12)*($C$142:$V$142)*($C$37:$V$37))))</f>
        <v/>
      </c>
      <c r="P982" s="62">
        <f>IF(P$15&lt;=1,0,SUMPRODUCT(MAX(($C$12:$V$12=P$12)*($C$142:$V$142)*($C$37:$V$37))))</f>
        <v/>
      </c>
      <c r="Q982" s="62">
        <f>IF(Q$15&lt;=1,0,SUMPRODUCT(MAX(($C$12:$V$12=Q$12)*($C$142:$V$142)*($C$37:$V$37))))</f>
        <v/>
      </c>
      <c r="R982" s="62">
        <f>IF(R$15&lt;=1,0,SUMPRODUCT(MAX(($C$12:$V$12=R$12)*($C$142:$V$142)*($C$37:$V$37))))</f>
        <v/>
      </c>
      <c r="S982" s="62">
        <f>IF(S$15&lt;=1,0,SUMPRODUCT(MAX(($C$12:$V$12=S$12)*($C$142:$V$142)*($C$37:$V$37))))</f>
        <v/>
      </c>
      <c r="T982" s="62">
        <f>IF(T$15&lt;=1,0,SUMPRODUCT(MAX(($C$12:$V$12=T$12)*($C$142:$V$142)*($C$37:$V$37))))</f>
        <v/>
      </c>
      <c r="U982" s="62">
        <f>IF(U$15&lt;=1,0,SUMPRODUCT(MAX(($C$12:$V$12=U$12)*($C$142:$V$142)*($C$37:$V$37))))</f>
        <v/>
      </c>
      <c r="V982" s="62">
        <f>IF(V$15&lt;=1,0,SUMPRODUCT(MAX(($C$12:$V$12=V$12)*($C$142:$V$142)*($C$37:$V$37))))</f>
        <v/>
      </c>
    </row>
    <row r="983">
      <c r="C983" s="62">
        <f>IF(C$15&lt;=1,0,SUMPRODUCT(MAX(($C$12:$V$12=C$12)*($C$143:$V$143)*($C$38:$V$38))))</f>
        <v/>
      </c>
      <c r="D983" s="62">
        <f>IF(D$15&lt;=1,0,SUMPRODUCT(MAX(($C$12:$V$12=D$12)*($C$143:$V$143)*($C$38:$V$38))))</f>
        <v/>
      </c>
      <c r="E983" s="62">
        <f>IF(E$15&lt;=1,0,SUMPRODUCT(MAX(($C$12:$V$12=E$12)*($C$143:$V$143)*($C$38:$V$38))))</f>
        <v/>
      </c>
      <c r="F983" s="62">
        <f>IF(F$15&lt;=1,0,SUMPRODUCT(MAX(($C$12:$V$12=F$12)*($C$143:$V$143)*($C$38:$V$38))))</f>
        <v/>
      </c>
      <c r="G983" s="62">
        <f>IF(G$15&lt;=1,0,SUMPRODUCT(MAX(($C$12:$V$12=G$12)*($C$143:$V$143)*($C$38:$V$38))))</f>
        <v/>
      </c>
      <c r="H983" s="62">
        <f>IF(H$15&lt;=1,0,SUMPRODUCT(MAX(($C$12:$V$12=H$12)*($C$143:$V$143)*($C$38:$V$38))))</f>
        <v/>
      </c>
      <c r="I983" s="62">
        <f>IF(I$15&lt;=1,0,SUMPRODUCT(MAX(($C$12:$V$12=I$12)*($C$143:$V$143)*($C$38:$V$38))))</f>
        <v/>
      </c>
      <c r="J983" s="62">
        <f>IF(J$15&lt;=1,0,SUMPRODUCT(MAX(($C$12:$V$12=J$12)*($C$143:$V$143)*($C$38:$V$38))))</f>
        <v/>
      </c>
      <c r="K983" s="62">
        <f>IF(K$15&lt;=1,0,SUMPRODUCT(MAX(($C$12:$V$12=K$12)*($C$143:$V$143)*($C$38:$V$38))))</f>
        <v/>
      </c>
      <c r="L983" s="62">
        <f>IF(L$15&lt;=1,0,SUMPRODUCT(MAX(($C$12:$V$12=L$12)*($C$143:$V$143)*($C$38:$V$38))))</f>
        <v/>
      </c>
      <c r="M983" s="62">
        <f>IF(M$15&lt;=1,0,SUMPRODUCT(MAX(($C$12:$V$12=M$12)*($C$143:$V$143)*($C$38:$V$38))))</f>
        <v/>
      </c>
      <c r="N983" s="62">
        <f>IF(N$15&lt;=1,0,SUMPRODUCT(MAX(($C$12:$V$12=N$12)*($C$143:$V$143)*($C$38:$V$38))))</f>
        <v/>
      </c>
      <c r="O983" s="62">
        <f>IF(O$15&lt;=1,0,SUMPRODUCT(MAX(($C$12:$V$12=O$12)*($C$143:$V$143)*($C$38:$V$38))))</f>
        <v/>
      </c>
      <c r="P983" s="62">
        <f>IF(P$15&lt;=1,0,SUMPRODUCT(MAX(($C$12:$V$12=P$12)*($C$143:$V$143)*($C$38:$V$38))))</f>
        <v/>
      </c>
      <c r="Q983" s="62">
        <f>IF(Q$15&lt;=1,0,SUMPRODUCT(MAX(($C$12:$V$12=Q$12)*($C$143:$V$143)*($C$38:$V$38))))</f>
        <v/>
      </c>
      <c r="R983" s="62">
        <f>IF(R$15&lt;=1,0,SUMPRODUCT(MAX(($C$12:$V$12=R$12)*($C$143:$V$143)*($C$38:$V$38))))</f>
        <v/>
      </c>
      <c r="S983" s="62">
        <f>IF(S$15&lt;=1,0,SUMPRODUCT(MAX(($C$12:$V$12=S$12)*($C$143:$V$143)*($C$38:$V$38))))</f>
        <v/>
      </c>
      <c r="T983" s="62">
        <f>IF(T$15&lt;=1,0,SUMPRODUCT(MAX(($C$12:$V$12=T$12)*($C$143:$V$143)*($C$38:$V$38))))</f>
        <v/>
      </c>
      <c r="U983" s="62">
        <f>IF(U$15&lt;=1,0,SUMPRODUCT(MAX(($C$12:$V$12=U$12)*($C$143:$V$143)*($C$38:$V$38))))</f>
        <v/>
      </c>
      <c r="V983" s="62">
        <f>IF(V$15&lt;=1,0,SUMPRODUCT(MAX(($C$12:$V$12=V$12)*($C$143:$V$143)*($C$38:$V$38))))</f>
        <v/>
      </c>
    </row>
    <row r="984">
      <c r="C984" s="62">
        <f>IF(C$15&lt;=1,0,SUMPRODUCT(MAX(($C$12:$V$12=C$12)*($C$144:$V$144)*($C$39:$V$39))))</f>
        <v/>
      </c>
      <c r="D984" s="62">
        <f>IF(D$15&lt;=1,0,SUMPRODUCT(MAX(($C$12:$V$12=D$12)*($C$144:$V$144)*($C$39:$V$39))))</f>
        <v/>
      </c>
      <c r="E984" s="62">
        <f>IF(E$15&lt;=1,0,SUMPRODUCT(MAX(($C$12:$V$12=E$12)*($C$144:$V$144)*($C$39:$V$39))))</f>
        <v/>
      </c>
      <c r="F984" s="62">
        <f>IF(F$15&lt;=1,0,SUMPRODUCT(MAX(($C$12:$V$12=F$12)*($C$144:$V$144)*($C$39:$V$39))))</f>
        <v/>
      </c>
      <c r="G984" s="62">
        <f>IF(G$15&lt;=1,0,SUMPRODUCT(MAX(($C$12:$V$12=G$12)*($C$144:$V$144)*($C$39:$V$39))))</f>
        <v/>
      </c>
      <c r="H984" s="62">
        <f>IF(H$15&lt;=1,0,SUMPRODUCT(MAX(($C$12:$V$12=H$12)*($C$144:$V$144)*($C$39:$V$39))))</f>
        <v/>
      </c>
      <c r="I984" s="62">
        <f>IF(I$15&lt;=1,0,SUMPRODUCT(MAX(($C$12:$V$12=I$12)*($C$144:$V$144)*($C$39:$V$39))))</f>
        <v/>
      </c>
      <c r="J984" s="62">
        <f>IF(J$15&lt;=1,0,SUMPRODUCT(MAX(($C$12:$V$12=J$12)*($C$144:$V$144)*($C$39:$V$39))))</f>
        <v/>
      </c>
      <c r="K984" s="62">
        <f>IF(K$15&lt;=1,0,SUMPRODUCT(MAX(($C$12:$V$12=K$12)*($C$144:$V$144)*($C$39:$V$39))))</f>
        <v/>
      </c>
      <c r="L984" s="62">
        <f>IF(L$15&lt;=1,0,SUMPRODUCT(MAX(($C$12:$V$12=L$12)*($C$144:$V$144)*($C$39:$V$39))))</f>
        <v/>
      </c>
      <c r="M984" s="62">
        <f>IF(M$15&lt;=1,0,SUMPRODUCT(MAX(($C$12:$V$12=M$12)*($C$144:$V$144)*($C$39:$V$39))))</f>
        <v/>
      </c>
      <c r="N984" s="62">
        <f>IF(N$15&lt;=1,0,SUMPRODUCT(MAX(($C$12:$V$12=N$12)*($C$144:$V$144)*($C$39:$V$39))))</f>
        <v/>
      </c>
      <c r="O984" s="62">
        <f>IF(O$15&lt;=1,0,SUMPRODUCT(MAX(($C$12:$V$12=O$12)*($C$144:$V$144)*($C$39:$V$39))))</f>
        <v/>
      </c>
      <c r="P984" s="62">
        <f>IF(P$15&lt;=1,0,SUMPRODUCT(MAX(($C$12:$V$12=P$12)*($C$144:$V$144)*($C$39:$V$39))))</f>
        <v/>
      </c>
      <c r="Q984" s="62">
        <f>IF(Q$15&lt;=1,0,SUMPRODUCT(MAX(($C$12:$V$12=Q$12)*($C$144:$V$144)*($C$39:$V$39))))</f>
        <v/>
      </c>
      <c r="R984" s="62">
        <f>IF(R$15&lt;=1,0,SUMPRODUCT(MAX(($C$12:$V$12=R$12)*($C$144:$V$144)*($C$39:$V$39))))</f>
        <v/>
      </c>
      <c r="S984" s="62">
        <f>IF(S$15&lt;=1,0,SUMPRODUCT(MAX(($C$12:$V$12=S$12)*($C$144:$V$144)*($C$39:$V$39))))</f>
        <v/>
      </c>
      <c r="T984" s="62">
        <f>IF(T$15&lt;=1,0,SUMPRODUCT(MAX(($C$12:$V$12=T$12)*($C$144:$V$144)*($C$39:$V$39))))</f>
        <v/>
      </c>
      <c r="U984" s="62">
        <f>IF(U$15&lt;=1,0,SUMPRODUCT(MAX(($C$12:$V$12=U$12)*($C$144:$V$144)*($C$39:$V$39))))</f>
        <v/>
      </c>
      <c r="V984" s="62">
        <f>IF(V$15&lt;=1,0,SUMPRODUCT(MAX(($C$12:$V$12=V$12)*($C$144:$V$144)*($C$39:$V$39))))</f>
        <v/>
      </c>
    </row>
    <row r="985">
      <c r="C985" s="62">
        <f>IF(C$15&lt;=1,0,SUMPRODUCT(MAX(($C$12:$V$12=C$12)*($C$145:$V$145)*($C$40:$V$40))))</f>
        <v/>
      </c>
      <c r="D985" s="62">
        <f>IF(D$15&lt;=1,0,SUMPRODUCT(MAX(($C$12:$V$12=D$12)*($C$145:$V$145)*($C$40:$V$40))))</f>
        <v/>
      </c>
      <c r="E985" s="62">
        <f>IF(E$15&lt;=1,0,SUMPRODUCT(MAX(($C$12:$V$12=E$12)*($C$145:$V$145)*($C$40:$V$40))))</f>
        <v/>
      </c>
      <c r="F985" s="62">
        <f>IF(F$15&lt;=1,0,SUMPRODUCT(MAX(($C$12:$V$12=F$12)*($C$145:$V$145)*($C$40:$V$40))))</f>
        <v/>
      </c>
      <c r="G985" s="62">
        <f>IF(G$15&lt;=1,0,SUMPRODUCT(MAX(($C$12:$V$12=G$12)*($C$145:$V$145)*($C$40:$V$40))))</f>
        <v/>
      </c>
      <c r="H985" s="62">
        <f>IF(H$15&lt;=1,0,SUMPRODUCT(MAX(($C$12:$V$12=H$12)*($C$145:$V$145)*($C$40:$V$40))))</f>
        <v/>
      </c>
      <c r="I985" s="62">
        <f>IF(I$15&lt;=1,0,SUMPRODUCT(MAX(($C$12:$V$12=I$12)*($C$145:$V$145)*($C$40:$V$40))))</f>
        <v/>
      </c>
      <c r="J985" s="62">
        <f>IF(J$15&lt;=1,0,SUMPRODUCT(MAX(($C$12:$V$12=J$12)*($C$145:$V$145)*($C$40:$V$40))))</f>
        <v/>
      </c>
      <c r="K985" s="62">
        <f>IF(K$15&lt;=1,0,SUMPRODUCT(MAX(($C$12:$V$12=K$12)*($C$145:$V$145)*($C$40:$V$40))))</f>
        <v/>
      </c>
      <c r="L985" s="62">
        <f>IF(L$15&lt;=1,0,SUMPRODUCT(MAX(($C$12:$V$12=L$12)*($C$145:$V$145)*($C$40:$V$40))))</f>
        <v/>
      </c>
      <c r="M985" s="62">
        <f>IF(M$15&lt;=1,0,SUMPRODUCT(MAX(($C$12:$V$12=M$12)*($C$145:$V$145)*($C$40:$V$40))))</f>
        <v/>
      </c>
      <c r="N985" s="62">
        <f>IF(N$15&lt;=1,0,SUMPRODUCT(MAX(($C$12:$V$12=N$12)*($C$145:$V$145)*($C$40:$V$40))))</f>
        <v/>
      </c>
      <c r="O985" s="62">
        <f>IF(O$15&lt;=1,0,SUMPRODUCT(MAX(($C$12:$V$12=O$12)*($C$145:$V$145)*($C$40:$V$40))))</f>
        <v/>
      </c>
      <c r="P985" s="62">
        <f>IF(P$15&lt;=1,0,SUMPRODUCT(MAX(($C$12:$V$12=P$12)*($C$145:$V$145)*($C$40:$V$40))))</f>
        <v/>
      </c>
      <c r="Q985" s="62">
        <f>IF(Q$15&lt;=1,0,SUMPRODUCT(MAX(($C$12:$V$12=Q$12)*($C$145:$V$145)*($C$40:$V$40))))</f>
        <v/>
      </c>
      <c r="R985" s="62">
        <f>IF(R$15&lt;=1,0,SUMPRODUCT(MAX(($C$12:$V$12=R$12)*($C$145:$V$145)*($C$40:$V$40))))</f>
        <v/>
      </c>
      <c r="S985" s="62">
        <f>IF(S$15&lt;=1,0,SUMPRODUCT(MAX(($C$12:$V$12=S$12)*($C$145:$V$145)*($C$40:$V$40))))</f>
        <v/>
      </c>
      <c r="T985" s="62">
        <f>IF(T$15&lt;=1,0,SUMPRODUCT(MAX(($C$12:$V$12=T$12)*($C$145:$V$145)*($C$40:$V$40))))</f>
        <v/>
      </c>
      <c r="U985" s="62">
        <f>IF(U$15&lt;=1,0,SUMPRODUCT(MAX(($C$12:$V$12=U$12)*($C$145:$V$145)*($C$40:$V$40))))</f>
        <v/>
      </c>
      <c r="V985" s="62">
        <f>IF(V$15&lt;=1,0,SUMPRODUCT(MAX(($C$12:$V$12=V$12)*($C$145:$V$145)*($C$40:$V$40))))</f>
        <v/>
      </c>
    </row>
    <row r="986">
      <c r="C986" s="62">
        <f>IF(C$15&lt;=1,0,SUMPRODUCT(MAX(($C$12:$V$12=C$12)*($C$146:$V$146)*($C$41:$V$41))))</f>
        <v/>
      </c>
      <c r="D986" s="62">
        <f>IF(D$15&lt;=1,0,SUMPRODUCT(MAX(($C$12:$V$12=D$12)*($C$146:$V$146)*($C$41:$V$41))))</f>
        <v/>
      </c>
      <c r="E986" s="62">
        <f>IF(E$15&lt;=1,0,SUMPRODUCT(MAX(($C$12:$V$12=E$12)*($C$146:$V$146)*($C$41:$V$41))))</f>
        <v/>
      </c>
      <c r="F986" s="62">
        <f>IF(F$15&lt;=1,0,SUMPRODUCT(MAX(($C$12:$V$12=F$12)*($C$146:$V$146)*($C$41:$V$41))))</f>
        <v/>
      </c>
      <c r="G986" s="62">
        <f>IF(G$15&lt;=1,0,SUMPRODUCT(MAX(($C$12:$V$12=G$12)*($C$146:$V$146)*($C$41:$V$41))))</f>
        <v/>
      </c>
      <c r="H986" s="62">
        <f>IF(H$15&lt;=1,0,SUMPRODUCT(MAX(($C$12:$V$12=H$12)*($C$146:$V$146)*($C$41:$V$41))))</f>
        <v/>
      </c>
      <c r="I986" s="62">
        <f>IF(I$15&lt;=1,0,SUMPRODUCT(MAX(($C$12:$V$12=I$12)*($C$146:$V$146)*($C$41:$V$41))))</f>
        <v/>
      </c>
      <c r="J986" s="62">
        <f>IF(J$15&lt;=1,0,SUMPRODUCT(MAX(($C$12:$V$12=J$12)*($C$146:$V$146)*($C$41:$V$41))))</f>
        <v/>
      </c>
      <c r="K986" s="62">
        <f>IF(K$15&lt;=1,0,SUMPRODUCT(MAX(($C$12:$V$12=K$12)*($C$146:$V$146)*($C$41:$V$41))))</f>
        <v/>
      </c>
      <c r="L986" s="62">
        <f>IF(L$15&lt;=1,0,SUMPRODUCT(MAX(($C$12:$V$12=L$12)*($C$146:$V$146)*($C$41:$V$41))))</f>
        <v/>
      </c>
      <c r="M986" s="62">
        <f>IF(M$15&lt;=1,0,SUMPRODUCT(MAX(($C$12:$V$12=M$12)*($C$146:$V$146)*($C$41:$V$41))))</f>
        <v/>
      </c>
      <c r="N986" s="62">
        <f>IF(N$15&lt;=1,0,SUMPRODUCT(MAX(($C$12:$V$12=N$12)*($C$146:$V$146)*($C$41:$V$41))))</f>
        <v/>
      </c>
      <c r="O986" s="62">
        <f>IF(O$15&lt;=1,0,SUMPRODUCT(MAX(($C$12:$V$12=O$12)*($C$146:$V$146)*($C$41:$V$41))))</f>
        <v/>
      </c>
      <c r="P986" s="62">
        <f>IF(P$15&lt;=1,0,SUMPRODUCT(MAX(($C$12:$V$12=P$12)*($C$146:$V$146)*($C$41:$V$41))))</f>
        <v/>
      </c>
      <c r="Q986" s="62">
        <f>IF(Q$15&lt;=1,0,SUMPRODUCT(MAX(($C$12:$V$12=Q$12)*($C$146:$V$146)*($C$41:$V$41))))</f>
        <v/>
      </c>
      <c r="R986" s="62">
        <f>IF(R$15&lt;=1,0,SUMPRODUCT(MAX(($C$12:$V$12=R$12)*($C$146:$V$146)*($C$41:$V$41))))</f>
        <v/>
      </c>
      <c r="S986" s="62">
        <f>IF(S$15&lt;=1,0,SUMPRODUCT(MAX(($C$12:$V$12=S$12)*($C$146:$V$146)*($C$41:$V$41))))</f>
        <v/>
      </c>
      <c r="T986" s="62">
        <f>IF(T$15&lt;=1,0,SUMPRODUCT(MAX(($C$12:$V$12=T$12)*($C$146:$V$146)*($C$41:$V$41))))</f>
        <v/>
      </c>
      <c r="U986" s="62">
        <f>IF(U$15&lt;=1,0,SUMPRODUCT(MAX(($C$12:$V$12=U$12)*($C$146:$V$146)*($C$41:$V$41))))</f>
        <v/>
      </c>
      <c r="V986" s="62">
        <f>IF(V$15&lt;=1,0,SUMPRODUCT(MAX(($C$12:$V$12=V$12)*($C$146:$V$146)*($C$41:$V$41))))</f>
        <v/>
      </c>
    </row>
    <row r="987">
      <c r="C987" s="62">
        <f>IF(C$15&lt;=1,0,SUMPRODUCT(MAX(($C$12:$V$12=C$12)*($C$147:$V$147)*($C$42:$V$42))))</f>
        <v/>
      </c>
      <c r="D987" s="62">
        <f>IF(D$15&lt;=1,0,SUMPRODUCT(MAX(($C$12:$V$12=D$12)*($C$147:$V$147)*($C$42:$V$42))))</f>
        <v/>
      </c>
      <c r="E987" s="62">
        <f>IF(E$15&lt;=1,0,SUMPRODUCT(MAX(($C$12:$V$12=E$12)*($C$147:$V$147)*($C$42:$V$42))))</f>
        <v/>
      </c>
      <c r="F987" s="62">
        <f>IF(F$15&lt;=1,0,SUMPRODUCT(MAX(($C$12:$V$12=F$12)*($C$147:$V$147)*($C$42:$V$42))))</f>
        <v/>
      </c>
      <c r="G987" s="62">
        <f>IF(G$15&lt;=1,0,SUMPRODUCT(MAX(($C$12:$V$12=G$12)*($C$147:$V$147)*($C$42:$V$42))))</f>
        <v/>
      </c>
      <c r="H987" s="62">
        <f>IF(H$15&lt;=1,0,SUMPRODUCT(MAX(($C$12:$V$12=H$12)*($C$147:$V$147)*($C$42:$V$42))))</f>
        <v/>
      </c>
      <c r="I987" s="62">
        <f>IF(I$15&lt;=1,0,SUMPRODUCT(MAX(($C$12:$V$12=I$12)*($C$147:$V$147)*($C$42:$V$42))))</f>
        <v/>
      </c>
      <c r="J987" s="62">
        <f>IF(J$15&lt;=1,0,SUMPRODUCT(MAX(($C$12:$V$12=J$12)*($C$147:$V$147)*($C$42:$V$42))))</f>
        <v/>
      </c>
      <c r="K987" s="62">
        <f>IF(K$15&lt;=1,0,SUMPRODUCT(MAX(($C$12:$V$12=K$12)*($C$147:$V$147)*($C$42:$V$42))))</f>
        <v/>
      </c>
      <c r="L987" s="62">
        <f>IF(L$15&lt;=1,0,SUMPRODUCT(MAX(($C$12:$V$12=L$12)*($C$147:$V$147)*($C$42:$V$42))))</f>
        <v/>
      </c>
      <c r="M987" s="62">
        <f>IF(M$15&lt;=1,0,SUMPRODUCT(MAX(($C$12:$V$12=M$12)*($C$147:$V$147)*($C$42:$V$42))))</f>
        <v/>
      </c>
      <c r="N987" s="62">
        <f>IF(N$15&lt;=1,0,SUMPRODUCT(MAX(($C$12:$V$12=N$12)*($C$147:$V$147)*($C$42:$V$42))))</f>
        <v/>
      </c>
      <c r="O987" s="62">
        <f>IF(O$15&lt;=1,0,SUMPRODUCT(MAX(($C$12:$V$12=O$12)*($C$147:$V$147)*($C$42:$V$42))))</f>
        <v/>
      </c>
      <c r="P987" s="62">
        <f>IF(P$15&lt;=1,0,SUMPRODUCT(MAX(($C$12:$V$12=P$12)*($C$147:$V$147)*($C$42:$V$42))))</f>
        <v/>
      </c>
      <c r="Q987" s="62">
        <f>IF(Q$15&lt;=1,0,SUMPRODUCT(MAX(($C$12:$V$12=Q$12)*($C$147:$V$147)*($C$42:$V$42))))</f>
        <v/>
      </c>
      <c r="R987" s="62">
        <f>IF(R$15&lt;=1,0,SUMPRODUCT(MAX(($C$12:$V$12=R$12)*($C$147:$V$147)*($C$42:$V$42))))</f>
        <v/>
      </c>
      <c r="S987" s="62">
        <f>IF(S$15&lt;=1,0,SUMPRODUCT(MAX(($C$12:$V$12=S$12)*($C$147:$V$147)*($C$42:$V$42))))</f>
        <v/>
      </c>
      <c r="T987" s="62">
        <f>IF(T$15&lt;=1,0,SUMPRODUCT(MAX(($C$12:$V$12=T$12)*($C$147:$V$147)*($C$42:$V$42))))</f>
        <v/>
      </c>
      <c r="U987" s="62">
        <f>IF(U$15&lt;=1,0,SUMPRODUCT(MAX(($C$12:$V$12=U$12)*($C$147:$V$147)*($C$42:$V$42))))</f>
        <v/>
      </c>
      <c r="V987" s="62">
        <f>IF(V$15&lt;=1,0,SUMPRODUCT(MAX(($C$12:$V$12=V$12)*($C$147:$V$147)*($C$42:$V$42))))</f>
        <v/>
      </c>
    </row>
    <row r="988">
      <c r="C988" s="62">
        <f>IF(C$15&lt;=1,0,SUMPRODUCT(MAX(($C$12:$V$12=C$12)*($C$148:$V$148)*($C$43:$V$43))))</f>
        <v/>
      </c>
      <c r="D988" s="62">
        <f>IF(D$15&lt;=1,0,SUMPRODUCT(MAX(($C$12:$V$12=D$12)*($C$148:$V$148)*($C$43:$V$43))))</f>
        <v/>
      </c>
      <c r="E988" s="62">
        <f>IF(E$15&lt;=1,0,SUMPRODUCT(MAX(($C$12:$V$12=E$12)*($C$148:$V$148)*($C$43:$V$43))))</f>
        <v/>
      </c>
      <c r="F988" s="62">
        <f>IF(F$15&lt;=1,0,SUMPRODUCT(MAX(($C$12:$V$12=F$12)*($C$148:$V$148)*($C$43:$V$43))))</f>
        <v/>
      </c>
      <c r="G988" s="62">
        <f>IF(G$15&lt;=1,0,SUMPRODUCT(MAX(($C$12:$V$12=G$12)*($C$148:$V$148)*($C$43:$V$43))))</f>
        <v/>
      </c>
      <c r="H988" s="62">
        <f>IF(H$15&lt;=1,0,SUMPRODUCT(MAX(($C$12:$V$12=H$12)*($C$148:$V$148)*($C$43:$V$43))))</f>
        <v/>
      </c>
      <c r="I988" s="62">
        <f>IF(I$15&lt;=1,0,SUMPRODUCT(MAX(($C$12:$V$12=I$12)*($C$148:$V$148)*($C$43:$V$43))))</f>
        <v/>
      </c>
      <c r="J988" s="62">
        <f>IF(J$15&lt;=1,0,SUMPRODUCT(MAX(($C$12:$V$12=J$12)*($C$148:$V$148)*($C$43:$V$43))))</f>
        <v/>
      </c>
      <c r="K988" s="62">
        <f>IF(K$15&lt;=1,0,SUMPRODUCT(MAX(($C$12:$V$12=K$12)*($C$148:$V$148)*($C$43:$V$43))))</f>
        <v/>
      </c>
      <c r="L988" s="62">
        <f>IF(L$15&lt;=1,0,SUMPRODUCT(MAX(($C$12:$V$12=L$12)*($C$148:$V$148)*($C$43:$V$43))))</f>
        <v/>
      </c>
      <c r="M988" s="62">
        <f>IF(M$15&lt;=1,0,SUMPRODUCT(MAX(($C$12:$V$12=M$12)*($C$148:$V$148)*($C$43:$V$43))))</f>
        <v/>
      </c>
      <c r="N988" s="62">
        <f>IF(N$15&lt;=1,0,SUMPRODUCT(MAX(($C$12:$V$12=N$12)*($C$148:$V$148)*($C$43:$V$43))))</f>
        <v/>
      </c>
      <c r="O988" s="62">
        <f>IF(O$15&lt;=1,0,SUMPRODUCT(MAX(($C$12:$V$12=O$12)*($C$148:$V$148)*($C$43:$V$43))))</f>
        <v/>
      </c>
      <c r="P988" s="62">
        <f>IF(P$15&lt;=1,0,SUMPRODUCT(MAX(($C$12:$V$12=P$12)*($C$148:$V$148)*($C$43:$V$43))))</f>
        <v/>
      </c>
      <c r="Q988" s="62">
        <f>IF(Q$15&lt;=1,0,SUMPRODUCT(MAX(($C$12:$V$12=Q$12)*($C$148:$V$148)*($C$43:$V$43))))</f>
        <v/>
      </c>
      <c r="R988" s="62">
        <f>IF(R$15&lt;=1,0,SUMPRODUCT(MAX(($C$12:$V$12=R$12)*($C$148:$V$148)*($C$43:$V$43))))</f>
        <v/>
      </c>
      <c r="S988" s="62">
        <f>IF(S$15&lt;=1,0,SUMPRODUCT(MAX(($C$12:$V$12=S$12)*($C$148:$V$148)*($C$43:$V$43))))</f>
        <v/>
      </c>
      <c r="T988" s="62">
        <f>IF(T$15&lt;=1,0,SUMPRODUCT(MAX(($C$12:$V$12=T$12)*($C$148:$V$148)*($C$43:$V$43))))</f>
        <v/>
      </c>
      <c r="U988" s="62">
        <f>IF(U$15&lt;=1,0,SUMPRODUCT(MAX(($C$12:$V$12=U$12)*($C$148:$V$148)*($C$43:$V$43))))</f>
        <v/>
      </c>
      <c r="V988" s="62">
        <f>IF(V$15&lt;=1,0,SUMPRODUCT(MAX(($C$12:$V$12=V$12)*($C$148:$V$148)*($C$43:$V$43))))</f>
        <v/>
      </c>
    </row>
    <row r="989">
      <c r="C989" s="62">
        <f>IF(C$15&lt;=1,0,SUMPRODUCT(MAX(($C$12:$V$12=C$12)*($C$149:$V$149)*($C$44:$V$44))))</f>
        <v/>
      </c>
      <c r="D989" s="62">
        <f>IF(D$15&lt;=1,0,SUMPRODUCT(MAX(($C$12:$V$12=D$12)*($C$149:$V$149)*($C$44:$V$44))))</f>
        <v/>
      </c>
      <c r="E989" s="62">
        <f>IF(E$15&lt;=1,0,SUMPRODUCT(MAX(($C$12:$V$12=E$12)*($C$149:$V$149)*($C$44:$V$44))))</f>
        <v/>
      </c>
      <c r="F989" s="62">
        <f>IF(F$15&lt;=1,0,SUMPRODUCT(MAX(($C$12:$V$12=F$12)*($C$149:$V$149)*($C$44:$V$44))))</f>
        <v/>
      </c>
      <c r="G989" s="62">
        <f>IF(G$15&lt;=1,0,SUMPRODUCT(MAX(($C$12:$V$12=G$12)*($C$149:$V$149)*($C$44:$V$44))))</f>
        <v/>
      </c>
      <c r="H989" s="62">
        <f>IF(H$15&lt;=1,0,SUMPRODUCT(MAX(($C$12:$V$12=H$12)*($C$149:$V$149)*($C$44:$V$44))))</f>
        <v/>
      </c>
      <c r="I989" s="62">
        <f>IF(I$15&lt;=1,0,SUMPRODUCT(MAX(($C$12:$V$12=I$12)*($C$149:$V$149)*($C$44:$V$44))))</f>
        <v/>
      </c>
      <c r="J989" s="62">
        <f>IF(J$15&lt;=1,0,SUMPRODUCT(MAX(($C$12:$V$12=J$12)*($C$149:$V$149)*($C$44:$V$44))))</f>
        <v/>
      </c>
      <c r="K989" s="62">
        <f>IF(K$15&lt;=1,0,SUMPRODUCT(MAX(($C$12:$V$12=K$12)*($C$149:$V$149)*($C$44:$V$44))))</f>
        <v/>
      </c>
      <c r="L989" s="62">
        <f>IF(L$15&lt;=1,0,SUMPRODUCT(MAX(($C$12:$V$12=L$12)*($C$149:$V$149)*($C$44:$V$44))))</f>
        <v/>
      </c>
      <c r="M989" s="62">
        <f>IF(M$15&lt;=1,0,SUMPRODUCT(MAX(($C$12:$V$12=M$12)*($C$149:$V$149)*($C$44:$V$44))))</f>
        <v/>
      </c>
      <c r="N989" s="62">
        <f>IF(N$15&lt;=1,0,SUMPRODUCT(MAX(($C$12:$V$12=N$12)*($C$149:$V$149)*($C$44:$V$44))))</f>
        <v/>
      </c>
      <c r="O989" s="62">
        <f>IF(O$15&lt;=1,0,SUMPRODUCT(MAX(($C$12:$V$12=O$12)*($C$149:$V$149)*($C$44:$V$44))))</f>
        <v/>
      </c>
      <c r="P989" s="62">
        <f>IF(P$15&lt;=1,0,SUMPRODUCT(MAX(($C$12:$V$12=P$12)*($C$149:$V$149)*($C$44:$V$44))))</f>
        <v/>
      </c>
      <c r="Q989" s="62">
        <f>IF(Q$15&lt;=1,0,SUMPRODUCT(MAX(($C$12:$V$12=Q$12)*($C$149:$V$149)*($C$44:$V$44))))</f>
        <v/>
      </c>
      <c r="R989" s="62">
        <f>IF(R$15&lt;=1,0,SUMPRODUCT(MAX(($C$12:$V$12=R$12)*($C$149:$V$149)*($C$44:$V$44))))</f>
        <v/>
      </c>
      <c r="S989" s="62">
        <f>IF(S$15&lt;=1,0,SUMPRODUCT(MAX(($C$12:$V$12=S$12)*($C$149:$V$149)*($C$44:$V$44))))</f>
        <v/>
      </c>
      <c r="T989" s="62">
        <f>IF(T$15&lt;=1,0,SUMPRODUCT(MAX(($C$12:$V$12=T$12)*($C$149:$V$149)*($C$44:$V$44))))</f>
        <v/>
      </c>
      <c r="U989" s="62">
        <f>IF(U$15&lt;=1,0,SUMPRODUCT(MAX(($C$12:$V$12=U$12)*($C$149:$V$149)*($C$44:$V$44))))</f>
        <v/>
      </c>
      <c r="V989" s="62">
        <f>IF(V$15&lt;=1,0,SUMPRODUCT(MAX(($C$12:$V$12=V$12)*($C$149:$V$149)*($C$44:$V$44))))</f>
        <v/>
      </c>
    </row>
    <row r="990">
      <c r="C990" s="62">
        <f>IF(C$15&lt;=1,0,SUMPRODUCT(MAX(($C$12:$V$12=C$12)*($C$150:$V$150)*($C$45:$V$45))))</f>
        <v/>
      </c>
      <c r="D990" s="62">
        <f>IF(D$15&lt;=1,0,SUMPRODUCT(MAX(($C$12:$V$12=D$12)*($C$150:$V$150)*($C$45:$V$45))))</f>
        <v/>
      </c>
      <c r="E990" s="62">
        <f>IF(E$15&lt;=1,0,SUMPRODUCT(MAX(($C$12:$V$12=E$12)*($C$150:$V$150)*($C$45:$V$45))))</f>
        <v/>
      </c>
      <c r="F990" s="62">
        <f>IF(F$15&lt;=1,0,SUMPRODUCT(MAX(($C$12:$V$12=F$12)*($C$150:$V$150)*($C$45:$V$45))))</f>
        <v/>
      </c>
      <c r="G990" s="62">
        <f>IF(G$15&lt;=1,0,SUMPRODUCT(MAX(($C$12:$V$12=G$12)*($C$150:$V$150)*($C$45:$V$45))))</f>
        <v/>
      </c>
      <c r="H990" s="62">
        <f>IF(H$15&lt;=1,0,SUMPRODUCT(MAX(($C$12:$V$12=H$12)*($C$150:$V$150)*($C$45:$V$45))))</f>
        <v/>
      </c>
      <c r="I990" s="62">
        <f>IF(I$15&lt;=1,0,SUMPRODUCT(MAX(($C$12:$V$12=I$12)*($C$150:$V$150)*($C$45:$V$45))))</f>
        <v/>
      </c>
      <c r="J990" s="62">
        <f>IF(J$15&lt;=1,0,SUMPRODUCT(MAX(($C$12:$V$12=J$12)*($C$150:$V$150)*($C$45:$V$45))))</f>
        <v/>
      </c>
      <c r="K990" s="62">
        <f>IF(K$15&lt;=1,0,SUMPRODUCT(MAX(($C$12:$V$12=K$12)*($C$150:$V$150)*($C$45:$V$45))))</f>
        <v/>
      </c>
      <c r="L990" s="62">
        <f>IF(L$15&lt;=1,0,SUMPRODUCT(MAX(($C$12:$V$12=L$12)*($C$150:$V$150)*($C$45:$V$45))))</f>
        <v/>
      </c>
      <c r="M990" s="62">
        <f>IF(M$15&lt;=1,0,SUMPRODUCT(MAX(($C$12:$V$12=M$12)*($C$150:$V$150)*($C$45:$V$45))))</f>
        <v/>
      </c>
      <c r="N990" s="62">
        <f>IF(N$15&lt;=1,0,SUMPRODUCT(MAX(($C$12:$V$12=N$12)*($C$150:$V$150)*($C$45:$V$45))))</f>
        <v/>
      </c>
      <c r="O990" s="62">
        <f>IF(O$15&lt;=1,0,SUMPRODUCT(MAX(($C$12:$V$12=O$12)*($C$150:$V$150)*($C$45:$V$45))))</f>
        <v/>
      </c>
      <c r="P990" s="62">
        <f>IF(P$15&lt;=1,0,SUMPRODUCT(MAX(($C$12:$V$12=P$12)*($C$150:$V$150)*($C$45:$V$45))))</f>
        <v/>
      </c>
      <c r="Q990" s="62">
        <f>IF(Q$15&lt;=1,0,SUMPRODUCT(MAX(($C$12:$V$12=Q$12)*($C$150:$V$150)*($C$45:$V$45))))</f>
        <v/>
      </c>
      <c r="R990" s="62">
        <f>IF(R$15&lt;=1,0,SUMPRODUCT(MAX(($C$12:$V$12=R$12)*($C$150:$V$150)*($C$45:$V$45))))</f>
        <v/>
      </c>
      <c r="S990" s="62">
        <f>IF(S$15&lt;=1,0,SUMPRODUCT(MAX(($C$12:$V$12=S$12)*($C$150:$V$150)*($C$45:$V$45))))</f>
        <v/>
      </c>
      <c r="T990" s="62">
        <f>IF(T$15&lt;=1,0,SUMPRODUCT(MAX(($C$12:$V$12=T$12)*($C$150:$V$150)*($C$45:$V$45))))</f>
        <v/>
      </c>
      <c r="U990" s="62">
        <f>IF(U$15&lt;=1,0,SUMPRODUCT(MAX(($C$12:$V$12=U$12)*($C$150:$V$150)*($C$45:$V$45))))</f>
        <v/>
      </c>
      <c r="V990" s="62">
        <f>IF(V$15&lt;=1,0,SUMPRODUCT(MAX(($C$12:$V$12=V$12)*($C$150:$V$150)*($C$45:$V$45))))</f>
        <v/>
      </c>
    </row>
    <row r="991">
      <c r="C991" s="62">
        <f>IF(C$15&lt;=1,0,SUMPRODUCT(MAX(($C$12:$V$12=C$12)*($C$151:$V$151)*($C$46:$V$46))))</f>
        <v/>
      </c>
      <c r="D991" s="62">
        <f>IF(D$15&lt;=1,0,SUMPRODUCT(MAX(($C$12:$V$12=D$12)*($C$151:$V$151)*($C$46:$V$46))))</f>
        <v/>
      </c>
      <c r="E991" s="62">
        <f>IF(E$15&lt;=1,0,SUMPRODUCT(MAX(($C$12:$V$12=E$12)*($C$151:$V$151)*($C$46:$V$46))))</f>
        <v/>
      </c>
      <c r="F991" s="62">
        <f>IF(F$15&lt;=1,0,SUMPRODUCT(MAX(($C$12:$V$12=F$12)*($C$151:$V$151)*($C$46:$V$46))))</f>
        <v/>
      </c>
      <c r="G991" s="62">
        <f>IF(G$15&lt;=1,0,SUMPRODUCT(MAX(($C$12:$V$12=G$12)*($C$151:$V$151)*($C$46:$V$46))))</f>
        <v/>
      </c>
      <c r="H991" s="62">
        <f>IF(H$15&lt;=1,0,SUMPRODUCT(MAX(($C$12:$V$12=H$12)*($C$151:$V$151)*($C$46:$V$46))))</f>
        <v/>
      </c>
      <c r="I991" s="62">
        <f>IF(I$15&lt;=1,0,SUMPRODUCT(MAX(($C$12:$V$12=I$12)*($C$151:$V$151)*($C$46:$V$46))))</f>
        <v/>
      </c>
      <c r="J991" s="62">
        <f>IF(J$15&lt;=1,0,SUMPRODUCT(MAX(($C$12:$V$12=J$12)*($C$151:$V$151)*($C$46:$V$46))))</f>
        <v/>
      </c>
      <c r="K991" s="62">
        <f>IF(K$15&lt;=1,0,SUMPRODUCT(MAX(($C$12:$V$12=K$12)*($C$151:$V$151)*($C$46:$V$46))))</f>
        <v/>
      </c>
      <c r="L991" s="62">
        <f>IF(L$15&lt;=1,0,SUMPRODUCT(MAX(($C$12:$V$12=L$12)*($C$151:$V$151)*($C$46:$V$46))))</f>
        <v/>
      </c>
      <c r="M991" s="62">
        <f>IF(M$15&lt;=1,0,SUMPRODUCT(MAX(($C$12:$V$12=M$12)*($C$151:$V$151)*($C$46:$V$46))))</f>
        <v/>
      </c>
      <c r="N991" s="62">
        <f>IF(N$15&lt;=1,0,SUMPRODUCT(MAX(($C$12:$V$12=N$12)*($C$151:$V$151)*($C$46:$V$46))))</f>
        <v/>
      </c>
      <c r="O991" s="62">
        <f>IF(O$15&lt;=1,0,SUMPRODUCT(MAX(($C$12:$V$12=O$12)*($C$151:$V$151)*($C$46:$V$46))))</f>
        <v/>
      </c>
      <c r="P991" s="62">
        <f>IF(P$15&lt;=1,0,SUMPRODUCT(MAX(($C$12:$V$12=P$12)*($C$151:$V$151)*($C$46:$V$46))))</f>
        <v/>
      </c>
      <c r="Q991" s="62">
        <f>IF(Q$15&lt;=1,0,SUMPRODUCT(MAX(($C$12:$V$12=Q$12)*($C$151:$V$151)*($C$46:$V$46))))</f>
        <v/>
      </c>
      <c r="R991" s="62">
        <f>IF(R$15&lt;=1,0,SUMPRODUCT(MAX(($C$12:$V$12=R$12)*($C$151:$V$151)*($C$46:$V$46))))</f>
        <v/>
      </c>
      <c r="S991" s="62">
        <f>IF(S$15&lt;=1,0,SUMPRODUCT(MAX(($C$12:$V$12=S$12)*($C$151:$V$151)*($C$46:$V$46))))</f>
        <v/>
      </c>
      <c r="T991" s="62">
        <f>IF(T$15&lt;=1,0,SUMPRODUCT(MAX(($C$12:$V$12=T$12)*($C$151:$V$151)*($C$46:$V$46))))</f>
        <v/>
      </c>
      <c r="U991" s="62">
        <f>IF(U$15&lt;=1,0,SUMPRODUCT(MAX(($C$12:$V$12=U$12)*($C$151:$V$151)*($C$46:$V$46))))</f>
        <v/>
      </c>
      <c r="V991" s="62">
        <f>IF(V$15&lt;=1,0,SUMPRODUCT(MAX(($C$12:$V$12=V$12)*($C$151:$V$151)*($C$46:$V$46))))</f>
        <v/>
      </c>
    </row>
    <row r="992">
      <c r="C992" s="62">
        <f>IF(C$15&lt;=1,0,SUMPRODUCT(MAX(($C$12:$V$12=C$12)*($C$152:$V$152)*($C$47:$V$47))))</f>
        <v/>
      </c>
      <c r="D992" s="62">
        <f>IF(D$15&lt;=1,0,SUMPRODUCT(MAX(($C$12:$V$12=D$12)*($C$152:$V$152)*($C$47:$V$47))))</f>
        <v/>
      </c>
      <c r="E992" s="62">
        <f>IF(E$15&lt;=1,0,SUMPRODUCT(MAX(($C$12:$V$12=E$12)*($C$152:$V$152)*($C$47:$V$47))))</f>
        <v/>
      </c>
      <c r="F992" s="62">
        <f>IF(F$15&lt;=1,0,SUMPRODUCT(MAX(($C$12:$V$12=F$12)*($C$152:$V$152)*($C$47:$V$47))))</f>
        <v/>
      </c>
      <c r="G992" s="62">
        <f>IF(G$15&lt;=1,0,SUMPRODUCT(MAX(($C$12:$V$12=G$12)*($C$152:$V$152)*($C$47:$V$47))))</f>
        <v/>
      </c>
      <c r="H992" s="62">
        <f>IF(H$15&lt;=1,0,SUMPRODUCT(MAX(($C$12:$V$12=H$12)*($C$152:$V$152)*($C$47:$V$47))))</f>
        <v/>
      </c>
      <c r="I992" s="62">
        <f>IF(I$15&lt;=1,0,SUMPRODUCT(MAX(($C$12:$V$12=I$12)*($C$152:$V$152)*($C$47:$V$47))))</f>
        <v/>
      </c>
      <c r="J992" s="62">
        <f>IF(J$15&lt;=1,0,SUMPRODUCT(MAX(($C$12:$V$12=J$12)*($C$152:$V$152)*($C$47:$V$47))))</f>
        <v/>
      </c>
      <c r="K992" s="62">
        <f>IF(K$15&lt;=1,0,SUMPRODUCT(MAX(($C$12:$V$12=K$12)*($C$152:$V$152)*($C$47:$V$47))))</f>
        <v/>
      </c>
      <c r="L992" s="62">
        <f>IF(L$15&lt;=1,0,SUMPRODUCT(MAX(($C$12:$V$12=L$12)*($C$152:$V$152)*($C$47:$V$47))))</f>
        <v/>
      </c>
      <c r="M992" s="62">
        <f>IF(M$15&lt;=1,0,SUMPRODUCT(MAX(($C$12:$V$12=M$12)*($C$152:$V$152)*($C$47:$V$47))))</f>
        <v/>
      </c>
      <c r="N992" s="62">
        <f>IF(N$15&lt;=1,0,SUMPRODUCT(MAX(($C$12:$V$12=N$12)*($C$152:$V$152)*($C$47:$V$47))))</f>
        <v/>
      </c>
      <c r="O992" s="62">
        <f>IF(O$15&lt;=1,0,SUMPRODUCT(MAX(($C$12:$V$12=O$12)*($C$152:$V$152)*($C$47:$V$47))))</f>
        <v/>
      </c>
      <c r="P992" s="62">
        <f>IF(P$15&lt;=1,0,SUMPRODUCT(MAX(($C$12:$V$12=P$12)*($C$152:$V$152)*($C$47:$V$47))))</f>
        <v/>
      </c>
      <c r="Q992" s="62">
        <f>IF(Q$15&lt;=1,0,SUMPRODUCT(MAX(($C$12:$V$12=Q$12)*($C$152:$V$152)*($C$47:$V$47))))</f>
        <v/>
      </c>
      <c r="R992" s="62">
        <f>IF(R$15&lt;=1,0,SUMPRODUCT(MAX(($C$12:$V$12=R$12)*($C$152:$V$152)*($C$47:$V$47))))</f>
        <v/>
      </c>
      <c r="S992" s="62">
        <f>IF(S$15&lt;=1,0,SUMPRODUCT(MAX(($C$12:$V$12=S$12)*($C$152:$V$152)*($C$47:$V$47))))</f>
        <v/>
      </c>
      <c r="T992" s="62">
        <f>IF(T$15&lt;=1,0,SUMPRODUCT(MAX(($C$12:$V$12=T$12)*($C$152:$V$152)*($C$47:$V$47))))</f>
        <v/>
      </c>
      <c r="U992" s="62">
        <f>IF(U$15&lt;=1,0,SUMPRODUCT(MAX(($C$12:$V$12=U$12)*($C$152:$V$152)*($C$47:$V$47))))</f>
        <v/>
      </c>
      <c r="V992" s="62">
        <f>IF(V$15&lt;=1,0,SUMPRODUCT(MAX(($C$12:$V$12=V$12)*($C$152:$V$152)*($C$47:$V$47))))</f>
        <v/>
      </c>
    </row>
    <row r="993">
      <c r="C993" s="62">
        <f>IF(C$15&lt;=1,0,SUMPRODUCT(MAX(($C$12:$V$12=C$12)*($C$153:$V$153)*($C$48:$V$48))))</f>
        <v/>
      </c>
      <c r="D993" s="62">
        <f>IF(D$15&lt;=1,0,SUMPRODUCT(MAX(($C$12:$V$12=D$12)*($C$153:$V$153)*($C$48:$V$48))))</f>
        <v/>
      </c>
      <c r="E993" s="62">
        <f>IF(E$15&lt;=1,0,SUMPRODUCT(MAX(($C$12:$V$12=E$12)*($C$153:$V$153)*($C$48:$V$48))))</f>
        <v/>
      </c>
      <c r="F993" s="62">
        <f>IF(F$15&lt;=1,0,SUMPRODUCT(MAX(($C$12:$V$12=F$12)*($C$153:$V$153)*($C$48:$V$48))))</f>
        <v/>
      </c>
      <c r="G993" s="62">
        <f>IF(G$15&lt;=1,0,SUMPRODUCT(MAX(($C$12:$V$12=G$12)*($C$153:$V$153)*($C$48:$V$48))))</f>
        <v/>
      </c>
      <c r="H993" s="62">
        <f>IF(H$15&lt;=1,0,SUMPRODUCT(MAX(($C$12:$V$12=H$12)*($C$153:$V$153)*($C$48:$V$48))))</f>
        <v/>
      </c>
      <c r="I993" s="62">
        <f>IF(I$15&lt;=1,0,SUMPRODUCT(MAX(($C$12:$V$12=I$12)*($C$153:$V$153)*($C$48:$V$48))))</f>
        <v/>
      </c>
      <c r="J993" s="62">
        <f>IF(J$15&lt;=1,0,SUMPRODUCT(MAX(($C$12:$V$12=J$12)*($C$153:$V$153)*($C$48:$V$48))))</f>
        <v/>
      </c>
      <c r="K993" s="62">
        <f>IF(K$15&lt;=1,0,SUMPRODUCT(MAX(($C$12:$V$12=K$12)*($C$153:$V$153)*($C$48:$V$48))))</f>
        <v/>
      </c>
      <c r="L993" s="62">
        <f>IF(L$15&lt;=1,0,SUMPRODUCT(MAX(($C$12:$V$12=L$12)*($C$153:$V$153)*($C$48:$V$48))))</f>
        <v/>
      </c>
      <c r="M993" s="62">
        <f>IF(M$15&lt;=1,0,SUMPRODUCT(MAX(($C$12:$V$12=M$12)*($C$153:$V$153)*($C$48:$V$48))))</f>
        <v/>
      </c>
      <c r="N993" s="62">
        <f>IF(N$15&lt;=1,0,SUMPRODUCT(MAX(($C$12:$V$12=N$12)*($C$153:$V$153)*($C$48:$V$48))))</f>
        <v/>
      </c>
      <c r="O993" s="62">
        <f>IF(O$15&lt;=1,0,SUMPRODUCT(MAX(($C$12:$V$12=O$12)*($C$153:$V$153)*($C$48:$V$48))))</f>
        <v/>
      </c>
      <c r="P993" s="62">
        <f>IF(P$15&lt;=1,0,SUMPRODUCT(MAX(($C$12:$V$12=P$12)*($C$153:$V$153)*($C$48:$V$48))))</f>
        <v/>
      </c>
      <c r="Q993" s="62">
        <f>IF(Q$15&lt;=1,0,SUMPRODUCT(MAX(($C$12:$V$12=Q$12)*($C$153:$V$153)*($C$48:$V$48))))</f>
        <v/>
      </c>
      <c r="R993" s="62">
        <f>IF(R$15&lt;=1,0,SUMPRODUCT(MAX(($C$12:$V$12=R$12)*($C$153:$V$153)*($C$48:$V$48))))</f>
        <v/>
      </c>
      <c r="S993" s="62">
        <f>IF(S$15&lt;=1,0,SUMPRODUCT(MAX(($C$12:$V$12=S$12)*($C$153:$V$153)*($C$48:$V$48))))</f>
        <v/>
      </c>
      <c r="T993" s="62">
        <f>IF(T$15&lt;=1,0,SUMPRODUCT(MAX(($C$12:$V$12=T$12)*($C$153:$V$153)*($C$48:$V$48))))</f>
        <v/>
      </c>
      <c r="U993" s="62">
        <f>IF(U$15&lt;=1,0,SUMPRODUCT(MAX(($C$12:$V$12=U$12)*($C$153:$V$153)*($C$48:$V$48))))</f>
        <v/>
      </c>
      <c r="V993" s="62">
        <f>IF(V$15&lt;=1,0,SUMPRODUCT(MAX(($C$12:$V$12=V$12)*($C$153:$V$153)*($C$48:$V$48))))</f>
        <v/>
      </c>
    </row>
    <row r="994">
      <c r="C994" s="62">
        <f>IF(C$15&lt;=1,0,SUMPRODUCT(MAX(($C$12:$V$12=C$12)*($C$154:$V$154)*($C$49:$V$49))))</f>
        <v/>
      </c>
      <c r="D994" s="62">
        <f>IF(D$15&lt;=1,0,SUMPRODUCT(MAX(($C$12:$V$12=D$12)*($C$154:$V$154)*($C$49:$V$49))))</f>
        <v/>
      </c>
      <c r="E994" s="62">
        <f>IF(E$15&lt;=1,0,SUMPRODUCT(MAX(($C$12:$V$12=E$12)*($C$154:$V$154)*($C$49:$V$49))))</f>
        <v/>
      </c>
      <c r="F994" s="62">
        <f>IF(F$15&lt;=1,0,SUMPRODUCT(MAX(($C$12:$V$12=F$12)*($C$154:$V$154)*($C$49:$V$49))))</f>
        <v/>
      </c>
      <c r="G994" s="62">
        <f>IF(G$15&lt;=1,0,SUMPRODUCT(MAX(($C$12:$V$12=G$12)*($C$154:$V$154)*($C$49:$V$49))))</f>
        <v/>
      </c>
      <c r="H994" s="62">
        <f>IF(H$15&lt;=1,0,SUMPRODUCT(MAX(($C$12:$V$12=H$12)*($C$154:$V$154)*($C$49:$V$49))))</f>
        <v/>
      </c>
      <c r="I994" s="62">
        <f>IF(I$15&lt;=1,0,SUMPRODUCT(MAX(($C$12:$V$12=I$12)*($C$154:$V$154)*($C$49:$V$49))))</f>
        <v/>
      </c>
      <c r="J994" s="62">
        <f>IF(J$15&lt;=1,0,SUMPRODUCT(MAX(($C$12:$V$12=J$12)*($C$154:$V$154)*($C$49:$V$49))))</f>
        <v/>
      </c>
      <c r="K994" s="62">
        <f>IF(K$15&lt;=1,0,SUMPRODUCT(MAX(($C$12:$V$12=K$12)*($C$154:$V$154)*($C$49:$V$49))))</f>
        <v/>
      </c>
      <c r="L994" s="62">
        <f>IF(L$15&lt;=1,0,SUMPRODUCT(MAX(($C$12:$V$12=L$12)*($C$154:$V$154)*($C$49:$V$49))))</f>
        <v/>
      </c>
      <c r="M994" s="62">
        <f>IF(M$15&lt;=1,0,SUMPRODUCT(MAX(($C$12:$V$12=M$12)*($C$154:$V$154)*($C$49:$V$49))))</f>
        <v/>
      </c>
      <c r="N994" s="62">
        <f>IF(N$15&lt;=1,0,SUMPRODUCT(MAX(($C$12:$V$12=N$12)*($C$154:$V$154)*($C$49:$V$49))))</f>
        <v/>
      </c>
      <c r="O994" s="62">
        <f>IF(O$15&lt;=1,0,SUMPRODUCT(MAX(($C$12:$V$12=O$12)*($C$154:$V$154)*($C$49:$V$49))))</f>
        <v/>
      </c>
      <c r="P994" s="62">
        <f>IF(P$15&lt;=1,0,SUMPRODUCT(MAX(($C$12:$V$12=P$12)*($C$154:$V$154)*($C$49:$V$49))))</f>
        <v/>
      </c>
      <c r="Q994" s="62">
        <f>IF(Q$15&lt;=1,0,SUMPRODUCT(MAX(($C$12:$V$12=Q$12)*($C$154:$V$154)*($C$49:$V$49))))</f>
        <v/>
      </c>
      <c r="R994" s="62">
        <f>IF(R$15&lt;=1,0,SUMPRODUCT(MAX(($C$12:$V$12=R$12)*($C$154:$V$154)*($C$49:$V$49))))</f>
        <v/>
      </c>
      <c r="S994" s="62">
        <f>IF(S$15&lt;=1,0,SUMPRODUCT(MAX(($C$12:$V$12=S$12)*($C$154:$V$154)*($C$49:$V$49))))</f>
        <v/>
      </c>
      <c r="T994" s="62">
        <f>IF(T$15&lt;=1,0,SUMPRODUCT(MAX(($C$12:$V$12=T$12)*($C$154:$V$154)*($C$49:$V$49))))</f>
        <v/>
      </c>
      <c r="U994" s="62">
        <f>IF(U$15&lt;=1,0,SUMPRODUCT(MAX(($C$12:$V$12=U$12)*($C$154:$V$154)*($C$49:$V$49))))</f>
        <v/>
      </c>
      <c r="V994" s="62">
        <f>IF(V$15&lt;=1,0,SUMPRODUCT(MAX(($C$12:$V$12=V$12)*($C$154:$V$154)*($C$49:$V$49))))</f>
        <v/>
      </c>
    </row>
    <row r="995">
      <c r="C995" s="62">
        <f>IF(C$15&lt;=1,0,SUMPRODUCT(MAX(($C$12:$V$12=C$12)*($C$155:$V$155)*($C$50:$V$50))))</f>
        <v/>
      </c>
      <c r="D995" s="62">
        <f>IF(D$15&lt;=1,0,SUMPRODUCT(MAX(($C$12:$V$12=D$12)*($C$155:$V$155)*($C$50:$V$50))))</f>
        <v/>
      </c>
      <c r="E995" s="62">
        <f>IF(E$15&lt;=1,0,SUMPRODUCT(MAX(($C$12:$V$12=E$12)*($C$155:$V$155)*($C$50:$V$50))))</f>
        <v/>
      </c>
      <c r="F995" s="62">
        <f>IF(F$15&lt;=1,0,SUMPRODUCT(MAX(($C$12:$V$12=F$12)*($C$155:$V$155)*($C$50:$V$50))))</f>
        <v/>
      </c>
      <c r="G995" s="62">
        <f>IF(G$15&lt;=1,0,SUMPRODUCT(MAX(($C$12:$V$12=G$12)*($C$155:$V$155)*($C$50:$V$50))))</f>
        <v/>
      </c>
      <c r="H995" s="62">
        <f>IF(H$15&lt;=1,0,SUMPRODUCT(MAX(($C$12:$V$12=H$12)*($C$155:$V$155)*($C$50:$V$50))))</f>
        <v/>
      </c>
      <c r="I995" s="62">
        <f>IF(I$15&lt;=1,0,SUMPRODUCT(MAX(($C$12:$V$12=I$12)*($C$155:$V$155)*($C$50:$V$50))))</f>
        <v/>
      </c>
      <c r="J995" s="62">
        <f>IF(J$15&lt;=1,0,SUMPRODUCT(MAX(($C$12:$V$12=J$12)*($C$155:$V$155)*($C$50:$V$50))))</f>
        <v/>
      </c>
      <c r="K995" s="62">
        <f>IF(K$15&lt;=1,0,SUMPRODUCT(MAX(($C$12:$V$12=K$12)*($C$155:$V$155)*($C$50:$V$50))))</f>
        <v/>
      </c>
      <c r="L995" s="62">
        <f>IF(L$15&lt;=1,0,SUMPRODUCT(MAX(($C$12:$V$12=L$12)*($C$155:$V$155)*($C$50:$V$50))))</f>
        <v/>
      </c>
      <c r="M995" s="62">
        <f>IF(M$15&lt;=1,0,SUMPRODUCT(MAX(($C$12:$V$12=M$12)*($C$155:$V$155)*($C$50:$V$50))))</f>
        <v/>
      </c>
      <c r="N995" s="62">
        <f>IF(N$15&lt;=1,0,SUMPRODUCT(MAX(($C$12:$V$12=N$12)*($C$155:$V$155)*($C$50:$V$50))))</f>
        <v/>
      </c>
      <c r="O995" s="62">
        <f>IF(O$15&lt;=1,0,SUMPRODUCT(MAX(($C$12:$V$12=O$12)*($C$155:$V$155)*($C$50:$V$50))))</f>
        <v/>
      </c>
      <c r="P995" s="62">
        <f>IF(P$15&lt;=1,0,SUMPRODUCT(MAX(($C$12:$V$12=P$12)*($C$155:$V$155)*($C$50:$V$50))))</f>
        <v/>
      </c>
      <c r="Q995" s="62">
        <f>IF(Q$15&lt;=1,0,SUMPRODUCT(MAX(($C$12:$V$12=Q$12)*($C$155:$V$155)*($C$50:$V$50))))</f>
        <v/>
      </c>
      <c r="R995" s="62">
        <f>IF(R$15&lt;=1,0,SUMPRODUCT(MAX(($C$12:$V$12=R$12)*($C$155:$V$155)*($C$50:$V$50))))</f>
        <v/>
      </c>
      <c r="S995" s="62">
        <f>IF(S$15&lt;=1,0,SUMPRODUCT(MAX(($C$12:$V$12=S$12)*($C$155:$V$155)*($C$50:$V$50))))</f>
        <v/>
      </c>
      <c r="T995" s="62">
        <f>IF(T$15&lt;=1,0,SUMPRODUCT(MAX(($C$12:$V$12=T$12)*($C$155:$V$155)*($C$50:$V$50))))</f>
        <v/>
      </c>
      <c r="U995" s="62">
        <f>IF(U$15&lt;=1,0,SUMPRODUCT(MAX(($C$12:$V$12=U$12)*($C$155:$V$155)*($C$50:$V$50))))</f>
        <v/>
      </c>
      <c r="V995" s="62">
        <f>IF(V$15&lt;=1,0,SUMPRODUCT(MAX(($C$12:$V$12=V$12)*($C$155:$V$155)*($C$50:$V$50))))</f>
        <v/>
      </c>
    </row>
    <row r="996">
      <c r="C996" s="62">
        <f>IF(C$15&lt;=1,0,SUMPRODUCT(MAX(($C$12:$V$12=C$12)*($C$156:$V$156)*($C$51:$V$51))))</f>
        <v/>
      </c>
      <c r="D996" s="62">
        <f>IF(D$15&lt;=1,0,SUMPRODUCT(MAX(($C$12:$V$12=D$12)*($C$156:$V$156)*($C$51:$V$51))))</f>
        <v/>
      </c>
      <c r="E996" s="62">
        <f>IF(E$15&lt;=1,0,SUMPRODUCT(MAX(($C$12:$V$12=E$12)*($C$156:$V$156)*($C$51:$V$51))))</f>
        <v/>
      </c>
      <c r="F996" s="62">
        <f>IF(F$15&lt;=1,0,SUMPRODUCT(MAX(($C$12:$V$12=F$12)*($C$156:$V$156)*($C$51:$V$51))))</f>
        <v/>
      </c>
      <c r="G996" s="62">
        <f>IF(G$15&lt;=1,0,SUMPRODUCT(MAX(($C$12:$V$12=G$12)*($C$156:$V$156)*($C$51:$V$51))))</f>
        <v/>
      </c>
      <c r="H996" s="62">
        <f>IF(H$15&lt;=1,0,SUMPRODUCT(MAX(($C$12:$V$12=H$12)*($C$156:$V$156)*($C$51:$V$51))))</f>
        <v/>
      </c>
      <c r="I996" s="62">
        <f>IF(I$15&lt;=1,0,SUMPRODUCT(MAX(($C$12:$V$12=I$12)*($C$156:$V$156)*($C$51:$V$51))))</f>
        <v/>
      </c>
      <c r="J996" s="62">
        <f>IF(J$15&lt;=1,0,SUMPRODUCT(MAX(($C$12:$V$12=J$12)*($C$156:$V$156)*($C$51:$V$51))))</f>
        <v/>
      </c>
      <c r="K996" s="62">
        <f>IF(K$15&lt;=1,0,SUMPRODUCT(MAX(($C$12:$V$12=K$12)*($C$156:$V$156)*($C$51:$V$51))))</f>
        <v/>
      </c>
      <c r="L996" s="62">
        <f>IF(L$15&lt;=1,0,SUMPRODUCT(MAX(($C$12:$V$12=L$12)*($C$156:$V$156)*($C$51:$V$51))))</f>
        <v/>
      </c>
      <c r="M996" s="62">
        <f>IF(M$15&lt;=1,0,SUMPRODUCT(MAX(($C$12:$V$12=M$12)*($C$156:$V$156)*($C$51:$V$51))))</f>
        <v/>
      </c>
      <c r="N996" s="62">
        <f>IF(N$15&lt;=1,0,SUMPRODUCT(MAX(($C$12:$V$12=N$12)*($C$156:$V$156)*($C$51:$V$51))))</f>
        <v/>
      </c>
      <c r="O996" s="62">
        <f>IF(O$15&lt;=1,0,SUMPRODUCT(MAX(($C$12:$V$12=O$12)*($C$156:$V$156)*($C$51:$V$51))))</f>
        <v/>
      </c>
      <c r="P996" s="62">
        <f>IF(P$15&lt;=1,0,SUMPRODUCT(MAX(($C$12:$V$12=P$12)*($C$156:$V$156)*($C$51:$V$51))))</f>
        <v/>
      </c>
      <c r="Q996" s="62">
        <f>IF(Q$15&lt;=1,0,SUMPRODUCT(MAX(($C$12:$V$12=Q$12)*($C$156:$V$156)*($C$51:$V$51))))</f>
        <v/>
      </c>
      <c r="R996" s="62">
        <f>IF(R$15&lt;=1,0,SUMPRODUCT(MAX(($C$12:$V$12=R$12)*($C$156:$V$156)*($C$51:$V$51))))</f>
        <v/>
      </c>
      <c r="S996" s="62">
        <f>IF(S$15&lt;=1,0,SUMPRODUCT(MAX(($C$12:$V$12=S$12)*($C$156:$V$156)*($C$51:$V$51))))</f>
        <v/>
      </c>
      <c r="T996" s="62">
        <f>IF(T$15&lt;=1,0,SUMPRODUCT(MAX(($C$12:$V$12=T$12)*($C$156:$V$156)*($C$51:$V$51))))</f>
        <v/>
      </c>
      <c r="U996" s="62">
        <f>IF(U$15&lt;=1,0,SUMPRODUCT(MAX(($C$12:$V$12=U$12)*($C$156:$V$156)*($C$51:$V$51))))</f>
        <v/>
      </c>
      <c r="V996" s="62">
        <f>IF(V$15&lt;=1,0,SUMPRODUCT(MAX(($C$12:$V$12=V$12)*($C$156:$V$156)*($C$51:$V$51))))</f>
        <v/>
      </c>
    </row>
    <row r="997">
      <c r="C997" s="62">
        <f>IF(C$15&lt;=1,0,SUMPRODUCT(MAX(($C$12:$V$12=C$12)*($C$157:$V$157)*($C$52:$V$52))))</f>
        <v/>
      </c>
      <c r="D997" s="62">
        <f>IF(D$15&lt;=1,0,SUMPRODUCT(MAX(($C$12:$V$12=D$12)*($C$157:$V$157)*($C$52:$V$52))))</f>
        <v/>
      </c>
      <c r="E997" s="62">
        <f>IF(E$15&lt;=1,0,SUMPRODUCT(MAX(($C$12:$V$12=E$12)*($C$157:$V$157)*($C$52:$V$52))))</f>
        <v/>
      </c>
      <c r="F997" s="62">
        <f>IF(F$15&lt;=1,0,SUMPRODUCT(MAX(($C$12:$V$12=F$12)*($C$157:$V$157)*($C$52:$V$52))))</f>
        <v/>
      </c>
      <c r="G997" s="62">
        <f>IF(G$15&lt;=1,0,SUMPRODUCT(MAX(($C$12:$V$12=G$12)*($C$157:$V$157)*($C$52:$V$52))))</f>
        <v/>
      </c>
      <c r="H997" s="62">
        <f>IF(H$15&lt;=1,0,SUMPRODUCT(MAX(($C$12:$V$12=H$12)*($C$157:$V$157)*($C$52:$V$52))))</f>
        <v/>
      </c>
      <c r="I997" s="62">
        <f>IF(I$15&lt;=1,0,SUMPRODUCT(MAX(($C$12:$V$12=I$12)*($C$157:$V$157)*($C$52:$V$52))))</f>
        <v/>
      </c>
      <c r="J997" s="62">
        <f>IF(J$15&lt;=1,0,SUMPRODUCT(MAX(($C$12:$V$12=J$12)*($C$157:$V$157)*($C$52:$V$52))))</f>
        <v/>
      </c>
      <c r="K997" s="62">
        <f>IF(K$15&lt;=1,0,SUMPRODUCT(MAX(($C$12:$V$12=K$12)*($C$157:$V$157)*($C$52:$V$52))))</f>
        <v/>
      </c>
      <c r="L997" s="62">
        <f>IF(L$15&lt;=1,0,SUMPRODUCT(MAX(($C$12:$V$12=L$12)*($C$157:$V$157)*($C$52:$V$52))))</f>
        <v/>
      </c>
      <c r="M997" s="62">
        <f>IF(M$15&lt;=1,0,SUMPRODUCT(MAX(($C$12:$V$12=M$12)*($C$157:$V$157)*($C$52:$V$52))))</f>
        <v/>
      </c>
      <c r="N997" s="62">
        <f>IF(N$15&lt;=1,0,SUMPRODUCT(MAX(($C$12:$V$12=N$12)*($C$157:$V$157)*($C$52:$V$52))))</f>
        <v/>
      </c>
      <c r="O997" s="62">
        <f>IF(O$15&lt;=1,0,SUMPRODUCT(MAX(($C$12:$V$12=O$12)*($C$157:$V$157)*($C$52:$V$52))))</f>
        <v/>
      </c>
      <c r="P997" s="62">
        <f>IF(P$15&lt;=1,0,SUMPRODUCT(MAX(($C$12:$V$12=P$12)*($C$157:$V$157)*($C$52:$V$52))))</f>
        <v/>
      </c>
      <c r="Q997" s="62">
        <f>IF(Q$15&lt;=1,0,SUMPRODUCT(MAX(($C$12:$V$12=Q$12)*($C$157:$V$157)*($C$52:$V$52))))</f>
        <v/>
      </c>
      <c r="R997" s="62">
        <f>IF(R$15&lt;=1,0,SUMPRODUCT(MAX(($C$12:$V$12=R$12)*($C$157:$V$157)*($C$52:$V$52))))</f>
        <v/>
      </c>
      <c r="S997" s="62">
        <f>IF(S$15&lt;=1,0,SUMPRODUCT(MAX(($C$12:$V$12=S$12)*($C$157:$V$157)*($C$52:$V$52))))</f>
        <v/>
      </c>
      <c r="T997" s="62">
        <f>IF(T$15&lt;=1,0,SUMPRODUCT(MAX(($C$12:$V$12=T$12)*($C$157:$V$157)*($C$52:$V$52))))</f>
        <v/>
      </c>
      <c r="U997" s="62">
        <f>IF(U$15&lt;=1,0,SUMPRODUCT(MAX(($C$12:$V$12=U$12)*($C$157:$V$157)*($C$52:$V$52))))</f>
        <v/>
      </c>
      <c r="V997" s="62">
        <f>IF(V$15&lt;=1,0,SUMPRODUCT(MAX(($C$12:$V$12=V$12)*($C$157:$V$157)*($C$52:$V$52))))</f>
        <v/>
      </c>
    </row>
    <row r="998">
      <c r="C998" s="62">
        <f>IF(C$15&lt;=1,0,SUMPRODUCT(MAX(($C$12:$V$12=C$12)*($C$158:$V$158)*($C$53:$V$53))))</f>
        <v/>
      </c>
      <c r="D998" s="62">
        <f>IF(D$15&lt;=1,0,SUMPRODUCT(MAX(($C$12:$V$12=D$12)*($C$158:$V$158)*($C$53:$V$53))))</f>
        <v/>
      </c>
      <c r="E998" s="62">
        <f>IF(E$15&lt;=1,0,SUMPRODUCT(MAX(($C$12:$V$12=E$12)*($C$158:$V$158)*($C$53:$V$53))))</f>
        <v/>
      </c>
      <c r="F998" s="62">
        <f>IF(F$15&lt;=1,0,SUMPRODUCT(MAX(($C$12:$V$12=F$12)*($C$158:$V$158)*($C$53:$V$53))))</f>
        <v/>
      </c>
      <c r="G998" s="62">
        <f>IF(G$15&lt;=1,0,SUMPRODUCT(MAX(($C$12:$V$12=G$12)*($C$158:$V$158)*($C$53:$V$53))))</f>
        <v/>
      </c>
      <c r="H998" s="62">
        <f>IF(H$15&lt;=1,0,SUMPRODUCT(MAX(($C$12:$V$12=H$12)*($C$158:$V$158)*($C$53:$V$53))))</f>
        <v/>
      </c>
      <c r="I998" s="62">
        <f>IF(I$15&lt;=1,0,SUMPRODUCT(MAX(($C$12:$V$12=I$12)*($C$158:$V$158)*($C$53:$V$53))))</f>
        <v/>
      </c>
      <c r="J998" s="62">
        <f>IF(J$15&lt;=1,0,SUMPRODUCT(MAX(($C$12:$V$12=J$12)*($C$158:$V$158)*($C$53:$V$53))))</f>
        <v/>
      </c>
      <c r="K998" s="62">
        <f>IF(K$15&lt;=1,0,SUMPRODUCT(MAX(($C$12:$V$12=K$12)*($C$158:$V$158)*($C$53:$V$53))))</f>
        <v/>
      </c>
      <c r="L998" s="62">
        <f>IF(L$15&lt;=1,0,SUMPRODUCT(MAX(($C$12:$V$12=L$12)*($C$158:$V$158)*($C$53:$V$53))))</f>
        <v/>
      </c>
      <c r="M998" s="62">
        <f>IF(M$15&lt;=1,0,SUMPRODUCT(MAX(($C$12:$V$12=M$12)*($C$158:$V$158)*($C$53:$V$53))))</f>
        <v/>
      </c>
      <c r="N998" s="62">
        <f>IF(N$15&lt;=1,0,SUMPRODUCT(MAX(($C$12:$V$12=N$12)*($C$158:$V$158)*($C$53:$V$53))))</f>
        <v/>
      </c>
      <c r="O998" s="62">
        <f>IF(O$15&lt;=1,0,SUMPRODUCT(MAX(($C$12:$V$12=O$12)*($C$158:$V$158)*($C$53:$V$53))))</f>
        <v/>
      </c>
      <c r="P998" s="62">
        <f>IF(P$15&lt;=1,0,SUMPRODUCT(MAX(($C$12:$V$12=P$12)*($C$158:$V$158)*($C$53:$V$53))))</f>
        <v/>
      </c>
      <c r="Q998" s="62">
        <f>IF(Q$15&lt;=1,0,SUMPRODUCT(MAX(($C$12:$V$12=Q$12)*($C$158:$V$158)*($C$53:$V$53))))</f>
        <v/>
      </c>
      <c r="R998" s="62">
        <f>IF(R$15&lt;=1,0,SUMPRODUCT(MAX(($C$12:$V$12=R$12)*($C$158:$V$158)*($C$53:$V$53))))</f>
        <v/>
      </c>
      <c r="S998" s="62">
        <f>IF(S$15&lt;=1,0,SUMPRODUCT(MAX(($C$12:$V$12=S$12)*($C$158:$V$158)*($C$53:$V$53))))</f>
        <v/>
      </c>
      <c r="T998" s="62">
        <f>IF(T$15&lt;=1,0,SUMPRODUCT(MAX(($C$12:$V$12=T$12)*($C$158:$V$158)*($C$53:$V$53))))</f>
        <v/>
      </c>
      <c r="U998" s="62">
        <f>IF(U$15&lt;=1,0,SUMPRODUCT(MAX(($C$12:$V$12=U$12)*($C$158:$V$158)*($C$53:$V$53))))</f>
        <v/>
      </c>
      <c r="V998" s="62">
        <f>IF(V$15&lt;=1,0,SUMPRODUCT(MAX(($C$12:$V$12=V$12)*($C$158:$V$158)*($C$53:$V$53))))</f>
        <v/>
      </c>
    </row>
    <row r="999">
      <c r="C999" s="62">
        <f>IF(C$15&lt;=1,0,SUMPRODUCT(MAX(($C$12:$V$12=C$12)*($C$159:$V$159)*($C$54:$V$54))))</f>
        <v/>
      </c>
      <c r="D999" s="62">
        <f>IF(D$15&lt;=1,0,SUMPRODUCT(MAX(($C$12:$V$12=D$12)*($C$159:$V$159)*($C$54:$V$54))))</f>
        <v/>
      </c>
      <c r="E999" s="62">
        <f>IF(E$15&lt;=1,0,SUMPRODUCT(MAX(($C$12:$V$12=E$12)*($C$159:$V$159)*($C$54:$V$54))))</f>
        <v/>
      </c>
      <c r="F999" s="62">
        <f>IF(F$15&lt;=1,0,SUMPRODUCT(MAX(($C$12:$V$12=F$12)*($C$159:$V$159)*($C$54:$V$54))))</f>
        <v/>
      </c>
      <c r="G999" s="62">
        <f>IF(G$15&lt;=1,0,SUMPRODUCT(MAX(($C$12:$V$12=G$12)*($C$159:$V$159)*($C$54:$V$54))))</f>
        <v/>
      </c>
      <c r="H999" s="62">
        <f>IF(H$15&lt;=1,0,SUMPRODUCT(MAX(($C$12:$V$12=H$12)*($C$159:$V$159)*($C$54:$V$54))))</f>
        <v/>
      </c>
      <c r="I999" s="62">
        <f>IF(I$15&lt;=1,0,SUMPRODUCT(MAX(($C$12:$V$12=I$12)*($C$159:$V$159)*($C$54:$V$54))))</f>
        <v/>
      </c>
      <c r="J999" s="62">
        <f>IF(J$15&lt;=1,0,SUMPRODUCT(MAX(($C$12:$V$12=J$12)*($C$159:$V$159)*($C$54:$V$54))))</f>
        <v/>
      </c>
      <c r="K999" s="62">
        <f>IF(K$15&lt;=1,0,SUMPRODUCT(MAX(($C$12:$V$12=K$12)*($C$159:$V$159)*($C$54:$V$54))))</f>
        <v/>
      </c>
      <c r="L999" s="62">
        <f>IF(L$15&lt;=1,0,SUMPRODUCT(MAX(($C$12:$V$12=L$12)*($C$159:$V$159)*($C$54:$V$54))))</f>
        <v/>
      </c>
      <c r="M999" s="62">
        <f>IF(M$15&lt;=1,0,SUMPRODUCT(MAX(($C$12:$V$12=M$12)*($C$159:$V$159)*($C$54:$V$54))))</f>
        <v/>
      </c>
      <c r="N999" s="62">
        <f>IF(N$15&lt;=1,0,SUMPRODUCT(MAX(($C$12:$V$12=N$12)*($C$159:$V$159)*($C$54:$V$54))))</f>
        <v/>
      </c>
      <c r="O999" s="62">
        <f>IF(O$15&lt;=1,0,SUMPRODUCT(MAX(($C$12:$V$12=O$12)*($C$159:$V$159)*($C$54:$V$54))))</f>
        <v/>
      </c>
      <c r="P999" s="62">
        <f>IF(P$15&lt;=1,0,SUMPRODUCT(MAX(($C$12:$V$12=P$12)*($C$159:$V$159)*($C$54:$V$54))))</f>
        <v/>
      </c>
      <c r="Q999" s="62">
        <f>IF(Q$15&lt;=1,0,SUMPRODUCT(MAX(($C$12:$V$12=Q$12)*($C$159:$V$159)*($C$54:$V$54))))</f>
        <v/>
      </c>
      <c r="R999" s="62">
        <f>IF(R$15&lt;=1,0,SUMPRODUCT(MAX(($C$12:$V$12=R$12)*($C$159:$V$159)*($C$54:$V$54))))</f>
        <v/>
      </c>
      <c r="S999" s="62">
        <f>IF(S$15&lt;=1,0,SUMPRODUCT(MAX(($C$12:$V$12=S$12)*($C$159:$V$159)*($C$54:$V$54))))</f>
        <v/>
      </c>
      <c r="T999" s="62">
        <f>IF(T$15&lt;=1,0,SUMPRODUCT(MAX(($C$12:$V$12=T$12)*($C$159:$V$159)*($C$54:$V$54))))</f>
        <v/>
      </c>
      <c r="U999" s="62">
        <f>IF(U$15&lt;=1,0,SUMPRODUCT(MAX(($C$12:$V$12=U$12)*($C$159:$V$159)*($C$54:$V$54))))</f>
        <v/>
      </c>
      <c r="V999" s="62">
        <f>IF(V$15&lt;=1,0,SUMPRODUCT(MAX(($C$12:$V$12=V$12)*($C$159:$V$159)*($C$54:$V$54))))</f>
        <v/>
      </c>
    </row>
    <row r="1000">
      <c r="C1000" s="62">
        <f>IF(C$15&lt;=1,0,SUMPRODUCT(MAX(($C$12:$V$12=C$12)*($C$160:$V$160)*($C$55:$V$55))))</f>
        <v/>
      </c>
      <c r="D1000" s="62">
        <f>IF(D$15&lt;=1,0,SUMPRODUCT(MAX(($C$12:$V$12=D$12)*($C$160:$V$160)*($C$55:$V$55))))</f>
        <v/>
      </c>
      <c r="E1000" s="62">
        <f>IF(E$15&lt;=1,0,SUMPRODUCT(MAX(($C$12:$V$12=E$12)*($C$160:$V$160)*($C$55:$V$55))))</f>
        <v/>
      </c>
      <c r="F1000" s="62">
        <f>IF(F$15&lt;=1,0,SUMPRODUCT(MAX(($C$12:$V$12=F$12)*($C$160:$V$160)*($C$55:$V$55))))</f>
        <v/>
      </c>
      <c r="G1000" s="62">
        <f>IF(G$15&lt;=1,0,SUMPRODUCT(MAX(($C$12:$V$12=G$12)*($C$160:$V$160)*($C$55:$V$55))))</f>
        <v/>
      </c>
      <c r="H1000" s="62">
        <f>IF(H$15&lt;=1,0,SUMPRODUCT(MAX(($C$12:$V$12=H$12)*($C$160:$V$160)*($C$55:$V$55))))</f>
        <v/>
      </c>
      <c r="I1000" s="62">
        <f>IF(I$15&lt;=1,0,SUMPRODUCT(MAX(($C$12:$V$12=I$12)*($C$160:$V$160)*($C$55:$V$55))))</f>
        <v/>
      </c>
      <c r="J1000" s="62">
        <f>IF(J$15&lt;=1,0,SUMPRODUCT(MAX(($C$12:$V$12=J$12)*($C$160:$V$160)*($C$55:$V$55))))</f>
        <v/>
      </c>
      <c r="K1000" s="62">
        <f>IF(K$15&lt;=1,0,SUMPRODUCT(MAX(($C$12:$V$12=K$12)*($C$160:$V$160)*($C$55:$V$55))))</f>
        <v/>
      </c>
      <c r="L1000" s="62">
        <f>IF(L$15&lt;=1,0,SUMPRODUCT(MAX(($C$12:$V$12=L$12)*($C$160:$V$160)*($C$55:$V$55))))</f>
        <v/>
      </c>
      <c r="M1000" s="62">
        <f>IF(M$15&lt;=1,0,SUMPRODUCT(MAX(($C$12:$V$12=M$12)*($C$160:$V$160)*($C$55:$V$55))))</f>
        <v/>
      </c>
      <c r="N1000" s="62">
        <f>IF(N$15&lt;=1,0,SUMPRODUCT(MAX(($C$12:$V$12=N$12)*($C$160:$V$160)*($C$55:$V$55))))</f>
        <v/>
      </c>
      <c r="O1000" s="62">
        <f>IF(O$15&lt;=1,0,SUMPRODUCT(MAX(($C$12:$V$12=O$12)*($C$160:$V$160)*($C$55:$V$55))))</f>
        <v/>
      </c>
      <c r="P1000" s="62">
        <f>IF(P$15&lt;=1,0,SUMPRODUCT(MAX(($C$12:$V$12=P$12)*($C$160:$V$160)*($C$55:$V$55))))</f>
        <v/>
      </c>
      <c r="Q1000" s="62">
        <f>IF(Q$15&lt;=1,0,SUMPRODUCT(MAX(($C$12:$V$12=Q$12)*($C$160:$V$160)*($C$55:$V$55))))</f>
        <v/>
      </c>
      <c r="R1000" s="62">
        <f>IF(R$15&lt;=1,0,SUMPRODUCT(MAX(($C$12:$V$12=R$12)*($C$160:$V$160)*($C$55:$V$55))))</f>
        <v/>
      </c>
      <c r="S1000" s="62">
        <f>IF(S$15&lt;=1,0,SUMPRODUCT(MAX(($C$12:$V$12=S$12)*($C$160:$V$160)*($C$55:$V$55))))</f>
        <v/>
      </c>
      <c r="T1000" s="62">
        <f>IF(T$15&lt;=1,0,SUMPRODUCT(MAX(($C$12:$V$12=T$12)*($C$160:$V$160)*($C$55:$V$55))))</f>
        <v/>
      </c>
      <c r="U1000" s="62">
        <f>IF(U$15&lt;=1,0,SUMPRODUCT(MAX(($C$12:$V$12=U$12)*($C$160:$V$160)*($C$55:$V$55))))</f>
        <v/>
      </c>
      <c r="V1000" s="62">
        <f>IF(V$15&lt;=1,0,SUMPRODUCT(MAX(($C$12:$V$12=V$12)*($C$160:$V$160)*($C$55:$V$55))))</f>
        <v/>
      </c>
    </row>
    <row r="1001">
      <c r="C1001" s="62">
        <f>IF(C$15&lt;=1,0,SUMPRODUCT(MAX(($C$12:$V$12=C$12)*($C$161:$V$161)*($C$56:$V$56))))</f>
        <v/>
      </c>
      <c r="D1001" s="62">
        <f>IF(D$15&lt;=1,0,SUMPRODUCT(MAX(($C$12:$V$12=D$12)*($C$161:$V$161)*($C$56:$V$56))))</f>
        <v/>
      </c>
      <c r="E1001" s="62">
        <f>IF(E$15&lt;=1,0,SUMPRODUCT(MAX(($C$12:$V$12=E$12)*($C$161:$V$161)*($C$56:$V$56))))</f>
        <v/>
      </c>
      <c r="F1001" s="62">
        <f>IF(F$15&lt;=1,0,SUMPRODUCT(MAX(($C$12:$V$12=F$12)*($C$161:$V$161)*($C$56:$V$56))))</f>
        <v/>
      </c>
      <c r="G1001" s="62">
        <f>IF(G$15&lt;=1,0,SUMPRODUCT(MAX(($C$12:$V$12=G$12)*($C$161:$V$161)*($C$56:$V$56))))</f>
        <v/>
      </c>
      <c r="H1001" s="62">
        <f>IF(H$15&lt;=1,0,SUMPRODUCT(MAX(($C$12:$V$12=H$12)*($C$161:$V$161)*($C$56:$V$56))))</f>
        <v/>
      </c>
      <c r="I1001" s="62">
        <f>IF(I$15&lt;=1,0,SUMPRODUCT(MAX(($C$12:$V$12=I$12)*($C$161:$V$161)*($C$56:$V$56))))</f>
        <v/>
      </c>
      <c r="J1001" s="62">
        <f>IF(J$15&lt;=1,0,SUMPRODUCT(MAX(($C$12:$V$12=J$12)*($C$161:$V$161)*($C$56:$V$56))))</f>
        <v/>
      </c>
      <c r="K1001" s="62">
        <f>IF(K$15&lt;=1,0,SUMPRODUCT(MAX(($C$12:$V$12=K$12)*($C$161:$V$161)*($C$56:$V$56))))</f>
        <v/>
      </c>
      <c r="L1001" s="62">
        <f>IF(L$15&lt;=1,0,SUMPRODUCT(MAX(($C$12:$V$12=L$12)*($C$161:$V$161)*($C$56:$V$56))))</f>
        <v/>
      </c>
      <c r="M1001" s="62">
        <f>IF(M$15&lt;=1,0,SUMPRODUCT(MAX(($C$12:$V$12=M$12)*($C$161:$V$161)*($C$56:$V$56))))</f>
        <v/>
      </c>
      <c r="N1001" s="62">
        <f>IF(N$15&lt;=1,0,SUMPRODUCT(MAX(($C$12:$V$12=N$12)*($C$161:$V$161)*($C$56:$V$56))))</f>
        <v/>
      </c>
      <c r="O1001" s="62">
        <f>IF(O$15&lt;=1,0,SUMPRODUCT(MAX(($C$12:$V$12=O$12)*($C$161:$V$161)*($C$56:$V$56))))</f>
        <v/>
      </c>
      <c r="P1001" s="62">
        <f>IF(P$15&lt;=1,0,SUMPRODUCT(MAX(($C$12:$V$12=P$12)*($C$161:$V$161)*($C$56:$V$56))))</f>
        <v/>
      </c>
      <c r="Q1001" s="62">
        <f>IF(Q$15&lt;=1,0,SUMPRODUCT(MAX(($C$12:$V$12=Q$12)*($C$161:$V$161)*($C$56:$V$56))))</f>
        <v/>
      </c>
      <c r="R1001" s="62">
        <f>IF(R$15&lt;=1,0,SUMPRODUCT(MAX(($C$12:$V$12=R$12)*($C$161:$V$161)*($C$56:$V$56))))</f>
        <v/>
      </c>
      <c r="S1001" s="62">
        <f>IF(S$15&lt;=1,0,SUMPRODUCT(MAX(($C$12:$V$12=S$12)*($C$161:$V$161)*($C$56:$V$56))))</f>
        <v/>
      </c>
      <c r="T1001" s="62">
        <f>IF(T$15&lt;=1,0,SUMPRODUCT(MAX(($C$12:$V$12=T$12)*($C$161:$V$161)*($C$56:$V$56))))</f>
        <v/>
      </c>
      <c r="U1001" s="62">
        <f>IF(U$15&lt;=1,0,SUMPRODUCT(MAX(($C$12:$V$12=U$12)*($C$161:$V$161)*($C$56:$V$56))))</f>
        <v/>
      </c>
      <c r="V1001" s="62">
        <f>IF(V$15&lt;=1,0,SUMPRODUCT(MAX(($C$12:$V$12=V$12)*($C$161:$V$161)*($C$56:$V$56))))</f>
        <v/>
      </c>
    </row>
    <row r="1002">
      <c r="C1002" s="62">
        <f>IF(C$15&lt;=1,0,SUMPRODUCT(MAX(($C$12:$V$12=C$12)*($C$162:$V$162)*($C$57:$V$57))))</f>
        <v/>
      </c>
      <c r="D1002" s="62">
        <f>IF(D$15&lt;=1,0,SUMPRODUCT(MAX(($C$12:$V$12=D$12)*($C$162:$V$162)*($C$57:$V$57))))</f>
        <v/>
      </c>
      <c r="E1002" s="62">
        <f>IF(E$15&lt;=1,0,SUMPRODUCT(MAX(($C$12:$V$12=E$12)*($C$162:$V$162)*($C$57:$V$57))))</f>
        <v/>
      </c>
      <c r="F1002" s="62">
        <f>IF(F$15&lt;=1,0,SUMPRODUCT(MAX(($C$12:$V$12=F$12)*($C$162:$V$162)*($C$57:$V$57))))</f>
        <v/>
      </c>
      <c r="G1002" s="62">
        <f>IF(G$15&lt;=1,0,SUMPRODUCT(MAX(($C$12:$V$12=G$12)*($C$162:$V$162)*($C$57:$V$57))))</f>
        <v/>
      </c>
      <c r="H1002" s="62">
        <f>IF(H$15&lt;=1,0,SUMPRODUCT(MAX(($C$12:$V$12=H$12)*($C$162:$V$162)*($C$57:$V$57))))</f>
        <v/>
      </c>
      <c r="I1002" s="62">
        <f>IF(I$15&lt;=1,0,SUMPRODUCT(MAX(($C$12:$V$12=I$12)*($C$162:$V$162)*($C$57:$V$57))))</f>
        <v/>
      </c>
      <c r="J1002" s="62">
        <f>IF(J$15&lt;=1,0,SUMPRODUCT(MAX(($C$12:$V$12=J$12)*($C$162:$V$162)*($C$57:$V$57))))</f>
        <v/>
      </c>
      <c r="K1002" s="62">
        <f>IF(K$15&lt;=1,0,SUMPRODUCT(MAX(($C$12:$V$12=K$12)*($C$162:$V$162)*($C$57:$V$57))))</f>
        <v/>
      </c>
      <c r="L1002" s="62">
        <f>IF(L$15&lt;=1,0,SUMPRODUCT(MAX(($C$12:$V$12=L$12)*($C$162:$V$162)*($C$57:$V$57))))</f>
        <v/>
      </c>
      <c r="M1002" s="62">
        <f>IF(M$15&lt;=1,0,SUMPRODUCT(MAX(($C$12:$V$12=M$12)*($C$162:$V$162)*($C$57:$V$57))))</f>
        <v/>
      </c>
      <c r="N1002" s="62">
        <f>IF(N$15&lt;=1,0,SUMPRODUCT(MAX(($C$12:$V$12=N$12)*($C$162:$V$162)*($C$57:$V$57))))</f>
        <v/>
      </c>
      <c r="O1002" s="62">
        <f>IF(O$15&lt;=1,0,SUMPRODUCT(MAX(($C$12:$V$12=O$12)*($C$162:$V$162)*($C$57:$V$57))))</f>
        <v/>
      </c>
      <c r="P1002" s="62">
        <f>IF(P$15&lt;=1,0,SUMPRODUCT(MAX(($C$12:$V$12=P$12)*($C$162:$V$162)*($C$57:$V$57))))</f>
        <v/>
      </c>
      <c r="Q1002" s="62">
        <f>IF(Q$15&lt;=1,0,SUMPRODUCT(MAX(($C$12:$V$12=Q$12)*($C$162:$V$162)*($C$57:$V$57))))</f>
        <v/>
      </c>
      <c r="R1002" s="62">
        <f>IF(R$15&lt;=1,0,SUMPRODUCT(MAX(($C$12:$V$12=R$12)*($C$162:$V$162)*($C$57:$V$57))))</f>
        <v/>
      </c>
      <c r="S1002" s="62">
        <f>IF(S$15&lt;=1,0,SUMPRODUCT(MAX(($C$12:$V$12=S$12)*($C$162:$V$162)*($C$57:$V$57))))</f>
        <v/>
      </c>
      <c r="T1002" s="62">
        <f>IF(T$15&lt;=1,0,SUMPRODUCT(MAX(($C$12:$V$12=T$12)*($C$162:$V$162)*($C$57:$V$57))))</f>
        <v/>
      </c>
      <c r="U1002" s="62">
        <f>IF(U$15&lt;=1,0,SUMPRODUCT(MAX(($C$12:$V$12=U$12)*($C$162:$V$162)*($C$57:$V$57))))</f>
        <v/>
      </c>
      <c r="V1002" s="62">
        <f>IF(V$15&lt;=1,0,SUMPRODUCT(MAX(($C$12:$V$12=V$12)*($C$162:$V$162)*($C$57:$V$57))))</f>
        <v/>
      </c>
    </row>
    <row r="1003">
      <c r="C1003" s="62">
        <f>IF(C$15&lt;=1,0,SUMPRODUCT(MAX(($C$12:$V$12=C$12)*($C$163:$V$163)*($C$58:$V$58))))</f>
        <v/>
      </c>
      <c r="D1003" s="62">
        <f>IF(D$15&lt;=1,0,SUMPRODUCT(MAX(($C$12:$V$12=D$12)*($C$163:$V$163)*($C$58:$V$58))))</f>
        <v/>
      </c>
      <c r="E1003" s="62">
        <f>IF(E$15&lt;=1,0,SUMPRODUCT(MAX(($C$12:$V$12=E$12)*($C$163:$V$163)*($C$58:$V$58))))</f>
        <v/>
      </c>
      <c r="F1003" s="62">
        <f>IF(F$15&lt;=1,0,SUMPRODUCT(MAX(($C$12:$V$12=F$12)*($C$163:$V$163)*($C$58:$V$58))))</f>
        <v/>
      </c>
      <c r="G1003" s="62">
        <f>IF(G$15&lt;=1,0,SUMPRODUCT(MAX(($C$12:$V$12=G$12)*($C$163:$V$163)*($C$58:$V$58))))</f>
        <v/>
      </c>
      <c r="H1003" s="62">
        <f>IF(H$15&lt;=1,0,SUMPRODUCT(MAX(($C$12:$V$12=H$12)*($C$163:$V$163)*($C$58:$V$58))))</f>
        <v/>
      </c>
      <c r="I1003" s="62">
        <f>IF(I$15&lt;=1,0,SUMPRODUCT(MAX(($C$12:$V$12=I$12)*($C$163:$V$163)*($C$58:$V$58))))</f>
        <v/>
      </c>
      <c r="J1003" s="62">
        <f>IF(J$15&lt;=1,0,SUMPRODUCT(MAX(($C$12:$V$12=J$12)*($C$163:$V$163)*($C$58:$V$58))))</f>
        <v/>
      </c>
      <c r="K1003" s="62">
        <f>IF(K$15&lt;=1,0,SUMPRODUCT(MAX(($C$12:$V$12=K$12)*($C$163:$V$163)*($C$58:$V$58))))</f>
        <v/>
      </c>
      <c r="L1003" s="62">
        <f>IF(L$15&lt;=1,0,SUMPRODUCT(MAX(($C$12:$V$12=L$12)*($C$163:$V$163)*($C$58:$V$58))))</f>
        <v/>
      </c>
      <c r="M1003" s="62">
        <f>IF(M$15&lt;=1,0,SUMPRODUCT(MAX(($C$12:$V$12=M$12)*($C$163:$V$163)*($C$58:$V$58))))</f>
        <v/>
      </c>
      <c r="N1003" s="62">
        <f>IF(N$15&lt;=1,0,SUMPRODUCT(MAX(($C$12:$V$12=N$12)*($C$163:$V$163)*($C$58:$V$58))))</f>
        <v/>
      </c>
      <c r="O1003" s="62">
        <f>IF(O$15&lt;=1,0,SUMPRODUCT(MAX(($C$12:$V$12=O$12)*($C$163:$V$163)*($C$58:$V$58))))</f>
        <v/>
      </c>
      <c r="P1003" s="62">
        <f>IF(P$15&lt;=1,0,SUMPRODUCT(MAX(($C$12:$V$12=P$12)*($C$163:$V$163)*($C$58:$V$58))))</f>
        <v/>
      </c>
      <c r="Q1003" s="62">
        <f>IF(Q$15&lt;=1,0,SUMPRODUCT(MAX(($C$12:$V$12=Q$12)*($C$163:$V$163)*($C$58:$V$58))))</f>
        <v/>
      </c>
      <c r="R1003" s="62">
        <f>IF(R$15&lt;=1,0,SUMPRODUCT(MAX(($C$12:$V$12=R$12)*($C$163:$V$163)*($C$58:$V$58))))</f>
        <v/>
      </c>
      <c r="S1003" s="62">
        <f>IF(S$15&lt;=1,0,SUMPRODUCT(MAX(($C$12:$V$12=S$12)*($C$163:$V$163)*($C$58:$V$58))))</f>
        <v/>
      </c>
      <c r="T1003" s="62">
        <f>IF(T$15&lt;=1,0,SUMPRODUCT(MAX(($C$12:$V$12=T$12)*($C$163:$V$163)*($C$58:$V$58))))</f>
        <v/>
      </c>
      <c r="U1003" s="62">
        <f>IF(U$15&lt;=1,0,SUMPRODUCT(MAX(($C$12:$V$12=U$12)*($C$163:$V$163)*($C$58:$V$58))))</f>
        <v/>
      </c>
      <c r="V1003" s="62">
        <f>IF(V$15&lt;=1,0,SUMPRODUCT(MAX(($C$12:$V$12=V$12)*($C$163:$V$163)*($C$58:$V$58))))</f>
        <v/>
      </c>
    </row>
    <row r="1004">
      <c r="C1004" s="62">
        <f>IF(C$15&lt;=1,0,SUMPRODUCT(MAX(($C$12:$V$12=C$12)*($C$164:$V$164)*($C$59:$V$59))))</f>
        <v/>
      </c>
      <c r="D1004" s="62">
        <f>IF(D$15&lt;=1,0,SUMPRODUCT(MAX(($C$12:$V$12=D$12)*($C$164:$V$164)*($C$59:$V$59))))</f>
        <v/>
      </c>
      <c r="E1004" s="62">
        <f>IF(E$15&lt;=1,0,SUMPRODUCT(MAX(($C$12:$V$12=E$12)*($C$164:$V$164)*($C$59:$V$59))))</f>
        <v/>
      </c>
      <c r="F1004" s="62">
        <f>IF(F$15&lt;=1,0,SUMPRODUCT(MAX(($C$12:$V$12=F$12)*($C$164:$V$164)*($C$59:$V$59))))</f>
        <v/>
      </c>
      <c r="G1004" s="62">
        <f>IF(G$15&lt;=1,0,SUMPRODUCT(MAX(($C$12:$V$12=G$12)*($C$164:$V$164)*($C$59:$V$59))))</f>
        <v/>
      </c>
      <c r="H1004" s="62">
        <f>IF(H$15&lt;=1,0,SUMPRODUCT(MAX(($C$12:$V$12=H$12)*($C$164:$V$164)*($C$59:$V$59))))</f>
        <v/>
      </c>
      <c r="I1004" s="62">
        <f>IF(I$15&lt;=1,0,SUMPRODUCT(MAX(($C$12:$V$12=I$12)*($C$164:$V$164)*($C$59:$V$59))))</f>
        <v/>
      </c>
      <c r="J1004" s="62">
        <f>IF(J$15&lt;=1,0,SUMPRODUCT(MAX(($C$12:$V$12=J$12)*($C$164:$V$164)*($C$59:$V$59))))</f>
        <v/>
      </c>
      <c r="K1004" s="62">
        <f>IF(K$15&lt;=1,0,SUMPRODUCT(MAX(($C$12:$V$12=K$12)*($C$164:$V$164)*($C$59:$V$59))))</f>
        <v/>
      </c>
      <c r="L1004" s="62">
        <f>IF(L$15&lt;=1,0,SUMPRODUCT(MAX(($C$12:$V$12=L$12)*($C$164:$V$164)*($C$59:$V$59))))</f>
        <v/>
      </c>
      <c r="M1004" s="62">
        <f>IF(M$15&lt;=1,0,SUMPRODUCT(MAX(($C$12:$V$12=M$12)*($C$164:$V$164)*($C$59:$V$59))))</f>
        <v/>
      </c>
      <c r="N1004" s="62">
        <f>IF(N$15&lt;=1,0,SUMPRODUCT(MAX(($C$12:$V$12=N$12)*($C$164:$V$164)*($C$59:$V$59))))</f>
        <v/>
      </c>
      <c r="O1004" s="62">
        <f>IF(O$15&lt;=1,0,SUMPRODUCT(MAX(($C$12:$V$12=O$12)*($C$164:$V$164)*($C$59:$V$59))))</f>
        <v/>
      </c>
      <c r="P1004" s="62">
        <f>IF(P$15&lt;=1,0,SUMPRODUCT(MAX(($C$12:$V$12=P$12)*($C$164:$V$164)*($C$59:$V$59))))</f>
        <v/>
      </c>
      <c r="Q1004" s="62">
        <f>IF(Q$15&lt;=1,0,SUMPRODUCT(MAX(($C$12:$V$12=Q$12)*($C$164:$V$164)*($C$59:$V$59))))</f>
        <v/>
      </c>
      <c r="R1004" s="62">
        <f>IF(R$15&lt;=1,0,SUMPRODUCT(MAX(($C$12:$V$12=R$12)*($C$164:$V$164)*($C$59:$V$59))))</f>
        <v/>
      </c>
      <c r="S1004" s="62">
        <f>IF(S$15&lt;=1,0,SUMPRODUCT(MAX(($C$12:$V$12=S$12)*($C$164:$V$164)*($C$59:$V$59))))</f>
        <v/>
      </c>
      <c r="T1004" s="62">
        <f>IF(T$15&lt;=1,0,SUMPRODUCT(MAX(($C$12:$V$12=T$12)*($C$164:$V$164)*($C$59:$V$59))))</f>
        <v/>
      </c>
      <c r="U1004" s="62">
        <f>IF(U$15&lt;=1,0,SUMPRODUCT(MAX(($C$12:$V$12=U$12)*($C$164:$V$164)*($C$59:$V$59))))</f>
        <v/>
      </c>
      <c r="V1004" s="62">
        <f>IF(V$15&lt;=1,0,SUMPRODUCT(MAX(($C$12:$V$12=V$12)*($C$164:$V$164)*($C$59:$V$59))))</f>
        <v/>
      </c>
    </row>
    <row r="1005">
      <c r="C1005" s="62">
        <f>IF(C$15&lt;=1,0,SUMPRODUCT(MAX(($C$12:$V$12=C$12)*($C$165:$V$165)*($C$60:$V$60))))</f>
        <v/>
      </c>
      <c r="D1005" s="62">
        <f>IF(D$15&lt;=1,0,SUMPRODUCT(MAX(($C$12:$V$12=D$12)*($C$165:$V$165)*($C$60:$V$60))))</f>
        <v/>
      </c>
      <c r="E1005" s="62">
        <f>IF(E$15&lt;=1,0,SUMPRODUCT(MAX(($C$12:$V$12=E$12)*($C$165:$V$165)*($C$60:$V$60))))</f>
        <v/>
      </c>
      <c r="F1005" s="62">
        <f>IF(F$15&lt;=1,0,SUMPRODUCT(MAX(($C$12:$V$12=F$12)*($C$165:$V$165)*($C$60:$V$60))))</f>
        <v/>
      </c>
      <c r="G1005" s="62">
        <f>IF(G$15&lt;=1,0,SUMPRODUCT(MAX(($C$12:$V$12=G$12)*($C$165:$V$165)*($C$60:$V$60))))</f>
        <v/>
      </c>
      <c r="H1005" s="62">
        <f>IF(H$15&lt;=1,0,SUMPRODUCT(MAX(($C$12:$V$12=H$12)*($C$165:$V$165)*($C$60:$V$60))))</f>
        <v/>
      </c>
      <c r="I1005" s="62">
        <f>IF(I$15&lt;=1,0,SUMPRODUCT(MAX(($C$12:$V$12=I$12)*($C$165:$V$165)*($C$60:$V$60))))</f>
        <v/>
      </c>
      <c r="J1005" s="62">
        <f>IF(J$15&lt;=1,0,SUMPRODUCT(MAX(($C$12:$V$12=J$12)*($C$165:$V$165)*($C$60:$V$60))))</f>
        <v/>
      </c>
      <c r="K1005" s="62">
        <f>IF(K$15&lt;=1,0,SUMPRODUCT(MAX(($C$12:$V$12=K$12)*($C$165:$V$165)*($C$60:$V$60))))</f>
        <v/>
      </c>
      <c r="L1005" s="62">
        <f>IF(L$15&lt;=1,0,SUMPRODUCT(MAX(($C$12:$V$12=L$12)*($C$165:$V$165)*($C$60:$V$60))))</f>
        <v/>
      </c>
      <c r="M1005" s="62">
        <f>IF(M$15&lt;=1,0,SUMPRODUCT(MAX(($C$12:$V$12=M$12)*($C$165:$V$165)*($C$60:$V$60))))</f>
        <v/>
      </c>
      <c r="N1005" s="62">
        <f>IF(N$15&lt;=1,0,SUMPRODUCT(MAX(($C$12:$V$12=N$12)*($C$165:$V$165)*($C$60:$V$60))))</f>
        <v/>
      </c>
      <c r="O1005" s="62">
        <f>IF(O$15&lt;=1,0,SUMPRODUCT(MAX(($C$12:$V$12=O$12)*($C$165:$V$165)*($C$60:$V$60))))</f>
        <v/>
      </c>
      <c r="P1005" s="62">
        <f>IF(P$15&lt;=1,0,SUMPRODUCT(MAX(($C$12:$V$12=P$12)*($C$165:$V$165)*($C$60:$V$60))))</f>
        <v/>
      </c>
      <c r="Q1005" s="62">
        <f>IF(Q$15&lt;=1,0,SUMPRODUCT(MAX(($C$12:$V$12=Q$12)*($C$165:$V$165)*($C$60:$V$60))))</f>
        <v/>
      </c>
      <c r="R1005" s="62">
        <f>IF(R$15&lt;=1,0,SUMPRODUCT(MAX(($C$12:$V$12=R$12)*($C$165:$V$165)*($C$60:$V$60))))</f>
        <v/>
      </c>
      <c r="S1005" s="62">
        <f>IF(S$15&lt;=1,0,SUMPRODUCT(MAX(($C$12:$V$12=S$12)*($C$165:$V$165)*($C$60:$V$60))))</f>
        <v/>
      </c>
      <c r="T1005" s="62">
        <f>IF(T$15&lt;=1,0,SUMPRODUCT(MAX(($C$12:$V$12=T$12)*($C$165:$V$165)*($C$60:$V$60))))</f>
        <v/>
      </c>
      <c r="U1005" s="62">
        <f>IF(U$15&lt;=1,0,SUMPRODUCT(MAX(($C$12:$V$12=U$12)*($C$165:$V$165)*($C$60:$V$60))))</f>
        <v/>
      </c>
      <c r="V1005" s="62">
        <f>IF(V$15&lt;=1,0,SUMPRODUCT(MAX(($C$12:$V$12=V$12)*($C$165:$V$165)*($C$60:$V$60))))</f>
        <v/>
      </c>
    </row>
    <row r="1006">
      <c r="C1006" s="62">
        <f>IF(C$15&lt;=1,0,SUMPRODUCT(MAX(($C$12:$V$12=C$12)*($C$166:$V$166)*($C$61:$V$61))))</f>
        <v/>
      </c>
      <c r="D1006" s="62">
        <f>IF(D$15&lt;=1,0,SUMPRODUCT(MAX(($C$12:$V$12=D$12)*($C$166:$V$166)*($C$61:$V$61))))</f>
        <v/>
      </c>
      <c r="E1006" s="62">
        <f>IF(E$15&lt;=1,0,SUMPRODUCT(MAX(($C$12:$V$12=E$12)*($C$166:$V$166)*($C$61:$V$61))))</f>
        <v/>
      </c>
      <c r="F1006" s="62">
        <f>IF(F$15&lt;=1,0,SUMPRODUCT(MAX(($C$12:$V$12=F$12)*($C$166:$V$166)*($C$61:$V$61))))</f>
        <v/>
      </c>
      <c r="G1006" s="62">
        <f>IF(G$15&lt;=1,0,SUMPRODUCT(MAX(($C$12:$V$12=G$12)*($C$166:$V$166)*($C$61:$V$61))))</f>
        <v/>
      </c>
      <c r="H1006" s="62">
        <f>IF(H$15&lt;=1,0,SUMPRODUCT(MAX(($C$12:$V$12=H$12)*($C$166:$V$166)*($C$61:$V$61))))</f>
        <v/>
      </c>
      <c r="I1006" s="62">
        <f>IF(I$15&lt;=1,0,SUMPRODUCT(MAX(($C$12:$V$12=I$12)*($C$166:$V$166)*($C$61:$V$61))))</f>
        <v/>
      </c>
      <c r="J1006" s="62">
        <f>IF(J$15&lt;=1,0,SUMPRODUCT(MAX(($C$12:$V$12=J$12)*($C$166:$V$166)*($C$61:$V$61))))</f>
        <v/>
      </c>
      <c r="K1006" s="62">
        <f>IF(K$15&lt;=1,0,SUMPRODUCT(MAX(($C$12:$V$12=K$12)*($C$166:$V$166)*($C$61:$V$61))))</f>
        <v/>
      </c>
      <c r="L1006" s="62">
        <f>IF(L$15&lt;=1,0,SUMPRODUCT(MAX(($C$12:$V$12=L$12)*($C$166:$V$166)*($C$61:$V$61))))</f>
        <v/>
      </c>
      <c r="M1006" s="62">
        <f>IF(M$15&lt;=1,0,SUMPRODUCT(MAX(($C$12:$V$12=M$12)*($C$166:$V$166)*($C$61:$V$61))))</f>
        <v/>
      </c>
      <c r="N1006" s="62">
        <f>IF(N$15&lt;=1,0,SUMPRODUCT(MAX(($C$12:$V$12=N$12)*($C$166:$V$166)*($C$61:$V$61))))</f>
        <v/>
      </c>
      <c r="O1006" s="62">
        <f>IF(O$15&lt;=1,0,SUMPRODUCT(MAX(($C$12:$V$12=O$12)*($C$166:$V$166)*($C$61:$V$61))))</f>
        <v/>
      </c>
      <c r="P1006" s="62">
        <f>IF(P$15&lt;=1,0,SUMPRODUCT(MAX(($C$12:$V$12=P$12)*($C$166:$V$166)*($C$61:$V$61))))</f>
        <v/>
      </c>
      <c r="Q1006" s="62">
        <f>IF(Q$15&lt;=1,0,SUMPRODUCT(MAX(($C$12:$V$12=Q$12)*($C$166:$V$166)*($C$61:$V$61))))</f>
        <v/>
      </c>
      <c r="R1006" s="62">
        <f>IF(R$15&lt;=1,0,SUMPRODUCT(MAX(($C$12:$V$12=R$12)*($C$166:$V$166)*($C$61:$V$61))))</f>
        <v/>
      </c>
      <c r="S1006" s="62">
        <f>IF(S$15&lt;=1,0,SUMPRODUCT(MAX(($C$12:$V$12=S$12)*($C$166:$V$166)*($C$61:$V$61))))</f>
        <v/>
      </c>
      <c r="T1006" s="62">
        <f>IF(T$15&lt;=1,0,SUMPRODUCT(MAX(($C$12:$V$12=T$12)*($C$166:$V$166)*($C$61:$V$61))))</f>
        <v/>
      </c>
      <c r="U1006" s="62">
        <f>IF(U$15&lt;=1,0,SUMPRODUCT(MAX(($C$12:$V$12=U$12)*($C$166:$V$166)*($C$61:$V$61))))</f>
        <v/>
      </c>
      <c r="V1006" s="62">
        <f>IF(V$15&lt;=1,0,SUMPRODUCT(MAX(($C$12:$V$12=V$12)*($C$166:$V$166)*($C$61:$V$61))))</f>
        <v/>
      </c>
    </row>
    <row r="1007">
      <c r="C1007" s="62">
        <f>IF(C$15&lt;=1,0,SUMPRODUCT(MAX(($C$12:$V$12=C$12)*($C$167:$V$167)*($C$62:$V$62))))</f>
        <v/>
      </c>
      <c r="D1007" s="62">
        <f>IF(D$15&lt;=1,0,SUMPRODUCT(MAX(($C$12:$V$12=D$12)*($C$167:$V$167)*($C$62:$V$62))))</f>
        <v/>
      </c>
      <c r="E1007" s="62">
        <f>IF(E$15&lt;=1,0,SUMPRODUCT(MAX(($C$12:$V$12=E$12)*($C$167:$V$167)*($C$62:$V$62))))</f>
        <v/>
      </c>
      <c r="F1007" s="62">
        <f>IF(F$15&lt;=1,0,SUMPRODUCT(MAX(($C$12:$V$12=F$12)*($C$167:$V$167)*($C$62:$V$62))))</f>
        <v/>
      </c>
      <c r="G1007" s="62">
        <f>IF(G$15&lt;=1,0,SUMPRODUCT(MAX(($C$12:$V$12=G$12)*($C$167:$V$167)*($C$62:$V$62))))</f>
        <v/>
      </c>
      <c r="H1007" s="62">
        <f>IF(H$15&lt;=1,0,SUMPRODUCT(MAX(($C$12:$V$12=H$12)*($C$167:$V$167)*($C$62:$V$62))))</f>
        <v/>
      </c>
      <c r="I1007" s="62">
        <f>IF(I$15&lt;=1,0,SUMPRODUCT(MAX(($C$12:$V$12=I$12)*($C$167:$V$167)*($C$62:$V$62))))</f>
        <v/>
      </c>
      <c r="J1007" s="62">
        <f>IF(J$15&lt;=1,0,SUMPRODUCT(MAX(($C$12:$V$12=J$12)*($C$167:$V$167)*($C$62:$V$62))))</f>
        <v/>
      </c>
      <c r="K1007" s="62">
        <f>IF(K$15&lt;=1,0,SUMPRODUCT(MAX(($C$12:$V$12=K$12)*($C$167:$V$167)*($C$62:$V$62))))</f>
        <v/>
      </c>
      <c r="L1007" s="62">
        <f>IF(L$15&lt;=1,0,SUMPRODUCT(MAX(($C$12:$V$12=L$12)*($C$167:$V$167)*($C$62:$V$62))))</f>
        <v/>
      </c>
      <c r="M1007" s="62">
        <f>IF(M$15&lt;=1,0,SUMPRODUCT(MAX(($C$12:$V$12=M$12)*($C$167:$V$167)*($C$62:$V$62))))</f>
        <v/>
      </c>
      <c r="N1007" s="62">
        <f>IF(N$15&lt;=1,0,SUMPRODUCT(MAX(($C$12:$V$12=N$12)*($C$167:$V$167)*($C$62:$V$62))))</f>
        <v/>
      </c>
      <c r="O1007" s="62">
        <f>IF(O$15&lt;=1,0,SUMPRODUCT(MAX(($C$12:$V$12=O$12)*($C$167:$V$167)*($C$62:$V$62))))</f>
        <v/>
      </c>
      <c r="P1007" s="62">
        <f>IF(P$15&lt;=1,0,SUMPRODUCT(MAX(($C$12:$V$12=P$12)*($C$167:$V$167)*($C$62:$V$62))))</f>
        <v/>
      </c>
      <c r="Q1007" s="62">
        <f>IF(Q$15&lt;=1,0,SUMPRODUCT(MAX(($C$12:$V$12=Q$12)*($C$167:$V$167)*($C$62:$V$62))))</f>
        <v/>
      </c>
      <c r="R1007" s="62">
        <f>IF(R$15&lt;=1,0,SUMPRODUCT(MAX(($C$12:$V$12=R$12)*($C$167:$V$167)*($C$62:$V$62))))</f>
        <v/>
      </c>
      <c r="S1007" s="62">
        <f>IF(S$15&lt;=1,0,SUMPRODUCT(MAX(($C$12:$V$12=S$12)*($C$167:$V$167)*($C$62:$V$62))))</f>
        <v/>
      </c>
      <c r="T1007" s="62">
        <f>IF(T$15&lt;=1,0,SUMPRODUCT(MAX(($C$12:$V$12=T$12)*($C$167:$V$167)*($C$62:$V$62))))</f>
        <v/>
      </c>
      <c r="U1007" s="62">
        <f>IF(U$15&lt;=1,0,SUMPRODUCT(MAX(($C$12:$V$12=U$12)*($C$167:$V$167)*($C$62:$V$62))))</f>
        <v/>
      </c>
      <c r="V1007" s="62">
        <f>IF(V$15&lt;=1,0,SUMPRODUCT(MAX(($C$12:$V$12=V$12)*($C$167:$V$167)*($C$62:$V$62))))</f>
        <v/>
      </c>
    </row>
    <row r="1008">
      <c r="C1008" s="62">
        <f>IF(C$15&lt;=1,0,SUMPRODUCT(MAX(($C$12:$V$12=C$12)*($C$168:$V$168)*($C$63:$V$63))))</f>
        <v/>
      </c>
      <c r="D1008" s="62">
        <f>IF(D$15&lt;=1,0,SUMPRODUCT(MAX(($C$12:$V$12=D$12)*($C$168:$V$168)*($C$63:$V$63))))</f>
        <v/>
      </c>
      <c r="E1008" s="62">
        <f>IF(E$15&lt;=1,0,SUMPRODUCT(MAX(($C$12:$V$12=E$12)*($C$168:$V$168)*($C$63:$V$63))))</f>
        <v/>
      </c>
      <c r="F1008" s="62">
        <f>IF(F$15&lt;=1,0,SUMPRODUCT(MAX(($C$12:$V$12=F$12)*($C$168:$V$168)*($C$63:$V$63))))</f>
        <v/>
      </c>
      <c r="G1008" s="62">
        <f>IF(G$15&lt;=1,0,SUMPRODUCT(MAX(($C$12:$V$12=G$12)*($C$168:$V$168)*($C$63:$V$63))))</f>
        <v/>
      </c>
      <c r="H1008" s="62">
        <f>IF(H$15&lt;=1,0,SUMPRODUCT(MAX(($C$12:$V$12=H$12)*($C$168:$V$168)*($C$63:$V$63))))</f>
        <v/>
      </c>
      <c r="I1008" s="62">
        <f>IF(I$15&lt;=1,0,SUMPRODUCT(MAX(($C$12:$V$12=I$12)*($C$168:$V$168)*($C$63:$V$63))))</f>
        <v/>
      </c>
      <c r="J1008" s="62">
        <f>IF(J$15&lt;=1,0,SUMPRODUCT(MAX(($C$12:$V$12=J$12)*($C$168:$V$168)*($C$63:$V$63))))</f>
        <v/>
      </c>
      <c r="K1008" s="62">
        <f>IF(K$15&lt;=1,0,SUMPRODUCT(MAX(($C$12:$V$12=K$12)*($C$168:$V$168)*($C$63:$V$63))))</f>
        <v/>
      </c>
      <c r="L1008" s="62">
        <f>IF(L$15&lt;=1,0,SUMPRODUCT(MAX(($C$12:$V$12=L$12)*($C$168:$V$168)*($C$63:$V$63))))</f>
        <v/>
      </c>
      <c r="M1008" s="62">
        <f>IF(M$15&lt;=1,0,SUMPRODUCT(MAX(($C$12:$V$12=M$12)*($C$168:$V$168)*($C$63:$V$63))))</f>
        <v/>
      </c>
      <c r="N1008" s="62">
        <f>IF(N$15&lt;=1,0,SUMPRODUCT(MAX(($C$12:$V$12=N$12)*($C$168:$V$168)*($C$63:$V$63))))</f>
        <v/>
      </c>
      <c r="O1008" s="62">
        <f>IF(O$15&lt;=1,0,SUMPRODUCT(MAX(($C$12:$V$12=O$12)*($C$168:$V$168)*($C$63:$V$63))))</f>
        <v/>
      </c>
      <c r="P1008" s="62">
        <f>IF(P$15&lt;=1,0,SUMPRODUCT(MAX(($C$12:$V$12=P$12)*($C$168:$V$168)*($C$63:$V$63))))</f>
        <v/>
      </c>
      <c r="Q1008" s="62">
        <f>IF(Q$15&lt;=1,0,SUMPRODUCT(MAX(($C$12:$V$12=Q$12)*($C$168:$V$168)*($C$63:$V$63))))</f>
        <v/>
      </c>
      <c r="R1008" s="62">
        <f>IF(R$15&lt;=1,0,SUMPRODUCT(MAX(($C$12:$V$12=R$12)*($C$168:$V$168)*($C$63:$V$63))))</f>
        <v/>
      </c>
      <c r="S1008" s="62">
        <f>IF(S$15&lt;=1,0,SUMPRODUCT(MAX(($C$12:$V$12=S$12)*($C$168:$V$168)*($C$63:$V$63))))</f>
        <v/>
      </c>
      <c r="T1008" s="62">
        <f>IF(T$15&lt;=1,0,SUMPRODUCT(MAX(($C$12:$V$12=T$12)*($C$168:$V$168)*($C$63:$V$63))))</f>
        <v/>
      </c>
      <c r="U1008" s="62">
        <f>IF(U$15&lt;=1,0,SUMPRODUCT(MAX(($C$12:$V$12=U$12)*($C$168:$V$168)*($C$63:$V$63))))</f>
        <v/>
      </c>
      <c r="V1008" s="62">
        <f>IF(V$15&lt;=1,0,SUMPRODUCT(MAX(($C$12:$V$12=V$12)*($C$168:$V$168)*($C$63:$V$63))))</f>
        <v/>
      </c>
    </row>
    <row r="1009">
      <c r="C1009" s="62">
        <f>IF(C$15&lt;=1,0,SUMPRODUCT(MAX(($C$12:$V$12=C$12)*($C$169:$V$169)*($C$64:$V$64))))</f>
        <v/>
      </c>
      <c r="D1009" s="62">
        <f>IF(D$15&lt;=1,0,SUMPRODUCT(MAX(($C$12:$V$12=D$12)*($C$169:$V$169)*($C$64:$V$64))))</f>
        <v/>
      </c>
      <c r="E1009" s="62">
        <f>IF(E$15&lt;=1,0,SUMPRODUCT(MAX(($C$12:$V$12=E$12)*($C$169:$V$169)*($C$64:$V$64))))</f>
        <v/>
      </c>
      <c r="F1009" s="62">
        <f>IF(F$15&lt;=1,0,SUMPRODUCT(MAX(($C$12:$V$12=F$12)*($C$169:$V$169)*($C$64:$V$64))))</f>
        <v/>
      </c>
      <c r="G1009" s="62">
        <f>IF(G$15&lt;=1,0,SUMPRODUCT(MAX(($C$12:$V$12=G$12)*($C$169:$V$169)*($C$64:$V$64))))</f>
        <v/>
      </c>
      <c r="H1009" s="62">
        <f>IF(H$15&lt;=1,0,SUMPRODUCT(MAX(($C$12:$V$12=H$12)*($C$169:$V$169)*($C$64:$V$64))))</f>
        <v/>
      </c>
      <c r="I1009" s="62">
        <f>IF(I$15&lt;=1,0,SUMPRODUCT(MAX(($C$12:$V$12=I$12)*($C$169:$V$169)*($C$64:$V$64))))</f>
        <v/>
      </c>
      <c r="J1009" s="62">
        <f>IF(J$15&lt;=1,0,SUMPRODUCT(MAX(($C$12:$V$12=J$12)*($C$169:$V$169)*($C$64:$V$64))))</f>
        <v/>
      </c>
      <c r="K1009" s="62">
        <f>IF(K$15&lt;=1,0,SUMPRODUCT(MAX(($C$12:$V$12=K$12)*($C$169:$V$169)*($C$64:$V$64))))</f>
        <v/>
      </c>
      <c r="L1009" s="62">
        <f>IF(L$15&lt;=1,0,SUMPRODUCT(MAX(($C$12:$V$12=L$12)*($C$169:$V$169)*($C$64:$V$64))))</f>
        <v/>
      </c>
      <c r="M1009" s="62">
        <f>IF(M$15&lt;=1,0,SUMPRODUCT(MAX(($C$12:$V$12=M$12)*($C$169:$V$169)*($C$64:$V$64))))</f>
        <v/>
      </c>
      <c r="N1009" s="62">
        <f>IF(N$15&lt;=1,0,SUMPRODUCT(MAX(($C$12:$V$12=N$12)*($C$169:$V$169)*($C$64:$V$64))))</f>
        <v/>
      </c>
      <c r="O1009" s="62">
        <f>IF(O$15&lt;=1,0,SUMPRODUCT(MAX(($C$12:$V$12=O$12)*($C$169:$V$169)*($C$64:$V$64))))</f>
        <v/>
      </c>
      <c r="P1009" s="62">
        <f>IF(P$15&lt;=1,0,SUMPRODUCT(MAX(($C$12:$V$12=P$12)*($C$169:$V$169)*($C$64:$V$64))))</f>
        <v/>
      </c>
      <c r="Q1009" s="62">
        <f>IF(Q$15&lt;=1,0,SUMPRODUCT(MAX(($C$12:$V$12=Q$12)*($C$169:$V$169)*($C$64:$V$64))))</f>
        <v/>
      </c>
      <c r="R1009" s="62">
        <f>IF(R$15&lt;=1,0,SUMPRODUCT(MAX(($C$12:$V$12=R$12)*($C$169:$V$169)*($C$64:$V$64))))</f>
        <v/>
      </c>
      <c r="S1009" s="62">
        <f>IF(S$15&lt;=1,0,SUMPRODUCT(MAX(($C$12:$V$12=S$12)*($C$169:$V$169)*($C$64:$V$64))))</f>
        <v/>
      </c>
      <c r="T1009" s="62">
        <f>IF(T$15&lt;=1,0,SUMPRODUCT(MAX(($C$12:$V$12=T$12)*($C$169:$V$169)*($C$64:$V$64))))</f>
        <v/>
      </c>
      <c r="U1009" s="62">
        <f>IF(U$15&lt;=1,0,SUMPRODUCT(MAX(($C$12:$V$12=U$12)*($C$169:$V$169)*($C$64:$V$64))))</f>
        <v/>
      </c>
      <c r="V1009" s="62">
        <f>IF(V$15&lt;=1,0,SUMPRODUCT(MAX(($C$12:$V$12=V$12)*($C$169:$V$169)*($C$64:$V$64))))</f>
        <v/>
      </c>
    </row>
    <row r="1010">
      <c r="C1010" s="62">
        <f>IF(C$15&lt;=1,0,SUMPRODUCT(MAX(($C$12:$V$12=C$12)*($C$170:$V$170)*($C$65:$V$65))))</f>
        <v/>
      </c>
      <c r="D1010" s="62">
        <f>IF(D$15&lt;=1,0,SUMPRODUCT(MAX(($C$12:$V$12=D$12)*($C$170:$V$170)*($C$65:$V$65))))</f>
        <v/>
      </c>
      <c r="E1010" s="62">
        <f>IF(E$15&lt;=1,0,SUMPRODUCT(MAX(($C$12:$V$12=E$12)*($C$170:$V$170)*($C$65:$V$65))))</f>
        <v/>
      </c>
      <c r="F1010" s="62">
        <f>IF(F$15&lt;=1,0,SUMPRODUCT(MAX(($C$12:$V$12=F$12)*($C$170:$V$170)*($C$65:$V$65))))</f>
        <v/>
      </c>
      <c r="G1010" s="62">
        <f>IF(G$15&lt;=1,0,SUMPRODUCT(MAX(($C$12:$V$12=G$12)*($C$170:$V$170)*($C$65:$V$65))))</f>
        <v/>
      </c>
      <c r="H1010" s="62">
        <f>IF(H$15&lt;=1,0,SUMPRODUCT(MAX(($C$12:$V$12=H$12)*($C$170:$V$170)*($C$65:$V$65))))</f>
        <v/>
      </c>
      <c r="I1010" s="62">
        <f>IF(I$15&lt;=1,0,SUMPRODUCT(MAX(($C$12:$V$12=I$12)*($C$170:$V$170)*($C$65:$V$65))))</f>
        <v/>
      </c>
      <c r="J1010" s="62">
        <f>IF(J$15&lt;=1,0,SUMPRODUCT(MAX(($C$12:$V$12=J$12)*($C$170:$V$170)*($C$65:$V$65))))</f>
        <v/>
      </c>
      <c r="K1010" s="62">
        <f>IF(K$15&lt;=1,0,SUMPRODUCT(MAX(($C$12:$V$12=K$12)*($C$170:$V$170)*($C$65:$V$65))))</f>
        <v/>
      </c>
      <c r="L1010" s="62">
        <f>IF(L$15&lt;=1,0,SUMPRODUCT(MAX(($C$12:$V$12=L$12)*($C$170:$V$170)*($C$65:$V$65))))</f>
        <v/>
      </c>
      <c r="M1010" s="62">
        <f>IF(M$15&lt;=1,0,SUMPRODUCT(MAX(($C$12:$V$12=M$12)*($C$170:$V$170)*($C$65:$V$65))))</f>
        <v/>
      </c>
      <c r="N1010" s="62">
        <f>IF(N$15&lt;=1,0,SUMPRODUCT(MAX(($C$12:$V$12=N$12)*($C$170:$V$170)*($C$65:$V$65))))</f>
        <v/>
      </c>
      <c r="O1010" s="62">
        <f>IF(O$15&lt;=1,0,SUMPRODUCT(MAX(($C$12:$V$12=O$12)*($C$170:$V$170)*($C$65:$V$65))))</f>
        <v/>
      </c>
      <c r="P1010" s="62">
        <f>IF(P$15&lt;=1,0,SUMPRODUCT(MAX(($C$12:$V$12=P$12)*($C$170:$V$170)*($C$65:$V$65))))</f>
        <v/>
      </c>
      <c r="Q1010" s="62">
        <f>IF(Q$15&lt;=1,0,SUMPRODUCT(MAX(($C$12:$V$12=Q$12)*($C$170:$V$170)*($C$65:$V$65))))</f>
        <v/>
      </c>
      <c r="R1010" s="62">
        <f>IF(R$15&lt;=1,0,SUMPRODUCT(MAX(($C$12:$V$12=R$12)*($C$170:$V$170)*($C$65:$V$65))))</f>
        <v/>
      </c>
      <c r="S1010" s="62">
        <f>IF(S$15&lt;=1,0,SUMPRODUCT(MAX(($C$12:$V$12=S$12)*($C$170:$V$170)*($C$65:$V$65))))</f>
        <v/>
      </c>
      <c r="T1010" s="62">
        <f>IF(T$15&lt;=1,0,SUMPRODUCT(MAX(($C$12:$V$12=T$12)*($C$170:$V$170)*($C$65:$V$65))))</f>
        <v/>
      </c>
      <c r="U1010" s="62">
        <f>IF(U$15&lt;=1,0,SUMPRODUCT(MAX(($C$12:$V$12=U$12)*($C$170:$V$170)*($C$65:$V$65))))</f>
        <v/>
      </c>
      <c r="V1010" s="62">
        <f>IF(V$15&lt;=1,0,SUMPRODUCT(MAX(($C$12:$V$12=V$12)*($C$170:$V$170)*($C$65:$V$65))))</f>
        <v/>
      </c>
    </row>
    <row r="1011">
      <c r="C1011" s="62">
        <f>IF(C$15&lt;=1,0,SUMPRODUCT(MAX(($C$12:$V$12=C$12)*($C$171:$V$171)*($C$66:$V$66))))</f>
        <v/>
      </c>
      <c r="D1011" s="62">
        <f>IF(D$15&lt;=1,0,SUMPRODUCT(MAX(($C$12:$V$12=D$12)*($C$171:$V$171)*($C$66:$V$66))))</f>
        <v/>
      </c>
      <c r="E1011" s="62">
        <f>IF(E$15&lt;=1,0,SUMPRODUCT(MAX(($C$12:$V$12=E$12)*($C$171:$V$171)*($C$66:$V$66))))</f>
        <v/>
      </c>
      <c r="F1011" s="62">
        <f>IF(F$15&lt;=1,0,SUMPRODUCT(MAX(($C$12:$V$12=F$12)*($C$171:$V$171)*($C$66:$V$66))))</f>
        <v/>
      </c>
      <c r="G1011" s="62">
        <f>IF(G$15&lt;=1,0,SUMPRODUCT(MAX(($C$12:$V$12=G$12)*($C$171:$V$171)*($C$66:$V$66))))</f>
        <v/>
      </c>
      <c r="H1011" s="62">
        <f>IF(H$15&lt;=1,0,SUMPRODUCT(MAX(($C$12:$V$12=H$12)*($C$171:$V$171)*($C$66:$V$66))))</f>
        <v/>
      </c>
      <c r="I1011" s="62">
        <f>IF(I$15&lt;=1,0,SUMPRODUCT(MAX(($C$12:$V$12=I$12)*($C$171:$V$171)*($C$66:$V$66))))</f>
        <v/>
      </c>
      <c r="J1011" s="62">
        <f>IF(J$15&lt;=1,0,SUMPRODUCT(MAX(($C$12:$V$12=J$12)*($C$171:$V$171)*($C$66:$V$66))))</f>
        <v/>
      </c>
      <c r="K1011" s="62">
        <f>IF(K$15&lt;=1,0,SUMPRODUCT(MAX(($C$12:$V$12=K$12)*($C$171:$V$171)*($C$66:$V$66))))</f>
        <v/>
      </c>
      <c r="L1011" s="62">
        <f>IF(L$15&lt;=1,0,SUMPRODUCT(MAX(($C$12:$V$12=L$12)*($C$171:$V$171)*($C$66:$V$66))))</f>
        <v/>
      </c>
      <c r="M1011" s="62">
        <f>IF(M$15&lt;=1,0,SUMPRODUCT(MAX(($C$12:$V$12=M$12)*($C$171:$V$171)*($C$66:$V$66))))</f>
        <v/>
      </c>
      <c r="N1011" s="62">
        <f>IF(N$15&lt;=1,0,SUMPRODUCT(MAX(($C$12:$V$12=N$12)*($C$171:$V$171)*($C$66:$V$66))))</f>
        <v/>
      </c>
      <c r="O1011" s="62">
        <f>IF(O$15&lt;=1,0,SUMPRODUCT(MAX(($C$12:$V$12=O$12)*($C$171:$V$171)*($C$66:$V$66))))</f>
        <v/>
      </c>
      <c r="P1011" s="62">
        <f>IF(P$15&lt;=1,0,SUMPRODUCT(MAX(($C$12:$V$12=P$12)*($C$171:$V$171)*($C$66:$V$66))))</f>
        <v/>
      </c>
      <c r="Q1011" s="62">
        <f>IF(Q$15&lt;=1,0,SUMPRODUCT(MAX(($C$12:$V$12=Q$12)*($C$171:$V$171)*($C$66:$V$66))))</f>
        <v/>
      </c>
      <c r="R1011" s="62">
        <f>IF(R$15&lt;=1,0,SUMPRODUCT(MAX(($C$12:$V$12=R$12)*($C$171:$V$171)*($C$66:$V$66))))</f>
        <v/>
      </c>
      <c r="S1011" s="62">
        <f>IF(S$15&lt;=1,0,SUMPRODUCT(MAX(($C$12:$V$12=S$12)*($C$171:$V$171)*($C$66:$V$66))))</f>
        <v/>
      </c>
      <c r="T1011" s="62">
        <f>IF(T$15&lt;=1,0,SUMPRODUCT(MAX(($C$12:$V$12=T$12)*($C$171:$V$171)*($C$66:$V$66))))</f>
        <v/>
      </c>
      <c r="U1011" s="62">
        <f>IF(U$15&lt;=1,0,SUMPRODUCT(MAX(($C$12:$V$12=U$12)*($C$171:$V$171)*($C$66:$V$66))))</f>
        <v/>
      </c>
      <c r="V1011" s="62">
        <f>IF(V$15&lt;=1,0,SUMPRODUCT(MAX(($C$12:$V$12=V$12)*($C$171:$V$171)*($C$66:$V$66))))</f>
        <v/>
      </c>
    </row>
    <row r="1012">
      <c r="C1012" s="62">
        <f>IF(C$15&lt;=1,0,SUMPRODUCT(MAX(($C$12:$V$12=C$12)*($C$172:$V$172)*($C$67:$V$67))))</f>
        <v/>
      </c>
      <c r="D1012" s="62">
        <f>IF(D$15&lt;=1,0,SUMPRODUCT(MAX(($C$12:$V$12=D$12)*($C$172:$V$172)*($C$67:$V$67))))</f>
        <v/>
      </c>
      <c r="E1012" s="62">
        <f>IF(E$15&lt;=1,0,SUMPRODUCT(MAX(($C$12:$V$12=E$12)*($C$172:$V$172)*($C$67:$V$67))))</f>
        <v/>
      </c>
      <c r="F1012" s="62">
        <f>IF(F$15&lt;=1,0,SUMPRODUCT(MAX(($C$12:$V$12=F$12)*($C$172:$V$172)*($C$67:$V$67))))</f>
        <v/>
      </c>
      <c r="G1012" s="62">
        <f>IF(G$15&lt;=1,0,SUMPRODUCT(MAX(($C$12:$V$12=G$12)*($C$172:$V$172)*($C$67:$V$67))))</f>
        <v/>
      </c>
      <c r="H1012" s="62">
        <f>IF(H$15&lt;=1,0,SUMPRODUCT(MAX(($C$12:$V$12=H$12)*($C$172:$V$172)*($C$67:$V$67))))</f>
        <v/>
      </c>
      <c r="I1012" s="62">
        <f>IF(I$15&lt;=1,0,SUMPRODUCT(MAX(($C$12:$V$12=I$12)*($C$172:$V$172)*($C$67:$V$67))))</f>
        <v/>
      </c>
      <c r="J1012" s="62">
        <f>IF(J$15&lt;=1,0,SUMPRODUCT(MAX(($C$12:$V$12=J$12)*($C$172:$V$172)*($C$67:$V$67))))</f>
        <v/>
      </c>
      <c r="K1012" s="62">
        <f>IF(K$15&lt;=1,0,SUMPRODUCT(MAX(($C$12:$V$12=K$12)*($C$172:$V$172)*($C$67:$V$67))))</f>
        <v/>
      </c>
      <c r="L1012" s="62">
        <f>IF(L$15&lt;=1,0,SUMPRODUCT(MAX(($C$12:$V$12=L$12)*($C$172:$V$172)*($C$67:$V$67))))</f>
        <v/>
      </c>
      <c r="M1012" s="62">
        <f>IF(M$15&lt;=1,0,SUMPRODUCT(MAX(($C$12:$V$12=M$12)*($C$172:$V$172)*($C$67:$V$67))))</f>
        <v/>
      </c>
      <c r="N1012" s="62">
        <f>IF(N$15&lt;=1,0,SUMPRODUCT(MAX(($C$12:$V$12=N$12)*($C$172:$V$172)*($C$67:$V$67))))</f>
        <v/>
      </c>
      <c r="O1012" s="62">
        <f>IF(O$15&lt;=1,0,SUMPRODUCT(MAX(($C$12:$V$12=O$12)*($C$172:$V$172)*($C$67:$V$67))))</f>
        <v/>
      </c>
      <c r="P1012" s="62">
        <f>IF(P$15&lt;=1,0,SUMPRODUCT(MAX(($C$12:$V$12=P$12)*($C$172:$V$172)*($C$67:$V$67))))</f>
        <v/>
      </c>
      <c r="Q1012" s="62">
        <f>IF(Q$15&lt;=1,0,SUMPRODUCT(MAX(($C$12:$V$12=Q$12)*($C$172:$V$172)*($C$67:$V$67))))</f>
        <v/>
      </c>
      <c r="R1012" s="62">
        <f>IF(R$15&lt;=1,0,SUMPRODUCT(MAX(($C$12:$V$12=R$12)*($C$172:$V$172)*($C$67:$V$67))))</f>
        <v/>
      </c>
      <c r="S1012" s="62">
        <f>IF(S$15&lt;=1,0,SUMPRODUCT(MAX(($C$12:$V$12=S$12)*($C$172:$V$172)*($C$67:$V$67))))</f>
        <v/>
      </c>
      <c r="T1012" s="62">
        <f>IF(T$15&lt;=1,0,SUMPRODUCT(MAX(($C$12:$V$12=T$12)*($C$172:$V$172)*($C$67:$V$67))))</f>
        <v/>
      </c>
      <c r="U1012" s="62">
        <f>IF(U$15&lt;=1,0,SUMPRODUCT(MAX(($C$12:$V$12=U$12)*($C$172:$V$172)*($C$67:$V$67))))</f>
        <v/>
      </c>
      <c r="V1012" s="62">
        <f>IF(V$15&lt;=1,0,SUMPRODUCT(MAX(($C$12:$V$12=V$12)*($C$172:$V$172)*($C$67:$V$67))))</f>
        <v/>
      </c>
    </row>
    <row r="1013">
      <c r="C1013" s="62">
        <f>IF(C$15&lt;=1,0,SUMPRODUCT(MAX(($C$12:$V$12=C$12)*($C$173:$V$173)*($C$68:$V$68))))</f>
        <v/>
      </c>
      <c r="D1013" s="62">
        <f>IF(D$15&lt;=1,0,SUMPRODUCT(MAX(($C$12:$V$12=D$12)*($C$173:$V$173)*($C$68:$V$68))))</f>
        <v/>
      </c>
      <c r="E1013" s="62">
        <f>IF(E$15&lt;=1,0,SUMPRODUCT(MAX(($C$12:$V$12=E$12)*($C$173:$V$173)*($C$68:$V$68))))</f>
        <v/>
      </c>
      <c r="F1013" s="62">
        <f>IF(F$15&lt;=1,0,SUMPRODUCT(MAX(($C$12:$V$12=F$12)*($C$173:$V$173)*($C$68:$V$68))))</f>
        <v/>
      </c>
      <c r="G1013" s="62">
        <f>IF(G$15&lt;=1,0,SUMPRODUCT(MAX(($C$12:$V$12=G$12)*($C$173:$V$173)*($C$68:$V$68))))</f>
        <v/>
      </c>
      <c r="H1013" s="62">
        <f>IF(H$15&lt;=1,0,SUMPRODUCT(MAX(($C$12:$V$12=H$12)*($C$173:$V$173)*($C$68:$V$68))))</f>
        <v/>
      </c>
      <c r="I1013" s="62">
        <f>IF(I$15&lt;=1,0,SUMPRODUCT(MAX(($C$12:$V$12=I$12)*($C$173:$V$173)*($C$68:$V$68))))</f>
        <v/>
      </c>
      <c r="J1013" s="62">
        <f>IF(J$15&lt;=1,0,SUMPRODUCT(MAX(($C$12:$V$12=J$12)*($C$173:$V$173)*($C$68:$V$68))))</f>
        <v/>
      </c>
      <c r="K1013" s="62">
        <f>IF(K$15&lt;=1,0,SUMPRODUCT(MAX(($C$12:$V$12=K$12)*($C$173:$V$173)*($C$68:$V$68))))</f>
        <v/>
      </c>
      <c r="L1013" s="62">
        <f>IF(L$15&lt;=1,0,SUMPRODUCT(MAX(($C$12:$V$12=L$12)*($C$173:$V$173)*($C$68:$V$68))))</f>
        <v/>
      </c>
      <c r="M1013" s="62">
        <f>IF(M$15&lt;=1,0,SUMPRODUCT(MAX(($C$12:$V$12=M$12)*($C$173:$V$173)*($C$68:$V$68))))</f>
        <v/>
      </c>
      <c r="N1013" s="62">
        <f>IF(N$15&lt;=1,0,SUMPRODUCT(MAX(($C$12:$V$12=N$12)*($C$173:$V$173)*($C$68:$V$68))))</f>
        <v/>
      </c>
      <c r="O1013" s="62">
        <f>IF(O$15&lt;=1,0,SUMPRODUCT(MAX(($C$12:$V$12=O$12)*($C$173:$V$173)*($C$68:$V$68))))</f>
        <v/>
      </c>
      <c r="P1013" s="62">
        <f>IF(P$15&lt;=1,0,SUMPRODUCT(MAX(($C$12:$V$12=P$12)*($C$173:$V$173)*($C$68:$V$68))))</f>
        <v/>
      </c>
      <c r="Q1013" s="62">
        <f>IF(Q$15&lt;=1,0,SUMPRODUCT(MAX(($C$12:$V$12=Q$12)*($C$173:$V$173)*($C$68:$V$68))))</f>
        <v/>
      </c>
      <c r="R1013" s="62">
        <f>IF(R$15&lt;=1,0,SUMPRODUCT(MAX(($C$12:$V$12=R$12)*($C$173:$V$173)*($C$68:$V$68))))</f>
        <v/>
      </c>
      <c r="S1013" s="62">
        <f>IF(S$15&lt;=1,0,SUMPRODUCT(MAX(($C$12:$V$12=S$12)*($C$173:$V$173)*($C$68:$V$68))))</f>
        <v/>
      </c>
      <c r="T1013" s="62">
        <f>IF(T$15&lt;=1,0,SUMPRODUCT(MAX(($C$12:$V$12=T$12)*($C$173:$V$173)*($C$68:$V$68))))</f>
        <v/>
      </c>
      <c r="U1013" s="62">
        <f>IF(U$15&lt;=1,0,SUMPRODUCT(MAX(($C$12:$V$12=U$12)*($C$173:$V$173)*($C$68:$V$68))))</f>
        <v/>
      </c>
      <c r="V1013" s="62">
        <f>IF(V$15&lt;=1,0,SUMPRODUCT(MAX(($C$12:$V$12=V$12)*($C$173:$V$173)*($C$68:$V$68))))</f>
        <v/>
      </c>
    </row>
    <row r="1014">
      <c r="C1014" s="62">
        <f>IF(C$15&lt;=1,0,SUMPRODUCT(MAX(($C$12:$V$12=C$12)*($C$174:$V$174)*($C$69:$V$69))))</f>
        <v/>
      </c>
      <c r="D1014" s="62">
        <f>IF(D$15&lt;=1,0,SUMPRODUCT(MAX(($C$12:$V$12=D$12)*($C$174:$V$174)*($C$69:$V$69))))</f>
        <v/>
      </c>
      <c r="E1014" s="62">
        <f>IF(E$15&lt;=1,0,SUMPRODUCT(MAX(($C$12:$V$12=E$12)*($C$174:$V$174)*($C$69:$V$69))))</f>
        <v/>
      </c>
      <c r="F1014" s="62">
        <f>IF(F$15&lt;=1,0,SUMPRODUCT(MAX(($C$12:$V$12=F$12)*($C$174:$V$174)*($C$69:$V$69))))</f>
        <v/>
      </c>
      <c r="G1014" s="62">
        <f>IF(G$15&lt;=1,0,SUMPRODUCT(MAX(($C$12:$V$12=G$12)*($C$174:$V$174)*($C$69:$V$69))))</f>
        <v/>
      </c>
      <c r="H1014" s="62">
        <f>IF(H$15&lt;=1,0,SUMPRODUCT(MAX(($C$12:$V$12=H$12)*($C$174:$V$174)*($C$69:$V$69))))</f>
        <v/>
      </c>
      <c r="I1014" s="62">
        <f>IF(I$15&lt;=1,0,SUMPRODUCT(MAX(($C$12:$V$12=I$12)*($C$174:$V$174)*($C$69:$V$69))))</f>
        <v/>
      </c>
      <c r="J1014" s="62">
        <f>IF(J$15&lt;=1,0,SUMPRODUCT(MAX(($C$12:$V$12=J$12)*($C$174:$V$174)*($C$69:$V$69))))</f>
        <v/>
      </c>
      <c r="K1014" s="62">
        <f>IF(K$15&lt;=1,0,SUMPRODUCT(MAX(($C$12:$V$12=K$12)*($C$174:$V$174)*($C$69:$V$69))))</f>
        <v/>
      </c>
      <c r="L1014" s="62">
        <f>IF(L$15&lt;=1,0,SUMPRODUCT(MAX(($C$12:$V$12=L$12)*($C$174:$V$174)*($C$69:$V$69))))</f>
        <v/>
      </c>
      <c r="M1014" s="62">
        <f>IF(M$15&lt;=1,0,SUMPRODUCT(MAX(($C$12:$V$12=M$12)*($C$174:$V$174)*($C$69:$V$69))))</f>
        <v/>
      </c>
      <c r="N1014" s="62">
        <f>IF(N$15&lt;=1,0,SUMPRODUCT(MAX(($C$12:$V$12=N$12)*($C$174:$V$174)*($C$69:$V$69))))</f>
        <v/>
      </c>
      <c r="O1014" s="62">
        <f>IF(O$15&lt;=1,0,SUMPRODUCT(MAX(($C$12:$V$12=O$12)*($C$174:$V$174)*($C$69:$V$69))))</f>
        <v/>
      </c>
      <c r="P1014" s="62">
        <f>IF(P$15&lt;=1,0,SUMPRODUCT(MAX(($C$12:$V$12=P$12)*($C$174:$V$174)*($C$69:$V$69))))</f>
        <v/>
      </c>
      <c r="Q1014" s="62">
        <f>IF(Q$15&lt;=1,0,SUMPRODUCT(MAX(($C$12:$V$12=Q$12)*($C$174:$V$174)*($C$69:$V$69))))</f>
        <v/>
      </c>
      <c r="R1014" s="62">
        <f>IF(R$15&lt;=1,0,SUMPRODUCT(MAX(($C$12:$V$12=R$12)*($C$174:$V$174)*($C$69:$V$69))))</f>
        <v/>
      </c>
      <c r="S1014" s="62">
        <f>IF(S$15&lt;=1,0,SUMPRODUCT(MAX(($C$12:$V$12=S$12)*($C$174:$V$174)*($C$69:$V$69))))</f>
        <v/>
      </c>
      <c r="T1014" s="62">
        <f>IF(T$15&lt;=1,0,SUMPRODUCT(MAX(($C$12:$V$12=T$12)*($C$174:$V$174)*($C$69:$V$69))))</f>
        <v/>
      </c>
      <c r="U1014" s="62">
        <f>IF(U$15&lt;=1,0,SUMPRODUCT(MAX(($C$12:$V$12=U$12)*($C$174:$V$174)*($C$69:$V$69))))</f>
        <v/>
      </c>
      <c r="V1014" s="62">
        <f>IF(V$15&lt;=1,0,SUMPRODUCT(MAX(($C$12:$V$12=V$12)*($C$174:$V$174)*($C$69:$V$69))))</f>
        <v/>
      </c>
    </row>
    <row r="1015">
      <c r="C1015" s="62">
        <f>IF(C$15&lt;=1,0,SUMPRODUCT(MAX(($C$12:$V$12=C$12)*($C$175:$V$175)*($C$70:$V$70))))</f>
        <v/>
      </c>
      <c r="D1015" s="62">
        <f>IF(D$15&lt;=1,0,SUMPRODUCT(MAX(($C$12:$V$12=D$12)*($C$175:$V$175)*($C$70:$V$70))))</f>
        <v/>
      </c>
      <c r="E1015" s="62">
        <f>IF(E$15&lt;=1,0,SUMPRODUCT(MAX(($C$12:$V$12=E$12)*($C$175:$V$175)*($C$70:$V$70))))</f>
        <v/>
      </c>
      <c r="F1015" s="62">
        <f>IF(F$15&lt;=1,0,SUMPRODUCT(MAX(($C$12:$V$12=F$12)*($C$175:$V$175)*($C$70:$V$70))))</f>
        <v/>
      </c>
      <c r="G1015" s="62">
        <f>IF(G$15&lt;=1,0,SUMPRODUCT(MAX(($C$12:$V$12=G$12)*($C$175:$V$175)*($C$70:$V$70))))</f>
        <v/>
      </c>
      <c r="H1015" s="62">
        <f>IF(H$15&lt;=1,0,SUMPRODUCT(MAX(($C$12:$V$12=H$12)*($C$175:$V$175)*($C$70:$V$70))))</f>
        <v/>
      </c>
      <c r="I1015" s="62">
        <f>IF(I$15&lt;=1,0,SUMPRODUCT(MAX(($C$12:$V$12=I$12)*($C$175:$V$175)*($C$70:$V$70))))</f>
        <v/>
      </c>
      <c r="J1015" s="62">
        <f>IF(J$15&lt;=1,0,SUMPRODUCT(MAX(($C$12:$V$12=J$12)*($C$175:$V$175)*($C$70:$V$70))))</f>
        <v/>
      </c>
      <c r="K1015" s="62">
        <f>IF(K$15&lt;=1,0,SUMPRODUCT(MAX(($C$12:$V$12=K$12)*($C$175:$V$175)*($C$70:$V$70))))</f>
        <v/>
      </c>
      <c r="L1015" s="62">
        <f>IF(L$15&lt;=1,0,SUMPRODUCT(MAX(($C$12:$V$12=L$12)*($C$175:$V$175)*($C$70:$V$70))))</f>
        <v/>
      </c>
      <c r="M1015" s="62">
        <f>IF(M$15&lt;=1,0,SUMPRODUCT(MAX(($C$12:$V$12=M$12)*($C$175:$V$175)*($C$70:$V$70))))</f>
        <v/>
      </c>
      <c r="N1015" s="62">
        <f>IF(N$15&lt;=1,0,SUMPRODUCT(MAX(($C$12:$V$12=N$12)*($C$175:$V$175)*($C$70:$V$70))))</f>
        <v/>
      </c>
      <c r="O1015" s="62">
        <f>IF(O$15&lt;=1,0,SUMPRODUCT(MAX(($C$12:$V$12=O$12)*($C$175:$V$175)*($C$70:$V$70))))</f>
        <v/>
      </c>
      <c r="P1015" s="62">
        <f>IF(P$15&lt;=1,0,SUMPRODUCT(MAX(($C$12:$V$12=P$12)*($C$175:$V$175)*($C$70:$V$70))))</f>
        <v/>
      </c>
      <c r="Q1015" s="62">
        <f>IF(Q$15&lt;=1,0,SUMPRODUCT(MAX(($C$12:$V$12=Q$12)*($C$175:$V$175)*($C$70:$V$70))))</f>
        <v/>
      </c>
      <c r="R1015" s="62">
        <f>IF(R$15&lt;=1,0,SUMPRODUCT(MAX(($C$12:$V$12=R$12)*($C$175:$V$175)*($C$70:$V$70))))</f>
        <v/>
      </c>
      <c r="S1015" s="62">
        <f>IF(S$15&lt;=1,0,SUMPRODUCT(MAX(($C$12:$V$12=S$12)*($C$175:$V$175)*($C$70:$V$70))))</f>
        <v/>
      </c>
      <c r="T1015" s="62">
        <f>IF(T$15&lt;=1,0,SUMPRODUCT(MAX(($C$12:$V$12=T$12)*($C$175:$V$175)*($C$70:$V$70))))</f>
        <v/>
      </c>
      <c r="U1015" s="62">
        <f>IF(U$15&lt;=1,0,SUMPRODUCT(MAX(($C$12:$V$12=U$12)*($C$175:$V$175)*($C$70:$V$70))))</f>
        <v/>
      </c>
      <c r="V1015" s="62">
        <f>IF(V$15&lt;=1,0,SUMPRODUCT(MAX(($C$12:$V$12=V$12)*($C$175:$V$175)*($C$70:$V$70))))</f>
        <v/>
      </c>
    </row>
    <row r="1016">
      <c r="C1016" s="62">
        <f>IF(C$15&lt;=1,0,SUMPRODUCT(MAX(($C$12:$V$12=C$12)*($C$176:$V$176)*($C$71:$V$71))))</f>
        <v/>
      </c>
      <c r="D1016" s="62">
        <f>IF(D$15&lt;=1,0,SUMPRODUCT(MAX(($C$12:$V$12=D$12)*($C$176:$V$176)*($C$71:$V$71))))</f>
        <v/>
      </c>
      <c r="E1016" s="62">
        <f>IF(E$15&lt;=1,0,SUMPRODUCT(MAX(($C$12:$V$12=E$12)*($C$176:$V$176)*($C$71:$V$71))))</f>
        <v/>
      </c>
      <c r="F1016" s="62">
        <f>IF(F$15&lt;=1,0,SUMPRODUCT(MAX(($C$12:$V$12=F$12)*($C$176:$V$176)*($C$71:$V$71))))</f>
        <v/>
      </c>
      <c r="G1016" s="62">
        <f>IF(G$15&lt;=1,0,SUMPRODUCT(MAX(($C$12:$V$12=G$12)*($C$176:$V$176)*($C$71:$V$71))))</f>
        <v/>
      </c>
      <c r="H1016" s="62">
        <f>IF(H$15&lt;=1,0,SUMPRODUCT(MAX(($C$12:$V$12=H$12)*($C$176:$V$176)*($C$71:$V$71))))</f>
        <v/>
      </c>
      <c r="I1016" s="62">
        <f>IF(I$15&lt;=1,0,SUMPRODUCT(MAX(($C$12:$V$12=I$12)*($C$176:$V$176)*($C$71:$V$71))))</f>
        <v/>
      </c>
      <c r="J1016" s="62">
        <f>IF(J$15&lt;=1,0,SUMPRODUCT(MAX(($C$12:$V$12=J$12)*($C$176:$V$176)*($C$71:$V$71))))</f>
        <v/>
      </c>
      <c r="K1016" s="62">
        <f>IF(K$15&lt;=1,0,SUMPRODUCT(MAX(($C$12:$V$12=K$12)*($C$176:$V$176)*($C$71:$V$71))))</f>
        <v/>
      </c>
      <c r="L1016" s="62">
        <f>IF(L$15&lt;=1,0,SUMPRODUCT(MAX(($C$12:$V$12=L$12)*($C$176:$V$176)*($C$71:$V$71))))</f>
        <v/>
      </c>
      <c r="M1016" s="62">
        <f>IF(M$15&lt;=1,0,SUMPRODUCT(MAX(($C$12:$V$12=M$12)*($C$176:$V$176)*($C$71:$V$71))))</f>
        <v/>
      </c>
      <c r="N1016" s="62">
        <f>IF(N$15&lt;=1,0,SUMPRODUCT(MAX(($C$12:$V$12=N$12)*($C$176:$V$176)*($C$71:$V$71))))</f>
        <v/>
      </c>
      <c r="O1016" s="62">
        <f>IF(O$15&lt;=1,0,SUMPRODUCT(MAX(($C$12:$V$12=O$12)*($C$176:$V$176)*($C$71:$V$71))))</f>
        <v/>
      </c>
      <c r="P1016" s="62">
        <f>IF(P$15&lt;=1,0,SUMPRODUCT(MAX(($C$12:$V$12=P$12)*($C$176:$V$176)*($C$71:$V$71))))</f>
        <v/>
      </c>
      <c r="Q1016" s="62">
        <f>IF(Q$15&lt;=1,0,SUMPRODUCT(MAX(($C$12:$V$12=Q$12)*($C$176:$V$176)*($C$71:$V$71))))</f>
        <v/>
      </c>
      <c r="R1016" s="62">
        <f>IF(R$15&lt;=1,0,SUMPRODUCT(MAX(($C$12:$V$12=R$12)*($C$176:$V$176)*($C$71:$V$71))))</f>
        <v/>
      </c>
      <c r="S1016" s="62">
        <f>IF(S$15&lt;=1,0,SUMPRODUCT(MAX(($C$12:$V$12=S$12)*($C$176:$V$176)*($C$71:$V$71))))</f>
        <v/>
      </c>
      <c r="T1016" s="62">
        <f>IF(T$15&lt;=1,0,SUMPRODUCT(MAX(($C$12:$V$12=T$12)*($C$176:$V$176)*($C$71:$V$71))))</f>
        <v/>
      </c>
      <c r="U1016" s="62">
        <f>IF(U$15&lt;=1,0,SUMPRODUCT(MAX(($C$12:$V$12=U$12)*($C$176:$V$176)*($C$71:$V$71))))</f>
        <v/>
      </c>
      <c r="V1016" s="62">
        <f>IF(V$15&lt;=1,0,SUMPRODUCT(MAX(($C$12:$V$12=V$12)*($C$176:$V$176)*($C$71:$V$71))))</f>
        <v/>
      </c>
    </row>
    <row r="1017">
      <c r="C1017" s="62">
        <f>IF(C$15&lt;=1,0,SUMPRODUCT(MAX(($C$12:$V$12=C$12)*($C$177:$V$177)*($C$72:$V$72))))</f>
        <v/>
      </c>
      <c r="D1017" s="62">
        <f>IF(D$15&lt;=1,0,SUMPRODUCT(MAX(($C$12:$V$12=D$12)*($C$177:$V$177)*($C$72:$V$72))))</f>
        <v/>
      </c>
      <c r="E1017" s="62">
        <f>IF(E$15&lt;=1,0,SUMPRODUCT(MAX(($C$12:$V$12=E$12)*($C$177:$V$177)*($C$72:$V$72))))</f>
        <v/>
      </c>
      <c r="F1017" s="62">
        <f>IF(F$15&lt;=1,0,SUMPRODUCT(MAX(($C$12:$V$12=F$12)*($C$177:$V$177)*($C$72:$V$72))))</f>
        <v/>
      </c>
      <c r="G1017" s="62">
        <f>IF(G$15&lt;=1,0,SUMPRODUCT(MAX(($C$12:$V$12=G$12)*($C$177:$V$177)*($C$72:$V$72))))</f>
        <v/>
      </c>
      <c r="H1017" s="62">
        <f>IF(H$15&lt;=1,0,SUMPRODUCT(MAX(($C$12:$V$12=H$12)*($C$177:$V$177)*($C$72:$V$72))))</f>
        <v/>
      </c>
      <c r="I1017" s="62">
        <f>IF(I$15&lt;=1,0,SUMPRODUCT(MAX(($C$12:$V$12=I$12)*($C$177:$V$177)*($C$72:$V$72))))</f>
        <v/>
      </c>
      <c r="J1017" s="62">
        <f>IF(J$15&lt;=1,0,SUMPRODUCT(MAX(($C$12:$V$12=J$12)*($C$177:$V$177)*($C$72:$V$72))))</f>
        <v/>
      </c>
      <c r="K1017" s="62">
        <f>IF(K$15&lt;=1,0,SUMPRODUCT(MAX(($C$12:$V$12=K$12)*($C$177:$V$177)*($C$72:$V$72))))</f>
        <v/>
      </c>
      <c r="L1017" s="62">
        <f>IF(L$15&lt;=1,0,SUMPRODUCT(MAX(($C$12:$V$12=L$12)*($C$177:$V$177)*($C$72:$V$72))))</f>
        <v/>
      </c>
      <c r="M1017" s="62">
        <f>IF(M$15&lt;=1,0,SUMPRODUCT(MAX(($C$12:$V$12=M$12)*($C$177:$V$177)*($C$72:$V$72))))</f>
        <v/>
      </c>
      <c r="N1017" s="62">
        <f>IF(N$15&lt;=1,0,SUMPRODUCT(MAX(($C$12:$V$12=N$12)*($C$177:$V$177)*($C$72:$V$72))))</f>
        <v/>
      </c>
      <c r="O1017" s="62">
        <f>IF(O$15&lt;=1,0,SUMPRODUCT(MAX(($C$12:$V$12=O$12)*($C$177:$V$177)*($C$72:$V$72))))</f>
        <v/>
      </c>
      <c r="P1017" s="62">
        <f>IF(P$15&lt;=1,0,SUMPRODUCT(MAX(($C$12:$V$12=P$12)*($C$177:$V$177)*($C$72:$V$72))))</f>
        <v/>
      </c>
      <c r="Q1017" s="62">
        <f>IF(Q$15&lt;=1,0,SUMPRODUCT(MAX(($C$12:$V$12=Q$12)*($C$177:$V$177)*($C$72:$V$72))))</f>
        <v/>
      </c>
      <c r="R1017" s="62">
        <f>IF(R$15&lt;=1,0,SUMPRODUCT(MAX(($C$12:$V$12=R$12)*($C$177:$V$177)*($C$72:$V$72))))</f>
        <v/>
      </c>
      <c r="S1017" s="62">
        <f>IF(S$15&lt;=1,0,SUMPRODUCT(MAX(($C$12:$V$12=S$12)*($C$177:$V$177)*($C$72:$V$72))))</f>
        <v/>
      </c>
      <c r="T1017" s="62">
        <f>IF(T$15&lt;=1,0,SUMPRODUCT(MAX(($C$12:$V$12=T$12)*($C$177:$V$177)*($C$72:$V$72))))</f>
        <v/>
      </c>
      <c r="U1017" s="62">
        <f>IF(U$15&lt;=1,0,SUMPRODUCT(MAX(($C$12:$V$12=U$12)*($C$177:$V$177)*($C$72:$V$72))))</f>
        <v/>
      </c>
      <c r="V1017" s="62">
        <f>IF(V$15&lt;=1,0,SUMPRODUCT(MAX(($C$12:$V$12=V$12)*($C$177:$V$177)*($C$72:$V$72))))</f>
        <v/>
      </c>
    </row>
    <row r="1018">
      <c r="C1018" s="62">
        <f>IF(C$15&lt;=1,0,SUMPRODUCT(MAX(($C$12:$V$12=C$12)*($C$178:$V$178)*($C$73:$V$73))))</f>
        <v/>
      </c>
      <c r="D1018" s="62">
        <f>IF(D$15&lt;=1,0,SUMPRODUCT(MAX(($C$12:$V$12=D$12)*($C$178:$V$178)*($C$73:$V$73))))</f>
        <v/>
      </c>
      <c r="E1018" s="62">
        <f>IF(E$15&lt;=1,0,SUMPRODUCT(MAX(($C$12:$V$12=E$12)*($C$178:$V$178)*($C$73:$V$73))))</f>
        <v/>
      </c>
      <c r="F1018" s="62">
        <f>IF(F$15&lt;=1,0,SUMPRODUCT(MAX(($C$12:$V$12=F$12)*($C$178:$V$178)*($C$73:$V$73))))</f>
        <v/>
      </c>
      <c r="G1018" s="62">
        <f>IF(G$15&lt;=1,0,SUMPRODUCT(MAX(($C$12:$V$12=G$12)*($C$178:$V$178)*($C$73:$V$73))))</f>
        <v/>
      </c>
      <c r="H1018" s="62">
        <f>IF(H$15&lt;=1,0,SUMPRODUCT(MAX(($C$12:$V$12=H$12)*($C$178:$V$178)*($C$73:$V$73))))</f>
        <v/>
      </c>
      <c r="I1018" s="62">
        <f>IF(I$15&lt;=1,0,SUMPRODUCT(MAX(($C$12:$V$12=I$12)*($C$178:$V$178)*($C$73:$V$73))))</f>
        <v/>
      </c>
      <c r="J1018" s="62">
        <f>IF(J$15&lt;=1,0,SUMPRODUCT(MAX(($C$12:$V$12=J$12)*($C$178:$V$178)*($C$73:$V$73))))</f>
        <v/>
      </c>
      <c r="K1018" s="62">
        <f>IF(K$15&lt;=1,0,SUMPRODUCT(MAX(($C$12:$V$12=K$12)*($C$178:$V$178)*($C$73:$V$73))))</f>
        <v/>
      </c>
      <c r="L1018" s="62">
        <f>IF(L$15&lt;=1,0,SUMPRODUCT(MAX(($C$12:$V$12=L$12)*($C$178:$V$178)*($C$73:$V$73))))</f>
        <v/>
      </c>
      <c r="M1018" s="62">
        <f>IF(M$15&lt;=1,0,SUMPRODUCT(MAX(($C$12:$V$12=M$12)*($C$178:$V$178)*($C$73:$V$73))))</f>
        <v/>
      </c>
      <c r="N1018" s="62">
        <f>IF(N$15&lt;=1,0,SUMPRODUCT(MAX(($C$12:$V$12=N$12)*($C$178:$V$178)*($C$73:$V$73))))</f>
        <v/>
      </c>
      <c r="O1018" s="62">
        <f>IF(O$15&lt;=1,0,SUMPRODUCT(MAX(($C$12:$V$12=O$12)*($C$178:$V$178)*($C$73:$V$73))))</f>
        <v/>
      </c>
      <c r="P1018" s="62">
        <f>IF(P$15&lt;=1,0,SUMPRODUCT(MAX(($C$12:$V$12=P$12)*($C$178:$V$178)*($C$73:$V$73))))</f>
        <v/>
      </c>
      <c r="Q1018" s="62">
        <f>IF(Q$15&lt;=1,0,SUMPRODUCT(MAX(($C$12:$V$12=Q$12)*($C$178:$V$178)*($C$73:$V$73))))</f>
        <v/>
      </c>
      <c r="R1018" s="62">
        <f>IF(R$15&lt;=1,0,SUMPRODUCT(MAX(($C$12:$V$12=R$12)*($C$178:$V$178)*($C$73:$V$73))))</f>
        <v/>
      </c>
      <c r="S1018" s="62">
        <f>IF(S$15&lt;=1,0,SUMPRODUCT(MAX(($C$12:$V$12=S$12)*($C$178:$V$178)*($C$73:$V$73))))</f>
        <v/>
      </c>
      <c r="T1018" s="62">
        <f>IF(T$15&lt;=1,0,SUMPRODUCT(MAX(($C$12:$V$12=T$12)*($C$178:$V$178)*($C$73:$V$73))))</f>
        <v/>
      </c>
      <c r="U1018" s="62">
        <f>IF(U$15&lt;=1,0,SUMPRODUCT(MAX(($C$12:$V$12=U$12)*($C$178:$V$178)*($C$73:$V$73))))</f>
        <v/>
      </c>
      <c r="V1018" s="62">
        <f>IF(V$15&lt;=1,0,SUMPRODUCT(MAX(($C$12:$V$12=V$12)*($C$178:$V$178)*($C$73:$V$73))))</f>
        <v/>
      </c>
    </row>
    <row r="1019">
      <c r="C1019" s="62">
        <f>IF(C$15&lt;=1,0,SUMPRODUCT(MAX(($C$12:$V$12=C$12)*($C$179:$V$179)*($C$74:$V$74))))</f>
        <v/>
      </c>
      <c r="D1019" s="62">
        <f>IF(D$15&lt;=1,0,SUMPRODUCT(MAX(($C$12:$V$12=D$12)*($C$179:$V$179)*($C$74:$V$74))))</f>
        <v/>
      </c>
      <c r="E1019" s="62">
        <f>IF(E$15&lt;=1,0,SUMPRODUCT(MAX(($C$12:$V$12=E$12)*($C$179:$V$179)*($C$74:$V$74))))</f>
        <v/>
      </c>
      <c r="F1019" s="62">
        <f>IF(F$15&lt;=1,0,SUMPRODUCT(MAX(($C$12:$V$12=F$12)*($C$179:$V$179)*($C$74:$V$74))))</f>
        <v/>
      </c>
      <c r="G1019" s="62">
        <f>IF(G$15&lt;=1,0,SUMPRODUCT(MAX(($C$12:$V$12=G$12)*($C$179:$V$179)*($C$74:$V$74))))</f>
        <v/>
      </c>
      <c r="H1019" s="62">
        <f>IF(H$15&lt;=1,0,SUMPRODUCT(MAX(($C$12:$V$12=H$12)*($C$179:$V$179)*($C$74:$V$74))))</f>
        <v/>
      </c>
      <c r="I1019" s="62">
        <f>IF(I$15&lt;=1,0,SUMPRODUCT(MAX(($C$12:$V$12=I$12)*($C$179:$V$179)*($C$74:$V$74))))</f>
        <v/>
      </c>
      <c r="J1019" s="62">
        <f>IF(J$15&lt;=1,0,SUMPRODUCT(MAX(($C$12:$V$12=J$12)*($C$179:$V$179)*($C$74:$V$74))))</f>
        <v/>
      </c>
      <c r="K1019" s="62">
        <f>IF(K$15&lt;=1,0,SUMPRODUCT(MAX(($C$12:$V$12=K$12)*($C$179:$V$179)*($C$74:$V$74))))</f>
        <v/>
      </c>
      <c r="L1019" s="62">
        <f>IF(L$15&lt;=1,0,SUMPRODUCT(MAX(($C$12:$V$12=L$12)*($C$179:$V$179)*($C$74:$V$74))))</f>
        <v/>
      </c>
      <c r="M1019" s="62">
        <f>IF(M$15&lt;=1,0,SUMPRODUCT(MAX(($C$12:$V$12=M$12)*($C$179:$V$179)*($C$74:$V$74))))</f>
        <v/>
      </c>
      <c r="N1019" s="62">
        <f>IF(N$15&lt;=1,0,SUMPRODUCT(MAX(($C$12:$V$12=N$12)*($C$179:$V$179)*($C$74:$V$74))))</f>
        <v/>
      </c>
      <c r="O1019" s="62">
        <f>IF(O$15&lt;=1,0,SUMPRODUCT(MAX(($C$12:$V$12=O$12)*($C$179:$V$179)*($C$74:$V$74))))</f>
        <v/>
      </c>
      <c r="P1019" s="62">
        <f>IF(P$15&lt;=1,0,SUMPRODUCT(MAX(($C$12:$V$12=P$12)*($C$179:$V$179)*($C$74:$V$74))))</f>
        <v/>
      </c>
      <c r="Q1019" s="62">
        <f>IF(Q$15&lt;=1,0,SUMPRODUCT(MAX(($C$12:$V$12=Q$12)*($C$179:$V$179)*($C$74:$V$74))))</f>
        <v/>
      </c>
      <c r="R1019" s="62">
        <f>IF(R$15&lt;=1,0,SUMPRODUCT(MAX(($C$12:$V$12=R$12)*($C$179:$V$179)*($C$74:$V$74))))</f>
        <v/>
      </c>
      <c r="S1019" s="62">
        <f>IF(S$15&lt;=1,0,SUMPRODUCT(MAX(($C$12:$V$12=S$12)*($C$179:$V$179)*($C$74:$V$74))))</f>
        <v/>
      </c>
      <c r="T1019" s="62">
        <f>IF(T$15&lt;=1,0,SUMPRODUCT(MAX(($C$12:$V$12=T$12)*($C$179:$V$179)*($C$74:$V$74))))</f>
        <v/>
      </c>
      <c r="U1019" s="62">
        <f>IF(U$15&lt;=1,0,SUMPRODUCT(MAX(($C$12:$V$12=U$12)*($C$179:$V$179)*($C$74:$V$74))))</f>
        <v/>
      </c>
      <c r="V1019" s="62">
        <f>IF(V$15&lt;=1,0,SUMPRODUCT(MAX(($C$12:$V$12=V$12)*($C$179:$V$179)*($C$74:$V$74))))</f>
        <v/>
      </c>
    </row>
    <row r="1020">
      <c r="C1020" s="62">
        <f>IF(C$15&lt;=1,0,SUMPRODUCT(MAX(($C$12:$V$12=C$12)*($C$180:$V$180)*($C$75:$V$75))))</f>
        <v/>
      </c>
      <c r="D1020" s="62">
        <f>IF(D$15&lt;=1,0,SUMPRODUCT(MAX(($C$12:$V$12=D$12)*($C$180:$V$180)*($C$75:$V$75))))</f>
        <v/>
      </c>
      <c r="E1020" s="62">
        <f>IF(E$15&lt;=1,0,SUMPRODUCT(MAX(($C$12:$V$12=E$12)*($C$180:$V$180)*($C$75:$V$75))))</f>
        <v/>
      </c>
      <c r="F1020" s="62">
        <f>IF(F$15&lt;=1,0,SUMPRODUCT(MAX(($C$12:$V$12=F$12)*($C$180:$V$180)*($C$75:$V$75))))</f>
        <v/>
      </c>
      <c r="G1020" s="62">
        <f>IF(G$15&lt;=1,0,SUMPRODUCT(MAX(($C$12:$V$12=G$12)*($C$180:$V$180)*($C$75:$V$75))))</f>
        <v/>
      </c>
      <c r="H1020" s="62">
        <f>IF(H$15&lt;=1,0,SUMPRODUCT(MAX(($C$12:$V$12=H$12)*($C$180:$V$180)*($C$75:$V$75))))</f>
        <v/>
      </c>
      <c r="I1020" s="62">
        <f>IF(I$15&lt;=1,0,SUMPRODUCT(MAX(($C$12:$V$12=I$12)*($C$180:$V$180)*($C$75:$V$75))))</f>
        <v/>
      </c>
      <c r="J1020" s="62">
        <f>IF(J$15&lt;=1,0,SUMPRODUCT(MAX(($C$12:$V$12=J$12)*($C$180:$V$180)*($C$75:$V$75))))</f>
        <v/>
      </c>
      <c r="K1020" s="62">
        <f>IF(K$15&lt;=1,0,SUMPRODUCT(MAX(($C$12:$V$12=K$12)*($C$180:$V$180)*($C$75:$V$75))))</f>
        <v/>
      </c>
      <c r="L1020" s="62">
        <f>IF(L$15&lt;=1,0,SUMPRODUCT(MAX(($C$12:$V$12=L$12)*($C$180:$V$180)*($C$75:$V$75))))</f>
        <v/>
      </c>
      <c r="M1020" s="62">
        <f>IF(M$15&lt;=1,0,SUMPRODUCT(MAX(($C$12:$V$12=M$12)*($C$180:$V$180)*($C$75:$V$75))))</f>
        <v/>
      </c>
      <c r="N1020" s="62">
        <f>IF(N$15&lt;=1,0,SUMPRODUCT(MAX(($C$12:$V$12=N$12)*($C$180:$V$180)*($C$75:$V$75))))</f>
        <v/>
      </c>
      <c r="O1020" s="62">
        <f>IF(O$15&lt;=1,0,SUMPRODUCT(MAX(($C$12:$V$12=O$12)*($C$180:$V$180)*($C$75:$V$75))))</f>
        <v/>
      </c>
      <c r="P1020" s="62">
        <f>IF(P$15&lt;=1,0,SUMPRODUCT(MAX(($C$12:$V$12=P$12)*($C$180:$V$180)*($C$75:$V$75))))</f>
        <v/>
      </c>
      <c r="Q1020" s="62">
        <f>IF(Q$15&lt;=1,0,SUMPRODUCT(MAX(($C$12:$V$12=Q$12)*($C$180:$V$180)*($C$75:$V$75))))</f>
        <v/>
      </c>
      <c r="R1020" s="62">
        <f>IF(R$15&lt;=1,0,SUMPRODUCT(MAX(($C$12:$V$12=R$12)*($C$180:$V$180)*($C$75:$V$75))))</f>
        <v/>
      </c>
      <c r="S1020" s="62">
        <f>IF(S$15&lt;=1,0,SUMPRODUCT(MAX(($C$12:$V$12=S$12)*($C$180:$V$180)*($C$75:$V$75))))</f>
        <v/>
      </c>
      <c r="T1020" s="62">
        <f>IF(T$15&lt;=1,0,SUMPRODUCT(MAX(($C$12:$V$12=T$12)*($C$180:$V$180)*($C$75:$V$75))))</f>
        <v/>
      </c>
      <c r="U1020" s="62">
        <f>IF(U$15&lt;=1,0,SUMPRODUCT(MAX(($C$12:$V$12=U$12)*($C$180:$V$180)*($C$75:$V$75))))</f>
        <v/>
      </c>
      <c r="V1020" s="62">
        <f>IF(V$15&lt;=1,0,SUMPRODUCT(MAX(($C$12:$V$12=V$12)*($C$180:$V$180)*($C$75:$V$75))))</f>
        <v/>
      </c>
    </row>
    <row r="1021">
      <c r="C1021" s="62">
        <f>IF(C$15&lt;=1,0,SUMPRODUCT(MAX(($C$12:$V$12=C$12)*($C$181:$V$181)*($C$76:$V$76))))</f>
        <v/>
      </c>
      <c r="D1021" s="62">
        <f>IF(D$15&lt;=1,0,SUMPRODUCT(MAX(($C$12:$V$12=D$12)*($C$181:$V$181)*($C$76:$V$76))))</f>
        <v/>
      </c>
      <c r="E1021" s="62">
        <f>IF(E$15&lt;=1,0,SUMPRODUCT(MAX(($C$12:$V$12=E$12)*($C$181:$V$181)*($C$76:$V$76))))</f>
        <v/>
      </c>
      <c r="F1021" s="62">
        <f>IF(F$15&lt;=1,0,SUMPRODUCT(MAX(($C$12:$V$12=F$12)*($C$181:$V$181)*($C$76:$V$76))))</f>
        <v/>
      </c>
      <c r="G1021" s="62">
        <f>IF(G$15&lt;=1,0,SUMPRODUCT(MAX(($C$12:$V$12=G$12)*($C$181:$V$181)*($C$76:$V$76))))</f>
        <v/>
      </c>
      <c r="H1021" s="62">
        <f>IF(H$15&lt;=1,0,SUMPRODUCT(MAX(($C$12:$V$12=H$12)*($C$181:$V$181)*($C$76:$V$76))))</f>
        <v/>
      </c>
      <c r="I1021" s="62">
        <f>IF(I$15&lt;=1,0,SUMPRODUCT(MAX(($C$12:$V$12=I$12)*($C$181:$V$181)*($C$76:$V$76))))</f>
        <v/>
      </c>
      <c r="J1021" s="62">
        <f>IF(J$15&lt;=1,0,SUMPRODUCT(MAX(($C$12:$V$12=J$12)*($C$181:$V$181)*($C$76:$V$76))))</f>
        <v/>
      </c>
      <c r="K1021" s="62">
        <f>IF(K$15&lt;=1,0,SUMPRODUCT(MAX(($C$12:$V$12=K$12)*($C$181:$V$181)*($C$76:$V$76))))</f>
        <v/>
      </c>
      <c r="L1021" s="62">
        <f>IF(L$15&lt;=1,0,SUMPRODUCT(MAX(($C$12:$V$12=L$12)*($C$181:$V$181)*($C$76:$V$76))))</f>
        <v/>
      </c>
      <c r="M1021" s="62">
        <f>IF(M$15&lt;=1,0,SUMPRODUCT(MAX(($C$12:$V$12=M$12)*($C$181:$V$181)*($C$76:$V$76))))</f>
        <v/>
      </c>
      <c r="N1021" s="62">
        <f>IF(N$15&lt;=1,0,SUMPRODUCT(MAX(($C$12:$V$12=N$12)*($C$181:$V$181)*($C$76:$V$76))))</f>
        <v/>
      </c>
      <c r="O1021" s="62">
        <f>IF(O$15&lt;=1,0,SUMPRODUCT(MAX(($C$12:$V$12=O$12)*($C$181:$V$181)*($C$76:$V$76))))</f>
        <v/>
      </c>
      <c r="P1021" s="62">
        <f>IF(P$15&lt;=1,0,SUMPRODUCT(MAX(($C$12:$V$12=P$12)*($C$181:$V$181)*($C$76:$V$76))))</f>
        <v/>
      </c>
      <c r="Q1021" s="62">
        <f>IF(Q$15&lt;=1,0,SUMPRODUCT(MAX(($C$12:$V$12=Q$12)*($C$181:$V$181)*($C$76:$V$76))))</f>
        <v/>
      </c>
      <c r="R1021" s="62">
        <f>IF(R$15&lt;=1,0,SUMPRODUCT(MAX(($C$12:$V$12=R$12)*($C$181:$V$181)*($C$76:$V$76))))</f>
        <v/>
      </c>
      <c r="S1021" s="62">
        <f>IF(S$15&lt;=1,0,SUMPRODUCT(MAX(($C$12:$V$12=S$12)*($C$181:$V$181)*($C$76:$V$76))))</f>
        <v/>
      </c>
      <c r="T1021" s="62">
        <f>IF(T$15&lt;=1,0,SUMPRODUCT(MAX(($C$12:$V$12=T$12)*($C$181:$V$181)*($C$76:$V$76))))</f>
        <v/>
      </c>
      <c r="U1021" s="62">
        <f>IF(U$15&lt;=1,0,SUMPRODUCT(MAX(($C$12:$V$12=U$12)*($C$181:$V$181)*($C$76:$V$76))))</f>
        <v/>
      </c>
      <c r="V1021" s="62">
        <f>IF(V$15&lt;=1,0,SUMPRODUCT(MAX(($C$12:$V$12=V$12)*($C$181:$V$181)*($C$76:$V$76))))</f>
        <v/>
      </c>
    </row>
    <row r="1022">
      <c r="C1022" s="62">
        <f>IF(C$15&lt;=1,0,SUMPRODUCT(MAX(($C$12:$V$12=C$12)*($C$182:$V$182)*($C$77:$V$77))))</f>
        <v/>
      </c>
      <c r="D1022" s="62">
        <f>IF(D$15&lt;=1,0,SUMPRODUCT(MAX(($C$12:$V$12=D$12)*($C$182:$V$182)*($C$77:$V$77))))</f>
        <v/>
      </c>
      <c r="E1022" s="62">
        <f>IF(E$15&lt;=1,0,SUMPRODUCT(MAX(($C$12:$V$12=E$12)*($C$182:$V$182)*($C$77:$V$77))))</f>
        <v/>
      </c>
      <c r="F1022" s="62">
        <f>IF(F$15&lt;=1,0,SUMPRODUCT(MAX(($C$12:$V$12=F$12)*($C$182:$V$182)*($C$77:$V$77))))</f>
        <v/>
      </c>
      <c r="G1022" s="62">
        <f>IF(G$15&lt;=1,0,SUMPRODUCT(MAX(($C$12:$V$12=G$12)*($C$182:$V$182)*($C$77:$V$77))))</f>
        <v/>
      </c>
      <c r="H1022" s="62">
        <f>IF(H$15&lt;=1,0,SUMPRODUCT(MAX(($C$12:$V$12=H$12)*($C$182:$V$182)*($C$77:$V$77))))</f>
        <v/>
      </c>
      <c r="I1022" s="62">
        <f>IF(I$15&lt;=1,0,SUMPRODUCT(MAX(($C$12:$V$12=I$12)*($C$182:$V$182)*($C$77:$V$77))))</f>
        <v/>
      </c>
      <c r="J1022" s="62">
        <f>IF(J$15&lt;=1,0,SUMPRODUCT(MAX(($C$12:$V$12=J$12)*($C$182:$V$182)*($C$77:$V$77))))</f>
        <v/>
      </c>
      <c r="K1022" s="62">
        <f>IF(K$15&lt;=1,0,SUMPRODUCT(MAX(($C$12:$V$12=K$12)*($C$182:$V$182)*($C$77:$V$77))))</f>
        <v/>
      </c>
      <c r="L1022" s="62">
        <f>IF(L$15&lt;=1,0,SUMPRODUCT(MAX(($C$12:$V$12=L$12)*($C$182:$V$182)*($C$77:$V$77))))</f>
        <v/>
      </c>
      <c r="M1022" s="62">
        <f>IF(M$15&lt;=1,0,SUMPRODUCT(MAX(($C$12:$V$12=M$12)*($C$182:$V$182)*($C$77:$V$77))))</f>
        <v/>
      </c>
      <c r="N1022" s="62">
        <f>IF(N$15&lt;=1,0,SUMPRODUCT(MAX(($C$12:$V$12=N$12)*($C$182:$V$182)*($C$77:$V$77))))</f>
        <v/>
      </c>
      <c r="O1022" s="62">
        <f>IF(O$15&lt;=1,0,SUMPRODUCT(MAX(($C$12:$V$12=O$12)*($C$182:$V$182)*($C$77:$V$77))))</f>
        <v/>
      </c>
      <c r="P1022" s="62">
        <f>IF(P$15&lt;=1,0,SUMPRODUCT(MAX(($C$12:$V$12=P$12)*($C$182:$V$182)*($C$77:$V$77))))</f>
        <v/>
      </c>
      <c r="Q1022" s="62">
        <f>IF(Q$15&lt;=1,0,SUMPRODUCT(MAX(($C$12:$V$12=Q$12)*($C$182:$V$182)*($C$77:$V$77))))</f>
        <v/>
      </c>
      <c r="R1022" s="62">
        <f>IF(R$15&lt;=1,0,SUMPRODUCT(MAX(($C$12:$V$12=R$12)*($C$182:$V$182)*($C$77:$V$77))))</f>
        <v/>
      </c>
      <c r="S1022" s="62">
        <f>IF(S$15&lt;=1,0,SUMPRODUCT(MAX(($C$12:$V$12=S$12)*($C$182:$V$182)*($C$77:$V$77))))</f>
        <v/>
      </c>
      <c r="T1022" s="62">
        <f>IF(T$15&lt;=1,0,SUMPRODUCT(MAX(($C$12:$V$12=T$12)*($C$182:$V$182)*($C$77:$V$77))))</f>
        <v/>
      </c>
      <c r="U1022" s="62">
        <f>IF(U$15&lt;=1,0,SUMPRODUCT(MAX(($C$12:$V$12=U$12)*($C$182:$V$182)*($C$77:$V$77))))</f>
        <v/>
      </c>
      <c r="V1022" s="62">
        <f>IF(V$15&lt;=1,0,SUMPRODUCT(MAX(($C$12:$V$12=V$12)*($C$182:$V$182)*($C$77:$V$77))))</f>
        <v/>
      </c>
    </row>
    <row r="1023">
      <c r="C1023" s="62">
        <f>IF(C$15&lt;=1,0,SUMPRODUCT(MAX(($C$12:$V$12=C$12)*($C$183:$V$183)*($C$78:$V$78))))</f>
        <v/>
      </c>
      <c r="D1023" s="62">
        <f>IF(D$15&lt;=1,0,SUMPRODUCT(MAX(($C$12:$V$12=D$12)*($C$183:$V$183)*($C$78:$V$78))))</f>
        <v/>
      </c>
      <c r="E1023" s="62">
        <f>IF(E$15&lt;=1,0,SUMPRODUCT(MAX(($C$12:$V$12=E$12)*($C$183:$V$183)*($C$78:$V$78))))</f>
        <v/>
      </c>
      <c r="F1023" s="62">
        <f>IF(F$15&lt;=1,0,SUMPRODUCT(MAX(($C$12:$V$12=F$12)*($C$183:$V$183)*($C$78:$V$78))))</f>
        <v/>
      </c>
      <c r="G1023" s="62">
        <f>IF(G$15&lt;=1,0,SUMPRODUCT(MAX(($C$12:$V$12=G$12)*($C$183:$V$183)*($C$78:$V$78))))</f>
        <v/>
      </c>
      <c r="H1023" s="62">
        <f>IF(H$15&lt;=1,0,SUMPRODUCT(MAX(($C$12:$V$12=H$12)*($C$183:$V$183)*($C$78:$V$78))))</f>
        <v/>
      </c>
      <c r="I1023" s="62">
        <f>IF(I$15&lt;=1,0,SUMPRODUCT(MAX(($C$12:$V$12=I$12)*($C$183:$V$183)*($C$78:$V$78))))</f>
        <v/>
      </c>
      <c r="J1023" s="62">
        <f>IF(J$15&lt;=1,0,SUMPRODUCT(MAX(($C$12:$V$12=J$12)*($C$183:$V$183)*($C$78:$V$78))))</f>
        <v/>
      </c>
      <c r="K1023" s="62">
        <f>IF(K$15&lt;=1,0,SUMPRODUCT(MAX(($C$12:$V$12=K$12)*($C$183:$V$183)*($C$78:$V$78))))</f>
        <v/>
      </c>
      <c r="L1023" s="62">
        <f>IF(L$15&lt;=1,0,SUMPRODUCT(MAX(($C$12:$V$12=L$12)*($C$183:$V$183)*($C$78:$V$78))))</f>
        <v/>
      </c>
      <c r="M1023" s="62">
        <f>IF(M$15&lt;=1,0,SUMPRODUCT(MAX(($C$12:$V$12=M$12)*($C$183:$V$183)*($C$78:$V$78))))</f>
        <v/>
      </c>
      <c r="N1023" s="62">
        <f>IF(N$15&lt;=1,0,SUMPRODUCT(MAX(($C$12:$V$12=N$12)*($C$183:$V$183)*($C$78:$V$78))))</f>
        <v/>
      </c>
      <c r="O1023" s="62">
        <f>IF(O$15&lt;=1,0,SUMPRODUCT(MAX(($C$12:$V$12=O$12)*($C$183:$V$183)*($C$78:$V$78))))</f>
        <v/>
      </c>
      <c r="P1023" s="62">
        <f>IF(P$15&lt;=1,0,SUMPRODUCT(MAX(($C$12:$V$12=P$12)*($C$183:$V$183)*($C$78:$V$78))))</f>
        <v/>
      </c>
      <c r="Q1023" s="62">
        <f>IF(Q$15&lt;=1,0,SUMPRODUCT(MAX(($C$12:$V$12=Q$12)*($C$183:$V$183)*($C$78:$V$78))))</f>
        <v/>
      </c>
      <c r="R1023" s="62">
        <f>IF(R$15&lt;=1,0,SUMPRODUCT(MAX(($C$12:$V$12=R$12)*($C$183:$V$183)*($C$78:$V$78))))</f>
        <v/>
      </c>
      <c r="S1023" s="62">
        <f>IF(S$15&lt;=1,0,SUMPRODUCT(MAX(($C$12:$V$12=S$12)*($C$183:$V$183)*($C$78:$V$78))))</f>
        <v/>
      </c>
      <c r="T1023" s="62">
        <f>IF(T$15&lt;=1,0,SUMPRODUCT(MAX(($C$12:$V$12=T$12)*($C$183:$V$183)*($C$78:$V$78))))</f>
        <v/>
      </c>
      <c r="U1023" s="62">
        <f>IF(U$15&lt;=1,0,SUMPRODUCT(MAX(($C$12:$V$12=U$12)*($C$183:$V$183)*($C$78:$V$78))))</f>
        <v/>
      </c>
      <c r="V1023" s="62">
        <f>IF(V$15&lt;=1,0,SUMPRODUCT(MAX(($C$12:$V$12=V$12)*($C$183:$V$183)*($C$78:$V$78))))</f>
        <v/>
      </c>
    </row>
    <row r="1024">
      <c r="C1024" s="62">
        <f>IF(C$15&lt;=1,0,SUMPRODUCT(MAX(($C$12:$V$12=C$12)*($C$184:$V$184)*($C$79:$V$79))))</f>
        <v/>
      </c>
      <c r="D1024" s="62">
        <f>IF(D$15&lt;=1,0,SUMPRODUCT(MAX(($C$12:$V$12=D$12)*($C$184:$V$184)*($C$79:$V$79))))</f>
        <v/>
      </c>
      <c r="E1024" s="62">
        <f>IF(E$15&lt;=1,0,SUMPRODUCT(MAX(($C$12:$V$12=E$12)*($C$184:$V$184)*($C$79:$V$79))))</f>
        <v/>
      </c>
      <c r="F1024" s="62">
        <f>IF(F$15&lt;=1,0,SUMPRODUCT(MAX(($C$12:$V$12=F$12)*($C$184:$V$184)*($C$79:$V$79))))</f>
        <v/>
      </c>
      <c r="G1024" s="62">
        <f>IF(G$15&lt;=1,0,SUMPRODUCT(MAX(($C$12:$V$12=G$12)*($C$184:$V$184)*($C$79:$V$79))))</f>
        <v/>
      </c>
      <c r="H1024" s="62">
        <f>IF(H$15&lt;=1,0,SUMPRODUCT(MAX(($C$12:$V$12=H$12)*($C$184:$V$184)*($C$79:$V$79))))</f>
        <v/>
      </c>
      <c r="I1024" s="62">
        <f>IF(I$15&lt;=1,0,SUMPRODUCT(MAX(($C$12:$V$12=I$12)*($C$184:$V$184)*($C$79:$V$79))))</f>
        <v/>
      </c>
      <c r="J1024" s="62">
        <f>IF(J$15&lt;=1,0,SUMPRODUCT(MAX(($C$12:$V$12=J$12)*($C$184:$V$184)*($C$79:$V$79))))</f>
        <v/>
      </c>
      <c r="K1024" s="62">
        <f>IF(K$15&lt;=1,0,SUMPRODUCT(MAX(($C$12:$V$12=K$12)*($C$184:$V$184)*($C$79:$V$79))))</f>
        <v/>
      </c>
      <c r="L1024" s="62">
        <f>IF(L$15&lt;=1,0,SUMPRODUCT(MAX(($C$12:$V$12=L$12)*($C$184:$V$184)*($C$79:$V$79))))</f>
        <v/>
      </c>
      <c r="M1024" s="62">
        <f>IF(M$15&lt;=1,0,SUMPRODUCT(MAX(($C$12:$V$12=M$12)*($C$184:$V$184)*($C$79:$V$79))))</f>
        <v/>
      </c>
      <c r="N1024" s="62">
        <f>IF(N$15&lt;=1,0,SUMPRODUCT(MAX(($C$12:$V$12=N$12)*($C$184:$V$184)*($C$79:$V$79))))</f>
        <v/>
      </c>
      <c r="O1024" s="62">
        <f>IF(O$15&lt;=1,0,SUMPRODUCT(MAX(($C$12:$V$12=O$12)*($C$184:$V$184)*($C$79:$V$79))))</f>
        <v/>
      </c>
      <c r="P1024" s="62">
        <f>IF(P$15&lt;=1,0,SUMPRODUCT(MAX(($C$12:$V$12=P$12)*($C$184:$V$184)*($C$79:$V$79))))</f>
        <v/>
      </c>
      <c r="Q1024" s="62">
        <f>IF(Q$15&lt;=1,0,SUMPRODUCT(MAX(($C$12:$V$12=Q$12)*($C$184:$V$184)*($C$79:$V$79))))</f>
        <v/>
      </c>
      <c r="R1024" s="62">
        <f>IF(R$15&lt;=1,0,SUMPRODUCT(MAX(($C$12:$V$12=R$12)*($C$184:$V$184)*($C$79:$V$79))))</f>
        <v/>
      </c>
      <c r="S1024" s="62">
        <f>IF(S$15&lt;=1,0,SUMPRODUCT(MAX(($C$12:$V$12=S$12)*($C$184:$V$184)*($C$79:$V$79))))</f>
        <v/>
      </c>
      <c r="T1024" s="62">
        <f>IF(T$15&lt;=1,0,SUMPRODUCT(MAX(($C$12:$V$12=T$12)*($C$184:$V$184)*($C$79:$V$79))))</f>
        <v/>
      </c>
      <c r="U1024" s="62">
        <f>IF(U$15&lt;=1,0,SUMPRODUCT(MAX(($C$12:$V$12=U$12)*($C$184:$V$184)*($C$79:$V$79))))</f>
        <v/>
      </c>
      <c r="V1024" s="62">
        <f>IF(V$15&lt;=1,0,SUMPRODUCT(MAX(($C$12:$V$12=V$12)*($C$184:$V$184)*($C$79:$V$79))))</f>
        <v/>
      </c>
    </row>
    <row r="1025">
      <c r="C1025" s="62">
        <f>IF(C$15&lt;=1,0,SUMPRODUCT(MAX(($C$12:$V$12=C$12)*($C$185:$V$185)*($C$80:$V$80))))</f>
        <v/>
      </c>
      <c r="D1025" s="62">
        <f>IF(D$15&lt;=1,0,SUMPRODUCT(MAX(($C$12:$V$12=D$12)*($C$185:$V$185)*($C$80:$V$80))))</f>
        <v/>
      </c>
      <c r="E1025" s="62">
        <f>IF(E$15&lt;=1,0,SUMPRODUCT(MAX(($C$12:$V$12=E$12)*($C$185:$V$185)*($C$80:$V$80))))</f>
        <v/>
      </c>
      <c r="F1025" s="62">
        <f>IF(F$15&lt;=1,0,SUMPRODUCT(MAX(($C$12:$V$12=F$12)*($C$185:$V$185)*($C$80:$V$80))))</f>
        <v/>
      </c>
      <c r="G1025" s="62">
        <f>IF(G$15&lt;=1,0,SUMPRODUCT(MAX(($C$12:$V$12=G$12)*($C$185:$V$185)*($C$80:$V$80))))</f>
        <v/>
      </c>
      <c r="H1025" s="62">
        <f>IF(H$15&lt;=1,0,SUMPRODUCT(MAX(($C$12:$V$12=H$12)*($C$185:$V$185)*($C$80:$V$80))))</f>
        <v/>
      </c>
      <c r="I1025" s="62">
        <f>IF(I$15&lt;=1,0,SUMPRODUCT(MAX(($C$12:$V$12=I$12)*($C$185:$V$185)*($C$80:$V$80))))</f>
        <v/>
      </c>
      <c r="J1025" s="62">
        <f>IF(J$15&lt;=1,0,SUMPRODUCT(MAX(($C$12:$V$12=J$12)*($C$185:$V$185)*($C$80:$V$80))))</f>
        <v/>
      </c>
      <c r="K1025" s="62">
        <f>IF(K$15&lt;=1,0,SUMPRODUCT(MAX(($C$12:$V$12=K$12)*($C$185:$V$185)*($C$80:$V$80))))</f>
        <v/>
      </c>
      <c r="L1025" s="62">
        <f>IF(L$15&lt;=1,0,SUMPRODUCT(MAX(($C$12:$V$12=L$12)*($C$185:$V$185)*($C$80:$V$80))))</f>
        <v/>
      </c>
      <c r="M1025" s="62">
        <f>IF(M$15&lt;=1,0,SUMPRODUCT(MAX(($C$12:$V$12=M$12)*($C$185:$V$185)*($C$80:$V$80))))</f>
        <v/>
      </c>
      <c r="N1025" s="62">
        <f>IF(N$15&lt;=1,0,SUMPRODUCT(MAX(($C$12:$V$12=N$12)*($C$185:$V$185)*($C$80:$V$80))))</f>
        <v/>
      </c>
      <c r="O1025" s="62">
        <f>IF(O$15&lt;=1,0,SUMPRODUCT(MAX(($C$12:$V$12=O$12)*($C$185:$V$185)*($C$80:$V$80))))</f>
        <v/>
      </c>
      <c r="P1025" s="62">
        <f>IF(P$15&lt;=1,0,SUMPRODUCT(MAX(($C$12:$V$12=P$12)*($C$185:$V$185)*($C$80:$V$80))))</f>
        <v/>
      </c>
      <c r="Q1025" s="62">
        <f>IF(Q$15&lt;=1,0,SUMPRODUCT(MAX(($C$12:$V$12=Q$12)*($C$185:$V$185)*($C$80:$V$80))))</f>
        <v/>
      </c>
      <c r="R1025" s="62">
        <f>IF(R$15&lt;=1,0,SUMPRODUCT(MAX(($C$12:$V$12=R$12)*($C$185:$V$185)*($C$80:$V$80))))</f>
        <v/>
      </c>
      <c r="S1025" s="62">
        <f>IF(S$15&lt;=1,0,SUMPRODUCT(MAX(($C$12:$V$12=S$12)*($C$185:$V$185)*($C$80:$V$80))))</f>
        <v/>
      </c>
      <c r="T1025" s="62">
        <f>IF(T$15&lt;=1,0,SUMPRODUCT(MAX(($C$12:$V$12=T$12)*($C$185:$V$185)*($C$80:$V$80))))</f>
        <v/>
      </c>
      <c r="U1025" s="62">
        <f>IF(U$15&lt;=1,0,SUMPRODUCT(MAX(($C$12:$V$12=U$12)*($C$185:$V$185)*($C$80:$V$80))))</f>
        <v/>
      </c>
      <c r="V1025" s="62">
        <f>IF(V$15&lt;=1,0,SUMPRODUCT(MAX(($C$12:$V$12=V$12)*($C$185:$V$185)*($C$80:$V$80))))</f>
        <v/>
      </c>
    </row>
    <row r="1026">
      <c r="C1026" s="62">
        <f>IF(C$15&lt;=1,0,SUMPRODUCT(MAX(($C$12:$V$12=C$12)*($C$186:$V$186)*($C$81:$V$81))))</f>
        <v/>
      </c>
      <c r="D1026" s="62">
        <f>IF(D$15&lt;=1,0,SUMPRODUCT(MAX(($C$12:$V$12=D$12)*($C$186:$V$186)*($C$81:$V$81))))</f>
        <v/>
      </c>
      <c r="E1026" s="62">
        <f>IF(E$15&lt;=1,0,SUMPRODUCT(MAX(($C$12:$V$12=E$12)*($C$186:$V$186)*($C$81:$V$81))))</f>
        <v/>
      </c>
      <c r="F1026" s="62">
        <f>IF(F$15&lt;=1,0,SUMPRODUCT(MAX(($C$12:$V$12=F$12)*($C$186:$V$186)*($C$81:$V$81))))</f>
        <v/>
      </c>
      <c r="G1026" s="62">
        <f>IF(G$15&lt;=1,0,SUMPRODUCT(MAX(($C$12:$V$12=G$12)*($C$186:$V$186)*($C$81:$V$81))))</f>
        <v/>
      </c>
      <c r="H1026" s="62">
        <f>IF(H$15&lt;=1,0,SUMPRODUCT(MAX(($C$12:$V$12=H$12)*($C$186:$V$186)*($C$81:$V$81))))</f>
        <v/>
      </c>
      <c r="I1026" s="62">
        <f>IF(I$15&lt;=1,0,SUMPRODUCT(MAX(($C$12:$V$12=I$12)*($C$186:$V$186)*($C$81:$V$81))))</f>
        <v/>
      </c>
      <c r="J1026" s="62">
        <f>IF(J$15&lt;=1,0,SUMPRODUCT(MAX(($C$12:$V$12=J$12)*($C$186:$V$186)*($C$81:$V$81))))</f>
        <v/>
      </c>
      <c r="K1026" s="62">
        <f>IF(K$15&lt;=1,0,SUMPRODUCT(MAX(($C$12:$V$12=K$12)*($C$186:$V$186)*($C$81:$V$81))))</f>
        <v/>
      </c>
      <c r="L1026" s="62">
        <f>IF(L$15&lt;=1,0,SUMPRODUCT(MAX(($C$12:$V$12=L$12)*($C$186:$V$186)*($C$81:$V$81))))</f>
        <v/>
      </c>
      <c r="M1026" s="62">
        <f>IF(M$15&lt;=1,0,SUMPRODUCT(MAX(($C$12:$V$12=M$12)*($C$186:$V$186)*($C$81:$V$81))))</f>
        <v/>
      </c>
      <c r="N1026" s="62">
        <f>IF(N$15&lt;=1,0,SUMPRODUCT(MAX(($C$12:$V$12=N$12)*($C$186:$V$186)*($C$81:$V$81))))</f>
        <v/>
      </c>
      <c r="O1026" s="62">
        <f>IF(O$15&lt;=1,0,SUMPRODUCT(MAX(($C$12:$V$12=O$12)*($C$186:$V$186)*($C$81:$V$81))))</f>
        <v/>
      </c>
      <c r="P1026" s="62">
        <f>IF(P$15&lt;=1,0,SUMPRODUCT(MAX(($C$12:$V$12=P$12)*($C$186:$V$186)*($C$81:$V$81))))</f>
        <v/>
      </c>
      <c r="Q1026" s="62">
        <f>IF(Q$15&lt;=1,0,SUMPRODUCT(MAX(($C$12:$V$12=Q$12)*($C$186:$V$186)*($C$81:$V$81))))</f>
        <v/>
      </c>
      <c r="R1026" s="62">
        <f>IF(R$15&lt;=1,0,SUMPRODUCT(MAX(($C$12:$V$12=R$12)*($C$186:$V$186)*($C$81:$V$81))))</f>
        <v/>
      </c>
      <c r="S1026" s="62">
        <f>IF(S$15&lt;=1,0,SUMPRODUCT(MAX(($C$12:$V$12=S$12)*($C$186:$V$186)*($C$81:$V$81))))</f>
        <v/>
      </c>
      <c r="T1026" s="62">
        <f>IF(T$15&lt;=1,0,SUMPRODUCT(MAX(($C$12:$V$12=T$12)*($C$186:$V$186)*($C$81:$V$81))))</f>
        <v/>
      </c>
      <c r="U1026" s="62">
        <f>IF(U$15&lt;=1,0,SUMPRODUCT(MAX(($C$12:$V$12=U$12)*($C$186:$V$186)*($C$81:$V$81))))</f>
        <v/>
      </c>
      <c r="V1026" s="62">
        <f>IF(V$15&lt;=1,0,SUMPRODUCT(MAX(($C$12:$V$12=V$12)*($C$186:$V$186)*($C$81:$V$81))))</f>
        <v/>
      </c>
    </row>
    <row r="1027">
      <c r="C1027" s="62">
        <f>IF(C$15&lt;=1,0,SUMPRODUCT(MAX(($C$12:$V$12=C$12)*($C$187:$V$187)*($C$82:$V$82))))</f>
        <v/>
      </c>
      <c r="D1027" s="62">
        <f>IF(D$15&lt;=1,0,SUMPRODUCT(MAX(($C$12:$V$12=D$12)*($C$187:$V$187)*($C$82:$V$82))))</f>
        <v/>
      </c>
      <c r="E1027" s="62">
        <f>IF(E$15&lt;=1,0,SUMPRODUCT(MAX(($C$12:$V$12=E$12)*($C$187:$V$187)*($C$82:$V$82))))</f>
        <v/>
      </c>
      <c r="F1027" s="62">
        <f>IF(F$15&lt;=1,0,SUMPRODUCT(MAX(($C$12:$V$12=F$12)*($C$187:$V$187)*($C$82:$V$82))))</f>
        <v/>
      </c>
      <c r="G1027" s="62">
        <f>IF(G$15&lt;=1,0,SUMPRODUCT(MAX(($C$12:$V$12=G$12)*($C$187:$V$187)*($C$82:$V$82))))</f>
        <v/>
      </c>
      <c r="H1027" s="62">
        <f>IF(H$15&lt;=1,0,SUMPRODUCT(MAX(($C$12:$V$12=H$12)*($C$187:$V$187)*($C$82:$V$82))))</f>
        <v/>
      </c>
      <c r="I1027" s="62">
        <f>IF(I$15&lt;=1,0,SUMPRODUCT(MAX(($C$12:$V$12=I$12)*($C$187:$V$187)*($C$82:$V$82))))</f>
        <v/>
      </c>
      <c r="J1027" s="62">
        <f>IF(J$15&lt;=1,0,SUMPRODUCT(MAX(($C$12:$V$12=J$12)*($C$187:$V$187)*($C$82:$V$82))))</f>
        <v/>
      </c>
      <c r="K1027" s="62">
        <f>IF(K$15&lt;=1,0,SUMPRODUCT(MAX(($C$12:$V$12=K$12)*($C$187:$V$187)*($C$82:$V$82))))</f>
        <v/>
      </c>
      <c r="L1027" s="62">
        <f>IF(L$15&lt;=1,0,SUMPRODUCT(MAX(($C$12:$V$12=L$12)*($C$187:$V$187)*($C$82:$V$82))))</f>
        <v/>
      </c>
      <c r="M1027" s="62">
        <f>IF(M$15&lt;=1,0,SUMPRODUCT(MAX(($C$12:$V$12=M$12)*($C$187:$V$187)*($C$82:$V$82))))</f>
        <v/>
      </c>
      <c r="N1027" s="62">
        <f>IF(N$15&lt;=1,0,SUMPRODUCT(MAX(($C$12:$V$12=N$12)*($C$187:$V$187)*($C$82:$V$82))))</f>
        <v/>
      </c>
      <c r="O1027" s="62">
        <f>IF(O$15&lt;=1,0,SUMPRODUCT(MAX(($C$12:$V$12=O$12)*($C$187:$V$187)*($C$82:$V$82))))</f>
        <v/>
      </c>
      <c r="P1027" s="62">
        <f>IF(P$15&lt;=1,0,SUMPRODUCT(MAX(($C$12:$V$12=P$12)*($C$187:$V$187)*($C$82:$V$82))))</f>
        <v/>
      </c>
      <c r="Q1027" s="62">
        <f>IF(Q$15&lt;=1,0,SUMPRODUCT(MAX(($C$12:$V$12=Q$12)*($C$187:$V$187)*($C$82:$V$82))))</f>
        <v/>
      </c>
      <c r="R1027" s="62">
        <f>IF(R$15&lt;=1,0,SUMPRODUCT(MAX(($C$12:$V$12=R$12)*($C$187:$V$187)*($C$82:$V$82))))</f>
        <v/>
      </c>
      <c r="S1027" s="62">
        <f>IF(S$15&lt;=1,0,SUMPRODUCT(MAX(($C$12:$V$12=S$12)*($C$187:$V$187)*($C$82:$V$82))))</f>
        <v/>
      </c>
      <c r="T1027" s="62">
        <f>IF(T$15&lt;=1,0,SUMPRODUCT(MAX(($C$12:$V$12=T$12)*($C$187:$V$187)*($C$82:$V$82))))</f>
        <v/>
      </c>
      <c r="U1027" s="62">
        <f>IF(U$15&lt;=1,0,SUMPRODUCT(MAX(($C$12:$V$12=U$12)*($C$187:$V$187)*($C$82:$V$82))))</f>
        <v/>
      </c>
      <c r="V1027" s="62">
        <f>IF(V$15&lt;=1,0,SUMPRODUCT(MAX(($C$12:$V$12=V$12)*($C$187:$V$187)*($C$82:$V$82))))</f>
        <v/>
      </c>
    </row>
    <row r="1028">
      <c r="C1028" s="62">
        <f>IF(C$15&lt;=1,0,SUMPRODUCT(MAX(($C$12:$V$12=C$12)*($C$188:$V$188)*($C$83:$V$83))))</f>
        <v/>
      </c>
      <c r="D1028" s="62">
        <f>IF(D$15&lt;=1,0,SUMPRODUCT(MAX(($C$12:$V$12=D$12)*($C$188:$V$188)*($C$83:$V$83))))</f>
        <v/>
      </c>
      <c r="E1028" s="62">
        <f>IF(E$15&lt;=1,0,SUMPRODUCT(MAX(($C$12:$V$12=E$12)*($C$188:$V$188)*($C$83:$V$83))))</f>
        <v/>
      </c>
      <c r="F1028" s="62">
        <f>IF(F$15&lt;=1,0,SUMPRODUCT(MAX(($C$12:$V$12=F$12)*($C$188:$V$188)*($C$83:$V$83))))</f>
        <v/>
      </c>
      <c r="G1028" s="62">
        <f>IF(G$15&lt;=1,0,SUMPRODUCT(MAX(($C$12:$V$12=G$12)*($C$188:$V$188)*($C$83:$V$83))))</f>
        <v/>
      </c>
      <c r="H1028" s="62">
        <f>IF(H$15&lt;=1,0,SUMPRODUCT(MAX(($C$12:$V$12=H$12)*($C$188:$V$188)*($C$83:$V$83))))</f>
        <v/>
      </c>
      <c r="I1028" s="62">
        <f>IF(I$15&lt;=1,0,SUMPRODUCT(MAX(($C$12:$V$12=I$12)*($C$188:$V$188)*($C$83:$V$83))))</f>
        <v/>
      </c>
      <c r="J1028" s="62">
        <f>IF(J$15&lt;=1,0,SUMPRODUCT(MAX(($C$12:$V$12=J$12)*($C$188:$V$188)*($C$83:$V$83))))</f>
        <v/>
      </c>
      <c r="K1028" s="62">
        <f>IF(K$15&lt;=1,0,SUMPRODUCT(MAX(($C$12:$V$12=K$12)*($C$188:$V$188)*($C$83:$V$83))))</f>
        <v/>
      </c>
      <c r="L1028" s="62">
        <f>IF(L$15&lt;=1,0,SUMPRODUCT(MAX(($C$12:$V$12=L$12)*($C$188:$V$188)*($C$83:$V$83))))</f>
        <v/>
      </c>
      <c r="M1028" s="62">
        <f>IF(M$15&lt;=1,0,SUMPRODUCT(MAX(($C$12:$V$12=M$12)*($C$188:$V$188)*($C$83:$V$83))))</f>
        <v/>
      </c>
      <c r="N1028" s="62">
        <f>IF(N$15&lt;=1,0,SUMPRODUCT(MAX(($C$12:$V$12=N$12)*($C$188:$V$188)*($C$83:$V$83))))</f>
        <v/>
      </c>
      <c r="O1028" s="62">
        <f>IF(O$15&lt;=1,0,SUMPRODUCT(MAX(($C$12:$V$12=O$12)*($C$188:$V$188)*($C$83:$V$83))))</f>
        <v/>
      </c>
      <c r="P1028" s="62">
        <f>IF(P$15&lt;=1,0,SUMPRODUCT(MAX(($C$12:$V$12=P$12)*($C$188:$V$188)*($C$83:$V$83))))</f>
        <v/>
      </c>
      <c r="Q1028" s="62">
        <f>IF(Q$15&lt;=1,0,SUMPRODUCT(MAX(($C$12:$V$12=Q$12)*($C$188:$V$188)*($C$83:$V$83))))</f>
        <v/>
      </c>
      <c r="R1028" s="62">
        <f>IF(R$15&lt;=1,0,SUMPRODUCT(MAX(($C$12:$V$12=R$12)*($C$188:$V$188)*($C$83:$V$83))))</f>
        <v/>
      </c>
      <c r="S1028" s="62">
        <f>IF(S$15&lt;=1,0,SUMPRODUCT(MAX(($C$12:$V$12=S$12)*($C$188:$V$188)*($C$83:$V$83))))</f>
        <v/>
      </c>
      <c r="T1028" s="62">
        <f>IF(T$15&lt;=1,0,SUMPRODUCT(MAX(($C$12:$V$12=T$12)*($C$188:$V$188)*($C$83:$V$83))))</f>
        <v/>
      </c>
      <c r="U1028" s="62">
        <f>IF(U$15&lt;=1,0,SUMPRODUCT(MAX(($C$12:$V$12=U$12)*($C$188:$V$188)*($C$83:$V$83))))</f>
        <v/>
      </c>
      <c r="V1028" s="62">
        <f>IF(V$15&lt;=1,0,SUMPRODUCT(MAX(($C$12:$V$12=V$12)*($C$188:$V$188)*($C$83:$V$83))))</f>
        <v/>
      </c>
    </row>
    <row r="1029">
      <c r="C1029" s="62">
        <f>IF(C$15&lt;=1,0,SUMPRODUCT(MAX(($C$12:$V$12=C$12)*($C$189:$V$189)*($C$84:$V$84))))</f>
        <v/>
      </c>
      <c r="D1029" s="62">
        <f>IF(D$15&lt;=1,0,SUMPRODUCT(MAX(($C$12:$V$12=D$12)*($C$189:$V$189)*($C$84:$V$84))))</f>
        <v/>
      </c>
      <c r="E1029" s="62">
        <f>IF(E$15&lt;=1,0,SUMPRODUCT(MAX(($C$12:$V$12=E$12)*($C$189:$V$189)*($C$84:$V$84))))</f>
        <v/>
      </c>
      <c r="F1029" s="62">
        <f>IF(F$15&lt;=1,0,SUMPRODUCT(MAX(($C$12:$V$12=F$12)*($C$189:$V$189)*($C$84:$V$84))))</f>
        <v/>
      </c>
      <c r="G1029" s="62">
        <f>IF(G$15&lt;=1,0,SUMPRODUCT(MAX(($C$12:$V$12=G$12)*($C$189:$V$189)*($C$84:$V$84))))</f>
        <v/>
      </c>
      <c r="H1029" s="62">
        <f>IF(H$15&lt;=1,0,SUMPRODUCT(MAX(($C$12:$V$12=H$12)*($C$189:$V$189)*($C$84:$V$84))))</f>
        <v/>
      </c>
      <c r="I1029" s="62">
        <f>IF(I$15&lt;=1,0,SUMPRODUCT(MAX(($C$12:$V$12=I$12)*($C$189:$V$189)*($C$84:$V$84))))</f>
        <v/>
      </c>
      <c r="J1029" s="62">
        <f>IF(J$15&lt;=1,0,SUMPRODUCT(MAX(($C$12:$V$12=J$12)*($C$189:$V$189)*($C$84:$V$84))))</f>
        <v/>
      </c>
      <c r="K1029" s="62">
        <f>IF(K$15&lt;=1,0,SUMPRODUCT(MAX(($C$12:$V$12=K$12)*($C$189:$V$189)*($C$84:$V$84))))</f>
        <v/>
      </c>
      <c r="L1029" s="62">
        <f>IF(L$15&lt;=1,0,SUMPRODUCT(MAX(($C$12:$V$12=L$12)*($C$189:$V$189)*($C$84:$V$84))))</f>
        <v/>
      </c>
      <c r="M1029" s="62">
        <f>IF(M$15&lt;=1,0,SUMPRODUCT(MAX(($C$12:$V$12=M$12)*($C$189:$V$189)*($C$84:$V$84))))</f>
        <v/>
      </c>
      <c r="N1029" s="62">
        <f>IF(N$15&lt;=1,0,SUMPRODUCT(MAX(($C$12:$V$12=N$12)*($C$189:$V$189)*($C$84:$V$84))))</f>
        <v/>
      </c>
      <c r="O1029" s="62">
        <f>IF(O$15&lt;=1,0,SUMPRODUCT(MAX(($C$12:$V$12=O$12)*($C$189:$V$189)*($C$84:$V$84))))</f>
        <v/>
      </c>
      <c r="P1029" s="62">
        <f>IF(P$15&lt;=1,0,SUMPRODUCT(MAX(($C$12:$V$12=P$12)*($C$189:$V$189)*($C$84:$V$84))))</f>
        <v/>
      </c>
      <c r="Q1029" s="62">
        <f>IF(Q$15&lt;=1,0,SUMPRODUCT(MAX(($C$12:$V$12=Q$12)*($C$189:$V$189)*($C$84:$V$84))))</f>
        <v/>
      </c>
      <c r="R1029" s="62">
        <f>IF(R$15&lt;=1,0,SUMPRODUCT(MAX(($C$12:$V$12=R$12)*($C$189:$V$189)*($C$84:$V$84))))</f>
        <v/>
      </c>
      <c r="S1029" s="62">
        <f>IF(S$15&lt;=1,0,SUMPRODUCT(MAX(($C$12:$V$12=S$12)*($C$189:$V$189)*($C$84:$V$84))))</f>
        <v/>
      </c>
      <c r="T1029" s="62">
        <f>IF(T$15&lt;=1,0,SUMPRODUCT(MAX(($C$12:$V$12=T$12)*($C$189:$V$189)*($C$84:$V$84))))</f>
        <v/>
      </c>
      <c r="U1029" s="62">
        <f>IF(U$15&lt;=1,0,SUMPRODUCT(MAX(($C$12:$V$12=U$12)*($C$189:$V$189)*($C$84:$V$84))))</f>
        <v/>
      </c>
      <c r="V1029" s="62">
        <f>IF(V$15&lt;=1,0,SUMPRODUCT(MAX(($C$12:$V$12=V$12)*($C$189:$V$189)*($C$84:$V$84))))</f>
        <v/>
      </c>
    </row>
    <row r="1030">
      <c r="C1030" s="62">
        <f>IF(C$15&lt;=1,0,SUMPRODUCT(MAX(($C$12:$V$12=C$12)*($C$190:$V$190)*($C$85:$V$85))))</f>
        <v/>
      </c>
      <c r="D1030" s="62">
        <f>IF(D$15&lt;=1,0,SUMPRODUCT(MAX(($C$12:$V$12=D$12)*($C$190:$V$190)*($C$85:$V$85))))</f>
        <v/>
      </c>
      <c r="E1030" s="62">
        <f>IF(E$15&lt;=1,0,SUMPRODUCT(MAX(($C$12:$V$12=E$12)*($C$190:$V$190)*($C$85:$V$85))))</f>
        <v/>
      </c>
      <c r="F1030" s="62">
        <f>IF(F$15&lt;=1,0,SUMPRODUCT(MAX(($C$12:$V$12=F$12)*($C$190:$V$190)*($C$85:$V$85))))</f>
        <v/>
      </c>
      <c r="G1030" s="62">
        <f>IF(G$15&lt;=1,0,SUMPRODUCT(MAX(($C$12:$V$12=G$12)*($C$190:$V$190)*($C$85:$V$85))))</f>
        <v/>
      </c>
      <c r="H1030" s="62">
        <f>IF(H$15&lt;=1,0,SUMPRODUCT(MAX(($C$12:$V$12=H$12)*($C$190:$V$190)*($C$85:$V$85))))</f>
        <v/>
      </c>
      <c r="I1030" s="62">
        <f>IF(I$15&lt;=1,0,SUMPRODUCT(MAX(($C$12:$V$12=I$12)*($C$190:$V$190)*($C$85:$V$85))))</f>
        <v/>
      </c>
      <c r="J1030" s="62">
        <f>IF(J$15&lt;=1,0,SUMPRODUCT(MAX(($C$12:$V$12=J$12)*($C$190:$V$190)*($C$85:$V$85))))</f>
        <v/>
      </c>
      <c r="K1030" s="62">
        <f>IF(K$15&lt;=1,0,SUMPRODUCT(MAX(($C$12:$V$12=K$12)*($C$190:$V$190)*($C$85:$V$85))))</f>
        <v/>
      </c>
      <c r="L1030" s="62">
        <f>IF(L$15&lt;=1,0,SUMPRODUCT(MAX(($C$12:$V$12=L$12)*($C$190:$V$190)*($C$85:$V$85))))</f>
        <v/>
      </c>
      <c r="M1030" s="62">
        <f>IF(M$15&lt;=1,0,SUMPRODUCT(MAX(($C$12:$V$12=M$12)*($C$190:$V$190)*($C$85:$V$85))))</f>
        <v/>
      </c>
      <c r="N1030" s="62">
        <f>IF(N$15&lt;=1,0,SUMPRODUCT(MAX(($C$12:$V$12=N$12)*($C$190:$V$190)*($C$85:$V$85))))</f>
        <v/>
      </c>
      <c r="O1030" s="62">
        <f>IF(O$15&lt;=1,0,SUMPRODUCT(MAX(($C$12:$V$12=O$12)*($C$190:$V$190)*($C$85:$V$85))))</f>
        <v/>
      </c>
      <c r="P1030" s="62">
        <f>IF(P$15&lt;=1,0,SUMPRODUCT(MAX(($C$12:$V$12=P$12)*($C$190:$V$190)*($C$85:$V$85))))</f>
        <v/>
      </c>
      <c r="Q1030" s="62">
        <f>IF(Q$15&lt;=1,0,SUMPRODUCT(MAX(($C$12:$V$12=Q$12)*($C$190:$V$190)*($C$85:$V$85))))</f>
        <v/>
      </c>
      <c r="R1030" s="62">
        <f>IF(R$15&lt;=1,0,SUMPRODUCT(MAX(($C$12:$V$12=R$12)*($C$190:$V$190)*($C$85:$V$85))))</f>
        <v/>
      </c>
      <c r="S1030" s="62">
        <f>IF(S$15&lt;=1,0,SUMPRODUCT(MAX(($C$12:$V$12=S$12)*($C$190:$V$190)*($C$85:$V$85))))</f>
        <v/>
      </c>
      <c r="T1030" s="62">
        <f>IF(T$15&lt;=1,0,SUMPRODUCT(MAX(($C$12:$V$12=T$12)*($C$190:$V$190)*($C$85:$V$85))))</f>
        <v/>
      </c>
      <c r="U1030" s="62">
        <f>IF(U$15&lt;=1,0,SUMPRODUCT(MAX(($C$12:$V$12=U$12)*($C$190:$V$190)*($C$85:$V$85))))</f>
        <v/>
      </c>
      <c r="V1030" s="62">
        <f>IF(V$15&lt;=1,0,SUMPRODUCT(MAX(($C$12:$V$12=V$12)*($C$190:$V$190)*($C$85:$V$85))))</f>
        <v/>
      </c>
    </row>
    <row r="1031">
      <c r="C1031" s="62">
        <f>IF(C$15&lt;=1,0,SUMPRODUCT(MAX(($C$12:$V$12=C$12)*($C$191:$V$191)*($C$86:$V$86))))</f>
        <v/>
      </c>
      <c r="D1031" s="62">
        <f>IF(D$15&lt;=1,0,SUMPRODUCT(MAX(($C$12:$V$12=D$12)*($C$191:$V$191)*($C$86:$V$86))))</f>
        <v/>
      </c>
      <c r="E1031" s="62">
        <f>IF(E$15&lt;=1,0,SUMPRODUCT(MAX(($C$12:$V$12=E$12)*($C$191:$V$191)*($C$86:$V$86))))</f>
        <v/>
      </c>
      <c r="F1031" s="62">
        <f>IF(F$15&lt;=1,0,SUMPRODUCT(MAX(($C$12:$V$12=F$12)*($C$191:$V$191)*($C$86:$V$86))))</f>
        <v/>
      </c>
      <c r="G1031" s="62">
        <f>IF(G$15&lt;=1,0,SUMPRODUCT(MAX(($C$12:$V$12=G$12)*($C$191:$V$191)*($C$86:$V$86))))</f>
        <v/>
      </c>
      <c r="H1031" s="62">
        <f>IF(H$15&lt;=1,0,SUMPRODUCT(MAX(($C$12:$V$12=H$12)*($C$191:$V$191)*($C$86:$V$86))))</f>
        <v/>
      </c>
      <c r="I1031" s="62">
        <f>IF(I$15&lt;=1,0,SUMPRODUCT(MAX(($C$12:$V$12=I$12)*($C$191:$V$191)*($C$86:$V$86))))</f>
        <v/>
      </c>
      <c r="J1031" s="62">
        <f>IF(J$15&lt;=1,0,SUMPRODUCT(MAX(($C$12:$V$12=J$12)*($C$191:$V$191)*($C$86:$V$86))))</f>
        <v/>
      </c>
      <c r="K1031" s="62">
        <f>IF(K$15&lt;=1,0,SUMPRODUCT(MAX(($C$12:$V$12=K$12)*($C$191:$V$191)*($C$86:$V$86))))</f>
        <v/>
      </c>
      <c r="L1031" s="62">
        <f>IF(L$15&lt;=1,0,SUMPRODUCT(MAX(($C$12:$V$12=L$12)*($C$191:$V$191)*($C$86:$V$86))))</f>
        <v/>
      </c>
      <c r="M1031" s="62">
        <f>IF(M$15&lt;=1,0,SUMPRODUCT(MAX(($C$12:$V$12=M$12)*($C$191:$V$191)*($C$86:$V$86))))</f>
        <v/>
      </c>
      <c r="N1031" s="62">
        <f>IF(N$15&lt;=1,0,SUMPRODUCT(MAX(($C$12:$V$12=N$12)*($C$191:$V$191)*($C$86:$V$86))))</f>
        <v/>
      </c>
      <c r="O1031" s="62">
        <f>IF(O$15&lt;=1,0,SUMPRODUCT(MAX(($C$12:$V$12=O$12)*($C$191:$V$191)*($C$86:$V$86))))</f>
        <v/>
      </c>
      <c r="P1031" s="62">
        <f>IF(P$15&lt;=1,0,SUMPRODUCT(MAX(($C$12:$V$12=P$12)*($C$191:$V$191)*($C$86:$V$86))))</f>
        <v/>
      </c>
      <c r="Q1031" s="62">
        <f>IF(Q$15&lt;=1,0,SUMPRODUCT(MAX(($C$12:$V$12=Q$12)*($C$191:$V$191)*($C$86:$V$86))))</f>
        <v/>
      </c>
      <c r="R1031" s="62">
        <f>IF(R$15&lt;=1,0,SUMPRODUCT(MAX(($C$12:$V$12=R$12)*($C$191:$V$191)*($C$86:$V$86))))</f>
        <v/>
      </c>
      <c r="S1031" s="62">
        <f>IF(S$15&lt;=1,0,SUMPRODUCT(MAX(($C$12:$V$12=S$12)*($C$191:$V$191)*($C$86:$V$86))))</f>
        <v/>
      </c>
      <c r="T1031" s="62">
        <f>IF(T$15&lt;=1,0,SUMPRODUCT(MAX(($C$12:$V$12=T$12)*($C$191:$V$191)*($C$86:$V$86))))</f>
        <v/>
      </c>
      <c r="U1031" s="62">
        <f>IF(U$15&lt;=1,0,SUMPRODUCT(MAX(($C$12:$V$12=U$12)*($C$191:$V$191)*($C$86:$V$86))))</f>
        <v/>
      </c>
      <c r="V1031" s="62">
        <f>IF(V$15&lt;=1,0,SUMPRODUCT(MAX(($C$12:$V$12=V$12)*($C$191:$V$191)*($C$86:$V$86))))</f>
        <v/>
      </c>
    </row>
    <row r="1032">
      <c r="C1032" s="62">
        <f>IF(C$15&lt;=1,0,SUMPRODUCT(MAX(($C$12:$V$12=C$12)*($C$192:$V$192)*($C$87:$V$87))))</f>
        <v/>
      </c>
      <c r="D1032" s="62">
        <f>IF(D$15&lt;=1,0,SUMPRODUCT(MAX(($C$12:$V$12=D$12)*($C$192:$V$192)*($C$87:$V$87))))</f>
        <v/>
      </c>
      <c r="E1032" s="62">
        <f>IF(E$15&lt;=1,0,SUMPRODUCT(MAX(($C$12:$V$12=E$12)*($C$192:$V$192)*($C$87:$V$87))))</f>
        <v/>
      </c>
      <c r="F1032" s="62">
        <f>IF(F$15&lt;=1,0,SUMPRODUCT(MAX(($C$12:$V$12=F$12)*($C$192:$V$192)*($C$87:$V$87))))</f>
        <v/>
      </c>
      <c r="G1032" s="62">
        <f>IF(G$15&lt;=1,0,SUMPRODUCT(MAX(($C$12:$V$12=G$12)*($C$192:$V$192)*($C$87:$V$87))))</f>
        <v/>
      </c>
      <c r="H1032" s="62">
        <f>IF(H$15&lt;=1,0,SUMPRODUCT(MAX(($C$12:$V$12=H$12)*($C$192:$V$192)*($C$87:$V$87))))</f>
        <v/>
      </c>
      <c r="I1032" s="62">
        <f>IF(I$15&lt;=1,0,SUMPRODUCT(MAX(($C$12:$V$12=I$12)*($C$192:$V$192)*($C$87:$V$87))))</f>
        <v/>
      </c>
      <c r="J1032" s="62">
        <f>IF(J$15&lt;=1,0,SUMPRODUCT(MAX(($C$12:$V$12=J$12)*($C$192:$V$192)*($C$87:$V$87))))</f>
        <v/>
      </c>
      <c r="K1032" s="62">
        <f>IF(K$15&lt;=1,0,SUMPRODUCT(MAX(($C$12:$V$12=K$12)*($C$192:$V$192)*($C$87:$V$87))))</f>
        <v/>
      </c>
      <c r="L1032" s="62">
        <f>IF(L$15&lt;=1,0,SUMPRODUCT(MAX(($C$12:$V$12=L$12)*($C$192:$V$192)*($C$87:$V$87))))</f>
        <v/>
      </c>
      <c r="M1032" s="62">
        <f>IF(M$15&lt;=1,0,SUMPRODUCT(MAX(($C$12:$V$12=M$12)*($C$192:$V$192)*($C$87:$V$87))))</f>
        <v/>
      </c>
      <c r="N1032" s="62">
        <f>IF(N$15&lt;=1,0,SUMPRODUCT(MAX(($C$12:$V$12=N$12)*($C$192:$V$192)*($C$87:$V$87))))</f>
        <v/>
      </c>
      <c r="O1032" s="62">
        <f>IF(O$15&lt;=1,0,SUMPRODUCT(MAX(($C$12:$V$12=O$12)*($C$192:$V$192)*($C$87:$V$87))))</f>
        <v/>
      </c>
      <c r="P1032" s="62">
        <f>IF(P$15&lt;=1,0,SUMPRODUCT(MAX(($C$12:$V$12=P$12)*($C$192:$V$192)*($C$87:$V$87))))</f>
        <v/>
      </c>
      <c r="Q1032" s="62">
        <f>IF(Q$15&lt;=1,0,SUMPRODUCT(MAX(($C$12:$V$12=Q$12)*($C$192:$V$192)*($C$87:$V$87))))</f>
        <v/>
      </c>
      <c r="R1032" s="62">
        <f>IF(R$15&lt;=1,0,SUMPRODUCT(MAX(($C$12:$V$12=R$12)*($C$192:$V$192)*($C$87:$V$87))))</f>
        <v/>
      </c>
      <c r="S1032" s="62">
        <f>IF(S$15&lt;=1,0,SUMPRODUCT(MAX(($C$12:$V$12=S$12)*($C$192:$V$192)*($C$87:$V$87))))</f>
        <v/>
      </c>
      <c r="T1032" s="62">
        <f>IF(T$15&lt;=1,0,SUMPRODUCT(MAX(($C$12:$V$12=T$12)*($C$192:$V$192)*($C$87:$V$87))))</f>
        <v/>
      </c>
      <c r="U1032" s="62">
        <f>IF(U$15&lt;=1,0,SUMPRODUCT(MAX(($C$12:$V$12=U$12)*($C$192:$V$192)*($C$87:$V$87))))</f>
        <v/>
      </c>
      <c r="V1032" s="62">
        <f>IF(V$15&lt;=1,0,SUMPRODUCT(MAX(($C$12:$V$12=V$12)*($C$192:$V$192)*($C$87:$V$87))))</f>
        <v/>
      </c>
    </row>
    <row r="1033">
      <c r="C1033" s="62">
        <f>IF(C$15&lt;=1,0,SUMPRODUCT(MAX(($C$12:$V$12=C$12)*($C$193:$V$193)*($C$88:$V$88))))</f>
        <v/>
      </c>
      <c r="D1033" s="62">
        <f>IF(D$15&lt;=1,0,SUMPRODUCT(MAX(($C$12:$V$12=D$12)*($C$193:$V$193)*($C$88:$V$88))))</f>
        <v/>
      </c>
      <c r="E1033" s="62">
        <f>IF(E$15&lt;=1,0,SUMPRODUCT(MAX(($C$12:$V$12=E$12)*($C$193:$V$193)*($C$88:$V$88))))</f>
        <v/>
      </c>
      <c r="F1033" s="62">
        <f>IF(F$15&lt;=1,0,SUMPRODUCT(MAX(($C$12:$V$12=F$12)*($C$193:$V$193)*($C$88:$V$88))))</f>
        <v/>
      </c>
      <c r="G1033" s="62">
        <f>IF(G$15&lt;=1,0,SUMPRODUCT(MAX(($C$12:$V$12=G$12)*($C$193:$V$193)*($C$88:$V$88))))</f>
        <v/>
      </c>
      <c r="H1033" s="62">
        <f>IF(H$15&lt;=1,0,SUMPRODUCT(MAX(($C$12:$V$12=H$12)*($C$193:$V$193)*($C$88:$V$88))))</f>
        <v/>
      </c>
      <c r="I1033" s="62">
        <f>IF(I$15&lt;=1,0,SUMPRODUCT(MAX(($C$12:$V$12=I$12)*($C$193:$V$193)*($C$88:$V$88))))</f>
        <v/>
      </c>
      <c r="J1033" s="62">
        <f>IF(J$15&lt;=1,0,SUMPRODUCT(MAX(($C$12:$V$12=J$12)*($C$193:$V$193)*($C$88:$V$88))))</f>
        <v/>
      </c>
      <c r="K1033" s="62">
        <f>IF(K$15&lt;=1,0,SUMPRODUCT(MAX(($C$12:$V$12=K$12)*($C$193:$V$193)*($C$88:$V$88))))</f>
        <v/>
      </c>
      <c r="L1033" s="62">
        <f>IF(L$15&lt;=1,0,SUMPRODUCT(MAX(($C$12:$V$12=L$12)*($C$193:$V$193)*($C$88:$V$88))))</f>
        <v/>
      </c>
      <c r="M1033" s="62">
        <f>IF(M$15&lt;=1,0,SUMPRODUCT(MAX(($C$12:$V$12=M$12)*($C$193:$V$193)*($C$88:$V$88))))</f>
        <v/>
      </c>
      <c r="N1033" s="62">
        <f>IF(N$15&lt;=1,0,SUMPRODUCT(MAX(($C$12:$V$12=N$12)*($C$193:$V$193)*($C$88:$V$88))))</f>
        <v/>
      </c>
      <c r="O1033" s="62">
        <f>IF(O$15&lt;=1,0,SUMPRODUCT(MAX(($C$12:$V$12=O$12)*($C$193:$V$193)*($C$88:$V$88))))</f>
        <v/>
      </c>
      <c r="P1033" s="62">
        <f>IF(P$15&lt;=1,0,SUMPRODUCT(MAX(($C$12:$V$12=P$12)*($C$193:$V$193)*($C$88:$V$88))))</f>
        <v/>
      </c>
      <c r="Q1033" s="62">
        <f>IF(Q$15&lt;=1,0,SUMPRODUCT(MAX(($C$12:$V$12=Q$12)*($C$193:$V$193)*($C$88:$V$88))))</f>
        <v/>
      </c>
      <c r="R1033" s="62">
        <f>IF(R$15&lt;=1,0,SUMPRODUCT(MAX(($C$12:$V$12=R$12)*($C$193:$V$193)*($C$88:$V$88))))</f>
        <v/>
      </c>
      <c r="S1033" s="62">
        <f>IF(S$15&lt;=1,0,SUMPRODUCT(MAX(($C$12:$V$12=S$12)*($C$193:$V$193)*($C$88:$V$88))))</f>
        <v/>
      </c>
      <c r="T1033" s="62">
        <f>IF(T$15&lt;=1,0,SUMPRODUCT(MAX(($C$12:$V$12=T$12)*($C$193:$V$193)*($C$88:$V$88))))</f>
        <v/>
      </c>
      <c r="U1033" s="62">
        <f>IF(U$15&lt;=1,0,SUMPRODUCT(MAX(($C$12:$V$12=U$12)*($C$193:$V$193)*($C$88:$V$88))))</f>
        <v/>
      </c>
      <c r="V1033" s="62">
        <f>IF(V$15&lt;=1,0,SUMPRODUCT(MAX(($C$12:$V$12=V$12)*($C$193:$V$193)*($C$88:$V$88))))</f>
        <v/>
      </c>
    </row>
    <row r="1034">
      <c r="C1034" s="62">
        <f>IF(C$15&lt;=1,0,SUMPRODUCT(MAX(($C$12:$V$12=C$12)*($C$194:$V$194)*($C$89:$V$89))))</f>
        <v/>
      </c>
      <c r="D1034" s="62">
        <f>IF(D$15&lt;=1,0,SUMPRODUCT(MAX(($C$12:$V$12=D$12)*($C$194:$V$194)*($C$89:$V$89))))</f>
        <v/>
      </c>
      <c r="E1034" s="62">
        <f>IF(E$15&lt;=1,0,SUMPRODUCT(MAX(($C$12:$V$12=E$12)*($C$194:$V$194)*($C$89:$V$89))))</f>
        <v/>
      </c>
      <c r="F1034" s="62">
        <f>IF(F$15&lt;=1,0,SUMPRODUCT(MAX(($C$12:$V$12=F$12)*($C$194:$V$194)*($C$89:$V$89))))</f>
        <v/>
      </c>
      <c r="G1034" s="62">
        <f>IF(G$15&lt;=1,0,SUMPRODUCT(MAX(($C$12:$V$12=G$12)*($C$194:$V$194)*($C$89:$V$89))))</f>
        <v/>
      </c>
      <c r="H1034" s="62">
        <f>IF(H$15&lt;=1,0,SUMPRODUCT(MAX(($C$12:$V$12=H$12)*($C$194:$V$194)*($C$89:$V$89))))</f>
        <v/>
      </c>
      <c r="I1034" s="62">
        <f>IF(I$15&lt;=1,0,SUMPRODUCT(MAX(($C$12:$V$12=I$12)*($C$194:$V$194)*($C$89:$V$89))))</f>
        <v/>
      </c>
      <c r="J1034" s="62">
        <f>IF(J$15&lt;=1,0,SUMPRODUCT(MAX(($C$12:$V$12=J$12)*($C$194:$V$194)*($C$89:$V$89))))</f>
        <v/>
      </c>
      <c r="K1034" s="62">
        <f>IF(K$15&lt;=1,0,SUMPRODUCT(MAX(($C$12:$V$12=K$12)*($C$194:$V$194)*($C$89:$V$89))))</f>
        <v/>
      </c>
      <c r="L1034" s="62">
        <f>IF(L$15&lt;=1,0,SUMPRODUCT(MAX(($C$12:$V$12=L$12)*($C$194:$V$194)*($C$89:$V$89))))</f>
        <v/>
      </c>
      <c r="M1034" s="62">
        <f>IF(M$15&lt;=1,0,SUMPRODUCT(MAX(($C$12:$V$12=M$12)*($C$194:$V$194)*($C$89:$V$89))))</f>
        <v/>
      </c>
      <c r="N1034" s="62">
        <f>IF(N$15&lt;=1,0,SUMPRODUCT(MAX(($C$12:$V$12=N$12)*($C$194:$V$194)*($C$89:$V$89))))</f>
        <v/>
      </c>
      <c r="O1034" s="62">
        <f>IF(O$15&lt;=1,0,SUMPRODUCT(MAX(($C$12:$V$12=O$12)*($C$194:$V$194)*($C$89:$V$89))))</f>
        <v/>
      </c>
      <c r="P1034" s="62">
        <f>IF(P$15&lt;=1,0,SUMPRODUCT(MAX(($C$12:$V$12=P$12)*($C$194:$V$194)*($C$89:$V$89))))</f>
        <v/>
      </c>
      <c r="Q1034" s="62">
        <f>IF(Q$15&lt;=1,0,SUMPRODUCT(MAX(($C$12:$V$12=Q$12)*($C$194:$V$194)*($C$89:$V$89))))</f>
        <v/>
      </c>
      <c r="R1034" s="62">
        <f>IF(R$15&lt;=1,0,SUMPRODUCT(MAX(($C$12:$V$12=R$12)*($C$194:$V$194)*($C$89:$V$89))))</f>
        <v/>
      </c>
      <c r="S1034" s="62">
        <f>IF(S$15&lt;=1,0,SUMPRODUCT(MAX(($C$12:$V$12=S$12)*($C$194:$V$194)*($C$89:$V$89))))</f>
        <v/>
      </c>
      <c r="T1034" s="62">
        <f>IF(T$15&lt;=1,0,SUMPRODUCT(MAX(($C$12:$V$12=T$12)*($C$194:$V$194)*($C$89:$V$89))))</f>
        <v/>
      </c>
      <c r="U1034" s="62">
        <f>IF(U$15&lt;=1,0,SUMPRODUCT(MAX(($C$12:$V$12=U$12)*($C$194:$V$194)*($C$89:$V$89))))</f>
        <v/>
      </c>
      <c r="V1034" s="62">
        <f>IF(V$15&lt;=1,0,SUMPRODUCT(MAX(($C$12:$V$12=V$12)*($C$194:$V$194)*($C$89:$V$89))))</f>
        <v/>
      </c>
    </row>
    <row r="1035">
      <c r="C1035" s="62">
        <f>IF(C$15&lt;=1,0,SUMPRODUCT(MAX(($C$12:$V$12=C$12)*($C$195:$V$195)*($C$90:$V$90))))</f>
        <v/>
      </c>
      <c r="D1035" s="62">
        <f>IF(D$15&lt;=1,0,SUMPRODUCT(MAX(($C$12:$V$12=D$12)*($C$195:$V$195)*($C$90:$V$90))))</f>
        <v/>
      </c>
      <c r="E1035" s="62">
        <f>IF(E$15&lt;=1,0,SUMPRODUCT(MAX(($C$12:$V$12=E$12)*($C$195:$V$195)*($C$90:$V$90))))</f>
        <v/>
      </c>
      <c r="F1035" s="62">
        <f>IF(F$15&lt;=1,0,SUMPRODUCT(MAX(($C$12:$V$12=F$12)*($C$195:$V$195)*($C$90:$V$90))))</f>
        <v/>
      </c>
      <c r="G1035" s="62">
        <f>IF(G$15&lt;=1,0,SUMPRODUCT(MAX(($C$12:$V$12=G$12)*($C$195:$V$195)*($C$90:$V$90))))</f>
        <v/>
      </c>
      <c r="H1035" s="62">
        <f>IF(H$15&lt;=1,0,SUMPRODUCT(MAX(($C$12:$V$12=H$12)*($C$195:$V$195)*($C$90:$V$90))))</f>
        <v/>
      </c>
      <c r="I1035" s="62">
        <f>IF(I$15&lt;=1,0,SUMPRODUCT(MAX(($C$12:$V$12=I$12)*($C$195:$V$195)*($C$90:$V$90))))</f>
        <v/>
      </c>
      <c r="J1035" s="62">
        <f>IF(J$15&lt;=1,0,SUMPRODUCT(MAX(($C$12:$V$12=J$12)*($C$195:$V$195)*($C$90:$V$90))))</f>
        <v/>
      </c>
      <c r="K1035" s="62">
        <f>IF(K$15&lt;=1,0,SUMPRODUCT(MAX(($C$12:$V$12=K$12)*($C$195:$V$195)*($C$90:$V$90))))</f>
        <v/>
      </c>
      <c r="L1035" s="62">
        <f>IF(L$15&lt;=1,0,SUMPRODUCT(MAX(($C$12:$V$12=L$12)*($C$195:$V$195)*($C$90:$V$90))))</f>
        <v/>
      </c>
      <c r="M1035" s="62">
        <f>IF(M$15&lt;=1,0,SUMPRODUCT(MAX(($C$12:$V$12=M$12)*($C$195:$V$195)*($C$90:$V$90))))</f>
        <v/>
      </c>
      <c r="N1035" s="62">
        <f>IF(N$15&lt;=1,0,SUMPRODUCT(MAX(($C$12:$V$12=N$12)*($C$195:$V$195)*($C$90:$V$90))))</f>
        <v/>
      </c>
      <c r="O1035" s="62">
        <f>IF(O$15&lt;=1,0,SUMPRODUCT(MAX(($C$12:$V$12=O$12)*($C$195:$V$195)*($C$90:$V$90))))</f>
        <v/>
      </c>
      <c r="P1035" s="62">
        <f>IF(P$15&lt;=1,0,SUMPRODUCT(MAX(($C$12:$V$12=P$12)*($C$195:$V$195)*($C$90:$V$90))))</f>
        <v/>
      </c>
      <c r="Q1035" s="62">
        <f>IF(Q$15&lt;=1,0,SUMPRODUCT(MAX(($C$12:$V$12=Q$12)*($C$195:$V$195)*($C$90:$V$90))))</f>
        <v/>
      </c>
      <c r="R1035" s="62">
        <f>IF(R$15&lt;=1,0,SUMPRODUCT(MAX(($C$12:$V$12=R$12)*($C$195:$V$195)*($C$90:$V$90))))</f>
        <v/>
      </c>
      <c r="S1035" s="62">
        <f>IF(S$15&lt;=1,0,SUMPRODUCT(MAX(($C$12:$V$12=S$12)*($C$195:$V$195)*($C$90:$V$90))))</f>
        <v/>
      </c>
      <c r="T1035" s="62">
        <f>IF(T$15&lt;=1,0,SUMPRODUCT(MAX(($C$12:$V$12=T$12)*($C$195:$V$195)*($C$90:$V$90))))</f>
        <v/>
      </c>
      <c r="U1035" s="62">
        <f>IF(U$15&lt;=1,0,SUMPRODUCT(MAX(($C$12:$V$12=U$12)*($C$195:$V$195)*($C$90:$V$90))))</f>
        <v/>
      </c>
      <c r="V1035" s="62">
        <f>IF(V$15&lt;=1,0,SUMPRODUCT(MAX(($C$12:$V$12=V$12)*($C$195:$V$195)*($C$90:$V$90))))</f>
        <v/>
      </c>
    </row>
    <row r="1036">
      <c r="C1036" s="62">
        <f>IF(C$15&lt;=1,0,SUMPRODUCT(MAX(($C$12:$V$12=C$12)*($C$196:$V$196)*($C$91:$V$91))))</f>
        <v/>
      </c>
      <c r="D1036" s="62">
        <f>IF(D$15&lt;=1,0,SUMPRODUCT(MAX(($C$12:$V$12=D$12)*($C$196:$V$196)*($C$91:$V$91))))</f>
        <v/>
      </c>
      <c r="E1036" s="62">
        <f>IF(E$15&lt;=1,0,SUMPRODUCT(MAX(($C$12:$V$12=E$12)*($C$196:$V$196)*($C$91:$V$91))))</f>
        <v/>
      </c>
      <c r="F1036" s="62">
        <f>IF(F$15&lt;=1,0,SUMPRODUCT(MAX(($C$12:$V$12=F$12)*($C$196:$V$196)*($C$91:$V$91))))</f>
        <v/>
      </c>
      <c r="G1036" s="62">
        <f>IF(G$15&lt;=1,0,SUMPRODUCT(MAX(($C$12:$V$12=G$12)*($C$196:$V$196)*($C$91:$V$91))))</f>
        <v/>
      </c>
      <c r="H1036" s="62">
        <f>IF(H$15&lt;=1,0,SUMPRODUCT(MAX(($C$12:$V$12=H$12)*($C$196:$V$196)*($C$91:$V$91))))</f>
        <v/>
      </c>
      <c r="I1036" s="62">
        <f>IF(I$15&lt;=1,0,SUMPRODUCT(MAX(($C$12:$V$12=I$12)*($C$196:$V$196)*($C$91:$V$91))))</f>
        <v/>
      </c>
      <c r="J1036" s="62">
        <f>IF(J$15&lt;=1,0,SUMPRODUCT(MAX(($C$12:$V$12=J$12)*($C$196:$V$196)*($C$91:$V$91))))</f>
        <v/>
      </c>
      <c r="K1036" s="62">
        <f>IF(K$15&lt;=1,0,SUMPRODUCT(MAX(($C$12:$V$12=K$12)*($C$196:$V$196)*($C$91:$V$91))))</f>
        <v/>
      </c>
      <c r="L1036" s="62">
        <f>IF(L$15&lt;=1,0,SUMPRODUCT(MAX(($C$12:$V$12=L$12)*($C$196:$V$196)*($C$91:$V$91))))</f>
        <v/>
      </c>
      <c r="M1036" s="62">
        <f>IF(M$15&lt;=1,0,SUMPRODUCT(MAX(($C$12:$V$12=M$12)*($C$196:$V$196)*($C$91:$V$91))))</f>
        <v/>
      </c>
      <c r="N1036" s="62">
        <f>IF(N$15&lt;=1,0,SUMPRODUCT(MAX(($C$12:$V$12=N$12)*($C$196:$V$196)*($C$91:$V$91))))</f>
        <v/>
      </c>
      <c r="O1036" s="62">
        <f>IF(O$15&lt;=1,0,SUMPRODUCT(MAX(($C$12:$V$12=O$12)*($C$196:$V$196)*($C$91:$V$91))))</f>
        <v/>
      </c>
      <c r="P1036" s="62">
        <f>IF(P$15&lt;=1,0,SUMPRODUCT(MAX(($C$12:$V$12=P$12)*($C$196:$V$196)*($C$91:$V$91))))</f>
        <v/>
      </c>
      <c r="Q1036" s="62">
        <f>IF(Q$15&lt;=1,0,SUMPRODUCT(MAX(($C$12:$V$12=Q$12)*($C$196:$V$196)*($C$91:$V$91))))</f>
        <v/>
      </c>
      <c r="R1036" s="62">
        <f>IF(R$15&lt;=1,0,SUMPRODUCT(MAX(($C$12:$V$12=R$12)*($C$196:$V$196)*($C$91:$V$91))))</f>
        <v/>
      </c>
      <c r="S1036" s="62">
        <f>IF(S$15&lt;=1,0,SUMPRODUCT(MAX(($C$12:$V$12=S$12)*($C$196:$V$196)*($C$91:$V$91))))</f>
        <v/>
      </c>
      <c r="T1036" s="62">
        <f>IF(T$15&lt;=1,0,SUMPRODUCT(MAX(($C$12:$V$12=T$12)*($C$196:$V$196)*($C$91:$V$91))))</f>
        <v/>
      </c>
      <c r="U1036" s="62">
        <f>IF(U$15&lt;=1,0,SUMPRODUCT(MAX(($C$12:$V$12=U$12)*($C$196:$V$196)*($C$91:$V$91))))</f>
        <v/>
      </c>
      <c r="V1036" s="62">
        <f>IF(V$15&lt;=1,0,SUMPRODUCT(MAX(($C$12:$V$12=V$12)*($C$196:$V$196)*($C$91:$V$91))))</f>
        <v/>
      </c>
    </row>
    <row r="1037">
      <c r="C1037" s="62">
        <f>IF(C$15&lt;=1,0,SUMPRODUCT(MAX(($C$12:$V$12=C$12)*($C$197:$V$197)*($C$92:$V$92))))</f>
        <v/>
      </c>
      <c r="D1037" s="62">
        <f>IF(D$15&lt;=1,0,SUMPRODUCT(MAX(($C$12:$V$12=D$12)*($C$197:$V$197)*($C$92:$V$92))))</f>
        <v/>
      </c>
      <c r="E1037" s="62">
        <f>IF(E$15&lt;=1,0,SUMPRODUCT(MAX(($C$12:$V$12=E$12)*($C$197:$V$197)*($C$92:$V$92))))</f>
        <v/>
      </c>
      <c r="F1037" s="62">
        <f>IF(F$15&lt;=1,0,SUMPRODUCT(MAX(($C$12:$V$12=F$12)*($C$197:$V$197)*($C$92:$V$92))))</f>
        <v/>
      </c>
      <c r="G1037" s="62">
        <f>IF(G$15&lt;=1,0,SUMPRODUCT(MAX(($C$12:$V$12=G$12)*($C$197:$V$197)*($C$92:$V$92))))</f>
        <v/>
      </c>
      <c r="H1037" s="62">
        <f>IF(H$15&lt;=1,0,SUMPRODUCT(MAX(($C$12:$V$12=H$12)*($C$197:$V$197)*($C$92:$V$92))))</f>
        <v/>
      </c>
      <c r="I1037" s="62">
        <f>IF(I$15&lt;=1,0,SUMPRODUCT(MAX(($C$12:$V$12=I$12)*($C$197:$V$197)*($C$92:$V$92))))</f>
        <v/>
      </c>
      <c r="J1037" s="62">
        <f>IF(J$15&lt;=1,0,SUMPRODUCT(MAX(($C$12:$V$12=J$12)*($C$197:$V$197)*($C$92:$V$92))))</f>
        <v/>
      </c>
      <c r="K1037" s="62">
        <f>IF(K$15&lt;=1,0,SUMPRODUCT(MAX(($C$12:$V$12=K$12)*($C$197:$V$197)*($C$92:$V$92))))</f>
        <v/>
      </c>
      <c r="L1037" s="62">
        <f>IF(L$15&lt;=1,0,SUMPRODUCT(MAX(($C$12:$V$12=L$12)*($C$197:$V$197)*($C$92:$V$92))))</f>
        <v/>
      </c>
      <c r="M1037" s="62">
        <f>IF(M$15&lt;=1,0,SUMPRODUCT(MAX(($C$12:$V$12=M$12)*($C$197:$V$197)*($C$92:$V$92))))</f>
        <v/>
      </c>
      <c r="N1037" s="62">
        <f>IF(N$15&lt;=1,0,SUMPRODUCT(MAX(($C$12:$V$12=N$12)*($C$197:$V$197)*($C$92:$V$92))))</f>
        <v/>
      </c>
      <c r="O1037" s="62">
        <f>IF(O$15&lt;=1,0,SUMPRODUCT(MAX(($C$12:$V$12=O$12)*($C$197:$V$197)*($C$92:$V$92))))</f>
        <v/>
      </c>
      <c r="P1037" s="62">
        <f>IF(P$15&lt;=1,0,SUMPRODUCT(MAX(($C$12:$V$12=P$12)*($C$197:$V$197)*($C$92:$V$92))))</f>
        <v/>
      </c>
      <c r="Q1037" s="62">
        <f>IF(Q$15&lt;=1,0,SUMPRODUCT(MAX(($C$12:$V$12=Q$12)*($C$197:$V$197)*($C$92:$V$92))))</f>
        <v/>
      </c>
      <c r="R1037" s="62">
        <f>IF(R$15&lt;=1,0,SUMPRODUCT(MAX(($C$12:$V$12=R$12)*($C$197:$V$197)*($C$92:$V$92))))</f>
        <v/>
      </c>
      <c r="S1037" s="62">
        <f>IF(S$15&lt;=1,0,SUMPRODUCT(MAX(($C$12:$V$12=S$12)*($C$197:$V$197)*($C$92:$V$92))))</f>
        <v/>
      </c>
      <c r="T1037" s="62">
        <f>IF(T$15&lt;=1,0,SUMPRODUCT(MAX(($C$12:$V$12=T$12)*($C$197:$V$197)*($C$92:$V$92))))</f>
        <v/>
      </c>
      <c r="U1037" s="62">
        <f>IF(U$15&lt;=1,0,SUMPRODUCT(MAX(($C$12:$V$12=U$12)*($C$197:$V$197)*($C$92:$V$92))))</f>
        <v/>
      </c>
      <c r="V1037" s="62">
        <f>IF(V$15&lt;=1,0,SUMPRODUCT(MAX(($C$12:$V$12=V$12)*($C$197:$V$197)*($C$92:$V$92))))</f>
        <v/>
      </c>
    </row>
    <row r="1038">
      <c r="C1038" s="62">
        <f>IF(C$15&lt;=1,0,SUMPRODUCT(MAX(($C$12:$V$12=C$12)*($C$198:$V$198)*($C$93:$V$93))))</f>
        <v/>
      </c>
      <c r="D1038" s="62">
        <f>IF(D$15&lt;=1,0,SUMPRODUCT(MAX(($C$12:$V$12=D$12)*($C$198:$V$198)*($C$93:$V$93))))</f>
        <v/>
      </c>
      <c r="E1038" s="62">
        <f>IF(E$15&lt;=1,0,SUMPRODUCT(MAX(($C$12:$V$12=E$12)*($C$198:$V$198)*($C$93:$V$93))))</f>
        <v/>
      </c>
      <c r="F1038" s="62">
        <f>IF(F$15&lt;=1,0,SUMPRODUCT(MAX(($C$12:$V$12=F$12)*($C$198:$V$198)*($C$93:$V$93))))</f>
        <v/>
      </c>
      <c r="G1038" s="62">
        <f>IF(G$15&lt;=1,0,SUMPRODUCT(MAX(($C$12:$V$12=G$12)*($C$198:$V$198)*($C$93:$V$93))))</f>
        <v/>
      </c>
      <c r="H1038" s="62">
        <f>IF(H$15&lt;=1,0,SUMPRODUCT(MAX(($C$12:$V$12=H$12)*($C$198:$V$198)*($C$93:$V$93))))</f>
        <v/>
      </c>
      <c r="I1038" s="62">
        <f>IF(I$15&lt;=1,0,SUMPRODUCT(MAX(($C$12:$V$12=I$12)*($C$198:$V$198)*($C$93:$V$93))))</f>
        <v/>
      </c>
      <c r="J1038" s="62">
        <f>IF(J$15&lt;=1,0,SUMPRODUCT(MAX(($C$12:$V$12=J$12)*($C$198:$V$198)*($C$93:$V$93))))</f>
        <v/>
      </c>
      <c r="K1038" s="62">
        <f>IF(K$15&lt;=1,0,SUMPRODUCT(MAX(($C$12:$V$12=K$12)*($C$198:$V$198)*($C$93:$V$93))))</f>
        <v/>
      </c>
      <c r="L1038" s="62">
        <f>IF(L$15&lt;=1,0,SUMPRODUCT(MAX(($C$12:$V$12=L$12)*($C$198:$V$198)*($C$93:$V$93))))</f>
        <v/>
      </c>
      <c r="M1038" s="62">
        <f>IF(M$15&lt;=1,0,SUMPRODUCT(MAX(($C$12:$V$12=M$12)*($C$198:$V$198)*($C$93:$V$93))))</f>
        <v/>
      </c>
      <c r="N1038" s="62">
        <f>IF(N$15&lt;=1,0,SUMPRODUCT(MAX(($C$12:$V$12=N$12)*($C$198:$V$198)*($C$93:$V$93))))</f>
        <v/>
      </c>
      <c r="O1038" s="62">
        <f>IF(O$15&lt;=1,0,SUMPRODUCT(MAX(($C$12:$V$12=O$12)*($C$198:$V$198)*($C$93:$V$93))))</f>
        <v/>
      </c>
      <c r="P1038" s="62">
        <f>IF(P$15&lt;=1,0,SUMPRODUCT(MAX(($C$12:$V$12=P$12)*($C$198:$V$198)*($C$93:$V$93))))</f>
        <v/>
      </c>
      <c r="Q1038" s="62">
        <f>IF(Q$15&lt;=1,0,SUMPRODUCT(MAX(($C$12:$V$12=Q$12)*($C$198:$V$198)*($C$93:$V$93))))</f>
        <v/>
      </c>
      <c r="R1038" s="62">
        <f>IF(R$15&lt;=1,0,SUMPRODUCT(MAX(($C$12:$V$12=R$12)*($C$198:$V$198)*($C$93:$V$93))))</f>
        <v/>
      </c>
      <c r="S1038" s="62">
        <f>IF(S$15&lt;=1,0,SUMPRODUCT(MAX(($C$12:$V$12=S$12)*($C$198:$V$198)*($C$93:$V$93))))</f>
        <v/>
      </c>
      <c r="T1038" s="62">
        <f>IF(T$15&lt;=1,0,SUMPRODUCT(MAX(($C$12:$V$12=T$12)*($C$198:$V$198)*($C$93:$V$93))))</f>
        <v/>
      </c>
      <c r="U1038" s="62">
        <f>IF(U$15&lt;=1,0,SUMPRODUCT(MAX(($C$12:$V$12=U$12)*($C$198:$V$198)*($C$93:$V$93))))</f>
        <v/>
      </c>
      <c r="V1038" s="62">
        <f>IF(V$15&lt;=1,0,SUMPRODUCT(MAX(($C$12:$V$12=V$12)*($C$198:$V$198)*($C$93:$V$93))))</f>
        <v/>
      </c>
    </row>
    <row r="1039">
      <c r="C1039" s="62">
        <f>IF(C$15&lt;=1,0,SUMPRODUCT(MAX(($C$12:$V$12=C$12)*($C$199:$V$199)*($C$94:$V$94))))</f>
        <v/>
      </c>
      <c r="D1039" s="62">
        <f>IF(D$15&lt;=1,0,SUMPRODUCT(MAX(($C$12:$V$12=D$12)*($C$199:$V$199)*($C$94:$V$94))))</f>
        <v/>
      </c>
      <c r="E1039" s="62">
        <f>IF(E$15&lt;=1,0,SUMPRODUCT(MAX(($C$12:$V$12=E$12)*($C$199:$V$199)*($C$94:$V$94))))</f>
        <v/>
      </c>
      <c r="F1039" s="62">
        <f>IF(F$15&lt;=1,0,SUMPRODUCT(MAX(($C$12:$V$12=F$12)*($C$199:$V$199)*($C$94:$V$94))))</f>
        <v/>
      </c>
      <c r="G1039" s="62">
        <f>IF(G$15&lt;=1,0,SUMPRODUCT(MAX(($C$12:$V$12=G$12)*($C$199:$V$199)*($C$94:$V$94))))</f>
        <v/>
      </c>
      <c r="H1039" s="62">
        <f>IF(H$15&lt;=1,0,SUMPRODUCT(MAX(($C$12:$V$12=H$12)*($C$199:$V$199)*($C$94:$V$94))))</f>
        <v/>
      </c>
      <c r="I1039" s="62">
        <f>IF(I$15&lt;=1,0,SUMPRODUCT(MAX(($C$12:$V$12=I$12)*($C$199:$V$199)*($C$94:$V$94))))</f>
        <v/>
      </c>
      <c r="J1039" s="62">
        <f>IF(J$15&lt;=1,0,SUMPRODUCT(MAX(($C$12:$V$12=J$12)*($C$199:$V$199)*($C$94:$V$94))))</f>
        <v/>
      </c>
      <c r="K1039" s="62">
        <f>IF(K$15&lt;=1,0,SUMPRODUCT(MAX(($C$12:$V$12=K$12)*($C$199:$V$199)*($C$94:$V$94))))</f>
        <v/>
      </c>
      <c r="L1039" s="62">
        <f>IF(L$15&lt;=1,0,SUMPRODUCT(MAX(($C$12:$V$12=L$12)*($C$199:$V$199)*($C$94:$V$94))))</f>
        <v/>
      </c>
      <c r="M1039" s="62">
        <f>IF(M$15&lt;=1,0,SUMPRODUCT(MAX(($C$12:$V$12=M$12)*($C$199:$V$199)*($C$94:$V$94))))</f>
        <v/>
      </c>
      <c r="N1039" s="62">
        <f>IF(N$15&lt;=1,0,SUMPRODUCT(MAX(($C$12:$V$12=N$12)*($C$199:$V$199)*($C$94:$V$94))))</f>
        <v/>
      </c>
      <c r="O1039" s="62">
        <f>IF(O$15&lt;=1,0,SUMPRODUCT(MAX(($C$12:$V$12=O$12)*($C$199:$V$199)*($C$94:$V$94))))</f>
        <v/>
      </c>
      <c r="P1039" s="62">
        <f>IF(P$15&lt;=1,0,SUMPRODUCT(MAX(($C$12:$V$12=P$12)*($C$199:$V$199)*($C$94:$V$94))))</f>
        <v/>
      </c>
      <c r="Q1039" s="62">
        <f>IF(Q$15&lt;=1,0,SUMPRODUCT(MAX(($C$12:$V$12=Q$12)*($C$199:$V$199)*($C$94:$V$94))))</f>
        <v/>
      </c>
      <c r="R1039" s="62">
        <f>IF(R$15&lt;=1,0,SUMPRODUCT(MAX(($C$12:$V$12=R$12)*($C$199:$V$199)*($C$94:$V$94))))</f>
        <v/>
      </c>
      <c r="S1039" s="62">
        <f>IF(S$15&lt;=1,0,SUMPRODUCT(MAX(($C$12:$V$12=S$12)*($C$199:$V$199)*($C$94:$V$94))))</f>
        <v/>
      </c>
      <c r="T1039" s="62">
        <f>IF(T$15&lt;=1,0,SUMPRODUCT(MAX(($C$12:$V$12=T$12)*($C$199:$V$199)*($C$94:$V$94))))</f>
        <v/>
      </c>
      <c r="U1039" s="62">
        <f>IF(U$15&lt;=1,0,SUMPRODUCT(MAX(($C$12:$V$12=U$12)*($C$199:$V$199)*($C$94:$V$94))))</f>
        <v/>
      </c>
      <c r="V1039" s="62">
        <f>IF(V$15&lt;=1,0,SUMPRODUCT(MAX(($C$12:$V$12=V$12)*($C$199:$V$199)*($C$94:$V$94))))</f>
        <v/>
      </c>
    </row>
    <row r="1040">
      <c r="C1040" s="62">
        <f>IF(C$15&lt;=1,0,SUMPRODUCT(MAX(($C$12:$V$12=C$12)*($C$200:$V$200)*($C$95:$V$95))))</f>
        <v/>
      </c>
      <c r="D1040" s="62">
        <f>IF(D$15&lt;=1,0,SUMPRODUCT(MAX(($C$12:$V$12=D$12)*($C$200:$V$200)*($C$95:$V$95))))</f>
        <v/>
      </c>
      <c r="E1040" s="62">
        <f>IF(E$15&lt;=1,0,SUMPRODUCT(MAX(($C$12:$V$12=E$12)*($C$200:$V$200)*($C$95:$V$95))))</f>
        <v/>
      </c>
      <c r="F1040" s="62">
        <f>IF(F$15&lt;=1,0,SUMPRODUCT(MAX(($C$12:$V$12=F$12)*($C$200:$V$200)*($C$95:$V$95))))</f>
        <v/>
      </c>
      <c r="G1040" s="62">
        <f>IF(G$15&lt;=1,0,SUMPRODUCT(MAX(($C$12:$V$12=G$12)*($C$200:$V$200)*($C$95:$V$95))))</f>
        <v/>
      </c>
      <c r="H1040" s="62">
        <f>IF(H$15&lt;=1,0,SUMPRODUCT(MAX(($C$12:$V$12=H$12)*($C$200:$V$200)*($C$95:$V$95))))</f>
        <v/>
      </c>
      <c r="I1040" s="62">
        <f>IF(I$15&lt;=1,0,SUMPRODUCT(MAX(($C$12:$V$12=I$12)*($C$200:$V$200)*($C$95:$V$95))))</f>
        <v/>
      </c>
      <c r="J1040" s="62">
        <f>IF(J$15&lt;=1,0,SUMPRODUCT(MAX(($C$12:$V$12=J$12)*($C$200:$V$200)*($C$95:$V$95))))</f>
        <v/>
      </c>
      <c r="K1040" s="62">
        <f>IF(K$15&lt;=1,0,SUMPRODUCT(MAX(($C$12:$V$12=K$12)*($C$200:$V$200)*($C$95:$V$95))))</f>
        <v/>
      </c>
      <c r="L1040" s="62">
        <f>IF(L$15&lt;=1,0,SUMPRODUCT(MAX(($C$12:$V$12=L$12)*($C$200:$V$200)*($C$95:$V$95))))</f>
        <v/>
      </c>
      <c r="M1040" s="62">
        <f>IF(M$15&lt;=1,0,SUMPRODUCT(MAX(($C$12:$V$12=M$12)*($C$200:$V$200)*($C$95:$V$95))))</f>
        <v/>
      </c>
      <c r="N1040" s="62">
        <f>IF(N$15&lt;=1,0,SUMPRODUCT(MAX(($C$12:$V$12=N$12)*($C$200:$V$200)*($C$95:$V$95))))</f>
        <v/>
      </c>
      <c r="O1040" s="62">
        <f>IF(O$15&lt;=1,0,SUMPRODUCT(MAX(($C$12:$V$12=O$12)*($C$200:$V$200)*($C$95:$V$95))))</f>
        <v/>
      </c>
      <c r="P1040" s="62">
        <f>IF(P$15&lt;=1,0,SUMPRODUCT(MAX(($C$12:$V$12=P$12)*($C$200:$V$200)*($C$95:$V$95))))</f>
        <v/>
      </c>
      <c r="Q1040" s="62">
        <f>IF(Q$15&lt;=1,0,SUMPRODUCT(MAX(($C$12:$V$12=Q$12)*($C$200:$V$200)*($C$95:$V$95))))</f>
        <v/>
      </c>
      <c r="R1040" s="62">
        <f>IF(R$15&lt;=1,0,SUMPRODUCT(MAX(($C$12:$V$12=R$12)*($C$200:$V$200)*($C$95:$V$95))))</f>
        <v/>
      </c>
      <c r="S1040" s="62">
        <f>IF(S$15&lt;=1,0,SUMPRODUCT(MAX(($C$12:$V$12=S$12)*($C$200:$V$200)*($C$95:$V$95))))</f>
        <v/>
      </c>
      <c r="T1040" s="62">
        <f>IF(T$15&lt;=1,0,SUMPRODUCT(MAX(($C$12:$V$12=T$12)*($C$200:$V$200)*($C$95:$V$95))))</f>
        <v/>
      </c>
      <c r="U1040" s="62">
        <f>IF(U$15&lt;=1,0,SUMPRODUCT(MAX(($C$12:$V$12=U$12)*($C$200:$V$200)*($C$95:$V$95))))</f>
        <v/>
      </c>
      <c r="V1040" s="62">
        <f>IF(V$15&lt;=1,0,SUMPRODUCT(MAX(($C$12:$V$12=V$12)*($C$200:$V$200)*($C$95:$V$95))))</f>
        <v/>
      </c>
    </row>
    <row r="1041">
      <c r="C1041" s="62">
        <f>IF(C$15&lt;=1,0,SUMPRODUCT(MAX(($C$12:$V$12=C$12)*($C$201:$V$201)*($C$96:$V$96))))</f>
        <v/>
      </c>
      <c r="D1041" s="62">
        <f>IF(D$15&lt;=1,0,SUMPRODUCT(MAX(($C$12:$V$12=D$12)*($C$201:$V$201)*($C$96:$V$96))))</f>
        <v/>
      </c>
      <c r="E1041" s="62">
        <f>IF(E$15&lt;=1,0,SUMPRODUCT(MAX(($C$12:$V$12=E$12)*($C$201:$V$201)*($C$96:$V$96))))</f>
        <v/>
      </c>
      <c r="F1041" s="62">
        <f>IF(F$15&lt;=1,0,SUMPRODUCT(MAX(($C$12:$V$12=F$12)*($C$201:$V$201)*($C$96:$V$96))))</f>
        <v/>
      </c>
      <c r="G1041" s="62">
        <f>IF(G$15&lt;=1,0,SUMPRODUCT(MAX(($C$12:$V$12=G$12)*($C$201:$V$201)*($C$96:$V$96))))</f>
        <v/>
      </c>
      <c r="H1041" s="62">
        <f>IF(H$15&lt;=1,0,SUMPRODUCT(MAX(($C$12:$V$12=H$12)*($C$201:$V$201)*($C$96:$V$96))))</f>
        <v/>
      </c>
      <c r="I1041" s="62">
        <f>IF(I$15&lt;=1,0,SUMPRODUCT(MAX(($C$12:$V$12=I$12)*($C$201:$V$201)*($C$96:$V$96))))</f>
        <v/>
      </c>
      <c r="J1041" s="62">
        <f>IF(J$15&lt;=1,0,SUMPRODUCT(MAX(($C$12:$V$12=J$12)*($C$201:$V$201)*($C$96:$V$96))))</f>
        <v/>
      </c>
      <c r="K1041" s="62">
        <f>IF(K$15&lt;=1,0,SUMPRODUCT(MAX(($C$12:$V$12=K$12)*($C$201:$V$201)*($C$96:$V$96))))</f>
        <v/>
      </c>
      <c r="L1041" s="62">
        <f>IF(L$15&lt;=1,0,SUMPRODUCT(MAX(($C$12:$V$12=L$12)*($C$201:$V$201)*($C$96:$V$96))))</f>
        <v/>
      </c>
      <c r="M1041" s="62">
        <f>IF(M$15&lt;=1,0,SUMPRODUCT(MAX(($C$12:$V$12=M$12)*($C$201:$V$201)*($C$96:$V$96))))</f>
        <v/>
      </c>
      <c r="N1041" s="62">
        <f>IF(N$15&lt;=1,0,SUMPRODUCT(MAX(($C$12:$V$12=N$12)*($C$201:$V$201)*($C$96:$V$96))))</f>
        <v/>
      </c>
      <c r="O1041" s="62">
        <f>IF(O$15&lt;=1,0,SUMPRODUCT(MAX(($C$12:$V$12=O$12)*($C$201:$V$201)*($C$96:$V$96))))</f>
        <v/>
      </c>
      <c r="P1041" s="62">
        <f>IF(P$15&lt;=1,0,SUMPRODUCT(MAX(($C$12:$V$12=P$12)*($C$201:$V$201)*($C$96:$V$96))))</f>
        <v/>
      </c>
      <c r="Q1041" s="62">
        <f>IF(Q$15&lt;=1,0,SUMPRODUCT(MAX(($C$12:$V$12=Q$12)*($C$201:$V$201)*($C$96:$V$96))))</f>
        <v/>
      </c>
      <c r="R1041" s="62">
        <f>IF(R$15&lt;=1,0,SUMPRODUCT(MAX(($C$12:$V$12=R$12)*($C$201:$V$201)*($C$96:$V$96))))</f>
        <v/>
      </c>
      <c r="S1041" s="62">
        <f>IF(S$15&lt;=1,0,SUMPRODUCT(MAX(($C$12:$V$12=S$12)*($C$201:$V$201)*($C$96:$V$96))))</f>
        <v/>
      </c>
      <c r="T1041" s="62">
        <f>IF(T$15&lt;=1,0,SUMPRODUCT(MAX(($C$12:$V$12=T$12)*($C$201:$V$201)*($C$96:$V$96))))</f>
        <v/>
      </c>
      <c r="U1041" s="62">
        <f>IF(U$15&lt;=1,0,SUMPRODUCT(MAX(($C$12:$V$12=U$12)*($C$201:$V$201)*($C$96:$V$96))))</f>
        <v/>
      </c>
      <c r="V1041" s="62">
        <f>IF(V$15&lt;=1,0,SUMPRODUCT(MAX(($C$12:$V$12=V$12)*($C$201:$V$201)*($C$96:$V$96))))</f>
        <v/>
      </c>
    </row>
    <row r="1042">
      <c r="C1042" s="62">
        <f>IF(C$15&lt;=1,0,SUMPRODUCT(MAX(($C$12:$V$12=C$12)*($C$202:$V$202)*($C$97:$V$97))))</f>
        <v/>
      </c>
      <c r="D1042" s="62">
        <f>IF(D$15&lt;=1,0,SUMPRODUCT(MAX(($C$12:$V$12=D$12)*($C$202:$V$202)*($C$97:$V$97))))</f>
        <v/>
      </c>
      <c r="E1042" s="62">
        <f>IF(E$15&lt;=1,0,SUMPRODUCT(MAX(($C$12:$V$12=E$12)*($C$202:$V$202)*($C$97:$V$97))))</f>
        <v/>
      </c>
      <c r="F1042" s="62">
        <f>IF(F$15&lt;=1,0,SUMPRODUCT(MAX(($C$12:$V$12=F$12)*($C$202:$V$202)*($C$97:$V$97))))</f>
        <v/>
      </c>
      <c r="G1042" s="62">
        <f>IF(G$15&lt;=1,0,SUMPRODUCT(MAX(($C$12:$V$12=G$12)*($C$202:$V$202)*($C$97:$V$97))))</f>
        <v/>
      </c>
      <c r="H1042" s="62">
        <f>IF(H$15&lt;=1,0,SUMPRODUCT(MAX(($C$12:$V$12=H$12)*($C$202:$V$202)*($C$97:$V$97))))</f>
        <v/>
      </c>
      <c r="I1042" s="62">
        <f>IF(I$15&lt;=1,0,SUMPRODUCT(MAX(($C$12:$V$12=I$12)*($C$202:$V$202)*($C$97:$V$97))))</f>
        <v/>
      </c>
      <c r="J1042" s="62">
        <f>IF(J$15&lt;=1,0,SUMPRODUCT(MAX(($C$12:$V$12=J$12)*($C$202:$V$202)*($C$97:$V$97))))</f>
        <v/>
      </c>
      <c r="K1042" s="62">
        <f>IF(K$15&lt;=1,0,SUMPRODUCT(MAX(($C$12:$V$12=K$12)*($C$202:$V$202)*($C$97:$V$97))))</f>
        <v/>
      </c>
      <c r="L1042" s="62">
        <f>IF(L$15&lt;=1,0,SUMPRODUCT(MAX(($C$12:$V$12=L$12)*($C$202:$V$202)*($C$97:$V$97))))</f>
        <v/>
      </c>
      <c r="M1042" s="62">
        <f>IF(M$15&lt;=1,0,SUMPRODUCT(MAX(($C$12:$V$12=M$12)*($C$202:$V$202)*($C$97:$V$97))))</f>
        <v/>
      </c>
      <c r="N1042" s="62">
        <f>IF(N$15&lt;=1,0,SUMPRODUCT(MAX(($C$12:$V$12=N$12)*($C$202:$V$202)*($C$97:$V$97))))</f>
        <v/>
      </c>
      <c r="O1042" s="62">
        <f>IF(O$15&lt;=1,0,SUMPRODUCT(MAX(($C$12:$V$12=O$12)*($C$202:$V$202)*($C$97:$V$97))))</f>
        <v/>
      </c>
      <c r="P1042" s="62">
        <f>IF(P$15&lt;=1,0,SUMPRODUCT(MAX(($C$12:$V$12=P$12)*($C$202:$V$202)*($C$97:$V$97))))</f>
        <v/>
      </c>
      <c r="Q1042" s="62">
        <f>IF(Q$15&lt;=1,0,SUMPRODUCT(MAX(($C$12:$V$12=Q$12)*($C$202:$V$202)*($C$97:$V$97))))</f>
        <v/>
      </c>
      <c r="R1042" s="62">
        <f>IF(R$15&lt;=1,0,SUMPRODUCT(MAX(($C$12:$V$12=R$12)*($C$202:$V$202)*($C$97:$V$97))))</f>
        <v/>
      </c>
      <c r="S1042" s="62">
        <f>IF(S$15&lt;=1,0,SUMPRODUCT(MAX(($C$12:$V$12=S$12)*($C$202:$V$202)*($C$97:$V$97))))</f>
        <v/>
      </c>
      <c r="T1042" s="62">
        <f>IF(T$15&lt;=1,0,SUMPRODUCT(MAX(($C$12:$V$12=T$12)*($C$202:$V$202)*($C$97:$V$97))))</f>
        <v/>
      </c>
      <c r="U1042" s="62">
        <f>IF(U$15&lt;=1,0,SUMPRODUCT(MAX(($C$12:$V$12=U$12)*($C$202:$V$202)*($C$97:$V$97))))</f>
        <v/>
      </c>
      <c r="V1042" s="62">
        <f>IF(V$15&lt;=1,0,SUMPRODUCT(MAX(($C$12:$V$12=V$12)*($C$202:$V$202)*($C$97:$V$97))))</f>
        <v/>
      </c>
    </row>
    <row r="1043">
      <c r="C1043" s="62">
        <f>IF(C$15&lt;=1,0,SUMPRODUCT(MAX(($C$12:$V$12=C$12)*($C$203:$V$203)*($C$98:$V$98))))</f>
        <v/>
      </c>
      <c r="D1043" s="62">
        <f>IF(D$15&lt;=1,0,SUMPRODUCT(MAX(($C$12:$V$12=D$12)*($C$203:$V$203)*($C$98:$V$98))))</f>
        <v/>
      </c>
      <c r="E1043" s="62">
        <f>IF(E$15&lt;=1,0,SUMPRODUCT(MAX(($C$12:$V$12=E$12)*($C$203:$V$203)*($C$98:$V$98))))</f>
        <v/>
      </c>
      <c r="F1043" s="62">
        <f>IF(F$15&lt;=1,0,SUMPRODUCT(MAX(($C$12:$V$12=F$12)*($C$203:$V$203)*($C$98:$V$98))))</f>
        <v/>
      </c>
      <c r="G1043" s="62">
        <f>IF(G$15&lt;=1,0,SUMPRODUCT(MAX(($C$12:$V$12=G$12)*($C$203:$V$203)*($C$98:$V$98))))</f>
        <v/>
      </c>
      <c r="H1043" s="62">
        <f>IF(H$15&lt;=1,0,SUMPRODUCT(MAX(($C$12:$V$12=H$12)*($C$203:$V$203)*($C$98:$V$98))))</f>
        <v/>
      </c>
      <c r="I1043" s="62">
        <f>IF(I$15&lt;=1,0,SUMPRODUCT(MAX(($C$12:$V$12=I$12)*($C$203:$V$203)*($C$98:$V$98))))</f>
        <v/>
      </c>
      <c r="J1043" s="62">
        <f>IF(J$15&lt;=1,0,SUMPRODUCT(MAX(($C$12:$V$12=J$12)*($C$203:$V$203)*($C$98:$V$98))))</f>
        <v/>
      </c>
      <c r="K1043" s="62">
        <f>IF(K$15&lt;=1,0,SUMPRODUCT(MAX(($C$12:$V$12=K$12)*($C$203:$V$203)*($C$98:$V$98))))</f>
        <v/>
      </c>
      <c r="L1043" s="62">
        <f>IF(L$15&lt;=1,0,SUMPRODUCT(MAX(($C$12:$V$12=L$12)*($C$203:$V$203)*($C$98:$V$98))))</f>
        <v/>
      </c>
      <c r="M1043" s="62">
        <f>IF(M$15&lt;=1,0,SUMPRODUCT(MAX(($C$12:$V$12=M$12)*($C$203:$V$203)*($C$98:$V$98))))</f>
        <v/>
      </c>
      <c r="N1043" s="62">
        <f>IF(N$15&lt;=1,0,SUMPRODUCT(MAX(($C$12:$V$12=N$12)*($C$203:$V$203)*($C$98:$V$98))))</f>
        <v/>
      </c>
      <c r="O1043" s="62">
        <f>IF(O$15&lt;=1,0,SUMPRODUCT(MAX(($C$12:$V$12=O$12)*($C$203:$V$203)*($C$98:$V$98))))</f>
        <v/>
      </c>
      <c r="P1043" s="62">
        <f>IF(P$15&lt;=1,0,SUMPRODUCT(MAX(($C$12:$V$12=P$12)*($C$203:$V$203)*($C$98:$V$98))))</f>
        <v/>
      </c>
      <c r="Q1043" s="62">
        <f>IF(Q$15&lt;=1,0,SUMPRODUCT(MAX(($C$12:$V$12=Q$12)*($C$203:$V$203)*($C$98:$V$98))))</f>
        <v/>
      </c>
      <c r="R1043" s="62">
        <f>IF(R$15&lt;=1,0,SUMPRODUCT(MAX(($C$12:$V$12=R$12)*($C$203:$V$203)*($C$98:$V$98))))</f>
        <v/>
      </c>
      <c r="S1043" s="62">
        <f>IF(S$15&lt;=1,0,SUMPRODUCT(MAX(($C$12:$V$12=S$12)*($C$203:$V$203)*($C$98:$V$98))))</f>
        <v/>
      </c>
      <c r="T1043" s="62">
        <f>IF(T$15&lt;=1,0,SUMPRODUCT(MAX(($C$12:$V$12=T$12)*($C$203:$V$203)*($C$98:$V$98))))</f>
        <v/>
      </c>
      <c r="U1043" s="62">
        <f>IF(U$15&lt;=1,0,SUMPRODUCT(MAX(($C$12:$V$12=U$12)*($C$203:$V$203)*($C$98:$V$98))))</f>
        <v/>
      </c>
      <c r="V1043" s="62">
        <f>IF(V$15&lt;=1,0,SUMPRODUCT(MAX(($C$12:$V$12=V$12)*($C$203:$V$203)*($C$98:$V$98))))</f>
        <v/>
      </c>
    </row>
    <row r="1044">
      <c r="C1044" s="62">
        <f>IF(C$15&lt;=1,0,SUMPRODUCT(MAX(($C$12:$V$12=C$12)*($C$204:$V$204)*($C$99:$V$99))))</f>
        <v/>
      </c>
      <c r="D1044" s="62">
        <f>IF(D$15&lt;=1,0,SUMPRODUCT(MAX(($C$12:$V$12=D$12)*($C$204:$V$204)*($C$99:$V$99))))</f>
        <v/>
      </c>
      <c r="E1044" s="62">
        <f>IF(E$15&lt;=1,0,SUMPRODUCT(MAX(($C$12:$V$12=E$12)*($C$204:$V$204)*($C$99:$V$99))))</f>
        <v/>
      </c>
      <c r="F1044" s="62">
        <f>IF(F$15&lt;=1,0,SUMPRODUCT(MAX(($C$12:$V$12=F$12)*($C$204:$V$204)*($C$99:$V$99))))</f>
        <v/>
      </c>
      <c r="G1044" s="62">
        <f>IF(G$15&lt;=1,0,SUMPRODUCT(MAX(($C$12:$V$12=G$12)*($C$204:$V$204)*($C$99:$V$99))))</f>
        <v/>
      </c>
      <c r="H1044" s="62">
        <f>IF(H$15&lt;=1,0,SUMPRODUCT(MAX(($C$12:$V$12=H$12)*($C$204:$V$204)*($C$99:$V$99))))</f>
        <v/>
      </c>
      <c r="I1044" s="62">
        <f>IF(I$15&lt;=1,0,SUMPRODUCT(MAX(($C$12:$V$12=I$12)*($C$204:$V$204)*($C$99:$V$99))))</f>
        <v/>
      </c>
      <c r="J1044" s="62">
        <f>IF(J$15&lt;=1,0,SUMPRODUCT(MAX(($C$12:$V$12=J$12)*($C$204:$V$204)*($C$99:$V$99))))</f>
        <v/>
      </c>
      <c r="K1044" s="62">
        <f>IF(K$15&lt;=1,0,SUMPRODUCT(MAX(($C$12:$V$12=K$12)*($C$204:$V$204)*($C$99:$V$99))))</f>
        <v/>
      </c>
      <c r="L1044" s="62">
        <f>IF(L$15&lt;=1,0,SUMPRODUCT(MAX(($C$12:$V$12=L$12)*($C$204:$V$204)*($C$99:$V$99))))</f>
        <v/>
      </c>
      <c r="M1044" s="62">
        <f>IF(M$15&lt;=1,0,SUMPRODUCT(MAX(($C$12:$V$12=M$12)*($C$204:$V$204)*($C$99:$V$99))))</f>
        <v/>
      </c>
      <c r="N1044" s="62">
        <f>IF(N$15&lt;=1,0,SUMPRODUCT(MAX(($C$12:$V$12=N$12)*($C$204:$V$204)*($C$99:$V$99))))</f>
        <v/>
      </c>
      <c r="O1044" s="62">
        <f>IF(O$15&lt;=1,0,SUMPRODUCT(MAX(($C$12:$V$12=O$12)*($C$204:$V$204)*($C$99:$V$99))))</f>
        <v/>
      </c>
      <c r="P1044" s="62">
        <f>IF(P$15&lt;=1,0,SUMPRODUCT(MAX(($C$12:$V$12=P$12)*($C$204:$V$204)*($C$99:$V$99))))</f>
        <v/>
      </c>
      <c r="Q1044" s="62">
        <f>IF(Q$15&lt;=1,0,SUMPRODUCT(MAX(($C$12:$V$12=Q$12)*($C$204:$V$204)*($C$99:$V$99))))</f>
        <v/>
      </c>
      <c r="R1044" s="62">
        <f>IF(R$15&lt;=1,0,SUMPRODUCT(MAX(($C$12:$V$12=R$12)*($C$204:$V$204)*($C$99:$V$99))))</f>
        <v/>
      </c>
      <c r="S1044" s="62">
        <f>IF(S$15&lt;=1,0,SUMPRODUCT(MAX(($C$12:$V$12=S$12)*($C$204:$V$204)*($C$99:$V$99))))</f>
        <v/>
      </c>
      <c r="T1044" s="62">
        <f>IF(T$15&lt;=1,0,SUMPRODUCT(MAX(($C$12:$V$12=T$12)*($C$204:$V$204)*($C$99:$V$99))))</f>
        <v/>
      </c>
      <c r="U1044" s="62">
        <f>IF(U$15&lt;=1,0,SUMPRODUCT(MAX(($C$12:$V$12=U$12)*($C$204:$V$204)*($C$99:$V$99))))</f>
        <v/>
      </c>
      <c r="V1044" s="62">
        <f>IF(V$15&lt;=1,0,SUMPRODUCT(MAX(($C$12:$V$12=V$12)*($C$204:$V$204)*($C$99:$V$99))))</f>
        <v/>
      </c>
    </row>
    <row r="1045">
      <c r="C1045" s="62">
        <f>IF(C$15&lt;=1,0,SUMPRODUCT(MAX(($C$12:$V$12=C$12)*($C$205:$V$205)*($C$100:$V$100))))</f>
        <v/>
      </c>
      <c r="D1045" s="62">
        <f>IF(D$15&lt;=1,0,SUMPRODUCT(MAX(($C$12:$V$12=D$12)*($C$205:$V$205)*($C$100:$V$100))))</f>
        <v/>
      </c>
      <c r="E1045" s="62">
        <f>IF(E$15&lt;=1,0,SUMPRODUCT(MAX(($C$12:$V$12=E$12)*($C$205:$V$205)*($C$100:$V$100))))</f>
        <v/>
      </c>
      <c r="F1045" s="62">
        <f>IF(F$15&lt;=1,0,SUMPRODUCT(MAX(($C$12:$V$12=F$12)*($C$205:$V$205)*($C$100:$V$100))))</f>
        <v/>
      </c>
      <c r="G1045" s="62">
        <f>IF(G$15&lt;=1,0,SUMPRODUCT(MAX(($C$12:$V$12=G$12)*($C$205:$V$205)*($C$100:$V$100))))</f>
        <v/>
      </c>
      <c r="H1045" s="62">
        <f>IF(H$15&lt;=1,0,SUMPRODUCT(MAX(($C$12:$V$12=H$12)*($C$205:$V$205)*($C$100:$V$100))))</f>
        <v/>
      </c>
      <c r="I1045" s="62">
        <f>IF(I$15&lt;=1,0,SUMPRODUCT(MAX(($C$12:$V$12=I$12)*($C$205:$V$205)*($C$100:$V$100))))</f>
        <v/>
      </c>
      <c r="J1045" s="62">
        <f>IF(J$15&lt;=1,0,SUMPRODUCT(MAX(($C$12:$V$12=J$12)*($C$205:$V$205)*($C$100:$V$100))))</f>
        <v/>
      </c>
      <c r="K1045" s="62">
        <f>IF(K$15&lt;=1,0,SUMPRODUCT(MAX(($C$12:$V$12=K$12)*($C$205:$V$205)*($C$100:$V$100))))</f>
        <v/>
      </c>
      <c r="L1045" s="62">
        <f>IF(L$15&lt;=1,0,SUMPRODUCT(MAX(($C$12:$V$12=L$12)*($C$205:$V$205)*($C$100:$V$100))))</f>
        <v/>
      </c>
      <c r="M1045" s="62">
        <f>IF(M$15&lt;=1,0,SUMPRODUCT(MAX(($C$12:$V$12=M$12)*($C$205:$V$205)*($C$100:$V$100))))</f>
        <v/>
      </c>
      <c r="N1045" s="62">
        <f>IF(N$15&lt;=1,0,SUMPRODUCT(MAX(($C$12:$V$12=N$12)*($C$205:$V$205)*($C$100:$V$100))))</f>
        <v/>
      </c>
      <c r="O1045" s="62">
        <f>IF(O$15&lt;=1,0,SUMPRODUCT(MAX(($C$12:$V$12=O$12)*($C$205:$V$205)*($C$100:$V$100))))</f>
        <v/>
      </c>
      <c r="P1045" s="62">
        <f>IF(P$15&lt;=1,0,SUMPRODUCT(MAX(($C$12:$V$12=P$12)*($C$205:$V$205)*($C$100:$V$100))))</f>
        <v/>
      </c>
      <c r="Q1045" s="62">
        <f>IF(Q$15&lt;=1,0,SUMPRODUCT(MAX(($C$12:$V$12=Q$12)*($C$205:$V$205)*($C$100:$V$100))))</f>
        <v/>
      </c>
      <c r="R1045" s="62">
        <f>IF(R$15&lt;=1,0,SUMPRODUCT(MAX(($C$12:$V$12=R$12)*($C$205:$V$205)*($C$100:$V$100))))</f>
        <v/>
      </c>
      <c r="S1045" s="62">
        <f>IF(S$15&lt;=1,0,SUMPRODUCT(MAX(($C$12:$V$12=S$12)*($C$205:$V$205)*($C$100:$V$100))))</f>
        <v/>
      </c>
      <c r="T1045" s="62">
        <f>IF(T$15&lt;=1,0,SUMPRODUCT(MAX(($C$12:$V$12=T$12)*($C$205:$V$205)*($C$100:$V$100))))</f>
        <v/>
      </c>
      <c r="U1045" s="62">
        <f>IF(U$15&lt;=1,0,SUMPRODUCT(MAX(($C$12:$V$12=U$12)*($C$205:$V$205)*($C$100:$V$100))))</f>
        <v/>
      </c>
      <c r="V1045" s="62">
        <f>IF(V$15&lt;=1,0,SUMPRODUCT(MAX(($C$12:$V$12=V$12)*($C$205:$V$205)*($C$100:$V$100))))</f>
        <v/>
      </c>
    </row>
    <row r="1046">
      <c r="C1046" s="62">
        <f>IF(C$15&lt;=1,0,SUMPRODUCT(MAX(($C$12:$V$12=C$12)*($C$206:$V$206)*($C$101:$V$101))))</f>
        <v/>
      </c>
      <c r="D1046" s="62">
        <f>IF(D$15&lt;=1,0,SUMPRODUCT(MAX(($C$12:$V$12=D$12)*($C$206:$V$206)*($C$101:$V$101))))</f>
        <v/>
      </c>
      <c r="E1046" s="62">
        <f>IF(E$15&lt;=1,0,SUMPRODUCT(MAX(($C$12:$V$12=E$12)*($C$206:$V$206)*($C$101:$V$101))))</f>
        <v/>
      </c>
      <c r="F1046" s="62">
        <f>IF(F$15&lt;=1,0,SUMPRODUCT(MAX(($C$12:$V$12=F$12)*($C$206:$V$206)*($C$101:$V$101))))</f>
        <v/>
      </c>
      <c r="G1046" s="62">
        <f>IF(G$15&lt;=1,0,SUMPRODUCT(MAX(($C$12:$V$12=G$12)*($C$206:$V$206)*($C$101:$V$101))))</f>
        <v/>
      </c>
      <c r="H1046" s="62">
        <f>IF(H$15&lt;=1,0,SUMPRODUCT(MAX(($C$12:$V$12=H$12)*($C$206:$V$206)*($C$101:$V$101))))</f>
        <v/>
      </c>
      <c r="I1046" s="62">
        <f>IF(I$15&lt;=1,0,SUMPRODUCT(MAX(($C$12:$V$12=I$12)*($C$206:$V$206)*($C$101:$V$101))))</f>
        <v/>
      </c>
      <c r="J1046" s="62">
        <f>IF(J$15&lt;=1,0,SUMPRODUCT(MAX(($C$12:$V$12=J$12)*($C$206:$V$206)*($C$101:$V$101))))</f>
        <v/>
      </c>
      <c r="K1046" s="62">
        <f>IF(K$15&lt;=1,0,SUMPRODUCT(MAX(($C$12:$V$12=K$12)*($C$206:$V$206)*($C$101:$V$101))))</f>
        <v/>
      </c>
      <c r="L1046" s="62">
        <f>IF(L$15&lt;=1,0,SUMPRODUCT(MAX(($C$12:$V$12=L$12)*($C$206:$V$206)*($C$101:$V$101))))</f>
        <v/>
      </c>
      <c r="M1046" s="62">
        <f>IF(M$15&lt;=1,0,SUMPRODUCT(MAX(($C$12:$V$12=M$12)*($C$206:$V$206)*($C$101:$V$101))))</f>
        <v/>
      </c>
      <c r="N1046" s="62">
        <f>IF(N$15&lt;=1,0,SUMPRODUCT(MAX(($C$12:$V$12=N$12)*($C$206:$V$206)*($C$101:$V$101))))</f>
        <v/>
      </c>
      <c r="O1046" s="62">
        <f>IF(O$15&lt;=1,0,SUMPRODUCT(MAX(($C$12:$V$12=O$12)*($C$206:$V$206)*($C$101:$V$101))))</f>
        <v/>
      </c>
      <c r="P1046" s="62">
        <f>IF(P$15&lt;=1,0,SUMPRODUCT(MAX(($C$12:$V$12=P$12)*($C$206:$V$206)*($C$101:$V$101))))</f>
        <v/>
      </c>
      <c r="Q1046" s="62">
        <f>IF(Q$15&lt;=1,0,SUMPRODUCT(MAX(($C$12:$V$12=Q$12)*($C$206:$V$206)*($C$101:$V$101))))</f>
        <v/>
      </c>
      <c r="R1046" s="62">
        <f>IF(R$15&lt;=1,0,SUMPRODUCT(MAX(($C$12:$V$12=R$12)*($C$206:$V$206)*($C$101:$V$101))))</f>
        <v/>
      </c>
      <c r="S1046" s="62">
        <f>IF(S$15&lt;=1,0,SUMPRODUCT(MAX(($C$12:$V$12=S$12)*($C$206:$V$206)*($C$101:$V$101))))</f>
        <v/>
      </c>
      <c r="T1046" s="62">
        <f>IF(T$15&lt;=1,0,SUMPRODUCT(MAX(($C$12:$V$12=T$12)*($C$206:$V$206)*($C$101:$V$101))))</f>
        <v/>
      </c>
      <c r="U1046" s="62">
        <f>IF(U$15&lt;=1,0,SUMPRODUCT(MAX(($C$12:$V$12=U$12)*($C$206:$V$206)*($C$101:$V$101))))</f>
        <v/>
      </c>
      <c r="V1046" s="62">
        <f>IF(V$15&lt;=1,0,SUMPRODUCT(MAX(($C$12:$V$12=V$12)*($C$206:$V$206)*($C$101:$V$101))))</f>
        <v/>
      </c>
    </row>
    <row r="1047">
      <c r="C1047" s="62">
        <f>IF(C$15&lt;=1,0,SUMPRODUCT(MAX(($C$12:$V$12=C$12)*($C$207:$V$207)*($C$102:$V$102))))</f>
        <v/>
      </c>
      <c r="D1047" s="62">
        <f>IF(D$15&lt;=1,0,SUMPRODUCT(MAX(($C$12:$V$12=D$12)*($C$207:$V$207)*($C$102:$V$102))))</f>
        <v/>
      </c>
      <c r="E1047" s="62">
        <f>IF(E$15&lt;=1,0,SUMPRODUCT(MAX(($C$12:$V$12=E$12)*($C$207:$V$207)*($C$102:$V$102))))</f>
        <v/>
      </c>
      <c r="F1047" s="62">
        <f>IF(F$15&lt;=1,0,SUMPRODUCT(MAX(($C$12:$V$12=F$12)*($C$207:$V$207)*($C$102:$V$102))))</f>
        <v/>
      </c>
      <c r="G1047" s="62">
        <f>IF(G$15&lt;=1,0,SUMPRODUCT(MAX(($C$12:$V$12=G$12)*($C$207:$V$207)*($C$102:$V$102))))</f>
        <v/>
      </c>
      <c r="H1047" s="62">
        <f>IF(H$15&lt;=1,0,SUMPRODUCT(MAX(($C$12:$V$12=H$12)*($C$207:$V$207)*($C$102:$V$102))))</f>
        <v/>
      </c>
      <c r="I1047" s="62">
        <f>IF(I$15&lt;=1,0,SUMPRODUCT(MAX(($C$12:$V$12=I$12)*($C$207:$V$207)*($C$102:$V$102))))</f>
        <v/>
      </c>
      <c r="J1047" s="62">
        <f>IF(J$15&lt;=1,0,SUMPRODUCT(MAX(($C$12:$V$12=J$12)*($C$207:$V$207)*($C$102:$V$102))))</f>
        <v/>
      </c>
      <c r="K1047" s="62">
        <f>IF(K$15&lt;=1,0,SUMPRODUCT(MAX(($C$12:$V$12=K$12)*($C$207:$V$207)*($C$102:$V$102))))</f>
        <v/>
      </c>
      <c r="L1047" s="62">
        <f>IF(L$15&lt;=1,0,SUMPRODUCT(MAX(($C$12:$V$12=L$12)*($C$207:$V$207)*($C$102:$V$102))))</f>
        <v/>
      </c>
      <c r="M1047" s="62">
        <f>IF(M$15&lt;=1,0,SUMPRODUCT(MAX(($C$12:$V$12=M$12)*($C$207:$V$207)*($C$102:$V$102))))</f>
        <v/>
      </c>
      <c r="N1047" s="62">
        <f>IF(N$15&lt;=1,0,SUMPRODUCT(MAX(($C$12:$V$12=N$12)*($C$207:$V$207)*($C$102:$V$102))))</f>
        <v/>
      </c>
      <c r="O1047" s="62">
        <f>IF(O$15&lt;=1,0,SUMPRODUCT(MAX(($C$12:$V$12=O$12)*($C$207:$V$207)*($C$102:$V$102))))</f>
        <v/>
      </c>
      <c r="P1047" s="62">
        <f>IF(P$15&lt;=1,0,SUMPRODUCT(MAX(($C$12:$V$12=P$12)*($C$207:$V$207)*($C$102:$V$102))))</f>
        <v/>
      </c>
      <c r="Q1047" s="62">
        <f>IF(Q$15&lt;=1,0,SUMPRODUCT(MAX(($C$12:$V$12=Q$12)*($C$207:$V$207)*($C$102:$V$102))))</f>
        <v/>
      </c>
      <c r="R1047" s="62">
        <f>IF(R$15&lt;=1,0,SUMPRODUCT(MAX(($C$12:$V$12=R$12)*($C$207:$V$207)*($C$102:$V$102))))</f>
        <v/>
      </c>
      <c r="S1047" s="62">
        <f>IF(S$15&lt;=1,0,SUMPRODUCT(MAX(($C$12:$V$12=S$12)*($C$207:$V$207)*($C$102:$V$102))))</f>
        <v/>
      </c>
      <c r="T1047" s="62">
        <f>IF(T$15&lt;=1,0,SUMPRODUCT(MAX(($C$12:$V$12=T$12)*($C$207:$V$207)*($C$102:$V$102))))</f>
        <v/>
      </c>
      <c r="U1047" s="62">
        <f>IF(U$15&lt;=1,0,SUMPRODUCT(MAX(($C$12:$V$12=U$12)*($C$207:$V$207)*($C$102:$V$102))))</f>
        <v/>
      </c>
      <c r="V1047" s="62">
        <f>IF(V$15&lt;=1,0,SUMPRODUCT(MAX(($C$12:$V$12=V$12)*($C$207:$V$207)*($C$102:$V$102))))</f>
        <v/>
      </c>
    </row>
    <row r="1048">
      <c r="C1048" s="62">
        <f>IF(C$15&lt;=1,0,SUMPRODUCT(MAX(($C$12:$V$12=C$12)*($C$208:$V$208)*($C$103:$V$103))))</f>
        <v/>
      </c>
      <c r="D1048" s="62">
        <f>IF(D$15&lt;=1,0,SUMPRODUCT(MAX(($C$12:$V$12=D$12)*($C$208:$V$208)*($C$103:$V$103))))</f>
        <v/>
      </c>
      <c r="E1048" s="62">
        <f>IF(E$15&lt;=1,0,SUMPRODUCT(MAX(($C$12:$V$12=E$12)*($C$208:$V$208)*($C$103:$V$103))))</f>
        <v/>
      </c>
      <c r="F1048" s="62">
        <f>IF(F$15&lt;=1,0,SUMPRODUCT(MAX(($C$12:$V$12=F$12)*($C$208:$V$208)*($C$103:$V$103))))</f>
        <v/>
      </c>
      <c r="G1048" s="62">
        <f>IF(G$15&lt;=1,0,SUMPRODUCT(MAX(($C$12:$V$12=G$12)*($C$208:$V$208)*($C$103:$V$103))))</f>
        <v/>
      </c>
      <c r="H1048" s="62">
        <f>IF(H$15&lt;=1,0,SUMPRODUCT(MAX(($C$12:$V$12=H$12)*($C$208:$V$208)*($C$103:$V$103))))</f>
        <v/>
      </c>
      <c r="I1048" s="62">
        <f>IF(I$15&lt;=1,0,SUMPRODUCT(MAX(($C$12:$V$12=I$12)*($C$208:$V$208)*($C$103:$V$103))))</f>
        <v/>
      </c>
      <c r="J1048" s="62">
        <f>IF(J$15&lt;=1,0,SUMPRODUCT(MAX(($C$12:$V$12=J$12)*($C$208:$V$208)*($C$103:$V$103))))</f>
        <v/>
      </c>
      <c r="K1048" s="62">
        <f>IF(K$15&lt;=1,0,SUMPRODUCT(MAX(($C$12:$V$12=K$12)*($C$208:$V$208)*($C$103:$V$103))))</f>
        <v/>
      </c>
      <c r="L1048" s="62">
        <f>IF(L$15&lt;=1,0,SUMPRODUCT(MAX(($C$12:$V$12=L$12)*($C$208:$V$208)*($C$103:$V$103))))</f>
        <v/>
      </c>
      <c r="M1048" s="62">
        <f>IF(M$15&lt;=1,0,SUMPRODUCT(MAX(($C$12:$V$12=M$12)*($C$208:$V$208)*($C$103:$V$103))))</f>
        <v/>
      </c>
      <c r="N1048" s="62">
        <f>IF(N$15&lt;=1,0,SUMPRODUCT(MAX(($C$12:$V$12=N$12)*($C$208:$V$208)*($C$103:$V$103))))</f>
        <v/>
      </c>
      <c r="O1048" s="62">
        <f>IF(O$15&lt;=1,0,SUMPRODUCT(MAX(($C$12:$V$12=O$12)*($C$208:$V$208)*($C$103:$V$103))))</f>
        <v/>
      </c>
      <c r="P1048" s="62">
        <f>IF(P$15&lt;=1,0,SUMPRODUCT(MAX(($C$12:$V$12=P$12)*($C$208:$V$208)*($C$103:$V$103))))</f>
        <v/>
      </c>
      <c r="Q1048" s="62">
        <f>IF(Q$15&lt;=1,0,SUMPRODUCT(MAX(($C$12:$V$12=Q$12)*($C$208:$V$208)*($C$103:$V$103))))</f>
        <v/>
      </c>
      <c r="R1048" s="62">
        <f>IF(R$15&lt;=1,0,SUMPRODUCT(MAX(($C$12:$V$12=R$12)*($C$208:$V$208)*($C$103:$V$103))))</f>
        <v/>
      </c>
      <c r="S1048" s="62">
        <f>IF(S$15&lt;=1,0,SUMPRODUCT(MAX(($C$12:$V$12=S$12)*($C$208:$V$208)*($C$103:$V$103))))</f>
        <v/>
      </c>
      <c r="T1048" s="62">
        <f>IF(T$15&lt;=1,0,SUMPRODUCT(MAX(($C$12:$V$12=T$12)*($C$208:$V$208)*($C$103:$V$103))))</f>
        <v/>
      </c>
      <c r="U1048" s="62">
        <f>IF(U$15&lt;=1,0,SUMPRODUCT(MAX(($C$12:$V$12=U$12)*($C$208:$V$208)*($C$103:$V$103))))</f>
        <v/>
      </c>
      <c r="V1048" s="62">
        <f>IF(V$15&lt;=1,0,SUMPRODUCT(MAX(($C$12:$V$12=V$12)*($C$208:$V$208)*($C$103:$V$103))))</f>
        <v/>
      </c>
    </row>
    <row r="1049">
      <c r="C1049" s="62">
        <f>IF(C$15&lt;=1,0,SUMPRODUCT(MAX(($C$12:$V$12=C$12)*($C$209:$V$209)*($C$104:$V$104))))</f>
        <v/>
      </c>
      <c r="D1049" s="62">
        <f>IF(D$15&lt;=1,0,SUMPRODUCT(MAX(($C$12:$V$12=D$12)*($C$209:$V$209)*($C$104:$V$104))))</f>
        <v/>
      </c>
      <c r="E1049" s="62">
        <f>IF(E$15&lt;=1,0,SUMPRODUCT(MAX(($C$12:$V$12=E$12)*($C$209:$V$209)*($C$104:$V$104))))</f>
        <v/>
      </c>
      <c r="F1049" s="62">
        <f>IF(F$15&lt;=1,0,SUMPRODUCT(MAX(($C$12:$V$12=F$12)*($C$209:$V$209)*($C$104:$V$104))))</f>
        <v/>
      </c>
      <c r="G1049" s="62">
        <f>IF(G$15&lt;=1,0,SUMPRODUCT(MAX(($C$12:$V$12=G$12)*($C$209:$V$209)*($C$104:$V$104))))</f>
        <v/>
      </c>
      <c r="H1049" s="62">
        <f>IF(H$15&lt;=1,0,SUMPRODUCT(MAX(($C$12:$V$12=H$12)*($C$209:$V$209)*($C$104:$V$104))))</f>
        <v/>
      </c>
      <c r="I1049" s="62">
        <f>IF(I$15&lt;=1,0,SUMPRODUCT(MAX(($C$12:$V$12=I$12)*($C$209:$V$209)*($C$104:$V$104))))</f>
        <v/>
      </c>
      <c r="J1049" s="62">
        <f>IF(J$15&lt;=1,0,SUMPRODUCT(MAX(($C$12:$V$12=J$12)*($C$209:$V$209)*($C$104:$V$104))))</f>
        <v/>
      </c>
      <c r="K1049" s="62">
        <f>IF(K$15&lt;=1,0,SUMPRODUCT(MAX(($C$12:$V$12=K$12)*($C$209:$V$209)*($C$104:$V$104))))</f>
        <v/>
      </c>
      <c r="L1049" s="62">
        <f>IF(L$15&lt;=1,0,SUMPRODUCT(MAX(($C$12:$V$12=L$12)*($C$209:$V$209)*($C$104:$V$104))))</f>
        <v/>
      </c>
      <c r="M1049" s="62">
        <f>IF(M$15&lt;=1,0,SUMPRODUCT(MAX(($C$12:$V$12=M$12)*($C$209:$V$209)*($C$104:$V$104))))</f>
        <v/>
      </c>
      <c r="N1049" s="62">
        <f>IF(N$15&lt;=1,0,SUMPRODUCT(MAX(($C$12:$V$12=N$12)*($C$209:$V$209)*($C$104:$V$104))))</f>
        <v/>
      </c>
      <c r="O1049" s="62">
        <f>IF(O$15&lt;=1,0,SUMPRODUCT(MAX(($C$12:$V$12=O$12)*($C$209:$V$209)*($C$104:$V$104))))</f>
        <v/>
      </c>
      <c r="P1049" s="62">
        <f>IF(P$15&lt;=1,0,SUMPRODUCT(MAX(($C$12:$V$12=P$12)*($C$209:$V$209)*($C$104:$V$104))))</f>
        <v/>
      </c>
      <c r="Q1049" s="62">
        <f>IF(Q$15&lt;=1,0,SUMPRODUCT(MAX(($C$12:$V$12=Q$12)*($C$209:$V$209)*($C$104:$V$104))))</f>
        <v/>
      </c>
      <c r="R1049" s="62">
        <f>IF(R$15&lt;=1,0,SUMPRODUCT(MAX(($C$12:$V$12=R$12)*($C$209:$V$209)*($C$104:$V$104))))</f>
        <v/>
      </c>
      <c r="S1049" s="62">
        <f>IF(S$15&lt;=1,0,SUMPRODUCT(MAX(($C$12:$V$12=S$12)*($C$209:$V$209)*($C$104:$V$104))))</f>
        <v/>
      </c>
      <c r="T1049" s="62">
        <f>IF(T$15&lt;=1,0,SUMPRODUCT(MAX(($C$12:$V$12=T$12)*($C$209:$V$209)*($C$104:$V$104))))</f>
        <v/>
      </c>
      <c r="U1049" s="62">
        <f>IF(U$15&lt;=1,0,SUMPRODUCT(MAX(($C$12:$V$12=U$12)*($C$209:$V$209)*($C$104:$V$104))))</f>
        <v/>
      </c>
      <c r="V1049" s="62">
        <f>IF(V$15&lt;=1,0,SUMPRODUCT(MAX(($C$12:$V$12=V$12)*($C$209:$V$209)*($C$104:$V$104))))</f>
        <v/>
      </c>
    </row>
    <row r="1050">
      <c r="C1050" s="62">
        <f>IF(C$15&lt;=1,0,SUMPRODUCT(MAX(($C$12:$V$12=C$12)*($C$210:$V$210)*($C$105:$V$105))))</f>
        <v/>
      </c>
      <c r="D1050" s="62">
        <f>IF(D$15&lt;=1,0,SUMPRODUCT(MAX(($C$12:$V$12=D$12)*($C$210:$V$210)*($C$105:$V$105))))</f>
        <v/>
      </c>
      <c r="E1050" s="62">
        <f>IF(E$15&lt;=1,0,SUMPRODUCT(MAX(($C$12:$V$12=E$12)*($C$210:$V$210)*($C$105:$V$105))))</f>
        <v/>
      </c>
      <c r="F1050" s="62">
        <f>IF(F$15&lt;=1,0,SUMPRODUCT(MAX(($C$12:$V$12=F$12)*($C$210:$V$210)*($C$105:$V$105))))</f>
        <v/>
      </c>
      <c r="G1050" s="62">
        <f>IF(G$15&lt;=1,0,SUMPRODUCT(MAX(($C$12:$V$12=G$12)*($C$210:$V$210)*($C$105:$V$105))))</f>
        <v/>
      </c>
      <c r="H1050" s="62">
        <f>IF(H$15&lt;=1,0,SUMPRODUCT(MAX(($C$12:$V$12=H$12)*($C$210:$V$210)*($C$105:$V$105))))</f>
        <v/>
      </c>
      <c r="I1050" s="62">
        <f>IF(I$15&lt;=1,0,SUMPRODUCT(MAX(($C$12:$V$12=I$12)*($C$210:$V$210)*($C$105:$V$105))))</f>
        <v/>
      </c>
      <c r="J1050" s="62">
        <f>IF(J$15&lt;=1,0,SUMPRODUCT(MAX(($C$12:$V$12=J$12)*($C$210:$V$210)*($C$105:$V$105))))</f>
        <v/>
      </c>
      <c r="K1050" s="62">
        <f>IF(K$15&lt;=1,0,SUMPRODUCT(MAX(($C$12:$V$12=K$12)*($C$210:$V$210)*($C$105:$V$105))))</f>
        <v/>
      </c>
      <c r="L1050" s="62">
        <f>IF(L$15&lt;=1,0,SUMPRODUCT(MAX(($C$12:$V$12=L$12)*($C$210:$V$210)*($C$105:$V$105))))</f>
        <v/>
      </c>
      <c r="M1050" s="62">
        <f>IF(M$15&lt;=1,0,SUMPRODUCT(MAX(($C$12:$V$12=M$12)*($C$210:$V$210)*($C$105:$V$105))))</f>
        <v/>
      </c>
      <c r="N1050" s="62">
        <f>IF(N$15&lt;=1,0,SUMPRODUCT(MAX(($C$12:$V$12=N$12)*($C$210:$V$210)*($C$105:$V$105))))</f>
        <v/>
      </c>
      <c r="O1050" s="62">
        <f>IF(O$15&lt;=1,0,SUMPRODUCT(MAX(($C$12:$V$12=O$12)*($C$210:$V$210)*($C$105:$V$105))))</f>
        <v/>
      </c>
      <c r="P1050" s="62">
        <f>IF(P$15&lt;=1,0,SUMPRODUCT(MAX(($C$12:$V$12=P$12)*($C$210:$V$210)*($C$105:$V$105))))</f>
        <v/>
      </c>
      <c r="Q1050" s="62">
        <f>IF(Q$15&lt;=1,0,SUMPRODUCT(MAX(($C$12:$V$12=Q$12)*($C$210:$V$210)*($C$105:$V$105))))</f>
        <v/>
      </c>
      <c r="R1050" s="62">
        <f>IF(R$15&lt;=1,0,SUMPRODUCT(MAX(($C$12:$V$12=R$12)*($C$210:$V$210)*($C$105:$V$105))))</f>
        <v/>
      </c>
      <c r="S1050" s="62">
        <f>IF(S$15&lt;=1,0,SUMPRODUCT(MAX(($C$12:$V$12=S$12)*($C$210:$V$210)*($C$105:$V$105))))</f>
        <v/>
      </c>
      <c r="T1050" s="62">
        <f>IF(T$15&lt;=1,0,SUMPRODUCT(MAX(($C$12:$V$12=T$12)*($C$210:$V$210)*($C$105:$V$105))))</f>
        <v/>
      </c>
      <c r="U1050" s="62">
        <f>IF(U$15&lt;=1,0,SUMPRODUCT(MAX(($C$12:$V$12=U$12)*($C$210:$V$210)*($C$105:$V$105))))</f>
        <v/>
      </c>
      <c r="V1050" s="62">
        <f>IF(V$15&lt;=1,0,SUMPRODUCT(MAX(($C$12:$V$12=V$12)*($C$210:$V$210)*($C$105:$V$105))))</f>
        <v/>
      </c>
    </row>
    <row r="1051">
      <c r="C1051" s="62">
        <f>IF(C$15&lt;=1,0,SUMPRODUCT(MAX(($C$12:$V$12=C$12)*($C$211:$V$211)*($C$106:$V$106))))</f>
        <v/>
      </c>
      <c r="D1051" s="62">
        <f>IF(D$15&lt;=1,0,SUMPRODUCT(MAX(($C$12:$V$12=D$12)*($C$211:$V$211)*($C$106:$V$106))))</f>
        <v/>
      </c>
      <c r="E1051" s="62">
        <f>IF(E$15&lt;=1,0,SUMPRODUCT(MAX(($C$12:$V$12=E$12)*($C$211:$V$211)*($C$106:$V$106))))</f>
        <v/>
      </c>
      <c r="F1051" s="62">
        <f>IF(F$15&lt;=1,0,SUMPRODUCT(MAX(($C$12:$V$12=F$12)*($C$211:$V$211)*($C$106:$V$106))))</f>
        <v/>
      </c>
      <c r="G1051" s="62">
        <f>IF(G$15&lt;=1,0,SUMPRODUCT(MAX(($C$12:$V$12=G$12)*($C$211:$V$211)*($C$106:$V$106))))</f>
        <v/>
      </c>
      <c r="H1051" s="62">
        <f>IF(H$15&lt;=1,0,SUMPRODUCT(MAX(($C$12:$V$12=H$12)*($C$211:$V$211)*($C$106:$V$106))))</f>
        <v/>
      </c>
      <c r="I1051" s="62">
        <f>IF(I$15&lt;=1,0,SUMPRODUCT(MAX(($C$12:$V$12=I$12)*($C$211:$V$211)*($C$106:$V$106))))</f>
        <v/>
      </c>
      <c r="J1051" s="62">
        <f>IF(J$15&lt;=1,0,SUMPRODUCT(MAX(($C$12:$V$12=J$12)*($C$211:$V$211)*($C$106:$V$106))))</f>
        <v/>
      </c>
      <c r="K1051" s="62">
        <f>IF(K$15&lt;=1,0,SUMPRODUCT(MAX(($C$12:$V$12=K$12)*($C$211:$V$211)*($C$106:$V$106))))</f>
        <v/>
      </c>
      <c r="L1051" s="62">
        <f>IF(L$15&lt;=1,0,SUMPRODUCT(MAX(($C$12:$V$12=L$12)*($C$211:$V$211)*($C$106:$V$106))))</f>
        <v/>
      </c>
      <c r="M1051" s="62">
        <f>IF(M$15&lt;=1,0,SUMPRODUCT(MAX(($C$12:$V$12=M$12)*($C$211:$V$211)*($C$106:$V$106))))</f>
        <v/>
      </c>
      <c r="N1051" s="62">
        <f>IF(N$15&lt;=1,0,SUMPRODUCT(MAX(($C$12:$V$12=N$12)*($C$211:$V$211)*($C$106:$V$106))))</f>
        <v/>
      </c>
      <c r="O1051" s="62">
        <f>IF(O$15&lt;=1,0,SUMPRODUCT(MAX(($C$12:$V$12=O$12)*($C$211:$V$211)*($C$106:$V$106))))</f>
        <v/>
      </c>
      <c r="P1051" s="62">
        <f>IF(P$15&lt;=1,0,SUMPRODUCT(MAX(($C$12:$V$12=P$12)*($C$211:$V$211)*($C$106:$V$106))))</f>
        <v/>
      </c>
      <c r="Q1051" s="62">
        <f>IF(Q$15&lt;=1,0,SUMPRODUCT(MAX(($C$12:$V$12=Q$12)*($C$211:$V$211)*($C$106:$V$106))))</f>
        <v/>
      </c>
      <c r="R1051" s="62">
        <f>IF(R$15&lt;=1,0,SUMPRODUCT(MAX(($C$12:$V$12=R$12)*($C$211:$V$211)*($C$106:$V$106))))</f>
        <v/>
      </c>
      <c r="S1051" s="62">
        <f>IF(S$15&lt;=1,0,SUMPRODUCT(MAX(($C$12:$V$12=S$12)*($C$211:$V$211)*($C$106:$V$106))))</f>
        <v/>
      </c>
      <c r="T1051" s="62">
        <f>IF(T$15&lt;=1,0,SUMPRODUCT(MAX(($C$12:$V$12=T$12)*($C$211:$V$211)*($C$106:$V$106))))</f>
        <v/>
      </c>
      <c r="U1051" s="62">
        <f>IF(U$15&lt;=1,0,SUMPRODUCT(MAX(($C$12:$V$12=U$12)*($C$211:$V$211)*($C$106:$V$106))))</f>
        <v/>
      </c>
      <c r="V1051" s="62">
        <f>IF(V$15&lt;=1,0,SUMPRODUCT(MAX(($C$12:$V$12=V$12)*($C$211:$V$211)*($C$106:$V$106))))</f>
        <v/>
      </c>
    </row>
    <row r="1052">
      <c r="C1052" s="62">
        <f>IF(C$15&lt;=1,0,SUMPRODUCT(MAX(($C$12:$V$12=C$12)*($C$212:$V$212)*($C$107:$V$107))))</f>
        <v/>
      </c>
      <c r="D1052" s="62">
        <f>IF(D$15&lt;=1,0,SUMPRODUCT(MAX(($C$12:$V$12=D$12)*($C$212:$V$212)*($C$107:$V$107))))</f>
        <v/>
      </c>
      <c r="E1052" s="62">
        <f>IF(E$15&lt;=1,0,SUMPRODUCT(MAX(($C$12:$V$12=E$12)*($C$212:$V$212)*($C$107:$V$107))))</f>
        <v/>
      </c>
      <c r="F1052" s="62">
        <f>IF(F$15&lt;=1,0,SUMPRODUCT(MAX(($C$12:$V$12=F$12)*($C$212:$V$212)*($C$107:$V$107))))</f>
        <v/>
      </c>
      <c r="G1052" s="62">
        <f>IF(G$15&lt;=1,0,SUMPRODUCT(MAX(($C$12:$V$12=G$12)*($C$212:$V$212)*($C$107:$V$107))))</f>
        <v/>
      </c>
      <c r="H1052" s="62">
        <f>IF(H$15&lt;=1,0,SUMPRODUCT(MAX(($C$12:$V$12=H$12)*($C$212:$V$212)*($C$107:$V$107))))</f>
        <v/>
      </c>
      <c r="I1052" s="62">
        <f>IF(I$15&lt;=1,0,SUMPRODUCT(MAX(($C$12:$V$12=I$12)*($C$212:$V$212)*($C$107:$V$107))))</f>
        <v/>
      </c>
      <c r="J1052" s="62">
        <f>IF(J$15&lt;=1,0,SUMPRODUCT(MAX(($C$12:$V$12=J$12)*($C$212:$V$212)*($C$107:$V$107))))</f>
        <v/>
      </c>
      <c r="K1052" s="62">
        <f>IF(K$15&lt;=1,0,SUMPRODUCT(MAX(($C$12:$V$12=K$12)*($C$212:$V$212)*($C$107:$V$107))))</f>
        <v/>
      </c>
      <c r="L1052" s="62">
        <f>IF(L$15&lt;=1,0,SUMPRODUCT(MAX(($C$12:$V$12=L$12)*($C$212:$V$212)*($C$107:$V$107))))</f>
        <v/>
      </c>
      <c r="M1052" s="62">
        <f>IF(M$15&lt;=1,0,SUMPRODUCT(MAX(($C$12:$V$12=M$12)*($C$212:$V$212)*($C$107:$V$107))))</f>
        <v/>
      </c>
      <c r="N1052" s="62">
        <f>IF(N$15&lt;=1,0,SUMPRODUCT(MAX(($C$12:$V$12=N$12)*($C$212:$V$212)*($C$107:$V$107))))</f>
        <v/>
      </c>
      <c r="O1052" s="62">
        <f>IF(O$15&lt;=1,0,SUMPRODUCT(MAX(($C$12:$V$12=O$12)*($C$212:$V$212)*($C$107:$V$107))))</f>
        <v/>
      </c>
      <c r="P1052" s="62">
        <f>IF(P$15&lt;=1,0,SUMPRODUCT(MAX(($C$12:$V$12=P$12)*($C$212:$V$212)*($C$107:$V$107))))</f>
        <v/>
      </c>
      <c r="Q1052" s="62">
        <f>IF(Q$15&lt;=1,0,SUMPRODUCT(MAX(($C$12:$V$12=Q$12)*($C$212:$V$212)*($C$107:$V$107))))</f>
        <v/>
      </c>
      <c r="R1052" s="62">
        <f>IF(R$15&lt;=1,0,SUMPRODUCT(MAX(($C$12:$V$12=R$12)*($C$212:$V$212)*($C$107:$V$107))))</f>
        <v/>
      </c>
      <c r="S1052" s="62">
        <f>IF(S$15&lt;=1,0,SUMPRODUCT(MAX(($C$12:$V$12=S$12)*($C$212:$V$212)*($C$107:$V$107))))</f>
        <v/>
      </c>
      <c r="T1052" s="62">
        <f>IF(T$15&lt;=1,0,SUMPRODUCT(MAX(($C$12:$V$12=T$12)*($C$212:$V$212)*($C$107:$V$107))))</f>
        <v/>
      </c>
      <c r="U1052" s="62">
        <f>IF(U$15&lt;=1,0,SUMPRODUCT(MAX(($C$12:$V$12=U$12)*($C$212:$V$212)*($C$107:$V$107))))</f>
        <v/>
      </c>
      <c r="V1052" s="62">
        <f>IF(V$15&lt;=1,0,SUMPRODUCT(MAX(($C$12:$V$12=V$12)*($C$212:$V$212)*($C$107:$V$107))))</f>
        <v/>
      </c>
    </row>
    <row r="1053">
      <c r="C1053" s="62">
        <f>IF(C$15&lt;=1,0,SUMPRODUCT(MAX(($C$12:$V$12=C$12)*($C$213:$V$213)*($C$108:$V$108))))</f>
        <v/>
      </c>
      <c r="D1053" s="62">
        <f>IF(D$15&lt;=1,0,SUMPRODUCT(MAX(($C$12:$V$12=D$12)*($C$213:$V$213)*($C$108:$V$108))))</f>
        <v/>
      </c>
      <c r="E1053" s="62">
        <f>IF(E$15&lt;=1,0,SUMPRODUCT(MAX(($C$12:$V$12=E$12)*($C$213:$V$213)*($C$108:$V$108))))</f>
        <v/>
      </c>
      <c r="F1053" s="62">
        <f>IF(F$15&lt;=1,0,SUMPRODUCT(MAX(($C$12:$V$12=F$12)*($C$213:$V$213)*($C$108:$V$108))))</f>
        <v/>
      </c>
      <c r="G1053" s="62">
        <f>IF(G$15&lt;=1,0,SUMPRODUCT(MAX(($C$12:$V$12=G$12)*($C$213:$V$213)*($C$108:$V$108))))</f>
        <v/>
      </c>
      <c r="H1053" s="62">
        <f>IF(H$15&lt;=1,0,SUMPRODUCT(MAX(($C$12:$V$12=H$12)*($C$213:$V$213)*($C$108:$V$108))))</f>
        <v/>
      </c>
      <c r="I1053" s="62">
        <f>IF(I$15&lt;=1,0,SUMPRODUCT(MAX(($C$12:$V$12=I$12)*($C$213:$V$213)*($C$108:$V$108))))</f>
        <v/>
      </c>
      <c r="J1053" s="62">
        <f>IF(J$15&lt;=1,0,SUMPRODUCT(MAX(($C$12:$V$12=J$12)*($C$213:$V$213)*($C$108:$V$108))))</f>
        <v/>
      </c>
      <c r="K1053" s="62">
        <f>IF(K$15&lt;=1,0,SUMPRODUCT(MAX(($C$12:$V$12=K$12)*($C$213:$V$213)*($C$108:$V$108))))</f>
        <v/>
      </c>
      <c r="L1053" s="62">
        <f>IF(L$15&lt;=1,0,SUMPRODUCT(MAX(($C$12:$V$12=L$12)*($C$213:$V$213)*($C$108:$V$108))))</f>
        <v/>
      </c>
      <c r="M1053" s="62">
        <f>IF(M$15&lt;=1,0,SUMPRODUCT(MAX(($C$12:$V$12=M$12)*($C$213:$V$213)*($C$108:$V$108))))</f>
        <v/>
      </c>
      <c r="N1053" s="62">
        <f>IF(N$15&lt;=1,0,SUMPRODUCT(MAX(($C$12:$V$12=N$12)*($C$213:$V$213)*($C$108:$V$108))))</f>
        <v/>
      </c>
      <c r="O1053" s="62">
        <f>IF(O$15&lt;=1,0,SUMPRODUCT(MAX(($C$12:$V$12=O$12)*($C$213:$V$213)*($C$108:$V$108))))</f>
        <v/>
      </c>
      <c r="P1053" s="62">
        <f>IF(P$15&lt;=1,0,SUMPRODUCT(MAX(($C$12:$V$12=P$12)*($C$213:$V$213)*($C$108:$V$108))))</f>
        <v/>
      </c>
      <c r="Q1053" s="62">
        <f>IF(Q$15&lt;=1,0,SUMPRODUCT(MAX(($C$12:$V$12=Q$12)*($C$213:$V$213)*($C$108:$V$108))))</f>
        <v/>
      </c>
      <c r="R1053" s="62">
        <f>IF(R$15&lt;=1,0,SUMPRODUCT(MAX(($C$12:$V$12=R$12)*($C$213:$V$213)*($C$108:$V$108))))</f>
        <v/>
      </c>
      <c r="S1053" s="62">
        <f>IF(S$15&lt;=1,0,SUMPRODUCT(MAX(($C$12:$V$12=S$12)*($C$213:$V$213)*($C$108:$V$108))))</f>
        <v/>
      </c>
      <c r="T1053" s="62">
        <f>IF(T$15&lt;=1,0,SUMPRODUCT(MAX(($C$12:$V$12=T$12)*($C$213:$V$213)*($C$108:$V$108))))</f>
        <v/>
      </c>
      <c r="U1053" s="62">
        <f>IF(U$15&lt;=1,0,SUMPRODUCT(MAX(($C$12:$V$12=U$12)*($C$213:$V$213)*($C$108:$V$108))))</f>
        <v/>
      </c>
      <c r="V1053" s="62">
        <f>IF(V$15&lt;=1,0,SUMPRODUCT(MAX(($C$12:$V$12=V$12)*($C$213:$V$213)*($C$108:$V$108))))</f>
        <v/>
      </c>
    </row>
    <row r="1054">
      <c r="C1054" s="62">
        <f>IF(C$15&lt;=1,0,SUMPRODUCT(MAX(($C$12:$V$12=C$12)*($C$214:$V$214)*($C$109:$V$109))))</f>
        <v/>
      </c>
      <c r="D1054" s="62">
        <f>IF(D$15&lt;=1,0,SUMPRODUCT(MAX(($C$12:$V$12=D$12)*($C$214:$V$214)*($C$109:$V$109))))</f>
        <v/>
      </c>
      <c r="E1054" s="62">
        <f>IF(E$15&lt;=1,0,SUMPRODUCT(MAX(($C$12:$V$12=E$12)*($C$214:$V$214)*($C$109:$V$109))))</f>
        <v/>
      </c>
      <c r="F1054" s="62">
        <f>IF(F$15&lt;=1,0,SUMPRODUCT(MAX(($C$12:$V$12=F$12)*($C$214:$V$214)*($C$109:$V$109))))</f>
        <v/>
      </c>
      <c r="G1054" s="62">
        <f>IF(G$15&lt;=1,0,SUMPRODUCT(MAX(($C$12:$V$12=G$12)*($C$214:$V$214)*($C$109:$V$109))))</f>
        <v/>
      </c>
      <c r="H1054" s="62">
        <f>IF(H$15&lt;=1,0,SUMPRODUCT(MAX(($C$12:$V$12=H$12)*($C$214:$V$214)*($C$109:$V$109))))</f>
        <v/>
      </c>
      <c r="I1054" s="62">
        <f>IF(I$15&lt;=1,0,SUMPRODUCT(MAX(($C$12:$V$12=I$12)*($C$214:$V$214)*($C$109:$V$109))))</f>
        <v/>
      </c>
      <c r="J1054" s="62">
        <f>IF(J$15&lt;=1,0,SUMPRODUCT(MAX(($C$12:$V$12=J$12)*($C$214:$V$214)*($C$109:$V$109))))</f>
        <v/>
      </c>
      <c r="K1054" s="62">
        <f>IF(K$15&lt;=1,0,SUMPRODUCT(MAX(($C$12:$V$12=K$12)*($C$214:$V$214)*($C$109:$V$109))))</f>
        <v/>
      </c>
      <c r="L1054" s="62">
        <f>IF(L$15&lt;=1,0,SUMPRODUCT(MAX(($C$12:$V$12=L$12)*($C$214:$V$214)*($C$109:$V$109))))</f>
        <v/>
      </c>
      <c r="M1054" s="62">
        <f>IF(M$15&lt;=1,0,SUMPRODUCT(MAX(($C$12:$V$12=M$12)*($C$214:$V$214)*($C$109:$V$109))))</f>
        <v/>
      </c>
      <c r="N1054" s="62">
        <f>IF(N$15&lt;=1,0,SUMPRODUCT(MAX(($C$12:$V$12=N$12)*($C$214:$V$214)*($C$109:$V$109))))</f>
        <v/>
      </c>
      <c r="O1054" s="62">
        <f>IF(O$15&lt;=1,0,SUMPRODUCT(MAX(($C$12:$V$12=O$12)*($C$214:$V$214)*($C$109:$V$109))))</f>
        <v/>
      </c>
      <c r="P1054" s="62">
        <f>IF(P$15&lt;=1,0,SUMPRODUCT(MAX(($C$12:$V$12=P$12)*($C$214:$V$214)*($C$109:$V$109))))</f>
        <v/>
      </c>
      <c r="Q1054" s="62">
        <f>IF(Q$15&lt;=1,0,SUMPRODUCT(MAX(($C$12:$V$12=Q$12)*($C$214:$V$214)*($C$109:$V$109))))</f>
        <v/>
      </c>
      <c r="R1054" s="62">
        <f>IF(R$15&lt;=1,0,SUMPRODUCT(MAX(($C$12:$V$12=R$12)*($C$214:$V$214)*($C$109:$V$109))))</f>
        <v/>
      </c>
      <c r="S1054" s="62">
        <f>IF(S$15&lt;=1,0,SUMPRODUCT(MAX(($C$12:$V$12=S$12)*($C$214:$V$214)*($C$109:$V$109))))</f>
        <v/>
      </c>
      <c r="T1054" s="62">
        <f>IF(T$15&lt;=1,0,SUMPRODUCT(MAX(($C$12:$V$12=T$12)*($C$214:$V$214)*($C$109:$V$109))))</f>
        <v/>
      </c>
      <c r="U1054" s="62">
        <f>IF(U$15&lt;=1,0,SUMPRODUCT(MAX(($C$12:$V$12=U$12)*($C$214:$V$214)*($C$109:$V$109))))</f>
        <v/>
      </c>
      <c r="V1054" s="62">
        <f>IF(V$15&lt;=1,0,SUMPRODUCT(MAX(($C$12:$V$12=V$12)*($C$214:$V$214)*($C$109:$V$109))))</f>
        <v/>
      </c>
    </row>
    <row r="1055">
      <c r="C1055" s="62">
        <f>IF(C$15&lt;=1,0,SUMPRODUCT(MAX(($C$12:$V$12=C$12)*($C$215:$V$215)*($C$110:$V$110))))</f>
        <v/>
      </c>
      <c r="D1055" s="62">
        <f>IF(D$15&lt;=1,0,SUMPRODUCT(MAX(($C$12:$V$12=D$12)*($C$215:$V$215)*($C$110:$V$110))))</f>
        <v/>
      </c>
      <c r="E1055" s="62">
        <f>IF(E$15&lt;=1,0,SUMPRODUCT(MAX(($C$12:$V$12=E$12)*($C$215:$V$215)*($C$110:$V$110))))</f>
        <v/>
      </c>
      <c r="F1055" s="62">
        <f>IF(F$15&lt;=1,0,SUMPRODUCT(MAX(($C$12:$V$12=F$12)*($C$215:$V$215)*($C$110:$V$110))))</f>
        <v/>
      </c>
      <c r="G1055" s="62">
        <f>IF(G$15&lt;=1,0,SUMPRODUCT(MAX(($C$12:$V$12=G$12)*($C$215:$V$215)*($C$110:$V$110))))</f>
        <v/>
      </c>
      <c r="H1055" s="62">
        <f>IF(H$15&lt;=1,0,SUMPRODUCT(MAX(($C$12:$V$12=H$12)*($C$215:$V$215)*($C$110:$V$110))))</f>
        <v/>
      </c>
      <c r="I1055" s="62">
        <f>IF(I$15&lt;=1,0,SUMPRODUCT(MAX(($C$12:$V$12=I$12)*($C$215:$V$215)*($C$110:$V$110))))</f>
        <v/>
      </c>
      <c r="J1055" s="62">
        <f>IF(J$15&lt;=1,0,SUMPRODUCT(MAX(($C$12:$V$12=J$12)*($C$215:$V$215)*($C$110:$V$110))))</f>
        <v/>
      </c>
      <c r="K1055" s="62">
        <f>IF(K$15&lt;=1,0,SUMPRODUCT(MAX(($C$12:$V$12=K$12)*($C$215:$V$215)*($C$110:$V$110))))</f>
        <v/>
      </c>
      <c r="L1055" s="62">
        <f>IF(L$15&lt;=1,0,SUMPRODUCT(MAX(($C$12:$V$12=L$12)*($C$215:$V$215)*($C$110:$V$110))))</f>
        <v/>
      </c>
      <c r="M1055" s="62">
        <f>IF(M$15&lt;=1,0,SUMPRODUCT(MAX(($C$12:$V$12=M$12)*($C$215:$V$215)*($C$110:$V$110))))</f>
        <v/>
      </c>
      <c r="N1055" s="62">
        <f>IF(N$15&lt;=1,0,SUMPRODUCT(MAX(($C$12:$V$12=N$12)*($C$215:$V$215)*($C$110:$V$110))))</f>
        <v/>
      </c>
      <c r="O1055" s="62">
        <f>IF(O$15&lt;=1,0,SUMPRODUCT(MAX(($C$12:$V$12=O$12)*($C$215:$V$215)*($C$110:$V$110))))</f>
        <v/>
      </c>
      <c r="P1055" s="62">
        <f>IF(P$15&lt;=1,0,SUMPRODUCT(MAX(($C$12:$V$12=P$12)*($C$215:$V$215)*($C$110:$V$110))))</f>
        <v/>
      </c>
      <c r="Q1055" s="62">
        <f>IF(Q$15&lt;=1,0,SUMPRODUCT(MAX(($C$12:$V$12=Q$12)*($C$215:$V$215)*($C$110:$V$110))))</f>
        <v/>
      </c>
      <c r="R1055" s="62">
        <f>IF(R$15&lt;=1,0,SUMPRODUCT(MAX(($C$12:$V$12=R$12)*($C$215:$V$215)*($C$110:$V$110))))</f>
        <v/>
      </c>
      <c r="S1055" s="62">
        <f>IF(S$15&lt;=1,0,SUMPRODUCT(MAX(($C$12:$V$12=S$12)*($C$215:$V$215)*($C$110:$V$110))))</f>
        <v/>
      </c>
      <c r="T1055" s="62">
        <f>IF(T$15&lt;=1,0,SUMPRODUCT(MAX(($C$12:$V$12=T$12)*($C$215:$V$215)*($C$110:$V$110))))</f>
        <v/>
      </c>
      <c r="U1055" s="62">
        <f>IF(U$15&lt;=1,0,SUMPRODUCT(MAX(($C$12:$V$12=U$12)*($C$215:$V$215)*($C$110:$V$110))))</f>
        <v/>
      </c>
      <c r="V1055" s="62">
        <f>IF(V$15&lt;=1,0,SUMPRODUCT(MAX(($C$12:$V$12=V$12)*($C$215:$V$215)*($C$110:$V$110))))</f>
        <v/>
      </c>
    </row>
    <row r="1056">
      <c r="C1056" s="62">
        <f>IF(C$15&lt;=1,0,SUMPRODUCT(MAX(($C$12:$V$12=C$12)*($C$216:$V$216)*($C$111:$V$111))))</f>
        <v/>
      </c>
      <c r="D1056" s="62">
        <f>IF(D$15&lt;=1,0,SUMPRODUCT(MAX(($C$12:$V$12=D$12)*($C$216:$V$216)*($C$111:$V$111))))</f>
        <v/>
      </c>
      <c r="E1056" s="62">
        <f>IF(E$15&lt;=1,0,SUMPRODUCT(MAX(($C$12:$V$12=E$12)*($C$216:$V$216)*($C$111:$V$111))))</f>
        <v/>
      </c>
      <c r="F1056" s="62">
        <f>IF(F$15&lt;=1,0,SUMPRODUCT(MAX(($C$12:$V$12=F$12)*($C$216:$V$216)*($C$111:$V$111))))</f>
        <v/>
      </c>
      <c r="G1056" s="62">
        <f>IF(G$15&lt;=1,0,SUMPRODUCT(MAX(($C$12:$V$12=G$12)*($C$216:$V$216)*($C$111:$V$111))))</f>
        <v/>
      </c>
      <c r="H1056" s="62">
        <f>IF(H$15&lt;=1,0,SUMPRODUCT(MAX(($C$12:$V$12=H$12)*($C$216:$V$216)*($C$111:$V$111))))</f>
        <v/>
      </c>
      <c r="I1056" s="62">
        <f>IF(I$15&lt;=1,0,SUMPRODUCT(MAX(($C$12:$V$12=I$12)*($C$216:$V$216)*($C$111:$V$111))))</f>
        <v/>
      </c>
      <c r="J1056" s="62">
        <f>IF(J$15&lt;=1,0,SUMPRODUCT(MAX(($C$12:$V$12=J$12)*($C$216:$V$216)*($C$111:$V$111))))</f>
        <v/>
      </c>
      <c r="K1056" s="62">
        <f>IF(K$15&lt;=1,0,SUMPRODUCT(MAX(($C$12:$V$12=K$12)*($C$216:$V$216)*($C$111:$V$111))))</f>
        <v/>
      </c>
      <c r="L1056" s="62">
        <f>IF(L$15&lt;=1,0,SUMPRODUCT(MAX(($C$12:$V$12=L$12)*($C$216:$V$216)*($C$111:$V$111))))</f>
        <v/>
      </c>
      <c r="M1056" s="62">
        <f>IF(M$15&lt;=1,0,SUMPRODUCT(MAX(($C$12:$V$12=M$12)*($C$216:$V$216)*($C$111:$V$111))))</f>
        <v/>
      </c>
      <c r="N1056" s="62">
        <f>IF(N$15&lt;=1,0,SUMPRODUCT(MAX(($C$12:$V$12=N$12)*($C$216:$V$216)*($C$111:$V$111))))</f>
        <v/>
      </c>
      <c r="O1056" s="62">
        <f>IF(O$15&lt;=1,0,SUMPRODUCT(MAX(($C$12:$V$12=O$12)*($C$216:$V$216)*($C$111:$V$111))))</f>
        <v/>
      </c>
      <c r="P1056" s="62">
        <f>IF(P$15&lt;=1,0,SUMPRODUCT(MAX(($C$12:$V$12=P$12)*($C$216:$V$216)*($C$111:$V$111))))</f>
        <v/>
      </c>
      <c r="Q1056" s="62">
        <f>IF(Q$15&lt;=1,0,SUMPRODUCT(MAX(($C$12:$V$12=Q$12)*($C$216:$V$216)*($C$111:$V$111))))</f>
        <v/>
      </c>
      <c r="R1056" s="62">
        <f>IF(R$15&lt;=1,0,SUMPRODUCT(MAX(($C$12:$V$12=R$12)*($C$216:$V$216)*($C$111:$V$111))))</f>
        <v/>
      </c>
      <c r="S1056" s="62">
        <f>IF(S$15&lt;=1,0,SUMPRODUCT(MAX(($C$12:$V$12=S$12)*($C$216:$V$216)*($C$111:$V$111))))</f>
        <v/>
      </c>
      <c r="T1056" s="62">
        <f>IF(T$15&lt;=1,0,SUMPRODUCT(MAX(($C$12:$V$12=T$12)*($C$216:$V$216)*($C$111:$V$111))))</f>
        <v/>
      </c>
      <c r="U1056" s="62">
        <f>IF(U$15&lt;=1,0,SUMPRODUCT(MAX(($C$12:$V$12=U$12)*($C$216:$V$216)*($C$111:$V$111))))</f>
        <v/>
      </c>
      <c r="V1056" s="62">
        <f>IF(V$15&lt;=1,0,SUMPRODUCT(MAX(($C$12:$V$12=V$12)*($C$216:$V$216)*($C$111:$V$111))))</f>
        <v/>
      </c>
    </row>
    <row r="1057">
      <c r="C1057" s="62">
        <f>IF(C$15&lt;=1,0,SUMPRODUCT(MAX(($C$12:$V$12=C$12)*($C$217:$V$217)*($C$112:$V$112))))</f>
        <v/>
      </c>
      <c r="D1057" s="62">
        <f>IF(D$15&lt;=1,0,SUMPRODUCT(MAX(($C$12:$V$12=D$12)*($C$217:$V$217)*($C$112:$V$112))))</f>
        <v/>
      </c>
      <c r="E1057" s="62">
        <f>IF(E$15&lt;=1,0,SUMPRODUCT(MAX(($C$12:$V$12=E$12)*($C$217:$V$217)*($C$112:$V$112))))</f>
        <v/>
      </c>
      <c r="F1057" s="62">
        <f>IF(F$15&lt;=1,0,SUMPRODUCT(MAX(($C$12:$V$12=F$12)*($C$217:$V$217)*($C$112:$V$112))))</f>
        <v/>
      </c>
      <c r="G1057" s="62">
        <f>IF(G$15&lt;=1,0,SUMPRODUCT(MAX(($C$12:$V$12=G$12)*($C$217:$V$217)*($C$112:$V$112))))</f>
        <v/>
      </c>
      <c r="H1057" s="62">
        <f>IF(H$15&lt;=1,0,SUMPRODUCT(MAX(($C$12:$V$12=H$12)*($C$217:$V$217)*($C$112:$V$112))))</f>
        <v/>
      </c>
      <c r="I1057" s="62">
        <f>IF(I$15&lt;=1,0,SUMPRODUCT(MAX(($C$12:$V$12=I$12)*($C$217:$V$217)*($C$112:$V$112))))</f>
        <v/>
      </c>
      <c r="J1057" s="62">
        <f>IF(J$15&lt;=1,0,SUMPRODUCT(MAX(($C$12:$V$12=J$12)*($C$217:$V$217)*($C$112:$V$112))))</f>
        <v/>
      </c>
      <c r="K1057" s="62">
        <f>IF(K$15&lt;=1,0,SUMPRODUCT(MAX(($C$12:$V$12=K$12)*($C$217:$V$217)*($C$112:$V$112))))</f>
        <v/>
      </c>
      <c r="L1057" s="62">
        <f>IF(L$15&lt;=1,0,SUMPRODUCT(MAX(($C$12:$V$12=L$12)*($C$217:$V$217)*($C$112:$V$112))))</f>
        <v/>
      </c>
      <c r="M1057" s="62">
        <f>IF(M$15&lt;=1,0,SUMPRODUCT(MAX(($C$12:$V$12=M$12)*($C$217:$V$217)*($C$112:$V$112))))</f>
        <v/>
      </c>
      <c r="N1057" s="62">
        <f>IF(N$15&lt;=1,0,SUMPRODUCT(MAX(($C$12:$V$12=N$12)*($C$217:$V$217)*($C$112:$V$112))))</f>
        <v/>
      </c>
      <c r="O1057" s="62">
        <f>IF(O$15&lt;=1,0,SUMPRODUCT(MAX(($C$12:$V$12=O$12)*($C$217:$V$217)*($C$112:$V$112))))</f>
        <v/>
      </c>
      <c r="P1057" s="62">
        <f>IF(P$15&lt;=1,0,SUMPRODUCT(MAX(($C$12:$V$12=P$12)*($C$217:$V$217)*($C$112:$V$112))))</f>
        <v/>
      </c>
      <c r="Q1057" s="62">
        <f>IF(Q$15&lt;=1,0,SUMPRODUCT(MAX(($C$12:$V$12=Q$12)*($C$217:$V$217)*($C$112:$V$112))))</f>
        <v/>
      </c>
      <c r="R1057" s="62">
        <f>IF(R$15&lt;=1,0,SUMPRODUCT(MAX(($C$12:$V$12=R$12)*($C$217:$V$217)*($C$112:$V$112))))</f>
        <v/>
      </c>
      <c r="S1057" s="62">
        <f>IF(S$15&lt;=1,0,SUMPRODUCT(MAX(($C$12:$V$12=S$12)*($C$217:$V$217)*($C$112:$V$112))))</f>
        <v/>
      </c>
      <c r="T1057" s="62">
        <f>IF(T$15&lt;=1,0,SUMPRODUCT(MAX(($C$12:$V$12=T$12)*($C$217:$V$217)*($C$112:$V$112))))</f>
        <v/>
      </c>
      <c r="U1057" s="62">
        <f>IF(U$15&lt;=1,0,SUMPRODUCT(MAX(($C$12:$V$12=U$12)*($C$217:$V$217)*($C$112:$V$112))))</f>
        <v/>
      </c>
      <c r="V1057" s="62">
        <f>IF(V$15&lt;=1,0,SUMPRODUCT(MAX(($C$12:$V$12=V$12)*($C$217:$V$217)*($C$112:$V$112))))</f>
        <v/>
      </c>
    </row>
    <row r="1058">
      <c r="C1058" s="62">
        <f>IF(C$15&lt;=1,0,SUMPRODUCT(MAX(($C$12:$V$12=C$12)*($C$218:$V$218)*($C$113:$V$113))))</f>
        <v/>
      </c>
      <c r="D1058" s="62">
        <f>IF(D$15&lt;=1,0,SUMPRODUCT(MAX(($C$12:$V$12=D$12)*($C$218:$V$218)*($C$113:$V$113))))</f>
        <v/>
      </c>
      <c r="E1058" s="62">
        <f>IF(E$15&lt;=1,0,SUMPRODUCT(MAX(($C$12:$V$12=E$12)*($C$218:$V$218)*($C$113:$V$113))))</f>
        <v/>
      </c>
      <c r="F1058" s="62">
        <f>IF(F$15&lt;=1,0,SUMPRODUCT(MAX(($C$12:$V$12=F$12)*($C$218:$V$218)*($C$113:$V$113))))</f>
        <v/>
      </c>
      <c r="G1058" s="62">
        <f>IF(G$15&lt;=1,0,SUMPRODUCT(MAX(($C$12:$V$12=G$12)*($C$218:$V$218)*($C$113:$V$113))))</f>
        <v/>
      </c>
      <c r="H1058" s="62">
        <f>IF(H$15&lt;=1,0,SUMPRODUCT(MAX(($C$12:$V$12=H$12)*($C$218:$V$218)*($C$113:$V$113))))</f>
        <v/>
      </c>
      <c r="I1058" s="62">
        <f>IF(I$15&lt;=1,0,SUMPRODUCT(MAX(($C$12:$V$12=I$12)*($C$218:$V$218)*($C$113:$V$113))))</f>
        <v/>
      </c>
      <c r="J1058" s="62">
        <f>IF(J$15&lt;=1,0,SUMPRODUCT(MAX(($C$12:$V$12=J$12)*($C$218:$V$218)*($C$113:$V$113))))</f>
        <v/>
      </c>
      <c r="K1058" s="62">
        <f>IF(K$15&lt;=1,0,SUMPRODUCT(MAX(($C$12:$V$12=K$12)*($C$218:$V$218)*($C$113:$V$113))))</f>
        <v/>
      </c>
      <c r="L1058" s="62">
        <f>IF(L$15&lt;=1,0,SUMPRODUCT(MAX(($C$12:$V$12=L$12)*($C$218:$V$218)*($C$113:$V$113))))</f>
        <v/>
      </c>
      <c r="M1058" s="62">
        <f>IF(M$15&lt;=1,0,SUMPRODUCT(MAX(($C$12:$V$12=M$12)*($C$218:$V$218)*($C$113:$V$113))))</f>
        <v/>
      </c>
      <c r="N1058" s="62">
        <f>IF(N$15&lt;=1,0,SUMPRODUCT(MAX(($C$12:$V$12=N$12)*($C$218:$V$218)*($C$113:$V$113))))</f>
        <v/>
      </c>
      <c r="O1058" s="62">
        <f>IF(O$15&lt;=1,0,SUMPRODUCT(MAX(($C$12:$V$12=O$12)*($C$218:$V$218)*($C$113:$V$113))))</f>
        <v/>
      </c>
      <c r="P1058" s="62">
        <f>IF(P$15&lt;=1,0,SUMPRODUCT(MAX(($C$12:$V$12=P$12)*($C$218:$V$218)*($C$113:$V$113))))</f>
        <v/>
      </c>
      <c r="Q1058" s="62">
        <f>IF(Q$15&lt;=1,0,SUMPRODUCT(MAX(($C$12:$V$12=Q$12)*($C$218:$V$218)*($C$113:$V$113))))</f>
        <v/>
      </c>
      <c r="R1058" s="62">
        <f>IF(R$15&lt;=1,0,SUMPRODUCT(MAX(($C$12:$V$12=R$12)*($C$218:$V$218)*($C$113:$V$113))))</f>
        <v/>
      </c>
      <c r="S1058" s="62">
        <f>IF(S$15&lt;=1,0,SUMPRODUCT(MAX(($C$12:$V$12=S$12)*($C$218:$V$218)*($C$113:$V$113))))</f>
        <v/>
      </c>
      <c r="T1058" s="62">
        <f>IF(T$15&lt;=1,0,SUMPRODUCT(MAX(($C$12:$V$12=T$12)*($C$218:$V$218)*($C$113:$V$113))))</f>
        <v/>
      </c>
      <c r="U1058" s="62">
        <f>IF(U$15&lt;=1,0,SUMPRODUCT(MAX(($C$12:$V$12=U$12)*($C$218:$V$218)*($C$113:$V$113))))</f>
        <v/>
      </c>
      <c r="V1058" s="62">
        <f>IF(V$15&lt;=1,0,SUMPRODUCT(MAX(($C$12:$V$12=V$12)*($C$218:$V$218)*($C$113:$V$113))))</f>
        <v/>
      </c>
    </row>
    <row r="1059">
      <c r="C1059" s="62">
        <f>IF(C$15&lt;=1,0,SUMPRODUCT(MAX(($C$12:$V$12=C$12)*($C$219:$V$219)*($C$114:$V$114))))</f>
        <v/>
      </c>
      <c r="D1059" s="62">
        <f>IF(D$15&lt;=1,0,SUMPRODUCT(MAX(($C$12:$V$12=D$12)*($C$219:$V$219)*($C$114:$V$114))))</f>
        <v/>
      </c>
      <c r="E1059" s="62">
        <f>IF(E$15&lt;=1,0,SUMPRODUCT(MAX(($C$12:$V$12=E$12)*($C$219:$V$219)*($C$114:$V$114))))</f>
        <v/>
      </c>
      <c r="F1059" s="62">
        <f>IF(F$15&lt;=1,0,SUMPRODUCT(MAX(($C$12:$V$12=F$12)*($C$219:$V$219)*($C$114:$V$114))))</f>
        <v/>
      </c>
      <c r="G1059" s="62">
        <f>IF(G$15&lt;=1,0,SUMPRODUCT(MAX(($C$12:$V$12=G$12)*($C$219:$V$219)*($C$114:$V$114))))</f>
        <v/>
      </c>
      <c r="H1059" s="62">
        <f>IF(H$15&lt;=1,0,SUMPRODUCT(MAX(($C$12:$V$12=H$12)*($C$219:$V$219)*($C$114:$V$114))))</f>
        <v/>
      </c>
      <c r="I1059" s="62">
        <f>IF(I$15&lt;=1,0,SUMPRODUCT(MAX(($C$12:$V$12=I$12)*($C$219:$V$219)*($C$114:$V$114))))</f>
        <v/>
      </c>
      <c r="J1059" s="62">
        <f>IF(J$15&lt;=1,0,SUMPRODUCT(MAX(($C$12:$V$12=J$12)*($C$219:$V$219)*($C$114:$V$114))))</f>
        <v/>
      </c>
      <c r="K1059" s="62">
        <f>IF(K$15&lt;=1,0,SUMPRODUCT(MAX(($C$12:$V$12=K$12)*($C$219:$V$219)*($C$114:$V$114))))</f>
        <v/>
      </c>
      <c r="L1059" s="62">
        <f>IF(L$15&lt;=1,0,SUMPRODUCT(MAX(($C$12:$V$12=L$12)*($C$219:$V$219)*($C$114:$V$114))))</f>
        <v/>
      </c>
      <c r="M1059" s="62">
        <f>IF(M$15&lt;=1,0,SUMPRODUCT(MAX(($C$12:$V$12=M$12)*($C$219:$V$219)*($C$114:$V$114))))</f>
        <v/>
      </c>
      <c r="N1059" s="62">
        <f>IF(N$15&lt;=1,0,SUMPRODUCT(MAX(($C$12:$V$12=N$12)*($C$219:$V$219)*($C$114:$V$114))))</f>
        <v/>
      </c>
      <c r="O1059" s="62">
        <f>IF(O$15&lt;=1,0,SUMPRODUCT(MAX(($C$12:$V$12=O$12)*($C$219:$V$219)*($C$114:$V$114))))</f>
        <v/>
      </c>
      <c r="P1059" s="62">
        <f>IF(P$15&lt;=1,0,SUMPRODUCT(MAX(($C$12:$V$12=P$12)*($C$219:$V$219)*($C$114:$V$114))))</f>
        <v/>
      </c>
      <c r="Q1059" s="62">
        <f>IF(Q$15&lt;=1,0,SUMPRODUCT(MAX(($C$12:$V$12=Q$12)*($C$219:$V$219)*($C$114:$V$114))))</f>
        <v/>
      </c>
      <c r="R1059" s="62">
        <f>IF(R$15&lt;=1,0,SUMPRODUCT(MAX(($C$12:$V$12=R$12)*($C$219:$V$219)*($C$114:$V$114))))</f>
        <v/>
      </c>
      <c r="S1059" s="62">
        <f>IF(S$15&lt;=1,0,SUMPRODUCT(MAX(($C$12:$V$12=S$12)*($C$219:$V$219)*($C$114:$V$114))))</f>
        <v/>
      </c>
      <c r="T1059" s="62">
        <f>IF(T$15&lt;=1,0,SUMPRODUCT(MAX(($C$12:$V$12=T$12)*($C$219:$V$219)*($C$114:$V$114))))</f>
        <v/>
      </c>
      <c r="U1059" s="62">
        <f>IF(U$15&lt;=1,0,SUMPRODUCT(MAX(($C$12:$V$12=U$12)*($C$219:$V$219)*($C$114:$V$114))))</f>
        <v/>
      </c>
      <c r="V1059" s="62">
        <f>IF(V$15&lt;=1,0,SUMPRODUCT(MAX(($C$12:$V$12=V$12)*($C$219:$V$219)*($C$114:$V$114))))</f>
        <v/>
      </c>
    </row>
    <row r="1060">
      <c r="C1060" s="62">
        <f>IF(C$15&lt;=1,0,SUMPRODUCT(MAX(($C$12:$V$12=C$12)*($C$220:$V$220)*($C$115:$V$115))))</f>
        <v/>
      </c>
      <c r="D1060" s="62">
        <f>IF(D$15&lt;=1,0,SUMPRODUCT(MAX(($C$12:$V$12=D$12)*($C$220:$V$220)*($C$115:$V$115))))</f>
        <v/>
      </c>
      <c r="E1060" s="62">
        <f>IF(E$15&lt;=1,0,SUMPRODUCT(MAX(($C$12:$V$12=E$12)*($C$220:$V$220)*($C$115:$V$115))))</f>
        <v/>
      </c>
      <c r="F1060" s="62">
        <f>IF(F$15&lt;=1,0,SUMPRODUCT(MAX(($C$12:$V$12=F$12)*($C$220:$V$220)*($C$115:$V$115))))</f>
        <v/>
      </c>
      <c r="G1060" s="62">
        <f>IF(G$15&lt;=1,0,SUMPRODUCT(MAX(($C$12:$V$12=G$12)*($C$220:$V$220)*($C$115:$V$115))))</f>
        <v/>
      </c>
      <c r="H1060" s="62">
        <f>IF(H$15&lt;=1,0,SUMPRODUCT(MAX(($C$12:$V$12=H$12)*($C$220:$V$220)*($C$115:$V$115))))</f>
        <v/>
      </c>
      <c r="I1060" s="62">
        <f>IF(I$15&lt;=1,0,SUMPRODUCT(MAX(($C$12:$V$12=I$12)*($C$220:$V$220)*($C$115:$V$115))))</f>
        <v/>
      </c>
      <c r="J1060" s="62">
        <f>IF(J$15&lt;=1,0,SUMPRODUCT(MAX(($C$12:$V$12=J$12)*($C$220:$V$220)*($C$115:$V$115))))</f>
        <v/>
      </c>
      <c r="K1060" s="62">
        <f>IF(K$15&lt;=1,0,SUMPRODUCT(MAX(($C$12:$V$12=K$12)*($C$220:$V$220)*($C$115:$V$115))))</f>
        <v/>
      </c>
      <c r="L1060" s="62">
        <f>IF(L$15&lt;=1,0,SUMPRODUCT(MAX(($C$12:$V$12=L$12)*($C$220:$V$220)*($C$115:$V$115))))</f>
        <v/>
      </c>
      <c r="M1060" s="62">
        <f>IF(M$15&lt;=1,0,SUMPRODUCT(MAX(($C$12:$V$12=M$12)*($C$220:$V$220)*($C$115:$V$115))))</f>
        <v/>
      </c>
      <c r="N1060" s="62">
        <f>IF(N$15&lt;=1,0,SUMPRODUCT(MAX(($C$12:$V$12=N$12)*($C$220:$V$220)*($C$115:$V$115))))</f>
        <v/>
      </c>
      <c r="O1060" s="62">
        <f>IF(O$15&lt;=1,0,SUMPRODUCT(MAX(($C$12:$V$12=O$12)*($C$220:$V$220)*($C$115:$V$115))))</f>
        <v/>
      </c>
      <c r="P1060" s="62">
        <f>IF(P$15&lt;=1,0,SUMPRODUCT(MAX(($C$12:$V$12=P$12)*($C$220:$V$220)*($C$115:$V$115))))</f>
        <v/>
      </c>
      <c r="Q1060" s="62">
        <f>IF(Q$15&lt;=1,0,SUMPRODUCT(MAX(($C$12:$V$12=Q$12)*($C$220:$V$220)*($C$115:$V$115))))</f>
        <v/>
      </c>
      <c r="R1060" s="62">
        <f>IF(R$15&lt;=1,0,SUMPRODUCT(MAX(($C$12:$V$12=R$12)*($C$220:$V$220)*($C$115:$V$115))))</f>
        <v/>
      </c>
      <c r="S1060" s="62">
        <f>IF(S$15&lt;=1,0,SUMPRODUCT(MAX(($C$12:$V$12=S$12)*($C$220:$V$220)*($C$115:$V$115))))</f>
        <v/>
      </c>
      <c r="T1060" s="62">
        <f>IF(T$15&lt;=1,0,SUMPRODUCT(MAX(($C$12:$V$12=T$12)*($C$220:$V$220)*($C$115:$V$115))))</f>
        <v/>
      </c>
      <c r="U1060" s="62">
        <f>IF(U$15&lt;=1,0,SUMPRODUCT(MAX(($C$12:$V$12=U$12)*($C$220:$V$220)*($C$115:$V$115))))</f>
        <v/>
      </c>
      <c r="V1060" s="62">
        <f>IF(V$15&lt;=1,0,SUMPRODUCT(MAX(($C$12:$V$12=V$12)*($C$220:$V$220)*($C$115:$V$115))))</f>
        <v/>
      </c>
    </row>
    <row r="1061">
      <c r="C1061" s="62">
        <f>IF(C$15&lt;=1,0,SUMPRODUCT(MAX(($C$12:$V$12=C$12)*($C$221:$V$221)*($C$116:$V$116))))</f>
        <v/>
      </c>
      <c r="D1061" s="62">
        <f>IF(D$15&lt;=1,0,SUMPRODUCT(MAX(($C$12:$V$12=D$12)*($C$221:$V$221)*($C$116:$V$116))))</f>
        <v/>
      </c>
      <c r="E1061" s="62">
        <f>IF(E$15&lt;=1,0,SUMPRODUCT(MAX(($C$12:$V$12=E$12)*($C$221:$V$221)*($C$116:$V$116))))</f>
        <v/>
      </c>
      <c r="F1061" s="62">
        <f>IF(F$15&lt;=1,0,SUMPRODUCT(MAX(($C$12:$V$12=F$12)*($C$221:$V$221)*($C$116:$V$116))))</f>
        <v/>
      </c>
      <c r="G1061" s="62">
        <f>IF(G$15&lt;=1,0,SUMPRODUCT(MAX(($C$12:$V$12=G$12)*($C$221:$V$221)*($C$116:$V$116))))</f>
        <v/>
      </c>
      <c r="H1061" s="62">
        <f>IF(H$15&lt;=1,0,SUMPRODUCT(MAX(($C$12:$V$12=H$12)*($C$221:$V$221)*($C$116:$V$116))))</f>
        <v/>
      </c>
      <c r="I1061" s="62">
        <f>IF(I$15&lt;=1,0,SUMPRODUCT(MAX(($C$12:$V$12=I$12)*($C$221:$V$221)*($C$116:$V$116))))</f>
        <v/>
      </c>
      <c r="J1061" s="62">
        <f>IF(J$15&lt;=1,0,SUMPRODUCT(MAX(($C$12:$V$12=J$12)*($C$221:$V$221)*($C$116:$V$116))))</f>
        <v/>
      </c>
      <c r="K1061" s="62">
        <f>IF(K$15&lt;=1,0,SUMPRODUCT(MAX(($C$12:$V$12=K$12)*($C$221:$V$221)*($C$116:$V$116))))</f>
        <v/>
      </c>
      <c r="L1061" s="62">
        <f>IF(L$15&lt;=1,0,SUMPRODUCT(MAX(($C$12:$V$12=L$12)*($C$221:$V$221)*($C$116:$V$116))))</f>
        <v/>
      </c>
      <c r="M1061" s="62">
        <f>IF(M$15&lt;=1,0,SUMPRODUCT(MAX(($C$12:$V$12=M$12)*($C$221:$V$221)*($C$116:$V$116))))</f>
        <v/>
      </c>
      <c r="N1061" s="62">
        <f>IF(N$15&lt;=1,0,SUMPRODUCT(MAX(($C$12:$V$12=N$12)*($C$221:$V$221)*($C$116:$V$116))))</f>
        <v/>
      </c>
      <c r="O1061" s="62">
        <f>IF(O$15&lt;=1,0,SUMPRODUCT(MAX(($C$12:$V$12=O$12)*($C$221:$V$221)*($C$116:$V$116))))</f>
        <v/>
      </c>
      <c r="P1061" s="62">
        <f>IF(P$15&lt;=1,0,SUMPRODUCT(MAX(($C$12:$V$12=P$12)*($C$221:$V$221)*($C$116:$V$116))))</f>
        <v/>
      </c>
      <c r="Q1061" s="62">
        <f>IF(Q$15&lt;=1,0,SUMPRODUCT(MAX(($C$12:$V$12=Q$12)*($C$221:$V$221)*($C$116:$V$116))))</f>
        <v/>
      </c>
      <c r="R1061" s="62">
        <f>IF(R$15&lt;=1,0,SUMPRODUCT(MAX(($C$12:$V$12=R$12)*($C$221:$V$221)*($C$116:$V$116))))</f>
        <v/>
      </c>
      <c r="S1061" s="62">
        <f>IF(S$15&lt;=1,0,SUMPRODUCT(MAX(($C$12:$V$12=S$12)*($C$221:$V$221)*($C$116:$V$116))))</f>
        <v/>
      </c>
      <c r="T1061" s="62">
        <f>IF(T$15&lt;=1,0,SUMPRODUCT(MAX(($C$12:$V$12=T$12)*($C$221:$V$221)*($C$116:$V$116))))</f>
        <v/>
      </c>
      <c r="U1061" s="62">
        <f>IF(U$15&lt;=1,0,SUMPRODUCT(MAX(($C$12:$V$12=U$12)*($C$221:$V$221)*($C$116:$V$116))))</f>
        <v/>
      </c>
      <c r="V1061" s="62">
        <f>IF(V$15&lt;=1,0,SUMPRODUCT(MAX(($C$12:$V$12=V$12)*($C$221:$V$221)*($C$116:$V$116))))</f>
        <v/>
      </c>
    </row>
    <row r="1062">
      <c r="C1062" s="62">
        <f>IF(C$15&lt;=1,0,SUMPRODUCT(MAX(($C$12:$V$12=C$12)*($C$222:$V$222)*($C$117:$V$117))))</f>
        <v/>
      </c>
      <c r="D1062" s="62">
        <f>IF(D$15&lt;=1,0,SUMPRODUCT(MAX(($C$12:$V$12=D$12)*($C$222:$V$222)*($C$117:$V$117))))</f>
        <v/>
      </c>
      <c r="E1062" s="62">
        <f>IF(E$15&lt;=1,0,SUMPRODUCT(MAX(($C$12:$V$12=E$12)*($C$222:$V$222)*($C$117:$V$117))))</f>
        <v/>
      </c>
      <c r="F1062" s="62">
        <f>IF(F$15&lt;=1,0,SUMPRODUCT(MAX(($C$12:$V$12=F$12)*($C$222:$V$222)*($C$117:$V$117))))</f>
        <v/>
      </c>
      <c r="G1062" s="62">
        <f>IF(G$15&lt;=1,0,SUMPRODUCT(MAX(($C$12:$V$12=G$12)*($C$222:$V$222)*($C$117:$V$117))))</f>
        <v/>
      </c>
      <c r="H1062" s="62">
        <f>IF(H$15&lt;=1,0,SUMPRODUCT(MAX(($C$12:$V$12=H$12)*($C$222:$V$222)*($C$117:$V$117))))</f>
        <v/>
      </c>
      <c r="I1062" s="62">
        <f>IF(I$15&lt;=1,0,SUMPRODUCT(MAX(($C$12:$V$12=I$12)*($C$222:$V$222)*($C$117:$V$117))))</f>
        <v/>
      </c>
      <c r="J1062" s="62">
        <f>IF(J$15&lt;=1,0,SUMPRODUCT(MAX(($C$12:$V$12=J$12)*($C$222:$V$222)*($C$117:$V$117))))</f>
        <v/>
      </c>
      <c r="K1062" s="62">
        <f>IF(K$15&lt;=1,0,SUMPRODUCT(MAX(($C$12:$V$12=K$12)*($C$222:$V$222)*($C$117:$V$117))))</f>
        <v/>
      </c>
      <c r="L1062" s="62">
        <f>IF(L$15&lt;=1,0,SUMPRODUCT(MAX(($C$12:$V$12=L$12)*($C$222:$V$222)*($C$117:$V$117))))</f>
        <v/>
      </c>
      <c r="M1062" s="62">
        <f>IF(M$15&lt;=1,0,SUMPRODUCT(MAX(($C$12:$V$12=M$12)*($C$222:$V$222)*($C$117:$V$117))))</f>
        <v/>
      </c>
      <c r="N1062" s="62">
        <f>IF(N$15&lt;=1,0,SUMPRODUCT(MAX(($C$12:$V$12=N$12)*($C$222:$V$222)*($C$117:$V$117))))</f>
        <v/>
      </c>
      <c r="O1062" s="62">
        <f>IF(O$15&lt;=1,0,SUMPRODUCT(MAX(($C$12:$V$12=O$12)*($C$222:$V$222)*($C$117:$V$117))))</f>
        <v/>
      </c>
      <c r="P1062" s="62">
        <f>IF(P$15&lt;=1,0,SUMPRODUCT(MAX(($C$12:$V$12=P$12)*($C$222:$V$222)*($C$117:$V$117))))</f>
        <v/>
      </c>
      <c r="Q1062" s="62">
        <f>IF(Q$15&lt;=1,0,SUMPRODUCT(MAX(($C$12:$V$12=Q$12)*($C$222:$V$222)*($C$117:$V$117))))</f>
        <v/>
      </c>
      <c r="R1062" s="62">
        <f>IF(R$15&lt;=1,0,SUMPRODUCT(MAX(($C$12:$V$12=R$12)*($C$222:$V$222)*($C$117:$V$117))))</f>
        <v/>
      </c>
      <c r="S1062" s="62">
        <f>IF(S$15&lt;=1,0,SUMPRODUCT(MAX(($C$12:$V$12=S$12)*($C$222:$V$222)*($C$117:$V$117))))</f>
        <v/>
      </c>
      <c r="T1062" s="62">
        <f>IF(T$15&lt;=1,0,SUMPRODUCT(MAX(($C$12:$V$12=T$12)*($C$222:$V$222)*($C$117:$V$117))))</f>
        <v/>
      </c>
      <c r="U1062" s="62">
        <f>IF(U$15&lt;=1,0,SUMPRODUCT(MAX(($C$12:$V$12=U$12)*($C$222:$V$222)*($C$117:$V$117))))</f>
        <v/>
      </c>
      <c r="V1062" s="62">
        <f>IF(V$15&lt;=1,0,SUMPRODUCT(MAX(($C$12:$V$12=V$12)*($C$222:$V$222)*($C$117:$V$117))))</f>
        <v/>
      </c>
    </row>
    <row r="1063">
      <c r="C1063" s="62">
        <f>IF(C$15&lt;=1,0,SUMPRODUCT(MAX(($C$12:$V$12=C$12)*($C$223:$V$223)*($C$118:$V$118))))</f>
        <v/>
      </c>
      <c r="D1063" s="62">
        <f>IF(D$15&lt;=1,0,SUMPRODUCT(MAX(($C$12:$V$12=D$12)*($C$223:$V$223)*($C$118:$V$118))))</f>
        <v/>
      </c>
      <c r="E1063" s="62">
        <f>IF(E$15&lt;=1,0,SUMPRODUCT(MAX(($C$12:$V$12=E$12)*($C$223:$V$223)*($C$118:$V$118))))</f>
        <v/>
      </c>
      <c r="F1063" s="62">
        <f>IF(F$15&lt;=1,0,SUMPRODUCT(MAX(($C$12:$V$12=F$12)*($C$223:$V$223)*($C$118:$V$118))))</f>
        <v/>
      </c>
      <c r="G1063" s="62">
        <f>IF(G$15&lt;=1,0,SUMPRODUCT(MAX(($C$12:$V$12=G$12)*($C$223:$V$223)*($C$118:$V$118))))</f>
        <v/>
      </c>
      <c r="H1063" s="62">
        <f>IF(H$15&lt;=1,0,SUMPRODUCT(MAX(($C$12:$V$12=H$12)*($C$223:$V$223)*($C$118:$V$118))))</f>
        <v/>
      </c>
      <c r="I1063" s="62">
        <f>IF(I$15&lt;=1,0,SUMPRODUCT(MAX(($C$12:$V$12=I$12)*($C$223:$V$223)*($C$118:$V$118))))</f>
        <v/>
      </c>
      <c r="J1063" s="62">
        <f>IF(J$15&lt;=1,0,SUMPRODUCT(MAX(($C$12:$V$12=J$12)*($C$223:$V$223)*($C$118:$V$118))))</f>
        <v/>
      </c>
      <c r="K1063" s="62">
        <f>IF(K$15&lt;=1,0,SUMPRODUCT(MAX(($C$12:$V$12=K$12)*($C$223:$V$223)*($C$118:$V$118))))</f>
        <v/>
      </c>
      <c r="L1063" s="62">
        <f>IF(L$15&lt;=1,0,SUMPRODUCT(MAX(($C$12:$V$12=L$12)*($C$223:$V$223)*($C$118:$V$118))))</f>
        <v/>
      </c>
      <c r="M1063" s="62">
        <f>IF(M$15&lt;=1,0,SUMPRODUCT(MAX(($C$12:$V$12=M$12)*($C$223:$V$223)*($C$118:$V$118))))</f>
        <v/>
      </c>
      <c r="N1063" s="62">
        <f>IF(N$15&lt;=1,0,SUMPRODUCT(MAX(($C$12:$V$12=N$12)*($C$223:$V$223)*($C$118:$V$118))))</f>
        <v/>
      </c>
      <c r="O1063" s="62">
        <f>IF(O$15&lt;=1,0,SUMPRODUCT(MAX(($C$12:$V$12=O$12)*($C$223:$V$223)*($C$118:$V$118))))</f>
        <v/>
      </c>
      <c r="P1063" s="62">
        <f>IF(P$15&lt;=1,0,SUMPRODUCT(MAX(($C$12:$V$12=P$12)*($C$223:$V$223)*($C$118:$V$118))))</f>
        <v/>
      </c>
      <c r="Q1063" s="62">
        <f>IF(Q$15&lt;=1,0,SUMPRODUCT(MAX(($C$12:$V$12=Q$12)*($C$223:$V$223)*($C$118:$V$118))))</f>
        <v/>
      </c>
      <c r="R1063" s="62">
        <f>IF(R$15&lt;=1,0,SUMPRODUCT(MAX(($C$12:$V$12=R$12)*($C$223:$V$223)*($C$118:$V$118))))</f>
        <v/>
      </c>
      <c r="S1063" s="62">
        <f>IF(S$15&lt;=1,0,SUMPRODUCT(MAX(($C$12:$V$12=S$12)*($C$223:$V$223)*($C$118:$V$118))))</f>
        <v/>
      </c>
      <c r="T1063" s="62">
        <f>IF(T$15&lt;=1,0,SUMPRODUCT(MAX(($C$12:$V$12=T$12)*($C$223:$V$223)*($C$118:$V$118))))</f>
        <v/>
      </c>
      <c r="U1063" s="62">
        <f>IF(U$15&lt;=1,0,SUMPRODUCT(MAX(($C$12:$V$12=U$12)*($C$223:$V$223)*($C$118:$V$118))))</f>
        <v/>
      </c>
      <c r="V1063" s="62">
        <f>IF(V$15&lt;=1,0,SUMPRODUCT(MAX(($C$12:$V$12=V$12)*($C$223:$V$223)*($C$118:$V$118))))</f>
        <v/>
      </c>
    </row>
    <row r="1064">
      <c r="C1064" s="62">
        <f>IF(C$15&lt;=1,0,SUMPRODUCT(MAX(($C$12:$V$12=C$12)*($C$224:$V$224)*($C$119:$V$119))))</f>
        <v/>
      </c>
      <c r="D1064" s="62">
        <f>IF(D$15&lt;=1,0,SUMPRODUCT(MAX(($C$12:$V$12=D$12)*($C$224:$V$224)*($C$119:$V$119))))</f>
        <v/>
      </c>
      <c r="E1064" s="62">
        <f>IF(E$15&lt;=1,0,SUMPRODUCT(MAX(($C$12:$V$12=E$12)*($C$224:$V$224)*($C$119:$V$119))))</f>
        <v/>
      </c>
      <c r="F1064" s="62">
        <f>IF(F$15&lt;=1,0,SUMPRODUCT(MAX(($C$12:$V$12=F$12)*($C$224:$V$224)*($C$119:$V$119))))</f>
        <v/>
      </c>
      <c r="G1064" s="62">
        <f>IF(G$15&lt;=1,0,SUMPRODUCT(MAX(($C$12:$V$12=G$12)*($C$224:$V$224)*($C$119:$V$119))))</f>
        <v/>
      </c>
      <c r="H1064" s="62">
        <f>IF(H$15&lt;=1,0,SUMPRODUCT(MAX(($C$12:$V$12=H$12)*($C$224:$V$224)*($C$119:$V$119))))</f>
        <v/>
      </c>
      <c r="I1064" s="62">
        <f>IF(I$15&lt;=1,0,SUMPRODUCT(MAX(($C$12:$V$12=I$12)*($C$224:$V$224)*($C$119:$V$119))))</f>
        <v/>
      </c>
      <c r="J1064" s="62">
        <f>IF(J$15&lt;=1,0,SUMPRODUCT(MAX(($C$12:$V$12=J$12)*($C$224:$V$224)*($C$119:$V$119))))</f>
        <v/>
      </c>
      <c r="K1064" s="62">
        <f>IF(K$15&lt;=1,0,SUMPRODUCT(MAX(($C$12:$V$12=K$12)*($C$224:$V$224)*($C$119:$V$119))))</f>
        <v/>
      </c>
      <c r="L1064" s="62">
        <f>IF(L$15&lt;=1,0,SUMPRODUCT(MAX(($C$12:$V$12=L$12)*($C$224:$V$224)*($C$119:$V$119))))</f>
        <v/>
      </c>
      <c r="M1064" s="62">
        <f>IF(M$15&lt;=1,0,SUMPRODUCT(MAX(($C$12:$V$12=M$12)*($C$224:$V$224)*($C$119:$V$119))))</f>
        <v/>
      </c>
      <c r="N1064" s="62">
        <f>IF(N$15&lt;=1,0,SUMPRODUCT(MAX(($C$12:$V$12=N$12)*($C$224:$V$224)*($C$119:$V$119))))</f>
        <v/>
      </c>
      <c r="O1064" s="62">
        <f>IF(O$15&lt;=1,0,SUMPRODUCT(MAX(($C$12:$V$12=O$12)*($C$224:$V$224)*($C$119:$V$119))))</f>
        <v/>
      </c>
      <c r="P1064" s="62">
        <f>IF(P$15&lt;=1,0,SUMPRODUCT(MAX(($C$12:$V$12=P$12)*($C$224:$V$224)*($C$119:$V$119))))</f>
        <v/>
      </c>
      <c r="Q1064" s="62">
        <f>IF(Q$15&lt;=1,0,SUMPRODUCT(MAX(($C$12:$V$12=Q$12)*($C$224:$V$224)*($C$119:$V$119))))</f>
        <v/>
      </c>
      <c r="R1064" s="62">
        <f>IF(R$15&lt;=1,0,SUMPRODUCT(MAX(($C$12:$V$12=R$12)*($C$224:$V$224)*($C$119:$V$119))))</f>
        <v/>
      </c>
      <c r="S1064" s="62">
        <f>IF(S$15&lt;=1,0,SUMPRODUCT(MAX(($C$12:$V$12=S$12)*($C$224:$V$224)*($C$119:$V$119))))</f>
        <v/>
      </c>
      <c r="T1064" s="62">
        <f>IF(T$15&lt;=1,0,SUMPRODUCT(MAX(($C$12:$V$12=T$12)*($C$224:$V$224)*($C$119:$V$119))))</f>
        <v/>
      </c>
      <c r="U1064" s="62">
        <f>IF(U$15&lt;=1,0,SUMPRODUCT(MAX(($C$12:$V$12=U$12)*($C$224:$V$224)*($C$119:$V$119))))</f>
        <v/>
      </c>
      <c r="V1064" s="62">
        <f>IF(V$15&lt;=1,0,SUMPRODUCT(MAX(($C$12:$V$12=V$12)*($C$224:$V$224)*($C$119:$V$119))))</f>
        <v/>
      </c>
    </row>
    <row r="1069">
      <c r="A1069" s="171" t="inlineStr">
        <is>
          <t>Nr. des besten</t>
        </is>
      </c>
    </row>
    <row r="1070">
      <c r="C1070" s="62">
        <f>IF(C$15&lt;=1,0,SUMPRODUCT(MAX(($C$12:$V$12=C$12)*($C$125:$V$125)*(($C$20:$V$20)=C965)*$C$3:$V$3)))</f>
        <v/>
      </c>
      <c r="D1070" s="62">
        <f>IF(D$15&lt;=1,0,SUMPRODUCT(MAX(($C$12:$V$12=D$12)*($C$125:$V$125)*(($C$20:$V$20)=D965)*$C$3:$V$3)))</f>
        <v/>
      </c>
      <c r="E1070" s="62">
        <f>IF(E$15&lt;=1,0,SUMPRODUCT(MAX(($C$12:$V$12=E$12)*($C$125:$V$125)*(($C$20:$V$20)=E965)*$C$3:$V$3)))</f>
        <v/>
      </c>
      <c r="F1070" s="62">
        <f>IF(F$15&lt;=1,0,SUMPRODUCT(MAX(($C$12:$V$12=F$12)*($C$125:$V$125)*(($C$20:$V$20)=F965)*$C$3:$V$3)))</f>
        <v/>
      </c>
      <c r="G1070" s="62">
        <f>IF(G$15&lt;=1,0,SUMPRODUCT(MAX(($C$12:$V$12=G$12)*($C$125:$V$125)*(($C$20:$V$20)=G965)*$C$3:$V$3)))</f>
        <v/>
      </c>
      <c r="H1070" s="62">
        <f>IF(H$15&lt;=1,0,SUMPRODUCT(MAX(($C$12:$V$12=H$12)*($C$125:$V$125)*(($C$20:$V$20)=H965)*$C$3:$V$3)))</f>
        <v/>
      </c>
      <c r="I1070" s="62">
        <f>IF(I$15&lt;=1,0,SUMPRODUCT(MAX(($C$12:$V$12=I$12)*($C$125:$V$125)*(($C$20:$V$20)=I965)*$C$3:$V$3)))</f>
        <v/>
      </c>
      <c r="J1070" s="62">
        <f>IF(J$15&lt;=1,0,SUMPRODUCT(MAX(($C$12:$V$12=J$12)*($C$125:$V$125)*(($C$20:$V$20)=J965)*$C$3:$V$3)))</f>
        <v/>
      </c>
      <c r="K1070" s="62">
        <f>IF(K$15&lt;=1,0,SUMPRODUCT(MAX(($C$12:$V$12=K$12)*($C$125:$V$125)*(($C$20:$V$20)=K965)*$C$3:$V$3)))</f>
        <v/>
      </c>
      <c r="L1070" s="62">
        <f>IF(L$15&lt;=1,0,SUMPRODUCT(MAX(($C$12:$V$12=L$12)*($C$125:$V$125)*(($C$20:$V$20)=L965)*$C$3:$V$3)))</f>
        <v/>
      </c>
      <c r="M1070" s="62">
        <f>IF(M$15&lt;=1,0,SUMPRODUCT(MAX(($C$12:$V$12=M$12)*($C$125:$V$125)*(($C$20:$V$20)=M965)*$C$3:$V$3)))</f>
        <v/>
      </c>
      <c r="N1070" s="62">
        <f>IF(N$15&lt;=1,0,SUMPRODUCT(MAX(($C$12:$V$12=N$12)*($C$125:$V$125)*(($C$20:$V$20)=N965)*$C$3:$V$3)))</f>
        <v/>
      </c>
      <c r="O1070" s="62">
        <f>IF(O$15&lt;=1,0,SUMPRODUCT(MAX(($C$12:$V$12=O$12)*($C$125:$V$125)*(($C$20:$V$20)=O965)*$C$3:$V$3)))</f>
        <v/>
      </c>
      <c r="P1070" s="62">
        <f>IF(P$15&lt;=1,0,SUMPRODUCT(MAX(($C$12:$V$12=P$12)*($C$125:$V$125)*(($C$20:$V$20)=P965)*$C$3:$V$3)))</f>
        <v/>
      </c>
      <c r="Q1070" s="62">
        <f>IF(Q$15&lt;=1,0,SUMPRODUCT(MAX(($C$12:$V$12=Q$12)*($C$125:$V$125)*(($C$20:$V$20)=Q965)*$C$3:$V$3)))</f>
        <v/>
      </c>
      <c r="R1070" s="62">
        <f>IF(R$15&lt;=1,0,SUMPRODUCT(MAX(($C$12:$V$12=R$12)*($C$125:$V$125)*(($C$20:$V$20)=R965)*$C$3:$V$3)))</f>
        <v/>
      </c>
      <c r="S1070" s="62">
        <f>IF(S$15&lt;=1,0,SUMPRODUCT(MAX(($C$12:$V$12=S$12)*($C$125:$V$125)*(($C$20:$V$20)=S965)*$C$3:$V$3)))</f>
        <v/>
      </c>
      <c r="T1070" s="62">
        <f>IF(T$15&lt;=1,0,SUMPRODUCT(MAX(($C$12:$V$12=T$12)*($C$125:$V$125)*(($C$20:$V$20)=T965)*$C$3:$V$3)))</f>
        <v/>
      </c>
      <c r="U1070" s="62">
        <f>IF(U$15&lt;=1,0,SUMPRODUCT(MAX(($C$12:$V$12=U$12)*($C$125:$V$125)*(($C$20:$V$20)=U965)*$C$3:$V$3)))</f>
        <v/>
      </c>
      <c r="V1070" s="62">
        <f>IF(V$15&lt;=1,0,SUMPRODUCT(MAX(($C$12:$V$12=V$12)*($C$125:$V$125)*(($C$20:$V$20)=V965)*$C$3:$V$3)))</f>
        <v/>
      </c>
    </row>
    <row r="1071">
      <c r="C1071" s="62">
        <f>IF(C$15&lt;=1,0,SUMPRODUCT(MAX(($C$12:$V$12=C$12)*($C$126:$V$126)*(($C$21:$V$21)=C966)*$C$3:$V$3)))</f>
        <v/>
      </c>
      <c r="D1071" s="62">
        <f>IF(D$15&lt;=1,0,SUMPRODUCT(MAX(($C$12:$V$12=D$12)*($C$126:$V$126)*(($C$21:$V$21)=D966)*$C$3:$V$3)))</f>
        <v/>
      </c>
      <c r="E1071" s="62">
        <f>IF(E$15&lt;=1,0,SUMPRODUCT(MAX(($C$12:$V$12=E$12)*($C$126:$V$126)*(($C$21:$V$21)=E966)*$C$3:$V$3)))</f>
        <v/>
      </c>
      <c r="F1071" s="62">
        <f>IF(F$15&lt;=1,0,SUMPRODUCT(MAX(($C$12:$V$12=F$12)*($C$126:$V$126)*(($C$21:$V$21)=F966)*$C$3:$V$3)))</f>
        <v/>
      </c>
      <c r="G1071" s="62">
        <f>IF(G$15&lt;=1,0,SUMPRODUCT(MAX(($C$12:$V$12=G$12)*($C$126:$V$126)*(($C$21:$V$21)=G966)*$C$3:$V$3)))</f>
        <v/>
      </c>
      <c r="H1071" s="62">
        <f>IF(H$15&lt;=1,0,SUMPRODUCT(MAX(($C$12:$V$12=H$12)*($C$126:$V$126)*(($C$21:$V$21)=H966)*$C$3:$V$3)))</f>
        <v/>
      </c>
      <c r="I1071" s="62">
        <f>IF(I$15&lt;=1,0,SUMPRODUCT(MAX(($C$12:$V$12=I$12)*($C$126:$V$126)*(($C$21:$V$21)=I966)*$C$3:$V$3)))</f>
        <v/>
      </c>
      <c r="J1071" s="62">
        <f>IF(J$15&lt;=1,0,SUMPRODUCT(MAX(($C$12:$V$12=J$12)*($C$126:$V$126)*(($C$21:$V$21)=J966)*$C$3:$V$3)))</f>
        <v/>
      </c>
      <c r="K1071" s="62">
        <f>IF(K$15&lt;=1,0,SUMPRODUCT(MAX(($C$12:$V$12=K$12)*($C$126:$V$126)*(($C$21:$V$21)=K966)*$C$3:$V$3)))</f>
        <v/>
      </c>
      <c r="L1071" s="62">
        <f>IF(L$15&lt;=1,0,SUMPRODUCT(MAX(($C$12:$V$12=L$12)*($C$126:$V$126)*(($C$21:$V$21)=L966)*$C$3:$V$3)))</f>
        <v/>
      </c>
      <c r="M1071" s="62">
        <f>IF(M$15&lt;=1,0,SUMPRODUCT(MAX(($C$12:$V$12=M$12)*($C$126:$V$126)*(($C$21:$V$21)=M966)*$C$3:$V$3)))</f>
        <v/>
      </c>
      <c r="N1071" s="62">
        <f>IF(N$15&lt;=1,0,SUMPRODUCT(MAX(($C$12:$V$12=N$12)*($C$126:$V$126)*(($C$21:$V$21)=N966)*$C$3:$V$3)))</f>
        <v/>
      </c>
      <c r="O1071" s="62">
        <f>IF(O$15&lt;=1,0,SUMPRODUCT(MAX(($C$12:$V$12=O$12)*($C$126:$V$126)*(($C$21:$V$21)=O966)*$C$3:$V$3)))</f>
        <v/>
      </c>
      <c r="P1071" s="62">
        <f>IF(P$15&lt;=1,0,SUMPRODUCT(MAX(($C$12:$V$12=P$12)*($C$126:$V$126)*(($C$21:$V$21)=P966)*$C$3:$V$3)))</f>
        <v/>
      </c>
      <c r="Q1071" s="62">
        <f>IF(Q$15&lt;=1,0,SUMPRODUCT(MAX(($C$12:$V$12=Q$12)*($C$126:$V$126)*(($C$21:$V$21)=Q966)*$C$3:$V$3)))</f>
        <v/>
      </c>
      <c r="R1071" s="62">
        <f>IF(R$15&lt;=1,0,SUMPRODUCT(MAX(($C$12:$V$12=R$12)*($C$126:$V$126)*(($C$21:$V$21)=R966)*$C$3:$V$3)))</f>
        <v/>
      </c>
      <c r="S1071" s="62">
        <f>IF(S$15&lt;=1,0,SUMPRODUCT(MAX(($C$12:$V$12=S$12)*($C$126:$V$126)*(($C$21:$V$21)=S966)*$C$3:$V$3)))</f>
        <v/>
      </c>
      <c r="T1071" s="62">
        <f>IF(T$15&lt;=1,0,SUMPRODUCT(MAX(($C$12:$V$12=T$12)*($C$126:$V$126)*(($C$21:$V$21)=T966)*$C$3:$V$3)))</f>
        <v/>
      </c>
      <c r="U1071" s="62">
        <f>IF(U$15&lt;=1,0,SUMPRODUCT(MAX(($C$12:$V$12=U$12)*($C$126:$V$126)*(($C$21:$V$21)=U966)*$C$3:$V$3)))</f>
        <v/>
      </c>
      <c r="V1071" s="62">
        <f>IF(V$15&lt;=1,0,SUMPRODUCT(MAX(($C$12:$V$12=V$12)*($C$126:$V$126)*(($C$21:$V$21)=V966)*$C$3:$V$3)))</f>
        <v/>
      </c>
    </row>
    <row r="1072">
      <c r="C1072" s="62">
        <f>IF(C$15&lt;=1,0,SUMPRODUCT(MAX(($C$12:$V$12=C$12)*($C$127:$V$127)*(($C$22:$V$22)=C967)*$C$3:$V$3)))</f>
        <v/>
      </c>
      <c r="D1072" s="62">
        <f>IF(D$15&lt;=1,0,SUMPRODUCT(MAX(($C$12:$V$12=D$12)*($C$127:$V$127)*(($C$22:$V$22)=D967)*$C$3:$V$3)))</f>
        <v/>
      </c>
      <c r="E1072" s="62">
        <f>IF(E$15&lt;=1,0,SUMPRODUCT(MAX(($C$12:$V$12=E$12)*($C$127:$V$127)*(($C$22:$V$22)=E967)*$C$3:$V$3)))</f>
        <v/>
      </c>
      <c r="F1072" s="62">
        <f>IF(F$15&lt;=1,0,SUMPRODUCT(MAX(($C$12:$V$12=F$12)*($C$127:$V$127)*(($C$22:$V$22)=F967)*$C$3:$V$3)))</f>
        <v/>
      </c>
      <c r="G1072" s="62">
        <f>IF(G$15&lt;=1,0,SUMPRODUCT(MAX(($C$12:$V$12=G$12)*($C$127:$V$127)*(($C$22:$V$22)=G967)*$C$3:$V$3)))</f>
        <v/>
      </c>
      <c r="H1072" s="62">
        <f>IF(H$15&lt;=1,0,SUMPRODUCT(MAX(($C$12:$V$12=H$12)*($C$127:$V$127)*(($C$22:$V$22)=H967)*$C$3:$V$3)))</f>
        <v/>
      </c>
      <c r="I1072" s="62">
        <f>IF(I$15&lt;=1,0,SUMPRODUCT(MAX(($C$12:$V$12=I$12)*($C$127:$V$127)*(($C$22:$V$22)=I967)*$C$3:$V$3)))</f>
        <v/>
      </c>
      <c r="J1072" s="62">
        <f>IF(J$15&lt;=1,0,SUMPRODUCT(MAX(($C$12:$V$12=J$12)*($C$127:$V$127)*(($C$22:$V$22)=J967)*$C$3:$V$3)))</f>
        <v/>
      </c>
      <c r="K1072" s="62">
        <f>IF(K$15&lt;=1,0,SUMPRODUCT(MAX(($C$12:$V$12=K$12)*($C$127:$V$127)*(($C$22:$V$22)=K967)*$C$3:$V$3)))</f>
        <v/>
      </c>
      <c r="L1072" s="62">
        <f>IF(L$15&lt;=1,0,SUMPRODUCT(MAX(($C$12:$V$12=L$12)*($C$127:$V$127)*(($C$22:$V$22)=L967)*$C$3:$V$3)))</f>
        <v/>
      </c>
      <c r="M1072" s="62">
        <f>IF(M$15&lt;=1,0,SUMPRODUCT(MAX(($C$12:$V$12=M$12)*($C$127:$V$127)*(($C$22:$V$22)=M967)*$C$3:$V$3)))</f>
        <v/>
      </c>
      <c r="N1072" s="62">
        <f>IF(N$15&lt;=1,0,SUMPRODUCT(MAX(($C$12:$V$12=N$12)*($C$127:$V$127)*(($C$22:$V$22)=N967)*$C$3:$V$3)))</f>
        <v/>
      </c>
      <c r="O1072" s="62">
        <f>IF(O$15&lt;=1,0,SUMPRODUCT(MAX(($C$12:$V$12=O$12)*($C$127:$V$127)*(($C$22:$V$22)=O967)*$C$3:$V$3)))</f>
        <v/>
      </c>
      <c r="P1072" s="62">
        <f>IF(P$15&lt;=1,0,SUMPRODUCT(MAX(($C$12:$V$12=P$12)*($C$127:$V$127)*(($C$22:$V$22)=P967)*$C$3:$V$3)))</f>
        <v/>
      </c>
      <c r="Q1072" s="62">
        <f>IF(Q$15&lt;=1,0,SUMPRODUCT(MAX(($C$12:$V$12=Q$12)*($C$127:$V$127)*(($C$22:$V$22)=Q967)*$C$3:$V$3)))</f>
        <v/>
      </c>
      <c r="R1072" s="62">
        <f>IF(R$15&lt;=1,0,SUMPRODUCT(MAX(($C$12:$V$12=R$12)*($C$127:$V$127)*(($C$22:$V$22)=R967)*$C$3:$V$3)))</f>
        <v/>
      </c>
      <c r="S1072" s="62">
        <f>IF(S$15&lt;=1,0,SUMPRODUCT(MAX(($C$12:$V$12=S$12)*($C$127:$V$127)*(($C$22:$V$22)=S967)*$C$3:$V$3)))</f>
        <v/>
      </c>
      <c r="T1072" s="62">
        <f>IF(T$15&lt;=1,0,SUMPRODUCT(MAX(($C$12:$V$12=T$12)*($C$127:$V$127)*(($C$22:$V$22)=T967)*$C$3:$V$3)))</f>
        <v/>
      </c>
      <c r="U1072" s="62">
        <f>IF(U$15&lt;=1,0,SUMPRODUCT(MAX(($C$12:$V$12=U$12)*($C$127:$V$127)*(($C$22:$V$22)=U967)*$C$3:$V$3)))</f>
        <v/>
      </c>
      <c r="V1072" s="62">
        <f>IF(V$15&lt;=1,0,SUMPRODUCT(MAX(($C$12:$V$12=V$12)*($C$127:$V$127)*(($C$22:$V$22)=V967)*$C$3:$V$3)))</f>
        <v/>
      </c>
    </row>
    <row r="1073">
      <c r="C1073" s="62">
        <f>IF(C$15&lt;=1,0,SUMPRODUCT(MAX(($C$12:$V$12=C$12)*($C$128:$V$128)*(($C$23:$V$23)=C968)*$C$3:$V$3)))</f>
        <v/>
      </c>
      <c r="D1073" s="62">
        <f>IF(D$15&lt;=1,0,SUMPRODUCT(MAX(($C$12:$V$12=D$12)*($C$128:$V$128)*(($C$23:$V$23)=D968)*$C$3:$V$3)))</f>
        <v/>
      </c>
      <c r="E1073" s="62">
        <f>IF(E$15&lt;=1,0,SUMPRODUCT(MAX(($C$12:$V$12=E$12)*($C$128:$V$128)*(($C$23:$V$23)=E968)*$C$3:$V$3)))</f>
        <v/>
      </c>
      <c r="F1073" s="62">
        <f>IF(F$15&lt;=1,0,SUMPRODUCT(MAX(($C$12:$V$12=F$12)*($C$128:$V$128)*(($C$23:$V$23)=F968)*$C$3:$V$3)))</f>
        <v/>
      </c>
      <c r="G1073" s="62">
        <f>IF(G$15&lt;=1,0,SUMPRODUCT(MAX(($C$12:$V$12=G$12)*($C$128:$V$128)*(($C$23:$V$23)=G968)*$C$3:$V$3)))</f>
        <v/>
      </c>
      <c r="H1073" s="62">
        <f>IF(H$15&lt;=1,0,SUMPRODUCT(MAX(($C$12:$V$12=H$12)*($C$128:$V$128)*(($C$23:$V$23)=H968)*$C$3:$V$3)))</f>
        <v/>
      </c>
      <c r="I1073" s="62">
        <f>IF(I$15&lt;=1,0,SUMPRODUCT(MAX(($C$12:$V$12=I$12)*($C$128:$V$128)*(($C$23:$V$23)=I968)*$C$3:$V$3)))</f>
        <v/>
      </c>
      <c r="J1073" s="62">
        <f>IF(J$15&lt;=1,0,SUMPRODUCT(MAX(($C$12:$V$12=J$12)*($C$128:$V$128)*(($C$23:$V$23)=J968)*$C$3:$V$3)))</f>
        <v/>
      </c>
      <c r="K1073" s="62">
        <f>IF(K$15&lt;=1,0,SUMPRODUCT(MAX(($C$12:$V$12=K$12)*($C$128:$V$128)*(($C$23:$V$23)=K968)*$C$3:$V$3)))</f>
        <v/>
      </c>
      <c r="L1073" s="62">
        <f>IF(L$15&lt;=1,0,SUMPRODUCT(MAX(($C$12:$V$12=L$12)*($C$128:$V$128)*(($C$23:$V$23)=L968)*$C$3:$V$3)))</f>
        <v/>
      </c>
      <c r="M1073" s="62">
        <f>IF(M$15&lt;=1,0,SUMPRODUCT(MAX(($C$12:$V$12=M$12)*($C$128:$V$128)*(($C$23:$V$23)=M968)*$C$3:$V$3)))</f>
        <v/>
      </c>
      <c r="N1073" s="62">
        <f>IF(N$15&lt;=1,0,SUMPRODUCT(MAX(($C$12:$V$12=N$12)*($C$128:$V$128)*(($C$23:$V$23)=N968)*$C$3:$V$3)))</f>
        <v/>
      </c>
      <c r="O1073" s="62">
        <f>IF(O$15&lt;=1,0,SUMPRODUCT(MAX(($C$12:$V$12=O$12)*($C$128:$V$128)*(($C$23:$V$23)=O968)*$C$3:$V$3)))</f>
        <v/>
      </c>
      <c r="P1073" s="62">
        <f>IF(P$15&lt;=1,0,SUMPRODUCT(MAX(($C$12:$V$12=P$12)*($C$128:$V$128)*(($C$23:$V$23)=P968)*$C$3:$V$3)))</f>
        <v/>
      </c>
      <c r="Q1073" s="62">
        <f>IF(Q$15&lt;=1,0,SUMPRODUCT(MAX(($C$12:$V$12=Q$12)*($C$128:$V$128)*(($C$23:$V$23)=Q968)*$C$3:$V$3)))</f>
        <v/>
      </c>
      <c r="R1073" s="62">
        <f>IF(R$15&lt;=1,0,SUMPRODUCT(MAX(($C$12:$V$12=R$12)*($C$128:$V$128)*(($C$23:$V$23)=R968)*$C$3:$V$3)))</f>
        <v/>
      </c>
      <c r="S1073" s="62">
        <f>IF(S$15&lt;=1,0,SUMPRODUCT(MAX(($C$12:$V$12=S$12)*($C$128:$V$128)*(($C$23:$V$23)=S968)*$C$3:$V$3)))</f>
        <v/>
      </c>
      <c r="T1073" s="62">
        <f>IF(T$15&lt;=1,0,SUMPRODUCT(MAX(($C$12:$V$12=T$12)*($C$128:$V$128)*(($C$23:$V$23)=T968)*$C$3:$V$3)))</f>
        <v/>
      </c>
      <c r="U1073" s="62">
        <f>IF(U$15&lt;=1,0,SUMPRODUCT(MAX(($C$12:$V$12=U$12)*($C$128:$V$128)*(($C$23:$V$23)=U968)*$C$3:$V$3)))</f>
        <v/>
      </c>
      <c r="V1073" s="62">
        <f>IF(V$15&lt;=1,0,SUMPRODUCT(MAX(($C$12:$V$12=V$12)*($C$128:$V$128)*(($C$23:$V$23)=V968)*$C$3:$V$3)))</f>
        <v/>
      </c>
    </row>
    <row r="1074">
      <c r="C1074" s="62">
        <f>IF(C$15&lt;=1,0,SUMPRODUCT(MAX(($C$12:$V$12=C$12)*($C$129:$V$129)*(($C$24:$V$24)=C969)*$C$3:$V$3)))</f>
        <v/>
      </c>
      <c r="D1074" s="62">
        <f>IF(D$15&lt;=1,0,SUMPRODUCT(MAX(($C$12:$V$12=D$12)*($C$129:$V$129)*(($C$24:$V$24)=D969)*$C$3:$V$3)))</f>
        <v/>
      </c>
      <c r="E1074" s="62">
        <f>IF(E$15&lt;=1,0,SUMPRODUCT(MAX(($C$12:$V$12=E$12)*($C$129:$V$129)*(($C$24:$V$24)=E969)*$C$3:$V$3)))</f>
        <v/>
      </c>
      <c r="F1074" s="62">
        <f>IF(F$15&lt;=1,0,SUMPRODUCT(MAX(($C$12:$V$12=F$12)*($C$129:$V$129)*(($C$24:$V$24)=F969)*$C$3:$V$3)))</f>
        <v/>
      </c>
      <c r="G1074" s="62">
        <f>IF(G$15&lt;=1,0,SUMPRODUCT(MAX(($C$12:$V$12=G$12)*($C$129:$V$129)*(($C$24:$V$24)=G969)*$C$3:$V$3)))</f>
        <v/>
      </c>
      <c r="H1074" s="62">
        <f>IF(H$15&lt;=1,0,SUMPRODUCT(MAX(($C$12:$V$12=H$12)*($C$129:$V$129)*(($C$24:$V$24)=H969)*$C$3:$V$3)))</f>
        <v/>
      </c>
      <c r="I1074" s="62">
        <f>IF(I$15&lt;=1,0,SUMPRODUCT(MAX(($C$12:$V$12=I$12)*($C$129:$V$129)*(($C$24:$V$24)=I969)*$C$3:$V$3)))</f>
        <v/>
      </c>
      <c r="J1074" s="62">
        <f>IF(J$15&lt;=1,0,SUMPRODUCT(MAX(($C$12:$V$12=J$12)*($C$129:$V$129)*(($C$24:$V$24)=J969)*$C$3:$V$3)))</f>
        <v/>
      </c>
      <c r="K1074" s="62">
        <f>IF(K$15&lt;=1,0,SUMPRODUCT(MAX(($C$12:$V$12=K$12)*($C$129:$V$129)*(($C$24:$V$24)=K969)*$C$3:$V$3)))</f>
        <v/>
      </c>
      <c r="L1074" s="62">
        <f>IF(L$15&lt;=1,0,SUMPRODUCT(MAX(($C$12:$V$12=L$12)*($C$129:$V$129)*(($C$24:$V$24)=L969)*$C$3:$V$3)))</f>
        <v/>
      </c>
      <c r="M1074" s="62">
        <f>IF(M$15&lt;=1,0,SUMPRODUCT(MAX(($C$12:$V$12=M$12)*($C$129:$V$129)*(($C$24:$V$24)=M969)*$C$3:$V$3)))</f>
        <v/>
      </c>
      <c r="N1074" s="62">
        <f>IF(N$15&lt;=1,0,SUMPRODUCT(MAX(($C$12:$V$12=N$12)*($C$129:$V$129)*(($C$24:$V$24)=N969)*$C$3:$V$3)))</f>
        <v/>
      </c>
      <c r="O1074" s="62">
        <f>IF(O$15&lt;=1,0,SUMPRODUCT(MAX(($C$12:$V$12=O$12)*($C$129:$V$129)*(($C$24:$V$24)=O969)*$C$3:$V$3)))</f>
        <v/>
      </c>
      <c r="P1074" s="62">
        <f>IF(P$15&lt;=1,0,SUMPRODUCT(MAX(($C$12:$V$12=P$12)*($C$129:$V$129)*(($C$24:$V$24)=P969)*$C$3:$V$3)))</f>
        <v/>
      </c>
      <c r="Q1074" s="62">
        <f>IF(Q$15&lt;=1,0,SUMPRODUCT(MAX(($C$12:$V$12=Q$12)*($C$129:$V$129)*(($C$24:$V$24)=Q969)*$C$3:$V$3)))</f>
        <v/>
      </c>
      <c r="R1074" s="62">
        <f>IF(R$15&lt;=1,0,SUMPRODUCT(MAX(($C$12:$V$12=R$12)*($C$129:$V$129)*(($C$24:$V$24)=R969)*$C$3:$V$3)))</f>
        <v/>
      </c>
      <c r="S1074" s="62">
        <f>IF(S$15&lt;=1,0,SUMPRODUCT(MAX(($C$12:$V$12=S$12)*($C$129:$V$129)*(($C$24:$V$24)=S969)*$C$3:$V$3)))</f>
        <v/>
      </c>
      <c r="T1074" s="62">
        <f>IF(T$15&lt;=1,0,SUMPRODUCT(MAX(($C$12:$V$12=T$12)*($C$129:$V$129)*(($C$24:$V$24)=T969)*$C$3:$V$3)))</f>
        <v/>
      </c>
      <c r="U1074" s="62">
        <f>IF(U$15&lt;=1,0,SUMPRODUCT(MAX(($C$12:$V$12=U$12)*($C$129:$V$129)*(($C$24:$V$24)=U969)*$C$3:$V$3)))</f>
        <v/>
      </c>
      <c r="V1074" s="62">
        <f>IF(V$15&lt;=1,0,SUMPRODUCT(MAX(($C$12:$V$12=V$12)*($C$129:$V$129)*(($C$24:$V$24)=V969)*$C$3:$V$3)))</f>
        <v/>
      </c>
    </row>
    <row r="1075">
      <c r="C1075" s="62">
        <f>IF(C$15&lt;=1,0,SUMPRODUCT(MAX(($C$12:$V$12=C$12)*($C$130:$V$130)*(($C$25:$V$25)=C970)*$C$3:$V$3)))</f>
        <v/>
      </c>
      <c r="D1075" s="62">
        <f>IF(D$15&lt;=1,0,SUMPRODUCT(MAX(($C$12:$V$12=D$12)*($C$130:$V$130)*(($C$25:$V$25)=D970)*$C$3:$V$3)))</f>
        <v/>
      </c>
      <c r="E1075" s="62">
        <f>IF(E$15&lt;=1,0,SUMPRODUCT(MAX(($C$12:$V$12=E$12)*($C$130:$V$130)*(($C$25:$V$25)=E970)*$C$3:$V$3)))</f>
        <v/>
      </c>
      <c r="F1075" s="62">
        <f>IF(F$15&lt;=1,0,SUMPRODUCT(MAX(($C$12:$V$12=F$12)*($C$130:$V$130)*(($C$25:$V$25)=F970)*$C$3:$V$3)))</f>
        <v/>
      </c>
      <c r="G1075" s="62">
        <f>IF(G$15&lt;=1,0,SUMPRODUCT(MAX(($C$12:$V$12=G$12)*($C$130:$V$130)*(($C$25:$V$25)=G970)*$C$3:$V$3)))</f>
        <v/>
      </c>
      <c r="H1075" s="62">
        <f>IF(H$15&lt;=1,0,SUMPRODUCT(MAX(($C$12:$V$12=H$12)*($C$130:$V$130)*(($C$25:$V$25)=H970)*$C$3:$V$3)))</f>
        <v/>
      </c>
      <c r="I1075" s="62">
        <f>IF(I$15&lt;=1,0,SUMPRODUCT(MAX(($C$12:$V$12=I$12)*($C$130:$V$130)*(($C$25:$V$25)=I970)*$C$3:$V$3)))</f>
        <v/>
      </c>
      <c r="J1075" s="62">
        <f>IF(J$15&lt;=1,0,SUMPRODUCT(MAX(($C$12:$V$12=J$12)*($C$130:$V$130)*(($C$25:$V$25)=J970)*$C$3:$V$3)))</f>
        <v/>
      </c>
      <c r="K1075" s="62">
        <f>IF(K$15&lt;=1,0,SUMPRODUCT(MAX(($C$12:$V$12=K$12)*($C$130:$V$130)*(($C$25:$V$25)=K970)*$C$3:$V$3)))</f>
        <v/>
      </c>
      <c r="L1075" s="62">
        <f>IF(L$15&lt;=1,0,SUMPRODUCT(MAX(($C$12:$V$12=L$12)*($C$130:$V$130)*(($C$25:$V$25)=L970)*$C$3:$V$3)))</f>
        <v/>
      </c>
      <c r="M1075" s="62">
        <f>IF(M$15&lt;=1,0,SUMPRODUCT(MAX(($C$12:$V$12=M$12)*($C$130:$V$130)*(($C$25:$V$25)=M970)*$C$3:$V$3)))</f>
        <v/>
      </c>
      <c r="N1075" s="62">
        <f>IF(N$15&lt;=1,0,SUMPRODUCT(MAX(($C$12:$V$12=N$12)*($C$130:$V$130)*(($C$25:$V$25)=N970)*$C$3:$V$3)))</f>
        <v/>
      </c>
      <c r="O1075" s="62">
        <f>IF(O$15&lt;=1,0,SUMPRODUCT(MAX(($C$12:$V$12=O$12)*($C$130:$V$130)*(($C$25:$V$25)=O970)*$C$3:$V$3)))</f>
        <v/>
      </c>
      <c r="P1075" s="62">
        <f>IF(P$15&lt;=1,0,SUMPRODUCT(MAX(($C$12:$V$12=P$12)*($C$130:$V$130)*(($C$25:$V$25)=P970)*$C$3:$V$3)))</f>
        <v/>
      </c>
      <c r="Q1075" s="62">
        <f>IF(Q$15&lt;=1,0,SUMPRODUCT(MAX(($C$12:$V$12=Q$12)*($C$130:$V$130)*(($C$25:$V$25)=Q970)*$C$3:$V$3)))</f>
        <v/>
      </c>
      <c r="R1075" s="62">
        <f>IF(R$15&lt;=1,0,SUMPRODUCT(MAX(($C$12:$V$12=R$12)*($C$130:$V$130)*(($C$25:$V$25)=R970)*$C$3:$V$3)))</f>
        <v/>
      </c>
      <c r="S1075" s="62">
        <f>IF(S$15&lt;=1,0,SUMPRODUCT(MAX(($C$12:$V$12=S$12)*($C$130:$V$130)*(($C$25:$V$25)=S970)*$C$3:$V$3)))</f>
        <v/>
      </c>
      <c r="T1075" s="62">
        <f>IF(T$15&lt;=1,0,SUMPRODUCT(MAX(($C$12:$V$12=T$12)*($C$130:$V$130)*(($C$25:$V$25)=T970)*$C$3:$V$3)))</f>
        <v/>
      </c>
      <c r="U1075" s="62">
        <f>IF(U$15&lt;=1,0,SUMPRODUCT(MAX(($C$12:$V$12=U$12)*($C$130:$V$130)*(($C$25:$V$25)=U970)*$C$3:$V$3)))</f>
        <v/>
      </c>
      <c r="V1075" s="62">
        <f>IF(V$15&lt;=1,0,SUMPRODUCT(MAX(($C$12:$V$12=V$12)*($C$130:$V$130)*(($C$25:$V$25)=V970)*$C$3:$V$3)))</f>
        <v/>
      </c>
    </row>
    <row r="1076">
      <c r="C1076" s="62">
        <f>IF(C$15&lt;=1,0,SUMPRODUCT(MAX(($C$12:$V$12=C$12)*($C$131:$V$131)*(($C$26:$V$26)=C971)*$C$3:$V$3)))</f>
        <v/>
      </c>
      <c r="D1076" s="62">
        <f>IF(D$15&lt;=1,0,SUMPRODUCT(MAX(($C$12:$V$12=D$12)*($C$131:$V$131)*(($C$26:$V$26)=D971)*$C$3:$V$3)))</f>
        <v/>
      </c>
      <c r="E1076" s="62">
        <f>IF(E$15&lt;=1,0,SUMPRODUCT(MAX(($C$12:$V$12=E$12)*($C$131:$V$131)*(($C$26:$V$26)=E971)*$C$3:$V$3)))</f>
        <v/>
      </c>
      <c r="F1076" s="62">
        <f>IF(F$15&lt;=1,0,SUMPRODUCT(MAX(($C$12:$V$12=F$12)*($C$131:$V$131)*(($C$26:$V$26)=F971)*$C$3:$V$3)))</f>
        <v/>
      </c>
      <c r="G1076" s="62">
        <f>IF(G$15&lt;=1,0,SUMPRODUCT(MAX(($C$12:$V$12=G$12)*($C$131:$V$131)*(($C$26:$V$26)=G971)*$C$3:$V$3)))</f>
        <v/>
      </c>
      <c r="H1076" s="62">
        <f>IF(H$15&lt;=1,0,SUMPRODUCT(MAX(($C$12:$V$12=H$12)*($C$131:$V$131)*(($C$26:$V$26)=H971)*$C$3:$V$3)))</f>
        <v/>
      </c>
      <c r="I1076" s="62">
        <f>IF(I$15&lt;=1,0,SUMPRODUCT(MAX(($C$12:$V$12=I$12)*($C$131:$V$131)*(($C$26:$V$26)=I971)*$C$3:$V$3)))</f>
        <v/>
      </c>
      <c r="J1076" s="62">
        <f>IF(J$15&lt;=1,0,SUMPRODUCT(MAX(($C$12:$V$12=J$12)*($C$131:$V$131)*(($C$26:$V$26)=J971)*$C$3:$V$3)))</f>
        <v/>
      </c>
      <c r="K1076" s="62">
        <f>IF(K$15&lt;=1,0,SUMPRODUCT(MAX(($C$12:$V$12=K$12)*($C$131:$V$131)*(($C$26:$V$26)=K971)*$C$3:$V$3)))</f>
        <v/>
      </c>
      <c r="L1076" s="62">
        <f>IF(L$15&lt;=1,0,SUMPRODUCT(MAX(($C$12:$V$12=L$12)*($C$131:$V$131)*(($C$26:$V$26)=L971)*$C$3:$V$3)))</f>
        <v/>
      </c>
      <c r="M1076" s="62">
        <f>IF(M$15&lt;=1,0,SUMPRODUCT(MAX(($C$12:$V$12=M$12)*($C$131:$V$131)*(($C$26:$V$26)=M971)*$C$3:$V$3)))</f>
        <v/>
      </c>
      <c r="N1076" s="62">
        <f>IF(N$15&lt;=1,0,SUMPRODUCT(MAX(($C$12:$V$12=N$12)*($C$131:$V$131)*(($C$26:$V$26)=N971)*$C$3:$V$3)))</f>
        <v/>
      </c>
      <c r="O1076" s="62">
        <f>IF(O$15&lt;=1,0,SUMPRODUCT(MAX(($C$12:$V$12=O$12)*($C$131:$V$131)*(($C$26:$V$26)=O971)*$C$3:$V$3)))</f>
        <v/>
      </c>
      <c r="P1076" s="62">
        <f>IF(P$15&lt;=1,0,SUMPRODUCT(MAX(($C$12:$V$12=P$12)*($C$131:$V$131)*(($C$26:$V$26)=P971)*$C$3:$V$3)))</f>
        <v/>
      </c>
      <c r="Q1076" s="62">
        <f>IF(Q$15&lt;=1,0,SUMPRODUCT(MAX(($C$12:$V$12=Q$12)*($C$131:$V$131)*(($C$26:$V$26)=Q971)*$C$3:$V$3)))</f>
        <v/>
      </c>
      <c r="R1076" s="62">
        <f>IF(R$15&lt;=1,0,SUMPRODUCT(MAX(($C$12:$V$12=R$12)*($C$131:$V$131)*(($C$26:$V$26)=R971)*$C$3:$V$3)))</f>
        <v/>
      </c>
      <c r="S1076" s="62">
        <f>IF(S$15&lt;=1,0,SUMPRODUCT(MAX(($C$12:$V$12=S$12)*($C$131:$V$131)*(($C$26:$V$26)=S971)*$C$3:$V$3)))</f>
        <v/>
      </c>
      <c r="T1076" s="62">
        <f>IF(T$15&lt;=1,0,SUMPRODUCT(MAX(($C$12:$V$12=T$12)*($C$131:$V$131)*(($C$26:$V$26)=T971)*$C$3:$V$3)))</f>
        <v/>
      </c>
      <c r="U1076" s="62">
        <f>IF(U$15&lt;=1,0,SUMPRODUCT(MAX(($C$12:$V$12=U$12)*($C$131:$V$131)*(($C$26:$V$26)=U971)*$C$3:$V$3)))</f>
        <v/>
      </c>
      <c r="V1076" s="62">
        <f>IF(V$15&lt;=1,0,SUMPRODUCT(MAX(($C$12:$V$12=V$12)*($C$131:$V$131)*(($C$26:$V$26)=V971)*$C$3:$V$3)))</f>
        <v/>
      </c>
    </row>
    <row r="1077">
      <c r="C1077" s="62">
        <f>IF(C$15&lt;=1,0,SUMPRODUCT(MAX(($C$12:$V$12=C$12)*($C$132:$V$132)*(($C$27:$V$27)=C972)*$C$3:$V$3)))</f>
        <v/>
      </c>
      <c r="D1077" s="62">
        <f>IF(D$15&lt;=1,0,SUMPRODUCT(MAX(($C$12:$V$12=D$12)*($C$132:$V$132)*(($C$27:$V$27)=D972)*$C$3:$V$3)))</f>
        <v/>
      </c>
      <c r="E1077" s="62">
        <f>IF(E$15&lt;=1,0,SUMPRODUCT(MAX(($C$12:$V$12=E$12)*($C$132:$V$132)*(($C$27:$V$27)=E972)*$C$3:$V$3)))</f>
        <v/>
      </c>
      <c r="F1077" s="62">
        <f>IF(F$15&lt;=1,0,SUMPRODUCT(MAX(($C$12:$V$12=F$12)*($C$132:$V$132)*(($C$27:$V$27)=F972)*$C$3:$V$3)))</f>
        <v/>
      </c>
      <c r="G1077" s="62">
        <f>IF(G$15&lt;=1,0,SUMPRODUCT(MAX(($C$12:$V$12=G$12)*($C$132:$V$132)*(($C$27:$V$27)=G972)*$C$3:$V$3)))</f>
        <v/>
      </c>
      <c r="H1077" s="62">
        <f>IF(H$15&lt;=1,0,SUMPRODUCT(MAX(($C$12:$V$12=H$12)*($C$132:$V$132)*(($C$27:$V$27)=H972)*$C$3:$V$3)))</f>
        <v/>
      </c>
      <c r="I1077" s="62">
        <f>IF(I$15&lt;=1,0,SUMPRODUCT(MAX(($C$12:$V$12=I$12)*($C$132:$V$132)*(($C$27:$V$27)=I972)*$C$3:$V$3)))</f>
        <v/>
      </c>
      <c r="J1077" s="62">
        <f>IF(J$15&lt;=1,0,SUMPRODUCT(MAX(($C$12:$V$12=J$12)*($C$132:$V$132)*(($C$27:$V$27)=J972)*$C$3:$V$3)))</f>
        <v/>
      </c>
      <c r="K1077" s="62">
        <f>IF(K$15&lt;=1,0,SUMPRODUCT(MAX(($C$12:$V$12=K$12)*($C$132:$V$132)*(($C$27:$V$27)=K972)*$C$3:$V$3)))</f>
        <v/>
      </c>
      <c r="L1077" s="62">
        <f>IF(L$15&lt;=1,0,SUMPRODUCT(MAX(($C$12:$V$12=L$12)*($C$132:$V$132)*(($C$27:$V$27)=L972)*$C$3:$V$3)))</f>
        <v/>
      </c>
      <c r="M1077" s="62">
        <f>IF(M$15&lt;=1,0,SUMPRODUCT(MAX(($C$12:$V$12=M$12)*($C$132:$V$132)*(($C$27:$V$27)=M972)*$C$3:$V$3)))</f>
        <v/>
      </c>
      <c r="N1077" s="62">
        <f>IF(N$15&lt;=1,0,SUMPRODUCT(MAX(($C$12:$V$12=N$12)*($C$132:$V$132)*(($C$27:$V$27)=N972)*$C$3:$V$3)))</f>
        <v/>
      </c>
      <c r="O1077" s="62">
        <f>IF(O$15&lt;=1,0,SUMPRODUCT(MAX(($C$12:$V$12=O$12)*($C$132:$V$132)*(($C$27:$V$27)=O972)*$C$3:$V$3)))</f>
        <v/>
      </c>
      <c r="P1077" s="62">
        <f>IF(P$15&lt;=1,0,SUMPRODUCT(MAX(($C$12:$V$12=P$12)*($C$132:$V$132)*(($C$27:$V$27)=P972)*$C$3:$V$3)))</f>
        <v/>
      </c>
      <c r="Q1077" s="62">
        <f>IF(Q$15&lt;=1,0,SUMPRODUCT(MAX(($C$12:$V$12=Q$12)*($C$132:$V$132)*(($C$27:$V$27)=Q972)*$C$3:$V$3)))</f>
        <v/>
      </c>
      <c r="R1077" s="62">
        <f>IF(R$15&lt;=1,0,SUMPRODUCT(MAX(($C$12:$V$12=R$12)*($C$132:$V$132)*(($C$27:$V$27)=R972)*$C$3:$V$3)))</f>
        <v/>
      </c>
      <c r="S1077" s="62">
        <f>IF(S$15&lt;=1,0,SUMPRODUCT(MAX(($C$12:$V$12=S$12)*($C$132:$V$132)*(($C$27:$V$27)=S972)*$C$3:$V$3)))</f>
        <v/>
      </c>
      <c r="T1077" s="62">
        <f>IF(T$15&lt;=1,0,SUMPRODUCT(MAX(($C$12:$V$12=T$12)*($C$132:$V$132)*(($C$27:$V$27)=T972)*$C$3:$V$3)))</f>
        <v/>
      </c>
      <c r="U1077" s="62">
        <f>IF(U$15&lt;=1,0,SUMPRODUCT(MAX(($C$12:$V$12=U$12)*($C$132:$V$132)*(($C$27:$V$27)=U972)*$C$3:$V$3)))</f>
        <v/>
      </c>
      <c r="V1077" s="62">
        <f>IF(V$15&lt;=1,0,SUMPRODUCT(MAX(($C$12:$V$12=V$12)*($C$132:$V$132)*(($C$27:$V$27)=V972)*$C$3:$V$3)))</f>
        <v/>
      </c>
    </row>
    <row r="1078">
      <c r="C1078" s="62">
        <f>IF(C$15&lt;=1,0,SUMPRODUCT(MAX(($C$12:$V$12=C$12)*($C$133:$V$133)*(($C$28:$V$28)=C973)*$C$3:$V$3)))</f>
        <v/>
      </c>
      <c r="D1078" s="62">
        <f>IF(D$15&lt;=1,0,SUMPRODUCT(MAX(($C$12:$V$12=D$12)*($C$133:$V$133)*(($C$28:$V$28)=D973)*$C$3:$V$3)))</f>
        <v/>
      </c>
      <c r="E1078" s="62">
        <f>IF(E$15&lt;=1,0,SUMPRODUCT(MAX(($C$12:$V$12=E$12)*($C$133:$V$133)*(($C$28:$V$28)=E973)*$C$3:$V$3)))</f>
        <v/>
      </c>
      <c r="F1078" s="62">
        <f>IF(F$15&lt;=1,0,SUMPRODUCT(MAX(($C$12:$V$12=F$12)*($C$133:$V$133)*(($C$28:$V$28)=F973)*$C$3:$V$3)))</f>
        <v/>
      </c>
      <c r="G1078" s="62">
        <f>IF(G$15&lt;=1,0,SUMPRODUCT(MAX(($C$12:$V$12=G$12)*($C$133:$V$133)*(($C$28:$V$28)=G973)*$C$3:$V$3)))</f>
        <v/>
      </c>
      <c r="H1078" s="62">
        <f>IF(H$15&lt;=1,0,SUMPRODUCT(MAX(($C$12:$V$12=H$12)*($C$133:$V$133)*(($C$28:$V$28)=H973)*$C$3:$V$3)))</f>
        <v/>
      </c>
      <c r="I1078" s="62">
        <f>IF(I$15&lt;=1,0,SUMPRODUCT(MAX(($C$12:$V$12=I$12)*($C$133:$V$133)*(($C$28:$V$28)=I973)*$C$3:$V$3)))</f>
        <v/>
      </c>
      <c r="J1078" s="62">
        <f>IF(J$15&lt;=1,0,SUMPRODUCT(MAX(($C$12:$V$12=J$12)*($C$133:$V$133)*(($C$28:$V$28)=J973)*$C$3:$V$3)))</f>
        <v/>
      </c>
      <c r="K1078" s="62">
        <f>IF(K$15&lt;=1,0,SUMPRODUCT(MAX(($C$12:$V$12=K$12)*($C$133:$V$133)*(($C$28:$V$28)=K973)*$C$3:$V$3)))</f>
        <v/>
      </c>
      <c r="L1078" s="62">
        <f>IF(L$15&lt;=1,0,SUMPRODUCT(MAX(($C$12:$V$12=L$12)*($C$133:$V$133)*(($C$28:$V$28)=L973)*$C$3:$V$3)))</f>
        <v/>
      </c>
      <c r="M1078" s="62">
        <f>IF(M$15&lt;=1,0,SUMPRODUCT(MAX(($C$12:$V$12=M$12)*($C$133:$V$133)*(($C$28:$V$28)=M973)*$C$3:$V$3)))</f>
        <v/>
      </c>
      <c r="N1078" s="62">
        <f>IF(N$15&lt;=1,0,SUMPRODUCT(MAX(($C$12:$V$12=N$12)*($C$133:$V$133)*(($C$28:$V$28)=N973)*$C$3:$V$3)))</f>
        <v/>
      </c>
      <c r="O1078" s="62">
        <f>IF(O$15&lt;=1,0,SUMPRODUCT(MAX(($C$12:$V$12=O$12)*($C$133:$V$133)*(($C$28:$V$28)=O973)*$C$3:$V$3)))</f>
        <v/>
      </c>
      <c r="P1078" s="62">
        <f>IF(P$15&lt;=1,0,SUMPRODUCT(MAX(($C$12:$V$12=P$12)*($C$133:$V$133)*(($C$28:$V$28)=P973)*$C$3:$V$3)))</f>
        <v/>
      </c>
      <c r="Q1078" s="62">
        <f>IF(Q$15&lt;=1,0,SUMPRODUCT(MAX(($C$12:$V$12=Q$12)*($C$133:$V$133)*(($C$28:$V$28)=Q973)*$C$3:$V$3)))</f>
        <v/>
      </c>
      <c r="R1078" s="62">
        <f>IF(R$15&lt;=1,0,SUMPRODUCT(MAX(($C$12:$V$12=R$12)*($C$133:$V$133)*(($C$28:$V$28)=R973)*$C$3:$V$3)))</f>
        <v/>
      </c>
      <c r="S1078" s="62">
        <f>IF(S$15&lt;=1,0,SUMPRODUCT(MAX(($C$12:$V$12=S$12)*($C$133:$V$133)*(($C$28:$V$28)=S973)*$C$3:$V$3)))</f>
        <v/>
      </c>
      <c r="T1078" s="62">
        <f>IF(T$15&lt;=1,0,SUMPRODUCT(MAX(($C$12:$V$12=T$12)*($C$133:$V$133)*(($C$28:$V$28)=T973)*$C$3:$V$3)))</f>
        <v/>
      </c>
      <c r="U1078" s="62">
        <f>IF(U$15&lt;=1,0,SUMPRODUCT(MAX(($C$12:$V$12=U$12)*($C$133:$V$133)*(($C$28:$V$28)=U973)*$C$3:$V$3)))</f>
        <v/>
      </c>
      <c r="V1078" s="62">
        <f>IF(V$15&lt;=1,0,SUMPRODUCT(MAX(($C$12:$V$12=V$12)*($C$133:$V$133)*(($C$28:$V$28)=V973)*$C$3:$V$3)))</f>
        <v/>
      </c>
    </row>
    <row r="1079">
      <c r="C1079" s="62">
        <f>IF(C$15&lt;=1,0,SUMPRODUCT(MAX(($C$12:$V$12=C$12)*($C$134:$V$134)*(($C$29:$V$29)=C974)*$C$3:$V$3)))</f>
        <v/>
      </c>
      <c r="D1079" s="62">
        <f>IF(D$15&lt;=1,0,SUMPRODUCT(MAX(($C$12:$V$12=D$12)*($C$134:$V$134)*(($C$29:$V$29)=D974)*$C$3:$V$3)))</f>
        <v/>
      </c>
      <c r="E1079" s="62">
        <f>IF(E$15&lt;=1,0,SUMPRODUCT(MAX(($C$12:$V$12=E$12)*($C$134:$V$134)*(($C$29:$V$29)=E974)*$C$3:$V$3)))</f>
        <v/>
      </c>
      <c r="F1079" s="62">
        <f>IF(F$15&lt;=1,0,SUMPRODUCT(MAX(($C$12:$V$12=F$12)*($C$134:$V$134)*(($C$29:$V$29)=F974)*$C$3:$V$3)))</f>
        <v/>
      </c>
      <c r="G1079" s="62">
        <f>IF(G$15&lt;=1,0,SUMPRODUCT(MAX(($C$12:$V$12=G$12)*($C$134:$V$134)*(($C$29:$V$29)=G974)*$C$3:$V$3)))</f>
        <v/>
      </c>
      <c r="H1079" s="62">
        <f>IF(H$15&lt;=1,0,SUMPRODUCT(MAX(($C$12:$V$12=H$12)*($C$134:$V$134)*(($C$29:$V$29)=H974)*$C$3:$V$3)))</f>
        <v/>
      </c>
      <c r="I1079" s="62">
        <f>IF(I$15&lt;=1,0,SUMPRODUCT(MAX(($C$12:$V$12=I$12)*($C$134:$V$134)*(($C$29:$V$29)=I974)*$C$3:$V$3)))</f>
        <v/>
      </c>
      <c r="J1079" s="62">
        <f>IF(J$15&lt;=1,0,SUMPRODUCT(MAX(($C$12:$V$12=J$12)*($C$134:$V$134)*(($C$29:$V$29)=J974)*$C$3:$V$3)))</f>
        <v/>
      </c>
      <c r="K1079" s="62">
        <f>IF(K$15&lt;=1,0,SUMPRODUCT(MAX(($C$12:$V$12=K$12)*($C$134:$V$134)*(($C$29:$V$29)=K974)*$C$3:$V$3)))</f>
        <v/>
      </c>
      <c r="L1079" s="62">
        <f>IF(L$15&lt;=1,0,SUMPRODUCT(MAX(($C$12:$V$12=L$12)*($C$134:$V$134)*(($C$29:$V$29)=L974)*$C$3:$V$3)))</f>
        <v/>
      </c>
      <c r="M1079" s="62">
        <f>IF(M$15&lt;=1,0,SUMPRODUCT(MAX(($C$12:$V$12=M$12)*($C$134:$V$134)*(($C$29:$V$29)=M974)*$C$3:$V$3)))</f>
        <v/>
      </c>
      <c r="N1079" s="62">
        <f>IF(N$15&lt;=1,0,SUMPRODUCT(MAX(($C$12:$V$12=N$12)*($C$134:$V$134)*(($C$29:$V$29)=N974)*$C$3:$V$3)))</f>
        <v/>
      </c>
      <c r="O1079" s="62">
        <f>IF(O$15&lt;=1,0,SUMPRODUCT(MAX(($C$12:$V$12=O$12)*($C$134:$V$134)*(($C$29:$V$29)=O974)*$C$3:$V$3)))</f>
        <v/>
      </c>
      <c r="P1079" s="62">
        <f>IF(P$15&lt;=1,0,SUMPRODUCT(MAX(($C$12:$V$12=P$12)*($C$134:$V$134)*(($C$29:$V$29)=P974)*$C$3:$V$3)))</f>
        <v/>
      </c>
      <c r="Q1079" s="62">
        <f>IF(Q$15&lt;=1,0,SUMPRODUCT(MAX(($C$12:$V$12=Q$12)*($C$134:$V$134)*(($C$29:$V$29)=Q974)*$C$3:$V$3)))</f>
        <v/>
      </c>
      <c r="R1079" s="62">
        <f>IF(R$15&lt;=1,0,SUMPRODUCT(MAX(($C$12:$V$12=R$12)*($C$134:$V$134)*(($C$29:$V$29)=R974)*$C$3:$V$3)))</f>
        <v/>
      </c>
      <c r="S1079" s="62">
        <f>IF(S$15&lt;=1,0,SUMPRODUCT(MAX(($C$12:$V$12=S$12)*($C$134:$V$134)*(($C$29:$V$29)=S974)*$C$3:$V$3)))</f>
        <v/>
      </c>
      <c r="T1079" s="62">
        <f>IF(T$15&lt;=1,0,SUMPRODUCT(MAX(($C$12:$V$12=T$12)*($C$134:$V$134)*(($C$29:$V$29)=T974)*$C$3:$V$3)))</f>
        <v/>
      </c>
      <c r="U1079" s="62">
        <f>IF(U$15&lt;=1,0,SUMPRODUCT(MAX(($C$12:$V$12=U$12)*($C$134:$V$134)*(($C$29:$V$29)=U974)*$C$3:$V$3)))</f>
        <v/>
      </c>
      <c r="V1079" s="62">
        <f>IF(V$15&lt;=1,0,SUMPRODUCT(MAX(($C$12:$V$12=V$12)*($C$134:$V$134)*(($C$29:$V$29)=V974)*$C$3:$V$3)))</f>
        <v/>
      </c>
    </row>
    <row r="1080">
      <c r="C1080" s="62">
        <f>IF(C$15&lt;=1,0,SUMPRODUCT(MAX(($C$12:$V$12=C$12)*($C$135:$V$135)*(($C$30:$V$30)=C975)*$C$3:$V$3)))</f>
        <v/>
      </c>
      <c r="D1080" s="62">
        <f>IF(D$15&lt;=1,0,SUMPRODUCT(MAX(($C$12:$V$12=D$12)*($C$135:$V$135)*(($C$30:$V$30)=D975)*$C$3:$V$3)))</f>
        <v/>
      </c>
      <c r="E1080" s="62">
        <f>IF(E$15&lt;=1,0,SUMPRODUCT(MAX(($C$12:$V$12=E$12)*($C$135:$V$135)*(($C$30:$V$30)=E975)*$C$3:$V$3)))</f>
        <v/>
      </c>
      <c r="F1080" s="62">
        <f>IF(F$15&lt;=1,0,SUMPRODUCT(MAX(($C$12:$V$12=F$12)*($C$135:$V$135)*(($C$30:$V$30)=F975)*$C$3:$V$3)))</f>
        <v/>
      </c>
      <c r="G1080" s="62">
        <f>IF(G$15&lt;=1,0,SUMPRODUCT(MAX(($C$12:$V$12=G$12)*($C$135:$V$135)*(($C$30:$V$30)=G975)*$C$3:$V$3)))</f>
        <v/>
      </c>
      <c r="H1080" s="62">
        <f>IF(H$15&lt;=1,0,SUMPRODUCT(MAX(($C$12:$V$12=H$12)*($C$135:$V$135)*(($C$30:$V$30)=H975)*$C$3:$V$3)))</f>
        <v/>
      </c>
      <c r="I1080" s="62">
        <f>IF(I$15&lt;=1,0,SUMPRODUCT(MAX(($C$12:$V$12=I$12)*($C$135:$V$135)*(($C$30:$V$30)=I975)*$C$3:$V$3)))</f>
        <v/>
      </c>
      <c r="J1080" s="62">
        <f>IF(J$15&lt;=1,0,SUMPRODUCT(MAX(($C$12:$V$12=J$12)*($C$135:$V$135)*(($C$30:$V$30)=J975)*$C$3:$V$3)))</f>
        <v/>
      </c>
      <c r="K1080" s="62">
        <f>IF(K$15&lt;=1,0,SUMPRODUCT(MAX(($C$12:$V$12=K$12)*($C$135:$V$135)*(($C$30:$V$30)=K975)*$C$3:$V$3)))</f>
        <v/>
      </c>
      <c r="L1080" s="62">
        <f>IF(L$15&lt;=1,0,SUMPRODUCT(MAX(($C$12:$V$12=L$12)*($C$135:$V$135)*(($C$30:$V$30)=L975)*$C$3:$V$3)))</f>
        <v/>
      </c>
      <c r="M1080" s="62">
        <f>IF(M$15&lt;=1,0,SUMPRODUCT(MAX(($C$12:$V$12=M$12)*($C$135:$V$135)*(($C$30:$V$30)=M975)*$C$3:$V$3)))</f>
        <v/>
      </c>
      <c r="N1080" s="62">
        <f>IF(N$15&lt;=1,0,SUMPRODUCT(MAX(($C$12:$V$12=N$12)*($C$135:$V$135)*(($C$30:$V$30)=N975)*$C$3:$V$3)))</f>
        <v/>
      </c>
      <c r="O1080" s="62">
        <f>IF(O$15&lt;=1,0,SUMPRODUCT(MAX(($C$12:$V$12=O$12)*($C$135:$V$135)*(($C$30:$V$30)=O975)*$C$3:$V$3)))</f>
        <v/>
      </c>
      <c r="P1080" s="62">
        <f>IF(P$15&lt;=1,0,SUMPRODUCT(MAX(($C$12:$V$12=P$12)*($C$135:$V$135)*(($C$30:$V$30)=P975)*$C$3:$V$3)))</f>
        <v/>
      </c>
      <c r="Q1080" s="62">
        <f>IF(Q$15&lt;=1,0,SUMPRODUCT(MAX(($C$12:$V$12=Q$12)*($C$135:$V$135)*(($C$30:$V$30)=Q975)*$C$3:$V$3)))</f>
        <v/>
      </c>
      <c r="R1080" s="62">
        <f>IF(R$15&lt;=1,0,SUMPRODUCT(MAX(($C$12:$V$12=R$12)*($C$135:$V$135)*(($C$30:$V$30)=R975)*$C$3:$V$3)))</f>
        <v/>
      </c>
      <c r="S1080" s="62">
        <f>IF(S$15&lt;=1,0,SUMPRODUCT(MAX(($C$12:$V$12=S$12)*($C$135:$V$135)*(($C$30:$V$30)=S975)*$C$3:$V$3)))</f>
        <v/>
      </c>
      <c r="T1080" s="62">
        <f>IF(T$15&lt;=1,0,SUMPRODUCT(MAX(($C$12:$V$12=T$12)*($C$135:$V$135)*(($C$30:$V$30)=T975)*$C$3:$V$3)))</f>
        <v/>
      </c>
      <c r="U1080" s="62">
        <f>IF(U$15&lt;=1,0,SUMPRODUCT(MAX(($C$12:$V$12=U$12)*($C$135:$V$135)*(($C$30:$V$30)=U975)*$C$3:$V$3)))</f>
        <v/>
      </c>
      <c r="V1080" s="62">
        <f>IF(V$15&lt;=1,0,SUMPRODUCT(MAX(($C$12:$V$12=V$12)*($C$135:$V$135)*(($C$30:$V$30)=V975)*$C$3:$V$3)))</f>
        <v/>
      </c>
    </row>
    <row r="1081">
      <c r="C1081" s="62">
        <f>IF(C$15&lt;=1,0,SUMPRODUCT(MAX(($C$12:$V$12=C$12)*($C$136:$V$136)*(($C$31:$V$31)=C976)*$C$3:$V$3)))</f>
        <v/>
      </c>
      <c r="D1081" s="62">
        <f>IF(D$15&lt;=1,0,SUMPRODUCT(MAX(($C$12:$V$12=D$12)*($C$136:$V$136)*(($C$31:$V$31)=D976)*$C$3:$V$3)))</f>
        <v/>
      </c>
      <c r="E1081" s="62">
        <f>IF(E$15&lt;=1,0,SUMPRODUCT(MAX(($C$12:$V$12=E$12)*($C$136:$V$136)*(($C$31:$V$31)=E976)*$C$3:$V$3)))</f>
        <v/>
      </c>
      <c r="F1081" s="62">
        <f>IF(F$15&lt;=1,0,SUMPRODUCT(MAX(($C$12:$V$12=F$12)*($C$136:$V$136)*(($C$31:$V$31)=F976)*$C$3:$V$3)))</f>
        <v/>
      </c>
      <c r="G1081" s="62">
        <f>IF(G$15&lt;=1,0,SUMPRODUCT(MAX(($C$12:$V$12=G$12)*($C$136:$V$136)*(($C$31:$V$31)=G976)*$C$3:$V$3)))</f>
        <v/>
      </c>
      <c r="H1081" s="62">
        <f>IF(H$15&lt;=1,0,SUMPRODUCT(MAX(($C$12:$V$12=H$12)*($C$136:$V$136)*(($C$31:$V$31)=H976)*$C$3:$V$3)))</f>
        <v/>
      </c>
      <c r="I1081" s="62">
        <f>IF(I$15&lt;=1,0,SUMPRODUCT(MAX(($C$12:$V$12=I$12)*($C$136:$V$136)*(($C$31:$V$31)=I976)*$C$3:$V$3)))</f>
        <v/>
      </c>
      <c r="J1081" s="62">
        <f>IF(J$15&lt;=1,0,SUMPRODUCT(MAX(($C$12:$V$12=J$12)*($C$136:$V$136)*(($C$31:$V$31)=J976)*$C$3:$V$3)))</f>
        <v/>
      </c>
      <c r="K1081" s="62">
        <f>IF(K$15&lt;=1,0,SUMPRODUCT(MAX(($C$12:$V$12=K$12)*($C$136:$V$136)*(($C$31:$V$31)=K976)*$C$3:$V$3)))</f>
        <v/>
      </c>
      <c r="L1081" s="62">
        <f>IF(L$15&lt;=1,0,SUMPRODUCT(MAX(($C$12:$V$12=L$12)*($C$136:$V$136)*(($C$31:$V$31)=L976)*$C$3:$V$3)))</f>
        <v/>
      </c>
      <c r="M1081" s="62">
        <f>IF(M$15&lt;=1,0,SUMPRODUCT(MAX(($C$12:$V$12=M$12)*($C$136:$V$136)*(($C$31:$V$31)=M976)*$C$3:$V$3)))</f>
        <v/>
      </c>
      <c r="N1081" s="62">
        <f>IF(N$15&lt;=1,0,SUMPRODUCT(MAX(($C$12:$V$12=N$12)*($C$136:$V$136)*(($C$31:$V$31)=N976)*$C$3:$V$3)))</f>
        <v/>
      </c>
      <c r="O1081" s="62">
        <f>IF(O$15&lt;=1,0,SUMPRODUCT(MAX(($C$12:$V$12=O$12)*($C$136:$V$136)*(($C$31:$V$31)=O976)*$C$3:$V$3)))</f>
        <v/>
      </c>
      <c r="P1081" s="62">
        <f>IF(P$15&lt;=1,0,SUMPRODUCT(MAX(($C$12:$V$12=P$12)*($C$136:$V$136)*(($C$31:$V$31)=P976)*$C$3:$V$3)))</f>
        <v/>
      </c>
      <c r="Q1081" s="62">
        <f>IF(Q$15&lt;=1,0,SUMPRODUCT(MAX(($C$12:$V$12=Q$12)*($C$136:$V$136)*(($C$31:$V$31)=Q976)*$C$3:$V$3)))</f>
        <v/>
      </c>
      <c r="R1081" s="62">
        <f>IF(R$15&lt;=1,0,SUMPRODUCT(MAX(($C$12:$V$12=R$12)*($C$136:$V$136)*(($C$31:$V$31)=R976)*$C$3:$V$3)))</f>
        <v/>
      </c>
      <c r="S1081" s="62">
        <f>IF(S$15&lt;=1,0,SUMPRODUCT(MAX(($C$12:$V$12=S$12)*($C$136:$V$136)*(($C$31:$V$31)=S976)*$C$3:$V$3)))</f>
        <v/>
      </c>
      <c r="T1081" s="62">
        <f>IF(T$15&lt;=1,0,SUMPRODUCT(MAX(($C$12:$V$12=T$12)*($C$136:$V$136)*(($C$31:$V$31)=T976)*$C$3:$V$3)))</f>
        <v/>
      </c>
      <c r="U1081" s="62">
        <f>IF(U$15&lt;=1,0,SUMPRODUCT(MAX(($C$12:$V$12=U$12)*($C$136:$V$136)*(($C$31:$V$31)=U976)*$C$3:$V$3)))</f>
        <v/>
      </c>
      <c r="V1081" s="62">
        <f>IF(V$15&lt;=1,0,SUMPRODUCT(MAX(($C$12:$V$12=V$12)*($C$136:$V$136)*(($C$31:$V$31)=V976)*$C$3:$V$3)))</f>
        <v/>
      </c>
    </row>
    <row r="1082">
      <c r="C1082" s="62">
        <f>IF(C$15&lt;=1,0,SUMPRODUCT(MAX(($C$12:$V$12=C$12)*($C$137:$V$137)*(($C$32:$V$32)=C977)*$C$3:$V$3)))</f>
        <v/>
      </c>
      <c r="D1082" s="62">
        <f>IF(D$15&lt;=1,0,SUMPRODUCT(MAX(($C$12:$V$12=D$12)*($C$137:$V$137)*(($C$32:$V$32)=D977)*$C$3:$V$3)))</f>
        <v/>
      </c>
      <c r="E1082" s="62">
        <f>IF(E$15&lt;=1,0,SUMPRODUCT(MAX(($C$12:$V$12=E$12)*($C$137:$V$137)*(($C$32:$V$32)=E977)*$C$3:$V$3)))</f>
        <v/>
      </c>
      <c r="F1082" s="62">
        <f>IF(F$15&lt;=1,0,SUMPRODUCT(MAX(($C$12:$V$12=F$12)*($C$137:$V$137)*(($C$32:$V$32)=F977)*$C$3:$V$3)))</f>
        <v/>
      </c>
      <c r="G1082" s="62">
        <f>IF(G$15&lt;=1,0,SUMPRODUCT(MAX(($C$12:$V$12=G$12)*($C$137:$V$137)*(($C$32:$V$32)=G977)*$C$3:$V$3)))</f>
        <v/>
      </c>
      <c r="H1082" s="62">
        <f>IF(H$15&lt;=1,0,SUMPRODUCT(MAX(($C$12:$V$12=H$12)*($C$137:$V$137)*(($C$32:$V$32)=H977)*$C$3:$V$3)))</f>
        <v/>
      </c>
      <c r="I1082" s="62">
        <f>IF(I$15&lt;=1,0,SUMPRODUCT(MAX(($C$12:$V$12=I$12)*($C$137:$V$137)*(($C$32:$V$32)=I977)*$C$3:$V$3)))</f>
        <v/>
      </c>
      <c r="J1082" s="62">
        <f>IF(J$15&lt;=1,0,SUMPRODUCT(MAX(($C$12:$V$12=J$12)*($C$137:$V$137)*(($C$32:$V$32)=J977)*$C$3:$V$3)))</f>
        <v/>
      </c>
      <c r="K1082" s="62">
        <f>IF(K$15&lt;=1,0,SUMPRODUCT(MAX(($C$12:$V$12=K$12)*($C$137:$V$137)*(($C$32:$V$32)=K977)*$C$3:$V$3)))</f>
        <v/>
      </c>
      <c r="L1082" s="62">
        <f>IF(L$15&lt;=1,0,SUMPRODUCT(MAX(($C$12:$V$12=L$12)*($C$137:$V$137)*(($C$32:$V$32)=L977)*$C$3:$V$3)))</f>
        <v/>
      </c>
      <c r="M1082" s="62">
        <f>IF(M$15&lt;=1,0,SUMPRODUCT(MAX(($C$12:$V$12=M$12)*($C$137:$V$137)*(($C$32:$V$32)=M977)*$C$3:$V$3)))</f>
        <v/>
      </c>
      <c r="N1082" s="62">
        <f>IF(N$15&lt;=1,0,SUMPRODUCT(MAX(($C$12:$V$12=N$12)*($C$137:$V$137)*(($C$32:$V$32)=N977)*$C$3:$V$3)))</f>
        <v/>
      </c>
      <c r="O1082" s="62">
        <f>IF(O$15&lt;=1,0,SUMPRODUCT(MAX(($C$12:$V$12=O$12)*($C$137:$V$137)*(($C$32:$V$32)=O977)*$C$3:$V$3)))</f>
        <v/>
      </c>
      <c r="P1082" s="62">
        <f>IF(P$15&lt;=1,0,SUMPRODUCT(MAX(($C$12:$V$12=P$12)*($C$137:$V$137)*(($C$32:$V$32)=P977)*$C$3:$V$3)))</f>
        <v/>
      </c>
      <c r="Q1082" s="62">
        <f>IF(Q$15&lt;=1,0,SUMPRODUCT(MAX(($C$12:$V$12=Q$12)*($C$137:$V$137)*(($C$32:$V$32)=Q977)*$C$3:$V$3)))</f>
        <v/>
      </c>
      <c r="R1082" s="62">
        <f>IF(R$15&lt;=1,0,SUMPRODUCT(MAX(($C$12:$V$12=R$12)*($C$137:$V$137)*(($C$32:$V$32)=R977)*$C$3:$V$3)))</f>
        <v/>
      </c>
      <c r="S1082" s="62">
        <f>IF(S$15&lt;=1,0,SUMPRODUCT(MAX(($C$12:$V$12=S$12)*($C$137:$V$137)*(($C$32:$V$32)=S977)*$C$3:$V$3)))</f>
        <v/>
      </c>
      <c r="T1082" s="62">
        <f>IF(T$15&lt;=1,0,SUMPRODUCT(MAX(($C$12:$V$12=T$12)*($C$137:$V$137)*(($C$32:$V$32)=T977)*$C$3:$V$3)))</f>
        <v/>
      </c>
      <c r="U1082" s="62">
        <f>IF(U$15&lt;=1,0,SUMPRODUCT(MAX(($C$12:$V$12=U$12)*($C$137:$V$137)*(($C$32:$V$32)=U977)*$C$3:$V$3)))</f>
        <v/>
      </c>
      <c r="V1082" s="62">
        <f>IF(V$15&lt;=1,0,SUMPRODUCT(MAX(($C$12:$V$12=V$12)*($C$137:$V$137)*(($C$32:$V$32)=V977)*$C$3:$V$3)))</f>
        <v/>
      </c>
    </row>
    <row r="1083">
      <c r="C1083" s="62">
        <f>IF(C$15&lt;=1,0,SUMPRODUCT(MAX(($C$12:$V$12=C$12)*($C$138:$V$138)*(($C$33:$V$33)=C978)*$C$3:$V$3)))</f>
        <v/>
      </c>
      <c r="D1083" s="62">
        <f>IF(D$15&lt;=1,0,SUMPRODUCT(MAX(($C$12:$V$12=D$12)*($C$138:$V$138)*(($C$33:$V$33)=D978)*$C$3:$V$3)))</f>
        <v/>
      </c>
      <c r="E1083" s="62">
        <f>IF(E$15&lt;=1,0,SUMPRODUCT(MAX(($C$12:$V$12=E$12)*($C$138:$V$138)*(($C$33:$V$33)=E978)*$C$3:$V$3)))</f>
        <v/>
      </c>
      <c r="F1083" s="62">
        <f>IF(F$15&lt;=1,0,SUMPRODUCT(MAX(($C$12:$V$12=F$12)*($C$138:$V$138)*(($C$33:$V$33)=F978)*$C$3:$V$3)))</f>
        <v/>
      </c>
      <c r="G1083" s="62">
        <f>IF(G$15&lt;=1,0,SUMPRODUCT(MAX(($C$12:$V$12=G$12)*($C$138:$V$138)*(($C$33:$V$33)=G978)*$C$3:$V$3)))</f>
        <v/>
      </c>
      <c r="H1083" s="62">
        <f>IF(H$15&lt;=1,0,SUMPRODUCT(MAX(($C$12:$V$12=H$12)*($C$138:$V$138)*(($C$33:$V$33)=H978)*$C$3:$V$3)))</f>
        <v/>
      </c>
      <c r="I1083" s="62">
        <f>IF(I$15&lt;=1,0,SUMPRODUCT(MAX(($C$12:$V$12=I$12)*($C$138:$V$138)*(($C$33:$V$33)=I978)*$C$3:$V$3)))</f>
        <v/>
      </c>
      <c r="J1083" s="62">
        <f>IF(J$15&lt;=1,0,SUMPRODUCT(MAX(($C$12:$V$12=J$12)*($C$138:$V$138)*(($C$33:$V$33)=J978)*$C$3:$V$3)))</f>
        <v/>
      </c>
      <c r="K1083" s="62">
        <f>IF(K$15&lt;=1,0,SUMPRODUCT(MAX(($C$12:$V$12=K$12)*($C$138:$V$138)*(($C$33:$V$33)=K978)*$C$3:$V$3)))</f>
        <v/>
      </c>
      <c r="L1083" s="62">
        <f>IF(L$15&lt;=1,0,SUMPRODUCT(MAX(($C$12:$V$12=L$12)*($C$138:$V$138)*(($C$33:$V$33)=L978)*$C$3:$V$3)))</f>
        <v/>
      </c>
      <c r="M1083" s="62">
        <f>IF(M$15&lt;=1,0,SUMPRODUCT(MAX(($C$12:$V$12=M$12)*($C$138:$V$138)*(($C$33:$V$33)=M978)*$C$3:$V$3)))</f>
        <v/>
      </c>
      <c r="N1083" s="62">
        <f>IF(N$15&lt;=1,0,SUMPRODUCT(MAX(($C$12:$V$12=N$12)*($C$138:$V$138)*(($C$33:$V$33)=N978)*$C$3:$V$3)))</f>
        <v/>
      </c>
      <c r="O1083" s="62">
        <f>IF(O$15&lt;=1,0,SUMPRODUCT(MAX(($C$12:$V$12=O$12)*($C$138:$V$138)*(($C$33:$V$33)=O978)*$C$3:$V$3)))</f>
        <v/>
      </c>
      <c r="P1083" s="62">
        <f>IF(P$15&lt;=1,0,SUMPRODUCT(MAX(($C$12:$V$12=P$12)*($C$138:$V$138)*(($C$33:$V$33)=P978)*$C$3:$V$3)))</f>
        <v/>
      </c>
      <c r="Q1083" s="62">
        <f>IF(Q$15&lt;=1,0,SUMPRODUCT(MAX(($C$12:$V$12=Q$12)*($C$138:$V$138)*(($C$33:$V$33)=Q978)*$C$3:$V$3)))</f>
        <v/>
      </c>
      <c r="R1083" s="62">
        <f>IF(R$15&lt;=1,0,SUMPRODUCT(MAX(($C$12:$V$12=R$12)*($C$138:$V$138)*(($C$33:$V$33)=R978)*$C$3:$V$3)))</f>
        <v/>
      </c>
      <c r="S1083" s="62">
        <f>IF(S$15&lt;=1,0,SUMPRODUCT(MAX(($C$12:$V$12=S$12)*($C$138:$V$138)*(($C$33:$V$33)=S978)*$C$3:$V$3)))</f>
        <v/>
      </c>
      <c r="T1083" s="62">
        <f>IF(T$15&lt;=1,0,SUMPRODUCT(MAX(($C$12:$V$12=T$12)*($C$138:$V$138)*(($C$33:$V$33)=T978)*$C$3:$V$3)))</f>
        <v/>
      </c>
      <c r="U1083" s="62">
        <f>IF(U$15&lt;=1,0,SUMPRODUCT(MAX(($C$12:$V$12=U$12)*($C$138:$V$138)*(($C$33:$V$33)=U978)*$C$3:$V$3)))</f>
        <v/>
      </c>
      <c r="V1083" s="62">
        <f>IF(V$15&lt;=1,0,SUMPRODUCT(MAX(($C$12:$V$12=V$12)*($C$138:$V$138)*(($C$33:$V$33)=V978)*$C$3:$V$3)))</f>
        <v/>
      </c>
    </row>
    <row r="1084">
      <c r="C1084" s="62">
        <f>IF(C$15&lt;=1,0,SUMPRODUCT(MAX(($C$12:$V$12=C$12)*($C$139:$V$139)*(($C$34:$V$34)=C979)*$C$3:$V$3)))</f>
        <v/>
      </c>
      <c r="D1084" s="62">
        <f>IF(D$15&lt;=1,0,SUMPRODUCT(MAX(($C$12:$V$12=D$12)*($C$139:$V$139)*(($C$34:$V$34)=D979)*$C$3:$V$3)))</f>
        <v/>
      </c>
      <c r="E1084" s="62">
        <f>IF(E$15&lt;=1,0,SUMPRODUCT(MAX(($C$12:$V$12=E$12)*($C$139:$V$139)*(($C$34:$V$34)=E979)*$C$3:$V$3)))</f>
        <v/>
      </c>
      <c r="F1084" s="62">
        <f>IF(F$15&lt;=1,0,SUMPRODUCT(MAX(($C$12:$V$12=F$12)*($C$139:$V$139)*(($C$34:$V$34)=F979)*$C$3:$V$3)))</f>
        <v/>
      </c>
      <c r="G1084" s="62">
        <f>IF(G$15&lt;=1,0,SUMPRODUCT(MAX(($C$12:$V$12=G$12)*($C$139:$V$139)*(($C$34:$V$34)=G979)*$C$3:$V$3)))</f>
        <v/>
      </c>
      <c r="H1084" s="62">
        <f>IF(H$15&lt;=1,0,SUMPRODUCT(MAX(($C$12:$V$12=H$12)*($C$139:$V$139)*(($C$34:$V$34)=H979)*$C$3:$V$3)))</f>
        <v/>
      </c>
      <c r="I1084" s="62">
        <f>IF(I$15&lt;=1,0,SUMPRODUCT(MAX(($C$12:$V$12=I$12)*($C$139:$V$139)*(($C$34:$V$34)=I979)*$C$3:$V$3)))</f>
        <v/>
      </c>
      <c r="J1084" s="62">
        <f>IF(J$15&lt;=1,0,SUMPRODUCT(MAX(($C$12:$V$12=J$12)*($C$139:$V$139)*(($C$34:$V$34)=J979)*$C$3:$V$3)))</f>
        <v/>
      </c>
      <c r="K1084" s="62">
        <f>IF(K$15&lt;=1,0,SUMPRODUCT(MAX(($C$12:$V$12=K$12)*($C$139:$V$139)*(($C$34:$V$34)=K979)*$C$3:$V$3)))</f>
        <v/>
      </c>
      <c r="L1084" s="62">
        <f>IF(L$15&lt;=1,0,SUMPRODUCT(MAX(($C$12:$V$12=L$12)*($C$139:$V$139)*(($C$34:$V$34)=L979)*$C$3:$V$3)))</f>
        <v/>
      </c>
      <c r="M1084" s="62">
        <f>IF(M$15&lt;=1,0,SUMPRODUCT(MAX(($C$12:$V$12=M$12)*($C$139:$V$139)*(($C$34:$V$34)=M979)*$C$3:$V$3)))</f>
        <v/>
      </c>
      <c r="N1084" s="62">
        <f>IF(N$15&lt;=1,0,SUMPRODUCT(MAX(($C$12:$V$12=N$12)*($C$139:$V$139)*(($C$34:$V$34)=N979)*$C$3:$V$3)))</f>
        <v/>
      </c>
      <c r="O1084" s="62">
        <f>IF(O$15&lt;=1,0,SUMPRODUCT(MAX(($C$12:$V$12=O$12)*($C$139:$V$139)*(($C$34:$V$34)=O979)*$C$3:$V$3)))</f>
        <v/>
      </c>
      <c r="P1084" s="62">
        <f>IF(P$15&lt;=1,0,SUMPRODUCT(MAX(($C$12:$V$12=P$12)*($C$139:$V$139)*(($C$34:$V$34)=P979)*$C$3:$V$3)))</f>
        <v/>
      </c>
      <c r="Q1084" s="62">
        <f>IF(Q$15&lt;=1,0,SUMPRODUCT(MAX(($C$12:$V$12=Q$12)*($C$139:$V$139)*(($C$34:$V$34)=Q979)*$C$3:$V$3)))</f>
        <v/>
      </c>
      <c r="R1084" s="62">
        <f>IF(R$15&lt;=1,0,SUMPRODUCT(MAX(($C$12:$V$12=R$12)*($C$139:$V$139)*(($C$34:$V$34)=R979)*$C$3:$V$3)))</f>
        <v/>
      </c>
      <c r="S1084" s="62">
        <f>IF(S$15&lt;=1,0,SUMPRODUCT(MAX(($C$12:$V$12=S$12)*($C$139:$V$139)*(($C$34:$V$34)=S979)*$C$3:$V$3)))</f>
        <v/>
      </c>
      <c r="T1084" s="62">
        <f>IF(T$15&lt;=1,0,SUMPRODUCT(MAX(($C$12:$V$12=T$12)*($C$139:$V$139)*(($C$34:$V$34)=T979)*$C$3:$V$3)))</f>
        <v/>
      </c>
      <c r="U1084" s="62">
        <f>IF(U$15&lt;=1,0,SUMPRODUCT(MAX(($C$12:$V$12=U$12)*($C$139:$V$139)*(($C$34:$V$34)=U979)*$C$3:$V$3)))</f>
        <v/>
      </c>
      <c r="V1084" s="62">
        <f>IF(V$15&lt;=1,0,SUMPRODUCT(MAX(($C$12:$V$12=V$12)*($C$139:$V$139)*(($C$34:$V$34)=V979)*$C$3:$V$3)))</f>
        <v/>
      </c>
    </row>
    <row r="1085">
      <c r="C1085" s="62">
        <f>IF(C$15&lt;=1,0,SUMPRODUCT(MAX(($C$12:$V$12=C$12)*($C$140:$V$140)*(($C$35:$V$35)=C980)*$C$3:$V$3)))</f>
        <v/>
      </c>
      <c r="D1085" s="62">
        <f>IF(D$15&lt;=1,0,SUMPRODUCT(MAX(($C$12:$V$12=D$12)*($C$140:$V$140)*(($C$35:$V$35)=D980)*$C$3:$V$3)))</f>
        <v/>
      </c>
      <c r="E1085" s="62">
        <f>IF(E$15&lt;=1,0,SUMPRODUCT(MAX(($C$12:$V$12=E$12)*($C$140:$V$140)*(($C$35:$V$35)=E980)*$C$3:$V$3)))</f>
        <v/>
      </c>
      <c r="F1085" s="62">
        <f>IF(F$15&lt;=1,0,SUMPRODUCT(MAX(($C$12:$V$12=F$12)*($C$140:$V$140)*(($C$35:$V$35)=F980)*$C$3:$V$3)))</f>
        <v/>
      </c>
      <c r="G1085" s="62">
        <f>IF(G$15&lt;=1,0,SUMPRODUCT(MAX(($C$12:$V$12=G$12)*($C$140:$V$140)*(($C$35:$V$35)=G980)*$C$3:$V$3)))</f>
        <v/>
      </c>
      <c r="H1085" s="62">
        <f>IF(H$15&lt;=1,0,SUMPRODUCT(MAX(($C$12:$V$12=H$12)*($C$140:$V$140)*(($C$35:$V$35)=H980)*$C$3:$V$3)))</f>
        <v/>
      </c>
      <c r="I1085" s="62">
        <f>IF(I$15&lt;=1,0,SUMPRODUCT(MAX(($C$12:$V$12=I$12)*($C$140:$V$140)*(($C$35:$V$35)=I980)*$C$3:$V$3)))</f>
        <v/>
      </c>
      <c r="J1085" s="62">
        <f>IF(J$15&lt;=1,0,SUMPRODUCT(MAX(($C$12:$V$12=J$12)*($C$140:$V$140)*(($C$35:$V$35)=J980)*$C$3:$V$3)))</f>
        <v/>
      </c>
      <c r="K1085" s="62">
        <f>IF(K$15&lt;=1,0,SUMPRODUCT(MAX(($C$12:$V$12=K$12)*($C$140:$V$140)*(($C$35:$V$35)=K980)*$C$3:$V$3)))</f>
        <v/>
      </c>
      <c r="L1085" s="62">
        <f>IF(L$15&lt;=1,0,SUMPRODUCT(MAX(($C$12:$V$12=L$12)*($C$140:$V$140)*(($C$35:$V$35)=L980)*$C$3:$V$3)))</f>
        <v/>
      </c>
      <c r="M1085" s="62">
        <f>IF(M$15&lt;=1,0,SUMPRODUCT(MAX(($C$12:$V$12=M$12)*($C$140:$V$140)*(($C$35:$V$35)=M980)*$C$3:$V$3)))</f>
        <v/>
      </c>
      <c r="N1085" s="62">
        <f>IF(N$15&lt;=1,0,SUMPRODUCT(MAX(($C$12:$V$12=N$12)*($C$140:$V$140)*(($C$35:$V$35)=N980)*$C$3:$V$3)))</f>
        <v/>
      </c>
      <c r="O1085" s="62">
        <f>IF(O$15&lt;=1,0,SUMPRODUCT(MAX(($C$12:$V$12=O$12)*($C$140:$V$140)*(($C$35:$V$35)=O980)*$C$3:$V$3)))</f>
        <v/>
      </c>
      <c r="P1085" s="62">
        <f>IF(P$15&lt;=1,0,SUMPRODUCT(MAX(($C$12:$V$12=P$12)*($C$140:$V$140)*(($C$35:$V$35)=P980)*$C$3:$V$3)))</f>
        <v/>
      </c>
      <c r="Q1085" s="62">
        <f>IF(Q$15&lt;=1,0,SUMPRODUCT(MAX(($C$12:$V$12=Q$12)*($C$140:$V$140)*(($C$35:$V$35)=Q980)*$C$3:$V$3)))</f>
        <v/>
      </c>
      <c r="R1085" s="62">
        <f>IF(R$15&lt;=1,0,SUMPRODUCT(MAX(($C$12:$V$12=R$12)*($C$140:$V$140)*(($C$35:$V$35)=R980)*$C$3:$V$3)))</f>
        <v/>
      </c>
      <c r="S1085" s="62">
        <f>IF(S$15&lt;=1,0,SUMPRODUCT(MAX(($C$12:$V$12=S$12)*($C$140:$V$140)*(($C$35:$V$35)=S980)*$C$3:$V$3)))</f>
        <v/>
      </c>
      <c r="T1085" s="62">
        <f>IF(T$15&lt;=1,0,SUMPRODUCT(MAX(($C$12:$V$12=T$12)*($C$140:$V$140)*(($C$35:$V$35)=T980)*$C$3:$V$3)))</f>
        <v/>
      </c>
      <c r="U1085" s="62">
        <f>IF(U$15&lt;=1,0,SUMPRODUCT(MAX(($C$12:$V$12=U$12)*($C$140:$V$140)*(($C$35:$V$35)=U980)*$C$3:$V$3)))</f>
        <v/>
      </c>
      <c r="V1085" s="62">
        <f>IF(V$15&lt;=1,0,SUMPRODUCT(MAX(($C$12:$V$12=V$12)*($C$140:$V$140)*(($C$35:$V$35)=V980)*$C$3:$V$3)))</f>
        <v/>
      </c>
    </row>
    <row r="1086">
      <c r="C1086" s="62">
        <f>IF(C$15&lt;=1,0,SUMPRODUCT(MAX(($C$12:$V$12=C$12)*($C$141:$V$141)*(($C$36:$V$36)=C981)*$C$3:$V$3)))</f>
        <v/>
      </c>
      <c r="D1086" s="62">
        <f>IF(D$15&lt;=1,0,SUMPRODUCT(MAX(($C$12:$V$12=D$12)*($C$141:$V$141)*(($C$36:$V$36)=D981)*$C$3:$V$3)))</f>
        <v/>
      </c>
      <c r="E1086" s="62">
        <f>IF(E$15&lt;=1,0,SUMPRODUCT(MAX(($C$12:$V$12=E$12)*($C$141:$V$141)*(($C$36:$V$36)=E981)*$C$3:$V$3)))</f>
        <v/>
      </c>
      <c r="F1086" s="62">
        <f>IF(F$15&lt;=1,0,SUMPRODUCT(MAX(($C$12:$V$12=F$12)*($C$141:$V$141)*(($C$36:$V$36)=F981)*$C$3:$V$3)))</f>
        <v/>
      </c>
      <c r="G1086" s="62">
        <f>IF(G$15&lt;=1,0,SUMPRODUCT(MAX(($C$12:$V$12=G$12)*($C$141:$V$141)*(($C$36:$V$36)=G981)*$C$3:$V$3)))</f>
        <v/>
      </c>
      <c r="H1086" s="62">
        <f>IF(H$15&lt;=1,0,SUMPRODUCT(MAX(($C$12:$V$12=H$12)*($C$141:$V$141)*(($C$36:$V$36)=H981)*$C$3:$V$3)))</f>
        <v/>
      </c>
      <c r="I1086" s="62">
        <f>IF(I$15&lt;=1,0,SUMPRODUCT(MAX(($C$12:$V$12=I$12)*($C$141:$V$141)*(($C$36:$V$36)=I981)*$C$3:$V$3)))</f>
        <v/>
      </c>
      <c r="J1086" s="62">
        <f>IF(J$15&lt;=1,0,SUMPRODUCT(MAX(($C$12:$V$12=J$12)*($C$141:$V$141)*(($C$36:$V$36)=J981)*$C$3:$V$3)))</f>
        <v/>
      </c>
      <c r="K1086" s="62">
        <f>IF(K$15&lt;=1,0,SUMPRODUCT(MAX(($C$12:$V$12=K$12)*($C$141:$V$141)*(($C$36:$V$36)=K981)*$C$3:$V$3)))</f>
        <v/>
      </c>
      <c r="L1086" s="62">
        <f>IF(L$15&lt;=1,0,SUMPRODUCT(MAX(($C$12:$V$12=L$12)*($C$141:$V$141)*(($C$36:$V$36)=L981)*$C$3:$V$3)))</f>
        <v/>
      </c>
      <c r="M1086" s="62">
        <f>IF(M$15&lt;=1,0,SUMPRODUCT(MAX(($C$12:$V$12=M$12)*($C$141:$V$141)*(($C$36:$V$36)=M981)*$C$3:$V$3)))</f>
        <v/>
      </c>
      <c r="N1086" s="62">
        <f>IF(N$15&lt;=1,0,SUMPRODUCT(MAX(($C$12:$V$12=N$12)*($C$141:$V$141)*(($C$36:$V$36)=N981)*$C$3:$V$3)))</f>
        <v/>
      </c>
      <c r="O1086" s="62">
        <f>IF(O$15&lt;=1,0,SUMPRODUCT(MAX(($C$12:$V$12=O$12)*($C$141:$V$141)*(($C$36:$V$36)=O981)*$C$3:$V$3)))</f>
        <v/>
      </c>
      <c r="P1086" s="62">
        <f>IF(P$15&lt;=1,0,SUMPRODUCT(MAX(($C$12:$V$12=P$12)*($C$141:$V$141)*(($C$36:$V$36)=P981)*$C$3:$V$3)))</f>
        <v/>
      </c>
      <c r="Q1086" s="62">
        <f>IF(Q$15&lt;=1,0,SUMPRODUCT(MAX(($C$12:$V$12=Q$12)*($C$141:$V$141)*(($C$36:$V$36)=Q981)*$C$3:$V$3)))</f>
        <v/>
      </c>
      <c r="R1086" s="62">
        <f>IF(R$15&lt;=1,0,SUMPRODUCT(MAX(($C$12:$V$12=R$12)*($C$141:$V$141)*(($C$36:$V$36)=R981)*$C$3:$V$3)))</f>
        <v/>
      </c>
      <c r="S1086" s="62">
        <f>IF(S$15&lt;=1,0,SUMPRODUCT(MAX(($C$12:$V$12=S$12)*($C$141:$V$141)*(($C$36:$V$36)=S981)*$C$3:$V$3)))</f>
        <v/>
      </c>
      <c r="T1086" s="62">
        <f>IF(T$15&lt;=1,0,SUMPRODUCT(MAX(($C$12:$V$12=T$12)*($C$141:$V$141)*(($C$36:$V$36)=T981)*$C$3:$V$3)))</f>
        <v/>
      </c>
      <c r="U1086" s="62">
        <f>IF(U$15&lt;=1,0,SUMPRODUCT(MAX(($C$12:$V$12=U$12)*($C$141:$V$141)*(($C$36:$V$36)=U981)*$C$3:$V$3)))</f>
        <v/>
      </c>
      <c r="V1086" s="62">
        <f>IF(V$15&lt;=1,0,SUMPRODUCT(MAX(($C$12:$V$12=V$12)*($C$141:$V$141)*(($C$36:$V$36)=V981)*$C$3:$V$3)))</f>
        <v/>
      </c>
    </row>
    <row r="1087">
      <c r="C1087" s="62">
        <f>IF(C$15&lt;=1,0,SUMPRODUCT(MAX(($C$12:$V$12=C$12)*($C$142:$V$142)*(($C$37:$V$37)=C982)*$C$3:$V$3)))</f>
        <v/>
      </c>
      <c r="D1087" s="62">
        <f>IF(D$15&lt;=1,0,SUMPRODUCT(MAX(($C$12:$V$12=D$12)*($C$142:$V$142)*(($C$37:$V$37)=D982)*$C$3:$V$3)))</f>
        <v/>
      </c>
      <c r="E1087" s="62">
        <f>IF(E$15&lt;=1,0,SUMPRODUCT(MAX(($C$12:$V$12=E$12)*($C$142:$V$142)*(($C$37:$V$37)=E982)*$C$3:$V$3)))</f>
        <v/>
      </c>
      <c r="F1087" s="62">
        <f>IF(F$15&lt;=1,0,SUMPRODUCT(MAX(($C$12:$V$12=F$12)*($C$142:$V$142)*(($C$37:$V$37)=F982)*$C$3:$V$3)))</f>
        <v/>
      </c>
      <c r="G1087" s="62">
        <f>IF(G$15&lt;=1,0,SUMPRODUCT(MAX(($C$12:$V$12=G$12)*($C$142:$V$142)*(($C$37:$V$37)=G982)*$C$3:$V$3)))</f>
        <v/>
      </c>
      <c r="H1087" s="62">
        <f>IF(H$15&lt;=1,0,SUMPRODUCT(MAX(($C$12:$V$12=H$12)*($C$142:$V$142)*(($C$37:$V$37)=H982)*$C$3:$V$3)))</f>
        <v/>
      </c>
      <c r="I1087" s="62">
        <f>IF(I$15&lt;=1,0,SUMPRODUCT(MAX(($C$12:$V$12=I$12)*($C$142:$V$142)*(($C$37:$V$37)=I982)*$C$3:$V$3)))</f>
        <v/>
      </c>
      <c r="J1087" s="62">
        <f>IF(J$15&lt;=1,0,SUMPRODUCT(MAX(($C$12:$V$12=J$12)*($C$142:$V$142)*(($C$37:$V$37)=J982)*$C$3:$V$3)))</f>
        <v/>
      </c>
      <c r="K1087" s="62">
        <f>IF(K$15&lt;=1,0,SUMPRODUCT(MAX(($C$12:$V$12=K$12)*($C$142:$V$142)*(($C$37:$V$37)=K982)*$C$3:$V$3)))</f>
        <v/>
      </c>
      <c r="L1087" s="62">
        <f>IF(L$15&lt;=1,0,SUMPRODUCT(MAX(($C$12:$V$12=L$12)*($C$142:$V$142)*(($C$37:$V$37)=L982)*$C$3:$V$3)))</f>
        <v/>
      </c>
      <c r="M1087" s="62">
        <f>IF(M$15&lt;=1,0,SUMPRODUCT(MAX(($C$12:$V$12=M$12)*($C$142:$V$142)*(($C$37:$V$37)=M982)*$C$3:$V$3)))</f>
        <v/>
      </c>
      <c r="N1087" s="62">
        <f>IF(N$15&lt;=1,0,SUMPRODUCT(MAX(($C$12:$V$12=N$12)*($C$142:$V$142)*(($C$37:$V$37)=N982)*$C$3:$V$3)))</f>
        <v/>
      </c>
      <c r="O1087" s="62">
        <f>IF(O$15&lt;=1,0,SUMPRODUCT(MAX(($C$12:$V$12=O$12)*($C$142:$V$142)*(($C$37:$V$37)=O982)*$C$3:$V$3)))</f>
        <v/>
      </c>
      <c r="P1087" s="62">
        <f>IF(P$15&lt;=1,0,SUMPRODUCT(MAX(($C$12:$V$12=P$12)*($C$142:$V$142)*(($C$37:$V$37)=P982)*$C$3:$V$3)))</f>
        <v/>
      </c>
      <c r="Q1087" s="62">
        <f>IF(Q$15&lt;=1,0,SUMPRODUCT(MAX(($C$12:$V$12=Q$12)*($C$142:$V$142)*(($C$37:$V$37)=Q982)*$C$3:$V$3)))</f>
        <v/>
      </c>
      <c r="R1087" s="62">
        <f>IF(R$15&lt;=1,0,SUMPRODUCT(MAX(($C$12:$V$12=R$12)*($C$142:$V$142)*(($C$37:$V$37)=R982)*$C$3:$V$3)))</f>
        <v/>
      </c>
      <c r="S1087" s="62">
        <f>IF(S$15&lt;=1,0,SUMPRODUCT(MAX(($C$12:$V$12=S$12)*($C$142:$V$142)*(($C$37:$V$37)=S982)*$C$3:$V$3)))</f>
        <v/>
      </c>
      <c r="T1087" s="62">
        <f>IF(T$15&lt;=1,0,SUMPRODUCT(MAX(($C$12:$V$12=T$12)*($C$142:$V$142)*(($C$37:$V$37)=T982)*$C$3:$V$3)))</f>
        <v/>
      </c>
      <c r="U1087" s="62">
        <f>IF(U$15&lt;=1,0,SUMPRODUCT(MAX(($C$12:$V$12=U$12)*($C$142:$V$142)*(($C$37:$V$37)=U982)*$C$3:$V$3)))</f>
        <v/>
      </c>
      <c r="V1087" s="62">
        <f>IF(V$15&lt;=1,0,SUMPRODUCT(MAX(($C$12:$V$12=V$12)*($C$142:$V$142)*(($C$37:$V$37)=V982)*$C$3:$V$3)))</f>
        <v/>
      </c>
    </row>
    <row r="1088">
      <c r="C1088" s="62">
        <f>IF(C$15&lt;=1,0,SUMPRODUCT(MAX(($C$12:$V$12=C$12)*($C$143:$V$143)*(($C$38:$V$38)=C983)*$C$3:$V$3)))</f>
        <v/>
      </c>
      <c r="D1088" s="62">
        <f>IF(D$15&lt;=1,0,SUMPRODUCT(MAX(($C$12:$V$12=D$12)*($C$143:$V$143)*(($C$38:$V$38)=D983)*$C$3:$V$3)))</f>
        <v/>
      </c>
      <c r="E1088" s="62">
        <f>IF(E$15&lt;=1,0,SUMPRODUCT(MAX(($C$12:$V$12=E$12)*($C$143:$V$143)*(($C$38:$V$38)=E983)*$C$3:$V$3)))</f>
        <v/>
      </c>
      <c r="F1088" s="62">
        <f>IF(F$15&lt;=1,0,SUMPRODUCT(MAX(($C$12:$V$12=F$12)*($C$143:$V$143)*(($C$38:$V$38)=F983)*$C$3:$V$3)))</f>
        <v/>
      </c>
      <c r="G1088" s="62">
        <f>IF(G$15&lt;=1,0,SUMPRODUCT(MAX(($C$12:$V$12=G$12)*($C$143:$V$143)*(($C$38:$V$38)=G983)*$C$3:$V$3)))</f>
        <v/>
      </c>
      <c r="H1088" s="62">
        <f>IF(H$15&lt;=1,0,SUMPRODUCT(MAX(($C$12:$V$12=H$12)*($C$143:$V$143)*(($C$38:$V$38)=H983)*$C$3:$V$3)))</f>
        <v/>
      </c>
      <c r="I1088" s="62">
        <f>IF(I$15&lt;=1,0,SUMPRODUCT(MAX(($C$12:$V$12=I$12)*($C$143:$V$143)*(($C$38:$V$38)=I983)*$C$3:$V$3)))</f>
        <v/>
      </c>
      <c r="J1088" s="62">
        <f>IF(J$15&lt;=1,0,SUMPRODUCT(MAX(($C$12:$V$12=J$12)*($C$143:$V$143)*(($C$38:$V$38)=J983)*$C$3:$V$3)))</f>
        <v/>
      </c>
      <c r="K1088" s="62">
        <f>IF(K$15&lt;=1,0,SUMPRODUCT(MAX(($C$12:$V$12=K$12)*($C$143:$V$143)*(($C$38:$V$38)=K983)*$C$3:$V$3)))</f>
        <v/>
      </c>
      <c r="L1088" s="62">
        <f>IF(L$15&lt;=1,0,SUMPRODUCT(MAX(($C$12:$V$12=L$12)*($C$143:$V$143)*(($C$38:$V$38)=L983)*$C$3:$V$3)))</f>
        <v/>
      </c>
      <c r="M1088" s="62">
        <f>IF(M$15&lt;=1,0,SUMPRODUCT(MAX(($C$12:$V$12=M$12)*($C$143:$V$143)*(($C$38:$V$38)=M983)*$C$3:$V$3)))</f>
        <v/>
      </c>
      <c r="N1088" s="62">
        <f>IF(N$15&lt;=1,0,SUMPRODUCT(MAX(($C$12:$V$12=N$12)*($C$143:$V$143)*(($C$38:$V$38)=N983)*$C$3:$V$3)))</f>
        <v/>
      </c>
      <c r="O1088" s="62">
        <f>IF(O$15&lt;=1,0,SUMPRODUCT(MAX(($C$12:$V$12=O$12)*($C$143:$V$143)*(($C$38:$V$38)=O983)*$C$3:$V$3)))</f>
        <v/>
      </c>
      <c r="P1088" s="62">
        <f>IF(P$15&lt;=1,0,SUMPRODUCT(MAX(($C$12:$V$12=P$12)*($C$143:$V$143)*(($C$38:$V$38)=P983)*$C$3:$V$3)))</f>
        <v/>
      </c>
      <c r="Q1088" s="62">
        <f>IF(Q$15&lt;=1,0,SUMPRODUCT(MAX(($C$12:$V$12=Q$12)*($C$143:$V$143)*(($C$38:$V$38)=Q983)*$C$3:$V$3)))</f>
        <v/>
      </c>
      <c r="R1088" s="62">
        <f>IF(R$15&lt;=1,0,SUMPRODUCT(MAX(($C$12:$V$12=R$12)*($C$143:$V$143)*(($C$38:$V$38)=R983)*$C$3:$V$3)))</f>
        <v/>
      </c>
      <c r="S1088" s="62">
        <f>IF(S$15&lt;=1,0,SUMPRODUCT(MAX(($C$12:$V$12=S$12)*($C$143:$V$143)*(($C$38:$V$38)=S983)*$C$3:$V$3)))</f>
        <v/>
      </c>
      <c r="T1088" s="62">
        <f>IF(T$15&lt;=1,0,SUMPRODUCT(MAX(($C$12:$V$12=T$12)*($C$143:$V$143)*(($C$38:$V$38)=T983)*$C$3:$V$3)))</f>
        <v/>
      </c>
      <c r="U1088" s="62">
        <f>IF(U$15&lt;=1,0,SUMPRODUCT(MAX(($C$12:$V$12=U$12)*($C$143:$V$143)*(($C$38:$V$38)=U983)*$C$3:$V$3)))</f>
        <v/>
      </c>
      <c r="V1088" s="62">
        <f>IF(V$15&lt;=1,0,SUMPRODUCT(MAX(($C$12:$V$12=V$12)*($C$143:$V$143)*(($C$38:$V$38)=V983)*$C$3:$V$3)))</f>
        <v/>
      </c>
    </row>
    <row r="1089">
      <c r="C1089" s="62">
        <f>IF(C$15&lt;=1,0,SUMPRODUCT(MAX(($C$12:$V$12=C$12)*($C$144:$V$144)*(($C$39:$V$39)=C984)*$C$3:$V$3)))</f>
        <v/>
      </c>
      <c r="D1089" s="62">
        <f>IF(D$15&lt;=1,0,SUMPRODUCT(MAX(($C$12:$V$12=D$12)*($C$144:$V$144)*(($C$39:$V$39)=D984)*$C$3:$V$3)))</f>
        <v/>
      </c>
      <c r="E1089" s="62">
        <f>IF(E$15&lt;=1,0,SUMPRODUCT(MAX(($C$12:$V$12=E$12)*($C$144:$V$144)*(($C$39:$V$39)=E984)*$C$3:$V$3)))</f>
        <v/>
      </c>
      <c r="F1089" s="62">
        <f>IF(F$15&lt;=1,0,SUMPRODUCT(MAX(($C$12:$V$12=F$12)*($C$144:$V$144)*(($C$39:$V$39)=F984)*$C$3:$V$3)))</f>
        <v/>
      </c>
      <c r="G1089" s="62">
        <f>IF(G$15&lt;=1,0,SUMPRODUCT(MAX(($C$12:$V$12=G$12)*($C$144:$V$144)*(($C$39:$V$39)=G984)*$C$3:$V$3)))</f>
        <v/>
      </c>
      <c r="H1089" s="62">
        <f>IF(H$15&lt;=1,0,SUMPRODUCT(MAX(($C$12:$V$12=H$12)*($C$144:$V$144)*(($C$39:$V$39)=H984)*$C$3:$V$3)))</f>
        <v/>
      </c>
      <c r="I1089" s="62">
        <f>IF(I$15&lt;=1,0,SUMPRODUCT(MAX(($C$12:$V$12=I$12)*($C$144:$V$144)*(($C$39:$V$39)=I984)*$C$3:$V$3)))</f>
        <v/>
      </c>
      <c r="J1089" s="62">
        <f>IF(J$15&lt;=1,0,SUMPRODUCT(MAX(($C$12:$V$12=J$12)*($C$144:$V$144)*(($C$39:$V$39)=J984)*$C$3:$V$3)))</f>
        <v/>
      </c>
      <c r="K1089" s="62">
        <f>IF(K$15&lt;=1,0,SUMPRODUCT(MAX(($C$12:$V$12=K$12)*($C$144:$V$144)*(($C$39:$V$39)=K984)*$C$3:$V$3)))</f>
        <v/>
      </c>
      <c r="L1089" s="62">
        <f>IF(L$15&lt;=1,0,SUMPRODUCT(MAX(($C$12:$V$12=L$12)*($C$144:$V$144)*(($C$39:$V$39)=L984)*$C$3:$V$3)))</f>
        <v/>
      </c>
      <c r="M1089" s="62">
        <f>IF(M$15&lt;=1,0,SUMPRODUCT(MAX(($C$12:$V$12=M$12)*($C$144:$V$144)*(($C$39:$V$39)=M984)*$C$3:$V$3)))</f>
        <v/>
      </c>
      <c r="N1089" s="62">
        <f>IF(N$15&lt;=1,0,SUMPRODUCT(MAX(($C$12:$V$12=N$12)*($C$144:$V$144)*(($C$39:$V$39)=N984)*$C$3:$V$3)))</f>
        <v/>
      </c>
      <c r="O1089" s="62">
        <f>IF(O$15&lt;=1,0,SUMPRODUCT(MAX(($C$12:$V$12=O$12)*($C$144:$V$144)*(($C$39:$V$39)=O984)*$C$3:$V$3)))</f>
        <v/>
      </c>
      <c r="P1089" s="62">
        <f>IF(P$15&lt;=1,0,SUMPRODUCT(MAX(($C$12:$V$12=P$12)*($C$144:$V$144)*(($C$39:$V$39)=P984)*$C$3:$V$3)))</f>
        <v/>
      </c>
      <c r="Q1089" s="62">
        <f>IF(Q$15&lt;=1,0,SUMPRODUCT(MAX(($C$12:$V$12=Q$12)*($C$144:$V$144)*(($C$39:$V$39)=Q984)*$C$3:$V$3)))</f>
        <v/>
      </c>
      <c r="R1089" s="62">
        <f>IF(R$15&lt;=1,0,SUMPRODUCT(MAX(($C$12:$V$12=R$12)*($C$144:$V$144)*(($C$39:$V$39)=R984)*$C$3:$V$3)))</f>
        <v/>
      </c>
      <c r="S1089" s="62">
        <f>IF(S$15&lt;=1,0,SUMPRODUCT(MAX(($C$12:$V$12=S$12)*($C$144:$V$144)*(($C$39:$V$39)=S984)*$C$3:$V$3)))</f>
        <v/>
      </c>
      <c r="T1089" s="62">
        <f>IF(T$15&lt;=1,0,SUMPRODUCT(MAX(($C$12:$V$12=T$12)*($C$144:$V$144)*(($C$39:$V$39)=T984)*$C$3:$V$3)))</f>
        <v/>
      </c>
      <c r="U1089" s="62">
        <f>IF(U$15&lt;=1,0,SUMPRODUCT(MAX(($C$12:$V$12=U$12)*($C$144:$V$144)*(($C$39:$V$39)=U984)*$C$3:$V$3)))</f>
        <v/>
      </c>
      <c r="V1089" s="62">
        <f>IF(V$15&lt;=1,0,SUMPRODUCT(MAX(($C$12:$V$12=V$12)*($C$144:$V$144)*(($C$39:$V$39)=V984)*$C$3:$V$3)))</f>
        <v/>
      </c>
    </row>
    <row r="1090">
      <c r="C1090" s="62">
        <f>IF(C$15&lt;=1,0,SUMPRODUCT(MAX(($C$12:$V$12=C$12)*($C$145:$V$145)*(($C$40:$V$40)=C985)*$C$3:$V$3)))</f>
        <v/>
      </c>
      <c r="D1090" s="62">
        <f>IF(D$15&lt;=1,0,SUMPRODUCT(MAX(($C$12:$V$12=D$12)*($C$145:$V$145)*(($C$40:$V$40)=D985)*$C$3:$V$3)))</f>
        <v/>
      </c>
      <c r="E1090" s="62">
        <f>IF(E$15&lt;=1,0,SUMPRODUCT(MAX(($C$12:$V$12=E$12)*($C$145:$V$145)*(($C$40:$V$40)=E985)*$C$3:$V$3)))</f>
        <v/>
      </c>
      <c r="F1090" s="62">
        <f>IF(F$15&lt;=1,0,SUMPRODUCT(MAX(($C$12:$V$12=F$12)*($C$145:$V$145)*(($C$40:$V$40)=F985)*$C$3:$V$3)))</f>
        <v/>
      </c>
      <c r="G1090" s="62">
        <f>IF(G$15&lt;=1,0,SUMPRODUCT(MAX(($C$12:$V$12=G$12)*($C$145:$V$145)*(($C$40:$V$40)=G985)*$C$3:$V$3)))</f>
        <v/>
      </c>
      <c r="H1090" s="62">
        <f>IF(H$15&lt;=1,0,SUMPRODUCT(MAX(($C$12:$V$12=H$12)*($C$145:$V$145)*(($C$40:$V$40)=H985)*$C$3:$V$3)))</f>
        <v/>
      </c>
      <c r="I1090" s="62">
        <f>IF(I$15&lt;=1,0,SUMPRODUCT(MAX(($C$12:$V$12=I$12)*($C$145:$V$145)*(($C$40:$V$40)=I985)*$C$3:$V$3)))</f>
        <v/>
      </c>
      <c r="J1090" s="62">
        <f>IF(J$15&lt;=1,0,SUMPRODUCT(MAX(($C$12:$V$12=J$12)*($C$145:$V$145)*(($C$40:$V$40)=J985)*$C$3:$V$3)))</f>
        <v/>
      </c>
      <c r="K1090" s="62">
        <f>IF(K$15&lt;=1,0,SUMPRODUCT(MAX(($C$12:$V$12=K$12)*($C$145:$V$145)*(($C$40:$V$40)=K985)*$C$3:$V$3)))</f>
        <v/>
      </c>
      <c r="L1090" s="62">
        <f>IF(L$15&lt;=1,0,SUMPRODUCT(MAX(($C$12:$V$12=L$12)*($C$145:$V$145)*(($C$40:$V$40)=L985)*$C$3:$V$3)))</f>
        <v/>
      </c>
      <c r="M1090" s="62">
        <f>IF(M$15&lt;=1,0,SUMPRODUCT(MAX(($C$12:$V$12=M$12)*($C$145:$V$145)*(($C$40:$V$40)=M985)*$C$3:$V$3)))</f>
        <v/>
      </c>
      <c r="N1090" s="62">
        <f>IF(N$15&lt;=1,0,SUMPRODUCT(MAX(($C$12:$V$12=N$12)*($C$145:$V$145)*(($C$40:$V$40)=N985)*$C$3:$V$3)))</f>
        <v/>
      </c>
      <c r="O1090" s="62">
        <f>IF(O$15&lt;=1,0,SUMPRODUCT(MAX(($C$12:$V$12=O$12)*($C$145:$V$145)*(($C$40:$V$40)=O985)*$C$3:$V$3)))</f>
        <v/>
      </c>
      <c r="P1090" s="62">
        <f>IF(P$15&lt;=1,0,SUMPRODUCT(MAX(($C$12:$V$12=P$12)*($C$145:$V$145)*(($C$40:$V$40)=P985)*$C$3:$V$3)))</f>
        <v/>
      </c>
      <c r="Q1090" s="62">
        <f>IF(Q$15&lt;=1,0,SUMPRODUCT(MAX(($C$12:$V$12=Q$12)*($C$145:$V$145)*(($C$40:$V$40)=Q985)*$C$3:$V$3)))</f>
        <v/>
      </c>
      <c r="R1090" s="62">
        <f>IF(R$15&lt;=1,0,SUMPRODUCT(MAX(($C$12:$V$12=R$12)*($C$145:$V$145)*(($C$40:$V$40)=R985)*$C$3:$V$3)))</f>
        <v/>
      </c>
      <c r="S1090" s="62">
        <f>IF(S$15&lt;=1,0,SUMPRODUCT(MAX(($C$12:$V$12=S$12)*($C$145:$V$145)*(($C$40:$V$40)=S985)*$C$3:$V$3)))</f>
        <v/>
      </c>
      <c r="T1090" s="62">
        <f>IF(T$15&lt;=1,0,SUMPRODUCT(MAX(($C$12:$V$12=T$12)*($C$145:$V$145)*(($C$40:$V$40)=T985)*$C$3:$V$3)))</f>
        <v/>
      </c>
      <c r="U1090" s="62">
        <f>IF(U$15&lt;=1,0,SUMPRODUCT(MAX(($C$12:$V$12=U$12)*($C$145:$V$145)*(($C$40:$V$40)=U985)*$C$3:$V$3)))</f>
        <v/>
      </c>
      <c r="V1090" s="62">
        <f>IF(V$15&lt;=1,0,SUMPRODUCT(MAX(($C$12:$V$12=V$12)*($C$145:$V$145)*(($C$40:$V$40)=V985)*$C$3:$V$3)))</f>
        <v/>
      </c>
    </row>
    <row r="1091">
      <c r="C1091" s="62">
        <f>IF(C$15&lt;=1,0,SUMPRODUCT(MAX(($C$12:$V$12=C$12)*($C$146:$V$146)*(($C$41:$V$41)=C986)*$C$3:$V$3)))</f>
        <v/>
      </c>
      <c r="D1091" s="62">
        <f>IF(D$15&lt;=1,0,SUMPRODUCT(MAX(($C$12:$V$12=D$12)*($C$146:$V$146)*(($C$41:$V$41)=D986)*$C$3:$V$3)))</f>
        <v/>
      </c>
      <c r="E1091" s="62">
        <f>IF(E$15&lt;=1,0,SUMPRODUCT(MAX(($C$12:$V$12=E$12)*($C$146:$V$146)*(($C$41:$V$41)=E986)*$C$3:$V$3)))</f>
        <v/>
      </c>
      <c r="F1091" s="62">
        <f>IF(F$15&lt;=1,0,SUMPRODUCT(MAX(($C$12:$V$12=F$12)*($C$146:$V$146)*(($C$41:$V$41)=F986)*$C$3:$V$3)))</f>
        <v/>
      </c>
      <c r="G1091" s="62">
        <f>IF(G$15&lt;=1,0,SUMPRODUCT(MAX(($C$12:$V$12=G$12)*($C$146:$V$146)*(($C$41:$V$41)=G986)*$C$3:$V$3)))</f>
        <v/>
      </c>
      <c r="H1091" s="62">
        <f>IF(H$15&lt;=1,0,SUMPRODUCT(MAX(($C$12:$V$12=H$12)*($C$146:$V$146)*(($C$41:$V$41)=H986)*$C$3:$V$3)))</f>
        <v/>
      </c>
      <c r="I1091" s="62">
        <f>IF(I$15&lt;=1,0,SUMPRODUCT(MAX(($C$12:$V$12=I$12)*($C$146:$V$146)*(($C$41:$V$41)=I986)*$C$3:$V$3)))</f>
        <v/>
      </c>
      <c r="J1091" s="62">
        <f>IF(J$15&lt;=1,0,SUMPRODUCT(MAX(($C$12:$V$12=J$12)*($C$146:$V$146)*(($C$41:$V$41)=J986)*$C$3:$V$3)))</f>
        <v/>
      </c>
      <c r="K1091" s="62">
        <f>IF(K$15&lt;=1,0,SUMPRODUCT(MAX(($C$12:$V$12=K$12)*($C$146:$V$146)*(($C$41:$V$41)=K986)*$C$3:$V$3)))</f>
        <v/>
      </c>
      <c r="L1091" s="62">
        <f>IF(L$15&lt;=1,0,SUMPRODUCT(MAX(($C$12:$V$12=L$12)*($C$146:$V$146)*(($C$41:$V$41)=L986)*$C$3:$V$3)))</f>
        <v/>
      </c>
      <c r="M1091" s="62">
        <f>IF(M$15&lt;=1,0,SUMPRODUCT(MAX(($C$12:$V$12=M$12)*($C$146:$V$146)*(($C$41:$V$41)=M986)*$C$3:$V$3)))</f>
        <v/>
      </c>
      <c r="N1091" s="62">
        <f>IF(N$15&lt;=1,0,SUMPRODUCT(MAX(($C$12:$V$12=N$12)*($C$146:$V$146)*(($C$41:$V$41)=N986)*$C$3:$V$3)))</f>
        <v/>
      </c>
      <c r="O1091" s="62">
        <f>IF(O$15&lt;=1,0,SUMPRODUCT(MAX(($C$12:$V$12=O$12)*($C$146:$V$146)*(($C$41:$V$41)=O986)*$C$3:$V$3)))</f>
        <v/>
      </c>
      <c r="P1091" s="62">
        <f>IF(P$15&lt;=1,0,SUMPRODUCT(MAX(($C$12:$V$12=P$12)*($C$146:$V$146)*(($C$41:$V$41)=P986)*$C$3:$V$3)))</f>
        <v/>
      </c>
      <c r="Q1091" s="62">
        <f>IF(Q$15&lt;=1,0,SUMPRODUCT(MAX(($C$12:$V$12=Q$12)*($C$146:$V$146)*(($C$41:$V$41)=Q986)*$C$3:$V$3)))</f>
        <v/>
      </c>
      <c r="R1091" s="62">
        <f>IF(R$15&lt;=1,0,SUMPRODUCT(MAX(($C$12:$V$12=R$12)*($C$146:$V$146)*(($C$41:$V$41)=R986)*$C$3:$V$3)))</f>
        <v/>
      </c>
      <c r="S1091" s="62">
        <f>IF(S$15&lt;=1,0,SUMPRODUCT(MAX(($C$12:$V$12=S$12)*($C$146:$V$146)*(($C$41:$V$41)=S986)*$C$3:$V$3)))</f>
        <v/>
      </c>
      <c r="T1091" s="62">
        <f>IF(T$15&lt;=1,0,SUMPRODUCT(MAX(($C$12:$V$12=T$12)*($C$146:$V$146)*(($C$41:$V$41)=T986)*$C$3:$V$3)))</f>
        <v/>
      </c>
      <c r="U1091" s="62">
        <f>IF(U$15&lt;=1,0,SUMPRODUCT(MAX(($C$12:$V$12=U$12)*($C$146:$V$146)*(($C$41:$V$41)=U986)*$C$3:$V$3)))</f>
        <v/>
      </c>
      <c r="V1091" s="62">
        <f>IF(V$15&lt;=1,0,SUMPRODUCT(MAX(($C$12:$V$12=V$12)*($C$146:$V$146)*(($C$41:$V$41)=V986)*$C$3:$V$3)))</f>
        <v/>
      </c>
    </row>
    <row r="1092">
      <c r="C1092" s="62">
        <f>IF(C$15&lt;=1,0,SUMPRODUCT(MAX(($C$12:$V$12=C$12)*($C$147:$V$147)*(($C$42:$V$42)=C987)*$C$3:$V$3)))</f>
        <v/>
      </c>
      <c r="D1092" s="62">
        <f>IF(D$15&lt;=1,0,SUMPRODUCT(MAX(($C$12:$V$12=D$12)*($C$147:$V$147)*(($C$42:$V$42)=D987)*$C$3:$V$3)))</f>
        <v/>
      </c>
      <c r="E1092" s="62">
        <f>IF(E$15&lt;=1,0,SUMPRODUCT(MAX(($C$12:$V$12=E$12)*($C$147:$V$147)*(($C$42:$V$42)=E987)*$C$3:$V$3)))</f>
        <v/>
      </c>
      <c r="F1092" s="62">
        <f>IF(F$15&lt;=1,0,SUMPRODUCT(MAX(($C$12:$V$12=F$12)*($C$147:$V$147)*(($C$42:$V$42)=F987)*$C$3:$V$3)))</f>
        <v/>
      </c>
      <c r="G1092" s="62">
        <f>IF(G$15&lt;=1,0,SUMPRODUCT(MAX(($C$12:$V$12=G$12)*($C$147:$V$147)*(($C$42:$V$42)=G987)*$C$3:$V$3)))</f>
        <v/>
      </c>
      <c r="H1092" s="62">
        <f>IF(H$15&lt;=1,0,SUMPRODUCT(MAX(($C$12:$V$12=H$12)*($C$147:$V$147)*(($C$42:$V$42)=H987)*$C$3:$V$3)))</f>
        <v/>
      </c>
      <c r="I1092" s="62">
        <f>IF(I$15&lt;=1,0,SUMPRODUCT(MAX(($C$12:$V$12=I$12)*($C$147:$V$147)*(($C$42:$V$42)=I987)*$C$3:$V$3)))</f>
        <v/>
      </c>
      <c r="J1092" s="62">
        <f>IF(J$15&lt;=1,0,SUMPRODUCT(MAX(($C$12:$V$12=J$12)*($C$147:$V$147)*(($C$42:$V$42)=J987)*$C$3:$V$3)))</f>
        <v/>
      </c>
      <c r="K1092" s="62">
        <f>IF(K$15&lt;=1,0,SUMPRODUCT(MAX(($C$12:$V$12=K$12)*($C$147:$V$147)*(($C$42:$V$42)=K987)*$C$3:$V$3)))</f>
        <v/>
      </c>
      <c r="L1092" s="62">
        <f>IF(L$15&lt;=1,0,SUMPRODUCT(MAX(($C$12:$V$12=L$12)*($C$147:$V$147)*(($C$42:$V$42)=L987)*$C$3:$V$3)))</f>
        <v/>
      </c>
      <c r="M1092" s="62">
        <f>IF(M$15&lt;=1,0,SUMPRODUCT(MAX(($C$12:$V$12=M$12)*($C$147:$V$147)*(($C$42:$V$42)=M987)*$C$3:$V$3)))</f>
        <v/>
      </c>
      <c r="N1092" s="62">
        <f>IF(N$15&lt;=1,0,SUMPRODUCT(MAX(($C$12:$V$12=N$12)*($C$147:$V$147)*(($C$42:$V$42)=N987)*$C$3:$V$3)))</f>
        <v/>
      </c>
      <c r="O1092" s="62">
        <f>IF(O$15&lt;=1,0,SUMPRODUCT(MAX(($C$12:$V$12=O$12)*($C$147:$V$147)*(($C$42:$V$42)=O987)*$C$3:$V$3)))</f>
        <v/>
      </c>
      <c r="P1092" s="62">
        <f>IF(P$15&lt;=1,0,SUMPRODUCT(MAX(($C$12:$V$12=P$12)*($C$147:$V$147)*(($C$42:$V$42)=P987)*$C$3:$V$3)))</f>
        <v/>
      </c>
      <c r="Q1092" s="62">
        <f>IF(Q$15&lt;=1,0,SUMPRODUCT(MAX(($C$12:$V$12=Q$12)*($C$147:$V$147)*(($C$42:$V$42)=Q987)*$C$3:$V$3)))</f>
        <v/>
      </c>
      <c r="R1092" s="62">
        <f>IF(R$15&lt;=1,0,SUMPRODUCT(MAX(($C$12:$V$12=R$12)*($C$147:$V$147)*(($C$42:$V$42)=R987)*$C$3:$V$3)))</f>
        <v/>
      </c>
      <c r="S1092" s="62">
        <f>IF(S$15&lt;=1,0,SUMPRODUCT(MAX(($C$12:$V$12=S$12)*($C$147:$V$147)*(($C$42:$V$42)=S987)*$C$3:$V$3)))</f>
        <v/>
      </c>
      <c r="T1092" s="62">
        <f>IF(T$15&lt;=1,0,SUMPRODUCT(MAX(($C$12:$V$12=T$12)*($C$147:$V$147)*(($C$42:$V$42)=T987)*$C$3:$V$3)))</f>
        <v/>
      </c>
      <c r="U1092" s="62">
        <f>IF(U$15&lt;=1,0,SUMPRODUCT(MAX(($C$12:$V$12=U$12)*($C$147:$V$147)*(($C$42:$V$42)=U987)*$C$3:$V$3)))</f>
        <v/>
      </c>
      <c r="V1092" s="62">
        <f>IF(V$15&lt;=1,0,SUMPRODUCT(MAX(($C$12:$V$12=V$12)*($C$147:$V$147)*(($C$42:$V$42)=V987)*$C$3:$V$3)))</f>
        <v/>
      </c>
    </row>
    <row r="1093">
      <c r="C1093" s="62">
        <f>IF(C$15&lt;=1,0,SUMPRODUCT(MAX(($C$12:$V$12=C$12)*($C$148:$V$148)*(($C$43:$V$43)=C988)*$C$3:$V$3)))</f>
        <v/>
      </c>
      <c r="D1093" s="62">
        <f>IF(D$15&lt;=1,0,SUMPRODUCT(MAX(($C$12:$V$12=D$12)*($C$148:$V$148)*(($C$43:$V$43)=D988)*$C$3:$V$3)))</f>
        <v/>
      </c>
      <c r="E1093" s="62">
        <f>IF(E$15&lt;=1,0,SUMPRODUCT(MAX(($C$12:$V$12=E$12)*($C$148:$V$148)*(($C$43:$V$43)=E988)*$C$3:$V$3)))</f>
        <v/>
      </c>
      <c r="F1093" s="62">
        <f>IF(F$15&lt;=1,0,SUMPRODUCT(MAX(($C$12:$V$12=F$12)*($C$148:$V$148)*(($C$43:$V$43)=F988)*$C$3:$V$3)))</f>
        <v/>
      </c>
      <c r="G1093" s="62">
        <f>IF(G$15&lt;=1,0,SUMPRODUCT(MAX(($C$12:$V$12=G$12)*($C$148:$V$148)*(($C$43:$V$43)=G988)*$C$3:$V$3)))</f>
        <v/>
      </c>
      <c r="H1093" s="62">
        <f>IF(H$15&lt;=1,0,SUMPRODUCT(MAX(($C$12:$V$12=H$12)*($C$148:$V$148)*(($C$43:$V$43)=H988)*$C$3:$V$3)))</f>
        <v/>
      </c>
      <c r="I1093" s="62">
        <f>IF(I$15&lt;=1,0,SUMPRODUCT(MAX(($C$12:$V$12=I$12)*($C$148:$V$148)*(($C$43:$V$43)=I988)*$C$3:$V$3)))</f>
        <v/>
      </c>
      <c r="J1093" s="62">
        <f>IF(J$15&lt;=1,0,SUMPRODUCT(MAX(($C$12:$V$12=J$12)*($C$148:$V$148)*(($C$43:$V$43)=J988)*$C$3:$V$3)))</f>
        <v/>
      </c>
      <c r="K1093" s="62">
        <f>IF(K$15&lt;=1,0,SUMPRODUCT(MAX(($C$12:$V$12=K$12)*($C$148:$V$148)*(($C$43:$V$43)=K988)*$C$3:$V$3)))</f>
        <v/>
      </c>
      <c r="L1093" s="62">
        <f>IF(L$15&lt;=1,0,SUMPRODUCT(MAX(($C$12:$V$12=L$12)*($C$148:$V$148)*(($C$43:$V$43)=L988)*$C$3:$V$3)))</f>
        <v/>
      </c>
      <c r="M1093" s="62">
        <f>IF(M$15&lt;=1,0,SUMPRODUCT(MAX(($C$12:$V$12=M$12)*($C$148:$V$148)*(($C$43:$V$43)=M988)*$C$3:$V$3)))</f>
        <v/>
      </c>
      <c r="N1093" s="62">
        <f>IF(N$15&lt;=1,0,SUMPRODUCT(MAX(($C$12:$V$12=N$12)*($C$148:$V$148)*(($C$43:$V$43)=N988)*$C$3:$V$3)))</f>
        <v/>
      </c>
      <c r="O1093" s="62">
        <f>IF(O$15&lt;=1,0,SUMPRODUCT(MAX(($C$12:$V$12=O$12)*($C$148:$V$148)*(($C$43:$V$43)=O988)*$C$3:$V$3)))</f>
        <v/>
      </c>
      <c r="P1093" s="62">
        <f>IF(P$15&lt;=1,0,SUMPRODUCT(MAX(($C$12:$V$12=P$12)*($C$148:$V$148)*(($C$43:$V$43)=P988)*$C$3:$V$3)))</f>
        <v/>
      </c>
      <c r="Q1093" s="62">
        <f>IF(Q$15&lt;=1,0,SUMPRODUCT(MAX(($C$12:$V$12=Q$12)*($C$148:$V$148)*(($C$43:$V$43)=Q988)*$C$3:$V$3)))</f>
        <v/>
      </c>
      <c r="R1093" s="62">
        <f>IF(R$15&lt;=1,0,SUMPRODUCT(MAX(($C$12:$V$12=R$12)*($C$148:$V$148)*(($C$43:$V$43)=R988)*$C$3:$V$3)))</f>
        <v/>
      </c>
      <c r="S1093" s="62">
        <f>IF(S$15&lt;=1,0,SUMPRODUCT(MAX(($C$12:$V$12=S$12)*($C$148:$V$148)*(($C$43:$V$43)=S988)*$C$3:$V$3)))</f>
        <v/>
      </c>
      <c r="T1093" s="62">
        <f>IF(T$15&lt;=1,0,SUMPRODUCT(MAX(($C$12:$V$12=T$12)*($C$148:$V$148)*(($C$43:$V$43)=T988)*$C$3:$V$3)))</f>
        <v/>
      </c>
      <c r="U1093" s="62">
        <f>IF(U$15&lt;=1,0,SUMPRODUCT(MAX(($C$12:$V$12=U$12)*($C$148:$V$148)*(($C$43:$V$43)=U988)*$C$3:$V$3)))</f>
        <v/>
      </c>
      <c r="V1093" s="62">
        <f>IF(V$15&lt;=1,0,SUMPRODUCT(MAX(($C$12:$V$12=V$12)*($C$148:$V$148)*(($C$43:$V$43)=V988)*$C$3:$V$3)))</f>
        <v/>
      </c>
    </row>
    <row r="1094">
      <c r="C1094" s="62">
        <f>IF(C$15&lt;=1,0,SUMPRODUCT(MAX(($C$12:$V$12=C$12)*($C$149:$V$149)*(($C$44:$V$44)=C989)*$C$3:$V$3)))</f>
        <v/>
      </c>
      <c r="D1094" s="62">
        <f>IF(D$15&lt;=1,0,SUMPRODUCT(MAX(($C$12:$V$12=D$12)*($C$149:$V$149)*(($C$44:$V$44)=D989)*$C$3:$V$3)))</f>
        <v/>
      </c>
      <c r="E1094" s="62">
        <f>IF(E$15&lt;=1,0,SUMPRODUCT(MAX(($C$12:$V$12=E$12)*($C$149:$V$149)*(($C$44:$V$44)=E989)*$C$3:$V$3)))</f>
        <v/>
      </c>
      <c r="F1094" s="62">
        <f>IF(F$15&lt;=1,0,SUMPRODUCT(MAX(($C$12:$V$12=F$12)*($C$149:$V$149)*(($C$44:$V$44)=F989)*$C$3:$V$3)))</f>
        <v/>
      </c>
      <c r="G1094" s="62">
        <f>IF(G$15&lt;=1,0,SUMPRODUCT(MAX(($C$12:$V$12=G$12)*($C$149:$V$149)*(($C$44:$V$44)=G989)*$C$3:$V$3)))</f>
        <v/>
      </c>
      <c r="H1094" s="62">
        <f>IF(H$15&lt;=1,0,SUMPRODUCT(MAX(($C$12:$V$12=H$12)*($C$149:$V$149)*(($C$44:$V$44)=H989)*$C$3:$V$3)))</f>
        <v/>
      </c>
      <c r="I1094" s="62">
        <f>IF(I$15&lt;=1,0,SUMPRODUCT(MAX(($C$12:$V$12=I$12)*($C$149:$V$149)*(($C$44:$V$44)=I989)*$C$3:$V$3)))</f>
        <v/>
      </c>
      <c r="J1094" s="62">
        <f>IF(J$15&lt;=1,0,SUMPRODUCT(MAX(($C$12:$V$12=J$12)*($C$149:$V$149)*(($C$44:$V$44)=J989)*$C$3:$V$3)))</f>
        <v/>
      </c>
      <c r="K1094" s="62">
        <f>IF(K$15&lt;=1,0,SUMPRODUCT(MAX(($C$12:$V$12=K$12)*($C$149:$V$149)*(($C$44:$V$44)=K989)*$C$3:$V$3)))</f>
        <v/>
      </c>
      <c r="L1094" s="62">
        <f>IF(L$15&lt;=1,0,SUMPRODUCT(MAX(($C$12:$V$12=L$12)*($C$149:$V$149)*(($C$44:$V$44)=L989)*$C$3:$V$3)))</f>
        <v/>
      </c>
      <c r="M1094" s="62">
        <f>IF(M$15&lt;=1,0,SUMPRODUCT(MAX(($C$12:$V$12=M$12)*($C$149:$V$149)*(($C$44:$V$44)=M989)*$C$3:$V$3)))</f>
        <v/>
      </c>
      <c r="N1094" s="62">
        <f>IF(N$15&lt;=1,0,SUMPRODUCT(MAX(($C$12:$V$12=N$12)*($C$149:$V$149)*(($C$44:$V$44)=N989)*$C$3:$V$3)))</f>
        <v/>
      </c>
      <c r="O1094" s="62">
        <f>IF(O$15&lt;=1,0,SUMPRODUCT(MAX(($C$12:$V$12=O$12)*($C$149:$V$149)*(($C$44:$V$44)=O989)*$C$3:$V$3)))</f>
        <v/>
      </c>
      <c r="P1094" s="62">
        <f>IF(P$15&lt;=1,0,SUMPRODUCT(MAX(($C$12:$V$12=P$12)*($C$149:$V$149)*(($C$44:$V$44)=P989)*$C$3:$V$3)))</f>
        <v/>
      </c>
      <c r="Q1094" s="62">
        <f>IF(Q$15&lt;=1,0,SUMPRODUCT(MAX(($C$12:$V$12=Q$12)*($C$149:$V$149)*(($C$44:$V$44)=Q989)*$C$3:$V$3)))</f>
        <v/>
      </c>
      <c r="R1094" s="62">
        <f>IF(R$15&lt;=1,0,SUMPRODUCT(MAX(($C$12:$V$12=R$12)*($C$149:$V$149)*(($C$44:$V$44)=R989)*$C$3:$V$3)))</f>
        <v/>
      </c>
      <c r="S1094" s="62">
        <f>IF(S$15&lt;=1,0,SUMPRODUCT(MAX(($C$12:$V$12=S$12)*($C$149:$V$149)*(($C$44:$V$44)=S989)*$C$3:$V$3)))</f>
        <v/>
      </c>
      <c r="T1094" s="62">
        <f>IF(T$15&lt;=1,0,SUMPRODUCT(MAX(($C$12:$V$12=T$12)*($C$149:$V$149)*(($C$44:$V$44)=T989)*$C$3:$V$3)))</f>
        <v/>
      </c>
      <c r="U1094" s="62">
        <f>IF(U$15&lt;=1,0,SUMPRODUCT(MAX(($C$12:$V$12=U$12)*($C$149:$V$149)*(($C$44:$V$44)=U989)*$C$3:$V$3)))</f>
        <v/>
      </c>
      <c r="V1094" s="62">
        <f>IF(V$15&lt;=1,0,SUMPRODUCT(MAX(($C$12:$V$12=V$12)*($C$149:$V$149)*(($C$44:$V$44)=V989)*$C$3:$V$3)))</f>
        <v/>
      </c>
    </row>
    <row r="1095">
      <c r="C1095" s="62">
        <f>IF(C$15&lt;=1,0,SUMPRODUCT(MAX(($C$12:$V$12=C$12)*($C$150:$V$150)*(($C$45:$V$45)=C990)*$C$3:$V$3)))</f>
        <v/>
      </c>
      <c r="D1095" s="62">
        <f>IF(D$15&lt;=1,0,SUMPRODUCT(MAX(($C$12:$V$12=D$12)*($C$150:$V$150)*(($C$45:$V$45)=D990)*$C$3:$V$3)))</f>
        <v/>
      </c>
      <c r="E1095" s="62">
        <f>IF(E$15&lt;=1,0,SUMPRODUCT(MAX(($C$12:$V$12=E$12)*($C$150:$V$150)*(($C$45:$V$45)=E990)*$C$3:$V$3)))</f>
        <v/>
      </c>
      <c r="F1095" s="62">
        <f>IF(F$15&lt;=1,0,SUMPRODUCT(MAX(($C$12:$V$12=F$12)*($C$150:$V$150)*(($C$45:$V$45)=F990)*$C$3:$V$3)))</f>
        <v/>
      </c>
      <c r="G1095" s="62">
        <f>IF(G$15&lt;=1,0,SUMPRODUCT(MAX(($C$12:$V$12=G$12)*($C$150:$V$150)*(($C$45:$V$45)=G990)*$C$3:$V$3)))</f>
        <v/>
      </c>
      <c r="H1095" s="62">
        <f>IF(H$15&lt;=1,0,SUMPRODUCT(MAX(($C$12:$V$12=H$12)*($C$150:$V$150)*(($C$45:$V$45)=H990)*$C$3:$V$3)))</f>
        <v/>
      </c>
      <c r="I1095" s="62">
        <f>IF(I$15&lt;=1,0,SUMPRODUCT(MAX(($C$12:$V$12=I$12)*($C$150:$V$150)*(($C$45:$V$45)=I990)*$C$3:$V$3)))</f>
        <v/>
      </c>
      <c r="J1095" s="62">
        <f>IF(J$15&lt;=1,0,SUMPRODUCT(MAX(($C$12:$V$12=J$12)*($C$150:$V$150)*(($C$45:$V$45)=J990)*$C$3:$V$3)))</f>
        <v/>
      </c>
      <c r="K1095" s="62">
        <f>IF(K$15&lt;=1,0,SUMPRODUCT(MAX(($C$12:$V$12=K$12)*($C$150:$V$150)*(($C$45:$V$45)=K990)*$C$3:$V$3)))</f>
        <v/>
      </c>
      <c r="L1095" s="62">
        <f>IF(L$15&lt;=1,0,SUMPRODUCT(MAX(($C$12:$V$12=L$12)*($C$150:$V$150)*(($C$45:$V$45)=L990)*$C$3:$V$3)))</f>
        <v/>
      </c>
      <c r="M1095" s="62">
        <f>IF(M$15&lt;=1,0,SUMPRODUCT(MAX(($C$12:$V$12=M$12)*($C$150:$V$150)*(($C$45:$V$45)=M990)*$C$3:$V$3)))</f>
        <v/>
      </c>
      <c r="N1095" s="62">
        <f>IF(N$15&lt;=1,0,SUMPRODUCT(MAX(($C$12:$V$12=N$12)*($C$150:$V$150)*(($C$45:$V$45)=N990)*$C$3:$V$3)))</f>
        <v/>
      </c>
      <c r="O1095" s="62">
        <f>IF(O$15&lt;=1,0,SUMPRODUCT(MAX(($C$12:$V$12=O$12)*($C$150:$V$150)*(($C$45:$V$45)=O990)*$C$3:$V$3)))</f>
        <v/>
      </c>
      <c r="P1095" s="62">
        <f>IF(P$15&lt;=1,0,SUMPRODUCT(MAX(($C$12:$V$12=P$12)*($C$150:$V$150)*(($C$45:$V$45)=P990)*$C$3:$V$3)))</f>
        <v/>
      </c>
      <c r="Q1095" s="62">
        <f>IF(Q$15&lt;=1,0,SUMPRODUCT(MAX(($C$12:$V$12=Q$12)*($C$150:$V$150)*(($C$45:$V$45)=Q990)*$C$3:$V$3)))</f>
        <v/>
      </c>
      <c r="R1095" s="62">
        <f>IF(R$15&lt;=1,0,SUMPRODUCT(MAX(($C$12:$V$12=R$12)*($C$150:$V$150)*(($C$45:$V$45)=R990)*$C$3:$V$3)))</f>
        <v/>
      </c>
      <c r="S1095" s="62">
        <f>IF(S$15&lt;=1,0,SUMPRODUCT(MAX(($C$12:$V$12=S$12)*($C$150:$V$150)*(($C$45:$V$45)=S990)*$C$3:$V$3)))</f>
        <v/>
      </c>
      <c r="T1095" s="62">
        <f>IF(T$15&lt;=1,0,SUMPRODUCT(MAX(($C$12:$V$12=T$12)*($C$150:$V$150)*(($C$45:$V$45)=T990)*$C$3:$V$3)))</f>
        <v/>
      </c>
      <c r="U1095" s="62">
        <f>IF(U$15&lt;=1,0,SUMPRODUCT(MAX(($C$12:$V$12=U$12)*($C$150:$V$150)*(($C$45:$V$45)=U990)*$C$3:$V$3)))</f>
        <v/>
      </c>
      <c r="V1095" s="62">
        <f>IF(V$15&lt;=1,0,SUMPRODUCT(MAX(($C$12:$V$12=V$12)*($C$150:$V$150)*(($C$45:$V$45)=V990)*$C$3:$V$3)))</f>
        <v/>
      </c>
    </row>
    <row r="1096">
      <c r="C1096" s="62">
        <f>IF(C$15&lt;=1,0,SUMPRODUCT(MAX(($C$12:$V$12=C$12)*($C$151:$V$151)*(($C$46:$V$46)=C991)*$C$3:$V$3)))</f>
        <v/>
      </c>
      <c r="D1096" s="62">
        <f>IF(D$15&lt;=1,0,SUMPRODUCT(MAX(($C$12:$V$12=D$12)*($C$151:$V$151)*(($C$46:$V$46)=D991)*$C$3:$V$3)))</f>
        <v/>
      </c>
      <c r="E1096" s="62">
        <f>IF(E$15&lt;=1,0,SUMPRODUCT(MAX(($C$12:$V$12=E$12)*($C$151:$V$151)*(($C$46:$V$46)=E991)*$C$3:$V$3)))</f>
        <v/>
      </c>
      <c r="F1096" s="62">
        <f>IF(F$15&lt;=1,0,SUMPRODUCT(MAX(($C$12:$V$12=F$12)*($C$151:$V$151)*(($C$46:$V$46)=F991)*$C$3:$V$3)))</f>
        <v/>
      </c>
      <c r="G1096" s="62">
        <f>IF(G$15&lt;=1,0,SUMPRODUCT(MAX(($C$12:$V$12=G$12)*($C$151:$V$151)*(($C$46:$V$46)=G991)*$C$3:$V$3)))</f>
        <v/>
      </c>
      <c r="H1096" s="62">
        <f>IF(H$15&lt;=1,0,SUMPRODUCT(MAX(($C$12:$V$12=H$12)*($C$151:$V$151)*(($C$46:$V$46)=H991)*$C$3:$V$3)))</f>
        <v/>
      </c>
      <c r="I1096" s="62">
        <f>IF(I$15&lt;=1,0,SUMPRODUCT(MAX(($C$12:$V$12=I$12)*($C$151:$V$151)*(($C$46:$V$46)=I991)*$C$3:$V$3)))</f>
        <v/>
      </c>
      <c r="J1096" s="62">
        <f>IF(J$15&lt;=1,0,SUMPRODUCT(MAX(($C$12:$V$12=J$12)*($C$151:$V$151)*(($C$46:$V$46)=J991)*$C$3:$V$3)))</f>
        <v/>
      </c>
      <c r="K1096" s="62">
        <f>IF(K$15&lt;=1,0,SUMPRODUCT(MAX(($C$12:$V$12=K$12)*($C$151:$V$151)*(($C$46:$V$46)=K991)*$C$3:$V$3)))</f>
        <v/>
      </c>
      <c r="L1096" s="62">
        <f>IF(L$15&lt;=1,0,SUMPRODUCT(MAX(($C$12:$V$12=L$12)*($C$151:$V$151)*(($C$46:$V$46)=L991)*$C$3:$V$3)))</f>
        <v/>
      </c>
      <c r="M1096" s="62">
        <f>IF(M$15&lt;=1,0,SUMPRODUCT(MAX(($C$12:$V$12=M$12)*($C$151:$V$151)*(($C$46:$V$46)=M991)*$C$3:$V$3)))</f>
        <v/>
      </c>
      <c r="N1096" s="62">
        <f>IF(N$15&lt;=1,0,SUMPRODUCT(MAX(($C$12:$V$12=N$12)*($C$151:$V$151)*(($C$46:$V$46)=N991)*$C$3:$V$3)))</f>
        <v/>
      </c>
      <c r="O1096" s="62">
        <f>IF(O$15&lt;=1,0,SUMPRODUCT(MAX(($C$12:$V$12=O$12)*($C$151:$V$151)*(($C$46:$V$46)=O991)*$C$3:$V$3)))</f>
        <v/>
      </c>
      <c r="P1096" s="62">
        <f>IF(P$15&lt;=1,0,SUMPRODUCT(MAX(($C$12:$V$12=P$12)*($C$151:$V$151)*(($C$46:$V$46)=P991)*$C$3:$V$3)))</f>
        <v/>
      </c>
      <c r="Q1096" s="62">
        <f>IF(Q$15&lt;=1,0,SUMPRODUCT(MAX(($C$12:$V$12=Q$12)*($C$151:$V$151)*(($C$46:$V$46)=Q991)*$C$3:$V$3)))</f>
        <v/>
      </c>
      <c r="R1096" s="62">
        <f>IF(R$15&lt;=1,0,SUMPRODUCT(MAX(($C$12:$V$12=R$12)*($C$151:$V$151)*(($C$46:$V$46)=R991)*$C$3:$V$3)))</f>
        <v/>
      </c>
      <c r="S1096" s="62">
        <f>IF(S$15&lt;=1,0,SUMPRODUCT(MAX(($C$12:$V$12=S$12)*($C$151:$V$151)*(($C$46:$V$46)=S991)*$C$3:$V$3)))</f>
        <v/>
      </c>
      <c r="T1096" s="62">
        <f>IF(T$15&lt;=1,0,SUMPRODUCT(MAX(($C$12:$V$12=T$12)*($C$151:$V$151)*(($C$46:$V$46)=T991)*$C$3:$V$3)))</f>
        <v/>
      </c>
      <c r="U1096" s="62">
        <f>IF(U$15&lt;=1,0,SUMPRODUCT(MAX(($C$12:$V$12=U$12)*($C$151:$V$151)*(($C$46:$V$46)=U991)*$C$3:$V$3)))</f>
        <v/>
      </c>
      <c r="V1096" s="62">
        <f>IF(V$15&lt;=1,0,SUMPRODUCT(MAX(($C$12:$V$12=V$12)*($C$151:$V$151)*(($C$46:$V$46)=V991)*$C$3:$V$3)))</f>
        <v/>
      </c>
    </row>
    <row r="1097">
      <c r="C1097" s="62">
        <f>IF(C$15&lt;=1,0,SUMPRODUCT(MAX(($C$12:$V$12=C$12)*($C$152:$V$152)*(($C$47:$V$47)=C992)*$C$3:$V$3)))</f>
        <v/>
      </c>
      <c r="D1097" s="62">
        <f>IF(D$15&lt;=1,0,SUMPRODUCT(MAX(($C$12:$V$12=D$12)*($C$152:$V$152)*(($C$47:$V$47)=D992)*$C$3:$V$3)))</f>
        <v/>
      </c>
      <c r="E1097" s="62">
        <f>IF(E$15&lt;=1,0,SUMPRODUCT(MAX(($C$12:$V$12=E$12)*($C$152:$V$152)*(($C$47:$V$47)=E992)*$C$3:$V$3)))</f>
        <v/>
      </c>
      <c r="F1097" s="62">
        <f>IF(F$15&lt;=1,0,SUMPRODUCT(MAX(($C$12:$V$12=F$12)*($C$152:$V$152)*(($C$47:$V$47)=F992)*$C$3:$V$3)))</f>
        <v/>
      </c>
      <c r="G1097" s="62">
        <f>IF(G$15&lt;=1,0,SUMPRODUCT(MAX(($C$12:$V$12=G$12)*($C$152:$V$152)*(($C$47:$V$47)=G992)*$C$3:$V$3)))</f>
        <v/>
      </c>
      <c r="H1097" s="62">
        <f>IF(H$15&lt;=1,0,SUMPRODUCT(MAX(($C$12:$V$12=H$12)*($C$152:$V$152)*(($C$47:$V$47)=H992)*$C$3:$V$3)))</f>
        <v/>
      </c>
      <c r="I1097" s="62">
        <f>IF(I$15&lt;=1,0,SUMPRODUCT(MAX(($C$12:$V$12=I$12)*($C$152:$V$152)*(($C$47:$V$47)=I992)*$C$3:$V$3)))</f>
        <v/>
      </c>
      <c r="J1097" s="62">
        <f>IF(J$15&lt;=1,0,SUMPRODUCT(MAX(($C$12:$V$12=J$12)*($C$152:$V$152)*(($C$47:$V$47)=J992)*$C$3:$V$3)))</f>
        <v/>
      </c>
      <c r="K1097" s="62">
        <f>IF(K$15&lt;=1,0,SUMPRODUCT(MAX(($C$12:$V$12=K$12)*($C$152:$V$152)*(($C$47:$V$47)=K992)*$C$3:$V$3)))</f>
        <v/>
      </c>
      <c r="L1097" s="62">
        <f>IF(L$15&lt;=1,0,SUMPRODUCT(MAX(($C$12:$V$12=L$12)*($C$152:$V$152)*(($C$47:$V$47)=L992)*$C$3:$V$3)))</f>
        <v/>
      </c>
      <c r="M1097" s="62">
        <f>IF(M$15&lt;=1,0,SUMPRODUCT(MAX(($C$12:$V$12=M$12)*($C$152:$V$152)*(($C$47:$V$47)=M992)*$C$3:$V$3)))</f>
        <v/>
      </c>
      <c r="N1097" s="62">
        <f>IF(N$15&lt;=1,0,SUMPRODUCT(MAX(($C$12:$V$12=N$12)*($C$152:$V$152)*(($C$47:$V$47)=N992)*$C$3:$V$3)))</f>
        <v/>
      </c>
      <c r="O1097" s="62">
        <f>IF(O$15&lt;=1,0,SUMPRODUCT(MAX(($C$12:$V$12=O$12)*($C$152:$V$152)*(($C$47:$V$47)=O992)*$C$3:$V$3)))</f>
        <v/>
      </c>
      <c r="P1097" s="62">
        <f>IF(P$15&lt;=1,0,SUMPRODUCT(MAX(($C$12:$V$12=P$12)*($C$152:$V$152)*(($C$47:$V$47)=P992)*$C$3:$V$3)))</f>
        <v/>
      </c>
      <c r="Q1097" s="62">
        <f>IF(Q$15&lt;=1,0,SUMPRODUCT(MAX(($C$12:$V$12=Q$12)*($C$152:$V$152)*(($C$47:$V$47)=Q992)*$C$3:$V$3)))</f>
        <v/>
      </c>
      <c r="R1097" s="62">
        <f>IF(R$15&lt;=1,0,SUMPRODUCT(MAX(($C$12:$V$12=R$12)*($C$152:$V$152)*(($C$47:$V$47)=R992)*$C$3:$V$3)))</f>
        <v/>
      </c>
      <c r="S1097" s="62">
        <f>IF(S$15&lt;=1,0,SUMPRODUCT(MAX(($C$12:$V$12=S$12)*($C$152:$V$152)*(($C$47:$V$47)=S992)*$C$3:$V$3)))</f>
        <v/>
      </c>
      <c r="T1097" s="62">
        <f>IF(T$15&lt;=1,0,SUMPRODUCT(MAX(($C$12:$V$12=T$12)*($C$152:$V$152)*(($C$47:$V$47)=T992)*$C$3:$V$3)))</f>
        <v/>
      </c>
      <c r="U1097" s="62">
        <f>IF(U$15&lt;=1,0,SUMPRODUCT(MAX(($C$12:$V$12=U$12)*($C$152:$V$152)*(($C$47:$V$47)=U992)*$C$3:$V$3)))</f>
        <v/>
      </c>
      <c r="V1097" s="62">
        <f>IF(V$15&lt;=1,0,SUMPRODUCT(MAX(($C$12:$V$12=V$12)*($C$152:$V$152)*(($C$47:$V$47)=V992)*$C$3:$V$3)))</f>
        <v/>
      </c>
    </row>
    <row r="1098">
      <c r="C1098" s="62">
        <f>IF(C$15&lt;=1,0,SUMPRODUCT(MAX(($C$12:$V$12=C$12)*($C$153:$V$153)*(($C$48:$V$48)=C993)*$C$3:$V$3)))</f>
        <v/>
      </c>
      <c r="D1098" s="62">
        <f>IF(D$15&lt;=1,0,SUMPRODUCT(MAX(($C$12:$V$12=D$12)*($C$153:$V$153)*(($C$48:$V$48)=D993)*$C$3:$V$3)))</f>
        <v/>
      </c>
      <c r="E1098" s="62">
        <f>IF(E$15&lt;=1,0,SUMPRODUCT(MAX(($C$12:$V$12=E$12)*($C$153:$V$153)*(($C$48:$V$48)=E993)*$C$3:$V$3)))</f>
        <v/>
      </c>
      <c r="F1098" s="62">
        <f>IF(F$15&lt;=1,0,SUMPRODUCT(MAX(($C$12:$V$12=F$12)*($C$153:$V$153)*(($C$48:$V$48)=F993)*$C$3:$V$3)))</f>
        <v/>
      </c>
      <c r="G1098" s="62">
        <f>IF(G$15&lt;=1,0,SUMPRODUCT(MAX(($C$12:$V$12=G$12)*($C$153:$V$153)*(($C$48:$V$48)=G993)*$C$3:$V$3)))</f>
        <v/>
      </c>
      <c r="H1098" s="62">
        <f>IF(H$15&lt;=1,0,SUMPRODUCT(MAX(($C$12:$V$12=H$12)*($C$153:$V$153)*(($C$48:$V$48)=H993)*$C$3:$V$3)))</f>
        <v/>
      </c>
      <c r="I1098" s="62">
        <f>IF(I$15&lt;=1,0,SUMPRODUCT(MAX(($C$12:$V$12=I$12)*($C$153:$V$153)*(($C$48:$V$48)=I993)*$C$3:$V$3)))</f>
        <v/>
      </c>
      <c r="J1098" s="62">
        <f>IF(J$15&lt;=1,0,SUMPRODUCT(MAX(($C$12:$V$12=J$12)*($C$153:$V$153)*(($C$48:$V$48)=J993)*$C$3:$V$3)))</f>
        <v/>
      </c>
      <c r="K1098" s="62">
        <f>IF(K$15&lt;=1,0,SUMPRODUCT(MAX(($C$12:$V$12=K$12)*($C$153:$V$153)*(($C$48:$V$48)=K993)*$C$3:$V$3)))</f>
        <v/>
      </c>
      <c r="L1098" s="62">
        <f>IF(L$15&lt;=1,0,SUMPRODUCT(MAX(($C$12:$V$12=L$12)*($C$153:$V$153)*(($C$48:$V$48)=L993)*$C$3:$V$3)))</f>
        <v/>
      </c>
      <c r="M1098" s="62">
        <f>IF(M$15&lt;=1,0,SUMPRODUCT(MAX(($C$12:$V$12=M$12)*($C$153:$V$153)*(($C$48:$V$48)=M993)*$C$3:$V$3)))</f>
        <v/>
      </c>
      <c r="N1098" s="62">
        <f>IF(N$15&lt;=1,0,SUMPRODUCT(MAX(($C$12:$V$12=N$12)*($C$153:$V$153)*(($C$48:$V$48)=N993)*$C$3:$V$3)))</f>
        <v/>
      </c>
      <c r="O1098" s="62">
        <f>IF(O$15&lt;=1,0,SUMPRODUCT(MAX(($C$12:$V$12=O$12)*($C$153:$V$153)*(($C$48:$V$48)=O993)*$C$3:$V$3)))</f>
        <v/>
      </c>
      <c r="P1098" s="62">
        <f>IF(P$15&lt;=1,0,SUMPRODUCT(MAX(($C$12:$V$12=P$12)*($C$153:$V$153)*(($C$48:$V$48)=P993)*$C$3:$V$3)))</f>
        <v/>
      </c>
      <c r="Q1098" s="62">
        <f>IF(Q$15&lt;=1,0,SUMPRODUCT(MAX(($C$12:$V$12=Q$12)*($C$153:$V$153)*(($C$48:$V$48)=Q993)*$C$3:$V$3)))</f>
        <v/>
      </c>
      <c r="R1098" s="62">
        <f>IF(R$15&lt;=1,0,SUMPRODUCT(MAX(($C$12:$V$12=R$12)*($C$153:$V$153)*(($C$48:$V$48)=R993)*$C$3:$V$3)))</f>
        <v/>
      </c>
      <c r="S1098" s="62">
        <f>IF(S$15&lt;=1,0,SUMPRODUCT(MAX(($C$12:$V$12=S$12)*($C$153:$V$153)*(($C$48:$V$48)=S993)*$C$3:$V$3)))</f>
        <v/>
      </c>
      <c r="T1098" s="62">
        <f>IF(T$15&lt;=1,0,SUMPRODUCT(MAX(($C$12:$V$12=T$12)*($C$153:$V$153)*(($C$48:$V$48)=T993)*$C$3:$V$3)))</f>
        <v/>
      </c>
      <c r="U1098" s="62">
        <f>IF(U$15&lt;=1,0,SUMPRODUCT(MAX(($C$12:$V$12=U$12)*($C$153:$V$153)*(($C$48:$V$48)=U993)*$C$3:$V$3)))</f>
        <v/>
      </c>
      <c r="V1098" s="62">
        <f>IF(V$15&lt;=1,0,SUMPRODUCT(MAX(($C$12:$V$12=V$12)*($C$153:$V$153)*(($C$48:$V$48)=V993)*$C$3:$V$3)))</f>
        <v/>
      </c>
    </row>
    <row r="1099">
      <c r="C1099" s="62">
        <f>IF(C$15&lt;=1,0,SUMPRODUCT(MAX(($C$12:$V$12=C$12)*($C$154:$V$154)*(($C$49:$V$49)=C994)*$C$3:$V$3)))</f>
        <v/>
      </c>
      <c r="D1099" s="62">
        <f>IF(D$15&lt;=1,0,SUMPRODUCT(MAX(($C$12:$V$12=D$12)*($C$154:$V$154)*(($C$49:$V$49)=D994)*$C$3:$V$3)))</f>
        <v/>
      </c>
      <c r="E1099" s="62">
        <f>IF(E$15&lt;=1,0,SUMPRODUCT(MAX(($C$12:$V$12=E$12)*($C$154:$V$154)*(($C$49:$V$49)=E994)*$C$3:$V$3)))</f>
        <v/>
      </c>
      <c r="F1099" s="62">
        <f>IF(F$15&lt;=1,0,SUMPRODUCT(MAX(($C$12:$V$12=F$12)*($C$154:$V$154)*(($C$49:$V$49)=F994)*$C$3:$V$3)))</f>
        <v/>
      </c>
      <c r="G1099" s="62">
        <f>IF(G$15&lt;=1,0,SUMPRODUCT(MAX(($C$12:$V$12=G$12)*($C$154:$V$154)*(($C$49:$V$49)=G994)*$C$3:$V$3)))</f>
        <v/>
      </c>
      <c r="H1099" s="62">
        <f>IF(H$15&lt;=1,0,SUMPRODUCT(MAX(($C$12:$V$12=H$12)*($C$154:$V$154)*(($C$49:$V$49)=H994)*$C$3:$V$3)))</f>
        <v/>
      </c>
      <c r="I1099" s="62">
        <f>IF(I$15&lt;=1,0,SUMPRODUCT(MAX(($C$12:$V$12=I$12)*($C$154:$V$154)*(($C$49:$V$49)=I994)*$C$3:$V$3)))</f>
        <v/>
      </c>
      <c r="J1099" s="62">
        <f>IF(J$15&lt;=1,0,SUMPRODUCT(MAX(($C$12:$V$12=J$12)*($C$154:$V$154)*(($C$49:$V$49)=J994)*$C$3:$V$3)))</f>
        <v/>
      </c>
      <c r="K1099" s="62">
        <f>IF(K$15&lt;=1,0,SUMPRODUCT(MAX(($C$12:$V$12=K$12)*($C$154:$V$154)*(($C$49:$V$49)=K994)*$C$3:$V$3)))</f>
        <v/>
      </c>
      <c r="L1099" s="62">
        <f>IF(L$15&lt;=1,0,SUMPRODUCT(MAX(($C$12:$V$12=L$12)*($C$154:$V$154)*(($C$49:$V$49)=L994)*$C$3:$V$3)))</f>
        <v/>
      </c>
      <c r="M1099" s="62">
        <f>IF(M$15&lt;=1,0,SUMPRODUCT(MAX(($C$12:$V$12=M$12)*($C$154:$V$154)*(($C$49:$V$49)=M994)*$C$3:$V$3)))</f>
        <v/>
      </c>
      <c r="N1099" s="62">
        <f>IF(N$15&lt;=1,0,SUMPRODUCT(MAX(($C$12:$V$12=N$12)*($C$154:$V$154)*(($C$49:$V$49)=N994)*$C$3:$V$3)))</f>
        <v/>
      </c>
      <c r="O1099" s="62">
        <f>IF(O$15&lt;=1,0,SUMPRODUCT(MAX(($C$12:$V$12=O$12)*($C$154:$V$154)*(($C$49:$V$49)=O994)*$C$3:$V$3)))</f>
        <v/>
      </c>
      <c r="P1099" s="62">
        <f>IF(P$15&lt;=1,0,SUMPRODUCT(MAX(($C$12:$V$12=P$12)*($C$154:$V$154)*(($C$49:$V$49)=P994)*$C$3:$V$3)))</f>
        <v/>
      </c>
      <c r="Q1099" s="62">
        <f>IF(Q$15&lt;=1,0,SUMPRODUCT(MAX(($C$12:$V$12=Q$12)*($C$154:$V$154)*(($C$49:$V$49)=Q994)*$C$3:$V$3)))</f>
        <v/>
      </c>
      <c r="R1099" s="62">
        <f>IF(R$15&lt;=1,0,SUMPRODUCT(MAX(($C$12:$V$12=R$12)*($C$154:$V$154)*(($C$49:$V$49)=R994)*$C$3:$V$3)))</f>
        <v/>
      </c>
      <c r="S1099" s="62">
        <f>IF(S$15&lt;=1,0,SUMPRODUCT(MAX(($C$12:$V$12=S$12)*($C$154:$V$154)*(($C$49:$V$49)=S994)*$C$3:$V$3)))</f>
        <v/>
      </c>
      <c r="T1099" s="62">
        <f>IF(T$15&lt;=1,0,SUMPRODUCT(MAX(($C$12:$V$12=T$12)*($C$154:$V$154)*(($C$49:$V$49)=T994)*$C$3:$V$3)))</f>
        <v/>
      </c>
      <c r="U1099" s="62">
        <f>IF(U$15&lt;=1,0,SUMPRODUCT(MAX(($C$12:$V$12=U$12)*($C$154:$V$154)*(($C$49:$V$49)=U994)*$C$3:$V$3)))</f>
        <v/>
      </c>
      <c r="V1099" s="62">
        <f>IF(V$15&lt;=1,0,SUMPRODUCT(MAX(($C$12:$V$12=V$12)*($C$154:$V$154)*(($C$49:$V$49)=V994)*$C$3:$V$3)))</f>
        <v/>
      </c>
    </row>
    <row r="1100">
      <c r="C1100" s="62">
        <f>IF(C$15&lt;=1,0,SUMPRODUCT(MAX(($C$12:$V$12=C$12)*($C$155:$V$155)*(($C$50:$V$50)=C995)*$C$3:$V$3)))</f>
        <v/>
      </c>
      <c r="D1100" s="62">
        <f>IF(D$15&lt;=1,0,SUMPRODUCT(MAX(($C$12:$V$12=D$12)*($C$155:$V$155)*(($C$50:$V$50)=D995)*$C$3:$V$3)))</f>
        <v/>
      </c>
      <c r="E1100" s="62">
        <f>IF(E$15&lt;=1,0,SUMPRODUCT(MAX(($C$12:$V$12=E$12)*($C$155:$V$155)*(($C$50:$V$50)=E995)*$C$3:$V$3)))</f>
        <v/>
      </c>
      <c r="F1100" s="62">
        <f>IF(F$15&lt;=1,0,SUMPRODUCT(MAX(($C$12:$V$12=F$12)*($C$155:$V$155)*(($C$50:$V$50)=F995)*$C$3:$V$3)))</f>
        <v/>
      </c>
      <c r="G1100" s="62">
        <f>IF(G$15&lt;=1,0,SUMPRODUCT(MAX(($C$12:$V$12=G$12)*($C$155:$V$155)*(($C$50:$V$50)=G995)*$C$3:$V$3)))</f>
        <v/>
      </c>
      <c r="H1100" s="62">
        <f>IF(H$15&lt;=1,0,SUMPRODUCT(MAX(($C$12:$V$12=H$12)*($C$155:$V$155)*(($C$50:$V$50)=H995)*$C$3:$V$3)))</f>
        <v/>
      </c>
      <c r="I1100" s="62">
        <f>IF(I$15&lt;=1,0,SUMPRODUCT(MAX(($C$12:$V$12=I$12)*($C$155:$V$155)*(($C$50:$V$50)=I995)*$C$3:$V$3)))</f>
        <v/>
      </c>
      <c r="J1100" s="62">
        <f>IF(J$15&lt;=1,0,SUMPRODUCT(MAX(($C$12:$V$12=J$12)*($C$155:$V$155)*(($C$50:$V$50)=J995)*$C$3:$V$3)))</f>
        <v/>
      </c>
      <c r="K1100" s="62">
        <f>IF(K$15&lt;=1,0,SUMPRODUCT(MAX(($C$12:$V$12=K$12)*($C$155:$V$155)*(($C$50:$V$50)=K995)*$C$3:$V$3)))</f>
        <v/>
      </c>
      <c r="L1100" s="62">
        <f>IF(L$15&lt;=1,0,SUMPRODUCT(MAX(($C$12:$V$12=L$12)*($C$155:$V$155)*(($C$50:$V$50)=L995)*$C$3:$V$3)))</f>
        <v/>
      </c>
      <c r="M1100" s="62">
        <f>IF(M$15&lt;=1,0,SUMPRODUCT(MAX(($C$12:$V$12=M$12)*($C$155:$V$155)*(($C$50:$V$50)=M995)*$C$3:$V$3)))</f>
        <v/>
      </c>
      <c r="N1100" s="62">
        <f>IF(N$15&lt;=1,0,SUMPRODUCT(MAX(($C$12:$V$12=N$12)*($C$155:$V$155)*(($C$50:$V$50)=N995)*$C$3:$V$3)))</f>
        <v/>
      </c>
      <c r="O1100" s="62">
        <f>IF(O$15&lt;=1,0,SUMPRODUCT(MAX(($C$12:$V$12=O$12)*($C$155:$V$155)*(($C$50:$V$50)=O995)*$C$3:$V$3)))</f>
        <v/>
      </c>
      <c r="P1100" s="62">
        <f>IF(P$15&lt;=1,0,SUMPRODUCT(MAX(($C$12:$V$12=P$12)*($C$155:$V$155)*(($C$50:$V$50)=P995)*$C$3:$V$3)))</f>
        <v/>
      </c>
      <c r="Q1100" s="62">
        <f>IF(Q$15&lt;=1,0,SUMPRODUCT(MAX(($C$12:$V$12=Q$12)*($C$155:$V$155)*(($C$50:$V$50)=Q995)*$C$3:$V$3)))</f>
        <v/>
      </c>
      <c r="R1100" s="62">
        <f>IF(R$15&lt;=1,0,SUMPRODUCT(MAX(($C$12:$V$12=R$12)*($C$155:$V$155)*(($C$50:$V$50)=R995)*$C$3:$V$3)))</f>
        <v/>
      </c>
      <c r="S1100" s="62">
        <f>IF(S$15&lt;=1,0,SUMPRODUCT(MAX(($C$12:$V$12=S$12)*($C$155:$V$155)*(($C$50:$V$50)=S995)*$C$3:$V$3)))</f>
        <v/>
      </c>
      <c r="T1100" s="62">
        <f>IF(T$15&lt;=1,0,SUMPRODUCT(MAX(($C$12:$V$12=T$12)*($C$155:$V$155)*(($C$50:$V$50)=T995)*$C$3:$V$3)))</f>
        <v/>
      </c>
      <c r="U1100" s="62">
        <f>IF(U$15&lt;=1,0,SUMPRODUCT(MAX(($C$12:$V$12=U$12)*($C$155:$V$155)*(($C$50:$V$50)=U995)*$C$3:$V$3)))</f>
        <v/>
      </c>
      <c r="V1100" s="62">
        <f>IF(V$15&lt;=1,0,SUMPRODUCT(MAX(($C$12:$V$12=V$12)*($C$155:$V$155)*(($C$50:$V$50)=V995)*$C$3:$V$3)))</f>
        <v/>
      </c>
    </row>
    <row r="1101">
      <c r="C1101" s="62">
        <f>IF(C$15&lt;=1,0,SUMPRODUCT(MAX(($C$12:$V$12=C$12)*($C$156:$V$156)*(($C$51:$V$51)=C996)*$C$3:$V$3)))</f>
        <v/>
      </c>
      <c r="D1101" s="62">
        <f>IF(D$15&lt;=1,0,SUMPRODUCT(MAX(($C$12:$V$12=D$12)*($C$156:$V$156)*(($C$51:$V$51)=D996)*$C$3:$V$3)))</f>
        <v/>
      </c>
      <c r="E1101" s="62">
        <f>IF(E$15&lt;=1,0,SUMPRODUCT(MAX(($C$12:$V$12=E$12)*($C$156:$V$156)*(($C$51:$V$51)=E996)*$C$3:$V$3)))</f>
        <v/>
      </c>
      <c r="F1101" s="62">
        <f>IF(F$15&lt;=1,0,SUMPRODUCT(MAX(($C$12:$V$12=F$12)*($C$156:$V$156)*(($C$51:$V$51)=F996)*$C$3:$V$3)))</f>
        <v/>
      </c>
      <c r="G1101" s="62">
        <f>IF(G$15&lt;=1,0,SUMPRODUCT(MAX(($C$12:$V$12=G$12)*($C$156:$V$156)*(($C$51:$V$51)=G996)*$C$3:$V$3)))</f>
        <v/>
      </c>
      <c r="H1101" s="62">
        <f>IF(H$15&lt;=1,0,SUMPRODUCT(MAX(($C$12:$V$12=H$12)*($C$156:$V$156)*(($C$51:$V$51)=H996)*$C$3:$V$3)))</f>
        <v/>
      </c>
      <c r="I1101" s="62">
        <f>IF(I$15&lt;=1,0,SUMPRODUCT(MAX(($C$12:$V$12=I$12)*($C$156:$V$156)*(($C$51:$V$51)=I996)*$C$3:$V$3)))</f>
        <v/>
      </c>
      <c r="J1101" s="62">
        <f>IF(J$15&lt;=1,0,SUMPRODUCT(MAX(($C$12:$V$12=J$12)*($C$156:$V$156)*(($C$51:$V$51)=J996)*$C$3:$V$3)))</f>
        <v/>
      </c>
      <c r="K1101" s="62">
        <f>IF(K$15&lt;=1,0,SUMPRODUCT(MAX(($C$12:$V$12=K$12)*($C$156:$V$156)*(($C$51:$V$51)=K996)*$C$3:$V$3)))</f>
        <v/>
      </c>
      <c r="L1101" s="62">
        <f>IF(L$15&lt;=1,0,SUMPRODUCT(MAX(($C$12:$V$12=L$12)*($C$156:$V$156)*(($C$51:$V$51)=L996)*$C$3:$V$3)))</f>
        <v/>
      </c>
      <c r="M1101" s="62">
        <f>IF(M$15&lt;=1,0,SUMPRODUCT(MAX(($C$12:$V$12=M$12)*($C$156:$V$156)*(($C$51:$V$51)=M996)*$C$3:$V$3)))</f>
        <v/>
      </c>
      <c r="N1101" s="62">
        <f>IF(N$15&lt;=1,0,SUMPRODUCT(MAX(($C$12:$V$12=N$12)*($C$156:$V$156)*(($C$51:$V$51)=N996)*$C$3:$V$3)))</f>
        <v/>
      </c>
      <c r="O1101" s="62">
        <f>IF(O$15&lt;=1,0,SUMPRODUCT(MAX(($C$12:$V$12=O$12)*($C$156:$V$156)*(($C$51:$V$51)=O996)*$C$3:$V$3)))</f>
        <v/>
      </c>
      <c r="P1101" s="62">
        <f>IF(P$15&lt;=1,0,SUMPRODUCT(MAX(($C$12:$V$12=P$12)*($C$156:$V$156)*(($C$51:$V$51)=P996)*$C$3:$V$3)))</f>
        <v/>
      </c>
      <c r="Q1101" s="62">
        <f>IF(Q$15&lt;=1,0,SUMPRODUCT(MAX(($C$12:$V$12=Q$12)*($C$156:$V$156)*(($C$51:$V$51)=Q996)*$C$3:$V$3)))</f>
        <v/>
      </c>
      <c r="R1101" s="62">
        <f>IF(R$15&lt;=1,0,SUMPRODUCT(MAX(($C$12:$V$12=R$12)*($C$156:$V$156)*(($C$51:$V$51)=R996)*$C$3:$V$3)))</f>
        <v/>
      </c>
      <c r="S1101" s="62">
        <f>IF(S$15&lt;=1,0,SUMPRODUCT(MAX(($C$12:$V$12=S$12)*($C$156:$V$156)*(($C$51:$V$51)=S996)*$C$3:$V$3)))</f>
        <v/>
      </c>
      <c r="T1101" s="62">
        <f>IF(T$15&lt;=1,0,SUMPRODUCT(MAX(($C$12:$V$12=T$12)*($C$156:$V$156)*(($C$51:$V$51)=T996)*$C$3:$V$3)))</f>
        <v/>
      </c>
      <c r="U1101" s="62">
        <f>IF(U$15&lt;=1,0,SUMPRODUCT(MAX(($C$12:$V$12=U$12)*($C$156:$V$156)*(($C$51:$V$51)=U996)*$C$3:$V$3)))</f>
        <v/>
      </c>
      <c r="V1101" s="62">
        <f>IF(V$15&lt;=1,0,SUMPRODUCT(MAX(($C$12:$V$12=V$12)*($C$156:$V$156)*(($C$51:$V$51)=V996)*$C$3:$V$3)))</f>
        <v/>
      </c>
    </row>
    <row r="1102">
      <c r="C1102" s="62">
        <f>IF(C$15&lt;=1,0,SUMPRODUCT(MAX(($C$12:$V$12=C$12)*($C$157:$V$157)*(($C$52:$V$52)=C997)*$C$3:$V$3)))</f>
        <v/>
      </c>
      <c r="D1102" s="62">
        <f>IF(D$15&lt;=1,0,SUMPRODUCT(MAX(($C$12:$V$12=D$12)*($C$157:$V$157)*(($C$52:$V$52)=D997)*$C$3:$V$3)))</f>
        <v/>
      </c>
      <c r="E1102" s="62">
        <f>IF(E$15&lt;=1,0,SUMPRODUCT(MAX(($C$12:$V$12=E$12)*($C$157:$V$157)*(($C$52:$V$52)=E997)*$C$3:$V$3)))</f>
        <v/>
      </c>
      <c r="F1102" s="62">
        <f>IF(F$15&lt;=1,0,SUMPRODUCT(MAX(($C$12:$V$12=F$12)*($C$157:$V$157)*(($C$52:$V$52)=F997)*$C$3:$V$3)))</f>
        <v/>
      </c>
      <c r="G1102" s="62">
        <f>IF(G$15&lt;=1,0,SUMPRODUCT(MAX(($C$12:$V$12=G$12)*($C$157:$V$157)*(($C$52:$V$52)=G997)*$C$3:$V$3)))</f>
        <v/>
      </c>
      <c r="H1102" s="62">
        <f>IF(H$15&lt;=1,0,SUMPRODUCT(MAX(($C$12:$V$12=H$12)*($C$157:$V$157)*(($C$52:$V$52)=H997)*$C$3:$V$3)))</f>
        <v/>
      </c>
      <c r="I1102" s="62">
        <f>IF(I$15&lt;=1,0,SUMPRODUCT(MAX(($C$12:$V$12=I$12)*($C$157:$V$157)*(($C$52:$V$52)=I997)*$C$3:$V$3)))</f>
        <v/>
      </c>
      <c r="J1102" s="62">
        <f>IF(J$15&lt;=1,0,SUMPRODUCT(MAX(($C$12:$V$12=J$12)*($C$157:$V$157)*(($C$52:$V$52)=J997)*$C$3:$V$3)))</f>
        <v/>
      </c>
      <c r="K1102" s="62">
        <f>IF(K$15&lt;=1,0,SUMPRODUCT(MAX(($C$12:$V$12=K$12)*($C$157:$V$157)*(($C$52:$V$52)=K997)*$C$3:$V$3)))</f>
        <v/>
      </c>
      <c r="L1102" s="62">
        <f>IF(L$15&lt;=1,0,SUMPRODUCT(MAX(($C$12:$V$12=L$12)*($C$157:$V$157)*(($C$52:$V$52)=L997)*$C$3:$V$3)))</f>
        <v/>
      </c>
      <c r="M1102" s="62">
        <f>IF(M$15&lt;=1,0,SUMPRODUCT(MAX(($C$12:$V$12=M$12)*($C$157:$V$157)*(($C$52:$V$52)=M997)*$C$3:$V$3)))</f>
        <v/>
      </c>
      <c r="N1102" s="62">
        <f>IF(N$15&lt;=1,0,SUMPRODUCT(MAX(($C$12:$V$12=N$12)*($C$157:$V$157)*(($C$52:$V$52)=N997)*$C$3:$V$3)))</f>
        <v/>
      </c>
      <c r="O1102" s="62">
        <f>IF(O$15&lt;=1,0,SUMPRODUCT(MAX(($C$12:$V$12=O$12)*($C$157:$V$157)*(($C$52:$V$52)=O997)*$C$3:$V$3)))</f>
        <v/>
      </c>
      <c r="P1102" s="62">
        <f>IF(P$15&lt;=1,0,SUMPRODUCT(MAX(($C$12:$V$12=P$12)*($C$157:$V$157)*(($C$52:$V$52)=P997)*$C$3:$V$3)))</f>
        <v/>
      </c>
      <c r="Q1102" s="62">
        <f>IF(Q$15&lt;=1,0,SUMPRODUCT(MAX(($C$12:$V$12=Q$12)*($C$157:$V$157)*(($C$52:$V$52)=Q997)*$C$3:$V$3)))</f>
        <v/>
      </c>
      <c r="R1102" s="62">
        <f>IF(R$15&lt;=1,0,SUMPRODUCT(MAX(($C$12:$V$12=R$12)*($C$157:$V$157)*(($C$52:$V$52)=R997)*$C$3:$V$3)))</f>
        <v/>
      </c>
      <c r="S1102" s="62">
        <f>IF(S$15&lt;=1,0,SUMPRODUCT(MAX(($C$12:$V$12=S$12)*($C$157:$V$157)*(($C$52:$V$52)=S997)*$C$3:$V$3)))</f>
        <v/>
      </c>
      <c r="T1102" s="62">
        <f>IF(T$15&lt;=1,0,SUMPRODUCT(MAX(($C$12:$V$12=T$12)*($C$157:$V$157)*(($C$52:$V$52)=T997)*$C$3:$V$3)))</f>
        <v/>
      </c>
      <c r="U1102" s="62">
        <f>IF(U$15&lt;=1,0,SUMPRODUCT(MAX(($C$12:$V$12=U$12)*($C$157:$V$157)*(($C$52:$V$52)=U997)*$C$3:$V$3)))</f>
        <v/>
      </c>
      <c r="V1102" s="62">
        <f>IF(V$15&lt;=1,0,SUMPRODUCT(MAX(($C$12:$V$12=V$12)*($C$157:$V$157)*(($C$52:$V$52)=V997)*$C$3:$V$3)))</f>
        <v/>
      </c>
    </row>
    <row r="1103">
      <c r="C1103" s="62">
        <f>IF(C$15&lt;=1,0,SUMPRODUCT(MAX(($C$12:$V$12=C$12)*($C$158:$V$158)*(($C$53:$V$53)=C998)*$C$3:$V$3)))</f>
        <v/>
      </c>
      <c r="D1103" s="62">
        <f>IF(D$15&lt;=1,0,SUMPRODUCT(MAX(($C$12:$V$12=D$12)*($C$158:$V$158)*(($C$53:$V$53)=D998)*$C$3:$V$3)))</f>
        <v/>
      </c>
      <c r="E1103" s="62">
        <f>IF(E$15&lt;=1,0,SUMPRODUCT(MAX(($C$12:$V$12=E$12)*($C$158:$V$158)*(($C$53:$V$53)=E998)*$C$3:$V$3)))</f>
        <v/>
      </c>
      <c r="F1103" s="62">
        <f>IF(F$15&lt;=1,0,SUMPRODUCT(MAX(($C$12:$V$12=F$12)*($C$158:$V$158)*(($C$53:$V$53)=F998)*$C$3:$V$3)))</f>
        <v/>
      </c>
      <c r="G1103" s="62">
        <f>IF(G$15&lt;=1,0,SUMPRODUCT(MAX(($C$12:$V$12=G$12)*($C$158:$V$158)*(($C$53:$V$53)=G998)*$C$3:$V$3)))</f>
        <v/>
      </c>
      <c r="H1103" s="62">
        <f>IF(H$15&lt;=1,0,SUMPRODUCT(MAX(($C$12:$V$12=H$12)*($C$158:$V$158)*(($C$53:$V$53)=H998)*$C$3:$V$3)))</f>
        <v/>
      </c>
      <c r="I1103" s="62">
        <f>IF(I$15&lt;=1,0,SUMPRODUCT(MAX(($C$12:$V$12=I$12)*($C$158:$V$158)*(($C$53:$V$53)=I998)*$C$3:$V$3)))</f>
        <v/>
      </c>
      <c r="J1103" s="62">
        <f>IF(J$15&lt;=1,0,SUMPRODUCT(MAX(($C$12:$V$12=J$12)*($C$158:$V$158)*(($C$53:$V$53)=J998)*$C$3:$V$3)))</f>
        <v/>
      </c>
      <c r="K1103" s="62">
        <f>IF(K$15&lt;=1,0,SUMPRODUCT(MAX(($C$12:$V$12=K$12)*($C$158:$V$158)*(($C$53:$V$53)=K998)*$C$3:$V$3)))</f>
        <v/>
      </c>
      <c r="L1103" s="62">
        <f>IF(L$15&lt;=1,0,SUMPRODUCT(MAX(($C$12:$V$12=L$12)*($C$158:$V$158)*(($C$53:$V$53)=L998)*$C$3:$V$3)))</f>
        <v/>
      </c>
      <c r="M1103" s="62">
        <f>IF(M$15&lt;=1,0,SUMPRODUCT(MAX(($C$12:$V$12=M$12)*($C$158:$V$158)*(($C$53:$V$53)=M998)*$C$3:$V$3)))</f>
        <v/>
      </c>
      <c r="N1103" s="62">
        <f>IF(N$15&lt;=1,0,SUMPRODUCT(MAX(($C$12:$V$12=N$12)*($C$158:$V$158)*(($C$53:$V$53)=N998)*$C$3:$V$3)))</f>
        <v/>
      </c>
      <c r="O1103" s="62">
        <f>IF(O$15&lt;=1,0,SUMPRODUCT(MAX(($C$12:$V$12=O$12)*($C$158:$V$158)*(($C$53:$V$53)=O998)*$C$3:$V$3)))</f>
        <v/>
      </c>
      <c r="P1103" s="62">
        <f>IF(P$15&lt;=1,0,SUMPRODUCT(MAX(($C$12:$V$12=P$12)*($C$158:$V$158)*(($C$53:$V$53)=P998)*$C$3:$V$3)))</f>
        <v/>
      </c>
      <c r="Q1103" s="62">
        <f>IF(Q$15&lt;=1,0,SUMPRODUCT(MAX(($C$12:$V$12=Q$12)*($C$158:$V$158)*(($C$53:$V$53)=Q998)*$C$3:$V$3)))</f>
        <v/>
      </c>
      <c r="R1103" s="62">
        <f>IF(R$15&lt;=1,0,SUMPRODUCT(MAX(($C$12:$V$12=R$12)*($C$158:$V$158)*(($C$53:$V$53)=R998)*$C$3:$V$3)))</f>
        <v/>
      </c>
      <c r="S1103" s="62">
        <f>IF(S$15&lt;=1,0,SUMPRODUCT(MAX(($C$12:$V$12=S$12)*($C$158:$V$158)*(($C$53:$V$53)=S998)*$C$3:$V$3)))</f>
        <v/>
      </c>
      <c r="T1103" s="62">
        <f>IF(T$15&lt;=1,0,SUMPRODUCT(MAX(($C$12:$V$12=T$12)*($C$158:$V$158)*(($C$53:$V$53)=T998)*$C$3:$V$3)))</f>
        <v/>
      </c>
      <c r="U1103" s="62">
        <f>IF(U$15&lt;=1,0,SUMPRODUCT(MAX(($C$12:$V$12=U$12)*($C$158:$V$158)*(($C$53:$V$53)=U998)*$C$3:$V$3)))</f>
        <v/>
      </c>
      <c r="V1103" s="62">
        <f>IF(V$15&lt;=1,0,SUMPRODUCT(MAX(($C$12:$V$12=V$12)*($C$158:$V$158)*(($C$53:$V$53)=V998)*$C$3:$V$3)))</f>
        <v/>
      </c>
    </row>
    <row r="1104">
      <c r="C1104" s="62">
        <f>IF(C$15&lt;=1,0,SUMPRODUCT(MAX(($C$12:$V$12=C$12)*($C$159:$V$159)*(($C$54:$V$54)=C999)*$C$3:$V$3)))</f>
        <v/>
      </c>
      <c r="D1104" s="62">
        <f>IF(D$15&lt;=1,0,SUMPRODUCT(MAX(($C$12:$V$12=D$12)*($C$159:$V$159)*(($C$54:$V$54)=D999)*$C$3:$V$3)))</f>
        <v/>
      </c>
      <c r="E1104" s="62">
        <f>IF(E$15&lt;=1,0,SUMPRODUCT(MAX(($C$12:$V$12=E$12)*($C$159:$V$159)*(($C$54:$V$54)=E999)*$C$3:$V$3)))</f>
        <v/>
      </c>
      <c r="F1104" s="62">
        <f>IF(F$15&lt;=1,0,SUMPRODUCT(MAX(($C$12:$V$12=F$12)*($C$159:$V$159)*(($C$54:$V$54)=F999)*$C$3:$V$3)))</f>
        <v/>
      </c>
      <c r="G1104" s="62">
        <f>IF(G$15&lt;=1,0,SUMPRODUCT(MAX(($C$12:$V$12=G$12)*($C$159:$V$159)*(($C$54:$V$54)=G999)*$C$3:$V$3)))</f>
        <v/>
      </c>
      <c r="H1104" s="62">
        <f>IF(H$15&lt;=1,0,SUMPRODUCT(MAX(($C$12:$V$12=H$12)*($C$159:$V$159)*(($C$54:$V$54)=H999)*$C$3:$V$3)))</f>
        <v/>
      </c>
      <c r="I1104" s="62">
        <f>IF(I$15&lt;=1,0,SUMPRODUCT(MAX(($C$12:$V$12=I$12)*($C$159:$V$159)*(($C$54:$V$54)=I999)*$C$3:$V$3)))</f>
        <v/>
      </c>
      <c r="J1104" s="62">
        <f>IF(J$15&lt;=1,0,SUMPRODUCT(MAX(($C$12:$V$12=J$12)*($C$159:$V$159)*(($C$54:$V$54)=J999)*$C$3:$V$3)))</f>
        <v/>
      </c>
      <c r="K1104" s="62">
        <f>IF(K$15&lt;=1,0,SUMPRODUCT(MAX(($C$12:$V$12=K$12)*($C$159:$V$159)*(($C$54:$V$54)=K999)*$C$3:$V$3)))</f>
        <v/>
      </c>
      <c r="L1104" s="62">
        <f>IF(L$15&lt;=1,0,SUMPRODUCT(MAX(($C$12:$V$12=L$12)*($C$159:$V$159)*(($C$54:$V$54)=L999)*$C$3:$V$3)))</f>
        <v/>
      </c>
      <c r="M1104" s="62">
        <f>IF(M$15&lt;=1,0,SUMPRODUCT(MAX(($C$12:$V$12=M$12)*($C$159:$V$159)*(($C$54:$V$54)=M999)*$C$3:$V$3)))</f>
        <v/>
      </c>
      <c r="N1104" s="62">
        <f>IF(N$15&lt;=1,0,SUMPRODUCT(MAX(($C$12:$V$12=N$12)*($C$159:$V$159)*(($C$54:$V$54)=N999)*$C$3:$V$3)))</f>
        <v/>
      </c>
      <c r="O1104" s="62">
        <f>IF(O$15&lt;=1,0,SUMPRODUCT(MAX(($C$12:$V$12=O$12)*($C$159:$V$159)*(($C$54:$V$54)=O999)*$C$3:$V$3)))</f>
        <v/>
      </c>
      <c r="P1104" s="62">
        <f>IF(P$15&lt;=1,0,SUMPRODUCT(MAX(($C$12:$V$12=P$12)*($C$159:$V$159)*(($C$54:$V$54)=P999)*$C$3:$V$3)))</f>
        <v/>
      </c>
      <c r="Q1104" s="62">
        <f>IF(Q$15&lt;=1,0,SUMPRODUCT(MAX(($C$12:$V$12=Q$12)*($C$159:$V$159)*(($C$54:$V$54)=Q999)*$C$3:$V$3)))</f>
        <v/>
      </c>
      <c r="R1104" s="62">
        <f>IF(R$15&lt;=1,0,SUMPRODUCT(MAX(($C$12:$V$12=R$12)*($C$159:$V$159)*(($C$54:$V$54)=R999)*$C$3:$V$3)))</f>
        <v/>
      </c>
      <c r="S1104" s="62">
        <f>IF(S$15&lt;=1,0,SUMPRODUCT(MAX(($C$12:$V$12=S$12)*($C$159:$V$159)*(($C$54:$V$54)=S999)*$C$3:$V$3)))</f>
        <v/>
      </c>
      <c r="T1104" s="62">
        <f>IF(T$15&lt;=1,0,SUMPRODUCT(MAX(($C$12:$V$12=T$12)*($C$159:$V$159)*(($C$54:$V$54)=T999)*$C$3:$V$3)))</f>
        <v/>
      </c>
      <c r="U1104" s="62">
        <f>IF(U$15&lt;=1,0,SUMPRODUCT(MAX(($C$12:$V$12=U$12)*($C$159:$V$159)*(($C$54:$V$54)=U999)*$C$3:$V$3)))</f>
        <v/>
      </c>
      <c r="V1104" s="62">
        <f>IF(V$15&lt;=1,0,SUMPRODUCT(MAX(($C$12:$V$12=V$12)*($C$159:$V$159)*(($C$54:$V$54)=V999)*$C$3:$V$3)))</f>
        <v/>
      </c>
    </row>
    <row r="1105">
      <c r="C1105" s="62">
        <f>IF(C$15&lt;=1,0,SUMPRODUCT(MAX(($C$12:$V$12=C$12)*($C$160:$V$160)*(($C$55:$V$55)=C1000)*$C$3:$V$3)))</f>
        <v/>
      </c>
      <c r="D1105" s="62">
        <f>IF(D$15&lt;=1,0,SUMPRODUCT(MAX(($C$12:$V$12=D$12)*($C$160:$V$160)*(($C$55:$V$55)=D1000)*$C$3:$V$3)))</f>
        <v/>
      </c>
      <c r="E1105" s="62">
        <f>IF(E$15&lt;=1,0,SUMPRODUCT(MAX(($C$12:$V$12=E$12)*($C$160:$V$160)*(($C$55:$V$55)=E1000)*$C$3:$V$3)))</f>
        <v/>
      </c>
      <c r="F1105" s="62">
        <f>IF(F$15&lt;=1,0,SUMPRODUCT(MAX(($C$12:$V$12=F$12)*($C$160:$V$160)*(($C$55:$V$55)=F1000)*$C$3:$V$3)))</f>
        <v/>
      </c>
      <c r="G1105" s="62">
        <f>IF(G$15&lt;=1,0,SUMPRODUCT(MAX(($C$12:$V$12=G$12)*($C$160:$V$160)*(($C$55:$V$55)=G1000)*$C$3:$V$3)))</f>
        <v/>
      </c>
      <c r="H1105" s="62">
        <f>IF(H$15&lt;=1,0,SUMPRODUCT(MAX(($C$12:$V$12=H$12)*($C$160:$V$160)*(($C$55:$V$55)=H1000)*$C$3:$V$3)))</f>
        <v/>
      </c>
      <c r="I1105" s="62">
        <f>IF(I$15&lt;=1,0,SUMPRODUCT(MAX(($C$12:$V$12=I$12)*($C$160:$V$160)*(($C$55:$V$55)=I1000)*$C$3:$V$3)))</f>
        <v/>
      </c>
      <c r="J1105" s="62">
        <f>IF(J$15&lt;=1,0,SUMPRODUCT(MAX(($C$12:$V$12=J$12)*($C$160:$V$160)*(($C$55:$V$55)=J1000)*$C$3:$V$3)))</f>
        <v/>
      </c>
      <c r="K1105" s="62">
        <f>IF(K$15&lt;=1,0,SUMPRODUCT(MAX(($C$12:$V$12=K$12)*($C$160:$V$160)*(($C$55:$V$55)=K1000)*$C$3:$V$3)))</f>
        <v/>
      </c>
      <c r="L1105" s="62">
        <f>IF(L$15&lt;=1,0,SUMPRODUCT(MAX(($C$12:$V$12=L$12)*($C$160:$V$160)*(($C$55:$V$55)=L1000)*$C$3:$V$3)))</f>
        <v/>
      </c>
      <c r="M1105" s="62">
        <f>IF(M$15&lt;=1,0,SUMPRODUCT(MAX(($C$12:$V$12=M$12)*($C$160:$V$160)*(($C$55:$V$55)=M1000)*$C$3:$V$3)))</f>
        <v/>
      </c>
      <c r="N1105" s="62">
        <f>IF(N$15&lt;=1,0,SUMPRODUCT(MAX(($C$12:$V$12=N$12)*($C$160:$V$160)*(($C$55:$V$55)=N1000)*$C$3:$V$3)))</f>
        <v/>
      </c>
      <c r="O1105" s="62">
        <f>IF(O$15&lt;=1,0,SUMPRODUCT(MAX(($C$12:$V$12=O$12)*($C$160:$V$160)*(($C$55:$V$55)=O1000)*$C$3:$V$3)))</f>
        <v/>
      </c>
      <c r="P1105" s="62">
        <f>IF(P$15&lt;=1,0,SUMPRODUCT(MAX(($C$12:$V$12=P$12)*($C$160:$V$160)*(($C$55:$V$55)=P1000)*$C$3:$V$3)))</f>
        <v/>
      </c>
      <c r="Q1105" s="62">
        <f>IF(Q$15&lt;=1,0,SUMPRODUCT(MAX(($C$12:$V$12=Q$12)*($C$160:$V$160)*(($C$55:$V$55)=Q1000)*$C$3:$V$3)))</f>
        <v/>
      </c>
      <c r="R1105" s="62">
        <f>IF(R$15&lt;=1,0,SUMPRODUCT(MAX(($C$12:$V$12=R$12)*($C$160:$V$160)*(($C$55:$V$55)=R1000)*$C$3:$V$3)))</f>
        <v/>
      </c>
      <c r="S1105" s="62">
        <f>IF(S$15&lt;=1,0,SUMPRODUCT(MAX(($C$12:$V$12=S$12)*($C$160:$V$160)*(($C$55:$V$55)=S1000)*$C$3:$V$3)))</f>
        <v/>
      </c>
      <c r="T1105" s="62">
        <f>IF(T$15&lt;=1,0,SUMPRODUCT(MAX(($C$12:$V$12=T$12)*($C$160:$V$160)*(($C$55:$V$55)=T1000)*$C$3:$V$3)))</f>
        <v/>
      </c>
      <c r="U1105" s="62">
        <f>IF(U$15&lt;=1,0,SUMPRODUCT(MAX(($C$12:$V$12=U$12)*($C$160:$V$160)*(($C$55:$V$55)=U1000)*$C$3:$V$3)))</f>
        <v/>
      </c>
      <c r="V1105" s="62">
        <f>IF(V$15&lt;=1,0,SUMPRODUCT(MAX(($C$12:$V$12=V$12)*($C$160:$V$160)*(($C$55:$V$55)=V1000)*$C$3:$V$3)))</f>
        <v/>
      </c>
    </row>
    <row r="1106">
      <c r="C1106" s="62">
        <f>IF(C$15&lt;=1,0,SUMPRODUCT(MAX(($C$12:$V$12=C$12)*($C$161:$V$161)*(($C$56:$V$56)=C1001)*$C$3:$V$3)))</f>
        <v/>
      </c>
      <c r="D1106" s="62">
        <f>IF(D$15&lt;=1,0,SUMPRODUCT(MAX(($C$12:$V$12=D$12)*($C$161:$V$161)*(($C$56:$V$56)=D1001)*$C$3:$V$3)))</f>
        <v/>
      </c>
      <c r="E1106" s="62">
        <f>IF(E$15&lt;=1,0,SUMPRODUCT(MAX(($C$12:$V$12=E$12)*($C$161:$V$161)*(($C$56:$V$56)=E1001)*$C$3:$V$3)))</f>
        <v/>
      </c>
      <c r="F1106" s="62">
        <f>IF(F$15&lt;=1,0,SUMPRODUCT(MAX(($C$12:$V$12=F$12)*($C$161:$V$161)*(($C$56:$V$56)=F1001)*$C$3:$V$3)))</f>
        <v/>
      </c>
      <c r="G1106" s="62">
        <f>IF(G$15&lt;=1,0,SUMPRODUCT(MAX(($C$12:$V$12=G$12)*($C$161:$V$161)*(($C$56:$V$56)=G1001)*$C$3:$V$3)))</f>
        <v/>
      </c>
      <c r="H1106" s="62">
        <f>IF(H$15&lt;=1,0,SUMPRODUCT(MAX(($C$12:$V$12=H$12)*($C$161:$V$161)*(($C$56:$V$56)=H1001)*$C$3:$V$3)))</f>
        <v/>
      </c>
      <c r="I1106" s="62">
        <f>IF(I$15&lt;=1,0,SUMPRODUCT(MAX(($C$12:$V$12=I$12)*($C$161:$V$161)*(($C$56:$V$56)=I1001)*$C$3:$V$3)))</f>
        <v/>
      </c>
      <c r="J1106" s="62">
        <f>IF(J$15&lt;=1,0,SUMPRODUCT(MAX(($C$12:$V$12=J$12)*($C$161:$V$161)*(($C$56:$V$56)=J1001)*$C$3:$V$3)))</f>
        <v/>
      </c>
      <c r="K1106" s="62">
        <f>IF(K$15&lt;=1,0,SUMPRODUCT(MAX(($C$12:$V$12=K$12)*($C$161:$V$161)*(($C$56:$V$56)=K1001)*$C$3:$V$3)))</f>
        <v/>
      </c>
      <c r="L1106" s="62">
        <f>IF(L$15&lt;=1,0,SUMPRODUCT(MAX(($C$12:$V$12=L$12)*($C$161:$V$161)*(($C$56:$V$56)=L1001)*$C$3:$V$3)))</f>
        <v/>
      </c>
      <c r="M1106" s="62">
        <f>IF(M$15&lt;=1,0,SUMPRODUCT(MAX(($C$12:$V$12=M$12)*($C$161:$V$161)*(($C$56:$V$56)=M1001)*$C$3:$V$3)))</f>
        <v/>
      </c>
      <c r="N1106" s="62">
        <f>IF(N$15&lt;=1,0,SUMPRODUCT(MAX(($C$12:$V$12=N$12)*($C$161:$V$161)*(($C$56:$V$56)=N1001)*$C$3:$V$3)))</f>
        <v/>
      </c>
      <c r="O1106" s="62">
        <f>IF(O$15&lt;=1,0,SUMPRODUCT(MAX(($C$12:$V$12=O$12)*($C$161:$V$161)*(($C$56:$V$56)=O1001)*$C$3:$V$3)))</f>
        <v/>
      </c>
      <c r="P1106" s="62">
        <f>IF(P$15&lt;=1,0,SUMPRODUCT(MAX(($C$12:$V$12=P$12)*($C$161:$V$161)*(($C$56:$V$56)=P1001)*$C$3:$V$3)))</f>
        <v/>
      </c>
      <c r="Q1106" s="62">
        <f>IF(Q$15&lt;=1,0,SUMPRODUCT(MAX(($C$12:$V$12=Q$12)*($C$161:$V$161)*(($C$56:$V$56)=Q1001)*$C$3:$V$3)))</f>
        <v/>
      </c>
      <c r="R1106" s="62">
        <f>IF(R$15&lt;=1,0,SUMPRODUCT(MAX(($C$12:$V$12=R$12)*($C$161:$V$161)*(($C$56:$V$56)=R1001)*$C$3:$V$3)))</f>
        <v/>
      </c>
      <c r="S1106" s="62">
        <f>IF(S$15&lt;=1,0,SUMPRODUCT(MAX(($C$12:$V$12=S$12)*($C$161:$V$161)*(($C$56:$V$56)=S1001)*$C$3:$V$3)))</f>
        <v/>
      </c>
      <c r="T1106" s="62">
        <f>IF(T$15&lt;=1,0,SUMPRODUCT(MAX(($C$12:$V$12=T$12)*($C$161:$V$161)*(($C$56:$V$56)=T1001)*$C$3:$V$3)))</f>
        <v/>
      </c>
      <c r="U1106" s="62">
        <f>IF(U$15&lt;=1,0,SUMPRODUCT(MAX(($C$12:$V$12=U$12)*($C$161:$V$161)*(($C$56:$V$56)=U1001)*$C$3:$V$3)))</f>
        <v/>
      </c>
      <c r="V1106" s="62">
        <f>IF(V$15&lt;=1,0,SUMPRODUCT(MAX(($C$12:$V$12=V$12)*($C$161:$V$161)*(($C$56:$V$56)=V1001)*$C$3:$V$3)))</f>
        <v/>
      </c>
    </row>
    <row r="1107">
      <c r="C1107" s="62">
        <f>IF(C$15&lt;=1,0,SUMPRODUCT(MAX(($C$12:$V$12=C$12)*($C$162:$V$162)*(($C$57:$V$57)=C1002)*$C$3:$V$3)))</f>
        <v/>
      </c>
      <c r="D1107" s="62">
        <f>IF(D$15&lt;=1,0,SUMPRODUCT(MAX(($C$12:$V$12=D$12)*($C$162:$V$162)*(($C$57:$V$57)=D1002)*$C$3:$V$3)))</f>
        <v/>
      </c>
      <c r="E1107" s="62">
        <f>IF(E$15&lt;=1,0,SUMPRODUCT(MAX(($C$12:$V$12=E$12)*($C$162:$V$162)*(($C$57:$V$57)=E1002)*$C$3:$V$3)))</f>
        <v/>
      </c>
      <c r="F1107" s="62">
        <f>IF(F$15&lt;=1,0,SUMPRODUCT(MAX(($C$12:$V$12=F$12)*($C$162:$V$162)*(($C$57:$V$57)=F1002)*$C$3:$V$3)))</f>
        <v/>
      </c>
      <c r="G1107" s="62">
        <f>IF(G$15&lt;=1,0,SUMPRODUCT(MAX(($C$12:$V$12=G$12)*($C$162:$V$162)*(($C$57:$V$57)=G1002)*$C$3:$V$3)))</f>
        <v/>
      </c>
      <c r="H1107" s="62">
        <f>IF(H$15&lt;=1,0,SUMPRODUCT(MAX(($C$12:$V$12=H$12)*($C$162:$V$162)*(($C$57:$V$57)=H1002)*$C$3:$V$3)))</f>
        <v/>
      </c>
      <c r="I1107" s="62">
        <f>IF(I$15&lt;=1,0,SUMPRODUCT(MAX(($C$12:$V$12=I$12)*($C$162:$V$162)*(($C$57:$V$57)=I1002)*$C$3:$V$3)))</f>
        <v/>
      </c>
      <c r="J1107" s="62">
        <f>IF(J$15&lt;=1,0,SUMPRODUCT(MAX(($C$12:$V$12=J$12)*($C$162:$V$162)*(($C$57:$V$57)=J1002)*$C$3:$V$3)))</f>
        <v/>
      </c>
      <c r="K1107" s="62">
        <f>IF(K$15&lt;=1,0,SUMPRODUCT(MAX(($C$12:$V$12=K$12)*($C$162:$V$162)*(($C$57:$V$57)=K1002)*$C$3:$V$3)))</f>
        <v/>
      </c>
      <c r="L1107" s="62">
        <f>IF(L$15&lt;=1,0,SUMPRODUCT(MAX(($C$12:$V$12=L$12)*($C$162:$V$162)*(($C$57:$V$57)=L1002)*$C$3:$V$3)))</f>
        <v/>
      </c>
      <c r="M1107" s="62">
        <f>IF(M$15&lt;=1,0,SUMPRODUCT(MAX(($C$12:$V$12=M$12)*($C$162:$V$162)*(($C$57:$V$57)=M1002)*$C$3:$V$3)))</f>
        <v/>
      </c>
      <c r="N1107" s="62">
        <f>IF(N$15&lt;=1,0,SUMPRODUCT(MAX(($C$12:$V$12=N$12)*($C$162:$V$162)*(($C$57:$V$57)=N1002)*$C$3:$V$3)))</f>
        <v/>
      </c>
      <c r="O1107" s="62">
        <f>IF(O$15&lt;=1,0,SUMPRODUCT(MAX(($C$12:$V$12=O$12)*($C$162:$V$162)*(($C$57:$V$57)=O1002)*$C$3:$V$3)))</f>
        <v/>
      </c>
      <c r="P1107" s="62">
        <f>IF(P$15&lt;=1,0,SUMPRODUCT(MAX(($C$12:$V$12=P$12)*($C$162:$V$162)*(($C$57:$V$57)=P1002)*$C$3:$V$3)))</f>
        <v/>
      </c>
      <c r="Q1107" s="62">
        <f>IF(Q$15&lt;=1,0,SUMPRODUCT(MAX(($C$12:$V$12=Q$12)*($C$162:$V$162)*(($C$57:$V$57)=Q1002)*$C$3:$V$3)))</f>
        <v/>
      </c>
      <c r="R1107" s="62">
        <f>IF(R$15&lt;=1,0,SUMPRODUCT(MAX(($C$12:$V$12=R$12)*($C$162:$V$162)*(($C$57:$V$57)=R1002)*$C$3:$V$3)))</f>
        <v/>
      </c>
      <c r="S1107" s="62">
        <f>IF(S$15&lt;=1,0,SUMPRODUCT(MAX(($C$12:$V$12=S$12)*($C$162:$V$162)*(($C$57:$V$57)=S1002)*$C$3:$V$3)))</f>
        <v/>
      </c>
      <c r="T1107" s="62">
        <f>IF(T$15&lt;=1,0,SUMPRODUCT(MAX(($C$12:$V$12=T$12)*($C$162:$V$162)*(($C$57:$V$57)=T1002)*$C$3:$V$3)))</f>
        <v/>
      </c>
      <c r="U1107" s="62">
        <f>IF(U$15&lt;=1,0,SUMPRODUCT(MAX(($C$12:$V$12=U$12)*($C$162:$V$162)*(($C$57:$V$57)=U1002)*$C$3:$V$3)))</f>
        <v/>
      </c>
      <c r="V1107" s="62">
        <f>IF(V$15&lt;=1,0,SUMPRODUCT(MAX(($C$12:$V$12=V$12)*($C$162:$V$162)*(($C$57:$V$57)=V1002)*$C$3:$V$3)))</f>
        <v/>
      </c>
    </row>
    <row r="1108">
      <c r="C1108" s="62">
        <f>IF(C$15&lt;=1,0,SUMPRODUCT(MAX(($C$12:$V$12=C$12)*($C$163:$V$163)*(($C$58:$V$58)=C1003)*$C$3:$V$3)))</f>
        <v/>
      </c>
      <c r="D1108" s="62">
        <f>IF(D$15&lt;=1,0,SUMPRODUCT(MAX(($C$12:$V$12=D$12)*($C$163:$V$163)*(($C$58:$V$58)=D1003)*$C$3:$V$3)))</f>
        <v/>
      </c>
      <c r="E1108" s="62">
        <f>IF(E$15&lt;=1,0,SUMPRODUCT(MAX(($C$12:$V$12=E$12)*($C$163:$V$163)*(($C$58:$V$58)=E1003)*$C$3:$V$3)))</f>
        <v/>
      </c>
      <c r="F1108" s="62">
        <f>IF(F$15&lt;=1,0,SUMPRODUCT(MAX(($C$12:$V$12=F$12)*($C$163:$V$163)*(($C$58:$V$58)=F1003)*$C$3:$V$3)))</f>
        <v/>
      </c>
      <c r="G1108" s="62">
        <f>IF(G$15&lt;=1,0,SUMPRODUCT(MAX(($C$12:$V$12=G$12)*($C$163:$V$163)*(($C$58:$V$58)=G1003)*$C$3:$V$3)))</f>
        <v/>
      </c>
      <c r="H1108" s="62">
        <f>IF(H$15&lt;=1,0,SUMPRODUCT(MAX(($C$12:$V$12=H$12)*($C$163:$V$163)*(($C$58:$V$58)=H1003)*$C$3:$V$3)))</f>
        <v/>
      </c>
      <c r="I1108" s="62">
        <f>IF(I$15&lt;=1,0,SUMPRODUCT(MAX(($C$12:$V$12=I$12)*($C$163:$V$163)*(($C$58:$V$58)=I1003)*$C$3:$V$3)))</f>
        <v/>
      </c>
      <c r="J1108" s="62">
        <f>IF(J$15&lt;=1,0,SUMPRODUCT(MAX(($C$12:$V$12=J$12)*($C$163:$V$163)*(($C$58:$V$58)=J1003)*$C$3:$V$3)))</f>
        <v/>
      </c>
      <c r="K1108" s="62">
        <f>IF(K$15&lt;=1,0,SUMPRODUCT(MAX(($C$12:$V$12=K$12)*($C$163:$V$163)*(($C$58:$V$58)=K1003)*$C$3:$V$3)))</f>
        <v/>
      </c>
      <c r="L1108" s="62">
        <f>IF(L$15&lt;=1,0,SUMPRODUCT(MAX(($C$12:$V$12=L$12)*($C$163:$V$163)*(($C$58:$V$58)=L1003)*$C$3:$V$3)))</f>
        <v/>
      </c>
      <c r="M1108" s="62">
        <f>IF(M$15&lt;=1,0,SUMPRODUCT(MAX(($C$12:$V$12=M$12)*($C$163:$V$163)*(($C$58:$V$58)=M1003)*$C$3:$V$3)))</f>
        <v/>
      </c>
      <c r="N1108" s="62">
        <f>IF(N$15&lt;=1,0,SUMPRODUCT(MAX(($C$12:$V$12=N$12)*($C$163:$V$163)*(($C$58:$V$58)=N1003)*$C$3:$V$3)))</f>
        <v/>
      </c>
      <c r="O1108" s="62">
        <f>IF(O$15&lt;=1,0,SUMPRODUCT(MAX(($C$12:$V$12=O$12)*($C$163:$V$163)*(($C$58:$V$58)=O1003)*$C$3:$V$3)))</f>
        <v/>
      </c>
      <c r="P1108" s="62">
        <f>IF(P$15&lt;=1,0,SUMPRODUCT(MAX(($C$12:$V$12=P$12)*($C$163:$V$163)*(($C$58:$V$58)=P1003)*$C$3:$V$3)))</f>
        <v/>
      </c>
      <c r="Q1108" s="62">
        <f>IF(Q$15&lt;=1,0,SUMPRODUCT(MAX(($C$12:$V$12=Q$12)*($C$163:$V$163)*(($C$58:$V$58)=Q1003)*$C$3:$V$3)))</f>
        <v/>
      </c>
      <c r="R1108" s="62">
        <f>IF(R$15&lt;=1,0,SUMPRODUCT(MAX(($C$12:$V$12=R$12)*($C$163:$V$163)*(($C$58:$V$58)=R1003)*$C$3:$V$3)))</f>
        <v/>
      </c>
      <c r="S1108" s="62">
        <f>IF(S$15&lt;=1,0,SUMPRODUCT(MAX(($C$12:$V$12=S$12)*($C$163:$V$163)*(($C$58:$V$58)=S1003)*$C$3:$V$3)))</f>
        <v/>
      </c>
      <c r="T1108" s="62">
        <f>IF(T$15&lt;=1,0,SUMPRODUCT(MAX(($C$12:$V$12=T$12)*($C$163:$V$163)*(($C$58:$V$58)=T1003)*$C$3:$V$3)))</f>
        <v/>
      </c>
      <c r="U1108" s="62">
        <f>IF(U$15&lt;=1,0,SUMPRODUCT(MAX(($C$12:$V$12=U$12)*($C$163:$V$163)*(($C$58:$V$58)=U1003)*$C$3:$V$3)))</f>
        <v/>
      </c>
      <c r="V1108" s="62">
        <f>IF(V$15&lt;=1,0,SUMPRODUCT(MAX(($C$12:$V$12=V$12)*($C$163:$V$163)*(($C$58:$V$58)=V1003)*$C$3:$V$3)))</f>
        <v/>
      </c>
    </row>
    <row r="1109">
      <c r="C1109" s="62">
        <f>IF(C$15&lt;=1,0,SUMPRODUCT(MAX(($C$12:$V$12=C$12)*($C$164:$V$164)*(($C$59:$V$59)=C1004)*$C$3:$V$3)))</f>
        <v/>
      </c>
      <c r="D1109" s="62">
        <f>IF(D$15&lt;=1,0,SUMPRODUCT(MAX(($C$12:$V$12=D$12)*($C$164:$V$164)*(($C$59:$V$59)=D1004)*$C$3:$V$3)))</f>
        <v/>
      </c>
      <c r="E1109" s="62">
        <f>IF(E$15&lt;=1,0,SUMPRODUCT(MAX(($C$12:$V$12=E$12)*($C$164:$V$164)*(($C$59:$V$59)=E1004)*$C$3:$V$3)))</f>
        <v/>
      </c>
      <c r="F1109" s="62">
        <f>IF(F$15&lt;=1,0,SUMPRODUCT(MAX(($C$12:$V$12=F$12)*($C$164:$V$164)*(($C$59:$V$59)=F1004)*$C$3:$V$3)))</f>
        <v/>
      </c>
      <c r="G1109" s="62">
        <f>IF(G$15&lt;=1,0,SUMPRODUCT(MAX(($C$12:$V$12=G$12)*($C$164:$V$164)*(($C$59:$V$59)=G1004)*$C$3:$V$3)))</f>
        <v/>
      </c>
      <c r="H1109" s="62">
        <f>IF(H$15&lt;=1,0,SUMPRODUCT(MAX(($C$12:$V$12=H$12)*($C$164:$V$164)*(($C$59:$V$59)=H1004)*$C$3:$V$3)))</f>
        <v/>
      </c>
      <c r="I1109" s="62">
        <f>IF(I$15&lt;=1,0,SUMPRODUCT(MAX(($C$12:$V$12=I$12)*($C$164:$V$164)*(($C$59:$V$59)=I1004)*$C$3:$V$3)))</f>
        <v/>
      </c>
      <c r="J1109" s="62">
        <f>IF(J$15&lt;=1,0,SUMPRODUCT(MAX(($C$12:$V$12=J$12)*($C$164:$V$164)*(($C$59:$V$59)=J1004)*$C$3:$V$3)))</f>
        <v/>
      </c>
      <c r="K1109" s="62">
        <f>IF(K$15&lt;=1,0,SUMPRODUCT(MAX(($C$12:$V$12=K$12)*($C$164:$V$164)*(($C$59:$V$59)=K1004)*$C$3:$V$3)))</f>
        <v/>
      </c>
      <c r="L1109" s="62">
        <f>IF(L$15&lt;=1,0,SUMPRODUCT(MAX(($C$12:$V$12=L$12)*($C$164:$V$164)*(($C$59:$V$59)=L1004)*$C$3:$V$3)))</f>
        <v/>
      </c>
      <c r="M1109" s="62">
        <f>IF(M$15&lt;=1,0,SUMPRODUCT(MAX(($C$12:$V$12=M$12)*($C$164:$V$164)*(($C$59:$V$59)=M1004)*$C$3:$V$3)))</f>
        <v/>
      </c>
      <c r="N1109" s="62">
        <f>IF(N$15&lt;=1,0,SUMPRODUCT(MAX(($C$12:$V$12=N$12)*($C$164:$V$164)*(($C$59:$V$59)=N1004)*$C$3:$V$3)))</f>
        <v/>
      </c>
      <c r="O1109" s="62">
        <f>IF(O$15&lt;=1,0,SUMPRODUCT(MAX(($C$12:$V$12=O$12)*($C$164:$V$164)*(($C$59:$V$59)=O1004)*$C$3:$V$3)))</f>
        <v/>
      </c>
      <c r="P1109" s="62">
        <f>IF(P$15&lt;=1,0,SUMPRODUCT(MAX(($C$12:$V$12=P$12)*($C$164:$V$164)*(($C$59:$V$59)=P1004)*$C$3:$V$3)))</f>
        <v/>
      </c>
      <c r="Q1109" s="62">
        <f>IF(Q$15&lt;=1,0,SUMPRODUCT(MAX(($C$12:$V$12=Q$12)*($C$164:$V$164)*(($C$59:$V$59)=Q1004)*$C$3:$V$3)))</f>
        <v/>
      </c>
      <c r="R1109" s="62">
        <f>IF(R$15&lt;=1,0,SUMPRODUCT(MAX(($C$12:$V$12=R$12)*($C$164:$V$164)*(($C$59:$V$59)=R1004)*$C$3:$V$3)))</f>
        <v/>
      </c>
      <c r="S1109" s="62">
        <f>IF(S$15&lt;=1,0,SUMPRODUCT(MAX(($C$12:$V$12=S$12)*($C$164:$V$164)*(($C$59:$V$59)=S1004)*$C$3:$V$3)))</f>
        <v/>
      </c>
      <c r="T1109" s="62">
        <f>IF(T$15&lt;=1,0,SUMPRODUCT(MAX(($C$12:$V$12=T$12)*($C$164:$V$164)*(($C$59:$V$59)=T1004)*$C$3:$V$3)))</f>
        <v/>
      </c>
      <c r="U1109" s="62">
        <f>IF(U$15&lt;=1,0,SUMPRODUCT(MAX(($C$12:$V$12=U$12)*($C$164:$V$164)*(($C$59:$V$59)=U1004)*$C$3:$V$3)))</f>
        <v/>
      </c>
      <c r="V1109" s="62">
        <f>IF(V$15&lt;=1,0,SUMPRODUCT(MAX(($C$12:$V$12=V$12)*($C$164:$V$164)*(($C$59:$V$59)=V1004)*$C$3:$V$3)))</f>
        <v/>
      </c>
    </row>
    <row r="1110">
      <c r="C1110" s="62">
        <f>IF(C$15&lt;=1,0,SUMPRODUCT(MAX(($C$12:$V$12=C$12)*($C$165:$V$165)*(($C$60:$V$60)=C1005)*$C$3:$V$3)))</f>
        <v/>
      </c>
      <c r="D1110" s="62">
        <f>IF(D$15&lt;=1,0,SUMPRODUCT(MAX(($C$12:$V$12=D$12)*($C$165:$V$165)*(($C$60:$V$60)=D1005)*$C$3:$V$3)))</f>
        <v/>
      </c>
      <c r="E1110" s="62">
        <f>IF(E$15&lt;=1,0,SUMPRODUCT(MAX(($C$12:$V$12=E$12)*($C$165:$V$165)*(($C$60:$V$60)=E1005)*$C$3:$V$3)))</f>
        <v/>
      </c>
      <c r="F1110" s="62">
        <f>IF(F$15&lt;=1,0,SUMPRODUCT(MAX(($C$12:$V$12=F$12)*($C$165:$V$165)*(($C$60:$V$60)=F1005)*$C$3:$V$3)))</f>
        <v/>
      </c>
      <c r="G1110" s="62">
        <f>IF(G$15&lt;=1,0,SUMPRODUCT(MAX(($C$12:$V$12=G$12)*($C$165:$V$165)*(($C$60:$V$60)=G1005)*$C$3:$V$3)))</f>
        <v/>
      </c>
      <c r="H1110" s="62">
        <f>IF(H$15&lt;=1,0,SUMPRODUCT(MAX(($C$12:$V$12=H$12)*($C$165:$V$165)*(($C$60:$V$60)=H1005)*$C$3:$V$3)))</f>
        <v/>
      </c>
      <c r="I1110" s="62">
        <f>IF(I$15&lt;=1,0,SUMPRODUCT(MAX(($C$12:$V$12=I$12)*($C$165:$V$165)*(($C$60:$V$60)=I1005)*$C$3:$V$3)))</f>
        <v/>
      </c>
      <c r="J1110" s="62">
        <f>IF(J$15&lt;=1,0,SUMPRODUCT(MAX(($C$12:$V$12=J$12)*($C$165:$V$165)*(($C$60:$V$60)=J1005)*$C$3:$V$3)))</f>
        <v/>
      </c>
      <c r="K1110" s="62">
        <f>IF(K$15&lt;=1,0,SUMPRODUCT(MAX(($C$12:$V$12=K$12)*($C$165:$V$165)*(($C$60:$V$60)=K1005)*$C$3:$V$3)))</f>
        <v/>
      </c>
      <c r="L1110" s="62">
        <f>IF(L$15&lt;=1,0,SUMPRODUCT(MAX(($C$12:$V$12=L$12)*($C$165:$V$165)*(($C$60:$V$60)=L1005)*$C$3:$V$3)))</f>
        <v/>
      </c>
      <c r="M1110" s="62">
        <f>IF(M$15&lt;=1,0,SUMPRODUCT(MAX(($C$12:$V$12=M$12)*($C$165:$V$165)*(($C$60:$V$60)=M1005)*$C$3:$V$3)))</f>
        <v/>
      </c>
      <c r="N1110" s="62">
        <f>IF(N$15&lt;=1,0,SUMPRODUCT(MAX(($C$12:$V$12=N$12)*($C$165:$V$165)*(($C$60:$V$60)=N1005)*$C$3:$V$3)))</f>
        <v/>
      </c>
      <c r="O1110" s="62">
        <f>IF(O$15&lt;=1,0,SUMPRODUCT(MAX(($C$12:$V$12=O$12)*($C$165:$V$165)*(($C$60:$V$60)=O1005)*$C$3:$V$3)))</f>
        <v/>
      </c>
      <c r="P1110" s="62">
        <f>IF(P$15&lt;=1,0,SUMPRODUCT(MAX(($C$12:$V$12=P$12)*($C$165:$V$165)*(($C$60:$V$60)=P1005)*$C$3:$V$3)))</f>
        <v/>
      </c>
      <c r="Q1110" s="62">
        <f>IF(Q$15&lt;=1,0,SUMPRODUCT(MAX(($C$12:$V$12=Q$12)*($C$165:$V$165)*(($C$60:$V$60)=Q1005)*$C$3:$V$3)))</f>
        <v/>
      </c>
      <c r="R1110" s="62">
        <f>IF(R$15&lt;=1,0,SUMPRODUCT(MAX(($C$12:$V$12=R$12)*($C$165:$V$165)*(($C$60:$V$60)=R1005)*$C$3:$V$3)))</f>
        <v/>
      </c>
      <c r="S1110" s="62">
        <f>IF(S$15&lt;=1,0,SUMPRODUCT(MAX(($C$12:$V$12=S$12)*($C$165:$V$165)*(($C$60:$V$60)=S1005)*$C$3:$V$3)))</f>
        <v/>
      </c>
      <c r="T1110" s="62">
        <f>IF(T$15&lt;=1,0,SUMPRODUCT(MAX(($C$12:$V$12=T$12)*($C$165:$V$165)*(($C$60:$V$60)=T1005)*$C$3:$V$3)))</f>
        <v/>
      </c>
      <c r="U1110" s="62">
        <f>IF(U$15&lt;=1,0,SUMPRODUCT(MAX(($C$12:$V$12=U$12)*($C$165:$V$165)*(($C$60:$V$60)=U1005)*$C$3:$V$3)))</f>
        <v/>
      </c>
      <c r="V1110" s="62">
        <f>IF(V$15&lt;=1,0,SUMPRODUCT(MAX(($C$12:$V$12=V$12)*($C$165:$V$165)*(($C$60:$V$60)=V1005)*$C$3:$V$3)))</f>
        <v/>
      </c>
    </row>
    <row r="1111">
      <c r="C1111" s="62">
        <f>IF(C$15&lt;=1,0,SUMPRODUCT(MAX(($C$12:$V$12=C$12)*($C$166:$V$166)*(($C$61:$V$61)=C1006)*$C$3:$V$3)))</f>
        <v/>
      </c>
      <c r="D1111" s="62">
        <f>IF(D$15&lt;=1,0,SUMPRODUCT(MAX(($C$12:$V$12=D$12)*($C$166:$V$166)*(($C$61:$V$61)=D1006)*$C$3:$V$3)))</f>
        <v/>
      </c>
      <c r="E1111" s="62">
        <f>IF(E$15&lt;=1,0,SUMPRODUCT(MAX(($C$12:$V$12=E$12)*($C$166:$V$166)*(($C$61:$V$61)=E1006)*$C$3:$V$3)))</f>
        <v/>
      </c>
      <c r="F1111" s="62">
        <f>IF(F$15&lt;=1,0,SUMPRODUCT(MAX(($C$12:$V$12=F$12)*($C$166:$V$166)*(($C$61:$V$61)=F1006)*$C$3:$V$3)))</f>
        <v/>
      </c>
      <c r="G1111" s="62">
        <f>IF(G$15&lt;=1,0,SUMPRODUCT(MAX(($C$12:$V$12=G$12)*($C$166:$V$166)*(($C$61:$V$61)=G1006)*$C$3:$V$3)))</f>
        <v/>
      </c>
      <c r="H1111" s="62">
        <f>IF(H$15&lt;=1,0,SUMPRODUCT(MAX(($C$12:$V$12=H$12)*($C$166:$V$166)*(($C$61:$V$61)=H1006)*$C$3:$V$3)))</f>
        <v/>
      </c>
      <c r="I1111" s="62">
        <f>IF(I$15&lt;=1,0,SUMPRODUCT(MAX(($C$12:$V$12=I$12)*($C$166:$V$166)*(($C$61:$V$61)=I1006)*$C$3:$V$3)))</f>
        <v/>
      </c>
      <c r="J1111" s="62">
        <f>IF(J$15&lt;=1,0,SUMPRODUCT(MAX(($C$12:$V$12=J$12)*($C$166:$V$166)*(($C$61:$V$61)=J1006)*$C$3:$V$3)))</f>
        <v/>
      </c>
      <c r="K1111" s="62">
        <f>IF(K$15&lt;=1,0,SUMPRODUCT(MAX(($C$12:$V$12=K$12)*($C$166:$V$166)*(($C$61:$V$61)=K1006)*$C$3:$V$3)))</f>
        <v/>
      </c>
      <c r="L1111" s="62">
        <f>IF(L$15&lt;=1,0,SUMPRODUCT(MAX(($C$12:$V$12=L$12)*($C$166:$V$166)*(($C$61:$V$61)=L1006)*$C$3:$V$3)))</f>
        <v/>
      </c>
      <c r="M1111" s="62">
        <f>IF(M$15&lt;=1,0,SUMPRODUCT(MAX(($C$12:$V$12=M$12)*($C$166:$V$166)*(($C$61:$V$61)=M1006)*$C$3:$V$3)))</f>
        <v/>
      </c>
      <c r="N1111" s="62">
        <f>IF(N$15&lt;=1,0,SUMPRODUCT(MAX(($C$12:$V$12=N$12)*($C$166:$V$166)*(($C$61:$V$61)=N1006)*$C$3:$V$3)))</f>
        <v/>
      </c>
      <c r="O1111" s="62">
        <f>IF(O$15&lt;=1,0,SUMPRODUCT(MAX(($C$12:$V$12=O$12)*($C$166:$V$166)*(($C$61:$V$61)=O1006)*$C$3:$V$3)))</f>
        <v/>
      </c>
      <c r="P1111" s="62">
        <f>IF(P$15&lt;=1,0,SUMPRODUCT(MAX(($C$12:$V$12=P$12)*($C$166:$V$166)*(($C$61:$V$61)=P1006)*$C$3:$V$3)))</f>
        <v/>
      </c>
      <c r="Q1111" s="62">
        <f>IF(Q$15&lt;=1,0,SUMPRODUCT(MAX(($C$12:$V$12=Q$12)*($C$166:$V$166)*(($C$61:$V$61)=Q1006)*$C$3:$V$3)))</f>
        <v/>
      </c>
      <c r="R1111" s="62">
        <f>IF(R$15&lt;=1,0,SUMPRODUCT(MAX(($C$12:$V$12=R$12)*($C$166:$V$166)*(($C$61:$V$61)=R1006)*$C$3:$V$3)))</f>
        <v/>
      </c>
      <c r="S1111" s="62">
        <f>IF(S$15&lt;=1,0,SUMPRODUCT(MAX(($C$12:$V$12=S$12)*($C$166:$V$166)*(($C$61:$V$61)=S1006)*$C$3:$V$3)))</f>
        <v/>
      </c>
      <c r="T1111" s="62">
        <f>IF(T$15&lt;=1,0,SUMPRODUCT(MAX(($C$12:$V$12=T$12)*($C$166:$V$166)*(($C$61:$V$61)=T1006)*$C$3:$V$3)))</f>
        <v/>
      </c>
      <c r="U1111" s="62">
        <f>IF(U$15&lt;=1,0,SUMPRODUCT(MAX(($C$12:$V$12=U$12)*($C$166:$V$166)*(($C$61:$V$61)=U1006)*$C$3:$V$3)))</f>
        <v/>
      </c>
      <c r="V1111" s="62">
        <f>IF(V$15&lt;=1,0,SUMPRODUCT(MAX(($C$12:$V$12=V$12)*($C$166:$V$166)*(($C$61:$V$61)=V1006)*$C$3:$V$3)))</f>
        <v/>
      </c>
    </row>
    <row r="1112">
      <c r="C1112" s="62">
        <f>IF(C$15&lt;=1,0,SUMPRODUCT(MAX(($C$12:$V$12=C$12)*($C$167:$V$167)*(($C$62:$V$62)=C1007)*$C$3:$V$3)))</f>
        <v/>
      </c>
      <c r="D1112" s="62">
        <f>IF(D$15&lt;=1,0,SUMPRODUCT(MAX(($C$12:$V$12=D$12)*($C$167:$V$167)*(($C$62:$V$62)=D1007)*$C$3:$V$3)))</f>
        <v/>
      </c>
      <c r="E1112" s="62">
        <f>IF(E$15&lt;=1,0,SUMPRODUCT(MAX(($C$12:$V$12=E$12)*($C$167:$V$167)*(($C$62:$V$62)=E1007)*$C$3:$V$3)))</f>
        <v/>
      </c>
      <c r="F1112" s="62">
        <f>IF(F$15&lt;=1,0,SUMPRODUCT(MAX(($C$12:$V$12=F$12)*($C$167:$V$167)*(($C$62:$V$62)=F1007)*$C$3:$V$3)))</f>
        <v/>
      </c>
      <c r="G1112" s="62">
        <f>IF(G$15&lt;=1,0,SUMPRODUCT(MAX(($C$12:$V$12=G$12)*($C$167:$V$167)*(($C$62:$V$62)=G1007)*$C$3:$V$3)))</f>
        <v/>
      </c>
      <c r="H1112" s="62">
        <f>IF(H$15&lt;=1,0,SUMPRODUCT(MAX(($C$12:$V$12=H$12)*($C$167:$V$167)*(($C$62:$V$62)=H1007)*$C$3:$V$3)))</f>
        <v/>
      </c>
      <c r="I1112" s="62">
        <f>IF(I$15&lt;=1,0,SUMPRODUCT(MAX(($C$12:$V$12=I$12)*($C$167:$V$167)*(($C$62:$V$62)=I1007)*$C$3:$V$3)))</f>
        <v/>
      </c>
      <c r="J1112" s="62">
        <f>IF(J$15&lt;=1,0,SUMPRODUCT(MAX(($C$12:$V$12=J$12)*($C$167:$V$167)*(($C$62:$V$62)=J1007)*$C$3:$V$3)))</f>
        <v/>
      </c>
      <c r="K1112" s="62">
        <f>IF(K$15&lt;=1,0,SUMPRODUCT(MAX(($C$12:$V$12=K$12)*($C$167:$V$167)*(($C$62:$V$62)=K1007)*$C$3:$V$3)))</f>
        <v/>
      </c>
      <c r="L1112" s="62">
        <f>IF(L$15&lt;=1,0,SUMPRODUCT(MAX(($C$12:$V$12=L$12)*($C$167:$V$167)*(($C$62:$V$62)=L1007)*$C$3:$V$3)))</f>
        <v/>
      </c>
      <c r="M1112" s="62">
        <f>IF(M$15&lt;=1,0,SUMPRODUCT(MAX(($C$12:$V$12=M$12)*($C$167:$V$167)*(($C$62:$V$62)=M1007)*$C$3:$V$3)))</f>
        <v/>
      </c>
      <c r="N1112" s="62">
        <f>IF(N$15&lt;=1,0,SUMPRODUCT(MAX(($C$12:$V$12=N$12)*($C$167:$V$167)*(($C$62:$V$62)=N1007)*$C$3:$V$3)))</f>
        <v/>
      </c>
      <c r="O1112" s="62">
        <f>IF(O$15&lt;=1,0,SUMPRODUCT(MAX(($C$12:$V$12=O$12)*($C$167:$V$167)*(($C$62:$V$62)=O1007)*$C$3:$V$3)))</f>
        <v/>
      </c>
      <c r="P1112" s="62">
        <f>IF(P$15&lt;=1,0,SUMPRODUCT(MAX(($C$12:$V$12=P$12)*($C$167:$V$167)*(($C$62:$V$62)=P1007)*$C$3:$V$3)))</f>
        <v/>
      </c>
      <c r="Q1112" s="62">
        <f>IF(Q$15&lt;=1,0,SUMPRODUCT(MAX(($C$12:$V$12=Q$12)*($C$167:$V$167)*(($C$62:$V$62)=Q1007)*$C$3:$V$3)))</f>
        <v/>
      </c>
      <c r="R1112" s="62">
        <f>IF(R$15&lt;=1,0,SUMPRODUCT(MAX(($C$12:$V$12=R$12)*($C$167:$V$167)*(($C$62:$V$62)=R1007)*$C$3:$V$3)))</f>
        <v/>
      </c>
      <c r="S1112" s="62">
        <f>IF(S$15&lt;=1,0,SUMPRODUCT(MAX(($C$12:$V$12=S$12)*($C$167:$V$167)*(($C$62:$V$62)=S1007)*$C$3:$V$3)))</f>
        <v/>
      </c>
      <c r="T1112" s="62">
        <f>IF(T$15&lt;=1,0,SUMPRODUCT(MAX(($C$12:$V$12=T$12)*($C$167:$V$167)*(($C$62:$V$62)=T1007)*$C$3:$V$3)))</f>
        <v/>
      </c>
      <c r="U1112" s="62">
        <f>IF(U$15&lt;=1,0,SUMPRODUCT(MAX(($C$12:$V$12=U$12)*($C$167:$V$167)*(($C$62:$V$62)=U1007)*$C$3:$V$3)))</f>
        <v/>
      </c>
      <c r="V1112" s="62">
        <f>IF(V$15&lt;=1,0,SUMPRODUCT(MAX(($C$12:$V$12=V$12)*($C$167:$V$167)*(($C$62:$V$62)=V1007)*$C$3:$V$3)))</f>
        <v/>
      </c>
    </row>
    <row r="1113">
      <c r="C1113" s="62">
        <f>IF(C$15&lt;=1,0,SUMPRODUCT(MAX(($C$12:$V$12=C$12)*($C$168:$V$168)*(($C$63:$V$63)=C1008)*$C$3:$V$3)))</f>
        <v/>
      </c>
      <c r="D1113" s="62">
        <f>IF(D$15&lt;=1,0,SUMPRODUCT(MAX(($C$12:$V$12=D$12)*($C$168:$V$168)*(($C$63:$V$63)=D1008)*$C$3:$V$3)))</f>
        <v/>
      </c>
      <c r="E1113" s="62">
        <f>IF(E$15&lt;=1,0,SUMPRODUCT(MAX(($C$12:$V$12=E$12)*($C$168:$V$168)*(($C$63:$V$63)=E1008)*$C$3:$V$3)))</f>
        <v/>
      </c>
      <c r="F1113" s="62">
        <f>IF(F$15&lt;=1,0,SUMPRODUCT(MAX(($C$12:$V$12=F$12)*($C$168:$V$168)*(($C$63:$V$63)=F1008)*$C$3:$V$3)))</f>
        <v/>
      </c>
      <c r="G1113" s="62">
        <f>IF(G$15&lt;=1,0,SUMPRODUCT(MAX(($C$12:$V$12=G$12)*($C$168:$V$168)*(($C$63:$V$63)=G1008)*$C$3:$V$3)))</f>
        <v/>
      </c>
      <c r="H1113" s="62">
        <f>IF(H$15&lt;=1,0,SUMPRODUCT(MAX(($C$12:$V$12=H$12)*($C$168:$V$168)*(($C$63:$V$63)=H1008)*$C$3:$V$3)))</f>
        <v/>
      </c>
      <c r="I1113" s="62">
        <f>IF(I$15&lt;=1,0,SUMPRODUCT(MAX(($C$12:$V$12=I$12)*($C$168:$V$168)*(($C$63:$V$63)=I1008)*$C$3:$V$3)))</f>
        <v/>
      </c>
      <c r="J1113" s="62">
        <f>IF(J$15&lt;=1,0,SUMPRODUCT(MAX(($C$12:$V$12=J$12)*($C$168:$V$168)*(($C$63:$V$63)=J1008)*$C$3:$V$3)))</f>
        <v/>
      </c>
      <c r="K1113" s="62">
        <f>IF(K$15&lt;=1,0,SUMPRODUCT(MAX(($C$12:$V$12=K$12)*($C$168:$V$168)*(($C$63:$V$63)=K1008)*$C$3:$V$3)))</f>
        <v/>
      </c>
      <c r="L1113" s="62">
        <f>IF(L$15&lt;=1,0,SUMPRODUCT(MAX(($C$12:$V$12=L$12)*($C$168:$V$168)*(($C$63:$V$63)=L1008)*$C$3:$V$3)))</f>
        <v/>
      </c>
      <c r="M1113" s="62">
        <f>IF(M$15&lt;=1,0,SUMPRODUCT(MAX(($C$12:$V$12=M$12)*($C$168:$V$168)*(($C$63:$V$63)=M1008)*$C$3:$V$3)))</f>
        <v/>
      </c>
      <c r="N1113" s="62">
        <f>IF(N$15&lt;=1,0,SUMPRODUCT(MAX(($C$12:$V$12=N$12)*($C$168:$V$168)*(($C$63:$V$63)=N1008)*$C$3:$V$3)))</f>
        <v/>
      </c>
      <c r="O1113" s="62">
        <f>IF(O$15&lt;=1,0,SUMPRODUCT(MAX(($C$12:$V$12=O$12)*($C$168:$V$168)*(($C$63:$V$63)=O1008)*$C$3:$V$3)))</f>
        <v/>
      </c>
      <c r="P1113" s="62">
        <f>IF(P$15&lt;=1,0,SUMPRODUCT(MAX(($C$12:$V$12=P$12)*($C$168:$V$168)*(($C$63:$V$63)=P1008)*$C$3:$V$3)))</f>
        <v/>
      </c>
      <c r="Q1113" s="62">
        <f>IF(Q$15&lt;=1,0,SUMPRODUCT(MAX(($C$12:$V$12=Q$12)*($C$168:$V$168)*(($C$63:$V$63)=Q1008)*$C$3:$V$3)))</f>
        <v/>
      </c>
      <c r="R1113" s="62">
        <f>IF(R$15&lt;=1,0,SUMPRODUCT(MAX(($C$12:$V$12=R$12)*($C$168:$V$168)*(($C$63:$V$63)=R1008)*$C$3:$V$3)))</f>
        <v/>
      </c>
      <c r="S1113" s="62">
        <f>IF(S$15&lt;=1,0,SUMPRODUCT(MAX(($C$12:$V$12=S$12)*($C$168:$V$168)*(($C$63:$V$63)=S1008)*$C$3:$V$3)))</f>
        <v/>
      </c>
      <c r="T1113" s="62">
        <f>IF(T$15&lt;=1,0,SUMPRODUCT(MAX(($C$12:$V$12=T$12)*($C$168:$V$168)*(($C$63:$V$63)=T1008)*$C$3:$V$3)))</f>
        <v/>
      </c>
      <c r="U1113" s="62">
        <f>IF(U$15&lt;=1,0,SUMPRODUCT(MAX(($C$12:$V$12=U$12)*($C$168:$V$168)*(($C$63:$V$63)=U1008)*$C$3:$V$3)))</f>
        <v/>
      </c>
      <c r="V1113" s="62">
        <f>IF(V$15&lt;=1,0,SUMPRODUCT(MAX(($C$12:$V$12=V$12)*($C$168:$V$168)*(($C$63:$V$63)=V1008)*$C$3:$V$3)))</f>
        <v/>
      </c>
    </row>
    <row r="1114">
      <c r="C1114" s="62">
        <f>IF(C$15&lt;=1,0,SUMPRODUCT(MAX(($C$12:$V$12=C$12)*($C$169:$V$169)*(($C$64:$V$64)=C1009)*$C$3:$V$3)))</f>
        <v/>
      </c>
      <c r="D1114" s="62">
        <f>IF(D$15&lt;=1,0,SUMPRODUCT(MAX(($C$12:$V$12=D$12)*($C$169:$V$169)*(($C$64:$V$64)=D1009)*$C$3:$V$3)))</f>
        <v/>
      </c>
      <c r="E1114" s="62">
        <f>IF(E$15&lt;=1,0,SUMPRODUCT(MAX(($C$12:$V$12=E$12)*($C$169:$V$169)*(($C$64:$V$64)=E1009)*$C$3:$V$3)))</f>
        <v/>
      </c>
      <c r="F1114" s="62">
        <f>IF(F$15&lt;=1,0,SUMPRODUCT(MAX(($C$12:$V$12=F$12)*($C$169:$V$169)*(($C$64:$V$64)=F1009)*$C$3:$V$3)))</f>
        <v/>
      </c>
      <c r="G1114" s="62">
        <f>IF(G$15&lt;=1,0,SUMPRODUCT(MAX(($C$12:$V$12=G$12)*($C$169:$V$169)*(($C$64:$V$64)=G1009)*$C$3:$V$3)))</f>
        <v/>
      </c>
      <c r="H1114" s="62">
        <f>IF(H$15&lt;=1,0,SUMPRODUCT(MAX(($C$12:$V$12=H$12)*($C$169:$V$169)*(($C$64:$V$64)=H1009)*$C$3:$V$3)))</f>
        <v/>
      </c>
      <c r="I1114" s="62">
        <f>IF(I$15&lt;=1,0,SUMPRODUCT(MAX(($C$12:$V$12=I$12)*($C$169:$V$169)*(($C$64:$V$64)=I1009)*$C$3:$V$3)))</f>
        <v/>
      </c>
      <c r="J1114" s="62">
        <f>IF(J$15&lt;=1,0,SUMPRODUCT(MAX(($C$12:$V$12=J$12)*($C$169:$V$169)*(($C$64:$V$64)=J1009)*$C$3:$V$3)))</f>
        <v/>
      </c>
      <c r="K1114" s="62">
        <f>IF(K$15&lt;=1,0,SUMPRODUCT(MAX(($C$12:$V$12=K$12)*($C$169:$V$169)*(($C$64:$V$64)=K1009)*$C$3:$V$3)))</f>
        <v/>
      </c>
      <c r="L1114" s="62">
        <f>IF(L$15&lt;=1,0,SUMPRODUCT(MAX(($C$12:$V$12=L$12)*($C$169:$V$169)*(($C$64:$V$64)=L1009)*$C$3:$V$3)))</f>
        <v/>
      </c>
      <c r="M1114" s="62">
        <f>IF(M$15&lt;=1,0,SUMPRODUCT(MAX(($C$12:$V$12=M$12)*($C$169:$V$169)*(($C$64:$V$64)=M1009)*$C$3:$V$3)))</f>
        <v/>
      </c>
      <c r="N1114" s="62">
        <f>IF(N$15&lt;=1,0,SUMPRODUCT(MAX(($C$12:$V$12=N$12)*($C$169:$V$169)*(($C$64:$V$64)=N1009)*$C$3:$V$3)))</f>
        <v/>
      </c>
      <c r="O1114" s="62">
        <f>IF(O$15&lt;=1,0,SUMPRODUCT(MAX(($C$12:$V$12=O$12)*($C$169:$V$169)*(($C$64:$V$64)=O1009)*$C$3:$V$3)))</f>
        <v/>
      </c>
      <c r="P1114" s="62">
        <f>IF(P$15&lt;=1,0,SUMPRODUCT(MAX(($C$12:$V$12=P$12)*($C$169:$V$169)*(($C$64:$V$64)=P1009)*$C$3:$V$3)))</f>
        <v/>
      </c>
      <c r="Q1114" s="62">
        <f>IF(Q$15&lt;=1,0,SUMPRODUCT(MAX(($C$12:$V$12=Q$12)*($C$169:$V$169)*(($C$64:$V$64)=Q1009)*$C$3:$V$3)))</f>
        <v/>
      </c>
      <c r="R1114" s="62">
        <f>IF(R$15&lt;=1,0,SUMPRODUCT(MAX(($C$12:$V$12=R$12)*($C$169:$V$169)*(($C$64:$V$64)=R1009)*$C$3:$V$3)))</f>
        <v/>
      </c>
      <c r="S1114" s="62">
        <f>IF(S$15&lt;=1,0,SUMPRODUCT(MAX(($C$12:$V$12=S$12)*($C$169:$V$169)*(($C$64:$V$64)=S1009)*$C$3:$V$3)))</f>
        <v/>
      </c>
      <c r="T1114" s="62">
        <f>IF(T$15&lt;=1,0,SUMPRODUCT(MAX(($C$12:$V$12=T$12)*($C$169:$V$169)*(($C$64:$V$64)=T1009)*$C$3:$V$3)))</f>
        <v/>
      </c>
      <c r="U1114" s="62">
        <f>IF(U$15&lt;=1,0,SUMPRODUCT(MAX(($C$12:$V$12=U$12)*($C$169:$V$169)*(($C$64:$V$64)=U1009)*$C$3:$V$3)))</f>
        <v/>
      </c>
      <c r="V1114" s="62">
        <f>IF(V$15&lt;=1,0,SUMPRODUCT(MAX(($C$12:$V$12=V$12)*($C$169:$V$169)*(($C$64:$V$64)=V1009)*$C$3:$V$3)))</f>
        <v/>
      </c>
    </row>
    <row r="1115">
      <c r="C1115" s="62">
        <f>IF(C$15&lt;=1,0,SUMPRODUCT(MAX(($C$12:$V$12=C$12)*($C$170:$V$170)*(($C$65:$V$65)=C1010)*$C$3:$V$3)))</f>
        <v/>
      </c>
      <c r="D1115" s="62">
        <f>IF(D$15&lt;=1,0,SUMPRODUCT(MAX(($C$12:$V$12=D$12)*($C$170:$V$170)*(($C$65:$V$65)=D1010)*$C$3:$V$3)))</f>
        <v/>
      </c>
      <c r="E1115" s="62">
        <f>IF(E$15&lt;=1,0,SUMPRODUCT(MAX(($C$12:$V$12=E$12)*($C$170:$V$170)*(($C$65:$V$65)=E1010)*$C$3:$V$3)))</f>
        <v/>
      </c>
      <c r="F1115" s="62">
        <f>IF(F$15&lt;=1,0,SUMPRODUCT(MAX(($C$12:$V$12=F$12)*($C$170:$V$170)*(($C$65:$V$65)=F1010)*$C$3:$V$3)))</f>
        <v/>
      </c>
      <c r="G1115" s="62">
        <f>IF(G$15&lt;=1,0,SUMPRODUCT(MAX(($C$12:$V$12=G$12)*($C$170:$V$170)*(($C$65:$V$65)=G1010)*$C$3:$V$3)))</f>
        <v/>
      </c>
      <c r="H1115" s="62">
        <f>IF(H$15&lt;=1,0,SUMPRODUCT(MAX(($C$12:$V$12=H$12)*($C$170:$V$170)*(($C$65:$V$65)=H1010)*$C$3:$V$3)))</f>
        <v/>
      </c>
      <c r="I1115" s="62">
        <f>IF(I$15&lt;=1,0,SUMPRODUCT(MAX(($C$12:$V$12=I$12)*($C$170:$V$170)*(($C$65:$V$65)=I1010)*$C$3:$V$3)))</f>
        <v/>
      </c>
      <c r="J1115" s="62">
        <f>IF(J$15&lt;=1,0,SUMPRODUCT(MAX(($C$12:$V$12=J$12)*($C$170:$V$170)*(($C$65:$V$65)=J1010)*$C$3:$V$3)))</f>
        <v/>
      </c>
      <c r="K1115" s="62">
        <f>IF(K$15&lt;=1,0,SUMPRODUCT(MAX(($C$12:$V$12=K$12)*($C$170:$V$170)*(($C$65:$V$65)=K1010)*$C$3:$V$3)))</f>
        <v/>
      </c>
      <c r="L1115" s="62">
        <f>IF(L$15&lt;=1,0,SUMPRODUCT(MAX(($C$12:$V$12=L$12)*($C$170:$V$170)*(($C$65:$V$65)=L1010)*$C$3:$V$3)))</f>
        <v/>
      </c>
      <c r="M1115" s="62">
        <f>IF(M$15&lt;=1,0,SUMPRODUCT(MAX(($C$12:$V$12=M$12)*($C$170:$V$170)*(($C$65:$V$65)=M1010)*$C$3:$V$3)))</f>
        <v/>
      </c>
      <c r="N1115" s="62">
        <f>IF(N$15&lt;=1,0,SUMPRODUCT(MAX(($C$12:$V$12=N$12)*($C$170:$V$170)*(($C$65:$V$65)=N1010)*$C$3:$V$3)))</f>
        <v/>
      </c>
      <c r="O1115" s="62">
        <f>IF(O$15&lt;=1,0,SUMPRODUCT(MAX(($C$12:$V$12=O$12)*($C$170:$V$170)*(($C$65:$V$65)=O1010)*$C$3:$V$3)))</f>
        <v/>
      </c>
      <c r="P1115" s="62">
        <f>IF(P$15&lt;=1,0,SUMPRODUCT(MAX(($C$12:$V$12=P$12)*($C$170:$V$170)*(($C$65:$V$65)=P1010)*$C$3:$V$3)))</f>
        <v/>
      </c>
      <c r="Q1115" s="62">
        <f>IF(Q$15&lt;=1,0,SUMPRODUCT(MAX(($C$12:$V$12=Q$12)*($C$170:$V$170)*(($C$65:$V$65)=Q1010)*$C$3:$V$3)))</f>
        <v/>
      </c>
      <c r="R1115" s="62">
        <f>IF(R$15&lt;=1,0,SUMPRODUCT(MAX(($C$12:$V$12=R$12)*($C$170:$V$170)*(($C$65:$V$65)=R1010)*$C$3:$V$3)))</f>
        <v/>
      </c>
      <c r="S1115" s="62">
        <f>IF(S$15&lt;=1,0,SUMPRODUCT(MAX(($C$12:$V$12=S$12)*($C$170:$V$170)*(($C$65:$V$65)=S1010)*$C$3:$V$3)))</f>
        <v/>
      </c>
      <c r="T1115" s="62">
        <f>IF(T$15&lt;=1,0,SUMPRODUCT(MAX(($C$12:$V$12=T$12)*($C$170:$V$170)*(($C$65:$V$65)=T1010)*$C$3:$V$3)))</f>
        <v/>
      </c>
      <c r="U1115" s="62">
        <f>IF(U$15&lt;=1,0,SUMPRODUCT(MAX(($C$12:$V$12=U$12)*($C$170:$V$170)*(($C$65:$V$65)=U1010)*$C$3:$V$3)))</f>
        <v/>
      </c>
      <c r="V1115" s="62">
        <f>IF(V$15&lt;=1,0,SUMPRODUCT(MAX(($C$12:$V$12=V$12)*($C$170:$V$170)*(($C$65:$V$65)=V1010)*$C$3:$V$3)))</f>
        <v/>
      </c>
    </row>
    <row r="1116">
      <c r="C1116" s="62">
        <f>IF(C$15&lt;=1,0,SUMPRODUCT(MAX(($C$12:$V$12=C$12)*($C$171:$V$171)*(($C$66:$V$66)=C1011)*$C$3:$V$3)))</f>
        <v/>
      </c>
      <c r="D1116" s="62">
        <f>IF(D$15&lt;=1,0,SUMPRODUCT(MAX(($C$12:$V$12=D$12)*($C$171:$V$171)*(($C$66:$V$66)=D1011)*$C$3:$V$3)))</f>
        <v/>
      </c>
      <c r="E1116" s="62">
        <f>IF(E$15&lt;=1,0,SUMPRODUCT(MAX(($C$12:$V$12=E$12)*($C$171:$V$171)*(($C$66:$V$66)=E1011)*$C$3:$V$3)))</f>
        <v/>
      </c>
      <c r="F1116" s="62">
        <f>IF(F$15&lt;=1,0,SUMPRODUCT(MAX(($C$12:$V$12=F$12)*($C$171:$V$171)*(($C$66:$V$66)=F1011)*$C$3:$V$3)))</f>
        <v/>
      </c>
      <c r="G1116" s="62">
        <f>IF(G$15&lt;=1,0,SUMPRODUCT(MAX(($C$12:$V$12=G$12)*($C$171:$V$171)*(($C$66:$V$66)=G1011)*$C$3:$V$3)))</f>
        <v/>
      </c>
      <c r="H1116" s="62">
        <f>IF(H$15&lt;=1,0,SUMPRODUCT(MAX(($C$12:$V$12=H$12)*($C$171:$V$171)*(($C$66:$V$66)=H1011)*$C$3:$V$3)))</f>
        <v/>
      </c>
      <c r="I1116" s="62">
        <f>IF(I$15&lt;=1,0,SUMPRODUCT(MAX(($C$12:$V$12=I$12)*($C$171:$V$171)*(($C$66:$V$66)=I1011)*$C$3:$V$3)))</f>
        <v/>
      </c>
      <c r="J1116" s="62">
        <f>IF(J$15&lt;=1,0,SUMPRODUCT(MAX(($C$12:$V$12=J$12)*($C$171:$V$171)*(($C$66:$V$66)=J1011)*$C$3:$V$3)))</f>
        <v/>
      </c>
      <c r="K1116" s="62">
        <f>IF(K$15&lt;=1,0,SUMPRODUCT(MAX(($C$12:$V$12=K$12)*($C$171:$V$171)*(($C$66:$V$66)=K1011)*$C$3:$V$3)))</f>
        <v/>
      </c>
      <c r="L1116" s="62">
        <f>IF(L$15&lt;=1,0,SUMPRODUCT(MAX(($C$12:$V$12=L$12)*($C$171:$V$171)*(($C$66:$V$66)=L1011)*$C$3:$V$3)))</f>
        <v/>
      </c>
      <c r="M1116" s="62">
        <f>IF(M$15&lt;=1,0,SUMPRODUCT(MAX(($C$12:$V$12=M$12)*($C$171:$V$171)*(($C$66:$V$66)=M1011)*$C$3:$V$3)))</f>
        <v/>
      </c>
      <c r="N1116" s="62">
        <f>IF(N$15&lt;=1,0,SUMPRODUCT(MAX(($C$12:$V$12=N$12)*($C$171:$V$171)*(($C$66:$V$66)=N1011)*$C$3:$V$3)))</f>
        <v/>
      </c>
      <c r="O1116" s="62">
        <f>IF(O$15&lt;=1,0,SUMPRODUCT(MAX(($C$12:$V$12=O$12)*($C$171:$V$171)*(($C$66:$V$66)=O1011)*$C$3:$V$3)))</f>
        <v/>
      </c>
      <c r="P1116" s="62">
        <f>IF(P$15&lt;=1,0,SUMPRODUCT(MAX(($C$12:$V$12=P$12)*($C$171:$V$171)*(($C$66:$V$66)=P1011)*$C$3:$V$3)))</f>
        <v/>
      </c>
      <c r="Q1116" s="62">
        <f>IF(Q$15&lt;=1,0,SUMPRODUCT(MAX(($C$12:$V$12=Q$12)*($C$171:$V$171)*(($C$66:$V$66)=Q1011)*$C$3:$V$3)))</f>
        <v/>
      </c>
      <c r="R1116" s="62">
        <f>IF(R$15&lt;=1,0,SUMPRODUCT(MAX(($C$12:$V$12=R$12)*($C$171:$V$171)*(($C$66:$V$66)=R1011)*$C$3:$V$3)))</f>
        <v/>
      </c>
      <c r="S1116" s="62">
        <f>IF(S$15&lt;=1,0,SUMPRODUCT(MAX(($C$12:$V$12=S$12)*($C$171:$V$171)*(($C$66:$V$66)=S1011)*$C$3:$V$3)))</f>
        <v/>
      </c>
      <c r="T1116" s="62">
        <f>IF(T$15&lt;=1,0,SUMPRODUCT(MAX(($C$12:$V$12=T$12)*($C$171:$V$171)*(($C$66:$V$66)=T1011)*$C$3:$V$3)))</f>
        <v/>
      </c>
      <c r="U1116" s="62">
        <f>IF(U$15&lt;=1,0,SUMPRODUCT(MAX(($C$12:$V$12=U$12)*($C$171:$V$171)*(($C$66:$V$66)=U1011)*$C$3:$V$3)))</f>
        <v/>
      </c>
      <c r="V1116" s="62">
        <f>IF(V$15&lt;=1,0,SUMPRODUCT(MAX(($C$12:$V$12=V$12)*($C$171:$V$171)*(($C$66:$V$66)=V1011)*$C$3:$V$3)))</f>
        <v/>
      </c>
    </row>
    <row r="1117">
      <c r="C1117" s="62">
        <f>IF(C$15&lt;=1,0,SUMPRODUCT(MAX(($C$12:$V$12=C$12)*($C$172:$V$172)*(($C$67:$V$67)=C1012)*$C$3:$V$3)))</f>
        <v/>
      </c>
      <c r="D1117" s="62">
        <f>IF(D$15&lt;=1,0,SUMPRODUCT(MAX(($C$12:$V$12=D$12)*($C$172:$V$172)*(($C$67:$V$67)=D1012)*$C$3:$V$3)))</f>
        <v/>
      </c>
      <c r="E1117" s="62">
        <f>IF(E$15&lt;=1,0,SUMPRODUCT(MAX(($C$12:$V$12=E$12)*($C$172:$V$172)*(($C$67:$V$67)=E1012)*$C$3:$V$3)))</f>
        <v/>
      </c>
      <c r="F1117" s="62">
        <f>IF(F$15&lt;=1,0,SUMPRODUCT(MAX(($C$12:$V$12=F$12)*($C$172:$V$172)*(($C$67:$V$67)=F1012)*$C$3:$V$3)))</f>
        <v/>
      </c>
      <c r="G1117" s="62">
        <f>IF(G$15&lt;=1,0,SUMPRODUCT(MAX(($C$12:$V$12=G$12)*($C$172:$V$172)*(($C$67:$V$67)=G1012)*$C$3:$V$3)))</f>
        <v/>
      </c>
      <c r="H1117" s="62">
        <f>IF(H$15&lt;=1,0,SUMPRODUCT(MAX(($C$12:$V$12=H$12)*($C$172:$V$172)*(($C$67:$V$67)=H1012)*$C$3:$V$3)))</f>
        <v/>
      </c>
      <c r="I1117" s="62">
        <f>IF(I$15&lt;=1,0,SUMPRODUCT(MAX(($C$12:$V$12=I$12)*($C$172:$V$172)*(($C$67:$V$67)=I1012)*$C$3:$V$3)))</f>
        <v/>
      </c>
      <c r="J1117" s="62">
        <f>IF(J$15&lt;=1,0,SUMPRODUCT(MAX(($C$12:$V$12=J$12)*($C$172:$V$172)*(($C$67:$V$67)=J1012)*$C$3:$V$3)))</f>
        <v/>
      </c>
      <c r="K1117" s="62">
        <f>IF(K$15&lt;=1,0,SUMPRODUCT(MAX(($C$12:$V$12=K$12)*($C$172:$V$172)*(($C$67:$V$67)=K1012)*$C$3:$V$3)))</f>
        <v/>
      </c>
      <c r="L1117" s="62">
        <f>IF(L$15&lt;=1,0,SUMPRODUCT(MAX(($C$12:$V$12=L$12)*($C$172:$V$172)*(($C$67:$V$67)=L1012)*$C$3:$V$3)))</f>
        <v/>
      </c>
      <c r="M1117" s="62">
        <f>IF(M$15&lt;=1,0,SUMPRODUCT(MAX(($C$12:$V$12=M$12)*($C$172:$V$172)*(($C$67:$V$67)=M1012)*$C$3:$V$3)))</f>
        <v/>
      </c>
      <c r="N1117" s="62">
        <f>IF(N$15&lt;=1,0,SUMPRODUCT(MAX(($C$12:$V$12=N$12)*($C$172:$V$172)*(($C$67:$V$67)=N1012)*$C$3:$V$3)))</f>
        <v/>
      </c>
      <c r="O1117" s="62">
        <f>IF(O$15&lt;=1,0,SUMPRODUCT(MAX(($C$12:$V$12=O$12)*($C$172:$V$172)*(($C$67:$V$67)=O1012)*$C$3:$V$3)))</f>
        <v/>
      </c>
      <c r="P1117" s="62">
        <f>IF(P$15&lt;=1,0,SUMPRODUCT(MAX(($C$12:$V$12=P$12)*($C$172:$V$172)*(($C$67:$V$67)=P1012)*$C$3:$V$3)))</f>
        <v/>
      </c>
      <c r="Q1117" s="62">
        <f>IF(Q$15&lt;=1,0,SUMPRODUCT(MAX(($C$12:$V$12=Q$12)*($C$172:$V$172)*(($C$67:$V$67)=Q1012)*$C$3:$V$3)))</f>
        <v/>
      </c>
      <c r="R1117" s="62">
        <f>IF(R$15&lt;=1,0,SUMPRODUCT(MAX(($C$12:$V$12=R$12)*($C$172:$V$172)*(($C$67:$V$67)=R1012)*$C$3:$V$3)))</f>
        <v/>
      </c>
      <c r="S1117" s="62">
        <f>IF(S$15&lt;=1,0,SUMPRODUCT(MAX(($C$12:$V$12=S$12)*($C$172:$V$172)*(($C$67:$V$67)=S1012)*$C$3:$V$3)))</f>
        <v/>
      </c>
      <c r="T1117" s="62">
        <f>IF(T$15&lt;=1,0,SUMPRODUCT(MAX(($C$12:$V$12=T$12)*($C$172:$V$172)*(($C$67:$V$67)=T1012)*$C$3:$V$3)))</f>
        <v/>
      </c>
      <c r="U1117" s="62">
        <f>IF(U$15&lt;=1,0,SUMPRODUCT(MAX(($C$12:$V$12=U$12)*($C$172:$V$172)*(($C$67:$V$67)=U1012)*$C$3:$V$3)))</f>
        <v/>
      </c>
      <c r="V1117" s="62">
        <f>IF(V$15&lt;=1,0,SUMPRODUCT(MAX(($C$12:$V$12=V$12)*($C$172:$V$172)*(($C$67:$V$67)=V1012)*$C$3:$V$3)))</f>
        <v/>
      </c>
    </row>
    <row r="1118">
      <c r="C1118" s="62">
        <f>IF(C$15&lt;=1,0,SUMPRODUCT(MAX(($C$12:$V$12=C$12)*($C$173:$V$173)*(($C$68:$V$68)=C1013)*$C$3:$V$3)))</f>
        <v/>
      </c>
      <c r="D1118" s="62">
        <f>IF(D$15&lt;=1,0,SUMPRODUCT(MAX(($C$12:$V$12=D$12)*($C$173:$V$173)*(($C$68:$V$68)=D1013)*$C$3:$V$3)))</f>
        <v/>
      </c>
      <c r="E1118" s="62">
        <f>IF(E$15&lt;=1,0,SUMPRODUCT(MAX(($C$12:$V$12=E$12)*($C$173:$V$173)*(($C$68:$V$68)=E1013)*$C$3:$V$3)))</f>
        <v/>
      </c>
      <c r="F1118" s="62">
        <f>IF(F$15&lt;=1,0,SUMPRODUCT(MAX(($C$12:$V$12=F$12)*($C$173:$V$173)*(($C$68:$V$68)=F1013)*$C$3:$V$3)))</f>
        <v/>
      </c>
      <c r="G1118" s="62">
        <f>IF(G$15&lt;=1,0,SUMPRODUCT(MAX(($C$12:$V$12=G$12)*($C$173:$V$173)*(($C$68:$V$68)=G1013)*$C$3:$V$3)))</f>
        <v/>
      </c>
      <c r="H1118" s="62">
        <f>IF(H$15&lt;=1,0,SUMPRODUCT(MAX(($C$12:$V$12=H$12)*($C$173:$V$173)*(($C$68:$V$68)=H1013)*$C$3:$V$3)))</f>
        <v/>
      </c>
      <c r="I1118" s="62">
        <f>IF(I$15&lt;=1,0,SUMPRODUCT(MAX(($C$12:$V$12=I$12)*($C$173:$V$173)*(($C$68:$V$68)=I1013)*$C$3:$V$3)))</f>
        <v/>
      </c>
      <c r="J1118" s="62">
        <f>IF(J$15&lt;=1,0,SUMPRODUCT(MAX(($C$12:$V$12=J$12)*($C$173:$V$173)*(($C$68:$V$68)=J1013)*$C$3:$V$3)))</f>
        <v/>
      </c>
      <c r="K1118" s="62">
        <f>IF(K$15&lt;=1,0,SUMPRODUCT(MAX(($C$12:$V$12=K$12)*($C$173:$V$173)*(($C$68:$V$68)=K1013)*$C$3:$V$3)))</f>
        <v/>
      </c>
      <c r="L1118" s="62">
        <f>IF(L$15&lt;=1,0,SUMPRODUCT(MAX(($C$12:$V$12=L$12)*($C$173:$V$173)*(($C$68:$V$68)=L1013)*$C$3:$V$3)))</f>
        <v/>
      </c>
      <c r="M1118" s="62">
        <f>IF(M$15&lt;=1,0,SUMPRODUCT(MAX(($C$12:$V$12=M$12)*($C$173:$V$173)*(($C$68:$V$68)=M1013)*$C$3:$V$3)))</f>
        <v/>
      </c>
      <c r="N1118" s="62">
        <f>IF(N$15&lt;=1,0,SUMPRODUCT(MAX(($C$12:$V$12=N$12)*($C$173:$V$173)*(($C$68:$V$68)=N1013)*$C$3:$V$3)))</f>
        <v/>
      </c>
      <c r="O1118" s="62">
        <f>IF(O$15&lt;=1,0,SUMPRODUCT(MAX(($C$12:$V$12=O$12)*($C$173:$V$173)*(($C$68:$V$68)=O1013)*$C$3:$V$3)))</f>
        <v/>
      </c>
      <c r="P1118" s="62">
        <f>IF(P$15&lt;=1,0,SUMPRODUCT(MAX(($C$12:$V$12=P$12)*($C$173:$V$173)*(($C$68:$V$68)=P1013)*$C$3:$V$3)))</f>
        <v/>
      </c>
      <c r="Q1118" s="62">
        <f>IF(Q$15&lt;=1,0,SUMPRODUCT(MAX(($C$12:$V$12=Q$12)*($C$173:$V$173)*(($C$68:$V$68)=Q1013)*$C$3:$V$3)))</f>
        <v/>
      </c>
      <c r="R1118" s="62">
        <f>IF(R$15&lt;=1,0,SUMPRODUCT(MAX(($C$12:$V$12=R$12)*($C$173:$V$173)*(($C$68:$V$68)=R1013)*$C$3:$V$3)))</f>
        <v/>
      </c>
      <c r="S1118" s="62">
        <f>IF(S$15&lt;=1,0,SUMPRODUCT(MAX(($C$12:$V$12=S$12)*($C$173:$V$173)*(($C$68:$V$68)=S1013)*$C$3:$V$3)))</f>
        <v/>
      </c>
      <c r="T1118" s="62">
        <f>IF(T$15&lt;=1,0,SUMPRODUCT(MAX(($C$12:$V$12=T$12)*($C$173:$V$173)*(($C$68:$V$68)=T1013)*$C$3:$V$3)))</f>
        <v/>
      </c>
      <c r="U1118" s="62">
        <f>IF(U$15&lt;=1,0,SUMPRODUCT(MAX(($C$12:$V$12=U$12)*($C$173:$V$173)*(($C$68:$V$68)=U1013)*$C$3:$V$3)))</f>
        <v/>
      </c>
      <c r="V1118" s="62">
        <f>IF(V$15&lt;=1,0,SUMPRODUCT(MAX(($C$12:$V$12=V$12)*($C$173:$V$173)*(($C$68:$V$68)=V1013)*$C$3:$V$3)))</f>
        <v/>
      </c>
    </row>
    <row r="1119">
      <c r="C1119" s="62">
        <f>IF(C$15&lt;=1,0,SUMPRODUCT(MAX(($C$12:$V$12=C$12)*($C$174:$V$174)*(($C$69:$V$69)=C1014)*$C$3:$V$3)))</f>
        <v/>
      </c>
      <c r="D1119" s="62">
        <f>IF(D$15&lt;=1,0,SUMPRODUCT(MAX(($C$12:$V$12=D$12)*($C$174:$V$174)*(($C$69:$V$69)=D1014)*$C$3:$V$3)))</f>
        <v/>
      </c>
      <c r="E1119" s="62">
        <f>IF(E$15&lt;=1,0,SUMPRODUCT(MAX(($C$12:$V$12=E$12)*($C$174:$V$174)*(($C$69:$V$69)=E1014)*$C$3:$V$3)))</f>
        <v/>
      </c>
      <c r="F1119" s="62">
        <f>IF(F$15&lt;=1,0,SUMPRODUCT(MAX(($C$12:$V$12=F$12)*($C$174:$V$174)*(($C$69:$V$69)=F1014)*$C$3:$V$3)))</f>
        <v/>
      </c>
      <c r="G1119" s="62">
        <f>IF(G$15&lt;=1,0,SUMPRODUCT(MAX(($C$12:$V$12=G$12)*($C$174:$V$174)*(($C$69:$V$69)=G1014)*$C$3:$V$3)))</f>
        <v/>
      </c>
      <c r="H1119" s="62">
        <f>IF(H$15&lt;=1,0,SUMPRODUCT(MAX(($C$12:$V$12=H$12)*($C$174:$V$174)*(($C$69:$V$69)=H1014)*$C$3:$V$3)))</f>
        <v/>
      </c>
      <c r="I1119" s="62">
        <f>IF(I$15&lt;=1,0,SUMPRODUCT(MAX(($C$12:$V$12=I$12)*($C$174:$V$174)*(($C$69:$V$69)=I1014)*$C$3:$V$3)))</f>
        <v/>
      </c>
      <c r="J1119" s="62">
        <f>IF(J$15&lt;=1,0,SUMPRODUCT(MAX(($C$12:$V$12=J$12)*($C$174:$V$174)*(($C$69:$V$69)=J1014)*$C$3:$V$3)))</f>
        <v/>
      </c>
      <c r="K1119" s="62">
        <f>IF(K$15&lt;=1,0,SUMPRODUCT(MAX(($C$12:$V$12=K$12)*($C$174:$V$174)*(($C$69:$V$69)=K1014)*$C$3:$V$3)))</f>
        <v/>
      </c>
      <c r="L1119" s="62">
        <f>IF(L$15&lt;=1,0,SUMPRODUCT(MAX(($C$12:$V$12=L$12)*($C$174:$V$174)*(($C$69:$V$69)=L1014)*$C$3:$V$3)))</f>
        <v/>
      </c>
      <c r="M1119" s="62">
        <f>IF(M$15&lt;=1,0,SUMPRODUCT(MAX(($C$12:$V$12=M$12)*($C$174:$V$174)*(($C$69:$V$69)=M1014)*$C$3:$V$3)))</f>
        <v/>
      </c>
      <c r="N1119" s="62">
        <f>IF(N$15&lt;=1,0,SUMPRODUCT(MAX(($C$12:$V$12=N$12)*($C$174:$V$174)*(($C$69:$V$69)=N1014)*$C$3:$V$3)))</f>
        <v/>
      </c>
      <c r="O1119" s="62">
        <f>IF(O$15&lt;=1,0,SUMPRODUCT(MAX(($C$12:$V$12=O$12)*($C$174:$V$174)*(($C$69:$V$69)=O1014)*$C$3:$V$3)))</f>
        <v/>
      </c>
      <c r="P1119" s="62">
        <f>IF(P$15&lt;=1,0,SUMPRODUCT(MAX(($C$12:$V$12=P$12)*($C$174:$V$174)*(($C$69:$V$69)=P1014)*$C$3:$V$3)))</f>
        <v/>
      </c>
      <c r="Q1119" s="62">
        <f>IF(Q$15&lt;=1,0,SUMPRODUCT(MAX(($C$12:$V$12=Q$12)*($C$174:$V$174)*(($C$69:$V$69)=Q1014)*$C$3:$V$3)))</f>
        <v/>
      </c>
      <c r="R1119" s="62">
        <f>IF(R$15&lt;=1,0,SUMPRODUCT(MAX(($C$12:$V$12=R$12)*($C$174:$V$174)*(($C$69:$V$69)=R1014)*$C$3:$V$3)))</f>
        <v/>
      </c>
      <c r="S1119" s="62">
        <f>IF(S$15&lt;=1,0,SUMPRODUCT(MAX(($C$12:$V$12=S$12)*($C$174:$V$174)*(($C$69:$V$69)=S1014)*$C$3:$V$3)))</f>
        <v/>
      </c>
      <c r="T1119" s="62">
        <f>IF(T$15&lt;=1,0,SUMPRODUCT(MAX(($C$12:$V$12=T$12)*($C$174:$V$174)*(($C$69:$V$69)=T1014)*$C$3:$V$3)))</f>
        <v/>
      </c>
      <c r="U1119" s="62">
        <f>IF(U$15&lt;=1,0,SUMPRODUCT(MAX(($C$12:$V$12=U$12)*($C$174:$V$174)*(($C$69:$V$69)=U1014)*$C$3:$V$3)))</f>
        <v/>
      </c>
      <c r="V1119" s="62">
        <f>IF(V$15&lt;=1,0,SUMPRODUCT(MAX(($C$12:$V$12=V$12)*($C$174:$V$174)*(($C$69:$V$69)=V1014)*$C$3:$V$3)))</f>
        <v/>
      </c>
    </row>
    <row r="1120">
      <c r="C1120" s="62">
        <f>IF(C$15&lt;=1,0,SUMPRODUCT(MAX(($C$12:$V$12=C$12)*($C$175:$V$175)*(($C$70:$V$70)=C1015)*$C$3:$V$3)))</f>
        <v/>
      </c>
      <c r="D1120" s="62">
        <f>IF(D$15&lt;=1,0,SUMPRODUCT(MAX(($C$12:$V$12=D$12)*($C$175:$V$175)*(($C$70:$V$70)=D1015)*$C$3:$V$3)))</f>
        <v/>
      </c>
      <c r="E1120" s="62">
        <f>IF(E$15&lt;=1,0,SUMPRODUCT(MAX(($C$12:$V$12=E$12)*($C$175:$V$175)*(($C$70:$V$70)=E1015)*$C$3:$V$3)))</f>
        <v/>
      </c>
      <c r="F1120" s="62">
        <f>IF(F$15&lt;=1,0,SUMPRODUCT(MAX(($C$12:$V$12=F$12)*($C$175:$V$175)*(($C$70:$V$70)=F1015)*$C$3:$V$3)))</f>
        <v/>
      </c>
      <c r="G1120" s="62">
        <f>IF(G$15&lt;=1,0,SUMPRODUCT(MAX(($C$12:$V$12=G$12)*($C$175:$V$175)*(($C$70:$V$70)=G1015)*$C$3:$V$3)))</f>
        <v/>
      </c>
      <c r="H1120" s="62">
        <f>IF(H$15&lt;=1,0,SUMPRODUCT(MAX(($C$12:$V$12=H$12)*($C$175:$V$175)*(($C$70:$V$70)=H1015)*$C$3:$V$3)))</f>
        <v/>
      </c>
      <c r="I1120" s="62">
        <f>IF(I$15&lt;=1,0,SUMPRODUCT(MAX(($C$12:$V$12=I$12)*($C$175:$V$175)*(($C$70:$V$70)=I1015)*$C$3:$V$3)))</f>
        <v/>
      </c>
      <c r="J1120" s="62">
        <f>IF(J$15&lt;=1,0,SUMPRODUCT(MAX(($C$12:$V$12=J$12)*($C$175:$V$175)*(($C$70:$V$70)=J1015)*$C$3:$V$3)))</f>
        <v/>
      </c>
      <c r="K1120" s="62">
        <f>IF(K$15&lt;=1,0,SUMPRODUCT(MAX(($C$12:$V$12=K$12)*($C$175:$V$175)*(($C$70:$V$70)=K1015)*$C$3:$V$3)))</f>
        <v/>
      </c>
      <c r="L1120" s="62">
        <f>IF(L$15&lt;=1,0,SUMPRODUCT(MAX(($C$12:$V$12=L$12)*($C$175:$V$175)*(($C$70:$V$70)=L1015)*$C$3:$V$3)))</f>
        <v/>
      </c>
      <c r="M1120" s="62">
        <f>IF(M$15&lt;=1,0,SUMPRODUCT(MAX(($C$12:$V$12=M$12)*($C$175:$V$175)*(($C$70:$V$70)=M1015)*$C$3:$V$3)))</f>
        <v/>
      </c>
      <c r="N1120" s="62">
        <f>IF(N$15&lt;=1,0,SUMPRODUCT(MAX(($C$12:$V$12=N$12)*($C$175:$V$175)*(($C$70:$V$70)=N1015)*$C$3:$V$3)))</f>
        <v/>
      </c>
      <c r="O1120" s="62">
        <f>IF(O$15&lt;=1,0,SUMPRODUCT(MAX(($C$12:$V$12=O$12)*($C$175:$V$175)*(($C$70:$V$70)=O1015)*$C$3:$V$3)))</f>
        <v/>
      </c>
      <c r="P1120" s="62">
        <f>IF(P$15&lt;=1,0,SUMPRODUCT(MAX(($C$12:$V$12=P$12)*($C$175:$V$175)*(($C$70:$V$70)=P1015)*$C$3:$V$3)))</f>
        <v/>
      </c>
      <c r="Q1120" s="62">
        <f>IF(Q$15&lt;=1,0,SUMPRODUCT(MAX(($C$12:$V$12=Q$12)*($C$175:$V$175)*(($C$70:$V$70)=Q1015)*$C$3:$V$3)))</f>
        <v/>
      </c>
      <c r="R1120" s="62">
        <f>IF(R$15&lt;=1,0,SUMPRODUCT(MAX(($C$12:$V$12=R$12)*($C$175:$V$175)*(($C$70:$V$70)=R1015)*$C$3:$V$3)))</f>
        <v/>
      </c>
      <c r="S1120" s="62">
        <f>IF(S$15&lt;=1,0,SUMPRODUCT(MAX(($C$12:$V$12=S$12)*($C$175:$V$175)*(($C$70:$V$70)=S1015)*$C$3:$V$3)))</f>
        <v/>
      </c>
      <c r="T1120" s="62">
        <f>IF(T$15&lt;=1,0,SUMPRODUCT(MAX(($C$12:$V$12=T$12)*($C$175:$V$175)*(($C$70:$V$70)=T1015)*$C$3:$V$3)))</f>
        <v/>
      </c>
      <c r="U1120" s="62">
        <f>IF(U$15&lt;=1,0,SUMPRODUCT(MAX(($C$12:$V$12=U$12)*($C$175:$V$175)*(($C$70:$V$70)=U1015)*$C$3:$V$3)))</f>
        <v/>
      </c>
      <c r="V1120" s="62">
        <f>IF(V$15&lt;=1,0,SUMPRODUCT(MAX(($C$12:$V$12=V$12)*($C$175:$V$175)*(($C$70:$V$70)=V1015)*$C$3:$V$3)))</f>
        <v/>
      </c>
    </row>
    <row r="1121">
      <c r="C1121" s="62">
        <f>IF(C$15&lt;=1,0,SUMPRODUCT(MAX(($C$12:$V$12=C$12)*($C$176:$V$176)*(($C$71:$V$71)=C1016)*$C$3:$V$3)))</f>
        <v/>
      </c>
      <c r="D1121" s="62">
        <f>IF(D$15&lt;=1,0,SUMPRODUCT(MAX(($C$12:$V$12=D$12)*($C$176:$V$176)*(($C$71:$V$71)=D1016)*$C$3:$V$3)))</f>
        <v/>
      </c>
      <c r="E1121" s="62">
        <f>IF(E$15&lt;=1,0,SUMPRODUCT(MAX(($C$12:$V$12=E$12)*($C$176:$V$176)*(($C$71:$V$71)=E1016)*$C$3:$V$3)))</f>
        <v/>
      </c>
      <c r="F1121" s="62">
        <f>IF(F$15&lt;=1,0,SUMPRODUCT(MAX(($C$12:$V$12=F$12)*($C$176:$V$176)*(($C$71:$V$71)=F1016)*$C$3:$V$3)))</f>
        <v/>
      </c>
      <c r="G1121" s="62">
        <f>IF(G$15&lt;=1,0,SUMPRODUCT(MAX(($C$12:$V$12=G$12)*($C$176:$V$176)*(($C$71:$V$71)=G1016)*$C$3:$V$3)))</f>
        <v/>
      </c>
      <c r="H1121" s="62">
        <f>IF(H$15&lt;=1,0,SUMPRODUCT(MAX(($C$12:$V$12=H$12)*($C$176:$V$176)*(($C$71:$V$71)=H1016)*$C$3:$V$3)))</f>
        <v/>
      </c>
      <c r="I1121" s="62">
        <f>IF(I$15&lt;=1,0,SUMPRODUCT(MAX(($C$12:$V$12=I$12)*($C$176:$V$176)*(($C$71:$V$71)=I1016)*$C$3:$V$3)))</f>
        <v/>
      </c>
      <c r="J1121" s="62">
        <f>IF(J$15&lt;=1,0,SUMPRODUCT(MAX(($C$12:$V$12=J$12)*($C$176:$V$176)*(($C$71:$V$71)=J1016)*$C$3:$V$3)))</f>
        <v/>
      </c>
      <c r="K1121" s="62">
        <f>IF(K$15&lt;=1,0,SUMPRODUCT(MAX(($C$12:$V$12=K$12)*($C$176:$V$176)*(($C$71:$V$71)=K1016)*$C$3:$V$3)))</f>
        <v/>
      </c>
      <c r="L1121" s="62">
        <f>IF(L$15&lt;=1,0,SUMPRODUCT(MAX(($C$12:$V$12=L$12)*($C$176:$V$176)*(($C$71:$V$71)=L1016)*$C$3:$V$3)))</f>
        <v/>
      </c>
      <c r="M1121" s="62">
        <f>IF(M$15&lt;=1,0,SUMPRODUCT(MAX(($C$12:$V$12=M$12)*($C$176:$V$176)*(($C$71:$V$71)=M1016)*$C$3:$V$3)))</f>
        <v/>
      </c>
      <c r="N1121" s="62">
        <f>IF(N$15&lt;=1,0,SUMPRODUCT(MAX(($C$12:$V$12=N$12)*($C$176:$V$176)*(($C$71:$V$71)=N1016)*$C$3:$V$3)))</f>
        <v/>
      </c>
      <c r="O1121" s="62">
        <f>IF(O$15&lt;=1,0,SUMPRODUCT(MAX(($C$12:$V$12=O$12)*($C$176:$V$176)*(($C$71:$V$71)=O1016)*$C$3:$V$3)))</f>
        <v/>
      </c>
      <c r="P1121" s="62">
        <f>IF(P$15&lt;=1,0,SUMPRODUCT(MAX(($C$12:$V$12=P$12)*($C$176:$V$176)*(($C$71:$V$71)=P1016)*$C$3:$V$3)))</f>
        <v/>
      </c>
      <c r="Q1121" s="62">
        <f>IF(Q$15&lt;=1,0,SUMPRODUCT(MAX(($C$12:$V$12=Q$12)*($C$176:$V$176)*(($C$71:$V$71)=Q1016)*$C$3:$V$3)))</f>
        <v/>
      </c>
      <c r="R1121" s="62">
        <f>IF(R$15&lt;=1,0,SUMPRODUCT(MAX(($C$12:$V$12=R$12)*($C$176:$V$176)*(($C$71:$V$71)=R1016)*$C$3:$V$3)))</f>
        <v/>
      </c>
      <c r="S1121" s="62">
        <f>IF(S$15&lt;=1,0,SUMPRODUCT(MAX(($C$12:$V$12=S$12)*($C$176:$V$176)*(($C$71:$V$71)=S1016)*$C$3:$V$3)))</f>
        <v/>
      </c>
      <c r="T1121" s="62">
        <f>IF(T$15&lt;=1,0,SUMPRODUCT(MAX(($C$12:$V$12=T$12)*($C$176:$V$176)*(($C$71:$V$71)=T1016)*$C$3:$V$3)))</f>
        <v/>
      </c>
      <c r="U1121" s="62">
        <f>IF(U$15&lt;=1,0,SUMPRODUCT(MAX(($C$12:$V$12=U$12)*($C$176:$V$176)*(($C$71:$V$71)=U1016)*$C$3:$V$3)))</f>
        <v/>
      </c>
      <c r="V1121" s="62">
        <f>IF(V$15&lt;=1,0,SUMPRODUCT(MAX(($C$12:$V$12=V$12)*($C$176:$V$176)*(($C$71:$V$71)=V1016)*$C$3:$V$3)))</f>
        <v/>
      </c>
    </row>
    <row r="1122">
      <c r="C1122" s="62">
        <f>IF(C$15&lt;=1,0,SUMPRODUCT(MAX(($C$12:$V$12=C$12)*($C$177:$V$177)*(($C$72:$V$72)=C1017)*$C$3:$V$3)))</f>
        <v/>
      </c>
      <c r="D1122" s="62">
        <f>IF(D$15&lt;=1,0,SUMPRODUCT(MAX(($C$12:$V$12=D$12)*($C$177:$V$177)*(($C$72:$V$72)=D1017)*$C$3:$V$3)))</f>
        <v/>
      </c>
      <c r="E1122" s="62">
        <f>IF(E$15&lt;=1,0,SUMPRODUCT(MAX(($C$12:$V$12=E$12)*($C$177:$V$177)*(($C$72:$V$72)=E1017)*$C$3:$V$3)))</f>
        <v/>
      </c>
      <c r="F1122" s="62">
        <f>IF(F$15&lt;=1,0,SUMPRODUCT(MAX(($C$12:$V$12=F$12)*($C$177:$V$177)*(($C$72:$V$72)=F1017)*$C$3:$V$3)))</f>
        <v/>
      </c>
      <c r="G1122" s="62">
        <f>IF(G$15&lt;=1,0,SUMPRODUCT(MAX(($C$12:$V$12=G$12)*($C$177:$V$177)*(($C$72:$V$72)=G1017)*$C$3:$V$3)))</f>
        <v/>
      </c>
      <c r="H1122" s="62">
        <f>IF(H$15&lt;=1,0,SUMPRODUCT(MAX(($C$12:$V$12=H$12)*($C$177:$V$177)*(($C$72:$V$72)=H1017)*$C$3:$V$3)))</f>
        <v/>
      </c>
      <c r="I1122" s="62">
        <f>IF(I$15&lt;=1,0,SUMPRODUCT(MAX(($C$12:$V$12=I$12)*($C$177:$V$177)*(($C$72:$V$72)=I1017)*$C$3:$V$3)))</f>
        <v/>
      </c>
      <c r="J1122" s="62">
        <f>IF(J$15&lt;=1,0,SUMPRODUCT(MAX(($C$12:$V$12=J$12)*($C$177:$V$177)*(($C$72:$V$72)=J1017)*$C$3:$V$3)))</f>
        <v/>
      </c>
      <c r="K1122" s="62">
        <f>IF(K$15&lt;=1,0,SUMPRODUCT(MAX(($C$12:$V$12=K$12)*($C$177:$V$177)*(($C$72:$V$72)=K1017)*$C$3:$V$3)))</f>
        <v/>
      </c>
      <c r="L1122" s="62">
        <f>IF(L$15&lt;=1,0,SUMPRODUCT(MAX(($C$12:$V$12=L$12)*($C$177:$V$177)*(($C$72:$V$72)=L1017)*$C$3:$V$3)))</f>
        <v/>
      </c>
      <c r="M1122" s="62">
        <f>IF(M$15&lt;=1,0,SUMPRODUCT(MAX(($C$12:$V$12=M$12)*($C$177:$V$177)*(($C$72:$V$72)=M1017)*$C$3:$V$3)))</f>
        <v/>
      </c>
      <c r="N1122" s="62">
        <f>IF(N$15&lt;=1,0,SUMPRODUCT(MAX(($C$12:$V$12=N$12)*($C$177:$V$177)*(($C$72:$V$72)=N1017)*$C$3:$V$3)))</f>
        <v/>
      </c>
      <c r="O1122" s="62">
        <f>IF(O$15&lt;=1,0,SUMPRODUCT(MAX(($C$12:$V$12=O$12)*($C$177:$V$177)*(($C$72:$V$72)=O1017)*$C$3:$V$3)))</f>
        <v/>
      </c>
      <c r="P1122" s="62">
        <f>IF(P$15&lt;=1,0,SUMPRODUCT(MAX(($C$12:$V$12=P$12)*($C$177:$V$177)*(($C$72:$V$72)=P1017)*$C$3:$V$3)))</f>
        <v/>
      </c>
      <c r="Q1122" s="62">
        <f>IF(Q$15&lt;=1,0,SUMPRODUCT(MAX(($C$12:$V$12=Q$12)*($C$177:$V$177)*(($C$72:$V$72)=Q1017)*$C$3:$V$3)))</f>
        <v/>
      </c>
      <c r="R1122" s="62">
        <f>IF(R$15&lt;=1,0,SUMPRODUCT(MAX(($C$12:$V$12=R$12)*($C$177:$V$177)*(($C$72:$V$72)=R1017)*$C$3:$V$3)))</f>
        <v/>
      </c>
      <c r="S1122" s="62">
        <f>IF(S$15&lt;=1,0,SUMPRODUCT(MAX(($C$12:$V$12=S$12)*($C$177:$V$177)*(($C$72:$V$72)=S1017)*$C$3:$V$3)))</f>
        <v/>
      </c>
      <c r="T1122" s="62">
        <f>IF(T$15&lt;=1,0,SUMPRODUCT(MAX(($C$12:$V$12=T$12)*($C$177:$V$177)*(($C$72:$V$72)=T1017)*$C$3:$V$3)))</f>
        <v/>
      </c>
      <c r="U1122" s="62">
        <f>IF(U$15&lt;=1,0,SUMPRODUCT(MAX(($C$12:$V$12=U$12)*($C$177:$V$177)*(($C$72:$V$72)=U1017)*$C$3:$V$3)))</f>
        <v/>
      </c>
      <c r="V1122" s="62">
        <f>IF(V$15&lt;=1,0,SUMPRODUCT(MAX(($C$12:$V$12=V$12)*($C$177:$V$177)*(($C$72:$V$72)=V1017)*$C$3:$V$3)))</f>
        <v/>
      </c>
    </row>
    <row r="1123">
      <c r="C1123" s="62">
        <f>IF(C$15&lt;=1,0,SUMPRODUCT(MAX(($C$12:$V$12=C$12)*($C$178:$V$178)*(($C$73:$V$73)=C1018)*$C$3:$V$3)))</f>
        <v/>
      </c>
      <c r="D1123" s="62">
        <f>IF(D$15&lt;=1,0,SUMPRODUCT(MAX(($C$12:$V$12=D$12)*($C$178:$V$178)*(($C$73:$V$73)=D1018)*$C$3:$V$3)))</f>
        <v/>
      </c>
      <c r="E1123" s="62">
        <f>IF(E$15&lt;=1,0,SUMPRODUCT(MAX(($C$12:$V$12=E$12)*($C$178:$V$178)*(($C$73:$V$73)=E1018)*$C$3:$V$3)))</f>
        <v/>
      </c>
      <c r="F1123" s="62">
        <f>IF(F$15&lt;=1,0,SUMPRODUCT(MAX(($C$12:$V$12=F$12)*($C$178:$V$178)*(($C$73:$V$73)=F1018)*$C$3:$V$3)))</f>
        <v/>
      </c>
      <c r="G1123" s="62">
        <f>IF(G$15&lt;=1,0,SUMPRODUCT(MAX(($C$12:$V$12=G$12)*($C$178:$V$178)*(($C$73:$V$73)=G1018)*$C$3:$V$3)))</f>
        <v/>
      </c>
      <c r="H1123" s="62">
        <f>IF(H$15&lt;=1,0,SUMPRODUCT(MAX(($C$12:$V$12=H$12)*($C$178:$V$178)*(($C$73:$V$73)=H1018)*$C$3:$V$3)))</f>
        <v/>
      </c>
      <c r="I1123" s="62">
        <f>IF(I$15&lt;=1,0,SUMPRODUCT(MAX(($C$12:$V$12=I$12)*($C$178:$V$178)*(($C$73:$V$73)=I1018)*$C$3:$V$3)))</f>
        <v/>
      </c>
      <c r="J1123" s="62">
        <f>IF(J$15&lt;=1,0,SUMPRODUCT(MAX(($C$12:$V$12=J$12)*($C$178:$V$178)*(($C$73:$V$73)=J1018)*$C$3:$V$3)))</f>
        <v/>
      </c>
      <c r="K1123" s="62">
        <f>IF(K$15&lt;=1,0,SUMPRODUCT(MAX(($C$12:$V$12=K$12)*($C$178:$V$178)*(($C$73:$V$73)=K1018)*$C$3:$V$3)))</f>
        <v/>
      </c>
      <c r="L1123" s="62">
        <f>IF(L$15&lt;=1,0,SUMPRODUCT(MAX(($C$12:$V$12=L$12)*($C$178:$V$178)*(($C$73:$V$73)=L1018)*$C$3:$V$3)))</f>
        <v/>
      </c>
      <c r="M1123" s="62">
        <f>IF(M$15&lt;=1,0,SUMPRODUCT(MAX(($C$12:$V$12=M$12)*($C$178:$V$178)*(($C$73:$V$73)=M1018)*$C$3:$V$3)))</f>
        <v/>
      </c>
      <c r="N1123" s="62">
        <f>IF(N$15&lt;=1,0,SUMPRODUCT(MAX(($C$12:$V$12=N$12)*($C$178:$V$178)*(($C$73:$V$73)=N1018)*$C$3:$V$3)))</f>
        <v/>
      </c>
      <c r="O1123" s="62">
        <f>IF(O$15&lt;=1,0,SUMPRODUCT(MAX(($C$12:$V$12=O$12)*($C$178:$V$178)*(($C$73:$V$73)=O1018)*$C$3:$V$3)))</f>
        <v/>
      </c>
      <c r="P1123" s="62">
        <f>IF(P$15&lt;=1,0,SUMPRODUCT(MAX(($C$12:$V$12=P$12)*($C$178:$V$178)*(($C$73:$V$73)=P1018)*$C$3:$V$3)))</f>
        <v/>
      </c>
      <c r="Q1123" s="62">
        <f>IF(Q$15&lt;=1,0,SUMPRODUCT(MAX(($C$12:$V$12=Q$12)*($C$178:$V$178)*(($C$73:$V$73)=Q1018)*$C$3:$V$3)))</f>
        <v/>
      </c>
      <c r="R1123" s="62">
        <f>IF(R$15&lt;=1,0,SUMPRODUCT(MAX(($C$12:$V$12=R$12)*($C$178:$V$178)*(($C$73:$V$73)=R1018)*$C$3:$V$3)))</f>
        <v/>
      </c>
      <c r="S1123" s="62">
        <f>IF(S$15&lt;=1,0,SUMPRODUCT(MAX(($C$12:$V$12=S$12)*($C$178:$V$178)*(($C$73:$V$73)=S1018)*$C$3:$V$3)))</f>
        <v/>
      </c>
      <c r="T1123" s="62">
        <f>IF(T$15&lt;=1,0,SUMPRODUCT(MAX(($C$12:$V$12=T$12)*($C$178:$V$178)*(($C$73:$V$73)=T1018)*$C$3:$V$3)))</f>
        <v/>
      </c>
      <c r="U1123" s="62">
        <f>IF(U$15&lt;=1,0,SUMPRODUCT(MAX(($C$12:$V$12=U$12)*($C$178:$V$178)*(($C$73:$V$73)=U1018)*$C$3:$V$3)))</f>
        <v/>
      </c>
      <c r="V1123" s="62">
        <f>IF(V$15&lt;=1,0,SUMPRODUCT(MAX(($C$12:$V$12=V$12)*($C$178:$V$178)*(($C$73:$V$73)=V1018)*$C$3:$V$3)))</f>
        <v/>
      </c>
    </row>
    <row r="1124">
      <c r="C1124" s="62">
        <f>IF(C$15&lt;=1,0,SUMPRODUCT(MAX(($C$12:$V$12=C$12)*($C$179:$V$179)*(($C$74:$V$74)=C1019)*$C$3:$V$3)))</f>
        <v/>
      </c>
      <c r="D1124" s="62">
        <f>IF(D$15&lt;=1,0,SUMPRODUCT(MAX(($C$12:$V$12=D$12)*($C$179:$V$179)*(($C$74:$V$74)=D1019)*$C$3:$V$3)))</f>
        <v/>
      </c>
      <c r="E1124" s="62">
        <f>IF(E$15&lt;=1,0,SUMPRODUCT(MAX(($C$12:$V$12=E$12)*($C$179:$V$179)*(($C$74:$V$74)=E1019)*$C$3:$V$3)))</f>
        <v/>
      </c>
      <c r="F1124" s="62">
        <f>IF(F$15&lt;=1,0,SUMPRODUCT(MAX(($C$12:$V$12=F$12)*($C$179:$V$179)*(($C$74:$V$74)=F1019)*$C$3:$V$3)))</f>
        <v/>
      </c>
      <c r="G1124" s="62">
        <f>IF(G$15&lt;=1,0,SUMPRODUCT(MAX(($C$12:$V$12=G$12)*($C$179:$V$179)*(($C$74:$V$74)=G1019)*$C$3:$V$3)))</f>
        <v/>
      </c>
      <c r="H1124" s="62">
        <f>IF(H$15&lt;=1,0,SUMPRODUCT(MAX(($C$12:$V$12=H$12)*($C$179:$V$179)*(($C$74:$V$74)=H1019)*$C$3:$V$3)))</f>
        <v/>
      </c>
      <c r="I1124" s="62">
        <f>IF(I$15&lt;=1,0,SUMPRODUCT(MAX(($C$12:$V$12=I$12)*($C$179:$V$179)*(($C$74:$V$74)=I1019)*$C$3:$V$3)))</f>
        <v/>
      </c>
      <c r="J1124" s="62">
        <f>IF(J$15&lt;=1,0,SUMPRODUCT(MAX(($C$12:$V$12=J$12)*($C$179:$V$179)*(($C$74:$V$74)=J1019)*$C$3:$V$3)))</f>
        <v/>
      </c>
      <c r="K1124" s="62">
        <f>IF(K$15&lt;=1,0,SUMPRODUCT(MAX(($C$12:$V$12=K$12)*($C$179:$V$179)*(($C$74:$V$74)=K1019)*$C$3:$V$3)))</f>
        <v/>
      </c>
      <c r="L1124" s="62">
        <f>IF(L$15&lt;=1,0,SUMPRODUCT(MAX(($C$12:$V$12=L$12)*($C$179:$V$179)*(($C$74:$V$74)=L1019)*$C$3:$V$3)))</f>
        <v/>
      </c>
      <c r="M1124" s="62">
        <f>IF(M$15&lt;=1,0,SUMPRODUCT(MAX(($C$12:$V$12=M$12)*($C$179:$V$179)*(($C$74:$V$74)=M1019)*$C$3:$V$3)))</f>
        <v/>
      </c>
      <c r="N1124" s="62">
        <f>IF(N$15&lt;=1,0,SUMPRODUCT(MAX(($C$12:$V$12=N$12)*($C$179:$V$179)*(($C$74:$V$74)=N1019)*$C$3:$V$3)))</f>
        <v/>
      </c>
      <c r="O1124" s="62">
        <f>IF(O$15&lt;=1,0,SUMPRODUCT(MAX(($C$12:$V$12=O$12)*($C$179:$V$179)*(($C$74:$V$74)=O1019)*$C$3:$V$3)))</f>
        <v/>
      </c>
      <c r="P1124" s="62">
        <f>IF(P$15&lt;=1,0,SUMPRODUCT(MAX(($C$12:$V$12=P$12)*($C$179:$V$179)*(($C$74:$V$74)=P1019)*$C$3:$V$3)))</f>
        <v/>
      </c>
      <c r="Q1124" s="62">
        <f>IF(Q$15&lt;=1,0,SUMPRODUCT(MAX(($C$12:$V$12=Q$12)*($C$179:$V$179)*(($C$74:$V$74)=Q1019)*$C$3:$V$3)))</f>
        <v/>
      </c>
      <c r="R1124" s="62">
        <f>IF(R$15&lt;=1,0,SUMPRODUCT(MAX(($C$12:$V$12=R$12)*($C$179:$V$179)*(($C$74:$V$74)=R1019)*$C$3:$V$3)))</f>
        <v/>
      </c>
      <c r="S1124" s="62">
        <f>IF(S$15&lt;=1,0,SUMPRODUCT(MAX(($C$12:$V$12=S$12)*($C$179:$V$179)*(($C$74:$V$74)=S1019)*$C$3:$V$3)))</f>
        <v/>
      </c>
      <c r="T1124" s="62">
        <f>IF(T$15&lt;=1,0,SUMPRODUCT(MAX(($C$12:$V$12=T$12)*($C$179:$V$179)*(($C$74:$V$74)=T1019)*$C$3:$V$3)))</f>
        <v/>
      </c>
      <c r="U1124" s="62">
        <f>IF(U$15&lt;=1,0,SUMPRODUCT(MAX(($C$12:$V$12=U$12)*($C$179:$V$179)*(($C$74:$V$74)=U1019)*$C$3:$V$3)))</f>
        <v/>
      </c>
      <c r="V1124" s="62">
        <f>IF(V$15&lt;=1,0,SUMPRODUCT(MAX(($C$12:$V$12=V$12)*($C$179:$V$179)*(($C$74:$V$74)=V1019)*$C$3:$V$3)))</f>
        <v/>
      </c>
    </row>
    <row r="1125">
      <c r="C1125" s="62">
        <f>IF(C$15&lt;=1,0,SUMPRODUCT(MAX(($C$12:$V$12=C$12)*($C$180:$V$180)*(($C$75:$V$75)=C1020)*$C$3:$V$3)))</f>
        <v/>
      </c>
      <c r="D1125" s="62">
        <f>IF(D$15&lt;=1,0,SUMPRODUCT(MAX(($C$12:$V$12=D$12)*($C$180:$V$180)*(($C$75:$V$75)=D1020)*$C$3:$V$3)))</f>
        <v/>
      </c>
      <c r="E1125" s="62">
        <f>IF(E$15&lt;=1,0,SUMPRODUCT(MAX(($C$12:$V$12=E$12)*($C$180:$V$180)*(($C$75:$V$75)=E1020)*$C$3:$V$3)))</f>
        <v/>
      </c>
      <c r="F1125" s="62">
        <f>IF(F$15&lt;=1,0,SUMPRODUCT(MAX(($C$12:$V$12=F$12)*($C$180:$V$180)*(($C$75:$V$75)=F1020)*$C$3:$V$3)))</f>
        <v/>
      </c>
      <c r="G1125" s="62">
        <f>IF(G$15&lt;=1,0,SUMPRODUCT(MAX(($C$12:$V$12=G$12)*($C$180:$V$180)*(($C$75:$V$75)=G1020)*$C$3:$V$3)))</f>
        <v/>
      </c>
      <c r="H1125" s="62">
        <f>IF(H$15&lt;=1,0,SUMPRODUCT(MAX(($C$12:$V$12=H$12)*($C$180:$V$180)*(($C$75:$V$75)=H1020)*$C$3:$V$3)))</f>
        <v/>
      </c>
      <c r="I1125" s="62">
        <f>IF(I$15&lt;=1,0,SUMPRODUCT(MAX(($C$12:$V$12=I$12)*($C$180:$V$180)*(($C$75:$V$75)=I1020)*$C$3:$V$3)))</f>
        <v/>
      </c>
      <c r="J1125" s="62">
        <f>IF(J$15&lt;=1,0,SUMPRODUCT(MAX(($C$12:$V$12=J$12)*($C$180:$V$180)*(($C$75:$V$75)=J1020)*$C$3:$V$3)))</f>
        <v/>
      </c>
      <c r="K1125" s="62">
        <f>IF(K$15&lt;=1,0,SUMPRODUCT(MAX(($C$12:$V$12=K$12)*($C$180:$V$180)*(($C$75:$V$75)=K1020)*$C$3:$V$3)))</f>
        <v/>
      </c>
      <c r="L1125" s="62">
        <f>IF(L$15&lt;=1,0,SUMPRODUCT(MAX(($C$12:$V$12=L$12)*($C$180:$V$180)*(($C$75:$V$75)=L1020)*$C$3:$V$3)))</f>
        <v/>
      </c>
      <c r="M1125" s="62">
        <f>IF(M$15&lt;=1,0,SUMPRODUCT(MAX(($C$12:$V$12=M$12)*($C$180:$V$180)*(($C$75:$V$75)=M1020)*$C$3:$V$3)))</f>
        <v/>
      </c>
      <c r="N1125" s="62">
        <f>IF(N$15&lt;=1,0,SUMPRODUCT(MAX(($C$12:$V$12=N$12)*($C$180:$V$180)*(($C$75:$V$75)=N1020)*$C$3:$V$3)))</f>
        <v/>
      </c>
      <c r="O1125" s="62">
        <f>IF(O$15&lt;=1,0,SUMPRODUCT(MAX(($C$12:$V$12=O$12)*($C$180:$V$180)*(($C$75:$V$75)=O1020)*$C$3:$V$3)))</f>
        <v/>
      </c>
      <c r="P1125" s="62">
        <f>IF(P$15&lt;=1,0,SUMPRODUCT(MAX(($C$12:$V$12=P$12)*($C$180:$V$180)*(($C$75:$V$75)=P1020)*$C$3:$V$3)))</f>
        <v/>
      </c>
      <c r="Q1125" s="62">
        <f>IF(Q$15&lt;=1,0,SUMPRODUCT(MAX(($C$12:$V$12=Q$12)*($C$180:$V$180)*(($C$75:$V$75)=Q1020)*$C$3:$V$3)))</f>
        <v/>
      </c>
      <c r="R1125" s="62">
        <f>IF(R$15&lt;=1,0,SUMPRODUCT(MAX(($C$12:$V$12=R$12)*($C$180:$V$180)*(($C$75:$V$75)=R1020)*$C$3:$V$3)))</f>
        <v/>
      </c>
      <c r="S1125" s="62">
        <f>IF(S$15&lt;=1,0,SUMPRODUCT(MAX(($C$12:$V$12=S$12)*($C$180:$V$180)*(($C$75:$V$75)=S1020)*$C$3:$V$3)))</f>
        <v/>
      </c>
      <c r="T1125" s="62">
        <f>IF(T$15&lt;=1,0,SUMPRODUCT(MAX(($C$12:$V$12=T$12)*($C$180:$V$180)*(($C$75:$V$75)=T1020)*$C$3:$V$3)))</f>
        <v/>
      </c>
      <c r="U1125" s="62">
        <f>IF(U$15&lt;=1,0,SUMPRODUCT(MAX(($C$12:$V$12=U$12)*($C$180:$V$180)*(($C$75:$V$75)=U1020)*$C$3:$V$3)))</f>
        <v/>
      </c>
      <c r="V1125" s="62">
        <f>IF(V$15&lt;=1,0,SUMPRODUCT(MAX(($C$12:$V$12=V$12)*($C$180:$V$180)*(($C$75:$V$75)=V1020)*$C$3:$V$3)))</f>
        <v/>
      </c>
    </row>
    <row r="1126">
      <c r="C1126" s="62">
        <f>IF(C$15&lt;=1,0,SUMPRODUCT(MAX(($C$12:$V$12=C$12)*($C$181:$V$181)*(($C$76:$V$76)=C1021)*$C$3:$V$3)))</f>
        <v/>
      </c>
      <c r="D1126" s="62">
        <f>IF(D$15&lt;=1,0,SUMPRODUCT(MAX(($C$12:$V$12=D$12)*($C$181:$V$181)*(($C$76:$V$76)=D1021)*$C$3:$V$3)))</f>
        <v/>
      </c>
      <c r="E1126" s="62">
        <f>IF(E$15&lt;=1,0,SUMPRODUCT(MAX(($C$12:$V$12=E$12)*($C$181:$V$181)*(($C$76:$V$76)=E1021)*$C$3:$V$3)))</f>
        <v/>
      </c>
      <c r="F1126" s="62">
        <f>IF(F$15&lt;=1,0,SUMPRODUCT(MAX(($C$12:$V$12=F$12)*($C$181:$V$181)*(($C$76:$V$76)=F1021)*$C$3:$V$3)))</f>
        <v/>
      </c>
      <c r="G1126" s="62">
        <f>IF(G$15&lt;=1,0,SUMPRODUCT(MAX(($C$12:$V$12=G$12)*($C$181:$V$181)*(($C$76:$V$76)=G1021)*$C$3:$V$3)))</f>
        <v/>
      </c>
      <c r="H1126" s="62">
        <f>IF(H$15&lt;=1,0,SUMPRODUCT(MAX(($C$12:$V$12=H$12)*($C$181:$V$181)*(($C$76:$V$76)=H1021)*$C$3:$V$3)))</f>
        <v/>
      </c>
      <c r="I1126" s="62">
        <f>IF(I$15&lt;=1,0,SUMPRODUCT(MAX(($C$12:$V$12=I$12)*($C$181:$V$181)*(($C$76:$V$76)=I1021)*$C$3:$V$3)))</f>
        <v/>
      </c>
      <c r="J1126" s="62">
        <f>IF(J$15&lt;=1,0,SUMPRODUCT(MAX(($C$12:$V$12=J$12)*($C$181:$V$181)*(($C$76:$V$76)=J1021)*$C$3:$V$3)))</f>
        <v/>
      </c>
      <c r="K1126" s="62">
        <f>IF(K$15&lt;=1,0,SUMPRODUCT(MAX(($C$12:$V$12=K$12)*($C$181:$V$181)*(($C$76:$V$76)=K1021)*$C$3:$V$3)))</f>
        <v/>
      </c>
      <c r="L1126" s="62">
        <f>IF(L$15&lt;=1,0,SUMPRODUCT(MAX(($C$12:$V$12=L$12)*($C$181:$V$181)*(($C$76:$V$76)=L1021)*$C$3:$V$3)))</f>
        <v/>
      </c>
      <c r="M1126" s="62">
        <f>IF(M$15&lt;=1,0,SUMPRODUCT(MAX(($C$12:$V$12=M$12)*($C$181:$V$181)*(($C$76:$V$76)=M1021)*$C$3:$V$3)))</f>
        <v/>
      </c>
      <c r="N1126" s="62">
        <f>IF(N$15&lt;=1,0,SUMPRODUCT(MAX(($C$12:$V$12=N$12)*($C$181:$V$181)*(($C$76:$V$76)=N1021)*$C$3:$V$3)))</f>
        <v/>
      </c>
      <c r="O1126" s="62">
        <f>IF(O$15&lt;=1,0,SUMPRODUCT(MAX(($C$12:$V$12=O$12)*($C$181:$V$181)*(($C$76:$V$76)=O1021)*$C$3:$V$3)))</f>
        <v/>
      </c>
      <c r="P1126" s="62">
        <f>IF(P$15&lt;=1,0,SUMPRODUCT(MAX(($C$12:$V$12=P$12)*($C$181:$V$181)*(($C$76:$V$76)=P1021)*$C$3:$V$3)))</f>
        <v/>
      </c>
      <c r="Q1126" s="62">
        <f>IF(Q$15&lt;=1,0,SUMPRODUCT(MAX(($C$12:$V$12=Q$12)*($C$181:$V$181)*(($C$76:$V$76)=Q1021)*$C$3:$V$3)))</f>
        <v/>
      </c>
      <c r="R1126" s="62">
        <f>IF(R$15&lt;=1,0,SUMPRODUCT(MAX(($C$12:$V$12=R$12)*($C$181:$V$181)*(($C$76:$V$76)=R1021)*$C$3:$V$3)))</f>
        <v/>
      </c>
      <c r="S1126" s="62">
        <f>IF(S$15&lt;=1,0,SUMPRODUCT(MAX(($C$12:$V$12=S$12)*($C$181:$V$181)*(($C$76:$V$76)=S1021)*$C$3:$V$3)))</f>
        <v/>
      </c>
      <c r="T1126" s="62">
        <f>IF(T$15&lt;=1,0,SUMPRODUCT(MAX(($C$12:$V$12=T$12)*($C$181:$V$181)*(($C$76:$V$76)=T1021)*$C$3:$V$3)))</f>
        <v/>
      </c>
      <c r="U1126" s="62">
        <f>IF(U$15&lt;=1,0,SUMPRODUCT(MAX(($C$12:$V$12=U$12)*($C$181:$V$181)*(($C$76:$V$76)=U1021)*$C$3:$V$3)))</f>
        <v/>
      </c>
      <c r="V1126" s="62">
        <f>IF(V$15&lt;=1,0,SUMPRODUCT(MAX(($C$12:$V$12=V$12)*($C$181:$V$181)*(($C$76:$V$76)=V1021)*$C$3:$V$3)))</f>
        <v/>
      </c>
    </row>
    <row r="1127">
      <c r="C1127" s="62">
        <f>IF(C$15&lt;=1,0,SUMPRODUCT(MAX(($C$12:$V$12=C$12)*($C$182:$V$182)*(($C$77:$V$77)=C1022)*$C$3:$V$3)))</f>
        <v/>
      </c>
      <c r="D1127" s="62">
        <f>IF(D$15&lt;=1,0,SUMPRODUCT(MAX(($C$12:$V$12=D$12)*($C$182:$V$182)*(($C$77:$V$77)=D1022)*$C$3:$V$3)))</f>
        <v/>
      </c>
      <c r="E1127" s="62">
        <f>IF(E$15&lt;=1,0,SUMPRODUCT(MAX(($C$12:$V$12=E$12)*($C$182:$V$182)*(($C$77:$V$77)=E1022)*$C$3:$V$3)))</f>
        <v/>
      </c>
      <c r="F1127" s="62">
        <f>IF(F$15&lt;=1,0,SUMPRODUCT(MAX(($C$12:$V$12=F$12)*($C$182:$V$182)*(($C$77:$V$77)=F1022)*$C$3:$V$3)))</f>
        <v/>
      </c>
      <c r="G1127" s="62">
        <f>IF(G$15&lt;=1,0,SUMPRODUCT(MAX(($C$12:$V$12=G$12)*($C$182:$V$182)*(($C$77:$V$77)=G1022)*$C$3:$V$3)))</f>
        <v/>
      </c>
      <c r="H1127" s="62">
        <f>IF(H$15&lt;=1,0,SUMPRODUCT(MAX(($C$12:$V$12=H$12)*($C$182:$V$182)*(($C$77:$V$77)=H1022)*$C$3:$V$3)))</f>
        <v/>
      </c>
      <c r="I1127" s="62">
        <f>IF(I$15&lt;=1,0,SUMPRODUCT(MAX(($C$12:$V$12=I$12)*($C$182:$V$182)*(($C$77:$V$77)=I1022)*$C$3:$V$3)))</f>
        <v/>
      </c>
      <c r="J1127" s="62">
        <f>IF(J$15&lt;=1,0,SUMPRODUCT(MAX(($C$12:$V$12=J$12)*($C$182:$V$182)*(($C$77:$V$77)=J1022)*$C$3:$V$3)))</f>
        <v/>
      </c>
      <c r="K1127" s="62">
        <f>IF(K$15&lt;=1,0,SUMPRODUCT(MAX(($C$12:$V$12=K$12)*($C$182:$V$182)*(($C$77:$V$77)=K1022)*$C$3:$V$3)))</f>
        <v/>
      </c>
      <c r="L1127" s="62">
        <f>IF(L$15&lt;=1,0,SUMPRODUCT(MAX(($C$12:$V$12=L$12)*($C$182:$V$182)*(($C$77:$V$77)=L1022)*$C$3:$V$3)))</f>
        <v/>
      </c>
      <c r="M1127" s="62">
        <f>IF(M$15&lt;=1,0,SUMPRODUCT(MAX(($C$12:$V$12=M$12)*($C$182:$V$182)*(($C$77:$V$77)=M1022)*$C$3:$V$3)))</f>
        <v/>
      </c>
      <c r="N1127" s="62">
        <f>IF(N$15&lt;=1,0,SUMPRODUCT(MAX(($C$12:$V$12=N$12)*($C$182:$V$182)*(($C$77:$V$77)=N1022)*$C$3:$V$3)))</f>
        <v/>
      </c>
      <c r="O1127" s="62">
        <f>IF(O$15&lt;=1,0,SUMPRODUCT(MAX(($C$12:$V$12=O$12)*($C$182:$V$182)*(($C$77:$V$77)=O1022)*$C$3:$V$3)))</f>
        <v/>
      </c>
      <c r="P1127" s="62">
        <f>IF(P$15&lt;=1,0,SUMPRODUCT(MAX(($C$12:$V$12=P$12)*($C$182:$V$182)*(($C$77:$V$77)=P1022)*$C$3:$V$3)))</f>
        <v/>
      </c>
      <c r="Q1127" s="62">
        <f>IF(Q$15&lt;=1,0,SUMPRODUCT(MAX(($C$12:$V$12=Q$12)*($C$182:$V$182)*(($C$77:$V$77)=Q1022)*$C$3:$V$3)))</f>
        <v/>
      </c>
      <c r="R1127" s="62">
        <f>IF(R$15&lt;=1,0,SUMPRODUCT(MAX(($C$12:$V$12=R$12)*($C$182:$V$182)*(($C$77:$V$77)=R1022)*$C$3:$V$3)))</f>
        <v/>
      </c>
      <c r="S1127" s="62">
        <f>IF(S$15&lt;=1,0,SUMPRODUCT(MAX(($C$12:$V$12=S$12)*($C$182:$V$182)*(($C$77:$V$77)=S1022)*$C$3:$V$3)))</f>
        <v/>
      </c>
      <c r="T1127" s="62">
        <f>IF(T$15&lt;=1,0,SUMPRODUCT(MAX(($C$12:$V$12=T$12)*($C$182:$V$182)*(($C$77:$V$77)=T1022)*$C$3:$V$3)))</f>
        <v/>
      </c>
      <c r="U1127" s="62">
        <f>IF(U$15&lt;=1,0,SUMPRODUCT(MAX(($C$12:$V$12=U$12)*($C$182:$V$182)*(($C$77:$V$77)=U1022)*$C$3:$V$3)))</f>
        <v/>
      </c>
      <c r="V1127" s="62">
        <f>IF(V$15&lt;=1,0,SUMPRODUCT(MAX(($C$12:$V$12=V$12)*($C$182:$V$182)*(($C$77:$V$77)=V1022)*$C$3:$V$3)))</f>
        <v/>
      </c>
    </row>
    <row r="1128">
      <c r="C1128" s="62">
        <f>IF(C$15&lt;=1,0,SUMPRODUCT(MAX(($C$12:$V$12=C$12)*($C$183:$V$183)*(($C$78:$V$78)=C1023)*$C$3:$V$3)))</f>
        <v/>
      </c>
      <c r="D1128" s="62">
        <f>IF(D$15&lt;=1,0,SUMPRODUCT(MAX(($C$12:$V$12=D$12)*($C$183:$V$183)*(($C$78:$V$78)=D1023)*$C$3:$V$3)))</f>
        <v/>
      </c>
      <c r="E1128" s="62">
        <f>IF(E$15&lt;=1,0,SUMPRODUCT(MAX(($C$12:$V$12=E$12)*($C$183:$V$183)*(($C$78:$V$78)=E1023)*$C$3:$V$3)))</f>
        <v/>
      </c>
      <c r="F1128" s="62">
        <f>IF(F$15&lt;=1,0,SUMPRODUCT(MAX(($C$12:$V$12=F$12)*($C$183:$V$183)*(($C$78:$V$78)=F1023)*$C$3:$V$3)))</f>
        <v/>
      </c>
      <c r="G1128" s="62">
        <f>IF(G$15&lt;=1,0,SUMPRODUCT(MAX(($C$12:$V$12=G$12)*($C$183:$V$183)*(($C$78:$V$78)=G1023)*$C$3:$V$3)))</f>
        <v/>
      </c>
      <c r="H1128" s="62">
        <f>IF(H$15&lt;=1,0,SUMPRODUCT(MAX(($C$12:$V$12=H$12)*($C$183:$V$183)*(($C$78:$V$78)=H1023)*$C$3:$V$3)))</f>
        <v/>
      </c>
      <c r="I1128" s="62">
        <f>IF(I$15&lt;=1,0,SUMPRODUCT(MAX(($C$12:$V$12=I$12)*($C$183:$V$183)*(($C$78:$V$78)=I1023)*$C$3:$V$3)))</f>
        <v/>
      </c>
      <c r="J1128" s="62">
        <f>IF(J$15&lt;=1,0,SUMPRODUCT(MAX(($C$12:$V$12=J$12)*($C$183:$V$183)*(($C$78:$V$78)=J1023)*$C$3:$V$3)))</f>
        <v/>
      </c>
      <c r="K1128" s="62">
        <f>IF(K$15&lt;=1,0,SUMPRODUCT(MAX(($C$12:$V$12=K$12)*($C$183:$V$183)*(($C$78:$V$78)=K1023)*$C$3:$V$3)))</f>
        <v/>
      </c>
      <c r="L1128" s="62">
        <f>IF(L$15&lt;=1,0,SUMPRODUCT(MAX(($C$12:$V$12=L$12)*($C$183:$V$183)*(($C$78:$V$78)=L1023)*$C$3:$V$3)))</f>
        <v/>
      </c>
      <c r="M1128" s="62">
        <f>IF(M$15&lt;=1,0,SUMPRODUCT(MAX(($C$12:$V$12=M$12)*($C$183:$V$183)*(($C$78:$V$78)=M1023)*$C$3:$V$3)))</f>
        <v/>
      </c>
      <c r="N1128" s="62">
        <f>IF(N$15&lt;=1,0,SUMPRODUCT(MAX(($C$12:$V$12=N$12)*($C$183:$V$183)*(($C$78:$V$78)=N1023)*$C$3:$V$3)))</f>
        <v/>
      </c>
      <c r="O1128" s="62">
        <f>IF(O$15&lt;=1,0,SUMPRODUCT(MAX(($C$12:$V$12=O$12)*($C$183:$V$183)*(($C$78:$V$78)=O1023)*$C$3:$V$3)))</f>
        <v/>
      </c>
      <c r="P1128" s="62">
        <f>IF(P$15&lt;=1,0,SUMPRODUCT(MAX(($C$12:$V$12=P$12)*($C$183:$V$183)*(($C$78:$V$78)=P1023)*$C$3:$V$3)))</f>
        <v/>
      </c>
      <c r="Q1128" s="62">
        <f>IF(Q$15&lt;=1,0,SUMPRODUCT(MAX(($C$12:$V$12=Q$12)*($C$183:$V$183)*(($C$78:$V$78)=Q1023)*$C$3:$V$3)))</f>
        <v/>
      </c>
      <c r="R1128" s="62">
        <f>IF(R$15&lt;=1,0,SUMPRODUCT(MAX(($C$12:$V$12=R$12)*($C$183:$V$183)*(($C$78:$V$78)=R1023)*$C$3:$V$3)))</f>
        <v/>
      </c>
      <c r="S1128" s="62">
        <f>IF(S$15&lt;=1,0,SUMPRODUCT(MAX(($C$12:$V$12=S$12)*($C$183:$V$183)*(($C$78:$V$78)=S1023)*$C$3:$V$3)))</f>
        <v/>
      </c>
      <c r="T1128" s="62">
        <f>IF(T$15&lt;=1,0,SUMPRODUCT(MAX(($C$12:$V$12=T$12)*($C$183:$V$183)*(($C$78:$V$78)=T1023)*$C$3:$V$3)))</f>
        <v/>
      </c>
      <c r="U1128" s="62">
        <f>IF(U$15&lt;=1,0,SUMPRODUCT(MAX(($C$12:$V$12=U$12)*($C$183:$V$183)*(($C$78:$V$78)=U1023)*$C$3:$V$3)))</f>
        <v/>
      </c>
      <c r="V1128" s="62">
        <f>IF(V$15&lt;=1,0,SUMPRODUCT(MAX(($C$12:$V$12=V$12)*($C$183:$V$183)*(($C$78:$V$78)=V1023)*$C$3:$V$3)))</f>
        <v/>
      </c>
    </row>
    <row r="1129">
      <c r="C1129" s="62">
        <f>IF(C$15&lt;=1,0,SUMPRODUCT(MAX(($C$12:$V$12=C$12)*($C$184:$V$184)*(($C$79:$V$79)=C1024)*$C$3:$V$3)))</f>
        <v/>
      </c>
      <c r="D1129" s="62">
        <f>IF(D$15&lt;=1,0,SUMPRODUCT(MAX(($C$12:$V$12=D$12)*($C$184:$V$184)*(($C$79:$V$79)=D1024)*$C$3:$V$3)))</f>
        <v/>
      </c>
      <c r="E1129" s="62">
        <f>IF(E$15&lt;=1,0,SUMPRODUCT(MAX(($C$12:$V$12=E$12)*($C$184:$V$184)*(($C$79:$V$79)=E1024)*$C$3:$V$3)))</f>
        <v/>
      </c>
      <c r="F1129" s="62">
        <f>IF(F$15&lt;=1,0,SUMPRODUCT(MAX(($C$12:$V$12=F$12)*($C$184:$V$184)*(($C$79:$V$79)=F1024)*$C$3:$V$3)))</f>
        <v/>
      </c>
      <c r="G1129" s="62">
        <f>IF(G$15&lt;=1,0,SUMPRODUCT(MAX(($C$12:$V$12=G$12)*($C$184:$V$184)*(($C$79:$V$79)=G1024)*$C$3:$V$3)))</f>
        <v/>
      </c>
      <c r="H1129" s="62">
        <f>IF(H$15&lt;=1,0,SUMPRODUCT(MAX(($C$12:$V$12=H$12)*($C$184:$V$184)*(($C$79:$V$79)=H1024)*$C$3:$V$3)))</f>
        <v/>
      </c>
      <c r="I1129" s="62">
        <f>IF(I$15&lt;=1,0,SUMPRODUCT(MAX(($C$12:$V$12=I$12)*($C$184:$V$184)*(($C$79:$V$79)=I1024)*$C$3:$V$3)))</f>
        <v/>
      </c>
      <c r="J1129" s="62">
        <f>IF(J$15&lt;=1,0,SUMPRODUCT(MAX(($C$12:$V$12=J$12)*($C$184:$V$184)*(($C$79:$V$79)=J1024)*$C$3:$V$3)))</f>
        <v/>
      </c>
      <c r="K1129" s="62">
        <f>IF(K$15&lt;=1,0,SUMPRODUCT(MAX(($C$12:$V$12=K$12)*($C$184:$V$184)*(($C$79:$V$79)=K1024)*$C$3:$V$3)))</f>
        <v/>
      </c>
      <c r="L1129" s="62">
        <f>IF(L$15&lt;=1,0,SUMPRODUCT(MAX(($C$12:$V$12=L$12)*($C$184:$V$184)*(($C$79:$V$79)=L1024)*$C$3:$V$3)))</f>
        <v/>
      </c>
      <c r="M1129" s="62">
        <f>IF(M$15&lt;=1,0,SUMPRODUCT(MAX(($C$12:$V$12=M$12)*($C$184:$V$184)*(($C$79:$V$79)=M1024)*$C$3:$V$3)))</f>
        <v/>
      </c>
      <c r="N1129" s="62">
        <f>IF(N$15&lt;=1,0,SUMPRODUCT(MAX(($C$12:$V$12=N$12)*($C$184:$V$184)*(($C$79:$V$79)=N1024)*$C$3:$V$3)))</f>
        <v/>
      </c>
      <c r="O1129" s="62">
        <f>IF(O$15&lt;=1,0,SUMPRODUCT(MAX(($C$12:$V$12=O$12)*($C$184:$V$184)*(($C$79:$V$79)=O1024)*$C$3:$V$3)))</f>
        <v/>
      </c>
      <c r="P1129" s="62">
        <f>IF(P$15&lt;=1,0,SUMPRODUCT(MAX(($C$12:$V$12=P$12)*($C$184:$V$184)*(($C$79:$V$79)=P1024)*$C$3:$V$3)))</f>
        <v/>
      </c>
      <c r="Q1129" s="62">
        <f>IF(Q$15&lt;=1,0,SUMPRODUCT(MAX(($C$12:$V$12=Q$12)*($C$184:$V$184)*(($C$79:$V$79)=Q1024)*$C$3:$V$3)))</f>
        <v/>
      </c>
      <c r="R1129" s="62">
        <f>IF(R$15&lt;=1,0,SUMPRODUCT(MAX(($C$12:$V$12=R$12)*($C$184:$V$184)*(($C$79:$V$79)=R1024)*$C$3:$V$3)))</f>
        <v/>
      </c>
      <c r="S1129" s="62">
        <f>IF(S$15&lt;=1,0,SUMPRODUCT(MAX(($C$12:$V$12=S$12)*($C$184:$V$184)*(($C$79:$V$79)=S1024)*$C$3:$V$3)))</f>
        <v/>
      </c>
      <c r="T1129" s="62">
        <f>IF(T$15&lt;=1,0,SUMPRODUCT(MAX(($C$12:$V$12=T$12)*($C$184:$V$184)*(($C$79:$V$79)=T1024)*$C$3:$V$3)))</f>
        <v/>
      </c>
      <c r="U1129" s="62">
        <f>IF(U$15&lt;=1,0,SUMPRODUCT(MAX(($C$12:$V$12=U$12)*($C$184:$V$184)*(($C$79:$V$79)=U1024)*$C$3:$V$3)))</f>
        <v/>
      </c>
      <c r="V1129" s="62">
        <f>IF(V$15&lt;=1,0,SUMPRODUCT(MAX(($C$12:$V$12=V$12)*($C$184:$V$184)*(($C$79:$V$79)=V1024)*$C$3:$V$3)))</f>
        <v/>
      </c>
    </row>
    <row r="1130">
      <c r="C1130" s="62">
        <f>IF(C$15&lt;=1,0,SUMPRODUCT(MAX(($C$12:$V$12=C$12)*($C$185:$V$185)*(($C$80:$V$80)=C1025)*$C$3:$V$3)))</f>
        <v/>
      </c>
      <c r="D1130" s="62">
        <f>IF(D$15&lt;=1,0,SUMPRODUCT(MAX(($C$12:$V$12=D$12)*($C$185:$V$185)*(($C$80:$V$80)=D1025)*$C$3:$V$3)))</f>
        <v/>
      </c>
      <c r="E1130" s="62">
        <f>IF(E$15&lt;=1,0,SUMPRODUCT(MAX(($C$12:$V$12=E$12)*($C$185:$V$185)*(($C$80:$V$80)=E1025)*$C$3:$V$3)))</f>
        <v/>
      </c>
      <c r="F1130" s="62">
        <f>IF(F$15&lt;=1,0,SUMPRODUCT(MAX(($C$12:$V$12=F$12)*($C$185:$V$185)*(($C$80:$V$80)=F1025)*$C$3:$V$3)))</f>
        <v/>
      </c>
      <c r="G1130" s="62">
        <f>IF(G$15&lt;=1,0,SUMPRODUCT(MAX(($C$12:$V$12=G$12)*($C$185:$V$185)*(($C$80:$V$80)=G1025)*$C$3:$V$3)))</f>
        <v/>
      </c>
      <c r="H1130" s="62">
        <f>IF(H$15&lt;=1,0,SUMPRODUCT(MAX(($C$12:$V$12=H$12)*($C$185:$V$185)*(($C$80:$V$80)=H1025)*$C$3:$V$3)))</f>
        <v/>
      </c>
      <c r="I1130" s="62">
        <f>IF(I$15&lt;=1,0,SUMPRODUCT(MAX(($C$12:$V$12=I$12)*($C$185:$V$185)*(($C$80:$V$80)=I1025)*$C$3:$V$3)))</f>
        <v/>
      </c>
      <c r="J1130" s="62">
        <f>IF(J$15&lt;=1,0,SUMPRODUCT(MAX(($C$12:$V$12=J$12)*($C$185:$V$185)*(($C$80:$V$80)=J1025)*$C$3:$V$3)))</f>
        <v/>
      </c>
      <c r="K1130" s="62">
        <f>IF(K$15&lt;=1,0,SUMPRODUCT(MAX(($C$12:$V$12=K$12)*($C$185:$V$185)*(($C$80:$V$80)=K1025)*$C$3:$V$3)))</f>
        <v/>
      </c>
      <c r="L1130" s="62">
        <f>IF(L$15&lt;=1,0,SUMPRODUCT(MAX(($C$12:$V$12=L$12)*($C$185:$V$185)*(($C$80:$V$80)=L1025)*$C$3:$V$3)))</f>
        <v/>
      </c>
      <c r="M1130" s="62">
        <f>IF(M$15&lt;=1,0,SUMPRODUCT(MAX(($C$12:$V$12=M$12)*($C$185:$V$185)*(($C$80:$V$80)=M1025)*$C$3:$V$3)))</f>
        <v/>
      </c>
      <c r="N1130" s="62">
        <f>IF(N$15&lt;=1,0,SUMPRODUCT(MAX(($C$12:$V$12=N$12)*($C$185:$V$185)*(($C$80:$V$80)=N1025)*$C$3:$V$3)))</f>
        <v/>
      </c>
      <c r="O1130" s="62">
        <f>IF(O$15&lt;=1,0,SUMPRODUCT(MAX(($C$12:$V$12=O$12)*($C$185:$V$185)*(($C$80:$V$80)=O1025)*$C$3:$V$3)))</f>
        <v/>
      </c>
      <c r="P1130" s="62">
        <f>IF(P$15&lt;=1,0,SUMPRODUCT(MAX(($C$12:$V$12=P$12)*($C$185:$V$185)*(($C$80:$V$80)=P1025)*$C$3:$V$3)))</f>
        <v/>
      </c>
      <c r="Q1130" s="62">
        <f>IF(Q$15&lt;=1,0,SUMPRODUCT(MAX(($C$12:$V$12=Q$12)*($C$185:$V$185)*(($C$80:$V$80)=Q1025)*$C$3:$V$3)))</f>
        <v/>
      </c>
      <c r="R1130" s="62">
        <f>IF(R$15&lt;=1,0,SUMPRODUCT(MAX(($C$12:$V$12=R$12)*($C$185:$V$185)*(($C$80:$V$80)=R1025)*$C$3:$V$3)))</f>
        <v/>
      </c>
      <c r="S1130" s="62">
        <f>IF(S$15&lt;=1,0,SUMPRODUCT(MAX(($C$12:$V$12=S$12)*($C$185:$V$185)*(($C$80:$V$80)=S1025)*$C$3:$V$3)))</f>
        <v/>
      </c>
      <c r="T1130" s="62">
        <f>IF(T$15&lt;=1,0,SUMPRODUCT(MAX(($C$12:$V$12=T$12)*($C$185:$V$185)*(($C$80:$V$80)=T1025)*$C$3:$V$3)))</f>
        <v/>
      </c>
      <c r="U1130" s="62">
        <f>IF(U$15&lt;=1,0,SUMPRODUCT(MAX(($C$12:$V$12=U$12)*($C$185:$V$185)*(($C$80:$V$80)=U1025)*$C$3:$V$3)))</f>
        <v/>
      </c>
      <c r="V1130" s="62">
        <f>IF(V$15&lt;=1,0,SUMPRODUCT(MAX(($C$12:$V$12=V$12)*($C$185:$V$185)*(($C$80:$V$80)=V1025)*$C$3:$V$3)))</f>
        <v/>
      </c>
    </row>
    <row r="1131">
      <c r="C1131" s="62">
        <f>IF(C$15&lt;=1,0,SUMPRODUCT(MAX(($C$12:$V$12=C$12)*($C$186:$V$186)*(($C$81:$V$81)=C1026)*$C$3:$V$3)))</f>
        <v/>
      </c>
      <c r="D1131" s="62">
        <f>IF(D$15&lt;=1,0,SUMPRODUCT(MAX(($C$12:$V$12=D$12)*($C$186:$V$186)*(($C$81:$V$81)=D1026)*$C$3:$V$3)))</f>
        <v/>
      </c>
      <c r="E1131" s="62">
        <f>IF(E$15&lt;=1,0,SUMPRODUCT(MAX(($C$12:$V$12=E$12)*($C$186:$V$186)*(($C$81:$V$81)=E1026)*$C$3:$V$3)))</f>
        <v/>
      </c>
      <c r="F1131" s="62">
        <f>IF(F$15&lt;=1,0,SUMPRODUCT(MAX(($C$12:$V$12=F$12)*($C$186:$V$186)*(($C$81:$V$81)=F1026)*$C$3:$V$3)))</f>
        <v/>
      </c>
      <c r="G1131" s="62">
        <f>IF(G$15&lt;=1,0,SUMPRODUCT(MAX(($C$12:$V$12=G$12)*($C$186:$V$186)*(($C$81:$V$81)=G1026)*$C$3:$V$3)))</f>
        <v/>
      </c>
      <c r="H1131" s="62">
        <f>IF(H$15&lt;=1,0,SUMPRODUCT(MAX(($C$12:$V$12=H$12)*($C$186:$V$186)*(($C$81:$V$81)=H1026)*$C$3:$V$3)))</f>
        <v/>
      </c>
      <c r="I1131" s="62">
        <f>IF(I$15&lt;=1,0,SUMPRODUCT(MAX(($C$12:$V$12=I$12)*($C$186:$V$186)*(($C$81:$V$81)=I1026)*$C$3:$V$3)))</f>
        <v/>
      </c>
      <c r="J1131" s="62">
        <f>IF(J$15&lt;=1,0,SUMPRODUCT(MAX(($C$12:$V$12=J$12)*($C$186:$V$186)*(($C$81:$V$81)=J1026)*$C$3:$V$3)))</f>
        <v/>
      </c>
      <c r="K1131" s="62">
        <f>IF(K$15&lt;=1,0,SUMPRODUCT(MAX(($C$12:$V$12=K$12)*($C$186:$V$186)*(($C$81:$V$81)=K1026)*$C$3:$V$3)))</f>
        <v/>
      </c>
      <c r="L1131" s="62">
        <f>IF(L$15&lt;=1,0,SUMPRODUCT(MAX(($C$12:$V$12=L$12)*($C$186:$V$186)*(($C$81:$V$81)=L1026)*$C$3:$V$3)))</f>
        <v/>
      </c>
      <c r="M1131" s="62">
        <f>IF(M$15&lt;=1,0,SUMPRODUCT(MAX(($C$12:$V$12=M$12)*($C$186:$V$186)*(($C$81:$V$81)=M1026)*$C$3:$V$3)))</f>
        <v/>
      </c>
      <c r="N1131" s="62">
        <f>IF(N$15&lt;=1,0,SUMPRODUCT(MAX(($C$12:$V$12=N$12)*($C$186:$V$186)*(($C$81:$V$81)=N1026)*$C$3:$V$3)))</f>
        <v/>
      </c>
      <c r="O1131" s="62">
        <f>IF(O$15&lt;=1,0,SUMPRODUCT(MAX(($C$12:$V$12=O$12)*($C$186:$V$186)*(($C$81:$V$81)=O1026)*$C$3:$V$3)))</f>
        <v/>
      </c>
      <c r="P1131" s="62">
        <f>IF(P$15&lt;=1,0,SUMPRODUCT(MAX(($C$12:$V$12=P$12)*($C$186:$V$186)*(($C$81:$V$81)=P1026)*$C$3:$V$3)))</f>
        <v/>
      </c>
      <c r="Q1131" s="62">
        <f>IF(Q$15&lt;=1,0,SUMPRODUCT(MAX(($C$12:$V$12=Q$12)*($C$186:$V$186)*(($C$81:$V$81)=Q1026)*$C$3:$V$3)))</f>
        <v/>
      </c>
      <c r="R1131" s="62">
        <f>IF(R$15&lt;=1,0,SUMPRODUCT(MAX(($C$12:$V$12=R$12)*($C$186:$V$186)*(($C$81:$V$81)=R1026)*$C$3:$V$3)))</f>
        <v/>
      </c>
      <c r="S1131" s="62">
        <f>IF(S$15&lt;=1,0,SUMPRODUCT(MAX(($C$12:$V$12=S$12)*($C$186:$V$186)*(($C$81:$V$81)=S1026)*$C$3:$V$3)))</f>
        <v/>
      </c>
      <c r="T1131" s="62">
        <f>IF(T$15&lt;=1,0,SUMPRODUCT(MAX(($C$12:$V$12=T$12)*($C$186:$V$186)*(($C$81:$V$81)=T1026)*$C$3:$V$3)))</f>
        <v/>
      </c>
      <c r="U1131" s="62">
        <f>IF(U$15&lt;=1,0,SUMPRODUCT(MAX(($C$12:$V$12=U$12)*($C$186:$V$186)*(($C$81:$V$81)=U1026)*$C$3:$V$3)))</f>
        <v/>
      </c>
      <c r="V1131" s="62">
        <f>IF(V$15&lt;=1,0,SUMPRODUCT(MAX(($C$12:$V$12=V$12)*($C$186:$V$186)*(($C$81:$V$81)=V1026)*$C$3:$V$3)))</f>
        <v/>
      </c>
    </row>
    <row r="1132">
      <c r="C1132" s="62">
        <f>IF(C$15&lt;=1,0,SUMPRODUCT(MAX(($C$12:$V$12=C$12)*($C$187:$V$187)*(($C$82:$V$82)=C1027)*$C$3:$V$3)))</f>
        <v/>
      </c>
      <c r="D1132" s="62">
        <f>IF(D$15&lt;=1,0,SUMPRODUCT(MAX(($C$12:$V$12=D$12)*($C$187:$V$187)*(($C$82:$V$82)=D1027)*$C$3:$V$3)))</f>
        <v/>
      </c>
      <c r="E1132" s="62">
        <f>IF(E$15&lt;=1,0,SUMPRODUCT(MAX(($C$12:$V$12=E$12)*($C$187:$V$187)*(($C$82:$V$82)=E1027)*$C$3:$V$3)))</f>
        <v/>
      </c>
      <c r="F1132" s="62">
        <f>IF(F$15&lt;=1,0,SUMPRODUCT(MAX(($C$12:$V$12=F$12)*($C$187:$V$187)*(($C$82:$V$82)=F1027)*$C$3:$V$3)))</f>
        <v/>
      </c>
      <c r="G1132" s="62">
        <f>IF(G$15&lt;=1,0,SUMPRODUCT(MAX(($C$12:$V$12=G$12)*($C$187:$V$187)*(($C$82:$V$82)=G1027)*$C$3:$V$3)))</f>
        <v/>
      </c>
      <c r="H1132" s="62">
        <f>IF(H$15&lt;=1,0,SUMPRODUCT(MAX(($C$12:$V$12=H$12)*($C$187:$V$187)*(($C$82:$V$82)=H1027)*$C$3:$V$3)))</f>
        <v/>
      </c>
      <c r="I1132" s="62">
        <f>IF(I$15&lt;=1,0,SUMPRODUCT(MAX(($C$12:$V$12=I$12)*($C$187:$V$187)*(($C$82:$V$82)=I1027)*$C$3:$V$3)))</f>
        <v/>
      </c>
      <c r="J1132" s="62">
        <f>IF(J$15&lt;=1,0,SUMPRODUCT(MAX(($C$12:$V$12=J$12)*($C$187:$V$187)*(($C$82:$V$82)=J1027)*$C$3:$V$3)))</f>
        <v/>
      </c>
      <c r="K1132" s="62">
        <f>IF(K$15&lt;=1,0,SUMPRODUCT(MAX(($C$12:$V$12=K$12)*($C$187:$V$187)*(($C$82:$V$82)=K1027)*$C$3:$V$3)))</f>
        <v/>
      </c>
      <c r="L1132" s="62">
        <f>IF(L$15&lt;=1,0,SUMPRODUCT(MAX(($C$12:$V$12=L$12)*($C$187:$V$187)*(($C$82:$V$82)=L1027)*$C$3:$V$3)))</f>
        <v/>
      </c>
      <c r="M1132" s="62">
        <f>IF(M$15&lt;=1,0,SUMPRODUCT(MAX(($C$12:$V$12=M$12)*($C$187:$V$187)*(($C$82:$V$82)=M1027)*$C$3:$V$3)))</f>
        <v/>
      </c>
      <c r="N1132" s="62">
        <f>IF(N$15&lt;=1,0,SUMPRODUCT(MAX(($C$12:$V$12=N$12)*($C$187:$V$187)*(($C$82:$V$82)=N1027)*$C$3:$V$3)))</f>
        <v/>
      </c>
      <c r="O1132" s="62">
        <f>IF(O$15&lt;=1,0,SUMPRODUCT(MAX(($C$12:$V$12=O$12)*($C$187:$V$187)*(($C$82:$V$82)=O1027)*$C$3:$V$3)))</f>
        <v/>
      </c>
      <c r="P1132" s="62">
        <f>IF(P$15&lt;=1,0,SUMPRODUCT(MAX(($C$12:$V$12=P$12)*($C$187:$V$187)*(($C$82:$V$82)=P1027)*$C$3:$V$3)))</f>
        <v/>
      </c>
      <c r="Q1132" s="62">
        <f>IF(Q$15&lt;=1,0,SUMPRODUCT(MAX(($C$12:$V$12=Q$12)*($C$187:$V$187)*(($C$82:$V$82)=Q1027)*$C$3:$V$3)))</f>
        <v/>
      </c>
      <c r="R1132" s="62">
        <f>IF(R$15&lt;=1,0,SUMPRODUCT(MAX(($C$12:$V$12=R$12)*($C$187:$V$187)*(($C$82:$V$82)=R1027)*$C$3:$V$3)))</f>
        <v/>
      </c>
      <c r="S1132" s="62">
        <f>IF(S$15&lt;=1,0,SUMPRODUCT(MAX(($C$12:$V$12=S$12)*($C$187:$V$187)*(($C$82:$V$82)=S1027)*$C$3:$V$3)))</f>
        <v/>
      </c>
      <c r="T1132" s="62">
        <f>IF(T$15&lt;=1,0,SUMPRODUCT(MAX(($C$12:$V$12=T$12)*($C$187:$V$187)*(($C$82:$V$82)=T1027)*$C$3:$V$3)))</f>
        <v/>
      </c>
      <c r="U1132" s="62">
        <f>IF(U$15&lt;=1,0,SUMPRODUCT(MAX(($C$12:$V$12=U$12)*($C$187:$V$187)*(($C$82:$V$82)=U1027)*$C$3:$V$3)))</f>
        <v/>
      </c>
      <c r="V1132" s="62">
        <f>IF(V$15&lt;=1,0,SUMPRODUCT(MAX(($C$12:$V$12=V$12)*($C$187:$V$187)*(($C$82:$V$82)=V1027)*$C$3:$V$3)))</f>
        <v/>
      </c>
    </row>
    <row r="1133">
      <c r="C1133" s="62">
        <f>IF(C$15&lt;=1,0,SUMPRODUCT(MAX(($C$12:$V$12=C$12)*($C$188:$V$188)*(($C$83:$V$83)=C1028)*$C$3:$V$3)))</f>
        <v/>
      </c>
      <c r="D1133" s="62">
        <f>IF(D$15&lt;=1,0,SUMPRODUCT(MAX(($C$12:$V$12=D$12)*($C$188:$V$188)*(($C$83:$V$83)=D1028)*$C$3:$V$3)))</f>
        <v/>
      </c>
      <c r="E1133" s="62">
        <f>IF(E$15&lt;=1,0,SUMPRODUCT(MAX(($C$12:$V$12=E$12)*($C$188:$V$188)*(($C$83:$V$83)=E1028)*$C$3:$V$3)))</f>
        <v/>
      </c>
      <c r="F1133" s="62">
        <f>IF(F$15&lt;=1,0,SUMPRODUCT(MAX(($C$12:$V$12=F$12)*($C$188:$V$188)*(($C$83:$V$83)=F1028)*$C$3:$V$3)))</f>
        <v/>
      </c>
      <c r="G1133" s="62">
        <f>IF(G$15&lt;=1,0,SUMPRODUCT(MAX(($C$12:$V$12=G$12)*($C$188:$V$188)*(($C$83:$V$83)=G1028)*$C$3:$V$3)))</f>
        <v/>
      </c>
      <c r="H1133" s="62">
        <f>IF(H$15&lt;=1,0,SUMPRODUCT(MAX(($C$12:$V$12=H$12)*($C$188:$V$188)*(($C$83:$V$83)=H1028)*$C$3:$V$3)))</f>
        <v/>
      </c>
      <c r="I1133" s="62">
        <f>IF(I$15&lt;=1,0,SUMPRODUCT(MAX(($C$12:$V$12=I$12)*($C$188:$V$188)*(($C$83:$V$83)=I1028)*$C$3:$V$3)))</f>
        <v/>
      </c>
      <c r="J1133" s="62">
        <f>IF(J$15&lt;=1,0,SUMPRODUCT(MAX(($C$12:$V$12=J$12)*($C$188:$V$188)*(($C$83:$V$83)=J1028)*$C$3:$V$3)))</f>
        <v/>
      </c>
      <c r="K1133" s="62">
        <f>IF(K$15&lt;=1,0,SUMPRODUCT(MAX(($C$12:$V$12=K$12)*($C$188:$V$188)*(($C$83:$V$83)=K1028)*$C$3:$V$3)))</f>
        <v/>
      </c>
      <c r="L1133" s="62">
        <f>IF(L$15&lt;=1,0,SUMPRODUCT(MAX(($C$12:$V$12=L$12)*($C$188:$V$188)*(($C$83:$V$83)=L1028)*$C$3:$V$3)))</f>
        <v/>
      </c>
      <c r="M1133" s="62">
        <f>IF(M$15&lt;=1,0,SUMPRODUCT(MAX(($C$12:$V$12=M$12)*($C$188:$V$188)*(($C$83:$V$83)=M1028)*$C$3:$V$3)))</f>
        <v/>
      </c>
      <c r="N1133" s="62">
        <f>IF(N$15&lt;=1,0,SUMPRODUCT(MAX(($C$12:$V$12=N$12)*($C$188:$V$188)*(($C$83:$V$83)=N1028)*$C$3:$V$3)))</f>
        <v/>
      </c>
      <c r="O1133" s="62">
        <f>IF(O$15&lt;=1,0,SUMPRODUCT(MAX(($C$12:$V$12=O$12)*($C$188:$V$188)*(($C$83:$V$83)=O1028)*$C$3:$V$3)))</f>
        <v/>
      </c>
      <c r="P1133" s="62">
        <f>IF(P$15&lt;=1,0,SUMPRODUCT(MAX(($C$12:$V$12=P$12)*($C$188:$V$188)*(($C$83:$V$83)=P1028)*$C$3:$V$3)))</f>
        <v/>
      </c>
      <c r="Q1133" s="62">
        <f>IF(Q$15&lt;=1,0,SUMPRODUCT(MAX(($C$12:$V$12=Q$12)*($C$188:$V$188)*(($C$83:$V$83)=Q1028)*$C$3:$V$3)))</f>
        <v/>
      </c>
      <c r="R1133" s="62">
        <f>IF(R$15&lt;=1,0,SUMPRODUCT(MAX(($C$12:$V$12=R$12)*($C$188:$V$188)*(($C$83:$V$83)=R1028)*$C$3:$V$3)))</f>
        <v/>
      </c>
      <c r="S1133" s="62">
        <f>IF(S$15&lt;=1,0,SUMPRODUCT(MAX(($C$12:$V$12=S$12)*($C$188:$V$188)*(($C$83:$V$83)=S1028)*$C$3:$V$3)))</f>
        <v/>
      </c>
      <c r="T1133" s="62">
        <f>IF(T$15&lt;=1,0,SUMPRODUCT(MAX(($C$12:$V$12=T$12)*($C$188:$V$188)*(($C$83:$V$83)=T1028)*$C$3:$V$3)))</f>
        <v/>
      </c>
      <c r="U1133" s="62">
        <f>IF(U$15&lt;=1,0,SUMPRODUCT(MAX(($C$12:$V$12=U$12)*($C$188:$V$188)*(($C$83:$V$83)=U1028)*$C$3:$V$3)))</f>
        <v/>
      </c>
      <c r="V1133" s="62">
        <f>IF(V$15&lt;=1,0,SUMPRODUCT(MAX(($C$12:$V$12=V$12)*($C$188:$V$188)*(($C$83:$V$83)=V1028)*$C$3:$V$3)))</f>
        <v/>
      </c>
    </row>
    <row r="1134">
      <c r="C1134" s="62">
        <f>IF(C$15&lt;=1,0,SUMPRODUCT(MAX(($C$12:$V$12=C$12)*($C$189:$V$189)*(($C$84:$V$84)=C1029)*$C$3:$V$3)))</f>
        <v/>
      </c>
      <c r="D1134" s="62">
        <f>IF(D$15&lt;=1,0,SUMPRODUCT(MAX(($C$12:$V$12=D$12)*($C$189:$V$189)*(($C$84:$V$84)=D1029)*$C$3:$V$3)))</f>
        <v/>
      </c>
      <c r="E1134" s="62">
        <f>IF(E$15&lt;=1,0,SUMPRODUCT(MAX(($C$12:$V$12=E$12)*($C$189:$V$189)*(($C$84:$V$84)=E1029)*$C$3:$V$3)))</f>
        <v/>
      </c>
      <c r="F1134" s="62">
        <f>IF(F$15&lt;=1,0,SUMPRODUCT(MAX(($C$12:$V$12=F$12)*($C$189:$V$189)*(($C$84:$V$84)=F1029)*$C$3:$V$3)))</f>
        <v/>
      </c>
      <c r="G1134" s="62">
        <f>IF(G$15&lt;=1,0,SUMPRODUCT(MAX(($C$12:$V$12=G$12)*($C$189:$V$189)*(($C$84:$V$84)=G1029)*$C$3:$V$3)))</f>
        <v/>
      </c>
      <c r="H1134" s="62">
        <f>IF(H$15&lt;=1,0,SUMPRODUCT(MAX(($C$12:$V$12=H$12)*($C$189:$V$189)*(($C$84:$V$84)=H1029)*$C$3:$V$3)))</f>
        <v/>
      </c>
      <c r="I1134" s="62">
        <f>IF(I$15&lt;=1,0,SUMPRODUCT(MAX(($C$12:$V$12=I$12)*($C$189:$V$189)*(($C$84:$V$84)=I1029)*$C$3:$V$3)))</f>
        <v/>
      </c>
      <c r="J1134" s="62">
        <f>IF(J$15&lt;=1,0,SUMPRODUCT(MAX(($C$12:$V$12=J$12)*($C$189:$V$189)*(($C$84:$V$84)=J1029)*$C$3:$V$3)))</f>
        <v/>
      </c>
      <c r="K1134" s="62">
        <f>IF(K$15&lt;=1,0,SUMPRODUCT(MAX(($C$12:$V$12=K$12)*($C$189:$V$189)*(($C$84:$V$84)=K1029)*$C$3:$V$3)))</f>
        <v/>
      </c>
      <c r="L1134" s="62">
        <f>IF(L$15&lt;=1,0,SUMPRODUCT(MAX(($C$12:$V$12=L$12)*($C$189:$V$189)*(($C$84:$V$84)=L1029)*$C$3:$V$3)))</f>
        <v/>
      </c>
      <c r="M1134" s="62">
        <f>IF(M$15&lt;=1,0,SUMPRODUCT(MAX(($C$12:$V$12=M$12)*($C$189:$V$189)*(($C$84:$V$84)=M1029)*$C$3:$V$3)))</f>
        <v/>
      </c>
      <c r="N1134" s="62">
        <f>IF(N$15&lt;=1,0,SUMPRODUCT(MAX(($C$12:$V$12=N$12)*($C$189:$V$189)*(($C$84:$V$84)=N1029)*$C$3:$V$3)))</f>
        <v/>
      </c>
      <c r="O1134" s="62">
        <f>IF(O$15&lt;=1,0,SUMPRODUCT(MAX(($C$12:$V$12=O$12)*($C$189:$V$189)*(($C$84:$V$84)=O1029)*$C$3:$V$3)))</f>
        <v/>
      </c>
      <c r="P1134" s="62">
        <f>IF(P$15&lt;=1,0,SUMPRODUCT(MAX(($C$12:$V$12=P$12)*($C$189:$V$189)*(($C$84:$V$84)=P1029)*$C$3:$V$3)))</f>
        <v/>
      </c>
      <c r="Q1134" s="62">
        <f>IF(Q$15&lt;=1,0,SUMPRODUCT(MAX(($C$12:$V$12=Q$12)*($C$189:$V$189)*(($C$84:$V$84)=Q1029)*$C$3:$V$3)))</f>
        <v/>
      </c>
      <c r="R1134" s="62">
        <f>IF(R$15&lt;=1,0,SUMPRODUCT(MAX(($C$12:$V$12=R$12)*($C$189:$V$189)*(($C$84:$V$84)=R1029)*$C$3:$V$3)))</f>
        <v/>
      </c>
      <c r="S1134" s="62">
        <f>IF(S$15&lt;=1,0,SUMPRODUCT(MAX(($C$12:$V$12=S$12)*($C$189:$V$189)*(($C$84:$V$84)=S1029)*$C$3:$V$3)))</f>
        <v/>
      </c>
      <c r="T1134" s="62">
        <f>IF(T$15&lt;=1,0,SUMPRODUCT(MAX(($C$12:$V$12=T$12)*($C$189:$V$189)*(($C$84:$V$84)=T1029)*$C$3:$V$3)))</f>
        <v/>
      </c>
      <c r="U1134" s="62">
        <f>IF(U$15&lt;=1,0,SUMPRODUCT(MAX(($C$12:$V$12=U$12)*($C$189:$V$189)*(($C$84:$V$84)=U1029)*$C$3:$V$3)))</f>
        <v/>
      </c>
      <c r="V1134" s="62">
        <f>IF(V$15&lt;=1,0,SUMPRODUCT(MAX(($C$12:$V$12=V$12)*($C$189:$V$189)*(($C$84:$V$84)=V1029)*$C$3:$V$3)))</f>
        <v/>
      </c>
    </row>
    <row r="1135">
      <c r="C1135" s="62">
        <f>IF(C$15&lt;=1,0,SUMPRODUCT(MAX(($C$12:$V$12=C$12)*($C$190:$V$190)*(($C$85:$V$85)=C1030)*$C$3:$V$3)))</f>
        <v/>
      </c>
      <c r="D1135" s="62">
        <f>IF(D$15&lt;=1,0,SUMPRODUCT(MAX(($C$12:$V$12=D$12)*($C$190:$V$190)*(($C$85:$V$85)=D1030)*$C$3:$V$3)))</f>
        <v/>
      </c>
      <c r="E1135" s="62">
        <f>IF(E$15&lt;=1,0,SUMPRODUCT(MAX(($C$12:$V$12=E$12)*($C$190:$V$190)*(($C$85:$V$85)=E1030)*$C$3:$V$3)))</f>
        <v/>
      </c>
      <c r="F1135" s="62">
        <f>IF(F$15&lt;=1,0,SUMPRODUCT(MAX(($C$12:$V$12=F$12)*($C$190:$V$190)*(($C$85:$V$85)=F1030)*$C$3:$V$3)))</f>
        <v/>
      </c>
      <c r="G1135" s="62">
        <f>IF(G$15&lt;=1,0,SUMPRODUCT(MAX(($C$12:$V$12=G$12)*($C$190:$V$190)*(($C$85:$V$85)=G1030)*$C$3:$V$3)))</f>
        <v/>
      </c>
      <c r="H1135" s="62">
        <f>IF(H$15&lt;=1,0,SUMPRODUCT(MAX(($C$12:$V$12=H$12)*($C$190:$V$190)*(($C$85:$V$85)=H1030)*$C$3:$V$3)))</f>
        <v/>
      </c>
      <c r="I1135" s="62">
        <f>IF(I$15&lt;=1,0,SUMPRODUCT(MAX(($C$12:$V$12=I$12)*($C$190:$V$190)*(($C$85:$V$85)=I1030)*$C$3:$V$3)))</f>
        <v/>
      </c>
      <c r="J1135" s="62">
        <f>IF(J$15&lt;=1,0,SUMPRODUCT(MAX(($C$12:$V$12=J$12)*($C$190:$V$190)*(($C$85:$V$85)=J1030)*$C$3:$V$3)))</f>
        <v/>
      </c>
      <c r="K1135" s="62">
        <f>IF(K$15&lt;=1,0,SUMPRODUCT(MAX(($C$12:$V$12=K$12)*($C$190:$V$190)*(($C$85:$V$85)=K1030)*$C$3:$V$3)))</f>
        <v/>
      </c>
      <c r="L1135" s="62">
        <f>IF(L$15&lt;=1,0,SUMPRODUCT(MAX(($C$12:$V$12=L$12)*($C$190:$V$190)*(($C$85:$V$85)=L1030)*$C$3:$V$3)))</f>
        <v/>
      </c>
      <c r="M1135" s="62">
        <f>IF(M$15&lt;=1,0,SUMPRODUCT(MAX(($C$12:$V$12=M$12)*($C$190:$V$190)*(($C$85:$V$85)=M1030)*$C$3:$V$3)))</f>
        <v/>
      </c>
      <c r="N1135" s="62">
        <f>IF(N$15&lt;=1,0,SUMPRODUCT(MAX(($C$12:$V$12=N$12)*($C$190:$V$190)*(($C$85:$V$85)=N1030)*$C$3:$V$3)))</f>
        <v/>
      </c>
      <c r="O1135" s="62">
        <f>IF(O$15&lt;=1,0,SUMPRODUCT(MAX(($C$12:$V$12=O$12)*($C$190:$V$190)*(($C$85:$V$85)=O1030)*$C$3:$V$3)))</f>
        <v/>
      </c>
      <c r="P1135" s="62">
        <f>IF(P$15&lt;=1,0,SUMPRODUCT(MAX(($C$12:$V$12=P$12)*($C$190:$V$190)*(($C$85:$V$85)=P1030)*$C$3:$V$3)))</f>
        <v/>
      </c>
      <c r="Q1135" s="62">
        <f>IF(Q$15&lt;=1,0,SUMPRODUCT(MAX(($C$12:$V$12=Q$12)*($C$190:$V$190)*(($C$85:$V$85)=Q1030)*$C$3:$V$3)))</f>
        <v/>
      </c>
      <c r="R1135" s="62">
        <f>IF(R$15&lt;=1,0,SUMPRODUCT(MAX(($C$12:$V$12=R$12)*($C$190:$V$190)*(($C$85:$V$85)=R1030)*$C$3:$V$3)))</f>
        <v/>
      </c>
      <c r="S1135" s="62">
        <f>IF(S$15&lt;=1,0,SUMPRODUCT(MAX(($C$12:$V$12=S$12)*($C$190:$V$190)*(($C$85:$V$85)=S1030)*$C$3:$V$3)))</f>
        <v/>
      </c>
      <c r="T1135" s="62">
        <f>IF(T$15&lt;=1,0,SUMPRODUCT(MAX(($C$12:$V$12=T$12)*($C$190:$V$190)*(($C$85:$V$85)=T1030)*$C$3:$V$3)))</f>
        <v/>
      </c>
      <c r="U1135" s="62">
        <f>IF(U$15&lt;=1,0,SUMPRODUCT(MAX(($C$12:$V$12=U$12)*($C$190:$V$190)*(($C$85:$V$85)=U1030)*$C$3:$V$3)))</f>
        <v/>
      </c>
      <c r="V1135" s="62">
        <f>IF(V$15&lt;=1,0,SUMPRODUCT(MAX(($C$12:$V$12=V$12)*($C$190:$V$190)*(($C$85:$V$85)=V1030)*$C$3:$V$3)))</f>
        <v/>
      </c>
    </row>
    <row r="1136">
      <c r="C1136" s="62">
        <f>IF(C$15&lt;=1,0,SUMPRODUCT(MAX(($C$12:$V$12=C$12)*($C$191:$V$191)*(($C$86:$V$86)=C1031)*$C$3:$V$3)))</f>
        <v/>
      </c>
      <c r="D1136" s="62">
        <f>IF(D$15&lt;=1,0,SUMPRODUCT(MAX(($C$12:$V$12=D$12)*($C$191:$V$191)*(($C$86:$V$86)=D1031)*$C$3:$V$3)))</f>
        <v/>
      </c>
      <c r="E1136" s="62">
        <f>IF(E$15&lt;=1,0,SUMPRODUCT(MAX(($C$12:$V$12=E$12)*($C$191:$V$191)*(($C$86:$V$86)=E1031)*$C$3:$V$3)))</f>
        <v/>
      </c>
      <c r="F1136" s="62">
        <f>IF(F$15&lt;=1,0,SUMPRODUCT(MAX(($C$12:$V$12=F$12)*($C$191:$V$191)*(($C$86:$V$86)=F1031)*$C$3:$V$3)))</f>
        <v/>
      </c>
      <c r="G1136" s="62">
        <f>IF(G$15&lt;=1,0,SUMPRODUCT(MAX(($C$12:$V$12=G$12)*($C$191:$V$191)*(($C$86:$V$86)=G1031)*$C$3:$V$3)))</f>
        <v/>
      </c>
      <c r="H1136" s="62">
        <f>IF(H$15&lt;=1,0,SUMPRODUCT(MAX(($C$12:$V$12=H$12)*($C$191:$V$191)*(($C$86:$V$86)=H1031)*$C$3:$V$3)))</f>
        <v/>
      </c>
      <c r="I1136" s="62">
        <f>IF(I$15&lt;=1,0,SUMPRODUCT(MAX(($C$12:$V$12=I$12)*($C$191:$V$191)*(($C$86:$V$86)=I1031)*$C$3:$V$3)))</f>
        <v/>
      </c>
      <c r="J1136" s="62">
        <f>IF(J$15&lt;=1,0,SUMPRODUCT(MAX(($C$12:$V$12=J$12)*($C$191:$V$191)*(($C$86:$V$86)=J1031)*$C$3:$V$3)))</f>
        <v/>
      </c>
      <c r="K1136" s="62">
        <f>IF(K$15&lt;=1,0,SUMPRODUCT(MAX(($C$12:$V$12=K$12)*($C$191:$V$191)*(($C$86:$V$86)=K1031)*$C$3:$V$3)))</f>
        <v/>
      </c>
      <c r="L1136" s="62">
        <f>IF(L$15&lt;=1,0,SUMPRODUCT(MAX(($C$12:$V$12=L$12)*($C$191:$V$191)*(($C$86:$V$86)=L1031)*$C$3:$V$3)))</f>
        <v/>
      </c>
      <c r="M1136" s="62">
        <f>IF(M$15&lt;=1,0,SUMPRODUCT(MAX(($C$12:$V$12=M$12)*($C$191:$V$191)*(($C$86:$V$86)=M1031)*$C$3:$V$3)))</f>
        <v/>
      </c>
      <c r="N1136" s="62">
        <f>IF(N$15&lt;=1,0,SUMPRODUCT(MAX(($C$12:$V$12=N$12)*($C$191:$V$191)*(($C$86:$V$86)=N1031)*$C$3:$V$3)))</f>
        <v/>
      </c>
      <c r="O1136" s="62">
        <f>IF(O$15&lt;=1,0,SUMPRODUCT(MAX(($C$12:$V$12=O$12)*($C$191:$V$191)*(($C$86:$V$86)=O1031)*$C$3:$V$3)))</f>
        <v/>
      </c>
      <c r="P1136" s="62">
        <f>IF(P$15&lt;=1,0,SUMPRODUCT(MAX(($C$12:$V$12=P$12)*($C$191:$V$191)*(($C$86:$V$86)=P1031)*$C$3:$V$3)))</f>
        <v/>
      </c>
      <c r="Q1136" s="62">
        <f>IF(Q$15&lt;=1,0,SUMPRODUCT(MAX(($C$12:$V$12=Q$12)*($C$191:$V$191)*(($C$86:$V$86)=Q1031)*$C$3:$V$3)))</f>
        <v/>
      </c>
      <c r="R1136" s="62">
        <f>IF(R$15&lt;=1,0,SUMPRODUCT(MAX(($C$12:$V$12=R$12)*($C$191:$V$191)*(($C$86:$V$86)=R1031)*$C$3:$V$3)))</f>
        <v/>
      </c>
      <c r="S1136" s="62">
        <f>IF(S$15&lt;=1,0,SUMPRODUCT(MAX(($C$12:$V$12=S$12)*($C$191:$V$191)*(($C$86:$V$86)=S1031)*$C$3:$V$3)))</f>
        <v/>
      </c>
      <c r="T1136" s="62">
        <f>IF(T$15&lt;=1,0,SUMPRODUCT(MAX(($C$12:$V$12=T$12)*($C$191:$V$191)*(($C$86:$V$86)=T1031)*$C$3:$V$3)))</f>
        <v/>
      </c>
      <c r="U1136" s="62">
        <f>IF(U$15&lt;=1,0,SUMPRODUCT(MAX(($C$12:$V$12=U$12)*($C$191:$V$191)*(($C$86:$V$86)=U1031)*$C$3:$V$3)))</f>
        <v/>
      </c>
      <c r="V1136" s="62">
        <f>IF(V$15&lt;=1,0,SUMPRODUCT(MAX(($C$12:$V$12=V$12)*($C$191:$V$191)*(($C$86:$V$86)=V1031)*$C$3:$V$3)))</f>
        <v/>
      </c>
    </row>
    <row r="1137">
      <c r="C1137" s="62">
        <f>IF(C$15&lt;=1,0,SUMPRODUCT(MAX(($C$12:$V$12=C$12)*($C$192:$V$192)*(($C$87:$V$87)=C1032)*$C$3:$V$3)))</f>
        <v/>
      </c>
      <c r="D1137" s="62">
        <f>IF(D$15&lt;=1,0,SUMPRODUCT(MAX(($C$12:$V$12=D$12)*($C$192:$V$192)*(($C$87:$V$87)=D1032)*$C$3:$V$3)))</f>
        <v/>
      </c>
      <c r="E1137" s="62">
        <f>IF(E$15&lt;=1,0,SUMPRODUCT(MAX(($C$12:$V$12=E$12)*($C$192:$V$192)*(($C$87:$V$87)=E1032)*$C$3:$V$3)))</f>
        <v/>
      </c>
      <c r="F1137" s="62">
        <f>IF(F$15&lt;=1,0,SUMPRODUCT(MAX(($C$12:$V$12=F$12)*($C$192:$V$192)*(($C$87:$V$87)=F1032)*$C$3:$V$3)))</f>
        <v/>
      </c>
      <c r="G1137" s="62">
        <f>IF(G$15&lt;=1,0,SUMPRODUCT(MAX(($C$12:$V$12=G$12)*($C$192:$V$192)*(($C$87:$V$87)=G1032)*$C$3:$V$3)))</f>
        <v/>
      </c>
      <c r="H1137" s="62">
        <f>IF(H$15&lt;=1,0,SUMPRODUCT(MAX(($C$12:$V$12=H$12)*($C$192:$V$192)*(($C$87:$V$87)=H1032)*$C$3:$V$3)))</f>
        <v/>
      </c>
      <c r="I1137" s="62">
        <f>IF(I$15&lt;=1,0,SUMPRODUCT(MAX(($C$12:$V$12=I$12)*($C$192:$V$192)*(($C$87:$V$87)=I1032)*$C$3:$V$3)))</f>
        <v/>
      </c>
      <c r="J1137" s="62">
        <f>IF(J$15&lt;=1,0,SUMPRODUCT(MAX(($C$12:$V$12=J$12)*($C$192:$V$192)*(($C$87:$V$87)=J1032)*$C$3:$V$3)))</f>
        <v/>
      </c>
      <c r="K1137" s="62">
        <f>IF(K$15&lt;=1,0,SUMPRODUCT(MAX(($C$12:$V$12=K$12)*($C$192:$V$192)*(($C$87:$V$87)=K1032)*$C$3:$V$3)))</f>
        <v/>
      </c>
      <c r="L1137" s="62">
        <f>IF(L$15&lt;=1,0,SUMPRODUCT(MAX(($C$12:$V$12=L$12)*($C$192:$V$192)*(($C$87:$V$87)=L1032)*$C$3:$V$3)))</f>
        <v/>
      </c>
      <c r="M1137" s="62">
        <f>IF(M$15&lt;=1,0,SUMPRODUCT(MAX(($C$12:$V$12=M$12)*($C$192:$V$192)*(($C$87:$V$87)=M1032)*$C$3:$V$3)))</f>
        <v/>
      </c>
      <c r="N1137" s="62">
        <f>IF(N$15&lt;=1,0,SUMPRODUCT(MAX(($C$12:$V$12=N$12)*($C$192:$V$192)*(($C$87:$V$87)=N1032)*$C$3:$V$3)))</f>
        <v/>
      </c>
      <c r="O1137" s="62">
        <f>IF(O$15&lt;=1,0,SUMPRODUCT(MAX(($C$12:$V$12=O$12)*($C$192:$V$192)*(($C$87:$V$87)=O1032)*$C$3:$V$3)))</f>
        <v/>
      </c>
      <c r="P1137" s="62">
        <f>IF(P$15&lt;=1,0,SUMPRODUCT(MAX(($C$12:$V$12=P$12)*($C$192:$V$192)*(($C$87:$V$87)=P1032)*$C$3:$V$3)))</f>
        <v/>
      </c>
      <c r="Q1137" s="62">
        <f>IF(Q$15&lt;=1,0,SUMPRODUCT(MAX(($C$12:$V$12=Q$12)*($C$192:$V$192)*(($C$87:$V$87)=Q1032)*$C$3:$V$3)))</f>
        <v/>
      </c>
      <c r="R1137" s="62">
        <f>IF(R$15&lt;=1,0,SUMPRODUCT(MAX(($C$12:$V$12=R$12)*($C$192:$V$192)*(($C$87:$V$87)=R1032)*$C$3:$V$3)))</f>
        <v/>
      </c>
      <c r="S1137" s="62">
        <f>IF(S$15&lt;=1,0,SUMPRODUCT(MAX(($C$12:$V$12=S$12)*($C$192:$V$192)*(($C$87:$V$87)=S1032)*$C$3:$V$3)))</f>
        <v/>
      </c>
      <c r="T1137" s="62">
        <f>IF(T$15&lt;=1,0,SUMPRODUCT(MAX(($C$12:$V$12=T$12)*($C$192:$V$192)*(($C$87:$V$87)=T1032)*$C$3:$V$3)))</f>
        <v/>
      </c>
      <c r="U1137" s="62">
        <f>IF(U$15&lt;=1,0,SUMPRODUCT(MAX(($C$12:$V$12=U$12)*($C$192:$V$192)*(($C$87:$V$87)=U1032)*$C$3:$V$3)))</f>
        <v/>
      </c>
      <c r="V1137" s="62">
        <f>IF(V$15&lt;=1,0,SUMPRODUCT(MAX(($C$12:$V$12=V$12)*($C$192:$V$192)*(($C$87:$V$87)=V1032)*$C$3:$V$3)))</f>
        <v/>
      </c>
    </row>
    <row r="1138">
      <c r="C1138" s="62">
        <f>IF(C$15&lt;=1,0,SUMPRODUCT(MAX(($C$12:$V$12=C$12)*($C$193:$V$193)*(($C$88:$V$88)=C1033)*$C$3:$V$3)))</f>
        <v/>
      </c>
      <c r="D1138" s="62">
        <f>IF(D$15&lt;=1,0,SUMPRODUCT(MAX(($C$12:$V$12=D$12)*($C$193:$V$193)*(($C$88:$V$88)=D1033)*$C$3:$V$3)))</f>
        <v/>
      </c>
      <c r="E1138" s="62">
        <f>IF(E$15&lt;=1,0,SUMPRODUCT(MAX(($C$12:$V$12=E$12)*($C$193:$V$193)*(($C$88:$V$88)=E1033)*$C$3:$V$3)))</f>
        <v/>
      </c>
      <c r="F1138" s="62">
        <f>IF(F$15&lt;=1,0,SUMPRODUCT(MAX(($C$12:$V$12=F$12)*($C$193:$V$193)*(($C$88:$V$88)=F1033)*$C$3:$V$3)))</f>
        <v/>
      </c>
      <c r="G1138" s="62">
        <f>IF(G$15&lt;=1,0,SUMPRODUCT(MAX(($C$12:$V$12=G$12)*($C$193:$V$193)*(($C$88:$V$88)=G1033)*$C$3:$V$3)))</f>
        <v/>
      </c>
      <c r="H1138" s="62">
        <f>IF(H$15&lt;=1,0,SUMPRODUCT(MAX(($C$12:$V$12=H$12)*($C$193:$V$193)*(($C$88:$V$88)=H1033)*$C$3:$V$3)))</f>
        <v/>
      </c>
      <c r="I1138" s="62">
        <f>IF(I$15&lt;=1,0,SUMPRODUCT(MAX(($C$12:$V$12=I$12)*($C$193:$V$193)*(($C$88:$V$88)=I1033)*$C$3:$V$3)))</f>
        <v/>
      </c>
      <c r="J1138" s="62">
        <f>IF(J$15&lt;=1,0,SUMPRODUCT(MAX(($C$12:$V$12=J$12)*($C$193:$V$193)*(($C$88:$V$88)=J1033)*$C$3:$V$3)))</f>
        <v/>
      </c>
      <c r="K1138" s="62">
        <f>IF(K$15&lt;=1,0,SUMPRODUCT(MAX(($C$12:$V$12=K$12)*($C$193:$V$193)*(($C$88:$V$88)=K1033)*$C$3:$V$3)))</f>
        <v/>
      </c>
      <c r="L1138" s="62">
        <f>IF(L$15&lt;=1,0,SUMPRODUCT(MAX(($C$12:$V$12=L$12)*($C$193:$V$193)*(($C$88:$V$88)=L1033)*$C$3:$V$3)))</f>
        <v/>
      </c>
      <c r="M1138" s="62">
        <f>IF(M$15&lt;=1,0,SUMPRODUCT(MAX(($C$12:$V$12=M$12)*($C$193:$V$193)*(($C$88:$V$88)=M1033)*$C$3:$V$3)))</f>
        <v/>
      </c>
      <c r="N1138" s="62">
        <f>IF(N$15&lt;=1,0,SUMPRODUCT(MAX(($C$12:$V$12=N$12)*($C$193:$V$193)*(($C$88:$V$88)=N1033)*$C$3:$V$3)))</f>
        <v/>
      </c>
      <c r="O1138" s="62">
        <f>IF(O$15&lt;=1,0,SUMPRODUCT(MAX(($C$12:$V$12=O$12)*($C$193:$V$193)*(($C$88:$V$88)=O1033)*$C$3:$V$3)))</f>
        <v/>
      </c>
      <c r="P1138" s="62">
        <f>IF(P$15&lt;=1,0,SUMPRODUCT(MAX(($C$12:$V$12=P$12)*($C$193:$V$193)*(($C$88:$V$88)=P1033)*$C$3:$V$3)))</f>
        <v/>
      </c>
      <c r="Q1138" s="62">
        <f>IF(Q$15&lt;=1,0,SUMPRODUCT(MAX(($C$12:$V$12=Q$12)*($C$193:$V$193)*(($C$88:$V$88)=Q1033)*$C$3:$V$3)))</f>
        <v/>
      </c>
      <c r="R1138" s="62">
        <f>IF(R$15&lt;=1,0,SUMPRODUCT(MAX(($C$12:$V$12=R$12)*($C$193:$V$193)*(($C$88:$V$88)=R1033)*$C$3:$V$3)))</f>
        <v/>
      </c>
      <c r="S1138" s="62">
        <f>IF(S$15&lt;=1,0,SUMPRODUCT(MAX(($C$12:$V$12=S$12)*($C$193:$V$193)*(($C$88:$V$88)=S1033)*$C$3:$V$3)))</f>
        <v/>
      </c>
      <c r="T1138" s="62">
        <f>IF(T$15&lt;=1,0,SUMPRODUCT(MAX(($C$12:$V$12=T$12)*($C$193:$V$193)*(($C$88:$V$88)=T1033)*$C$3:$V$3)))</f>
        <v/>
      </c>
      <c r="U1138" s="62">
        <f>IF(U$15&lt;=1,0,SUMPRODUCT(MAX(($C$12:$V$12=U$12)*($C$193:$V$193)*(($C$88:$V$88)=U1033)*$C$3:$V$3)))</f>
        <v/>
      </c>
      <c r="V1138" s="62">
        <f>IF(V$15&lt;=1,0,SUMPRODUCT(MAX(($C$12:$V$12=V$12)*($C$193:$V$193)*(($C$88:$V$88)=V1033)*$C$3:$V$3)))</f>
        <v/>
      </c>
    </row>
    <row r="1139">
      <c r="C1139" s="62">
        <f>IF(C$15&lt;=1,0,SUMPRODUCT(MAX(($C$12:$V$12=C$12)*($C$194:$V$194)*(($C$89:$V$89)=C1034)*$C$3:$V$3)))</f>
        <v/>
      </c>
      <c r="D1139" s="62">
        <f>IF(D$15&lt;=1,0,SUMPRODUCT(MAX(($C$12:$V$12=D$12)*($C$194:$V$194)*(($C$89:$V$89)=D1034)*$C$3:$V$3)))</f>
        <v/>
      </c>
      <c r="E1139" s="62">
        <f>IF(E$15&lt;=1,0,SUMPRODUCT(MAX(($C$12:$V$12=E$12)*($C$194:$V$194)*(($C$89:$V$89)=E1034)*$C$3:$V$3)))</f>
        <v/>
      </c>
      <c r="F1139" s="62">
        <f>IF(F$15&lt;=1,0,SUMPRODUCT(MAX(($C$12:$V$12=F$12)*($C$194:$V$194)*(($C$89:$V$89)=F1034)*$C$3:$V$3)))</f>
        <v/>
      </c>
      <c r="G1139" s="62">
        <f>IF(G$15&lt;=1,0,SUMPRODUCT(MAX(($C$12:$V$12=G$12)*($C$194:$V$194)*(($C$89:$V$89)=G1034)*$C$3:$V$3)))</f>
        <v/>
      </c>
      <c r="H1139" s="62">
        <f>IF(H$15&lt;=1,0,SUMPRODUCT(MAX(($C$12:$V$12=H$12)*($C$194:$V$194)*(($C$89:$V$89)=H1034)*$C$3:$V$3)))</f>
        <v/>
      </c>
      <c r="I1139" s="62">
        <f>IF(I$15&lt;=1,0,SUMPRODUCT(MAX(($C$12:$V$12=I$12)*($C$194:$V$194)*(($C$89:$V$89)=I1034)*$C$3:$V$3)))</f>
        <v/>
      </c>
      <c r="J1139" s="62">
        <f>IF(J$15&lt;=1,0,SUMPRODUCT(MAX(($C$12:$V$12=J$12)*($C$194:$V$194)*(($C$89:$V$89)=J1034)*$C$3:$V$3)))</f>
        <v/>
      </c>
      <c r="K1139" s="62">
        <f>IF(K$15&lt;=1,0,SUMPRODUCT(MAX(($C$12:$V$12=K$12)*($C$194:$V$194)*(($C$89:$V$89)=K1034)*$C$3:$V$3)))</f>
        <v/>
      </c>
      <c r="L1139" s="62">
        <f>IF(L$15&lt;=1,0,SUMPRODUCT(MAX(($C$12:$V$12=L$12)*($C$194:$V$194)*(($C$89:$V$89)=L1034)*$C$3:$V$3)))</f>
        <v/>
      </c>
      <c r="M1139" s="62">
        <f>IF(M$15&lt;=1,0,SUMPRODUCT(MAX(($C$12:$V$12=M$12)*($C$194:$V$194)*(($C$89:$V$89)=M1034)*$C$3:$V$3)))</f>
        <v/>
      </c>
      <c r="N1139" s="62">
        <f>IF(N$15&lt;=1,0,SUMPRODUCT(MAX(($C$12:$V$12=N$12)*($C$194:$V$194)*(($C$89:$V$89)=N1034)*$C$3:$V$3)))</f>
        <v/>
      </c>
      <c r="O1139" s="62">
        <f>IF(O$15&lt;=1,0,SUMPRODUCT(MAX(($C$12:$V$12=O$12)*($C$194:$V$194)*(($C$89:$V$89)=O1034)*$C$3:$V$3)))</f>
        <v/>
      </c>
      <c r="P1139" s="62">
        <f>IF(P$15&lt;=1,0,SUMPRODUCT(MAX(($C$12:$V$12=P$12)*($C$194:$V$194)*(($C$89:$V$89)=P1034)*$C$3:$V$3)))</f>
        <v/>
      </c>
      <c r="Q1139" s="62">
        <f>IF(Q$15&lt;=1,0,SUMPRODUCT(MAX(($C$12:$V$12=Q$12)*($C$194:$V$194)*(($C$89:$V$89)=Q1034)*$C$3:$V$3)))</f>
        <v/>
      </c>
      <c r="R1139" s="62">
        <f>IF(R$15&lt;=1,0,SUMPRODUCT(MAX(($C$12:$V$12=R$12)*($C$194:$V$194)*(($C$89:$V$89)=R1034)*$C$3:$V$3)))</f>
        <v/>
      </c>
      <c r="S1139" s="62">
        <f>IF(S$15&lt;=1,0,SUMPRODUCT(MAX(($C$12:$V$12=S$12)*($C$194:$V$194)*(($C$89:$V$89)=S1034)*$C$3:$V$3)))</f>
        <v/>
      </c>
      <c r="T1139" s="62">
        <f>IF(T$15&lt;=1,0,SUMPRODUCT(MAX(($C$12:$V$12=T$12)*($C$194:$V$194)*(($C$89:$V$89)=T1034)*$C$3:$V$3)))</f>
        <v/>
      </c>
      <c r="U1139" s="62">
        <f>IF(U$15&lt;=1,0,SUMPRODUCT(MAX(($C$12:$V$12=U$12)*($C$194:$V$194)*(($C$89:$V$89)=U1034)*$C$3:$V$3)))</f>
        <v/>
      </c>
      <c r="V1139" s="62">
        <f>IF(V$15&lt;=1,0,SUMPRODUCT(MAX(($C$12:$V$12=V$12)*($C$194:$V$194)*(($C$89:$V$89)=V1034)*$C$3:$V$3)))</f>
        <v/>
      </c>
    </row>
    <row r="1140">
      <c r="C1140" s="62">
        <f>IF(C$15&lt;=1,0,SUMPRODUCT(MAX(($C$12:$V$12=C$12)*($C$195:$V$195)*(($C$90:$V$90)=C1035)*$C$3:$V$3)))</f>
        <v/>
      </c>
      <c r="D1140" s="62">
        <f>IF(D$15&lt;=1,0,SUMPRODUCT(MAX(($C$12:$V$12=D$12)*($C$195:$V$195)*(($C$90:$V$90)=D1035)*$C$3:$V$3)))</f>
        <v/>
      </c>
      <c r="E1140" s="62">
        <f>IF(E$15&lt;=1,0,SUMPRODUCT(MAX(($C$12:$V$12=E$12)*($C$195:$V$195)*(($C$90:$V$90)=E1035)*$C$3:$V$3)))</f>
        <v/>
      </c>
      <c r="F1140" s="62">
        <f>IF(F$15&lt;=1,0,SUMPRODUCT(MAX(($C$12:$V$12=F$12)*($C$195:$V$195)*(($C$90:$V$90)=F1035)*$C$3:$V$3)))</f>
        <v/>
      </c>
      <c r="G1140" s="62">
        <f>IF(G$15&lt;=1,0,SUMPRODUCT(MAX(($C$12:$V$12=G$12)*($C$195:$V$195)*(($C$90:$V$90)=G1035)*$C$3:$V$3)))</f>
        <v/>
      </c>
      <c r="H1140" s="62">
        <f>IF(H$15&lt;=1,0,SUMPRODUCT(MAX(($C$12:$V$12=H$12)*($C$195:$V$195)*(($C$90:$V$90)=H1035)*$C$3:$V$3)))</f>
        <v/>
      </c>
      <c r="I1140" s="62">
        <f>IF(I$15&lt;=1,0,SUMPRODUCT(MAX(($C$12:$V$12=I$12)*($C$195:$V$195)*(($C$90:$V$90)=I1035)*$C$3:$V$3)))</f>
        <v/>
      </c>
      <c r="J1140" s="62">
        <f>IF(J$15&lt;=1,0,SUMPRODUCT(MAX(($C$12:$V$12=J$12)*($C$195:$V$195)*(($C$90:$V$90)=J1035)*$C$3:$V$3)))</f>
        <v/>
      </c>
      <c r="K1140" s="62">
        <f>IF(K$15&lt;=1,0,SUMPRODUCT(MAX(($C$12:$V$12=K$12)*($C$195:$V$195)*(($C$90:$V$90)=K1035)*$C$3:$V$3)))</f>
        <v/>
      </c>
      <c r="L1140" s="62">
        <f>IF(L$15&lt;=1,0,SUMPRODUCT(MAX(($C$12:$V$12=L$12)*($C$195:$V$195)*(($C$90:$V$90)=L1035)*$C$3:$V$3)))</f>
        <v/>
      </c>
      <c r="M1140" s="62">
        <f>IF(M$15&lt;=1,0,SUMPRODUCT(MAX(($C$12:$V$12=M$12)*($C$195:$V$195)*(($C$90:$V$90)=M1035)*$C$3:$V$3)))</f>
        <v/>
      </c>
      <c r="N1140" s="62">
        <f>IF(N$15&lt;=1,0,SUMPRODUCT(MAX(($C$12:$V$12=N$12)*($C$195:$V$195)*(($C$90:$V$90)=N1035)*$C$3:$V$3)))</f>
        <v/>
      </c>
      <c r="O1140" s="62">
        <f>IF(O$15&lt;=1,0,SUMPRODUCT(MAX(($C$12:$V$12=O$12)*($C$195:$V$195)*(($C$90:$V$90)=O1035)*$C$3:$V$3)))</f>
        <v/>
      </c>
      <c r="P1140" s="62">
        <f>IF(P$15&lt;=1,0,SUMPRODUCT(MAX(($C$12:$V$12=P$12)*($C$195:$V$195)*(($C$90:$V$90)=P1035)*$C$3:$V$3)))</f>
        <v/>
      </c>
      <c r="Q1140" s="62">
        <f>IF(Q$15&lt;=1,0,SUMPRODUCT(MAX(($C$12:$V$12=Q$12)*($C$195:$V$195)*(($C$90:$V$90)=Q1035)*$C$3:$V$3)))</f>
        <v/>
      </c>
      <c r="R1140" s="62">
        <f>IF(R$15&lt;=1,0,SUMPRODUCT(MAX(($C$12:$V$12=R$12)*($C$195:$V$195)*(($C$90:$V$90)=R1035)*$C$3:$V$3)))</f>
        <v/>
      </c>
      <c r="S1140" s="62">
        <f>IF(S$15&lt;=1,0,SUMPRODUCT(MAX(($C$12:$V$12=S$12)*($C$195:$V$195)*(($C$90:$V$90)=S1035)*$C$3:$V$3)))</f>
        <v/>
      </c>
      <c r="T1140" s="62">
        <f>IF(T$15&lt;=1,0,SUMPRODUCT(MAX(($C$12:$V$12=T$12)*($C$195:$V$195)*(($C$90:$V$90)=T1035)*$C$3:$V$3)))</f>
        <v/>
      </c>
      <c r="U1140" s="62">
        <f>IF(U$15&lt;=1,0,SUMPRODUCT(MAX(($C$12:$V$12=U$12)*($C$195:$V$195)*(($C$90:$V$90)=U1035)*$C$3:$V$3)))</f>
        <v/>
      </c>
      <c r="V1140" s="62">
        <f>IF(V$15&lt;=1,0,SUMPRODUCT(MAX(($C$12:$V$12=V$12)*($C$195:$V$195)*(($C$90:$V$90)=V1035)*$C$3:$V$3)))</f>
        <v/>
      </c>
    </row>
    <row r="1141">
      <c r="C1141" s="62">
        <f>IF(C$15&lt;=1,0,SUMPRODUCT(MAX(($C$12:$V$12=C$12)*($C$196:$V$196)*(($C$91:$V$91)=C1036)*$C$3:$V$3)))</f>
        <v/>
      </c>
      <c r="D1141" s="62">
        <f>IF(D$15&lt;=1,0,SUMPRODUCT(MAX(($C$12:$V$12=D$12)*($C$196:$V$196)*(($C$91:$V$91)=D1036)*$C$3:$V$3)))</f>
        <v/>
      </c>
      <c r="E1141" s="62">
        <f>IF(E$15&lt;=1,0,SUMPRODUCT(MAX(($C$12:$V$12=E$12)*($C$196:$V$196)*(($C$91:$V$91)=E1036)*$C$3:$V$3)))</f>
        <v/>
      </c>
      <c r="F1141" s="62">
        <f>IF(F$15&lt;=1,0,SUMPRODUCT(MAX(($C$12:$V$12=F$12)*($C$196:$V$196)*(($C$91:$V$91)=F1036)*$C$3:$V$3)))</f>
        <v/>
      </c>
      <c r="G1141" s="62">
        <f>IF(G$15&lt;=1,0,SUMPRODUCT(MAX(($C$12:$V$12=G$12)*($C$196:$V$196)*(($C$91:$V$91)=G1036)*$C$3:$V$3)))</f>
        <v/>
      </c>
      <c r="H1141" s="62">
        <f>IF(H$15&lt;=1,0,SUMPRODUCT(MAX(($C$12:$V$12=H$12)*($C$196:$V$196)*(($C$91:$V$91)=H1036)*$C$3:$V$3)))</f>
        <v/>
      </c>
      <c r="I1141" s="62">
        <f>IF(I$15&lt;=1,0,SUMPRODUCT(MAX(($C$12:$V$12=I$12)*($C$196:$V$196)*(($C$91:$V$91)=I1036)*$C$3:$V$3)))</f>
        <v/>
      </c>
      <c r="J1141" s="62">
        <f>IF(J$15&lt;=1,0,SUMPRODUCT(MAX(($C$12:$V$12=J$12)*($C$196:$V$196)*(($C$91:$V$91)=J1036)*$C$3:$V$3)))</f>
        <v/>
      </c>
      <c r="K1141" s="62">
        <f>IF(K$15&lt;=1,0,SUMPRODUCT(MAX(($C$12:$V$12=K$12)*($C$196:$V$196)*(($C$91:$V$91)=K1036)*$C$3:$V$3)))</f>
        <v/>
      </c>
      <c r="L1141" s="62">
        <f>IF(L$15&lt;=1,0,SUMPRODUCT(MAX(($C$12:$V$12=L$12)*($C$196:$V$196)*(($C$91:$V$91)=L1036)*$C$3:$V$3)))</f>
        <v/>
      </c>
      <c r="M1141" s="62">
        <f>IF(M$15&lt;=1,0,SUMPRODUCT(MAX(($C$12:$V$12=M$12)*($C$196:$V$196)*(($C$91:$V$91)=M1036)*$C$3:$V$3)))</f>
        <v/>
      </c>
      <c r="N1141" s="62">
        <f>IF(N$15&lt;=1,0,SUMPRODUCT(MAX(($C$12:$V$12=N$12)*($C$196:$V$196)*(($C$91:$V$91)=N1036)*$C$3:$V$3)))</f>
        <v/>
      </c>
      <c r="O1141" s="62">
        <f>IF(O$15&lt;=1,0,SUMPRODUCT(MAX(($C$12:$V$12=O$12)*($C$196:$V$196)*(($C$91:$V$91)=O1036)*$C$3:$V$3)))</f>
        <v/>
      </c>
      <c r="P1141" s="62">
        <f>IF(P$15&lt;=1,0,SUMPRODUCT(MAX(($C$12:$V$12=P$12)*($C$196:$V$196)*(($C$91:$V$91)=P1036)*$C$3:$V$3)))</f>
        <v/>
      </c>
      <c r="Q1141" s="62">
        <f>IF(Q$15&lt;=1,0,SUMPRODUCT(MAX(($C$12:$V$12=Q$12)*($C$196:$V$196)*(($C$91:$V$91)=Q1036)*$C$3:$V$3)))</f>
        <v/>
      </c>
      <c r="R1141" s="62">
        <f>IF(R$15&lt;=1,0,SUMPRODUCT(MAX(($C$12:$V$12=R$12)*($C$196:$V$196)*(($C$91:$V$91)=R1036)*$C$3:$V$3)))</f>
        <v/>
      </c>
      <c r="S1141" s="62">
        <f>IF(S$15&lt;=1,0,SUMPRODUCT(MAX(($C$12:$V$12=S$12)*($C$196:$V$196)*(($C$91:$V$91)=S1036)*$C$3:$V$3)))</f>
        <v/>
      </c>
      <c r="T1141" s="62">
        <f>IF(T$15&lt;=1,0,SUMPRODUCT(MAX(($C$12:$V$12=T$12)*($C$196:$V$196)*(($C$91:$V$91)=T1036)*$C$3:$V$3)))</f>
        <v/>
      </c>
      <c r="U1141" s="62">
        <f>IF(U$15&lt;=1,0,SUMPRODUCT(MAX(($C$12:$V$12=U$12)*($C$196:$V$196)*(($C$91:$V$91)=U1036)*$C$3:$V$3)))</f>
        <v/>
      </c>
      <c r="V1141" s="62">
        <f>IF(V$15&lt;=1,0,SUMPRODUCT(MAX(($C$12:$V$12=V$12)*($C$196:$V$196)*(($C$91:$V$91)=V1036)*$C$3:$V$3)))</f>
        <v/>
      </c>
    </row>
    <row r="1142">
      <c r="C1142" s="62">
        <f>IF(C$15&lt;=1,0,SUMPRODUCT(MAX(($C$12:$V$12=C$12)*($C$197:$V$197)*(($C$92:$V$92)=C1037)*$C$3:$V$3)))</f>
        <v/>
      </c>
      <c r="D1142" s="62">
        <f>IF(D$15&lt;=1,0,SUMPRODUCT(MAX(($C$12:$V$12=D$12)*($C$197:$V$197)*(($C$92:$V$92)=D1037)*$C$3:$V$3)))</f>
        <v/>
      </c>
      <c r="E1142" s="62">
        <f>IF(E$15&lt;=1,0,SUMPRODUCT(MAX(($C$12:$V$12=E$12)*($C$197:$V$197)*(($C$92:$V$92)=E1037)*$C$3:$V$3)))</f>
        <v/>
      </c>
      <c r="F1142" s="62">
        <f>IF(F$15&lt;=1,0,SUMPRODUCT(MAX(($C$12:$V$12=F$12)*($C$197:$V$197)*(($C$92:$V$92)=F1037)*$C$3:$V$3)))</f>
        <v/>
      </c>
      <c r="G1142" s="62">
        <f>IF(G$15&lt;=1,0,SUMPRODUCT(MAX(($C$12:$V$12=G$12)*($C$197:$V$197)*(($C$92:$V$92)=G1037)*$C$3:$V$3)))</f>
        <v/>
      </c>
      <c r="H1142" s="62">
        <f>IF(H$15&lt;=1,0,SUMPRODUCT(MAX(($C$12:$V$12=H$12)*($C$197:$V$197)*(($C$92:$V$92)=H1037)*$C$3:$V$3)))</f>
        <v/>
      </c>
      <c r="I1142" s="62">
        <f>IF(I$15&lt;=1,0,SUMPRODUCT(MAX(($C$12:$V$12=I$12)*($C$197:$V$197)*(($C$92:$V$92)=I1037)*$C$3:$V$3)))</f>
        <v/>
      </c>
      <c r="J1142" s="62">
        <f>IF(J$15&lt;=1,0,SUMPRODUCT(MAX(($C$12:$V$12=J$12)*($C$197:$V$197)*(($C$92:$V$92)=J1037)*$C$3:$V$3)))</f>
        <v/>
      </c>
      <c r="K1142" s="62">
        <f>IF(K$15&lt;=1,0,SUMPRODUCT(MAX(($C$12:$V$12=K$12)*($C$197:$V$197)*(($C$92:$V$92)=K1037)*$C$3:$V$3)))</f>
        <v/>
      </c>
      <c r="L1142" s="62">
        <f>IF(L$15&lt;=1,0,SUMPRODUCT(MAX(($C$12:$V$12=L$12)*($C$197:$V$197)*(($C$92:$V$92)=L1037)*$C$3:$V$3)))</f>
        <v/>
      </c>
      <c r="M1142" s="62">
        <f>IF(M$15&lt;=1,0,SUMPRODUCT(MAX(($C$12:$V$12=M$12)*($C$197:$V$197)*(($C$92:$V$92)=M1037)*$C$3:$V$3)))</f>
        <v/>
      </c>
      <c r="N1142" s="62">
        <f>IF(N$15&lt;=1,0,SUMPRODUCT(MAX(($C$12:$V$12=N$12)*($C$197:$V$197)*(($C$92:$V$92)=N1037)*$C$3:$V$3)))</f>
        <v/>
      </c>
      <c r="O1142" s="62">
        <f>IF(O$15&lt;=1,0,SUMPRODUCT(MAX(($C$12:$V$12=O$12)*($C$197:$V$197)*(($C$92:$V$92)=O1037)*$C$3:$V$3)))</f>
        <v/>
      </c>
      <c r="P1142" s="62">
        <f>IF(P$15&lt;=1,0,SUMPRODUCT(MAX(($C$12:$V$12=P$12)*($C$197:$V$197)*(($C$92:$V$92)=P1037)*$C$3:$V$3)))</f>
        <v/>
      </c>
      <c r="Q1142" s="62">
        <f>IF(Q$15&lt;=1,0,SUMPRODUCT(MAX(($C$12:$V$12=Q$12)*($C$197:$V$197)*(($C$92:$V$92)=Q1037)*$C$3:$V$3)))</f>
        <v/>
      </c>
      <c r="R1142" s="62">
        <f>IF(R$15&lt;=1,0,SUMPRODUCT(MAX(($C$12:$V$12=R$12)*($C$197:$V$197)*(($C$92:$V$92)=R1037)*$C$3:$V$3)))</f>
        <v/>
      </c>
      <c r="S1142" s="62">
        <f>IF(S$15&lt;=1,0,SUMPRODUCT(MAX(($C$12:$V$12=S$12)*($C$197:$V$197)*(($C$92:$V$92)=S1037)*$C$3:$V$3)))</f>
        <v/>
      </c>
      <c r="T1142" s="62">
        <f>IF(T$15&lt;=1,0,SUMPRODUCT(MAX(($C$12:$V$12=T$12)*($C$197:$V$197)*(($C$92:$V$92)=T1037)*$C$3:$V$3)))</f>
        <v/>
      </c>
      <c r="U1142" s="62">
        <f>IF(U$15&lt;=1,0,SUMPRODUCT(MAX(($C$12:$V$12=U$12)*($C$197:$V$197)*(($C$92:$V$92)=U1037)*$C$3:$V$3)))</f>
        <v/>
      </c>
      <c r="V1142" s="62">
        <f>IF(V$15&lt;=1,0,SUMPRODUCT(MAX(($C$12:$V$12=V$12)*($C$197:$V$197)*(($C$92:$V$92)=V1037)*$C$3:$V$3)))</f>
        <v/>
      </c>
    </row>
    <row r="1143">
      <c r="C1143" s="62">
        <f>IF(C$15&lt;=1,0,SUMPRODUCT(MAX(($C$12:$V$12=C$12)*($C$198:$V$198)*(($C$93:$V$93)=C1038)*$C$3:$V$3)))</f>
        <v/>
      </c>
      <c r="D1143" s="62">
        <f>IF(D$15&lt;=1,0,SUMPRODUCT(MAX(($C$12:$V$12=D$12)*($C$198:$V$198)*(($C$93:$V$93)=D1038)*$C$3:$V$3)))</f>
        <v/>
      </c>
      <c r="E1143" s="62">
        <f>IF(E$15&lt;=1,0,SUMPRODUCT(MAX(($C$12:$V$12=E$12)*($C$198:$V$198)*(($C$93:$V$93)=E1038)*$C$3:$V$3)))</f>
        <v/>
      </c>
      <c r="F1143" s="62">
        <f>IF(F$15&lt;=1,0,SUMPRODUCT(MAX(($C$12:$V$12=F$12)*($C$198:$V$198)*(($C$93:$V$93)=F1038)*$C$3:$V$3)))</f>
        <v/>
      </c>
      <c r="G1143" s="62">
        <f>IF(G$15&lt;=1,0,SUMPRODUCT(MAX(($C$12:$V$12=G$12)*($C$198:$V$198)*(($C$93:$V$93)=G1038)*$C$3:$V$3)))</f>
        <v/>
      </c>
      <c r="H1143" s="62">
        <f>IF(H$15&lt;=1,0,SUMPRODUCT(MAX(($C$12:$V$12=H$12)*($C$198:$V$198)*(($C$93:$V$93)=H1038)*$C$3:$V$3)))</f>
        <v/>
      </c>
      <c r="I1143" s="62">
        <f>IF(I$15&lt;=1,0,SUMPRODUCT(MAX(($C$12:$V$12=I$12)*($C$198:$V$198)*(($C$93:$V$93)=I1038)*$C$3:$V$3)))</f>
        <v/>
      </c>
      <c r="J1143" s="62">
        <f>IF(J$15&lt;=1,0,SUMPRODUCT(MAX(($C$12:$V$12=J$12)*($C$198:$V$198)*(($C$93:$V$93)=J1038)*$C$3:$V$3)))</f>
        <v/>
      </c>
      <c r="K1143" s="62">
        <f>IF(K$15&lt;=1,0,SUMPRODUCT(MAX(($C$12:$V$12=K$12)*($C$198:$V$198)*(($C$93:$V$93)=K1038)*$C$3:$V$3)))</f>
        <v/>
      </c>
      <c r="L1143" s="62">
        <f>IF(L$15&lt;=1,0,SUMPRODUCT(MAX(($C$12:$V$12=L$12)*($C$198:$V$198)*(($C$93:$V$93)=L1038)*$C$3:$V$3)))</f>
        <v/>
      </c>
      <c r="M1143" s="62">
        <f>IF(M$15&lt;=1,0,SUMPRODUCT(MAX(($C$12:$V$12=M$12)*($C$198:$V$198)*(($C$93:$V$93)=M1038)*$C$3:$V$3)))</f>
        <v/>
      </c>
      <c r="N1143" s="62">
        <f>IF(N$15&lt;=1,0,SUMPRODUCT(MAX(($C$12:$V$12=N$12)*($C$198:$V$198)*(($C$93:$V$93)=N1038)*$C$3:$V$3)))</f>
        <v/>
      </c>
      <c r="O1143" s="62">
        <f>IF(O$15&lt;=1,0,SUMPRODUCT(MAX(($C$12:$V$12=O$12)*($C$198:$V$198)*(($C$93:$V$93)=O1038)*$C$3:$V$3)))</f>
        <v/>
      </c>
      <c r="P1143" s="62">
        <f>IF(P$15&lt;=1,0,SUMPRODUCT(MAX(($C$12:$V$12=P$12)*($C$198:$V$198)*(($C$93:$V$93)=P1038)*$C$3:$V$3)))</f>
        <v/>
      </c>
      <c r="Q1143" s="62">
        <f>IF(Q$15&lt;=1,0,SUMPRODUCT(MAX(($C$12:$V$12=Q$12)*($C$198:$V$198)*(($C$93:$V$93)=Q1038)*$C$3:$V$3)))</f>
        <v/>
      </c>
      <c r="R1143" s="62">
        <f>IF(R$15&lt;=1,0,SUMPRODUCT(MAX(($C$12:$V$12=R$12)*($C$198:$V$198)*(($C$93:$V$93)=R1038)*$C$3:$V$3)))</f>
        <v/>
      </c>
      <c r="S1143" s="62">
        <f>IF(S$15&lt;=1,0,SUMPRODUCT(MAX(($C$12:$V$12=S$12)*($C$198:$V$198)*(($C$93:$V$93)=S1038)*$C$3:$V$3)))</f>
        <v/>
      </c>
      <c r="T1143" s="62">
        <f>IF(T$15&lt;=1,0,SUMPRODUCT(MAX(($C$12:$V$12=T$12)*($C$198:$V$198)*(($C$93:$V$93)=T1038)*$C$3:$V$3)))</f>
        <v/>
      </c>
      <c r="U1143" s="62">
        <f>IF(U$15&lt;=1,0,SUMPRODUCT(MAX(($C$12:$V$12=U$12)*($C$198:$V$198)*(($C$93:$V$93)=U1038)*$C$3:$V$3)))</f>
        <v/>
      </c>
      <c r="V1143" s="62">
        <f>IF(V$15&lt;=1,0,SUMPRODUCT(MAX(($C$12:$V$12=V$12)*($C$198:$V$198)*(($C$93:$V$93)=V1038)*$C$3:$V$3)))</f>
        <v/>
      </c>
    </row>
    <row r="1144">
      <c r="C1144" s="62">
        <f>IF(C$15&lt;=1,0,SUMPRODUCT(MAX(($C$12:$V$12=C$12)*($C$199:$V$199)*(($C$94:$V$94)=C1039)*$C$3:$V$3)))</f>
        <v/>
      </c>
      <c r="D1144" s="62">
        <f>IF(D$15&lt;=1,0,SUMPRODUCT(MAX(($C$12:$V$12=D$12)*($C$199:$V$199)*(($C$94:$V$94)=D1039)*$C$3:$V$3)))</f>
        <v/>
      </c>
      <c r="E1144" s="62">
        <f>IF(E$15&lt;=1,0,SUMPRODUCT(MAX(($C$12:$V$12=E$12)*($C$199:$V$199)*(($C$94:$V$94)=E1039)*$C$3:$V$3)))</f>
        <v/>
      </c>
      <c r="F1144" s="62">
        <f>IF(F$15&lt;=1,0,SUMPRODUCT(MAX(($C$12:$V$12=F$12)*($C$199:$V$199)*(($C$94:$V$94)=F1039)*$C$3:$V$3)))</f>
        <v/>
      </c>
      <c r="G1144" s="62">
        <f>IF(G$15&lt;=1,0,SUMPRODUCT(MAX(($C$12:$V$12=G$12)*($C$199:$V$199)*(($C$94:$V$94)=G1039)*$C$3:$V$3)))</f>
        <v/>
      </c>
      <c r="H1144" s="62">
        <f>IF(H$15&lt;=1,0,SUMPRODUCT(MAX(($C$12:$V$12=H$12)*($C$199:$V$199)*(($C$94:$V$94)=H1039)*$C$3:$V$3)))</f>
        <v/>
      </c>
      <c r="I1144" s="62">
        <f>IF(I$15&lt;=1,0,SUMPRODUCT(MAX(($C$12:$V$12=I$12)*($C$199:$V$199)*(($C$94:$V$94)=I1039)*$C$3:$V$3)))</f>
        <v/>
      </c>
      <c r="J1144" s="62">
        <f>IF(J$15&lt;=1,0,SUMPRODUCT(MAX(($C$12:$V$12=J$12)*($C$199:$V$199)*(($C$94:$V$94)=J1039)*$C$3:$V$3)))</f>
        <v/>
      </c>
      <c r="K1144" s="62">
        <f>IF(K$15&lt;=1,0,SUMPRODUCT(MAX(($C$12:$V$12=K$12)*($C$199:$V$199)*(($C$94:$V$94)=K1039)*$C$3:$V$3)))</f>
        <v/>
      </c>
      <c r="L1144" s="62">
        <f>IF(L$15&lt;=1,0,SUMPRODUCT(MAX(($C$12:$V$12=L$12)*($C$199:$V$199)*(($C$94:$V$94)=L1039)*$C$3:$V$3)))</f>
        <v/>
      </c>
      <c r="M1144" s="62">
        <f>IF(M$15&lt;=1,0,SUMPRODUCT(MAX(($C$12:$V$12=M$12)*($C$199:$V$199)*(($C$94:$V$94)=M1039)*$C$3:$V$3)))</f>
        <v/>
      </c>
      <c r="N1144" s="62">
        <f>IF(N$15&lt;=1,0,SUMPRODUCT(MAX(($C$12:$V$12=N$12)*($C$199:$V$199)*(($C$94:$V$94)=N1039)*$C$3:$V$3)))</f>
        <v/>
      </c>
      <c r="O1144" s="62">
        <f>IF(O$15&lt;=1,0,SUMPRODUCT(MAX(($C$12:$V$12=O$12)*($C$199:$V$199)*(($C$94:$V$94)=O1039)*$C$3:$V$3)))</f>
        <v/>
      </c>
      <c r="P1144" s="62">
        <f>IF(P$15&lt;=1,0,SUMPRODUCT(MAX(($C$12:$V$12=P$12)*($C$199:$V$199)*(($C$94:$V$94)=P1039)*$C$3:$V$3)))</f>
        <v/>
      </c>
      <c r="Q1144" s="62">
        <f>IF(Q$15&lt;=1,0,SUMPRODUCT(MAX(($C$12:$V$12=Q$12)*($C$199:$V$199)*(($C$94:$V$94)=Q1039)*$C$3:$V$3)))</f>
        <v/>
      </c>
      <c r="R1144" s="62">
        <f>IF(R$15&lt;=1,0,SUMPRODUCT(MAX(($C$12:$V$12=R$12)*($C$199:$V$199)*(($C$94:$V$94)=R1039)*$C$3:$V$3)))</f>
        <v/>
      </c>
      <c r="S1144" s="62">
        <f>IF(S$15&lt;=1,0,SUMPRODUCT(MAX(($C$12:$V$12=S$12)*($C$199:$V$199)*(($C$94:$V$94)=S1039)*$C$3:$V$3)))</f>
        <v/>
      </c>
      <c r="T1144" s="62">
        <f>IF(T$15&lt;=1,0,SUMPRODUCT(MAX(($C$12:$V$12=T$12)*($C$199:$V$199)*(($C$94:$V$94)=T1039)*$C$3:$V$3)))</f>
        <v/>
      </c>
      <c r="U1144" s="62">
        <f>IF(U$15&lt;=1,0,SUMPRODUCT(MAX(($C$12:$V$12=U$12)*($C$199:$V$199)*(($C$94:$V$94)=U1039)*$C$3:$V$3)))</f>
        <v/>
      </c>
      <c r="V1144" s="62">
        <f>IF(V$15&lt;=1,0,SUMPRODUCT(MAX(($C$12:$V$12=V$12)*($C$199:$V$199)*(($C$94:$V$94)=V1039)*$C$3:$V$3)))</f>
        <v/>
      </c>
    </row>
    <row r="1145">
      <c r="C1145" s="62">
        <f>IF(C$15&lt;=1,0,SUMPRODUCT(MAX(($C$12:$V$12=C$12)*($C$200:$V$200)*(($C$95:$V$95)=C1040)*$C$3:$V$3)))</f>
        <v/>
      </c>
      <c r="D1145" s="62">
        <f>IF(D$15&lt;=1,0,SUMPRODUCT(MAX(($C$12:$V$12=D$12)*($C$200:$V$200)*(($C$95:$V$95)=D1040)*$C$3:$V$3)))</f>
        <v/>
      </c>
      <c r="E1145" s="62">
        <f>IF(E$15&lt;=1,0,SUMPRODUCT(MAX(($C$12:$V$12=E$12)*($C$200:$V$200)*(($C$95:$V$95)=E1040)*$C$3:$V$3)))</f>
        <v/>
      </c>
      <c r="F1145" s="62">
        <f>IF(F$15&lt;=1,0,SUMPRODUCT(MAX(($C$12:$V$12=F$12)*($C$200:$V$200)*(($C$95:$V$95)=F1040)*$C$3:$V$3)))</f>
        <v/>
      </c>
      <c r="G1145" s="62">
        <f>IF(G$15&lt;=1,0,SUMPRODUCT(MAX(($C$12:$V$12=G$12)*($C$200:$V$200)*(($C$95:$V$95)=G1040)*$C$3:$V$3)))</f>
        <v/>
      </c>
      <c r="H1145" s="62">
        <f>IF(H$15&lt;=1,0,SUMPRODUCT(MAX(($C$12:$V$12=H$12)*($C$200:$V$200)*(($C$95:$V$95)=H1040)*$C$3:$V$3)))</f>
        <v/>
      </c>
      <c r="I1145" s="62">
        <f>IF(I$15&lt;=1,0,SUMPRODUCT(MAX(($C$12:$V$12=I$12)*($C$200:$V$200)*(($C$95:$V$95)=I1040)*$C$3:$V$3)))</f>
        <v/>
      </c>
      <c r="J1145" s="62">
        <f>IF(J$15&lt;=1,0,SUMPRODUCT(MAX(($C$12:$V$12=J$12)*($C$200:$V$200)*(($C$95:$V$95)=J1040)*$C$3:$V$3)))</f>
        <v/>
      </c>
      <c r="K1145" s="62">
        <f>IF(K$15&lt;=1,0,SUMPRODUCT(MAX(($C$12:$V$12=K$12)*($C$200:$V$200)*(($C$95:$V$95)=K1040)*$C$3:$V$3)))</f>
        <v/>
      </c>
      <c r="L1145" s="62">
        <f>IF(L$15&lt;=1,0,SUMPRODUCT(MAX(($C$12:$V$12=L$12)*($C$200:$V$200)*(($C$95:$V$95)=L1040)*$C$3:$V$3)))</f>
        <v/>
      </c>
      <c r="M1145" s="62">
        <f>IF(M$15&lt;=1,0,SUMPRODUCT(MAX(($C$12:$V$12=M$12)*($C$200:$V$200)*(($C$95:$V$95)=M1040)*$C$3:$V$3)))</f>
        <v/>
      </c>
      <c r="N1145" s="62">
        <f>IF(N$15&lt;=1,0,SUMPRODUCT(MAX(($C$12:$V$12=N$12)*($C$200:$V$200)*(($C$95:$V$95)=N1040)*$C$3:$V$3)))</f>
        <v/>
      </c>
      <c r="O1145" s="62">
        <f>IF(O$15&lt;=1,0,SUMPRODUCT(MAX(($C$12:$V$12=O$12)*($C$200:$V$200)*(($C$95:$V$95)=O1040)*$C$3:$V$3)))</f>
        <v/>
      </c>
      <c r="P1145" s="62">
        <f>IF(P$15&lt;=1,0,SUMPRODUCT(MAX(($C$12:$V$12=P$12)*($C$200:$V$200)*(($C$95:$V$95)=P1040)*$C$3:$V$3)))</f>
        <v/>
      </c>
      <c r="Q1145" s="62">
        <f>IF(Q$15&lt;=1,0,SUMPRODUCT(MAX(($C$12:$V$12=Q$12)*($C$200:$V$200)*(($C$95:$V$95)=Q1040)*$C$3:$V$3)))</f>
        <v/>
      </c>
      <c r="R1145" s="62">
        <f>IF(R$15&lt;=1,0,SUMPRODUCT(MAX(($C$12:$V$12=R$12)*($C$200:$V$200)*(($C$95:$V$95)=R1040)*$C$3:$V$3)))</f>
        <v/>
      </c>
      <c r="S1145" s="62">
        <f>IF(S$15&lt;=1,0,SUMPRODUCT(MAX(($C$12:$V$12=S$12)*($C$200:$V$200)*(($C$95:$V$95)=S1040)*$C$3:$V$3)))</f>
        <v/>
      </c>
      <c r="T1145" s="62">
        <f>IF(T$15&lt;=1,0,SUMPRODUCT(MAX(($C$12:$V$12=T$12)*($C$200:$V$200)*(($C$95:$V$95)=T1040)*$C$3:$V$3)))</f>
        <v/>
      </c>
      <c r="U1145" s="62">
        <f>IF(U$15&lt;=1,0,SUMPRODUCT(MAX(($C$12:$V$12=U$12)*($C$200:$V$200)*(($C$95:$V$95)=U1040)*$C$3:$V$3)))</f>
        <v/>
      </c>
      <c r="V1145" s="62">
        <f>IF(V$15&lt;=1,0,SUMPRODUCT(MAX(($C$12:$V$12=V$12)*($C$200:$V$200)*(($C$95:$V$95)=V1040)*$C$3:$V$3)))</f>
        <v/>
      </c>
    </row>
    <row r="1146">
      <c r="C1146" s="62">
        <f>IF(C$15&lt;=1,0,SUMPRODUCT(MAX(($C$12:$V$12=C$12)*($C$201:$V$201)*(($C$96:$V$96)=C1041)*$C$3:$V$3)))</f>
        <v/>
      </c>
      <c r="D1146" s="62">
        <f>IF(D$15&lt;=1,0,SUMPRODUCT(MAX(($C$12:$V$12=D$12)*($C$201:$V$201)*(($C$96:$V$96)=D1041)*$C$3:$V$3)))</f>
        <v/>
      </c>
      <c r="E1146" s="62">
        <f>IF(E$15&lt;=1,0,SUMPRODUCT(MAX(($C$12:$V$12=E$12)*($C$201:$V$201)*(($C$96:$V$96)=E1041)*$C$3:$V$3)))</f>
        <v/>
      </c>
      <c r="F1146" s="62">
        <f>IF(F$15&lt;=1,0,SUMPRODUCT(MAX(($C$12:$V$12=F$12)*($C$201:$V$201)*(($C$96:$V$96)=F1041)*$C$3:$V$3)))</f>
        <v/>
      </c>
      <c r="G1146" s="62">
        <f>IF(G$15&lt;=1,0,SUMPRODUCT(MAX(($C$12:$V$12=G$12)*($C$201:$V$201)*(($C$96:$V$96)=G1041)*$C$3:$V$3)))</f>
        <v/>
      </c>
      <c r="H1146" s="62">
        <f>IF(H$15&lt;=1,0,SUMPRODUCT(MAX(($C$12:$V$12=H$12)*($C$201:$V$201)*(($C$96:$V$96)=H1041)*$C$3:$V$3)))</f>
        <v/>
      </c>
      <c r="I1146" s="62">
        <f>IF(I$15&lt;=1,0,SUMPRODUCT(MAX(($C$12:$V$12=I$12)*($C$201:$V$201)*(($C$96:$V$96)=I1041)*$C$3:$V$3)))</f>
        <v/>
      </c>
      <c r="J1146" s="62">
        <f>IF(J$15&lt;=1,0,SUMPRODUCT(MAX(($C$12:$V$12=J$12)*($C$201:$V$201)*(($C$96:$V$96)=J1041)*$C$3:$V$3)))</f>
        <v/>
      </c>
      <c r="K1146" s="62">
        <f>IF(K$15&lt;=1,0,SUMPRODUCT(MAX(($C$12:$V$12=K$12)*($C$201:$V$201)*(($C$96:$V$96)=K1041)*$C$3:$V$3)))</f>
        <v/>
      </c>
      <c r="L1146" s="62">
        <f>IF(L$15&lt;=1,0,SUMPRODUCT(MAX(($C$12:$V$12=L$12)*($C$201:$V$201)*(($C$96:$V$96)=L1041)*$C$3:$V$3)))</f>
        <v/>
      </c>
      <c r="M1146" s="62">
        <f>IF(M$15&lt;=1,0,SUMPRODUCT(MAX(($C$12:$V$12=M$12)*($C$201:$V$201)*(($C$96:$V$96)=M1041)*$C$3:$V$3)))</f>
        <v/>
      </c>
      <c r="N1146" s="62">
        <f>IF(N$15&lt;=1,0,SUMPRODUCT(MAX(($C$12:$V$12=N$12)*($C$201:$V$201)*(($C$96:$V$96)=N1041)*$C$3:$V$3)))</f>
        <v/>
      </c>
      <c r="O1146" s="62">
        <f>IF(O$15&lt;=1,0,SUMPRODUCT(MAX(($C$12:$V$12=O$12)*($C$201:$V$201)*(($C$96:$V$96)=O1041)*$C$3:$V$3)))</f>
        <v/>
      </c>
      <c r="P1146" s="62">
        <f>IF(P$15&lt;=1,0,SUMPRODUCT(MAX(($C$12:$V$12=P$12)*($C$201:$V$201)*(($C$96:$V$96)=P1041)*$C$3:$V$3)))</f>
        <v/>
      </c>
      <c r="Q1146" s="62">
        <f>IF(Q$15&lt;=1,0,SUMPRODUCT(MAX(($C$12:$V$12=Q$12)*($C$201:$V$201)*(($C$96:$V$96)=Q1041)*$C$3:$V$3)))</f>
        <v/>
      </c>
      <c r="R1146" s="62">
        <f>IF(R$15&lt;=1,0,SUMPRODUCT(MAX(($C$12:$V$12=R$12)*($C$201:$V$201)*(($C$96:$V$96)=R1041)*$C$3:$V$3)))</f>
        <v/>
      </c>
      <c r="S1146" s="62">
        <f>IF(S$15&lt;=1,0,SUMPRODUCT(MAX(($C$12:$V$12=S$12)*($C$201:$V$201)*(($C$96:$V$96)=S1041)*$C$3:$V$3)))</f>
        <v/>
      </c>
      <c r="T1146" s="62">
        <f>IF(T$15&lt;=1,0,SUMPRODUCT(MAX(($C$12:$V$12=T$12)*($C$201:$V$201)*(($C$96:$V$96)=T1041)*$C$3:$V$3)))</f>
        <v/>
      </c>
      <c r="U1146" s="62">
        <f>IF(U$15&lt;=1,0,SUMPRODUCT(MAX(($C$12:$V$12=U$12)*($C$201:$V$201)*(($C$96:$V$96)=U1041)*$C$3:$V$3)))</f>
        <v/>
      </c>
      <c r="V1146" s="62">
        <f>IF(V$15&lt;=1,0,SUMPRODUCT(MAX(($C$12:$V$12=V$12)*($C$201:$V$201)*(($C$96:$V$96)=V1041)*$C$3:$V$3)))</f>
        <v/>
      </c>
    </row>
    <row r="1147">
      <c r="C1147" s="62">
        <f>IF(C$15&lt;=1,0,SUMPRODUCT(MAX(($C$12:$V$12=C$12)*($C$202:$V$202)*(($C$97:$V$97)=C1042)*$C$3:$V$3)))</f>
        <v/>
      </c>
      <c r="D1147" s="62">
        <f>IF(D$15&lt;=1,0,SUMPRODUCT(MAX(($C$12:$V$12=D$12)*($C$202:$V$202)*(($C$97:$V$97)=D1042)*$C$3:$V$3)))</f>
        <v/>
      </c>
      <c r="E1147" s="62">
        <f>IF(E$15&lt;=1,0,SUMPRODUCT(MAX(($C$12:$V$12=E$12)*($C$202:$V$202)*(($C$97:$V$97)=E1042)*$C$3:$V$3)))</f>
        <v/>
      </c>
      <c r="F1147" s="62">
        <f>IF(F$15&lt;=1,0,SUMPRODUCT(MAX(($C$12:$V$12=F$12)*($C$202:$V$202)*(($C$97:$V$97)=F1042)*$C$3:$V$3)))</f>
        <v/>
      </c>
      <c r="G1147" s="62">
        <f>IF(G$15&lt;=1,0,SUMPRODUCT(MAX(($C$12:$V$12=G$12)*($C$202:$V$202)*(($C$97:$V$97)=G1042)*$C$3:$V$3)))</f>
        <v/>
      </c>
      <c r="H1147" s="62">
        <f>IF(H$15&lt;=1,0,SUMPRODUCT(MAX(($C$12:$V$12=H$12)*($C$202:$V$202)*(($C$97:$V$97)=H1042)*$C$3:$V$3)))</f>
        <v/>
      </c>
      <c r="I1147" s="62">
        <f>IF(I$15&lt;=1,0,SUMPRODUCT(MAX(($C$12:$V$12=I$12)*($C$202:$V$202)*(($C$97:$V$97)=I1042)*$C$3:$V$3)))</f>
        <v/>
      </c>
      <c r="J1147" s="62">
        <f>IF(J$15&lt;=1,0,SUMPRODUCT(MAX(($C$12:$V$12=J$12)*($C$202:$V$202)*(($C$97:$V$97)=J1042)*$C$3:$V$3)))</f>
        <v/>
      </c>
      <c r="K1147" s="62">
        <f>IF(K$15&lt;=1,0,SUMPRODUCT(MAX(($C$12:$V$12=K$12)*($C$202:$V$202)*(($C$97:$V$97)=K1042)*$C$3:$V$3)))</f>
        <v/>
      </c>
      <c r="L1147" s="62">
        <f>IF(L$15&lt;=1,0,SUMPRODUCT(MAX(($C$12:$V$12=L$12)*($C$202:$V$202)*(($C$97:$V$97)=L1042)*$C$3:$V$3)))</f>
        <v/>
      </c>
      <c r="M1147" s="62">
        <f>IF(M$15&lt;=1,0,SUMPRODUCT(MAX(($C$12:$V$12=M$12)*($C$202:$V$202)*(($C$97:$V$97)=M1042)*$C$3:$V$3)))</f>
        <v/>
      </c>
      <c r="N1147" s="62">
        <f>IF(N$15&lt;=1,0,SUMPRODUCT(MAX(($C$12:$V$12=N$12)*($C$202:$V$202)*(($C$97:$V$97)=N1042)*$C$3:$V$3)))</f>
        <v/>
      </c>
      <c r="O1147" s="62">
        <f>IF(O$15&lt;=1,0,SUMPRODUCT(MAX(($C$12:$V$12=O$12)*($C$202:$V$202)*(($C$97:$V$97)=O1042)*$C$3:$V$3)))</f>
        <v/>
      </c>
      <c r="P1147" s="62">
        <f>IF(P$15&lt;=1,0,SUMPRODUCT(MAX(($C$12:$V$12=P$12)*($C$202:$V$202)*(($C$97:$V$97)=P1042)*$C$3:$V$3)))</f>
        <v/>
      </c>
      <c r="Q1147" s="62">
        <f>IF(Q$15&lt;=1,0,SUMPRODUCT(MAX(($C$12:$V$12=Q$12)*($C$202:$V$202)*(($C$97:$V$97)=Q1042)*$C$3:$V$3)))</f>
        <v/>
      </c>
      <c r="R1147" s="62">
        <f>IF(R$15&lt;=1,0,SUMPRODUCT(MAX(($C$12:$V$12=R$12)*($C$202:$V$202)*(($C$97:$V$97)=R1042)*$C$3:$V$3)))</f>
        <v/>
      </c>
      <c r="S1147" s="62">
        <f>IF(S$15&lt;=1,0,SUMPRODUCT(MAX(($C$12:$V$12=S$12)*($C$202:$V$202)*(($C$97:$V$97)=S1042)*$C$3:$V$3)))</f>
        <v/>
      </c>
      <c r="T1147" s="62">
        <f>IF(T$15&lt;=1,0,SUMPRODUCT(MAX(($C$12:$V$12=T$12)*($C$202:$V$202)*(($C$97:$V$97)=T1042)*$C$3:$V$3)))</f>
        <v/>
      </c>
      <c r="U1147" s="62">
        <f>IF(U$15&lt;=1,0,SUMPRODUCT(MAX(($C$12:$V$12=U$12)*($C$202:$V$202)*(($C$97:$V$97)=U1042)*$C$3:$V$3)))</f>
        <v/>
      </c>
      <c r="V1147" s="62">
        <f>IF(V$15&lt;=1,0,SUMPRODUCT(MAX(($C$12:$V$12=V$12)*($C$202:$V$202)*(($C$97:$V$97)=V1042)*$C$3:$V$3)))</f>
        <v/>
      </c>
    </row>
    <row r="1148">
      <c r="C1148" s="62">
        <f>IF(C$15&lt;=1,0,SUMPRODUCT(MAX(($C$12:$V$12=C$12)*($C$203:$V$203)*(($C$98:$V$98)=C1043)*$C$3:$V$3)))</f>
        <v/>
      </c>
      <c r="D1148" s="62">
        <f>IF(D$15&lt;=1,0,SUMPRODUCT(MAX(($C$12:$V$12=D$12)*($C$203:$V$203)*(($C$98:$V$98)=D1043)*$C$3:$V$3)))</f>
        <v/>
      </c>
      <c r="E1148" s="62">
        <f>IF(E$15&lt;=1,0,SUMPRODUCT(MAX(($C$12:$V$12=E$12)*($C$203:$V$203)*(($C$98:$V$98)=E1043)*$C$3:$V$3)))</f>
        <v/>
      </c>
      <c r="F1148" s="62">
        <f>IF(F$15&lt;=1,0,SUMPRODUCT(MAX(($C$12:$V$12=F$12)*($C$203:$V$203)*(($C$98:$V$98)=F1043)*$C$3:$V$3)))</f>
        <v/>
      </c>
      <c r="G1148" s="62">
        <f>IF(G$15&lt;=1,0,SUMPRODUCT(MAX(($C$12:$V$12=G$12)*($C$203:$V$203)*(($C$98:$V$98)=G1043)*$C$3:$V$3)))</f>
        <v/>
      </c>
      <c r="H1148" s="62">
        <f>IF(H$15&lt;=1,0,SUMPRODUCT(MAX(($C$12:$V$12=H$12)*($C$203:$V$203)*(($C$98:$V$98)=H1043)*$C$3:$V$3)))</f>
        <v/>
      </c>
      <c r="I1148" s="62">
        <f>IF(I$15&lt;=1,0,SUMPRODUCT(MAX(($C$12:$V$12=I$12)*($C$203:$V$203)*(($C$98:$V$98)=I1043)*$C$3:$V$3)))</f>
        <v/>
      </c>
      <c r="J1148" s="62">
        <f>IF(J$15&lt;=1,0,SUMPRODUCT(MAX(($C$12:$V$12=J$12)*($C$203:$V$203)*(($C$98:$V$98)=J1043)*$C$3:$V$3)))</f>
        <v/>
      </c>
      <c r="K1148" s="62">
        <f>IF(K$15&lt;=1,0,SUMPRODUCT(MAX(($C$12:$V$12=K$12)*($C$203:$V$203)*(($C$98:$V$98)=K1043)*$C$3:$V$3)))</f>
        <v/>
      </c>
      <c r="L1148" s="62">
        <f>IF(L$15&lt;=1,0,SUMPRODUCT(MAX(($C$12:$V$12=L$12)*($C$203:$V$203)*(($C$98:$V$98)=L1043)*$C$3:$V$3)))</f>
        <v/>
      </c>
      <c r="M1148" s="62">
        <f>IF(M$15&lt;=1,0,SUMPRODUCT(MAX(($C$12:$V$12=M$12)*($C$203:$V$203)*(($C$98:$V$98)=M1043)*$C$3:$V$3)))</f>
        <v/>
      </c>
      <c r="N1148" s="62">
        <f>IF(N$15&lt;=1,0,SUMPRODUCT(MAX(($C$12:$V$12=N$12)*($C$203:$V$203)*(($C$98:$V$98)=N1043)*$C$3:$V$3)))</f>
        <v/>
      </c>
      <c r="O1148" s="62">
        <f>IF(O$15&lt;=1,0,SUMPRODUCT(MAX(($C$12:$V$12=O$12)*($C$203:$V$203)*(($C$98:$V$98)=O1043)*$C$3:$V$3)))</f>
        <v/>
      </c>
      <c r="P1148" s="62">
        <f>IF(P$15&lt;=1,0,SUMPRODUCT(MAX(($C$12:$V$12=P$12)*($C$203:$V$203)*(($C$98:$V$98)=P1043)*$C$3:$V$3)))</f>
        <v/>
      </c>
      <c r="Q1148" s="62">
        <f>IF(Q$15&lt;=1,0,SUMPRODUCT(MAX(($C$12:$V$12=Q$12)*($C$203:$V$203)*(($C$98:$V$98)=Q1043)*$C$3:$V$3)))</f>
        <v/>
      </c>
      <c r="R1148" s="62">
        <f>IF(R$15&lt;=1,0,SUMPRODUCT(MAX(($C$12:$V$12=R$12)*($C$203:$V$203)*(($C$98:$V$98)=R1043)*$C$3:$V$3)))</f>
        <v/>
      </c>
      <c r="S1148" s="62">
        <f>IF(S$15&lt;=1,0,SUMPRODUCT(MAX(($C$12:$V$12=S$12)*($C$203:$V$203)*(($C$98:$V$98)=S1043)*$C$3:$V$3)))</f>
        <v/>
      </c>
      <c r="T1148" s="62">
        <f>IF(T$15&lt;=1,0,SUMPRODUCT(MAX(($C$12:$V$12=T$12)*($C$203:$V$203)*(($C$98:$V$98)=T1043)*$C$3:$V$3)))</f>
        <v/>
      </c>
      <c r="U1148" s="62">
        <f>IF(U$15&lt;=1,0,SUMPRODUCT(MAX(($C$12:$V$12=U$12)*($C$203:$V$203)*(($C$98:$V$98)=U1043)*$C$3:$V$3)))</f>
        <v/>
      </c>
      <c r="V1148" s="62">
        <f>IF(V$15&lt;=1,0,SUMPRODUCT(MAX(($C$12:$V$12=V$12)*($C$203:$V$203)*(($C$98:$V$98)=V1043)*$C$3:$V$3)))</f>
        <v/>
      </c>
    </row>
    <row r="1149">
      <c r="C1149" s="62">
        <f>IF(C$15&lt;=1,0,SUMPRODUCT(MAX(($C$12:$V$12=C$12)*($C$204:$V$204)*(($C$99:$V$99)=C1044)*$C$3:$V$3)))</f>
        <v/>
      </c>
      <c r="D1149" s="62">
        <f>IF(D$15&lt;=1,0,SUMPRODUCT(MAX(($C$12:$V$12=D$12)*($C$204:$V$204)*(($C$99:$V$99)=D1044)*$C$3:$V$3)))</f>
        <v/>
      </c>
      <c r="E1149" s="62">
        <f>IF(E$15&lt;=1,0,SUMPRODUCT(MAX(($C$12:$V$12=E$12)*($C$204:$V$204)*(($C$99:$V$99)=E1044)*$C$3:$V$3)))</f>
        <v/>
      </c>
      <c r="F1149" s="62">
        <f>IF(F$15&lt;=1,0,SUMPRODUCT(MAX(($C$12:$V$12=F$12)*($C$204:$V$204)*(($C$99:$V$99)=F1044)*$C$3:$V$3)))</f>
        <v/>
      </c>
      <c r="G1149" s="62">
        <f>IF(G$15&lt;=1,0,SUMPRODUCT(MAX(($C$12:$V$12=G$12)*($C$204:$V$204)*(($C$99:$V$99)=G1044)*$C$3:$V$3)))</f>
        <v/>
      </c>
      <c r="H1149" s="62">
        <f>IF(H$15&lt;=1,0,SUMPRODUCT(MAX(($C$12:$V$12=H$12)*($C$204:$V$204)*(($C$99:$V$99)=H1044)*$C$3:$V$3)))</f>
        <v/>
      </c>
      <c r="I1149" s="62">
        <f>IF(I$15&lt;=1,0,SUMPRODUCT(MAX(($C$12:$V$12=I$12)*($C$204:$V$204)*(($C$99:$V$99)=I1044)*$C$3:$V$3)))</f>
        <v/>
      </c>
      <c r="J1149" s="62">
        <f>IF(J$15&lt;=1,0,SUMPRODUCT(MAX(($C$12:$V$12=J$12)*($C$204:$V$204)*(($C$99:$V$99)=J1044)*$C$3:$V$3)))</f>
        <v/>
      </c>
      <c r="K1149" s="62">
        <f>IF(K$15&lt;=1,0,SUMPRODUCT(MAX(($C$12:$V$12=K$12)*($C$204:$V$204)*(($C$99:$V$99)=K1044)*$C$3:$V$3)))</f>
        <v/>
      </c>
      <c r="L1149" s="62">
        <f>IF(L$15&lt;=1,0,SUMPRODUCT(MAX(($C$12:$V$12=L$12)*($C$204:$V$204)*(($C$99:$V$99)=L1044)*$C$3:$V$3)))</f>
        <v/>
      </c>
      <c r="M1149" s="62">
        <f>IF(M$15&lt;=1,0,SUMPRODUCT(MAX(($C$12:$V$12=M$12)*($C$204:$V$204)*(($C$99:$V$99)=M1044)*$C$3:$V$3)))</f>
        <v/>
      </c>
      <c r="N1149" s="62">
        <f>IF(N$15&lt;=1,0,SUMPRODUCT(MAX(($C$12:$V$12=N$12)*($C$204:$V$204)*(($C$99:$V$99)=N1044)*$C$3:$V$3)))</f>
        <v/>
      </c>
      <c r="O1149" s="62">
        <f>IF(O$15&lt;=1,0,SUMPRODUCT(MAX(($C$12:$V$12=O$12)*($C$204:$V$204)*(($C$99:$V$99)=O1044)*$C$3:$V$3)))</f>
        <v/>
      </c>
      <c r="P1149" s="62">
        <f>IF(P$15&lt;=1,0,SUMPRODUCT(MAX(($C$12:$V$12=P$12)*($C$204:$V$204)*(($C$99:$V$99)=P1044)*$C$3:$V$3)))</f>
        <v/>
      </c>
      <c r="Q1149" s="62">
        <f>IF(Q$15&lt;=1,0,SUMPRODUCT(MAX(($C$12:$V$12=Q$12)*($C$204:$V$204)*(($C$99:$V$99)=Q1044)*$C$3:$V$3)))</f>
        <v/>
      </c>
      <c r="R1149" s="62">
        <f>IF(R$15&lt;=1,0,SUMPRODUCT(MAX(($C$12:$V$12=R$12)*($C$204:$V$204)*(($C$99:$V$99)=R1044)*$C$3:$V$3)))</f>
        <v/>
      </c>
      <c r="S1149" s="62">
        <f>IF(S$15&lt;=1,0,SUMPRODUCT(MAX(($C$12:$V$12=S$12)*($C$204:$V$204)*(($C$99:$V$99)=S1044)*$C$3:$V$3)))</f>
        <v/>
      </c>
      <c r="T1149" s="62">
        <f>IF(T$15&lt;=1,0,SUMPRODUCT(MAX(($C$12:$V$12=T$12)*($C$204:$V$204)*(($C$99:$V$99)=T1044)*$C$3:$V$3)))</f>
        <v/>
      </c>
      <c r="U1149" s="62">
        <f>IF(U$15&lt;=1,0,SUMPRODUCT(MAX(($C$12:$V$12=U$12)*($C$204:$V$204)*(($C$99:$V$99)=U1044)*$C$3:$V$3)))</f>
        <v/>
      </c>
      <c r="V1149" s="62">
        <f>IF(V$15&lt;=1,0,SUMPRODUCT(MAX(($C$12:$V$12=V$12)*($C$204:$V$204)*(($C$99:$V$99)=V1044)*$C$3:$V$3)))</f>
        <v/>
      </c>
    </row>
    <row r="1150">
      <c r="C1150" s="62">
        <f>IF(C$15&lt;=1,0,SUMPRODUCT(MAX(($C$12:$V$12=C$12)*($C$205:$V$205)*(($C$100:$V$100)=C1045)*$C$3:$V$3)))</f>
        <v/>
      </c>
      <c r="D1150" s="62">
        <f>IF(D$15&lt;=1,0,SUMPRODUCT(MAX(($C$12:$V$12=D$12)*($C$205:$V$205)*(($C$100:$V$100)=D1045)*$C$3:$V$3)))</f>
        <v/>
      </c>
      <c r="E1150" s="62">
        <f>IF(E$15&lt;=1,0,SUMPRODUCT(MAX(($C$12:$V$12=E$12)*($C$205:$V$205)*(($C$100:$V$100)=E1045)*$C$3:$V$3)))</f>
        <v/>
      </c>
      <c r="F1150" s="62">
        <f>IF(F$15&lt;=1,0,SUMPRODUCT(MAX(($C$12:$V$12=F$12)*($C$205:$V$205)*(($C$100:$V$100)=F1045)*$C$3:$V$3)))</f>
        <v/>
      </c>
      <c r="G1150" s="62">
        <f>IF(G$15&lt;=1,0,SUMPRODUCT(MAX(($C$12:$V$12=G$12)*($C$205:$V$205)*(($C$100:$V$100)=G1045)*$C$3:$V$3)))</f>
        <v/>
      </c>
      <c r="H1150" s="62">
        <f>IF(H$15&lt;=1,0,SUMPRODUCT(MAX(($C$12:$V$12=H$12)*($C$205:$V$205)*(($C$100:$V$100)=H1045)*$C$3:$V$3)))</f>
        <v/>
      </c>
      <c r="I1150" s="62">
        <f>IF(I$15&lt;=1,0,SUMPRODUCT(MAX(($C$12:$V$12=I$12)*($C$205:$V$205)*(($C$100:$V$100)=I1045)*$C$3:$V$3)))</f>
        <v/>
      </c>
      <c r="J1150" s="62">
        <f>IF(J$15&lt;=1,0,SUMPRODUCT(MAX(($C$12:$V$12=J$12)*($C$205:$V$205)*(($C$100:$V$100)=J1045)*$C$3:$V$3)))</f>
        <v/>
      </c>
      <c r="K1150" s="62">
        <f>IF(K$15&lt;=1,0,SUMPRODUCT(MAX(($C$12:$V$12=K$12)*($C$205:$V$205)*(($C$100:$V$100)=K1045)*$C$3:$V$3)))</f>
        <v/>
      </c>
      <c r="L1150" s="62">
        <f>IF(L$15&lt;=1,0,SUMPRODUCT(MAX(($C$12:$V$12=L$12)*($C$205:$V$205)*(($C$100:$V$100)=L1045)*$C$3:$V$3)))</f>
        <v/>
      </c>
      <c r="M1150" s="62">
        <f>IF(M$15&lt;=1,0,SUMPRODUCT(MAX(($C$12:$V$12=M$12)*($C$205:$V$205)*(($C$100:$V$100)=M1045)*$C$3:$V$3)))</f>
        <v/>
      </c>
      <c r="N1150" s="62">
        <f>IF(N$15&lt;=1,0,SUMPRODUCT(MAX(($C$12:$V$12=N$12)*($C$205:$V$205)*(($C$100:$V$100)=N1045)*$C$3:$V$3)))</f>
        <v/>
      </c>
      <c r="O1150" s="62">
        <f>IF(O$15&lt;=1,0,SUMPRODUCT(MAX(($C$12:$V$12=O$12)*($C$205:$V$205)*(($C$100:$V$100)=O1045)*$C$3:$V$3)))</f>
        <v/>
      </c>
      <c r="P1150" s="62">
        <f>IF(P$15&lt;=1,0,SUMPRODUCT(MAX(($C$12:$V$12=P$12)*($C$205:$V$205)*(($C$100:$V$100)=P1045)*$C$3:$V$3)))</f>
        <v/>
      </c>
      <c r="Q1150" s="62">
        <f>IF(Q$15&lt;=1,0,SUMPRODUCT(MAX(($C$12:$V$12=Q$12)*($C$205:$V$205)*(($C$100:$V$100)=Q1045)*$C$3:$V$3)))</f>
        <v/>
      </c>
      <c r="R1150" s="62">
        <f>IF(R$15&lt;=1,0,SUMPRODUCT(MAX(($C$12:$V$12=R$12)*($C$205:$V$205)*(($C$100:$V$100)=R1045)*$C$3:$V$3)))</f>
        <v/>
      </c>
      <c r="S1150" s="62">
        <f>IF(S$15&lt;=1,0,SUMPRODUCT(MAX(($C$12:$V$12=S$12)*($C$205:$V$205)*(($C$100:$V$100)=S1045)*$C$3:$V$3)))</f>
        <v/>
      </c>
      <c r="T1150" s="62">
        <f>IF(T$15&lt;=1,0,SUMPRODUCT(MAX(($C$12:$V$12=T$12)*($C$205:$V$205)*(($C$100:$V$100)=T1045)*$C$3:$V$3)))</f>
        <v/>
      </c>
      <c r="U1150" s="62">
        <f>IF(U$15&lt;=1,0,SUMPRODUCT(MAX(($C$12:$V$12=U$12)*($C$205:$V$205)*(($C$100:$V$100)=U1045)*$C$3:$V$3)))</f>
        <v/>
      </c>
      <c r="V1150" s="62">
        <f>IF(V$15&lt;=1,0,SUMPRODUCT(MAX(($C$12:$V$12=V$12)*($C$205:$V$205)*(($C$100:$V$100)=V1045)*$C$3:$V$3)))</f>
        <v/>
      </c>
    </row>
    <row r="1151">
      <c r="C1151" s="62">
        <f>IF(C$15&lt;=1,0,SUMPRODUCT(MAX(($C$12:$V$12=C$12)*($C$206:$V$206)*(($C$101:$V$101)=C1046)*$C$3:$V$3)))</f>
        <v/>
      </c>
      <c r="D1151" s="62">
        <f>IF(D$15&lt;=1,0,SUMPRODUCT(MAX(($C$12:$V$12=D$12)*($C$206:$V$206)*(($C$101:$V$101)=D1046)*$C$3:$V$3)))</f>
        <v/>
      </c>
      <c r="E1151" s="62">
        <f>IF(E$15&lt;=1,0,SUMPRODUCT(MAX(($C$12:$V$12=E$12)*($C$206:$V$206)*(($C$101:$V$101)=E1046)*$C$3:$V$3)))</f>
        <v/>
      </c>
      <c r="F1151" s="62">
        <f>IF(F$15&lt;=1,0,SUMPRODUCT(MAX(($C$12:$V$12=F$12)*($C$206:$V$206)*(($C$101:$V$101)=F1046)*$C$3:$V$3)))</f>
        <v/>
      </c>
      <c r="G1151" s="62">
        <f>IF(G$15&lt;=1,0,SUMPRODUCT(MAX(($C$12:$V$12=G$12)*($C$206:$V$206)*(($C$101:$V$101)=G1046)*$C$3:$V$3)))</f>
        <v/>
      </c>
      <c r="H1151" s="62">
        <f>IF(H$15&lt;=1,0,SUMPRODUCT(MAX(($C$12:$V$12=H$12)*($C$206:$V$206)*(($C$101:$V$101)=H1046)*$C$3:$V$3)))</f>
        <v/>
      </c>
      <c r="I1151" s="62">
        <f>IF(I$15&lt;=1,0,SUMPRODUCT(MAX(($C$12:$V$12=I$12)*($C$206:$V$206)*(($C$101:$V$101)=I1046)*$C$3:$V$3)))</f>
        <v/>
      </c>
      <c r="J1151" s="62">
        <f>IF(J$15&lt;=1,0,SUMPRODUCT(MAX(($C$12:$V$12=J$12)*($C$206:$V$206)*(($C$101:$V$101)=J1046)*$C$3:$V$3)))</f>
        <v/>
      </c>
      <c r="K1151" s="62">
        <f>IF(K$15&lt;=1,0,SUMPRODUCT(MAX(($C$12:$V$12=K$12)*($C$206:$V$206)*(($C$101:$V$101)=K1046)*$C$3:$V$3)))</f>
        <v/>
      </c>
      <c r="L1151" s="62">
        <f>IF(L$15&lt;=1,0,SUMPRODUCT(MAX(($C$12:$V$12=L$12)*($C$206:$V$206)*(($C$101:$V$101)=L1046)*$C$3:$V$3)))</f>
        <v/>
      </c>
      <c r="M1151" s="62">
        <f>IF(M$15&lt;=1,0,SUMPRODUCT(MAX(($C$12:$V$12=M$12)*($C$206:$V$206)*(($C$101:$V$101)=M1046)*$C$3:$V$3)))</f>
        <v/>
      </c>
      <c r="N1151" s="62">
        <f>IF(N$15&lt;=1,0,SUMPRODUCT(MAX(($C$12:$V$12=N$12)*($C$206:$V$206)*(($C$101:$V$101)=N1046)*$C$3:$V$3)))</f>
        <v/>
      </c>
      <c r="O1151" s="62">
        <f>IF(O$15&lt;=1,0,SUMPRODUCT(MAX(($C$12:$V$12=O$12)*($C$206:$V$206)*(($C$101:$V$101)=O1046)*$C$3:$V$3)))</f>
        <v/>
      </c>
      <c r="P1151" s="62">
        <f>IF(P$15&lt;=1,0,SUMPRODUCT(MAX(($C$12:$V$12=P$12)*($C$206:$V$206)*(($C$101:$V$101)=P1046)*$C$3:$V$3)))</f>
        <v/>
      </c>
      <c r="Q1151" s="62">
        <f>IF(Q$15&lt;=1,0,SUMPRODUCT(MAX(($C$12:$V$12=Q$12)*($C$206:$V$206)*(($C$101:$V$101)=Q1046)*$C$3:$V$3)))</f>
        <v/>
      </c>
      <c r="R1151" s="62">
        <f>IF(R$15&lt;=1,0,SUMPRODUCT(MAX(($C$12:$V$12=R$12)*($C$206:$V$206)*(($C$101:$V$101)=R1046)*$C$3:$V$3)))</f>
        <v/>
      </c>
      <c r="S1151" s="62">
        <f>IF(S$15&lt;=1,0,SUMPRODUCT(MAX(($C$12:$V$12=S$12)*($C$206:$V$206)*(($C$101:$V$101)=S1046)*$C$3:$V$3)))</f>
        <v/>
      </c>
      <c r="T1151" s="62">
        <f>IF(T$15&lt;=1,0,SUMPRODUCT(MAX(($C$12:$V$12=T$12)*($C$206:$V$206)*(($C$101:$V$101)=T1046)*$C$3:$V$3)))</f>
        <v/>
      </c>
      <c r="U1151" s="62">
        <f>IF(U$15&lt;=1,0,SUMPRODUCT(MAX(($C$12:$V$12=U$12)*($C$206:$V$206)*(($C$101:$V$101)=U1046)*$C$3:$V$3)))</f>
        <v/>
      </c>
      <c r="V1151" s="62">
        <f>IF(V$15&lt;=1,0,SUMPRODUCT(MAX(($C$12:$V$12=V$12)*($C$206:$V$206)*(($C$101:$V$101)=V1046)*$C$3:$V$3)))</f>
        <v/>
      </c>
    </row>
    <row r="1152">
      <c r="C1152" s="62">
        <f>IF(C$15&lt;=1,0,SUMPRODUCT(MAX(($C$12:$V$12=C$12)*($C$207:$V$207)*(($C$102:$V$102)=C1047)*$C$3:$V$3)))</f>
        <v/>
      </c>
      <c r="D1152" s="62">
        <f>IF(D$15&lt;=1,0,SUMPRODUCT(MAX(($C$12:$V$12=D$12)*($C$207:$V$207)*(($C$102:$V$102)=D1047)*$C$3:$V$3)))</f>
        <v/>
      </c>
      <c r="E1152" s="62">
        <f>IF(E$15&lt;=1,0,SUMPRODUCT(MAX(($C$12:$V$12=E$12)*($C$207:$V$207)*(($C$102:$V$102)=E1047)*$C$3:$V$3)))</f>
        <v/>
      </c>
      <c r="F1152" s="62">
        <f>IF(F$15&lt;=1,0,SUMPRODUCT(MAX(($C$12:$V$12=F$12)*($C$207:$V$207)*(($C$102:$V$102)=F1047)*$C$3:$V$3)))</f>
        <v/>
      </c>
      <c r="G1152" s="62">
        <f>IF(G$15&lt;=1,0,SUMPRODUCT(MAX(($C$12:$V$12=G$12)*($C$207:$V$207)*(($C$102:$V$102)=G1047)*$C$3:$V$3)))</f>
        <v/>
      </c>
      <c r="H1152" s="62">
        <f>IF(H$15&lt;=1,0,SUMPRODUCT(MAX(($C$12:$V$12=H$12)*($C$207:$V$207)*(($C$102:$V$102)=H1047)*$C$3:$V$3)))</f>
        <v/>
      </c>
      <c r="I1152" s="62">
        <f>IF(I$15&lt;=1,0,SUMPRODUCT(MAX(($C$12:$V$12=I$12)*($C$207:$V$207)*(($C$102:$V$102)=I1047)*$C$3:$V$3)))</f>
        <v/>
      </c>
      <c r="J1152" s="62">
        <f>IF(J$15&lt;=1,0,SUMPRODUCT(MAX(($C$12:$V$12=J$12)*($C$207:$V$207)*(($C$102:$V$102)=J1047)*$C$3:$V$3)))</f>
        <v/>
      </c>
      <c r="K1152" s="62">
        <f>IF(K$15&lt;=1,0,SUMPRODUCT(MAX(($C$12:$V$12=K$12)*($C$207:$V$207)*(($C$102:$V$102)=K1047)*$C$3:$V$3)))</f>
        <v/>
      </c>
      <c r="L1152" s="62">
        <f>IF(L$15&lt;=1,0,SUMPRODUCT(MAX(($C$12:$V$12=L$12)*($C$207:$V$207)*(($C$102:$V$102)=L1047)*$C$3:$V$3)))</f>
        <v/>
      </c>
      <c r="M1152" s="62">
        <f>IF(M$15&lt;=1,0,SUMPRODUCT(MAX(($C$12:$V$12=M$12)*($C$207:$V$207)*(($C$102:$V$102)=M1047)*$C$3:$V$3)))</f>
        <v/>
      </c>
      <c r="N1152" s="62">
        <f>IF(N$15&lt;=1,0,SUMPRODUCT(MAX(($C$12:$V$12=N$12)*($C$207:$V$207)*(($C$102:$V$102)=N1047)*$C$3:$V$3)))</f>
        <v/>
      </c>
      <c r="O1152" s="62">
        <f>IF(O$15&lt;=1,0,SUMPRODUCT(MAX(($C$12:$V$12=O$12)*($C$207:$V$207)*(($C$102:$V$102)=O1047)*$C$3:$V$3)))</f>
        <v/>
      </c>
      <c r="P1152" s="62">
        <f>IF(P$15&lt;=1,0,SUMPRODUCT(MAX(($C$12:$V$12=P$12)*($C$207:$V$207)*(($C$102:$V$102)=P1047)*$C$3:$V$3)))</f>
        <v/>
      </c>
      <c r="Q1152" s="62">
        <f>IF(Q$15&lt;=1,0,SUMPRODUCT(MAX(($C$12:$V$12=Q$12)*($C$207:$V$207)*(($C$102:$V$102)=Q1047)*$C$3:$V$3)))</f>
        <v/>
      </c>
      <c r="R1152" s="62">
        <f>IF(R$15&lt;=1,0,SUMPRODUCT(MAX(($C$12:$V$12=R$12)*($C$207:$V$207)*(($C$102:$V$102)=R1047)*$C$3:$V$3)))</f>
        <v/>
      </c>
      <c r="S1152" s="62">
        <f>IF(S$15&lt;=1,0,SUMPRODUCT(MAX(($C$12:$V$12=S$12)*($C$207:$V$207)*(($C$102:$V$102)=S1047)*$C$3:$V$3)))</f>
        <v/>
      </c>
      <c r="T1152" s="62">
        <f>IF(T$15&lt;=1,0,SUMPRODUCT(MAX(($C$12:$V$12=T$12)*($C$207:$V$207)*(($C$102:$V$102)=T1047)*$C$3:$V$3)))</f>
        <v/>
      </c>
      <c r="U1152" s="62">
        <f>IF(U$15&lt;=1,0,SUMPRODUCT(MAX(($C$12:$V$12=U$12)*($C$207:$V$207)*(($C$102:$V$102)=U1047)*$C$3:$V$3)))</f>
        <v/>
      </c>
      <c r="V1152" s="62">
        <f>IF(V$15&lt;=1,0,SUMPRODUCT(MAX(($C$12:$V$12=V$12)*($C$207:$V$207)*(($C$102:$V$102)=V1047)*$C$3:$V$3)))</f>
        <v/>
      </c>
    </row>
    <row r="1153">
      <c r="C1153" s="62">
        <f>IF(C$15&lt;=1,0,SUMPRODUCT(MAX(($C$12:$V$12=C$12)*($C$208:$V$208)*(($C$103:$V$103)=C1048)*$C$3:$V$3)))</f>
        <v/>
      </c>
      <c r="D1153" s="62">
        <f>IF(D$15&lt;=1,0,SUMPRODUCT(MAX(($C$12:$V$12=D$12)*($C$208:$V$208)*(($C$103:$V$103)=D1048)*$C$3:$V$3)))</f>
        <v/>
      </c>
      <c r="E1153" s="62">
        <f>IF(E$15&lt;=1,0,SUMPRODUCT(MAX(($C$12:$V$12=E$12)*($C$208:$V$208)*(($C$103:$V$103)=E1048)*$C$3:$V$3)))</f>
        <v/>
      </c>
      <c r="F1153" s="62">
        <f>IF(F$15&lt;=1,0,SUMPRODUCT(MAX(($C$12:$V$12=F$12)*($C$208:$V$208)*(($C$103:$V$103)=F1048)*$C$3:$V$3)))</f>
        <v/>
      </c>
      <c r="G1153" s="62">
        <f>IF(G$15&lt;=1,0,SUMPRODUCT(MAX(($C$12:$V$12=G$12)*($C$208:$V$208)*(($C$103:$V$103)=G1048)*$C$3:$V$3)))</f>
        <v/>
      </c>
      <c r="H1153" s="62">
        <f>IF(H$15&lt;=1,0,SUMPRODUCT(MAX(($C$12:$V$12=H$12)*($C$208:$V$208)*(($C$103:$V$103)=H1048)*$C$3:$V$3)))</f>
        <v/>
      </c>
      <c r="I1153" s="62">
        <f>IF(I$15&lt;=1,0,SUMPRODUCT(MAX(($C$12:$V$12=I$12)*($C$208:$V$208)*(($C$103:$V$103)=I1048)*$C$3:$V$3)))</f>
        <v/>
      </c>
      <c r="J1153" s="62">
        <f>IF(J$15&lt;=1,0,SUMPRODUCT(MAX(($C$12:$V$12=J$12)*($C$208:$V$208)*(($C$103:$V$103)=J1048)*$C$3:$V$3)))</f>
        <v/>
      </c>
      <c r="K1153" s="62">
        <f>IF(K$15&lt;=1,0,SUMPRODUCT(MAX(($C$12:$V$12=K$12)*($C$208:$V$208)*(($C$103:$V$103)=K1048)*$C$3:$V$3)))</f>
        <v/>
      </c>
      <c r="L1153" s="62">
        <f>IF(L$15&lt;=1,0,SUMPRODUCT(MAX(($C$12:$V$12=L$12)*($C$208:$V$208)*(($C$103:$V$103)=L1048)*$C$3:$V$3)))</f>
        <v/>
      </c>
      <c r="M1153" s="62">
        <f>IF(M$15&lt;=1,0,SUMPRODUCT(MAX(($C$12:$V$12=M$12)*($C$208:$V$208)*(($C$103:$V$103)=M1048)*$C$3:$V$3)))</f>
        <v/>
      </c>
      <c r="N1153" s="62">
        <f>IF(N$15&lt;=1,0,SUMPRODUCT(MAX(($C$12:$V$12=N$12)*($C$208:$V$208)*(($C$103:$V$103)=N1048)*$C$3:$V$3)))</f>
        <v/>
      </c>
      <c r="O1153" s="62">
        <f>IF(O$15&lt;=1,0,SUMPRODUCT(MAX(($C$12:$V$12=O$12)*($C$208:$V$208)*(($C$103:$V$103)=O1048)*$C$3:$V$3)))</f>
        <v/>
      </c>
      <c r="P1153" s="62">
        <f>IF(P$15&lt;=1,0,SUMPRODUCT(MAX(($C$12:$V$12=P$12)*($C$208:$V$208)*(($C$103:$V$103)=P1048)*$C$3:$V$3)))</f>
        <v/>
      </c>
      <c r="Q1153" s="62">
        <f>IF(Q$15&lt;=1,0,SUMPRODUCT(MAX(($C$12:$V$12=Q$12)*($C$208:$V$208)*(($C$103:$V$103)=Q1048)*$C$3:$V$3)))</f>
        <v/>
      </c>
      <c r="R1153" s="62">
        <f>IF(R$15&lt;=1,0,SUMPRODUCT(MAX(($C$12:$V$12=R$12)*($C$208:$V$208)*(($C$103:$V$103)=R1048)*$C$3:$V$3)))</f>
        <v/>
      </c>
      <c r="S1153" s="62">
        <f>IF(S$15&lt;=1,0,SUMPRODUCT(MAX(($C$12:$V$12=S$12)*($C$208:$V$208)*(($C$103:$V$103)=S1048)*$C$3:$V$3)))</f>
        <v/>
      </c>
      <c r="T1153" s="62">
        <f>IF(T$15&lt;=1,0,SUMPRODUCT(MAX(($C$12:$V$12=T$12)*($C$208:$V$208)*(($C$103:$V$103)=T1048)*$C$3:$V$3)))</f>
        <v/>
      </c>
      <c r="U1153" s="62">
        <f>IF(U$15&lt;=1,0,SUMPRODUCT(MAX(($C$12:$V$12=U$12)*($C$208:$V$208)*(($C$103:$V$103)=U1048)*$C$3:$V$3)))</f>
        <v/>
      </c>
      <c r="V1153" s="62">
        <f>IF(V$15&lt;=1,0,SUMPRODUCT(MAX(($C$12:$V$12=V$12)*($C$208:$V$208)*(($C$103:$V$103)=V1048)*$C$3:$V$3)))</f>
        <v/>
      </c>
    </row>
    <row r="1154">
      <c r="C1154" s="62">
        <f>IF(C$15&lt;=1,0,SUMPRODUCT(MAX(($C$12:$V$12=C$12)*($C$209:$V$209)*(($C$104:$V$104)=C1049)*$C$3:$V$3)))</f>
        <v/>
      </c>
      <c r="D1154" s="62">
        <f>IF(D$15&lt;=1,0,SUMPRODUCT(MAX(($C$12:$V$12=D$12)*($C$209:$V$209)*(($C$104:$V$104)=D1049)*$C$3:$V$3)))</f>
        <v/>
      </c>
      <c r="E1154" s="62">
        <f>IF(E$15&lt;=1,0,SUMPRODUCT(MAX(($C$12:$V$12=E$12)*($C$209:$V$209)*(($C$104:$V$104)=E1049)*$C$3:$V$3)))</f>
        <v/>
      </c>
      <c r="F1154" s="62">
        <f>IF(F$15&lt;=1,0,SUMPRODUCT(MAX(($C$12:$V$12=F$12)*($C$209:$V$209)*(($C$104:$V$104)=F1049)*$C$3:$V$3)))</f>
        <v/>
      </c>
      <c r="G1154" s="62">
        <f>IF(G$15&lt;=1,0,SUMPRODUCT(MAX(($C$12:$V$12=G$12)*($C$209:$V$209)*(($C$104:$V$104)=G1049)*$C$3:$V$3)))</f>
        <v/>
      </c>
      <c r="H1154" s="62">
        <f>IF(H$15&lt;=1,0,SUMPRODUCT(MAX(($C$12:$V$12=H$12)*($C$209:$V$209)*(($C$104:$V$104)=H1049)*$C$3:$V$3)))</f>
        <v/>
      </c>
      <c r="I1154" s="62">
        <f>IF(I$15&lt;=1,0,SUMPRODUCT(MAX(($C$12:$V$12=I$12)*($C$209:$V$209)*(($C$104:$V$104)=I1049)*$C$3:$V$3)))</f>
        <v/>
      </c>
      <c r="J1154" s="62">
        <f>IF(J$15&lt;=1,0,SUMPRODUCT(MAX(($C$12:$V$12=J$12)*($C$209:$V$209)*(($C$104:$V$104)=J1049)*$C$3:$V$3)))</f>
        <v/>
      </c>
      <c r="K1154" s="62">
        <f>IF(K$15&lt;=1,0,SUMPRODUCT(MAX(($C$12:$V$12=K$12)*($C$209:$V$209)*(($C$104:$V$104)=K1049)*$C$3:$V$3)))</f>
        <v/>
      </c>
      <c r="L1154" s="62">
        <f>IF(L$15&lt;=1,0,SUMPRODUCT(MAX(($C$12:$V$12=L$12)*($C$209:$V$209)*(($C$104:$V$104)=L1049)*$C$3:$V$3)))</f>
        <v/>
      </c>
      <c r="M1154" s="62">
        <f>IF(M$15&lt;=1,0,SUMPRODUCT(MAX(($C$12:$V$12=M$12)*($C$209:$V$209)*(($C$104:$V$104)=M1049)*$C$3:$V$3)))</f>
        <v/>
      </c>
      <c r="N1154" s="62">
        <f>IF(N$15&lt;=1,0,SUMPRODUCT(MAX(($C$12:$V$12=N$12)*($C$209:$V$209)*(($C$104:$V$104)=N1049)*$C$3:$V$3)))</f>
        <v/>
      </c>
      <c r="O1154" s="62">
        <f>IF(O$15&lt;=1,0,SUMPRODUCT(MAX(($C$12:$V$12=O$12)*($C$209:$V$209)*(($C$104:$V$104)=O1049)*$C$3:$V$3)))</f>
        <v/>
      </c>
      <c r="P1154" s="62">
        <f>IF(P$15&lt;=1,0,SUMPRODUCT(MAX(($C$12:$V$12=P$12)*($C$209:$V$209)*(($C$104:$V$104)=P1049)*$C$3:$V$3)))</f>
        <v/>
      </c>
      <c r="Q1154" s="62">
        <f>IF(Q$15&lt;=1,0,SUMPRODUCT(MAX(($C$12:$V$12=Q$12)*($C$209:$V$209)*(($C$104:$V$104)=Q1049)*$C$3:$V$3)))</f>
        <v/>
      </c>
      <c r="R1154" s="62">
        <f>IF(R$15&lt;=1,0,SUMPRODUCT(MAX(($C$12:$V$12=R$12)*($C$209:$V$209)*(($C$104:$V$104)=R1049)*$C$3:$V$3)))</f>
        <v/>
      </c>
      <c r="S1154" s="62">
        <f>IF(S$15&lt;=1,0,SUMPRODUCT(MAX(($C$12:$V$12=S$12)*($C$209:$V$209)*(($C$104:$V$104)=S1049)*$C$3:$V$3)))</f>
        <v/>
      </c>
      <c r="T1154" s="62">
        <f>IF(T$15&lt;=1,0,SUMPRODUCT(MAX(($C$12:$V$12=T$12)*($C$209:$V$209)*(($C$104:$V$104)=T1049)*$C$3:$V$3)))</f>
        <v/>
      </c>
      <c r="U1154" s="62">
        <f>IF(U$15&lt;=1,0,SUMPRODUCT(MAX(($C$12:$V$12=U$12)*($C$209:$V$209)*(($C$104:$V$104)=U1049)*$C$3:$V$3)))</f>
        <v/>
      </c>
      <c r="V1154" s="62">
        <f>IF(V$15&lt;=1,0,SUMPRODUCT(MAX(($C$12:$V$12=V$12)*($C$209:$V$209)*(($C$104:$V$104)=V1049)*$C$3:$V$3)))</f>
        <v/>
      </c>
    </row>
    <row r="1155">
      <c r="C1155" s="62">
        <f>IF(C$15&lt;=1,0,SUMPRODUCT(MAX(($C$12:$V$12=C$12)*($C$210:$V$210)*(($C$105:$V$105)=C1050)*$C$3:$V$3)))</f>
        <v/>
      </c>
      <c r="D1155" s="62">
        <f>IF(D$15&lt;=1,0,SUMPRODUCT(MAX(($C$12:$V$12=D$12)*($C$210:$V$210)*(($C$105:$V$105)=D1050)*$C$3:$V$3)))</f>
        <v/>
      </c>
      <c r="E1155" s="62">
        <f>IF(E$15&lt;=1,0,SUMPRODUCT(MAX(($C$12:$V$12=E$12)*($C$210:$V$210)*(($C$105:$V$105)=E1050)*$C$3:$V$3)))</f>
        <v/>
      </c>
      <c r="F1155" s="62">
        <f>IF(F$15&lt;=1,0,SUMPRODUCT(MAX(($C$12:$V$12=F$12)*($C$210:$V$210)*(($C$105:$V$105)=F1050)*$C$3:$V$3)))</f>
        <v/>
      </c>
      <c r="G1155" s="62">
        <f>IF(G$15&lt;=1,0,SUMPRODUCT(MAX(($C$12:$V$12=G$12)*($C$210:$V$210)*(($C$105:$V$105)=G1050)*$C$3:$V$3)))</f>
        <v/>
      </c>
      <c r="H1155" s="62">
        <f>IF(H$15&lt;=1,0,SUMPRODUCT(MAX(($C$12:$V$12=H$12)*($C$210:$V$210)*(($C$105:$V$105)=H1050)*$C$3:$V$3)))</f>
        <v/>
      </c>
      <c r="I1155" s="62">
        <f>IF(I$15&lt;=1,0,SUMPRODUCT(MAX(($C$12:$V$12=I$12)*($C$210:$V$210)*(($C$105:$V$105)=I1050)*$C$3:$V$3)))</f>
        <v/>
      </c>
      <c r="J1155" s="62">
        <f>IF(J$15&lt;=1,0,SUMPRODUCT(MAX(($C$12:$V$12=J$12)*($C$210:$V$210)*(($C$105:$V$105)=J1050)*$C$3:$V$3)))</f>
        <v/>
      </c>
      <c r="K1155" s="62">
        <f>IF(K$15&lt;=1,0,SUMPRODUCT(MAX(($C$12:$V$12=K$12)*($C$210:$V$210)*(($C$105:$V$105)=K1050)*$C$3:$V$3)))</f>
        <v/>
      </c>
      <c r="L1155" s="62">
        <f>IF(L$15&lt;=1,0,SUMPRODUCT(MAX(($C$12:$V$12=L$12)*($C$210:$V$210)*(($C$105:$V$105)=L1050)*$C$3:$V$3)))</f>
        <v/>
      </c>
      <c r="M1155" s="62">
        <f>IF(M$15&lt;=1,0,SUMPRODUCT(MAX(($C$12:$V$12=M$12)*($C$210:$V$210)*(($C$105:$V$105)=M1050)*$C$3:$V$3)))</f>
        <v/>
      </c>
      <c r="N1155" s="62">
        <f>IF(N$15&lt;=1,0,SUMPRODUCT(MAX(($C$12:$V$12=N$12)*($C$210:$V$210)*(($C$105:$V$105)=N1050)*$C$3:$V$3)))</f>
        <v/>
      </c>
      <c r="O1155" s="62">
        <f>IF(O$15&lt;=1,0,SUMPRODUCT(MAX(($C$12:$V$12=O$12)*($C$210:$V$210)*(($C$105:$V$105)=O1050)*$C$3:$V$3)))</f>
        <v/>
      </c>
      <c r="P1155" s="62">
        <f>IF(P$15&lt;=1,0,SUMPRODUCT(MAX(($C$12:$V$12=P$12)*($C$210:$V$210)*(($C$105:$V$105)=P1050)*$C$3:$V$3)))</f>
        <v/>
      </c>
      <c r="Q1155" s="62">
        <f>IF(Q$15&lt;=1,0,SUMPRODUCT(MAX(($C$12:$V$12=Q$12)*($C$210:$V$210)*(($C$105:$V$105)=Q1050)*$C$3:$V$3)))</f>
        <v/>
      </c>
      <c r="R1155" s="62">
        <f>IF(R$15&lt;=1,0,SUMPRODUCT(MAX(($C$12:$V$12=R$12)*($C$210:$V$210)*(($C$105:$V$105)=R1050)*$C$3:$V$3)))</f>
        <v/>
      </c>
      <c r="S1155" s="62">
        <f>IF(S$15&lt;=1,0,SUMPRODUCT(MAX(($C$12:$V$12=S$12)*($C$210:$V$210)*(($C$105:$V$105)=S1050)*$C$3:$V$3)))</f>
        <v/>
      </c>
      <c r="T1155" s="62">
        <f>IF(T$15&lt;=1,0,SUMPRODUCT(MAX(($C$12:$V$12=T$12)*($C$210:$V$210)*(($C$105:$V$105)=T1050)*$C$3:$V$3)))</f>
        <v/>
      </c>
      <c r="U1155" s="62">
        <f>IF(U$15&lt;=1,0,SUMPRODUCT(MAX(($C$12:$V$12=U$12)*($C$210:$V$210)*(($C$105:$V$105)=U1050)*$C$3:$V$3)))</f>
        <v/>
      </c>
      <c r="V1155" s="62">
        <f>IF(V$15&lt;=1,0,SUMPRODUCT(MAX(($C$12:$V$12=V$12)*($C$210:$V$210)*(($C$105:$V$105)=V1050)*$C$3:$V$3)))</f>
        <v/>
      </c>
    </row>
    <row r="1156">
      <c r="C1156" s="62">
        <f>IF(C$15&lt;=1,0,SUMPRODUCT(MAX(($C$12:$V$12=C$12)*($C$211:$V$211)*(($C$106:$V$106)=C1051)*$C$3:$V$3)))</f>
        <v/>
      </c>
      <c r="D1156" s="62">
        <f>IF(D$15&lt;=1,0,SUMPRODUCT(MAX(($C$12:$V$12=D$12)*($C$211:$V$211)*(($C$106:$V$106)=D1051)*$C$3:$V$3)))</f>
        <v/>
      </c>
      <c r="E1156" s="62">
        <f>IF(E$15&lt;=1,0,SUMPRODUCT(MAX(($C$12:$V$12=E$12)*($C$211:$V$211)*(($C$106:$V$106)=E1051)*$C$3:$V$3)))</f>
        <v/>
      </c>
      <c r="F1156" s="62">
        <f>IF(F$15&lt;=1,0,SUMPRODUCT(MAX(($C$12:$V$12=F$12)*($C$211:$V$211)*(($C$106:$V$106)=F1051)*$C$3:$V$3)))</f>
        <v/>
      </c>
      <c r="G1156" s="62">
        <f>IF(G$15&lt;=1,0,SUMPRODUCT(MAX(($C$12:$V$12=G$12)*($C$211:$V$211)*(($C$106:$V$106)=G1051)*$C$3:$V$3)))</f>
        <v/>
      </c>
      <c r="H1156" s="62">
        <f>IF(H$15&lt;=1,0,SUMPRODUCT(MAX(($C$12:$V$12=H$12)*($C$211:$V$211)*(($C$106:$V$106)=H1051)*$C$3:$V$3)))</f>
        <v/>
      </c>
      <c r="I1156" s="62">
        <f>IF(I$15&lt;=1,0,SUMPRODUCT(MAX(($C$12:$V$12=I$12)*($C$211:$V$211)*(($C$106:$V$106)=I1051)*$C$3:$V$3)))</f>
        <v/>
      </c>
      <c r="J1156" s="62">
        <f>IF(J$15&lt;=1,0,SUMPRODUCT(MAX(($C$12:$V$12=J$12)*($C$211:$V$211)*(($C$106:$V$106)=J1051)*$C$3:$V$3)))</f>
        <v/>
      </c>
      <c r="K1156" s="62">
        <f>IF(K$15&lt;=1,0,SUMPRODUCT(MAX(($C$12:$V$12=K$12)*($C$211:$V$211)*(($C$106:$V$106)=K1051)*$C$3:$V$3)))</f>
        <v/>
      </c>
      <c r="L1156" s="62">
        <f>IF(L$15&lt;=1,0,SUMPRODUCT(MAX(($C$12:$V$12=L$12)*($C$211:$V$211)*(($C$106:$V$106)=L1051)*$C$3:$V$3)))</f>
        <v/>
      </c>
      <c r="M1156" s="62">
        <f>IF(M$15&lt;=1,0,SUMPRODUCT(MAX(($C$12:$V$12=M$12)*($C$211:$V$211)*(($C$106:$V$106)=M1051)*$C$3:$V$3)))</f>
        <v/>
      </c>
      <c r="N1156" s="62">
        <f>IF(N$15&lt;=1,0,SUMPRODUCT(MAX(($C$12:$V$12=N$12)*($C$211:$V$211)*(($C$106:$V$106)=N1051)*$C$3:$V$3)))</f>
        <v/>
      </c>
      <c r="O1156" s="62">
        <f>IF(O$15&lt;=1,0,SUMPRODUCT(MAX(($C$12:$V$12=O$12)*($C$211:$V$211)*(($C$106:$V$106)=O1051)*$C$3:$V$3)))</f>
        <v/>
      </c>
      <c r="P1156" s="62">
        <f>IF(P$15&lt;=1,0,SUMPRODUCT(MAX(($C$12:$V$12=P$12)*($C$211:$V$211)*(($C$106:$V$106)=P1051)*$C$3:$V$3)))</f>
        <v/>
      </c>
      <c r="Q1156" s="62">
        <f>IF(Q$15&lt;=1,0,SUMPRODUCT(MAX(($C$12:$V$12=Q$12)*($C$211:$V$211)*(($C$106:$V$106)=Q1051)*$C$3:$V$3)))</f>
        <v/>
      </c>
      <c r="R1156" s="62">
        <f>IF(R$15&lt;=1,0,SUMPRODUCT(MAX(($C$12:$V$12=R$12)*($C$211:$V$211)*(($C$106:$V$106)=R1051)*$C$3:$V$3)))</f>
        <v/>
      </c>
      <c r="S1156" s="62">
        <f>IF(S$15&lt;=1,0,SUMPRODUCT(MAX(($C$12:$V$12=S$12)*($C$211:$V$211)*(($C$106:$V$106)=S1051)*$C$3:$V$3)))</f>
        <v/>
      </c>
      <c r="T1156" s="62">
        <f>IF(T$15&lt;=1,0,SUMPRODUCT(MAX(($C$12:$V$12=T$12)*($C$211:$V$211)*(($C$106:$V$106)=T1051)*$C$3:$V$3)))</f>
        <v/>
      </c>
      <c r="U1156" s="62">
        <f>IF(U$15&lt;=1,0,SUMPRODUCT(MAX(($C$12:$V$12=U$12)*($C$211:$V$211)*(($C$106:$V$106)=U1051)*$C$3:$V$3)))</f>
        <v/>
      </c>
      <c r="V1156" s="62">
        <f>IF(V$15&lt;=1,0,SUMPRODUCT(MAX(($C$12:$V$12=V$12)*($C$211:$V$211)*(($C$106:$V$106)=V1051)*$C$3:$V$3)))</f>
        <v/>
      </c>
    </row>
    <row r="1157">
      <c r="C1157" s="62">
        <f>IF(C$15&lt;=1,0,SUMPRODUCT(MAX(($C$12:$V$12=C$12)*($C$212:$V$212)*(($C$107:$V$107)=C1052)*$C$3:$V$3)))</f>
        <v/>
      </c>
      <c r="D1157" s="62">
        <f>IF(D$15&lt;=1,0,SUMPRODUCT(MAX(($C$12:$V$12=D$12)*($C$212:$V$212)*(($C$107:$V$107)=D1052)*$C$3:$V$3)))</f>
        <v/>
      </c>
      <c r="E1157" s="62">
        <f>IF(E$15&lt;=1,0,SUMPRODUCT(MAX(($C$12:$V$12=E$12)*($C$212:$V$212)*(($C$107:$V$107)=E1052)*$C$3:$V$3)))</f>
        <v/>
      </c>
      <c r="F1157" s="62">
        <f>IF(F$15&lt;=1,0,SUMPRODUCT(MAX(($C$12:$V$12=F$12)*($C$212:$V$212)*(($C$107:$V$107)=F1052)*$C$3:$V$3)))</f>
        <v/>
      </c>
      <c r="G1157" s="62">
        <f>IF(G$15&lt;=1,0,SUMPRODUCT(MAX(($C$12:$V$12=G$12)*($C$212:$V$212)*(($C$107:$V$107)=G1052)*$C$3:$V$3)))</f>
        <v/>
      </c>
      <c r="H1157" s="62">
        <f>IF(H$15&lt;=1,0,SUMPRODUCT(MAX(($C$12:$V$12=H$12)*($C$212:$V$212)*(($C$107:$V$107)=H1052)*$C$3:$V$3)))</f>
        <v/>
      </c>
      <c r="I1157" s="62">
        <f>IF(I$15&lt;=1,0,SUMPRODUCT(MAX(($C$12:$V$12=I$12)*($C$212:$V$212)*(($C$107:$V$107)=I1052)*$C$3:$V$3)))</f>
        <v/>
      </c>
      <c r="J1157" s="62">
        <f>IF(J$15&lt;=1,0,SUMPRODUCT(MAX(($C$12:$V$12=J$12)*($C$212:$V$212)*(($C$107:$V$107)=J1052)*$C$3:$V$3)))</f>
        <v/>
      </c>
      <c r="K1157" s="62">
        <f>IF(K$15&lt;=1,0,SUMPRODUCT(MAX(($C$12:$V$12=K$12)*($C$212:$V$212)*(($C$107:$V$107)=K1052)*$C$3:$V$3)))</f>
        <v/>
      </c>
      <c r="L1157" s="62">
        <f>IF(L$15&lt;=1,0,SUMPRODUCT(MAX(($C$12:$V$12=L$12)*($C$212:$V$212)*(($C$107:$V$107)=L1052)*$C$3:$V$3)))</f>
        <v/>
      </c>
      <c r="M1157" s="62">
        <f>IF(M$15&lt;=1,0,SUMPRODUCT(MAX(($C$12:$V$12=M$12)*($C$212:$V$212)*(($C$107:$V$107)=M1052)*$C$3:$V$3)))</f>
        <v/>
      </c>
      <c r="N1157" s="62">
        <f>IF(N$15&lt;=1,0,SUMPRODUCT(MAX(($C$12:$V$12=N$12)*($C$212:$V$212)*(($C$107:$V$107)=N1052)*$C$3:$V$3)))</f>
        <v/>
      </c>
      <c r="O1157" s="62">
        <f>IF(O$15&lt;=1,0,SUMPRODUCT(MAX(($C$12:$V$12=O$12)*($C$212:$V$212)*(($C$107:$V$107)=O1052)*$C$3:$V$3)))</f>
        <v/>
      </c>
      <c r="P1157" s="62">
        <f>IF(P$15&lt;=1,0,SUMPRODUCT(MAX(($C$12:$V$12=P$12)*($C$212:$V$212)*(($C$107:$V$107)=P1052)*$C$3:$V$3)))</f>
        <v/>
      </c>
      <c r="Q1157" s="62">
        <f>IF(Q$15&lt;=1,0,SUMPRODUCT(MAX(($C$12:$V$12=Q$12)*($C$212:$V$212)*(($C$107:$V$107)=Q1052)*$C$3:$V$3)))</f>
        <v/>
      </c>
      <c r="R1157" s="62">
        <f>IF(R$15&lt;=1,0,SUMPRODUCT(MAX(($C$12:$V$12=R$12)*($C$212:$V$212)*(($C$107:$V$107)=R1052)*$C$3:$V$3)))</f>
        <v/>
      </c>
      <c r="S1157" s="62">
        <f>IF(S$15&lt;=1,0,SUMPRODUCT(MAX(($C$12:$V$12=S$12)*($C$212:$V$212)*(($C$107:$V$107)=S1052)*$C$3:$V$3)))</f>
        <v/>
      </c>
      <c r="T1157" s="62">
        <f>IF(T$15&lt;=1,0,SUMPRODUCT(MAX(($C$12:$V$12=T$12)*($C$212:$V$212)*(($C$107:$V$107)=T1052)*$C$3:$V$3)))</f>
        <v/>
      </c>
      <c r="U1157" s="62">
        <f>IF(U$15&lt;=1,0,SUMPRODUCT(MAX(($C$12:$V$12=U$12)*($C$212:$V$212)*(($C$107:$V$107)=U1052)*$C$3:$V$3)))</f>
        <v/>
      </c>
      <c r="V1157" s="62">
        <f>IF(V$15&lt;=1,0,SUMPRODUCT(MAX(($C$12:$V$12=V$12)*($C$212:$V$212)*(($C$107:$V$107)=V1052)*$C$3:$V$3)))</f>
        <v/>
      </c>
    </row>
    <row r="1158">
      <c r="C1158" s="62">
        <f>IF(C$15&lt;=1,0,SUMPRODUCT(MAX(($C$12:$V$12=C$12)*($C$213:$V$213)*(($C$108:$V$108)=C1053)*$C$3:$V$3)))</f>
        <v/>
      </c>
      <c r="D1158" s="62">
        <f>IF(D$15&lt;=1,0,SUMPRODUCT(MAX(($C$12:$V$12=D$12)*($C$213:$V$213)*(($C$108:$V$108)=D1053)*$C$3:$V$3)))</f>
        <v/>
      </c>
      <c r="E1158" s="62">
        <f>IF(E$15&lt;=1,0,SUMPRODUCT(MAX(($C$12:$V$12=E$12)*($C$213:$V$213)*(($C$108:$V$108)=E1053)*$C$3:$V$3)))</f>
        <v/>
      </c>
      <c r="F1158" s="62">
        <f>IF(F$15&lt;=1,0,SUMPRODUCT(MAX(($C$12:$V$12=F$12)*($C$213:$V$213)*(($C$108:$V$108)=F1053)*$C$3:$V$3)))</f>
        <v/>
      </c>
      <c r="G1158" s="62">
        <f>IF(G$15&lt;=1,0,SUMPRODUCT(MAX(($C$12:$V$12=G$12)*($C$213:$V$213)*(($C$108:$V$108)=G1053)*$C$3:$V$3)))</f>
        <v/>
      </c>
      <c r="H1158" s="62">
        <f>IF(H$15&lt;=1,0,SUMPRODUCT(MAX(($C$12:$V$12=H$12)*($C$213:$V$213)*(($C$108:$V$108)=H1053)*$C$3:$V$3)))</f>
        <v/>
      </c>
      <c r="I1158" s="62">
        <f>IF(I$15&lt;=1,0,SUMPRODUCT(MAX(($C$12:$V$12=I$12)*($C$213:$V$213)*(($C$108:$V$108)=I1053)*$C$3:$V$3)))</f>
        <v/>
      </c>
      <c r="J1158" s="62">
        <f>IF(J$15&lt;=1,0,SUMPRODUCT(MAX(($C$12:$V$12=J$12)*($C$213:$V$213)*(($C$108:$V$108)=J1053)*$C$3:$V$3)))</f>
        <v/>
      </c>
      <c r="K1158" s="62">
        <f>IF(K$15&lt;=1,0,SUMPRODUCT(MAX(($C$12:$V$12=K$12)*($C$213:$V$213)*(($C$108:$V$108)=K1053)*$C$3:$V$3)))</f>
        <v/>
      </c>
      <c r="L1158" s="62">
        <f>IF(L$15&lt;=1,0,SUMPRODUCT(MAX(($C$12:$V$12=L$12)*($C$213:$V$213)*(($C$108:$V$108)=L1053)*$C$3:$V$3)))</f>
        <v/>
      </c>
      <c r="M1158" s="62">
        <f>IF(M$15&lt;=1,0,SUMPRODUCT(MAX(($C$12:$V$12=M$12)*($C$213:$V$213)*(($C$108:$V$108)=M1053)*$C$3:$V$3)))</f>
        <v/>
      </c>
      <c r="N1158" s="62">
        <f>IF(N$15&lt;=1,0,SUMPRODUCT(MAX(($C$12:$V$12=N$12)*($C$213:$V$213)*(($C$108:$V$108)=N1053)*$C$3:$V$3)))</f>
        <v/>
      </c>
      <c r="O1158" s="62">
        <f>IF(O$15&lt;=1,0,SUMPRODUCT(MAX(($C$12:$V$12=O$12)*($C$213:$V$213)*(($C$108:$V$108)=O1053)*$C$3:$V$3)))</f>
        <v/>
      </c>
      <c r="P1158" s="62">
        <f>IF(P$15&lt;=1,0,SUMPRODUCT(MAX(($C$12:$V$12=P$12)*($C$213:$V$213)*(($C$108:$V$108)=P1053)*$C$3:$V$3)))</f>
        <v/>
      </c>
      <c r="Q1158" s="62">
        <f>IF(Q$15&lt;=1,0,SUMPRODUCT(MAX(($C$12:$V$12=Q$12)*($C$213:$V$213)*(($C$108:$V$108)=Q1053)*$C$3:$V$3)))</f>
        <v/>
      </c>
      <c r="R1158" s="62">
        <f>IF(R$15&lt;=1,0,SUMPRODUCT(MAX(($C$12:$V$12=R$12)*($C$213:$V$213)*(($C$108:$V$108)=R1053)*$C$3:$V$3)))</f>
        <v/>
      </c>
      <c r="S1158" s="62">
        <f>IF(S$15&lt;=1,0,SUMPRODUCT(MAX(($C$12:$V$12=S$12)*($C$213:$V$213)*(($C$108:$V$108)=S1053)*$C$3:$V$3)))</f>
        <v/>
      </c>
      <c r="T1158" s="62">
        <f>IF(T$15&lt;=1,0,SUMPRODUCT(MAX(($C$12:$V$12=T$12)*($C$213:$V$213)*(($C$108:$V$108)=T1053)*$C$3:$V$3)))</f>
        <v/>
      </c>
      <c r="U1158" s="62">
        <f>IF(U$15&lt;=1,0,SUMPRODUCT(MAX(($C$12:$V$12=U$12)*($C$213:$V$213)*(($C$108:$V$108)=U1053)*$C$3:$V$3)))</f>
        <v/>
      </c>
      <c r="V1158" s="62">
        <f>IF(V$15&lt;=1,0,SUMPRODUCT(MAX(($C$12:$V$12=V$12)*($C$213:$V$213)*(($C$108:$V$108)=V1053)*$C$3:$V$3)))</f>
        <v/>
      </c>
    </row>
    <row r="1159">
      <c r="C1159" s="62">
        <f>IF(C$15&lt;=1,0,SUMPRODUCT(MAX(($C$12:$V$12=C$12)*($C$214:$V$214)*(($C$109:$V$109)=C1054)*$C$3:$V$3)))</f>
        <v/>
      </c>
      <c r="D1159" s="62">
        <f>IF(D$15&lt;=1,0,SUMPRODUCT(MAX(($C$12:$V$12=D$12)*($C$214:$V$214)*(($C$109:$V$109)=D1054)*$C$3:$V$3)))</f>
        <v/>
      </c>
      <c r="E1159" s="62">
        <f>IF(E$15&lt;=1,0,SUMPRODUCT(MAX(($C$12:$V$12=E$12)*($C$214:$V$214)*(($C$109:$V$109)=E1054)*$C$3:$V$3)))</f>
        <v/>
      </c>
      <c r="F1159" s="62">
        <f>IF(F$15&lt;=1,0,SUMPRODUCT(MAX(($C$12:$V$12=F$12)*($C$214:$V$214)*(($C$109:$V$109)=F1054)*$C$3:$V$3)))</f>
        <v/>
      </c>
      <c r="G1159" s="62">
        <f>IF(G$15&lt;=1,0,SUMPRODUCT(MAX(($C$12:$V$12=G$12)*($C$214:$V$214)*(($C$109:$V$109)=G1054)*$C$3:$V$3)))</f>
        <v/>
      </c>
      <c r="H1159" s="62">
        <f>IF(H$15&lt;=1,0,SUMPRODUCT(MAX(($C$12:$V$12=H$12)*($C$214:$V$214)*(($C$109:$V$109)=H1054)*$C$3:$V$3)))</f>
        <v/>
      </c>
      <c r="I1159" s="62">
        <f>IF(I$15&lt;=1,0,SUMPRODUCT(MAX(($C$12:$V$12=I$12)*($C$214:$V$214)*(($C$109:$V$109)=I1054)*$C$3:$V$3)))</f>
        <v/>
      </c>
      <c r="J1159" s="62">
        <f>IF(J$15&lt;=1,0,SUMPRODUCT(MAX(($C$12:$V$12=J$12)*($C$214:$V$214)*(($C$109:$V$109)=J1054)*$C$3:$V$3)))</f>
        <v/>
      </c>
      <c r="K1159" s="62">
        <f>IF(K$15&lt;=1,0,SUMPRODUCT(MAX(($C$12:$V$12=K$12)*($C$214:$V$214)*(($C$109:$V$109)=K1054)*$C$3:$V$3)))</f>
        <v/>
      </c>
      <c r="L1159" s="62">
        <f>IF(L$15&lt;=1,0,SUMPRODUCT(MAX(($C$12:$V$12=L$12)*($C$214:$V$214)*(($C$109:$V$109)=L1054)*$C$3:$V$3)))</f>
        <v/>
      </c>
      <c r="M1159" s="62">
        <f>IF(M$15&lt;=1,0,SUMPRODUCT(MAX(($C$12:$V$12=M$12)*($C$214:$V$214)*(($C$109:$V$109)=M1054)*$C$3:$V$3)))</f>
        <v/>
      </c>
      <c r="N1159" s="62">
        <f>IF(N$15&lt;=1,0,SUMPRODUCT(MAX(($C$12:$V$12=N$12)*($C$214:$V$214)*(($C$109:$V$109)=N1054)*$C$3:$V$3)))</f>
        <v/>
      </c>
      <c r="O1159" s="62">
        <f>IF(O$15&lt;=1,0,SUMPRODUCT(MAX(($C$12:$V$12=O$12)*($C$214:$V$214)*(($C$109:$V$109)=O1054)*$C$3:$V$3)))</f>
        <v/>
      </c>
      <c r="P1159" s="62">
        <f>IF(P$15&lt;=1,0,SUMPRODUCT(MAX(($C$12:$V$12=P$12)*($C$214:$V$214)*(($C$109:$V$109)=P1054)*$C$3:$V$3)))</f>
        <v/>
      </c>
      <c r="Q1159" s="62">
        <f>IF(Q$15&lt;=1,0,SUMPRODUCT(MAX(($C$12:$V$12=Q$12)*($C$214:$V$214)*(($C$109:$V$109)=Q1054)*$C$3:$V$3)))</f>
        <v/>
      </c>
      <c r="R1159" s="62">
        <f>IF(R$15&lt;=1,0,SUMPRODUCT(MAX(($C$12:$V$12=R$12)*($C$214:$V$214)*(($C$109:$V$109)=R1054)*$C$3:$V$3)))</f>
        <v/>
      </c>
      <c r="S1159" s="62">
        <f>IF(S$15&lt;=1,0,SUMPRODUCT(MAX(($C$12:$V$12=S$12)*($C$214:$V$214)*(($C$109:$V$109)=S1054)*$C$3:$V$3)))</f>
        <v/>
      </c>
      <c r="T1159" s="62">
        <f>IF(T$15&lt;=1,0,SUMPRODUCT(MAX(($C$12:$V$12=T$12)*($C$214:$V$214)*(($C$109:$V$109)=T1054)*$C$3:$V$3)))</f>
        <v/>
      </c>
      <c r="U1159" s="62">
        <f>IF(U$15&lt;=1,0,SUMPRODUCT(MAX(($C$12:$V$12=U$12)*($C$214:$V$214)*(($C$109:$V$109)=U1054)*$C$3:$V$3)))</f>
        <v/>
      </c>
      <c r="V1159" s="62">
        <f>IF(V$15&lt;=1,0,SUMPRODUCT(MAX(($C$12:$V$12=V$12)*($C$214:$V$214)*(($C$109:$V$109)=V1054)*$C$3:$V$3)))</f>
        <v/>
      </c>
    </row>
    <row r="1160">
      <c r="C1160" s="62">
        <f>IF(C$15&lt;=1,0,SUMPRODUCT(MAX(($C$12:$V$12=C$12)*($C$215:$V$215)*(($C$110:$V$110)=C1055)*$C$3:$V$3)))</f>
        <v/>
      </c>
      <c r="D1160" s="62">
        <f>IF(D$15&lt;=1,0,SUMPRODUCT(MAX(($C$12:$V$12=D$12)*($C$215:$V$215)*(($C$110:$V$110)=D1055)*$C$3:$V$3)))</f>
        <v/>
      </c>
      <c r="E1160" s="62">
        <f>IF(E$15&lt;=1,0,SUMPRODUCT(MAX(($C$12:$V$12=E$12)*($C$215:$V$215)*(($C$110:$V$110)=E1055)*$C$3:$V$3)))</f>
        <v/>
      </c>
      <c r="F1160" s="62">
        <f>IF(F$15&lt;=1,0,SUMPRODUCT(MAX(($C$12:$V$12=F$12)*($C$215:$V$215)*(($C$110:$V$110)=F1055)*$C$3:$V$3)))</f>
        <v/>
      </c>
      <c r="G1160" s="62">
        <f>IF(G$15&lt;=1,0,SUMPRODUCT(MAX(($C$12:$V$12=G$12)*($C$215:$V$215)*(($C$110:$V$110)=G1055)*$C$3:$V$3)))</f>
        <v/>
      </c>
      <c r="H1160" s="62">
        <f>IF(H$15&lt;=1,0,SUMPRODUCT(MAX(($C$12:$V$12=H$12)*($C$215:$V$215)*(($C$110:$V$110)=H1055)*$C$3:$V$3)))</f>
        <v/>
      </c>
      <c r="I1160" s="62">
        <f>IF(I$15&lt;=1,0,SUMPRODUCT(MAX(($C$12:$V$12=I$12)*($C$215:$V$215)*(($C$110:$V$110)=I1055)*$C$3:$V$3)))</f>
        <v/>
      </c>
      <c r="J1160" s="62">
        <f>IF(J$15&lt;=1,0,SUMPRODUCT(MAX(($C$12:$V$12=J$12)*($C$215:$V$215)*(($C$110:$V$110)=J1055)*$C$3:$V$3)))</f>
        <v/>
      </c>
      <c r="K1160" s="62">
        <f>IF(K$15&lt;=1,0,SUMPRODUCT(MAX(($C$12:$V$12=K$12)*($C$215:$V$215)*(($C$110:$V$110)=K1055)*$C$3:$V$3)))</f>
        <v/>
      </c>
      <c r="L1160" s="62">
        <f>IF(L$15&lt;=1,0,SUMPRODUCT(MAX(($C$12:$V$12=L$12)*($C$215:$V$215)*(($C$110:$V$110)=L1055)*$C$3:$V$3)))</f>
        <v/>
      </c>
      <c r="M1160" s="62">
        <f>IF(M$15&lt;=1,0,SUMPRODUCT(MAX(($C$12:$V$12=M$12)*($C$215:$V$215)*(($C$110:$V$110)=M1055)*$C$3:$V$3)))</f>
        <v/>
      </c>
      <c r="N1160" s="62">
        <f>IF(N$15&lt;=1,0,SUMPRODUCT(MAX(($C$12:$V$12=N$12)*($C$215:$V$215)*(($C$110:$V$110)=N1055)*$C$3:$V$3)))</f>
        <v/>
      </c>
      <c r="O1160" s="62">
        <f>IF(O$15&lt;=1,0,SUMPRODUCT(MAX(($C$12:$V$12=O$12)*($C$215:$V$215)*(($C$110:$V$110)=O1055)*$C$3:$V$3)))</f>
        <v/>
      </c>
      <c r="P1160" s="62">
        <f>IF(P$15&lt;=1,0,SUMPRODUCT(MAX(($C$12:$V$12=P$12)*($C$215:$V$215)*(($C$110:$V$110)=P1055)*$C$3:$V$3)))</f>
        <v/>
      </c>
      <c r="Q1160" s="62">
        <f>IF(Q$15&lt;=1,0,SUMPRODUCT(MAX(($C$12:$V$12=Q$12)*($C$215:$V$215)*(($C$110:$V$110)=Q1055)*$C$3:$V$3)))</f>
        <v/>
      </c>
      <c r="R1160" s="62">
        <f>IF(R$15&lt;=1,0,SUMPRODUCT(MAX(($C$12:$V$12=R$12)*($C$215:$V$215)*(($C$110:$V$110)=R1055)*$C$3:$V$3)))</f>
        <v/>
      </c>
      <c r="S1160" s="62">
        <f>IF(S$15&lt;=1,0,SUMPRODUCT(MAX(($C$12:$V$12=S$12)*($C$215:$V$215)*(($C$110:$V$110)=S1055)*$C$3:$V$3)))</f>
        <v/>
      </c>
      <c r="T1160" s="62">
        <f>IF(T$15&lt;=1,0,SUMPRODUCT(MAX(($C$12:$V$12=T$12)*($C$215:$V$215)*(($C$110:$V$110)=T1055)*$C$3:$V$3)))</f>
        <v/>
      </c>
      <c r="U1160" s="62">
        <f>IF(U$15&lt;=1,0,SUMPRODUCT(MAX(($C$12:$V$12=U$12)*($C$215:$V$215)*(($C$110:$V$110)=U1055)*$C$3:$V$3)))</f>
        <v/>
      </c>
      <c r="V1160" s="62">
        <f>IF(V$15&lt;=1,0,SUMPRODUCT(MAX(($C$12:$V$12=V$12)*($C$215:$V$215)*(($C$110:$V$110)=V1055)*$C$3:$V$3)))</f>
        <v/>
      </c>
    </row>
    <row r="1161">
      <c r="C1161" s="62">
        <f>IF(C$15&lt;=1,0,SUMPRODUCT(MAX(($C$12:$V$12=C$12)*($C$216:$V$216)*(($C$111:$V$111)=C1056)*$C$3:$V$3)))</f>
        <v/>
      </c>
      <c r="D1161" s="62">
        <f>IF(D$15&lt;=1,0,SUMPRODUCT(MAX(($C$12:$V$12=D$12)*($C$216:$V$216)*(($C$111:$V$111)=D1056)*$C$3:$V$3)))</f>
        <v/>
      </c>
      <c r="E1161" s="62">
        <f>IF(E$15&lt;=1,0,SUMPRODUCT(MAX(($C$12:$V$12=E$12)*($C$216:$V$216)*(($C$111:$V$111)=E1056)*$C$3:$V$3)))</f>
        <v/>
      </c>
      <c r="F1161" s="62">
        <f>IF(F$15&lt;=1,0,SUMPRODUCT(MAX(($C$12:$V$12=F$12)*($C$216:$V$216)*(($C$111:$V$111)=F1056)*$C$3:$V$3)))</f>
        <v/>
      </c>
      <c r="G1161" s="62">
        <f>IF(G$15&lt;=1,0,SUMPRODUCT(MAX(($C$12:$V$12=G$12)*($C$216:$V$216)*(($C$111:$V$111)=G1056)*$C$3:$V$3)))</f>
        <v/>
      </c>
      <c r="H1161" s="62">
        <f>IF(H$15&lt;=1,0,SUMPRODUCT(MAX(($C$12:$V$12=H$12)*($C$216:$V$216)*(($C$111:$V$111)=H1056)*$C$3:$V$3)))</f>
        <v/>
      </c>
      <c r="I1161" s="62">
        <f>IF(I$15&lt;=1,0,SUMPRODUCT(MAX(($C$12:$V$12=I$12)*($C$216:$V$216)*(($C$111:$V$111)=I1056)*$C$3:$V$3)))</f>
        <v/>
      </c>
      <c r="J1161" s="62">
        <f>IF(J$15&lt;=1,0,SUMPRODUCT(MAX(($C$12:$V$12=J$12)*($C$216:$V$216)*(($C$111:$V$111)=J1056)*$C$3:$V$3)))</f>
        <v/>
      </c>
      <c r="K1161" s="62">
        <f>IF(K$15&lt;=1,0,SUMPRODUCT(MAX(($C$12:$V$12=K$12)*($C$216:$V$216)*(($C$111:$V$111)=K1056)*$C$3:$V$3)))</f>
        <v/>
      </c>
      <c r="L1161" s="62">
        <f>IF(L$15&lt;=1,0,SUMPRODUCT(MAX(($C$12:$V$12=L$12)*($C$216:$V$216)*(($C$111:$V$111)=L1056)*$C$3:$V$3)))</f>
        <v/>
      </c>
      <c r="M1161" s="62">
        <f>IF(M$15&lt;=1,0,SUMPRODUCT(MAX(($C$12:$V$12=M$12)*($C$216:$V$216)*(($C$111:$V$111)=M1056)*$C$3:$V$3)))</f>
        <v/>
      </c>
      <c r="N1161" s="62">
        <f>IF(N$15&lt;=1,0,SUMPRODUCT(MAX(($C$12:$V$12=N$12)*($C$216:$V$216)*(($C$111:$V$111)=N1056)*$C$3:$V$3)))</f>
        <v/>
      </c>
      <c r="O1161" s="62">
        <f>IF(O$15&lt;=1,0,SUMPRODUCT(MAX(($C$12:$V$12=O$12)*($C$216:$V$216)*(($C$111:$V$111)=O1056)*$C$3:$V$3)))</f>
        <v/>
      </c>
      <c r="P1161" s="62">
        <f>IF(P$15&lt;=1,0,SUMPRODUCT(MAX(($C$12:$V$12=P$12)*($C$216:$V$216)*(($C$111:$V$111)=P1056)*$C$3:$V$3)))</f>
        <v/>
      </c>
      <c r="Q1161" s="62">
        <f>IF(Q$15&lt;=1,0,SUMPRODUCT(MAX(($C$12:$V$12=Q$12)*($C$216:$V$216)*(($C$111:$V$111)=Q1056)*$C$3:$V$3)))</f>
        <v/>
      </c>
      <c r="R1161" s="62">
        <f>IF(R$15&lt;=1,0,SUMPRODUCT(MAX(($C$12:$V$12=R$12)*($C$216:$V$216)*(($C$111:$V$111)=R1056)*$C$3:$V$3)))</f>
        <v/>
      </c>
      <c r="S1161" s="62">
        <f>IF(S$15&lt;=1,0,SUMPRODUCT(MAX(($C$12:$V$12=S$12)*($C$216:$V$216)*(($C$111:$V$111)=S1056)*$C$3:$V$3)))</f>
        <v/>
      </c>
      <c r="T1161" s="62">
        <f>IF(T$15&lt;=1,0,SUMPRODUCT(MAX(($C$12:$V$12=T$12)*($C$216:$V$216)*(($C$111:$V$111)=T1056)*$C$3:$V$3)))</f>
        <v/>
      </c>
      <c r="U1161" s="62">
        <f>IF(U$15&lt;=1,0,SUMPRODUCT(MAX(($C$12:$V$12=U$12)*($C$216:$V$216)*(($C$111:$V$111)=U1056)*$C$3:$V$3)))</f>
        <v/>
      </c>
      <c r="V1161" s="62">
        <f>IF(V$15&lt;=1,0,SUMPRODUCT(MAX(($C$12:$V$12=V$12)*($C$216:$V$216)*(($C$111:$V$111)=V1056)*$C$3:$V$3)))</f>
        <v/>
      </c>
    </row>
    <row r="1162">
      <c r="C1162" s="62">
        <f>IF(C$15&lt;=1,0,SUMPRODUCT(MAX(($C$12:$V$12=C$12)*($C$217:$V$217)*(($C$112:$V$112)=C1057)*$C$3:$V$3)))</f>
        <v/>
      </c>
      <c r="D1162" s="62">
        <f>IF(D$15&lt;=1,0,SUMPRODUCT(MAX(($C$12:$V$12=D$12)*($C$217:$V$217)*(($C$112:$V$112)=D1057)*$C$3:$V$3)))</f>
        <v/>
      </c>
      <c r="E1162" s="62">
        <f>IF(E$15&lt;=1,0,SUMPRODUCT(MAX(($C$12:$V$12=E$12)*($C$217:$V$217)*(($C$112:$V$112)=E1057)*$C$3:$V$3)))</f>
        <v/>
      </c>
      <c r="F1162" s="62">
        <f>IF(F$15&lt;=1,0,SUMPRODUCT(MAX(($C$12:$V$12=F$12)*($C$217:$V$217)*(($C$112:$V$112)=F1057)*$C$3:$V$3)))</f>
        <v/>
      </c>
      <c r="G1162" s="62">
        <f>IF(G$15&lt;=1,0,SUMPRODUCT(MAX(($C$12:$V$12=G$12)*($C$217:$V$217)*(($C$112:$V$112)=G1057)*$C$3:$V$3)))</f>
        <v/>
      </c>
      <c r="H1162" s="62">
        <f>IF(H$15&lt;=1,0,SUMPRODUCT(MAX(($C$12:$V$12=H$12)*($C$217:$V$217)*(($C$112:$V$112)=H1057)*$C$3:$V$3)))</f>
        <v/>
      </c>
      <c r="I1162" s="62">
        <f>IF(I$15&lt;=1,0,SUMPRODUCT(MAX(($C$12:$V$12=I$12)*($C$217:$V$217)*(($C$112:$V$112)=I1057)*$C$3:$V$3)))</f>
        <v/>
      </c>
      <c r="J1162" s="62">
        <f>IF(J$15&lt;=1,0,SUMPRODUCT(MAX(($C$12:$V$12=J$12)*($C$217:$V$217)*(($C$112:$V$112)=J1057)*$C$3:$V$3)))</f>
        <v/>
      </c>
      <c r="K1162" s="62">
        <f>IF(K$15&lt;=1,0,SUMPRODUCT(MAX(($C$12:$V$12=K$12)*($C$217:$V$217)*(($C$112:$V$112)=K1057)*$C$3:$V$3)))</f>
        <v/>
      </c>
      <c r="L1162" s="62">
        <f>IF(L$15&lt;=1,0,SUMPRODUCT(MAX(($C$12:$V$12=L$12)*($C$217:$V$217)*(($C$112:$V$112)=L1057)*$C$3:$V$3)))</f>
        <v/>
      </c>
      <c r="M1162" s="62">
        <f>IF(M$15&lt;=1,0,SUMPRODUCT(MAX(($C$12:$V$12=M$12)*($C$217:$V$217)*(($C$112:$V$112)=M1057)*$C$3:$V$3)))</f>
        <v/>
      </c>
      <c r="N1162" s="62">
        <f>IF(N$15&lt;=1,0,SUMPRODUCT(MAX(($C$12:$V$12=N$12)*($C$217:$V$217)*(($C$112:$V$112)=N1057)*$C$3:$V$3)))</f>
        <v/>
      </c>
      <c r="O1162" s="62">
        <f>IF(O$15&lt;=1,0,SUMPRODUCT(MAX(($C$12:$V$12=O$12)*($C$217:$V$217)*(($C$112:$V$112)=O1057)*$C$3:$V$3)))</f>
        <v/>
      </c>
      <c r="P1162" s="62">
        <f>IF(P$15&lt;=1,0,SUMPRODUCT(MAX(($C$12:$V$12=P$12)*($C$217:$V$217)*(($C$112:$V$112)=P1057)*$C$3:$V$3)))</f>
        <v/>
      </c>
      <c r="Q1162" s="62">
        <f>IF(Q$15&lt;=1,0,SUMPRODUCT(MAX(($C$12:$V$12=Q$12)*($C$217:$V$217)*(($C$112:$V$112)=Q1057)*$C$3:$V$3)))</f>
        <v/>
      </c>
      <c r="R1162" s="62">
        <f>IF(R$15&lt;=1,0,SUMPRODUCT(MAX(($C$12:$V$12=R$12)*($C$217:$V$217)*(($C$112:$V$112)=R1057)*$C$3:$V$3)))</f>
        <v/>
      </c>
      <c r="S1162" s="62">
        <f>IF(S$15&lt;=1,0,SUMPRODUCT(MAX(($C$12:$V$12=S$12)*($C$217:$V$217)*(($C$112:$V$112)=S1057)*$C$3:$V$3)))</f>
        <v/>
      </c>
      <c r="T1162" s="62">
        <f>IF(T$15&lt;=1,0,SUMPRODUCT(MAX(($C$12:$V$12=T$12)*($C$217:$V$217)*(($C$112:$V$112)=T1057)*$C$3:$V$3)))</f>
        <v/>
      </c>
      <c r="U1162" s="62">
        <f>IF(U$15&lt;=1,0,SUMPRODUCT(MAX(($C$12:$V$12=U$12)*($C$217:$V$217)*(($C$112:$V$112)=U1057)*$C$3:$V$3)))</f>
        <v/>
      </c>
      <c r="V1162" s="62">
        <f>IF(V$15&lt;=1,0,SUMPRODUCT(MAX(($C$12:$V$12=V$12)*($C$217:$V$217)*(($C$112:$V$112)=V1057)*$C$3:$V$3)))</f>
        <v/>
      </c>
    </row>
    <row r="1163">
      <c r="C1163" s="62">
        <f>IF(C$15&lt;=1,0,SUMPRODUCT(MAX(($C$12:$V$12=C$12)*($C$218:$V$218)*(($C$113:$V$113)=C1058)*$C$3:$V$3)))</f>
        <v/>
      </c>
      <c r="D1163" s="62">
        <f>IF(D$15&lt;=1,0,SUMPRODUCT(MAX(($C$12:$V$12=D$12)*($C$218:$V$218)*(($C$113:$V$113)=D1058)*$C$3:$V$3)))</f>
        <v/>
      </c>
      <c r="E1163" s="62">
        <f>IF(E$15&lt;=1,0,SUMPRODUCT(MAX(($C$12:$V$12=E$12)*($C$218:$V$218)*(($C$113:$V$113)=E1058)*$C$3:$V$3)))</f>
        <v/>
      </c>
      <c r="F1163" s="62">
        <f>IF(F$15&lt;=1,0,SUMPRODUCT(MAX(($C$12:$V$12=F$12)*($C$218:$V$218)*(($C$113:$V$113)=F1058)*$C$3:$V$3)))</f>
        <v/>
      </c>
      <c r="G1163" s="62">
        <f>IF(G$15&lt;=1,0,SUMPRODUCT(MAX(($C$12:$V$12=G$12)*($C$218:$V$218)*(($C$113:$V$113)=G1058)*$C$3:$V$3)))</f>
        <v/>
      </c>
      <c r="H1163" s="62">
        <f>IF(H$15&lt;=1,0,SUMPRODUCT(MAX(($C$12:$V$12=H$12)*($C$218:$V$218)*(($C$113:$V$113)=H1058)*$C$3:$V$3)))</f>
        <v/>
      </c>
      <c r="I1163" s="62">
        <f>IF(I$15&lt;=1,0,SUMPRODUCT(MAX(($C$12:$V$12=I$12)*($C$218:$V$218)*(($C$113:$V$113)=I1058)*$C$3:$V$3)))</f>
        <v/>
      </c>
      <c r="J1163" s="62">
        <f>IF(J$15&lt;=1,0,SUMPRODUCT(MAX(($C$12:$V$12=J$12)*($C$218:$V$218)*(($C$113:$V$113)=J1058)*$C$3:$V$3)))</f>
        <v/>
      </c>
      <c r="K1163" s="62">
        <f>IF(K$15&lt;=1,0,SUMPRODUCT(MAX(($C$12:$V$12=K$12)*($C$218:$V$218)*(($C$113:$V$113)=K1058)*$C$3:$V$3)))</f>
        <v/>
      </c>
      <c r="L1163" s="62">
        <f>IF(L$15&lt;=1,0,SUMPRODUCT(MAX(($C$12:$V$12=L$12)*($C$218:$V$218)*(($C$113:$V$113)=L1058)*$C$3:$V$3)))</f>
        <v/>
      </c>
      <c r="M1163" s="62">
        <f>IF(M$15&lt;=1,0,SUMPRODUCT(MAX(($C$12:$V$12=M$12)*($C$218:$V$218)*(($C$113:$V$113)=M1058)*$C$3:$V$3)))</f>
        <v/>
      </c>
      <c r="N1163" s="62">
        <f>IF(N$15&lt;=1,0,SUMPRODUCT(MAX(($C$12:$V$12=N$12)*($C$218:$V$218)*(($C$113:$V$113)=N1058)*$C$3:$V$3)))</f>
        <v/>
      </c>
      <c r="O1163" s="62">
        <f>IF(O$15&lt;=1,0,SUMPRODUCT(MAX(($C$12:$V$12=O$12)*($C$218:$V$218)*(($C$113:$V$113)=O1058)*$C$3:$V$3)))</f>
        <v/>
      </c>
      <c r="P1163" s="62">
        <f>IF(P$15&lt;=1,0,SUMPRODUCT(MAX(($C$12:$V$12=P$12)*($C$218:$V$218)*(($C$113:$V$113)=P1058)*$C$3:$V$3)))</f>
        <v/>
      </c>
      <c r="Q1163" s="62">
        <f>IF(Q$15&lt;=1,0,SUMPRODUCT(MAX(($C$12:$V$12=Q$12)*($C$218:$V$218)*(($C$113:$V$113)=Q1058)*$C$3:$V$3)))</f>
        <v/>
      </c>
      <c r="R1163" s="62">
        <f>IF(R$15&lt;=1,0,SUMPRODUCT(MAX(($C$12:$V$12=R$12)*($C$218:$V$218)*(($C$113:$V$113)=R1058)*$C$3:$V$3)))</f>
        <v/>
      </c>
      <c r="S1163" s="62">
        <f>IF(S$15&lt;=1,0,SUMPRODUCT(MAX(($C$12:$V$12=S$12)*($C$218:$V$218)*(($C$113:$V$113)=S1058)*$C$3:$V$3)))</f>
        <v/>
      </c>
      <c r="T1163" s="62">
        <f>IF(T$15&lt;=1,0,SUMPRODUCT(MAX(($C$12:$V$12=T$12)*($C$218:$V$218)*(($C$113:$V$113)=T1058)*$C$3:$V$3)))</f>
        <v/>
      </c>
      <c r="U1163" s="62">
        <f>IF(U$15&lt;=1,0,SUMPRODUCT(MAX(($C$12:$V$12=U$12)*($C$218:$V$218)*(($C$113:$V$113)=U1058)*$C$3:$V$3)))</f>
        <v/>
      </c>
      <c r="V1163" s="62">
        <f>IF(V$15&lt;=1,0,SUMPRODUCT(MAX(($C$12:$V$12=V$12)*($C$218:$V$218)*(($C$113:$V$113)=V1058)*$C$3:$V$3)))</f>
        <v/>
      </c>
    </row>
    <row r="1164">
      <c r="C1164" s="62">
        <f>IF(C$15&lt;=1,0,SUMPRODUCT(MAX(($C$12:$V$12=C$12)*($C$219:$V$219)*(($C$114:$V$114)=C1059)*$C$3:$V$3)))</f>
        <v/>
      </c>
      <c r="D1164" s="62">
        <f>IF(D$15&lt;=1,0,SUMPRODUCT(MAX(($C$12:$V$12=D$12)*($C$219:$V$219)*(($C$114:$V$114)=D1059)*$C$3:$V$3)))</f>
        <v/>
      </c>
      <c r="E1164" s="62">
        <f>IF(E$15&lt;=1,0,SUMPRODUCT(MAX(($C$12:$V$12=E$12)*($C$219:$V$219)*(($C$114:$V$114)=E1059)*$C$3:$V$3)))</f>
        <v/>
      </c>
      <c r="F1164" s="62">
        <f>IF(F$15&lt;=1,0,SUMPRODUCT(MAX(($C$12:$V$12=F$12)*($C$219:$V$219)*(($C$114:$V$114)=F1059)*$C$3:$V$3)))</f>
        <v/>
      </c>
      <c r="G1164" s="62">
        <f>IF(G$15&lt;=1,0,SUMPRODUCT(MAX(($C$12:$V$12=G$12)*($C$219:$V$219)*(($C$114:$V$114)=G1059)*$C$3:$V$3)))</f>
        <v/>
      </c>
      <c r="H1164" s="62">
        <f>IF(H$15&lt;=1,0,SUMPRODUCT(MAX(($C$12:$V$12=H$12)*($C$219:$V$219)*(($C$114:$V$114)=H1059)*$C$3:$V$3)))</f>
        <v/>
      </c>
      <c r="I1164" s="62">
        <f>IF(I$15&lt;=1,0,SUMPRODUCT(MAX(($C$12:$V$12=I$12)*($C$219:$V$219)*(($C$114:$V$114)=I1059)*$C$3:$V$3)))</f>
        <v/>
      </c>
      <c r="J1164" s="62">
        <f>IF(J$15&lt;=1,0,SUMPRODUCT(MAX(($C$12:$V$12=J$12)*($C$219:$V$219)*(($C$114:$V$114)=J1059)*$C$3:$V$3)))</f>
        <v/>
      </c>
      <c r="K1164" s="62">
        <f>IF(K$15&lt;=1,0,SUMPRODUCT(MAX(($C$12:$V$12=K$12)*($C$219:$V$219)*(($C$114:$V$114)=K1059)*$C$3:$V$3)))</f>
        <v/>
      </c>
      <c r="L1164" s="62">
        <f>IF(L$15&lt;=1,0,SUMPRODUCT(MAX(($C$12:$V$12=L$12)*($C$219:$V$219)*(($C$114:$V$114)=L1059)*$C$3:$V$3)))</f>
        <v/>
      </c>
      <c r="M1164" s="62">
        <f>IF(M$15&lt;=1,0,SUMPRODUCT(MAX(($C$12:$V$12=M$12)*($C$219:$V$219)*(($C$114:$V$114)=M1059)*$C$3:$V$3)))</f>
        <v/>
      </c>
      <c r="N1164" s="62">
        <f>IF(N$15&lt;=1,0,SUMPRODUCT(MAX(($C$12:$V$12=N$12)*($C$219:$V$219)*(($C$114:$V$114)=N1059)*$C$3:$V$3)))</f>
        <v/>
      </c>
      <c r="O1164" s="62">
        <f>IF(O$15&lt;=1,0,SUMPRODUCT(MAX(($C$12:$V$12=O$12)*($C$219:$V$219)*(($C$114:$V$114)=O1059)*$C$3:$V$3)))</f>
        <v/>
      </c>
      <c r="P1164" s="62">
        <f>IF(P$15&lt;=1,0,SUMPRODUCT(MAX(($C$12:$V$12=P$12)*($C$219:$V$219)*(($C$114:$V$114)=P1059)*$C$3:$V$3)))</f>
        <v/>
      </c>
      <c r="Q1164" s="62">
        <f>IF(Q$15&lt;=1,0,SUMPRODUCT(MAX(($C$12:$V$12=Q$12)*($C$219:$V$219)*(($C$114:$V$114)=Q1059)*$C$3:$V$3)))</f>
        <v/>
      </c>
      <c r="R1164" s="62">
        <f>IF(R$15&lt;=1,0,SUMPRODUCT(MAX(($C$12:$V$12=R$12)*($C$219:$V$219)*(($C$114:$V$114)=R1059)*$C$3:$V$3)))</f>
        <v/>
      </c>
      <c r="S1164" s="62">
        <f>IF(S$15&lt;=1,0,SUMPRODUCT(MAX(($C$12:$V$12=S$12)*($C$219:$V$219)*(($C$114:$V$114)=S1059)*$C$3:$V$3)))</f>
        <v/>
      </c>
      <c r="T1164" s="62">
        <f>IF(T$15&lt;=1,0,SUMPRODUCT(MAX(($C$12:$V$12=T$12)*($C$219:$V$219)*(($C$114:$V$114)=T1059)*$C$3:$V$3)))</f>
        <v/>
      </c>
      <c r="U1164" s="62">
        <f>IF(U$15&lt;=1,0,SUMPRODUCT(MAX(($C$12:$V$12=U$12)*($C$219:$V$219)*(($C$114:$V$114)=U1059)*$C$3:$V$3)))</f>
        <v/>
      </c>
      <c r="V1164" s="62">
        <f>IF(V$15&lt;=1,0,SUMPRODUCT(MAX(($C$12:$V$12=V$12)*($C$219:$V$219)*(($C$114:$V$114)=V1059)*$C$3:$V$3)))</f>
        <v/>
      </c>
    </row>
    <row r="1165">
      <c r="C1165" s="62">
        <f>IF(C$15&lt;=1,0,SUMPRODUCT(MAX(($C$12:$V$12=C$12)*($C$220:$V$220)*(($C$115:$V$115)=C1060)*$C$3:$V$3)))</f>
        <v/>
      </c>
      <c r="D1165" s="62">
        <f>IF(D$15&lt;=1,0,SUMPRODUCT(MAX(($C$12:$V$12=D$12)*($C$220:$V$220)*(($C$115:$V$115)=D1060)*$C$3:$V$3)))</f>
        <v/>
      </c>
      <c r="E1165" s="62">
        <f>IF(E$15&lt;=1,0,SUMPRODUCT(MAX(($C$12:$V$12=E$12)*($C$220:$V$220)*(($C$115:$V$115)=E1060)*$C$3:$V$3)))</f>
        <v/>
      </c>
      <c r="F1165" s="62">
        <f>IF(F$15&lt;=1,0,SUMPRODUCT(MAX(($C$12:$V$12=F$12)*($C$220:$V$220)*(($C$115:$V$115)=F1060)*$C$3:$V$3)))</f>
        <v/>
      </c>
      <c r="G1165" s="62">
        <f>IF(G$15&lt;=1,0,SUMPRODUCT(MAX(($C$12:$V$12=G$12)*($C$220:$V$220)*(($C$115:$V$115)=G1060)*$C$3:$V$3)))</f>
        <v/>
      </c>
      <c r="H1165" s="62">
        <f>IF(H$15&lt;=1,0,SUMPRODUCT(MAX(($C$12:$V$12=H$12)*($C$220:$V$220)*(($C$115:$V$115)=H1060)*$C$3:$V$3)))</f>
        <v/>
      </c>
      <c r="I1165" s="62">
        <f>IF(I$15&lt;=1,0,SUMPRODUCT(MAX(($C$12:$V$12=I$12)*($C$220:$V$220)*(($C$115:$V$115)=I1060)*$C$3:$V$3)))</f>
        <v/>
      </c>
      <c r="J1165" s="62">
        <f>IF(J$15&lt;=1,0,SUMPRODUCT(MAX(($C$12:$V$12=J$12)*($C$220:$V$220)*(($C$115:$V$115)=J1060)*$C$3:$V$3)))</f>
        <v/>
      </c>
      <c r="K1165" s="62">
        <f>IF(K$15&lt;=1,0,SUMPRODUCT(MAX(($C$12:$V$12=K$12)*($C$220:$V$220)*(($C$115:$V$115)=K1060)*$C$3:$V$3)))</f>
        <v/>
      </c>
      <c r="L1165" s="62">
        <f>IF(L$15&lt;=1,0,SUMPRODUCT(MAX(($C$12:$V$12=L$12)*($C$220:$V$220)*(($C$115:$V$115)=L1060)*$C$3:$V$3)))</f>
        <v/>
      </c>
      <c r="M1165" s="62">
        <f>IF(M$15&lt;=1,0,SUMPRODUCT(MAX(($C$12:$V$12=M$12)*($C$220:$V$220)*(($C$115:$V$115)=M1060)*$C$3:$V$3)))</f>
        <v/>
      </c>
      <c r="N1165" s="62">
        <f>IF(N$15&lt;=1,0,SUMPRODUCT(MAX(($C$12:$V$12=N$12)*($C$220:$V$220)*(($C$115:$V$115)=N1060)*$C$3:$V$3)))</f>
        <v/>
      </c>
      <c r="O1165" s="62">
        <f>IF(O$15&lt;=1,0,SUMPRODUCT(MAX(($C$12:$V$12=O$12)*($C$220:$V$220)*(($C$115:$V$115)=O1060)*$C$3:$V$3)))</f>
        <v/>
      </c>
      <c r="P1165" s="62">
        <f>IF(P$15&lt;=1,0,SUMPRODUCT(MAX(($C$12:$V$12=P$12)*($C$220:$V$220)*(($C$115:$V$115)=P1060)*$C$3:$V$3)))</f>
        <v/>
      </c>
      <c r="Q1165" s="62">
        <f>IF(Q$15&lt;=1,0,SUMPRODUCT(MAX(($C$12:$V$12=Q$12)*($C$220:$V$220)*(($C$115:$V$115)=Q1060)*$C$3:$V$3)))</f>
        <v/>
      </c>
      <c r="R1165" s="62">
        <f>IF(R$15&lt;=1,0,SUMPRODUCT(MAX(($C$12:$V$12=R$12)*($C$220:$V$220)*(($C$115:$V$115)=R1060)*$C$3:$V$3)))</f>
        <v/>
      </c>
      <c r="S1165" s="62">
        <f>IF(S$15&lt;=1,0,SUMPRODUCT(MAX(($C$12:$V$12=S$12)*($C$220:$V$220)*(($C$115:$V$115)=S1060)*$C$3:$V$3)))</f>
        <v/>
      </c>
      <c r="T1165" s="62">
        <f>IF(T$15&lt;=1,0,SUMPRODUCT(MAX(($C$12:$V$12=T$12)*($C$220:$V$220)*(($C$115:$V$115)=T1060)*$C$3:$V$3)))</f>
        <v/>
      </c>
      <c r="U1165" s="62">
        <f>IF(U$15&lt;=1,0,SUMPRODUCT(MAX(($C$12:$V$12=U$12)*($C$220:$V$220)*(($C$115:$V$115)=U1060)*$C$3:$V$3)))</f>
        <v/>
      </c>
      <c r="V1165" s="62">
        <f>IF(V$15&lt;=1,0,SUMPRODUCT(MAX(($C$12:$V$12=V$12)*($C$220:$V$220)*(($C$115:$V$115)=V1060)*$C$3:$V$3)))</f>
        <v/>
      </c>
    </row>
    <row r="1166">
      <c r="C1166" s="62">
        <f>IF(C$15&lt;=1,0,SUMPRODUCT(MAX(($C$12:$V$12=C$12)*($C$221:$V$221)*(($C$116:$V$116)=C1061)*$C$3:$V$3)))</f>
        <v/>
      </c>
      <c r="D1166" s="62">
        <f>IF(D$15&lt;=1,0,SUMPRODUCT(MAX(($C$12:$V$12=D$12)*($C$221:$V$221)*(($C$116:$V$116)=D1061)*$C$3:$V$3)))</f>
        <v/>
      </c>
      <c r="E1166" s="62">
        <f>IF(E$15&lt;=1,0,SUMPRODUCT(MAX(($C$12:$V$12=E$12)*($C$221:$V$221)*(($C$116:$V$116)=E1061)*$C$3:$V$3)))</f>
        <v/>
      </c>
      <c r="F1166" s="62">
        <f>IF(F$15&lt;=1,0,SUMPRODUCT(MAX(($C$12:$V$12=F$12)*($C$221:$V$221)*(($C$116:$V$116)=F1061)*$C$3:$V$3)))</f>
        <v/>
      </c>
      <c r="G1166" s="62">
        <f>IF(G$15&lt;=1,0,SUMPRODUCT(MAX(($C$12:$V$12=G$12)*($C$221:$V$221)*(($C$116:$V$116)=G1061)*$C$3:$V$3)))</f>
        <v/>
      </c>
      <c r="H1166" s="62">
        <f>IF(H$15&lt;=1,0,SUMPRODUCT(MAX(($C$12:$V$12=H$12)*($C$221:$V$221)*(($C$116:$V$116)=H1061)*$C$3:$V$3)))</f>
        <v/>
      </c>
      <c r="I1166" s="62">
        <f>IF(I$15&lt;=1,0,SUMPRODUCT(MAX(($C$12:$V$12=I$12)*($C$221:$V$221)*(($C$116:$V$116)=I1061)*$C$3:$V$3)))</f>
        <v/>
      </c>
      <c r="J1166" s="62">
        <f>IF(J$15&lt;=1,0,SUMPRODUCT(MAX(($C$12:$V$12=J$12)*($C$221:$V$221)*(($C$116:$V$116)=J1061)*$C$3:$V$3)))</f>
        <v/>
      </c>
      <c r="K1166" s="62">
        <f>IF(K$15&lt;=1,0,SUMPRODUCT(MAX(($C$12:$V$12=K$12)*($C$221:$V$221)*(($C$116:$V$116)=K1061)*$C$3:$V$3)))</f>
        <v/>
      </c>
      <c r="L1166" s="62">
        <f>IF(L$15&lt;=1,0,SUMPRODUCT(MAX(($C$12:$V$12=L$12)*($C$221:$V$221)*(($C$116:$V$116)=L1061)*$C$3:$V$3)))</f>
        <v/>
      </c>
      <c r="M1166" s="62">
        <f>IF(M$15&lt;=1,0,SUMPRODUCT(MAX(($C$12:$V$12=M$12)*($C$221:$V$221)*(($C$116:$V$116)=M1061)*$C$3:$V$3)))</f>
        <v/>
      </c>
      <c r="N1166" s="62">
        <f>IF(N$15&lt;=1,0,SUMPRODUCT(MAX(($C$12:$V$12=N$12)*($C$221:$V$221)*(($C$116:$V$116)=N1061)*$C$3:$V$3)))</f>
        <v/>
      </c>
      <c r="O1166" s="62">
        <f>IF(O$15&lt;=1,0,SUMPRODUCT(MAX(($C$12:$V$12=O$12)*($C$221:$V$221)*(($C$116:$V$116)=O1061)*$C$3:$V$3)))</f>
        <v/>
      </c>
      <c r="P1166" s="62">
        <f>IF(P$15&lt;=1,0,SUMPRODUCT(MAX(($C$12:$V$12=P$12)*($C$221:$V$221)*(($C$116:$V$116)=P1061)*$C$3:$V$3)))</f>
        <v/>
      </c>
      <c r="Q1166" s="62">
        <f>IF(Q$15&lt;=1,0,SUMPRODUCT(MAX(($C$12:$V$12=Q$12)*($C$221:$V$221)*(($C$116:$V$116)=Q1061)*$C$3:$V$3)))</f>
        <v/>
      </c>
      <c r="R1166" s="62">
        <f>IF(R$15&lt;=1,0,SUMPRODUCT(MAX(($C$12:$V$12=R$12)*($C$221:$V$221)*(($C$116:$V$116)=R1061)*$C$3:$V$3)))</f>
        <v/>
      </c>
      <c r="S1166" s="62">
        <f>IF(S$15&lt;=1,0,SUMPRODUCT(MAX(($C$12:$V$12=S$12)*($C$221:$V$221)*(($C$116:$V$116)=S1061)*$C$3:$V$3)))</f>
        <v/>
      </c>
      <c r="T1166" s="62">
        <f>IF(T$15&lt;=1,0,SUMPRODUCT(MAX(($C$12:$V$12=T$12)*($C$221:$V$221)*(($C$116:$V$116)=T1061)*$C$3:$V$3)))</f>
        <v/>
      </c>
      <c r="U1166" s="62">
        <f>IF(U$15&lt;=1,0,SUMPRODUCT(MAX(($C$12:$V$12=U$12)*($C$221:$V$221)*(($C$116:$V$116)=U1061)*$C$3:$V$3)))</f>
        <v/>
      </c>
      <c r="V1166" s="62">
        <f>IF(V$15&lt;=1,0,SUMPRODUCT(MAX(($C$12:$V$12=V$12)*($C$221:$V$221)*(($C$116:$V$116)=V1061)*$C$3:$V$3)))</f>
        <v/>
      </c>
    </row>
    <row r="1167">
      <c r="C1167" s="62">
        <f>IF(C$15&lt;=1,0,SUMPRODUCT(MAX(($C$12:$V$12=C$12)*($C$222:$V$222)*(($C$117:$V$117)=C1062)*$C$3:$V$3)))</f>
        <v/>
      </c>
      <c r="D1167" s="62">
        <f>IF(D$15&lt;=1,0,SUMPRODUCT(MAX(($C$12:$V$12=D$12)*($C$222:$V$222)*(($C$117:$V$117)=D1062)*$C$3:$V$3)))</f>
        <v/>
      </c>
      <c r="E1167" s="62">
        <f>IF(E$15&lt;=1,0,SUMPRODUCT(MAX(($C$12:$V$12=E$12)*($C$222:$V$222)*(($C$117:$V$117)=E1062)*$C$3:$V$3)))</f>
        <v/>
      </c>
      <c r="F1167" s="62">
        <f>IF(F$15&lt;=1,0,SUMPRODUCT(MAX(($C$12:$V$12=F$12)*($C$222:$V$222)*(($C$117:$V$117)=F1062)*$C$3:$V$3)))</f>
        <v/>
      </c>
      <c r="G1167" s="62">
        <f>IF(G$15&lt;=1,0,SUMPRODUCT(MAX(($C$12:$V$12=G$12)*($C$222:$V$222)*(($C$117:$V$117)=G1062)*$C$3:$V$3)))</f>
        <v/>
      </c>
      <c r="H1167" s="62">
        <f>IF(H$15&lt;=1,0,SUMPRODUCT(MAX(($C$12:$V$12=H$12)*($C$222:$V$222)*(($C$117:$V$117)=H1062)*$C$3:$V$3)))</f>
        <v/>
      </c>
      <c r="I1167" s="62">
        <f>IF(I$15&lt;=1,0,SUMPRODUCT(MAX(($C$12:$V$12=I$12)*($C$222:$V$222)*(($C$117:$V$117)=I1062)*$C$3:$V$3)))</f>
        <v/>
      </c>
      <c r="J1167" s="62">
        <f>IF(J$15&lt;=1,0,SUMPRODUCT(MAX(($C$12:$V$12=J$12)*($C$222:$V$222)*(($C$117:$V$117)=J1062)*$C$3:$V$3)))</f>
        <v/>
      </c>
      <c r="K1167" s="62">
        <f>IF(K$15&lt;=1,0,SUMPRODUCT(MAX(($C$12:$V$12=K$12)*($C$222:$V$222)*(($C$117:$V$117)=K1062)*$C$3:$V$3)))</f>
        <v/>
      </c>
      <c r="L1167" s="62">
        <f>IF(L$15&lt;=1,0,SUMPRODUCT(MAX(($C$12:$V$12=L$12)*($C$222:$V$222)*(($C$117:$V$117)=L1062)*$C$3:$V$3)))</f>
        <v/>
      </c>
      <c r="M1167" s="62">
        <f>IF(M$15&lt;=1,0,SUMPRODUCT(MAX(($C$12:$V$12=M$12)*($C$222:$V$222)*(($C$117:$V$117)=M1062)*$C$3:$V$3)))</f>
        <v/>
      </c>
      <c r="N1167" s="62">
        <f>IF(N$15&lt;=1,0,SUMPRODUCT(MAX(($C$12:$V$12=N$12)*($C$222:$V$222)*(($C$117:$V$117)=N1062)*$C$3:$V$3)))</f>
        <v/>
      </c>
      <c r="O1167" s="62">
        <f>IF(O$15&lt;=1,0,SUMPRODUCT(MAX(($C$12:$V$12=O$12)*($C$222:$V$222)*(($C$117:$V$117)=O1062)*$C$3:$V$3)))</f>
        <v/>
      </c>
      <c r="P1167" s="62">
        <f>IF(P$15&lt;=1,0,SUMPRODUCT(MAX(($C$12:$V$12=P$12)*($C$222:$V$222)*(($C$117:$V$117)=P1062)*$C$3:$V$3)))</f>
        <v/>
      </c>
      <c r="Q1167" s="62">
        <f>IF(Q$15&lt;=1,0,SUMPRODUCT(MAX(($C$12:$V$12=Q$12)*($C$222:$V$222)*(($C$117:$V$117)=Q1062)*$C$3:$V$3)))</f>
        <v/>
      </c>
      <c r="R1167" s="62">
        <f>IF(R$15&lt;=1,0,SUMPRODUCT(MAX(($C$12:$V$12=R$12)*($C$222:$V$222)*(($C$117:$V$117)=R1062)*$C$3:$V$3)))</f>
        <v/>
      </c>
      <c r="S1167" s="62">
        <f>IF(S$15&lt;=1,0,SUMPRODUCT(MAX(($C$12:$V$12=S$12)*($C$222:$V$222)*(($C$117:$V$117)=S1062)*$C$3:$V$3)))</f>
        <v/>
      </c>
      <c r="T1167" s="62">
        <f>IF(T$15&lt;=1,0,SUMPRODUCT(MAX(($C$12:$V$12=T$12)*($C$222:$V$222)*(($C$117:$V$117)=T1062)*$C$3:$V$3)))</f>
        <v/>
      </c>
      <c r="U1167" s="62">
        <f>IF(U$15&lt;=1,0,SUMPRODUCT(MAX(($C$12:$V$12=U$12)*($C$222:$V$222)*(($C$117:$V$117)=U1062)*$C$3:$V$3)))</f>
        <v/>
      </c>
      <c r="V1167" s="62">
        <f>IF(V$15&lt;=1,0,SUMPRODUCT(MAX(($C$12:$V$12=V$12)*($C$222:$V$222)*(($C$117:$V$117)=V1062)*$C$3:$V$3)))</f>
        <v/>
      </c>
    </row>
    <row r="1168">
      <c r="C1168" s="62">
        <f>IF(C$15&lt;=1,0,SUMPRODUCT(MAX(($C$12:$V$12=C$12)*($C$223:$V$223)*(($C$118:$V$118)=C1063)*$C$3:$V$3)))</f>
        <v/>
      </c>
      <c r="D1168" s="62">
        <f>IF(D$15&lt;=1,0,SUMPRODUCT(MAX(($C$12:$V$12=D$12)*($C$223:$V$223)*(($C$118:$V$118)=D1063)*$C$3:$V$3)))</f>
        <v/>
      </c>
      <c r="E1168" s="62">
        <f>IF(E$15&lt;=1,0,SUMPRODUCT(MAX(($C$12:$V$12=E$12)*($C$223:$V$223)*(($C$118:$V$118)=E1063)*$C$3:$V$3)))</f>
        <v/>
      </c>
      <c r="F1168" s="62">
        <f>IF(F$15&lt;=1,0,SUMPRODUCT(MAX(($C$12:$V$12=F$12)*($C$223:$V$223)*(($C$118:$V$118)=F1063)*$C$3:$V$3)))</f>
        <v/>
      </c>
      <c r="G1168" s="62">
        <f>IF(G$15&lt;=1,0,SUMPRODUCT(MAX(($C$12:$V$12=G$12)*($C$223:$V$223)*(($C$118:$V$118)=G1063)*$C$3:$V$3)))</f>
        <v/>
      </c>
      <c r="H1168" s="62">
        <f>IF(H$15&lt;=1,0,SUMPRODUCT(MAX(($C$12:$V$12=H$12)*($C$223:$V$223)*(($C$118:$V$118)=H1063)*$C$3:$V$3)))</f>
        <v/>
      </c>
      <c r="I1168" s="62">
        <f>IF(I$15&lt;=1,0,SUMPRODUCT(MAX(($C$12:$V$12=I$12)*($C$223:$V$223)*(($C$118:$V$118)=I1063)*$C$3:$V$3)))</f>
        <v/>
      </c>
      <c r="J1168" s="62">
        <f>IF(J$15&lt;=1,0,SUMPRODUCT(MAX(($C$12:$V$12=J$12)*($C$223:$V$223)*(($C$118:$V$118)=J1063)*$C$3:$V$3)))</f>
        <v/>
      </c>
      <c r="K1168" s="62">
        <f>IF(K$15&lt;=1,0,SUMPRODUCT(MAX(($C$12:$V$12=K$12)*($C$223:$V$223)*(($C$118:$V$118)=K1063)*$C$3:$V$3)))</f>
        <v/>
      </c>
      <c r="L1168" s="62">
        <f>IF(L$15&lt;=1,0,SUMPRODUCT(MAX(($C$12:$V$12=L$12)*($C$223:$V$223)*(($C$118:$V$118)=L1063)*$C$3:$V$3)))</f>
        <v/>
      </c>
      <c r="M1168" s="62">
        <f>IF(M$15&lt;=1,0,SUMPRODUCT(MAX(($C$12:$V$12=M$12)*($C$223:$V$223)*(($C$118:$V$118)=M1063)*$C$3:$V$3)))</f>
        <v/>
      </c>
      <c r="N1168" s="62">
        <f>IF(N$15&lt;=1,0,SUMPRODUCT(MAX(($C$12:$V$12=N$12)*($C$223:$V$223)*(($C$118:$V$118)=N1063)*$C$3:$V$3)))</f>
        <v/>
      </c>
      <c r="O1168" s="62">
        <f>IF(O$15&lt;=1,0,SUMPRODUCT(MAX(($C$12:$V$12=O$12)*($C$223:$V$223)*(($C$118:$V$118)=O1063)*$C$3:$V$3)))</f>
        <v/>
      </c>
      <c r="P1168" s="62">
        <f>IF(P$15&lt;=1,0,SUMPRODUCT(MAX(($C$12:$V$12=P$12)*($C$223:$V$223)*(($C$118:$V$118)=P1063)*$C$3:$V$3)))</f>
        <v/>
      </c>
      <c r="Q1168" s="62">
        <f>IF(Q$15&lt;=1,0,SUMPRODUCT(MAX(($C$12:$V$12=Q$12)*($C$223:$V$223)*(($C$118:$V$118)=Q1063)*$C$3:$V$3)))</f>
        <v/>
      </c>
      <c r="R1168" s="62">
        <f>IF(R$15&lt;=1,0,SUMPRODUCT(MAX(($C$12:$V$12=R$12)*($C$223:$V$223)*(($C$118:$V$118)=R1063)*$C$3:$V$3)))</f>
        <v/>
      </c>
      <c r="S1168" s="62">
        <f>IF(S$15&lt;=1,0,SUMPRODUCT(MAX(($C$12:$V$12=S$12)*($C$223:$V$223)*(($C$118:$V$118)=S1063)*$C$3:$V$3)))</f>
        <v/>
      </c>
      <c r="T1168" s="62">
        <f>IF(T$15&lt;=1,0,SUMPRODUCT(MAX(($C$12:$V$12=T$12)*($C$223:$V$223)*(($C$118:$V$118)=T1063)*$C$3:$V$3)))</f>
        <v/>
      </c>
      <c r="U1168" s="62">
        <f>IF(U$15&lt;=1,0,SUMPRODUCT(MAX(($C$12:$V$12=U$12)*($C$223:$V$223)*(($C$118:$V$118)=U1063)*$C$3:$V$3)))</f>
        <v/>
      </c>
      <c r="V1168" s="62">
        <f>IF(V$15&lt;=1,0,SUMPRODUCT(MAX(($C$12:$V$12=V$12)*($C$223:$V$223)*(($C$118:$V$118)=V1063)*$C$3:$V$3)))</f>
        <v/>
      </c>
    </row>
    <row r="1169">
      <c r="C1169" s="62">
        <f>IF(C$15&lt;=1,0,SUMPRODUCT(MAX(($C$12:$V$12=C$12)*($C$224:$V$224)*(($C$119:$V$119)=C1064)*$C$3:$V$3)))</f>
        <v/>
      </c>
      <c r="D1169" s="62">
        <f>IF(D$15&lt;=1,0,SUMPRODUCT(MAX(($C$12:$V$12=D$12)*($C$224:$V$224)*(($C$119:$V$119)=D1064)*$C$3:$V$3)))</f>
        <v/>
      </c>
      <c r="E1169" s="62">
        <f>IF(E$15&lt;=1,0,SUMPRODUCT(MAX(($C$12:$V$12=E$12)*($C$224:$V$224)*(($C$119:$V$119)=E1064)*$C$3:$V$3)))</f>
        <v/>
      </c>
      <c r="F1169" s="62">
        <f>IF(F$15&lt;=1,0,SUMPRODUCT(MAX(($C$12:$V$12=F$12)*($C$224:$V$224)*(($C$119:$V$119)=F1064)*$C$3:$V$3)))</f>
        <v/>
      </c>
      <c r="G1169" s="62">
        <f>IF(G$15&lt;=1,0,SUMPRODUCT(MAX(($C$12:$V$12=G$12)*($C$224:$V$224)*(($C$119:$V$119)=G1064)*$C$3:$V$3)))</f>
        <v/>
      </c>
      <c r="H1169" s="62">
        <f>IF(H$15&lt;=1,0,SUMPRODUCT(MAX(($C$12:$V$12=H$12)*($C$224:$V$224)*(($C$119:$V$119)=H1064)*$C$3:$V$3)))</f>
        <v/>
      </c>
      <c r="I1169" s="62">
        <f>IF(I$15&lt;=1,0,SUMPRODUCT(MAX(($C$12:$V$12=I$12)*($C$224:$V$224)*(($C$119:$V$119)=I1064)*$C$3:$V$3)))</f>
        <v/>
      </c>
      <c r="J1169" s="62">
        <f>IF(J$15&lt;=1,0,SUMPRODUCT(MAX(($C$12:$V$12=J$12)*($C$224:$V$224)*(($C$119:$V$119)=J1064)*$C$3:$V$3)))</f>
        <v/>
      </c>
      <c r="K1169" s="62">
        <f>IF(K$15&lt;=1,0,SUMPRODUCT(MAX(($C$12:$V$12=K$12)*($C$224:$V$224)*(($C$119:$V$119)=K1064)*$C$3:$V$3)))</f>
        <v/>
      </c>
      <c r="L1169" s="62">
        <f>IF(L$15&lt;=1,0,SUMPRODUCT(MAX(($C$12:$V$12=L$12)*($C$224:$V$224)*(($C$119:$V$119)=L1064)*$C$3:$V$3)))</f>
        <v/>
      </c>
      <c r="M1169" s="62">
        <f>IF(M$15&lt;=1,0,SUMPRODUCT(MAX(($C$12:$V$12=M$12)*($C$224:$V$224)*(($C$119:$V$119)=M1064)*$C$3:$V$3)))</f>
        <v/>
      </c>
      <c r="N1169" s="62">
        <f>IF(N$15&lt;=1,0,SUMPRODUCT(MAX(($C$12:$V$12=N$12)*($C$224:$V$224)*(($C$119:$V$119)=N1064)*$C$3:$V$3)))</f>
        <v/>
      </c>
      <c r="O1169" s="62">
        <f>IF(O$15&lt;=1,0,SUMPRODUCT(MAX(($C$12:$V$12=O$12)*($C$224:$V$224)*(($C$119:$V$119)=O1064)*$C$3:$V$3)))</f>
        <v/>
      </c>
      <c r="P1169" s="62">
        <f>IF(P$15&lt;=1,0,SUMPRODUCT(MAX(($C$12:$V$12=P$12)*($C$224:$V$224)*(($C$119:$V$119)=P1064)*$C$3:$V$3)))</f>
        <v/>
      </c>
      <c r="Q1169" s="62">
        <f>IF(Q$15&lt;=1,0,SUMPRODUCT(MAX(($C$12:$V$12=Q$12)*($C$224:$V$224)*(($C$119:$V$119)=Q1064)*$C$3:$V$3)))</f>
        <v/>
      </c>
      <c r="R1169" s="62">
        <f>IF(R$15&lt;=1,0,SUMPRODUCT(MAX(($C$12:$V$12=R$12)*($C$224:$V$224)*(($C$119:$V$119)=R1064)*$C$3:$V$3)))</f>
        <v/>
      </c>
      <c r="S1169" s="62">
        <f>IF(S$15&lt;=1,0,SUMPRODUCT(MAX(($C$12:$V$12=S$12)*($C$224:$V$224)*(($C$119:$V$119)=S1064)*$C$3:$V$3)))</f>
        <v/>
      </c>
      <c r="T1169" s="62">
        <f>IF(T$15&lt;=1,0,SUMPRODUCT(MAX(($C$12:$V$12=T$12)*($C$224:$V$224)*(($C$119:$V$119)=T1064)*$C$3:$V$3)))</f>
        <v/>
      </c>
      <c r="U1169" s="62">
        <f>IF(U$15&lt;=1,0,SUMPRODUCT(MAX(($C$12:$V$12=U$12)*($C$224:$V$224)*(($C$119:$V$119)=U1064)*$C$3:$V$3)))</f>
        <v/>
      </c>
      <c r="V1169" s="62">
        <f>IF(V$15&lt;=1,0,SUMPRODUCT(MAX(($C$12:$V$12=V$12)*($C$224:$V$224)*(($C$119:$V$119)=V1064)*$C$3:$V$3)))</f>
        <v/>
      </c>
    </row>
    <row r="1174">
      <c r="A1174" s="171" t="inlineStr">
        <is>
          <t>geltende Wertung</t>
        </is>
      </c>
    </row>
    <row r="1175">
      <c r="C1175" s="62">
        <f>IF(C$14=0,WdhStd,IF(INDEX($C$650:$V$650,C$14)="",WdhStd,INDEX($C$650:$V$650,C$14)))</f>
        <v/>
      </c>
      <c r="D1175" s="62">
        <f>IF(D$14=0,WdhStd,IF(INDEX($C$650:$V$650,D$14)="",WdhStd,INDEX($C$650:$V$650,D$14)))</f>
        <v/>
      </c>
      <c r="E1175" s="62">
        <f>IF(E$14=0,WdhStd,IF(INDEX($C$650:$V$650,E$14)="",WdhStd,INDEX($C$650:$V$650,E$14)))</f>
        <v/>
      </c>
      <c r="F1175" s="62">
        <f>IF(F$14=0,WdhStd,IF(INDEX($C$650:$V$650,F$14)="",WdhStd,INDEX($C$650:$V$650,F$14)))</f>
        <v/>
      </c>
      <c r="G1175" s="62">
        <f>IF(G$14=0,WdhStd,IF(INDEX($C$650:$V$650,G$14)="",WdhStd,INDEX($C$650:$V$650,G$14)))</f>
        <v/>
      </c>
      <c r="H1175" s="62">
        <f>IF(H$14=0,WdhStd,IF(INDEX($C$650:$V$650,H$14)="",WdhStd,INDEX($C$650:$V$650,H$14)))</f>
        <v/>
      </c>
      <c r="I1175" s="62">
        <f>IF(I$14=0,WdhStd,IF(INDEX($C$650:$V$650,I$14)="",WdhStd,INDEX($C$650:$V$650,I$14)))</f>
        <v/>
      </c>
      <c r="J1175" s="62">
        <f>IF(J$14=0,WdhStd,IF(INDEX($C$650:$V$650,J$14)="",WdhStd,INDEX($C$650:$V$650,J$14)))</f>
        <v/>
      </c>
      <c r="K1175" s="62">
        <f>IF(K$14=0,WdhStd,IF(INDEX($C$650:$V$650,K$14)="",WdhStd,INDEX($C$650:$V$650,K$14)))</f>
        <v/>
      </c>
      <c r="L1175" s="62">
        <f>IF(L$14=0,WdhStd,IF(INDEX($C$650:$V$650,L$14)="",WdhStd,INDEX($C$650:$V$650,L$14)))</f>
        <v/>
      </c>
      <c r="M1175" s="62">
        <f>IF(M$14=0,WdhStd,IF(INDEX($C$650:$V$650,M$14)="",WdhStd,INDEX($C$650:$V$650,M$14)))</f>
        <v/>
      </c>
      <c r="N1175" s="62">
        <f>IF(N$14=0,WdhStd,IF(INDEX($C$650:$V$650,N$14)="",WdhStd,INDEX($C$650:$V$650,N$14)))</f>
        <v/>
      </c>
      <c r="O1175" s="62">
        <f>IF(O$14=0,WdhStd,IF(INDEX($C$650:$V$650,O$14)="",WdhStd,INDEX($C$650:$V$650,O$14)))</f>
        <v/>
      </c>
      <c r="P1175" s="62">
        <f>IF(P$14=0,WdhStd,IF(INDEX($C$650:$V$650,P$14)="",WdhStd,INDEX($C$650:$V$650,P$14)))</f>
        <v/>
      </c>
      <c r="Q1175" s="62">
        <f>IF(Q$14=0,WdhStd,IF(INDEX($C$650:$V$650,Q$14)="",WdhStd,INDEX($C$650:$V$650,Q$14)))</f>
        <v/>
      </c>
      <c r="R1175" s="62">
        <f>IF(R$14=0,WdhStd,IF(INDEX($C$650:$V$650,R$14)="",WdhStd,INDEX($C$650:$V$650,R$14)))</f>
        <v/>
      </c>
      <c r="S1175" s="62">
        <f>IF(S$14=0,WdhStd,IF(INDEX($C$650:$V$650,S$14)="",WdhStd,INDEX($C$650:$V$650,S$14)))</f>
        <v/>
      </c>
      <c r="T1175" s="62">
        <f>IF(T$14=0,WdhStd,IF(INDEX($C$650:$V$650,T$14)="",WdhStd,INDEX($C$650:$V$650,T$14)))</f>
        <v/>
      </c>
      <c r="U1175" s="62">
        <f>IF(U$14=0,WdhStd,IF(INDEX($C$650:$V$650,U$14)="",WdhStd,INDEX($C$650:$V$650,U$14)))</f>
        <v/>
      </c>
      <c r="V1175" s="62">
        <f>IF(V$14=0,WdhStd,IF(INDEX($C$650:$V$650,V$14)="",WdhStd,INDEX($C$650:$V$650,V$14)))</f>
        <v/>
      </c>
    </row>
    <row r="1176">
      <c r="C1176" s="62">
        <f>IF(C$14=0,WdhStd,IF(INDEX($C$651:$V$651,C$14)="",WdhStd,INDEX($C$651:$V$651,C$14)))</f>
        <v/>
      </c>
      <c r="D1176" s="62">
        <f>IF(D$14=0,WdhStd,IF(INDEX($C$651:$V$651,D$14)="",WdhStd,INDEX($C$651:$V$651,D$14)))</f>
        <v/>
      </c>
      <c r="E1176" s="62">
        <f>IF(E$14=0,WdhStd,IF(INDEX($C$651:$V$651,E$14)="",WdhStd,INDEX($C$651:$V$651,E$14)))</f>
        <v/>
      </c>
      <c r="F1176" s="62">
        <f>IF(F$14=0,WdhStd,IF(INDEX($C$651:$V$651,F$14)="",WdhStd,INDEX($C$651:$V$651,F$14)))</f>
        <v/>
      </c>
      <c r="G1176" s="62">
        <f>IF(G$14=0,WdhStd,IF(INDEX($C$651:$V$651,G$14)="",WdhStd,INDEX($C$651:$V$651,G$14)))</f>
        <v/>
      </c>
      <c r="H1176" s="62">
        <f>IF(H$14=0,WdhStd,IF(INDEX($C$651:$V$651,H$14)="",WdhStd,INDEX($C$651:$V$651,H$14)))</f>
        <v/>
      </c>
      <c r="I1176" s="62">
        <f>IF(I$14=0,WdhStd,IF(INDEX($C$651:$V$651,I$14)="",WdhStd,INDEX($C$651:$V$651,I$14)))</f>
        <v/>
      </c>
      <c r="J1176" s="62">
        <f>IF(J$14=0,WdhStd,IF(INDEX($C$651:$V$651,J$14)="",WdhStd,INDEX($C$651:$V$651,J$14)))</f>
        <v/>
      </c>
      <c r="K1176" s="62">
        <f>IF(K$14=0,WdhStd,IF(INDEX($C$651:$V$651,K$14)="",WdhStd,INDEX($C$651:$V$651,K$14)))</f>
        <v/>
      </c>
      <c r="L1176" s="62">
        <f>IF(L$14=0,WdhStd,IF(INDEX($C$651:$V$651,L$14)="",WdhStd,INDEX($C$651:$V$651,L$14)))</f>
        <v/>
      </c>
      <c r="M1176" s="62">
        <f>IF(M$14=0,WdhStd,IF(INDEX($C$651:$V$651,M$14)="",WdhStd,INDEX($C$651:$V$651,M$14)))</f>
        <v/>
      </c>
      <c r="N1176" s="62">
        <f>IF(N$14=0,WdhStd,IF(INDEX($C$651:$V$651,N$14)="",WdhStd,INDEX($C$651:$V$651,N$14)))</f>
        <v/>
      </c>
      <c r="O1176" s="62">
        <f>IF(O$14=0,WdhStd,IF(INDEX($C$651:$V$651,O$14)="",WdhStd,INDEX($C$651:$V$651,O$14)))</f>
        <v/>
      </c>
      <c r="P1176" s="62">
        <f>IF(P$14=0,WdhStd,IF(INDEX($C$651:$V$651,P$14)="",WdhStd,INDEX($C$651:$V$651,P$14)))</f>
        <v/>
      </c>
      <c r="Q1176" s="62">
        <f>IF(Q$14=0,WdhStd,IF(INDEX($C$651:$V$651,Q$14)="",WdhStd,INDEX($C$651:$V$651,Q$14)))</f>
        <v/>
      </c>
      <c r="R1176" s="62">
        <f>IF(R$14=0,WdhStd,IF(INDEX($C$651:$V$651,R$14)="",WdhStd,INDEX($C$651:$V$651,R$14)))</f>
        <v/>
      </c>
      <c r="S1176" s="62">
        <f>IF(S$14=0,WdhStd,IF(INDEX($C$651:$V$651,S$14)="",WdhStd,INDEX($C$651:$V$651,S$14)))</f>
        <v/>
      </c>
      <c r="T1176" s="62">
        <f>IF(T$14=0,WdhStd,IF(INDEX($C$651:$V$651,T$14)="",WdhStd,INDEX($C$651:$V$651,T$14)))</f>
        <v/>
      </c>
      <c r="U1176" s="62">
        <f>IF(U$14=0,WdhStd,IF(INDEX($C$651:$V$651,U$14)="",WdhStd,INDEX($C$651:$V$651,U$14)))</f>
        <v/>
      </c>
      <c r="V1176" s="62">
        <f>IF(V$14=0,WdhStd,IF(INDEX($C$651:$V$651,V$14)="",WdhStd,INDEX($C$651:$V$651,V$14)))</f>
        <v/>
      </c>
    </row>
    <row r="1177">
      <c r="C1177" s="62">
        <f>IF(C$14=0,WdhStd,IF(INDEX($C$652:$V$652,C$14)="",WdhStd,INDEX($C$652:$V$652,C$14)))</f>
        <v/>
      </c>
      <c r="D1177" s="62">
        <f>IF(D$14=0,WdhStd,IF(INDEX($C$652:$V$652,D$14)="",WdhStd,INDEX($C$652:$V$652,D$14)))</f>
        <v/>
      </c>
      <c r="E1177" s="62">
        <f>IF(E$14=0,WdhStd,IF(INDEX($C$652:$V$652,E$14)="",WdhStd,INDEX($C$652:$V$652,E$14)))</f>
        <v/>
      </c>
      <c r="F1177" s="62">
        <f>IF(F$14=0,WdhStd,IF(INDEX($C$652:$V$652,F$14)="",WdhStd,INDEX($C$652:$V$652,F$14)))</f>
        <v/>
      </c>
      <c r="G1177" s="62">
        <f>IF(G$14=0,WdhStd,IF(INDEX($C$652:$V$652,G$14)="",WdhStd,INDEX($C$652:$V$652,G$14)))</f>
        <v/>
      </c>
      <c r="H1177" s="62">
        <f>IF(H$14=0,WdhStd,IF(INDEX($C$652:$V$652,H$14)="",WdhStd,INDEX($C$652:$V$652,H$14)))</f>
        <v/>
      </c>
      <c r="I1177" s="62">
        <f>IF(I$14=0,WdhStd,IF(INDEX($C$652:$V$652,I$14)="",WdhStd,INDEX($C$652:$V$652,I$14)))</f>
        <v/>
      </c>
      <c r="J1177" s="62">
        <f>IF(J$14=0,WdhStd,IF(INDEX($C$652:$V$652,J$14)="",WdhStd,INDEX($C$652:$V$652,J$14)))</f>
        <v/>
      </c>
      <c r="K1177" s="62">
        <f>IF(K$14=0,WdhStd,IF(INDEX($C$652:$V$652,K$14)="",WdhStd,INDEX($C$652:$V$652,K$14)))</f>
        <v/>
      </c>
      <c r="L1177" s="62">
        <f>IF(L$14=0,WdhStd,IF(INDEX($C$652:$V$652,L$14)="",WdhStd,INDEX($C$652:$V$652,L$14)))</f>
        <v/>
      </c>
      <c r="M1177" s="62">
        <f>IF(M$14=0,WdhStd,IF(INDEX($C$652:$V$652,M$14)="",WdhStd,INDEX($C$652:$V$652,M$14)))</f>
        <v/>
      </c>
      <c r="N1177" s="62">
        <f>IF(N$14=0,WdhStd,IF(INDEX($C$652:$V$652,N$14)="",WdhStd,INDEX($C$652:$V$652,N$14)))</f>
        <v/>
      </c>
      <c r="O1177" s="62">
        <f>IF(O$14=0,WdhStd,IF(INDEX($C$652:$V$652,O$14)="",WdhStd,INDEX($C$652:$V$652,O$14)))</f>
        <v/>
      </c>
      <c r="P1177" s="62">
        <f>IF(P$14=0,WdhStd,IF(INDEX($C$652:$V$652,P$14)="",WdhStd,INDEX($C$652:$V$652,P$14)))</f>
        <v/>
      </c>
      <c r="Q1177" s="62">
        <f>IF(Q$14=0,WdhStd,IF(INDEX($C$652:$V$652,Q$14)="",WdhStd,INDEX($C$652:$V$652,Q$14)))</f>
        <v/>
      </c>
      <c r="R1177" s="62">
        <f>IF(R$14=0,WdhStd,IF(INDEX($C$652:$V$652,R$14)="",WdhStd,INDEX($C$652:$V$652,R$14)))</f>
        <v/>
      </c>
      <c r="S1177" s="62">
        <f>IF(S$14=0,WdhStd,IF(INDEX($C$652:$V$652,S$14)="",WdhStd,INDEX($C$652:$V$652,S$14)))</f>
        <v/>
      </c>
      <c r="T1177" s="62">
        <f>IF(T$14=0,WdhStd,IF(INDEX($C$652:$V$652,T$14)="",WdhStd,INDEX($C$652:$V$652,T$14)))</f>
        <v/>
      </c>
      <c r="U1177" s="62">
        <f>IF(U$14=0,WdhStd,IF(INDEX($C$652:$V$652,U$14)="",WdhStd,INDEX($C$652:$V$652,U$14)))</f>
        <v/>
      </c>
      <c r="V1177" s="62">
        <f>IF(V$14=0,WdhStd,IF(INDEX($C$652:$V$652,V$14)="",WdhStd,INDEX($C$652:$V$652,V$14)))</f>
        <v/>
      </c>
    </row>
    <row r="1178">
      <c r="C1178" s="62">
        <f>IF(C$14=0,WdhStd,IF(INDEX($C$653:$V$653,C$14)="",WdhStd,INDEX($C$653:$V$653,C$14)))</f>
        <v/>
      </c>
      <c r="D1178" s="62">
        <f>IF(D$14=0,WdhStd,IF(INDEX($C$653:$V$653,D$14)="",WdhStd,INDEX($C$653:$V$653,D$14)))</f>
        <v/>
      </c>
      <c r="E1178" s="62">
        <f>IF(E$14=0,WdhStd,IF(INDEX($C$653:$V$653,E$14)="",WdhStd,INDEX($C$653:$V$653,E$14)))</f>
        <v/>
      </c>
      <c r="F1178" s="62">
        <f>IF(F$14=0,WdhStd,IF(INDEX($C$653:$V$653,F$14)="",WdhStd,INDEX($C$653:$V$653,F$14)))</f>
        <v/>
      </c>
      <c r="G1178" s="62">
        <f>IF(G$14=0,WdhStd,IF(INDEX($C$653:$V$653,G$14)="",WdhStd,INDEX($C$653:$V$653,G$14)))</f>
        <v/>
      </c>
      <c r="H1178" s="62">
        <f>IF(H$14=0,WdhStd,IF(INDEX($C$653:$V$653,H$14)="",WdhStd,INDEX($C$653:$V$653,H$14)))</f>
        <v/>
      </c>
      <c r="I1178" s="62">
        <f>IF(I$14=0,WdhStd,IF(INDEX($C$653:$V$653,I$14)="",WdhStd,INDEX($C$653:$V$653,I$14)))</f>
        <v/>
      </c>
      <c r="J1178" s="62">
        <f>IF(J$14=0,WdhStd,IF(INDEX($C$653:$V$653,J$14)="",WdhStd,INDEX($C$653:$V$653,J$14)))</f>
        <v/>
      </c>
      <c r="K1178" s="62">
        <f>IF(K$14=0,WdhStd,IF(INDEX($C$653:$V$653,K$14)="",WdhStd,INDEX($C$653:$V$653,K$14)))</f>
        <v/>
      </c>
      <c r="L1178" s="62">
        <f>IF(L$14=0,WdhStd,IF(INDEX($C$653:$V$653,L$14)="",WdhStd,INDEX($C$653:$V$653,L$14)))</f>
        <v/>
      </c>
      <c r="M1178" s="62">
        <f>IF(M$14=0,WdhStd,IF(INDEX($C$653:$V$653,M$14)="",WdhStd,INDEX($C$653:$V$653,M$14)))</f>
        <v/>
      </c>
      <c r="N1178" s="62">
        <f>IF(N$14=0,WdhStd,IF(INDEX($C$653:$V$653,N$14)="",WdhStd,INDEX($C$653:$V$653,N$14)))</f>
        <v/>
      </c>
      <c r="O1178" s="62">
        <f>IF(O$14=0,WdhStd,IF(INDEX($C$653:$V$653,O$14)="",WdhStd,INDEX($C$653:$V$653,O$14)))</f>
        <v/>
      </c>
      <c r="P1178" s="62">
        <f>IF(P$14=0,WdhStd,IF(INDEX($C$653:$V$653,P$14)="",WdhStd,INDEX($C$653:$V$653,P$14)))</f>
        <v/>
      </c>
      <c r="Q1178" s="62">
        <f>IF(Q$14=0,WdhStd,IF(INDEX($C$653:$V$653,Q$14)="",WdhStd,INDEX($C$653:$V$653,Q$14)))</f>
        <v/>
      </c>
      <c r="R1178" s="62">
        <f>IF(R$14=0,WdhStd,IF(INDEX($C$653:$V$653,R$14)="",WdhStd,INDEX($C$653:$V$653,R$14)))</f>
        <v/>
      </c>
      <c r="S1178" s="62">
        <f>IF(S$14=0,WdhStd,IF(INDEX($C$653:$V$653,S$14)="",WdhStd,INDEX($C$653:$V$653,S$14)))</f>
        <v/>
      </c>
      <c r="T1178" s="62">
        <f>IF(T$14=0,WdhStd,IF(INDEX($C$653:$V$653,T$14)="",WdhStd,INDEX($C$653:$V$653,T$14)))</f>
        <v/>
      </c>
      <c r="U1178" s="62">
        <f>IF(U$14=0,WdhStd,IF(INDEX($C$653:$V$653,U$14)="",WdhStd,INDEX($C$653:$V$653,U$14)))</f>
        <v/>
      </c>
      <c r="V1178" s="62">
        <f>IF(V$14=0,WdhStd,IF(INDEX($C$653:$V$653,V$14)="",WdhStd,INDEX($C$653:$V$653,V$14)))</f>
        <v/>
      </c>
    </row>
    <row r="1179">
      <c r="C1179" s="62">
        <f>IF(C$14=0,WdhStd,IF(INDEX($C$654:$V$654,C$14)="",WdhStd,INDEX($C$654:$V$654,C$14)))</f>
        <v/>
      </c>
      <c r="D1179" s="62">
        <f>IF(D$14=0,WdhStd,IF(INDEX($C$654:$V$654,D$14)="",WdhStd,INDEX($C$654:$V$654,D$14)))</f>
        <v/>
      </c>
      <c r="E1179" s="62">
        <f>IF(E$14=0,WdhStd,IF(INDEX($C$654:$V$654,E$14)="",WdhStd,INDEX($C$654:$V$654,E$14)))</f>
        <v/>
      </c>
      <c r="F1179" s="62">
        <f>IF(F$14=0,WdhStd,IF(INDEX($C$654:$V$654,F$14)="",WdhStd,INDEX($C$654:$V$654,F$14)))</f>
        <v/>
      </c>
      <c r="G1179" s="62">
        <f>IF(G$14=0,WdhStd,IF(INDEX($C$654:$V$654,G$14)="",WdhStd,INDEX($C$654:$V$654,G$14)))</f>
        <v/>
      </c>
      <c r="H1179" s="62">
        <f>IF(H$14=0,WdhStd,IF(INDEX($C$654:$V$654,H$14)="",WdhStd,INDEX($C$654:$V$654,H$14)))</f>
        <v/>
      </c>
      <c r="I1179" s="62">
        <f>IF(I$14=0,WdhStd,IF(INDEX($C$654:$V$654,I$14)="",WdhStd,INDEX($C$654:$V$654,I$14)))</f>
        <v/>
      </c>
      <c r="J1179" s="62">
        <f>IF(J$14=0,WdhStd,IF(INDEX($C$654:$V$654,J$14)="",WdhStd,INDEX($C$654:$V$654,J$14)))</f>
        <v/>
      </c>
      <c r="K1179" s="62">
        <f>IF(K$14=0,WdhStd,IF(INDEX($C$654:$V$654,K$14)="",WdhStd,INDEX($C$654:$V$654,K$14)))</f>
        <v/>
      </c>
      <c r="L1179" s="62">
        <f>IF(L$14=0,WdhStd,IF(INDEX($C$654:$V$654,L$14)="",WdhStd,INDEX($C$654:$V$654,L$14)))</f>
        <v/>
      </c>
      <c r="M1179" s="62">
        <f>IF(M$14=0,WdhStd,IF(INDEX($C$654:$V$654,M$14)="",WdhStd,INDEX($C$654:$V$654,M$14)))</f>
        <v/>
      </c>
      <c r="N1179" s="62">
        <f>IF(N$14=0,WdhStd,IF(INDEX($C$654:$V$654,N$14)="",WdhStd,INDEX($C$654:$V$654,N$14)))</f>
        <v/>
      </c>
      <c r="O1179" s="62">
        <f>IF(O$14=0,WdhStd,IF(INDEX($C$654:$V$654,O$14)="",WdhStd,INDEX($C$654:$V$654,O$14)))</f>
        <v/>
      </c>
      <c r="P1179" s="62">
        <f>IF(P$14=0,WdhStd,IF(INDEX($C$654:$V$654,P$14)="",WdhStd,INDEX($C$654:$V$654,P$14)))</f>
        <v/>
      </c>
      <c r="Q1179" s="62">
        <f>IF(Q$14=0,WdhStd,IF(INDEX($C$654:$V$654,Q$14)="",WdhStd,INDEX($C$654:$V$654,Q$14)))</f>
        <v/>
      </c>
      <c r="R1179" s="62">
        <f>IF(R$14=0,WdhStd,IF(INDEX($C$654:$V$654,R$14)="",WdhStd,INDEX($C$654:$V$654,R$14)))</f>
        <v/>
      </c>
      <c r="S1179" s="62">
        <f>IF(S$14=0,WdhStd,IF(INDEX($C$654:$V$654,S$14)="",WdhStd,INDEX($C$654:$V$654,S$14)))</f>
        <v/>
      </c>
      <c r="T1179" s="62">
        <f>IF(T$14=0,WdhStd,IF(INDEX($C$654:$V$654,T$14)="",WdhStd,INDEX($C$654:$V$654,T$14)))</f>
        <v/>
      </c>
      <c r="U1179" s="62">
        <f>IF(U$14=0,WdhStd,IF(INDEX($C$654:$V$654,U$14)="",WdhStd,INDEX($C$654:$V$654,U$14)))</f>
        <v/>
      </c>
      <c r="V1179" s="62">
        <f>IF(V$14=0,WdhStd,IF(INDEX($C$654:$V$654,V$14)="",WdhStd,INDEX($C$654:$V$654,V$14)))</f>
        <v/>
      </c>
    </row>
    <row r="1180">
      <c r="C1180" s="62">
        <f>IF(C$14=0,WdhStd,IF(INDEX($C$655:$V$655,C$14)="",WdhStd,INDEX($C$655:$V$655,C$14)))</f>
        <v/>
      </c>
      <c r="D1180" s="62">
        <f>IF(D$14=0,WdhStd,IF(INDEX($C$655:$V$655,D$14)="",WdhStd,INDEX($C$655:$V$655,D$14)))</f>
        <v/>
      </c>
      <c r="E1180" s="62">
        <f>IF(E$14=0,WdhStd,IF(INDEX($C$655:$V$655,E$14)="",WdhStd,INDEX($C$655:$V$655,E$14)))</f>
        <v/>
      </c>
      <c r="F1180" s="62">
        <f>IF(F$14=0,WdhStd,IF(INDEX($C$655:$V$655,F$14)="",WdhStd,INDEX($C$655:$V$655,F$14)))</f>
        <v/>
      </c>
      <c r="G1180" s="62">
        <f>IF(G$14=0,WdhStd,IF(INDEX($C$655:$V$655,G$14)="",WdhStd,INDEX($C$655:$V$655,G$14)))</f>
        <v/>
      </c>
      <c r="H1180" s="62">
        <f>IF(H$14=0,WdhStd,IF(INDEX($C$655:$V$655,H$14)="",WdhStd,INDEX($C$655:$V$655,H$14)))</f>
        <v/>
      </c>
      <c r="I1180" s="62">
        <f>IF(I$14=0,WdhStd,IF(INDEX($C$655:$V$655,I$14)="",WdhStd,INDEX($C$655:$V$655,I$14)))</f>
        <v/>
      </c>
      <c r="J1180" s="62">
        <f>IF(J$14=0,WdhStd,IF(INDEX($C$655:$V$655,J$14)="",WdhStd,INDEX($C$655:$V$655,J$14)))</f>
        <v/>
      </c>
      <c r="K1180" s="62">
        <f>IF(K$14=0,WdhStd,IF(INDEX($C$655:$V$655,K$14)="",WdhStd,INDEX($C$655:$V$655,K$14)))</f>
        <v/>
      </c>
      <c r="L1180" s="62">
        <f>IF(L$14=0,WdhStd,IF(INDEX($C$655:$V$655,L$14)="",WdhStd,INDEX($C$655:$V$655,L$14)))</f>
        <v/>
      </c>
      <c r="M1180" s="62">
        <f>IF(M$14=0,WdhStd,IF(INDEX($C$655:$V$655,M$14)="",WdhStd,INDEX($C$655:$V$655,M$14)))</f>
        <v/>
      </c>
      <c r="N1180" s="62">
        <f>IF(N$14=0,WdhStd,IF(INDEX($C$655:$V$655,N$14)="",WdhStd,INDEX($C$655:$V$655,N$14)))</f>
        <v/>
      </c>
      <c r="O1180" s="62">
        <f>IF(O$14=0,WdhStd,IF(INDEX($C$655:$V$655,O$14)="",WdhStd,INDEX($C$655:$V$655,O$14)))</f>
        <v/>
      </c>
      <c r="P1180" s="62">
        <f>IF(P$14=0,WdhStd,IF(INDEX($C$655:$V$655,P$14)="",WdhStd,INDEX($C$655:$V$655,P$14)))</f>
        <v/>
      </c>
      <c r="Q1180" s="62">
        <f>IF(Q$14=0,WdhStd,IF(INDEX($C$655:$V$655,Q$14)="",WdhStd,INDEX($C$655:$V$655,Q$14)))</f>
        <v/>
      </c>
      <c r="R1180" s="62">
        <f>IF(R$14=0,WdhStd,IF(INDEX($C$655:$V$655,R$14)="",WdhStd,INDEX($C$655:$V$655,R$14)))</f>
        <v/>
      </c>
      <c r="S1180" s="62">
        <f>IF(S$14=0,WdhStd,IF(INDEX($C$655:$V$655,S$14)="",WdhStd,INDEX($C$655:$V$655,S$14)))</f>
        <v/>
      </c>
      <c r="T1180" s="62">
        <f>IF(T$14=0,WdhStd,IF(INDEX($C$655:$V$655,T$14)="",WdhStd,INDEX($C$655:$V$655,T$14)))</f>
        <v/>
      </c>
      <c r="U1180" s="62">
        <f>IF(U$14=0,WdhStd,IF(INDEX($C$655:$V$655,U$14)="",WdhStd,INDEX($C$655:$V$655,U$14)))</f>
        <v/>
      </c>
      <c r="V1180" s="62">
        <f>IF(V$14=0,WdhStd,IF(INDEX($C$655:$V$655,V$14)="",WdhStd,INDEX($C$655:$V$655,V$14)))</f>
        <v/>
      </c>
    </row>
    <row r="1181">
      <c r="C1181" s="62">
        <f>IF(C$14=0,WdhStd,IF(INDEX($C$656:$V$656,C$14)="",WdhStd,INDEX($C$656:$V$656,C$14)))</f>
        <v/>
      </c>
      <c r="D1181" s="62">
        <f>IF(D$14=0,WdhStd,IF(INDEX($C$656:$V$656,D$14)="",WdhStd,INDEX($C$656:$V$656,D$14)))</f>
        <v/>
      </c>
      <c r="E1181" s="62">
        <f>IF(E$14=0,WdhStd,IF(INDEX($C$656:$V$656,E$14)="",WdhStd,INDEX($C$656:$V$656,E$14)))</f>
        <v/>
      </c>
      <c r="F1181" s="62">
        <f>IF(F$14=0,WdhStd,IF(INDEX($C$656:$V$656,F$14)="",WdhStd,INDEX($C$656:$V$656,F$14)))</f>
        <v/>
      </c>
      <c r="G1181" s="62">
        <f>IF(G$14=0,WdhStd,IF(INDEX($C$656:$V$656,G$14)="",WdhStd,INDEX($C$656:$V$656,G$14)))</f>
        <v/>
      </c>
      <c r="H1181" s="62">
        <f>IF(H$14=0,WdhStd,IF(INDEX($C$656:$V$656,H$14)="",WdhStd,INDEX($C$656:$V$656,H$14)))</f>
        <v/>
      </c>
      <c r="I1181" s="62">
        <f>IF(I$14=0,WdhStd,IF(INDEX($C$656:$V$656,I$14)="",WdhStd,INDEX($C$656:$V$656,I$14)))</f>
        <v/>
      </c>
      <c r="J1181" s="62">
        <f>IF(J$14=0,WdhStd,IF(INDEX($C$656:$V$656,J$14)="",WdhStd,INDEX($C$656:$V$656,J$14)))</f>
        <v/>
      </c>
      <c r="K1181" s="62">
        <f>IF(K$14=0,WdhStd,IF(INDEX($C$656:$V$656,K$14)="",WdhStd,INDEX($C$656:$V$656,K$14)))</f>
        <v/>
      </c>
      <c r="L1181" s="62">
        <f>IF(L$14=0,WdhStd,IF(INDEX($C$656:$V$656,L$14)="",WdhStd,INDEX($C$656:$V$656,L$14)))</f>
        <v/>
      </c>
      <c r="M1181" s="62">
        <f>IF(M$14=0,WdhStd,IF(INDEX($C$656:$V$656,M$14)="",WdhStd,INDEX($C$656:$V$656,M$14)))</f>
        <v/>
      </c>
      <c r="N1181" s="62">
        <f>IF(N$14=0,WdhStd,IF(INDEX($C$656:$V$656,N$14)="",WdhStd,INDEX($C$656:$V$656,N$14)))</f>
        <v/>
      </c>
      <c r="O1181" s="62">
        <f>IF(O$14=0,WdhStd,IF(INDEX($C$656:$V$656,O$14)="",WdhStd,INDEX($C$656:$V$656,O$14)))</f>
        <v/>
      </c>
      <c r="P1181" s="62">
        <f>IF(P$14=0,WdhStd,IF(INDEX($C$656:$V$656,P$14)="",WdhStd,INDEX($C$656:$V$656,P$14)))</f>
        <v/>
      </c>
      <c r="Q1181" s="62">
        <f>IF(Q$14=0,WdhStd,IF(INDEX($C$656:$V$656,Q$14)="",WdhStd,INDEX($C$656:$V$656,Q$14)))</f>
        <v/>
      </c>
      <c r="R1181" s="62">
        <f>IF(R$14=0,WdhStd,IF(INDEX($C$656:$V$656,R$14)="",WdhStd,INDEX($C$656:$V$656,R$14)))</f>
        <v/>
      </c>
      <c r="S1181" s="62">
        <f>IF(S$14=0,WdhStd,IF(INDEX($C$656:$V$656,S$14)="",WdhStd,INDEX($C$656:$V$656,S$14)))</f>
        <v/>
      </c>
      <c r="T1181" s="62">
        <f>IF(T$14=0,WdhStd,IF(INDEX($C$656:$V$656,T$14)="",WdhStd,INDEX($C$656:$V$656,T$14)))</f>
        <v/>
      </c>
      <c r="U1181" s="62">
        <f>IF(U$14=0,WdhStd,IF(INDEX($C$656:$V$656,U$14)="",WdhStd,INDEX($C$656:$V$656,U$14)))</f>
        <v/>
      </c>
      <c r="V1181" s="62">
        <f>IF(V$14=0,WdhStd,IF(INDEX($C$656:$V$656,V$14)="",WdhStd,INDEX($C$656:$V$656,V$14)))</f>
        <v/>
      </c>
    </row>
    <row r="1182">
      <c r="C1182" s="62">
        <f>IF(C$14=0,WdhStd,IF(INDEX($C$657:$V$657,C$14)="",WdhStd,INDEX($C$657:$V$657,C$14)))</f>
        <v/>
      </c>
      <c r="D1182" s="62">
        <f>IF(D$14=0,WdhStd,IF(INDEX($C$657:$V$657,D$14)="",WdhStd,INDEX($C$657:$V$657,D$14)))</f>
        <v/>
      </c>
      <c r="E1182" s="62">
        <f>IF(E$14=0,WdhStd,IF(INDEX($C$657:$V$657,E$14)="",WdhStd,INDEX($C$657:$V$657,E$14)))</f>
        <v/>
      </c>
      <c r="F1182" s="62">
        <f>IF(F$14=0,WdhStd,IF(INDEX($C$657:$V$657,F$14)="",WdhStd,INDEX($C$657:$V$657,F$14)))</f>
        <v/>
      </c>
      <c r="G1182" s="62">
        <f>IF(G$14=0,WdhStd,IF(INDEX($C$657:$V$657,G$14)="",WdhStd,INDEX($C$657:$V$657,G$14)))</f>
        <v/>
      </c>
      <c r="H1182" s="62">
        <f>IF(H$14=0,WdhStd,IF(INDEX($C$657:$V$657,H$14)="",WdhStd,INDEX($C$657:$V$657,H$14)))</f>
        <v/>
      </c>
      <c r="I1182" s="62">
        <f>IF(I$14=0,WdhStd,IF(INDEX($C$657:$V$657,I$14)="",WdhStd,INDEX($C$657:$V$657,I$14)))</f>
        <v/>
      </c>
      <c r="J1182" s="62">
        <f>IF(J$14=0,WdhStd,IF(INDEX($C$657:$V$657,J$14)="",WdhStd,INDEX($C$657:$V$657,J$14)))</f>
        <v/>
      </c>
      <c r="K1182" s="62">
        <f>IF(K$14=0,WdhStd,IF(INDEX($C$657:$V$657,K$14)="",WdhStd,INDEX($C$657:$V$657,K$14)))</f>
        <v/>
      </c>
      <c r="L1182" s="62">
        <f>IF(L$14=0,WdhStd,IF(INDEX($C$657:$V$657,L$14)="",WdhStd,INDEX($C$657:$V$657,L$14)))</f>
        <v/>
      </c>
      <c r="M1182" s="62">
        <f>IF(M$14=0,WdhStd,IF(INDEX($C$657:$V$657,M$14)="",WdhStd,INDEX($C$657:$V$657,M$14)))</f>
        <v/>
      </c>
      <c r="N1182" s="62">
        <f>IF(N$14=0,WdhStd,IF(INDEX($C$657:$V$657,N$14)="",WdhStd,INDEX($C$657:$V$657,N$14)))</f>
        <v/>
      </c>
      <c r="O1182" s="62">
        <f>IF(O$14=0,WdhStd,IF(INDEX($C$657:$V$657,O$14)="",WdhStd,INDEX($C$657:$V$657,O$14)))</f>
        <v/>
      </c>
      <c r="P1182" s="62">
        <f>IF(P$14=0,WdhStd,IF(INDEX($C$657:$V$657,P$14)="",WdhStd,INDEX($C$657:$V$657,P$14)))</f>
        <v/>
      </c>
      <c r="Q1182" s="62">
        <f>IF(Q$14=0,WdhStd,IF(INDEX($C$657:$V$657,Q$14)="",WdhStd,INDEX($C$657:$V$657,Q$14)))</f>
        <v/>
      </c>
      <c r="R1182" s="62">
        <f>IF(R$14=0,WdhStd,IF(INDEX($C$657:$V$657,R$14)="",WdhStd,INDEX($C$657:$V$657,R$14)))</f>
        <v/>
      </c>
      <c r="S1182" s="62">
        <f>IF(S$14=0,WdhStd,IF(INDEX($C$657:$V$657,S$14)="",WdhStd,INDEX($C$657:$V$657,S$14)))</f>
        <v/>
      </c>
      <c r="T1182" s="62">
        <f>IF(T$14=0,WdhStd,IF(INDEX($C$657:$V$657,T$14)="",WdhStd,INDEX($C$657:$V$657,T$14)))</f>
        <v/>
      </c>
      <c r="U1182" s="62">
        <f>IF(U$14=0,WdhStd,IF(INDEX($C$657:$V$657,U$14)="",WdhStd,INDEX($C$657:$V$657,U$14)))</f>
        <v/>
      </c>
      <c r="V1182" s="62">
        <f>IF(V$14=0,WdhStd,IF(INDEX($C$657:$V$657,V$14)="",WdhStd,INDEX($C$657:$V$657,V$14)))</f>
        <v/>
      </c>
    </row>
    <row r="1183">
      <c r="C1183" s="62">
        <f>IF(C$14=0,WdhStd,IF(INDEX($C$658:$V$658,C$14)="",WdhStd,INDEX($C$658:$V$658,C$14)))</f>
        <v/>
      </c>
      <c r="D1183" s="62">
        <f>IF(D$14=0,WdhStd,IF(INDEX($C$658:$V$658,D$14)="",WdhStd,INDEX($C$658:$V$658,D$14)))</f>
        <v/>
      </c>
      <c r="E1183" s="62">
        <f>IF(E$14=0,WdhStd,IF(INDEX($C$658:$V$658,E$14)="",WdhStd,INDEX($C$658:$V$658,E$14)))</f>
        <v/>
      </c>
      <c r="F1183" s="62">
        <f>IF(F$14=0,WdhStd,IF(INDEX($C$658:$V$658,F$14)="",WdhStd,INDEX($C$658:$V$658,F$14)))</f>
        <v/>
      </c>
      <c r="G1183" s="62">
        <f>IF(G$14=0,WdhStd,IF(INDEX($C$658:$V$658,G$14)="",WdhStd,INDEX($C$658:$V$658,G$14)))</f>
        <v/>
      </c>
      <c r="H1183" s="62">
        <f>IF(H$14=0,WdhStd,IF(INDEX($C$658:$V$658,H$14)="",WdhStd,INDEX($C$658:$V$658,H$14)))</f>
        <v/>
      </c>
      <c r="I1183" s="62">
        <f>IF(I$14=0,WdhStd,IF(INDEX($C$658:$V$658,I$14)="",WdhStd,INDEX($C$658:$V$658,I$14)))</f>
        <v/>
      </c>
      <c r="J1183" s="62">
        <f>IF(J$14=0,WdhStd,IF(INDEX($C$658:$V$658,J$14)="",WdhStd,INDEX($C$658:$V$658,J$14)))</f>
        <v/>
      </c>
      <c r="K1183" s="62">
        <f>IF(K$14=0,WdhStd,IF(INDEX($C$658:$V$658,K$14)="",WdhStd,INDEX($C$658:$V$658,K$14)))</f>
        <v/>
      </c>
      <c r="L1183" s="62">
        <f>IF(L$14=0,WdhStd,IF(INDEX($C$658:$V$658,L$14)="",WdhStd,INDEX($C$658:$V$658,L$14)))</f>
        <v/>
      </c>
      <c r="M1183" s="62">
        <f>IF(M$14=0,WdhStd,IF(INDEX($C$658:$V$658,M$14)="",WdhStd,INDEX($C$658:$V$658,M$14)))</f>
        <v/>
      </c>
      <c r="N1183" s="62">
        <f>IF(N$14=0,WdhStd,IF(INDEX($C$658:$V$658,N$14)="",WdhStd,INDEX($C$658:$V$658,N$14)))</f>
        <v/>
      </c>
      <c r="O1183" s="62">
        <f>IF(O$14=0,WdhStd,IF(INDEX($C$658:$V$658,O$14)="",WdhStd,INDEX($C$658:$V$658,O$14)))</f>
        <v/>
      </c>
      <c r="P1183" s="62">
        <f>IF(P$14=0,WdhStd,IF(INDEX($C$658:$V$658,P$14)="",WdhStd,INDEX($C$658:$V$658,P$14)))</f>
        <v/>
      </c>
      <c r="Q1183" s="62">
        <f>IF(Q$14=0,WdhStd,IF(INDEX($C$658:$V$658,Q$14)="",WdhStd,INDEX($C$658:$V$658,Q$14)))</f>
        <v/>
      </c>
      <c r="R1183" s="62">
        <f>IF(R$14=0,WdhStd,IF(INDEX($C$658:$V$658,R$14)="",WdhStd,INDEX($C$658:$V$658,R$14)))</f>
        <v/>
      </c>
      <c r="S1183" s="62">
        <f>IF(S$14=0,WdhStd,IF(INDEX($C$658:$V$658,S$14)="",WdhStd,INDEX($C$658:$V$658,S$14)))</f>
        <v/>
      </c>
      <c r="T1183" s="62">
        <f>IF(T$14=0,WdhStd,IF(INDEX($C$658:$V$658,T$14)="",WdhStd,INDEX($C$658:$V$658,T$14)))</f>
        <v/>
      </c>
      <c r="U1183" s="62">
        <f>IF(U$14=0,WdhStd,IF(INDEX($C$658:$V$658,U$14)="",WdhStd,INDEX($C$658:$V$658,U$14)))</f>
        <v/>
      </c>
      <c r="V1183" s="62">
        <f>IF(V$14=0,WdhStd,IF(INDEX($C$658:$V$658,V$14)="",WdhStd,INDEX($C$658:$V$658,V$14)))</f>
        <v/>
      </c>
    </row>
    <row r="1184">
      <c r="C1184" s="62">
        <f>IF(C$14=0,WdhStd,IF(INDEX($C$659:$V$659,C$14)="",WdhStd,INDEX($C$659:$V$659,C$14)))</f>
        <v/>
      </c>
      <c r="D1184" s="62">
        <f>IF(D$14=0,WdhStd,IF(INDEX($C$659:$V$659,D$14)="",WdhStd,INDEX($C$659:$V$659,D$14)))</f>
        <v/>
      </c>
      <c r="E1184" s="62">
        <f>IF(E$14=0,WdhStd,IF(INDEX($C$659:$V$659,E$14)="",WdhStd,INDEX($C$659:$V$659,E$14)))</f>
        <v/>
      </c>
      <c r="F1184" s="62">
        <f>IF(F$14=0,WdhStd,IF(INDEX($C$659:$V$659,F$14)="",WdhStd,INDEX($C$659:$V$659,F$14)))</f>
        <v/>
      </c>
      <c r="G1184" s="62">
        <f>IF(G$14=0,WdhStd,IF(INDEX($C$659:$V$659,G$14)="",WdhStd,INDEX($C$659:$V$659,G$14)))</f>
        <v/>
      </c>
      <c r="H1184" s="62">
        <f>IF(H$14=0,WdhStd,IF(INDEX($C$659:$V$659,H$14)="",WdhStd,INDEX($C$659:$V$659,H$14)))</f>
        <v/>
      </c>
      <c r="I1184" s="62">
        <f>IF(I$14=0,WdhStd,IF(INDEX($C$659:$V$659,I$14)="",WdhStd,INDEX($C$659:$V$659,I$14)))</f>
        <v/>
      </c>
      <c r="J1184" s="62">
        <f>IF(J$14=0,WdhStd,IF(INDEX($C$659:$V$659,J$14)="",WdhStd,INDEX($C$659:$V$659,J$14)))</f>
        <v/>
      </c>
      <c r="K1184" s="62">
        <f>IF(K$14=0,WdhStd,IF(INDEX($C$659:$V$659,K$14)="",WdhStd,INDEX($C$659:$V$659,K$14)))</f>
        <v/>
      </c>
      <c r="L1184" s="62">
        <f>IF(L$14=0,WdhStd,IF(INDEX($C$659:$V$659,L$14)="",WdhStd,INDEX($C$659:$V$659,L$14)))</f>
        <v/>
      </c>
      <c r="M1184" s="62">
        <f>IF(M$14=0,WdhStd,IF(INDEX($C$659:$V$659,M$14)="",WdhStd,INDEX($C$659:$V$659,M$14)))</f>
        <v/>
      </c>
      <c r="N1184" s="62">
        <f>IF(N$14=0,WdhStd,IF(INDEX($C$659:$V$659,N$14)="",WdhStd,INDEX($C$659:$V$659,N$14)))</f>
        <v/>
      </c>
      <c r="O1184" s="62">
        <f>IF(O$14=0,WdhStd,IF(INDEX($C$659:$V$659,O$14)="",WdhStd,INDEX($C$659:$V$659,O$14)))</f>
        <v/>
      </c>
      <c r="P1184" s="62">
        <f>IF(P$14=0,WdhStd,IF(INDEX($C$659:$V$659,P$14)="",WdhStd,INDEX($C$659:$V$659,P$14)))</f>
        <v/>
      </c>
      <c r="Q1184" s="62">
        <f>IF(Q$14=0,WdhStd,IF(INDEX($C$659:$V$659,Q$14)="",WdhStd,INDEX($C$659:$V$659,Q$14)))</f>
        <v/>
      </c>
      <c r="R1184" s="62">
        <f>IF(R$14=0,WdhStd,IF(INDEX($C$659:$V$659,R$14)="",WdhStd,INDEX($C$659:$V$659,R$14)))</f>
        <v/>
      </c>
      <c r="S1184" s="62">
        <f>IF(S$14=0,WdhStd,IF(INDEX($C$659:$V$659,S$14)="",WdhStd,INDEX($C$659:$V$659,S$14)))</f>
        <v/>
      </c>
      <c r="T1184" s="62">
        <f>IF(T$14=0,WdhStd,IF(INDEX($C$659:$V$659,T$14)="",WdhStd,INDEX($C$659:$V$659,T$14)))</f>
        <v/>
      </c>
      <c r="U1184" s="62">
        <f>IF(U$14=0,WdhStd,IF(INDEX($C$659:$V$659,U$14)="",WdhStd,INDEX($C$659:$V$659,U$14)))</f>
        <v/>
      </c>
      <c r="V1184" s="62">
        <f>IF(V$14=0,WdhStd,IF(INDEX($C$659:$V$659,V$14)="",WdhStd,INDEX($C$659:$V$659,V$14)))</f>
        <v/>
      </c>
    </row>
    <row r="1185">
      <c r="C1185" s="62">
        <f>IF(C$14=0,WdhStd,IF(INDEX($C$660:$V$660,C$14)="",WdhStd,INDEX($C$660:$V$660,C$14)))</f>
        <v/>
      </c>
      <c r="D1185" s="62">
        <f>IF(D$14=0,WdhStd,IF(INDEX($C$660:$V$660,D$14)="",WdhStd,INDEX($C$660:$V$660,D$14)))</f>
        <v/>
      </c>
      <c r="E1185" s="62">
        <f>IF(E$14=0,WdhStd,IF(INDEX($C$660:$V$660,E$14)="",WdhStd,INDEX($C$660:$V$660,E$14)))</f>
        <v/>
      </c>
      <c r="F1185" s="62">
        <f>IF(F$14=0,WdhStd,IF(INDEX($C$660:$V$660,F$14)="",WdhStd,INDEX($C$660:$V$660,F$14)))</f>
        <v/>
      </c>
      <c r="G1185" s="62">
        <f>IF(G$14=0,WdhStd,IF(INDEX($C$660:$V$660,G$14)="",WdhStd,INDEX($C$660:$V$660,G$14)))</f>
        <v/>
      </c>
      <c r="H1185" s="62">
        <f>IF(H$14=0,WdhStd,IF(INDEX($C$660:$V$660,H$14)="",WdhStd,INDEX($C$660:$V$660,H$14)))</f>
        <v/>
      </c>
      <c r="I1185" s="62">
        <f>IF(I$14=0,WdhStd,IF(INDEX($C$660:$V$660,I$14)="",WdhStd,INDEX($C$660:$V$660,I$14)))</f>
        <v/>
      </c>
      <c r="J1185" s="62">
        <f>IF(J$14=0,WdhStd,IF(INDEX($C$660:$V$660,J$14)="",WdhStd,INDEX($C$660:$V$660,J$14)))</f>
        <v/>
      </c>
      <c r="K1185" s="62">
        <f>IF(K$14=0,WdhStd,IF(INDEX($C$660:$V$660,K$14)="",WdhStd,INDEX($C$660:$V$660,K$14)))</f>
        <v/>
      </c>
      <c r="L1185" s="62">
        <f>IF(L$14=0,WdhStd,IF(INDEX($C$660:$V$660,L$14)="",WdhStd,INDEX($C$660:$V$660,L$14)))</f>
        <v/>
      </c>
      <c r="M1185" s="62">
        <f>IF(M$14=0,WdhStd,IF(INDEX($C$660:$V$660,M$14)="",WdhStd,INDEX($C$660:$V$660,M$14)))</f>
        <v/>
      </c>
      <c r="N1185" s="62">
        <f>IF(N$14=0,WdhStd,IF(INDEX($C$660:$V$660,N$14)="",WdhStd,INDEX($C$660:$V$660,N$14)))</f>
        <v/>
      </c>
      <c r="O1185" s="62">
        <f>IF(O$14=0,WdhStd,IF(INDEX($C$660:$V$660,O$14)="",WdhStd,INDEX($C$660:$V$660,O$14)))</f>
        <v/>
      </c>
      <c r="P1185" s="62">
        <f>IF(P$14=0,WdhStd,IF(INDEX($C$660:$V$660,P$14)="",WdhStd,INDEX($C$660:$V$660,P$14)))</f>
        <v/>
      </c>
      <c r="Q1185" s="62">
        <f>IF(Q$14=0,WdhStd,IF(INDEX($C$660:$V$660,Q$14)="",WdhStd,INDEX($C$660:$V$660,Q$14)))</f>
        <v/>
      </c>
      <c r="R1185" s="62">
        <f>IF(R$14=0,WdhStd,IF(INDEX($C$660:$V$660,R$14)="",WdhStd,INDEX($C$660:$V$660,R$14)))</f>
        <v/>
      </c>
      <c r="S1185" s="62">
        <f>IF(S$14=0,WdhStd,IF(INDEX($C$660:$V$660,S$14)="",WdhStd,INDEX($C$660:$V$660,S$14)))</f>
        <v/>
      </c>
      <c r="T1185" s="62">
        <f>IF(T$14=0,WdhStd,IF(INDEX($C$660:$V$660,T$14)="",WdhStd,INDEX($C$660:$V$660,T$14)))</f>
        <v/>
      </c>
      <c r="U1185" s="62">
        <f>IF(U$14=0,WdhStd,IF(INDEX($C$660:$V$660,U$14)="",WdhStd,INDEX($C$660:$V$660,U$14)))</f>
        <v/>
      </c>
      <c r="V1185" s="62">
        <f>IF(V$14=0,WdhStd,IF(INDEX($C$660:$V$660,V$14)="",WdhStd,INDEX($C$660:$V$660,V$14)))</f>
        <v/>
      </c>
    </row>
    <row r="1186">
      <c r="C1186" s="62">
        <f>IF(C$14=0,WdhStd,IF(INDEX($C$661:$V$661,C$14)="",WdhStd,INDEX($C$661:$V$661,C$14)))</f>
        <v/>
      </c>
      <c r="D1186" s="62">
        <f>IF(D$14=0,WdhStd,IF(INDEX($C$661:$V$661,D$14)="",WdhStd,INDEX($C$661:$V$661,D$14)))</f>
        <v/>
      </c>
      <c r="E1186" s="62">
        <f>IF(E$14=0,WdhStd,IF(INDEX($C$661:$V$661,E$14)="",WdhStd,INDEX($C$661:$V$661,E$14)))</f>
        <v/>
      </c>
      <c r="F1186" s="62">
        <f>IF(F$14=0,WdhStd,IF(INDEX($C$661:$V$661,F$14)="",WdhStd,INDEX($C$661:$V$661,F$14)))</f>
        <v/>
      </c>
      <c r="G1186" s="62">
        <f>IF(G$14=0,WdhStd,IF(INDEX($C$661:$V$661,G$14)="",WdhStd,INDEX($C$661:$V$661,G$14)))</f>
        <v/>
      </c>
      <c r="H1186" s="62">
        <f>IF(H$14=0,WdhStd,IF(INDEX($C$661:$V$661,H$14)="",WdhStd,INDEX($C$661:$V$661,H$14)))</f>
        <v/>
      </c>
      <c r="I1186" s="62">
        <f>IF(I$14=0,WdhStd,IF(INDEX($C$661:$V$661,I$14)="",WdhStd,INDEX($C$661:$V$661,I$14)))</f>
        <v/>
      </c>
      <c r="J1186" s="62">
        <f>IF(J$14=0,WdhStd,IF(INDEX($C$661:$V$661,J$14)="",WdhStd,INDEX($C$661:$V$661,J$14)))</f>
        <v/>
      </c>
      <c r="K1186" s="62">
        <f>IF(K$14=0,WdhStd,IF(INDEX($C$661:$V$661,K$14)="",WdhStd,INDEX($C$661:$V$661,K$14)))</f>
        <v/>
      </c>
      <c r="L1186" s="62">
        <f>IF(L$14=0,WdhStd,IF(INDEX($C$661:$V$661,L$14)="",WdhStd,INDEX($C$661:$V$661,L$14)))</f>
        <v/>
      </c>
      <c r="M1186" s="62">
        <f>IF(M$14=0,WdhStd,IF(INDEX($C$661:$V$661,M$14)="",WdhStd,INDEX($C$661:$V$661,M$14)))</f>
        <v/>
      </c>
      <c r="N1186" s="62">
        <f>IF(N$14=0,WdhStd,IF(INDEX($C$661:$V$661,N$14)="",WdhStd,INDEX($C$661:$V$661,N$14)))</f>
        <v/>
      </c>
      <c r="O1186" s="62">
        <f>IF(O$14=0,WdhStd,IF(INDEX($C$661:$V$661,O$14)="",WdhStd,INDEX($C$661:$V$661,O$14)))</f>
        <v/>
      </c>
      <c r="P1186" s="62">
        <f>IF(P$14=0,WdhStd,IF(INDEX($C$661:$V$661,P$14)="",WdhStd,INDEX($C$661:$V$661,P$14)))</f>
        <v/>
      </c>
      <c r="Q1186" s="62">
        <f>IF(Q$14=0,WdhStd,IF(INDEX($C$661:$V$661,Q$14)="",WdhStd,INDEX($C$661:$V$661,Q$14)))</f>
        <v/>
      </c>
      <c r="R1186" s="62">
        <f>IF(R$14=0,WdhStd,IF(INDEX($C$661:$V$661,R$14)="",WdhStd,INDEX($C$661:$V$661,R$14)))</f>
        <v/>
      </c>
      <c r="S1186" s="62">
        <f>IF(S$14=0,WdhStd,IF(INDEX($C$661:$V$661,S$14)="",WdhStd,INDEX($C$661:$V$661,S$14)))</f>
        <v/>
      </c>
      <c r="T1186" s="62">
        <f>IF(T$14=0,WdhStd,IF(INDEX($C$661:$V$661,T$14)="",WdhStd,INDEX($C$661:$V$661,T$14)))</f>
        <v/>
      </c>
      <c r="U1186" s="62">
        <f>IF(U$14=0,WdhStd,IF(INDEX($C$661:$V$661,U$14)="",WdhStd,INDEX($C$661:$V$661,U$14)))</f>
        <v/>
      </c>
      <c r="V1186" s="62">
        <f>IF(V$14=0,WdhStd,IF(INDEX($C$661:$V$661,V$14)="",WdhStd,INDEX($C$661:$V$661,V$14)))</f>
        <v/>
      </c>
    </row>
    <row r="1187">
      <c r="C1187" s="62">
        <f>IF(C$14=0,WdhStd,IF(INDEX($C$662:$V$662,C$14)="",WdhStd,INDEX($C$662:$V$662,C$14)))</f>
        <v/>
      </c>
      <c r="D1187" s="62">
        <f>IF(D$14=0,WdhStd,IF(INDEX($C$662:$V$662,D$14)="",WdhStd,INDEX($C$662:$V$662,D$14)))</f>
        <v/>
      </c>
      <c r="E1187" s="62">
        <f>IF(E$14=0,WdhStd,IF(INDEX($C$662:$V$662,E$14)="",WdhStd,INDEX($C$662:$V$662,E$14)))</f>
        <v/>
      </c>
      <c r="F1187" s="62">
        <f>IF(F$14=0,WdhStd,IF(INDEX($C$662:$V$662,F$14)="",WdhStd,INDEX($C$662:$V$662,F$14)))</f>
        <v/>
      </c>
      <c r="G1187" s="62">
        <f>IF(G$14=0,WdhStd,IF(INDEX($C$662:$V$662,G$14)="",WdhStd,INDEX($C$662:$V$662,G$14)))</f>
        <v/>
      </c>
      <c r="H1187" s="62">
        <f>IF(H$14=0,WdhStd,IF(INDEX($C$662:$V$662,H$14)="",WdhStd,INDEX($C$662:$V$662,H$14)))</f>
        <v/>
      </c>
      <c r="I1187" s="62">
        <f>IF(I$14=0,WdhStd,IF(INDEX($C$662:$V$662,I$14)="",WdhStd,INDEX($C$662:$V$662,I$14)))</f>
        <v/>
      </c>
      <c r="J1187" s="62">
        <f>IF(J$14=0,WdhStd,IF(INDEX($C$662:$V$662,J$14)="",WdhStd,INDEX($C$662:$V$662,J$14)))</f>
        <v/>
      </c>
      <c r="K1187" s="62">
        <f>IF(K$14=0,WdhStd,IF(INDEX($C$662:$V$662,K$14)="",WdhStd,INDEX($C$662:$V$662,K$14)))</f>
        <v/>
      </c>
      <c r="L1187" s="62">
        <f>IF(L$14=0,WdhStd,IF(INDEX($C$662:$V$662,L$14)="",WdhStd,INDEX($C$662:$V$662,L$14)))</f>
        <v/>
      </c>
      <c r="M1187" s="62">
        <f>IF(M$14=0,WdhStd,IF(INDEX($C$662:$V$662,M$14)="",WdhStd,INDEX($C$662:$V$662,M$14)))</f>
        <v/>
      </c>
      <c r="N1187" s="62">
        <f>IF(N$14=0,WdhStd,IF(INDEX($C$662:$V$662,N$14)="",WdhStd,INDEX($C$662:$V$662,N$14)))</f>
        <v/>
      </c>
      <c r="O1187" s="62">
        <f>IF(O$14=0,WdhStd,IF(INDEX($C$662:$V$662,O$14)="",WdhStd,INDEX($C$662:$V$662,O$14)))</f>
        <v/>
      </c>
      <c r="P1187" s="62">
        <f>IF(P$14=0,WdhStd,IF(INDEX($C$662:$V$662,P$14)="",WdhStd,INDEX($C$662:$V$662,P$14)))</f>
        <v/>
      </c>
      <c r="Q1187" s="62">
        <f>IF(Q$14=0,WdhStd,IF(INDEX($C$662:$V$662,Q$14)="",WdhStd,INDEX($C$662:$V$662,Q$14)))</f>
        <v/>
      </c>
      <c r="R1187" s="62">
        <f>IF(R$14=0,WdhStd,IF(INDEX($C$662:$V$662,R$14)="",WdhStd,INDEX($C$662:$V$662,R$14)))</f>
        <v/>
      </c>
      <c r="S1187" s="62">
        <f>IF(S$14=0,WdhStd,IF(INDEX($C$662:$V$662,S$14)="",WdhStd,INDEX($C$662:$V$662,S$14)))</f>
        <v/>
      </c>
      <c r="T1187" s="62">
        <f>IF(T$14=0,WdhStd,IF(INDEX($C$662:$V$662,T$14)="",WdhStd,INDEX($C$662:$V$662,T$14)))</f>
        <v/>
      </c>
      <c r="U1187" s="62">
        <f>IF(U$14=0,WdhStd,IF(INDEX($C$662:$V$662,U$14)="",WdhStd,INDEX($C$662:$V$662,U$14)))</f>
        <v/>
      </c>
      <c r="V1187" s="62">
        <f>IF(V$14=0,WdhStd,IF(INDEX($C$662:$V$662,V$14)="",WdhStd,INDEX($C$662:$V$662,V$14)))</f>
        <v/>
      </c>
    </row>
    <row r="1188">
      <c r="C1188" s="62">
        <f>IF(C$14=0,WdhStd,IF(INDEX($C$663:$V$663,C$14)="",WdhStd,INDEX($C$663:$V$663,C$14)))</f>
        <v/>
      </c>
      <c r="D1188" s="62">
        <f>IF(D$14=0,WdhStd,IF(INDEX($C$663:$V$663,D$14)="",WdhStd,INDEX($C$663:$V$663,D$14)))</f>
        <v/>
      </c>
      <c r="E1188" s="62">
        <f>IF(E$14=0,WdhStd,IF(INDEX($C$663:$V$663,E$14)="",WdhStd,INDEX($C$663:$V$663,E$14)))</f>
        <v/>
      </c>
      <c r="F1188" s="62">
        <f>IF(F$14=0,WdhStd,IF(INDEX($C$663:$V$663,F$14)="",WdhStd,INDEX($C$663:$V$663,F$14)))</f>
        <v/>
      </c>
      <c r="G1188" s="62">
        <f>IF(G$14=0,WdhStd,IF(INDEX($C$663:$V$663,G$14)="",WdhStd,INDEX($C$663:$V$663,G$14)))</f>
        <v/>
      </c>
      <c r="H1188" s="62">
        <f>IF(H$14=0,WdhStd,IF(INDEX($C$663:$V$663,H$14)="",WdhStd,INDEX($C$663:$V$663,H$14)))</f>
        <v/>
      </c>
      <c r="I1188" s="62">
        <f>IF(I$14=0,WdhStd,IF(INDEX($C$663:$V$663,I$14)="",WdhStd,INDEX($C$663:$V$663,I$14)))</f>
        <v/>
      </c>
      <c r="J1188" s="62">
        <f>IF(J$14=0,WdhStd,IF(INDEX($C$663:$V$663,J$14)="",WdhStd,INDEX($C$663:$V$663,J$14)))</f>
        <v/>
      </c>
      <c r="K1188" s="62">
        <f>IF(K$14=0,WdhStd,IF(INDEX($C$663:$V$663,K$14)="",WdhStd,INDEX($C$663:$V$663,K$14)))</f>
        <v/>
      </c>
      <c r="L1188" s="62">
        <f>IF(L$14=0,WdhStd,IF(INDEX($C$663:$V$663,L$14)="",WdhStd,INDEX($C$663:$V$663,L$14)))</f>
        <v/>
      </c>
      <c r="M1188" s="62">
        <f>IF(M$14=0,WdhStd,IF(INDEX($C$663:$V$663,M$14)="",WdhStd,INDEX($C$663:$V$663,M$14)))</f>
        <v/>
      </c>
      <c r="N1188" s="62">
        <f>IF(N$14=0,WdhStd,IF(INDEX($C$663:$V$663,N$14)="",WdhStd,INDEX($C$663:$V$663,N$14)))</f>
        <v/>
      </c>
      <c r="O1188" s="62">
        <f>IF(O$14=0,WdhStd,IF(INDEX($C$663:$V$663,O$14)="",WdhStd,INDEX($C$663:$V$663,O$14)))</f>
        <v/>
      </c>
      <c r="P1188" s="62">
        <f>IF(P$14=0,WdhStd,IF(INDEX($C$663:$V$663,P$14)="",WdhStd,INDEX($C$663:$V$663,P$14)))</f>
        <v/>
      </c>
      <c r="Q1188" s="62">
        <f>IF(Q$14=0,WdhStd,IF(INDEX($C$663:$V$663,Q$14)="",WdhStd,INDEX($C$663:$V$663,Q$14)))</f>
        <v/>
      </c>
      <c r="R1188" s="62">
        <f>IF(R$14=0,WdhStd,IF(INDEX($C$663:$V$663,R$14)="",WdhStd,INDEX($C$663:$V$663,R$14)))</f>
        <v/>
      </c>
      <c r="S1188" s="62">
        <f>IF(S$14=0,WdhStd,IF(INDEX($C$663:$V$663,S$14)="",WdhStd,INDEX($C$663:$V$663,S$14)))</f>
        <v/>
      </c>
      <c r="T1188" s="62">
        <f>IF(T$14=0,WdhStd,IF(INDEX($C$663:$V$663,T$14)="",WdhStd,INDEX($C$663:$V$663,T$14)))</f>
        <v/>
      </c>
      <c r="U1188" s="62">
        <f>IF(U$14=0,WdhStd,IF(INDEX($C$663:$V$663,U$14)="",WdhStd,INDEX($C$663:$V$663,U$14)))</f>
        <v/>
      </c>
      <c r="V1188" s="62">
        <f>IF(V$14=0,WdhStd,IF(INDEX($C$663:$V$663,V$14)="",WdhStd,INDEX($C$663:$V$663,V$14)))</f>
        <v/>
      </c>
    </row>
    <row r="1189">
      <c r="C1189" s="62">
        <f>IF(C$14=0,WdhStd,IF(INDEX($C$664:$V$664,C$14)="",WdhStd,INDEX($C$664:$V$664,C$14)))</f>
        <v/>
      </c>
      <c r="D1189" s="62">
        <f>IF(D$14=0,WdhStd,IF(INDEX($C$664:$V$664,D$14)="",WdhStd,INDEX($C$664:$V$664,D$14)))</f>
        <v/>
      </c>
      <c r="E1189" s="62">
        <f>IF(E$14=0,WdhStd,IF(INDEX($C$664:$V$664,E$14)="",WdhStd,INDEX($C$664:$V$664,E$14)))</f>
        <v/>
      </c>
      <c r="F1189" s="62">
        <f>IF(F$14=0,WdhStd,IF(INDEX($C$664:$V$664,F$14)="",WdhStd,INDEX($C$664:$V$664,F$14)))</f>
        <v/>
      </c>
      <c r="G1189" s="62">
        <f>IF(G$14=0,WdhStd,IF(INDEX($C$664:$V$664,G$14)="",WdhStd,INDEX($C$664:$V$664,G$14)))</f>
        <v/>
      </c>
      <c r="H1189" s="62">
        <f>IF(H$14=0,WdhStd,IF(INDEX($C$664:$V$664,H$14)="",WdhStd,INDEX($C$664:$V$664,H$14)))</f>
        <v/>
      </c>
      <c r="I1189" s="62">
        <f>IF(I$14=0,WdhStd,IF(INDEX($C$664:$V$664,I$14)="",WdhStd,INDEX($C$664:$V$664,I$14)))</f>
        <v/>
      </c>
      <c r="J1189" s="62">
        <f>IF(J$14=0,WdhStd,IF(INDEX($C$664:$V$664,J$14)="",WdhStd,INDEX($C$664:$V$664,J$14)))</f>
        <v/>
      </c>
      <c r="K1189" s="62">
        <f>IF(K$14=0,WdhStd,IF(INDEX($C$664:$V$664,K$14)="",WdhStd,INDEX($C$664:$V$664,K$14)))</f>
        <v/>
      </c>
      <c r="L1189" s="62">
        <f>IF(L$14=0,WdhStd,IF(INDEX($C$664:$V$664,L$14)="",WdhStd,INDEX($C$664:$V$664,L$14)))</f>
        <v/>
      </c>
      <c r="M1189" s="62">
        <f>IF(M$14=0,WdhStd,IF(INDEX($C$664:$V$664,M$14)="",WdhStd,INDEX($C$664:$V$664,M$14)))</f>
        <v/>
      </c>
      <c r="N1189" s="62">
        <f>IF(N$14=0,WdhStd,IF(INDEX($C$664:$V$664,N$14)="",WdhStd,INDEX($C$664:$V$664,N$14)))</f>
        <v/>
      </c>
      <c r="O1189" s="62">
        <f>IF(O$14=0,WdhStd,IF(INDEX($C$664:$V$664,O$14)="",WdhStd,INDEX($C$664:$V$664,O$14)))</f>
        <v/>
      </c>
      <c r="P1189" s="62">
        <f>IF(P$14=0,WdhStd,IF(INDEX($C$664:$V$664,P$14)="",WdhStd,INDEX($C$664:$V$664,P$14)))</f>
        <v/>
      </c>
      <c r="Q1189" s="62">
        <f>IF(Q$14=0,WdhStd,IF(INDEX($C$664:$V$664,Q$14)="",WdhStd,INDEX($C$664:$V$664,Q$14)))</f>
        <v/>
      </c>
      <c r="R1189" s="62">
        <f>IF(R$14=0,WdhStd,IF(INDEX($C$664:$V$664,R$14)="",WdhStd,INDEX($C$664:$V$664,R$14)))</f>
        <v/>
      </c>
      <c r="S1189" s="62">
        <f>IF(S$14=0,WdhStd,IF(INDEX($C$664:$V$664,S$14)="",WdhStd,INDEX($C$664:$V$664,S$14)))</f>
        <v/>
      </c>
      <c r="T1189" s="62">
        <f>IF(T$14=0,WdhStd,IF(INDEX($C$664:$V$664,T$14)="",WdhStd,INDEX($C$664:$V$664,T$14)))</f>
        <v/>
      </c>
      <c r="U1189" s="62">
        <f>IF(U$14=0,WdhStd,IF(INDEX($C$664:$V$664,U$14)="",WdhStd,INDEX($C$664:$V$664,U$14)))</f>
        <v/>
      </c>
      <c r="V1189" s="62">
        <f>IF(V$14=0,WdhStd,IF(INDEX($C$664:$V$664,V$14)="",WdhStd,INDEX($C$664:$V$664,V$14)))</f>
        <v/>
      </c>
    </row>
    <row r="1190">
      <c r="C1190" s="62">
        <f>IF(C$14=0,WdhStd,IF(INDEX($C$665:$V$665,C$14)="",WdhStd,INDEX($C$665:$V$665,C$14)))</f>
        <v/>
      </c>
      <c r="D1190" s="62">
        <f>IF(D$14=0,WdhStd,IF(INDEX($C$665:$V$665,D$14)="",WdhStd,INDEX($C$665:$V$665,D$14)))</f>
        <v/>
      </c>
      <c r="E1190" s="62">
        <f>IF(E$14=0,WdhStd,IF(INDEX($C$665:$V$665,E$14)="",WdhStd,INDEX($C$665:$V$665,E$14)))</f>
        <v/>
      </c>
      <c r="F1190" s="62">
        <f>IF(F$14=0,WdhStd,IF(INDEX($C$665:$V$665,F$14)="",WdhStd,INDEX($C$665:$V$665,F$14)))</f>
        <v/>
      </c>
      <c r="G1190" s="62">
        <f>IF(G$14=0,WdhStd,IF(INDEX($C$665:$V$665,G$14)="",WdhStd,INDEX($C$665:$V$665,G$14)))</f>
        <v/>
      </c>
      <c r="H1190" s="62">
        <f>IF(H$14=0,WdhStd,IF(INDEX($C$665:$V$665,H$14)="",WdhStd,INDEX($C$665:$V$665,H$14)))</f>
        <v/>
      </c>
      <c r="I1190" s="62">
        <f>IF(I$14=0,WdhStd,IF(INDEX($C$665:$V$665,I$14)="",WdhStd,INDEX($C$665:$V$665,I$14)))</f>
        <v/>
      </c>
      <c r="J1190" s="62">
        <f>IF(J$14=0,WdhStd,IF(INDEX($C$665:$V$665,J$14)="",WdhStd,INDEX($C$665:$V$665,J$14)))</f>
        <v/>
      </c>
      <c r="K1190" s="62">
        <f>IF(K$14=0,WdhStd,IF(INDEX($C$665:$V$665,K$14)="",WdhStd,INDEX($C$665:$V$665,K$14)))</f>
        <v/>
      </c>
      <c r="L1190" s="62">
        <f>IF(L$14=0,WdhStd,IF(INDEX($C$665:$V$665,L$14)="",WdhStd,INDEX($C$665:$V$665,L$14)))</f>
        <v/>
      </c>
      <c r="M1190" s="62">
        <f>IF(M$14=0,WdhStd,IF(INDEX($C$665:$V$665,M$14)="",WdhStd,INDEX($C$665:$V$665,M$14)))</f>
        <v/>
      </c>
      <c r="N1190" s="62">
        <f>IF(N$14=0,WdhStd,IF(INDEX($C$665:$V$665,N$14)="",WdhStd,INDEX($C$665:$V$665,N$14)))</f>
        <v/>
      </c>
      <c r="O1190" s="62">
        <f>IF(O$14=0,WdhStd,IF(INDEX($C$665:$V$665,O$14)="",WdhStd,INDEX($C$665:$V$665,O$14)))</f>
        <v/>
      </c>
      <c r="P1190" s="62">
        <f>IF(P$14=0,WdhStd,IF(INDEX($C$665:$V$665,P$14)="",WdhStd,INDEX($C$665:$V$665,P$14)))</f>
        <v/>
      </c>
      <c r="Q1190" s="62">
        <f>IF(Q$14=0,WdhStd,IF(INDEX($C$665:$V$665,Q$14)="",WdhStd,INDEX($C$665:$V$665,Q$14)))</f>
        <v/>
      </c>
      <c r="R1190" s="62">
        <f>IF(R$14=0,WdhStd,IF(INDEX($C$665:$V$665,R$14)="",WdhStd,INDEX($C$665:$V$665,R$14)))</f>
        <v/>
      </c>
      <c r="S1190" s="62">
        <f>IF(S$14=0,WdhStd,IF(INDEX($C$665:$V$665,S$14)="",WdhStd,INDEX($C$665:$V$665,S$14)))</f>
        <v/>
      </c>
      <c r="T1190" s="62">
        <f>IF(T$14=0,WdhStd,IF(INDEX($C$665:$V$665,T$14)="",WdhStd,INDEX($C$665:$V$665,T$14)))</f>
        <v/>
      </c>
      <c r="U1190" s="62">
        <f>IF(U$14=0,WdhStd,IF(INDEX($C$665:$V$665,U$14)="",WdhStd,INDEX($C$665:$V$665,U$14)))</f>
        <v/>
      </c>
      <c r="V1190" s="62">
        <f>IF(V$14=0,WdhStd,IF(INDEX($C$665:$V$665,V$14)="",WdhStd,INDEX($C$665:$V$665,V$14)))</f>
        <v/>
      </c>
    </row>
    <row r="1191">
      <c r="C1191" s="62">
        <f>IF(C$14=0,WdhStd,IF(INDEX($C$666:$V$666,C$14)="",WdhStd,INDEX($C$666:$V$666,C$14)))</f>
        <v/>
      </c>
      <c r="D1191" s="62">
        <f>IF(D$14=0,WdhStd,IF(INDEX($C$666:$V$666,D$14)="",WdhStd,INDEX($C$666:$V$666,D$14)))</f>
        <v/>
      </c>
      <c r="E1191" s="62">
        <f>IF(E$14=0,WdhStd,IF(INDEX($C$666:$V$666,E$14)="",WdhStd,INDEX($C$666:$V$666,E$14)))</f>
        <v/>
      </c>
      <c r="F1191" s="62">
        <f>IF(F$14=0,WdhStd,IF(INDEX($C$666:$V$666,F$14)="",WdhStd,INDEX($C$666:$V$666,F$14)))</f>
        <v/>
      </c>
      <c r="G1191" s="62">
        <f>IF(G$14=0,WdhStd,IF(INDEX($C$666:$V$666,G$14)="",WdhStd,INDEX($C$666:$V$666,G$14)))</f>
        <v/>
      </c>
      <c r="H1191" s="62">
        <f>IF(H$14=0,WdhStd,IF(INDEX($C$666:$V$666,H$14)="",WdhStd,INDEX($C$666:$V$666,H$14)))</f>
        <v/>
      </c>
      <c r="I1191" s="62">
        <f>IF(I$14=0,WdhStd,IF(INDEX($C$666:$V$666,I$14)="",WdhStd,INDEX($C$666:$V$666,I$14)))</f>
        <v/>
      </c>
      <c r="J1191" s="62">
        <f>IF(J$14=0,WdhStd,IF(INDEX($C$666:$V$666,J$14)="",WdhStd,INDEX($C$666:$V$666,J$14)))</f>
        <v/>
      </c>
      <c r="K1191" s="62">
        <f>IF(K$14=0,WdhStd,IF(INDEX($C$666:$V$666,K$14)="",WdhStd,INDEX($C$666:$V$666,K$14)))</f>
        <v/>
      </c>
      <c r="L1191" s="62">
        <f>IF(L$14=0,WdhStd,IF(INDEX($C$666:$V$666,L$14)="",WdhStd,INDEX($C$666:$V$666,L$14)))</f>
        <v/>
      </c>
      <c r="M1191" s="62">
        <f>IF(M$14=0,WdhStd,IF(INDEX($C$666:$V$666,M$14)="",WdhStd,INDEX($C$666:$V$666,M$14)))</f>
        <v/>
      </c>
      <c r="N1191" s="62">
        <f>IF(N$14=0,WdhStd,IF(INDEX($C$666:$V$666,N$14)="",WdhStd,INDEX($C$666:$V$666,N$14)))</f>
        <v/>
      </c>
      <c r="O1191" s="62">
        <f>IF(O$14=0,WdhStd,IF(INDEX($C$666:$V$666,O$14)="",WdhStd,INDEX($C$666:$V$666,O$14)))</f>
        <v/>
      </c>
      <c r="P1191" s="62">
        <f>IF(P$14=0,WdhStd,IF(INDEX($C$666:$V$666,P$14)="",WdhStd,INDEX($C$666:$V$666,P$14)))</f>
        <v/>
      </c>
      <c r="Q1191" s="62">
        <f>IF(Q$14=0,WdhStd,IF(INDEX($C$666:$V$666,Q$14)="",WdhStd,INDEX($C$666:$V$666,Q$14)))</f>
        <v/>
      </c>
      <c r="R1191" s="62">
        <f>IF(R$14=0,WdhStd,IF(INDEX($C$666:$V$666,R$14)="",WdhStd,INDEX($C$666:$V$666,R$14)))</f>
        <v/>
      </c>
      <c r="S1191" s="62">
        <f>IF(S$14=0,WdhStd,IF(INDEX($C$666:$V$666,S$14)="",WdhStd,INDEX($C$666:$V$666,S$14)))</f>
        <v/>
      </c>
      <c r="T1191" s="62">
        <f>IF(T$14=0,WdhStd,IF(INDEX($C$666:$V$666,T$14)="",WdhStd,INDEX($C$666:$V$666,T$14)))</f>
        <v/>
      </c>
      <c r="U1191" s="62">
        <f>IF(U$14=0,WdhStd,IF(INDEX($C$666:$V$666,U$14)="",WdhStd,INDEX($C$666:$V$666,U$14)))</f>
        <v/>
      </c>
      <c r="V1191" s="62">
        <f>IF(V$14=0,WdhStd,IF(INDEX($C$666:$V$666,V$14)="",WdhStd,INDEX($C$666:$V$666,V$14)))</f>
        <v/>
      </c>
    </row>
    <row r="1192">
      <c r="C1192" s="62">
        <f>IF(C$14=0,WdhStd,IF(INDEX($C$667:$V$667,C$14)="",WdhStd,INDEX($C$667:$V$667,C$14)))</f>
        <v/>
      </c>
      <c r="D1192" s="62">
        <f>IF(D$14=0,WdhStd,IF(INDEX($C$667:$V$667,D$14)="",WdhStd,INDEX($C$667:$V$667,D$14)))</f>
        <v/>
      </c>
      <c r="E1192" s="62">
        <f>IF(E$14=0,WdhStd,IF(INDEX($C$667:$V$667,E$14)="",WdhStd,INDEX($C$667:$V$667,E$14)))</f>
        <v/>
      </c>
      <c r="F1192" s="62">
        <f>IF(F$14=0,WdhStd,IF(INDEX($C$667:$V$667,F$14)="",WdhStd,INDEX($C$667:$V$667,F$14)))</f>
        <v/>
      </c>
      <c r="G1192" s="62">
        <f>IF(G$14=0,WdhStd,IF(INDEX($C$667:$V$667,G$14)="",WdhStd,INDEX($C$667:$V$667,G$14)))</f>
        <v/>
      </c>
      <c r="H1192" s="62">
        <f>IF(H$14=0,WdhStd,IF(INDEX($C$667:$V$667,H$14)="",WdhStd,INDEX($C$667:$V$667,H$14)))</f>
        <v/>
      </c>
      <c r="I1192" s="62">
        <f>IF(I$14=0,WdhStd,IF(INDEX($C$667:$V$667,I$14)="",WdhStd,INDEX($C$667:$V$667,I$14)))</f>
        <v/>
      </c>
      <c r="J1192" s="62">
        <f>IF(J$14=0,WdhStd,IF(INDEX($C$667:$V$667,J$14)="",WdhStd,INDEX($C$667:$V$667,J$14)))</f>
        <v/>
      </c>
      <c r="K1192" s="62">
        <f>IF(K$14=0,WdhStd,IF(INDEX($C$667:$V$667,K$14)="",WdhStd,INDEX($C$667:$V$667,K$14)))</f>
        <v/>
      </c>
      <c r="L1192" s="62">
        <f>IF(L$14=0,WdhStd,IF(INDEX($C$667:$V$667,L$14)="",WdhStd,INDEX($C$667:$V$667,L$14)))</f>
        <v/>
      </c>
      <c r="M1192" s="62">
        <f>IF(M$14=0,WdhStd,IF(INDEX($C$667:$V$667,M$14)="",WdhStd,INDEX($C$667:$V$667,M$14)))</f>
        <v/>
      </c>
      <c r="N1192" s="62">
        <f>IF(N$14=0,WdhStd,IF(INDEX($C$667:$V$667,N$14)="",WdhStd,INDEX($C$667:$V$667,N$14)))</f>
        <v/>
      </c>
      <c r="O1192" s="62">
        <f>IF(O$14=0,WdhStd,IF(INDEX($C$667:$V$667,O$14)="",WdhStd,INDEX($C$667:$V$667,O$14)))</f>
        <v/>
      </c>
      <c r="P1192" s="62">
        <f>IF(P$14=0,WdhStd,IF(INDEX($C$667:$V$667,P$14)="",WdhStd,INDEX($C$667:$V$667,P$14)))</f>
        <v/>
      </c>
      <c r="Q1192" s="62">
        <f>IF(Q$14=0,WdhStd,IF(INDEX($C$667:$V$667,Q$14)="",WdhStd,INDEX($C$667:$V$667,Q$14)))</f>
        <v/>
      </c>
      <c r="R1192" s="62">
        <f>IF(R$14=0,WdhStd,IF(INDEX($C$667:$V$667,R$14)="",WdhStd,INDEX($C$667:$V$667,R$14)))</f>
        <v/>
      </c>
      <c r="S1192" s="62">
        <f>IF(S$14=0,WdhStd,IF(INDEX($C$667:$V$667,S$14)="",WdhStd,INDEX($C$667:$V$667,S$14)))</f>
        <v/>
      </c>
      <c r="T1192" s="62">
        <f>IF(T$14=0,WdhStd,IF(INDEX($C$667:$V$667,T$14)="",WdhStd,INDEX($C$667:$V$667,T$14)))</f>
        <v/>
      </c>
      <c r="U1192" s="62">
        <f>IF(U$14=0,WdhStd,IF(INDEX($C$667:$V$667,U$14)="",WdhStd,INDEX($C$667:$V$667,U$14)))</f>
        <v/>
      </c>
      <c r="V1192" s="62">
        <f>IF(V$14=0,WdhStd,IF(INDEX($C$667:$V$667,V$14)="",WdhStd,INDEX($C$667:$V$667,V$14)))</f>
        <v/>
      </c>
    </row>
    <row r="1193">
      <c r="C1193" s="62">
        <f>IF(C$14=0,WdhStd,IF(INDEX($C$668:$V$668,C$14)="",WdhStd,INDEX($C$668:$V$668,C$14)))</f>
        <v/>
      </c>
      <c r="D1193" s="62">
        <f>IF(D$14=0,WdhStd,IF(INDEX($C$668:$V$668,D$14)="",WdhStd,INDEX($C$668:$V$668,D$14)))</f>
        <v/>
      </c>
      <c r="E1193" s="62">
        <f>IF(E$14=0,WdhStd,IF(INDEX($C$668:$V$668,E$14)="",WdhStd,INDEX($C$668:$V$668,E$14)))</f>
        <v/>
      </c>
      <c r="F1193" s="62">
        <f>IF(F$14=0,WdhStd,IF(INDEX($C$668:$V$668,F$14)="",WdhStd,INDEX($C$668:$V$668,F$14)))</f>
        <v/>
      </c>
      <c r="G1193" s="62">
        <f>IF(G$14=0,WdhStd,IF(INDEX($C$668:$V$668,G$14)="",WdhStd,INDEX($C$668:$V$668,G$14)))</f>
        <v/>
      </c>
      <c r="H1193" s="62">
        <f>IF(H$14=0,WdhStd,IF(INDEX($C$668:$V$668,H$14)="",WdhStd,INDEX($C$668:$V$668,H$14)))</f>
        <v/>
      </c>
      <c r="I1193" s="62">
        <f>IF(I$14=0,WdhStd,IF(INDEX($C$668:$V$668,I$14)="",WdhStd,INDEX($C$668:$V$668,I$14)))</f>
        <v/>
      </c>
      <c r="J1193" s="62">
        <f>IF(J$14=0,WdhStd,IF(INDEX($C$668:$V$668,J$14)="",WdhStd,INDEX($C$668:$V$668,J$14)))</f>
        <v/>
      </c>
      <c r="K1193" s="62">
        <f>IF(K$14=0,WdhStd,IF(INDEX($C$668:$V$668,K$14)="",WdhStd,INDEX($C$668:$V$668,K$14)))</f>
        <v/>
      </c>
      <c r="L1193" s="62">
        <f>IF(L$14=0,WdhStd,IF(INDEX($C$668:$V$668,L$14)="",WdhStd,INDEX($C$668:$V$668,L$14)))</f>
        <v/>
      </c>
      <c r="M1193" s="62">
        <f>IF(M$14=0,WdhStd,IF(INDEX($C$668:$V$668,M$14)="",WdhStd,INDEX($C$668:$V$668,M$14)))</f>
        <v/>
      </c>
      <c r="N1193" s="62">
        <f>IF(N$14=0,WdhStd,IF(INDEX($C$668:$V$668,N$14)="",WdhStd,INDEX($C$668:$V$668,N$14)))</f>
        <v/>
      </c>
      <c r="O1193" s="62">
        <f>IF(O$14=0,WdhStd,IF(INDEX($C$668:$V$668,O$14)="",WdhStd,INDEX($C$668:$V$668,O$14)))</f>
        <v/>
      </c>
      <c r="P1193" s="62">
        <f>IF(P$14=0,WdhStd,IF(INDEX($C$668:$V$668,P$14)="",WdhStd,INDEX($C$668:$V$668,P$14)))</f>
        <v/>
      </c>
      <c r="Q1193" s="62">
        <f>IF(Q$14=0,WdhStd,IF(INDEX($C$668:$V$668,Q$14)="",WdhStd,INDEX($C$668:$V$668,Q$14)))</f>
        <v/>
      </c>
      <c r="R1193" s="62">
        <f>IF(R$14=0,WdhStd,IF(INDEX($C$668:$V$668,R$14)="",WdhStd,INDEX($C$668:$V$668,R$14)))</f>
        <v/>
      </c>
      <c r="S1193" s="62">
        <f>IF(S$14=0,WdhStd,IF(INDEX($C$668:$V$668,S$14)="",WdhStd,INDEX($C$668:$V$668,S$14)))</f>
        <v/>
      </c>
      <c r="T1193" s="62">
        <f>IF(T$14=0,WdhStd,IF(INDEX($C$668:$V$668,T$14)="",WdhStd,INDEX($C$668:$V$668,T$14)))</f>
        <v/>
      </c>
      <c r="U1193" s="62">
        <f>IF(U$14=0,WdhStd,IF(INDEX($C$668:$V$668,U$14)="",WdhStd,INDEX($C$668:$V$668,U$14)))</f>
        <v/>
      </c>
      <c r="V1193" s="62">
        <f>IF(V$14=0,WdhStd,IF(INDEX($C$668:$V$668,V$14)="",WdhStd,INDEX($C$668:$V$668,V$14)))</f>
        <v/>
      </c>
    </row>
    <row r="1194">
      <c r="C1194" s="62">
        <f>IF(C$14=0,WdhStd,IF(INDEX($C$669:$V$669,C$14)="",WdhStd,INDEX($C$669:$V$669,C$14)))</f>
        <v/>
      </c>
      <c r="D1194" s="62">
        <f>IF(D$14=0,WdhStd,IF(INDEX($C$669:$V$669,D$14)="",WdhStd,INDEX($C$669:$V$669,D$14)))</f>
        <v/>
      </c>
      <c r="E1194" s="62">
        <f>IF(E$14=0,WdhStd,IF(INDEX($C$669:$V$669,E$14)="",WdhStd,INDEX($C$669:$V$669,E$14)))</f>
        <v/>
      </c>
      <c r="F1194" s="62">
        <f>IF(F$14=0,WdhStd,IF(INDEX($C$669:$V$669,F$14)="",WdhStd,INDEX($C$669:$V$669,F$14)))</f>
        <v/>
      </c>
      <c r="G1194" s="62">
        <f>IF(G$14=0,WdhStd,IF(INDEX($C$669:$V$669,G$14)="",WdhStd,INDEX($C$669:$V$669,G$14)))</f>
        <v/>
      </c>
      <c r="H1194" s="62">
        <f>IF(H$14=0,WdhStd,IF(INDEX($C$669:$V$669,H$14)="",WdhStd,INDEX($C$669:$V$669,H$14)))</f>
        <v/>
      </c>
      <c r="I1194" s="62">
        <f>IF(I$14=0,WdhStd,IF(INDEX($C$669:$V$669,I$14)="",WdhStd,INDEX($C$669:$V$669,I$14)))</f>
        <v/>
      </c>
      <c r="J1194" s="62">
        <f>IF(J$14=0,WdhStd,IF(INDEX($C$669:$V$669,J$14)="",WdhStd,INDEX($C$669:$V$669,J$14)))</f>
        <v/>
      </c>
      <c r="K1194" s="62">
        <f>IF(K$14=0,WdhStd,IF(INDEX($C$669:$V$669,K$14)="",WdhStd,INDEX($C$669:$V$669,K$14)))</f>
        <v/>
      </c>
      <c r="L1194" s="62">
        <f>IF(L$14=0,WdhStd,IF(INDEX($C$669:$V$669,L$14)="",WdhStd,INDEX($C$669:$V$669,L$14)))</f>
        <v/>
      </c>
      <c r="M1194" s="62">
        <f>IF(M$14=0,WdhStd,IF(INDEX($C$669:$V$669,M$14)="",WdhStd,INDEX($C$669:$V$669,M$14)))</f>
        <v/>
      </c>
      <c r="N1194" s="62">
        <f>IF(N$14=0,WdhStd,IF(INDEX($C$669:$V$669,N$14)="",WdhStd,INDEX($C$669:$V$669,N$14)))</f>
        <v/>
      </c>
      <c r="O1194" s="62">
        <f>IF(O$14=0,WdhStd,IF(INDEX($C$669:$V$669,O$14)="",WdhStd,INDEX($C$669:$V$669,O$14)))</f>
        <v/>
      </c>
      <c r="P1194" s="62">
        <f>IF(P$14=0,WdhStd,IF(INDEX($C$669:$V$669,P$14)="",WdhStd,INDEX($C$669:$V$669,P$14)))</f>
        <v/>
      </c>
      <c r="Q1194" s="62">
        <f>IF(Q$14=0,WdhStd,IF(INDEX($C$669:$V$669,Q$14)="",WdhStd,INDEX($C$669:$V$669,Q$14)))</f>
        <v/>
      </c>
      <c r="R1194" s="62">
        <f>IF(R$14=0,WdhStd,IF(INDEX($C$669:$V$669,R$14)="",WdhStd,INDEX($C$669:$V$669,R$14)))</f>
        <v/>
      </c>
      <c r="S1194" s="62">
        <f>IF(S$14=0,WdhStd,IF(INDEX($C$669:$V$669,S$14)="",WdhStd,INDEX($C$669:$V$669,S$14)))</f>
        <v/>
      </c>
      <c r="T1194" s="62">
        <f>IF(T$14=0,WdhStd,IF(INDEX($C$669:$V$669,T$14)="",WdhStd,INDEX($C$669:$V$669,T$14)))</f>
        <v/>
      </c>
      <c r="U1194" s="62">
        <f>IF(U$14=0,WdhStd,IF(INDEX($C$669:$V$669,U$14)="",WdhStd,INDEX($C$669:$V$669,U$14)))</f>
        <v/>
      </c>
      <c r="V1194" s="62">
        <f>IF(V$14=0,WdhStd,IF(INDEX($C$669:$V$669,V$14)="",WdhStd,INDEX($C$669:$V$669,V$14)))</f>
        <v/>
      </c>
    </row>
    <row r="1195">
      <c r="C1195" s="62">
        <f>IF(C$14=0,WdhStd,IF(INDEX($C$670:$V$670,C$14)="",WdhStd,INDEX($C$670:$V$670,C$14)))</f>
        <v/>
      </c>
      <c r="D1195" s="62">
        <f>IF(D$14=0,WdhStd,IF(INDEX($C$670:$V$670,D$14)="",WdhStd,INDEX($C$670:$V$670,D$14)))</f>
        <v/>
      </c>
      <c r="E1195" s="62">
        <f>IF(E$14=0,WdhStd,IF(INDEX($C$670:$V$670,E$14)="",WdhStd,INDEX($C$670:$V$670,E$14)))</f>
        <v/>
      </c>
      <c r="F1195" s="62">
        <f>IF(F$14=0,WdhStd,IF(INDEX($C$670:$V$670,F$14)="",WdhStd,INDEX($C$670:$V$670,F$14)))</f>
        <v/>
      </c>
      <c r="G1195" s="62">
        <f>IF(G$14=0,WdhStd,IF(INDEX($C$670:$V$670,G$14)="",WdhStd,INDEX($C$670:$V$670,G$14)))</f>
        <v/>
      </c>
      <c r="H1195" s="62">
        <f>IF(H$14=0,WdhStd,IF(INDEX($C$670:$V$670,H$14)="",WdhStd,INDEX($C$670:$V$670,H$14)))</f>
        <v/>
      </c>
      <c r="I1195" s="62">
        <f>IF(I$14=0,WdhStd,IF(INDEX($C$670:$V$670,I$14)="",WdhStd,INDEX($C$670:$V$670,I$14)))</f>
        <v/>
      </c>
      <c r="J1195" s="62">
        <f>IF(J$14=0,WdhStd,IF(INDEX($C$670:$V$670,J$14)="",WdhStd,INDEX($C$670:$V$670,J$14)))</f>
        <v/>
      </c>
      <c r="K1195" s="62">
        <f>IF(K$14=0,WdhStd,IF(INDEX($C$670:$V$670,K$14)="",WdhStd,INDEX($C$670:$V$670,K$14)))</f>
        <v/>
      </c>
      <c r="L1195" s="62">
        <f>IF(L$14=0,WdhStd,IF(INDEX($C$670:$V$670,L$14)="",WdhStd,INDEX($C$670:$V$670,L$14)))</f>
        <v/>
      </c>
      <c r="M1195" s="62">
        <f>IF(M$14=0,WdhStd,IF(INDEX($C$670:$V$670,M$14)="",WdhStd,INDEX($C$670:$V$670,M$14)))</f>
        <v/>
      </c>
      <c r="N1195" s="62">
        <f>IF(N$14=0,WdhStd,IF(INDEX($C$670:$V$670,N$14)="",WdhStd,INDEX($C$670:$V$670,N$14)))</f>
        <v/>
      </c>
      <c r="O1195" s="62">
        <f>IF(O$14=0,WdhStd,IF(INDEX($C$670:$V$670,O$14)="",WdhStd,INDEX($C$670:$V$670,O$14)))</f>
        <v/>
      </c>
      <c r="P1195" s="62">
        <f>IF(P$14=0,WdhStd,IF(INDEX($C$670:$V$670,P$14)="",WdhStd,INDEX($C$670:$V$670,P$14)))</f>
        <v/>
      </c>
      <c r="Q1195" s="62">
        <f>IF(Q$14=0,WdhStd,IF(INDEX($C$670:$V$670,Q$14)="",WdhStd,INDEX($C$670:$V$670,Q$14)))</f>
        <v/>
      </c>
      <c r="R1195" s="62">
        <f>IF(R$14=0,WdhStd,IF(INDEX($C$670:$V$670,R$14)="",WdhStd,INDEX($C$670:$V$670,R$14)))</f>
        <v/>
      </c>
      <c r="S1195" s="62">
        <f>IF(S$14=0,WdhStd,IF(INDEX($C$670:$V$670,S$14)="",WdhStd,INDEX($C$670:$V$670,S$14)))</f>
        <v/>
      </c>
      <c r="T1195" s="62">
        <f>IF(T$14=0,WdhStd,IF(INDEX($C$670:$V$670,T$14)="",WdhStd,INDEX($C$670:$V$670,T$14)))</f>
        <v/>
      </c>
      <c r="U1195" s="62">
        <f>IF(U$14=0,WdhStd,IF(INDEX($C$670:$V$670,U$14)="",WdhStd,INDEX($C$670:$V$670,U$14)))</f>
        <v/>
      </c>
      <c r="V1195" s="62">
        <f>IF(V$14=0,WdhStd,IF(INDEX($C$670:$V$670,V$14)="",WdhStd,INDEX($C$670:$V$670,V$14)))</f>
        <v/>
      </c>
    </row>
    <row r="1196">
      <c r="C1196" s="62">
        <f>IF(C$14=0,WdhStd,IF(INDEX($C$671:$V$671,C$14)="",WdhStd,INDEX($C$671:$V$671,C$14)))</f>
        <v/>
      </c>
      <c r="D1196" s="62">
        <f>IF(D$14=0,WdhStd,IF(INDEX($C$671:$V$671,D$14)="",WdhStd,INDEX($C$671:$V$671,D$14)))</f>
        <v/>
      </c>
      <c r="E1196" s="62">
        <f>IF(E$14=0,WdhStd,IF(INDEX($C$671:$V$671,E$14)="",WdhStd,INDEX($C$671:$V$671,E$14)))</f>
        <v/>
      </c>
      <c r="F1196" s="62">
        <f>IF(F$14=0,WdhStd,IF(INDEX($C$671:$V$671,F$14)="",WdhStd,INDEX($C$671:$V$671,F$14)))</f>
        <v/>
      </c>
      <c r="G1196" s="62">
        <f>IF(G$14=0,WdhStd,IF(INDEX($C$671:$V$671,G$14)="",WdhStd,INDEX($C$671:$V$671,G$14)))</f>
        <v/>
      </c>
      <c r="H1196" s="62">
        <f>IF(H$14=0,WdhStd,IF(INDEX($C$671:$V$671,H$14)="",WdhStd,INDEX($C$671:$V$671,H$14)))</f>
        <v/>
      </c>
      <c r="I1196" s="62">
        <f>IF(I$14=0,WdhStd,IF(INDEX($C$671:$V$671,I$14)="",WdhStd,INDEX($C$671:$V$671,I$14)))</f>
        <v/>
      </c>
      <c r="J1196" s="62">
        <f>IF(J$14=0,WdhStd,IF(INDEX($C$671:$V$671,J$14)="",WdhStd,INDEX($C$671:$V$671,J$14)))</f>
        <v/>
      </c>
      <c r="K1196" s="62">
        <f>IF(K$14=0,WdhStd,IF(INDEX($C$671:$V$671,K$14)="",WdhStd,INDEX($C$671:$V$671,K$14)))</f>
        <v/>
      </c>
      <c r="L1196" s="62">
        <f>IF(L$14=0,WdhStd,IF(INDEX($C$671:$V$671,L$14)="",WdhStd,INDEX($C$671:$V$671,L$14)))</f>
        <v/>
      </c>
      <c r="M1196" s="62">
        <f>IF(M$14=0,WdhStd,IF(INDEX($C$671:$V$671,M$14)="",WdhStd,INDEX($C$671:$V$671,M$14)))</f>
        <v/>
      </c>
      <c r="N1196" s="62">
        <f>IF(N$14=0,WdhStd,IF(INDEX($C$671:$V$671,N$14)="",WdhStd,INDEX($C$671:$V$671,N$14)))</f>
        <v/>
      </c>
      <c r="O1196" s="62">
        <f>IF(O$14=0,WdhStd,IF(INDEX($C$671:$V$671,O$14)="",WdhStd,INDEX($C$671:$V$671,O$14)))</f>
        <v/>
      </c>
      <c r="P1196" s="62">
        <f>IF(P$14=0,WdhStd,IF(INDEX($C$671:$V$671,P$14)="",WdhStd,INDEX($C$671:$V$671,P$14)))</f>
        <v/>
      </c>
      <c r="Q1196" s="62">
        <f>IF(Q$14=0,WdhStd,IF(INDEX($C$671:$V$671,Q$14)="",WdhStd,INDEX($C$671:$V$671,Q$14)))</f>
        <v/>
      </c>
      <c r="R1196" s="62">
        <f>IF(R$14=0,WdhStd,IF(INDEX($C$671:$V$671,R$14)="",WdhStd,INDEX($C$671:$V$671,R$14)))</f>
        <v/>
      </c>
      <c r="S1196" s="62">
        <f>IF(S$14=0,WdhStd,IF(INDEX($C$671:$V$671,S$14)="",WdhStd,INDEX($C$671:$V$671,S$14)))</f>
        <v/>
      </c>
      <c r="T1196" s="62">
        <f>IF(T$14=0,WdhStd,IF(INDEX($C$671:$V$671,T$14)="",WdhStd,INDEX($C$671:$V$671,T$14)))</f>
        <v/>
      </c>
      <c r="U1196" s="62">
        <f>IF(U$14=0,WdhStd,IF(INDEX($C$671:$V$671,U$14)="",WdhStd,INDEX($C$671:$V$671,U$14)))</f>
        <v/>
      </c>
      <c r="V1196" s="62">
        <f>IF(V$14=0,WdhStd,IF(INDEX($C$671:$V$671,V$14)="",WdhStd,INDEX($C$671:$V$671,V$14)))</f>
        <v/>
      </c>
    </row>
    <row r="1197">
      <c r="C1197" s="62">
        <f>IF(C$14=0,WdhStd,IF(INDEX($C$672:$V$672,C$14)="",WdhStd,INDEX($C$672:$V$672,C$14)))</f>
        <v/>
      </c>
      <c r="D1197" s="62">
        <f>IF(D$14=0,WdhStd,IF(INDEX($C$672:$V$672,D$14)="",WdhStd,INDEX($C$672:$V$672,D$14)))</f>
        <v/>
      </c>
      <c r="E1197" s="62">
        <f>IF(E$14=0,WdhStd,IF(INDEX($C$672:$V$672,E$14)="",WdhStd,INDEX($C$672:$V$672,E$14)))</f>
        <v/>
      </c>
      <c r="F1197" s="62">
        <f>IF(F$14=0,WdhStd,IF(INDEX($C$672:$V$672,F$14)="",WdhStd,INDEX($C$672:$V$672,F$14)))</f>
        <v/>
      </c>
      <c r="G1197" s="62">
        <f>IF(G$14=0,WdhStd,IF(INDEX($C$672:$V$672,G$14)="",WdhStd,INDEX($C$672:$V$672,G$14)))</f>
        <v/>
      </c>
      <c r="H1197" s="62">
        <f>IF(H$14=0,WdhStd,IF(INDEX($C$672:$V$672,H$14)="",WdhStd,INDEX($C$672:$V$672,H$14)))</f>
        <v/>
      </c>
      <c r="I1197" s="62">
        <f>IF(I$14=0,WdhStd,IF(INDEX($C$672:$V$672,I$14)="",WdhStd,INDEX($C$672:$V$672,I$14)))</f>
        <v/>
      </c>
      <c r="J1197" s="62">
        <f>IF(J$14=0,WdhStd,IF(INDEX($C$672:$V$672,J$14)="",WdhStd,INDEX($C$672:$V$672,J$14)))</f>
        <v/>
      </c>
      <c r="K1197" s="62">
        <f>IF(K$14=0,WdhStd,IF(INDEX($C$672:$V$672,K$14)="",WdhStd,INDEX($C$672:$V$672,K$14)))</f>
        <v/>
      </c>
      <c r="L1197" s="62">
        <f>IF(L$14=0,WdhStd,IF(INDEX($C$672:$V$672,L$14)="",WdhStd,INDEX($C$672:$V$672,L$14)))</f>
        <v/>
      </c>
      <c r="M1197" s="62">
        <f>IF(M$14=0,WdhStd,IF(INDEX($C$672:$V$672,M$14)="",WdhStd,INDEX($C$672:$V$672,M$14)))</f>
        <v/>
      </c>
      <c r="N1197" s="62">
        <f>IF(N$14=0,WdhStd,IF(INDEX($C$672:$V$672,N$14)="",WdhStd,INDEX($C$672:$V$672,N$14)))</f>
        <v/>
      </c>
      <c r="O1197" s="62">
        <f>IF(O$14=0,WdhStd,IF(INDEX($C$672:$V$672,O$14)="",WdhStd,INDEX($C$672:$V$672,O$14)))</f>
        <v/>
      </c>
      <c r="P1197" s="62">
        <f>IF(P$14=0,WdhStd,IF(INDEX($C$672:$V$672,P$14)="",WdhStd,INDEX($C$672:$V$672,P$14)))</f>
        <v/>
      </c>
      <c r="Q1197" s="62">
        <f>IF(Q$14=0,WdhStd,IF(INDEX($C$672:$V$672,Q$14)="",WdhStd,INDEX($C$672:$V$672,Q$14)))</f>
        <v/>
      </c>
      <c r="R1197" s="62">
        <f>IF(R$14=0,WdhStd,IF(INDEX($C$672:$V$672,R$14)="",WdhStd,INDEX($C$672:$V$672,R$14)))</f>
        <v/>
      </c>
      <c r="S1197" s="62">
        <f>IF(S$14=0,WdhStd,IF(INDEX($C$672:$V$672,S$14)="",WdhStd,INDEX($C$672:$V$672,S$14)))</f>
        <v/>
      </c>
      <c r="T1197" s="62">
        <f>IF(T$14=0,WdhStd,IF(INDEX($C$672:$V$672,T$14)="",WdhStd,INDEX($C$672:$V$672,T$14)))</f>
        <v/>
      </c>
      <c r="U1197" s="62">
        <f>IF(U$14=0,WdhStd,IF(INDEX($C$672:$V$672,U$14)="",WdhStd,INDEX($C$672:$V$672,U$14)))</f>
        <v/>
      </c>
      <c r="V1197" s="62">
        <f>IF(V$14=0,WdhStd,IF(INDEX($C$672:$V$672,V$14)="",WdhStd,INDEX($C$672:$V$672,V$14)))</f>
        <v/>
      </c>
    </row>
    <row r="1198">
      <c r="C1198" s="62">
        <f>IF(C$14=0,WdhStd,IF(INDEX($C$673:$V$673,C$14)="",WdhStd,INDEX($C$673:$V$673,C$14)))</f>
        <v/>
      </c>
      <c r="D1198" s="62">
        <f>IF(D$14=0,WdhStd,IF(INDEX($C$673:$V$673,D$14)="",WdhStd,INDEX($C$673:$V$673,D$14)))</f>
        <v/>
      </c>
      <c r="E1198" s="62">
        <f>IF(E$14=0,WdhStd,IF(INDEX($C$673:$V$673,E$14)="",WdhStd,INDEX($C$673:$V$673,E$14)))</f>
        <v/>
      </c>
      <c r="F1198" s="62">
        <f>IF(F$14=0,WdhStd,IF(INDEX($C$673:$V$673,F$14)="",WdhStd,INDEX($C$673:$V$673,F$14)))</f>
        <v/>
      </c>
      <c r="G1198" s="62">
        <f>IF(G$14=0,WdhStd,IF(INDEX($C$673:$V$673,G$14)="",WdhStd,INDEX($C$673:$V$673,G$14)))</f>
        <v/>
      </c>
      <c r="H1198" s="62">
        <f>IF(H$14=0,WdhStd,IF(INDEX($C$673:$V$673,H$14)="",WdhStd,INDEX($C$673:$V$673,H$14)))</f>
        <v/>
      </c>
      <c r="I1198" s="62">
        <f>IF(I$14=0,WdhStd,IF(INDEX($C$673:$V$673,I$14)="",WdhStd,INDEX($C$673:$V$673,I$14)))</f>
        <v/>
      </c>
      <c r="J1198" s="62">
        <f>IF(J$14=0,WdhStd,IF(INDEX($C$673:$V$673,J$14)="",WdhStd,INDEX($C$673:$V$673,J$14)))</f>
        <v/>
      </c>
      <c r="K1198" s="62">
        <f>IF(K$14=0,WdhStd,IF(INDEX($C$673:$V$673,K$14)="",WdhStd,INDEX($C$673:$V$673,K$14)))</f>
        <v/>
      </c>
      <c r="L1198" s="62">
        <f>IF(L$14=0,WdhStd,IF(INDEX($C$673:$V$673,L$14)="",WdhStd,INDEX($C$673:$V$673,L$14)))</f>
        <v/>
      </c>
      <c r="M1198" s="62">
        <f>IF(M$14=0,WdhStd,IF(INDEX($C$673:$V$673,M$14)="",WdhStd,INDEX($C$673:$V$673,M$14)))</f>
        <v/>
      </c>
      <c r="N1198" s="62">
        <f>IF(N$14=0,WdhStd,IF(INDEX($C$673:$V$673,N$14)="",WdhStd,INDEX($C$673:$V$673,N$14)))</f>
        <v/>
      </c>
      <c r="O1198" s="62">
        <f>IF(O$14=0,WdhStd,IF(INDEX($C$673:$V$673,O$14)="",WdhStd,INDEX($C$673:$V$673,O$14)))</f>
        <v/>
      </c>
      <c r="P1198" s="62">
        <f>IF(P$14=0,WdhStd,IF(INDEX($C$673:$V$673,P$14)="",WdhStd,INDEX($C$673:$V$673,P$14)))</f>
        <v/>
      </c>
      <c r="Q1198" s="62">
        <f>IF(Q$14=0,WdhStd,IF(INDEX($C$673:$V$673,Q$14)="",WdhStd,INDEX($C$673:$V$673,Q$14)))</f>
        <v/>
      </c>
      <c r="R1198" s="62">
        <f>IF(R$14=0,WdhStd,IF(INDEX($C$673:$V$673,R$14)="",WdhStd,INDEX($C$673:$V$673,R$14)))</f>
        <v/>
      </c>
      <c r="S1198" s="62">
        <f>IF(S$14=0,WdhStd,IF(INDEX($C$673:$V$673,S$14)="",WdhStd,INDEX($C$673:$V$673,S$14)))</f>
        <v/>
      </c>
      <c r="T1198" s="62">
        <f>IF(T$14=0,WdhStd,IF(INDEX($C$673:$V$673,T$14)="",WdhStd,INDEX($C$673:$V$673,T$14)))</f>
        <v/>
      </c>
      <c r="U1198" s="62">
        <f>IF(U$14=0,WdhStd,IF(INDEX($C$673:$V$673,U$14)="",WdhStd,INDEX($C$673:$V$673,U$14)))</f>
        <v/>
      </c>
      <c r="V1198" s="62">
        <f>IF(V$14=0,WdhStd,IF(INDEX($C$673:$V$673,V$14)="",WdhStd,INDEX($C$673:$V$673,V$14)))</f>
        <v/>
      </c>
    </row>
    <row r="1199">
      <c r="C1199" s="62">
        <f>IF(C$14=0,WdhStd,IF(INDEX($C$674:$V$674,C$14)="",WdhStd,INDEX($C$674:$V$674,C$14)))</f>
        <v/>
      </c>
      <c r="D1199" s="62">
        <f>IF(D$14=0,WdhStd,IF(INDEX($C$674:$V$674,D$14)="",WdhStd,INDEX($C$674:$V$674,D$14)))</f>
        <v/>
      </c>
      <c r="E1199" s="62">
        <f>IF(E$14=0,WdhStd,IF(INDEX($C$674:$V$674,E$14)="",WdhStd,INDEX($C$674:$V$674,E$14)))</f>
        <v/>
      </c>
      <c r="F1199" s="62">
        <f>IF(F$14=0,WdhStd,IF(INDEX($C$674:$V$674,F$14)="",WdhStd,INDEX($C$674:$V$674,F$14)))</f>
        <v/>
      </c>
      <c r="G1199" s="62">
        <f>IF(G$14=0,WdhStd,IF(INDEX($C$674:$V$674,G$14)="",WdhStd,INDEX($C$674:$V$674,G$14)))</f>
        <v/>
      </c>
      <c r="H1199" s="62">
        <f>IF(H$14=0,WdhStd,IF(INDEX($C$674:$V$674,H$14)="",WdhStd,INDEX($C$674:$V$674,H$14)))</f>
        <v/>
      </c>
      <c r="I1199" s="62">
        <f>IF(I$14=0,WdhStd,IF(INDEX($C$674:$V$674,I$14)="",WdhStd,INDEX($C$674:$V$674,I$14)))</f>
        <v/>
      </c>
      <c r="J1199" s="62">
        <f>IF(J$14=0,WdhStd,IF(INDEX($C$674:$V$674,J$14)="",WdhStd,INDEX($C$674:$V$674,J$14)))</f>
        <v/>
      </c>
      <c r="K1199" s="62">
        <f>IF(K$14=0,WdhStd,IF(INDEX($C$674:$V$674,K$14)="",WdhStd,INDEX($C$674:$V$674,K$14)))</f>
        <v/>
      </c>
      <c r="L1199" s="62">
        <f>IF(L$14=0,WdhStd,IF(INDEX($C$674:$V$674,L$14)="",WdhStd,INDEX($C$674:$V$674,L$14)))</f>
        <v/>
      </c>
      <c r="M1199" s="62">
        <f>IF(M$14=0,WdhStd,IF(INDEX($C$674:$V$674,M$14)="",WdhStd,INDEX($C$674:$V$674,M$14)))</f>
        <v/>
      </c>
      <c r="N1199" s="62">
        <f>IF(N$14=0,WdhStd,IF(INDEX($C$674:$V$674,N$14)="",WdhStd,INDEX($C$674:$V$674,N$14)))</f>
        <v/>
      </c>
      <c r="O1199" s="62">
        <f>IF(O$14=0,WdhStd,IF(INDEX($C$674:$V$674,O$14)="",WdhStd,INDEX($C$674:$V$674,O$14)))</f>
        <v/>
      </c>
      <c r="P1199" s="62">
        <f>IF(P$14=0,WdhStd,IF(INDEX($C$674:$V$674,P$14)="",WdhStd,INDEX($C$674:$V$674,P$14)))</f>
        <v/>
      </c>
      <c r="Q1199" s="62">
        <f>IF(Q$14=0,WdhStd,IF(INDEX($C$674:$V$674,Q$14)="",WdhStd,INDEX($C$674:$V$674,Q$14)))</f>
        <v/>
      </c>
      <c r="R1199" s="62">
        <f>IF(R$14=0,WdhStd,IF(INDEX($C$674:$V$674,R$14)="",WdhStd,INDEX($C$674:$V$674,R$14)))</f>
        <v/>
      </c>
      <c r="S1199" s="62">
        <f>IF(S$14=0,WdhStd,IF(INDEX($C$674:$V$674,S$14)="",WdhStd,INDEX($C$674:$V$674,S$14)))</f>
        <v/>
      </c>
      <c r="T1199" s="62">
        <f>IF(T$14=0,WdhStd,IF(INDEX($C$674:$V$674,T$14)="",WdhStd,INDEX($C$674:$V$674,T$14)))</f>
        <v/>
      </c>
      <c r="U1199" s="62">
        <f>IF(U$14=0,WdhStd,IF(INDEX($C$674:$V$674,U$14)="",WdhStd,INDEX($C$674:$V$674,U$14)))</f>
        <v/>
      </c>
      <c r="V1199" s="62">
        <f>IF(V$14=0,WdhStd,IF(INDEX($C$674:$V$674,V$14)="",WdhStd,INDEX($C$674:$V$674,V$14)))</f>
        <v/>
      </c>
    </row>
    <row r="1200">
      <c r="C1200" s="62">
        <f>IF(C$14=0,WdhStd,IF(INDEX($C$675:$V$675,C$14)="",WdhStd,INDEX($C$675:$V$675,C$14)))</f>
        <v/>
      </c>
      <c r="D1200" s="62">
        <f>IF(D$14=0,WdhStd,IF(INDEX($C$675:$V$675,D$14)="",WdhStd,INDEX($C$675:$V$675,D$14)))</f>
        <v/>
      </c>
      <c r="E1200" s="62">
        <f>IF(E$14=0,WdhStd,IF(INDEX($C$675:$V$675,E$14)="",WdhStd,INDEX($C$675:$V$675,E$14)))</f>
        <v/>
      </c>
      <c r="F1200" s="62">
        <f>IF(F$14=0,WdhStd,IF(INDEX($C$675:$V$675,F$14)="",WdhStd,INDEX($C$675:$V$675,F$14)))</f>
        <v/>
      </c>
      <c r="G1200" s="62">
        <f>IF(G$14=0,WdhStd,IF(INDEX($C$675:$V$675,G$14)="",WdhStd,INDEX($C$675:$V$675,G$14)))</f>
        <v/>
      </c>
      <c r="H1200" s="62">
        <f>IF(H$14=0,WdhStd,IF(INDEX($C$675:$V$675,H$14)="",WdhStd,INDEX($C$675:$V$675,H$14)))</f>
        <v/>
      </c>
      <c r="I1200" s="62">
        <f>IF(I$14=0,WdhStd,IF(INDEX($C$675:$V$675,I$14)="",WdhStd,INDEX($C$675:$V$675,I$14)))</f>
        <v/>
      </c>
      <c r="J1200" s="62">
        <f>IF(J$14=0,WdhStd,IF(INDEX($C$675:$V$675,J$14)="",WdhStd,INDEX($C$675:$V$675,J$14)))</f>
        <v/>
      </c>
      <c r="K1200" s="62">
        <f>IF(K$14=0,WdhStd,IF(INDEX($C$675:$V$675,K$14)="",WdhStd,INDEX($C$675:$V$675,K$14)))</f>
        <v/>
      </c>
      <c r="L1200" s="62">
        <f>IF(L$14=0,WdhStd,IF(INDEX($C$675:$V$675,L$14)="",WdhStd,INDEX($C$675:$V$675,L$14)))</f>
        <v/>
      </c>
      <c r="M1200" s="62">
        <f>IF(M$14=0,WdhStd,IF(INDEX($C$675:$V$675,M$14)="",WdhStd,INDEX($C$675:$V$675,M$14)))</f>
        <v/>
      </c>
      <c r="N1200" s="62">
        <f>IF(N$14=0,WdhStd,IF(INDEX($C$675:$V$675,N$14)="",WdhStd,INDEX($C$675:$V$675,N$14)))</f>
        <v/>
      </c>
      <c r="O1200" s="62">
        <f>IF(O$14=0,WdhStd,IF(INDEX($C$675:$V$675,O$14)="",WdhStd,INDEX($C$675:$V$675,O$14)))</f>
        <v/>
      </c>
      <c r="P1200" s="62">
        <f>IF(P$14=0,WdhStd,IF(INDEX($C$675:$V$675,P$14)="",WdhStd,INDEX($C$675:$V$675,P$14)))</f>
        <v/>
      </c>
      <c r="Q1200" s="62">
        <f>IF(Q$14=0,WdhStd,IF(INDEX($C$675:$V$675,Q$14)="",WdhStd,INDEX($C$675:$V$675,Q$14)))</f>
        <v/>
      </c>
      <c r="R1200" s="62">
        <f>IF(R$14=0,WdhStd,IF(INDEX($C$675:$V$675,R$14)="",WdhStd,INDEX($C$675:$V$675,R$14)))</f>
        <v/>
      </c>
      <c r="S1200" s="62">
        <f>IF(S$14=0,WdhStd,IF(INDEX($C$675:$V$675,S$14)="",WdhStd,INDEX($C$675:$V$675,S$14)))</f>
        <v/>
      </c>
      <c r="T1200" s="62">
        <f>IF(T$14=0,WdhStd,IF(INDEX($C$675:$V$675,T$14)="",WdhStd,INDEX($C$675:$V$675,T$14)))</f>
        <v/>
      </c>
      <c r="U1200" s="62">
        <f>IF(U$14=0,WdhStd,IF(INDEX($C$675:$V$675,U$14)="",WdhStd,INDEX($C$675:$V$675,U$14)))</f>
        <v/>
      </c>
      <c r="V1200" s="62">
        <f>IF(V$14=0,WdhStd,IF(INDEX($C$675:$V$675,V$14)="",WdhStd,INDEX($C$675:$V$675,V$14)))</f>
        <v/>
      </c>
    </row>
    <row r="1201">
      <c r="C1201" s="62">
        <f>IF(C$14=0,WdhStd,IF(INDEX($C$676:$V$676,C$14)="",WdhStd,INDEX($C$676:$V$676,C$14)))</f>
        <v/>
      </c>
      <c r="D1201" s="62">
        <f>IF(D$14=0,WdhStd,IF(INDEX($C$676:$V$676,D$14)="",WdhStd,INDEX($C$676:$V$676,D$14)))</f>
        <v/>
      </c>
      <c r="E1201" s="62">
        <f>IF(E$14=0,WdhStd,IF(INDEX($C$676:$V$676,E$14)="",WdhStd,INDEX($C$676:$V$676,E$14)))</f>
        <v/>
      </c>
      <c r="F1201" s="62">
        <f>IF(F$14=0,WdhStd,IF(INDEX($C$676:$V$676,F$14)="",WdhStd,INDEX($C$676:$V$676,F$14)))</f>
        <v/>
      </c>
      <c r="G1201" s="62">
        <f>IF(G$14=0,WdhStd,IF(INDEX($C$676:$V$676,G$14)="",WdhStd,INDEX($C$676:$V$676,G$14)))</f>
        <v/>
      </c>
      <c r="H1201" s="62">
        <f>IF(H$14=0,WdhStd,IF(INDEX($C$676:$V$676,H$14)="",WdhStd,INDEX($C$676:$V$676,H$14)))</f>
        <v/>
      </c>
      <c r="I1201" s="62">
        <f>IF(I$14=0,WdhStd,IF(INDEX($C$676:$V$676,I$14)="",WdhStd,INDEX($C$676:$V$676,I$14)))</f>
        <v/>
      </c>
      <c r="J1201" s="62">
        <f>IF(J$14=0,WdhStd,IF(INDEX($C$676:$V$676,J$14)="",WdhStd,INDEX($C$676:$V$676,J$14)))</f>
        <v/>
      </c>
      <c r="K1201" s="62">
        <f>IF(K$14=0,WdhStd,IF(INDEX($C$676:$V$676,K$14)="",WdhStd,INDEX($C$676:$V$676,K$14)))</f>
        <v/>
      </c>
      <c r="L1201" s="62">
        <f>IF(L$14=0,WdhStd,IF(INDEX($C$676:$V$676,L$14)="",WdhStd,INDEX($C$676:$V$676,L$14)))</f>
        <v/>
      </c>
      <c r="M1201" s="62">
        <f>IF(M$14=0,WdhStd,IF(INDEX($C$676:$V$676,M$14)="",WdhStd,INDEX($C$676:$V$676,M$14)))</f>
        <v/>
      </c>
      <c r="N1201" s="62">
        <f>IF(N$14=0,WdhStd,IF(INDEX($C$676:$V$676,N$14)="",WdhStd,INDEX($C$676:$V$676,N$14)))</f>
        <v/>
      </c>
      <c r="O1201" s="62">
        <f>IF(O$14=0,WdhStd,IF(INDEX($C$676:$V$676,O$14)="",WdhStd,INDEX($C$676:$V$676,O$14)))</f>
        <v/>
      </c>
      <c r="P1201" s="62">
        <f>IF(P$14=0,WdhStd,IF(INDEX($C$676:$V$676,P$14)="",WdhStd,INDEX($C$676:$V$676,P$14)))</f>
        <v/>
      </c>
      <c r="Q1201" s="62">
        <f>IF(Q$14=0,WdhStd,IF(INDEX($C$676:$V$676,Q$14)="",WdhStd,INDEX($C$676:$V$676,Q$14)))</f>
        <v/>
      </c>
      <c r="R1201" s="62">
        <f>IF(R$14=0,WdhStd,IF(INDEX($C$676:$V$676,R$14)="",WdhStd,INDEX($C$676:$V$676,R$14)))</f>
        <v/>
      </c>
      <c r="S1201" s="62">
        <f>IF(S$14=0,WdhStd,IF(INDEX($C$676:$V$676,S$14)="",WdhStd,INDEX($C$676:$V$676,S$14)))</f>
        <v/>
      </c>
      <c r="T1201" s="62">
        <f>IF(T$14=0,WdhStd,IF(INDEX($C$676:$V$676,T$14)="",WdhStd,INDEX($C$676:$V$676,T$14)))</f>
        <v/>
      </c>
      <c r="U1201" s="62">
        <f>IF(U$14=0,WdhStd,IF(INDEX($C$676:$V$676,U$14)="",WdhStd,INDEX($C$676:$V$676,U$14)))</f>
        <v/>
      </c>
      <c r="V1201" s="62">
        <f>IF(V$14=0,WdhStd,IF(INDEX($C$676:$V$676,V$14)="",WdhStd,INDEX($C$676:$V$676,V$14)))</f>
        <v/>
      </c>
    </row>
    <row r="1202">
      <c r="C1202" s="62">
        <f>IF(C$14=0,WdhStd,IF(INDEX($C$677:$V$677,C$14)="",WdhStd,INDEX($C$677:$V$677,C$14)))</f>
        <v/>
      </c>
      <c r="D1202" s="62">
        <f>IF(D$14=0,WdhStd,IF(INDEX($C$677:$V$677,D$14)="",WdhStd,INDEX($C$677:$V$677,D$14)))</f>
        <v/>
      </c>
      <c r="E1202" s="62">
        <f>IF(E$14=0,WdhStd,IF(INDEX($C$677:$V$677,E$14)="",WdhStd,INDEX($C$677:$V$677,E$14)))</f>
        <v/>
      </c>
      <c r="F1202" s="62">
        <f>IF(F$14=0,WdhStd,IF(INDEX($C$677:$V$677,F$14)="",WdhStd,INDEX($C$677:$V$677,F$14)))</f>
        <v/>
      </c>
      <c r="G1202" s="62">
        <f>IF(G$14=0,WdhStd,IF(INDEX($C$677:$V$677,G$14)="",WdhStd,INDEX($C$677:$V$677,G$14)))</f>
        <v/>
      </c>
      <c r="H1202" s="62">
        <f>IF(H$14=0,WdhStd,IF(INDEX($C$677:$V$677,H$14)="",WdhStd,INDEX($C$677:$V$677,H$14)))</f>
        <v/>
      </c>
      <c r="I1202" s="62">
        <f>IF(I$14=0,WdhStd,IF(INDEX($C$677:$V$677,I$14)="",WdhStd,INDEX($C$677:$V$677,I$14)))</f>
        <v/>
      </c>
      <c r="J1202" s="62">
        <f>IF(J$14=0,WdhStd,IF(INDEX($C$677:$V$677,J$14)="",WdhStd,INDEX($C$677:$V$677,J$14)))</f>
        <v/>
      </c>
      <c r="K1202" s="62">
        <f>IF(K$14=0,WdhStd,IF(INDEX($C$677:$V$677,K$14)="",WdhStd,INDEX($C$677:$V$677,K$14)))</f>
        <v/>
      </c>
      <c r="L1202" s="62">
        <f>IF(L$14=0,WdhStd,IF(INDEX($C$677:$V$677,L$14)="",WdhStd,INDEX($C$677:$V$677,L$14)))</f>
        <v/>
      </c>
      <c r="M1202" s="62">
        <f>IF(M$14=0,WdhStd,IF(INDEX($C$677:$V$677,M$14)="",WdhStd,INDEX($C$677:$V$677,M$14)))</f>
        <v/>
      </c>
      <c r="N1202" s="62">
        <f>IF(N$14=0,WdhStd,IF(INDEX($C$677:$V$677,N$14)="",WdhStd,INDEX($C$677:$V$677,N$14)))</f>
        <v/>
      </c>
      <c r="O1202" s="62">
        <f>IF(O$14=0,WdhStd,IF(INDEX($C$677:$V$677,O$14)="",WdhStd,INDEX($C$677:$V$677,O$14)))</f>
        <v/>
      </c>
      <c r="P1202" s="62">
        <f>IF(P$14=0,WdhStd,IF(INDEX($C$677:$V$677,P$14)="",WdhStd,INDEX($C$677:$V$677,P$14)))</f>
        <v/>
      </c>
      <c r="Q1202" s="62">
        <f>IF(Q$14=0,WdhStd,IF(INDEX($C$677:$V$677,Q$14)="",WdhStd,INDEX($C$677:$V$677,Q$14)))</f>
        <v/>
      </c>
      <c r="R1202" s="62">
        <f>IF(R$14=0,WdhStd,IF(INDEX($C$677:$V$677,R$14)="",WdhStd,INDEX($C$677:$V$677,R$14)))</f>
        <v/>
      </c>
      <c r="S1202" s="62">
        <f>IF(S$14=0,WdhStd,IF(INDEX($C$677:$V$677,S$14)="",WdhStd,INDEX($C$677:$V$677,S$14)))</f>
        <v/>
      </c>
      <c r="T1202" s="62">
        <f>IF(T$14=0,WdhStd,IF(INDEX($C$677:$V$677,T$14)="",WdhStd,INDEX($C$677:$V$677,T$14)))</f>
        <v/>
      </c>
      <c r="U1202" s="62">
        <f>IF(U$14=0,WdhStd,IF(INDEX($C$677:$V$677,U$14)="",WdhStd,INDEX($C$677:$V$677,U$14)))</f>
        <v/>
      </c>
      <c r="V1202" s="62">
        <f>IF(V$14=0,WdhStd,IF(INDEX($C$677:$V$677,V$14)="",WdhStd,INDEX($C$677:$V$677,V$14)))</f>
        <v/>
      </c>
    </row>
    <row r="1203">
      <c r="C1203" s="62">
        <f>IF(C$14=0,WdhStd,IF(INDEX($C$678:$V$678,C$14)="",WdhStd,INDEX($C$678:$V$678,C$14)))</f>
        <v/>
      </c>
      <c r="D1203" s="62">
        <f>IF(D$14=0,WdhStd,IF(INDEX($C$678:$V$678,D$14)="",WdhStd,INDEX($C$678:$V$678,D$14)))</f>
        <v/>
      </c>
      <c r="E1203" s="62">
        <f>IF(E$14=0,WdhStd,IF(INDEX($C$678:$V$678,E$14)="",WdhStd,INDEX($C$678:$V$678,E$14)))</f>
        <v/>
      </c>
      <c r="F1203" s="62">
        <f>IF(F$14=0,WdhStd,IF(INDEX($C$678:$V$678,F$14)="",WdhStd,INDEX($C$678:$V$678,F$14)))</f>
        <v/>
      </c>
      <c r="G1203" s="62">
        <f>IF(G$14=0,WdhStd,IF(INDEX($C$678:$V$678,G$14)="",WdhStd,INDEX($C$678:$V$678,G$14)))</f>
        <v/>
      </c>
      <c r="H1203" s="62">
        <f>IF(H$14=0,WdhStd,IF(INDEX($C$678:$V$678,H$14)="",WdhStd,INDEX($C$678:$V$678,H$14)))</f>
        <v/>
      </c>
      <c r="I1203" s="62">
        <f>IF(I$14=0,WdhStd,IF(INDEX($C$678:$V$678,I$14)="",WdhStd,INDEX($C$678:$V$678,I$14)))</f>
        <v/>
      </c>
      <c r="J1203" s="62">
        <f>IF(J$14=0,WdhStd,IF(INDEX($C$678:$V$678,J$14)="",WdhStd,INDEX($C$678:$V$678,J$14)))</f>
        <v/>
      </c>
      <c r="K1203" s="62">
        <f>IF(K$14=0,WdhStd,IF(INDEX($C$678:$V$678,K$14)="",WdhStd,INDEX($C$678:$V$678,K$14)))</f>
        <v/>
      </c>
      <c r="L1203" s="62">
        <f>IF(L$14=0,WdhStd,IF(INDEX($C$678:$V$678,L$14)="",WdhStd,INDEX($C$678:$V$678,L$14)))</f>
        <v/>
      </c>
      <c r="M1203" s="62">
        <f>IF(M$14=0,WdhStd,IF(INDEX($C$678:$V$678,M$14)="",WdhStd,INDEX($C$678:$V$678,M$14)))</f>
        <v/>
      </c>
      <c r="N1203" s="62">
        <f>IF(N$14=0,WdhStd,IF(INDEX($C$678:$V$678,N$14)="",WdhStd,INDEX($C$678:$V$678,N$14)))</f>
        <v/>
      </c>
      <c r="O1203" s="62">
        <f>IF(O$14=0,WdhStd,IF(INDEX($C$678:$V$678,O$14)="",WdhStd,INDEX($C$678:$V$678,O$14)))</f>
        <v/>
      </c>
      <c r="P1203" s="62">
        <f>IF(P$14=0,WdhStd,IF(INDEX($C$678:$V$678,P$14)="",WdhStd,INDEX($C$678:$V$678,P$14)))</f>
        <v/>
      </c>
      <c r="Q1203" s="62">
        <f>IF(Q$14=0,WdhStd,IF(INDEX($C$678:$V$678,Q$14)="",WdhStd,INDEX($C$678:$V$678,Q$14)))</f>
        <v/>
      </c>
      <c r="R1203" s="62">
        <f>IF(R$14=0,WdhStd,IF(INDEX($C$678:$V$678,R$14)="",WdhStd,INDEX($C$678:$V$678,R$14)))</f>
        <v/>
      </c>
      <c r="S1203" s="62">
        <f>IF(S$14=0,WdhStd,IF(INDEX($C$678:$V$678,S$14)="",WdhStd,INDEX($C$678:$V$678,S$14)))</f>
        <v/>
      </c>
      <c r="T1203" s="62">
        <f>IF(T$14=0,WdhStd,IF(INDEX($C$678:$V$678,T$14)="",WdhStd,INDEX($C$678:$V$678,T$14)))</f>
        <v/>
      </c>
      <c r="U1203" s="62">
        <f>IF(U$14=0,WdhStd,IF(INDEX($C$678:$V$678,U$14)="",WdhStd,INDEX($C$678:$V$678,U$14)))</f>
        <v/>
      </c>
      <c r="V1203" s="62">
        <f>IF(V$14=0,WdhStd,IF(INDEX($C$678:$V$678,V$14)="",WdhStd,INDEX($C$678:$V$678,V$14)))</f>
        <v/>
      </c>
    </row>
    <row r="1204">
      <c r="C1204" s="62">
        <f>IF(C$14=0,WdhStd,IF(INDEX($C$679:$V$679,C$14)="",WdhStd,INDEX($C$679:$V$679,C$14)))</f>
        <v/>
      </c>
      <c r="D1204" s="62">
        <f>IF(D$14=0,WdhStd,IF(INDEX($C$679:$V$679,D$14)="",WdhStd,INDEX($C$679:$V$679,D$14)))</f>
        <v/>
      </c>
      <c r="E1204" s="62">
        <f>IF(E$14=0,WdhStd,IF(INDEX($C$679:$V$679,E$14)="",WdhStd,INDEX($C$679:$V$679,E$14)))</f>
        <v/>
      </c>
      <c r="F1204" s="62">
        <f>IF(F$14=0,WdhStd,IF(INDEX($C$679:$V$679,F$14)="",WdhStd,INDEX($C$679:$V$679,F$14)))</f>
        <v/>
      </c>
      <c r="G1204" s="62">
        <f>IF(G$14=0,WdhStd,IF(INDEX($C$679:$V$679,G$14)="",WdhStd,INDEX($C$679:$V$679,G$14)))</f>
        <v/>
      </c>
      <c r="H1204" s="62">
        <f>IF(H$14=0,WdhStd,IF(INDEX($C$679:$V$679,H$14)="",WdhStd,INDEX($C$679:$V$679,H$14)))</f>
        <v/>
      </c>
      <c r="I1204" s="62">
        <f>IF(I$14=0,WdhStd,IF(INDEX($C$679:$V$679,I$14)="",WdhStd,INDEX($C$679:$V$679,I$14)))</f>
        <v/>
      </c>
      <c r="J1204" s="62">
        <f>IF(J$14=0,WdhStd,IF(INDEX($C$679:$V$679,J$14)="",WdhStd,INDEX($C$679:$V$679,J$14)))</f>
        <v/>
      </c>
      <c r="K1204" s="62">
        <f>IF(K$14=0,WdhStd,IF(INDEX($C$679:$V$679,K$14)="",WdhStd,INDEX($C$679:$V$679,K$14)))</f>
        <v/>
      </c>
      <c r="L1204" s="62">
        <f>IF(L$14=0,WdhStd,IF(INDEX($C$679:$V$679,L$14)="",WdhStd,INDEX($C$679:$V$679,L$14)))</f>
        <v/>
      </c>
      <c r="M1204" s="62">
        <f>IF(M$14=0,WdhStd,IF(INDEX($C$679:$V$679,M$14)="",WdhStd,INDEX($C$679:$V$679,M$14)))</f>
        <v/>
      </c>
      <c r="N1204" s="62">
        <f>IF(N$14=0,WdhStd,IF(INDEX($C$679:$V$679,N$14)="",WdhStd,INDEX($C$679:$V$679,N$14)))</f>
        <v/>
      </c>
      <c r="O1204" s="62">
        <f>IF(O$14=0,WdhStd,IF(INDEX($C$679:$V$679,O$14)="",WdhStd,INDEX($C$679:$V$679,O$14)))</f>
        <v/>
      </c>
      <c r="P1204" s="62">
        <f>IF(P$14=0,WdhStd,IF(INDEX($C$679:$V$679,P$14)="",WdhStd,INDEX($C$679:$V$679,P$14)))</f>
        <v/>
      </c>
      <c r="Q1204" s="62">
        <f>IF(Q$14=0,WdhStd,IF(INDEX($C$679:$V$679,Q$14)="",WdhStd,INDEX($C$679:$V$679,Q$14)))</f>
        <v/>
      </c>
      <c r="R1204" s="62">
        <f>IF(R$14=0,WdhStd,IF(INDEX($C$679:$V$679,R$14)="",WdhStd,INDEX($C$679:$V$679,R$14)))</f>
        <v/>
      </c>
      <c r="S1204" s="62">
        <f>IF(S$14=0,WdhStd,IF(INDEX($C$679:$V$679,S$14)="",WdhStd,INDEX($C$679:$V$679,S$14)))</f>
        <v/>
      </c>
      <c r="T1204" s="62">
        <f>IF(T$14=0,WdhStd,IF(INDEX($C$679:$V$679,T$14)="",WdhStd,INDEX($C$679:$V$679,T$14)))</f>
        <v/>
      </c>
      <c r="U1204" s="62">
        <f>IF(U$14=0,WdhStd,IF(INDEX($C$679:$V$679,U$14)="",WdhStd,INDEX($C$679:$V$679,U$14)))</f>
        <v/>
      </c>
      <c r="V1204" s="62">
        <f>IF(V$14=0,WdhStd,IF(INDEX($C$679:$V$679,V$14)="",WdhStd,INDEX($C$679:$V$679,V$14)))</f>
        <v/>
      </c>
    </row>
    <row r="1205">
      <c r="C1205" s="62">
        <f>IF(C$14=0,WdhStd,IF(INDEX($C$680:$V$680,C$14)="",WdhStd,INDEX($C$680:$V$680,C$14)))</f>
        <v/>
      </c>
      <c r="D1205" s="62">
        <f>IF(D$14=0,WdhStd,IF(INDEX($C$680:$V$680,D$14)="",WdhStd,INDEX($C$680:$V$680,D$14)))</f>
        <v/>
      </c>
      <c r="E1205" s="62">
        <f>IF(E$14=0,WdhStd,IF(INDEX($C$680:$V$680,E$14)="",WdhStd,INDEX($C$680:$V$680,E$14)))</f>
        <v/>
      </c>
      <c r="F1205" s="62">
        <f>IF(F$14=0,WdhStd,IF(INDEX($C$680:$V$680,F$14)="",WdhStd,INDEX($C$680:$V$680,F$14)))</f>
        <v/>
      </c>
      <c r="G1205" s="62">
        <f>IF(G$14=0,WdhStd,IF(INDEX($C$680:$V$680,G$14)="",WdhStd,INDEX($C$680:$V$680,G$14)))</f>
        <v/>
      </c>
      <c r="H1205" s="62">
        <f>IF(H$14=0,WdhStd,IF(INDEX($C$680:$V$680,H$14)="",WdhStd,INDEX($C$680:$V$680,H$14)))</f>
        <v/>
      </c>
      <c r="I1205" s="62">
        <f>IF(I$14=0,WdhStd,IF(INDEX($C$680:$V$680,I$14)="",WdhStd,INDEX($C$680:$V$680,I$14)))</f>
        <v/>
      </c>
      <c r="J1205" s="62">
        <f>IF(J$14=0,WdhStd,IF(INDEX($C$680:$V$680,J$14)="",WdhStd,INDEX($C$680:$V$680,J$14)))</f>
        <v/>
      </c>
      <c r="K1205" s="62">
        <f>IF(K$14=0,WdhStd,IF(INDEX($C$680:$V$680,K$14)="",WdhStd,INDEX($C$680:$V$680,K$14)))</f>
        <v/>
      </c>
      <c r="L1205" s="62">
        <f>IF(L$14=0,WdhStd,IF(INDEX($C$680:$V$680,L$14)="",WdhStd,INDEX($C$680:$V$680,L$14)))</f>
        <v/>
      </c>
      <c r="M1205" s="62">
        <f>IF(M$14=0,WdhStd,IF(INDEX($C$680:$V$680,M$14)="",WdhStd,INDEX($C$680:$V$680,M$14)))</f>
        <v/>
      </c>
      <c r="N1205" s="62">
        <f>IF(N$14=0,WdhStd,IF(INDEX($C$680:$V$680,N$14)="",WdhStd,INDEX($C$680:$V$680,N$14)))</f>
        <v/>
      </c>
      <c r="O1205" s="62">
        <f>IF(O$14=0,WdhStd,IF(INDEX($C$680:$V$680,O$14)="",WdhStd,INDEX($C$680:$V$680,O$14)))</f>
        <v/>
      </c>
      <c r="P1205" s="62">
        <f>IF(P$14=0,WdhStd,IF(INDEX($C$680:$V$680,P$14)="",WdhStd,INDEX($C$680:$V$680,P$14)))</f>
        <v/>
      </c>
      <c r="Q1205" s="62">
        <f>IF(Q$14=0,WdhStd,IF(INDEX($C$680:$V$680,Q$14)="",WdhStd,INDEX($C$680:$V$680,Q$14)))</f>
        <v/>
      </c>
      <c r="R1205" s="62">
        <f>IF(R$14=0,WdhStd,IF(INDEX($C$680:$V$680,R$14)="",WdhStd,INDEX($C$680:$V$680,R$14)))</f>
        <v/>
      </c>
      <c r="S1205" s="62">
        <f>IF(S$14=0,WdhStd,IF(INDEX($C$680:$V$680,S$14)="",WdhStd,INDEX($C$680:$V$680,S$14)))</f>
        <v/>
      </c>
      <c r="T1205" s="62">
        <f>IF(T$14=0,WdhStd,IF(INDEX($C$680:$V$680,T$14)="",WdhStd,INDEX($C$680:$V$680,T$14)))</f>
        <v/>
      </c>
      <c r="U1205" s="62">
        <f>IF(U$14=0,WdhStd,IF(INDEX($C$680:$V$680,U$14)="",WdhStd,INDEX($C$680:$V$680,U$14)))</f>
        <v/>
      </c>
      <c r="V1205" s="62">
        <f>IF(V$14=0,WdhStd,IF(INDEX($C$680:$V$680,V$14)="",WdhStd,INDEX($C$680:$V$680,V$14)))</f>
        <v/>
      </c>
    </row>
    <row r="1206">
      <c r="C1206" s="62">
        <f>IF(C$14=0,WdhStd,IF(INDEX($C$681:$V$681,C$14)="",WdhStd,INDEX($C$681:$V$681,C$14)))</f>
        <v/>
      </c>
      <c r="D1206" s="62">
        <f>IF(D$14=0,WdhStd,IF(INDEX($C$681:$V$681,D$14)="",WdhStd,INDEX($C$681:$V$681,D$14)))</f>
        <v/>
      </c>
      <c r="E1206" s="62">
        <f>IF(E$14=0,WdhStd,IF(INDEX($C$681:$V$681,E$14)="",WdhStd,INDEX($C$681:$V$681,E$14)))</f>
        <v/>
      </c>
      <c r="F1206" s="62">
        <f>IF(F$14=0,WdhStd,IF(INDEX($C$681:$V$681,F$14)="",WdhStd,INDEX($C$681:$V$681,F$14)))</f>
        <v/>
      </c>
      <c r="G1206" s="62">
        <f>IF(G$14=0,WdhStd,IF(INDEX($C$681:$V$681,G$14)="",WdhStd,INDEX($C$681:$V$681,G$14)))</f>
        <v/>
      </c>
      <c r="H1206" s="62">
        <f>IF(H$14=0,WdhStd,IF(INDEX($C$681:$V$681,H$14)="",WdhStd,INDEX($C$681:$V$681,H$14)))</f>
        <v/>
      </c>
      <c r="I1206" s="62">
        <f>IF(I$14=0,WdhStd,IF(INDEX($C$681:$V$681,I$14)="",WdhStd,INDEX($C$681:$V$681,I$14)))</f>
        <v/>
      </c>
      <c r="J1206" s="62">
        <f>IF(J$14=0,WdhStd,IF(INDEX($C$681:$V$681,J$14)="",WdhStd,INDEX($C$681:$V$681,J$14)))</f>
        <v/>
      </c>
      <c r="K1206" s="62">
        <f>IF(K$14=0,WdhStd,IF(INDEX($C$681:$V$681,K$14)="",WdhStd,INDEX($C$681:$V$681,K$14)))</f>
        <v/>
      </c>
      <c r="L1206" s="62">
        <f>IF(L$14=0,WdhStd,IF(INDEX($C$681:$V$681,L$14)="",WdhStd,INDEX($C$681:$V$681,L$14)))</f>
        <v/>
      </c>
      <c r="M1206" s="62">
        <f>IF(M$14=0,WdhStd,IF(INDEX($C$681:$V$681,M$14)="",WdhStd,INDEX($C$681:$V$681,M$14)))</f>
        <v/>
      </c>
      <c r="N1206" s="62">
        <f>IF(N$14=0,WdhStd,IF(INDEX($C$681:$V$681,N$14)="",WdhStd,INDEX($C$681:$V$681,N$14)))</f>
        <v/>
      </c>
      <c r="O1206" s="62">
        <f>IF(O$14=0,WdhStd,IF(INDEX($C$681:$V$681,O$14)="",WdhStd,INDEX($C$681:$V$681,O$14)))</f>
        <v/>
      </c>
      <c r="P1206" s="62">
        <f>IF(P$14=0,WdhStd,IF(INDEX($C$681:$V$681,P$14)="",WdhStd,INDEX($C$681:$V$681,P$14)))</f>
        <v/>
      </c>
      <c r="Q1206" s="62">
        <f>IF(Q$14=0,WdhStd,IF(INDEX($C$681:$V$681,Q$14)="",WdhStd,INDEX($C$681:$V$681,Q$14)))</f>
        <v/>
      </c>
      <c r="R1206" s="62">
        <f>IF(R$14=0,WdhStd,IF(INDEX($C$681:$V$681,R$14)="",WdhStd,INDEX($C$681:$V$681,R$14)))</f>
        <v/>
      </c>
      <c r="S1206" s="62">
        <f>IF(S$14=0,WdhStd,IF(INDEX($C$681:$V$681,S$14)="",WdhStd,INDEX($C$681:$V$681,S$14)))</f>
        <v/>
      </c>
      <c r="T1206" s="62">
        <f>IF(T$14=0,WdhStd,IF(INDEX($C$681:$V$681,T$14)="",WdhStd,INDEX($C$681:$V$681,T$14)))</f>
        <v/>
      </c>
      <c r="U1206" s="62">
        <f>IF(U$14=0,WdhStd,IF(INDEX($C$681:$V$681,U$14)="",WdhStd,INDEX($C$681:$V$681,U$14)))</f>
        <v/>
      </c>
      <c r="V1206" s="62">
        <f>IF(V$14=0,WdhStd,IF(INDEX($C$681:$V$681,V$14)="",WdhStd,INDEX($C$681:$V$681,V$14)))</f>
        <v/>
      </c>
    </row>
    <row r="1207">
      <c r="C1207" s="62">
        <f>IF(C$14=0,WdhStd,IF(INDEX($C$682:$V$682,C$14)="",WdhStd,INDEX($C$682:$V$682,C$14)))</f>
        <v/>
      </c>
      <c r="D1207" s="62">
        <f>IF(D$14=0,WdhStd,IF(INDEX($C$682:$V$682,D$14)="",WdhStd,INDEX($C$682:$V$682,D$14)))</f>
        <v/>
      </c>
      <c r="E1207" s="62">
        <f>IF(E$14=0,WdhStd,IF(INDEX($C$682:$V$682,E$14)="",WdhStd,INDEX($C$682:$V$682,E$14)))</f>
        <v/>
      </c>
      <c r="F1207" s="62">
        <f>IF(F$14=0,WdhStd,IF(INDEX($C$682:$V$682,F$14)="",WdhStd,INDEX($C$682:$V$682,F$14)))</f>
        <v/>
      </c>
      <c r="G1207" s="62">
        <f>IF(G$14=0,WdhStd,IF(INDEX($C$682:$V$682,G$14)="",WdhStd,INDEX($C$682:$V$682,G$14)))</f>
        <v/>
      </c>
      <c r="H1207" s="62">
        <f>IF(H$14=0,WdhStd,IF(INDEX($C$682:$V$682,H$14)="",WdhStd,INDEX($C$682:$V$682,H$14)))</f>
        <v/>
      </c>
      <c r="I1207" s="62">
        <f>IF(I$14=0,WdhStd,IF(INDEX($C$682:$V$682,I$14)="",WdhStd,INDEX($C$682:$V$682,I$14)))</f>
        <v/>
      </c>
      <c r="J1207" s="62">
        <f>IF(J$14=0,WdhStd,IF(INDEX($C$682:$V$682,J$14)="",WdhStd,INDEX($C$682:$V$682,J$14)))</f>
        <v/>
      </c>
      <c r="K1207" s="62">
        <f>IF(K$14=0,WdhStd,IF(INDEX($C$682:$V$682,K$14)="",WdhStd,INDEX($C$682:$V$682,K$14)))</f>
        <v/>
      </c>
      <c r="L1207" s="62">
        <f>IF(L$14=0,WdhStd,IF(INDEX($C$682:$V$682,L$14)="",WdhStd,INDEX($C$682:$V$682,L$14)))</f>
        <v/>
      </c>
      <c r="M1207" s="62">
        <f>IF(M$14=0,WdhStd,IF(INDEX($C$682:$V$682,M$14)="",WdhStd,INDEX($C$682:$V$682,M$14)))</f>
        <v/>
      </c>
      <c r="N1207" s="62">
        <f>IF(N$14=0,WdhStd,IF(INDEX($C$682:$V$682,N$14)="",WdhStd,INDEX($C$682:$V$682,N$14)))</f>
        <v/>
      </c>
      <c r="O1207" s="62">
        <f>IF(O$14=0,WdhStd,IF(INDEX($C$682:$V$682,O$14)="",WdhStd,INDEX($C$682:$V$682,O$14)))</f>
        <v/>
      </c>
      <c r="P1207" s="62">
        <f>IF(P$14=0,WdhStd,IF(INDEX($C$682:$V$682,P$14)="",WdhStd,INDEX($C$682:$V$682,P$14)))</f>
        <v/>
      </c>
      <c r="Q1207" s="62">
        <f>IF(Q$14=0,WdhStd,IF(INDEX($C$682:$V$682,Q$14)="",WdhStd,INDEX($C$682:$V$682,Q$14)))</f>
        <v/>
      </c>
      <c r="R1207" s="62">
        <f>IF(R$14=0,WdhStd,IF(INDEX($C$682:$V$682,R$14)="",WdhStd,INDEX($C$682:$V$682,R$14)))</f>
        <v/>
      </c>
      <c r="S1207" s="62">
        <f>IF(S$14=0,WdhStd,IF(INDEX($C$682:$V$682,S$14)="",WdhStd,INDEX($C$682:$V$682,S$14)))</f>
        <v/>
      </c>
      <c r="T1207" s="62">
        <f>IF(T$14=0,WdhStd,IF(INDEX($C$682:$V$682,T$14)="",WdhStd,INDEX($C$682:$V$682,T$14)))</f>
        <v/>
      </c>
      <c r="U1207" s="62">
        <f>IF(U$14=0,WdhStd,IF(INDEX($C$682:$V$682,U$14)="",WdhStd,INDEX($C$682:$V$682,U$14)))</f>
        <v/>
      </c>
      <c r="V1207" s="62">
        <f>IF(V$14=0,WdhStd,IF(INDEX($C$682:$V$682,V$14)="",WdhStd,INDEX($C$682:$V$682,V$14)))</f>
        <v/>
      </c>
    </row>
    <row r="1208">
      <c r="C1208" s="62">
        <f>IF(C$14=0,WdhStd,IF(INDEX($C$683:$V$683,C$14)="",WdhStd,INDEX($C$683:$V$683,C$14)))</f>
        <v/>
      </c>
      <c r="D1208" s="62">
        <f>IF(D$14=0,WdhStd,IF(INDEX($C$683:$V$683,D$14)="",WdhStd,INDEX($C$683:$V$683,D$14)))</f>
        <v/>
      </c>
      <c r="E1208" s="62">
        <f>IF(E$14=0,WdhStd,IF(INDEX($C$683:$V$683,E$14)="",WdhStd,INDEX($C$683:$V$683,E$14)))</f>
        <v/>
      </c>
      <c r="F1208" s="62">
        <f>IF(F$14=0,WdhStd,IF(INDEX($C$683:$V$683,F$14)="",WdhStd,INDEX($C$683:$V$683,F$14)))</f>
        <v/>
      </c>
      <c r="G1208" s="62">
        <f>IF(G$14=0,WdhStd,IF(INDEX($C$683:$V$683,G$14)="",WdhStd,INDEX($C$683:$V$683,G$14)))</f>
        <v/>
      </c>
      <c r="H1208" s="62">
        <f>IF(H$14=0,WdhStd,IF(INDEX($C$683:$V$683,H$14)="",WdhStd,INDEX($C$683:$V$683,H$14)))</f>
        <v/>
      </c>
      <c r="I1208" s="62">
        <f>IF(I$14=0,WdhStd,IF(INDEX($C$683:$V$683,I$14)="",WdhStd,INDEX($C$683:$V$683,I$14)))</f>
        <v/>
      </c>
      <c r="J1208" s="62">
        <f>IF(J$14=0,WdhStd,IF(INDEX($C$683:$V$683,J$14)="",WdhStd,INDEX($C$683:$V$683,J$14)))</f>
        <v/>
      </c>
      <c r="K1208" s="62">
        <f>IF(K$14=0,WdhStd,IF(INDEX($C$683:$V$683,K$14)="",WdhStd,INDEX($C$683:$V$683,K$14)))</f>
        <v/>
      </c>
      <c r="L1208" s="62">
        <f>IF(L$14=0,WdhStd,IF(INDEX($C$683:$V$683,L$14)="",WdhStd,INDEX($C$683:$V$683,L$14)))</f>
        <v/>
      </c>
      <c r="M1208" s="62">
        <f>IF(M$14=0,WdhStd,IF(INDEX($C$683:$V$683,M$14)="",WdhStd,INDEX($C$683:$V$683,M$14)))</f>
        <v/>
      </c>
      <c r="N1208" s="62">
        <f>IF(N$14=0,WdhStd,IF(INDEX($C$683:$V$683,N$14)="",WdhStd,INDEX($C$683:$V$683,N$14)))</f>
        <v/>
      </c>
      <c r="O1208" s="62">
        <f>IF(O$14=0,WdhStd,IF(INDEX($C$683:$V$683,O$14)="",WdhStd,INDEX($C$683:$V$683,O$14)))</f>
        <v/>
      </c>
      <c r="P1208" s="62">
        <f>IF(P$14=0,WdhStd,IF(INDEX($C$683:$V$683,P$14)="",WdhStd,INDEX($C$683:$V$683,P$14)))</f>
        <v/>
      </c>
      <c r="Q1208" s="62">
        <f>IF(Q$14=0,WdhStd,IF(INDEX($C$683:$V$683,Q$14)="",WdhStd,INDEX($C$683:$V$683,Q$14)))</f>
        <v/>
      </c>
      <c r="R1208" s="62">
        <f>IF(R$14=0,WdhStd,IF(INDEX($C$683:$V$683,R$14)="",WdhStd,INDEX($C$683:$V$683,R$14)))</f>
        <v/>
      </c>
      <c r="S1208" s="62">
        <f>IF(S$14=0,WdhStd,IF(INDEX($C$683:$V$683,S$14)="",WdhStd,INDEX($C$683:$V$683,S$14)))</f>
        <v/>
      </c>
      <c r="T1208" s="62">
        <f>IF(T$14=0,WdhStd,IF(INDEX($C$683:$V$683,T$14)="",WdhStd,INDEX($C$683:$V$683,T$14)))</f>
        <v/>
      </c>
      <c r="U1208" s="62">
        <f>IF(U$14=0,WdhStd,IF(INDEX($C$683:$V$683,U$14)="",WdhStd,INDEX($C$683:$V$683,U$14)))</f>
        <v/>
      </c>
      <c r="V1208" s="62">
        <f>IF(V$14=0,WdhStd,IF(INDEX($C$683:$V$683,V$14)="",WdhStd,INDEX($C$683:$V$683,V$14)))</f>
        <v/>
      </c>
    </row>
    <row r="1209">
      <c r="C1209" s="62">
        <f>IF(C$14=0,WdhStd,IF(INDEX($C$684:$V$684,C$14)="",WdhStd,INDEX($C$684:$V$684,C$14)))</f>
        <v/>
      </c>
      <c r="D1209" s="62">
        <f>IF(D$14=0,WdhStd,IF(INDEX($C$684:$V$684,D$14)="",WdhStd,INDEX($C$684:$V$684,D$14)))</f>
        <v/>
      </c>
      <c r="E1209" s="62">
        <f>IF(E$14=0,WdhStd,IF(INDEX($C$684:$V$684,E$14)="",WdhStd,INDEX($C$684:$V$684,E$14)))</f>
        <v/>
      </c>
      <c r="F1209" s="62">
        <f>IF(F$14=0,WdhStd,IF(INDEX($C$684:$V$684,F$14)="",WdhStd,INDEX($C$684:$V$684,F$14)))</f>
        <v/>
      </c>
      <c r="G1209" s="62">
        <f>IF(G$14=0,WdhStd,IF(INDEX($C$684:$V$684,G$14)="",WdhStd,INDEX($C$684:$V$684,G$14)))</f>
        <v/>
      </c>
      <c r="H1209" s="62">
        <f>IF(H$14=0,WdhStd,IF(INDEX($C$684:$V$684,H$14)="",WdhStd,INDEX($C$684:$V$684,H$14)))</f>
        <v/>
      </c>
      <c r="I1209" s="62">
        <f>IF(I$14=0,WdhStd,IF(INDEX($C$684:$V$684,I$14)="",WdhStd,INDEX($C$684:$V$684,I$14)))</f>
        <v/>
      </c>
      <c r="J1209" s="62">
        <f>IF(J$14=0,WdhStd,IF(INDEX($C$684:$V$684,J$14)="",WdhStd,INDEX($C$684:$V$684,J$14)))</f>
        <v/>
      </c>
      <c r="K1209" s="62">
        <f>IF(K$14=0,WdhStd,IF(INDEX($C$684:$V$684,K$14)="",WdhStd,INDEX($C$684:$V$684,K$14)))</f>
        <v/>
      </c>
      <c r="L1209" s="62">
        <f>IF(L$14=0,WdhStd,IF(INDEX($C$684:$V$684,L$14)="",WdhStd,INDEX($C$684:$V$684,L$14)))</f>
        <v/>
      </c>
      <c r="M1209" s="62">
        <f>IF(M$14=0,WdhStd,IF(INDEX($C$684:$V$684,M$14)="",WdhStd,INDEX($C$684:$V$684,M$14)))</f>
        <v/>
      </c>
      <c r="N1209" s="62">
        <f>IF(N$14=0,WdhStd,IF(INDEX($C$684:$V$684,N$14)="",WdhStd,INDEX($C$684:$V$684,N$14)))</f>
        <v/>
      </c>
      <c r="O1209" s="62">
        <f>IF(O$14=0,WdhStd,IF(INDEX($C$684:$V$684,O$14)="",WdhStd,INDEX($C$684:$V$684,O$14)))</f>
        <v/>
      </c>
      <c r="P1209" s="62">
        <f>IF(P$14=0,WdhStd,IF(INDEX($C$684:$V$684,P$14)="",WdhStd,INDEX($C$684:$V$684,P$14)))</f>
        <v/>
      </c>
      <c r="Q1209" s="62">
        <f>IF(Q$14=0,WdhStd,IF(INDEX($C$684:$V$684,Q$14)="",WdhStd,INDEX($C$684:$V$684,Q$14)))</f>
        <v/>
      </c>
      <c r="R1209" s="62">
        <f>IF(R$14=0,WdhStd,IF(INDEX($C$684:$V$684,R$14)="",WdhStd,INDEX($C$684:$V$684,R$14)))</f>
        <v/>
      </c>
      <c r="S1209" s="62">
        <f>IF(S$14=0,WdhStd,IF(INDEX($C$684:$V$684,S$14)="",WdhStd,INDEX($C$684:$V$684,S$14)))</f>
        <v/>
      </c>
      <c r="T1209" s="62">
        <f>IF(T$14=0,WdhStd,IF(INDEX($C$684:$V$684,T$14)="",WdhStd,INDEX($C$684:$V$684,T$14)))</f>
        <v/>
      </c>
      <c r="U1209" s="62">
        <f>IF(U$14=0,WdhStd,IF(INDEX($C$684:$V$684,U$14)="",WdhStd,INDEX($C$684:$V$684,U$14)))</f>
        <v/>
      </c>
      <c r="V1209" s="62">
        <f>IF(V$14=0,WdhStd,IF(INDEX($C$684:$V$684,V$14)="",WdhStd,INDEX($C$684:$V$684,V$14)))</f>
        <v/>
      </c>
    </row>
    <row r="1210">
      <c r="C1210" s="62">
        <f>IF(C$14=0,WdhStd,IF(INDEX($C$685:$V$685,C$14)="",WdhStd,INDEX($C$685:$V$685,C$14)))</f>
        <v/>
      </c>
      <c r="D1210" s="62">
        <f>IF(D$14=0,WdhStd,IF(INDEX($C$685:$V$685,D$14)="",WdhStd,INDEX($C$685:$V$685,D$14)))</f>
        <v/>
      </c>
      <c r="E1210" s="62">
        <f>IF(E$14=0,WdhStd,IF(INDEX($C$685:$V$685,E$14)="",WdhStd,INDEX($C$685:$V$685,E$14)))</f>
        <v/>
      </c>
      <c r="F1210" s="62">
        <f>IF(F$14=0,WdhStd,IF(INDEX($C$685:$V$685,F$14)="",WdhStd,INDEX($C$685:$V$685,F$14)))</f>
        <v/>
      </c>
      <c r="G1210" s="62">
        <f>IF(G$14=0,WdhStd,IF(INDEX($C$685:$V$685,G$14)="",WdhStd,INDEX($C$685:$V$685,G$14)))</f>
        <v/>
      </c>
      <c r="H1210" s="62">
        <f>IF(H$14=0,WdhStd,IF(INDEX($C$685:$V$685,H$14)="",WdhStd,INDEX($C$685:$V$685,H$14)))</f>
        <v/>
      </c>
      <c r="I1210" s="62">
        <f>IF(I$14=0,WdhStd,IF(INDEX($C$685:$V$685,I$14)="",WdhStd,INDEX($C$685:$V$685,I$14)))</f>
        <v/>
      </c>
      <c r="J1210" s="62">
        <f>IF(J$14=0,WdhStd,IF(INDEX($C$685:$V$685,J$14)="",WdhStd,INDEX($C$685:$V$685,J$14)))</f>
        <v/>
      </c>
      <c r="K1210" s="62">
        <f>IF(K$14=0,WdhStd,IF(INDEX($C$685:$V$685,K$14)="",WdhStd,INDEX($C$685:$V$685,K$14)))</f>
        <v/>
      </c>
      <c r="L1210" s="62">
        <f>IF(L$14=0,WdhStd,IF(INDEX($C$685:$V$685,L$14)="",WdhStd,INDEX($C$685:$V$685,L$14)))</f>
        <v/>
      </c>
      <c r="M1210" s="62">
        <f>IF(M$14=0,WdhStd,IF(INDEX($C$685:$V$685,M$14)="",WdhStd,INDEX($C$685:$V$685,M$14)))</f>
        <v/>
      </c>
      <c r="N1210" s="62">
        <f>IF(N$14=0,WdhStd,IF(INDEX($C$685:$V$685,N$14)="",WdhStd,INDEX($C$685:$V$685,N$14)))</f>
        <v/>
      </c>
      <c r="O1210" s="62">
        <f>IF(O$14=0,WdhStd,IF(INDEX($C$685:$V$685,O$14)="",WdhStd,INDEX($C$685:$V$685,O$14)))</f>
        <v/>
      </c>
      <c r="P1210" s="62">
        <f>IF(P$14=0,WdhStd,IF(INDEX($C$685:$V$685,P$14)="",WdhStd,INDEX($C$685:$V$685,P$14)))</f>
        <v/>
      </c>
      <c r="Q1210" s="62">
        <f>IF(Q$14=0,WdhStd,IF(INDEX($C$685:$V$685,Q$14)="",WdhStd,INDEX($C$685:$V$685,Q$14)))</f>
        <v/>
      </c>
      <c r="R1210" s="62">
        <f>IF(R$14=0,WdhStd,IF(INDEX($C$685:$V$685,R$14)="",WdhStd,INDEX($C$685:$V$685,R$14)))</f>
        <v/>
      </c>
      <c r="S1210" s="62">
        <f>IF(S$14=0,WdhStd,IF(INDEX($C$685:$V$685,S$14)="",WdhStd,INDEX($C$685:$V$685,S$14)))</f>
        <v/>
      </c>
      <c r="T1210" s="62">
        <f>IF(T$14=0,WdhStd,IF(INDEX($C$685:$V$685,T$14)="",WdhStd,INDEX($C$685:$V$685,T$14)))</f>
        <v/>
      </c>
      <c r="U1210" s="62">
        <f>IF(U$14=0,WdhStd,IF(INDEX($C$685:$V$685,U$14)="",WdhStd,INDEX($C$685:$V$685,U$14)))</f>
        <v/>
      </c>
      <c r="V1210" s="62">
        <f>IF(V$14=0,WdhStd,IF(INDEX($C$685:$V$685,V$14)="",WdhStd,INDEX($C$685:$V$685,V$14)))</f>
        <v/>
      </c>
    </row>
    <row r="1211">
      <c r="C1211" s="62">
        <f>IF(C$14=0,WdhStd,IF(INDEX($C$686:$V$686,C$14)="",WdhStd,INDEX($C$686:$V$686,C$14)))</f>
        <v/>
      </c>
      <c r="D1211" s="62">
        <f>IF(D$14=0,WdhStd,IF(INDEX($C$686:$V$686,D$14)="",WdhStd,INDEX($C$686:$V$686,D$14)))</f>
        <v/>
      </c>
      <c r="E1211" s="62">
        <f>IF(E$14=0,WdhStd,IF(INDEX($C$686:$V$686,E$14)="",WdhStd,INDEX($C$686:$V$686,E$14)))</f>
        <v/>
      </c>
      <c r="F1211" s="62">
        <f>IF(F$14=0,WdhStd,IF(INDEX($C$686:$V$686,F$14)="",WdhStd,INDEX($C$686:$V$686,F$14)))</f>
        <v/>
      </c>
      <c r="G1211" s="62">
        <f>IF(G$14=0,WdhStd,IF(INDEX($C$686:$V$686,G$14)="",WdhStd,INDEX($C$686:$V$686,G$14)))</f>
        <v/>
      </c>
      <c r="H1211" s="62">
        <f>IF(H$14=0,WdhStd,IF(INDEX($C$686:$V$686,H$14)="",WdhStd,INDEX($C$686:$V$686,H$14)))</f>
        <v/>
      </c>
      <c r="I1211" s="62">
        <f>IF(I$14=0,WdhStd,IF(INDEX($C$686:$V$686,I$14)="",WdhStd,INDEX($C$686:$V$686,I$14)))</f>
        <v/>
      </c>
      <c r="J1211" s="62">
        <f>IF(J$14=0,WdhStd,IF(INDEX($C$686:$V$686,J$14)="",WdhStd,INDEX($C$686:$V$686,J$14)))</f>
        <v/>
      </c>
      <c r="K1211" s="62">
        <f>IF(K$14=0,WdhStd,IF(INDEX($C$686:$V$686,K$14)="",WdhStd,INDEX($C$686:$V$686,K$14)))</f>
        <v/>
      </c>
      <c r="L1211" s="62">
        <f>IF(L$14=0,WdhStd,IF(INDEX($C$686:$V$686,L$14)="",WdhStd,INDEX($C$686:$V$686,L$14)))</f>
        <v/>
      </c>
      <c r="M1211" s="62">
        <f>IF(M$14=0,WdhStd,IF(INDEX($C$686:$V$686,M$14)="",WdhStd,INDEX($C$686:$V$686,M$14)))</f>
        <v/>
      </c>
      <c r="N1211" s="62">
        <f>IF(N$14=0,WdhStd,IF(INDEX($C$686:$V$686,N$14)="",WdhStd,INDEX($C$686:$V$686,N$14)))</f>
        <v/>
      </c>
      <c r="O1211" s="62">
        <f>IF(O$14=0,WdhStd,IF(INDEX($C$686:$V$686,O$14)="",WdhStd,INDEX($C$686:$V$686,O$14)))</f>
        <v/>
      </c>
      <c r="P1211" s="62">
        <f>IF(P$14=0,WdhStd,IF(INDEX($C$686:$V$686,P$14)="",WdhStd,INDEX($C$686:$V$686,P$14)))</f>
        <v/>
      </c>
      <c r="Q1211" s="62">
        <f>IF(Q$14=0,WdhStd,IF(INDEX($C$686:$V$686,Q$14)="",WdhStd,INDEX($C$686:$V$686,Q$14)))</f>
        <v/>
      </c>
      <c r="R1211" s="62">
        <f>IF(R$14=0,WdhStd,IF(INDEX($C$686:$V$686,R$14)="",WdhStd,INDEX($C$686:$V$686,R$14)))</f>
        <v/>
      </c>
      <c r="S1211" s="62">
        <f>IF(S$14=0,WdhStd,IF(INDEX($C$686:$V$686,S$14)="",WdhStd,INDEX($C$686:$V$686,S$14)))</f>
        <v/>
      </c>
      <c r="T1211" s="62">
        <f>IF(T$14=0,WdhStd,IF(INDEX($C$686:$V$686,T$14)="",WdhStd,INDEX($C$686:$V$686,T$14)))</f>
        <v/>
      </c>
      <c r="U1211" s="62">
        <f>IF(U$14=0,WdhStd,IF(INDEX($C$686:$V$686,U$14)="",WdhStd,INDEX($C$686:$V$686,U$14)))</f>
        <v/>
      </c>
      <c r="V1211" s="62">
        <f>IF(V$14=0,WdhStd,IF(INDEX($C$686:$V$686,V$14)="",WdhStd,INDEX($C$686:$V$686,V$14)))</f>
        <v/>
      </c>
    </row>
    <row r="1212">
      <c r="C1212" s="62">
        <f>IF(C$14=0,WdhStd,IF(INDEX($C$687:$V$687,C$14)="",WdhStd,INDEX($C$687:$V$687,C$14)))</f>
        <v/>
      </c>
      <c r="D1212" s="62">
        <f>IF(D$14=0,WdhStd,IF(INDEX($C$687:$V$687,D$14)="",WdhStd,INDEX($C$687:$V$687,D$14)))</f>
        <v/>
      </c>
      <c r="E1212" s="62">
        <f>IF(E$14=0,WdhStd,IF(INDEX($C$687:$V$687,E$14)="",WdhStd,INDEX($C$687:$V$687,E$14)))</f>
        <v/>
      </c>
      <c r="F1212" s="62">
        <f>IF(F$14=0,WdhStd,IF(INDEX($C$687:$V$687,F$14)="",WdhStd,INDEX($C$687:$V$687,F$14)))</f>
        <v/>
      </c>
      <c r="G1212" s="62">
        <f>IF(G$14=0,WdhStd,IF(INDEX($C$687:$V$687,G$14)="",WdhStd,INDEX($C$687:$V$687,G$14)))</f>
        <v/>
      </c>
      <c r="H1212" s="62">
        <f>IF(H$14=0,WdhStd,IF(INDEX($C$687:$V$687,H$14)="",WdhStd,INDEX($C$687:$V$687,H$14)))</f>
        <v/>
      </c>
      <c r="I1212" s="62">
        <f>IF(I$14=0,WdhStd,IF(INDEX($C$687:$V$687,I$14)="",WdhStd,INDEX($C$687:$V$687,I$14)))</f>
        <v/>
      </c>
      <c r="J1212" s="62">
        <f>IF(J$14=0,WdhStd,IF(INDEX($C$687:$V$687,J$14)="",WdhStd,INDEX($C$687:$V$687,J$14)))</f>
        <v/>
      </c>
      <c r="K1212" s="62">
        <f>IF(K$14=0,WdhStd,IF(INDEX($C$687:$V$687,K$14)="",WdhStd,INDEX($C$687:$V$687,K$14)))</f>
        <v/>
      </c>
      <c r="L1212" s="62">
        <f>IF(L$14=0,WdhStd,IF(INDEX($C$687:$V$687,L$14)="",WdhStd,INDEX($C$687:$V$687,L$14)))</f>
        <v/>
      </c>
      <c r="M1212" s="62">
        <f>IF(M$14=0,WdhStd,IF(INDEX($C$687:$V$687,M$14)="",WdhStd,INDEX($C$687:$V$687,M$14)))</f>
        <v/>
      </c>
      <c r="N1212" s="62">
        <f>IF(N$14=0,WdhStd,IF(INDEX($C$687:$V$687,N$14)="",WdhStd,INDEX($C$687:$V$687,N$14)))</f>
        <v/>
      </c>
      <c r="O1212" s="62">
        <f>IF(O$14=0,WdhStd,IF(INDEX($C$687:$V$687,O$14)="",WdhStd,INDEX($C$687:$V$687,O$14)))</f>
        <v/>
      </c>
      <c r="P1212" s="62">
        <f>IF(P$14=0,WdhStd,IF(INDEX($C$687:$V$687,P$14)="",WdhStd,INDEX($C$687:$V$687,P$14)))</f>
        <v/>
      </c>
      <c r="Q1212" s="62">
        <f>IF(Q$14=0,WdhStd,IF(INDEX($C$687:$V$687,Q$14)="",WdhStd,INDEX($C$687:$V$687,Q$14)))</f>
        <v/>
      </c>
      <c r="R1212" s="62">
        <f>IF(R$14=0,WdhStd,IF(INDEX($C$687:$V$687,R$14)="",WdhStd,INDEX($C$687:$V$687,R$14)))</f>
        <v/>
      </c>
      <c r="S1212" s="62">
        <f>IF(S$14=0,WdhStd,IF(INDEX($C$687:$V$687,S$14)="",WdhStd,INDEX($C$687:$V$687,S$14)))</f>
        <v/>
      </c>
      <c r="T1212" s="62">
        <f>IF(T$14=0,WdhStd,IF(INDEX($C$687:$V$687,T$14)="",WdhStd,INDEX($C$687:$V$687,T$14)))</f>
        <v/>
      </c>
      <c r="U1212" s="62">
        <f>IF(U$14=0,WdhStd,IF(INDEX($C$687:$V$687,U$14)="",WdhStd,INDEX($C$687:$V$687,U$14)))</f>
        <v/>
      </c>
      <c r="V1212" s="62">
        <f>IF(V$14=0,WdhStd,IF(INDEX($C$687:$V$687,V$14)="",WdhStd,INDEX($C$687:$V$687,V$14)))</f>
        <v/>
      </c>
    </row>
    <row r="1213">
      <c r="C1213" s="62">
        <f>IF(C$14=0,WdhStd,IF(INDEX($C$688:$V$688,C$14)="",WdhStd,INDEX($C$688:$V$688,C$14)))</f>
        <v/>
      </c>
      <c r="D1213" s="62">
        <f>IF(D$14=0,WdhStd,IF(INDEX($C$688:$V$688,D$14)="",WdhStd,INDEX($C$688:$V$688,D$14)))</f>
        <v/>
      </c>
      <c r="E1213" s="62">
        <f>IF(E$14=0,WdhStd,IF(INDEX($C$688:$V$688,E$14)="",WdhStd,INDEX($C$688:$V$688,E$14)))</f>
        <v/>
      </c>
      <c r="F1213" s="62">
        <f>IF(F$14=0,WdhStd,IF(INDEX($C$688:$V$688,F$14)="",WdhStd,INDEX($C$688:$V$688,F$14)))</f>
        <v/>
      </c>
      <c r="G1213" s="62">
        <f>IF(G$14=0,WdhStd,IF(INDEX($C$688:$V$688,G$14)="",WdhStd,INDEX($C$688:$V$688,G$14)))</f>
        <v/>
      </c>
      <c r="H1213" s="62">
        <f>IF(H$14=0,WdhStd,IF(INDEX($C$688:$V$688,H$14)="",WdhStd,INDEX($C$688:$V$688,H$14)))</f>
        <v/>
      </c>
      <c r="I1213" s="62">
        <f>IF(I$14=0,WdhStd,IF(INDEX($C$688:$V$688,I$14)="",WdhStd,INDEX($C$688:$V$688,I$14)))</f>
        <v/>
      </c>
      <c r="J1213" s="62">
        <f>IF(J$14=0,WdhStd,IF(INDEX($C$688:$V$688,J$14)="",WdhStd,INDEX($C$688:$V$688,J$14)))</f>
        <v/>
      </c>
      <c r="K1213" s="62">
        <f>IF(K$14=0,WdhStd,IF(INDEX($C$688:$V$688,K$14)="",WdhStd,INDEX($C$688:$V$688,K$14)))</f>
        <v/>
      </c>
      <c r="L1213" s="62">
        <f>IF(L$14=0,WdhStd,IF(INDEX($C$688:$V$688,L$14)="",WdhStd,INDEX($C$688:$V$688,L$14)))</f>
        <v/>
      </c>
      <c r="M1213" s="62">
        <f>IF(M$14=0,WdhStd,IF(INDEX($C$688:$V$688,M$14)="",WdhStd,INDEX($C$688:$V$688,M$14)))</f>
        <v/>
      </c>
      <c r="N1213" s="62">
        <f>IF(N$14=0,WdhStd,IF(INDEX($C$688:$V$688,N$14)="",WdhStd,INDEX($C$688:$V$688,N$14)))</f>
        <v/>
      </c>
      <c r="O1213" s="62">
        <f>IF(O$14=0,WdhStd,IF(INDEX($C$688:$V$688,O$14)="",WdhStd,INDEX($C$688:$V$688,O$14)))</f>
        <v/>
      </c>
      <c r="P1213" s="62">
        <f>IF(P$14=0,WdhStd,IF(INDEX($C$688:$V$688,P$14)="",WdhStd,INDEX($C$688:$V$688,P$14)))</f>
        <v/>
      </c>
      <c r="Q1213" s="62">
        <f>IF(Q$14=0,WdhStd,IF(INDEX($C$688:$V$688,Q$14)="",WdhStd,INDEX($C$688:$V$688,Q$14)))</f>
        <v/>
      </c>
      <c r="R1213" s="62">
        <f>IF(R$14=0,WdhStd,IF(INDEX($C$688:$V$688,R$14)="",WdhStd,INDEX($C$688:$V$688,R$14)))</f>
        <v/>
      </c>
      <c r="S1213" s="62">
        <f>IF(S$14=0,WdhStd,IF(INDEX($C$688:$V$688,S$14)="",WdhStd,INDEX($C$688:$V$688,S$14)))</f>
        <v/>
      </c>
      <c r="T1213" s="62">
        <f>IF(T$14=0,WdhStd,IF(INDEX($C$688:$V$688,T$14)="",WdhStd,INDEX($C$688:$V$688,T$14)))</f>
        <v/>
      </c>
      <c r="U1213" s="62">
        <f>IF(U$14=0,WdhStd,IF(INDEX($C$688:$V$688,U$14)="",WdhStd,INDEX($C$688:$V$688,U$14)))</f>
        <v/>
      </c>
      <c r="V1213" s="62">
        <f>IF(V$14=0,WdhStd,IF(INDEX($C$688:$V$688,V$14)="",WdhStd,INDEX($C$688:$V$688,V$14)))</f>
        <v/>
      </c>
    </row>
    <row r="1214">
      <c r="C1214" s="62">
        <f>IF(C$14=0,WdhStd,IF(INDEX($C$689:$V$689,C$14)="",WdhStd,INDEX($C$689:$V$689,C$14)))</f>
        <v/>
      </c>
      <c r="D1214" s="62">
        <f>IF(D$14=0,WdhStd,IF(INDEX($C$689:$V$689,D$14)="",WdhStd,INDEX($C$689:$V$689,D$14)))</f>
        <v/>
      </c>
      <c r="E1214" s="62">
        <f>IF(E$14=0,WdhStd,IF(INDEX($C$689:$V$689,E$14)="",WdhStd,INDEX($C$689:$V$689,E$14)))</f>
        <v/>
      </c>
      <c r="F1214" s="62">
        <f>IF(F$14=0,WdhStd,IF(INDEX($C$689:$V$689,F$14)="",WdhStd,INDEX($C$689:$V$689,F$14)))</f>
        <v/>
      </c>
      <c r="G1214" s="62">
        <f>IF(G$14=0,WdhStd,IF(INDEX($C$689:$V$689,G$14)="",WdhStd,INDEX($C$689:$V$689,G$14)))</f>
        <v/>
      </c>
      <c r="H1214" s="62">
        <f>IF(H$14=0,WdhStd,IF(INDEX($C$689:$V$689,H$14)="",WdhStd,INDEX($C$689:$V$689,H$14)))</f>
        <v/>
      </c>
      <c r="I1214" s="62">
        <f>IF(I$14=0,WdhStd,IF(INDEX($C$689:$V$689,I$14)="",WdhStd,INDEX($C$689:$V$689,I$14)))</f>
        <v/>
      </c>
      <c r="J1214" s="62">
        <f>IF(J$14=0,WdhStd,IF(INDEX($C$689:$V$689,J$14)="",WdhStd,INDEX($C$689:$V$689,J$14)))</f>
        <v/>
      </c>
      <c r="K1214" s="62">
        <f>IF(K$14=0,WdhStd,IF(INDEX($C$689:$V$689,K$14)="",WdhStd,INDEX($C$689:$V$689,K$14)))</f>
        <v/>
      </c>
      <c r="L1214" s="62">
        <f>IF(L$14=0,WdhStd,IF(INDEX($C$689:$V$689,L$14)="",WdhStd,INDEX($C$689:$V$689,L$14)))</f>
        <v/>
      </c>
      <c r="M1214" s="62">
        <f>IF(M$14=0,WdhStd,IF(INDEX($C$689:$V$689,M$14)="",WdhStd,INDEX($C$689:$V$689,M$14)))</f>
        <v/>
      </c>
      <c r="N1214" s="62">
        <f>IF(N$14=0,WdhStd,IF(INDEX($C$689:$V$689,N$14)="",WdhStd,INDEX($C$689:$V$689,N$14)))</f>
        <v/>
      </c>
      <c r="O1214" s="62">
        <f>IF(O$14=0,WdhStd,IF(INDEX($C$689:$V$689,O$14)="",WdhStd,INDEX($C$689:$V$689,O$14)))</f>
        <v/>
      </c>
      <c r="P1214" s="62">
        <f>IF(P$14=0,WdhStd,IF(INDEX($C$689:$V$689,P$14)="",WdhStd,INDEX($C$689:$V$689,P$14)))</f>
        <v/>
      </c>
      <c r="Q1214" s="62">
        <f>IF(Q$14=0,WdhStd,IF(INDEX($C$689:$V$689,Q$14)="",WdhStd,INDEX($C$689:$V$689,Q$14)))</f>
        <v/>
      </c>
      <c r="R1214" s="62">
        <f>IF(R$14=0,WdhStd,IF(INDEX($C$689:$V$689,R$14)="",WdhStd,INDEX($C$689:$V$689,R$14)))</f>
        <v/>
      </c>
      <c r="S1214" s="62">
        <f>IF(S$14=0,WdhStd,IF(INDEX($C$689:$V$689,S$14)="",WdhStd,INDEX($C$689:$V$689,S$14)))</f>
        <v/>
      </c>
      <c r="T1214" s="62">
        <f>IF(T$14=0,WdhStd,IF(INDEX($C$689:$V$689,T$14)="",WdhStd,INDEX($C$689:$V$689,T$14)))</f>
        <v/>
      </c>
      <c r="U1214" s="62">
        <f>IF(U$14=0,WdhStd,IF(INDEX($C$689:$V$689,U$14)="",WdhStd,INDEX($C$689:$V$689,U$14)))</f>
        <v/>
      </c>
      <c r="V1214" s="62">
        <f>IF(V$14=0,WdhStd,IF(INDEX($C$689:$V$689,V$14)="",WdhStd,INDEX($C$689:$V$689,V$14)))</f>
        <v/>
      </c>
    </row>
    <row r="1215">
      <c r="C1215" s="62">
        <f>IF(C$14=0,WdhStd,IF(INDEX($C$690:$V$690,C$14)="",WdhStd,INDEX($C$690:$V$690,C$14)))</f>
        <v/>
      </c>
      <c r="D1215" s="62">
        <f>IF(D$14=0,WdhStd,IF(INDEX($C$690:$V$690,D$14)="",WdhStd,INDEX($C$690:$V$690,D$14)))</f>
        <v/>
      </c>
      <c r="E1215" s="62">
        <f>IF(E$14=0,WdhStd,IF(INDEX($C$690:$V$690,E$14)="",WdhStd,INDEX($C$690:$V$690,E$14)))</f>
        <v/>
      </c>
      <c r="F1215" s="62">
        <f>IF(F$14=0,WdhStd,IF(INDEX($C$690:$V$690,F$14)="",WdhStd,INDEX($C$690:$V$690,F$14)))</f>
        <v/>
      </c>
      <c r="G1215" s="62">
        <f>IF(G$14=0,WdhStd,IF(INDEX($C$690:$V$690,G$14)="",WdhStd,INDEX($C$690:$V$690,G$14)))</f>
        <v/>
      </c>
      <c r="H1215" s="62">
        <f>IF(H$14=0,WdhStd,IF(INDEX($C$690:$V$690,H$14)="",WdhStd,INDEX($C$690:$V$690,H$14)))</f>
        <v/>
      </c>
      <c r="I1215" s="62">
        <f>IF(I$14=0,WdhStd,IF(INDEX($C$690:$V$690,I$14)="",WdhStd,INDEX($C$690:$V$690,I$14)))</f>
        <v/>
      </c>
      <c r="J1215" s="62">
        <f>IF(J$14=0,WdhStd,IF(INDEX($C$690:$V$690,J$14)="",WdhStd,INDEX($C$690:$V$690,J$14)))</f>
        <v/>
      </c>
      <c r="K1215" s="62">
        <f>IF(K$14=0,WdhStd,IF(INDEX($C$690:$V$690,K$14)="",WdhStd,INDEX($C$690:$V$690,K$14)))</f>
        <v/>
      </c>
      <c r="L1215" s="62">
        <f>IF(L$14=0,WdhStd,IF(INDEX($C$690:$V$690,L$14)="",WdhStd,INDEX($C$690:$V$690,L$14)))</f>
        <v/>
      </c>
      <c r="M1215" s="62">
        <f>IF(M$14=0,WdhStd,IF(INDEX($C$690:$V$690,M$14)="",WdhStd,INDEX($C$690:$V$690,M$14)))</f>
        <v/>
      </c>
      <c r="N1215" s="62">
        <f>IF(N$14=0,WdhStd,IF(INDEX($C$690:$V$690,N$14)="",WdhStd,INDEX($C$690:$V$690,N$14)))</f>
        <v/>
      </c>
      <c r="O1215" s="62">
        <f>IF(O$14=0,WdhStd,IF(INDEX($C$690:$V$690,O$14)="",WdhStd,INDEX($C$690:$V$690,O$14)))</f>
        <v/>
      </c>
      <c r="P1215" s="62">
        <f>IF(P$14=0,WdhStd,IF(INDEX($C$690:$V$690,P$14)="",WdhStd,INDEX($C$690:$V$690,P$14)))</f>
        <v/>
      </c>
      <c r="Q1215" s="62">
        <f>IF(Q$14=0,WdhStd,IF(INDEX($C$690:$V$690,Q$14)="",WdhStd,INDEX($C$690:$V$690,Q$14)))</f>
        <v/>
      </c>
      <c r="R1215" s="62">
        <f>IF(R$14=0,WdhStd,IF(INDEX($C$690:$V$690,R$14)="",WdhStd,INDEX($C$690:$V$690,R$14)))</f>
        <v/>
      </c>
      <c r="S1215" s="62">
        <f>IF(S$14=0,WdhStd,IF(INDEX($C$690:$V$690,S$14)="",WdhStd,INDEX($C$690:$V$690,S$14)))</f>
        <v/>
      </c>
      <c r="T1215" s="62">
        <f>IF(T$14=0,WdhStd,IF(INDEX($C$690:$V$690,T$14)="",WdhStd,INDEX($C$690:$V$690,T$14)))</f>
        <v/>
      </c>
      <c r="U1215" s="62">
        <f>IF(U$14=0,WdhStd,IF(INDEX($C$690:$V$690,U$14)="",WdhStd,INDEX($C$690:$V$690,U$14)))</f>
        <v/>
      </c>
      <c r="V1215" s="62">
        <f>IF(V$14=0,WdhStd,IF(INDEX($C$690:$V$690,V$14)="",WdhStd,INDEX($C$690:$V$690,V$14)))</f>
        <v/>
      </c>
    </row>
    <row r="1216">
      <c r="C1216" s="62">
        <f>IF(C$14=0,WdhStd,IF(INDEX($C$691:$V$691,C$14)="",WdhStd,INDEX($C$691:$V$691,C$14)))</f>
        <v/>
      </c>
      <c r="D1216" s="62">
        <f>IF(D$14=0,WdhStd,IF(INDEX($C$691:$V$691,D$14)="",WdhStd,INDEX($C$691:$V$691,D$14)))</f>
        <v/>
      </c>
      <c r="E1216" s="62">
        <f>IF(E$14=0,WdhStd,IF(INDEX($C$691:$V$691,E$14)="",WdhStd,INDEX($C$691:$V$691,E$14)))</f>
        <v/>
      </c>
      <c r="F1216" s="62">
        <f>IF(F$14=0,WdhStd,IF(INDEX($C$691:$V$691,F$14)="",WdhStd,INDEX($C$691:$V$691,F$14)))</f>
        <v/>
      </c>
      <c r="G1216" s="62">
        <f>IF(G$14=0,WdhStd,IF(INDEX($C$691:$V$691,G$14)="",WdhStd,INDEX($C$691:$V$691,G$14)))</f>
        <v/>
      </c>
      <c r="H1216" s="62">
        <f>IF(H$14=0,WdhStd,IF(INDEX($C$691:$V$691,H$14)="",WdhStd,INDEX($C$691:$V$691,H$14)))</f>
        <v/>
      </c>
      <c r="I1216" s="62">
        <f>IF(I$14=0,WdhStd,IF(INDEX($C$691:$V$691,I$14)="",WdhStd,INDEX($C$691:$V$691,I$14)))</f>
        <v/>
      </c>
      <c r="J1216" s="62">
        <f>IF(J$14=0,WdhStd,IF(INDEX($C$691:$V$691,J$14)="",WdhStd,INDEX($C$691:$V$691,J$14)))</f>
        <v/>
      </c>
      <c r="K1216" s="62">
        <f>IF(K$14=0,WdhStd,IF(INDEX($C$691:$V$691,K$14)="",WdhStd,INDEX($C$691:$V$691,K$14)))</f>
        <v/>
      </c>
      <c r="L1216" s="62">
        <f>IF(L$14=0,WdhStd,IF(INDEX($C$691:$V$691,L$14)="",WdhStd,INDEX($C$691:$V$691,L$14)))</f>
        <v/>
      </c>
      <c r="M1216" s="62">
        <f>IF(M$14=0,WdhStd,IF(INDEX($C$691:$V$691,M$14)="",WdhStd,INDEX($C$691:$V$691,M$14)))</f>
        <v/>
      </c>
      <c r="N1216" s="62">
        <f>IF(N$14=0,WdhStd,IF(INDEX($C$691:$V$691,N$14)="",WdhStd,INDEX($C$691:$V$691,N$14)))</f>
        <v/>
      </c>
      <c r="O1216" s="62">
        <f>IF(O$14=0,WdhStd,IF(INDEX($C$691:$V$691,O$14)="",WdhStd,INDEX($C$691:$V$691,O$14)))</f>
        <v/>
      </c>
      <c r="P1216" s="62">
        <f>IF(P$14=0,WdhStd,IF(INDEX($C$691:$V$691,P$14)="",WdhStd,INDEX($C$691:$V$691,P$14)))</f>
        <v/>
      </c>
      <c r="Q1216" s="62">
        <f>IF(Q$14=0,WdhStd,IF(INDEX($C$691:$V$691,Q$14)="",WdhStd,INDEX($C$691:$V$691,Q$14)))</f>
        <v/>
      </c>
      <c r="R1216" s="62">
        <f>IF(R$14=0,WdhStd,IF(INDEX($C$691:$V$691,R$14)="",WdhStd,INDEX($C$691:$V$691,R$14)))</f>
        <v/>
      </c>
      <c r="S1216" s="62">
        <f>IF(S$14=0,WdhStd,IF(INDEX($C$691:$V$691,S$14)="",WdhStd,INDEX($C$691:$V$691,S$14)))</f>
        <v/>
      </c>
      <c r="T1216" s="62">
        <f>IF(T$14=0,WdhStd,IF(INDEX($C$691:$V$691,T$14)="",WdhStd,INDEX($C$691:$V$691,T$14)))</f>
        <v/>
      </c>
      <c r="U1216" s="62">
        <f>IF(U$14=0,WdhStd,IF(INDEX($C$691:$V$691,U$14)="",WdhStd,INDEX($C$691:$V$691,U$14)))</f>
        <v/>
      </c>
      <c r="V1216" s="62">
        <f>IF(V$14=0,WdhStd,IF(INDEX($C$691:$V$691,V$14)="",WdhStd,INDEX($C$691:$V$691,V$14)))</f>
        <v/>
      </c>
    </row>
    <row r="1217">
      <c r="C1217" s="62">
        <f>IF(C$14=0,WdhStd,IF(INDEX($C$692:$V$692,C$14)="",WdhStd,INDEX($C$692:$V$692,C$14)))</f>
        <v/>
      </c>
      <c r="D1217" s="62">
        <f>IF(D$14=0,WdhStd,IF(INDEX($C$692:$V$692,D$14)="",WdhStd,INDEX($C$692:$V$692,D$14)))</f>
        <v/>
      </c>
      <c r="E1217" s="62">
        <f>IF(E$14=0,WdhStd,IF(INDEX($C$692:$V$692,E$14)="",WdhStd,INDEX($C$692:$V$692,E$14)))</f>
        <v/>
      </c>
      <c r="F1217" s="62">
        <f>IF(F$14=0,WdhStd,IF(INDEX($C$692:$V$692,F$14)="",WdhStd,INDEX($C$692:$V$692,F$14)))</f>
        <v/>
      </c>
      <c r="G1217" s="62">
        <f>IF(G$14=0,WdhStd,IF(INDEX($C$692:$V$692,G$14)="",WdhStd,INDEX($C$692:$V$692,G$14)))</f>
        <v/>
      </c>
      <c r="H1217" s="62">
        <f>IF(H$14=0,WdhStd,IF(INDEX($C$692:$V$692,H$14)="",WdhStd,INDEX($C$692:$V$692,H$14)))</f>
        <v/>
      </c>
      <c r="I1217" s="62">
        <f>IF(I$14=0,WdhStd,IF(INDEX($C$692:$V$692,I$14)="",WdhStd,INDEX($C$692:$V$692,I$14)))</f>
        <v/>
      </c>
      <c r="J1217" s="62">
        <f>IF(J$14=0,WdhStd,IF(INDEX($C$692:$V$692,J$14)="",WdhStd,INDEX($C$692:$V$692,J$14)))</f>
        <v/>
      </c>
      <c r="K1217" s="62">
        <f>IF(K$14=0,WdhStd,IF(INDEX($C$692:$V$692,K$14)="",WdhStd,INDEX($C$692:$V$692,K$14)))</f>
        <v/>
      </c>
      <c r="L1217" s="62">
        <f>IF(L$14=0,WdhStd,IF(INDEX($C$692:$V$692,L$14)="",WdhStd,INDEX($C$692:$V$692,L$14)))</f>
        <v/>
      </c>
      <c r="M1217" s="62">
        <f>IF(M$14=0,WdhStd,IF(INDEX($C$692:$V$692,M$14)="",WdhStd,INDEX($C$692:$V$692,M$14)))</f>
        <v/>
      </c>
      <c r="N1217" s="62">
        <f>IF(N$14=0,WdhStd,IF(INDEX($C$692:$V$692,N$14)="",WdhStd,INDEX($C$692:$V$692,N$14)))</f>
        <v/>
      </c>
      <c r="O1217" s="62">
        <f>IF(O$14=0,WdhStd,IF(INDEX($C$692:$V$692,O$14)="",WdhStd,INDEX($C$692:$V$692,O$14)))</f>
        <v/>
      </c>
      <c r="P1217" s="62">
        <f>IF(P$14=0,WdhStd,IF(INDEX($C$692:$V$692,P$14)="",WdhStd,INDEX($C$692:$V$692,P$14)))</f>
        <v/>
      </c>
      <c r="Q1217" s="62">
        <f>IF(Q$14=0,WdhStd,IF(INDEX($C$692:$V$692,Q$14)="",WdhStd,INDEX($C$692:$V$692,Q$14)))</f>
        <v/>
      </c>
      <c r="R1217" s="62">
        <f>IF(R$14=0,WdhStd,IF(INDEX($C$692:$V$692,R$14)="",WdhStd,INDEX($C$692:$V$692,R$14)))</f>
        <v/>
      </c>
      <c r="S1217" s="62">
        <f>IF(S$14=0,WdhStd,IF(INDEX($C$692:$V$692,S$14)="",WdhStd,INDEX($C$692:$V$692,S$14)))</f>
        <v/>
      </c>
      <c r="T1217" s="62">
        <f>IF(T$14=0,WdhStd,IF(INDEX($C$692:$V$692,T$14)="",WdhStd,INDEX($C$692:$V$692,T$14)))</f>
        <v/>
      </c>
      <c r="U1217" s="62">
        <f>IF(U$14=0,WdhStd,IF(INDEX($C$692:$V$692,U$14)="",WdhStd,INDEX($C$692:$V$692,U$14)))</f>
        <v/>
      </c>
      <c r="V1217" s="62">
        <f>IF(V$14=0,WdhStd,IF(INDEX($C$692:$V$692,V$14)="",WdhStd,INDEX($C$692:$V$692,V$14)))</f>
        <v/>
      </c>
    </row>
    <row r="1218">
      <c r="C1218" s="62">
        <f>IF(C$14=0,WdhStd,IF(INDEX($C$693:$V$693,C$14)="",WdhStd,INDEX($C$693:$V$693,C$14)))</f>
        <v/>
      </c>
      <c r="D1218" s="62">
        <f>IF(D$14=0,WdhStd,IF(INDEX($C$693:$V$693,D$14)="",WdhStd,INDEX($C$693:$V$693,D$14)))</f>
        <v/>
      </c>
      <c r="E1218" s="62">
        <f>IF(E$14=0,WdhStd,IF(INDEX($C$693:$V$693,E$14)="",WdhStd,INDEX($C$693:$V$693,E$14)))</f>
        <v/>
      </c>
      <c r="F1218" s="62">
        <f>IF(F$14=0,WdhStd,IF(INDEX($C$693:$V$693,F$14)="",WdhStd,INDEX($C$693:$V$693,F$14)))</f>
        <v/>
      </c>
      <c r="G1218" s="62">
        <f>IF(G$14=0,WdhStd,IF(INDEX($C$693:$V$693,G$14)="",WdhStd,INDEX($C$693:$V$693,G$14)))</f>
        <v/>
      </c>
      <c r="H1218" s="62">
        <f>IF(H$14=0,WdhStd,IF(INDEX($C$693:$V$693,H$14)="",WdhStd,INDEX($C$693:$V$693,H$14)))</f>
        <v/>
      </c>
      <c r="I1218" s="62">
        <f>IF(I$14=0,WdhStd,IF(INDEX($C$693:$V$693,I$14)="",WdhStd,INDEX($C$693:$V$693,I$14)))</f>
        <v/>
      </c>
      <c r="J1218" s="62">
        <f>IF(J$14=0,WdhStd,IF(INDEX($C$693:$V$693,J$14)="",WdhStd,INDEX($C$693:$V$693,J$14)))</f>
        <v/>
      </c>
      <c r="K1218" s="62">
        <f>IF(K$14=0,WdhStd,IF(INDEX($C$693:$V$693,K$14)="",WdhStd,INDEX($C$693:$V$693,K$14)))</f>
        <v/>
      </c>
      <c r="L1218" s="62">
        <f>IF(L$14=0,WdhStd,IF(INDEX($C$693:$V$693,L$14)="",WdhStd,INDEX($C$693:$V$693,L$14)))</f>
        <v/>
      </c>
      <c r="M1218" s="62">
        <f>IF(M$14=0,WdhStd,IF(INDEX($C$693:$V$693,M$14)="",WdhStd,INDEX($C$693:$V$693,M$14)))</f>
        <v/>
      </c>
      <c r="N1218" s="62">
        <f>IF(N$14=0,WdhStd,IF(INDEX($C$693:$V$693,N$14)="",WdhStd,INDEX($C$693:$V$693,N$14)))</f>
        <v/>
      </c>
      <c r="O1218" s="62">
        <f>IF(O$14=0,WdhStd,IF(INDEX($C$693:$V$693,O$14)="",WdhStd,INDEX($C$693:$V$693,O$14)))</f>
        <v/>
      </c>
      <c r="P1218" s="62">
        <f>IF(P$14=0,WdhStd,IF(INDEX($C$693:$V$693,P$14)="",WdhStd,INDEX($C$693:$V$693,P$14)))</f>
        <v/>
      </c>
      <c r="Q1218" s="62">
        <f>IF(Q$14=0,WdhStd,IF(INDEX($C$693:$V$693,Q$14)="",WdhStd,INDEX($C$693:$V$693,Q$14)))</f>
        <v/>
      </c>
      <c r="R1218" s="62">
        <f>IF(R$14=0,WdhStd,IF(INDEX($C$693:$V$693,R$14)="",WdhStd,INDEX($C$693:$V$693,R$14)))</f>
        <v/>
      </c>
      <c r="S1218" s="62">
        <f>IF(S$14=0,WdhStd,IF(INDEX($C$693:$V$693,S$14)="",WdhStd,INDEX($C$693:$V$693,S$14)))</f>
        <v/>
      </c>
      <c r="T1218" s="62">
        <f>IF(T$14=0,WdhStd,IF(INDEX($C$693:$V$693,T$14)="",WdhStd,INDEX($C$693:$V$693,T$14)))</f>
        <v/>
      </c>
      <c r="U1218" s="62">
        <f>IF(U$14=0,WdhStd,IF(INDEX($C$693:$V$693,U$14)="",WdhStd,INDEX($C$693:$V$693,U$14)))</f>
        <v/>
      </c>
      <c r="V1218" s="62">
        <f>IF(V$14=0,WdhStd,IF(INDEX($C$693:$V$693,V$14)="",WdhStd,INDEX($C$693:$V$693,V$14)))</f>
        <v/>
      </c>
    </row>
    <row r="1219">
      <c r="C1219" s="62">
        <f>IF(C$14=0,WdhStd,IF(INDEX($C$694:$V$694,C$14)="",WdhStd,INDEX($C$694:$V$694,C$14)))</f>
        <v/>
      </c>
      <c r="D1219" s="62">
        <f>IF(D$14=0,WdhStd,IF(INDEX($C$694:$V$694,D$14)="",WdhStd,INDEX($C$694:$V$694,D$14)))</f>
        <v/>
      </c>
      <c r="E1219" s="62">
        <f>IF(E$14=0,WdhStd,IF(INDEX($C$694:$V$694,E$14)="",WdhStd,INDEX($C$694:$V$694,E$14)))</f>
        <v/>
      </c>
      <c r="F1219" s="62">
        <f>IF(F$14=0,WdhStd,IF(INDEX($C$694:$V$694,F$14)="",WdhStd,INDEX($C$694:$V$694,F$14)))</f>
        <v/>
      </c>
      <c r="G1219" s="62">
        <f>IF(G$14=0,WdhStd,IF(INDEX($C$694:$V$694,G$14)="",WdhStd,INDEX($C$694:$V$694,G$14)))</f>
        <v/>
      </c>
      <c r="H1219" s="62">
        <f>IF(H$14=0,WdhStd,IF(INDEX($C$694:$V$694,H$14)="",WdhStd,INDEX($C$694:$V$694,H$14)))</f>
        <v/>
      </c>
      <c r="I1219" s="62">
        <f>IF(I$14=0,WdhStd,IF(INDEX($C$694:$V$694,I$14)="",WdhStd,INDEX($C$694:$V$694,I$14)))</f>
        <v/>
      </c>
      <c r="J1219" s="62">
        <f>IF(J$14=0,WdhStd,IF(INDEX($C$694:$V$694,J$14)="",WdhStd,INDEX($C$694:$V$694,J$14)))</f>
        <v/>
      </c>
      <c r="K1219" s="62">
        <f>IF(K$14=0,WdhStd,IF(INDEX($C$694:$V$694,K$14)="",WdhStd,INDEX($C$694:$V$694,K$14)))</f>
        <v/>
      </c>
      <c r="L1219" s="62">
        <f>IF(L$14=0,WdhStd,IF(INDEX($C$694:$V$694,L$14)="",WdhStd,INDEX($C$694:$V$694,L$14)))</f>
        <v/>
      </c>
      <c r="M1219" s="62">
        <f>IF(M$14=0,WdhStd,IF(INDEX($C$694:$V$694,M$14)="",WdhStd,INDEX($C$694:$V$694,M$14)))</f>
        <v/>
      </c>
      <c r="N1219" s="62">
        <f>IF(N$14=0,WdhStd,IF(INDEX($C$694:$V$694,N$14)="",WdhStd,INDEX($C$694:$V$694,N$14)))</f>
        <v/>
      </c>
      <c r="O1219" s="62">
        <f>IF(O$14=0,WdhStd,IF(INDEX($C$694:$V$694,O$14)="",WdhStd,INDEX($C$694:$V$694,O$14)))</f>
        <v/>
      </c>
      <c r="P1219" s="62">
        <f>IF(P$14=0,WdhStd,IF(INDEX($C$694:$V$694,P$14)="",WdhStd,INDEX($C$694:$V$694,P$14)))</f>
        <v/>
      </c>
      <c r="Q1219" s="62">
        <f>IF(Q$14=0,WdhStd,IF(INDEX($C$694:$V$694,Q$14)="",WdhStd,INDEX($C$694:$V$694,Q$14)))</f>
        <v/>
      </c>
      <c r="R1219" s="62">
        <f>IF(R$14=0,WdhStd,IF(INDEX($C$694:$V$694,R$14)="",WdhStd,INDEX($C$694:$V$694,R$14)))</f>
        <v/>
      </c>
      <c r="S1219" s="62">
        <f>IF(S$14=0,WdhStd,IF(INDEX($C$694:$V$694,S$14)="",WdhStd,INDEX($C$694:$V$694,S$14)))</f>
        <v/>
      </c>
      <c r="T1219" s="62">
        <f>IF(T$14=0,WdhStd,IF(INDEX($C$694:$V$694,T$14)="",WdhStd,INDEX($C$694:$V$694,T$14)))</f>
        <v/>
      </c>
      <c r="U1219" s="62">
        <f>IF(U$14=0,WdhStd,IF(INDEX($C$694:$V$694,U$14)="",WdhStd,INDEX($C$694:$V$694,U$14)))</f>
        <v/>
      </c>
      <c r="V1219" s="62">
        <f>IF(V$14=0,WdhStd,IF(INDEX($C$694:$V$694,V$14)="",WdhStd,INDEX($C$694:$V$694,V$14)))</f>
        <v/>
      </c>
    </row>
    <row r="1220">
      <c r="C1220" s="62">
        <f>IF(C$14=0,WdhStd,IF(INDEX($C$695:$V$695,C$14)="",WdhStd,INDEX($C$695:$V$695,C$14)))</f>
        <v/>
      </c>
      <c r="D1220" s="62">
        <f>IF(D$14=0,WdhStd,IF(INDEX($C$695:$V$695,D$14)="",WdhStd,INDEX($C$695:$V$695,D$14)))</f>
        <v/>
      </c>
      <c r="E1220" s="62">
        <f>IF(E$14=0,WdhStd,IF(INDEX($C$695:$V$695,E$14)="",WdhStd,INDEX($C$695:$V$695,E$14)))</f>
        <v/>
      </c>
      <c r="F1220" s="62">
        <f>IF(F$14=0,WdhStd,IF(INDEX($C$695:$V$695,F$14)="",WdhStd,INDEX($C$695:$V$695,F$14)))</f>
        <v/>
      </c>
      <c r="G1220" s="62">
        <f>IF(G$14=0,WdhStd,IF(INDEX($C$695:$V$695,G$14)="",WdhStd,INDEX($C$695:$V$695,G$14)))</f>
        <v/>
      </c>
      <c r="H1220" s="62">
        <f>IF(H$14=0,WdhStd,IF(INDEX($C$695:$V$695,H$14)="",WdhStd,INDEX($C$695:$V$695,H$14)))</f>
        <v/>
      </c>
      <c r="I1220" s="62">
        <f>IF(I$14=0,WdhStd,IF(INDEX($C$695:$V$695,I$14)="",WdhStd,INDEX($C$695:$V$695,I$14)))</f>
        <v/>
      </c>
      <c r="J1220" s="62">
        <f>IF(J$14=0,WdhStd,IF(INDEX($C$695:$V$695,J$14)="",WdhStd,INDEX($C$695:$V$695,J$14)))</f>
        <v/>
      </c>
      <c r="K1220" s="62">
        <f>IF(K$14=0,WdhStd,IF(INDEX($C$695:$V$695,K$14)="",WdhStd,INDEX($C$695:$V$695,K$14)))</f>
        <v/>
      </c>
      <c r="L1220" s="62">
        <f>IF(L$14=0,WdhStd,IF(INDEX($C$695:$V$695,L$14)="",WdhStd,INDEX($C$695:$V$695,L$14)))</f>
        <v/>
      </c>
      <c r="M1220" s="62">
        <f>IF(M$14=0,WdhStd,IF(INDEX($C$695:$V$695,M$14)="",WdhStd,INDEX($C$695:$V$695,M$14)))</f>
        <v/>
      </c>
      <c r="N1220" s="62">
        <f>IF(N$14=0,WdhStd,IF(INDEX($C$695:$V$695,N$14)="",WdhStd,INDEX($C$695:$V$695,N$14)))</f>
        <v/>
      </c>
      <c r="O1220" s="62">
        <f>IF(O$14=0,WdhStd,IF(INDEX($C$695:$V$695,O$14)="",WdhStd,INDEX($C$695:$V$695,O$14)))</f>
        <v/>
      </c>
      <c r="P1220" s="62">
        <f>IF(P$14=0,WdhStd,IF(INDEX($C$695:$V$695,P$14)="",WdhStd,INDEX($C$695:$V$695,P$14)))</f>
        <v/>
      </c>
      <c r="Q1220" s="62">
        <f>IF(Q$14=0,WdhStd,IF(INDEX($C$695:$V$695,Q$14)="",WdhStd,INDEX($C$695:$V$695,Q$14)))</f>
        <v/>
      </c>
      <c r="R1220" s="62">
        <f>IF(R$14=0,WdhStd,IF(INDEX($C$695:$V$695,R$14)="",WdhStd,INDEX($C$695:$V$695,R$14)))</f>
        <v/>
      </c>
      <c r="S1220" s="62">
        <f>IF(S$14=0,WdhStd,IF(INDEX($C$695:$V$695,S$14)="",WdhStd,INDEX($C$695:$V$695,S$14)))</f>
        <v/>
      </c>
      <c r="T1220" s="62">
        <f>IF(T$14=0,WdhStd,IF(INDEX($C$695:$V$695,T$14)="",WdhStd,INDEX($C$695:$V$695,T$14)))</f>
        <v/>
      </c>
      <c r="U1220" s="62">
        <f>IF(U$14=0,WdhStd,IF(INDEX($C$695:$V$695,U$14)="",WdhStd,INDEX($C$695:$V$695,U$14)))</f>
        <v/>
      </c>
      <c r="V1220" s="62">
        <f>IF(V$14=0,WdhStd,IF(INDEX($C$695:$V$695,V$14)="",WdhStd,INDEX($C$695:$V$695,V$14)))</f>
        <v/>
      </c>
    </row>
    <row r="1221">
      <c r="C1221" s="62">
        <f>IF(C$14=0,WdhStd,IF(INDEX($C$696:$V$696,C$14)="",WdhStd,INDEX($C$696:$V$696,C$14)))</f>
        <v/>
      </c>
      <c r="D1221" s="62">
        <f>IF(D$14=0,WdhStd,IF(INDEX($C$696:$V$696,D$14)="",WdhStd,INDEX($C$696:$V$696,D$14)))</f>
        <v/>
      </c>
      <c r="E1221" s="62">
        <f>IF(E$14=0,WdhStd,IF(INDEX($C$696:$V$696,E$14)="",WdhStd,INDEX($C$696:$V$696,E$14)))</f>
        <v/>
      </c>
      <c r="F1221" s="62">
        <f>IF(F$14=0,WdhStd,IF(INDEX($C$696:$V$696,F$14)="",WdhStd,INDEX($C$696:$V$696,F$14)))</f>
        <v/>
      </c>
      <c r="G1221" s="62">
        <f>IF(G$14=0,WdhStd,IF(INDEX($C$696:$V$696,G$14)="",WdhStd,INDEX($C$696:$V$696,G$14)))</f>
        <v/>
      </c>
      <c r="H1221" s="62">
        <f>IF(H$14=0,WdhStd,IF(INDEX($C$696:$V$696,H$14)="",WdhStd,INDEX($C$696:$V$696,H$14)))</f>
        <v/>
      </c>
      <c r="I1221" s="62">
        <f>IF(I$14=0,WdhStd,IF(INDEX($C$696:$V$696,I$14)="",WdhStd,INDEX($C$696:$V$696,I$14)))</f>
        <v/>
      </c>
      <c r="J1221" s="62">
        <f>IF(J$14=0,WdhStd,IF(INDEX($C$696:$V$696,J$14)="",WdhStd,INDEX($C$696:$V$696,J$14)))</f>
        <v/>
      </c>
      <c r="K1221" s="62">
        <f>IF(K$14=0,WdhStd,IF(INDEX($C$696:$V$696,K$14)="",WdhStd,INDEX($C$696:$V$696,K$14)))</f>
        <v/>
      </c>
      <c r="L1221" s="62">
        <f>IF(L$14=0,WdhStd,IF(INDEX($C$696:$V$696,L$14)="",WdhStd,INDEX($C$696:$V$696,L$14)))</f>
        <v/>
      </c>
      <c r="M1221" s="62">
        <f>IF(M$14=0,WdhStd,IF(INDEX($C$696:$V$696,M$14)="",WdhStd,INDEX($C$696:$V$696,M$14)))</f>
        <v/>
      </c>
      <c r="N1221" s="62">
        <f>IF(N$14=0,WdhStd,IF(INDEX($C$696:$V$696,N$14)="",WdhStd,INDEX($C$696:$V$696,N$14)))</f>
        <v/>
      </c>
      <c r="O1221" s="62">
        <f>IF(O$14=0,WdhStd,IF(INDEX($C$696:$V$696,O$14)="",WdhStd,INDEX($C$696:$V$696,O$14)))</f>
        <v/>
      </c>
      <c r="P1221" s="62">
        <f>IF(P$14=0,WdhStd,IF(INDEX($C$696:$V$696,P$14)="",WdhStd,INDEX($C$696:$V$696,P$14)))</f>
        <v/>
      </c>
      <c r="Q1221" s="62">
        <f>IF(Q$14=0,WdhStd,IF(INDEX($C$696:$V$696,Q$14)="",WdhStd,INDEX($C$696:$V$696,Q$14)))</f>
        <v/>
      </c>
      <c r="R1221" s="62">
        <f>IF(R$14=0,WdhStd,IF(INDEX($C$696:$V$696,R$14)="",WdhStd,INDEX($C$696:$V$696,R$14)))</f>
        <v/>
      </c>
      <c r="S1221" s="62">
        <f>IF(S$14=0,WdhStd,IF(INDEX($C$696:$V$696,S$14)="",WdhStd,INDEX($C$696:$V$696,S$14)))</f>
        <v/>
      </c>
      <c r="T1221" s="62">
        <f>IF(T$14=0,WdhStd,IF(INDEX($C$696:$V$696,T$14)="",WdhStd,INDEX($C$696:$V$696,T$14)))</f>
        <v/>
      </c>
      <c r="U1221" s="62">
        <f>IF(U$14=0,WdhStd,IF(INDEX($C$696:$V$696,U$14)="",WdhStd,INDEX($C$696:$V$696,U$14)))</f>
        <v/>
      </c>
      <c r="V1221" s="62">
        <f>IF(V$14=0,WdhStd,IF(INDEX($C$696:$V$696,V$14)="",WdhStd,INDEX($C$696:$V$696,V$14)))</f>
        <v/>
      </c>
    </row>
    <row r="1222">
      <c r="C1222" s="62">
        <f>IF(C$14=0,WdhStd,IF(INDEX($C$697:$V$697,C$14)="",WdhStd,INDEX($C$697:$V$697,C$14)))</f>
        <v/>
      </c>
      <c r="D1222" s="62">
        <f>IF(D$14=0,WdhStd,IF(INDEX($C$697:$V$697,D$14)="",WdhStd,INDEX($C$697:$V$697,D$14)))</f>
        <v/>
      </c>
      <c r="E1222" s="62">
        <f>IF(E$14=0,WdhStd,IF(INDEX($C$697:$V$697,E$14)="",WdhStd,INDEX($C$697:$V$697,E$14)))</f>
        <v/>
      </c>
      <c r="F1222" s="62">
        <f>IF(F$14=0,WdhStd,IF(INDEX($C$697:$V$697,F$14)="",WdhStd,INDEX($C$697:$V$697,F$14)))</f>
        <v/>
      </c>
      <c r="G1222" s="62">
        <f>IF(G$14=0,WdhStd,IF(INDEX($C$697:$V$697,G$14)="",WdhStd,INDEX($C$697:$V$697,G$14)))</f>
        <v/>
      </c>
      <c r="H1222" s="62">
        <f>IF(H$14=0,WdhStd,IF(INDEX($C$697:$V$697,H$14)="",WdhStd,INDEX($C$697:$V$697,H$14)))</f>
        <v/>
      </c>
      <c r="I1222" s="62">
        <f>IF(I$14=0,WdhStd,IF(INDEX($C$697:$V$697,I$14)="",WdhStd,INDEX($C$697:$V$697,I$14)))</f>
        <v/>
      </c>
      <c r="J1222" s="62">
        <f>IF(J$14=0,WdhStd,IF(INDEX($C$697:$V$697,J$14)="",WdhStd,INDEX($C$697:$V$697,J$14)))</f>
        <v/>
      </c>
      <c r="K1222" s="62">
        <f>IF(K$14=0,WdhStd,IF(INDEX($C$697:$V$697,K$14)="",WdhStd,INDEX($C$697:$V$697,K$14)))</f>
        <v/>
      </c>
      <c r="L1222" s="62">
        <f>IF(L$14=0,WdhStd,IF(INDEX($C$697:$V$697,L$14)="",WdhStd,INDEX($C$697:$V$697,L$14)))</f>
        <v/>
      </c>
      <c r="M1222" s="62">
        <f>IF(M$14=0,WdhStd,IF(INDEX($C$697:$V$697,M$14)="",WdhStd,INDEX($C$697:$V$697,M$14)))</f>
        <v/>
      </c>
      <c r="N1222" s="62">
        <f>IF(N$14=0,WdhStd,IF(INDEX($C$697:$V$697,N$14)="",WdhStd,INDEX($C$697:$V$697,N$14)))</f>
        <v/>
      </c>
      <c r="O1222" s="62">
        <f>IF(O$14=0,WdhStd,IF(INDEX($C$697:$V$697,O$14)="",WdhStd,INDEX($C$697:$V$697,O$14)))</f>
        <v/>
      </c>
      <c r="P1222" s="62">
        <f>IF(P$14=0,WdhStd,IF(INDEX($C$697:$V$697,P$14)="",WdhStd,INDEX($C$697:$V$697,P$14)))</f>
        <v/>
      </c>
      <c r="Q1222" s="62">
        <f>IF(Q$14=0,WdhStd,IF(INDEX($C$697:$V$697,Q$14)="",WdhStd,INDEX($C$697:$V$697,Q$14)))</f>
        <v/>
      </c>
      <c r="R1222" s="62">
        <f>IF(R$14=0,WdhStd,IF(INDEX($C$697:$V$697,R$14)="",WdhStd,INDEX($C$697:$V$697,R$14)))</f>
        <v/>
      </c>
      <c r="S1222" s="62">
        <f>IF(S$14=0,WdhStd,IF(INDEX($C$697:$V$697,S$14)="",WdhStd,INDEX($C$697:$V$697,S$14)))</f>
        <v/>
      </c>
      <c r="T1222" s="62">
        <f>IF(T$14=0,WdhStd,IF(INDEX($C$697:$V$697,T$14)="",WdhStd,INDEX($C$697:$V$697,T$14)))</f>
        <v/>
      </c>
      <c r="U1222" s="62">
        <f>IF(U$14=0,WdhStd,IF(INDEX($C$697:$V$697,U$14)="",WdhStd,INDEX($C$697:$V$697,U$14)))</f>
        <v/>
      </c>
      <c r="V1222" s="62">
        <f>IF(V$14=0,WdhStd,IF(INDEX($C$697:$V$697,V$14)="",WdhStd,INDEX($C$697:$V$697,V$14)))</f>
        <v/>
      </c>
    </row>
    <row r="1223">
      <c r="C1223" s="62">
        <f>IF(C$14=0,WdhStd,IF(INDEX($C$698:$V$698,C$14)="",WdhStd,INDEX($C$698:$V$698,C$14)))</f>
        <v/>
      </c>
      <c r="D1223" s="62">
        <f>IF(D$14=0,WdhStd,IF(INDEX($C$698:$V$698,D$14)="",WdhStd,INDEX($C$698:$V$698,D$14)))</f>
        <v/>
      </c>
      <c r="E1223" s="62">
        <f>IF(E$14=0,WdhStd,IF(INDEX($C$698:$V$698,E$14)="",WdhStd,INDEX($C$698:$V$698,E$14)))</f>
        <v/>
      </c>
      <c r="F1223" s="62">
        <f>IF(F$14=0,WdhStd,IF(INDEX($C$698:$V$698,F$14)="",WdhStd,INDEX($C$698:$V$698,F$14)))</f>
        <v/>
      </c>
      <c r="G1223" s="62">
        <f>IF(G$14=0,WdhStd,IF(INDEX($C$698:$V$698,G$14)="",WdhStd,INDEX($C$698:$V$698,G$14)))</f>
        <v/>
      </c>
      <c r="H1223" s="62">
        <f>IF(H$14=0,WdhStd,IF(INDEX($C$698:$V$698,H$14)="",WdhStd,INDEX($C$698:$V$698,H$14)))</f>
        <v/>
      </c>
      <c r="I1223" s="62">
        <f>IF(I$14=0,WdhStd,IF(INDEX($C$698:$V$698,I$14)="",WdhStd,INDEX($C$698:$V$698,I$14)))</f>
        <v/>
      </c>
      <c r="J1223" s="62">
        <f>IF(J$14=0,WdhStd,IF(INDEX($C$698:$V$698,J$14)="",WdhStd,INDEX($C$698:$V$698,J$14)))</f>
        <v/>
      </c>
      <c r="K1223" s="62">
        <f>IF(K$14=0,WdhStd,IF(INDEX($C$698:$V$698,K$14)="",WdhStd,INDEX($C$698:$V$698,K$14)))</f>
        <v/>
      </c>
      <c r="L1223" s="62">
        <f>IF(L$14=0,WdhStd,IF(INDEX($C$698:$V$698,L$14)="",WdhStd,INDEX($C$698:$V$698,L$14)))</f>
        <v/>
      </c>
      <c r="M1223" s="62">
        <f>IF(M$14=0,WdhStd,IF(INDEX($C$698:$V$698,M$14)="",WdhStd,INDEX($C$698:$V$698,M$14)))</f>
        <v/>
      </c>
      <c r="N1223" s="62">
        <f>IF(N$14=0,WdhStd,IF(INDEX($C$698:$V$698,N$14)="",WdhStd,INDEX($C$698:$V$698,N$14)))</f>
        <v/>
      </c>
      <c r="O1223" s="62">
        <f>IF(O$14=0,WdhStd,IF(INDEX($C$698:$V$698,O$14)="",WdhStd,INDEX($C$698:$V$698,O$14)))</f>
        <v/>
      </c>
      <c r="P1223" s="62">
        <f>IF(P$14=0,WdhStd,IF(INDEX($C$698:$V$698,P$14)="",WdhStd,INDEX($C$698:$V$698,P$14)))</f>
        <v/>
      </c>
      <c r="Q1223" s="62">
        <f>IF(Q$14=0,WdhStd,IF(INDEX($C$698:$V$698,Q$14)="",WdhStd,INDEX($C$698:$V$698,Q$14)))</f>
        <v/>
      </c>
      <c r="R1223" s="62">
        <f>IF(R$14=0,WdhStd,IF(INDEX($C$698:$V$698,R$14)="",WdhStd,INDEX($C$698:$V$698,R$14)))</f>
        <v/>
      </c>
      <c r="S1223" s="62">
        <f>IF(S$14=0,WdhStd,IF(INDEX($C$698:$V$698,S$14)="",WdhStd,INDEX($C$698:$V$698,S$14)))</f>
        <v/>
      </c>
      <c r="T1223" s="62">
        <f>IF(T$14=0,WdhStd,IF(INDEX($C$698:$V$698,T$14)="",WdhStd,INDEX($C$698:$V$698,T$14)))</f>
        <v/>
      </c>
      <c r="U1223" s="62">
        <f>IF(U$14=0,WdhStd,IF(INDEX($C$698:$V$698,U$14)="",WdhStd,INDEX($C$698:$V$698,U$14)))</f>
        <v/>
      </c>
      <c r="V1223" s="62">
        <f>IF(V$14=0,WdhStd,IF(INDEX($C$698:$V$698,V$14)="",WdhStd,INDEX($C$698:$V$698,V$14)))</f>
        <v/>
      </c>
    </row>
    <row r="1224">
      <c r="C1224" s="62">
        <f>IF(C$14=0,WdhStd,IF(INDEX($C$699:$V$699,C$14)="",WdhStd,INDEX($C$699:$V$699,C$14)))</f>
        <v/>
      </c>
      <c r="D1224" s="62">
        <f>IF(D$14=0,WdhStd,IF(INDEX($C$699:$V$699,D$14)="",WdhStd,INDEX($C$699:$V$699,D$14)))</f>
        <v/>
      </c>
      <c r="E1224" s="62">
        <f>IF(E$14=0,WdhStd,IF(INDEX($C$699:$V$699,E$14)="",WdhStd,INDEX($C$699:$V$699,E$14)))</f>
        <v/>
      </c>
      <c r="F1224" s="62">
        <f>IF(F$14=0,WdhStd,IF(INDEX($C$699:$V$699,F$14)="",WdhStd,INDEX($C$699:$V$699,F$14)))</f>
        <v/>
      </c>
      <c r="G1224" s="62">
        <f>IF(G$14=0,WdhStd,IF(INDEX($C$699:$V$699,G$14)="",WdhStd,INDEX($C$699:$V$699,G$14)))</f>
        <v/>
      </c>
      <c r="H1224" s="62">
        <f>IF(H$14=0,WdhStd,IF(INDEX($C$699:$V$699,H$14)="",WdhStd,INDEX($C$699:$V$699,H$14)))</f>
        <v/>
      </c>
      <c r="I1224" s="62">
        <f>IF(I$14=0,WdhStd,IF(INDEX($C$699:$V$699,I$14)="",WdhStd,INDEX($C$699:$V$699,I$14)))</f>
        <v/>
      </c>
      <c r="J1224" s="62">
        <f>IF(J$14=0,WdhStd,IF(INDEX($C$699:$V$699,J$14)="",WdhStd,INDEX($C$699:$V$699,J$14)))</f>
        <v/>
      </c>
      <c r="K1224" s="62">
        <f>IF(K$14=0,WdhStd,IF(INDEX($C$699:$V$699,K$14)="",WdhStd,INDEX($C$699:$V$699,K$14)))</f>
        <v/>
      </c>
      <c r="L1224" s="62">
        <f>IF(L$14=0,WdhStd,IF(INDEX($C$699:$V$699,L$14)="",WdhStd,INDEX($C$699:$V$699,L$14)))</f>
        <v/>
      </c>
      <c r="M1224" s="62">
        <f>IF(M$14=0,WdhStd,IF(INDEX($C$699:$V$699,M$14)="",WdhStd,INDEX($C$699:$V$699,M$14)))</f>
        <v/>
      </c>
      <c r="N1224" s="62">
        <f>IF(N$14=0,WdhStd,IF(INDEX($C$699:$V$699,N$14)="",WdhStd,INDEX($C$699:$V$699,N$14)))</f>
        <v/>
      </c>
      <c r="O1224" s="62">
        <f>IF(O$14=0,WdhStd,IF(INDEX($C$699:$V$699,O$14)="",WdhStd,INDEX($C$699:$V$699,O$14)))</f>
        <v/>
      </c>
      <c r="P1224" s="62">
        <f>IF(P$14=0,WdhStd,IF(INDEX($C$699:$V$699,P$14)="",WdhStd,INDEX($C$699:$V$699,P$14)))</f>
        <v/>
      </c>
      <c r="Q1224" s="62">
        <f>IF(Q$14=0,WdhStd,IF(INDEX($C$699:$V$699,Q$14)="",WdhStd,INDEX($C$699:$V$699,Q$14)))</f>
        <v/>
      </c>
      <c r="R1224" s="62">
        <f>IF(R$14=0,WdhStd,IF(INDEX($C$699:$V$699,R$14)="",WdhStd,INDEX($C$699:$V$699,R$14)))</f>
        <v/>
      </c>
      <c r="S1224" s="62">
        <f>IF(S$14=0,WdhStd,IF(INDEX($C$699:$V$699,S$14)="",WdhStd,INDEX($C$699:$V$699,S$14)))</f>
        <v/>
      </c>
      <c r="T1224" s="62">
        <f>IF(T$14=0,WdhStd,IF(INDEX($C$699:$V$699,T$14)="",WdhStd,INDEX($C$699:$V$699,T$14)))</f>
        <v/>
      </c>
      <c r="U1224" s="62">
        <f>IF(U$14=0,WdhStd,IF(INDEX($C$699:$V$699,U$14)="",WdhStd,INDEX($C$699:$V$699,U$14)))</f>
        <v/>
      </c>
      <c r="V1224" s="62">
        <f>IF(V$14=0,WdhStd,IF(INDEX($C$699:$V$699,V$14)="",WdhStd,INDEX($C$699:$V$699,V$14)))</f>
        <v/>
      </c>
    </row>
    <row r="1225">
      <c r="C1225" s="62">
        <f>IF(C$14=0,WdhStd,IF(INDEX($C$700:$V$700,C$14)="",WdhStd,INDEX($C$700:$V$700,C$14)))</f>
        <v/>
      </c>
      <c r="D1225" s="62">
        <f>IF(D$14=0,WdhStd,IF(INDEX($C$700:$V$700,D$14)="",WdhStd,INDEX($C$700:$V$700,D$14)))</f>
        <v/>
      </c>
      <c r="E1225" s="62">
        <f>IF(E$14=0,WdhStd,IF(INDEX($C$700:$V$700,E$14)="",WdhStd,INDEX($C$700:$V$700,E$14)))</f>
        <v/>
      </c>
      <c r="F1225" s="62">
        <f>IF(F$14=0,WdhStd,IF(INDEX($C$700:$V$700,F$14)="",WdhStd,INDEX($C$700:$V$700,F$14)))</f>
        <v/>
      </c>
      <c r="G1225" s="62">
        <f>IF(G$14=0,WdhStd,IF(INDEX($C$700:$V$700,G$14)="",WdhStd,INDEX($C$700:$V$700,G$14)))</f>
        <v/>
      </c>
      <c r="H1225" s="62">
        <f>IF(H$14=0,WdhStd,IF(INDEX($C$700:$V$700,H$14)="",WdhStd,INDEX($C$700:$V$700,H$14)))</f>
        <v/>
      </c>
      <c r="I1225" s="62">
        <f>IF(I$14=0,WdhStd,IF(INDEX($C$700:$V$700,I$14)="",WdhStd,INDEX($C$700:$V$700,I$14)))</f>
        <v/>
      </c>
      <c r="J1225" s="62">
        <f>IF(J$14=0,WdhStd,IF(INDEX($C$700:$V$700,J$14)="",WdhStd,INDEX($C$700:$V$700,J$14)))</f>
        <v/>
      </c>
      <c r="K1225" s="62">
        <f>IF(K$14=0,WdhStd,IF(INDEX($C$700:$V$700,K$14)="",WdhStd,INDEX($C$700:$V$700,K$14)))</f>
        <v/>
      </c>
      <c r="L1225" s="62">
        <f>IF(L$14=0,WdhStd,IF(INDEX($C$700:$V$700,L$14)="",WdhStd,INDEX($C$700:$V$700,L$14)))</f>
        <v/>
      </c>
      <c r="M1225" s="62">
        <f>IF(M$14=0,WdhStd,IF(INDEX($C$700:$V$700,M$14)="",WdhStd,INDEX($C$700:$V$700,M$14)))</f>
        <v/>
      </c>
      <c r="N1225" s="62">
        <f>IF(N$14=0,WdhStd,IF(INDEX($C$700:$V$700,N$14)="",WdhStd,INDEX($C$700:$V$700,N$14)))</f>
        <v/>
      </c>
      <c r="O1225" s="62">
        <f>IF(O$14=0,WdhStd,IF(INDEX($C$700:$V$700,O$14)="",WdhStd,INDEX($C$700:$V$700,O$14)))</f>
        <v/>
      </c>
      <c r="P1225" s="62">
        <f>IF(P$14=0,WdhStd,IF(INDEX($C$700:$V$700,P$14)="",WdhStd,INDEX($C$700:$V$700,P$14)))</f>
        <v/>
      </c>
      <c r="Q1225" s="62">
        <f>IF(Q$14=0,WdhStd,IF(INDEX($C$700:$V$700,Q$14)="",WdhStd,INDEX($C$700:$V$700,Q$14)))</f>
        <v/>
      </c>
      <c r="R1225" s="62">
        <f>IF(R$14=0,WdhStd,IF(INDEX($C$700:$V$700,R$14)="",WdhStd,INDEX($C$700:$V$700,R$14)))</f>
        <v/>
      </c>
      <c r="S1225" s="62">
        <f>IF(S$14=0,WdhStd,IF(INDEX($C$700:$V$700,S$14)="",WdhStd,INDEX($C$700:$V$700,S$14)))</f>
        <v/>
      </c>
      <c r="T1225" s="62">
        <f>IF(T$14=0,WdhStd,IF(INDEX($C$700:$V$700,T$14)="",WdhStd,INDEX($C$700:$V$700,T$14)))</f>
        <v/>
      </c>
      <c r="U1225" s="62">
        <f>IF(U$14=0,WdhStd,IF(INDEX($C$700:$V$700,U$14)="",WdhStd,INDEX($C$700:$V$700,U$14)))</f>
        <v/>
      </c>
      <c r="V1225" s="62">
        <f>IF(V$14=0,WdhStd,IF(INDEX($C$700:$V$700,V$14)="",WdhStd,INDEX($C$700:$V$700,V$14)))</f>
        <v/>
      </c>
    </row>
    <row r="1226">
      <c r="C1226" s="62">
        <f>IF(C$14=0,WdhStd,IF(INDEX($C$701:$V$701,C$14)="",WdhStd,INDEX($C$701:$V$701,C$14)))</f>
        <v/>
      </c>
      <c r="D1226" s="62">
        <f>IF(D$14=0,WdhStd,IF(INDEX($C$701:$V$701,D$14)="",WdhStd,INDEX($C$701:$V$701,D$14)))</f>
        <v/>
      </c>
      <c r="E1226" s="62">
        <f>IF(E$14=0,WdhStd,IF(INDEX($C$701:$V$701,E$14)="",WdhStd,INDEX($C$701:$V$701,E$14)))</f>
        <v/>
      </c>
      <c r="F1226" s="62">
        <f>IF(F$14=0,WdhStd,IF(INDEX($C$701:$V$701,F$14)="",WdhStd,INDEX($C$701:$V$701,F$14)))</f>
        <v/>
      </c>
      <c r="G1226" s="62">
        <f>IF(G$14=0,WdhStd,IF(INDEX($C$701:$V$701,G$14)="",WdhStd,INDEX($C$701:$V$701,G$14)))</f>
        <v/>
      </c>
      <c r="H1226" s="62">
        <f>IF(H$14=0,WdhStd,IF(INDEX($C$701:$V$701,H$14)="",WdhStd,INDEX($C$701:$V$701,H$14)))</f>
        <v/>
      </c>
      <c r="I1226" s="62">
        <f>IF(I$14=0,WdhStd,IF(INDEX($C$701:$V$701,I$14)="",WdhStd,INDEX($C$701:$V$701,I$14)))</f>
        <v/>
      </c>
      <c r="J1226" s="62">
        <f>IF(J$14=0,WdhStd,IF(INDEX($C$701:$V$701,J$14)="",WdhStd,INDEX($C$701:$V$701,J$14)))</f>
        <v/>
      </c>
      <c r="K1226" s="62">
        <f>IF(K$14=0,WdhStd,IF(INDEX($C$701:$V$701,K$14)="",WdhStd,INDEX($C$701:$V$701,K$14)))</f>
        <v/>
      </c>
      <c r="L1226" s="62">
        <f>IF(L$14=0,WdhStd,IF(INDEX($C$701:$V$701,L$14)="",WdhStd,INDEX($C$701:$V$701,L$14)))</f>
        <v/>
      </c>
      <c r="M1226" s="62">
        <f>IF(M$14=0,WdhStd,IF(INDEX($C$701:$V$701,M$14)="",WdhStd,INDEX($C$701:$V$701,M$14)))</f>
        <v/>
      </c>
      <c r="N1226" s="62">
        <f>IF(N$14=0,WdhStd,IF(INDEX($C$701:$V$701,N$14)="",WdhStd,INDEX($C$701:$V$701,N$14)))</f>
        <v/>
      </c>
      <c r="O1226" s="62">
        <f>IF(O$14=0,WdhStd,IF(INDEX($C$701:$V$701,O$14)="",WdhStd,INDEX($C$701:$V$701,O$14)))</f>
        <v/>
      </c>
      <c r="P1226" s="62">
        <f>IF(P$14=0,WdhStd,IF(INDEX($C$701:$V$701,P$14)="",WdhStd,INDEX($C$701:$V$701,P$14)))</f>
        <v/>
      </c>
      <c r="Q1226" s="62">
        <f>IF(Q$14=0,WdhStd,IF(INDEX($C$701:$V$701,Q$14)="",WdhStd,INDEX($C$701:$V$701,Q$14)))</f>
        <v/>
      </c>
      <c r="R1226" s="62">
        <f>IF(R$14=0,WdhStd,IF(INDEX($C$701:$V$701,R$14)="",WdhStd,INDEX($C$701:$V$701,R$14)))</f>
        <v/>
      </c>
      <c r="S1226" s="62">
        <f>IF(S$14=0,WdhStd,IF(INDEX($C$701:$V$701,S$14)="",WdhStd,INDEX($C$701:$V$701,S$14)))</f>
        <v/>
      </c>
      <c r="T1226" s="62">
        <f>IF(T$14=0,WdhStd,IF(INDEX($C$701:$V$701,T$14)="",WdhStd,INDEX($C$701:$V$701,T$14)))</f>
        <v/>
      </c>
      <c r="U1226" s="62">
        <f>IF(U$14=0,WdhStd,IF(INDEX($C$701:$V$701,U$14)="",WdhStd,INDEX($C$701:$V$701,U$14)))</f>
        <v/>
      </c>
      <c r="V1226" s="62">
        <f>IF(V$14=0,WdhStd,IF(INDEX($C$701:$V$701,V$14)="",WdhStd,INDEX($C$701:$V$701,V$14)))</f>
        <v/>
      </c>
    </row>
    <row r="1227">
      <c r="C1227" s="62">
        <f>IF(C$14=0,WdhStd,IF(INDEX($C$702:$V$702,C$14)="",WdhStd,INDEX($C$702:$V$702,C$14)))</f>
        <v/>
      </c>
      <c r="D1227" s="62">
        <f>IF(D$14=0,WdhStd,IF(INDEX($C$702:$V$702,D$14)="",WdhStd,INDEX($C$702:$V$702,D$14)))</f>
        <v/>
      </c>
      <c r="E1227" s="62">
        <f>IF(E$14=0,WdhStd,IF(INDEX($C$702:$V$702,E$14)="",WdhStd,INDEX($C$702:$V$702,E$14)))</f>
        <v/>
      </c>
      <c r="F1227" s="62">
        <f>IF(F$14=0,WdhStd,IF(INDEX($C$702:$V$702,F$14)="",WdhStd,INDEX($C$702:$V$702,F$14)))</f>
        <v/>
      </c>
      <c r="G1227" s="62">
        <f>IF(G$14=0,WdhStd,IF(INDEX($C$702:$V$702,G$14)="",WdhStd,INDEX($C$702:$V$702,G$14)))</f>
        <v/>
      </c>
      <c r="H1227" s="62">
        <f>IF(H$14=0,WdhStd,IF(INDEX($C$702:$V$702,H$14)="",WdhStd,INDEX($C$702:$V$702,H$14)))</f>
        <v/>
      </c>
      <c r="I1227" s="62">
        <f>IF(I$14=0,WdhStd,IF(INDEX($C$702:$V$702,I$14)="",WdhStd,INDEX($C$702:$V$702,I$14)))</f>
        <v/>
      </c>
      <c r="J1227" s="62">
        <f>IF(J$14=0,WdhStd,IF(INDEX($C$702:$V$702,J$14)="",WdhStd,INDEX($C$702:$V$702,J$14)))</f>
        <v/>
      </c>
      <c r="K1227" s="62">
        <f>IF(K$14=0,WdhStd,IF(INDEX($C$702:$V$702,K$14)="",WdhStd,INDEX($C$702:$V$702,K$14)))</f>
        <v/>
      </c>
      <c r="L1227" s="62">
        <f>IF(L$14=0,WdhStd,IF(INDEX($C$702:$V$702,L$14)="",WdhStd,INDEX($C$702:$V$702,L$14)))</f>
        <v/>
      </c>
      <c r="M1227" s="62">
        <f>IF(M$14=0,WdhStd,IF(INDEX($C$702:$V$702,M$14)="",WdhStd,INDEX($C$702:$V$702,M$14)))</f>
        <v/>
      </c>
      <c r="N1227" s="62">
        <f>IF(N$14=0,WdhStd,IF(INDEX($C$702:$V$702,N$14)="",WdhStd,INDEX($C$702:$V$702,N$14)))</f>
        <v/>
      </c>
      <c r="O1227" s="62">
        <f>IF(O$14=0,WdhStd,IF(INDEX($C$702:$V$702,O$14)="",WdhStd,INDEX($C$702:$V$702,O$14)))</f>
        <v/>
      </c>
      <c r="P1227" s="62">
        <f>IF(P$14=0,WdhStd,IF(INDEX($C$702:$V$702,P$14)="",WdhStd,INDEX($C$702:$V$702,P$14)))</f>
        <v/>
      </c>
      <c r="Q1227" s="62">
        <f>IF(Q$14=0,WdhStd,IF(INDEX($C$702:$V$702,Q$14)="",WdhStd,INDEX($C$702:$V$702,Q$14)))</f>
        <v/>
      </c>
      <c r="R1227" s="62">
        <f>IF(R$14=0,WdhStd,IF(INDEX($C$702:$V$702,R$14)="",WdhStd,INDEX($C$702:$V$702,R$14)))</f>
        <v/>
      </c>
      <c r="S1227" s="62">
        <f>IF(S$14=0,WdhStd,IF(INDEX($C$702:$V$702,S$14)="",WdhStd,INDEX($C$702:$V$702,S$14)))</f>
        <v/>
      </c>
      <c r="T1227" s="62">
        <f>IF(T$14=0,WdhStd,IF(INDEX($C$702:$V$702,T$14)="",WdhStd,INDEX($C$702:$V$702,T$14)))</f>
        <v/>
      </c>
      <c r="U1227" s="62">
        <f>IF(U$14=0,WdhStd,IF(INDEX($C$702:$V$702,U$14)="",WdhStd,INDEX($C$702:$V$702,U$14)))</f>
        <v/>
      </c>
      <c r="V1227" s="62">
        <f>IF(V$14=0,WdhStd,IF(INDEX($C$702:$V$702,V$14)="",WdhStd,INDEX($C$702:$V$702,V$14)))</f>
        <v/>
      </c>
    </row>
    <row r="1228">
      <c r="C1228" s="62">
        <f>IF(C$14=0,WdhStd,IF(INDEX($C$703:$V$703,C$14)="",WdhStd,INDEX($C$703:$V$703,C$14)))</f>
        <v/>
      </c>
      <c r="D1228" s="62">
        <f>IF(D$14=0,WdhStd,IF(INDEX($C$703:$V$703,D$14)="",WdhStd,INDEX($C$703:$V$703,D$14)))</f>
        <v/>
      </c>
      <c r="E1228" s="62">
        <f>IF(E$14=0,WdhStd,IF(INDEX($C$703:$V$703,E$14)="",WdhStd,INDEX($C$703:$V$703,E$14)))</f>
        <v/>
      </c>
      <c r="F1228" s="62">
        <f>IF(F$14=0,WdhStd,IF(INDEX($C$703:$V$703,F$14)="",WdhStd,INDEX($C$703:$V$703,F$14)))</f>
        <v/>
      </c>
      <c r="G1228" s="62">
        <f>IF(G$14=0,WdhStd,IF(INDEX($C$703:$V$703,G$14)="",WdhStd,INDEX($C$703:$V$703,G$14)))</f>
        <v/>
      </c>
      <c r="H1228" s="62">
        <f>IF(H$14=0,WdhStd,IF(INDEX($C$703:$V$703,H$14)="",WdhStd,INDEX($C$703:$V$703,H$14)))</f>
        <v/>
      </c>
      <c r="I1228" s="62">
        <f>IF(I$14=0,WdhStd,IF(INDEX($C$703:$V$703,I$14)="",WdhStd,INDEX($C$703:$V$703,I$14)))</f>
        <v/>
      </c>
      <c r="J1228" s="62">
        <f>IF(J$14=0,WdhStd,IF(INDEX($C$703:$V$703,J$14)="",WdhStd,INDEX($C$703:$V$703,J$14)))</f>
        <v/>
      </c>
      <c r="K1228" s="62">
        <f>IF(K$14=0,WdhStd,IF(INDEX($C$703:$V$703,K$14)="",WdhStd,INDEX($C$703:$V$703,K$14)))</f>
        <v/>
      </c>
      <c r="L1228" s="62">
        <f>IF(L$14=0,WdhStd,IF(INDEX($C$703:$V$703,L$14)="",WdhStd,INDEX($C$703:$V$703,L$14)))</f>
        <v/>
      </c>
      <c r="M1228" s="62">
        <f>IF(M$14=0,WdhStd,IF(INDEX($C$703:$V$703,M$14)="",WdhStd,INDEX($C$703:$V$703,M$14)))</f>
        <v/>
      </c>
      <c r="N1228" s="62">
        <f>IF(N$14=0,WdhStd,IF(INDEX($C$703:$V$703,N$14)="",WdhStd,INDEX($C$703:$V$703,N$14)))</f>
        <v/>
      </c>
      <c r="O1228" s="62">
        <f>IF(O$14=0,WdhStd,IF(INDEX($C$703:$V$703,O$14)="",WdhStd,INDEX($C$703:$V$703,O$14)))</f>
        <v/>
      </c>
      <c r="P1228" s="62">
        <f>IF(P$14=0,WdhStd,IF(INDEX($C$703:$V$703,P$14)="",WdhStd,INDEX($C$703:$V$703,P$14)))</f>
        <v/>
      </c>
      <c r="Q1228" s="62">
        <f>IF(Q$14=0,WdhStd,IF(INDEX($C$703:$V$703,Q$14)="",WdhStd,INDEX($C$703:$V$703,Q$14)))</f>
        <v/>
      </c>
      <c r="R1228" s="62">
        <f>IF(R$14=0,WdhStd,IF(INDEX($C$703:$V$703,R$14)="",WdhStd,INDEX($C$703:$V$703,R$14)))</f>
        <v/>
      </c>
      <c r="S1228" s="62">
        <f>IF(S$14=0,WdhStd,IF(INDEX($C$703:$V$703,S$14)="",WdhStd,INDEX($C$703:$V$703,S$14)))</f>
        <v/>
      </c>
      <c r="T1228" s="62">
        <f>IF(T$14=0,WdhStd,IF(INDEX($C$703:$V$703,T$14)="",WdhStd,INDEX($C$703:$V$703,T$14)))</f>
        <v/>
      </c>
      <c r="U1228" s="62">
        <f>IF(U$14=0,WdhStd,IF(INDEX($C$703:$V$703,U$14)="",WdhStd,INDEX($C$703:$V$703,U$14)))</f>
        <v/>
      </c>
      <c r="V1228" s="62">
        <f>IF(V$14=0,WdhStd,IF(INDEX($C$703:$V$703,V$14)="",WdhStd,INDEX($C$703:$V$703,V$14)))</f>
        <v/>
      </c>
    </row>
    <row r="1229">
      <c r="C1229" s="62">
        <f>IF(C$14=0,WdhStd,IF(INDEX($C$704:$V$704,C$14)="",WdhStd,INDEX($C$704:$V$704,C$14)))</f>
        <v/>
      </c>
      <c r="D1229" s="62">
        <f>IF(D$14=0,WdhStd,IF(INDEX($C$704:$V$704,D$14)="",WdhStd,INDEX($C$704:$V$704,D$14)))</f>
        <v/>
      </c>
      <c r="E1229" s="62">
        <f>IF(E$14=0,WdhStd,IF(INDEX($C$704:$V$704,E$14)="",WdhStd,INDEX($C$704:$V$704,E$14)))</f>
        <v/>
      </c>
      <c r="F1229" s="62">
        <f>IF(F$14=0,WdhStd,IF(INDEX($C$704:$V$704,F$14)="",WdhStd,INDEX($C$704:$V$704,F$14)))</f>
        <v/>
      </c>
      <c r="G1229" s="62">
        <f>IF(G$14=0,WdhStd,IF(INDEX($C$704:$V$704,G$14)="",WdhStd,INDEX($C$704:$V$704,G$14)))</f>
        <v/>
      </c>
      <c r="H1229" s="62">
        <f>IF(H$14=0,WdhStd,IF(INDEX($C$704:$V$704,H$14)="",WdhStd,INDEX($C$704:$V$704,H$14)))</f>
        <v/>
      </c>
      <c r="I1229" s="62">
        <f>IF(I$14=0,WdhStd,IF(INDEX($C$704:$V$704,I$14)="",WdhStd,INDEX($C$704:$V$704,I$14)))</f>
        <v/>
      </c>
      <c r="J1229" s="62">
        <f>IF(J$14=0,WdhStd,IF(INDEX($C$704:$V$704,J$14)="",WdhStd,INDEX($C$704:$V$704,J$14)))</f>
        <v/>
      </c>
      <c r="K1229" s="62">
        <f>IF(K$14=0,WdhStd,IF(INDEX($C$704:$V$704,K$14)="",WdhStd,INDEX($C$704:$V$704,K$14)))</f>
        <v/>
      </c>
      <c r="L1229" s="62">
        <f>IF(L$14=0,WdhStd,IF(INDEX($C$704:$V$704,L$14)="",WdhStd,INDEX($C$704:$V$704,L$14)))</f>
        <v/>
      </c>
      <c r="M1229" s="62">
        <f>IF(M$14=0,WdhStd,IF(INDEX($C$704:$V$704,M$14)="",WdhStd,INDEX($C$704:$V$704,M$14)))</f>
        <v/>
      </c>
      <c r="N1229" s="62">
        <f>IF(N$14=0,WdhStd,IF(INDEX($C$704:$V$704,N$14)="",WdhStd,INDEX($C$704:$V$704,N$14)))</f>
        <v/>
      </c>
      <c r="O1229" s="62">
        <f>IF(O$14=0,WdhStd,IF(INDEX($C$704:$V$704,O$14)="",WdhStd,INDEX($C$704:$V$704,O$14)))</f>
        <v/>
      </c>
      <c r="P1229" s="62">
        <f>IF(P$14=0,WdhStd,IF(INDEX($C$704:$V$704,P$14)="",WdhStd,INDEX($C$704:$V$704,P$14)))</f>
        <v/>
      </c>
      <c r="Q1229" s="62">
        <f>IF(Q$14=0,WdhStd,IF(INDEX($C$704:$V$704,Q$14)="",WdhStd,INDEX($C$704:$V$704,Q$14)))</f>
        <v/>
      </c>
      <c r="R1229" s="62">
        <f>IF(R$14=0,WdhStd,IF(INDEX($C$704:$V$704,R$14)="",WdhStd,INDEX($C$704:$V$704,R$14)))</f>
        <v/>
      </c>
      <c r="S1229" s="62">
        <f>IF(S$14=0,WdhStd,IF(INDEX($C$704:$V$704,S$14)="",WdhStd,INDEX($C$704:$V$704,S$14)))</f>
        <v/>
      </c>
      <c r="T1229" s="62">
        <f>IF(T$14=0,WdhStd,IF(INDEX($C$704:$V$704,T$14)="",WdhStd,INDEX($C$704:$V$704,T$14)))</f>
        <v/>
      </c>
      <c r="U1229" s="62">
        <f>IF(U$14=0,WdhStd,IF(INDEX($C$704:$V$704,U$14)="",WdhStd,INDEX($C$704:$V$704,U$14)))</f>
        <v/>
      </c>
      <c r="V1229" s="62">
        <f>IF(V$14=0,WdhStd,IF(INDEX($C$704:$V$704,V$14)="",WdhStd,INDEX($C$704:$V$704,V$14)))</f>
        <v/>
      </c>
    </row>
    <row r="1230">
      <c r="C1230" s="62">
        <f>IF(C$14=0,WdhStd,IF(INDEX($C$705:$V$705,C$14)="",WdhStd,INDEX($C$705:$V$705,C$14)))</f>
        <v/>
      </c>
      <c r="D1230" s="62">
        <f>IF(D$14=0,WdhStd,IF(INDEX($C$705:$V$705,D$14)="",WdhStd,INDEX($C$705:$V$705,D$14)))</f>
        <v/>
      </c>
      <c r="E1230" s="62">
        <f>IF(E$14=0,WdhStd,IF(INDEX($C$705:$V$705,E$14)="",WdhStd,INDEX($C$705:$V$705,E$14)))</f>
        <v/>
      </c>
      <c r="F1230" s="62">
        <f>IF(F$14=0,WdhStd,IF(INDEX($C$705:$V$705,F$14)="",WdhStd,INDEX($C$705:$V$705,F$14)))</f>
        <v/>
      </c>
      <c r="G1230" s="62">
        <f>IF(G$14=0,WdhStd,IF(INDEX($C$705:$V$705,G$14)="",WdhStd,INDEX($C$705:$V$705,G$14)))</f>
        <v/>
      </c>
      <c r="H1230" s="62">
        <f>IF(H$14=0,WdhStd,IF(INDEX($C$705:$V$705,H$14)="",WdhStd,INDEX($C$705:$V$705,H$14)))</f>
        <v/>
      </c>
      <c r="I1230" s="62">
        <f>IF(I$14=0,WdhStd,IF(INDEX($C$705:$V$705,I$14)="",WdhStd,INDEX($C$705:$V$705,I$14)))</f>
        <v/>
      </c>
      <c r="J1230" s="62">
        <f>IF(J$14=0,WdhStd,IF(INDEX($C$705:$V$705,J$14)="",WdhStd,INDEX($C$705:$V$705,J$14)))</f>
        <v/>
      </c>
      <c r="K1230" s="62">
        <f>IF(K$14=0,WdhStd,IF(INDEX($C$705:$V$705,K$14)="",WdhStd,INDEX($C$705:$V$705,K$14)))</f>
        <v/>
      </c>
      <c r="L1230" s="62">
        <f>IF(L$14=0,WdhStd,IF(INDEX($C$705:$V$705,L$14)="",WdhStd,INDEX($C$705:$V$705,L$14)))</f>
        <v/>
      </c>
      <c r="M1230" s="62">
        <f>IF(M$14=0,WdhStd,IF(INDEX($C$705:$V$705,M$14)="",WdhStd,INDEX($C$705:$V$705,M$14)))</f>
        <v/>
      </c>
      <c r="N1230" s="62">
        <f>IF(N$14=0,WdhStd,IF(INDEX($C$705:$V$705,N$14)="",WdhStd,INDEX($C$705:$V$705,N$14)))</f>
        <v/>
      </c>
      <c r="O1230" s="62">
        <f>IF(O$14=0,WdhStd,IF(INDEX($C$705:$V$705,O$14)="",WdhStd,INDEX($C$705:$V$705,O$14)))</f>
        <v/>
      </c>
      <c r="P1230" s="62">
        <f>IF(P$14=0,WdhStd,IF(INDEX($C$705:$V$705,P$14)="",WdhStd,INDEX($C$705:$V$705,P$14)))</f>
        <v/>
      </c>
      <c r="Q1230" s="62">
        <f>IF(Q$14=0,WdhStd,IF(INDEX($C$705:$V$705,Q$14)="",WdhStd,INDEX($C$705:$V$705,Q$14)))</f>
        <v/>
      </c>
      <c r="R1230" s="62">
        <f>IF(R$14=0,WdhStd,IF(INDEX($C$705:$V$705,R$14)="",WdhStd,INDEX($C$705:$V$705,R$14)))</f>
        <v/>
      </c>
      <c r="S1230" s="62">
        <f>IF(S$14=0,WdhStd,IF(INDEX($C$705:$V$705,S$14)="",WdhStd,INDEX($C$705:$V$705,S$14)))</f>
        <v/>
      </c>
      <c r="T1230" s="62">
        <f>IF(T$14=0,WdhStd,IF(INDEX($C$705:$V$705,T$14)="",WdhStd,INDEX($C$705:$V$705,T$14)))</f>
        <v/>
      </c>
      <c r="U1230" s="62">
        <f>IF(U$14=0,WdhStd,IF(INDEX($C$705:$V$705,U$14)="",WdhStd,INDEX($C$705:$V$705,U$14)))</f>
        <v/>
      </c>
      <c r="V1230" s="62">
        <f>IF(V$14=0,WdhStd,IF(INDEX($C$705:$V$705,V$14)="",WdhStd,INDEX($C$705:$V$705,V$14)))</f>
        <v/>
      </c>
    </row>
    <row r="1231">
      <c r="C1231" s="62">
        <f>IF(C$14=0,WdhStd,IF(INDEX($C$706:$V$706,C$14)="",WdhStd,INDEX($C$706:$V$706,C$14)))</f>
        <v/>
      </c>
      <c r="D1231" s="62">
        <f>IF(D$14=0,WdhStd,IF(INDEX($C$706:$V$706,D$14)="",WdhStd,INDEX($C$706:$V$706,D$14)))</f>
        <v/>
      </c>
      <c r="E1231" s="62">
        <f>IF(E$14=0,WdhStd,IF(INDEX($C$706:$V$706,E$14)="",WdhStd,INDEX($C$706:$V$706,E$14)))</f>
        <v/>
      </c>
      <c r="F1231" s="62">
        <f>IF(F$14=0,WdhStd,IF(INDEX($C$706:$V$706,F$14)="",WdhStd,INDEX($C$706:$V$706,F$14)))</f>
        <v/>
      </c>
      <c r="G1231" s="62">
        <f>IF(G$14=0,WdhStd,IF(INDEX($C$706:$V$706,G$14)="",WdhStd,INDEX($C$706:$V$706,G$14)))</f>
        <v/>
      </c>
      <c r="H1231" s="62">
        <f>IF(H$14=0,WdhStd,IF(INDEX($C$706:$V$706,H$14)="",WdhStd,INDEX($C$706:$V$706,H$14)))</f>
        <v/>
      </c>
      <c r="I1231" s="62">
        <f>IF(I$14=0,WdhStd,IF(INDEX($C$706:$V$706,I$14)="",WdhStd,INDEX($C$706:$V$706,I$14)))</f>
        <v/>
      </c>
      <c r="J1231" s="62">
        <f>IF(J$14=0,WdhStd,IF(INDEX($C$706:$V$706,J$14)="",WdhStd,INDEX($C$706:$V$706,J$14)))</f>
        <v/>
      </c>
      <c r="K1231" s="62">
        <f>IF(K$14=0,WdhStd,IF(INDEX($C$706:$V$706,K$14)="",WdhStd,INDEX($C$706:$V$706,K$14)))</f>
        <v/>
      </c>
      <c r="L1231" s="62">
        <f>IF(L$14=0,WdhStd,IF(INDEX($C$706:$V$706,L$14)="",WdhStd,INDEX($C$706:$V$706,L$14)))</f>
        <v/>
      </c>
      <c r="M1231" s="62">
        <f>IF(M$14=0,WdhStd,IF(INDEX($C$706:$V$706,M$14)="",WdhStd,INDEX($C$706:$V$706,M$14)))</f>
        <v/>
      </c>
      <c r="N1231" s="62">
        <f>IF(N$14=0,WdhStd,IF(INDEX($C$706:$V$706,N$14)="",WdhStd,INDEX($C$706:$V$706,N$14)))</f>
        <v/>
      </c>
      <c r="O1231" s="62">
        <f>IF(O$14=0,WdhStd,IF(INDEX($C$706:$V$706,O$14)="",WdhStd,INDEX($C$706:$V$706,O$14)))</f>
        <v/>
      </c>
      <c r="P1231" s="62">
        <f>IF(P$14=0,WdhStd,IF(INDEX($C$706:$V$706,P$14)="",WdhStd,INDEX($C$706:$V$706,P$14)))</f>
        <v/>
      </c>
      <c r="Q1231" s="62">
        <f>IF(Q$14=0,WdhStd,IF(INDEX($C$706:$V$706,Q$14)="",WdhStd,INDEX($C$706:$V$706,Q$14)))</f>
        <v/>
      </c>
      <c r="R1231" s="62">
        <f>IF(R$14=0,WdhStd,IF(INDEX($C$706:$V$706,R$14)="",WdhStd,INDEX($C$706:$V$706,R$14)))</f>
        <v/>
      </c>
      <c r="S1231" s="62">
        <f>IF(S$14=0,WdhStd,IF(INDEX($C$706:$V$706,S$14)="",WdhStd,INDEX($C$706:$V$706,S$14)))</f>
        <v/>
      </c>
      <c r="T1231" s="62">
        <f>IF(T$14=0,WdhStd,IF(INDEX($C$706:$V$706,T$14)="",WdhStd,INDEX($C$706:$V$706,T$14)))</f>
        <v/>
      </c>
      <c r="U1231" s="62">
        <f>IF(U$14=0,WdhStd,IF(INDEX($C$706:$V$706,U$14)="",WdhStd,INDEX($C$706:$V$706,U$14)))</f>
        <v/>
      </c>
      <c r="V1231" s="62">
        <f>IF(V$14=0,WdhStd,IF(INDEX($C$706:$V$706,V$14)="",WdhStd,INDEX($C$706:$V$706,V$14)))</f>
        <v/>
      </c>
    </row>
    <row r="1232">
      <c r="C1232" s="62">
        <f>IF(C$14=0,WdhStd,IF(INDEX($C$707:$V$707,C$14)="",WdhStd,INDEX($C$707:$V$707,C$14)))</f>
        <v/>
      </c>
      <c r="D1232" s="62">
        <f>IF(D$14=0,WdhStd,IF(INDEX($C$707:$V$707,D$14)="",WdhStd,INDEX($C$707:$V$707,D$14)))</f>
        <v/>
      </c>
      <c r="E1232" s="62">
        <f>IF(E$14=0,WdhStd,IF(INDEX($C$707:$V$707,E$14)="",WdhStd,INDEX($C$707:$V$707,E$14)))</f>
        <v/>
      </c>
      <c r="F1232" s="62">
        <f>IF(F$14=0,WdhStd,IF(INDEX($C$707:$V$707,F$14)="",WdhStd,INDEX($C$707:$V$707,F$14)))</f>
        <v/>
      </c>
      <c r="G1232" s="62">
        <f>IF(G$14=0,WdhStd,IF(INDEX($C$707:$V$707,G$14)="",WdhStd,INDEX($C$707:$V$707,G$14)))</f>
        <v/>
      </c>
      <c r="H1232" s="62">
        <f>IF(H$14=0,WdhStd,IF(INDEX($C$707:$V$707,H$14)="",WdhStd,INDEX($C$707:$V$707,H$14)))</f>
        <v/>
      </c>
      <c r="I1232" s="62">
        <f>IF(I$14=0,WdhStd,IF(INDEX($C$707:$V$707,I$14)="",WdhStd,INDEX($C$707:$V$707,I$14)))</f>
        <v/>
      </c>
      <c r="J1232" s="62">
        <f>IF(J$14=0,WdhStd,IF(INDEX($C$707:$V$707,J$14)="",WdhStd,INDEX($C$707:$V$707,J$14)))</f>
        <v/>
      </c>
      <c r="K1232" s="62">
        <f>IF(K$14=0,WdhStd,IF(INDEX($C$707:$V$707,K$14)="",WdhStd,INDEX($C$707:$V$707,K$14)))</f>
        <v/>
      </c>
      <c r="L1232" s="62">
        <f>IF(L$14=0,WdhStd,IF(INDEX($C$707:$V$707,L$14)="",WdhStd,INDEX($C$707:$V$707,L$14)))</f>
        <v/>
      </c>
      <c r="M1232" s="62">
        <f>IF(M$14=0,WdhStd,IF(INDEX($C$707:$V$707,M$14)="",WdhStd,INDEX($C$707:$V$707,M$14)))</f>
        <v/>
      </c>
      <c r="N1232" s="62">
        <f>IF(N$14=0,WdhStd,IF(INDEX($C$707:$V$707,N$14)="",WdhStd,INDEX($C$707:$V$707,N$14)))</f>
        <v/>
      </c>
      <c r="O1232" s="62">
        <f>IF(O$14=0,WdhStd,IF(INDEX($C$707:$V$707,O$14)="",WdhStd,INDEX($C$707:$V$707,O$14)))</f>
        <v/>
      </c>
      <c r="P1232" s="62">
        <f>IF(P$14=0,WdhStd,IF(INDEX($C$707:$V$707,P$14)="",WdhStd,INDEX($C$707:$V$707,P$14)))</f>
        <v/>
      </c>
      <c r="Q1232" s="62">
        <f>IF(Q$14=0,WdhStd,IF(INDEX($C$707:$V$707,Q$14)="",WdhStd,INDEX($C$707:$V$707,Q$14)))</f>
        <v/>
      </c>
      <c r="R1232" s="62">
        <f>IF(R$14=0,WdhStd,IF(INDEX($C$707:$V$707,R$14)="",WdhStd,INDEX($C$707:$V$707,R$14)))</f>
        <v/>
      </c>
      <c r="S1232" s="62">
        <f>IF(S$14=0,WdhStd,IF(INDEX($C$707:$V$707,S$14)="",WdhStd,INDEX($C$707:$V$707,S$14)))</f>
        <v/>
      </c>
      <c r="T1232" s="62">
        <f>IF(T$14=0,WdhStd,IF(INDEX($C$707:$V$707,T$14)="",WdhStd,INDEX($C$707:$V$707,T$14)))</f>
        <v/>
      </c>
      <c r="U1232" s="62">
        <f>IF(U$14=0,WdhStd,IF(INDEX($C$707:$V$707,U$14)="",WdhStd,INDEX($C$707:$V$707,U$14)))</f>
        <v/>
      </c>
      <c r="V1232" s="62">
        <f>IF(V$14=0,WdhStd,IF(INDEX($C$707:$V$707,V$14)="",WdhStd,INDEX($C$707:$V$707,V$14)))</f>
        <v/>
      </c>
    </row>
    <row r="1233">
      <c r="C1233" s="62">
        <f>IF(C$14=0,WdhStd,IF(INDEX($C$708:$V$708,C$14)="",WdhStd,INDEX($C$708:$V$708,C$14)))</f>
        <v/>
      </c>
      <c r="D1233" s="62">
        <f>IF(D$14=0,WdhStd,IF(INDEX($C$708:$V$708,D$14)="",WdhStd,INDEX($C$708:$V$708,D$14)))</f>
        <v/>
      </c>
      <c r="E1233" s="62">
        <f>IF(E$14=0,WdhStd,IF(INDEX($C$708:$V$708,E$14)="",WdhStd,INDEX($C$708:$V$708,E$14)))</f>
        <v/>
      </c>
      <c r="F1233" s="62">
        <f>IF(F$14=0,WdhStd,IF(INDEX($C$708:$V$708,F$14)="",WdhStd,INDEX($C$708:$V$708,F$14)))</f>
        <v/>
      </c>
      <c r="G1233" s="62">
        <f>IF(G$14=0,WdhStd,IF(INDEX($C$708:$V$708,G$14)="",WdhStd,INDEX($C$708:$V$708,G$14)))</f>
        <v/>
      </c>
      <c r="H1233" s="62">
        <f>IF(H$14=0,WdhStd,IF(INDEX($C$708:$V$708,H$14)="",WdhStd,INDEX($C$708:$V$708,H$14)))</f>
        <v/>
      </c>
      <c r="I1233" s="62">
        <f>IF(I$14=0,WdhStd,IF(INDEX($C$708:$V$708,I$14)="",WdhStd,INDEX($C$708:$V$708,I$14)))</f>
        <v/>
      </c>
      <c r="J1233" s="62">
        <f>IF(J$14=0,WdhStd,IF(INDEX($C$708:$V$708,J$14)="",WdhStd,INDEX($C$708:$V$708,J$14)))</f>
        <v/>
      </c>
      <c r="K1233" s="62">
        <f>IF(K$14=0,WdhStd,IF(INDEX($C$708:$V$708,K$14)="",WdhStd,INDEX($C$708:$V$708,K$14)))</f>
        <v/>
      </c>
      <c r="L1233" s="62">
        <f>IF(L$14=0,WdhStd,IF(INDEX($C$708:$V$708,L$14)="",WdhStd,INDEX($C$708:$V$708,L$14)))</f>
        <v/>
      </c>
      <c r="M1233" s="62">
        <f>IF(M$14=0,WdhStd,IF(INDEX($C$708:$V$708,M$14)="",WdhStd,INDEX($C$708:$V$708,M$14)))</f>
        <v/>
      </c>
      <c r="N1233" s="62">
        <f>IF(N$14=0,WdhStd,IF(INDEX($C$708:$V$708,N$14)="",WdhStd,INDEX($C$708:$V$708,N$14)))</f>
        <v/>
      </c>
      <c r="O1233" s="62">
        <f>IF(O$14=0,WdhStd,IF(INDEX($C$708:$V$708,O$14)="",WdhStd,INDEX($C$708:$V$708,O$14)))</f>
        <v/>
      </c>
      <c r="P1233" s="62">
        <f>IF(P$14=0,WdhStd,IF(INDEX($C$708:$V$708,P$14)="",WdhStd,INDEX($C$708:$V$708,P$14)))</f>
        <v/>
      </c>
      <c r="Q1233" s="62">
        <f>IF(Q$14=0,WdhStd,IF(INDEX($C$708:$V$708,Q$14)="",WdhStd,INDEX($C$708:$V$708,Q$14)))</f>
        <v/>
      </c>
      <c r="R1233" s="62">
        <f>IF(R$14=0,WdhStd,IF(INDEX($C$708:$V$708,R$14)="",WdhStd,INDEX($C$708:$V$708,R$14)))</f>
        <v/>
      </c>
      <c r="S1233" s="62">
        <f>IF(S$14=0,WdhStd,IF(INDEX($C$708:$V$708,S$14)="",WdhStd,INDEX($C$708:$V$708,S$14)))</f>
        <v/>
      </c>
      <c r="T1233" s="62">
        <f>IF(T$14=0,WdhStd,IF(INDEX($C$708:$V$708,T$14)="",WdhStd,INDEX($C$708:$V$708,T$14)))</f>
        <v/>
      </c>
      <c r="U1233" s="62">
        <f>IF(U$14=0,WdhStd,IF(INDEX($C$708:$V$708,U$14)="",WdhStd,INDEX($C$708:$V$708,U$14)))</f>
        <v/>
      </c>
      <c r="V1233" s="62">
        <f>IF(V$14=0,WdhStd,IF(INDEX($C$708:$V$708,V$14)="",WdhStd,INDEX($C$708:$V$708,V$14)))</f>
        <v/>
      </c>
    </row>
    <row r="1234">
      <c r="C1234" s="62">
        <f>IF(C$14=0,WdhStd,IF(INDEX($C$709:$V$709,C$14)="",WdhStd,INDEX($C$709:$V$709,C$14)))</f>
        <v/>
      </c>
      <c r="D1234" s="62">
        <f>IF(D$14=0,WdhStd,IF(INDEX($C$709:$V$709,D$14)="",WdhStd,INDEX($C$709:$V$709,D$14)))</f>
        <v/>
      </c>
      <c r="E1234" s="62">
        <f>IF(E$14=0,WdhStd,IF(INDEX($C$709:$V$709,E$14)="",WdhStd,INDEX($C$709:$V$709,E$14)))</f>
        <v/>
      </c>
      <c r="F1234" s="62">
        <f>IF(F$14=0,WdhStd,IF(INDEX($C$709:$V$709,F$14)="",WdhStd,INDEX($C$709:$V$709,F$14)))</f>
        <v/>
      </c>
      <c r="G1234" s="62">
        <f>IF(G$14=0,WdhStd,IF(INDEX($C$709:$V$709,G$14)="",WdhStd,INDEX($C$709:$V$709,G$14)))</f>
        <v/>
      </c>
      <c r="H1234" s="62">
        <f>IF(H$14=0,WdhStd,IF(INDEX($C$709:$V$709,H$14)="",WdhStd,INDEX($C$709:$V$709,H$14)))</f>
        <v/>
      </c>
      <c r="I1234" s="62">
        <f>IF(I$14=0,WdhStd,IF(INDEX($C$709:$V$709,I$14)="",WdhStd,INDEX($C$709:$V$709,I$14)))</f>
        <v/>
      </c>
      <c r="J1234" s="62">
        <f>IF(J$14=0,WdhStd,IF(INDEX($C$709:$V$709,J$14)="",WdhStd,INDEX($C$709:$V$709,J$14)))</f>
        <v/>
      </c>
      <c r="K1234" s="62">
        <f>IF(K$14=0,WdhStd,IF(INDEX($C$709:$V$709,K$14)="",WdhStd,INDEX($C$709:$V$709,K$14)))</f>
        <v/>
      </c>
      <c r="L1234" s="62">
        <f>IF(L$14=0,WdhStd,IF(INDEX($C$709:$V$709,L$14)="",WdhStd,INDEX($C$709:$V$709,L$14)))</f>
        <v/>
      </c>
      <c r="M1234" s="62">
        <f>IF(M$14=0,WdhStd,IF(INDEX($C$709:$V$709,M$14)="",WdhStd,INDEX($C$709:$V$709,M$14)))</f>
        <v/>
      </c>
      <c r="N1234" s="62">
        <f>IF(N$14=0,WdhStd,IF(INDEX($C$709:$V$709,N$14)="",WdhStd,INDEX($C$709:$V$709,N$14)))</f>
        <v/>
      </c>
      <c r="O1234" s="62">
        <f>IF(O$14=0,WdhStd,IF(INDEX($C$709:$V$709,O$14)="",WdhStd,INDEX($C$709:$V$709,O$14)))</f>
        <v/>
      </c>
      <c r="P1234" s="62">
        <f>IF(P$14=0,WdhStd,IF(INDEX($C$709:$V$709,P$14)="",WdhStd,INDEX($C$709:$V$709,P$14)))</f>
        <v/>
      </c>
      <c r="Q1234" s="62">
        <f>IF(Q$14=0,WdhStd,IF(INDEX($C$709:$V$709,Q$14)="",WdhStd,INDEX($C$709:$V$709,Q$14)))</f>
        <v/>
      </c>
      <c r="R1234" s="62">
        <f>IF(R$14=0,WdhStd,IF(INDEX($C$709:$V$709,R$14)="",WdhStd,INDEX($C$709:$V$709,R$14)))</f>
        <v/>
      </c>
      <c r="S1234" s="62">
        <f>IF(S$14=0,WdhStd,IF(INDEX($C$709:$V$709,S$14)="",WdhStd,INDEX($C$709:$V$709,S$14)))</f>
        <v/>
      </c>
      <c r="T1234" s="62">
        <f>IF(T$14=0,WdhStd,IF(INDEX($C$709:$V$709,T$14)="",WdhStd,INDEX($C$709:$V$709,T$14)))</f>
        <v/>
      </c>
      <c r="U1234" s="62">
        <f>IF(U$14=0,WdhStd,IF(INDEX($C$709:$V$709,U$14)="",WdhStd,INDEX($C$709:$V$709,U$14)))</f>
        <v/>
      </c>
      <c r="V1234" s="62">
        <f>IF(V$14=0,WdhStd,IF(INDEX($C$709:$V$709,V$14)="",WdhStd,INDEX($C$709:$V$709,V$14)))</f>
        <v/>
      </c>
    </row>
    <row r="1235">
      <c r="C1235" s="62">
        <f>IF(C$14=0,WdhStd,IF(INDEX($C$710:$V$710,C$14)="",WdhStd,INDEX($C$710:$V$710,C$14)))</f>
        <v/>
      </c>
      <c r="D1235" s="62">
        <f>IF(D$14=0,WdhStd,IF(INDEX($C$710:$V$710,D$14)="",WdhStd,INDEX($C$710:$V$710,D$14)))</f>
        <v/>
      </c>
      <c r="E1235" s="62">
        <f>IF(E$14=0,WdhStd,IF(INDEX($C$710:$V$710,E$14)="",WdhStd,INDEX($C$710:$V$710,E$14)))</f>
        <v/>
      </c>
      <c r="F1235" s="62">
        <f>IF(F$14=0,WdhStd,IF(INDEX($C$710:$V$710,F$14)="",WdhStd,INDEX($C$710:$V$710,F$14)))</f>
        <v/>
      </c>
      <c r="G1235" s="62">
        <f>IF(G$14=0,WdhStd,IF(INDEX($C$710:$V$710,G$14)="",WdhStd,INDEX($C$710:$V$710,G$14)))</f>
        <v/>
      </c>
      <c r="H1235" s="62">
        <f>IF(H$14=0,WdhStd,IF(INDEX($C$710:$V$710,H$14)="",WdhStd,INDEX($C$710:$V$710,H$14)))</f>
        <v/>
      </c>
      <c r="I1235" s="62">
        <f>IF(I$14=0,WdhStd,IF(INDEX($C$710:$V$710,I$14)="",WdhStd,INDEX($C$710:$V$710,I$14)))</f>
        <v/>
      </c>
      <c r="J1235" s="62">
        <f>IF(J$14=0,WdhStd,IF(INDEX($C$710:$V$710,J$14)="",WdhStd,INDEX($C$710:$V$710,J$14)))</f>
        <v/>
      </c>
      <c r="K1235" s="62">
        <f>IF(K$14=0,WdhStd,IF(INDEX($C$710:$V$710,K$14)="",WdhStd,INDEX($C$710:$V$710,K$14)))</f>
        <v/>
      </c>
      <c r="L1235" s="62">
        <f>IF(L$14=0,WdhStd,IF(INDEX($C$710:$V$710,L$14)="",WdhStd,INDEX($C$710:$V$710,L$14)))</f>
        <v/>
      </c>
      <c r="M1235" s="62">
        <f>IF(M$14=0,WdhStd,IF(INDEX($C$710:$V$710,M$14)="",WdhStd,INDEX($C$710:$V$710,M$14)))</f>
        <v/>
      </c>
      <c r="N1235" s="62">
        <f>IF(N$14=0,WdhStd,IF(INDEX($C$710:$V$710,N$14)="",WdhStd,INDEX($C$710:$V$710,N$14)))</f>
        <v/>
      </c>
      <c r="O1235" s="62">
        <f>IF(O$14=0,WdhStd,IF(INDEX($C$710:$V$710,O$14)="",WdhStd,INDEX($C$710:$V$710,O$14)))</f>
        <v/>
      </c>
      <c r="P1235" s="62">
        <f>IF(P$14=0,WdhStd,IF(INDEX($C$710:$V$710,P$14)="",WdhStd,INDEX($C$710:$V$710,P$14)))</f>
        <v/>
      </c>
      <c r="Q1235" s="62">
        <f>IF(Q$14=0,WdhStd,IF(INDEX($C$710:$V$710,Q$14)="",WdhStd,INDEX($C$710:$V$710,Q$14)))</f>
        <v/>
      </c>
      <c r="R1235" s="62">
        <f>IF(R$14=0,WdhStd,IF(INDEX($C$710:$V$710,R$14)="",WdhStd,INDEX($C$710:$V$710,R$14)))</f>
        <v/>
      </c>
      <c r="S1235" s="62">
        <f>IF(S$14=0,WdhStd,IF(INDEX($C$710:$V$710,S$14)="",WdhStd,INDEX($C$710:$V$710,S$14)))</f>
        <v/>
      </c>
      <c r="T1235" s="62">
        <f>IF(T$14=0,WdhStd,IF(INDEX($C$710:$V$710,T$14)="",WdhStd,INDEX($C$710:$V$710,T$14)))</f>
        <v/>
      </c>
      <c r="U1235" s="62">
        <f>IF(U$14=0,WdhStd,IF(INDEX($C$710:$V$710,U$14)="",WdhStd,INDEX($C$710:$V$710,U$14)))</f>
        <v/>
      </c>
      <c r="V1235" s="62">
        <f>IF(V$14=0,WdhStd,IF(INDEX($C$710:$V$710,V$14)="",WdhStd,INDEX($C$710:$V$710,V$14)))</f>
        <v/>
      </c>
    </row>
    <row r="1236">
      <c r="C1236" s="62">
        <f>IF(C$14=0,WdhStd,IF(INDEX($C$711:$V$711,C$14)="",WdhStd,INDEX($C$711:$V$711,C$14)))</f>
        <v/>
      </c>
      <c r="D1236" s="62">
        <f>IF(D$14=0,WdhStd,IF(INDEX($C$711:$V$711,D$14)="",WdhStd,INDEX($C$711:$V$711,D$14)))</f>
        <v/>
      </c>
      <c r="E1236" s="62">
        <f>IF(E$14=0,WdhStd,IF(INDEX($C$711:$V$711,E$14)="",WdhStd,INDEX($C$711:$V$711,E$14)))</f>
        <v/>
      </c>
      <c r="F1236" s="62">
        <f>IF(F$14=0,WdhStd,IF(INDEX($C$711:$V$711,F$14)="",WdhStd,INDEX($C$711:$V$711,F$14)))</f>
        <v/>
      </c>
      <c r="G1236" s="62">
        <f>IF(G$14=0,WdhStd,IF(INDEX($C$711:$V$711,G$14)="",WdhStd,INDEX($C$711:$V$711,G$14)))</f>
        <v/>
      </c>
      <c r="H1236" s="62">
        <f>IF(H$14=0,WdhStd,IF(INDEX($C$711:$V$711,H$14)="",WdhStd,INDEX($C$711:$V$711,H$14)))</f>
        <v/>
      </c>
      <c r="I1236" s="62">
        <f>IF(I$14=0,WdhStd,IF(INDEX($C$711:$V$711,I$14)="",WdhStd,INDEX($C$711:$V$711,I$14)))</f>
        <v/>
      </c>
      <c r="J1236" s="62">
        <f>IF(J$14=0,WdhStd,IF(INDEX($C$711:$V$711,J$14)="",WdhStd,INDEX($C$711:$V$711,J$14)))</f>
        <v/>
      </c>
      <c r="K1236" s="62">
        <f>IF(K$14=0,WdhStd,IF(INDEX($C$711:$V$711,K$14)="",WdhStd,INDEX($C$711:$V$711,K$14)))</f>
        <v/>
      </c>
      <c r="L1236" s="62">
        <f>IF(L$14=0,WdhStd,IF(INDEX($C$711:$V$711,L$14)="",WdhStd,INDEX($C$711:$V$711,L$14)))</f>
        <v/>
      </c>
      <c r="M1236" s="62">
        <f>IF(M$14=0,WdhStd,IF(INDEX($C$711:$V$711,M$14)="",WdhStd,INDEX($C$711:$V$711,M$14)))</f>
        <v/>
      </c>
      <c r="N1236" s="62">
        <f>IF(N$14=0,WdhStd,IF(INDEX($C$711:$V$711,N$14)="",WdhStd,INDEX($C$711:$V$711,N$14)))</f>
        <v/>
      </c>
      <c r="O1236" s="62">
        <f>IF(O$14=0,WdhStd,IF(INDEX($C$711:$V$711,O$14)="",WdhStd,INDEX($C$711:$V$711,O$14)))</f>
        <v/>
      </c>
      <c r="P1236" s="62">
        <f>IF(P$14=0,WdhStd,IF(INDEX($C$711:$V$711,P$14)="",WdhStd,INDEX($C$711:$V$711,P$14)))</f>
        <v/>
      </c>
      <c r="Q1236" s="62">
        <f>IF(Q$14=0,WdhStd,IF(INDEX($C$711:$V$711,Q$14)="",WdhStd,INDEX($C$711:$V$711,Q$14)))</f>
        <v/>
      </c>
      <c r="R1236" s="62">
        <f>IF(R$14=0,WdhStd,IF(INDEX($C$711:$V$711,R$14)="",WdhStd,INDEX($C$711:$V$711,R$14)))</f>
        <v/>
      </c>
      <c r="S1236" s="62">
        <f>IF(S$14=0,WdhStd,IF(INDEX($C$711:$V$711,S$14)="",WdhStd,INDEX($C$711:$V$711,S$14)))</f>
        <v/>
      </c>
      <c r="T1236" s="62">
        <f>IF(T$14=0,WdhStd,IF(INDEX($C$711:$V$711,T$14)="",WdhStd,INDEX($C$711:$V$711,T$14)))</f>
        <v/>
      </c>
      <c r="U1236" s="62">
        <f>IF(U$14=0,WdhStd,IF(INDEX($C$711:$V$711,U$14)="",WdhStd,INDEX($C$711:$V$711,U$14)))</f>
        <v/>
      </c>
      <c r="V1236" s="62">
        <f>IF(V$14=0,WdhStd,IF(INDEX($C$711:$V$711,V$14)="",WdhStd,INDEX($C$711:$V$711,V$14)))</f>
        <v/>
      </c>
    </row>
    <row r="1237">
      <c r="C1237" s="62">
        <f>IF(C$14=0,WdhStd,IF(INDEX($C$712:$V$712,C$14)="",WdhStd,INDEX($C$712:$V$712,C$14)))</f>
        <v/>
      </c>
      <c r="D1237" s="62">
        <f>IF(D$14=0,WdhStd,IF(INDEX($C$712:$V$712,D$14)="",WdhStd,INDEX($C$712:$V$712,D$14)))</f>
        <v/>
      </c>
      <c r="E1237" s="62">
        <f>IF(E$14=0,WdhStd,IF(INDEX($C$712:$V$712,E$14)="",WdhStd,INDEX($C$712:$V$712,E$14)))</f>
        <v/>
      </c>
      <c r="F1237" s="62">
        <f>IF(F$14=0,WdhStd,IF(INDEX($C$712:$V$712,F$14)="",WdhStd,INDEX($C$712:$V$712,F$14)))</f>
        <v/>
      </c>
      <c r="G1237" s="62">
        <f>IF(G$14=0,WdhStd,IF(INDEX($C$712:$V$712,G$14)="",WdhStd,INDEX($C$712:$V$712,G$14)))</f>
        <v/>
      </c>
      <c r="H1237" s="62">
        <f>IF(H$14=0,WdhStd,IF(INDEX($C$712:$V$712,H$14)="",WdhStd,INDEX($C$712:$V$712,H$14)))</f>
        <v/>
      </c>
      <c r="I1237" s="62">
        <f>IF(I$14=0,WdhStd,IF(INDEX($C$712:$V$712,I$14)="",WdhStd,INDEX($C$712:$V$712,I$14)))</f>
        <v/>
      </c>
      <c r="J1237" s="62">
        <f>IF(J$14=0,WdhStd,IF(INDEX($C$712:$V$712,J$14)="",WdhStd,INDEX($C$712:$V$712,J$14)))</f>
        <v/>
      </c>
      <c r="K1237" s="62">
        <f>IF(K$14=0,WdhStd,IF(INDEX($C$712:$V$712,K$14)="",WdhStd,INDEX($C$712:$V$712,K$14)))</f>
        <v/>
      </c>
      <c r="L1237" s="62">
        <f>IF(L$14=0,WdhStd,IF(INDEX($C$712:$V$712,L$14)="",WdhStd,INDEX($C$712:$V$712,L$14)))</f>
        <v/>
      </c>
      <c r="M1237" s="62">
        <f>IF(M$14=0,WdhStd,IF(INDEX($C$712:$V$712,M$14)="",WdhStd,INDEX($C$712:$V$712,M$14)))</f>
        <v/>
      </c>
      <c r="N1237" s="62">
        <f>IF(N$14=0,WdhStd,IF(INDEX($C$712:$V$712,N$14)="",WdhStd,INDEX($C$712:$V$712,N$14)))</f>
        <v/>
      </c>
      <c r="O1237" s="62">
        <f>IF(O$14=0,WdhStd,IF(INDEX($C$712:$V$712,O$14)="",WdhStd,INDEX($C$712:$V$712,O$14)))</f>
        <v/>
      </c>
      <c r="P1237" s="62">
        <f>IF(P$14=0,WdhStd,IF(INDEX($C$712:$V$712,P$14)="",WdhStd,INDEX($C$712:$V$712,P$14)))</f>
        <v/>
      </c>
      <c r="Q1237" s="62">
        <f>IF(Q$14=0,WdhStd,IF(INDEX($C$712:$V$712,Q$14)="",WdhStd,INDEX($C$712:$V$712,Q$14)))</f>
        <v/>
      </c>
      <c r="R1237" s="62">
        <f>IF(R$14=0,WdhStd,IF(INDEX($C$712:$V$712,R$14)="",WdhStd,INDEX($C$712:$V$712,R$14)))</f>
        <v/>
      </c>
      <c r="S1237" s="62">
        <f>IF(S$14=0,WdhStd,IF(INDEX($C$712:$V$712,S$14)="",WdhStd,INDEX($C$712:$V$712,S$14)))</f>
        <v/>
      </c>
      <c r="T1237" s="62">
        <f>IF(T$14=0,WdhStd,IF(INDEX($C$712:$V$712,T$14)="",WdhStd,INDEX($C$712:$V$712,T$14)))</f>
        <v/>
      </c>
      <c r="U1237" s="62">
        <f>IF(U$14=0,WdhStd,IF(INDEX($C$712:$V$712,U$14)="",WdhStd,INDEX($C$712:$V$712,U$14)))</f>
        <v/>
      </c>
      <c r="V1237" s="62">
        <f>IF(V$14=0,WdhStd,IF(INDEX($C$712:$V$712,V$14)="",WdhStd,INDEX($C$712:$V$712,V$14)))</f>
        <v/>
      </c>
    </row>
    <row r="1238">
      <c r="C1238" s="62">
        <f>IF(C$14=0,WdhStd,IF(INDEX($C$713:$V$713,C$14)="",WdhStd,INDEX($C$713:$V$713,C$14)))</f>
        <v/>
      </c>
      <c r="D1238" s="62">
        <f>IF(D$14=0,WdhStd,IF(INDEX($C$713:$V$713,D$14)="",WdhStd,INDEX($C$713:$V$713,D$14)))</f>
        <v/>
      </c>
      <c r="E1238" s="62">
        <f>IF(E$14=0,WdhStd,IF(INDEX($C$713:$V$713,E$14)="",WdhStd,INDEX($C$713:$V$713,E$14)))</f>
        <v/>
      </c>
      <c r="F1238" s="62">
        <f>IF(F$14=0,WdhStd,IF(INDEX($C$713:$V$713,F$14)="",WdhStd,INDEX($C$713:$V$713,F$14)))</f>
        <v/>
      </c>
      <c r="G1238" s="62">
        <f>IF(G$14=0,WdhStd,IF(INDEX($C$713:$V$713,G$14)="",WdhStd,INDEX($C$713:$V$713,G$14)))</f>
        <v/>
      </c>
      <c r="H1238" s="62">
        <f>IF(H$14=0,WdhStd,IF(INDEX($C$713:$V$713,H$14)="",WdhStd,INDEX($C$713:$V$713,H$14)))</f>
        <v/>
      </c>
      <c r="I1238" s="62">
        <f>IF(I$14=0,WdhStd,IF(INDEX($C$713:$V$713,I$14)="",WdhStd,INDEX($C$713:$V$713,I$14)))</f>
        <v/>
      </c>
      <c r="J1238" s="62">
        <f>IF(J$14=0,WdhStd,IF(INDEX($C$713:$V$713,J$14)="",WdhStd,INDEX($C$713:$V$713,J$14)))</f>
        <v/>
      </c>
      <c r="K1238" s="62">
        <f>IF(K$14=0,WdhStd,IF(INDEX($C$713:$V$713,K$14)="",WdhStd,INDEX($C$713:$V$713,K$14)))</f>
        <v/>
      </c>
      <c r="L1238" s="62">
        <f>IF(L$14=0,WdhStd,IF(INDEX($C$713:$V$713,L$14)="",WdhStd,INDEX($C$713:$V$713,L$14)))</f>
        <v/>
      </c>
      <c r="M1238" s="62">
        <f>IF(M$14=0,WdhStd,IF(INDEX($C$713:$V$713,M$14)="",WdhStd,INDEX($C$713:$V$713,M$14)))</f>
        <v/>
      </c>
      <c r="N1238" s="62">
        <f>IF(N$14=0,WdhStd,IF(INDEX($C$713:$V$713,N$14)="",WdhStd,INDEX($C$713:$V$713,N$14)))</f>
        <v/>
      </c>
      <c r="O1238" s="62">
        <f>IF(O$14=0,WdhStd,IF(INDEX($C$713:$V$713,O$14)="",WdhStd,INDEX($C$713:$V$713,O$14)))</f>
        <v/>
      </c>
      <c r="P1238" s="62">
        <f>IF(P$14=0,WdhStd,IF(INDEX($C$713:$V$713,P$14)="",WdhStd,INDEX($C$713:$V$713,P$14)))</f>
        <v/>
      </c>
      <c r="Q1238" s="62">
        <f>IF(Q$14=0,WdhStd,IF(INDEX($C$713:$V$713,Q$14)="",WdhStd,INDEX($C$713:$V$713,Q$14)))</f>
        <v/>
      </c>
      <c r="R1238" s="62">
        <f>IF(R$14=0,WdhStd,IF(INDEX($C$713:$V$713,R$14)="",WdhStd,INDEX($C$713:$V$713,R$14)))</f>
        <v/>
      </c>
      <c r="S1238" s="62">
        <f>IF(S$14=0,WdhStd,IF(INDEX($C$713:$V$713,S$14)="",WdhStd,INDEX($C$713:$V$713,S$14)))</f>
        <v/>
      </c>
      <c r="T1238" s="62">
        <f>IF(T$14=0,WdhStd,IF(INDEX($C$713:$V$713,T$14)="",WdhStd,INDEX($C$713:$V$713,T$14)))</f>
        <v/>
      </c>
      <c r="U1238" s="62">
        <f>IF(U$14=0,WdhStd,IF(INDEX($C$713:$V$713,U$14)="",WdhStd,INDEX($C$713:$V$713,U$14)))</f>
        <v/>
      </c>
      <c r="V1238" s="62">
        <f>IF(V$14=0,WdhStd,IF(INDEX($C$713:$V$713,V$14)="",WdhStd,INDEX($C$713:$V$713,V$14)))</f>
        <v/>
      </c>
    </row>
    <row r="1239">
      <c r="C1239" s="62">
        <f>IF(C$14=0,WdhStd,IF(INDEX($C$714:$V$714,C$14)="",WdhStd,INDEX($C$714:$V$714,C$14)))</f>
        <v/>
      </c>
      <c r="D1239" s="62">
        <f>IF(D$14=0,WdhStd,IF(INDEX($C$714:$V$714,D$14)="",WdhStd,INDEX($C$714:$V$714,D$14)))</f>
        <v/>
      </c>
      <c r="E1239" s="62">
        <f>IF(E$14=0,WdhStd,IF(INDEX($C$714:$V$714,E$14)="",WdhStd,INDEX($C$714:$V$714,E$14)))</f>
        <v/>
      </c>
      <c r="F1239" s="62">
        <f>IF(F$14=0,WdhStd,IF(INDEX($C$714:$V$714,F$14)="",WdhStd,INDEX($C$714:$V$714,F$14)))</f>
        <v/>
      </c>
      <c r="G1239" s="62">
        <f>IF(G$14=0,WdhStd,IF(INDEX($C$714:$V$714,G$14)="",WdhStd,INDEX($C$714:$V$714,G$14)))</f>
        <v/>
      </c>
      <c r="H1239" s="62">
        <f>IF(H$14=0,WdhStd,IF(INDEX($C$714:$V$714,H$14)="",WdhStd,INDEX($C$714:$V$714,H$14)))</f>
        <v/>
      </c>
      <c r="I1239" s="62">
        <f>IF(I$14=0,WdhStd,IF(INDEX($C$714:$V$714,I$14)="",WdhStd,INDEX($C$714:$V$714,I$14)))</f>
        <v/>
      </c>
      <c r="J1239" s="62">
        <f>IF(J$14=0,WdhStd,IF(INDEX($C$714:$V$714,J$14)="",WdhStd,INDEX($C$714:$V$714,J$14)))</f>
        <v/>
      </c>
      <c r="K1239" s="62">
        <f>IF(K$14=0,WdhStd,IF(INDEX($C$714:$V$714,K$14)="",WdhStd,INDEX($C$714:$V$714,K$14)))</f>
        <v/>
      </c>
      <c r="L1239" s="62">
        <f>IF(L$14=0,WdhStd,IF(INDEX($C$714:$V$714,L$14)="",WdhStd,INDEX($C$714:$V$714,L$14)))</f>
        <v/>
      </c>
      <c r="M1239" s="62">
        <f>IF(M$14=0,WdhStd,IF(INDEX($C$714:$V$714,M$14)="",WdhStd,INDEX($C$714:$V$714,M$14)))</f>
        <v/>
      </c>
      <c r="N1239" s="62">
        <f>IF(N$14=0,WdhStd,IF(INDEX($C$714:$V$714,N$14)="",WdhStd,INDEX($C$714:$V$714,N$14)))</f>
        <v/>
      </c>
      <c r="O1239" s="62">
        <f>IF(O$14=0,WdhStd,IF(INDEX($C$714:$V$714,O$14)="",WdhStd,INDEX($C$714:$V$714,O$14)))</f>
        <v/>
      </c>
      <c r="P1239" s="62">
        <f>IF(P$14=0,WdhStd,IF(INDEX($C$714:$V$714,P$14)="",WdhStd,INDEX($C$714:$V$714,P$14)))</f>
        <v/>
      </c>
      <c r="Q1239" s="62">
        <f>IF(Q$14=0,WdhStd,IF(INDEX($C$714:$V$714,Q$14)="",WdhStd,INDEX($C$714:$V$714,Q$14)))</f>
        <v/>
      </c>
      <c r="R1239" s="62">
        <f>IF(R$14=0,WdhStd,IF(INDEX($C$714:$V$714,R$14)="",WdhStd,INDEX($C$714:$V$714,R$14)))</f>
        <v/>
      </c>
      <c r="S1239" s="62">
        <f>IF(S$14=0,WdhStd,IF(INDEX($C$714:$V$714,S$14)="",WdhStd,INDEX($C$714:$V$714,S$14)))</f>
        <v/>
      </c>
      <c r="T1239" s="62">
        <f>IF(T$14=0,WdhStd,IF(INDEX($C$714:$V$714,T$14)="",WdhStd,INDEX($C$714:$V$714,T$14)))</f>
        <v/>
      </c>
      <c r="U1239" s="62">
        <f>IF(U$14=0,WdhStd,IF(INDEX($C$714:$V$714,U$14)="",WdhStd,INDEX($C$714:$V$714,U$14)))</f>
        <v/>
      </c>
      <c r="V1239" s="62">
        <f>IF(V$14=0,WdhStd,IF(INDEX($C$714:$V$714,V$14)="",WdhStd,INDEX($C$714:$V$714,V$14)))</f>
        <v/>
      </c>
    </row>
    <row r="1240">
      <c r="C1240" s="62">
        <f>IF(C$14=0,WdhStd,IF(INDEX($C$715:$V$715,C$14)="",WdhStd,INDEX($C$715:$V$715,C$14)))</f>
        <v/>
      </c>
      <c r="D1240" s="62">
        <f>IF(D$14=0,WdhStd,IF(INDEX($C$715:$V$715,D$14)="",WdhStd,INDEX($C$715:$V$715,D$14)))</f>
        <v/>
      </c>
      <c r="E1240" s="62">
        <f>IF(E$14=0,WdhStd,IF(INDEX($C$715:$V$715,E$14)="",WdhStd,INDEX($C$715:$V$715,E$14)))</f>
        <v/>
      </c>
      <c r="F1240" s="62">
        <f>IF(F$14=0,WdhStd,IF(INDEX($C$715:$V$715,F$14)="",WdhStd,INDEX($C$715:$V$715,F$14)))</f>
        <v/>
      </c>
      <c r="G1240" s="62">
        <f>IF(G$14=0,WdhStd,IF(INDEX($C$715:$V$715,G$14)="",WdhStd,INDEX($C$715:$V$715,G$14)))</f>
        <v/>
      </c>
      <c r="H1240" s="62">
        <f>IF(H$14=0,WdhStd,IF(INDEX($C$715:$V$715,H$14)="",WdhStd,INDEX($C$715:$V$715,H$14)))</f>
        <v/>
      </c>
      <c r="I1240" s="62">
        <f>IF(I$14=0,WdhStd,IF(INDEX($C$715:$V$715,I$14)="",WdhStd,INDEX($C$715:$V$715,I$14)))</f>
        <v/>
      </c>
      <c r="J1240" s="62">
        <f>IF(J$14=0,WdhStd,IF(INDEX($C$715:$V$715,J$14)="",WdhStd,INDEX($C$715:$V$715,J$14)))</f>
        <v/>
      </c>
      <c r="K1240" s="62">
        <f>IF(K$14=0,WdhStd,IF(INDEX($C$715:$V$715,K$14)="",WdhStd,INDEX($C$715:$V$715,K$14)))</f>
        <v/>
      </c>
      <c r="L1240" s="62">
        <f>IF(L$14=0,WdhStd,IF(INDEX($C$715:$V$715,L$14)="",WdhStd,INDEX($C$715:$V$715,L$14)))</f>
        <v/>
      </c>
      <c r="M1240" s="62">
        <f>IF(M$14=0,WdhStd,IF(INDEX($C$715:$V$715,M$14)="",WdhStd,INDEX($C$715:$V$715,M$14)))</f>
        <v/>
      </c>
      <c r="N1240" s="62">
        <f>IF(N$14=0,WdhStd,IF(INDEX($C$715:$V$715,N$14)="",WdhStd,INDEX($C$715:$V$715,N$14)))</f>
        <v/>
      </c>
      <c r="O1240" s="62">
        <f>IF(O$14=0,WdhStd,IF(INDEX($C$715:$V$715,O$14)="",WdhStd,INDEX($C$715:$V$715,O$14)))</f>
        <v/>
      </c>
      <c r="P1240" s="62">
        <f>IF(P$14=0,WdhStd,IF(INDEX($C$715:$V$715,P$14)="",WdhStd,INDEX($C$715:$V$715,P$14)))</f>
        <v/>
      </c>
      <c r="Q1240" s="62">
        <f>IF(Q$14=0,WdhStd,IF(INDEX($C$715:$V$715,Q$14)="",WdhStd,INDEX($C$715:$V$715,Q$14)))</f>
        <v/>
      </c>
      <c r="R1240" s="62">
        <f>IF(R$14=0,WdhStd,IF(INDEX($C$715:$V$715,R$14)="",WdhStd,INDEX($C$715:$V$715,R$14)))</f>
        <v/>
      </c>
      <c r="S1240" s="62">
        <f>IF(S$14=0,WdhStd,IF(INDEX($C$715:$V$715,S$14)="",WdhStd,INDEX($C$715:$V$715,S$14)))</f>
        <v/>
      </c>
      <c r="T1240" s="62">
        <f>IF(T$14=0,WdhStd,IF(INDEX($C$715:$V$715,T$14)="",WdhStd,INDEX($C$715:$V$715,T$14)))</f>
        <v/>
      </c>
      <c r="U1240" s="62">
        <f>IF(U$14=0,WdhStd,IF(INDEX($C$715:$V$715,U$14)="",WdhStd,INDEX($C$715:$V$715,U$14)))</f>
        <v/>
      </c>
      <c r="V1240" s="62">
        <f>IF(V$14=0,WdhStd,IF(INDEX($C$715:$V$715,V$14)="",WdhStd,INDEX($C$715:$V$715,V$14)))</f>
        <v/>
      </c>
    </row>
    <row r="1241">
      <c r="C1241" s="62">
        <f>IF(C$14=0,WdhStd,IF(INDEX($C$716:$V$716,C$14)="",WdhStd,INDEX($C$716:$V$716,C$14)))</f>
        <v/>
      </c>
      <c r="D1241" s="62">
        <f>IF(D$14=0,WdhStd,IF(INDEX($C$716:$V$716,D$14)="",WdhStd,INDEX($C$716:$V$716,D$14)))</f>
        <v/>
      </c>
      <c r="E1241" s="62">
        <f>IF(E$14=0,WdhStd,IF(INDEX($C$716:$V$716,E$14)="",WdhStd,INDEX($C$716:$V$716,E$14)))</f>
        <v/>
      </c>
      <c r="F1241" s="62">
        <f>IF(F$14=0,WdhStd,IF(INDEX($C$716:$V$716,F$14)="",WdhStd,INDEX($C$716:$V$716,F$14)))</f>
        <v/>
      </c>
      <c r="G1241" s="62">
        <f>IF(G$14=0,WdhStd,IF(INDEX($C$716:$V$716,G$14)="",WdhStd,INDEX($C$716:$V$716,G$14)))</f>
        <v/>
      </c>
      <c r="H1241" s="62">
        <f>IF(H$14=0,WdhStd,IF(INDEX($C$716:$V$716,H$14)="",WdhStd,INDEX($C$716:$V$716,H$14)))</f>
        <v/>
      </c>
      <c r="I1241" s="62">
        <f>IF(I$14=0,WdhStd,IF(INDEX($C$716:$V$716,I$14)="",WdhStd,INDEX($C$716:$V$716,I$14)))</f>
        <v/>
      </c>
      <c r="J1241" s="62">
        <f>IF(J$14=0,WdhStd,IF(INDEX($C$716:$V$716,J$14)="",WdhStd,INDEX($C$716:$V$716,J$14)))</f>
        <v/>
      </c>
      <c r="K1241" s="62">
        <f>IF(K$14=0,WdhStd,IF(INDEX($C$716:$V$716,K$14)="",WdhStd,INDEX($C$716:$V$716,K$14)))</f>
        <v/>
      </c>
      <c r="L1241" s="62">
        <f>IF(L$14=0,WdhStd,IF(INDEX($C$716:$V$716,L$14)="",WdhStd,INDEX($C$716:$V$716,L$14)))</f>
        <v/>
      </c>
      <c r="M1241" s="62">
        <f>IF(M$14=0,WdhStd,IF(INDEX($C$716:$V$716,M$14)="",WdhStd,INDEX($C$716:$V$716,M$14)))</f>
        <v/>
      </c>
      <c r="N1241" s="62">
        <f>IF(N$14=0,WdhStd,IF(INDEX($C$716:$V$716,N$14)="",WdhStd,INDEX($C$716:$V$716,N$14)))</f>
        <v/>
      </c>
      <c r="O1241" s="62">
        <f>IF(O$14=0,WdhStd,IF(INDEX($C$716:$V$716,O$14)="",WdhStd,INDEX($C$716:$V$716,O$14)))</f>
        <v/>
      </c>
      <c r="P1241" s="62">
        <f>IF(P$14=0,WdhStd,IF(INDEX($C$716:$V$716,P$14)="",WdhStd,INDEX($C$716:$V$716,P$14)))</f>
        <v/>
      </c>
      <c r="Q1241" s="62">
        <f>IF(Q$14=0,WdhStd,IF(INDEX($C$716:$V$716,Q$14)="",WdhStd,INDEX($C$716:$V$716,Q$14)))</f>
        <v/>
      </c>
      <c r="R1241" s="62">
        <f>IF(R$14=0,WdhStd,IF(INDEX($C$716:$V$716,R$14)="",WdhStd,INDEX($C$716:$V$716,R$14)))</f>
        <v/>
      </c>
      <c r="S1241" s="62">
        <f>IF(S$14=0,WdhStd,IF(INDEX($C$716:$V$716,S$14)="",WdhStd,INDEX($C$716:$V$716,S$14)))</f>
        <v/>
      </c>
      <c r="T1241" s="62">
        <f>IF(T$14=0,WdhStd,IF(INDEX($C$716:$V$716,T$14)="",WdhStd,INDEX($C$716:$V$716,T$14)))</f>
        <v/>
      </c>
      <c r="U1241" s="62">
        <f>IF(U$14=0,WdhStd,IF(INDEX($C$716:$V$716,U$14)="",WdhStd,INDEX($C$716:$V$716,U$14)))</f>
        <v/>
      </c>
      <c r="V1241" s="62">
        <f>IF(V$14=0,WdhStd,IF(INDEX($C$716:$V$716,V$14)="",WdhStd,INDEX($C$716:$V$716,V$14)))</f>
        <v/>
      </c>
    </row>
    <row r="1242">
      <c r="C1242" s="62">
        <f>IF(C$14=0,WdhStd,IF(INDEX($C$717:$V$717,C$14)="",WdhStd,INDEX($C$717:$V$717,C$14)))</f>
        <v/>
      </c>
      <c r="D1242" s="62">
        <f>IF(D$14=0,WdhStd,IF(INDEX($C$717:$V$717,D$14)="",WdhStd,INDEX($C$717:$V$717,D$14)))</f>
        <v/>
      </c>
      <c r="E1242" s="62">
        <f>IF(E$14=0,WdhStd,IF(INDEX($C$717:$V$717,E$14)="",WdhStd,INDEX($C$717:$V$717,E$14)))</f>
        <v/>
      </c>
      <c r="F1242" s="62">
        <f>IF(F$14=0,WdhStd,IF(INDEX($C$717:$V$717,F$14)="",WdhStd,INDEX($C$717:$V$717,F$14)))</f>
        <v/>
      </c>
      <c r="G1242" s="62">
        <f>IF(G$14=0,WdhStd,IF(INDEX($C$717:$V$717,G$14)="",WdhStd,INDEX($C$717:$V$717,G$14)))</f>
        <v/>
      </c>
      <c r="H1242" s="62">
        <f>IF(H$14=0,WdhStd,IF(INDEX($C$717:$V$717,H$14)="",WdhStd,INDEX($C$717:$V$717,H$14)))</f>
        <v/>
      </c>
      <c r="I1242" s="62">
        <f>IF(I$14=0,WdhStd,IF(INDEX($C$717:$V$717,I$14)="",WdhStd,INDEX($C$717:$V$717,I$14)))</f>
        <v/>
      </c>
      <c r="J1242" s="62">
        <f>IF(J$14=0,WdhStd,IF(INDEX($C$717:$V$717,J$14)="",WdhStd,INDEX($C$717:$V$717,J$14)))</f>
        <v/>
      </c>
      <c r="K1242" s="62">
        <f>IF(K$14=0,WdhStd,IF(INDEX($C$717:$V$717,K$14)="",WdhStd,INDEX($C$717:$V$717,K$14)))</f>
        <v/>
      </c>
      <c r="L1242" s="62">
        <f>IF(L$14=0,WdhStd,IF(INDEX($C$717:$V$717,L$14)="",WdhStd,INDEX($C$717:$V$717,L$14)))</f>
        <v/>
      </c>
      <c r="M1242" s="62">
        <f>IF(M$14=0,WdhStd,IF(INDEX($C$717:$V$717,M$14)="",WdhStd,INDEX($C$717:$V$717,M$14)))</f>
        <v/>
      </c>
      <c r="N1242" s="62">
        <f>IF(N$14=0,WdhStd,IF(INDEX($C$717:$V$717,N$14)="",WdhStd,INDEX($C$717:$V$717,N$14)))</f>
        <v/>
      </c>
      <c r="O1242" s="62">
        <f>IF(O$14=0,WdhStd,IF(INDEX($C$717:$V$717,O$14)="",WdhStd,INDEX($C$717:$V$717,O$14)))</f>
        <v/>
      </c>
      <c r="P1242" s="62">
        <f>IF(P$14=0,WdhStd,IF(INDEX($C$717:$V$717,P$14)="",WdhStd,INDEX($C$717:$V$717,P$14)))</f>
        <v/>
      </c>
      <c r="Q1242" s="62">
        <f>IF(Q$14=0,WdhStd,IF(INDEX($C$717:$V$717,Q$14)="",WdhStd,INDEX($C$717:$V$717,Q$14)))</f>
        <v/>
      </c>
      <c r="R1242" s="62">
        <f>IF(R$14=0,WdhStd,IF(INDEX($C$717:$V$717,R$14)="",WdhStd,INDEX($C$717:$V$717,R$14)))</f>
        <v/>
      </c>
      <c r="S1242" s="62">
        <f>IF(S$14=0,WdhStd,IF(INDEX($C$717:$V$717,S$14)="",WdhStd,INDEX($C$717:$V$717,S$14)))</f>
        <v/>
      </c>
      <c r="T1242" s="62">
        <f>IF(T$14=0,WdhStd,IF(INDEX($C$717:$V$717,T$14)="",WdhStd,INDEX($C$717:$V$717,T$14)))</f>
        <v/>
      </c>
      <c r="U1242" s="62">
        <f>IF(U$14=0,WdhStd,IF(INDEX($C$717:$V$717,U$14)="",WdhStd,INDEX($C$717:$V$717,U$14)))</f>
        <v/>
      </c>
      <c r="V1242" s="62">
        <f>IF(V$14=0,WdhStd,IF(INDEX($C$717:$V$717,V$14)="",WdhStd,INDEX($C$717:$V$717,V$14)))</f>
        <v/>
      </c>
    </row>
    <row r="1243">
      <c r="C1243" s="62">
        <f>IF(C$14=0,WdhStd,IF(INDEX($C$718:$V$718,C$14)="",WdhStd,INDEX($C$718:$V$718,C$14)))</f>
        <v/>
      </c>
      <c r="D1243" s="62">
        <f>IF(D$14=0,WdhStd,IF(INDEX($C$718:$V$718,D$14)="",WdhStd,INDEX($C$718:$V$718,D$14)))</f>
        <v/>
      </c>
      <c r="E1243" s="62">
        <f>IF(E$14=0,WdhStd,IF(INDEX($C$718:$V$718,E$14)="",WdhStd,INDEX($C$718:$V$718,E$14)))</f>
        <v/>
      </c>
      <c r="F1243" s="62">
        <f>IF(F$14=0,WdhStd,IF(INDEX($C$718:$V$718,F$14)="",WdhStd,INDEX($C$718:$V$718,F$14)))</f>
        <v/>
      </c>
      <c r="G1243" s="62">
        <f>IF(G$14=0,WdhStd,IF(INDEX($C$718:$V$718,G$14)="",WdhStd,INDEX($C$718:$V$718,G$14)))</f>
        <v/>
      </c>
      <c r="H1243" s="62">
        <f>IF(H$14=0,WdhStd,IF(INDEX($C$718:$V$718,H$14)="",WdhStd,INDEX($C$718:$V$718,H$14)))</f>
        <v/>
      </c>
      <c r="I1243" s="62">
        <f>IF(I$14=0,WdhStd,IF(INDEX($C$718:$V$718,I$14)="",WdhStd,INDEX($C$718:$V$718,I$14)))</f>
        <v/>
      </c>
      <c r="J1243" s="62">
        <f>IF(J$14=0,WdhStd,IF(INDEX($C$718:$V$718,J$14)="",WdhStd,INDEX($C$718:$V$718,J$14)))</f>
        <v/>
      </c>
      <c r="K1243" s="62">
        <f>IF(K$14=0,WdhStd,IF(INDEX($C$718:$V$718,K$14)="",WdhStd,INDEX($C$718:$V$718,K$14)))</f>
        <v/>
      </c>
      <c r="L1243" s="62">
        <f>IF(L$14=0,WdhStd,IF(INDEX($C$718:$V$718,L$14)="",WdhStd,INDEX($C$718:$V$718,L$14)))</f>
        <v/>
      </c>
      <c r="M1243" s="62">
        <f>IF(M$14=0,WdhStd,IF(INDEX($C$718:$V$718,M$14)="",WdhStd,INDEX($C$718:$V$718,M$14)))</f>
        <v/>
      </c>
      <c r="N1243" s="62">
        <f>IF(N$14=0,WdhStd,IF(INDEX($C$718:$V$718,N$14)="",WdhStd,INDEX($C$718:$V$718,N$14)))</f>
        <v/>
      </c>
      <c r="O1243" s="62">
        <f>IF(O$14=0,WdhStd,IF(INDEX($C$718:$V$718,O$14)="",WdhStd,INDEX($C$718:$V$718,O$14)))</f>
        <v/>
      </c>
      <c r="P1243" s="62">
        <f>IF(P$14=0,WdhStd,IF(INDEX($C$718:$V$718,P$14)="",WdhStd,INDEX($C$718:$V$718,P$14)))</f>
        <v/>
      </c>
      <c r="Q1243" s="62">
        <f>IF(Q$14=0,WdhStd,IF(INDEX($C$718:$V$718,Q$14)="",WdhStd,INDEX($C$718:$V$718,Q$14)))</f>
        <v/>
      </c>
      <c r="R1243" s="62">
        <f>IF(R$14=0,WdhStd,IF(INDEX($C$718:$V$718,R$14)="",WdhStd,INDEX($C$718:$V$718,R$14)))</f>
        <v/>
      </c>
      <c r="S1243" s="62">
        <f>IF(S$14=0,WdhStd,IF(INDEX($C$718:$V$718,S$14)="",WdhStd,INDEX($C$718:$V$718,S$14)))</f>
        <v/>
      </c>
      <c r="T1243" s="62">
        <f>IF(T$14=0,WdhStd,IF(INDEX($C$718:$V$718,T$14)="",WdhStd,INDEX($C$718:$V$718,T$14)))</f>
        <v/>
      </c>
      <c r="U1243" s="62">
        <f>IF(U$14=0,WdhStd,IF(INDEX($C$718:$V$718,U$14)="",WdhStd,INDEX($C$718:$V$718,U$14)))</f>
        <v/>
      </c>
      <c r="V1243" s="62">
        <f>IF(V$14=0,WdhStd,IF(INDEX($C$718:$V$718,V$14)="",WdhStd,INDEX($C$718:$V$718,V$14)))</f>
        <v/>
      </c>
    </row>
    <row r="1244">
      <c r="C1244" s="62">
        <f>IF(C$14=0,WdhStd,IF(INDEX($C$719:$V$719,C$14)="",WdhStd,INDEX($C$719:$V$719,C$14)))</f>
        <v/>
      </c>
      <c r="D1244" s="62">
        <f>IF(D$14=0,WdhStd,IF(INDEX($C$719:$V$719,D$14)="",WdhStd,INDEX($C$719:$V$719,D$14)))</f>
        <v/>
      </c>
      <c r="E1244" s="62">
        <f>IF(E$14=0,WdhStd,IF(INDEX($C$719:$V$719,E$14)="",WdhStd,INDEX($C$719:$V$719,E$14)))</f>
        <v/>
      </c>
      <c r="F1244" s="62">
        <f>IF(F$14=0,WdhStd,IF(INDEX($C$719:$V$719,F$14)="",WdhStd,INDEX($C$719:$V$719,F$14)))</f>
        <v/>
      </c>
      <c r="G1244" s="62">
        <f>IF(G$14=0,WdhStd,IF(INDEX($C$719:$V$719,G$14)="",WdhStd,INDEX($C$719:$V$719,G$14)))</f>
        <v/>
      </c>
      <c r="H1244" s="62">
        <f>IF(H$14=0,WdhStd,IF(INDEX($C$719:$V$719,H$14)="",WdhStd,INDEX($C$719:$V$719,H$14)))</f>
        <v/>
      </c>
      <c r="I1244" s="62">
        <f>IF(I$14=0,WdhStd,IF(INDEX($C$719:$V$719,I$14)="",WdhStd,INDEX($C$719:$V$719,I$14)))</f>
        <v/>
      </c>
      <c r="J1244" s="62">
        <f>IF(J$14=0,WdhStd,IF(INDEX($C$719:$V$719,J$14)="",WdhStd,INDEX($C$719:$V$719,J$14)))</f>
        <v/>
      </c>
      <c r="K1244" s="62">
        <f>IF(K$14=0,WdhStd,IF(INDEX($C$719:$V$719,K$14)="",WdhStd,INDEX($C$719:$V$719,K$14)))</f>
        <v/>
      </c>
      <c r="L1244" s="62">
        <f>IF(L$14=0,WdhStd,IF(INDEX($C$719:$V$719,L$14)="",WdhStd,INDEX($C$719:$V$719,L$14)))</f>
        <v/>
      </c>
      <c r="M1244" s="62">
        <f>IF(M$14=0,WdhStd,IF(INDEX($C$719:$V$719,M$14)="",WdhStd,INDEX($C$719:$V$719,M$14)))</f>
        <v/>
      </c>
      <c r="N1244" s="62">
        <f>IF(N$14=0,WdhStd,IF(INDEX($C$719:$V$719,N$14)="",WdhStd,INDEX($C$719:$V$719,N$14)))</f>
        <v/>
      </c>
      <c r="O1244" s="62">
        <f>IF(O$14=0,WdhStd,IF(INDEX($C$719:$V$719,O$14)="",WdhStd,INDEX($C$719:$V$719,O$14)))</f>
        <v/>
      </c>
      <c r="P1244" s="62">
        <f>IF(P$14=0,WdhStd,IF(INDEX($C$719:$V$719,P$14)="",WdhStd,INDEX($C$719:$V$719,P$14)))</f>
        <v/>
      </c>
      <c r="Q1244" s="62">
        <f>IF(Q$14=0,WdhStd,IF(INDEX($C$719:$V$719,Q$14)="",WdhStd,INDEX($C$719:$V$719,Q$14)))</f>
        <v/>
      </c>
      <c r="R1244" s="62">
        <f>IF(R$14=0,WdhStd,IF(INDEX($C$719:$V$719,R$14)="",WdhStd,INDEX($C$719:$V$719,R$14)))</f>
        <v/>
      </c>
      <c r="S1244" s="62">
        <f>IF(S$14=0,WdhStd,IF(INDEX($C$719:$V$719,S$14)="",WdhStd,INDEX($C$719:$V$719,S$14)))</f>
        <v/>
      </c>
      <c r="T1244" s="62">
        <f>IF(T$14=0,WdhStd,IF(INDEX($C$719:$V$719,T$14)="",WdhStd,INDEX($C$719:$V$719,T$14)))</f>
        <v/>
      </c>
      <c r="U1244" s="62">
        <f>IF(U$14=0,WdhStd,IF(INDEX($C$719:$V$719,U$14)="",WdhStd,INDEX($C$719:$V$719,U$14)))</f>
        <v/>
      </c>
      <c r="V1244" s="62">
        <f>IF(V$14=0,WdhStd,IF(INDEX($C$719:$V$719,V$14)="",WdhStd,INDEX($C$719:$V$719,V$14)))</f>
        <v/>
      </c>
    </row>
    <row r="1245">
      <c r="C1245" s="62">
        <f>IF(C$14=0,WdhStd,IF(INDEX($C$720:$V$720,C$14)="",WdhStd,INDEX($C$720:$V$720,C$14)))</f>
        <v/>
      </c>
      <c r="D1245" s="62">
        <f>IF(D$14=0,WdhStd,IF(INDEX($C$720:$V$720,D$14)="",WdhStd,INDEX($C$720:$V$720,D$14)))</f>
        <v/>
      </c>
      <c r="E1245" s="62">
        <f>IF(E$14=0,WdhStd,IF(INDEX($C$720:$V$720,E$14)="",WdhStd,INDEX($C$720:$V$720,E$14)))</f>
        <v/>
      </c>
      <c r="F1245" s="62">
        <f>IF(F$14=0,WdhStd,IF(INDEX($C$720:$V$720,F$14)="",WdhStd,INDEX($C$720:$V$720,F$14)))</f>
        <v/>
      </c>
      <c r="G1245" s="62">
        <f>IF(G$14=0,WdhStd,IF(INDEX($C$720:$V$720,G$14)="",WdhStd,INDEX($C$720:$V$720,G$14)))</f>
        <v/>
      </c>
      <c r="H1245" s="62">
        <f>IF(H$14=0,WdhStd,IF(INDEX($C$720:$V$720,H$14)="",WdhStd,INDEX($C$720:$V$720,H$14)))</f>
        <v/>
      </c>
      <c r="I1245" s="62">
        <f>IF(I$14=0,WdhStd,IF(INDEX($C$720:$V$720,I$14)="",WdhStd,INDEX($C$720:$V$720,I$14)))</f>
        <v/>
      </c>
      <c r="J1245" s="62">
        <f>IF(J$14=0,WdhStd,IF(INDEX($C$720:$V$720,J$14)="",WdhStd,INDEX($C$720:$V$720,J$14)))</f>
        <v/>
      </c>
      <c r="K1245" s="62">
        <f>IF(K$14=0,WdhStd,IF(INDEX($C$720:$V$720,K$14)="",WdhStd,INDEX($C$720:$V$720,K$14)))</f>
        <v/>
      </c>
      <c r="L1245" s="62">
        <f>IF(L$14=0,WdhStd,IF(INDEX($C$720:$V$720,L$14)="",WdhStd,INDEX($C$720:$V$720,L$14)))</f>
        <v/>
      </c>
      <c r="M1245" s="62">
        <f>IF(M$14=0,WdhStd,IF(INDEX($C$720:$V$720,M$14)="",WdhStd,INDEX($C$720:$V$720,M$14)))</f>
        <v/>
      </c>
      <c r="N1245" s="62">
        <f>IF(N$14=0,WdhStd,IF(INDEX($C$720:$V$720,N$14)="",WdhStd,INDEX($C$720:$V$720,N$14)))</f>
        <v/>
      </c>
      <c r="O1245" s="62">
        <f>IF(O$14=0,WdhStd,IF(INDEX($C$720:$V$720,O$14)="",WdhStd,INDEX($C$720:$V$720,O$14)))</f>
        <v/>
      </c>
      <c r="P1245" s="62">
        <f>IF(P$14=0,WdhStd,IF(INDEX($C$720:$V$720,P$14)="",WdhStd,INDEX($C$720:$V$720,P$14)))</f>
        <v/>
      </c>
      <c r="Q1245" s="62">
        <f>IF(Q$14=0,WdhStd,IF(INDEX($C$720:$V$720,Q$14)="",WdhStd,INDEX($C$720:$V$720,Q$14)))</f>
        <v/>
      </c>
      <c r="R1245" s="62">
        <f>IF(R$14=0,WdhStd,IF(INDEX($C$720:$V$720,R$14)="",WdhStd,INDEX($C$720:$V$720,R$14)))</f>
        <v/>
      </c>
      <c r="S1245" s="62">
        <f>IF(S$14=0,WdhStd,IF(INDEX($C$720:$V$720,S$14)="",WdhStd,INDEX($C$720:$V$720,S$14)))</f>
        <v/>
      </c>
      <c r="T1245" s="62">
        <f>IF(T$14=0,WdhStd,IF(INDEX($C$720:$V$720,T$14)="",WdhStd,INDEX($C$720:$V$720,T$14)))</f>
        <v/>
      </c>
      <c r="U1245" s="62">
        <f>IF(U$14=0,WdhStd,IF(INDEX($C$720:$V$720,U$14)="",WdhStd,INDEX($C$720:$V$720,U$14)))</f>
        <v/>
      </c>
      <c r="V1245" s="62">
        <f>IF(V$14=0,WdhStd,IF(INDEX($C$720:$V$720,V$14)="",WdhStd,INDEX($C$720:$V$720,V$14)))</f>
        <v/>
      </c>
    </row>
    <row r="1246">
      <c r="C1246" s="62">
        <f>IF(C$14=0,WdhStd,IF(INDEX($C$721:$V$721,C$14)="",WdhStd,INDEX($C$721:$V$721,C$14)))</f>
        <v/>
      </c>
      <c r="D1246" s="62">
        <f>IF(D$14=0,WdhStd,IF(INDEX($C$721:$V$721,D$14)="",WdhStd,INDEX($C$721:$V$721,D$14)))</f>
        <v/>
      </c>
      <c r="E1246" s="62">
        <f>IF(E$14=0,WdhStd,IF(INDEX($C$721:$V$721,E$14)="",WdhStd,INDEX($C$721:$V$721,E$14)))</f>
        <v/>
      </c>
      <c r="F1246" s="62">
        <f>IF(F$14=0,WdhStd,IF(INDEX($C$721:$V$721,F$14)="",WdhStd,INDEX($C$721:$V$721,F$14)))</f>
        <v/>
      </c>
      <c r="G1246" s="62">
        <f>IF(G$14=0,WdhStd,IF(INDEX($C$721:$V$721,G$14)="",WdhStd,INDEX($C$721:$V$721,G$14)))</f>
        <v/>
      </c>
      <c r="H1246" s="62">
        <f>IF(H$14=0,WdhStd,IF(INDEX($C$721:$V$721,H$14)="",WdhStd,INDEX($C$721:$V$721,H$14)))</f>
        <v/>
      </c>
      <c r="I1246" s="62">
        <f>IF(I$14=0,WdhStd,IF(INDEX($C$721:$V$721,I$14)="",WdhStd,INDEX($C$721:$V$721,I$14)))</f>
        <v/>
      </c>
      <c r="J1246" s="62">
        <f>IF(J$14=0,WdhStd,IF(INDEX($C$721:$V$721,J$14)="",WdhStd,INDEX($C$721:$V$721,J$14)))</f>
        <v/>
      </c>
      <c r="K1246" s="62">
        <f>IF(K$14=0,WdhStd,IF(INDEX($C$721:$V$721,K$14)="",WdhStd,INDEX($C$721:$V$721,K$14)))</f>
        <v/>
      </c>
      <c r="L1246" s="62">
        <f>IF(L$14=0,WdhStd,IF(INDEX($C$721:$V$721,L$14)="",WdhStd,INDEX($C$721:$V$721,L$14)))</f>
        <v/>
      </c>
      <c r="M1246" s="62">
        <f>IF(M$14=0,WdhStd,IF(INDEX($C$721:$V$721,M$14)="",WdhStd,INDEX($C$721:$V$721,M$14)))</f>
        <v/>
      </c>
      <c r="N1246" s="62">
        <f>IF(N$14=0,WdhStd,IF(INDEX($C$721:$V$721,N$14)="",WdhStd,INDEX($C$721:$V$721,N$14)))</f>
        <v/>
      </c>
      <c r="O1246" s="62">
        <f>IF(O$14=0,WdhStd,IF(INDEX($C$721:$V$721,O$14)="",WdhStd,INDEX($C$721:$V$721,O$14)))</f>
        <v/>
      </c>
      <c r="P1246" s="62">
        <f>IF(P$14=0,WdhStd,IF(INDEX($C$721:$V$721,P$14)="",WdhStd,INDEX($C$721:$V$721,P$14)))</f>
        <v/>
      </c>
      <c r="Q1246" s="62">
        <f>IF(Q$14=0,WdhStd,IF(INDEX($C$721:$V$721,Q$14)="",WdhStd,INDEX($C$721:$V$721,Q$14)))</f>
        <v/>
      </c>
      <c r="R1246" s="62">
        <f>IF(R$14=0,WdhStd,IF(INDEX($C$721:$V$721,R$14)="",WdhStd,INDEX($C$721:$V$721,R$14)))</f>
        <v/>
      </c>
      <c r="S1246" s="62">
        <f>IF(S$14=0,WdhStd,IF(INDEX($C$721:$V$721,S$14)="",WdhStd,INDEX($C$721:$V$721,S$14)))</f>
        <v/>
      </c>
      <c r="T1246" s="62">
        <f>IF(T$14=0,WdhStd,IF(INDEX($C$721:$V$721,T$14)="",WdhStd,INDEX($C$721:$V$721,T$14)))</f>
        <v/>
      </c>
      <c r="U1246" s="62">
        <f>IF(U$14=0,WdhStd,IF(INDEX($C$721:$V$721,U$14)="",WdhStd,INDEX($C$721:$V$721,U$14)))</f>
        <v/>
      </c>
      <c r="V1246" s="62">
        <f>IF(V$14=0,WdhStd,IF(INDEX($C$721:$V$721,V$14)="",WdhStd,INDEX($C$721:$V$721,V$14)))</f>
        <v/>
      </c>
    </row>
    <row r="1247">
      <c r="C1247" s="62">
        <f>IF(C$14=0,WdhStd,IF(INDEX($C$722:$V$722,C$14)="",WdhStd,INDEX($C$722:$V$722,C$14)))</f>
        <v/>
      </c>
      <c r="D1247" s="62">
        <f>IF(D$14=0,WdhStd,IF(INDEX($C$722:$V$722,D$14)="",WdhStd,INDEX($C$722:$V$722,D$14)))</f>
        <v/>
      </c>
      <c r="E1247" s="62">
        <f>IF(E$14=0,WdhStd,IF(INDEX($C$722:$V$722,E$14)="",WdhStd,INDEX($C$722:$V$722,E$14)))</f>
        <v/>
      </c>
      <c r="F1247" s="62">
        <f>IF(F$14=0,WdhStd,IF(INDEX($C$722:$V$722,F$14)="",WdhStd,INDEX($C$722:$V$722,F$14)))</f>
        <v/>
      </c>
      <c r="G1247" s="62">
        <f>IF(G$14=0,WdhStd,IF(INDEX($C$722:$V$722,G$14)="",WdhStd,INDEX($C$722:$V$722,G$14)))</f>
        <v/>
      </c>
      <c r="H1247" s="62">
        <f>IF(H$14=0,WdhStd,IF(INDEX($C$722:$V$722,H$14)="",WdhStd,INDEX($C$722:$V$722,H$14)))</f>
        <v/>
      </c>
      <c r="I1247" s="62">
        <f>IF(I$14=0,WdhStd,IF(INDEX($C$722:$V$722,I$14)="",WdhStd,INDEX($C$722:$V$722,I$14)))</f>
        <v/>
      </c>
      <c r="J1247" s="62">
        <f>IF(J$14=0,WdhStd,IF(INDEX($C$722:$V$722,J$14)="",WdhStd,INDEX($C$722:$V$722,J$14)))</f>
        <v/>
      </c>
      <c r="K1247" s="62">
        <f>IF(K$14=0,WdhStd,IF(INDEX($C$722:$V$722,K$14)="",WdhStd,INDEX($C$722:$V$722,K$14)))</f>
        <v/>
      </c>
      <c r="L1247" s="62">
        <f>IF(L$14=0,WdhStd,IF(INDEX($C$722:$V$722,L$14)="",WdhStd,INDEX($C$722:$V$722,L$14)))</f>
        <v/>
      </c>
      <c r="M1247" s="62">
        <f>IF(M$14=0,WdhStd,IF(INDEX($C$722:$V$722,M$14)="",WdhStd,INDEX($C$722:$V$722,M$14)))</f>
        <v/>
      </c>
      <c r="N1247" s="62">
        <f>IF(N$14=0,WdhStd,IF(INDEX($C$722:$V$722,N$14)="",WdhStd,INDEX($C$722:$V$722,N$14)))</f>
        <v/>
      </c>
      <c r="O1247" s="62">
        <f>IF(O$14=0,WdhStd,IF(INDEX($C$722:$V$722,O$14)="",WdhStd,INDEX($C$722:$V$722,O$14)))</f>
        <v/>
      </c>
      <c r="P1247" s="62">
        <f>IF(P$14=0,WdhStd,IF(INDEX($C$722:$V$722,P$14)="",WdhStd,INDEX($C$722:$V$722,P$14)))</f>
        <v/>
      </c>
      <c r="Q1247" s="62">
        <f>IF(Q$14=0,WdhStd,IF(INDEX($C$722:$V$722,Q$14)="",WdhStd,INDEX($C$722:$V$722,Q$14)))</f>
        <v/>
      </c>
      <c r="R1247" s="62">
        <f>IF(R$14=0,WdhStd,IF(INDEX($C$722:$V$722,R$14)="",WdhStd,INDEX($C$722:$V$722,R$14)))</f>
        <v/>
      </c>
      <c r="S1247" s="62">
        <f>IF(S$14=0,WdhStd,IF(INDEX($C$722:$V$722,S$14)="",WdhStd,INDEX($C$722:$V$722,S$14)))</f>
        <v/>
      </c>
      <c r="T1247" s="62">
        <f>IF(T$14=0,WdhStd,IF(INDEX($C$722:$V$722,T$14)="",WdhStd,INDEX($C$722:$V$722,T$14)))</f>
        <v/>
      </c>
      <c r="U1247" s="62">
        <f>IF(U$14=0,WdhStd,IF(INDEX($C$722:$V$722,U$14)="",WdhStd,INDEX($C$722:$V$722,U$14)))</f>
        <v/>
      </c>
      <c r="V1247" s="62">
        <f>IF(V$14=0,WdhStd,IF(INDEX($C$722:$V$722,V$14)="",WdhStd,INDEX($C$722:$V$722,V$14)))</f>
        <v/>
      </c>
    </row>
    <row r="1248">
      <c r="C1248" s="62">
        <f>IF(C$14=0,WdhStd,IF(INDEX($C$723:$V$723,C$14)="",WdhStd,INDEX($C$723:$V$723,C$14)))</f>
        <v/>
      </c>
      <c r="D1248" s="62">
        <f>IF(D$14=0,WdhStd,IF(INDEX($C$723:$V$723,D$14)="",WdhStd,INDEX($C$723:$V$723,D$14)))</f>
        <v/>
      </c>
      <c r="E1248" s="62">
        <f>IF(E$14=0,WdhStd,IF(INDEX($C$723:$V$723,E$14)="",WdhStd,INDEX($C$723:$V$723,E$14)))</f>
        <v/>
      </c>
      <c r="F1248" s="62">
        <f>IF(F$14=0,WdhStd,IF(INDEX($C$723:$V$723,F$14)="",WdhStd,INDEX($C$723:$V$723,F$14)))</f>
        <v/>
      </c>
      <c r="G1248" s="62">
        <f>IF(G$14=0,WdhStd,IF(INDEX($C$723:$V$723,G$14)="",WdhStd,INDEX($C$723:$V$723,G$14)))</f>
        <v/>
      </c>
      <c r="H1248" s="62">
        <f>IF(H$14=0,WdhStd,IF(INDEX($C$723:$V$723,H$14)="",WdhStd,INDEX($C$723:$V$723,H$14)))</f>
        <v/>
      </c>
      <c r="I1248" s="62">
        <f>IF(I$14=0,WdhStd,IF(INDEX($C$723:$V$723,I$14)="",WdhStd,INDEX($C$723:$V$723,I$14)))</f>
        <v/>
      </c>
      <c r="J1248" s="62">
        <f>IF(J$14=0,WdhStd,IF(INDEX($C$723:$V$723,J$14)="",WdhStd,INDEX($C$723:$V$723,J$14)))</f>
        <v/>
      </c>
      <c r="K1248" s="62">
        <f>IF(K$14=0,WdhStd,IF(INDEX($C$723:$V$723,K$14)="",WdhStd,INDEX($C$723:$V$723,K$14)))</f>
        <v/>
      </c>
      <c r="L1248" s="62">
        <f>IF(L$14=0,WdhStd,IF(INDEX($C$723:$V$723,L$14)="",WdhStd,INDEX($C$723:$V$723,L$14)))</f>
        <v/>
      </c>
      <c r="M1248" s="62">
        <f>IF(M$14=0,WdhStd,IF(INDEX($C$723:$V$723,M$14)="",WdhStd,INDEX($C$723:$V$723,M$14)))</f>
        <v/>
      </c>
      <c r="N1248" s="62">
        <f>IF(N$14=0,WdhStd,IF(INDEX($C$723:$V$723,N$14)="",WdhStd,INDEX($C$723:$V$723,N$14)))</f>
        <v/>
      </c>
      <c r="O1248" s="62">
        <f>IF(O$14=0,WdhStd,IF(INDEX($C$723:$V$723,O$14)="",WdhStd,INDEX($C$723:$V$723,O$14)))</f>
        <v/>
      </c>
      <c r="P1248" s="62">
        <f>IF(P$14=0,WdhStd,IF(INDEX($C$723:$V$723,P$14)="",WdhStd,INDEX($C$723:$V$723,P$14)))</f>
        <v/>
      </c>
      <c r="Q1248" s="62">
        <f>IF(Q$14=0,WdhStd,IF(INDEX($C$723:$V$723,Q$14)="",WdhStd,INDEX($C$723:$V$723,Q$14)))</f>
        <v/>
      </c>
      <c r="R1248" s="62">
        <f>IF(R$14=0,WdhStd,IF(INDEX($C$723:$V$723,R$14)="",WdhStd,INDEX($C$723:$V$723,R$14)))</f>
        <v/>
      </c>
      <c r="S1248" s="62">
        <f>IF(S$14=0,WdhStd,IF(INDEX($C$723:$V$723,S$14)="",WdhStd,INDEX($C$723:$V$723,S$14)))</f>
        <v/>
      </c>
      <c r="T1248" s="62">
        <f>IF(T$14=0,WdhStd,IF(INDEX($C$723:$V$723,T$14)="",WdhStd,INDEX($C$723:$V$723,T$14)))</f>
        <v/>
      </c>
      <c r="U1248" s="62">
        <f>IF(U$14=0,WdhStd,IF(INDEX($C$723:$V$723,U$14)="",WdhStd,INDEX($C$723:$V$723,U$14)))</f>
        <v/>
      </c>
      <c r="V1248" s="62">
        <f>IF(V$14=0,WdhStd,IF(INDEX($C$723:$V$723,V$14)="",WdhStd,INDEX($C$723:$V$723,V$14)))</f>
        <v/>
      </c>
    </row>
    <row r="1249">
      <c r="C1249" s="62">
        <f>IF(C$14=0,WdhStd,IF(INDEX($C$724:$V$724,C$14)="",WdhStd,INDEX($C$724:$V$724,C$14)))</f>
        <v/>
      </c>
      <c r="D1249" s="62">
        <f>IF(D$14=0,WdhStd,IF(INDEX($C$724:$V$724,D$14)="",WdhStd,INDEX($C$724:$V$724,D$14)))</f>
        <v/>
      </c>
      <c r="E1249" s="62">
        <f>IF(E$14=0,WdhStd,IF(INDEX($C$724:$V$724,E$14)="",WdhStd,INDEX($C$724:$V$724,E$14)))</f>
        <v/>
      </c>
      <c r="F1249" s="62">
        <f>IF(F$14=0,WdhStd,IF(INDEX($C$724:$V$724,F$14)="",WdhStd,INDEX($C$724:$V$724,F$14)))</f>
        <v/>
      </c>
      <c r="G1249" s="62">
        <f>IF(G$14=0,WdhStd,IF(INDEX($C$724:$V$724,G$14)="",WdhStd,INDEX($C$724:$V$724,G$14)))</f>
        <v/>
      </c>
      <c r="H1249" s="62">
        <f>IF(H$14=0,WdhStd,IF(INDEX($C$724:$V$724,H$14)="",WdhStd,INDEX($C$724:$V$724,H$14)))</f>
        <v/>
      </c>
      <c r="I1249" s="62">
        <f>IF(I$14=0,WdhStd,IF(INDEX($C$724:$V$724,I$14)="",WdhStd,INDEX($C$724:$V$724,I$14)))</f>
        <v/>
      </c>
      <c r="J1249" s="62">
        <f>IF(J$14=0,WdhStd,IF(INDEX($C$724:$V$724,J$14)="",WdhStd,INDEX($C$724:$V$724,J$14)))</f>
        <v/>
      </c>
      <c r="K1249" s="62">
        <f>IF(K$14=0,WdhStd,IF(INDEX($C$724:$V$724,K$14)="",WdhStd,INDEX($C$724:$V$724,K$14)))</f>
        <v/>
      </c>
      <c r="L1249" s="62">
        <f>IF(L$14=0,WdhStd,IF(INDEX($C$724:$V$724,L$14)="",WdhStd,INDEX($C$724:$V$724,L$14)))</f>
        <v/>
      </c>
      <c r="M1249" s="62">
        <f>IF(M$14=0,WdhStd,IF(INDEX($C$724:$V$724,M$14)="",WdhStd,INDEX($C$724:$V$724,M$14)))</f>
        <v/>
      </c>
      <c r="N1249" s="62">
        <f>IF(N$14=0,WdhStd,IF(INDEX($C$724:$V$724,N$14)="",WdhStd,INDEX($C$724:$V$724,N$14)))</f>
        <v/>
      </c>
      <c r="O1249" s="62">
        <f>IF(O$14=0,WdhStd,IF(INDEX($C$724:$V$724,O$14)="",WdhStd,INDEX($C$724:$V$724,O$14)))</f>
        <v/>
      </c>
      <c r="P1249" s="62">
        <f>IF(P$14=0,WdhStd,IF(INDEX($C$724:$V$724,P$14)="",WdhStd,INDEX($C$724:$V$724,P$14)))</f>
        <v/>
      </c>
      <c r="Q1249" s="62">
        <f>IF(Q$14=0,WdhStd,IF(INDEX($C$724:$V$724,Q$14)="",WdhStd,INDEX($C$724:$V$724,Q$14)))</f>
        <v/>
      </c>
      <c r="R1249" s="62">
        <f>IF(R$14=0,WdhStd,IF(INDEX($C$724:$V$724,R$14)="",WdhStd,INDEX($C$724:$V$724,R$14)))</f>
        <v/>
      </c>
      <c r="S1249" s="62">
        <f>IF(S$14=0,WdhStd,IF(INDEX($C$724:$V$724,S$14)="",WdhStd,INDEX($C$724:$V$724,S$14)))</f>
        <v/>
      </c>
      <c r="T1249" s="62">
        <f>IF(T$14=0,WdhStd,IF(INDEX($C$724:$V$724,T$14)="",WdhStd,INDEX($C$724:$V$724,T$14)))</f>
        <v/>
      </c>
      <c r="U1249" s="62">
        <f>IF(U$14=0,WdhStd,IF(INDEX($C$724:$V$724,U$14)="",WdhStd,INDEX($C$724:$V$724,U$14)))</f>
        <v/>
      </c>
      <c r="V1249" s="62">
        <f>IF(V$14=0,WdhStd,IF(INDEX($C$724:$V$724,V$14)="",WdhStd,INDEX($C$724:$V$724,V$14)))</f>
        <v/>
      </c>
    </row>
    <row r="1250">
      <c r="C1250" s="62">
        <f>IF(C$14=0,WdhStd,IF(INDEX($C$725:$V$725,C$14)="",WdhStd,INDEX($C$725:$V$725,C$14)))</f>
        <v/>
      </c>
      <c r="D1250" s="62">
        <f>IF(D$14=0,WdhStd,IF(INDEX($C$725:$V$725,D$14)="",WdhStd,INDEX($C$725:$V$725,D$14)))</f>
        <v/>
      </c>
      <c r="E1250" s="62">
        <f>IF(E$14=0,WdhStd,IF(INDEX($C$725:$V$725,E$14)="",WdhStd,INDEX($C$725:$V$725,E$14)))</f>
        <v/>
      </c>
      <c r="F1250" s="62">
        <f>IF(F$14=0,WdhStd,IF(INDEX($C$725:$V$725,F$14)="",WdhStd,INDEX($C$725:$V$725,F$14)))</f>
        <v/>
      </c>
      <c r="G1250" s="62">
        <f>IF(G$14=0,WdhStd,IF(INDEX($C$725:$V$725,G$14)="",WdhStd,INDEX($C$725:$V$725,G$14)))</f>
        <v/>
      </c>
      <c r="H1250" s="62">
        <f>IF(H$14=0,WdhStd,IF(INDEX($C$725:$V$725,H$14)="",WdhStd,INDEX($C$725:$V$725,H$14)))</f>
        <v/>
      </c>
      <c r="I1250" s="62">
        <f>IF(I$14=0,WdhStd,IF(INDEX($C$725:$V$725,I$14)="",WdhStd,INDEX($C$725:$V$725,I$14)))</f>
        <v/>
      </c>
      <c r="J1250" s="62">
        <f>IF(J$14=0,WdhStd,IF(INDEX($C$725:$V$725,J$14)="",WdhStd,INDEX($C$725:$V$725,J$14)))</f>
        <v/>
      </c>
      <c r="K1250" s="62">
        <f>IF(K$14=0,WdhStd,IF(INDEX($C$725:$V$725,K$14)="",WdhStd,INDEX($C$725:$V$725,K$14)))</f>
        <v/>
      </c>
      <c r="L1250" s="62">
        <f>IF(L$14=0,WdhStd,IF(INDEX($C$725:$V$725,L$14)="",WdhStd,INDEX($C$725:$V$725,L$14)))</f>
        <v/>
      </c>
      <c r="M1250" s="62">
        <f>IF(M$14=0,WdhStd,IF(INDEX($C$725:$V$725,M$14)="",WdhStd,INDEX($C$725:$V$725,M$14)))</f>
        <v/>
      </c>
      <c r="N1250" s="62">
        <f>IF(N$14=0,WdhStd,IF(INDEX($C$725:$V$725,N$14)="",WdhStd,INDEX($C$725:$V$725,N$14)))</f>
        <v/>
      </c>
      <c r="O1250" s="62">
        <f>IF(O$14=0,WdhStd,IF(INDEX($C$725:$V$725,O$14)="",WdhStd,INDEX($C$725:$V$725,O$14)))</f>
        <v/>
      </c>
      <c r="P1250" s="62">
        <f>IF(P$14=0,WdhStd,IF(INDEX($C$725:$V$725,P$14)="",WdhStd,INDEX($C$725:$V$725,P$14)))</f>
        <v/>
      </c>
      <c r="Q1250" s="62">
        <f>IF(Q$14=0,WdhStd,IF(INDEX($C$725:$V$725,Q$14)="",WdhStd,INDEX($C$725:$V$725,Q$14)))</f>
        <v/>
      </c>
      <c r="R1250" s="62">
        <f>IF(R$14=0,WdhStd,IF(INDEX($C$725:$V$725,R$14)="",WdhStd,INDEX($C$725:$V$725,R$14)))</f>
        <v/>
      </c>
      <c r="S1250" s="62">
        <f>IF(S$14=0,WdhStd,IF(INDEX($C$725:$V$725,S$14)="",WdhStd,INDEX($C$725:$V$725,S$14)))</f>
        <v/>
      </c>
      <c r="T1250" s="62">
        <f>IF(T$14=0,WdhStd,IF(INDEX($C$725:$V$725,T$14)="",WdhStd,INDEX($C$725:$V$725,T$14)))</f>
        <v/>
      </c>
      <c r="U1250" s="62">
        <f>IF(U$14=0,WdhStd,IF(INDEX($C$725:$V$725,U$14)="",WdhStd,INDEX($C$725:$V$725,U$14)))</f>
        <v/>
      </c>
      <c r="V1250" s="62">
        <f>IF(V$14=0,WdhStd,IF(INDEX($C$725:$V$725,V$14)="",WdhStd,INDEX($C$725:$V$725,V$14)))</f>
        <v/>
      </c>
    </row>
    <row r="1251">
      <c r="C1251" s="62">
        <f>IF(C$14=0,WdhStd,IF(INDEX($C$726:$V$726,C$14)="",WdhStd,INDEX($C$726:$V$726,C$14)))</f>
        <v/>
      </c>
      <c r="D1251" s="62">
        <f>IF(D$14=0,WdhStd,IF(INDEX($C$726:$V$726,D$14)="",WdhStd,INDEX($C$726:$V$726,D$14)))</f>
        <v/>
      </c>
      <c r="E1251" s="62">
        <f>IF(E$14=0,WdhStd,IF(INDEX($C$726:$V$726,E$14)="",WdhStd,INDEX($C$726:$V$726,E$14)))</f>
        <v/>
      </c>
      <c r="F1251" s="62">
        <f>IF(F$14=0,WdhStd,IF(INDEX($C$726:$V$726,F$14)="",WdhStd,INDEX($C$726:$V$726,F$14)))</f>
        <v/>
      </c>
      <c r="G1251" s="62">
        <f>IF(G$14=0,WdhStd,IF(INDEX($C$726:$V$726,G$14)="",WdhStd,INDEX($C$726:$V$726,G$14)))</f>
        <v/>
      </c>
      <c r="H1251" s="62">
        <f>IF(H$14=0,WdhStd,IF(INDEX($C$726:$V$726,H$14)="",WdhStd,INDEX($C$726:$V$726,H$14)))</f>
        <v/>
      </c>
      <c r="I1251" s="62">
        <f>IF(I$14=0,WdhStd,IF(INDEX($C$726:$V$726,I$14)="",WdhStd,INDEX($C$726:$V$726,I$14)))</f>
        <v/>
      </c>
      <c r="J1251" s="62">
        <f>IF(J$14=0,WdhStd,IF(INDEX($C$726:$V$726,J$14)="",WdhStd,INDEX($C$726:$V$726,J$14)))</f>
        <v/>
      </c>
      <c r="K1251" s="62">
        <f>IF(K$14=0,WdhStd,IF(INDEX($C$726:$V$726,K$14)="",WdhStd,INDEX($C$726:$V$726,K$14)))</f>
        <v/>
      </c>
      <c r="L1251" s="62">
        <f>IF(L$14=0,WdhStd,IF(INDEX($C$726:$V$726,L$14)="",WdhStd,INDEX($C$726:$V$726,L$14)))</f>
        <v/>
      </c>
      <c r="M1251" s="62">
        <f>IF(M$14=0,WdhStd,IF(INDEX($C$726:$V$726,M$14)="",WdhStd,INDEX($C$726:$V$726,M$14)))</f>
        <v/>
      </c>
      <c r="N1251" s="62">
        <f>IF(N$14=0,WdhStd,IF(INDEX($C$726:$V$726,N$14)="",WdhStd,INDEX($C$726:$V$726,N$14)))</f>
        <v/>
      </c>
      <c r="O1251" s="62">
        <f>IF(O$14=0,WdhStd,IF(INDEX($C$726:$V$726,O$14)="",WdhStd,INDEX($C$726:$V$726,O$14)))</f>
        <v/>
      </c>
      <c r="P1251" s="62">
        <f>IF(P$14=0,WdhStd,IF(INDEX($C$726:$V$726,P$14)="",WdhStd,INDEX($C$726:$V$726,P$14)))</f>
        <v/>
      </c>
      <c r="Q1251" s="62">
        <f>IF(Q$14=0,WdhStd,IF(INDEX($C$726:$V$726,Q$14)="",WdhStd,INDEX($C$726:$V$726,Q$14)))</f>
        <v/>
      </c>
      <c r="R1251" s="62">
        <f>IF(R$14=0,WdhStd,IF(INDEX($C$726:$V$726,R$14)="",WdhStd,INDEX($C$726:$V$726,R$14)))</f>
        <v/>
      </c>
      <c r="S1251" s="62">
        <f>IF(S$14=0,WdhStd,IF(INDEX($C$726:$V$726,S$14)="",WdhStd,INDEX($C$726:$V$726,S$14)))</f>
        <v/>
      </c>
      <c r="T1251" s="62">
        <f>IF(T$14=0,WdhStd,IF(INDEX($C$726:$V$726,T$14)="",WdhStd,INDEX($C$726:$V$726,T$14)))</f>
        <v/>
      </c>
      <c r="U1251" s="62">
        <f>IF(U$14=0,WdhStd,IF(INDEX($C$726:$V$726,U$14)="",WdhStd,INDEX($C$726:$V$726,U$14)))</f>
        <v/>
      </c>
      <c r="V1251" s="62">
        <f>IF(V$14=0,WdhStd,IF(INDEX($C$726:$V$726,V$14)="",WdhStd,INDEX($C$726:$V$726,V$14)))</f>
        <v/>
      </c>
    </row>
    <row r="1252">
      <c r="C1252" s="62">
        <f>IF(C$14=0,WdhStd,IF(INDEX($C$727:$V$727,C$14)="",WdhStd,INDEX($C$727:$V$727,C$14)))</f>
        <v/>
      </c>
      <c r="D1252" s="62">
        <f>IF(D$14=0,WdhStd,IF(INDEX($C$727:$V$727,D$14)="",WdhStd,INDEX($C$727:$V$727,D$14)))</f>
        <v/>
      </c>
      <c r="E1252" s="62">
        <f>IF(E$14=0,WdhStd,IF(INDEX($C$727:$V$727,E$14)="",WdhStd,INDEX($C$727:$V$727,E$14)))</f>
        <v/>
      </c>
      <c r="F1252" s="62">
        <f>IF(F$14=0,WdhStd,IF(INDEX($C$727:$V$727,F$14)="",WdhStd,INDEX($C$727:$V$727,F$14)))</f>
        <v/>
      </c>
      <c r="G1252" s="62">
        <f>IF(G$14=0,WdhStd,IF(INDEX($C$727:$V$727,G$14)="",WdhStd,INDEX($C$727:$V$727,G$14)))</f>
        <v/>
      </c>
      <c r="H1252" s="62">
        <f>IF(H$14=0,WdhStd,IF(INDEX($C$727:$V$727,H$14)="",WdhStd,INDEX($C$727:$V$727,H$14)))</f>
        <v/>
      </c>
      <c r="I1252" s="62">
        <f>IF(I$14=0,WdhStd,IF(INDEX($C$727:$V$727,I$14)="",WdhStd,INDEX($C$727:$V$727,I$14)))</f>
        <v/>
      </c>
      <c r="J1252" s="62">
        <f>IF(J$14=0,WdhStd,IF(INDEX($C$727:$V$727,J$14)="",WdhStd,INDEX($C$727:$V$727,J$14)))</f>
        <v/>
      </c>
      <c r="K1252" s="62">
        <f>IF(K$14=0,WdhStd,IF(INDEX($C$727:$V$727,K$14)="",WdhStd,INDEX($C$727:$V$727,K$14)))</f>
        <v/>
      </c>
      <c r="L1252" s="62">
        <f>IF(L$14=0,WdhStd,IF(INDEX($C$727:$V$727,L$14)="",WdhStd,INDEX($C$727:$V$727,L$14)))</f>
        <v/>
      </c>
      <c r="M1252" s="62">
        <f>IF(M$14=0,WdhStd,IF(INDEX($C$727:$V$727,M$14)="",WdhStd,INDEX($C$727:$V$727,M$14)))</f>
        <v/>
      </c>
      <c r="N1252" s="62">
        <f>IF(N$14=0,WdhStd,IF(INDEX($C$727:$V$727,N$14)="",WdhStd,INDEX($C$727:$V$727,N$14)))</f>
        <v/>
      </c>
      <c r="O1252" s="62">
        <f>IF(O$14=0,WdhStd,IF(INDEX($C$727:$V$727,O$14)="",WdhStd,INDEX($C$727:$V$727,O$14)))</f>
        <v/>
      </c>
      <c r="P1252" s="62">
        <f>IF(P$14=0,WdhStd,IF(INDEX($C$727:$V$727,P$14)="",WdhStd,INDEX($C$727:$V$727,P$14)))</f>
        <v/>
      </c>
      <c r="Q1252" s="62">
        <f>IF(Q$14=0,WdhStd,IF(INDEX($C$727:$V$727,Q$14)="",WdhStd,INDEX($C$727:$V$727,Q$14)))</f>
        <v/>
      </c>
      <c r="R1252" s="62">
        <f>IF(R$14=0,WdhStd,IF(INDEX($C$727:$V$727,R$14)="",WdhStd,INDEX($C$727:$V$727,R$14)))</f>
        <v/>
      </c>
      <c r="S1252" s="62">
        <f>IF(S$14=0,WdhStd,IF(INDEX($C$727:$V$727,S$14)="",WdhStd,INDEX($C$727:$V$727,S$14)))</f>
        <v/>
      </c>
      <c r="T1252" s="62">
        <f>IF(T$14=0,WdhStd,IF(INDEX($C$727:$V$727,T$14)="",WdhStd,INDEX($C$727:$V$727,T$14)))</f>
        <v/>
      </c>
      <c r="U1252" s="62">
        <f>IF(U$14=0,WdhStd,IF(INDEX($C$727:$V$727,U$14)="",WdhStd,INDEX($C$727:$V$727,U$14)))</f>
        <v/>
      </c>
      <c r="V1252" s="62">
        <f>IF(V$14=0,WdhStd,IF(INDEX($C$727:$V$727,V$14)="",WdhStd,INDEX($C$727:$V$727,V$14)))</f>
        <v/>
      </c>
    </row>
    <row r="1253">
      <c r="C1253" s="62">
        <f>IF(C$14=0,WdhStd,IF(INDEX($C$728:$V$728,C$14)="",WdhStd,INDEX($C$728:$V$728,C$14)))</f>
        <v/>
      </c>
      <c r="D1253" s="62">
        <f>IF(D$14=0,WdhStd,IF(INDEX($C$728:$V$728,D$14)="",WdhStd,INDEX($C$728:$V$728,D$14)))</f>
        <v/>
      </c>
      <c r="E1253" s="62">
        <f>IF(E$14=0,WdhStd,IF(INDEX($C$728:$V$728,E$14)="",WdhStd,INDEX($C$728:$V$728,E$14)))</f>
        <v/>
      </c>
      <c r="F1253" s="62">
        <f>IF(F$14=0,WdhStd,IF(INDEX($C$728:$V$728,F$14)="",WdhStd,INDEX($C$728:$V$728,F$14)))</f>
        <v/>
      </c>
      <c r="G1253" s="62">
        <f>IF(G$14=0,WdhStd,IF(INDEX($C$728:$V$728,G$14)="",WdhStd,INDEX($C$728:$V$728,G$14)))</f>
        <v/>
      </c>
      <c r="H1253" s="62">
        <f>IF(H$14=0,WdhStd,IF(INDEX($C$728:$V$728,H$14)="",WdhStd,INDEX($C$728:$V$728,H$14)))</f>
        <v/>
      </c>
      <c r="I1253" s="62">
        <f>IF(I$14=0,WdhStd,IF(INDEX($C$728:$V$728,I$14)="",WdhStd,INDEX($C$728:$V$728,I$14)))</f>
        <v/>
      </c>
      <c r="J1253" s="62">
        <f>IF(J$14=0,WdhStd,IF(INDEX($C$728:$V$728,J$14)="",WdhStd,INDEX($C$728:$V$728,J$14)))</f>
        <v/>
      </c>
      <c r="K1253" s="62">
        <f>IF(K$14=0,WdhStd,IF(INDEX($C$728:$V$728,K$14)="",WdhStd,INDEX($C$728:$V$728,K$14)))</f>
        <v/>
      </c>
      <c r="L1253" s="62">
        <f>IF(L$14=0,WdhStd,IF(INDEX($C$728:$V$728,L$14)="",WdhStd,INDEX($C$728:$V$728,L$14)))</f>
        <v/>
      </c>
      <c r="M1253" s="62">
        <f>IF(M$14=0,WdhStd,IF(INDEX($C$728:$V$728,M$14)="",WdhStd,INDEX($C$728:$V$728,M$14)))</f>
        <v/>
      </c>
      <c r="N1253" s="62">
        <f>IF(N$14=0,WdhStd,IF(INDEX($C$728:$V$728,N$14)="",WdhStd,INDEX($C$728:$V$728,N$14)))</f>
        <v/>
      </c>
      <c r="O1253" s="62">
        <f>IF(O$14=0,WdhStd,IF(INDEX($C$728:$V$728,O$14)="",WdhStd,INDEX($C$728:$V$728,O$14)))</f>
        <v/>
      </c>
      <c r="P1253" s="62">
        <f>IF(P$14=0,WdhStd,IF(INDEX($C$728:$V$728,P$14)="",WdhStd,INDEX($C$728:$V$728,P$14)))</f>
        <v/>
      </c>
      <c r="Q1253" s="62">
        <f>IF(Q$14=0,WdhStd,IF(INDEX($C$728:$V$728,Q$14)="",WdhStd,INDEX($C$728:$V$728,Q$14)))</f>
        <v/>
      </c>
      <c r="R1253" s="62">
        <f>IF(R$14=0,WdhStd,IF(INDEX($C$728:$V$728,R$14)="",WdhStd,INDEX($C$728:$V$728,R$14)))</f>
        <v/>
      </c>
      <c r="S1253" s="62">
        <f>IF(S$14=0,WdhStd,IF(INDEX($C$728:$V$728,S$14)="",WdhStd,INDEX($C$728:$V$728,S$14)))</f>
        <v/>
      </c>
      <c r="T1253" s="62">
        <f>IF(T$14=0,WdhStd,IF(INDEX($C$728:$V$728,T$14)="",WdhStd,INDEX($C$728:$V$728,T$14)))</f>
        <v/>
      </c>
      <c r="U1253" s="62">
        <f>IF(U$14=0,WdhStd,IF(INDEX($C$728:$V$728,U$14)="",WdhStd,INDEX($C$728:$V$728,U$14)))</f>
        <v/>
      </c>
      <c r="V1253" s="62">
        <f>IF(V$14=0,WdhStd,IF(INDEX($C$728:$V$728,V$14)="",WdhStd,INDEX($C$728:$V$728,V$14)))</f>
        <v/>
      </c>
    </row>
    <row r="1254">
      <c r="C1254" s="62">
        <f>IF(C$14=0,WdhStd,IF(INDEX($C$729:$V$729,C$14)="",WdhStd,INDEX($C$729:$V$729,C$14)))</f>
        <v/>
      </c>
      <c r="D1254" s="62">
        <f>IF(D$14=0,WdhStd,IF(INDEX($C$729:$V$729,D$14)="",WdhStd,INDEX($C$729:$V$729,D$14)))</f>
        <v/>
      </c>
      <c r="E1254" s="62">
        <f>IF(E$14=0,WdhStd,IF(INDEX($C$729:$V$729,E$14)="",WdhStd,INDEX($C$729:$V$729,E$14)))</f>
        <v/>
      </c>
      <c r="F1254" s="62">
        <f>IF(F$14=0,WdhStd,IF(INDEX($C$729:$V$729,F$14)="",WdhStd,INDEX($C$729:$V$729,F$14)))</f>
        <v/>
      </c>
      <c r="G1254" s="62">
        <f>IF(G$14=0,WdhStd,IF(INDEX($C$729:$V$729,G$14)="",WdhStd,INDEX($C$729:$V$729,G$14)))</f>
        <v/>
      </c>
      <c r="H1254" s="62">
        <f>IF(H$14=0,WdhStd,IF(INDEX($C$729:$V$729,H$14)="",WdhStd,INDEX($C$729:$V$729,H$14)))</f>
        <v/>
      </c>
      <c r="I1254" s="62">
        <f>IF(I$14=0,WdhStd,IF(INDEX($C$729:$V$729,I$14)="",WdhStd,INDEX($C$729:$V$729,I$14)))</f>
        <v/>
      </c>
      <c r="J1254" s="62">
        <f>IF(J$14=0,WdhStd,IF(INDEX($C$729:$V$729,J$14)="",WdhStd,INDEX($C$729:$V$729,J$14)))</f>
        <v/>
      </c>
      <c r="K1254" s="62">
        <f>IF(K$14=0,WdhStd,IF(INDEX($C$729:$V$729,K$14)="",WdhStd,INDEX($C$729:$V$729,K$14)))</f>
        <v/>
      </c>
      <c r="L1254" s="62">
        <f>IF(L$14=0,WdhStd,IF(INDEX($C$729:$V$729,L$14)="",WdhStd,INDEX($C$729:$V$729,L$14)))</f>
        <v/>
      </c>
      <c r="M1254" s="62">
        <f>IF(M$14=0,WdhStd,IF(INDEX($C$729:$V$729,M$14)="",WdhStd,INDEX($C$729:$V$729,M$14)))</f>
        <v/>
      </c>
      <c r="N1254" s="62">
        <f>IF(N$14=0,WdhStd,IF(INDEX($C$729:$V$729,N$14)="",WdhStd,INDEX($C$729:$V$729,N$14)))</f>
        <v/>
      </c>
      <c r="O1254" s="62">
        <f>IF(O$14=0,WdhStd,IF(INDEX($C$729:$V$729,O$14)="",WdhStd,INDEX($C$729:$V$729,O$14)))</f>
        <v/>
      </c>
      <c r="P1254" s="62">
        <f>IF(P$14=0,WdhStd,IF(INDEX($C$729:$V$729,P$14)="",WdhStd,INDEX($C$729:$V$729,P$14)))</f>
        <v/>
      </c>
      <c r="Q1254" s="62">
        <f>IF(Q$14=0,WdhStd,IF(INDEX($C$729:$V$729,Q$14)="",WdhStd,INDEX($C$729:$V$729,Q$14)))</f>
        <v/>
      </c>
      <c r="R1254" s="62">
        <f>IF(R$14=0,WdhStd,IF(INDEX($C$729:$V$729,R$14)="",WdhStd,INDEX($C$729:$V$729,R$14)))</f>
        <v/>
      </c>
      <c r="S1254" s="62">
        <f>IF(S$14=0,WdhStd,IF(INDEX($C$729:$V$729,S$14)="",WdhStd,INDEX($C$729:$V$729,S$14)))</f>
        <v/>
      </c>
      <c r="T1254" s="62">
        <f>IF(T$14=0,WdhStd,IF(INDEX($C$729:$V$729,T$14)="",WdhStd,INDEX($C$729:$V$729,T$14)))</f>
        <v/>
      </c>
      <c r="U1254" s="62">
        <f>IF(U$14=0,WdhStd,IF(INDEX($C$729:$V$729,U$14)="",WdhStd,INDEX($C$729:$V$729,U$14)))</f>
        <v/>
      </c>
      <c r="V1254" s="62">
        <f>IF(V$14=0,WdhStd,IF(INDEX($C$729:$V$729,V$14)="",WdhStd,INDEX($C$729:$V$729,V$14)))</f>
        <v/>
      </c>
    </row>
    <row r="1255">
      <c r="C1255" s="62">
        <f>IF(C$14=0,WdhStd,IF(INDEX($C$730:$V$730,C$14)="",WdhStd,INDEX($C$730:$V$730,C$14)))</f>
        <v/>
      </c>
      <c r="D1255" s="62">
        <f>IF(D$14=0,WdhStd,IF(INDEX($C$730:$V$730,D$14)="",WdhStd,INDEX($C$730:$V$730,D$14)))</f>
        <v/>
      </c>
      <c r="E1255" s="62">
        <f>IF(E$14=0,WdhStd,IF(INDEX($C$730:$V$730,E$14)="",WdhStd,INDEX($C$730:$V$730,E$14)))</f>
        <v/>
      </c>
      <c r="F1255" s="62">
        <f>IF(F$14=0,WdhStd,IF(INDEX($C$730:$V$730,F$14)="",WdhStd,INDEX($C$730:$V$730,F$14)))</f>
        <v/>
      </c>
      <c r="G1255" s="62">
        <f>IF(G$14=0,WdhStd,IF(INDEX($C$730:$V$730,G$14)="",WdhStd,INDEX($C$730:$V$730,G$14)))</f>
        <v/>
      </c>
      <c r="H1255" s="62">
        <f>IF(H$14=0,WdhStd,IF(INDEX($C$730:$V$730,H$14)="",WdhStd,INDEX($C$730:$V$730,H$14)))</f>
        <v/>
      </c>
      <c r="I1255" s="62">
        <f>IF(I$14=0,WdhStd,IF(INDEX($C$730:$V$730,I$14)="",WdhStd,INDEX($C$730:$V$730,I$14)))</f>
        <v/>
      </c>
      <c r="J1255" s="62">
        <f>IF(J$14=0,WdhStd,IF(INDEX($C$730:$V$730,J$14)="",WdhStd,INDEX($C$730:$V$730,J$14)))</f>
        <v/>
      </c>
      <c r="K1255" s="62">
        <f>IF(K$14=0,WdhStd,IF(INDEX($C$730:$V$730,K$14)="",WdhStd,INDEX($C$730:$V$730,K$14)))</f>
        <v/>
      </c>
      <c r="L1255" s="62">
        <f>IF(L$14=0,WdhStd,IF(INDEX($C$730:$V$730,L$14)="",WdhStd,INDEX($C$730:$V$730,L$14)))</f>
        <v/>
      </c>
      <c r="M1255" s="62">
        <f>IF(M$14=0,WdhStd,IF(INDEX($C$730:$V$730,M$14)="",WdhStd,INDEX($C$730:$V$730,M$14)))</f>
        <v/>
      </c>
      <c r="N1255" s="62">
        <f>IF(N$14=0,WdhStd,IF(INDEX($C$730:$V$730,N$14)="",WdhStd,INDEX($C$730:$V$730,N$14)))</f>
        <v/>
      </c>
      <c r="O1255" s="62">
        <f>IF(O$14=0,WdhStd,IF(INDEX($C$730:$V$730,O$14)="",WdhStd,INDEX($C$730:$V$730,O$14)))</f>
        <v/>
      </c>
      <c r="P1255" s="62">
        <f>IF(P$14=0,WdhStd,IF(INDEX($C$730:$V$730,P$14)="",WdhStd,INDEX($C$730:$V$730,P$14)))</f>
        <v/>
      </c>
      <c r="Q1255" s="62">
        <f>IF(Q$14=0,WdhStd,IF(INDEX($C$730:$V$730,Q$14)="",WdhStd,INDEX($C$730:$V$730,Q$14)))</f>
        <v/>
      </c>
      <c r="R1255" s="62">
        <f>IF(R$14=0,WdhStd,IF(INDEX($C$730:$V$730,R$14)="",WdhStd,INDEX($C$730:$V$730,R$14)))</f>
        <v/>
      </c>
      <c r="S1255" s="62">
        <f>IF(S$14=0,WdhStd,IF(INDEX($C$730:$V$730,S$14)="",WdhStd,INDEX($C$730:$V$730,S$14)))</f>
        <v/>
      </c>
      <c r="T1255" s="62">
        <f>IF(T$14=0,WdhStd,IF(INDEX($C$730:$V$730,T$14)="",WdhStd,INDEX($C$730:$V$730,T$14)))</f>
        <v/>
      </c>
      <c r="U1255" s="62">
        <f>IF(U$14=0,WdhStd,IF(INDEX($C$730:$V$730,U$14)="",WdhStd,INDEX($C$730:$V$730,U$14)))</f>
        <v/>
      </c>
      <c r="V1255" s="62">
        <f>IF(V$14=0,WdhStd,IF(INDEX($C$730:$V$730,V$14)="",WdhStd,INDEX($C$730:$V$730,V$14)))</f>
        <v/>
      </c>
    </row>
    <row r="1256">
      <c r="C1256" s="62">
        <f>IF(C$14=0,WdhStd,IF(INDEX($C$731:$V$731,C$14)="",WdhStd,INDEX($C$731:$V$731,C$14)))</f>
        <v/>
      </c>
      <c r="D1256" s="62">
        <f>IF(D$14=0,WdhStd,IF(INDEX($C$731:$V$731,D$14)="",WdhStd,INDEX($C$731:$V$731,D$14)))</f>
        <v/>
      </c>
      <c r="E1256" s="62">
        <f>IF(E$14=0,WdhStd,IF(INDEX($C$731:$V$731,E$14)="",WdhStd,INDEX($C$731:$V$731,E$14)))</f>
        <v/>
      </c>
      <c r="F1256" s="62">
        <f>IF(F$14=0,WdhStd,IF(INDEX($C$731:$V$731,F$14)="",WdhStd,INDEX($C$731:$V$731,F$14)))</f>
        <v/>
      </c>
      <c r="G1256" s="62">
        <f>IF(G$14=0,WdhStd,IF(INDEX($C$731:$V$731,G$14)="",WdhStd,INDEX($C$731:$V$731,G$14)))</f>
        <v/>
      </c>
      <c r="H1256" s="62">
        <f>IF(H$14=0,WdhStd,IF(INDEX($C$731:$V$731,H$14)="",WdhStd,INDEX($C$731:$V$731,H$14)))</f>
        <v/>
      </c>
      <c r="I1256" s="62">
        <f>IF(I$14=0,WdhStd,IF(INDEX($C$731:$V$731,I$14)="",WdhStd,INDEX($C$731:$V$731,I$14)))</f>
        <v/>
      </c>
      <c r="J1256" s="62">
        <f>IF(J$14=0,WdhStd,IF(INDEX($C$731:$V$731,J$14)="",WdhStd,INDEX($C$731:$V$731,J$14)))</f>
        <v/>
      </c>
      <c r="K1256" s="62">
        <f>IF(K$14=0,WdhStd,IF(INDEX($C$731:$V$731,K$14)="",WdhStd,INDEX($C$731:$V$731,K$14)))</f>
        <v/>
      </c>
      <c r="L1256" s="62">
        <f>IF(L$14=0,WdhStd,IF(INDEX($C$731:$V$731,L$14)="",WdhStd,INDEX($C$731:$V$731,L$14)))</f>
        <v/>
      </c>
      <c r="M1256" s="62">
        <f>IF(M$14=0,WdhStd,IF(INDEX($C$731:$V$731,M$14)="",WdhStd,INDEX($C$731:$V$731,M$14)))</f>
        <v/>
      </c>
      <c r="N1256" s="62">
        <f>IF(N$14=0,WdhStd,IF(INDEX($C$731:$V$731,N$14)="",WdhStd,INDEX($C$731:$V$731,N$14)))</f>
        <v/>
      </c>
      <c r="O1256" s="62">
        <f>IF(O$14=0,WdhStd,IF(INDEX($C$731:$V$731,O$14)="",WdhStd,INDEX($C$731:$V$731,O$14)))</f>
        <v/>
      </c>
      <c r="P1256" s="62">
        <f>IF(P$14=0,WdhStd,IF(INDEX($C$731:$V$731,P$14)="",WdhStd,INDEX($C$731:$V$731,P$14)))</f>
        <v/>
      </c>
      <c r="Q1256" s="62">
        <f>IF(Q$14=0,WdhStd,IF(INDEX($C$731:$V$731,Q$14)="",WdhStd,INDEX($C$731:$V$731,Q$14)))</f>
        <v/>
      </c>
      <c r="R1256" s="62">
        <f>IF(R$14=0,WdhStd,IF(INDEX($C$731:$V$731,R$14)="",WdhStd,INDEX($C$731:$V$731,R$14)))</f>
        <v/>
      </c>
      <c r="S1256" s="62">
        <f>IF(S$14=0,WdhStd,IF(INDEX($C$731:$V$731,S$14)="",WdhStd,INDEX($C$731:$V$731,S$14)))</f>
        <v/>
      </c>
      <c r="T1256" s="62">
        <f>IF(T$14=0,WdhStd,IF(INDEX($C$731:$V$731,T$14)="",WdhStd,INDEX($C$731:$V$731,T$14)))</f>
        <v/>
      </c>
      <c r="U1256" s="62">
        <f>IF(U$14=0,WdhStd,IF(INDEX($C$731:$V$731,U$14)="",WdhStd,INDEX($C$731:$V$731,U$14)))</f>
        <v/>
      </c>
      <c r="V1256" s="62">
        <f>IF(V$14=0,WdhStd,IF(INDEX($C$731:$V$731,V$14)="",WdhStd,INDEX($C$731:$V$731,V$14)))</f>
        <v/>
      </c>
    </row>
    <row r="1257">
      <c r="C1257" s="62">
        <f>IF(C$14=0,WdhStd,IF(INDEX($C$732:$V$732,C$14)="",WdhStd,INDEX($C$732:$V$732,C$14)))</f>
        <v/>
      </c>
      <c r="D1257" s="62">
        <f>IF(D$14=0,WdhStd,IF(INDEX($C$732:$V$732,D$14)="",WdhStd,INDEX($C$732:$V$732,D$14)))</f>
        <v/>
      </c>
      <c r="E1257" s="62">
        <f>IF(E$14=0,WdhStd,IF(INDEX($C$732:$V$732,E$14)="",WdhStd,INDEX($C$732:$V$732,E$14)))</f>
        <v/>
      </c>
      <c r="F1257" s="62">
        <f>IF(F$14=0,WdhStd,IF(INDEX($C$732:$V$732,F$14)="",WdhStd,INDEX($C$732:$V$732,F$14)))</f>
        <v/>
      </c>
      <c r="G1257" s="62">
        <f>IF(G$14=0,WdhStd,IF(INDEX($C$732:$V$732,G$14)="",WdhStd,INDEX($C$732:$V$732,G$14)))</f>
        <v/>
      </c>
      <c r="H1257" s="62">
        <f>IF(H$14=0,WdhStd,IF(INDEX($C$732:$V$732,H$14)="",WdhStd,INDEX($C$732:$V$732,H$14)))</f>
        <v/>
      </c>
      <c r="I1257" s="62">
        <f>IF(I$14=0,WdhStd,IF(INDEX($C$732:$V$732,I$14)="",WdhStd,INDEX($C$732:$V$732,I$14)))</f>
        <v/>
      </c>
      <c r="J1257" s="62">
        <f>IF(J$14=0,WdhStd,IF(INDEX($C$732:$V$732,J$14)="",WdhStd,INDEX($C$732:$V$732,J$14)))</f>
        <v/>
      </c>
      <c r="K1257" s="62">
        <f>IF(K$14=0,WdhStd,IF(INDEX($C$732:$V$732,K$14)="",WdhStd,INDEX($C$732:$V$732,K$14)))</f>
        <v/>
      </c>
      <c r="L1257" s="62">
        <f>IF(L$14=0,WdhStd,IF(INDEX($C$732:$V$732,L$14)="",WdhStd,INDEX($C$732:$V$732,L$14)))</f>
        <v/>
      </c>
      <c r="M1257" s="62">
        <f>IF(M$14=0,WdhStd,IF(INDEX($C$732:$V$732,M$14)="",WdhStd,INDEX($C$732:$V$732,M$14)))</f>
        <v/>
      </c>
      <c r="N1257" s="62">
        <f>IF(N$14=0,WdhStd,IF(INDEX($C$732:$V$732,N$14)="",WdhStd,INDEX($C$732:$V$732,N$14)))</f>
        <v/>
      </c>
      <c r="O1257" s="62">
        <f>IF(O$14=0,WdhStd,IF(INDEX($C$732:$V$732,O$14)="",WdhStd,INDEX($C$732:$V$732,O$14)))</f>
        <v/>
      </c>
      <c r="P1257" s="62">
        <f>IF(P$14=0,WdhStd,IF(INDEX($C$732:$V$732,P$14)="",WdhStd,INDEX($C$732:$V$732,P$14)))</f>
        <v/>
      </c>
      <c r="Q1257" s="62">
        <f>IF(Q$14=0,WdhStd,IF(INDEX($C$732:$V$732,Q$14)="",WdhStd,INDEX($C$732:$V$732,Q$14)))</f>
        <v/>
      </c>
      <c r="R1257" s="62">
        <f>IF(R$14=0,WdhStd,IF(INDEX($C$732:$V$732,R$14)="",WdhStd,INDEX($C$732:$V$732,R$14)))</f>
        <v/>
      </c>
      <c r="S1257" s="62">
        <f>IF(S$14=0,WdhStd,IF(INDEX($C$732:$V$732,S$14)="",WdhStd,INDEX($C$732:$V$732,S$14)))</f>
        <v/>
      </c>
      <c r="T1257" s="62">
        <f>IF(T$14=0,WdhStd,IF(INDEX($C$732:$V$732,T$14)="",WdhStd,INDEX($C$732:$V$732,T$14)))</f>
        <v/>
      </c>
      <c r="U1257" s="62">
        <f>IF(U$14=0,WdhStd,IF(INDEX($C$732:$V$732,U$14)="",WdhStd,INDEX($C$732:$V$732,U$14)))</f>
        <v/>
      </c>
      <c r="V1257" s="62">
        <f>IF(V$14=0,WdhStd,IF(INDEX($C$732:$V$732,V$14)="",WdhStd,INDEX($C$732:$V$732,V$14)))</f>
        <v/>
      </c>
    </row>
    <row r="1258">
      <c r="C1258" s="62">
        <f>IF(C$14=0,WdhStd,IF(INDEX($C$733:$V$733,C$14)="",WdhStd,INDEX($C$733:$V$733,C$14)))</f>
        <v/>
      </c>
      <c r="D1258" s="62">
        <f>IF(D$14=0,WdhStd,IF(INDEX($C$733:$V$733,D$14)="",WdhStd,INDEX($C$733:$V$733,D$14)))</f>
        <v/>
      </c>
      <c r="E1258" s="62">
        <f>IF(E$14=0,WdhStd,IF(INDEX($C$733:$V$733,E$14)="",WdhStd,INDEX($C$733:$V$733,E$14)))</f>
        <v/>
      </c>
      <c r="F1258" s="62">
        <f>IF(F$14=0,WdhStd,IF(INDEX($C$733:$V$733,F$14)="",WdhStd,INDEX($C$733:$V$733,F$14)))</f>
        <v/>
      </c>
      <c r="G1258" s="62">
        <f>IF(G$14=0,WdhStd,IF(INDEX($C$733:$V$733,G$14)="",WdhStd,INDEX($C$733:$V$733,G$14)))</f>
        <v/>
      </c>
      <c r="H1258" s="62">
        <f>IF(H$14=0,WdhStd,IF(INDEX($C$733:$V$733,H$14)="",WdhStd,INDEX($C$733:$V$733,H$14)))</f>
        <v/>
      </c>
      <c r="I1258" s="62">
        <f>IF(I$14=0,WdhStd,IF(INDEX($C$733:$V$733,I$14)="",WdhStd,INDEX($C$733:$V$733,I$14)))</f>
        <v/>
      </c>
      <c r="J1258" s="62">
        <f>IF(J$14=0,WdhStd,IF(INDEX($C$733:$V$733,J$14)="",WdhStd,INDEX($C$733:$V$733,J$14)))</f>
        <v/>
      </c>
      <c r="K1258" s="62">
        <f>IF(K$14=0,WdhStd,IF(INDEX($C$733:$V$733,K$14)="",WdhStd,INDEX($C$733:$V$733,K$14)))</f>
        <v/>
      </c>
      <c r="L1258" s="62">
        <f>IF(L$14=0,WdhStd,IF(INDEX($C$733:$V$733,L$14)="",WdhStd,INDEX($C$733:$V$733,L$14)))</f>
        <v/>
      </c>
      <c r="M1258" s="62">
        <f>IF(M$14=0,WdhStd,IF(INDEX($C$733:$V$733,M$14)="",WdhStd,INDEX($C$733:$V$733,M$14)))</f>
        <v/>
      </c>
      <c r="N1258" s="62">
        <f>IF(N$14=0,WdhStd,IF(INDEX($C$733:$V$733,N$14)="",WdhStd,INDEX($C$733:$V$733,N$14)))</f>
        <v/>
      </c>
      <c r="O1258" s="62">
        <f>IF(O$14=0,WdhStd,IF(INDEX($C$733:$V$733,O$14)="",WdhStd,INDEX($C$733:$V$733,O$14)))</f>
        <v/>
      </c>
      <c r="P1258" s="62">
        <f>IF(P$14=0,WdhStd,IF(INDEX($C$733:$V$733,P$14)="",WdhStd,INDEX($C$733:$V$733,P$14)))</f>
        <v/>
      </c>
      <c r="Q1258" s="62">
        <f>IF(Q$14=0,WdhStd,IF(INDEX($C$733:$V$733,Q$14)="",WdhStd,INDEX($C$733:$V$733,Q$14)))</f>
        <v/>
      </c>
      <c r="R1258" s="62">
        <f>IF(R$14=0,WdhStd,IF(INDEX($C$733:$V$733,R$14)="",WdhStd,INDEX($C$733:$V$733,R$14)))</f>
        <v/>
      </c>
      <c r="S1258" s="62">
        <f>IF(S$14=0,WdhStd,IF(INDEX($C$733:$V$733,S$14)="",WdhStd,INDEX($C$733:$V$733,S$14)))</f>
        <v/>
      </c>
      <c r="T1258" s="62">
        <f>IF(T$14=0,WdhStd,IF(INDEX($C$733:$V$733,T$14)="",WdhStd,INDEX($C$733:$V$733,T$14)))</f>
        <v/>
      </c>
      <c r="U1258" s="62">
        <f>IF(U$14=0,WdhStd,IF(INDEX($C$733:$V$733,U$14)="",WdhStd,INDEX($C$733:$V$733,U$14)))</f>
        <v/>
      </c>
      <c r="V1258" s="62">
        <f>IF(V$14=0,WdhStd,IF(INDEX($C$733:$V$733,V$14)="",WdhStd,INDEX($C$733:$V$733,V$14)))</f>
        <v/>
      </c>
    </row>
    <row r="1259">
      <c r="C1259" s="62">
        <f>IF(C$14=0,WdhStd,IF(INDEX($C$734:$V$734,C$14)="",WdhStd,INDEX($C$734:$V$734,C$14)))</f>
        <v/>
      </c>
      <c r="D1259" s="62">
        <f>IF(D$14=0,WdhStd,IF(INDEX($C$734:$V$734,D$14)="",WdhStd,INDEX($C$734:$V$734,D$14)))</f>
        <v/>
      </c>
      <c r="E1259" s="62">
        <f>IF(E$14=0,WdhStd,IF(INDEX($C$734:$V$734,E$14)="",WdhStd,INDEX($C$734:$V$734,E$14)))</f>
        <v/>
      </c>
      <c r="F1259" s="62">
        <f>IF(F$14=0,WdhStd,IF(INDEX($C$734:$V$734,F$14)="",WdhStd,INDEX($C$734:$V$734,F$14)))</f>
        <v/>
      </c>
      <c r="G1259" s="62">
        <f>IF(G$14=0,WdhStd,IF(INDEX($C$734:$V$734,G$14)="",WdhStd,INDEX($C$734:$V$734,G$14)))</f>
        <v/>
      </c>
      <c r="H1259" s="62">
        <f>IF(H$14=0,WdhStd,IF(INDEX($C$734:$V$734,H$14)="",WdhStd,INDEX($C$734:$V$734,H$14)))</f>
        <v/>
      </c>
      <c r="I1259" s="62">
        <f>IF(I$14=0,WdhStd,IF(INDEX($C$734:$V$734,I$14)="",WdhStd,INDEX($C$734:$V$734,I$14)))</f>
        <v/>
      </c>
      <c r="J1259" s="62">
        <f>IF(J$14=0,WdhStd,IF(INDEX($C$734:$V$734,J$14)="",WdhStd,INDEX($C$734:$V$734,J$14)))</f>
        <v/>
      </c>
      <c r="K1259" s="62">
        <f>IF(K$14=0,WdhStd,IF(INDEX($C$734:$V$734,K$14)="",WdhStd,INDEX($C$734:$V$734,K$14)))</f>
        <v/>
      </c>
      <c r="L1259" s="62">
        <f>IF(L$14=0,WdhStd,IF(INDEX($C$734:$V$734,L$14)="",WdhStd,INDEX($C$734:$V$734,L$14)))</f>
        <v/>
      </c>
      <c r="M1259" s="62">
        <f>IF(M$14=0,WdhStd,IF(INDEX($C$734:$V$734,M$14)="",WdhStd,INDEX($C$734:$V$734,M$14)))</f>
        <v/>
      </c>
      <c r="N1259" s="62">
        <f>IF(N$14=0,WdhStd,IF(INDEX($C$734:$V$734,N$14)="",WdhStd,INDEX($C$734:$V$734,N$14)))</f>
        <v/>
      </c>
      <c r="O1259" s="62">
        <f>IF(O$14=0,WdhStd,IF(INDEX($C$734:$V$734,O$14)="",WdhStd,INDEX($C$734:$V$734,O$14)))</f>
        <v/>
      </c>
      <c r="P1259" s="62">
        <f>IF(P$14=0,WdhStd,IF(INDEX($C$734:$V$734,P$14)="",WdhStd,INDEX($C$734:$V$734,P$14)))</f>
        <v/>
      </c>
      <c r="Q1259" s="62">
        <f>IF(Q$14=0,WdhStd,IF(INDEX($C$734:$V$734,Q$14)="",WdhStd,INDEX($C$734:$V$734,Q$14)))</f>
        <v/>
      </c>
      <c r="R1259" s="62">
        <f>IF(R$14=0,WdhStd,IF(INDEX($C$734:$V$734,R$14)="",WdhStd,INDEX($C$734:$V$734,R$14)))</f>
        <v/>
      </c>
      <c r="S1259" s="62">
        <f>IF(S$14=0,WdhStd,IF(INDEX($C$734:$V$734,S$14)="",WdhStd,INDEX($C$734:$V$734,S$14)))</f>
        <v/>
      </c>
      <c r="T1259" s="62">
        <f>IF(T$14=0,WdhStd,IF(INDEX($C$734:$V$734,T$14)="",WdhStd,INDEX($C$734:$V$734,T$14)))</f>
        <v/>
      </c>
      <c r="U1259" s="62">
        <f>IF(U$14=0,WdhStd,IF(INDEX($C$734:$V$734,U$14)="",WdhStd,INDEX($C$734:$V$734,U$14)))</f>
        <v/>
      </c>
      <c r="V1259" s="62">
        <f>IF(V$14=0,WdhStd,IF(INDEX($C$734:$V$734,V$14)="",WdhStd,INDEX($C$734:$V$734,V$14)))</f>
        <v/>
      </c>
    </row>
    <row r="1260">
      <c r="C1260" s="62">
        <f>IF(C$14=0,WdhStd,IF(INDEX($C$735:$V$735,C$14)="",WdhStd,INDEX($C$735:$V$735,C$14)))</f>
        <v/>
      </c>
      <c r="D1260" s="62">
        <f>IF(D$14=0,WdhStd,IF(INDEX($C$735:$V$735,D$14)="",WdhStd,INDEX($C$735:$V$735,D$14)))</f>
        <v/>
      </c>
      <c r="E1260" s="62">
        <f>IF(E$14=0,WdhStd,IF(INDEX($C$735:$V$735,E$14)="",WdhStd,INDEX($C$735:$V$735,E$14)))</f>
        <v/>
      </c>
      <c r="F1260" s="62">
        <f>IF(F$14=0,WdhStd,IF(INDEX($C$735:$V$735,F$14)="",WdhStd,INDEX($C$735:$V$735,F$14)))</f>
        <v/>
      </c>
      <c r="G1260" s="62">
        <f>IF(G$14=0,WdhStd,IF(INDEX($C$735:$V$735,G$14)="",WdhStd,INDEX($C$735:$V$735,G$14)))</f>
        <v/>
      </c>
      <c r="H1260" s="62">
        <f>IF(H$14=0,WdhStd,IF(INDEX($C$735:$V$735,H$14)="",WdhStd,INDEX($C$735:$V$735,H$14)))</f>
        <v/>
      </c>
      <c r="I1260" s="62">
        <f>IF(I$14=0,WdhStd,IF(INDEX($C$735:$V$735,I$14)="",WdhStd,INDEX($C$735:$V$735,I$14)))</f>
        <v/>
      </c>
      <c r="J1260" s="62">
        <f>IF(J$14=0,WdhStd,IF(INDEX($C$735:$V$735,J$14)="",WdhStd,INDEX($C$735:$V$735,J$14)))</f>
        <v/>
      </c>
      <c r="K1260" s="62">
        <f>IF(K$14=0,WdhStd,IF(INDEX($C$735:$V$735,K$14)="",WdhStd,INDEX($C$735:$V$735,K$14)))</f>
        <v/>
      </c>
      <c r="L1260" s="62">
        <f>IF(L$14=0,WdhStd,IF(INDEX($C$735:$V$735,L$14)="",WdhStd,INDEX($C$735:$V$735,L$14)))</f>
        <v/>
      </c>
      <c r="M1260" s="62">
        <f>IF(M$14=0,WdhStd,IF(INDEX($C$735:$V$735,M$14)="",WdhStd,INDEX($C$735:$V$735,M$14)))</f>
        <v/>
      </c>
      <c r="N1260" s="62">
        <f>IF(N$14=0,WdhStd,IF(INDEX($C$735:$V$735,N$14)="",WdhStd,INDEX($C$735:$V$735,N$14)))</f>
        <v/>
      </c>
      <c r="O1260" s="62">
        <f>IF(O$14=0,WdhStd,IF(INDEX($C$735:$V$735,O$14)="",WdhStd,INDEX($C$735:$V$735,O$14)))</f>
        <v/>
      </c>
      <c r="P1260" s="62">
        <f>IF(P$14=0,WdhStd,IF(INDEX($C$735:$V$735,P$14)="",WdhStd,INDEX($C$735:$V$735,P$14)))</f>
        <v/>
      </c>
      <c r="Q1260" s="62">
        <f>IF(Q$14=0,WdhStd,IF(INDEX($C$735:$V$735,Q$14)="",WdhStd,INDEX($C$735:$V$735,Q$14)))</f>
        <v/>
      </c>
      <c r="R1260" s="62">
        <f>IF(R$14=0,WdhStd,IF(INDEX($C$735:$V$735,R$14)="",WdhStd,INDEX($C$735:$V$735,R$14)))</f>
        <v/>
      </c>
      <c r="S1260" s="62">
        <f>IF(S$14=0,WdhStd,IF(INDEX($C$735:$V$735,S$14)="",WdhStd,INDEX($C$735:$V$735,S$14)))</f>
        <v/>
      </c>
      <c r="T1260" s="62">
        <f>IF(T$14=0,WdhStd,IF(INDEX($C$735:$V$735,T$14)="",WdhStd,INDEX($C$735:$V$735,T$14)))</f>
        <v/>
      </c>
      <c r="U1260" s="62">
        <f>IF(U$14=0,WdhStd,IF(INDEX($C$735:$V$735,U$14)="",WdhStd,INDEX($C$735:$V$735,U$14)))</f>
        <v/>
      </c>
      <c r="V1260" s="62">
        <f>IF(V$14=0,WdhStd,IF(INDEX($C$735:$V$735,V$14)="",WdhStd,INDEX($C$735:$V$735,V$14)))</f>
        <v/>
      </c>
    </row>
    <row r="1261">
      <c r="C1261" s="62">
        <f>IF(C$14=0,WdhStd,IF(INDEX($C$736:$V$736,C$14)="",WdhStd,INDEX($C$736:$V$736,C$14)))</f>
        <v/>
      </c>
      <c r="D1261" s="62">
        <f>IF(D$14=0,WdhStd,IF(INDEX($C$736:$V$736,D$14)="",WdhStd,INDEX($C$736:$V$736,D$14)))</f>
        <v/>
      </c>
      <c r="E1261" s="62">
        <f>IF(E$14=0,WdhStd,IF(INDEX($C$736:$V$736,E$14)="",WdhStd,INDEX($C$736:$V$736,E$14)))</f>
        <v/>
      </c>
      <c r="F1261" s="62">
        <f>IF(F$14=0,WdhStd,IF(INDEX($C$736:$V$736,F$14)="",WdhStd,INDEX($C$736:$V$736,F$14)))</f>
        <v/>
      </c>
      <c r="G1261" s="62">
        <f>IF(G$14=0,WdhStd,IF(INDEX($C$736:$V$736,G$14)="",WdhStd,INDEX($C$736:$V$736,G$14)))</f>
        <v/>
      </c>
      <c r="H1261" s="62">
        <f>IF(H$14=0,WdhStd,IF(INDEX($C$736:$V$736,H$14)="",WdhStd,INDEX($C$736:$V$736,H$14)))</f>
        <v/>
      </c>
      <c r="I1261" s="62">
        <f>IF(I$14=0,WdhStd,IF(INDEX($C$736:$V$736,I$14)="",WdhStd,INDEX($C$736:$V$736,I$14)))</f>
        <v/>
      </c>
      <c r="J1261" s="62">
        <f>IF(J$14=0,WdhStd,IF(INDEX($C$736:$V$736,J$14)="",WdhStd,INDEX($C$736:$V$736,J$14)))</f>
        <v/>
      </c>
      <c r="K1261" s="62">
        <f>IF(K$14=0,WdhStd,IF(INDEX($C$736:$V$736,K$14)="",WdhStd,INDEX($C$736:$V$736,K$14)))</f>
        <v/>
      </c>
      <c r="L1261" s="62">
        <f>IF(L$14=0,WdhStd,IF(INDEX($C$736:$V$736,L$14)="",WdhStd,INDEX($C$736:$V$736,L$14)))</f>
        <v/>
      </c>
      <c r="M1261" s="62">
        <f>IF(M$14=0,WdhStd,IF(INDEX($C$736:$V$736,M$14)="",WdhStd,INDEX($C$736:$V$736,M$14)))</f>
        <v/>
      </c>
      <c r="N1261" s="62">
        <f>IF(N$14=0,WdhStd,IF(INDEX($C$736:$V$736,N$14)="",WdhStd,INDEX($C$736:$V$736,N$14)))</f>
        <v/>
      </c>
      <c r="O1261" s="62">
        <f>IF(O$14=0,WdhStd,IF(INDEX($C$736:$V$736,O$14)="",WdhStd,INDEX($C$736:$V$736,O$14)))</f>
        <v/>
      </c>
      <c r="P1261" s="62">
        <f>IF(P$14=0,WdhStd,IF(INDEX($C$736:$V$736,P$14)="",WdhStd,INDEX($C$736:$V$736,P$14)))</f>
        <v/>
      </c>
      <c r="Q1261" s="62">
        <f>IF(Q$14=0,WdhStd,IF(INDEX($C$736:$V$736,Q$14)="",WdhStd,INDEX($C$736:$V$736,Q$14)))</f>
        <v/>
      </c>
      <c r="R1261" s="62">
        <f>IF(R$14=0,WdhStd,IF(INDEX($C$736:$V$736,R$14)="",WdhStd,INDEX($C$736:$V$736,R$14)))</f>
        <v/>
      </c>
      <c r="S1261" s="62">
        <f>IF(S$14=0,WdhStd,IF(INDEX($C$736:$V$736,S$14)="",WdhStd,INDEX($C$736:$V$736,S$14)))</f>
        <v/>
      </c>
      <c r="T1261" s="62">
        <f>IF(T$14=0,WdhStd,IF(INDEX($C$736:$V$736,T$14)="",WdhStd,INDEX($C$736:$V$736,T$14)))</f>
        <v/>
      </c>
      <c r="U1261" s="62">
        <f>IF(U$14=0,WdhStd,IF(INDEX($C$736:$V$736,U$14)="",WdhStd,INDEX($C$736:$V$736,U$14)))</f>
        <v/>
      </c>
      <c r="V1261" s="62">
        <f>IF(V$14=0,WdhStd,IF(INDEX($C$736:$V$736,V$14)="",WdhStd,INDEX($C$736:$V$736,V$14)))</f>
        <v/>
      </c>
    </row>
    <row r="1262">
      <c r="C1262" s="62">
        <f>IF(C$14=0,WdhStd,IF(INDEX($C$737:$V$737,C$14)="",WdhStd,INDEX($C$737:$V$737,C$14)))</f>
        <v/>
      </c>
      <c r="D1262" s="62">
        <f>IF(D$14=0,WdhStd,IF(INDEX($C$737:$V$737,D$14)="",WdhStd,INDEX($C$737:$V$737,D$14)))</f>
        <v/>
      </c>
      <c r="E1262" s="62">
        <f>IF(E$14=0,WdhStd,IF(INDEX($C$737:$V$737,E$14)="",WdhStd,INDEX($C$737:$V$737,E$14)))</f>
        <v/>
      </c>
      <c r="F1262" s="62">
        <f>IF(F$14=0,WdhStd,IF(INDEX($C$737:$V$737,F$14)="",WdhStd,INDEX($C$737:$V$737,F$14)))</f>
        <v/>
      </c>
      <c r="G1262" s="62">
        <f>IF(G$14=0,WdhStd,IF(INDEX($C$737:$V$737,G$14)="",WdhStd,INDEX($C$737:$V$737,G$14)))</f>
        <v/>
      </c>
      <c r="H1262" s="62">
        <f>IF(H$14=0,WdhStd,IF(INDEX($C$737:$V$737,H$14)="",WdhStd,INDEX($C$737:$V$737,H$14)))</f>
        <v/>
      </c>
      <c r="I1262" s="62">
        <f>IF(I$14=0,WdhStd,IF(INDEX($C$737:$V$737,I$14)="",WdhStd,INDEX($C$737:$V$737,I$14)))</f>
        <v/>
      </c>
      <c r="J1262" s="62">
        <f>IF(J$14=0,WdhStd,IF(INDEX($C$737:$V$737,J$14)="",WdhStd,INDEX($C$737:$V$737,J$14)))</f>
        <v/>
      </c>
      <c r="K1262" s="62">
        <f>IF(K$14=0,WdhStd,IF(INDEX($C$737:$V$737,K$14)="",WdhStd,INDEX($C$737:$V$737,K$14)))</f>
        <v/>
      </c>
      <c r="L1262" s="62">
        <f>IF(L$14=0,WdhStd,IF(INDEX($C$737:$V$737,L$14)="",WdhStd,INDEX($C$737:$V$737,L$14)))</f>
        <v/>
      </c>
      <c r="M1262" s="62">
        <f>IF(M$14=0,WdhStd,IF(INDEX($C$737:$V$737,M$14)="",WdhStd,INDEX($C$737:$V$737,M$14)))</f>
        <v/>
      </c>
      <c r="N1262" s="62">
        <f>IF(N$14=0,WdhStd,IF(INDEX($C$737:$V$737,N$14)="",WdhStd,INDEX($C$737:$V$737,N$14)))</f>
        <v/>
      </c>
      <c r="O1262" s="62">
        <f>IF(O$14=0,WdhStd,IF(INDEX($C$737:$V$737,O$14)="",WdhStd,INDEX($C$737:$V$737,O$14)))</f>
        <v/>
      </c>
      <c r="P1262" s="62">
        <f>IF(P$14=0,WdhStd,IF(INDEX($C$737:$V$737,P$14)="",WdhStd,INDEX($C$737:$V$737,P$14)))</f>
        <v/>
      </c>
      <c r="Q1262" s="62">
        <f>IF(Q$14=0,WdhStd,IF(INDEX($C$737:$V$737,Q$14)="",WdhStd,INDEX($C$737:$V$737,Q$14)))</f>
        <v/>
      </c>
      <c r="R1262" s="62">
        <f>IF(R$14=0,WdhStd,IF(INDEX($C$737:$V$737,R$14)="",WdhStd,INDEX($C$737:$V$737,R$14)))</f>
        <v/>
      </c>
      <c r="S1262" s="62">
        <f>IF(S$14=0,WdhStd,IF(INDEX($C$737:$V$737,S$14)="",WdhStd,INDEX($C$737:$V$737,S$14)))</f>
        <v/>
      </c>
      <c r="T1262" s="62">
        <f>IF(T$14=0,WdhStd,IF(INDEX($C$737:$V$737,T$14)="",WdhStd,INDEX($C$737:$V$737,T$14)))</f>
        <v/>
      </c>
      <c r="U1262" s="62">
        <f>IF(U$14=0,WdhStd,IF(INDEX($C$737:$V$737,U$14)="",WdhStd,INDEX($C$737:$V$737,U$14)))</f>
        <v/>
      </c>
      <c r="V1262" s="62">
        <f>IF(V$14=0,WdhStd,IF(INDEX($C$737:$V$737,V$14)="",WdhStd,INDEX($C$737:$V$737,V$14)))</f>
        <v/>
      </c>
    </row>
    <row r="1263">
      <c r="C1263" s="62">
        <f>IF(C$14=0,WdhStd,IF(INDEX($C$738:$V$738,C$14)="",WdhStd,INDEX($C$738:$V$738,C$14)))</f>
        <v/>
      </c>
      <c r="D1263" s="62">
        <f>IF(D$14=0,WdhStd,IF(INDEX($C$738:$V$738,D$14)="",WdhStd,INDEX($C$738:$V$738,D$14)))</f>
        <v/>
      </c>
      <c r="E1263" s="62">
        <f>IF(E$14=0,WdhStd,IF(INDEX($C$738:$V$738,E$14)="",WdhStd,INDEX($C$738:$V$738,E$14)))</f>
        <v/>
      </c>
      <c r="F1263" s="62">
        <f>IF(F$14=0,WdhStd,IF(INDEX($C$738:$V$738,F$14)="",WdhStd,INDEX($C$738:$V$738,F$14)))</f>
        <v/>
      </c>
      <c r="G1263" s="62">
        <f>IF(G$14=0,WdhStd,IF(INDEX($C$738:$V$738,G$14)="",WdhStd,INDEX($C$738:$V$738,G$14)))</f>
        <v/>
      </c>
      <c r="H1263" s="62">
        <f>IF(H$14=0,WdhStd,IF(INDEX($C$738:$V$738,H$14)="",WdhStd,INDEX($C$738:$V$738,H$14)))</f>
        <v/>
      </c>
      <c r="I1263" s="62">
        <f>IF(I$14=0,WdhStd,IF(INDEX($C$738:$V$738,I$14)="",WdhStd,INDEX($C$738:$V$738,I$14)))</f>
        <v/>
      </c>
      <c r="J1263" s="62">
        <f>IF(J$14=0,WdhStd,IF(INDEX($C$738:$V$738,J$14)="",WdhStd,INDEX($C$738:$V$738,J$14)))</f>
        <v/>
      </c>
      <c r="K1263" s="62">
        <f>IF(K$14=0,WdhStd,IF(INDEX($C$738:$V$738,K$14)="",WdhStd,INDEX($C$738:$V$738,K$14)))</f>
        <v/>
      </c>
      <c r="L1263" s="62">
        <f>IF(L$14=0,WdhStd,IF(INDEX($C$738:$V$738,L$14)="",WdhStd,INDEX($C$738:$V$738,L$14)))</f>
        <v/>
      </c>
      <c r="M1263" s="62">
        <f>IF(M$14=0,WdhStd,IF(INDEX($C$738:$V$738,M$14)="",WdhStd,INDEX($C$738:$V$738,M$14)))</f>
        <v/>
      </c>
      <c r="N1263" s="62">
        <f>IF(N$14=0,WdhStd,IF(INDEX($C$738:$V$738,N$14)="",WdhStd,INDEX($C$738:$V$738,N$14)))</f>
        <v/>
      </c>
      <c r="O1263" s="62">
        <f>IF(O$14=0,WdhStd,IF(INDEX($C$738:$V$738,O$14)="",WdhStd,INDEX($C$738:$V$738,O$14)))</f>
        <v/>
      </c>
      <c r="P1263" s="62">
        <f>IF(P$14=0,WdhStd,IF(INDEX($C$738:$V$738,P$14)="",WdhStd,INDEX($C$738:$V$738,P$14)))</f>
        <v/>
      </c>
      <c r="Q1263" s="62">
        <f>IF(Q$14=0,WdhStd,IF(INDEX($C$738:$V$738,Q$14)="",WdhStd,INDEX($C$738:$V$738,Q$14)))</f>
        <v/>
      </c>
      <c r="R1263" s="62">
        <f>IF(R$14=0,WdhStd,IF(INDEX($C$738:$V$738,R$14)="",WdhStd,INDEX($C$738:$V$738,R$14)))</f>
        <v/>
      </c>
      <c r="S1263" s="62">
        <f>IF(S$14=0,WdhStd,IF(INDEX($C$738:$V$738,S$14)="",WdhStd,INDEX($C$738:$V$738,S$14)))</f>
        <v/>
      </c>
      <c r="T1263" s="62">
        <f>IF(T$14=0,WdhStd,IF(INDEX($C$738:$V$738,T$14)="",WdhStd,INDEX($C$738:$V$738,T$14)))</f>
        <v/>
      </c>
      <c r="U1263" s="62">
        <f>IF(U$14=0,WdhStd,IF(INDEX($C$738:$V$738,U$14)="",WdhStd,INDEX($C$738:$V$738,U$14)))</f>
        <v/>
      </c>
      <c r="V1263" s="62">
        <f>IF(V$14=0,WdhStd,IF(INDEX($C$738:$V$738,V$14)="",WdhStd,INDEX($C$738:$V$738,V$14)))</f>
        <v/>
      </c>
    </row>
    <row r="1264">
      <c r="C1264" s="62">
        <f>IF(C$14=0,WdhStd,IF(INDEX($C$739:$V$739,C$14)="",WdhStd,INDEX($C$739:$V$739,C$14)))</f>
        <v/>
      </c>
      <c r="D1264" s="62">
        <f>IF(D$14=0,WdhStd,IF(INDEX($C$739:$V$739,D$14)="",WdhStd,INDEX($C$739:$V$739,D$14)))</f>
        <v/>
      </c>
      <c r="E1264" s="62">
        <f>IF(E$14=0,WdhStd,IF(INDEX($C$739:$V$739,E$14)="",WdhStd,INDEX($C$739:$V$739,E$14)))</f>
        <v/>
      </c>
      <c r="F1264" s="62">
        <f>IF(F$14=0,WdhStd,IF(INDEX($C$739:$V$739,F$14)="",WdhStd,INDEX($C$739:$V$739,F$14)))</f>
        <v/>
      </c>
      <c r="G1264" s="62">
        <f>IF(G$14=0,WdhStd,IF(INDEX($C$739:$V$739,G$14)="",WdhStd,INDEX($C$739:$V$739,G$14)))</f>
        <v/>
      </c>
      <c r="H1264" s="62">
        <f>IF(H$14=0,WdhStd,IF(INDEX($C$739:$V$739,H$14)="",WdhStd,INDEX($C$739:$V$739,H$14)))</f>
        <v/>
      </c>
      <c r="I1264" s="62">
        <f>IF(I$14=0,WdhStd,IF(INDEX($C$739:$V$739,I$14)="",WdhStd,INDEX($C$739:$V$739,I$14)))</f>
        <v/>
      </c>
      <c r="J1264" s="62">
        <f>IF(J$14=0,WdhStd,IF(INDEX($C$739:$V$739,J$14)="",WdhStd,INDEX($C$739:$V$739,J$14)))</f>
        <v/>
      </c>
      <c r="K1264" s="62">
        <f>IF(K$14=0,WdhStd,IF(INDEX($C$739:$V$739,K$14)="",WdhStd,INDEX($C$739:$V$739,K$14)))</f>
        <v/>
      </c>
      <c r="L1264" s="62">
        <f>IF(L$14=0,WdhStd,IF(INDEX($C$739:$V$739,L$14)="",WdhStd,INDEX($C$739:$V$739,L$14)))</f>
        <v/>
      </c>
      <c r="M1264" s="62">
        <f>IF(M$14=0,WdhStd,IF(INDEX($C$739:$V$739,M$14)="",WdhStd,INDEX($C$739:$V$739,M$14)))</f>
        <v/>
      </c>
      <c r="N1264" s="62">
        <f>IF(N$14=0,WdhStd,IF(INDEX($C$739:$V$739,N$14)="",WdhStd,INDEX($C$739:$V$739,N$14)))</f>
        <v/>
      </c>
      <c r="O1264" s="62">
        <f>IF(O$14=0,WdhStd,IF(INDEX($C$739:$V$739,O$14)="",WdhStd,INDEX($C$739:$V$739,O$14)))</f>
        <v/>
      </c>
      <c r="P1264" s="62">
        <f>IF(P$14=0,WdhStd,IF(INDEX($C$739:$V$739,P$14)="",WdhStd,INDEX($C$739:$V$739,P$14)))</f>
        <v/>
      </c>
      <c r="Q1264" s="62">
        <f>IF(Q$14=0,WdhStd,IF(INDEX($C$739:$V$739,Q$14)="",WdhStd,INDEX($C$739:$V$739,Q$14)))</f>
        <v/>
      </c>
      <c r="R1264" s="62">
        <f>IF(R$14=0,WdhStd,IF(INDEX($C$739:$V$739,R$14)="",WdhStd,INDEX($C$739:$V$739,R$14)))</f>
        <v/>
      </c>
      <c r="S1264" s="62">
        <f>IF(S$14=0,WdhStd,IF(INDEX($C$739:$V$739,S$14)="",WdhStd,INDEX($C$739:$V$739,S$14)))</f>
        <v/>
      </c>
      <c r="T1264" s="62">
        <f>IF(T$14=0,WdhStd,IF(INDEX($C$739:$V$739,T$14)="",WdhStd,INDEX($C$739:$V$739,T$14)))</f>
        <v/>
      </c>
      <c r="U1264" s="62">
        <f>IF(U$14=0,WdhStd,IF(INDEX($C$739:$V$739,U$14)="",WdhStd,INDEX($C$739:$V$739,U$14)))</f>
        <v/>
      </c>
      <c r="V1264" s="62">
        <f>IF(V$14=0,WdhStd,IF(INDEX($C$739:$V$739,V$14)="",WdhStd,INDEX($C$739:$V$739,V$14)))</f>
        <v/>
      </c>
    </row>
    <row r="1265">
      <c r="C1265" s="62">
        <f>IF(C$14=0,WdhStd,IF(INDEX($C$740:$V$740,C$14)="",WdhStd,INDEX($C$740:$V$740,C$14)))</f>
        <v/>
      </c>
      <c r="D1265" s="62">
        <f>IF(D$14=0,WdhStd,IF(INDEX($C$740:$V$740,D$14)="",WdhStd,INDEX($C$740:$V$740,D$14)))</f>
        <v/>
      </c>
      <c r="E1265" s="62">
        <f>IF(E$14=0,WdhStd,IF(INDEX($C$740:$V$740,E$14)="",WdhStd,INDEX($C$740:$V$740,E$14)))</f>
        <v/>
      </c>
      <c r="F1265" s="62">
        <f>IF(F$14=0,WdhStd,IF(INDEX($C$740:$V$740,F$14)="",WdhStd,INDEX($C$740:$V$740,F$14)))</f>
        <v/>
      </c>
      <c r="G1265" s="62">
        <f>IF(G$14=0,WdhStd,IF(INDEX($C$740:$V$740,G$14)="",WdhStd,INDEX($C$740:$V$740,G$14)))</f>
        <v/>
      </c>
      <c r="H1265" s="62">
        <f>IF(H$14=0,WdhStd,IF(INDEX($C$740:$V$740,H$14)="",WdhStd,INDEX($C$740:$V$740,H$14)))</f>
        <v/>
      </c>
      <c r="I1265" s="62">
        <f>IF(I$14=0,WdhStd,IF(INDEX($C$740:$V$740,I$14)="",WdhStd,INDEX($C$740:$V$740,I$14)))</f>
        <v/>
      </c>
      <c r="J1265" s="62">
        <f>IF(J$14=0,WdhStd,IF(INDEX($C$740:$V$740,J$14)="",WdhStd,INDEX($C$740:$V$740,J$14)))</f>
        <v/>
      </c>
      <c r="K1265" s="62">
        <f>IF(K$14=0,WdhStd,IF(INDEX($C$740:$V$740,K$14)="",WdhStd,INDEX($C$740:$V$740,K$14)))</f>
        <v/>
      </c>
      <c r="L1265" s="62">
        <f>IF(L$14=0,WdhStd,IF(INDEX($C$740:$V$740,L$14)="",WdhStd,INDEX($C$740:$V$740,L$14)))</f>
        <v/>
      </c>
      <c r="M1265" s="62">
        <f>IF(M$14=0,WdhStd,IF(INDEX($C$740:$V$740,M$14)="",WdhStd,INDEX($C$740:$V$740,M$14)))</f>
        <v/>
      </c>
      <c r="N1265" s="62">
        <f>IF(N$14=0,WdhStd,IF(INDEX($C$740:$V$740,N$14)="",WdhStd,INDEX($C$740:$V$740,N$14)))</f>
        <v/>
      </c>
      <c r="O1265" s="62">
        <f>IF(O$14=0,WdhStd,IF(INDEX($C$740:$V$740,O$14)="",WdhStd,INDEX($C$740:$V$740,O$14)))</f>
        <v/>
      </c>
      <c r="P1265" s="62">
        <f>IF(P$14=0,WdhStd,IF(INDEX($C$740:$V$740,P$14)="",WdhStd,INDEX($C$740:$V$740,P$14)))</f>
        <v/>
      </c>
      <c r="Q1265" s="62">
        <f>IF(Q$14=0,WdhStd,IF(INDEX($C$740:$V$740,Q$14)="",WdhStd,INDEX($C$740:$V$740,Q$14)))</f>
        <v/>
      </c>
      <c r="R1265" s="62">
        <f>IF(R$14=0,WdhStd,IF(INDEX($C$740:$V$740,R$14)="",WdhStd,INDEX($C$740:$V$740,R$14)))</f>
        <v/>
      </c>
      <c r="S1265" s="62">
        <f>IF(S$14=0,WdhStd,IF(INDEX($C$740:$V$740,S$14)="",WdhStd,INDEX($C$740:$V$740,S$14)))</f>
        <v/>
      </c>
      <c r="T1265" s="62">
        <f>IF(T$14=0,WdhStd,IF(INDEX($C$740:$V$740,T$14)="",WdhStd,INDEX($C$740:$V$740,T$14)))</f>
        <v/>
      </c>
      <c r="U1265" s="62">
        <f>IF(U$14=0,WdhStd,IF(INDEX($C$740:$V$740,U$14)="",WdhStd,INDEX($C$740:$V$740,U$14)))</f>
        <v/>
      </c>
      <c r="V1265" s="62">
        <f>IF(V$14=0,WdhStd,IF(INDEX($C$740:$V$740,V$14)="",WdhStd,INDEX($C$740:$V$740,V$14)))</f>
        <v/>
      </c>
    </row>
    <row r="1266">
      <c r="C1266" s="62">
        <f>IF(C$14=0,WdhStd,IF(INDEX($C$741:$V$741,C$14)="",WdhStd,INDEX($C$741:$V$741,C$14)))</f>
        <v/>
      </c>
      <c r="D1266" s="62">
        <f>IF(D$14=0,WdhStd,IF(INDEX($C$741:$V$741,D$14)="",WdhStd,INDEX($C$741:$V$741,D$14)))</f>
        <v/>
      </c>
      <c r="E1266" s="62">
        <f>IF(E$14=0,WdhStd,IF(INDEX($C$741:$V$741,E$14)="",WdhStd,INDEX($C$741:$V$741,E$14)))</f>
        <v/>
      </c>
      <c r="F1266" s="62">
        <f>IF(F$14=0,WdhStd,IF(INDEX($C$741:$V$741,F$14)="",WdhStd,INDEX($C$741:$V$741,F$14)))</f>
        <v/>
      </c>
      <c r="G1266" s="62">
        <f>IF(G$14=0,WdhStd,IF(INDEX($C$741:$V$741,G$14)="",WdhStd,INDEX($C$741:$V$741,G$14)))</f>
        <v/>
      </c>
      <c r="H1266" s="62">
        <f>IF(H$14=0,WdhStd,IF(INDEX($C$741:$V$741,H$14)="",WdhStd,INDEX($C$741:$V$741,H$14)))</f>
        <v/>
      </c>
      <c r="I1266" s="62">
        <f>IF(I$14=0,WdhStd,IF(INDEX($C$741:$V$741,I$14)="",WdhStd,INDEX($C$741:$V$741,I$14)))</f>
        <v/>
      </c>
      <c r="J1266" s="62">
        <f>IF(J$14=0,WdhStd,IF(INDEX($C$741:$V$741,J$14)="",WdhStd,INDEX($C$741:$V$741,J$14)))</f>
        <v/>
      </c>
      <c r="K1266" s="62">
        <f>IF(K$14=0,WdhStd,IF(INDEX($C$741:$V$741,K$14)="",WdhStd,INDEX($C$741:$V$741,K$14)))</f>
        <v/>
      </c>
      <c r="L1266" s="62">
        <f>IF(L$14=0,WdhStd,IF(INDEX($C$741:$V$741,L$14)="",WdhStd,INDEX($C$741:$V$741,L$14)))</f>
        <v/>
      </c>
      <c r="M1266" s="62">
        <f>IF(M$14=0,WdhStd,IF(INDEX($C$741:$V$741,M$14)="",WdhStd,INDEX($C$741:$V$741,M$14)))</f>
        <v/>
      </c>
      <c r="N1266" s="62">
        <f>IF(N$14=0,WdhStd,IF(INDEX($C$741:$V$741,N$14)="",WdhStd,INDEX($C$741:$V$741,N$14)))</f>
        <v/>
      </c>
      <c r="O1266" s="62">
        <f>IF(O$14=0,WdhStd,IF(INDEX($C$741:$V$741,O$14)="",WdhStd,INDEX($C$741:$V$741,O$14)))</f>
        <v/>
      </c>
      <c r="P1266" s="62">
        <f>IF(P$14=0,WdhStd,IF(INDEX($C$741:$V$741,P$14)="",WdhStd,INDEX($C$741:$V$741,P$14)))</f>
        <v/>
      </c>
      <c r="Q1266" s="62">
        <f>IF(Q$14=0,WdhStd,IF(INDEX($C$741:$V$741,Q$14)="",WdhStd,INDEX($C$741:$V$741,Q$14)))</f>
        <v/>
      </c>
      <c r="R1266" s="62">
        <f>IF(R$14=0,WdhStd,IF(INDEX($C$741:$V$741,R$14)="",WdhStd,INDEX($C$741:$V$741,R$14)))</f>
        <v/>
      </c>
      <c r="S1266" s="62">
        <f>IF(S$14=0,WdhStd,IF(INDEX($C$741:$V$741,S$14)="",WdhStd,INDEX($C$741:$V$741,S$14)))</f>
        <v/>
      </c>
      <c r="T1266" s="62">
        <f>IF(T$14=0,WdhStd,IF(INDEX($C$741:$V$741,T$14)="",WdhStd,INDEX($C$741:$V$741,T$14)))</f>
        <v/>
      </c>
      <c r="U1266" s="62">
        <f>IF(U$14=0,WdhStd,IF(INDEX($C$741:$V$741,U$14)="",WdhStd,INDEX($C$741:$V$741,U$14)))</f>
        <v/>
      </c>
      <c r="V1266" s="62">
        <f>IF(V$14=0,WdhStd,IF(INDEX($C$741:$V$741,V$14)="",WdhStd,INDEX($C$741:$V$741,V$14)))</f>
        <v/>
      </c>
    </row>
    <row r="1267">
      <c r="C1267" s="62">
        <f>IF(C$14=0,WdhStd,IF(INDEX($C$742:$V$742,C$14)="",WdhStd,INDEX($C$742:$V$742,C$14)))</f>
        <v/>
      </c>
      <c r="D1267" s="62">
        <f>IF(D$14=0,WdhStd,IF(INDEX($C$742:$V$742,D$14)="",WdhStd,INDEX($C$742:$V$742,D$14)))</f>
        <v/>
      </c>
      <c r="E1267" s="62">
        <f>IF(E$14=0,WdhStd,IF(INDEX($C$742:$V$742,E$14)="",WdhStd,INDEX($C$742:$V$742,E$14)))</f>
        <v/>
      </c>
      <c r="F1267" s="62">
        <f>IF(F$14=0,WdhStd,IF(INDEX($C$742:$V$742,F$14)="",WdhStd,INDEX($C$742:$V$742,F$14)))</f>
        <v/>
      </c>
      <c r="G1267" s="62">
        <f>IF(G$14=0,WdhStd,IF(INDEX($C$742:$V$742,G$14)="",WdhStd,INDEX($C$742:$V$742,G$14)))</f>
        <v/>
      </c>
      <c r="H1267" s="62">
        <f>IF(H$14=0,WdhStd,IF(INDEX($C$742:$V$742,H$14)="",WdhStd,INDEX($C$742:$V$742,H$14)))</f>
        <v/>
      </c>
      <c r="I1267" s="62">
        <f>IF(I$14=0,WdhStd,IF(INDEX($C$742:$V$742,I$14)="",WdhStd,INDEX($C$742:$V$742,I$14)))</f>
        <v/>
      </c>
      <c r="J1267" s="62">
        <f>IF(J$14=0,WdhStd,IF(INDEX($C$742:$V$742,J$14)="",WdhStd,INDEX($C$742:$V$742,J$14)))</f>
        <v/>
      </c>
      <c r="K1267" s="62">
        <f>IF(K$14=0,WdhStd,IF(INDEX($C$742:$V$742,K$14)="",WdhStd,INDEX($C$742:$V$742,K$14)))</f>
        <v/>
      </c>
      <c r="L1267" s="62">
        <f>IF(L$14=0,WdhStd,IF(INDEX($C$742:$V$742,L$14)="",WdhStd,INDEX($C$742:$V$742,L$14)))</f>
        <v/>
      </c>
      <c r="M1267" s="62">
        <f>IF(M$14=0,WdhStd,IF(INDEX($C$742:$V$742,M$14)="",WdhStd,INDEX($C$742:$V$742,M$14)))</f>
        <v/>
      </c>
      <c r="N1267" s="62">
        <f>IF(N$14=0,WdhStd,IF(INDEX($C$742:$V$742,N$14)="",WdhStd,INDEX($C$742:$V$742,N$14)))</f>
        <v/>
      </c>
      <c r="O1267" s="62">
        <f>IF(O$14=0,WdhStd,IF(INDEX($C$742:$V$742,O$14)="",WdhStd,INDEX($C$742:$V$742,O$14)))</f>
        <v/>
      </c>
      <c r="P1267" s="62">
        <f>IF(P$14=0,WdhStd,IF(INDEX($C$742:$V$742,P$14)="",WdhStd,INDEX($C$742:$V$742,P$14)))</f>
        <v/>
      </c>
      <c r="Q1267" s="62">
        <f>IF(Q$14=0,WdhStd,IF(INDEX($C$742:$V$742,Q$14)="",WdhStd,INDEX($C$742:$V$742,Q$14)))</f>
        <v/>
      </c>
      <c r="R1267" s="62">
        <f>IF(R$14=0,WdhStd,IF(INDEX($C$742:$V$742,R$14)="",WdhStd,INDEX($C$742:$V$742,R$14)))</f>
        <v/>
      </c>
      <c r="S1267" s="62">
        <f>IF(S$14=0,WdhStd,IF(INDEX($C$742:$V$742,S$14)="",WdhStd,INDEX($C$742:$V$742,S$14)))</f>
        <v/>
      </c>
      <c r="T1267" s="62">
        <f>IF(T$14=0,WdhStd,IF(INDEX($C$742:$V$742,T$14)="",WdhStd,INDEX($C$742:$V$742,T$14)))</f>
        <v/>
      </c>
      <c r="U1267" s="62">
        <f>IF(U$14=0,WdhStd,IF(INDEX($C$742:$V$742,U$14)="",WdhStd,INDEX($C$742:$V$742,U$14)))</f>
        <v/>
      </c>
      <c r="V1267" s="62">
        <f>IF(V$14=0,WdhStd,IF(INDEX($C$742:$V$742,V$14)="",WdhStd,INDEX($C$742:$V$742,V$14)))</f>
        <v/>
      </c>
    </row>
    <row r="1268">
      <c r="C1268" s="62">
        <f>IF(C$14=0,WdhStd,IF(INDEX($C$743:$V$743,C$14)="",WdhStd,INDEX($C$743:$V$743,C$14)))</f>
        <v/>
      </c>
      <c r="D1268" s="62">
        <f>IF(D$14=0,WdhStd,IF(INDEX($C$743:$V$743,D$14)="",WdhStd,INDEX($C$743:$V$743,D$14)))</f>
        <v/>
      </c>
      <c r="E1268" s="62">
        <f>IF(E$14=0,WdhStd,IF(INDEX($C$743:$V$743,E$14)="",WdhStd,INDEX($C$743:$V$743,E$14)))</f>
        <v/>
      </c>
      <c r="F1268" s="62">
        <f>IF(F$14=0,WdhStd,IF(INDEX($C$743:$V$743,F$14)="",WdhStd,INDEX($C$743:$V$743,F$14)))</f>
        <v/>
      </c>
      <c r="G1268" s="62">
        <f>IF(G$14=0,WdhStd,IF(INDEX($C$743:$V$743,G$14)="",WdhStd,INDEX($C$743:$V$743,G$14)))</f>
        <v/>
      </c>
      <c r="H1268" s="62">
        <f>IF(H$14=0,WdhStd,IF(INDEX($C$743:$V$743,H$14)="",WdhStd,INDEX($C$743:$V$743,H$14)))</f>
        <v/>
      </c>
      <c r="I1268" s="62">
        <f>IF(I$14=0,WdhStd,IF(INDEX($C$743:$V$743,I$14)="",WdhStd,INDEX($C$743:$V$743,I$14)))</f>
        <v/>
      </c>
      <c r="J1268" s="62">
        <f>IF(J$14=0,WdhStd,IF(INDEX($C$743:$V$743,J$14)="",WdhStd,INDEX($C$743:$V$743,J$14)))</f>
        <v/>
      </c>
      <c r="K1268" s="62">
        <f>IF(K$14=0,WdhStd,IF(INDEX($C$743:$V$743,K$14)="",WdhStd,INDEX($C$743:$V$743,K$14)))</f>
        <v/>
      </c>
      <c r="L1268" s="62">
        <f>IF(L$14=0,WdhStd,IF(INDEX($C$743:$V$743,L$14)="",WdhStd,INDEX($C$743:$V$743,L$14)))</f>
        <v/>
      </c>
      <c r="M1268" s="62">
        <f>IF(M$14=0,WdhStd,IF(INDEX($C$743:$V$743,M$14)="",WdhStd,INDEX($C$743:$V$743,M$14)))</f>
        <v/>
      </c>
      <c r="N1268" s="62">
        <f>IF(N$14=0,WdhStd,IF(INDEX($C$743:$V$743,N$14)="",WdhStd,INDEX($C$743:$V$743,N$14)))</f>
        <v/>
      </c>
      <c r="O1268" s="62">
        <f>IF(O$14=0,WdhStd,IF(INDEX($C$743:$V$743,O$14)="",WdhStd,INDEX($C$743:$V$743,O$14)))</f>
        <v/>
      </c>
      <c r="P1268" s="62">
        <f>IF(P$14=0,WdhStd,IF(INDEX($C$743:$V$743,P$14)="",WdhStd,INDEX($C$743:$V$743,P$14)))</f>
        <v/>
      </c>
      <c r="Q1268" s="62">
        <f>IF(Q$14=0,WdhStd,IF(INDEX($C$743:$V$743,Q$14)="",WdhStd,INDEX($C$743:$V$743,Q$14)))</f>
        <v/>
      </c>
      <c r="R1268" s="62">
        <f>IF(R$14=0,WdhStd,IF(INDEX($C$743:$V$743,R$14)="",WdhStd,INDEX($C$743:$V$743,R$14)))</f>
        <v/>
      </c>
      <c r="S1268" s="62">
        <f>IF(S$14=0,WdhStd,IF(INDEX($C$743:$V$743,S$14)="",WdhStd,INDEX($C$743:$V$743,S$14)))</f>
        <v/>
      </c>
      <c r="T1268" s="62">
        <f>IF(T$14=0,WdhStd,IF(INDEX($C$743:$V$743,T$14)="",WdhStd,INDEX($C$743:$V$743,T$14)))</f>
        <v/>
      </c>
      <c r="U1268" s="62">
        <f>IF(U$14=0,WdhStd,IF(INDEX($C$743:$V$743,U$14)="",WdhStd,INDEX($C$743:$V$743,U$14)))</f>
        <v/>
      </c>
      <c r="V1268" s="62">
        <f>IF(V$14=0,WdhStd,IF(INDEX($C$743:$V$743,V$14)="",WdhStd,INDEX($C$743:$V$743,V$14)))</f>
        <v/>
      </c>
    </row>
    <row r="1269">
      <c r="C1269" s="62">
        <f>IF(C$14=0,WdhStd,IF(INDEX($C$744:$V$744,C$14)="",WdhStd,INDEX($C$744:$V$744,C$14)))</f>
        <v/>
      </c>
      <c r="D1269" s="62">
        <f>IF(D$14=0,WdhStd,IF(INDEX($C$744:$V$744,D$14)="",WdhStd,INDEX($C$744:$V$744,D$14)))</f>
        <v/>
      </c>
      <c r="E1269" s="62">
        <f>IF(E$14=0,WdhStd,IF(INDEX($C$744:$V$744,E$14)="",WdhStd,INDEX($C$744:$V$744,E$14)))</f>
        <v/>
      </c>
      <c r="F1269" s="62">
        <f>IF(F$14=0,WdhStd,IF(INDEX($C$744:$V$744,F$14)="",WdhStd,INDEX($C$744:$V$744,F$14)))</f>
        <v/>
      </c>
      <c r="G1269" s="62">
        <f>IF(G$14=0,WdhStd,IF(INDEX($C$744:$V$744,G$14)="",WdhStd,INDEX($C$744:$V$744,G$14)))</f>
        <v/>
      </c>
      <c r="H1269" s="62">
        <f>IF(H$14=0,WdhStd,IF(INDEX($C$744:$V$744,H$14)="",WdhStd,INDEX($C$744:$V$744,H$14)))</f>
        <v/>
      </c>
      <c r="I1269" s="62">
        <f>IF(I$14=0,WdhStd,IF(INDEX($C$744:$V$744,I$14)="",WdhStd,INDEX($C$744:$V$744,I$14)))</f>
        <v/>
      </c>
      <c r="J1269" s="62">
        <f>IF(J$14=0,WdhStd,IF(INDEX($C$744:$V$744,J$14)="",WdhStd,INDEX($C$744:$V$744,J$14)))</f>
        <v/>
      </c>
      <c r="K1269" s="62">
        <f>IF(K$14=0,WdhStd,IF(INDEX($C$744:$V$744,K$14)="",WdhStd,INDEX($C$744:$V$744,K$14)))</f>
        <v/>
      </c>
      <c r="L1269" s="62">
        <f>IF(L$14=0,WdhStd,IF(INDEX($C$744:$V$744,L$14)="",WdhStd,INDEX($C$744:$V$744,L$14)))</f>
        <v/>
      </c>
      <c r="M1269" s="62">
        <f>IF(M$14=0,WdhStd,IF(INDEX($C$744:$V$744,M$14)="",WdhStd,INDEX($C$744:$V$744,M$14)))</f>
        <v/>
      </c>
      <c r="N1269" s="62">
        <f>IF(N$14=0,WdhStd,IF(INDEX($C$744:$V$744,N$14)="",WdhStd,INDEX($C$744:$V$744,N$14)))</f>
        <v/>
      </c>
      <c r="O1269" s="62">
        <f>IF(O$14=0,WdhStd,IF(INDEX($C$744:$V$744,O$14)="",WdhStd,INDEX($C$744:$V$744,O$14)))</f>
        <v/>
      </c>
      <c r="P1269" s="62">
        <f>IF(P$14=0,WdhStd,IF(INDEX($C$744:$V$744,P$14)="",WdhStd,INDEX($C$744:$V$744,P$14)))</f>
        <v/>
      </c>
      <c r="Q1269" s="62">
        <f>IF(Q$14=0,WdhStd,IF(INDEX($C$744:$V$744,Q$14)="",WdhStd,INDEX($C$744:$V$744,Q$14)))</f>
        <v/>
      </c>
      <c r="R1269" s="62">
        <f>IF(R$14=0,WdhStd,IF(INDEX($C$744:$V$744,R$14)="",WdhStd,INDEX($C$744:$V$744,R$14)))</f>
        <v/>
      </c>
      <c r="S1269" s="62">
        <f>IF(S$14=0,WdhStd,IF(INDEX($C$744:$V$744,S$14)="",WdhStd,INDEX($C$744:$V$744,S$14)))</f>
        <v/>
      </c>
      <c r="T1269" s="62">
        <f>IF(T$14=0,WdhStd,IF(INDEX($C$744:$V$744,T$14)="",WdhStd,INDEX($C$744:$V$744,T$14)))</f>
        <v/>
      </c>
      <c r="U1269" s="62">
        <f>IF(U$14=0,WdhStd,IF(INDEX($C$744:$V$744,U$14)="",WdhStd,INDEX($C$744:$V$744,U$14)))</f>
        <v/>
      </c>
      <c r="V1269" s="62">
        <f>IF(V$14=0,WdhStd,IF(INDEX($C$744:$V$744,V$14)="",WdhStd,INDEX($C$744:$V$744,V$14)))</f>
        <v/>
      </c>
    </row>
    <row r="1270">
      <c r="C1270" s="62">
        <f>IF(C$14=0,WdhStd,IF(INDEX($C$745:$V$745,C$14)="",WdhStd,INDEX($C$745:$V$745,C$14)))</f>
        <v/>
      </c>
      <c r="D1270" s="62">
        <f>IF(D$14=0,WdhStd,IF(INDEX($C$745:$V$745,D$14)="",WdhStd,INDEX($C$745:$V$745,D$14)))</f>
        <v/>
      </c>
      <c r="E1270" s="62">
        <f>IF(E$14=0,WdhStd,IF(INDEX($C$745:$V$745,E$14)="",WdhStd,INDEX($C$745:$V$745,E$14)))</f>
        <v/>
      </c>
      <c r="F1270" s="62">
        <f>IF(F$14=0,WdhStd,IF(INDEX($C$745:$V$745,F$14)="",WdhStd,INDEX($C$745:$V$745,F$14)))</f>
        <v/>
      </c>
      <c r="G1270" s="62">
        <f>IF(G$14=0,WdhStd,IF(INDEX($C$745:$V$745,G$14)="",WdhStd,INDEX($C$745:$V$745,G$14)))</f>
        <v/>
      </c>
      <c r="H1270" s="62">
        <f>IF(H$14=0,WdhStd,IF(INDEX($C$745:$V$745,H$14)="",WdhStd,INDEX($C$745:$V$745,H$14)))</f>
        <v/>
      </c>
      <c r="I1270" s="62">
        <f>IF(I$14=0,WdhStd,IF(INDEX($C$745:$V$745,I$14)="",WdhStd,INDEX($C$745:$V$745,I$14)))</f>
        <v/>
      </c>
      <c r="J1270" s="62">
        <f>IF(J$14=0,WdhStd,IF(INDEX($C$745:$V$745,J$14)="",WdhStd,INDEX($C$745:$V$745,J$14)))</f>
        <v/>
      </c>
      <c r="K1270" s="62">
        <f>IF(K$14=0,WdhStd,IF(INDEX($C$745:$V$745,K$14)="",WdhStd,INDEX($C$745:$V$745,K$14)))</f>
        <v/>
      </c>
      <c r="L1270" s="62">
        <f>IF(L$14=0,WdhStd,IF(INDEX($C$745:$V$745,L$14)="",WdhStd,INDEX($C$745:$V$745,L$14)))</f>
        <v/>
      </c>
      <c r="M1270" s="62">
        <f>IF(M$14=0,WdhStd,IF(INDEX($C$745:$V$745,M$14)="",WdhStd,INDEX($C$745:$V$745,M$14)))</f>
        <v/>
      </c>
      <c r="N1270" s="62">
        <f>IF(N$14=0,WdhStd,IF(INDEX($C$745:$V$745,N$14)="",WdhStd,INDEX($C$745:$V$745,N$14)))</f>
        <v/>
      </c>
      <c r="O1270" s="62">
        <f>IF(O$14=0,WdhStd,IF(INDEX($C$745:$V$745,O$14)="",WdhStd,INDEX($C$745:$V$745,O$14)))</f>
        <v/>
      </c>
      <c r="P1270" s="62">
        <f>IF(P$14=0,WdhStd,IF(INDEX($C$745:$V$745,P$14)="",WdhStd,INDEX($C$745:$V$745,P$14)))</f>
        <v/>
      </c>
      <c r="Q1270" s="62">
        <f>IF(Q$14=0,WdhStd,IF(INDEX($C$745:$V$745,Q$14)="",WdhStd,INDEX($C$745:$V$745,Q$14)))</f>
        <v/>
      </c>
      <c r="R1270" s="62">
        <f>IF(R$14=0,WdhStd,IF(INDEX($C$745:$V$745,R$14)="",WdhStd,INDEX($C$745:$V$745,R$14)))</f>
        <v/>
      </c>
      <c r="S1270" s="62">
        <f>IF(S$14=0,WdhStd,IF(INDEX($C$745:$V$745,S$14)="",WdhStd,INDEX($C$745:$V$745,S$14)))</f>
        <v/>
      </c>
      <c r="T1270" s="62">
        <f>IF(T$14=0,WdhStd,IF(INDEX($C$745:$V$745,T$14)="",WdhStd,INDEX($C$745:$V$745,T$14)))</f>
        <v/>
      </c>
      <c r="U1270" s="62">
        <f>IF(U$14=0,WdhStd,IF(INDEX($C$745:$V$745,U$14)="",WdhStd,INDEX($C$745:$V$745,U$14)))</f>
        <v/>
      </c>
      <c r="V1270" s="62">
        <f>IF(V$14=0,WdhStd,IF(INDEX($C$745:$V$745,V$14)="",WdhStd,INDEX($C$745:$V$745,V$14)))</f>
        <v/>
      </c>
    </row>
    <row r="1271">
      <c r="C1271" s="62">
        <f>IF(C$14=0,WdhStd,IF(INDEX($C$746:$V$746,C$14)="",WdhStd,INDEX($C$746:$V$746,C$14)))</f>
        <v/>
      </c>
      <c r="D1271" s="62">
        <f>IF(D$14=0,WdhStd,IF(INDEX($C$746:$V$746,D$14)="",WdhStd,INDEX($C$746:$V$746,D$14)))</f>
        <v/>
      </c>
      <c r="E1271" s="62">
        <f>IF(E$14=0,WdhStd,IF(INDEX($C$746:$V$746,E$14)="",WdhStd,INDEX($C$746:$V$746,E$14)))</f>
        <v/>
      </c>
      <c r="F1271" s="62">
        <f>IF(F$14=0,WdhStd,IF(INDEX($C$746:$V$746,F$14)="",WdhStd,INDEX($C$746:$V$746,F$14)))</f>
        <v/>
      </c>
      <c r="G1271" s="62">
        <f>IF(G$14=0,WdhStd,IF(INDEX($C$746:$V$746,G$14)="",WdhStd,INDEX($C$746:$V$746,G$14)))</f>
        <v/>
      </c>
      <c r="H1271" s="62">
        <f>IF(H$14=0,WdhStd,IF(INDEX($C$746:$V$746,H$14)="",WdhStd,INDEX($C$746:$V$746,H$14)))</f>
        <v/>
      </c>
      <c r="I1271" s="62">
        <f>IF(I$14=0,WdhStd,IF(INDEX($C$746:$V$746,I$14)="",WdhStd,INDEX($C$746:$V$746,I$14)))</f>
        <v/>
      </c>
      <c r="J1271" s="62">
        <f>IF(J$14=0,WdhStd,IF(INDEX($C$746:$V$746,J$14)="",WdhStd,INDEX($C$746:$V$746,J$14)))</f>
        <v/>
      </c>
      <c r="K1271" s="62">
        <f>IF(K$14=0,WdhStd,IF(INDEX($C$746:$V$746,K$14)="",WdhStd,INDEX($C$746:$V$746,K$14)))</f>
        <v/>
      </c>
      <c r="L1271" s="62">
        <f>IF(L$14=0,WdhStd,IF(INDEX($C$746:$V$746,L$14)="",WdhStd,INDEX($C$746:$V$746,L$14)))</f>
        <v/>
      </c>
      <c r="M1271" s="62">
        <f>IF(M$14=0,WdhStd,IF(INDEX($C$746:$V$746,M$14)="",WdhStd,INDEX($C$746:$V$746,M$14)))</f>
        <v/>
      </c>
      <c r="N1271" s="62">
        <f>IF(N$14=0,WdhStd,IF(INDEX($C$746:$V$746,N$14)="",WdhStd,INDEX($C$746:$V$746,N$14)))</f>
        <v/>
      </c>
      <c r="O1271" s="62">
        <f>IF(O$14=0,WdhStd,IF(INDEX($C$746:$V$746,O$14)="",WdhStd,INDEX($C$746:$V$746,O$14)))</f>
        <v/>
      </c>
      <c r="P1271" s="62">
        <f>IF(P$14=0,WdhStd,IF(INDEX($C$746:$V$746,P$14)="",WdhStd,INDEX($C$746:$V$746,P$14)))</f>
        <v/>
      </c>
      <c r="Q1271" s="62">
        <f>IF(Q$14=0,WdhStd,IF(INDEX($C$746:$V$746,Q$14)="",WdhStd,INDEX($C$746:$V$746,Q$14)))</f>
        <v/>
      </c>
      <c r="R1271" s="62">
        <f>IF(R$14=0,WdhStd,IF(INDEX($C$746:$V$746,R$14)="",WdhStd,INDEX($C$746:$V$746,R$14)))</f>
        <v/>
      </c>
      <c r="S1271" s="62">
        <f>IF(S$14=0,WdhStd,IF(INDEX($C$746:$V$746,S$14)="",WdhStd,INDEX($C$746:$V$746,S$14)))</f>
        <v/>
      </c>
      <c r="T1271" s="62">
        <f>IF(T$14=0,WdhStd,IF(INDEX($C$746:$V$746,T$14)="",WdhStd,INDEX($C$746:$V$746,T$14)))</f>
        <v/>
      </c>
      <c r="U1271" s="62">
        <f>IF(U$14=0,WdhStd,IF(INDEX($C$746:$V$746,U$14)="",WdhStd,INDEX($C$746:$V$746,U$14)))</f>
        <v/>
      </c>
      <c r="V1271" s="62">
        <f>IF(V$14=0,WdhStd,IF(INDEX($C$746:$V$746,V$14)="",WdhStd,INDEX($C$746:$V$746,V$14)))</f>
        <v/>
      </c>
    </row>
    <row r="1272">
      <c r="C1272" s="62">
        <f>IF(C$14=0,WdhStd,IF(INDEX($C$747:$V$747,C$14)="",WdhStd,INDEX($C$747:$V$747,C$14)))</f>
        <v/>
      </c>
      <c r="D1272" s="62">
        <f>IF(D$14=0,WdhStd,IF(INDEX($C$747:$V$747,D$14)="",WdhStd,INDEX($C$747:$V$747,D$14)))</f>
        <v/>
      </c>
      <c r="E1272" s="62">
        <f>IF(E$14=0,WdhStd,IF(INDEX($C$747:$V$747,E$14)="",WdhStd,INDEX($C$747:$V$747,E$14)))</f>
        <v/>
      </c>
      <c r="F1272" s="62">
        <f>IF(F$14=0,WdhStd,IF(INDEX($C$747:$V$747,F$14)="",WdhStd,INDEX($C$747:$V$747,F$14)))</f>
        <v/>
      </c>
      <c r="G1272" s="62">
        <f>IF(G$14=0,WdhStd,IF(INDEX($C$747:$V$747,G$14)="",WdhStd,INDEX($C$747:$V$747,G$14)))</f>
        <v/>
      </c>
      <c r="H1272" s="62">
        <f>IF(H$14=0,WdhStd,IF(INDEX($C$747:$V$747,H$14)="",WdhStd,INDEX($C$747:$V$747,H$14)))</f>
        <v/>
      </c>
      <c r="I1272" s="62">
        <f>IF(I$14=0,WdhStd,IF(INDEX($C$747:$V$747,I$14)="",WdhStd,INDEX($C$747:$V$747,I$14)))</f>
        <v/>
      </c>
      <c r="J1272" s="62">
        <f>IF(J$14=0,WdhStd,IF(INDEX($C$747:$V$747,J$14)="",WdhStd,INDEX($C$747:$V$747,J$14)))</f>
        <v/>
      </c>
      <c r="K1272" s="62">
        <f>IF(K$14=0,WdhStd,IF(INDEX($C$747:$V$747,K$14)="",WdhStd,INDEX($C$747:$V$747,K$14)))</f>
        <v/>
      </c>
      <c r="L1272" s="62">
        <f>IF(L$14=0,WdhStd,IF(INDEX($C$747:$V$747,L$14)="",WdhStd,INDEX($C$747:$V$747,L$14)))</f>
        <v/>
      </c>
      <c r="M1272" s="62">
        <f>IF(M$14=0,WdhStd,IF(INDEX($C$747:$V$747,M$14)="",WdhStd,INDEX($C$747:$V$747,M$14)))</f>
        <v/>
      </c>
      <c r="N1272" s="62">
        <f>IF(N$14=0,WdhStd,IF(INDEX($C$747:$V$747,N$14)="",WdhStd,INDEX($C$747:$V$747,N$14)))</f>
        <v/>
      </c>
      <c r="O1272" s="62">
        <f>IF(O$14=0,WdhStd,IF(INDEX($C$747:$V$747,O$14)="",WdhStd,INDEX($C$747:$V$747,O$14)))</f>
        <v/>
      </c>
      <c r="P1272" s="62">
        <f>IF(P$14=0,WdhStd,IF(INDEX($C$747:$V$747,P$14)="",WdhStd,INDEX($C$747:$V$747,P$14)))</f>
        <v/>
      </c>
      <c r="Q1272" s="62">
        <f>IF(Q$14=0,WdhStd,IF(INDEX($C$747:$V$747,Q$14)="",WdhStd,INDEX($C$747:$V$747,Q$14)))</f>
        <v/>
      </c>
      <c r="R1272" s="62">
        <f>IF(R$14=0,WdhStd,IF(INDEX($C$747:$V$747,R$14)="",WdhStd,INDEX($C$747:$V$747,R$14)))</f>
        <v/>
      </c>
      <c r="S1272" s="62">
        <f>IF(S$14=0,WdhStd,IF(INDEX($C$747:$V$747,S$14)="",WdhStd,INDEX($C$747:$V$747,S$14)))</f>
        <v/>
      </c>
      <c r="T1272" s="62">
        <f>IF(T$14=0,WdhStd,IF(INDEX($C$747:$V$747,T$14)="",WdhStd,INDEX($C$747:$V$747,T$14)))</f>
        <v/>
      </c>
      <c r="U1272" s="62">
        <f>IF(U$14=0,WdhStd,IF(INDEX($C$747:$V$747,U$14)="",WdhStd,INDEX($C$747:$V$747,U$14)))</f>
        <v/>
      </c>
      <c r="V1272" s="62">
        <f>IF(V$14=0,WdhStd,IF(INDEX($C$747:$V$747,V$14)="",WdhStd,INDEX($C$747:$V$747,V$14)))</f>
        <v/>
      </c>
    </row>
    <row r="1273">
      <c r="C1273" s="62">
        <f>IF(C$14=0,WdhStd,IF(INDEX($C$748:$V$748,C$14)="",WdhStd,INDEX($C$748:$V$748,C$14)))</f>
        <v/>
      </c>
      <c r="D1273" s="62">
        <f>IF(D$14=0,WdhStd,IF(INDEX($C$748:$V$748,D$14)="",WdhStd,INDEX($C$748:$V$748,D$14)))</f>
        <v/>
      </c>
      <c r="E1273" s="62">
        <f>IF(E$14=0,WdhStd,IF(INDEX($C$748:$V$748,E$14)="",WdhStd,INDEX($C$748:$V$748,E$14)))</f>
        <v/>
      </c>
      <c r="F1273" s="62">
        <f>IF(F$14=0,WdhStd,IF(INDEX($C$748:$V$748,F$14)="",WdhStd,INDEX($C$748:$V$748,F$14)))</f>
        <v/>
      </c>
      <c r="G1273" s="62">
        <f>IF(G$14=0,WdhStd,IF(INDEX($C$748:$V$748,G$14)="",WdhStd,INDEX($C$748:$V$748,G$14)))</f>
        <v/>
      </c>
      <c r="H1273" s="62">
        <f>IF(H$14=0,WdhStd,IF(INDEX($C$748:$V$748,H$14)="",WdhStd,INDEX($C$748:$V$748,H$14)))</f>
        <v/>
      </c>
      <c r="I1273" s="62">
        <f>IF(I$14=0,WdhStd,IF(INDEX($C$748:$V$748,I$14)="",WdhStd,INDEX($C$748:$V$748,I$14)))</f>
        <v/>
      </c>
      <c r="J1273" s="62">
        <f>IF(J$14=0,WdhStd,IF(INDEX($C$748:$V$748,J$14)="",WdhStd,INDEX($C$748:$V$748,J$14)))</f>
        <v/>
      </c>
      <c r="K1273" s="62">
        <f>IF(K$14=0,WdhStd,IF(INDEX($C$748:$V$748,K$14)="",WdhStd,INDEX($C$748:$V$748,K$14)))</f>
        <v/>
      </c>
      <c r="L1273" s="62">
        <f>IF(L$14=0,WdhStd,IF(INDEX($C$748:$V$748,L$14)="",WdhStd,INDEX($C$748:$V$748,L$14)))</f>
        <v/>
      </c>
      <c r="M1273" s="62">
        <f>IF(M$14=0,WdhStd,IF(INDEX($C$748:$V$748,M$14)="",WdhStd,INDEX($C$748:$V$748,M$14)))</f>
        <v/>
      </c>
      <c r="N1273" s="62">
        <f>IF(N$14=0,WdhStd,IF(INDEX($C$748:$V$748,N$14)="",WdhStd,INDEX($C$748:$V$748,N$14)))</f>
        <v/>
      </c>
      <c r="O1273" s="62">
        <f>IF(O$14=0,WdhStd,IF(INDEX($C$748:$V$748,O$14)="",WdhStd,INDEX($C$748:$V$748,O$14)))</f>
        <v/>
      </c>
      <c r="P1273" s="62">
        <f>IF(P$14=0,WdhStd,IF(INDEX($C$748:$V$748,P$14)="",WdhStd,INDEX($C$748:$V$748,P$14)))</f>
        <v/>
      </c>
      <c r="Q1273" s="62">
        <f>IF(Q$14=0,WdhStd,IF(INDEX($C$748:$V$748,Q$14)="",WdhStd,INDEX($C$748:$V$748,Q$14)))</f>
        <v/>
      </c>
      <c r="R1273" s="62">
        <f>IF(R$14=0,WdhStd,IF(INDEX($C$748:$V$748,R$14)="",WdhStd,INDEX($C$748:$V$748,R$14)))</f>
        <v/>
      </c>
      <c r="S1273" s="62">
        <f>IF(S$14=0,WdhStd,IF(INDEX($C$748:$V$748,S$14)="",WdhStd,INDEX($C$748:$V$748,S$14)))</f>
        <v/>
      </c>
      <c r="T1273" s="62">
        <f>IF(T$14=0,WdhStd,IF(INDEX($C$748:$V$748,T$14)="",WdhStd,INDEX($C$748:$V$748,T$14)))</f>
        <v/>
      </c>
      <c r="U1273" s="62">
        <f>IF(U$14=0,WdhStd,IF(INDEX($C$748:$V$748,U$14)="",WdhStd,INDEX($C$748:$V$748,U$14)))</f>
        <v/>
      </c>
      <c r="V1273" s="62">
        <f>IF(V$14=0,WdhStd,IF(INDEX($C$748:$V$748,V$14)="",WdhStd,INDEX($C$748:$V$748,V$14)))</f>
        <v/>
      </c>
    </row>
    <row r="1274">
      <c r="C1274" s="62">
        <f>IF(C$14=0,WdhStd,IF(INDEX($C$749:$V$749,C$14)="",WdhStd,INDEX($C$749:$V$749,C$14)))</f>
        <v/>
      </c>
      <c r="D1274" s="62">
        <f>IF(D$14=0,WdhStd,IF(INDEX($C$749:$V$749,D$14)="",WdhStd,INDEX($C$749:$V$749,D$14)))</f>
        <v/>
      </c>
      <c r="E1274" s="62">
        <f>IF(E$14=0,WdhStd,IF(INDEX($C$749:$V$749,E$14)="",WdhStd,INDEX($C$749:$V$749,E$14)))</f>
        <v/>
      </c>
      <c r="F1274" s="62">
        <f>IF(F$14=0,WdhStd,IF(INDEX($C$749:$V$749,F$14)="",WdhStd,INDEX($C$749:$V$749,F$14)))</f>
        <v/>
      </c>
      <c r="G1274" s="62">
        <f>IF(G$14=0,WdhStd,IF(INDEX($C$749:$V$749,G$14)="",WdhStd,INDEX($C$749:$V$749,G$14)))</f>
        <v/>
      </c>
      <c r="H1274" s="62">
        <f>IF(H$14=0,WdhStd,IF(INDEX($C$749:$V$749,H$14)="",WdhStd,INDEX($C$749:$V$749,H$14)))</f>
        <v/>
      </c>
      <c r="I1274" s="62">
        <f>IF(I$14=0,WdhStd,IF(INDEX($C$749:$V$749,I$14)="",WdhStd,INDEX($C$749:$V$749,I$14)))</f>
        <v/>
      </c>
      <c r="J1274" s="62">
        <f>IF(J$14=0,WdhStd,IF(INDEX($C$749:$V$749,J$14)="",WdhStd,INDEX($C$749:$V$749,J$14)))</f>
        <v/>
      </c>
      <c r="K1274" s="62">
        <f>IF(K$14=0,WdhStd,IF(INDEX($C$749:$V$749,K$14)="",WdhStd,INDEX($C$749:$V$749,K$14)))</f>
        <v/>
      </c>
      <c r="L1274" s="62">
        <f>IF(L$14=0,WdhStd,IF(INDEX($C$749:$V$749,L$14)="",WdhStd,INDEX($C$749:$V$749,L$14)))</f>
        <v/>
      </c>
      <c r="M1274" s="62">
        <f>IF(M$14=0,WdhStd,IF(INDEX($C$749:$V$749,M$14)="",WdhStd,INDEX($C$749:$V$749,M$14)))</f>
        <v/>
      </c>
      <c r="N1274" s="62">
        <f>IF(N$14=0,WdhStd,IF(INDEX($C$749:$V$749,N$14)="",WdhStd,INDEX($C$749:$V$749,N$14)))</f>
        <v/>
      </c>
      <c r="O1274" s="62">
        <f>IF(O$14=0,WdhStd,IF(INDEX($C$749:$V$749,O$14)="",WdhStd,INDEX($C$749:$V$749,O$14)))</f>
        <v/>
      </c>
      <c r="P1274" s="62">
        <f>IF(P$14=0,WdhStd,IF(INDEX($C$749:$V$749,P$14)="",WdhStd,INDEX($C$749:$V$749,P$14)))</f>
        <v/>
      </c>
      <c r="Q1274" s="62">
        <f>IF(Q$14=0,WdhStd,IF(INDEX($C$749:$V$749,Q$14)="",WdhStd,INDEX($C$749:$V$749,Q$14)))</f>
        <v/>
      </c>
      <c r="R1274" s="62">
        <f>IF(R$14=0,WdhStd,IF(INDEX($C$749:$V$749,R$14)="",WdhStd,INDEX($C$749:$V$749,R$14)))</f>
        <v/>
      </c>
      <c r="S1274" s="62">
        <f>IF(S$14=0,WdhStd,IF(INDEX($C$749:$V$749,S$14)="",WdhStd,INDEX($C$749:$V$749,S$14)))</f>
        <v/>
      </c>
      <c r="T1274" s="62">
        <f>IF(T$14=0,WdhStd,IF(INDEX($C$749:$V$749,T$14)="",WdhStd,INDEX($C$749:$V$749,T$14)))</f>
        <v/>
      </c>
      <c r="U1274" s="62">
        <f>IF(U$14=0,WdhStd,IF(INDEX($C$749:$V$749,U$14)="",WdhStd,INDEX($C$749:$V$749,U$14)))</f>
        <v/>
      </c>
      <c r="V1274" s="62">
        <f>IF(V$14=0,WdhStd,IF(INDEX($C$749:$V$749,V$14)="",WdhStd,INDEX($C$749:$V$749,V$14)))</f>
        <v/>
      </c>
    </row>
    <row r="1279">
      <c r="A1279" s="171" t="inlineStr">
        <is>
          <t>zählt</t>
        </is>
      </c>
    </row>
    <row r="1280">
      <c r="C1280" s="62">
        <f>IF(C125=0,0,IF(C$15&lt;=1,1,IF(EXACT(C1175,"keine"),IF(C$3=C$12,1,0),IF(EXACT(C1175,"beste"),IF(C$3=C1070,1,0),IF(C$3=C860,1,0)))))</f>
        <v/>
      </c>
      <c r="D1280" s="62">
        <f>IF(D125=0,0,IF(D$15&lt;=1,1,IF(EXACT(D1175,"keine"),IF(D$3=D$12,1,0),IF(EXACT(D1175,"beste"),IF(D$3=D1070,1,0),IF(D$3=D860,1,0)))))</f>
        <v/>
      </c>
      <c r="E1280" s="62">
        <f>IF(E125=0,0,IF(E$15&lt;=1,1,IF(EXACT(E1175,"keine"),IF(E$3=E$12,1,0),IF(EXACT(E1175,"beste"),IF(E$3=E1070,1,0),IF(E$3=E860,1,0)))))</f>
        <v/>
      </c>
      <c r="F1280" s="62">
        <f>IF(F125=0,0,IF(F$15&lt;=1,1,IF(EXACT(F1175,"keine"),IF(F$3=F$12,1,0),IF(EXACT(F1175,"beste"),IF(F$3=F1070,1,0),IF(F$3=F860,1,0)))))</f>
        <v/>
      </c>
      <c r="G1280" s="62">
        <f>IF(G125=0,0,IF(G$15&lt;=1,1,IF(EXACT(G1175,"keine"),IF(G$3=G$12,1,0),IF(EXACT(G1175,"beste"),IF(G$3=G1070,1,0),IF(G$3=G860,1,0)))))</f>
        <v/>
      </c>
      <c r="H1280" s="62">
        <f>IF(H125=0,0,IF(H$15&lt;=1,1,IF(EXACT(H1175,"keine"),IF(H$3=H$12,1,0),IF(EXACT(H1175,"beste"),IF(H$3=H1070,1,0),IF(H$3=H860,1,0)))))</f>
        <v/>
      </c>
      <c r="I1280" s="62">
        <f>IF(I125=0,0,IF(I$15&lt;=1,1,IF(EXACT(I1175,"keine"),IF(I$3=I$12,1,0),IF(EXACT(I1175,"beste"),IF(I$3=I1070,1,0),IF(I$3=I860,1,0)))))</f>
        <v/>
      </c>
      <c r="J1280" s="62">
        <f>IF(J125=0,0,IF(J$15&lt;=1,1,IF(EXACT(J1175,"keine"),IF(J$3=J$12,1,0),IF(EXACT(J1175,"beste"),IF(J$3=J1070,1,0),IF(J$3=J860,1,0)))))</f>
        <v/>
      </c>
      <c r="K1280" s="62">
        <f>IF(K125=0,0,IF(K$15&lt;=1,1,IF(EXACT(K1175,"keine"),IF(K$3=K$12,1,0),IF(EXACT(K1175,"beste"),IF(K$3=K1070,1,0),IF(K$3=K860,1,0)))))</f>
        <v/>
      </c>
      <c r="L1280" s="62">
        <f>IF(L125=0,0,IF(L$15&lt;=1,1,IF(EXACT(L1175,"keine"),IF(L$3=L$12,1,0),IF(EXACT(L1175,"beste"),IF(L$3=L1070,1,0),IF(L$3=L860,1,0)))))</f>
        <v/>
      </c>
      <c r="M1280" s="62">
        <f>IF(M125=0,0,IF(M$15&lt;=1,1,IF(EXACT(M1175,"keine"),IF(M$3=M$12,1,0),IF(EXACT(M1175,"beste"),IF(M$3=M1070,1,0),IF(M$3=M860,1,0)))))</f>
        <v/>
      </c>
      <c r="N1280" s="62">
        <f>IF(N125=0,0,IF(N$15&lt;=1,1,IF(EXACT(N1175,"keine"),IF(N$3=N$12,1,0),IF(EXACT(N1175,"beste"),IF(N$3=N1070,1,0),IF(N$3=N860,1,0)))))</f>
        <v/>
      </c>
      <c r="O1280" s="62">
        <f>IF(O125=0,0,IF(O$15&lt;=1,1,IF(EXACT(O1175,"keine"),IF(O$3=O$12,1,0),IF(EXACT(O1175,"beste"),IF(O$3=O1070,1,0),IF(O$3=O860,1,0)))))</f>
        <v/>
      </c>
      <c r="P1280" s="62">
        <f>IF(P125=0,0,IF(P$15&lt;=1,1,IF(EXACT(P1175,"keine"),IF(P$3=P$12,1,0),IF(EXACT(P1175,"beste"),IF(P$3=P1070,1,0),IF(P$3=P860,1,0)))))</f>
        <v/>
      </c>
      <c r="Q1280" s="62">
        <f>IF(Q125=0,0,IF(Q$15&lt;=1,1,IF(EXACT(Q1175,"keine"),IF(Q$3=Q$12,1,0),IF(EXACT(Q1175,"beste"),IF(Q$3=Q1070,1,0),IF(Q$3=Q860,1,0)))))</f>
        <v/>
      </c>
      <c r="R1280" s="62">
        <f>IF(R125=0,0,IF(R$15&lt;=1,1,IF(EXACT(R1175,"keine"),IF(R$3=R$12,1,0),IF(EXACT(R1175,"beste"),IF(R$3=R1070,1,0),IF(R$3=R860,1,0)))))</f>
        <v/>
      </c>
      <c r="S1280" s="62">
        <f>IF(S125=0,0,IF(S$15&lt;=1,1,IF(EXACT(S1175,"keine"),IF(S$3=S$12,1,0),IF(EXACT(S1175,"beste"),IF(S$3=S1070,1,0),IF(S$3=S860,1,0)))))</f>
        <v/>
      </c>
      <c r="T1280" s="62">
        <f>IF(T125=0,0,IF(T$15&lt;=1,1,IF(EXACT(T1175,"keine"),IF(T$3=T$12,1,0),IF(EXACT(T1175,"beste"),IF(T$3=T1070,1,0),IF(T$3=T860,1,0)))))</f>
        <v/>
      </c>
      <c r="U1280" s="62">
        <f>IF(U125=0,0,IF(U$15&lt;=1,1,IF(EXACT(U1175,"keine"),IF(U$3=U$12,1,0),IF(EXACT(U1175,"beste"),IF(U$3=U1070,1,0),IF(U$3=U860,1,0)))))</f>
        <v/>
      </c>
      <c r="V1280" s="62">
        <f>IF(V125=0,0,IF(V$15&lt;=1,1,IF(EXACT(V1175,"keine"),IF(V$3=V$12,1,0),IF(EXACT(V1175,"beste"),IF(V$3=V1070,1,0),IF(V$3=V860,1,0)))))</f>
        <v/>
      </c>
    </row>
    <row r="1281">
      <c r="C1281" s="62">
        <f>IF(C126=0,0,IF(C$15&lt;=1,1,IF(EXACT(C1176,"keine"),IF(C$3=C$12,1,0),IF(EXACT(C1176,"beste"),IF(C$3=C1071,1,0),IF(C$3=C861,1,0)))))</f>
        <v/>
      </c>
      <c r="D1281" s="62">
        <f>IF(D126=0,0,IF(D$15&lt;=1,1,IF(EXACT(D1176,"keine"),IF(D$3=D$12,1,0),IF(EXACT(D1176,"beste"),IF(D$3=D1071,1,0),IF(D$3=D861,1,0)))))</f>
        <v/>
      </c>
      <c r="E1281" s="62">
        <f>IF(E126=0,0,IF(E$15&lt;=1,1,IF(EXACT(E1176,"keine"),IF(E$3=E$12,1,0),IF(EXACT(E1176,"beste"),IF(E$3=E1071,1,0),IF(E$3=E861,1,0)))))</f>
        <v/>
      </c>
      <c r="F1281" s="62">
        <f>IF(F126=0,0,IF(F$15&lt;=1,1,IF(EXACT(F1176,"keine"),IF(F$3=F$12,1,0),IF(EXACT(F1176,"beste"),IF(F$3=F1071,1,0),IF(F$3=F861,1,0)))))</f>
        <v/>
      </c>
      <c r="G1281" s="62">
        <f>IF(G126=0,0,IF(G$15&lt;=1,1,IF(EXACT(G1176,"keine"),IF(G$3=G$12,1,0),IF(EXACT(G1176,"beste"),IF(G$3=G1071,1,0),IF(G$3=G861,1,0)))))</f>
        <v/>
      </c>
      <c r="H1281" s="62">
        <f>IF(H126=0,0,IF(H$15&lt;=1,1,IF(EXACT(H1176,"keine"),IF(H$3=H$12,1,0),IF(EXACT(H1176,"beste"),IF(H$3=H1071,1,0),IF(H$3=H861,1,0)))))</f>
        <v/>
      </c>
      <c r="I1281" s="62">
        <f>IF(I126=0,0,IF(I$15&lt;=1,1,IF(EXACT(I1176,"keine"),IF(I$3=I$12,1,0),IF(EXACT(I1176,"beste"),IF(I$3=I1071,1,0),IF(I$3=I861,1,0)))))</f>
        <v/>
      </c>
      <c r="J1281" s="62">
        <f>IF(J126=0,0,IF(J$15&lt;=1,1,IF(EXACT(J1176,"keine"),IF(J$3=J$12,1,0),IF(EXACT(J1176,"beste"),IF(J$3=J1071,1,0),IF(J$3=J861,1,0)))))</f>
        <v/>
      </c>
      <c r="K1281" s="62">
        <f>IF(K126=0,0,IF(K$15&lt;=1,1,IF(EXACT(K1176,"keine"),IF(K$3=K$12,1,0),IF(EXACT(K1176,"beste"),IF(K$3=K1071,1,0),IF(K$3=K861,1,0)))))</f>
        <v/>
      </c>
      <c r="L1281" s="62">
        <f>IF(L126=0,0,IF(L$15&lt;=1,1,IF(EXACT(L1176,"keine"),IF(L$3=L$12,1,0),IF(EXACT(L1176,"beste"),IF(L$3=L1071,1,0),IF(L$3=L861,1,0)))))</f>
        <v/>
      </c>
      <c r="M1281" s="62">
        <f>IF(M126=0,0,IF(M$15&lt;=1,1,IF(EXACT(M1176,"keine"),IF(M$3=M$12,1,0),IF(EXACT(M1176,"beste"),IF(M$3=M1071,1,0),IF(M$3=M861,1,0)))))</f>
        <v/>
      </c>
      <c r="N1281" s="62">
        <f>IF(N126=0,0,IF(N$15&lt;=1,1,IF(EXACT(N1176,"keine"),IF(N$3=N$12,1,0),IF(EXACT(N1176,"beste"),IF(N$3=N1071,1,0),IF(N$3=N861,1,0)))))</f>
        <v/>
      </c>
      <c r="O1281" s="62">
        <f>IF(O126=0,0,IF(O$15&lt;=1,1,IF(EXACT(O1176,"keine"),IF(O$3=O$12,1,0),IF(EXACT(O1176,"beste"),IF(O$3=O1071,1,0),IF(O$3=O861,1,0)))))</f>
        <v/>
      </c>
      <c r="P1281" s="62">
        <f>IF(P126=0,0,IF(P$15&lt;=1,1,IF(EXACT(P1176,"keine"),IF(P$3=P$12,1,0),IF(EXACT(P1176,"beste"),IF(P$3=P1071,1,0),IF(P$3=P861,1,0)))))</f>
        <v/>
      </c>
      <c r="Q1281" s="62">
        <f>IF(Q126=0,0,IF(Q$15&lt;=1,1,IF(EXACT(Q1176,"keine"),IF(Q$3=Q$12,1,0),IF(EXACT(Q1176,"beste"),IF(Q$3=Q1071,1,0),IF(Q$3=Q861,1,0)))))</f>
        <v/>
      </c>
      <c r="R1281" s="62">
        <f>IF(R126=0,0,IF(R$15&lt;=1,1,IF(EXACT(R1176,"keine"),IF(R$3=R$12,1,0),IF(EXACT(R1176,"beste"),IF(R$3=R1071,1,0),IF(R$3=R861,1,0)))))</f>
        <v/>
      </c>
      <c r="S1281" s="62">
        <f>IF(S126=0,0,IF(S$15&lt;=1,1,IF(EXACT(S1176,"keine"),IF(S$3=S$12,1,0),IF(EXACT(S1176,"beste"),IF(S$3=S1071,1,0),IF(S$3=S861,1,0)))))</f>
        <v/>
      </c>
      <c r="T1281" s="62">
        <f>IF(T126=0,0,IF(T$15&lt;=1,1,IF(EXACT(T1176,"keine"),IF(T$3=T$12,1,0),IF(EXACT(T1176,"beste"),IF(T$3=T1071,1,0),IF(T$3=T861,1,0)))))</f>
        <v/>
      </c>
      <c r="U1281" s="62">
        <f>IF(U126=0,0,IF(U$15&lt;=1,1,IF(EXACT(U1176,"keine"),IF(U$3=U$12,1,0),IF(EXACT(U1176,"beste"),IF(U$3=U1071,1,0),IF(U$3=U861,1,0)))))</f>
        <v/>
      </c>
      <c r="V1281" s="62">
        <f>IF(V126=0,0,IF(V$15&lt;=1,1,IF(EXACT(V1176,"keine"),IF(V$3=V$12,1,0),IF(EXACT(V1176,"beste"),IF(V$3=V1071,1,0),IF(V$3=V861,1,0)))))</f>
        <v/>
      </c>
    </row>
    <row r="1282">
      <c r="C1282" s="62">
        <f>IF(C127=0,0,IF(C$15&lt;=1,1,IF(EXACT(C1177,"keine"),IF(C$3=C$12,1,0),IF(EXACT(C1177,"beste"),IF(C$3=C1072,1,0),IF(C$3=C862,1,0)))))</f>
        <v/>
      </c>
      <c r="D1282" s="62">
        <f>IF(D127=0,0,IF(D$15&lt;=1,1,IF(EXACT(D1177,"keine"),IF(D$3=D$12,1,0),IF(EXACT(D1177,"beste"),IF(D$3=D1072,1,0),IF(D$3=D862,1,0)))))</f>
        <v/>
      </c>
      <c r="E1282" s="62">
        <f>IF(E127=0,0,IF(E$15&lt;=1,1,IF(EXACT(E1177,"keine"),IF(E$3=E$12,1,0),IF(EXACT(E1177,"beste"),IF(E$3=E1072,1,0),IF(E$3=E862,1,0)))))</f>
        <v/>
      </c>
      <c r="F1282" s="62">
        <f>IF(F127=0,0,IF(F$15&lt;=1,1,IF(EXACT(F1177,"keine"),IF(F$3=F$12,1,0),IF(EXACT(F1177,"beste"),IF(F$3=F1072,1,0),IF(F$3=F862,1,0)))))</f>
        <v/>
      </c>
      <c r="G1282" s="62">
        <f>IF(G127=0,0,IF(G$15&lt;=1,1,IF(EXACT(G1177,"keine"),IF(G$3=G$12,1,0),IF(EXACT(G1177,"beste"),IF(G$3=G1072,1,0),IF(G$3=G862,1,0)))))</f>
        <v/>
      </c>
      <c r="H1282" s="62">
        <f>IF(H127=0,0,IF(H$15&lt;=1,1,IF(EXACT(H1177,"keine"),IF(H$3=H$12,1,0),IF(EXACT(H1177,"beste"),IF(H$3=H1072,1,0),IF(H$3=H862,1,0)))))</f>
        <v/>
      </c>
      <c r="I1282" s="62">
        <f>IF(I127=0,0,IF(I$15&lt;=1,1,IF(EXACT(I1177,"keine"),IF(I$3=I$12,1,0),IF(EXACT(I1177,"beste"),IF(I$3=I1072,1,0),IF(I$3=I862,1,0)))))</f>
        <v/>
      </c>
      <c r="J1282" s="62">
        <f>IF(J127=0,0,IF(J$15&lt;=1,1,IF(EXACT(J1177,"keine"),IF(J$3=J$12,1,0),IF(EXACT(J1177,"beste"),IF(J$3=J1072,1,0),IF(J$3=J862,1,0)))))</f>
        <v/>
      </c>
      <c r="K1282" s="62">
        <f>IF(K127=0,0,IF(K$15&lt;=1,1,IF(EXACT(K1177,"keine"),IF(K$3=K$12,1,0),IF(EXACT(K1177,"beste"),IF(K$3=K1072,1,0),IF(K$3=K862,1,0)))))</f>
        <v/>
      </c>
      <c r="L1282" s="62">
        <f>IF(L127=0,0,IF(L$15&lt;=1,1,IF(EXACT(L1177,"keine"),IF(L$3=L$12,1,0),IF(EXACT(L1177,"beste"),IF(L$3=L1072,1,0),IF(L$3=L862,1,0)))))</f>
        <v/>
      </c>
      <c r="M1282" s="62">
        <f>IF(M127=0,0,IF(M$15&lt;=1,1,IF(EXACT(M1177,"keine"),IF(M$3=M$12,1,0),IF(EXACT(M1177,"beste"),IF(M$3=M1072,1,0),IF(M$3=M862,1,0)))))</f>
        <v/>
      </c>
      <c r="N1282" s="62">
        <f>IF(N127=0,0,IF(N$15&lt;=1,1,IF(EXACT(N1177,"keine"),IF(N$3=N$12,1,0),IF(EXACT(N1177,"beste"),IF(N$3=N1072,1,0),IF(N$3=N862,1,0)))))</f>
        <v/>
      </c>
      <c r="O1282" s="62">
        <f>IF(O127=0,0,IF(O$15&lt;=1,1,IF(EXACT(O1177,"keine"),IF(O$3=O$12,1,0),IF(EXACT(O1177,"beste"),IF(O$3=O1072,1,0),IF(O$3=O862,1,0)))))</f>
        <v/>
      </c>
      <c r="P1282" s="62">
        <f>IF(P127=0,0,IF(P$15&lt;=1,1,IF(EXACT(P1177,"keine"),IF(P$3=P$12,1,0),IF(EXACT(P1177,"beste"),IF(P$3=P1072,1,0),IF(P$3=P862,1,0)))))</f>
        <v/>
      </c>
      <c r="Q1282" s="62">
        <f>IF(Q127=0,0,IF(Q$15&lt;=1,1,IF(EXACT(Q1177,"keine"),IF(Q$3=Q$12,1,0),IF(EXACT(Q1177,"beste"),IF(Q$3=Q1072,1,0),IF(Q$3=Q862,1,0)))))</f>
        <v/>
      </c>
      <c r="R1282" s="62">
        <f>IF(R127=0,0,IF(R$15&lt;=1,1,IF(EXACT(R1177,"keine"),IF(R$3=R$12,1,0),IF(EXACT(R1177,"beste"),IF(R$3=R1072,1,0),IF(R$3=R862,1,0)))))</f>
        <v/>
      </c>
      <c r="S1282" s="62">
        <f>IF(S127=0,0,IF(S$15&lt;=1,1,IF(EXACT(S1177,"keine"),IF(S$3=S$12,1,0),IF(EXACT(S1177,"beste"),IF(S$3=S1072,1,0),IF(S$3=S862,1,0)))))</f>
        <v/>
      </c>
      <c r="T1282" s="62">
        <f>IF(T127=0,0,IF(T$15&lt;=1,1,IF(EXACT(T1177,"keine"),IF(T$3=T$12,1,0),IF(EXACT(T1177,"beste"),IF(T$3=T1072,1,0),IF(T$3=T862,1,0)))))</f>
        <v/>
      </c>
      <c r="U1282" s="62">
        <f>IF(U127=0,0,IF(U$15&lt;=1,1,IF(EXACT(U1177,"keine"),IF(U$3=U$12,1,0),IF(EXACT(U1177,"beste"),IF(U$3=U1072,1,0),IF(U$3=U862,1,0)))))</f>
        <v/>
      </c>
      <c r="V1282" s="62">
        <f>IF(V127=0,0,IF(V$15&lt;=1,1,IF(EXACT(V1177,"keine"),IF(V$3=V$12,1,0),IF(EXACT(V1177,"beste"),IF(V$3=V1072,1,0),IF(V$3=V862,1,0)))))</f>
        <v/>
      </c>
    </row>
    <row r="1283">
      <c r="C1283" s="62">
        <f>IF(C128=0,0,IF(C$15&lt;=1,1,IF(EXACT(C1178,"keine"),IF(C$3=C$12,1,0),IF(EXACT(C1178,"beste"),IF(C$3=C1073,1,0),IF(C$3=C863,1,0)))))</f>
        <v/>
      </c>
      <c r="D1283" s="62">
        <f>IF(D128=0,0,IF(D$15&lt;=1,1,IF(EXACT(D1178,"keine"),IF(D$3=D$12,1,0),IF(EXACT(D1178,"beste"),IF(D$3=D1073,1,0),IF(D$3=D863,1,0)))))</f>
        <v/>
      </c>
      <c r="E1283" s="62">
        <f>IF(E128=0,0,IF(E$15&lt;=1,1,IF(EXACT(E1178,"keine"),IF(E$3=E$12,1,0),IF(EXACT(E1178,"beste"),IF(E$3=E1073,1,0),IF(E$3=E863,1,0)))))</f>
        <v/>
      </c>
      <c r="F1283" s="62">
        <f>IF(F128=0,0,IF(F$15&lt;=1,1,IF(EXACT(F1178,"keine"),IF(F$3=F$12,1,0),IF(EXACT(F1178,"beste"),IF(F$3=F1073,1,0),IF(F$3=F863,1,0)))))</f>
        <v/>
      </c>
      <c r="G1283" s="62">
        <f>IF(G128=0,0,IF(G$15&lt;=1,1,IF(EXACT(G1178,"keine"),IF(G$3=G$12,1,0),IF(EXACT(G1178,"beste"),IF(G$3=G1073,1,0),IF(G$3=G863,1,0)))))</f>
        <v/>
      </c>
      <c r="H1283" s="62">
        <f>IF(H128=0,0,IF(H$15&lt;=1,1,IF(EXACT(H1178,"keine"),IF(H$3=H$12,1,0),IF(EXACT(H1178,"beste"),IF(H$3=H1073,1,0),IF(H$3=H863,1,0)))))</f>
        <v/>
      </c>
      <c r="I1283" s="62">
        <f>IF(I128=0,0,IF(I$15&lt;=1,1,IF(EXACT(I1178,"keine"),IF(I$3=I$12,1,0),IF(EXACT(I1178,"beste"),IF(I$3=I1073,1,0),IF(I$3=I863,1,0)))))</f>
        <v/>
      </c>
      <c r="J1283" s="62">
        <f>IF(J128=0,0,IF(J$15&lt;=1,1,IF(EXACT(J1178,"keine"),IF(J$3=J$12,1,0),IF(EXACT(J1178,"beste"),IF(J$3=J1073,1,0),IF(J$3=J863,1,0)))))</f>
        <v/>
      </c>
      <c r="K1283" s="62">
        <f>IF(K128=0,0,IF(K$15&lt;=1,1,IF(EXACT(K1178,"keine"),IF(K$3=K$12,1,0),IF(EXACT(K1178,"beste"),IF(K$3=K1073,1,0),IF(K$3=K863,1,0)))))</f>
        <v/>
      </c>
      <c r="L1283" s="62">
        <f>IF(L128=0,0,IF(L$15&lt;=1,1,IF(EXACT(L1178,"keine"),IF(L$3=L$12,1,0),IF(EXACT(L1178,"beste"),IF(L$3=L1073,1,0),IF(L$3=L863,1,0)))))</f>
        <v/>
      </c>
      <c r="M1283" s="62">
        <f>IF(M128=0,0,IF(M$15&lt;=1,1,IF(EXACT(M1178,"keine"),IF(M$3=M$12,1,0),IF(EXACT(M1178,"beste"),IF(M$3=M1073,1,0),IF(M$3=M863,1,0)))))</f>
        <v/>
      </c>
      <c r="N1283" s="62">
        <f>IF(N128=0,0,IF(N$15&lt;=1,1,IF(EXACT(N1178,"keine"),IF(N$3=N$12,1,0),IF(EXACT(N1178,"beste"),IF(N$3=N1073,1,0),IF(N$3=N863,1,0)))))</f>
        <v/>
      </c>
      <c r="O1283" s="62">
        <f>IF(O128=0,0,IF(O$15&lt;=1,1,IF(EXACT(O1178,"keine"),IF(O$3=O$12,1,0),IF(EXACT(O1178,"beste"),IF(O$3=O1073,1,0),IF(O$3=O863,1,0)))))</f>
        <v/>
      </c>
      <c r="P1283" s="62">
        <f>IF(P128=0,0,IF(P$15&lt;=1,1,IF(EXACT(P1178,"keine"),IF(P$3=P$12,1,0),IF(EXACT(P1178,"beste"),IF(P$3=P1073,1,0),IF(P$3=P863,1,0)))))</f>
        <v/>
      </c>
      <c r="Q1283" s="62">
        <f>IF(Q128=0,0,IF(Q$15&lt;=1,1,IF(EXACT(Q1178,"keine"),IF(Q$3=Q$12,1,0),IF(EXACT(Q1178,"beste"),IF(Q$3=Q1073,1,0),IF(Q$3=Q863,1,0)))))</f>
        <v/>
      </c>
      <c r="R1283" s="62">
        <f>IF(R128=0,0,IF(R$15&lt;=1,1,IF(EXACT(R1178,"keine"),IF(R$3=R$12,1,0),IF(EXACT(R1178,"beste"),IF(R$3=R1073,1,0),IF(R$3=R863,1,0)))))</f>
        <v/>
      </c>
      <c r="S1283" s="62">
        <f>IF(S128=0,0,IF(S$15&lt;=1,1,IF(EXACT(S1178,"keine"),IF(S$3=S$12,1,0),IF(EXACT(S1178,"beste"),IF(S$3=S1073,1,0),IF(S$3=S863,1,0)))))</f>
        <v/>
      </c>
      <c r="T1283" s="62">
        <f>IF(T128=0,0,IF(T$15&lt;=1,1,IF(EXACT(T1178,"keine"),IF(T$3=T$12,1,0),IF(EXACT(T1178,"beste"),IF(T$3=T1073,1,0),IF(T$3=T863,1,0)))))</f>
        <v/>
      </c>
      <c r="U1283" s="62">
        <f>IF(U128=0,0,IF(U$15&lt;=1,1,IF(EXACT(U1178,"keine"),IF(U$3=U$12,1,0),IF(EXACT(U1178,"beste"),IF(U$3=U1073,1,0),IF(U$3=U863,1,0)))))</f>
        <v/>
      </c>
      <c r="V1283" s="62">
        <f>IF(V128=0,0,IF(V$15&lt;=1,1,IF(EXACT(V1178,"keine"),IF(V$3=V$12,1,0),IF(EXACT(V1178,"beste"),IF(V$3=V1073,1,0),IF(V$3=V863,1,0)))))</f>
        <v/>
      </c>
    </row>
    <row r="1284">
      <c r="C1284" s="62">
        <f>IF(C129=0,0,IF(C$15&lt;=1,1,IF(EXACT(C1179,"keine"),IF(C$3=C$12,1,0),IF(EXACT(C1179,"beste"),IF(C$3=C1074,1,0),IF(C$3=C864,1,0)))))</f>
        <v/>
      </c>
      <c r="D1284" s="62">
        <f>IF(D129=0,0,IF(D$15&lt;=1,1,IF(EXACT(D1179,"keine"),IF(D$3=D$12,1,0),IF(EXACT(D1179,"beste"),IF(D$3=D1074,1,0),IF(D$3=D864,1,0)))))</f>
        <v/>
      </c>
      <c r="E1284" s="62">
        <f>IF(E129=0,0,IF(E$15&lt;=1,1,IF(EXACT(E1179,"keine"),IF(E$3=E$12,1,0),IF(EXACT(E1179,"beste"),IF(E$3=E1074,1,0),IF(E$3=E864,1,0)))))</f>
        <v/>
      </c>
      <c r="F1284" s="62">
        <f>IF(F129=0,0,IF(F$15&lt;=1,1,IF(EXACT(F1179,"keine"),IF(F$3=F$12,1,0),IF(EXACT(F1179,"beste"),IF(F$3=F1074,1,0),IF(F$3=F864,1,0)))))</f>
        <v/>
      </c>
      <c r="G1284" s="62">
        <f>IF(G129=0,0,IF(G$15&lt;=1,1,IF(EXACT(G1179,"keine"),IF(G$3=G$12,1,0),IF(EXACT(G1179,"beste"),IF(G$3=G1074,1,0),IF(G$3=G864,1,0)))))</f>
        <v/>
      </c>
      <c r="H1284" s="62">
        <f>IF(H129=0,0,IF(H$15&lt;=1,1,IF(EXACT(H1179,"keine"),IF(H$3=H$12,1,0),IF(EXACT(H1179,"beste"),IF(H$3=H1074,1,0),IF(H$3=H864,1,0)))))</f>
        <v/>
      </c>
      <c r="I1284" s="62">
        <f>IF(I129=0,0,IF(I$15&lt;=1,1,IF(EXACT(I1179,"keine"),IF(I$3=I$12,1,0),IF(EXACT(I1179,"beste"),IF(I$3=I1074,1,0),IF(I$3=I864,1,0)))))</f>
        <v/>
      </c>
      <c r="J1284" s="62">
        <f>IF(J129=0,0,IF(J$15&lt;=1,1,IF(EXACT(J1179,"keine"),IF(J$3=J$12,1,0),IF(EXACT(J1179,"beste"),IF(J$3=J1074,1,0),IF(J$3=J864,1,0)))))</f>
        <v/>
      </c>
      <c r="K1284" s="62">
        <f>IF(K129=0,0,IF(K$15&lt;=1,1,IF(EXACT(K1179,"keine"),IF(K$3=K$12,1,0),IF(EXACT(K1179,"beste"),IF(K$3=K1074,1,0),IF(K$3=K864,1,0)))))</f>
        <v/>
      </c>
      <c r="L1284" s="62">
        <f>IF(L129=0,0,IF(L$15&lt;=1,1,IF(EXACT(L1179,"keine"),IF(L$3=L$12,1,0),IF(EXACT(L1179,"beste"),IF(L$3=L1074,1,0),IF(L$3=L864,1,0)))))</f>
        <v/>
      </c>
      <c r="M1284" s="62">
        <f>IF(M129=0,0,IF(M$15&lt;=1,1,IF(EXACT(M1179,"keine"),IF(M$3=M$12,1,0),IF(EXACT(M1179,"beste"),IF(M$3=M1074,1,0),IF(M$3=M864,1,0)))))</f>
        <v/>
      </c>
      <c r="N1284" s="62">
        <f>IF(N129=0,0,IF(N$15&lt;=1,1,IF(EXACT(N1179,"keine"),IF(N$3=N$12,1,0),IF(EXACT(N1179,"beste"),IF(N$3=N1074,1,0),IF(N$3=N864,1,0)))))</f>
        <v/>
      </c>
      <c r="O1284" s="62">
        <f>IF(O129=0,0,IF(O$15&lt;=1,1,IF(EXACT(O1179,"keine"),IF(O$3=O$12,1,0),IF(EXACT(O1179,"beste"),IF(O$3=O1074,1,0),IF(O$3=O864,1,0)))))</f>
        <v/>
      </c>
      <c r="P1284" s="62">
        <f>IF(P129=0,0,IF(P$15&lt;=1,1,IF(EXACT(P1179,"keine"),IF(P$3=P$12,1,0),IF(EXACT(P1179,"beste"),IF(P$3=P1074,1,0),IF(P$3=P864,1,0)))))</f>
        <v/>
      </c>
      <c r="Q1284" s="62">
        <f>IF(Q129=0,0,IF(Q$15&lt;=1,1,IF(EXACT(Q1179,"keine"),IF(Q$3=Q$12,1,0),IF(EXACT(Q1179,"beste"),IF(Q$3=Q1074,1,0),IF(Q$3=Q864,1,0)))))</f>
        <v/>
      </c>
      <c r="R1284" s="62">
        <f>IF(R129=0,0,IF(R$15&lt;=1,1,IF(EXACT(R1179,"keine"),IF(R$3=R$12,1,0),IF(EXACT(R1179,"beste"),IF(R$3=R1074,1,0),IF(R$3=R864,1,0)))))</f>
        <v/>
      </c>
      <c r="S1284" s="62">
        <f>IF(S129=0,0,IF(S$15&lt;=1,1,IF(EXACT(S1179,"keine"),IF(S$3=S$12,1,0),IF(EXACT(S1179,"beste"),IF(S$3=S1074,1,0),IF(S$3=S864,1,0)))))</f>
        <v/>
      </c>
      <c r="T1284" s="62">
        <f>IF(T129=0,0,IF(T$15&lt;=1,1,IF(EXACT(T1179,"keine"),IF(T$3=T$12,1,0),IF(EXACT(T1179,"beste"),IF(T$3=T1074,1,0),IF(T$3=T864,1,0)))))</f>
        <v/>
      </c>
      <c r="U1284" s="62">
        <f>IF(U129=0,0,IF(U$15&lt;=1,1,IF(EXACT(U1179,"keine"),IF(U$3=U$12,1,0),IF(EXACT(U1179,"beste"),IF(U$3=U1074,1,0),IF(U$3=U864,1,0)))))</f>
        <v/>
      </c>
      <c r="V1284" s="62">
        <f>IF(V129=0,0,IF(V$15&lt;=1,1,IF(EXACT(V1179,"keine"),IF(V$3=V$12,1,0),IF(EXACT(V1179,"beste"),IF(V$3=V1074,1,0),IF(V$3=V864,1,0)))))</f>
        <v/>
      </c>
    </row>
    <row r="1285">
      <c r="C1285" s="62">
        <f>IF(C130=0,0,IF(C$15&lt;=1,1,IF(EXACT(C1180,"keine"),IF(C$3=C$12,1,0),IF(EXACT(C1180,"beste"),IF(C$3=C1075,1,0),IF(C$3=C865,1,0)))))</f>
        <v/>
      </c>
      <c r="D1285" s="62">
        <f>IF(D130=0,0,IF(D$15&lt;=1,1,IF(EXACT(D1180,"keine"),IF(D$3=D$12,1,0),IF(EXACT(D1180,"beste"),IF(D$3=D1075,1,0),IF(D$3=D865,1,0)))))</f>
        <v/>
      </c>
      <c r="E1285" s="62">
        <f>IF(E130=0,0,IF(E$15&lt;=1,1,IF(EXACT(E1180,"keine"),IF(E$3=E$12,1,0),IF(EXACT(E1180,"beste"),IF(E$3=E1075,1,0),IF(E$3=E865,1,0)))))</f>
        <v/>
      </c>
      <c r="F1285" s="62">
        <f>IF(F130=0,0,IF(F$15&lt;=1,1,IF(EXACT(F1180,"keine"),IF(F$3=F$12,1,0),IF(EXACT(F1180,"beste"),IF(F$3=F1075,1,0),IF(F$3=F865,1,0)))))</f>
        <v/>
      </c>
      <c r="G1285" s="62">
        <f>IF(G130=0,0,IF(G$15&lt;=1,1,IF(EXACT(G1180,"keine"),IF(G$3=G$12,1,0),IF(EXACT(G1180,"beste"),IF(G$3=G1075,1,0),IF(G$3=G865,1,0)))))</f>
        <v/>
      </c>
      <c r="H1285" s="62">
        <f>IF(H130=0,0,IF(H$15&lt;=1,1,IF(EXACT(H1180,"keine"),IF(H$3=H$12,1,0),IF(EXACT(H1180,"beste"),IF(H$3=H1075,1,0),IF(H$3=H865,1,0)))))</f>
        <v/>
      </c>
      <c r="I1285" s="62">
        <f>IF(I130=0,0,IF(I$15&lt;=1,1,IF(EXACT(I1180,"keine"),IF(I$3=I$12,1,0),IF(EXACT(I1180,"beste"),IF(I$3=I1075,1,0),IF(I$3=I865,1,0)))))</f>
        <v/>
      </c>
      <c r="J1285" s="62">
        <f>IF(J130=0,0,IF(J$15&lt;=1,1,IF(EXACT(J1180,"keine"),IF(J$3=J$12,1,0),IF(EXACT(J1180,"beste"),IF(J$3=J1075,1,0),IF(J$3=J865,1,0)))))</f>
        <v/>
      </c>
      <c r="K1285" s="62">
        <f>IF(K130=0,0,IF(K$15&lt;=1,1,IF(EXACT(K1180,"keine"),IF(K$3=K$12,1,0),IF(EXACT(K1180,"beste"),IF(K$3=K1075,1,0),IF(K$3=K865,1,0)))))</f>
        <v/>
      </c>
      <c r="L1285" s="62">
        <f>IF(L130=0,0,IF(L$15&lt;=1,1,IF(EXACT(L1180,"keine"),IF(L$3=L$12,1,0),IF(EXACT(L1180,"beste"),IF(L$3=L1075,1,0),IF(L$3=L865,1,0)))))</f>
        <v/>
      </c>
      <c r="M1285" s="62">
        <f>IF(M130=0,0,IF(M$15&lt;=1,1,IF(EXACT(M1180,"keine"),IF(M$3=M$12,1,0),IF(EXACT(M1180,"beste"),IF(M$3=M1075,1,0),IF(M$3=M865,1,0)))))</f>
        <v/>
      </c>
      <c r="N1285" s="62">
        <f>IF(N130=0,0,IF(N$15&lt;=1,1,IF(EXACT(N1180,"keine"),IF(N$3=N$12,1,0),IF(EXACT(N1180,"beste"),IF(N$3=N1075,1,0),IF(N$3=N865,1,0)))))</f>
        <v/>
      </c>
      <c r="O1285" s="62">
        <f>IF(O130=0,0,IF(O$15&lt;=1,1,IF(EXACT(O1180,"keine"),IF(O$3=O$12,1,0),IF(EXACT(O1180,"beste"),IF(O$3=O1075,1,0),IF(O$3=O865,1,0)))))</f>
        <v/>
      </c>
      <c r="P1285" s="62">
        <f>IF(P130=0,0,IF(P$15&lt;=1,1,IF(EXACT(P1180,"keine"),IF(P$3=P$12,1,0),IF(EXACT(P1180,"beste"),IF(P$3=P1075,1,0),IF(P$3=P865,1,0)))))</f>
        <v/>
      </c>
      <c r="Q1285" s="62">
        <f>IF(Q130=0,0,IF(Q$15&lt;=1,1,IF(EXACT(Q1180,"keine"),IF(Q$3=Q$12,1,0),IF(EXACT(Q1180,"beste"),IF(Q$3=Q1075,1,0),IF(Q$3=Q865,1,0)))))</f>
        <v/>
      </c>
      <c r="R1285" s="62">
        <f>IF(R130=0,0,IF(R$15&lt;=1,1,IF(EXACT(R1180,"keine"),IF(R$3=R$12,1,0),IF(EXACT(R1180,"beste"),IF(R$3=R1075,1,0),IF(R$3=R865,1,0)))))</f>
        <v/>
      </c>
      <c r="S1285" s="62">
        <f>IF(S130=0,0,IF(S$15&lt;=1,1,IF(EXACT(S1180,"keine"),IF(S$3=S$12,1,0),IF(EXACT(S1180,"beste"),IF(S$3=S1075,1,0),IF(S$3=S865,1,0)))))</f>
        <v/>
      </c>
      <c r="T1285" s="62">
        <f>IF(T130=0,0,IF(T$15&lt;=1,1,IF(EXACT(T1180,"keine"),IF(T$3=T$12,1,0),IF(EXACT(T1180,"beste"),IF(T$3=T1075,1,0),IF(T$3=T865,1,0)))))</f>
        <v/>
      </c>
      <c r="U1285" s="62">
        <f>IF(U130=0,0,IF(U$15&lt;=1,1,IF(EXACT(U1180,"keine"),IF(U$3=U$12,1,0),IF(EXACT(U1180,"beste"),IF(U$3=U1075,1,0),IF(U$3=U865,1,0)))))</f>
        <v/>
      </c>
      <c r="V1285" s="62">
        <f>IF(V130=0,0,IF(V$15&lt;=1,1,IF(EXACT(V1180,"keine"),IF(V$3=V$12,1,0),IF(EXACT(V1180,"beste"),IF(V$3=V1075,1,0),IF(V$3=V865,1,0)))))</f>
        <v/>
      </c>
    </row>
    <row r="1286">
      <c r="C1286" s="62">
        <f>IF(C131=0,0,IF(C$15&lt;=1,1,IF(EXACT(C1181,"keine"),IF(C$3=C$12,1,0),IF(EXACT(C1181,"beste"),IF(C$3=C1076,1,0),IF(C$3=C866,1,0)))))</f>
        <v/>
      </c>
      <c r="D1286" s="62">
        <f>IF(D131=0,0,IF(D$15&lt;=1,1,IF(EXACT(D1181,"keine"),IF(D$3=D$12,1,0),IF(EXACT(D1181,"beste"),IF(D$3=D1076,1,0),IF(D$3=D866,1,0)))))</f>
        <v/>
      </c>
      <c r="E1286" s="62">
        <f>IF(E131=0,0,IF(E$15&lt;=1,1,IF(EXACT(E1181,"keine"),IF(E$3=E$12,1,0),IF(EXACT(E1181,"beste"),IF(E$3=E1076,1,0),IF(E$3=E866,1,0)))))</f>
        <v/>
      </c>
      <c r="F1286" s="62">
        <f>IF(F131=0,0,IF(F$15&lt;=1,1,IF(EXACT(F1181,"keine"),IF(F$3=F$12,1,0),IF(EXACT(F1181,"beste"),IF(F$3=F1076,1,0),IF(F$3=F866,1,0)))))</f>
        <v/>
      </c>
      <c r="G1286" s="62">
        <f>IF(G131=0,0,IF(G$15&lt;=1,1,IF(EXACT(G1181,"keine"),IF(G$3=G$12,1,0),IF(EXACT(G1181,"beste"),IF(G$3=G1076,1,0),IF(G$3=G866,1,0)))))</f>
        <v/>
      </c>
      <c r="H1286" s="62">
        <f>IF(H131=0,0,IF(H$15&lt;=1,1,IF(EXACT(H1181,"keine"),IF(H$3=H$12,1,0),IF(EXACT(H1181,"beste"),IF(H$3=H1076,1,0),IF(H$3=H866,1,0)))))</f>
        <v/>
      </c>
      <c r="I1286" s="62">
        <f>IF(I131=0,0,IF(I$15&lt;=1,1,IF(EXACT(I1181,"keine"),IF(I$3=I$12,1,0),IF(EXACT(I1181,"beste"),IF(I$3=I1076,1,0),IF(I$3=I866,1,0)))))</f>
        <v/>
      </c>
      <c r="J1286" s="62">
        <f>IF(J131=0,0,IF(J$15&lt;=1,1,IF(EXACT(J1181,"keine"),IF(J$3=J$12,1,0),IF(EXACT(J1181,"beste"),IF(J$3=J1076,1,0),IF(J$3=J866,1,0)))))</f>
        <v/>
      </c>
      <c r="K1286" s="62">
        <f>IF(K131=0,0,IF(K$15&lt;=1,1,IF(EXACT(K1181,"keine"),IF(K$3=K$12,1,0),IF(EXACT(K1181,"beste"),IF(K$3=K1076,1,0),IF(K$3=K866,1,0)))))</f>
        <v/>
      </c>
      <c r="L1286" s="62">
        <f>IF(L131=0,0,IF(L$15&lt;=1,1,IF(EXACT(L1181,"keine"),IF(L$3=L$12,1,0),IF(EXACT(L1181,"beste"),IF(L$3=L1076,1,0),IF(L$3=L866,1,0)))))</f>
        <v/>
      </c>
      <c r="M1286" s="62">
        <f>IF(M131=0,0,IF(M$15&lt;=1,1,IF(EXACT(M1181,"keine"),IF(M$3=M$12,1,0),IF(EXACT(M1181,"beste"),IF(M$3=M1076,1,0),IF(M$3=M866,1,0)))))</f>
        <v/>
      </c>
      <c r="N1286" s="62">
        <f>IF(N131=0,0,IF(N$15&lt;=1,1,IF(EXACT(N1181,"keine"),IF(N$3=N$12,1,0),IF(EXACT(N1181,"beste"),IF(N$3=N1076,1,0),IF(N$3=N866,1,0)))))</f>
        <v/>
      </c>
      <c r="O1286" s="62">
        <f>IF(O131=0,0,IF(O$15&lt;=1,1,IF(EXACT(O1181,"keine"),IF(O$3=O$12,1,0),IF(EXACT(O1181,"beste"),IF(O$3=O1076,1,0),IF(O$3=O866,1,0)))))</f>
        <v/>
      </c>
      <c r="P1286" s="62">
        <f>IF(P131=0,0,IF(P$15&lt;=1,1,IF(EXACT(P1181,"keine"),IF(P$3=P$12,1,0),IF(EXACT(P1181,"beste"),IF(P$3=P1076,1,0),IF(P$3=P866,1,0)))))</f>
        <v/>
      </c>
      <c r="Q1286" s="62">
        <f>IF(Q131=0,0,IF(Q$15&lt;=1,1,IF(EXACT(Q1181,"keine"),IF(Q$3=Q$12,1,0),IF(EXACT(Q1181,"beste"),IF(Q$3=Q1076,1,0),IF(Q$3=Q866,1,0)))))</f>
        <v/>
      </c>
      <c r="R1286" s="62">
        <f>IF(R131=0,0,IF(R$15&lt;=1,1,IF(EXACT(R1181,"keine"),IF(R$3=R$12,1,0),IF(EXACT(R1181,"beste"),IF(R$3=R1076,1,0),IF(R$3=R866,1,0)))))</f>
        <v/>
      </c>
      <c r="S1286" s="62">
        <f>IF(S131=0,0,IF(S$15&lt;=1,1,IF(EXACT(S1181,"keine"),IF(S$3=S$12,1,0),IF(EXACT(S1181,"beste"),IF(S$3=S1076,1,0),IF(S$3=S866,1,0)))))</f>
        <v/>
      </c>
      <c r="T1286" s="62">
        <f>IF(T131=0,0,IF(T$15&lt;=1,1,IF(EXACT(T1181,"keine"),IF(T$3=T$12,1,0),IF(EXACT(T1181,"beste"),IF(T$3=T1076,1,0),IF(T$3=T866,1,0)))))</f>
        <v/>
      </c>
      <c r="U1286" s="62">
        <f>IF(U131=0,0,IF(U$15&lt;=1,1,IF(EXACT(U1181,"keine"),IF(U$3=U$12,1,0),IF(EXACT(U1181,"beste"),IF(U$3=U1076,1,0),IF(U$3=U866,1,0)))))</f>
        <v/>
      </c>
      <c r="V1286" s="62">
        <f>IF(V131=0,0,IF(V$15&lt;=1,1,IF(EXACT(V1181,"keine"),IF(V$3=V$12,1,0),IF(EXACT(V1181,"beste"),IF(V$3=V1076,1,0),IF(V$3=V866,1,0)))))</f>
        <v/>
      </c>
    </row>
    <row r="1287">
      <c r="C1287" s="62">
        <f>IF(C132=0,0,IF(C$15&lt;=1,1,IF(EXACT(C1182,"keine"),IF(C$3=C$12,1,0),IF(EXACT(C1182,"beste"),IF(C$3=C1077,1,0),IF(C$3=C867,1,0)))))</f>
        <v/>
      </c>
      <c r="D1287" s="62">
        <f>IF(D132=0,0,IF(D$15&lt;=1,1,IF(EXACT(D1182,"keine"),IF(D$3=D$12,1,0),IF(EXACT(D1182,"beste"),IF(D$3=D1077,1,0),IF(D$3=D867,1,0)))))</f>
        <v/>
      </c>
      <c r="E1287" s="62">
        <f>IF(E132=0,0,IF(E$15&lt;=1,1,IF(EXACT(E1182,"keine"),IF(E$3=E$12,1,0),IF(EXACT(E1182,"beste"),IF(E$3=E1077,1,0),IF(E$3=E867,1,0)))))</f>
        <v/>
      </c>
      <c r="F1287" s="62">
        <f>IF(F132=0,0,IF(F$15&lt;=1,1,IF(EXACT(F1182,"keine"),IF(F$3=F$12,1,0),IF(EXACT(F1182,"beste"),IF(F$3=F1077,1,0),IF(F$3=F867,1,0)))))</f>
        <v/>
      </c>
      <c r="G1287" s="62">
        <f>IF(G132=0,0,IF(G$15&lt;=1,1,IF(EXACT(G1182,"keine"),IF(G$3=G$12,1,0),IF(EXACT(G1182,"beste"),IF(G$3=G1077,1,0),IF(G$3=G867,1,0)))))</f>
        <v/>
      </c>
      <c r="H1287" s="62">
        <f>IF(H132=0,0,IF(H$15&lt;=1,1,IF(EXACT(H1182,"keine"),IF(H$3=H$12,1,0),IF(EXACT(H1182,"beste"),IF(H$3=H1077,1,0),IF(H$3=H867,1,0)))))</f>
        <v/>
      </c>
      <c r="I1287" s="62">
        <f>IF(I132=0,0,IF(I$15&lt;=1,1,IF(EXACT(I1182,"keine"),IF(I$3=I$12,1,0),IF(EXACT(I1182,"beste"),IF(I$3=I1077,1,0),IF(I$3=I867,1,0)))))</f>
        <v/>
      </c>
      <c r="J1287" s="62">
        <f>IF(J132=0,0,IF(J$15&lt;=1,1,IF(EXACT(J1182,"keine"),IF(J$3=J$12,1,0),IF(EXACT(J1182,"beste"),IF(J$3=J1077,1,0),IF(J$3=J867,1,0)))))</f>
        <v/>
      </c>
      <c r="K1287" s="62">
        <f>IF(K132=0,0,IF(K$15&lt;=1,1,IF(EXACT(K1182,"keine"),IF(K$3=K$12,1,0),IF(EXACT(K1182,"beste"),IF(K$3=K1077,1,0),IF(K$3=K867,1,0)))))</f>
        <v/>
      </c>
      <c r="L1287" s="62">
        <f>IF(L132=0,0,IF(L$15&lt;=1,1,IF(EXACT(L1182,"keine"),IF(L$3=L$12,1,0),IF(EXACT(L1182,"beste"),IF(L$3=L1077,1,0),IF(L$3=L867,1,0)))))</f>
        <v/>
      </c>
      <c r="M1287" s="62">
        <f>IF(M132=0,0,IF(M$15&lt;=1,1,IF(EXACT(M1182,"keine"),IF(M$3=M$12,1,0),IF(EXACT(M1182,"beste"),IF(M$3=M1077,1,0),IF(M$3=M867,1,0)))))</f>
        <v/>
      </c>
      <c r="N1287" s="62">
        <f>IF(N132=0,0,IF(N$15&lt;=1,1,IF(EXACT(N1182,"keine"),IF(N$3=N$12,1,0),IF(EXACT(N1182,"beste"),IF(N$3=N1077,1,0),IF(N$3=N867,1,0)))))</f>
        <v/>
      </c>
      <c r="O1287" s="62">
        <f>IF(O132=0,0,IF(O$15&lt;=1,1,IF(EXACT(O1182,"keine"),IF(O$3=O$12,1,0),IF(EXACT(O1182,"beste"),IF(O$3=O1077,1,0),IF(O$3=O867,1,0)))))</f>
        <v/>
      </c>
      <c r="P1287" s="62">
        <f>IF(P132=0,0,IF(P$15&lt;=1,1,IF(EXACT(P1182,"keine"),IF(P$3=P$12,1,0),IF(EXACT(P1182,"beste"),IF(P$3=P1077,1,0),IF(P$3=P867,1,0)))))</f>
        <v/>
      </c>
      <c r="Q1287" s="62">
        <f>IF(Q132=0,0,IF(Q$15&lt;=1,1,IF(EXACT(Q1182,"keine"),IF(Q$3=Q$12,1,0),IF(EXACT(Q1182,"beste"),IF(Q$3=Q1077,1,0),IF(Q$3=Q867,1,0)))))</f>
        <v/>
      </c>
      <c r="R1287" s="62">
        <f>IF(R132=0,0,IF(R$15&lt;=1,1,IF(EXACT(R1182,"keine"),IF(R$3=R$12,1,0),IF(EXACT(R1182,"beste"),IF(R$3=R1077,1,0),IF(R$3=R867,1,0)))))</f>
        <v/>
      </c>
      <c r="S1287" s="62">
        <f>IF(S132=0,0,IF(S$15&lt;=1,1,IF(EXACT(S1182,"keine"),IF(S$3=S$12,1,0),IF(EXACT(S1182,"beste"),IF(S$3=S1077,1,0),IF(S$3=S867,1,0)))))</f>
        <v/>
      </c>
      <c r="T1287" s="62">
        <f>IF(T132=0,0,IF(T$15&lt;=1,1,IF(EXACT(T1182,"keine"),IF(T$3=T$12,1,0),IF(EXACT(T1182,"beste"),IF(T$3=T1077,1,0),IF(T$3=T867,1,0)))))</f>
        <v/>
      </c>
      <c r="U1287" s="62">
        <f>IF(U132=0,0,IF(U$15&lt;=1,1,IF(EXACT(U1182,"keine"),IF(U$3=U$12,1,0),IF(EXACT(U1182,"beste"),IF(U$3=U1077,1,0),IF(U$3=U867,1,0)))))</f>
        <v/>
      </c>
      <c r="V1287" s="62">
        <f>IF(V132=0,0,IF(V$15&lt;=1,1,IF(EXACT(V1182,"keine"),IF(V$3=V$12,1,0),IF(EXACT(V1182,"beste"),IF(V$3=V1077,1,0),IF(V$3=V867,1,0)))))</f>
        <v/>
      </c>
    </row>
    <row r="1288">
      <c r="C1288" s="62">
        <f>IF(C133=0,0,IF(C$15&lt;=1,1,IF(EXACT(C1183,"keine"),IF(C$3=C$12,1,0),IF(EXACT(C1183,"beste"),IF(C$3=C1078,1,0),IF(C$3=C868,1,0)))))</f>
        <v/>
      </c>
      <c r="D1288" s="62">
        <f>IF(D133=0,0,IF(D$15&lt;=1,1,IF(EXACT(D1183,"keine"),IF(D$3=D$12,1,0),IF(EXACT(D1183,"beste"),IF(D$3=D1078,1,0),IF(D$3=D868,1,0)))))</f>
        <v/>
      </c>
      <c r="E1288" s="62">
        <f>IF(E133=0,0,IF(E$15&lt;=1,1,IF(EXACT(E1183,"keine"),IF(E$3=E$12,1,0),IF(EXACT(E1183,"beste"),IF(E$3=E1078,1,0),IF(E$3=E868,1,0)))))</f>
        <v/>
      </c>
      <c r="F1288" s="62">
        <f>IF(F133=0,0,IF(F$15&lt;=1,1,IF(EXACT(F1183,"keine"),IF(F$3=F$12,1,0),IF(EXACT(F1183,"beste"),IF(F$3=F1078,1,0),IF(F$3=F868,1,0)))))</f>
        <v/>
      </c>
      <c r="G1288" s="62">
        <f>IF(G133=0,0,IF(G$15&lt;=1,1,IF(EXACT(G1183,"keine"),IF(G$3=G$12,1,0),IF(EXACT(G1183,"beste"),IF(G$3=G1078,1,0),IF(G$3=G868,1,0)))))</f>
        <v/>
      </c>
      <c r="H1288" s="62">
        <f>IF(H133=0,0,IF(H$15&lt;=1,1,IF(EXACT(H1183,"keine"),IF(H$3=H$12,1,0),IF(EXACT(H1183,"beste"),IF(H$3=H1078,1,0),IF(H$3=H868,1,0)))))</f>
        <v/>
      </c>
      <c r="I1288" s="62">
        <f>IF(I133=0,0,IF(I$15&lt;=1,1,IF(EXACT(I1183,"keine"),IF(I$3=I$12,1,0),IF(EXACT(I1183,"beste"),IF(I$3=I1078,1,0),IF(I$3=I868,1,0)))))</f>
        <v/>
      </c>
      <c r="J1288" s="62">
        <f>IF(J133=0,0,IF(J$15&lt;=1,1,IF(EXACT(J1183,"keine"),IF(J$3=J$12,1,0),IF(EXACT(J1183,"beste"),IF(J$3=J1078,1,0),IF(J$3=J868,1,0)))))</f>
        <v/>
      </c>
      <c r="K1288" s="62">
        <f>IF(K133=0,0,IF(K$15&lt;=1,1,IF(EXACT(K1183,"keine"),IF(K$3=K$12,1,0),IF(EXACT(K1183,"beste"),IF(K$3=K1078,1,0),IF(K$3=K868,1,0)))))</f>
        <v/>
      </c>
      <c r="L1288" s="62">
        <f>IF(L133=0,0,IF(L$15&lt;=1,1,IF(EXACT(L1183,"keine"),IF(L$3=L$12,1,0),IF(EXACT(L1183,"beste"),IF(L$3=L1078,1,0),IF(L$3=L868,1,0)))))</f>
        <v/>
      </c>
      <c r="M1288" s="62">
        <f>IF(M133=0,0,IF(M$15&lt;=1,1,IF(EXACT(M1183,"keine"),IF(M$3=M$12,1,0),IF(EXACT(M1183,"beste"),IF(M$3=M1078,1,0),IF(M$3=M868,1,0)))))</f>
        <v/>
      </c>
      <c r="N1288" s="62">
        <f>IF(N133=0,0,IF(N$15&lt;=1,1,IF(EXACT(N1183,"keine"),IF(N$3=N$12,1,0),IF(EXACT(N1183,"beste"),IF(N$3=N1078,1,0),IF(N$3=N868,1,0)))))</f>
        <v/>
      </c>
      <c r="O1288" s="62">
        <f>IF(O133=0,0,IF(O$15&lt;=1,1,IF(EXACT(O1183,"keine"),IF(O$3=O$12,1,0),IF(EXACT(O1183,"beste"),IF(O$3=O1078,1,0),IF(O$3=O868,1,0)))))</f>
        <v/>
      </c>
      <c r="P1288" s="62">
        <f>IF(P133=0,0,IF(P$15&lt;=1,1,IF(EXACT(P1183,"keine"),IF(P$3=P$12,1,0),IF(EXACT(P1183,"beste"),IF(P$3=P1078,1,0),IF(P$3=P868,1,0)))))</f>
        <v/>
      </c>
      <c r="Q1288" s="62">
        <f>IF(Q133=0,0,IF(Q$15&lt;=1,1,IF(EXACT(Q1183,"keine"),IF(Q$3=Q$12,1,0),IF(EXACT(Q1183,"beste"),IF(Q$3=Q1078,1,0),IF(Q$3=Q868,1,0)))))</f>
        <v/>
      </c>
      <c r="R1288" s="62">
        <f>IF(R133=0,0,IF(R$15&lt;=1,1,IF(EXACT(R1183,"keine"),IF(R$3=R$12,1,0),IF(EXACT(R1183,"beste"),IF(R$3=R1078,1,0),IF(R$3=R868,1,0)))))</f>
        <v/>
      </c>
      <c r="S1288" s="62">
        <f>IF(S133=0,0,IF(S$15&lt;=1,1,IF(EXACT(S1183,"keine"),IF(S$3=S$12,1,0),IF(EXACT(S1183,"beste"),IF(S$3=S1078,1,0),IF(S$3=S868,1,0)))))</f>
        <v/>
      </c>
      <c r="T1288" s="62">
        <f>IF(T133=0,0,IF(T$15&lt;=1,1,IF(EXACT(T1183,"keine"),IF(T$3=T$12,1,0),IF(EXACT(T1183,"beste"),IF(T$3=T1078,1,0),IF(T$3=T868,1,0)))))</f>
        <v/>
      </c>
      <c r="U1288" s="62">
        <f>IF(U133=0,0,IF(U$15&lt;=1,1,IF(EXACT(U1183,"keine"),IF(U$3=U$12,1,0),IF(EXACT(U1183,"beste"),IF(U$3=U1078,1,0),IF(U$3=U868,1,0)))))</f>
        <v/>
      </c>
      <c r="V1288" s="62">
        <f>IF(V133=0,0,IF(V$15&lt;=1,1,IF(EXACT(V1183,"keine"),IF(V$3=V$12,1,0),IF(EXACT(V1183,"beste"),IF(V$3=V1078,1,0),IF(V$3=V868,1,0)))))</f>
        <v/>
      </c>
    </row>
    <row r="1289">
      <c r="C1289" s="62">
        <f>IF(C134=0,0,IF(C$15&lt;=1,1,IF(EXACT(C1184,"keine"),IF(C$3=C$12,1,0),IF(EXACT(C1184,"beste"),IF(C$3=C1079,1,0),IF(C$3=C869,1,0)))))</f>
        <v/>
      </c>
      <c r="D1289" s="62">
        <f>IF(D134=0,0,IF(D$15&lt;=1,1,IF(EXACT(D1184,"keine"),IF(D$3=D$12,1,0),IF(EXACT(D1184,"beste"),IF(D$3=D1079,1,0),IF(D$3=D869,1,0)))))</f>
        <v/>
      </c>
      <c r="E1289" s="62">
        <f>IF(E134=0,0,IF(E$15&lt;=1,1,IF(EXACT(E1184,"keine"),IF(E$3=E$12,1,0),IF(EXACT(E1184,"beste"),IF(E$3=E1079,1,0),IF(E$3=E869,1,0)))))</f>
        <v/>
      </c>
      <c r="F1289" s="62">
        <f>IF(F134=0,0,IF(F$15&lt;=1,1,IF(EXACT(F1184,"keine"),IF(F$3=F$12,1,0),IF(EXACT(F1184,"beste"),IF(F$3=F1079,1,0),IF(F$3=F869,1,0)))))</f>
        <v/>
      </c>
      <c r="G1289" s="62">
        <f>IF(G134=0,0,IF(G$15&lt;=1,1,IF(EXACT(G1184,"keine"),IF(G$3=G$12,1,0),IF(EXACT(G1184,"beste"),IF(G$3=G1079,1,0),IF(G$3=G869,1,0)))))</f>
        <v/>
      </c>
      <c r="H1289" s="62">
        <f>IF(H134=0,0,IF(H$15&lt;=1,1,IF(EXACT(H1184,"keine"),IF(H$3=H$12,1,0),IF(EXACT(H1184,"beste"),IF(H$3=H1079,1,0),IF(H$3=H869,1,0)))))</f>
        <v/>
      </c>
      <c r="I1289" s="62">
        <f>IF(I134=0,0,IF(I$15&lt;=1,1,IF(EXACT(I1184,"keine"),IF(I$3=I$12,1,0),IF(EXACT(I1184,"beste"),IF(I$3=I1079,1,0),IF(I$3=I869,1,0)))))</f>
        <v/>
      </c>
      <c r="J1289" s="62">
        <f>IF(J134=0,0,IF(J$15&lt;=1,1,IF(EXACT(J1184,"keine"),IF(J$3=J$12,1,0),IF(EXACT(J1184,"beste"),IF(J$3=J1079,1,0),IF(J$3=J869,1,0)))))</f>
        <v/>
      </c>
      <c r="K1289" s="62">
        <f>IF(K134=0,0,IF(K$15&lt;=1,1,IF(EXACT(K1184,"keine"),IF(K$3=K$12,1,0),IF(EXACT(K1184,"beste"),IF(K$3=K1079,1,0),IF(K$3=K869,1,0)))))</f>
        <v/>
      </c>
      <c r="L1289" s="62">
        <f>IF(L134=0,0,IF(L$15&lt;=1,1,IF(EXACT(L1184,"keine"),IF(L$3=L$12,1,0),IF(EXACT(L1184,"beste"),IF(L$3=L1079,1,0),IF(L$3=L869,1,0)))))</f>
        <v/>
      </c>
      <c r="M1289" s="62">
        <f>IF(M134=0,0,IF(M$15&lt;=1,1,IF(EXACT(M1184,"keine"),IF(M$3=M$12,1,0),IF(EXACT(M1184,"beste"),IF(M$3=M1079,1,0),IF(M$3=M869,1,0)))))</f>
        <v/>
      </c>
      <c r="N1289" s="62">
        <f>IF(N134=0,0,IF(N$15&lt;=1,1,IF(EXACT(N1184,"keine"),IF(N$3=N$12,1,0),IF(EXACT(N1184,"beste"),IF(N$3=N1079,1,0),IF(N$3=N869,1,0)))))</f>
        <v/>
      </c>
      <c r="O1289" s="62">
        <f>IF(O134=0,0,IF(O$15&lt;=1,1,IF(EXACT(O1184,"keine"),IF(O$3=O$12,1,0),IF(EXACT(O1184,"beste"),IF(O$3=O1079,1,0),IF(O$3=O869,1,0)))))</f>
        <v/>
      </c>
      <c r="P1289" s="62">
        <f>IF(P134=0,0,IF(P$15&lt;=1,1,IF(EXACT(P1184,"keine"),IF(P$3=P$12,1,0),IF(EXACT(P1184,"beste"),IF(P$3=P1079,1,0),IF(P$3=P869,1,0)))))</f>
        <v/>
      </c>
      <c r="Q1289" s="62">
        <f>IF(Q134=0,0,IF(Q$15&lt;=1,1,IF(EXACT(Q1184,"keine"),IF(Q$3=Q$12,1,0),IF(EXACT(Q1184,"beste"),IF(Q$3=Q1079,1,0),IF(Q$3=Q869,1,0)))))</f>
        <v/>
      </c>
      <c r="R1289" s="62">
        <f>IF(R134=0,0,IF(R$15&lt;=1,1,IF(EXACT(R1184,"keine"),IF(R$3=R$12,1,0),IF(EXACT(R1184,"beste"),IF(R$3=R1079,1,0),IF(R$3=R869,1,0)))))</f>
        <v/>
      </c>
      <c r="S1289" s="62">
        <f>IF(S134=0,0,IF(S$15&lt;=1,1,IF(EXACT(S1184,"keine"),IF(S$3=S$12,1,0),IF(EXACT(S1184,"beste"),IF(S$3=S1079,1,0),IF(S$3=S869,1,0)))))</f>
        <v/>
      </c>
      <c r="T1289" s="62">
        <f>IF(T134=0,0,IF(T$15&lt;=1,1,IF(EXACT(T1184,"keine"),IF(T$3=T$12,1,0),IF(EXACT(T1184,"beste"),IF(T$3=T1079,1,0),IF(T$3=T869,1,0)))))</f>
        <v/>
      </c>
      <c r="U1289" s="62">
        <f>IF(U134=0,0,IF(U$15&lt;=1,1,IF(EXACT(U1184,"keine"),IF(U$3=U$12,1,0),IF(EXACT(U1184,"beste"),IF(U$3=U1079,1,0),IF(U$3=U869,1,0)))))</f>
        <v/>
      </c>
      <c r="V1289" s="62">
        <f>IF(V134=0,0,IF(V$15&lt;=1,1,IF(EXACT(V1184,"keine"),IF(V$3=V$12,1,0),IF(EXACT(V1184,"beste"),IF(V$3=V1079,1,0),IF(V$3=V869,1,0)))))</f>
        <v/>
      </c>
    </row>
    <row r="1290">
      <c r="C1290" s="62">
        <f>IF(C135=0,0,IF(C$15&lt;=1,1,IF(EXACT(C1185,"keine"),IF(C$3=C$12,1,0),IF(EXACT(C1185,"beste"),IF(C$3=C1080,1,0),IF(C$3=C870,1,0)))))</f>
        <v/>
      </c>
      <c r="D1290" s="62">
        <f>IF(D135=0,0,IF(D$15&lt;=1,1,IF(EXACT(D1185,"keine"),IF(D$3=D$12,1,0),IF(EXACT(D1185,"beste"),IF(D$3=D1080,1,0),IF(D$3=D870,1,0)))))</f>
        <v/>
      </c>
      <c r="E1290" s="62">
        <f>IF(E135=0,0,IF(E$15&lt;=1,1,IF(EXACT(E1185,"keine"),IF(E$3=E$12,1,0),IF(EXACT(E1185,"beste"),IF(E$3=E1080,1,0),IF(E$3=E870,1,0)))))</f>
        <v/>
      </c>
      <c r="F1290" s="62">
        <f>IF(F135=0,0,IF(F$15&lt;=1,1,IF(EXACT(F1185,"keine"),IF(F$3=F$12,1,0),IF(EXACT(F1185,"beste"),IF(F$3=F1080,1,0),IF(F$3=F870,1,0)))))</f>
        <v/>
      </c>
      <c r="G1290" s="62">
        <f>IF(G135=0,0,IF(G$15&lt;=1,1,IF(EXACT(G1185,"keine"),IF(G$3=G$12,1,0),IF(EXACT(G1185,"beste"),IF(G$3=G1080,1,0),IF(G$3=G870,1,0)))))</f>
        <v/>
      </c>
      <c r="H1290" s="62">
        <f>IF(H135=0,0,IF(H$15&lt;=1,1,IF(EXACT(H1185,"keine"),IF(H$3=H$12,1,0),IF(EXACT(H1185,"beste"),IF(H$3=H1080,1,0),IF(H$3=H870,1,0)))))</f>
        <v/>
      </c>
      <c r="I1290" s="62">
        <f>IF(I135=0,0,IF(I$15&lt;=1,1,IF(EXACT(I1185,"keine"),IF(I$3=I$12,1,0),IF(EXACT(I1185,"beste"),IF(I$3=I1080,1,0),IF(I$3=I870,1,0)))))</f>
        <v/>
      </c>
      <c r="J1290" s="62">
        <f>IF(J135=0,0,IF(J$15&lt;=1,1,IF(EXACT(J1185,"keine"),IF(J$3=J$12,1,0),IF(EXACT(J1185,"beste"),IF(J$3=J1080,1,0),IF(J$3=J870,1,0)))))</f>
        <v/>
      </c>
      <c r="K1290" s="62">
        <f>IF(K135=0,0,IF(K$15&lt;=1,1,IF(EXACT(K1185,"keine"),IF(K$3=K$12,1,0),IF(EXACT(K1185,"beste"),IF(K$3=K1080,1,0),IF(K$3=K870,1,0)))))</f>
        <v/>
      </c>
      <c r="L1290" s="62">
        <f>IF(L135=0,0,IF(L$15&lt;=1,1,IF(EXACT(L1185,"keine"),IF(L$3=L$12,1,0),IF(EXACT(L1185,"beste"),IF(L$3=L1080,1,0),IF(L$3=L870,1,0)))))</f>
        <v/>
      </c>
      <c r="M1290" s="62">
        <f>IF(M135=0,0,IF(M$15&lt;=1,1,IF(EXACT(M1185,"keine"),IF(M$3=M$12,1,0),IF(EXACT(M1185,"beste"),IF(M$3=M1080,1,0),IF(M$3=M870,1,0)))))</f>
        <v/>
      </c>
      <c r="N1290" s="62">
        <f>IF(N135=0,0,IF(N$15&lt;=1,1,IF(EXACT(N1185,"keine"),IF(N$3=N$12,1,0),IF(EXACT(N1185,"beste"),IF(N$3=N1080,1,0),IF(N$3=N870,1,0)))))</f>
        <v/>
      </c>
      <c r="O1290" s="62">
        <f>IF(O135=0,0,IF(O$15&lt;=1,1,IF(EXACT(O1185,"keine"),IF(O$3=O$12,1,0),IF(EXACT(O1185,"beste"),IF(O$3=O1080,1,0),IF(O$3=O870,1,0)))))</f>
        <v/>
      </c>
      <c r="P1290" s="62">
        <f>IF(P135=0,0,IF(P$15&lt;=1,1,IF(EXACT(P1185,"keine"),IF(P$3=P$12,1,0),IF(EXACT(P1185,"beste"),IF(P$3=P1080,1,0),IF(P$3=P870,1,0)))))</f>
        <v/>
      </c>
      <c r="Q1290" s="62">
        <f>IF(Q135=0,0,IF(Q$15&lt;=1,1,IF(EXACT(Q1185,"keine"),IF(Q$3=Q$12,1,0),IF(EXACT(Q1185,"beste"),IF(Q$3=Q1080,1,0),IF(Q$3=Q870,1,0)))))</f>
        <v/>
      </c>
      <c r="R1290" s="62">
        <f>IF(R135=0,0,IF(R$15&lt;=1,1,IF(EXACT(R1185,"keine"),IF(R$3=R$12,1,0),IF(EXACT(R1185,"beste"),IF(R$3=R1080,1,0),IF(R$3=R870,1,0)))))</f>
        <v/>
      </c>
      <c r="S1290" s="62">
        <f>IF(S135=0,0,IF(S$15&lt;=1,1,IF(EXACT(S1185,"keine"),IF(S$3=S$12,1,0),IF(EXACT(S1185,"beste"),IF(S$3=S1080,1,0),IF(S$3=S870,1,0)))))</f>
        <v/>
      </c>
      <c r="T1290" s="62">
        <f>IF(T135=0,0,IF(T$15&lt;=1,1,IF(EXACT(T1185,"keine"),IF(T$3=T$12,1,0),IF(EXACT(T1185,"beste"),IF(T$3=T1080,1,0),IF(T$3=T870,1,0)))))</f>
        <v/>
      </c>
      <c r="U1290" s="62">
        <f>IF(U135=0,0,IF(U$15&lt;=1,1,IF(EXACT(U1185,"keine"),IF(U$3=U$12,1,0),IF(EXACT(U1185,"beste"),IF(U$3=U1080,1,0),IF(U$3=U870,1,0)))))</f>
        <v/>
      </c>
      <c r="V1290" s="62">
        <f>IF(V135=0,0,IF(V$15&lt;=1,1,IF(EXACT(V1185,"keine"),IF(V$3=V$12,1,0),IF(EXACT(V1185,"beste"),IF(V$3=V1080,1,0),IF(V$3=V870,1,0)))))</f>
        <v/>
      </c>
    </row>
    <row r="1291">
      <c r="C1291" s="62">
        <f>IF(C136=0,0,IF(C$15&lt;=1,1,IF(EXACT(C1186,"keine"),IF(C$3=C$12,1,0),IF(EXACT(C1186,"beste"),IF(C$3=C1081,1,0),IF(C$3=C871,1,0)))))</f>
        <v/>
      </c>
      <c r="D1291" s="62">
        <f>IF(D136=0,0,IF(D$15&lt;=1,1,IF(EXACT(D1186,"keine"),IF(D$3=D$12,1,0),IF(EXACT(D1186,"beste"),IF(D$3=D1081,1,0),IF(D$3=D871,1,0)))))</f>
        <v/>
      </c>
      <c r="E1291" s="62">
        <f>IF(E136=0,0,IF(E$15&lt;=1,1,IF(EXACT(E1186,"keine"),IF(E$3=E$12,1,0),IF(EXACT(E1186,"beste"),IF(E$3=E1081,1,0),IF(E$3=E871,1,0)))))</f>
        <v/>
      </c>
      <c r="F1291" s="62">
        <f>IF(F136=0,0,IF(F$15&lt;=1,1,IF(EXACT(F1186,"keine"),IF(F$3=F$12,1,0),IF(EXACT(F1186,"beste"),IF(F$3=F1081,1,0),IF(F$3=F871,1,0)))))</f>
        <v/>
      </c>
      <c r="G1291" s="62">
        <f>IF(G136=0,0,IF(G$15&lt;=1,1,IF(EXACT(G1186,"keine"),IF(G$3=G$12,1,0),IF(EXACT(G1186,"beste"),IF(G$3=G1081,1,0),IF(G$3=G871,1,0)))))</f>
        <v/>
      </c>
      <c r="H1291" s="62">
        <f>IF(H136=0,0,IF(H$15&lt;=1,1,IF(EXACT(H1186,"keine"),IF(H$3=H$12,1,0),IF(EXACT(H1186,"beste"),IF(H$3=H1081,1,0),IF(H$3=H871,1,0)))))</f>
        <v/>
      </c>
      <c r="I1291" s="62">
        <f>IF(I136=0,0,IF(I$15&lt;=1,1,IF(EXACT(I1186,"keine"),IF(I$3=I$12,1,0),IF(EXACT(I1186,"beste"),IF(I$3=I1081,1,0),IF(I$3=I871,1,0)))))</f>
        <v/>
      </c>
      <c r="J1291" s="62">
        <f>IF(J136=0,0,IF(J$15&lt;=1,1,IF(EXACT(J1186,"keine"),IF(J$3=J$12,1,0),IF(EXACT(J1186,"beste"),IF(J$3=J1081,1,0),IF(J$3=J871,1,0)))))</f>
        <v/>
      </c>
      <c r="K1291" s="62">
        <f>IF(K136=0,0,IF(K$15&lt;=1,1,IF(EXACT(K1186,"keine"),IF(K$3=K$12,1,0),IF(EXACT(K1186,"beste"),IF(K$3=K1081,1,0),IF(K$3=K871,1,0)))))</f>
        <v/>
      </c>
      <c r="L1291" s="62">
        <f>IF(L136=0,0,IF(L$15&lt;=1,1,IF(EXACT(L1186,"keine"),IF(L$3=L$12,1,0),IF(EXACT(L1186,"beste"),IF(L$3=L1081,1,0),IF(L$3=L871,1,0)))))</f>
        <v/>
      </c>
      <c r="M1291" s="62">
        <f>IF(M136=0,0,IF(M$15&lt;=1,1,IF(EXACT(M1186,"keine"),IF(M$3=M$12,1,0),IF(EXACT(M1186,"beste"),IF(M$3=M1081,1,0),IF(M$3=M871,1,0)))))</f>
        <v/>
      </c>
      <c r="N1291" s="62">
        <f>IF(N136=0,0,IF(N$15&lt;=1,1,IF(EXACT(N1186,"keine"),IF(N$3=N$12,1,0),IF(EXACT(N1186,"beste"),IF(N$3=N1081,1,0),IF(N$3=N871,1,0)))))</f>
        <v/>
      </c>
      <c r="O1291" s="62">
        <f>IF(O136=0,0,IF(O$15&lt;=1,1,IF(EXACT(O1186,"keine"),IF(O$3=O$12,1,0),IF(EXACT(O1186,"beste"),IF(O$3=O1081,1,0),IF(O$3=O871,1,0)))))</f>
        <v/>
      </c>
      <c r="P1291" s="62">
        <f>IF(P136=0,0,IF(P$15&lt;=1,1,IF(EXACT(P1186,"keine"),IF(P$3=P$12,1,0),IF(EXACT(P1186,"beste"),IF(P$3=P1081,1,0),IF(P$3=P871,1,0)))))</f>
        <v/>
      </c>
      <c r="Q1291" s="62">
        <f>IF(Q136=0,0,IF(Q$15&lt;=1,1,IF(EXACT(Q1186,"keine"),IF(Q$3=Q$12,1,0),IF(EXACT(Q1186,"beste"),IF(Q$3=Q1081,1,0),IF(Q$3=Q871,1,0)))))</f>
        <v/>
      </c>
      <c r="R1291" s="62">
        <f>IF(R136=0,0,IF(R$15&lt;=1,1,IF(EXACT(R1186,"keine"),IF(R$3=R$12,1,0),IF(EXACT(R1186,"beste"),IF(R$3=R1081,1,0),IF(R$3=R871,1,0)))))</f>
        <v/>
      </c>
      <c r="S1291" s="62">
        <f>IF(S136=0,0,IF(S$15&lt;=1,1,IF(EXACT(S1186,"keine"),IF(S$3=S$12,1,0),IF(EXACT(S1186,"beste"),IF(S$3=S1081,1,0),IF(S$3=S871,1,0)))))</f>
        <v/>
      </c>
      <c r="T1291" s="62">
        <f>IF(T136=0,0,IF(T$15&lt;=1,1,IF(EXACT(T1186,"keine"),IF(T$3=T$12,1,0),IF(EXACT(T1186,"beste"),IF(T$3=T1081,1,0),IF(T$3=T871,1,0)))))</f>
        <v/>
      </c>
      <c r="U1291" s="62">
        <f>IF(U136=0,0,IF(U$15&lt;=1,1,IF(EXACT(U1186,"keine"),IF(U$3=U$12,1,0),IF(EXACT(U1186,"beste"),IF(U$3=U1081,1,0),IF(U$3=U871,1,0)))))</f>
        <v/>
      </c>
      <c r="V1291" s="62">
        <f>IF(V136=0,0,IF(V$15&lt;=1,1,IF(EXACT(V1186,"keine"),IF(V$3=V$12,1,0),IF(EXACT(V1186,"beste"),IF(V$3=V1081,1,0),IF(V$3=V871,1,0)))))</f>
        <v/>
      </c>
    </row>
    <row r="1292">
      <c r="C1292" s="62">
        <f>IF(C137=0,0,IF(C$15&lt;=1,1,IF(EXACT(C1187,"keine"),IF(C$3=C$12,1,0),IF(EXACT(C1187,"beste"),IF(C$3=C1082,1,0),IF(C$3=C872,1,0)))))</f>
        <v/>
      </c>
      <c r="D1292" s="62">
        <f>IF(D137=0,0,IF(D$15&lt;=1,1,IF(EXACT(D1187,"keine"),IF(D$3=D$12,1,0),IF(EXACT(D1187,"beste"),IF(D$3=D1082,1,0),IF(D$3=D872,1,0)))))</f>
        <v/>
      </c>
      <c r="E1292" s="62">
        <f>IF(E137=0,0,IF(E$15&lt;=1,1,IF(EXACT(E1187,"keine"),IF(E$3=E$12,1,0),IF(EXACT(E1187,"beste"),IF(E$3=E1082,1,0),IF(E$3=E872,1,0)))))</f>
        <v/>
      </c>
      <c r="F1292" s="62">
        <f>IF(F137=0,0,IF(F$15&lt;=1,1,IF(EXACT(F1187,"keine"),IF(F$3=F$12,1,0),IF(EXACT(F1187,"beste"),IF(F$3=F1082,1,0),IF(F$3=F872,1,0)))))</f>
        <v/>
      </c>
      <c r="G1292" s="62">
        <f>IF(G137=0,0,IF(G$15&lt;=1,1,IF(EXACT(G1187,"keine"),IF(G$3=G$12,1,0),IF(EXACT(G1187,"beste"),IF(G$3=G1082,1,0),IF(G$3=G872,1,0)))))</f>
        <v/>
      </c>
      <c r="H1292" s="62">
        <f>IF(H137=0,0,IF(H$15&lt;=1,1,IF(EXACT(H1187,"keine"),IF(H$3=H$12,1,0),IF(EXACT(H1187,"beste"),IF(H$3=H1082,1,0),IF(H$3=H872,1,0)))))</f>
        <v/>
      </c>
      <c r="I1292" s="62">
        <f>IF(I137=0,0,IF(I$15&lt;=1,1,IF(EXACT(I1187,"keine"),IF(I$3=I$12,1,0),IF(EXACT(I1187,"beste"),IF(I$3=I1082,1,0),IF(I$3=I872,1,0)))))</f>
        <v/>
      </c>
      <c r="J1292" s="62">
        <f>IF(J137=0,0,IF(J$15&lt;=1,1,IF(EXACT(J1187,"keine"),IF(J$3=J$12,1,0),IF(EXACT(J1187,"beste"),IF(J$3=J1082,1,0),IF(J$3=J872,1,0)))))</f>
        <v/>
      </c>
      <c r="K1292" s="62">
        <f>IF(K137=0,0,IF(K$15&lt;=1,1,IF(EXACT(K1187,"keine"),IF(K$3=K$12,1,0),IF(EXACT(K1187,"beste"),IF(K$3=K1082,1,0),IF(K$3=K872,1,0)))))</f>
        <v/>
      </c>
      <c r="L1292" s="62">
        <f>IF(L137=0,0,IF(L$15&lt;=1,1,IF(EXACT(L1187,"keine"),IF(L$3=L$12,1,0),IF(EXACT(L1187,"beste"),IF(L$3=L1082,1,0),IF(L$3=L872,1,0)))))</f>
        <v/>
      </c>
      <c r="M1292" s="62">
        <f>IF(M137=0,0,IF(M$15&lt;=1,1,IF(EXACT(M1187,"keine"),IF(M$3=M$12,1,0),IF(EXACT(M1187,"beste"),IF(M$3=M1082,1,0),IF(M$3=M872,1,0)))))</f>
        <v/>
      </c>
      <c r="N1292" s="62">
        <f>IF(N137=0,0,IF(N$15&lt;=1,1,IF(EXACT(N1187,"keine"),IF(N$3=N$12,1,0),IF(EXACT(N1187,"beste"),IF(N$3=N1082,1,0),IF(N$3=N872,1,0)))))</f>
        <v/>
      </c>
      <c r="O1292" s="62">
        <f>IF(O137=0,0,IF(O$15&lt;=1,1,IF(EXACT(O1187,"keine"),IF(O$3=O$12,1,0),IF(EXACT(O1187,"beste"),IF(O$3=O1082,1,0),IF(O$3=O872,1,0)))))</f>
        <v/>
      </c>
      <c r="P1292" s="62">
        <f>IF(P137=0,0,IF(P$15&lt;=1,1,IF(EXACT(P1187,"keine"),IF(P$3=P$12,1,0),IF(EXACT(P1187,"beste"),IF(P$3=P1082,1,0),IF(P$3=P872,1,0)))))</f>
        <v/>
      </c>
      <c r="Q1292" s="62">
        <f>IF(Q137=0,0,IF(Q$15&lt;=1,1,IF(EXACT(Q1187,"keine"),IF(Q$3=Q$12,1,0),IF(EXACT(Q1187,"beste"),IF(Q$3=Q1082,1,0),IF(Q$3=Q872,1,0)))))</f>
        <v/>
      </c>
      <c r="R1292" s="62">
        <f>IF(R137=0,0,IF(R$15&lt;=1,1,IF(EXACT(R1187,"keine"),IF(R$3=R$12,1,0),IF(EXACT(R1187,"beste"),IF(R$3=R1082,1,0),IF(R$3=R872,1,0)))))</f>
        <v/>
      </c>
      <c r="S1292" s="62">
        <f>IF(S137=0,0,IF(S$15&lt;=1,1,IF(EXACT(S1187,"keine"),IF(S$3=S$12,1,0),IF(EXACT(S1187,"beste"),IF(S$3=S1082,1,0),IF(S$3=S872,1,0)))))</f>
        <v/>
      </c>
      <c r="T1292" s="62">
        <f>IF(T137=0,0,IF(T$15&lt;=1,1,IF(EXACT(T1187,"keine"),IF(T$3=T$12,1,0),IF(EXACT(T1187,"beste"),IF(T$3=T1082,1,0),IF(T$3=T872,1,0)))))</f>
        <v/>
      </c>
      <c r="U1292" s="62">
        <f>IF(U137=0,0,IF(U$15&lt;=1,1,IF(EXACT(U1187,"keine"),IF(U$3=U$12,1,0),IF(EXACT(U1187,"beste"),IF(U$3=U1082,1,0),IF(U$3=U872,1,0)))))</f>
        <v/>
      </c>
      <c r="V1292" s="62">
        <f>IF(V137=0,0,IF(V$15&lt;=1,1,IF(EXACT(V1187,"keine"),IF(V$3=V$12,1,0),IF(EXACT(V1187,"beste"),IF(V$3=V1082,1,0),IF(V$3=V872,1,0)))))</f>
        <v/>
      </c>
    </row>
    <row r="1293">
      <c r="C1293" s="62">
        <f>IF(C138=0,0,IF(C$15&lt;=1,1,IF(EXACT(C1188,"keine"),IF(C$3=C$12,1,0),IF(EXACT(C1188,"beste"),IF(C$3=C1083,1,0),IF(C$3=C873,1,0)))))</f>
        <v/>
      </c>
      <c r="D1293" s="62">
        <f>IF(D138=0,0,IF(D$15&lt;=1,1,IF(EXACT(D1188,"keine"),IF(D$3=D$12,1,0),IF(EXACT(D1188,"beste"),IF(D$3=D1083,1,0),IF(D$3=D873,1,0)))))</f>
        <v/>
      </c>
      <c r="E1293" s="62">
        <f>IF(E138=0,0,IF(E$15&lt;=1,1,IF(EXACT(E1188,"keine"),IF(E$3=E$12,1,0),IF(EXACT(E1188,"beste"),IF(E$3=E1083,1,0),IF(E$3=E873,1,0)))))</f>
        <v/>
      </c>
      <c r="F1293" s="62">
        <f>IF(F138=0,0,IF(F$15&lt;=1,1,IF(EXACT(F1188,"keine"),IF(F$3=F$12,1,0),IF(EXACT(F1188,"beste"),IF(F$3=F1083,1,0),IF(F$3=F873,1,0)))))</f>
        <v/>
      </c>
      <c r="G1293" s="62">
        <f>IF(G138=0,0,IF(G$15&lt;=1,1,IF(EXACT(G1188,"keine"),IF(G$3=G$12,1,0),IF(EXACT(G1188,"beste"),IF(G$3=G1083,1,0),IF(G$3=G873,1,0)))))</f>
        <v/>
      </c>
      <c r="H1293" s="62">
        <f>IF(H138=0,0,IF(H$15&lt;=1,1,IF(EXACT(H1188,"keine"),IF(H$3=H$12,1,0),IF(EXACT(H1188,"beste"),IF(H$3=H1083,1,0),IF(H$3=H873,1,0)))))</f>
        <v/>
      </c>
      <c r="I1293" s="62">
        <f>IF(I138=0,0,IF(I$15&lt;=1,1,IF(EXACT(I1188,"keine"),IF(I$3=I$12,1,0),IF(EXACT(I1188,"beste"),IF(I$3=I1083,1,0),IF(I$3=I873,1,0)))))</f>
        <v/>
      </c>
      <c r="J1293" s="62">
        <f>IF(J138=0,0,IF(J$15&lt;=1,1,IF(EXACT(J1188,"keine"),IF(J$3=J$12,1,0),IF(EXACT(J1188,"beste"),IF(J$3=J1083,1,0),IF(J$3=J873,1,0)))))</f>
        <v/>
      </c>
      <c r="K1293" s="62">
        <f>IF(K138=0,0,IF(K$15&lt;=1,1,IF(EXACT(K1188,"keine"),IF(K$3=K$12,1,0),IF(EXACT(K1188,"beste"),IF(K$3=K1083,1,0),IF(K$3=K873,1,0)))))</f>
        <v/>
      </c>
      <c r="L1293" s="62">
        <f>IF(L138=0,0,IF(L$15&lt;=1,1,IF(EXACT(L1188,"keine"),IF(L$3=L$12,1,0),IF(EXACT(L1188,"beste"),IF(L$3=L1083,1,0),IF(L$3=L873,1,0)))))</f>
        <v/>
      </c>
      <c r="M1293" s="62">
        <f>IF(M138=0,0,IF(M$15&lt;=1,1,IF(EXACT(M1188,"keine"),IF(M$3=M$12,1,0),IF(EXACT(M1188,"beste"),IF(M$3=M1083,1,0),IF(M$3=M873,1,0)))))</f>
        <v/>
      </c>
      <c r="N1293" s="62">
        <f>IF(N138=0,0,IF(N$15&lt;=1,1,IF(EXACT(N1188,"keine"),IF(N$3=N$12,1,0),IF(EXACT(N1188,"beste"),IF(N$3=N1083,1,0),IF(N$3=N873,1,0)))))</f>
        <v/>
      </c>
      <c r="O1293" s="62">
        <f>IF(O138=0,0,IF(O$15&lt;=1,1,IF(EXACT(O1188,"keine"),IF(O$3=O$12,1,0),IF(EXACT(O1188,"beste"),IF(O$3=O1083,1,0),IF(O$3=O873,1,0)))))</f>
        <v/>
      </c>
      <c r="P1293" s="62">
        <f>IF(P138=0,0,IF(P$15&lt;=1,1,IF(EXACT(P1188,"keine"),IF(P$3=P$12,1,0),IF(EXACT(P1188,"beste"),IF(P$3=P1083,1,0),IF(P$3=P873,1,0)))))</f>
        <v/>
      </c>
      <c r="Q1293" s="62">
        <f>IF(Q138=0,0,IF(Q$15&lt;=1,1,IF(EXACT(Q1188,"keine"),IF(Q$3=Q$12,1,0),IF(EXACT(Q1188,"beste"),IF(Q$3=Q1083,1,0),IF(Q$3=Q873,1,0)))))</f>
        <v/>
      </c>
      <c r="R1293" s="62">
        <f>IF(R138=0,0,IF(R$15&lt;=1,1,IF(EXACT(R1188,"keine"),IF(R$3=R$12,1,0),IF(EXACT(R1188,"beste"),IF(R$3=R1083,1,0),IF(R$3=R873,1,0)))))</f>
        <v/>
      </c>
      <c r="S1293" s="62">
        <f>IF(S138=0,0,IF(S$15&lt;=1,1,IF(EXACT(S1188,"keine"),IF(S$3=S$12,1,0),IF(EXACT(S1188,"beste"),IF(S$3=S1083,1,0),IF(S$3=S873,1,0)))))</f>
        <v/>
      </c>
      <c r="T1293" s="62">
        <f>IF(T138=0,0,IF(T$15&lt;=1,1,IF(EXACT(T1188,"keine"),IF(T$3=T$12,1,0),IF(EXACT(T1188,"beste"),IF(T$3=T1083,1,0),IF(T$3=T873,1,0)))))</f>
        <v/>
      </c>
      <c r="U1293" s="62">
        <f>IF(U138=0,0,IF(U$15&lt;=1,1,IF(EXACT(U1188,"keine"),IF(U$3=U$12,1,0),IF(EXACT(U1188,"beste"),IF(U$3=U1083,1,0),IF(U$3=U873,1,0)))))</f>
        <v/>
      </c>
      <c r="V1293" s="62">
        <f>IF(V138=0,0,IF(V$15&lt;=1,1,IF(EXACT(V1188,"keine"),IF(V$3=V$12,1,0),IF(EXACT(V1188,"beste"),IF(V$3=V1083,1,0),IF(V$3=V873,1,0)))))</f>
        <v/>
      </c>
    </row>
    <row r="1294">
      <c r="C1294" s="62">
        <f>IF(C139=0,0,IF(C$15&lt;=1,1,IF(EXACT(C1189,"keine"),IF(C$3=C$12,1,0),IF(EXACT(C1189,"beste"),IF(C$3=C1084,1,0),IF(C$3=C874,1,0)))))</f>
        <v/>
      </c>
      <c r="D1294" s="62">
        <f>IF(D139=0,0,IF(D$15&lt;=1,1,IF(EXACT(D1189,"keine"),IF(D$3=D$12,1,0),IF(EXACT(D1189,"beste"),IF(D$3=D1084,1,0),IF(D$3=D874,1,0)))))</f>
        <v/>
      </c>
      <c r="E1294" s="62">
        <f>IF(E139=0,0,IF(E$15&lt;=1,1,IF(EXACT(E1189,"keine"),IF(E$3=E$12,1,0),IF(EXACT(E1189,"beste"),IF(E$3=E1084,1,0),IF(E$3=E874,1,0)))))</f>
        <v/>
      </c>
      <c r="F1294" s="62">
        <f>IF(F139=0,0,IF(F$15&lt;=1,1,IF(EXACT(F1189,"keine"),IF(F$3=F$12,1,0),IF(EXACT(F1189,"beste"),IF(F$3=F1084,1,0),IF(F$3=F874,1,0)))))</f>
        <v/>
      </c>
      <c r="G1294" s="62">
        <f>IF(G139=0,0,IF(G$15&lt;=1,1,IF(EXACT(G1189,"keine"),IF(G$3=G$12,1,0),IF(EXACT(G1189,"beste"),IF(G$3=G1084,1,0),IF(G$3=G874,1,0)))))</f>
        <v/>
      </c>
      <c r="H1294" s="62">
        <f>IF(H139=0,0,IF(H$15&lt;=1,1,IF(EXACT(H1189,"keine"),IF(H$3=H$12,1,0),IF(EXACT(H1189,"beste"),IF(H$3=H1084,1,0),IF(H$3=H874,1,0)))))</f>
        <v/>
      </c>
      <c r="I1294" s="62">
        <f>IF(I139=0,0,IF(I$15&lt;=1,1,IF(EXACT(I1189,"keine"),IF(I$3=I$12,1,0),IF(EXACT(I1189,"beste"),IF(I$3=I1084,1,0),IF(I$3=I874,1,0)))))</f>
        <v/>
      </c>
      <c r="J1294" s="62">
        <f>IF(J139=0,0,IF(J$15&lt;=1,1,IF(EXACT(J1189,"keine"),IF(J$3=J$12,1,0),IF(EXACT(J1189,"beste"),IF(J$3=J1084,1,0),IF(J$3=J874,1,0)))))</f>
        <v/>
      </c>
      <c r="K1294" s="62">
        <f>IF(K139=0,0,IF(K$15&lt;=1,1,IF(EXACT(K1189,"keine"),IF(K$3=K$12,1,0),IF(EXACT(K1189,"beste"),IF(K$3=K1084,1,0),IF(K$3=K874,1,0)))))</f>
        <v/>
      </c>
      <c r="L1294" s="62">
        <f>IF(L139=0,0,IF(L$15&lt;=1,1,IF(EXACT(L1189,"keine"),IF(L$3=L$12,1,0),IF(EXACT(L1189,"beste"),IF(L$3=L1084,1,0),IF(L$3=L874,1,0)))))</f>
        <v/>
      </c>
      <c r="M1294" s="62">
        <f>IF(M139=0,0,IF(M$15&lt;=1,1,IF(EXACT(M1189,"keine"),IF(M$3=M$12,1,0),IF(EXACT(M1189,"beste"),IF(M$3=M1084,1,0),IF(M$3=M874,1,0)))))</f>
        <v/>
      </c>
      <c r="N1294" s="62">
        <f>IF(N139=0,0,IF(N$15&lt;=1,1,IF(EXACT(N1189,"keine"),IF(N$3=N$12,1,0),IF(EXACT(N1189,"beste"),IF(N$3=N1084,1,0),IF(N$3=N874,1,0)))))</f>
        <v/>
      </c>
      <c r="O1294" s="62">
        <f>IF(O139=0,0,IF(O$15&lt;=1,1,IF(EXACT(O1189,"keine"),IF(O$3=O$12,1,0),IF(EXACT(O1189,"beste"),IF(O$3=O1084,1,0),IF(O$3=O874,1,0)))))</f>
        <v/>
      </c>
      <c r="P1294" s="62">
        <f>IF(P139=0,0,IF(P$15&lt;=1,1,IF(EXACT(P1189,"keine"),IF(P$3=P$12,1,0),IF(EXACT(P1189,"beste"),IF(P$3=P1084,1,0),IF(P$3=P874,1,0)))))</f>
        <v/>
      </c>
      <c r="Q1294" s="62">
        <f>IF(Q139=0,0,IF(Q$15&lt;=1,1,IF(EXACT(Q1189,"keine"),IF(Q$3=Q$12,1,0),IF(EXACT(Q1189,"beste"),IF(Q$3=Q1084,1,0),IF(Q$3=Q874,1,0)))))</f>
        <v/>
      </c>
      <c r="R1294" s="62">
        <f>IF(R139=0,0,IF(R$15&lt;=1,1,IF(EXACT(R1189,"keine"),IF(R$3=R$12,1,0),IF(EXACT(R1189,"beste"),IF(R$3=R1084,1,0),IF(R$3=R874,1,0)))))</f>
        <v/>
      </c>
      <c r="S1294" s="62">
        <f>IF(S139=0,0,IF(S$15&lt;=1,1,IF(EXACT(S1189,"keine"),IF(S$3=S$12,1,0),IF(EXACT(S1189,"beste"),IF(S$3=S1084,1,0),IF(S$3=S874,1,0)))))</f>
        <v/>
      </c>
      <c r="T1294" s="62">
        <f>IF(T139=0,0,IF(T$15&lt;=1,1,IF(EXACT(T1189,"keine"),IF(T$3=T$12,1,0),IF(EXACT(T1189,"beste"),IF(T$3=T1084,1,0),IF(T$3=T874,1,0)))))</f>
        <v/>
      </c>
      <c r="U1294" s="62">
        <f>IF(U139=0,0,IF(U$15&lt;=1,1,IF(EXACT(U1189,"keine"),IF(U$3=U$12,1,0),IF(EXACT(U1189,"beste"),IF(U$3=U1084,1,0),IF(U$3=U874,1,0)))))</f>
        <v/>
      </c>
      <c r="V1294" s="62">
        <f>IF(V139=0,0,IF(V$15&lt;=1,1,IF(EXACT(V1189,"keine"),IF(V$3=V$12,1,0),IF(EXACT(V1189,"beste"),IF(V$3=V1084,1,0),IF(V$3=V874,1,0)))))</f>
        <v/>
      </c>
    </row>
    <row r="1295">
      <c r="C1295" s="62">
        <f>IF(C140=0,0,IF(C$15&lt;=1,1,IF(EXACT(C1190,"keine"),IF(C$3=C$12,1,0),IF(EXACT(C1190,"beste"),IF(C$3=C1085,1,0),IF(C$3=C875,1,0)))))</f>
        <v/>
      </c>
      <c r="D1295" s="62">
        <f>IF(D140=0,0,IF(D$15&lt;=1,1,IF(EXACT(D1190,"keine"),IF(D$3=D$12,1,0),IF(EXACT(D1190,"beste"),IF(D$3=D1085,1,0),IF(D$3=D875,1,0)))))</f>
        <v/>
      </c>
      <c r="E1295" s="62">
        <f>IF(E140=0,0,IF(E$15&lt;=1,1,IF(EXACT(E1190,"keine"),IF(E$3=E$12,1,0),IF(EXACT(E1190,"beste"),IF(E$3=E1085,1,0),IF(E$3=E875,1,0)))))</f>
        <v/>
      </c>
      <c r="F1295" s="62">
        <f>IF(F140=0,0,IF(F$15&lt;=1,1,IF(EXACT(F1190,"keine"),IF(F$3=F$12,1,0),IF(EXACT(F1190,"beste"),IF(F$3=F1085,1,0),IF(F$3=F875,1,0)))))</f>
        <v/>
      </c>
      <c r="G1295" s="62">
        <f>IF(G140=0,0,IF(G$15&lt;=1,1,IF(EXACT(G1190,"keine"),IF(G$3=G$12,1,0),IF(EXACT(G1190,"beste"),IF(G$3=G1085,1,0),IF(G$3=G875,1,0)))))</f>
        <v/>
      </c>
      <c r="H1295" s="62">
        <f>IF(H140=0,0,IF(H$15&lt;=1,1,IF(EXACT(H1190,"keine"),IF(H$3=H$12,1,0),IF(EXACT(H1190,"beste"),IF(H$3=H1085,1,0),IF(H$3=H875,1,0)))))</f>
        <v/>
      </c>
      <c r="I1295" s="62">
        <f>IF(I140=0,0,IF(I$15&lt;=1,1,IF(EXACT(I1190,"keine"),IF(I$3=I$12,1,0),IF(EXACT(I1190,"beste"),IF(I$3=I1085,1,0),IF(I$3=I875,1,0)))))</f>
        <v/>
      </c>
      <c r="J1295" s="62">
        <f>IF(J140=0,0,IF(J$15&lt;=1,1,IF(EXACT(J1190,"keine"),IF(J$3=J$12,1,0),IF(EXACT(J1190,"beste"),IF(J$3=J1085,1,0),IF(J$3=J875,1,0)))))</f>
        <v/>
      </c>
      <c r="K1295" s="62">
        <f>IF(K140=0,0,IF(K$15&lt;=1,1,IF(EXACT(K1190,"keine"),IF(K$3=K$12,1,0),IF(EXACT(K1190,"beste"),IF(K$3=K1085,1,0),IF(K$3=K875,1,0)))))</f>
        <v/>
      </c>
      <c r="L1295" s="62">
        <f>IF(L140=0,0,IF(L$15&lt;=1,1,IF(EXACT(L1190,"keine"),IF(L$3=L$12,1,0),IF(EXACT(L1190,"beste"),IF(L$3=L1085,1,0),IF(L$3=L875,1,0)))))</f>
        <v/>
      </c>
      <c r="M1295" s="62">
        <f>IF(M140=0,0,IF(M$15&lt;=1,1,IF(EXACT(M1190,"keine"),IF(M$3=M$12,1,0),IF(EXACT(M1190,"beste"),IF(M$3=M1085,1,0),IF(M$3=M875,1,0)))))</f>
        <v/>
      </c>
      <c r="N1295" s="62">
        <f>IF(N140=0,0,IF(N$15&lt;=1,1,IF(EXACT(N1190,"keine"),IF(N$3=N$12,1,0),IF(EXACT(N1190,"beste"),IF(N$3=N1085,1,0),IF(N$3=N875,1,0)))))</f>
        <v/>
      </c>
      <c r="O1295" s="62">
        <f>IF(O140=0,0,IF(O$15&lt;=1,1,IF(EXACT(O1190,"keine"),IF(O$3=O$12,1,0),IF(EXACT(O1190,"beste"),IF(O$3=O1085,1,0),IF(O$3=O875,1,0)))))</f>
        <v/>
      </c>
      <c r="P1295" s="62">
        <f>IF(P140=0,0,IF(P$15&lt;=1,1,IF(EXACT(P1190,"keine"),IF(P$3=P$12,1,0),IF(EXACT(P1190,"beste"),IF(P$3=P1085,1,0),IF(P$3=P875,1,0)))))</f>
        <v/>
      </c>
      <c r="Q1295" s="62">
        <f>IF(Q140=0,0,IF(Q$15&lt;=1,1,IF(EXACT(Q1190,"keine"),IF(Q$3=Q$12,1,0),IF(EXACT(Q1190,"beste"),IF(Q$3=Q1085,1,0),IF(Q$3=Q875,1,0)))))</f>
        <v/>
      </c>
      <c r="R1295" s="62">
        <f>IF(R140=0,0,IF(R$15&lt;=1,1,IF(EXACT(R1190,"keine"),IF(R$3=R$12,1,0),IF(EXACT(R1190,"beste"),IF(R$3=R1085,1,0),IF(R$3=R875,1,0)))))</f>
        <v/>
      </c>
      <c r="S1295" s="62">
        <f>IF(S140=0,0,IF(S$15&lt;=1,1,IF(EXACT(S1190,"keine"),IF(S$3=S$12,1,0),IF(EXACT(S1190,"beste"),IF(S$3=S1085,1,0),IF(S$3=S875,1,0)))))</f>
        <v/>
      </c>
      <c r="T1295" s="62">
        <f>IF(T140=0,0,IF(T$15&lt;=1,1,IF(EXACT(T1190,"keine"),IF(T$3=T$12,1,0),IF(EXACT(T1190,"beste"),IF(T$3=T1085,1,0),IF(T$3=T875,1,0)))))</f>
        <v/>
      </c>
      <c r="U1295" s="62">
        <f>IF(U140=0,0,IF(U$15&lt;=1,1,IF(EXACT(U1190,"keine"),IF(U$3=U$12,1,0),IF(EXACT(U1190,"beste"),IF(U$3=U1085,1,0),IF(U$3=U875,1,0)))))</f>
        <v/>
      </c>
      <c r="V1295" s="62">
        <f>IF(V140=0,0,IF(V$15&lt;=1,1,IF(EXACT(V1190,"keine"),IF(V$3=V$12,1,0),IF(EXACT(V1190,"beste"),IF(V$3=V1085,1,0),IF(V$3=V875,1,0)))))</f>
        <v/>
      </c>
    </row>
    <row r="1296">
      <c r="C1296" s="62">
        <f>IF(C141=0,0,IF(C$15&lt;=1,1,IF(EXACT(C1191,"keine"),IF(C$3=C$12,1,0),IF(EXACT(C1191,"beste"),IF(C$3=C1086,1,0),IF(C$3=C876,1,0)))))</f>
        <v/>
      </c>
      <c r="D1296" s="62">
        <f>IF(D141=0,0,IF(D$15&lt;=1,1,IF(EXACT(D1191,"keine"),IF(D$3=D$12,1,0),IF(EXACT(D1191,"beste"),IF(D$3=D1086,1,0),IF(D$3=D876,1,0)))))</f>
        <v/>
      </c>
      <c r="E1296" s="62">
        <f>IF(E141=0,0,IF(E$15&lt;=1,1,IF(EXACT(E1191,"keine"),IF(E$3=E$12,1,0),IF(EXACT(E1191,"beste"),IF(E$3=E1086,1,0),IF(E$3=E876,1,0)))))</f>
        <v/>
      </c>
      <c r="F1296" s="62">
        <f>IF(F141=0,0,IF(F$15&lt;=1,1,IF(EXACT(F1191,"keine"),IF(F$3=F$12,1,0),IF(EXACT(F1191,"beste"),IF(F$3=F1086,1,0),IF(F$3=F876,1,0)))))</f>
        <v/>
      </c>
      <c r="G1296" s="62">
        <f>IF(G141=0,0,IF(G$15&lt;=1,1,IF(EXACT(G1191,"keine"),IF(G$3=G$12,1,0),IF(EXACT(G1191,"beste"),IF(G$3=G1086,1,0),IF(G$3=G876,1,0)))))</f>
        <v/>
      </c>
      <c r="H1296" s="62">
        <f>IF(H141=0,0,IF(H$15&lt;=1,1,IF(EXACT(H1191,"keine"),IF(H$3=H$12,1,0),IF(EXACT(H1191,"beste"),IF(H$3=H1086,1,0),IF(H$3=H876,1,0)))))</f>
        <v/>
      </c>
      <c r="I1296" s="62">
        <f>IF(I141=0,0,IF(I$15&lt;=1,1,IF(EXACT(I1191,"keine"),IF(I$3=I$12,1,0),IF(EXACT(I1191,"beste"),IF(I$3=I1086,1,0),IF(I$3=I876,1,0)))))</f>
        <v/>
      </c>
      <c r="J1296" s="62">
        <f>IF(J141=0,0,IF(J$15&lt;=1,1,IF(EXACT(J1191,"keine"),IF(J$3=J$12,1,0),IF(EXACT(J1191,"beste"),IF(J$3=J1086,1,0),IF(J$3=J876,1,0)))))</f>
        <v/>
      </c>
      <c r="K1296" s="62">
        <f>IF(K141=0,0,IF(K$15&lt;=1,1,IF(EXACT(K1191,"keine"),IF(K$3=K$12,1,0),IF(EXACT(K1191,"beste"),IF(K$3=K1086,1,0),IF(K$3=K876,1,0)))))</f>
        <v/>
      </c>
      <c r="L1296" s="62">
        <f>IF(L141=0,0,IF(L$15&lt;=1,1,IF(EXACT(L1191,"keine"),IF(L$3=L$12,1,0),IF(EXACT(L1191,"beste"),IF(L$3=L1086,1,0),IF(L$3=L876,1,0)))))</f>
        <v/>
      </c>
      <c r="M1296" s="62">
        <f>IF(M141=0,0,IF(M$15&lt;=1,1,IF(EXACT(M1191,"keine"),IF(M$3=M$12,1,0),IF(EXACT(M1191,"beste"),IF(M$3=M1086,1,0),IF(M$3=M876,1,0)))))</f>
        <v/>
      </c>
      <c r="N1296" s="62">
        <f>IF(N141=0,0,IF(N$15&lt;=1,1,IF(EXACT(N1191,"keine"),IF(N$3=N$12,1,0),IF(EXACT(N1191,"beste"),IF(N$3=N1086,1,0),IF(N$3=N876,1,0)))))</f>
        <v/>
      </c>
      <c r="O1296" s="62">
        <f>IF(O141=0,0,IF(O$15&lt;=1,1,IF(EXACT(O1191,"keine"),IF(O$3=O$12,1,0),IF(EXACT(O1191,"beste"),IF(O$3=O1086,1,0),IF(O$3=O876,1,0)))))</f>
        <v/>
      </c>
      <c r="P1296" s="62">
        <f>IF(P141=0,0,IF(P$15&lt;=1,1,IF(EXACT(P1191,"keine"),IF(P$3=P$12,1,0),IF(EXACT(P1191,"beste"),IF(P$3=P1086,1,0),IF(P$3=P876,1,0)))))</f>
        <v/>
      </c>
      <c r="Q1296" s="62">
        <f>IF(Q141=0,0,IF(Q$15&lt;=1,1,IF(EXACT(Q1191,"keine"),IF(Q$3=Q$12,1,0),IF(EXACT(Q1191,"beste"),IF(Q$3=Q1086,1,0),IF(Q$3=Q876,1,0)))))</f>
        <v/>
      </c>
      <c r="R1296" s="62">
        <f>IF(R141=0,0,IF(R$15&lt;=1,1,IF(EXACT(R1191,"keine"),IF(R$3=R$12,1,0),IF(EXACT(R1191,"beste"),IF(R$3=R1086,1,0),IF(R$3=R876,1,0)))))</f>
        <v/>
      </c>
      <c r="S1296" s="62">
        <f>IF(S141=0,0,IF(S$15&lt;=1,1,IF(EXACT(S1191,"keine"),IF(S$3=S$12,1,0),IF(EXACT(S1191,"beste"),IF(S$3=S1086,1,0),IF(S$3=S876,1,0)))))</f>
        <v/>
      </c>
      <c r="T1296" s="62">
        <f>IF(T141=0,0,IF(T$15&lt;=1,1,IF(EXACT(T1191,"keine"),IF(T$3=T$12,1,0),IF(EXACT(T1191,"beste"),IF(T$3=T1086,1,0),IF(T$3=T876,1,0)))))</f>
        <v/>
      </c>
      <c r="U1296" s="62">
        <f>IF(U141=0,0,IF(U$15&lt;=1,1,IF(EXACT(U1191,"keine"),IF(U$3=U$12,1,0),IF(EXACT(U1191,"beste"),IF(U$3=U1086,1,0),IF(U$3=U876,1,0)))))</f>
        <v/>
      </c>
      <c r="V1296" s="62">
        <f>IF(V141=0,0,IF(V$15&lt;=1,1,IF(EXACT(V1191,"keine"),IF(V$3=V$12,1,0),IF(EXACT(V1191,"beste"),IF(V$3=V1086,1,0),IF(V$3=V876,1,0)))))</f>
        <v/>
      </c>
    </row>
    <row r="1297">
      <c r="C1297" s="62">
        <f>IF(C142=0,0,IF(C$15&lt;=1,1,IF(EXACT(C1192,"keine"),IF(C$3=C$12,1,0),IF(EXACT(C1192,"beste"),IF(C$3=C1087,1,0),IF(C$3=C877,1,0)))))</f>
        <v/>
      </c>
      <c r="D1297" s="62">
        <f>IF(D142=0,0,IF(D$15&lt;=1,1,IF(EXACT(D1192,"keine"),IF(D$3=D$12,1,0),IF(EXACT(D1192,"beste"),IF(D$3=D1087,1,0),IF(D$3=D877,1,0)))))</f>
        <v/>
      </c>
      <c r="E1297" s="62">
        <f>IF(E142=0,0,IF(E$15&lt;=1,1,IF(EXACT(E1192,"keine"),IF(E$3=E$12,1,0),IF(EXACT(E1192,"beste"),IF(E$3=E1087,1,0),IF(E$3=E877,1,0)))))</f>
        <v/>
      </c>
      <c r="F1297" s="62">
        <f>IF(F142=0,0,IF(F$15&lt;=1,1,IF(EXACT(F1192,"keine"),IF(F$3=F$12,1,0),IF(EXACT(F1192,"beste"),IF(F$3=F1087,1,0),IF(F$3=F877,1,0)))))</f>
        <v/>
      </c>
      <c r="G1297" s="62">
        <f>IF(G142=0,0,IF(G$15&lt;=1,1,IF(EXACT(G1192,"keine"),IF(G$3=G$12,1,0),IF(EXACT(G1192,"beste"),IF(G$3=G1087,1,0),IF(G$3=G877,1,0)))))</f>
        <v/>
      </c>
      <c r="H1297" s="62">
        <f>IF(H142=0,0,IF(H$15&lt;=1,1,IF(EXACT(H1192,"keine"),IF(H$3=H$12,1,0),IF(EXACT(H1192,"beste"),IF(H$3=H1087,1,0),IF(H$3=H877,1,0)))))</f>
        <v/>
      </c>
      <c r="I1297" s="62">
        <f>IF(I142=0,0,IF(I$15&lt;=1,1,IF(EXACT(I1192,"keine"),IF(I$3=I$12,1,0),IF(EXACT(I1192,"beste"),IF(I$3=I1087,1,0),IF(I$3=I877,1,0)))))</f>
        <v/>
      </c>
      <c r="J1297" s="62">
        <f>IF(J142=0,0,IF(J$15&lt;=1,1,IF(EXACT(J1192,"keine"),IF(J$3=J$12,1,0),IF(EXACT(J1192,"beste"),IF(J$3=J1087,1,0),IF(J$3=J877,1,0)))))</f>
        <v/>
      </c>
      <c r="K1297" s="62">
        <f>IF(K142=0,0,IF(K$15&lt;=1,1,IF(EXACT(K1192,"keine"),IF(K$3=K$12,1,0),IF(EXACT(K1192,"beste"),IF(K$3=K1087,1,0),IF(K$3=K877,1,0)))))</f>
        <v/>
      </c>
      <c r="L1297" s="62">
        <f>IF(L142=0,0,IF(L$15&lt;=1,1,IF(EXACT(L1192,"keine"),IF(L$3=L$12,1,0),IF(EXACT(L1192,"beste"),IF(L$3=L1087,1,0),IF(L$3=L877,1,0)))))</f>
        <v/>
      </c>
      <c r="M1297" s="62">
        <f>IF(M142=0,0,IF(M$15&lt;=1,1,IF(EXACT(M1192,"keine"),IF(M$3=M$12,1,0),IF(EXACT(M1192,"beste"),IF(M$3=M1087,1,0),IF(M$3=M877,1,0)))))</f>
        <v/>
      </c>
      <c r="N1297" s="62">
        <f>IF(N142=0,0,IF(N$15&lt;=1,1,IF(EXACT(N1192,"keine"),IF(N$3=N$12,1,0),IF(EXACT(N1192,"beste"),IF(N$3=N1087,1,0),IF(N$3=N877,1,0)))))</f>
        <v/>
      </c>
      <c r="O1297" s="62">
        <f>IF(O142=0,0,IF(O$15&lt;=1,1,IF(EXACT(O1192,"keine"),IF(O$3=O$12,1,0),IF(EXACT(O1192,"beste"),IF(O$3=O1087,1,0),IF(O$3=O877,1,0)))))</f>
        <v/>
      </c>
      <c r="P1297" s="62">
        <f>IF(P142=0,0,IF(P$15&lt;=1,1,IF(EXACT(P1192,"keine"),IF(P$3=P$12,1,0),IF(EXACT(P1192,"beste"),IF(P$3=P1087,1,0),IF(P$3=P877,1,0)))))</f>
        <v/>
      </c>
      <c r="Q1297" s="62">
        <f>IF(Q142=0,0,IF(Q$15&lt;=1,1,IF(EXACT(Q1192,"keine"),IF(Q$3=Q$12,1,0),IF(EXACT(Q1192,"beste"),IF(Q$3=Q1087,1,0),IF(Q$3=Q877,1,0)))))</f>
        <v/>
      </c>
      <c r="R1297" s="62">
        <f>IF(R142=0,0,IF(R$15&lt;=1,1,IF(EXACT(R1192,"keine"),IF(R$3=R$12,1,0),IF(EXACT(R1192,"beste"),IF(R$3=R1087,1,0),IF(R$3=R877,1,0)))))</f>
        <v/>
      </c>
      <c r="S1297" s="62">
        <f>IF(S142=0,0,IF(S$15&lt;=1,1,IF(EXACT(S1192,"keine"),IF(S$3=S$12,1,0),IF(EXACT(S1192,"beste"),IF(S$3=S1087,1,0),IF(S$3=S877,1,0)))))</f>
        <v/>
      </c>
      <c r="T1297" s="62">
        <f>IF(T142=0,0,IF(T$15&lt;=1,1,IF(EXACT(T1192,"keine"),IF(T$3=T$12,1,0),IF(EXACT(T1192,"beste"),IF(T$3=T1087,1,0),IF(T$3=T877,1,0)))))</f>
        <v/>
      </c>
      <c r="U1297" s="62">
        <f>IF(U142=0,0,IF(U$15&lt;=1,1,IF(EXACT(U1192,"keine"),IF(U$3=U$12,1,0),IF(EXACT(U1192,"beste"),IF(U$3=U1087,1,0),IF(U$3=U877,1,0)))))</f>
        <v/>
      </c>
      <c r="V1297" s="62">
        <f>IF(V142=0,0,IF(V$15&lt;=1,1,IF(EXACT(V1192,"keine"),IF(V$3=V$12,1,0),IF(EXACT(V1192,"beste"),IF(V$3=V1087,1,0),IF(V$3=V877,1,0)))))</f>
        <v/>
      </c>
    </row>
    <row r="1298">
      <c r="C1298" s="62">
        <f>IF(C143=0,0,IF(C$15&lt;=1,1,IF(EXACT(C1193,"keine"),IF(C$3=C$12,1,0),IF(EXACT(C1193,"beste"),IF(C$3=C1088,1,0),IF(C$3=C878,1,0)))))</f>
        <v/>
      </c>
      <c r="D1298" s="62">
        <f>IF(D143=0,0,IF(D$15&lt;=1,1,IF(EXACT(D1193,"keine"),IF(D$3=D$12,1,0),IF(EXACT(D1193,"beste"),IF(D$3=D1088,1,0),IF(D$3=D878,1,0)))))</f>
        <v/>
      </c>
      <c r="E1298" s="62">
        <f>IF(E143=0,0,IF(E$15&lt;=1,1,IF(EXACT(E1193,"keine"),IF(E$3=E$12,1,0),IF(EXACT(E1193,"beste"),IF(E$3=E1088,1,0),IF(E$3=E878,1,0)))))</f>
        <v/>
      </c>
      <c r="F1298" s="62">
        <f>IF(F143=0,0,IF(F$15&lt;=1,1,IF(EXACT(F1193,"keine"),IF(F$3=F$12,1,0),IF(EXACT(F1193,"beste"),IF(F$3=F1088,1,0),IF(F$3=F878,1,0)))))</f>
        <v/>
      </c>
      <c r="G1298" s="62">
        <f>IF(G143=0,0,IF(G$15&lt;=1,1,IF(EXACT(G1193,"keine"),IF(G$3=G$12,1,0),IF(EXACT(G1193,"beste"),IF(G$3=G1088,1,0),IF(G$3=G878,1,0)))))</f>
        <v/>
      </c>
      <c r="H1298" s="62">
        <f>IF(H143=0,0,IF(H$15&lt;=1,1,IF(EXACT(H1193,"keine"),IF(H$3=H$12,1,0),IF(EXACT(H1193,"beste"),IF(H$3=H1088,1,0),IF(H$3=H878,1,0)))))</f>
        <v/>
      </c>
      <c r="I1298" s="62">
        <f>IF(I143=0,0,IF(I$15&lt;=1,1,IF(EXACT(I1193,"keine"),IF(I$3=I$12,1,0),IF(EXACT(I1193,"beste"),IF(I$3=I1088,1,0),IF(I$3=I878,1,0)))))</f>
        <v/>
      </c>
      <c r="J1298" s="62">
        <f>IF(J143=0,0,IF(J$15&lt;=1,1,IF(EXACT(J1193,"keine"),IF(J$3=J$12,1,0),IF(EXACT(J1193,"beste"),IF(J$3=J1088,1,0),IF(J$3=J878,1,0)))))</f>
        <v/>
      </c>
      <c r="K1298" s="62">
        <f>IF(K143=0,0,IF(K$15&lt;=1,1,IF(EXACT(K1193,"keine"),IF(K$3=K$12,1,0),IF(EXACT(K1193,"beste"),IF(K$3=K1088,1,0),IF(K$3=K878,1,0)))))</f>
        <v/>
      </c>
      <c r="L1298" s="62">
        <f>IF(L143=0,0,IF(L$15&lt;=1,1,IF(EXACT(L1193,"keine"),IF(L$3=L$12,1,0),IF(EXACT(L1193,"beste"),IF(L$3=L1088,1,0),IF(L$3=L878,1,0)))))</f>
        <v/>
      </c>
      <c r="M1298" s="62">
        <f>IF(M143=0,0,IF(M$15&lt;=1,1,IF(EXACT(M1193,"keine"),IF(M$3=M$12,1,0),IF(EXACT(M1193,"beste"),IF(M$3=M1088,1,0),IF(M$3=M878,1,0)))))</f>
        <v/>
      </c>
      <c r="N1298" s="62">
        <f>IF(N143=0,0,IF(N$15&lt;=1,1,IF(EXACT(N1193,"keine"),IF(N$3=N$12,1,0),IF(EXACT(N1193,"beste"),IF(N$3=N1088,1,0),IF(N$3=N878,1,0)))))</f>
        <v/>
      </c>
      <c r="O1298" s="62">
        <f>IF(O143=0,0,IF(O$15&lt;=1,1,IF(EXACT(O1193,"keine"),IF(O$3=O$12,1,0),IF(EXACT(O1193,"beste"),IF(O$3=O1088,1,0),IF(O$3=O878,1,0)))))</f>
        <v/>
      </c>
      <c r="P1298" s="62">
        <f>IF(P143=0,0,IF(P$15&lt;=1,1,IF(EXACT(P1193,"keine"),IF(P$3=P$12,1,0),IF(EXACT(P1193,"beste"),IF(P$3=P1088,1,0),IF(P$3=P878,1,0)))))</f>
        <v/>
      </c>
      <c r="Q1298" s="62">
        <f>IF(Q143=0,0,IF(Q$15&lt;=1,1,IF(EXACT(Q1193,"keine"),IF(Q$3=Q$12,1,0),IF(EXACT(Q1193,"beste"),IF(Q$3=Q1088,1,0),IF(Q$3=Q878,1,0)))))</f>
        <v/>
      </c>
      <c r="R1298" s="62">
        <f>IF(R143=0,0,IF(R$15&lt;=1,1,IF(EXACT(R1193,"keine"),IF(R$3=R$12,1,0),IF(EXACT(R1193,"beste"),IF(R$3=R1088,1,0),IF(R$3=R878,1,0)))))</f>
        <v/>
      </c>
      <c r="S1298" s="62">
        <f>IF(S143=0,0,IF(S$15&lt;=1,1,IF(EXACT(S1193,"keine"),IF(S$3=S$12,1,0),IF(EXACT(S1193,"beste"),IF(S$3=S1088,1,0),IF(S$3=S878,1,0)))))</f>
        <v/>
      </c>
      <c r="T1298" s="62">
        <f>IF(T143=0,0,IF(T$15&lt;=1,1,IF(EXACT(T1193,"keine"),IF(T$3=T$12,1,0),IF(EXACT(T1193,"beste"),IF(T$3=T1088,1,0),IF(T$3=T878,1,0)))))</f>
        <v/>
      </c>
      <c r="U1298" s="62">
        <f>IF(U143=0,0,IF(U$15&lt;=1,1,IF(EXACT(U1193,"keine"),IF(U$3=U$12,1,0),IF(EXACT(U1193,"beste"),IF(U$3=U1088,1,0),IF(U$3=U878,1,0)))))</f>
        <v/>
      </c>
      <c r="V1298" s="62">
        <f>IF(V143=0,0,IF(V$15&lt;=1,1,IF(EXACT(V1193,"keine"),IF(V$3=V$12,1,0),IF(EXACT(V1193,"beste"),IF(V$3=V1088,1,0),IF(V$3=V878,1,0)))))</f>
        <v/>
      </c>
    </row>
    <row r="1299">
      <c r="C1299" s="62">
        <f>IF(C144=0,0,IF(C$15&lt;=1,1,IF(EXACT(C1194,"keine"),IF(C$3=C$12,1,0),IF(EXACT(C1194,"beste"),IF(C$3=C1089,1,0),IF(C$3=C879,1,0)))))</f>
        <v/>
      </c>
      <c r="D1299" s="62">
        <f>IF(D144=0,0,IF(D$15&lt;=1,1,IF(EXACT(D1194,"keine"),IF(D$3=D$12,1,0),IF(EXACT(D1194,"beste"),IF(D$3=D1089,1,0),IF(D$3=D879,1,0)))))</f>
        <v/>
      </c>
      <c r="E1299" s="62">
        <f>IF(E144=0,0,IF(E$15&lt;=1,1,IF(EXACT(E1194,"keine"),IF(E$3=E$12,1,0),IF(EXACT(E1194,"beste"),IF(E$3=E1089,1,0),IF(E$3=E879,1,0)))))</f>
        <v/>
      </c>
      <c r="F1299" s="62">
        <f>IF(F144=0,0,IF(F$15&lt;=1,1,IF(EXACT(F1194,"keine"),IF(F$3=F$12,1,0),IF(EXACT(F1194,"beste"),IF(F$3=F1089,1,0),IF(F$3=F879,1,0)))))</f>
        <v/>
      </c>
      <c r="G1299" s="62">
        <f>IF(G144=0,0,IF(G$15&lt;=1,1,IF(EXACT(G1194,"keine"),IF(G$3=G$12,1,0),IF(EXACT(G1194,"beste"),IF(G$3=G1089,1,0),IF(G$3=G879,1,0)))))</f>
        <v/>
      </c>
      <c r="H1299" s="62">
        <f>IF(H144=0,0,IF(H$15&lt;=1,1,IF(EXACT(H1194,"keine"),IF(H$3=H$12,1,0),IF(EXACT(H1194,"beste"),IF(H$3=H1089,1,0),IF(H$3=H879,1,0)))))</f>
        <v/>
      </c>
      <c r="I1299" s="62">
        <f>IF(I144=0,0,IF(I$15&lt;=1,1,IF(EXACT(I1194,"keine"),IF(I$3=I$12,1,0),IF(EXACT(I1194,"beste"),IF(I$3=I1089,1,0),IF(I$3=I879,1,0)))))</f>
        <v/>
      </c>
      <c r="J1299" s="62">
        <f>IF(J144=0,0,IF(J$15&lt;=1,1,IF(EXACT(J1194,"keine"),IF(J$3=J$12,1,0),IF(EXACT(J1194,"beste"),IF(J$3=J1089,1,0),IF(J$3=J879,1,0)))))</f>
        <v/>
      </c>
      <c r="K1299" s="62">
        <f>IF(K144=0,0,IF(K$15&lt;=1,1,IF(EXACT(K1194,"keine"),IF(K$3=K$12,1,0),IF(EXACT(K1194,"beste"),IF(K$3=K1089,1,0),IF(K$3=K879,1,0)))))</f>
        <v/>
      </c>
      <c r="L1299" s="62">
        <f>IF(L144=0,0,IF(L$15&lt;=1,1,IF(EXACT(L1194,"keine"),IF(L$3=L$12,1,0),IF(EXACT(L1194,"beste"),IF(L$3=L1089,1,0),IF(L$3=L879,1,0)))))</f>
        <v/>
      </c>
      <c r="M1299" s="62">
        <f>IF(M144=0,0,IF(M$15&lt;=1,1,IF(EXACT(M1194,"keine"),IF(M$3=M$12,1,0),IF(EXACT(M1194,"beste"),IF(M$3=M1089,1,0),IF(M$3=M879,1,0)))))</f>
        <v/>
      </c>
      <c r="N1299" s="62">
        <f>IF(N144=0,0,IF(N$15&lt;=1,1,IF(EXACT(N1194,"keine"),IF(N$3=N$12,1,0),IF(EXACT(N1194,"beste"),IF(N$3=N1089,1,0),IF(N$3=N879,1,0)))))</f>
        <v/>
      </c>
      <c r="O1299" s="62">
        <f>IF(O144=0,0,IF(O$15&lt;=1,1,IF(EXACT(O1194,"keine"),IF(O$3=O$12,1,0),IF(EXACT(O1194,"beste"),IF(O$3=O1089,1,0),IF(O$3=O879,1,0)))))</f>
        <v/>
      </c>
      <c r="P1299" s="62">
        <f>IF(P144=0,0,IF(P$15&lt;=1,1,IF(EXACT(P1194,"keine"),IF(P$3=P$12,1,0),IF(EXACT(P1194,"beste"),IF(P$3=P1089,1,0),IF(P$3=P879,1,0)))))</f>
        <v/>
      </c>
      <c r="Q1299" s="62">
        <f>IF(Q144=0,0,IF(Q$15&lt;=1,1,IF(EXACT(Q1194,"keine"),IF(Q$3=Q$12,1,0),IF(EXACT(Q1194,"beste"),IF(Q$3=Q1089,1,0),IF(Q$3=Q879,1,0)))))</f>
        <v/>
      </c>
      <c r="R1299" s="62">
        <f>IF(R144=0,0,IF(R$15&lt;=1,1,IF(EXACT(R1194,"keine"),IF(R$3=R$12,1,0),IF(EXACT(R1194,"beste"),IF(R$3=R1089,1,0),IF(R$3=R879,1,0)))))</f>
        <v/>
      </c>
      <c r="S1299" s="62">
        <f>IF(S144=0,0,IF(S$15&lt;=1,1,IF(EXACT(S1194,"keine"),IF(S$3=S$12,1,0),IF(EXACT(S1194,"beste"),IF(S$3=S1089,1,0),IF(S$3=S879,1,0)))))</f>
        <v/>
      </c>
      <c r="T1299" s="62">
        <f>IF(T144=0,0,IF(T$15&lt;=1,1,IF(EXACT(T1194,"keine"),IF(T$3=T$12,1,0),IF(EXACT(T1194,"beste"),IF(T$3=T1089,1,0),IF(T$3=T879,1,0)))))</f>
        <v/>
      </c>
      <c r="U1299" s="62">
        <f>IF(U144=0,0,IF(U$15&lt;=1,1,IF(EXACT(U1194,"keine"),IF(U$3=U$12,1,0),IF(EXACT(U1194,"beste"),IF(U$3=U1089,1,0),IF(U$3=U879,1,0)))))</f>
        <v/>
      </c>
      <c r="V1299" s="62">
        <f>IF(V144=0,0,IF(V$15&lt;=1,1,IF(EXACT(V1194,"keine"),IF(V$3=V$12,1,0),IF(EXACT(V1194,"beste"),IF(V$3=V1089,1,0),IF(V$3=V879,1,0)))))</f>
        <v/>
      </c>
    </row>
    <row r="1300">
      <c r="C1300" s="62">
        <f>IF(C145=0,0,IF(C$15&lt;=1,1,IF(EXACT(C1195,"keine"),IF(C$3=C$12,1,0),IF(EXACT(C1195,"beste"),IF(C$3=C1090,1,0),IF(C$3=C880,1,0)))))</f>
        <v/>
      </c>
      <c r="D1300" s="62">
        <f>IF(D145=0,0,IF(D$15&lt;=1,1,IF(EXACT(D1195,"keine"),IF(D$3=D$12,1,0),IF(EXACT(D1195,"beste"),IF(D$3=D1090,1,0),IF(D$3=D880,1,0)))))</f>
        <v/>
      </c>
      <c r="E1300" s="62">
        <f>IF(E145=0,0,IF(E$15&lt;=1,1,IF(EXACT(E1195,"keine"),IF(E$3=E$12,1,0),IF(EXACT(E1195,"beste"),IF(E$3=E1090,1,0),IF(E$3=E880,1,0)))))</f>
        <v/>
      </c>
      <c r="F1300" s="62">
        <f>IF(F145=0,0,IF(F$15&lt;=1,1,IF(EXACT(F1195,"keine"),IF(F$3=F$12,1,0),IF(EXACT(F1195,"beste"),IF(F$3=F1090,1,0),IF(F$3=F880,1,0)))))</f>
        <v/>
      </c>
      <c r="G1300" s="62">
        <f>IF(G145=0,0,IF(G$15&lt;=1,1,IF(EXACT(G1195,"keine"),IF(G$3=G$12,1,0),IF(EXACT(G1195,"beste"),IF(G$3=G1090,1,0),IF(G$3=G880,1,0)))))</f>
        <v/>
      </c>
      <c r="H1300" s="62">
        <f>IF(H145=0,0,IF(H$15&lt;=1,1,IF(EXACT(H1195,"keine"),IF(H$3=H$12,1,0),IF(EXACT(H1195,"beste"),IF(H$3=H1090,1,0),IF(H$3=H880,1,0)))))</f>
        <v/>
      </c>
      <c r="I1300" s="62">
        <f>IF(I145=0,0,IF(I$15&lt;=1,1,IF(EXACT(I1195,"keine"),IF(I$3=I$12,1,0),IF(EXACT(I1195,"beste"),IF(I$3=I1090,1,0),IF(I$3=I880,1,0)))))</f>
        <v/>
      </c>
      <c r="J1300" s="62">
        <f>IF(J145=0,0,IF(J$15&lt;=1,1,IF(EXACT(J1195,"keine"),IF(J$3=J$12,1,0),IF(EXACT(J1195,"beste"),IF(J$3=J1090,1,0),IF(J$3=J880,1,0)))))</f>
        <v/>
      </c>
      <c r="K1300" s="62">
        <f>IF(K145=0,0,IF(K$15&lt;=1,1,IF(EXACT(K1195,"keine"),IF(K$3=K$12,1,0),IF(EXACT(K1195,"beste"),IF(K$3=K1090,1,0),IF(K$3=K880,1,0)))))</f>
        <v/>
      </c>
      <c r="L1300" s="62">
        <f>IF(L145=0,0,IF(L$15&lt;=1,1,IF(EXACT(L1195,"keine"),IF(L$3=L$12,1,0),IF(EXACT(L1195,"beste"),IF(L$3=L1090,1,0),IF(L$3=L880,1,0)))))</f>
        <v/>
      </c>
      <c r="M1300" s="62">
        <f>IF(M145=0,0,IF(M$15&lt;=1,1,IF(EXACT(M1195,"keine"),IF(M$3=M$12,1,0),IF(EXACT(M1195,"beste"),IF(M$3=M1090,1,0),IF(M$3=M880,1,0)))))</f>
        <v/>
      </c>
      <c r="N1300" s="62">
        <f>IF(N145=0,0,IF(N$15&lt;=1,1,IF(EXACT(N1195,"keine"),IF(N$3=N$12,1,0),IF(EXACT(N1195,"beste"),IF(N$3=N1090,1,0),IF(N$3=N880,1,0)))))</f>
        <v/>
      </c>
      <c r="O1300" s="62">
        <f>IF(O145=0,0,IF(O$15&lt;=1,1,IF(EXACT(O1195,"keine"),IF(O$3=O$12,1,0),IF(EXACT(O1195,"beste"),IF(O$3=O1090,1,0),IF(O$3=O880,1,0)))))</f>
        <v/>
      </c>
      <c r="P1300" s="62">
        <f>IF(P145=0,0,IF(P$15&lt;=1,1,IF(EXACT(P1195,"keine"),IF(P$3=P$12,1,0),IF(EXACT(P1195,"beste"),IF(P$3=P1090,1,0),IF(P$3=P880,1,0)))))</f>
        <v/>
      </c>
      <c r="Q1300" s="62">
        <f>IF(Q145=0,0,IF(Q$15&lt;=1,1,IF(EXACT(Q1195,"keine"),IF(Q$3=Q$12,1,0),IF(EXACT(Q1195,"beste"),IF(Q$3=Q1090,1,0),IF(Q$3=Q880,1,0)))))</f>
        <v/>
      </c>
      <c r="R1300" s="62">
        <f>IF(R145=0,0,IF(R$15&lt;=1,1,IF(EXACT(R1195,"keine"),IF(R$3=R$12,1,0),IF(EXACT(R1195,"beste"),IF(R$3=R1090,1,0),IF(R$3=R880,1,0)))))</f>
        <v/>
      </c>
      <c r="S1300" s="62">
        <f>IF(S145=0,0,IF(S$15&lt;=1,1,IF(EXACT(S1195,"keine"),IF(S$3=S$12,1,0),IF(EXACT(S1195,"beste"),IF(S$3=S1090,1,0),IF(S$3=S880,1,0)))))</f>
        <v/>
      </c>
      <c r="T1300" s="62">
        <f>IF(T145=0,0,IF(T$15&lt;=1,1,IF(EXACT(T1195,"keine"),IF(T$3=T$12,1,0),IF(EXACT(T1195,"beste"),IF(T$3=T1090,1,0),IF(T$3=T880,1,0)))))</f>
        <v/>
      </c>
      <c r="U1300" s="62">
        <f>IF(U145=0,0,IF(U$15&lt;=1,1,IF(EXACT(U1195,"keine"),IF(U$3=U$12,1,0),IF(EXACT(U1195,"beste"),IF(U$3=U1090,1,0),IF(U$3=U880,1,0)))))</f>
        <v/>
      </c>
      <c r="V1300" s="62">
        <f>IF(V145=0,0,IF(V$15&lt;=1,1,IF(EXACT(V1195,"keine"),IF(V$3=V$12,1,0),IF(EXACT(V1195,"beste"),IF(V$3=V1090,1,0),IF(V$3=V880,1,0)))))</f>
        <v/>
      </c>
    </row>
    <row r="1301">
      <c r="C1301" s="62">
        <f>IF(C146=0,0,IF(C$15&lt;=1,1,IF(EXACT(C1196,"keine"),IF(C$3=C$12,1,0),IF(EXACT(C1196,"beste"),IF(C$3=C1091,1,0),IF(C$3=C881,1,0)))))</f>
        <v/>
      </c>
      <c r="D1301" s="62">
        <f>IF(D146=0,0,IF(D$15&lt;=1,1,IF(EXACT(D1196,"keine"),IF(D$3=D$12,1,0),IF(EXACT(D1196,"beste"),IF(D$3=D1091,1,0),IF(D$3=D881,1,0)))))</f>
        <v/>
      </c>
      <c r="E1301" s="62">
        <f>IF(E146=0,0,IF(E$15&lt;=1,1,IF(EXACT(E1196,"keine"),IF(E$3=E$12,1,0),IF(EXACT(E1196,"beste"),IF(E$3=E1091,1,0),IF(E$3=E881,1,0)))))</f>
        <v/>
      </c>
      <c r="F1301" s="62">
        <f>IF(F146=0,0,IF(F$15&lt;=1,1,IF(EXACT(F1196,"keine"),IF(F$3=F$12,1,0),IF(EXACT(F1196,"beste"),IF(F$3=F1091,1,0),IF(F$3=F881,1,0)))))</f>
        <v/>
      </c>
      <c r="G1301" s="62">
        <f>IF(G146=0,0,IF(G$15&lt;=1,1,IF(EXACT(G1196,"keine"),IF(G$3=G$12,1,0),IF(EXACT(G1196,"beste"),IF(G$3=G1091,1,0),IF(G$3=G881,1,0)))))</f>
        <v/>
      </c>
      <c r="H1301" s="62">
        <f>IF(H146=0,0,IF(H$15&lt;=1,1,IF(EXACT(H1196,"keine"),IF(H$3=H$12,1,0),IF(EXACT(H1196,"beste"),IF(H$3=H1091,1,0),IF(H$3=H881,1,0)))))</f>
        <v/>
      </c>
      <c r="I1301" s="62">
        <f>IF(I146=0,0,IF(I$15&lt;=1,1,IF(EXACT(I1196,"keine"),IF(I$3=I$12,1,0),IF(EXACT(I1196,"beste"),IF(I$3=I1091,1,0),IF(I$3=I881,1,0)))))</f>
        <v/>
      </c>
      <c r="J1301" s="62">
        <f>IF(J146=0,0,IF(J$15&lt;=1,1,IF(EXACT(J1196,"keine"),IF(J$3=J$12,1,0),IF(EXACT(J1196,"beste"),IF(J$3=J1091,1,0),IF(J$3=J881,1,0)))))</f>
        <v/>
      </c>
      <c r="K1301" s="62">
        <f>IF(K146=0,0,IF(K$15&lt;=1,1,IF(EXACT(K1196,"keine"),IF(K$3=K$12,1,0),IF(EXACT(K1196,"beste"),IF(K$3=K1091,1,0),IF(K$3=K881,1,0)))))</f>
        <v/>
      </c>
      <c r="L1301" s="62">
        <f>IF(L146=0,0,IF(L$15&lt;=1,1,IF(EXACT(L1196,"keine"),IF(L$3=L$12,1,0),IF(EXACT(L1196,"beste"),IF(L$3=L1091,1,0),IF(L$3=L881,1,0)))))</f>
        <v/>
      </c>
      <c r="M1301" s="62">
        <f>IF(M146=0,0,IF(M$15&lt;=1,1,IF(EXACT(M1196,"keine"),IF(M$3=M$12,1,0),IF(EXACT(M1196,"beste"),IF(M$3=M1091,1,0),IF(M$3=M881,1,0)))))</f>
        <v/>
      </c>
      <c r="N1301" s="62">
        <f>IF(N146=0,0,IF(N$15&lt;=1,1,IF(EXACT(N1196,"keine"),IF(N$3=N$12,1,0),IF(EXACT(N1196,"beste"),IF(N$3=N1091,1,0),IF(N$3=N881,1,0)))))</f>
        <v/>
      </c>
      <c r="O1301" s="62">
        <f>IF(O146=0,0,IF(O$15&lt;=1,1,IF(EXACT(O1196,"keine"),IF(O$3=O$12,1,0),IF(EXACT(O1196,"beste"),IF(O$3=O1091,1,0),IF(O$3=O881,1,0)))))</f>
        <v/>
      </c>
      <c r="P1301" s="62">
        <f>IF(P146=0,0,IF(P$15&lt;=1,1,IF(EXACT(P1196,"keine"),IF(P$3=P$12,1,0),IF(EXACT(P1196,"beste"),IF(P$3=P1091,1,0),IF(P$3=P881,1,0)))))</f>
        <v/>
      </c>
      <c r="Q1301" s="62">
        <f>IF(Q146=0,0,IF(Q$15&lt;=1,1,IF(EXACT(Q1196,"keine"),IF(Q$3=Q$12,1,0),IF(EXACT(Q1196,"beste"),IF(Q$3=Q1091,1,0),IF(Q$3=Q881,1,0)))))</f>
        <v/>
      </c>
      <c r="R1301" s="62">
        <f>IF(R146=0,0,IF(R$15&lt;=1,1,IF(EXACT(R1196,"keine"),IF(R$3=R$12,1,0),IF(EXACT(R1196,"beste"),IF(R$3=R1091,1,0),IF(R$3=R881,1,0)))))</f>
        <v/>
      </c>
      <c r="S1301" s="62">
        <f>IF(S146=0,0,IF(S$15&lt;=1,1,IF(EXACT(S1196,"keine"),IF(S$3=S$12,1,0),IF(EXACT(S1196,"beste"),IF(S$3=S1091,1,0),IF(S$3=S881,1,0)))))</f>
        <v/>
      </c>
      <c r="T1301" s="62">
        <f>IF(T146=0,0,IF(T$15&lt;=1,1,IF(EXACT(T1196,"keine"),IF(T$3=T$12,1,0),IF(EXACT(T1196,"beste"),IF(T$3=T1091,1,0),IF(T$3=T881,1,0)))))</f>
        <v/>
      </c>
      <c r="U1301" s="62">
        <f>IF(U146=0,0,IF(U$15&lt;=1,1,IF(EXACT(U1196,"keine"),IF(U$3=U$12,1,0),IF(EXACT(U1196,"beste"),IF(U$3=U1091,1,0),IF(U$3=U881,1,0)))))</f>
        <v/>
      </c>
      <c r="V1301" s="62">
        <f>IF(V146=0,0,IF(V$15&lt;=1,1,IF(EXACT(V1196,"keine"),IF(V$3=V$12,1,0),IF(EXACT(V1196,"beste"),IF(V$3=V1091,1,0),IF(V$3=V881,1,0)))))</f>
        <v/>
      </c>
    </row>
    <row r="1302">
      <c r="C1302" s="62">
        <f>IF(C147=0,0,IF(C$15&lt;=1,1,IF(EXACT(C1197,"keine"),IF(C$3=C$12,1,0),IF(EXACT(C1197,"beste"),IF(C$3=C1092,1,0),IF(C$3=C882,1,0)))))</f>
        <v/>
      </c>
      <c r="D1302" s="62">
        <f>IF(D147=0,0,IF(D$15&lt;=1,1,IF(EXACT(D1197,"keine"),IF(D$3=D$12,1,0),IF(EXACT(D1197,"beste"),IF(D$3=D1092,1,0),IF(D$3=D882,1,0)))))</f>
        <v/>
      </c>
      <c r="E1302" s="62">
        <f>IF(E147=0,0,IF(E$15&lt;=1,1,IF(EXACT(E1197,"keine"),IF(E$3=E$12,1,0),IF(EXACT(E1197,"beste"),IF(E$3=E1092,1,0),IF(E$3=E882,1,0)))))</f>
        <v/>
      </c>
      <c r="F1302" s="62">
        <f>IF(F147=0,0,IF(F$15&lt;=1,1,IF(EXACT(F1197,"keine"),IF(F$3=F$12,1,0),IF(EXACT(F1197,"beste"),IF(F$3=F1092,1,0),IF(F$3=F882,1,0)))))</f>
        <v/>
      </c>
      <c r="G1302" s="62">
        <f>IF(G147=0,0,IF(G$15&lt;=1,1,IF(EXACT(G1197,"keine"),IF(G$3=G$12,1,0),IF(EXACT(G1197,"beste"),IF(G$3=G1092,1,0),IF(G$3=G882,1,0)))))</f>
        <v/>
      </c>
      <c r="H1302" s="62">
        <f>IF(H147=0,0,IF(H$15&lt;=1,1,IF(EXACT(H1197,"keine"),IF(H$3=H$12,1,0),IF(EXACT(H1197,"beste"),IF(H$3=H1092,1,0),IF(H$3=H882,1,0)))))</f>
        <v/>
      </c>
      <c r="I1302" s="62">
        <f>IF(I147=0,0,IF(I$15&lt;=1,1,IF(EXACT(I1197,"keine"),IF(I$3=I$12,1,0),IF(EXACT(I1197,"beste"),IF(I$3=I1092,1,0),IF(I$3=I882,1,0)))))</f>
        <v/>
      </c>
      <c r="J1302" s="62">
        <f>IF(J147=0,0,IF(J$15&lt;=1,1,IF(EXACT(J1197,"keine"),IF(J$3=J$12,1,0),IF(EXACT(J1197,"beste"),IF(J$3=J1092,1,0),IF(J$3=J882,1,0)))))</f>
        <v/>
      </c>
      <c r="K1302" s="62">
        <f>IF(K147=0,0,IF(K$15&lt;=1,1,IF(EXACT(K1197,"keine"),IF(K$3=K$12,1,0),IF(EXACT(K1197,"beste"),IF(K$3=K1092,1,0),IF(K$3=K882,1,0)))))</f>
        <v/>
      </c>
      <c r="L1302" s="62">
        <f>IF(L147=0,0,IF(L$15&lt;=1,1,IF(EXACT(L1197,"keine"),IF(L$3=L$12,1,0),IF(EXACT(L1197,"beste"),IF(L$3=L1092,1,0),IF(L$3=L882,1,0)))))</f>
        <v/>
      </c>
      <c r="M1302" s="62">
        <f>IF(M147=0,0,IF(M$15&lt;=1,1,IF(EXACT(M1197,"keine"),IF(M$3=M$12,1,0),IF(EXACT(M1197,"beste"),IF(M$3=M1092,1,0),IF(M$3=M882,1,0)))))</f>
        <v/>
      </c>
      <c r="N1302" s="62">
        <f>IF(N147=0,0,IF(N$15&lt;=1,1,IF(EXACT(N1197,"keine"),IF(N$3=N$12,1,0),IF(EXACT(N1197,"beste"),IF(N$3=N1092,1,0),IF(N$3=N882,1,0)))))</f>
        <v/>
      </c>
      <c r="O1302" s="62">
        <f>IF(O147=0,0,IF(O$15&lt;=1,1,IF(EXACT(O1197,"keine"),IF(O$3=O$12,1,0),IF(EXACT(O1197,"beste"),IF(O$3=O1092,1,0),IF(O$3=O882,1,0)))))</f>
        <v/>
      </c>
      <c r="P1302" s="62">
        <f>IF(P147=0,0,IF(P$15&lt;=1,1,IF(EXACT(P1197,"keine"),IF(P$3=P$12,1,0),IF(EXACT(P1197,"beste"),IF(P$3=P1092,1,0),IF(P$3=P882,1,0)))))</f>
        <v/>
      </c>
      <c r="Q1302" s="62">
        <f>IF(Q147=0,0,IF(Q$15&lt;=1,1,IF(EXACT(Q1197,"keine"),IF(Q$3=Q$12,1,0),IF(EXACT(Q1197,"beste"),IF(Q$3=Q1092,1,0),IF(Q$3=Q882,1,0)))))</f>
        <v/>
      </c>
      <c r="R1302" s="62">
        <f>IF(R147=0,0,IF(R$15&lt;=1,1,IF(EXACT(R1197,"keine"),IF(R$3=R$12,1,0),IF(EXACT(R1197,"beste"),IF(R$3=R1092,1,0),IF(R$3=R882,1,0)))))</f>
        <v/>
      </c>
      <c r="S1302" s="62">
        <f>IF(S147=0,0,IF(S$15&lt;=1,1,IF(EXACT(S1197,"keine"),IF(S$3=S$12,1,0),IF(EXACT(S1197,"beste"),IF(S$3=S1092,1,0),IF(S$3=S882,1,0)))))</f>
        <v/>
      </c>
      <c r="T1302" s="62">
        <f>IF(T147=0,0,IF(T$15&lt;=1,1,IF(EXACT(T1197,"keine"),IF(T$3=T$12,1,0),IF(EXACT(T1197,"beste"),IF(T$3=T1092,1,0),IF(T$3=T882,1,0)))))</f>
        <v/>
      </c>
      <c r="U1302" s="62">
        <f>IF(U147=0,0,IF(U$15&lt;=1,1,IF(EXACT(U1197,"keine"),IF(U$3=U$12,1,0),IF(EXACT(U1197,"beste"),IF(U$3=U1092,1,0),IF(U$3=U882,1,0)))))</f>
        <v/>
      </c>
      <c r="V1302" s="62">
        <f>IF(V147=0,0,IF(V$15&lt;=1,1,IF(EXACT(V1197,"keine"),IF(V$3=V$12,1,0),IF(EXACT(V1197,"beste"),IF(V$3=V1092,1,0),IF(V$3=V882,1,0)))))</f>
        <v/>
      </c>
    </row>
    <row r="1303">
      <c r="C1303" s="62">
        <f>IF(C148=0,0,IF(C$15&lt;=1,1,IF(EXACT(C1198,"keine"),IF(C$3=C$12,1,0),IF(EXACT(C1198,"beste"),IF(C$3=C1093,1,0),IF(C$3=C883,1,0)))))</f>
        <v/>
      </c>
      <c r="D1303" s="62">
        <f>IF(D148=0,0,IF(D$15&lt;=1,1,IF(EXACT(D1198,"keine"),IF(D$3=D$12,1,0),IF(EXACT(D1198,"beste"),IF(D$3=D1093,1,0),IF(D$3=D883,1,0)))))</f>
        <v/>
      </c>
      <c r="E1303" s="62">
        <f>IF(E148=0,0,IF(E$15&lt;=1,1,IF(EXACT(E1198,"keine"),IF(E$3=E$12,1,0),IF(EXACT(E1198,"beste"),IF(E$3=E1093,1,0),IF(E$3=E883,1,0)))))</f>
        <v/>
      </c>
      <c r="F1303" s="62">
        <f>IF(F148=0,0,IF(F$15&lt;=1,1,IF(EXACT(F1198,"keine"),IF(F$3=F$12,1,0),IF(EXACT(F1198,"beste"),IF(F$3=F1093,1,0),IF(F$3=F883,1,0)))))</f>
        <v/>
      </c>
      <c r="G1303" s="62">
        <f>IF(G148=0,0,IF(G$15&lt;=1,1,IF(EXACT(G1198,"keine"),IF(G$3=G$12,1,0),IF(EXACT(G1198,"beste"),IF(G$3=G1093,1,0),IF(G$3=G883,1,0)))))</f>
        <v/>
      </c>
      <c r="H1303" s="62">
        <f>IF(H148=0,0,IF(H$15&lt;=1,1,IF(EXACT(H1198,"keine"),IF(H$3=H$12,1,0),IF(EXACT(H1198,"beste"),IF(H$3=H1093,1,0),IF(H$3=H883,1,0)))))</f>
        <v/>
      </c>
      <c r="I1303" s="62">
        <f>IF(I148=0,0,IF(I$15&lt;=1,1,IF(EXACT(I1198,"keine"),IF(I$3=I$12,1,0),IF(EXACT(I1198,"beste"),IF(I$3=I1093,1,0),IF(I$3=I883,1,0)))))</f>
        <v/>
      </c>
      <c r="J1303" s="62">
        <f>IF(J148=0,0,IF(J$15&lt;=1,1,IF(EXACT(J1198,"keine"),IF(J$3=J$12,1,0),IF(EXACT(J1198,"beste"),IF(J$3=J1093,1,0),IF(J$3=J883,1,0)))))</f>
        <v/>
      </c>
      <c r="K1303" s="62">
        <f>IF(K148=0,0,IF(K$15&lt;=1,1,IF(EXACT(K1198,"keine"),IF(K$3=K$12,1,0),IF(EXACT(K1198,"beste"),IF(K$3=K1093,1,0),IF(K$3=K883,1,0)))))</f>
        <v/>
      </c>
      <c r="L1303" s="62">
        <f>IF(L148=0,0,IF(L$15&lt;=1,1,IF(EXACT(L1198,"keine"),IF(L$3=L$12,1,0),IF(EXACT(L1198,"beste"),IF(L$3=L1093,1,0),IF(L$3=L883,1,0)))))</f>
        <v/>
      </c>
      <c r="M1303" s="62">
        <f>IF(M148=0,0,IF(M$15&lt;=1,1,IF(EXACT(M1198,"keine"),IF(M$3=M$12,1,0),IF(EXACT(M1198,"beste"),IF(M$3=M1093,1,0),IF(M$3=M883,1,0)))))</f>
        <v/>
      </c>
      <c r="N1303" s="62">
        <f>IF(N148=0,0,IF(N$15&lt;=1,1,IF(EXACT(N1198,"keine"),IF(N$3=N$12,1,0),IF(EXACT(N1198,"beste"),IF(N$3=N1093,1,0),IF(N$3=N883,1,0)))))</f>
        <v/>
      </c>
      <c r="O1303" s="62">
        <f>IF(O148=0,0,IF(O$15&lt;=1,1,IF(EXACT(O1198,"keine"),IF(O$3=O$12,1,0),IF(EXACT(O1198,"beste"),IF(O$3=O1093,1,0),IF(O$3=O883,1,0)))))</f>
        <v/>
      </c>
      <c r="P1303" s="62">
        <f>IF(P148=0,0,IF(P$15&lt;=1,1,IF(EXACT(P1198,"keine"),IF(P$3=P$12,1,0),IF(EXACT(P1198,"beste"),IF(P$3=P1093,1,0),IF(P$3=P883,1,0)))))</f>
        <v/>
      </c>
      <c r="Q1303" s="62">
        <f>IF(Q148=0,0,IF(Q$15&lt;=1,1,IF(EXACT(Q1198,"keine"),IF(Q$3=Q$12,1,0),IF(EXACT(Q1198,"beste"),IF(Q$3=Q1093,1,0),IF(Q$3=Q883,1,0)))))</f>
        <v/>
      </c>
      <c r="R1303" s="62">
        <f>IF(R148=0,0,IF(R$15&lt;=1,1,IF(EXACT(R1198,"keine"),IF(R$3=R$12,1,0),IF(EXACT(R1198,"beste"),IF(R$3=R1093,1,0),IF(R$3=R883,1,0)))))</f>
        <v/>
      </c>
      <c r="S1303" s="62">
        <f>IF(S148=0,0,IF(S$15&lt;=1,1,IF(EXACT(S1198,"keine"),IF(S$3=S$12,1,0),IF(EXACT(S1198,"beste"),IF(S$3=S1093,1,0),IF(S$3=S883,1,0)))))</f>
        <v/>
      </c>
      <c r="T1303" s="62">
        <f>IF(T148=0,0,IF(T$15&lt;=1,1,IF(EXACT(T1198,"keine"),IF(T$3=T$12,1,0),IF(EXACT(T1198,"beste"),IF(T$3=T1093,1,0),IF(T$3=T883,1,0)))))</f>
        <v/>
      </c>
      <c r="U1303" s="62">
        <f>IF(U148=0,0,IF(U$15&lt;=1,1,IF(EXACT(U1198,"keine"),IF(U$3=U$12,1,0),IF(EXACT(U1198,"beste"),IF(U$3=U1093,1,0),IF(U$3=U883,1,0)))))</f>
        <v/>
      </c>
      <c r="V1303" s="62">
        <f>IF(V148=0,0,IF(V$15&lt;=1,1,IF(EXACT(V1198,"keine"),IF(V$3=V$12,1,0),IF(EXACT(V1198,"beste"),IF(V$3=V1093,1,0),IF(V$3=V883,1,0)))))</f>
        <v/>
      </c>
    </row>
    <row r="1304">
      <c r="C1304" s="62">
        <f>IF(C149=0,0,IF(C$15&lt;=1,1,IF(EXACT(C1199,"keine"),IF(C$3=C$12,1,0),IF(EXACT(C1199,"beste"),IF(C$3=C1094,1,0),IF(C$3=C884,1,0)))))</f>
        <v/>
      </c>
      <c r="D1304" s="62">
        <f>IF(D149=0,0,IF(D$15&lt;=1,1,IF(EXACT(D1199,"keine"),IF(D$3=D$12,1,0),IF(EXACT(D1199,"beste"),IF(D$3=D1094,1,0),IF(D$3=D884,1,0)))))</f>
        <v/>
      </c>
      <c r="E1304" s="62">
        <f>IF(E149=0,0,IF(E$15&lt;=1,1,IF(EXACT(E1199,"keine"),IF(E$3=E$12,1,0),IF(EXACT(E1199,"beste"),IF(E$3=E1094,1,0),IF(E$3=E884,1,0)))))</f>
        <v/>
      </c>
      <c r="F1304" s="62">
        <f>IF(F149=0,0,IF(F$15&lt;=1,1,IF(EXACT(F1199,"keine"),IF(F$3=F$12,1,0),IF(EXACT(F1199,"beste"),IF(F$3=F1094,1,0),IF(F$3=F884,1,0)))))</f>
        <v/>
      </c>
      <c r="G1304" s="62">
        <f>IF(G149=0,0,IF(G$15&lt;=1,1,IF(EXACT(G1199,"keine"),IF(G$3=G$12,1,0),IF(EXACT(G1199,"beste"),IF(G$3=G1094,1,0),IF(G$3=G884,1,0)))))</f>
        <v/>
      </c>
      <c r="H1304" s="62">
        <f>IF(H149=0,0,IF(H$15&lt;=1,1,IF(EXACT(H1199,"keine"),IF(H$3=H$12,1,0),IF(EXACT(H1199,"beste"),IF(H$3=H1094,1,0),IF(H$3=H884,1,0)))))</f>
        <v/>
      </c>
      <c r="I1304" s="62">
        <f>IF(I149=0,0,IF(I$15&lt;=1,1,IF(EXACT(I1199,"keine"),IF(I$3=I$12,1,0),IF(EXACT(I1199,"beste"),IF(I$3=I1094,1,0),IF(I$3=I884,1,0)))))</f>
        <v/>
      </c>
      <c r="J1304" s="62">
        <f>IF(J149=0,0,IF(J$15&lt;=1,1,IF(EXACT(J1199,"keine"),IF(J$3=J$12,1,0),IF(EXACT(J1199,"beste"),IF(J$3=J1094,1,0),IF(J$3=J884,1,0)))))</f>
        <v/>
      </c>
      <c r="K1304" s="62">
        <f>IF(K149=0,0,IF(K$15&lt;=1,1,IF(EXACT(K1199,"keine"),IF(K$3=K$12,1,0),IF(EXACT(K1199,"beste"),IF(K$3=K1094,1,0),IF(K$3=K884,1,0)))))</f>
        <v/>
      </c>
      <c r="L1304" s="62">
        <f>IF(L149=0,0,IF(L$15&lt;=1,1,IF(EXACT(L1199,"keine"),IF(L$3=L$12,1,0),IF(EXACT(L1199,"beste"),IF(L$3=L1094,1,0),IF(L$3=L884,1,0)))))</f>
        <v/>
      </c>
      <c r="M1304" s="62">
        <f>IF(M149=0,0,IF(M$15&lt;=1,1,IF(EXACT(M1199,"keine"),IF(M$3=M$12,1,0),IF(EXACT(M1199,"beste"),IF(M$3=M1094,1,0),IF(M$3=M884,1,0)))))</f>
        <v/>
      </c>
      <c r="N1304" s="62">
        <f>IF(N149=0,0,IF(N$15&lt;=1,1,IF(EXACT(N1199,"keine"),IF(N$3=N$12,1,0),IF(EXACT(N1199,"beste"),IF(N$3=N1094,1,0),IF(N$3=N884,1,0)))))</f>
        <v/>
      </c>
      <c r="O1304" s="62">
        <f>IF(O149=0,0,IF(O$15&lt;=1,1,IF(EXACT(O1199,"keine"),IF(O$3=O$12,1,0),IF(EXACT(O1199,"beste"),IF(O$3=O1094,1,0),IF(O$3=O884,1,0)))))</f>
        <v/>
      </c>
      <c r="P1304" s="62">
        <f>IF(P149=0,0,IF(P$15&lt;=1,1,IF(EXACT(P1199,"keine"),IF(P$3=P$12,1,0),IF(EXACT(P1199,"beste"),IF(P$3=P1094,1,0),IF(P$3=P884,1,0)))))</f>
        <v/>
      </c>
      <c r="Q1304" s="62">
        <f>IF(Q149=0,0,IF(Q$15&lt;=1,1,IF(EXACT(Q1199,"keine"),IF(Q$3=Q$12,1,0),IF(EXACT(Q1199,"beste"),IF(Q$3=Q1094,1,0),IF(Q$3=Q884,1,0)))))</f>
        <v/>
      </c>
      <c r="R1304" s="62">
        <f>IF(R149=0,0,IF(R$15&lt;=1,1,IF(EXACT(R1199,"keine"),IF(R$3=R$12,1,0),IF(EXACT(R1199,"beste"),IF(R$3=R1094,1,0),IF(R$3=R884,1,0)))))</f>
        <v/>
      </c>
      <c r="S1304" s="62">
        <f>IF(S149=0,0,IF(S$15&lt;=1,1,IF(EXACT(S1199,"keine"),IF(S$3=S$12,1,0),IF(EXACT(S1199,"beste"),IF(S$3=S1094,1,0),IF(S$3=S884,1,0)))))</f>
        <v/>
      </c>
      <c r="T1304" s="62">
        <f>IF(T149=0,0,IF(T$15&lt;=1,1,IF(EXACT(T1199,"keine"),IF(T$3=T$12,1,0),IF(EXACT(T1199,"beste"),IF(T$3=T1094,1,0),IF(T$3=T884,1,0)))))</f>
        <v/>
      </c>
      <c r="U1304" s="62">
        <f>IF(U149=0,0,IF(U$15&lt;=1,1,IF(EXACT(U1199,"keine"),IF(U$3=U$12,1,0),IF(EXACT(U1199,"beste"),IF(U$3=U1094,1,0),IF(U$3=U884,1,0)))))</f>
        <v/>
      </c>
      <c r="V1304" s="62">
        <f>IF(V149=0,0,IF(V$15&lt;=1,1,IF(EXACT(V1199,"keine"),IF(V$3=V$12,1,0),IF(EXACT(V1199,"beste"),IF(V$3=V1094,1,0),IF(V$3=V884,1,0)))))</f>
        <v/>
      </c>
    </row>
    <row r="1305">
      <c r="C1305" s="62">
        <f>IF(C150=0,0,IF(C$15&lt;=1,1,IF(EXACT(C1200,"keine"),IF(C$3=C$12,1,0),IF(EXACT(C1200,"beste"),IF(C$3=C1095,1,0),IF(C$3=C885,1,0)))))</f>
        <v/>
      </c>
      <c r="D1305" s="62">
        <f>IF(D150=0,0,IF(D$15&lt;=1,1,IF(EXACT(D1200,"keine"),IF(D$3=D$12,1,0),IF(EXACT(D1200,"beste"),IF(D$3=D1095,1,0),IF(D$3=D885,1,0)))))</f>
        <v/>
      </c>
      <c r="E1305" s="62">
        <f>IF(E150=0,0,IF(E$15&lt;=1,1,IF(EXACT(E1200,"keine"),IF(E$3=E$12,1,0),IF(EXACT(E1200,"beste"),IF(E$3=E1095,1,0),IF(E$3=E885,1,0)))))</f>
        <v/>
      </c>
      <c r="F1305" s="62">
        <f>IF(F150=0,0,IF(F$15&lt;=1,1,IF(EXACT(F1200,"keine"),IF(F$3=F$12,1,0),IF(EXACT(F1200,"beste"),IF(F$3=F1095,1,0),IF(F$3=F885,1,0)))))</f>
        <v/>
      </c>
      <c r="G1305" s="62">
        <f>IF(G150=0,0,IF(G$15&lt;=1,1,IF(EXACT(G1200,"keine"),IF(G$3=G$12,1,0),IF(EXACT(G1200,"beste"),IF(G$3=G1095,1,0),IF(G$3=G885,1,0)))))</f>
        <v/>
      </c>
      <c r="H1305" s="62">
        <f>IF(H150=0,0,IF(H$15&lt;=1,1,IF(EXACT(H1200,"keine"),IF(H$3=H$12,1,0),IF(EXACT(H1200,"beste"),IF(H$3=H1095,1,0),IF(H$3=H885,1,0)))))</f>
        <v/>
      </c>
      <c r="I1305" s="62">
        <f>IF(I150=0,0,IF(I$15&lt;=1,1,IF(EXACT(I1200,"keine"),IF(I$3=I$12,1,0),IF(EXACT(I1200,"beste"),IF(I$3=I1095,1,0),IF(I$3=I885,1,0)))))</f>
        <v/>
      </c>
      <c r="J1305" s="62">
        <f>IF(J150=0,0,IF(J$15&lt;=1,1,IF(EXACT(J1200,"keine"),IF(J$3=J$12,1,0),IF(EXACT(J1200,"beste"),IF(J$3=J1095,1,0),IF(J$3=J885,1,0)))))</f>
        <v/>
      </c>
      <c r="K1305" s="62">
        <f>IF(K150=0,0,IF(K$15&lt;=1,1,IF(EXACT(K1200,"keine"),IF(K$3=K$12,1,0),IF(EXACT(K1200,"beste"),IF(K$3=K1095,1,0),IF(K$3=K885,1,0)))))</f>
        <v/>
      </c>
      <c r="L1305" s="62">
        <f>IF(L150=0,0,IF(L$15&lt;=1,1,IF(EXACT(L1200,"keine"),IF(L$3=L$12,1,0),IF(EXACT(L1200,"beste"),IF(L$3=L1095,1,0),IF(L$3=L885,1,0)))))</f>
        <v/>
      </c>
      <c r="M1305" s="62">
        <f>IF(M150=0,0,IF(M$15&lt;=1,1,IF(EXACT(M1200,"keine"),IF(M$3=M$12,1,0),IF(EXACT(M1200,"beste"),IF(M$3=M1095,1,0),IF(M$3=M885,1,0)))))</f>
        <v/>
      </c>
      <c r="N1305" s="62">
        <f>IF(N150=0,0,IF(N$15&lt;=1,1,IF(EXACT(N1200,"keine"),IF(N$3=N$12,1,0),IF(EXACT(N1200,"beste"),IF(N$3=N1095,1,0),IF(N$3=N885,1,0)))))</f>
        <v/>
      </c>
      <c r="O1305" s="62">
        <f>IF(O150=0,0,IF(O$15&lt;=1,1,IF(EXACT(O1200,"keine"),IF(O$3=O$12,1,0),IF(EXACT(O1200,"beste"),IF(O$3=O1095,1,0),IF(O$3=O885,1,0)))))</f>
        <v/>
      </c>
      <c r="P1305" s="62">
        <f>IF(P150=0,0,IF(P$15&lt;=1,1,IF(EXACT(P1200,"keine"),IF(P$3=P$12,1,0),IF(EXACT(P1200,"beste"),IF(P$3=P1095,1,0),IF(P$3=P885,1,0)))))</f>
        <v/>
      </c>
      <c r="Q1305" s="62">
        <f>IF(Q150=0,0,IF(Q$15&lt;=1,1,IF(EXACT(Q1200,"keine"),IF(Q$3=Q$12,1,0),IF(EXACT(Q1200,"beste"),IF(Q$3=Q1095,1,0),IF(Q$3=Q885,1,0)))))</f>
        <v/>
      </c>
      <c r="R1305" s="62">
        <f>IF(R150=0,0,IF(R$15&lt;=1,1,IF(EXACT(R1200,"keine"),IF(R$3=R$12,1,0),IF(EXACT(R1200,"beste"),IF(R$3=R1095,1,0),IF(R$3=R885,1,0)))))</f>
        <v/>
      </c>
      <c r="S1305" s="62">
        <f>IF(S150=0,0,IF(S$15&lt;=1,1,IF(EXACT(S1200,"keine"),IF(S$3=S$12,1,0),IF(EXACT(S1200,"beste"),IF(S$3=S1095,1,0),IF(S$3=S885,1,0)))))</f>
        <v/>
      </c>
      <c r="T1305" s="62">
        <f>IF(T150=0,0,IF(T$15&lt;=1,1,IF(EXACT(T1200,"keine"),IF(T$3=T$12,1,0),IF(EXACT(T1200,"beste"),IF(T$3=T1095,1,0),IF(T$3=T885,1,0)))))</f>
        <v/>
      </c>
      <c r="U1305" s="62">
        <f>IF(U150=0,0,IF(U$15&lt;=1,1,IF(EXACT(U1200,"keine"),IF(U$3=U$12,1,0),IF(EXACT(U1200,"beste"),IF(U$3=U1095,1,0),IF(U$3=U885,1,0)))))</f>
        <v/>
      </c>
      <c r="V1305" s="62">
        <f>IF(V150=0,0,IF(V$15&lt;=1,1,IF(EXACT(V1200,"keine"),IF(V$3=V$12,1,0),IF(EXACT(V1200,"beste"),IF(V$3=V1095,1,0),IF(V$3=V885,1,0)))))</f>
        <v/>
      </c>
    </row>
    <row r="1306">
      <c r="C1306" s="62">
        <f>IF(C151=0,0,IF(C$15&lt;=1,1,IF(EXACT(C1201,"keine"),IF(C$3=C$12,1,0),IF(EXACT(C1201,"beste"),IF(C$3=C1096,1,0),IF(C$3=C886,1,0)))))</f>
        <v/>
      </c>
      <c r="D1306" s="62">
        <f>IF(D151=0,0,IF(D$15&lt;=1,1,IF(EXACT(D1201,"keine"),IF(D$3=D$12,1,0),IF(EXACT(D1201,"beste"),IF(D$3=D1096,1,0),IF(D$3=D886,1,0)))))</f>
        <v/>
      </c>
      <c r="E1306" s="62">
        <f>IF(E151=0,0,IF(E$15&lt;=1,1,IF(EXACT(E1201,"keine"),IF(E$3=E$12,1,0),IF(EXACT(E1201,"beste"),IF(E$3=E1096,1,0),IF(E$3=E886,1,0)))))</f>
        <v/>
      </c>
      <c r="F1306" s="62">
        <f>IF(F151=0,0,IF(F$15&lt;=1,1,IF(EXACT(F1201,"keine"),IF(F$3=F$12,1,0),IF(EXACT(F1201,"beste"),IF(F$3=F1096,1,0),IF(F$3=F886,1,0)))))</f>
        <v/>
      </c>
      <c r="G1306" s="62">
        <f>IF(G151=0,0,IF(G$15&lt;=1,1,IF(EXACT(G1201,"keine"),IF(G$3=G$12,1,0),IF(EXACT(G1201,"beste"),IF(G$3=G1096,1,0),IF(G$3=G886,1,0)))))</f>
        <v/>
      </c>
      <c r="H1306" s="62">
        <f>IF(H151=0,0,IF(H$15&lt;=1,1,IF(EXACT(H1201,"keine"),IF(H$3=H$12,1,0),IF(EXACT(H1201,"beste"),IF(H$3=H1096,1,0),IF(H$3=H886,1,0)))))</f>
        <v/>
      </c>
      <c r="I1306" s="62">
        <f>IF(I151=0,0,IF(I$15&lt;=1,1,IF(EXACT(I1201,"keine"),IF(I$3=I$12,1,0),IF(EXACT(I1201,"beste"),IF(I$3=I1096,1,0),IF(I$3=I886,1,0)))))</f>
        <v/>
      </c>
      <c r="J1306" s="62">
        <f>IF(J151=0,0,IF(J$15&lt;=1,1,IF(EXACT(J1201,"keine"),IF(J$3=J$12,1,0),IF(EXACT(J1201,"beste"),IF(J$3=J1096,1,0),IF(J$3=J886,1,0)))))</f>
        <v/>
      </c>
      <c r="K1306" s="62">
        <f>IF(K151=0,0,IF(K$15&lt;=1,1,IF(EXACT(K1201,"keine"),IF(K$3=K$12,1,0),IF(EXACT(K1201,"beste"),IF(K$3=K1096,1,0),IF(K$3=K886,1,0)))))</f>
        <v/>
      </c>
      <c r="L1306" s="62">
        <f>IF(L151=0,0,IF(L$15&lt;=1,1,IF(EXACT(L1201,"keine"),IF(L$3=L$12,1,0),IF(EXACT(L1201,"beste"),IF(L$3=L1096,1,0),IF(L$3=L886,1,0)))))</f>
        <v/>
      </c>
      <c r="M1306" s="62">
        <f>IF(M151=0,0,IF(M$15&lt;=1,1,IF(EXACT(M1201,"keine"),IF(M$3=M$12,1,0),IF(EXACT(M1201,"beste"),IF(M$3=M1096,1,0),IF(M$3=M886,1,0)))))</f>
        <v/>
      </c>
      <c r="N1306" s="62">
        <f>IF(N151=0,0,IF(N$15&lt;=1,1,IF(EXACT(N1201,"keine"),IF(N$3=N$12,1,0),IF(EXACT(N1201,"beste"),IF(N$3=N1096,1,0),IF(N$3=N886,1,0)))))</f>
        <v/>
      </c>
      <c r="O1306" s="62">
        <f>IF(O151=0,0,IF(O$15&lt;=1,1,IF(EXACT(O1201,"keine"),IF(O$3=O$12,1,0),IF(EXACT(O1201,"beste"),IF(O$3=O1096,1,0),IF(O$3=O886,1,0)))))</f>
        <v/>
      </c>
      <c r="P1306" s="62">
        <f>IF(P151=0,0,IF(P$15&lt;=1,1,IF(EXACT(P1201,"keine"),IF(P$3=P$12,1,0),IF(EXACT(P1201,"beste"),IF(P$3=P1096,1,0),IF(P$3=P886,1,0)))))</f>
        <v/>
      </c>
      <c r="Q1306" s="62">
        <f>IF(Q151=0,0,IF(Q$15&lt;=1,1,IF(EXACT(Q1201,"keine"),IF(Q$3=Q$12,1,0),IF(EXACT(Q1201,"beste"),IF(Q$3=Q1096,1,0),IF(Q$3=Q886,1,0)))))</f>
        <v/>
      </c>
      <c r="R1306" s="62">
        <f>IF(R151=0,0,IF(R$15&lt;=1,1,IF(EXACT(R1201,"keine"),IF(R$3=R$12,1,0),IF(EXACT(R1201,"beste"),IF(R$3=R1096,1,0),IF(R$3=R886,1,0)))))</f>
        <v/>
      </c>
      <c r="S1306" s="62">
        <f>IF(S151=0,0,IF(S$15&lt;=1,1,IF(EXACT(S1201,"keine"),IF(S$3=S$12,1,0),IF(EXACT(S1201,"beste"),IF(S$3=S1096,1,0),IF(S$3=S886,1,0)))))</f>
        <v/>
      </c>
      <c r="T1306" s="62">
        <f>IF(T151=0,0,IF(T$15&lt;=1,1,IF(EXACT(T1201,"keine"),IF(T$3=T$12,1,0),IF(EXACT(T1201,"beste"),IF(T$3=T1096,1,0),IF(T$3=T886,1,0)))))</f>
        <v/>
      </c>
      <c r="U1306" s="62">
        <f>IF(U151=0,0,IF(U$15&lt;=1,1,IF(EXACT(U1201,"keine"),IF(U$3=U$12,1,0),IF(EXACT(U1201,"beste"),IF(U$3=U1096,1,0),IF(U$3=U886,1,0)))))</f>
        <v/>
      </c>
      <c r="V1306" s="62">
        <f>IF(V151=0,0,IF(V$15&lt;=1,1,IF(EXACT(V1201,"keine"),IF(V$3=V$12,1,0),IF(EXACT(V1201,"beste"),IF(V$3=V1096,1,0),IF(V$3=V886,1,0)))))</f>
        <v/>
      </c>
    </row>
    <row r="1307">
      <c r="C1307" s="62">
        <f>IF(C152=0,0,IF(C$15&lt;=1,1,IF(EXACT(C1202,"keine"),IF(C$3=C$12,1,0),IF(EXACT(C1202,"beste"),IF(C$3=C1097,1,0),IF(C$3=C887,1,0)))))</f>
        <v/>
      </c>
      <c r="D1307" s="62">
        <f>IF(D152=0,0,IF(D$15&lt;=1,1,IF(EXACT(D1202,"keine"),IF(D$3=D$12,1,0),IF(EXACT(D1202,"beste"),IF(D$3=D1097,1,0),IF(D$3=D887,1,0)))))</f>
        <v/>
      </c>
      <c r="E1307" s="62">
        <f>IF(E152=0,0,IF(E$15&lt;=1,1,IF(EXACT(E1202,"keine"),IF(E$3=E$12,1,0),IF(EXACT(E1202,"beste"),IF(E$3=E1097,1,0),IF(E$3=E887,1,0)))))</f>
        <v/>
      </c>
      <c r="F1307" s="62">
        <f>IF(F152=0,0,IF(F$15&lt;=1,1,IF(EXACT(F1202,"keine"),IF(F$3=F$12,1,0),IF(EXACT(F1202,"beste"),IF(F$3=F1097,1,0),IF(F$3=F887,1,0)))))</f>
        <v/>
      </c>
      <c r="G1307" s="62">
        <f>IF(G152=0,0,IF(G$15&lt;=1,1,IF(EXACT(G1202,"keine"),IF(G$3=G$12,1,0),IF(EXACT(G1202,"beste"),IF(G$3=G1097,1,0),IF(G$3=G887,1,0)))))</f>
        <v/>
      </c>
      <c r="H1307" s="62">
        <f>IF(H152=0,0,IF(H$15&lt;=1,1,IF(EXACT(H1202,"keine"),IF(H$3=H$12,1,0),IF(EXACT(H1202,"beste"),IF(H$3=H1097,1,0),IF(H$3=H887,1,0)))))</f>
        <v/>
      </c>
      <c r="I1307" s="62">
        <f>IF(I152=0,0,IF(I$15&lt;=1,1,IF(EXACT(I1202,"keine"),IF(I$3=I$12,1,0),IF(EXACT(I1202,"beste"),IF(I$3=I1097,1,0),IF(I$3=I887,1,0)))))</f>
        <v/>
      </c>
      <c r="J1307" s="62">
        <f>IF(J152=0,0,IF(J$15&lt;=1,1,IF(EXACT(J1202,"keine"),IF(J$3=J$12,1,0),IF(EXACT(J1202,"beste"),IF(J$3=J1097,1,0),IF(J$3=J887,1,0)))))</f>
        <v/>
      </c>
      <c r="K1307" s="62">
        <f>IF(K152=0,0,IF(K$15&lt;=1,1,IF(EXACT(K1202,"keine"),IF(K$3=K$12,1,0),IF(EXACT(K1202,"beste"),IF(K$3=K1097,1,0),IF(K$3=K887,1,0)))))</f>
        <v/>
      </c>
      <c r="L1307" s="62">
        <f>IF(L152=0,0,IF(L$15&lt;=1,1,IF(EXACT(L1202,"keine"),IF(L$3=L$12,1,0),IF(EXACT(L1202,"beste"),IF(L$3=L1097,1,0),IF(L$3=L887,1,0)))))</f>
        <v/>
      </c>
      <c r="M1307" s="62">
        <f>IF(M152=0,0,IF(M$15&lt;=1,1,IF(EXACT(M1202,"keine"),IF(M$3=M$12,1,0),IF(EXACT(M1202,"beste"),IF(M$3=M1097,1,0),IF(M$3=M887,1,0)))))</f>
        <v/>
      </c>
      <c r="N1307" s="62">
        <f>IF(N152=0,0,IF(N$15&lt;=1,1,IF(EXACT(N1202,"keine"),IF(N$3=N$12,1,0),IF(EXACT(N1202,"beste"),IF(N$3=N1097,1,0),IF(N$3=N887,1,0)))))</f>
        <v/>
      </c>
      <c r="O1307" s="62">
        <f>IF(O152=0,0,IF(O$15&lt;=1,1,IF(EXACT(O1202,"keine"),IF(O$3=O$12,1,0),IF(EXACT(O1202,"beste"),IF(O$3=O1097,1,0),IF(O$3=O887,1,0)))))</f>
        <v/>
      </c>
      <c r="P1307" s="62">
        <f>IF(P152=0,0,IF(P$15&lt;=1,1,IF(EXACT(P1202,"keine"),IF(P$3=P$12,1,0),IF(EXACT(P1202,"beste"),IF(P$3=P1097,1,0),IF(P$3=P887,1,0)))))</f>
        <v/>
      </c>
      <c r="Q1307" s="62">
        <f>IF(Q152=0,0,IF(Q$15&lt;=1,1,IF(EXACT(Q1202,"keine"),IF(Q$3=Q$12,1,0),IF(EXACT(Q1202,"beste"),IF(Q$3=Q1097,1,0),IF(Q$3=Q887,1,0)))))</f>
        <v/>
      </c>
      <c r="R1307" s="62">
        <f>IF(R152=0,0,IF(R$15&lt;=1,1,IF(EXACT(R1202,"keine"),IF(R$3=R$12,1,0),IF(EXACT(R1202,"beste"),IF(R$3=R1097,1,0),IF(R$3=R887,1,0)))))</f>
        <v/>
      </c>
      <c r="S1307" s="62">
        <f>IF(S152=0,0,IF(S$15&lt;=1,1,IF(EXACT(S1202,"keine"),IF(S$3=S$12,1,0),IF(EXACT(S1202,"beste"),IF(S$3=S1097,1,0),IF(S$3=S887,1,0)))))</f>
        <v/>
      </c>
      <c r="T1307" s="62">
        <f>IF(T152=0,0,IF(T$15&lt;=1,1,IF(EXACT(T1202,"keine"),IF(T$3=T$12,1,0),IF(EXACT(T1202,"beste"),IF(T$3=T1097,1,0),IF(T$3=T887,1,0)))))</f>
        <v/>
      </c>
      <c r="U1307" s="62">
        <f>IF(U152=0,0,IF(U$15&lt;=1,1,IF(EXACT(U1202,"keine"),IF(U$3=U$12,1,0),IF(EXACT(U1202,"beste"),IF(U$3=U1097,1,0),IF(U$3=U887,1,0)))))</f>
        <v/>
      </c>
      <c r="V1307" s="62">
        <f>IF(V152=0,0,IF(V$15&lt;=1,1,IF(EXACT(V1202,"keine"),IF(V$3=V$12,1,0),IF(EXACT(V1202,"beste"),IF(V$3=V1097,1,0),IF(V$3=V887,1,0)))))</f>
        <v/>
      </c>
    </row>
    <row r="1308">
      <c r="C1308" s="62">
        <f>IF(C153=0,0,IF(C$15&lt;=1,1,IF(EXACT(C1203,"keine"),IF(C$3=C$12,1,0),IF(EXACT(C1203,"beste"),IF(C$3=C1098,1,0),IF(C$3=C888,1,0)))))</f>
        <v/>
      </c>
      <c r="D1308" s="62">
        <f>IF(D153=0,0,IF(D$15&lt;=1,1,IF(EXACT(D1203,"keine"),IF(D$3=D$12,1,0),IF(EXACT(D1203,"beste"),IF(D$3=D1098,1,0),IF(D$3=D888,1,0)))))</f>
        <v/>
      </c>
      <c r="E1308" s="62">
        <f>IF(E153=0,0,IF(E$15&lt;=1,1,IF(EXACT(E1203,"keine"),IF(E$3=E$12,1,0),IF(EXACT(E1203,"beste"),IF(E$3=E1098,1,0),IF(E$3=E888,1,0)))))</f>
        <v/>
      </c>
      <c r="F1308" s="62">
        <f>IF(F153=0,0,IF(F$15&lt;=1,1,IF(EXACT(F1203,"keine"),IF(F$3=F$12,1,0),IF(EXACT(F1203,"beste"),IF(F$3=F1098,1,0),IF(F$3=F888,1,0)))))</f>
        <v/>
      </c>
      <c r="G1308" s="62">
        <f>IF(G153=0,0,IF(G$15&lt;=1,1,IF(EXACT(G1203,"keine"),IF(G$3=G$12,1,0),IF(EXACT(G1203,"beste"),IF(G$3=G1098,1,0),IF(G$3=G888,1,0)))))</f>
        <v/>
      </c>
      <c r="H1308" s="62">
        <f>IF(H153=0,0,IF(H$15&lt;=1,1,IF(EXACT(H1203,"keine"),IF(H$3=H$12,1,0),IF(EXACT(H1203,"beste"),IF(H$3=H1098,1,0),IF(H$3=H888,1,0)))))</f>
        <v/>
      </c>
      <c r="I1308" s="62">
        <f>IF(I153=0,0,IF(I$15&lt;=1,1,IF(EXACT(I1203,"keine"),IF(I$3=I$12,1,0),IF(EXACT(I1203,"beste"),IF(I$3=I1098,1,0),IF(I$3=I888,1,0)))))</f>
        <v/>
      </c>
      <c r="J1308" s="62">
        <f>IF(J153=0,0,IF(J$15&lt;=1,1,IF(EXACT(J1203,"keine"),IF(J$3=J$12,1,0),IF(EXACT(J1203,"beste"),IF(J$3=J1098,1,0),IF(J$3=J888,1,0)))))</f>
        <v/>
      </c>
      <c r="K1308" s="62">
        <f>IF(K153=0,0,IF(K$15&lt;=1,1,IF(EXACT(K1203,"keine"),IF(K$3=K$12,1,0),IF(EXACT(K1203,"beste"),IF(K$3=K1098,1,0),IF(K$3=K888,1,0)))))</f>
        <v/>
      </c>
      <c r="L1308" s="62">
        <f>IF(L153=0,0,IF(L$15&lt;=1,1,IF(EXACT(L1203,"keine"),IF(L$3=L$12,1,0),IF(EXACT(L1203,"beste"),IF(L$3=L1098,1,0),IF(L$3=L888,1,0)))))</f>
        <v/>
      </c>
      <c r="M1308" s="62">
        <f>IF(M153=0,0,IF(M$15&lt;=1,1,IF(EXACT(M1203,"keine"),IF(M$3=M$12,1,0),IF(EXACT(M1203,"beste"),IF(M$3=M1098,1,0),IF(M$3=M888,1,0)))))</f>
        <v/>
      </c>
      <c r="N1308" s="62">
        <f>IF(N153=0,0,IF(N$15&lt;=1,1,IF(EXACT(N1203,"keine"),IF(N$3=N$12,1,0),IF(EXACT(N1203,"beste"),IF(N$3=N1098,1,0),IF(N$3=N888,1,0)))))</f>
        <v/>
      </c>
      <c r="O1308" s="62">
        <f>IF(O153=0,0,IF(O$15&lt;=1,1,IF(EXACT(O1203,"keine"),IF(O$3=O$12,1,0),IF(EXACT(O1203,"beste"),IF(O$3=O1098,1,0),IF(O$3=O888,1,0)))))</f>
        <v/>
      </c>
      <c r="P1308" s="62">
        <f>IF(P153=0,0,IF(P$15&lt;=1,1,IF(EXACT(P1203,"keine"),IF(P$3=P$12,1,0),IF(EXACT(P1203,"beste"),IF(P$3=P1098,1,0),IF(P$3=P888,1,0)))))</f>
        <v/>
      </c>
      <c r="Q1308" s="62">
        <f>IF(Q153=0,0,IF(Q$15&lt;=1,1,IF(EXACT(Q1203,"keine"),IF(Q$3=Q$12,1,0),IF(EXACT(Q1203,"beste"),IF(Q$3=Q1098,1,0),IF(Q$3=Q888,1,0)))))</f>
        <v/>
      </c>
      <c r="R1308" s="62">
        <f>IF(R153=0,0,IF(R$15&lt;=1,1,IF(EXACT(R1203,"keine"),IF(R$3=R$12,1,0),IF(EXACT(R1203,"beste"),IF(R$3=R1098,1,0),IF(R$3=R888,1,0)))))</f>
        <v/>
      </c>
      <c r="S1308" s="62">
        <f>IF(S153=0,0,IF(S$15&lt;=1,1,IF(EXACT(S1203,"keine"),IF(S$3=S$12,1,0),IF(EXACT(S1203,"beste"),IF(S$3=S1098,1,0),IF(S$3=S888,1,0)))))</f>
        <v/>
      </c>
      <c r="T1308" s="62">
        <f>IF(T153=0,0,IF(T$15&lt;=1,1,IF(EXACT(T1203,"keine"),IF(T$3=T$12,1,0),IF(EXACT(T1203,"beste"),IF(T$3=T1098,1,0),IF(T$3=T888,1,0)))))</f>
        <v/>
      </c>
      <c r="U1308" s="62">
        <f>IF(U153=0,0,IF(U$15&lt;=1,1,IF(EXACT(U1203,"keine"),IF(U$3=U$12,1,0),IF(EXACT(U1203,"beste"),IF(U$3=U1098,1,0),IF(U$3=U888,1,0)))))</f>
        <v/>
      </c>
      <c r="V1308" s="62">
        <f>IF(V153=0,0,IF(V$15&lt;=1,1,IF(EXACT(V1203,"keine"),IF(V$3=V$12,1,0),IF(EXACT(V1203,"beste"),IF(V$3=V1098,1,0),IF(V$3=V888,1,0)))))</f>
        <v/>
      </c>
    </row>
    <row r="1309">
      <c r="C1309" s="62">
        <f>IF(C154=0,0,IF(C$15&lt;=1,1,IF(EXACT(C1204,"keine"),IF(C$3=C$12,1,0),IF(EXACT(C1204,"beste"),IF(C$3=C1099,1,0),IF(C$3=C889,1,0)))))</f>
        <v/>
      </c>
      <c r="D1309" s="62">
        <f>IF(D154=0,0,IF(D$15&lt;=1,1,IF(EXACT(D1204,"keine"),IF(D$3=D$12,1,0),IF(EXACT(D1204,"beste"),IF(D$3=D1099,1,0),IF(D$3=D889,1,0)))))</f>
        <v/>
      </c>
      <c r="E1309" s="62">
        <f>IF(E154=0,0,IF(E$15&lt;=1,1,IF(EXACT(E1204,"keine"),IF(E$3=E$12,1,0),IF(EXACT(E1204,"beste"),IF(E$3=E1099,1,0),IF(E$3=E889,1,0)))))</f>
        <v/>
      </c>
      <c r="F1309" s="62">
        <f>IF(F154=0,0,IF(F$15&lt;=1,1,IF(EXACT(F1204,"keine"),IF(F$3=F$12,1,0),IF(EXACT(F1204,"beste"),IF(F$3=F1099,1,0),IF(F$3=F889,1,0)))))</f>
        <v/>
      </c>
      <c r="G1309" s="62">
        <f>IF(G154=0,0,IF(G$15&lt;=1,1,IF(EXACT(G1204,"keine"),IF(G$3=G$12,1,0),IF(EXACT(G1204,"beste"),IF(G$3=G1099,1,0),IF(G$3=G889,1,0)))))</f>
        <v/>
      </c>
      <c r="H1309" s="62">
        <f>IF(H154=0,0,IF(H$15&lt;=1,1,IF(EXACT(H1204,"keine"),IF(H$3=H$12,1,0),IF(EXACT(H1204,"beste"),IF(H$3=H1099,1,0),IF(H$3=H889,1,0)))))</f>
        <v/>
      </c>
      <c r="I1309" s="62">
        <f>IF(I154=0,0,IF(I$15&lt;=1,1,IF(EXACT(I1204,"keine"),IF(I$3=I$12,1,0),IF(EXACT(I1204,"beste"),IF(I$3=I1099,1,0),IF(I$3=I889,1,0)))))</f>
        <v/>
      </c>
      <c r="J1309" s="62">
        <f>IF(J154=0,0,IF(J$15&lt;=1,1,IF(EXACT(J1204,"keine"),IF(J$3=J$12,1,0),IF(EXACT(J1204,"beste"),IF(J$3=J1099,1,0),IF(J$3=J889,1,0)))))</f>
        <v/>
      </c>
      <c r="K1309" s="62">
        <f>IF(K154=0,0,IF(K$15&lt;=1,1,IF(EXACT(K1204,"keine"),IF(K$3=K$12,1,0),IF(EXACT(K1204,"beste"),IF(K$3=K1099,1,0),IF(K$3=K889,1,0)))))</f>
        <v/>
      </c>
      <c r="L1309" s="62">
        <f>IF(L154=0,0,IF(L$15&lt;=1,1,IF(EXACT(L1204,"keine"),IF(L$3=L$12,1,0),IF(EXACT(L1204,"beste"),IF(L$3=L1099,1,0),IF(L$3=L889,1,0)))))</f>
        <v/>
      </c>
      <c r="M1309" s="62">
        <f>IF(M154=0,0,IF(M$15&lt;=1,1,IF(EXACT(M1204,"keine"),IF(M$3=M$12,1,0),IF(EXACT(M1204,"beste"),IF(M$3=M1099,1,0),IF(M$3=M889,1,0)))))</f>
        <v/>
      </c>
      <c r="N1309" s="62">
        <f>IF(N154=0,0,IF(N$15&lt;=1,1,IF(EXACT(N1204,"keine"),IF(N$3=N$12,1,0),IF(EXACT(N1204,"beste"),IF(N$3=N1099,1,0),IF(N$3=N889,1,0)))))</f>
        <v/>
      </c>
      <c r="O1309" s="62">
        <f>IF(O154=0,0,IF(O$15&lt;=1,1,IF(EXACT(O1204,"keine"),IF(O$3=O$12,1,0),IF(EXACT(O1204,"beste"),IF(O$3=O1099,1,0),IF(O$3=O889,1,0)))))</f>
        <v/>
      </c>
      <c r="P1309" s="62">
        <f>IF(P154=0,0,IF(P$15&lt;=1,1,IF(EXACT(P1204,"keine"),IF(P$3=P$12,1,0),IF(EXACT(P1204,"beste"),IF(P$3=P1099,1,0),IF(P$3=P889,1,0)))))</f>
        <v/>
      </c>
      <c r="Q1309" s="62">
        <f>IF(Q154=0,0,IF(Q$15&lt;=1,1,IF(EXACT(Q1204,"keine"),IF(Q$3=Q$12,1,0),IF(EXACT(Q1204,"beste"),IF(Q$3=Q1099,1,0),IF(Q$3=Q889,1,0)))))</f>
        <v/>
      </c>
      <c r="R1309" s="62">
        <f>IF(R154=0,0,IF(R$15&lt;=1,1,IF(EXACT(R1204,"keine"),IF(R$3=R$12,1,0),IF(EXACT(R1204,"beste"),IF(R$3=R1099,1,0),IF(R$3=R889,1,0)))))</f>
        <v/>
      </c>
      <c r="S1309" s="62">
        <f>IF(S154=0,0,IF(S$15&lt;=1,1,IF(EXACT(S1204,"keine"),IF(S$3=S$12,1,0),IF(EXACT(S1204,"beste"),IF(S$3=S1099,1,0),IF(S$3=S889,1,0)))))</f>
        <v/>
      </c>
      <c r="T1309" s="62">
        <f>IF(T154=0,0,IF(T$15&lt;=1,1,IF(EXACT(T1204,"keine"),IF(T$3=T$12,1,0),IF(EXACT(T1204,"beste"),IF(T$3=T1099,1,0),IF(T$3=T889,1,0)))))</f>
        <v/>
      </c>
      <c r="U1309" s="62">
        <f>IF(U154=0,0,IF(U$15&lt;=1,1,IF(EXACT(U1204,"keine"),IF(U$3=U$12,1,0),IF(EXACT(U1204,"beste"),IF(U$3=U1099,1,0),IF(U$3=U889,1,0)))))</f>
        <v/>
      </c>
      <c r="V1309" s="62">
        <f>IF(V154=0,0,IF(V$15&lt;=1,1,IF(EXACT(V1204,"keine"),IF(V$3=V$12,1,0),IF(EXACT(V1204,"beste"),IF(V$3=V1099,1,0),IF(V$3=V889,1,0)))))</f>
        <v/>
      </c>
    </row>
    <row r="1310">
      <c r="C1310" s="62">
        <f>IF(C155=0,0,IF(C$15&lt;=1,1,IF(EXACT(C1205,"keine"),IF(C$3=C$12,1,0),IF(EXACT(C1205,"beste"),IF(C$3=C1100,1,0),IF(C$3=C890,1,0)))))</f>
        <v/>
      </c>
      <c r="D1310" s="62">
        <f>IF(D155=0,0,IF(D$15&lt;=1,1,IF(EXACT(D1205,"keine"),IF(D$3=D$12,1,0),IF(EXACT(D1205,"beste"),IF(D$3=D1100,1,0),IF(D$3=D890,1,0)))))</f>
        <v/>
      </c>
      <c r="E1310" s="62">
        <f>IF(E155=0,0,IF(E$15&lt;=1,1,IF(EXACT(E1205,"keine"),IF(E$3=E$12,1,0),IF(EXACT(E1205,"beste"),IF(E$3=E1100,1,0),IF(E$3=E890,1,0)))))</f>
        <v/>
      </c>
      <c r="F1310" s="62">
        <f>IF(F155=0,0,IF(F$15&lt;=1,1,IF(EXACT(F1205,"keine"),IF(F$3=F$12,1,0),IF(EXACT(F1205,"beste"),IF(F$3=F1100,1,0),IF(F$3=F890,1,0)))))</f>
        <v/>
      </c>
      <c r="G1310" s="62">
        <f>IF(G155=0,0,IF(G$15&lt;=1,1,IF(EXACT(G1205,"keine"),IF(G$3=G$12,1,0),IF(EXACT(G1205,"beste"),IF(G$3=G1100,1,0),IF(G$3=G890,1,0)))))</f>
        <v/>
      </c>
      <c r="H1310" s="62">
        <f>IF(H155=0,0,IF(H$15&lt;=1,1,IF(EXACT(H1205,"keine"),IF(H$3=H$12,1,0),IF(EXACT(H1205,"beste"),IF(H$3=H1100,1,0),IF(H$3=H890,1,0)))))</f>
        <v/>
      </c>
      <c r="I1310" s="62">
        <f>IF(I155=0,0,IF(I$15&lt;=1,1,IF(EXACT(I1205,"keine"),IF(I$3=I$12,1,0),IF(EXACT(I1205,"beste"),IF(I$3=I1100,1,0),IF(I$3=I890,1,0)))))</f>
        <v/>
      </c>
      <c r="J1310" s="62">
        <f>IF(J155=0,0,IF(J$15&lt;=1,1,IF(EXACT(J1205,"keine"),IF(J$3=J$12,1,0),IF(EXACT(J1205,"beste"),IF(J$3=J1100,1,0),IF(J$3=J890,1,0)))))</f>
        <v/>
      </c>
      <c r="K1310" s="62">
        <f>IF(K155=0,0,IF(K$15&lt;=1,1,IF(EXACT(K1205,"keine"),IF(K$3=K$12,1,0),IF(EXACT(K1205,"beste"),IF(K$3=K1100,1,0),IF(K$3=K890,1,0)))))</f>
        <v/>
      </c>
      <c r="L1310" s="62">
        <f>IF(L155=0,0,IF(L$15&lt;=1,1,IF(EXACT(L1205,"keine"),IF(L$3=L$12,1,0),IF(EXACT(L1205,"beste"),IF(L$3=L1100,1,0),IF(L$3=L890,1,0)))))</f>
        <v/>
      </c>
      <c r="M1310" s="62">
        <f>IF(M155=0,0,IF(M$15&lt;=1,1,IF(EXACT(M1205,"keine"),IF(M$3=M$12,1,0),IF(EXACT(M1205,"beste"),IF(M$3=M1100,1,0),IF(M$3=M890,1,0)))))</f>
        <v/>
      </c>
      <c r="N1310" s="62">
        <f>IF(N155=0,0,IF(N$15&lt;=1,1,IF(EXACT(N1205,"keine"),IF(N$3=N$12,1,0),IF(EXACT(N1205,"beste"),IF(N$3=N1100,1,0),IF(N$3=N890,1,0)))))</f>
        <v/>
      </c>
      <c r="O1310" s="62">
        <f>IF(O155=0,0,IF(O$15&lt;=1,1,IF(EXACT(O1205,"keine"),IF(O$3=O$12,1,0),IF(EXACT(O1205,"beste"),IF(O$3=O1100,1,0),IF(O$3=O890,1,0)))))</f>
        <v/>
      </c>
      <c r="P1310" s="62">
        <f>IF(P155=0,0,IF(P$15&lt;=1,1,IF(EXACT(P1205,"keine"),IF(P$3=P$12,1,0),IF(EXACT(P1205,"beste"),IF(P$3=P1100,1,0),IF(P$3=P890,1,0)))))</f>
        <v/>
      </c>
      <c r="Q1310" s="62">
        <f>IF(Q155=0,0,IF(Q$15&lt;=1,1,IF(EXACT(Q1205,"keine"),IF(Q$3=Q$12,1,0),IF(EXACT(Q1205,"beste"),IF(Q$3=Q1100,1,0),IF(Q$3=Q890,1,0)))))</f>
        <v/>
      </c>
      <c r="R1310" s="62">
        <f>IF(R155=0,0,IF(R$15&lt;=1,1,IF(EXACT(R1205,"keine"),IF(R$3=R$12,1,0),IF(EXACT(R1205,"beste"),IF(R$3=R1100,1,0),IF(R$3=R890,1,0)))))</f>
        <v/>
      </c>
      <c r="S1310" s="62">
        <f>IF(S155=0,0,IF(S$15&lt;=1,1,IF(EXACT(S1205,"keine"),IF(S$3=S$12,1,0),IF(EXACT(S1205,"beste"),IF(S$3=S1100,1,0),IF(S$3=S890,1,0)))))</f>
        <v/>
      </c>
      <c r="T1310" s="62">
        <f>IF(T155=0,0,IF(T$15&lt;=1,1,IF(EXACT(T1205,"keine"),IF(T$3=T$12,1,0),IF(EXACT(T1205,"beste"),IF(T$3=T1100,1,0),IF(T$3=T890,1,0)))))</f>
        <v/>
      </c>
      <c r="U1310" s="62">
        <f>IF(U155=0,0,IF(U$15&lt;=1,1,IF(EXACT(U1205,"keine"),IF(U$3=U$12,1,0),IF(EXACT(U1205,"beste"),IF(U$3=U1100,1,0),IF(U$3=U890,1,0)))))</f>
        <v/>
      </c>
      <c r="V1310" s="62">
        <f>IF(V155=0,0,IF(V$15&lt;=1,1,IF(EXACT(V1205,"keine"),IF(V$3=V$12,1,0),IF(EXACT(V1205,"beste"),IF(V$3=V1100,1,0),IF(V$3=V890,1,0)))))</f>
        <v/>
      </c>
    </row>
    <row r="1311">
      <c r="C1311" s="62">
        <f>IF(C156=0,0,IF(C$15&lt;=1,1,IF(EXACT(C1206,"keine"),IF(C$3=C$12,1,0),IF(EXACT(C1206,"beste"),IF(C$3=C1101,1,0),IF(C$3=C891,1,0)))))</f>
        <v/>
      </c>
      <c r="D1311" s="62">
        <f>IF(D156=0,0,IF(D$15&lt;=1,1,IF(EXACT(D1206,"keine"),IF(D$3=D$12,1,0),IF(EXACT(D1206,"beste"),IF(D$3=D1101,1,0),IF(D$3=D891,1,0)))))</f>
        <v/>
      </c>
      <c r="E1311" s="62">
        <f>IF(E156=0,0,IF(E$15&lt;=1,1,IF(EXACT(E1206,"keine"),IF(E$3=E$12,1,0),IF(EXACT(E1206,"beste"),IF(E$3=E1101,1,0),IF(E$3=E891,1,0)))))</f>
        <v/>
      </c>
      <c r="F1311" s="62">
        <f>IF(F156=0,0,IF(F$15&lt;=1,1,IF(EXACT(F1206,"keine"),IF(F$3=F$12,1,0),IF(EXACT(F1206,"beste"),IF(F$3=F1101,1,0),IF(F$3=F891,1,0)))))</f>
        <v/>
      </c>
      <c r="G1311" s="62">
        <f>IF(G156=0,0,IF(G$15&lt;=1,1,IF(EXACT(G1206,"keine"),IF(G$3=G$12,1,0),IF(EXACT(G1206,"beste"),IF(G$3=G1101,1,0),IF(G$3=G891,1,0)))))</f>
        <v/>
      </c>
      <c r="H1311" s="62">
        <f>IF(H156=0,0,IF(H$15&lt;=1,1,IF(EXACT(H1206,"keine"),IF(H$3=H$12,1,0),IF(EXACT(H1206,"beste"),IF(H$3=H1101,1,0),IF(H$3=H891,1,0)))))</f>
        <v/>
      </c>
      <c r="I1311" s="62">
        <f>IF(I156=0,0,IF(I$15&lt;=1,1,IF(EXACT(I1206,"keine"),IF(I$3=I$12,1,0),IF(EXACT(I1206,"beste"),IF(I$3=I1101,1,0),IF(I$3=I891,1,0)))))</f>
        <v/>
      </c>
      <c r="J1311" s="62">
        <f>IF(J156=0,0,IF(J$15&lt;=1,1,IF(EXACT(J1206,"keine"),IF(J$3=J$12,1,0),IF(EXACT(J1206,"beste"),IF(J$3=J1101,1,0),IF(J$3=J891,1,0)))))</f>
        <v/>
      </c>
      <c r="K1311" s="62">
        <f>IF(K156=0,0,IF(K$15&lt;=1,1,IF(EXACT(K1206,"keine"),IF(K$3=K$12,1,0),IF(EXACT(K1206,"beste"),IF(K$3=K1101,1,0),IF(K$3=K891,1,0)))))</f>
        <v/>
      </c>
      <c r="L1311" s="62">
        <f>IF(L156=0,0,IF(L$15&lt;=1,1,IF(EXACT(L1206,"keine"),IF(L$3=L$12,1,0),IF(EXACT(L1206,"beste"),IF(L$3=L1101,1,0),IF(L$3=L891,1,0)))))</f>
        <v/>
      </c>
      <c r="M1311" s="62">
        <f>IF(M156=0,0,IF(M$15&lt;=1,1,IF(EXACT(M1206,"keine"),IF(M$3=M$12,1,0),IF(EXACT(M1206,"beste"),IF(M$3=M1101,1,0),IF(M$3=M891,1,0)))))</f>
        <v/>
      </c>
      <c r="N1311" s="62">
        <f>IF(N156=0,0,IF(N$15&lt;=1,1,IF(EXACT(N1206,"keine"),IF(N$3=N$12,1,0),IF(EXACT(N1206,"beste"),IF(N$3=N1101,1,0),IF(N$3=N891,1,0)))))</f>
        <v/>
      </c>
      <c r="O1311" s="62">
        <f>IF(O156=0,0,IF(O$15&lt;=1,1,IF(EXACT(O1206,"keine"),IF(O$3=O$12,1,0),IF(EXACT(O1206,"beste"),IF(O$3=O1101,1,0),IF(O$3=O891,1,0)))))</f>
        <v/>
      </c>
      <c r="P1311" s="62">
        <f>IF(P156=0,0,IF(P$15&lt;=1,1,IF(EXACT(P1206,"keine"),IF(P$3=P$12,1,0),IF(EXACT(P1206,"beste"),IF(P$3=P1101,1,0),IF(P$3=P891,1,0)))))</f>
        <v/>
      </c>
      <c r="Q1311" s="62">
        <f>IF(Q156=0,0,IF(Q$15&lt;=1,1,IF(EXACT(Q1206,"keine"),IF(Q$3=Q$12,1,0),IF(EXACT(Q1206,"beste"),IF(Q$3=Q1101,1,0),IF(Q$3=Q891,1,0)))))</f>
        <v/>
      </c>
      <c r="R1311" s="62">
        <f>IF(R156=0,0,IF(R$15&lt;=1,1,IF(EXACT(R1206,"keine"),IF(R$3=R$12,1,0),IF(EXACT(R1206,"beste"),IF(R$3=R1101,1,0),IF(R$3=R891,1,0)))))</f>
        <v/>
      </c>
      <c r="S1311" s="62">
        <f>IF(S156=0,0,IF(S$15&lt;=1,1,IF(EXACT(S1206,"keine"),IF(S$3=S$12,1,0),IF(EXACT(S1206,"beste"),IF(S$3=S1101,1,0),IF(S$3=S891,1,0)))))</f>
        <v/>
      </c>
      <c r="T1311" s="62">
        <f>IF(T156=0,0,IF(T$15&lt;=1,1,IF(EXACT(T1206,"keine"),IF(T$3=T$12,1,0),IF(EXACT(T1206,"beste"),IF(T$3=T1101,1,0),IF(T$3=T891,1,0)))))</f>
        <v/>
      </c>
      <c r="U1311" s="62">
        <f>IF(U156=0,0,IF(U$15&lt;=1,1,IF(EXACT(U1206,"keine"),IF(U$3=U$12,1,0),IF(EXACT(U1206,"beste"),IF(U$3=U1101,1,0),IF(U$3=U891,1,0)))))</f>
        <v/>
      </c>
      <c r="V1311" s="62">
        <f>IF(V156=0,0,IF(V$15&lt;=1,1,IF(EXACT(V1206,"keine"),IF(V$3=V$12,1,0),IF(EXACT(V1206,"beste"),IF(V$3=V1101,1,0),IF(V$3=V891,1,0)))))</f>
        <v/>
      </c>
    </row>
    <row r="1312">
      <c r="C1312" s="62">
        <f>IF(C157=0,0,IF(C$15&lt;=1,1,IF(EXACT(C1207,"keine"),IF(C$3=C$12,1,0),IF(EXACT(C1207,"beste"),IF(C$3=C1102,1,0),IF(C$3=C892,1,0)))))</f>
        <v/>
      </c>
      <c r="D1312" s="62">
        <f>IF(D157=0,0,IF(D$15&lt;=1,1,IF(EXACT(D1207,"keine"),IF(D$3=D$12,1,0),IF(EXACT(D1207,"beste"),IF(D$3=D1102,1,0),IF(D$3=D892,1,0)))))</f>
        <v/>
      </c>
      <c r="E1312" s="62">
        <f>IF(E157=0,0,IF(E$15&lt;=1,1,IF(EXACT(E1207,"keine"),IF(E$3=E$12,1,0),IF(EXACT(E1207,"beste"),IF(E$3=E1102,1,0),IF(E$3=E892,1,0)))))</f>
        <v/>
      </c>
      <c r="F1312" s="62">
        <f>IF(F157=0,0,IF(F$15&lt;=1,1,IF(EXACT(F1207,"keine"),IF(F$3=F$12,1,0),IF(EXACT(F1207,"beste"),IF(F$3=F1102,1,0),IF(F$3=F892,1,0)))))</f>
        <v/>
      </c>
      <c r="G1312" s="62">
        <f>IF(G157=0,0,IF(G$15&lt;=1,1,IF(EXACT(G1207,"keine"),IF(G$3=G$12,1,0),IF(EXACT(G1207,"beste"),IF(G$3=G1102,1,0),IF(G$3=G892,1,0)))))</f>
        <v/>
      </c>
      <c r="H1312" s="62">
        <f>IF(H157=0,0,IF(H$15&lt;=1,1,IF(EXACT(H1207,"keine"),IF(H$3=H$12,1,0),IF(EXACT(H1207,"beste"),IF(H$3=H1102,1,0),IF(H$3=H892,1,0)))))</f>
        <v/>
      </c>
      <c r="I1312" s="62">
        <f>IF(I157=0,0,IF(I$15&lt;=1,1,IF(EXACT(I1207,"keine"),IF(I$3=I$12,1,0),IF(EXACT(I1207,"beste"),IF(I$3=I1102,1,0),IF(I$3=I892,1,0)))))</f>
        <v/>
      </c>
      <c r="J1312" s="62">
        <f>IF(J157=0,0,IF(J$15&lt;=1,1,IF(EXACT(J1207,"keine"),IF(J$3=J$12,1,0),IF(EXACT(J1207,"beste"),IF(J$3=J1102,1,0),IF(J$3=J892,1,0)))))</f>
        <v/>
      </c>
      <c r="K1312" s="62">
        <f>IF(K157=0,0,IF(K$15&lt;=1,1,IF(EXACT(K1207,"keine"),IF(K$3=K$12,1,0),IF(EXACT(K1207,"beste"),IF(K$3=K1102,1,0),IF(K$3=K892,1,0)))))</f>
        <v/>
      </c>
      <c r="L1312" s="62">
        <f>IF(L157=0,0,IF(L$15&lt;=1,1,IF(EXACT(L1207,"keine"),IF(L$3=L$12,1,0),IF(EXACT(L1207,"beste"),IF(L$3=L1102,1,0),IF(L$3=L892,1,0)))))</f>
        <v/>
      </c>
      <c r="M1312" s="62">
        <f>IF(M157=0,0,IF(M$15&lt;=1,1,IF(EXACT(M1207,"keine"),IF(M$3=M$12,1,0),IF(EXACT(M1207,"beste"),IF(M$3=M1102,1,0),IF(M$3=M892,1,0)))))</f>
        <v/>
      </c>
      <c r="N1312" s="62">
        <f>IF(N157=0,0,IF(N$15&lt;=1,1,IF(EXACT(N1207,"keine"),IF(N$3=N$12,1,0),IF(EXACT(N1207,"beste"),IF(N$3=N1102,1,0),IF(N$3=N892,1,0)))))</f>
        <v/>
      </c>
      <c r="O1312" s="62">
        <f>IF(O157=0,0,IF(O$15&lt;=1,1,IF(EXACT(O1207,"keine"),IF(O$3=O$12,1,0),IF(EXACT(O1207,"beste"),IF(O$3=O1102,1,0),IF(O$3=O892,1,0)))))</f>
        <v/>
      </c>
      <c r="P1312" s="62">
        <f>IF(P157=0,0,IF(P$15&lt;=1,1,IF(EXACT(P1207,"keine"),IF(P$3=P$12,1,0),IF(EXACT(P1207,"beste"),IF(P$3=P1102,1,0),IF(P$3=P892,1,0)))))</f>
        <v/>
      </c>
      <c r="Q1312" s="62">
        <f>IF(Q157=0,0,IF(Q$15&lt;=1,1,IF(EXACT(Q1207,"keine"),IF(Q$3=Q$12,1,0),IF(EXACT(Q1207,"beste"),IF(Q$3=Q1102,1,0),IF(Q$3=Q892,1,0)))))</f>
        <v/>
      </c>
      <c r="R1312" s="62">
        <f>IF(R157=0,0,IF(R$15&lt;=1,1,IF(EXACT(R1207,"keine"),IF(R$3=R$12,1,0),IF(EXACT(R1207,"beste"),IF(R$3=R1102,1,0),IF(R$3=R892,1,0)))))</f>
        <v/>
      </c>
      <c r="S1312" s="62">
        <f>IF(S157=0,0,IF(S$15&lt;=1,1,IF(EXACT(S1207,"keine"),IF(S$3=S$12,1,0),IF(EXACT(S1207,"beste"),IF(S$3=S1102,1,0),IF(S$3=S892,1,0)))))</f>
        <v/>
      </c>
      <c r="T1312" s="62">
        <f>IF(T157=0,0,IF(T$15&lt;=1,1,IF(EXACT(T1207,"keine"),IF(T$3=T$12,1,0),IF(EXACT(T1207,"beste"),IF(T$3=T1102,1,0),IF(T$3=T892,1,0)))))</f>
        <v/>
      </c>
      <c r="U1312" s="62">
        <f>IF(U157=0,0,IF(U$15&lt;=1,1,IF(EXACT(U1207,"keine"),IF(U$3=U$12,1,0),IF(EXACT(U1207,"beste"),IF(U$3=U1102,1,0),IF(U$3=U892,1,0)))))</f>
        <v/>
      </c>
      <c r="V1312" s="62">
        <f>IF(V157=0,0,IF(V$15&lt;=1,1,IF(EXACT(V1207,"keine"),IF(V$3=V$12,1,0),IF(EXACT(V1207,"beste"),IF(V$3=V1102,1,0),IF(V$3=V892,1,0)))))</f>
        <v/>
      </c>
    </row>
    <row r="1313">
      <c r="C1313" s="62">
        <f>IF(C158=0,0,IF(C$15&lt;=1,1,IF(EXACT(C1208,"keine"),IF(C$3=C$12,1,0),IF(EXACT(C1208,"beste"),IF(C$3=C1103,1,0),IF(C$3=C893,1,0)))))</f>
        <v/>
      </c>
      <c r="D1313" s="62">
        <f>IF(D158=0,0,IF(D$15&lt;=1,1,IF(EXACT(D1208,"keine"),IF(D$3=D$12,1,0),IF(EXACT(D1208,"beste"),IF(D$3=D1103,1,0),IF(D$3=D893,1,0)))))</f>
        <v/>
      </c>
      <c r="E1313" s="62">
        <f>IF(E158=0,0,IF(E$15&lt;=1,1,IF(EXACT(E1208,"keine"),IF(E$3=E$12,1,0),IF(EXACT(E1208,"beste"),IF(E$3=E1103,1,0),IF(E$3=E893,1,0)))))</f>
        <v/>
      </c>
      <c r="F1313" s="62">
        <f>IF(F158=0,0,IF(F$15&lt;=1,1,IF(EXACT(F1208,"keine"),IF(F$3=F$12,1,0),IF(EXACT(F1208,"beste"),IF(F$3=F1103,1,0),IF(F$3=F893,1,0)))))</f>
        <v/>
      </c>
      <c r="G1313" s="62">
        <f>IF(G158=0,0,IF(G$15&lt;=1,1,IF(EXACT(G1208,"keine"),IF(G$3=G$12,1,0),IF(EXACT(G1208,"beste"),IF(G$3=G1103,1,0),IF(G$3=G893,1,0)))))</f>
        <v/>
      </c>
      <c r="H1313" s="62">
        <f>IF(H158=0,0,IF(H$15&lt;=1,1,IF(EXACT(H1208,"keine"),IF(H$3=H$12,1,0),IF(EXACT(H1208,"beste"),IF(H$3=H1103,1,0),IF(H$3=H893,1,0)))))</f>
        <v/>
      </c>
      <c r="I1313" s="62">
        <f>IF(I158=0,0,IF(I$15&lt;=1,1,IF(EXACT(I1208,"keine"),IF(I$3=I$12,1,0),IF(EXACT(I1208,"beste"),IF(I$3=I1103,1,0),IF(I$3=I893,1,0)))))</f>
        <v/>
      </c>
      <c r="J1313" s="62">
        <f>IF(J158=0,0,IF(J$15&lt;=1,1,IF(EXACT(J1208,"keine"),IF(J$3=J$12,1,0),IF(EXACT(J1208,"beste"),IF(J$3=J1103,1,0),IF(J$3=J893,1,0)))))</f>
        <v/>
      </c>
      <c r="K1313" s="62">
        <f>IF(K158=0,0,IF(K$15&lt;=1,1,IF(EXACT(K1208,"keine"),IF(K$3=K$12,1,0),IF(EXACT(K1208,"beste"),IF(K$3=K1103,1,0),IF(K$3=K893,1,0)))))</f>
        <v/>
      </c>
      <c r="L1313" s="62">
        <f>IF(L158=0,0,IF(L$15&lt;=1,1,IF(EXACT(L1208,"keine"),IF(L$3=L$12,1,0),IF(EXACT(L1208,"beste"),IF(L$3=L1103,1,0),IF(L$3=L893,1,0)))))</f>
        <v/>
      </c>
      <c r="M1313" s="62">
        <f>IF(M158=0,0,IF(M$15&lt;=1,1,IF(EXACT(M1208,"keine"),IF(M$3=M$12,1,0),IF(EXACT(M1208,"beste"),IF(M$3=M1103,1,0),IF(M$3=M893,1,0)))))</f>
        <v/>
      </c>
      <c r="N1313" s="62">
        <f>IF(N158=0,0,IF(N$15&lt;=1,1,IF(EXACT(N1208,"keine"),IF(N$3=N$12,1,0),IF(EXACT(N1208,"beste"),IF(N$3=N1103,1,0),IF(N$3=N893,1,0)))))</f>
        <v/>
      </c>
      <c r="O1313" s="62">
        <f>IF(O158=0,0,IF(O$15&lt;=1,1,IF(EXACT(O1208,"keine"),IF(O$3=O$12,1,0),IF(EXACT(O1208,"beste"),IF(O$3=O1103,1,0),IF(O$3=O893,1,0)))))</f>
        <v/>
      </c>
      <c r="P1313" s="62">
        <f>IF(P158=0,0,IF(P$15&lt;=1,1,IF(EXACT(P1208,"keine"),IF(P$3=P$12,1,0),IF(EXACT(P1208,"beste"),IF(P$3=P1103,1,0),IF(P$3=P893,1,0)))))</f>
        <v/>
      </c>
      <c r="Q1313" s="62">
        <f>IF(Q158=0,0,IF(Q$15&lt;=1,1,IF(EXACT(Q1208,"keine"),IF(Q$3=Q$12,1,0),IF(EXACT(Q1208,"beste"),IF(Q$3=Q1103,1,0),IF(Q$3=Q893,1,0)))))</f>
        <v/>
      </c>
      <c r="R1313" s="62">
        <f>IF(R158=0,0,IF(R$15&lt;=1,1,IF(EXACT(R1208,"keine"),IF(R$3=R$12,1,0),IF(EXACT(R1208,"beste"),IF(R$3=R1103,1,0),IF(R$3=R893,1,0)))))</f>
        <v/>
      </c>
      <c r="S1313" s="62">
        <f>IF(S158=0,0,IF(S$15&lt;=1,1,IF(EXACT(S1208,"keine"),IF(S$3=S$12,1,0),IF(EXACT(S1208,"beste"),IF(S$3=S1103,1,0),IF(S$3=S893,1,0)))))</f>
        <v/>
      </c>
      <c r="T1313" s="62">
        <f>IF(T158=0,0,IF(T$15&lt;=1,1,IF(EXACT(T1208,"keine"),IF(T$3=T$12,1,0),IF(EXACT(T1208,"beste"),IF(T$3=T1103,1,0),IF(T$3=T893,1,0)))))</f>
        <v/>
      </c>
      <c r="U1313" s="62">
        <f>IF(U158=0,0,IF(U$15&lt;=1,1,IF(EXACT(U1208,"keine"),IF(U$3=U$12,1,0),IF(EXACT(U1208,"beste"),IF(U$3=U1103,1,0),IF(U$3=U893,1,0)))))</f>
        <v/>
      </c>
      <c r="V1313" s="62">
        <f>IF(V158=0,0,IF(V$15&lt;=1,1,IF(EXACT(V1208,"keine"),IF(V$3=V$12,1,0),IF(EXACT(V1208,"beste"),IF(V$3=V1103,1,0),IF(V$3=V893,1,0)))))</f>
        <v/>
      </c>
    </row>
    <row r="1314">
      <c r="C1314" s="62">
        <f>IF(C159=0,0,IF(C$15&lt;=1,1,IF(EXACT(C1209,"keine"),IF(C$3=C$12,1,0),IF(EXACT(C1209,"beste"),IF(C$3=C1104,1,0),IF(C$3=C894,1,0)))))</f>
        <v/>
      </c>
      <c r="D1314" s="62">
        <f>IF(D159=0,0,IF(D$15&lt;=1,1,IF(EXACT(D1209,"keine"),IF(D$3=D$12,1,0),IF(EXACT(D1209,"beste"),IF(D$3=D1104,1,0),IF(D$3=D894,1,0)))))</f>
        <v/>
      </c>
      <c r="E1314" s="62">
        <f>IF(E159=0,0,IF(E$15&lt;=1,1,IF(EXACT(E1209,"keine"),IF(E$3=E$12,1,0),IF(EXACT(E1209,"beste"),IF(E$3=E1104,1,0),IF(E$3=E894,1,0)))))</f>
        <v/>
      </c>
      <c r="F1314" s="62">
        <f>IF(F159=0,0,IF(F$15&lt;=1,1,IF(EXACT(F1209,"keine"),IF(F$3=F$12,1,0),IF(EXACT(F1209,"beste"),IF(F$3=F1104,1,0),IF(F$3=F894,1,0)))))</f>
        <v/>
      </c>
      <c r="G1314" s="62">
        <f>IF(G159=0,0,IF(G$15&lt;=1,1,IF(EXACT(G1209,"keine"),IF(G$3=G$12,1,0),IF(EXACT(G1209,"beste"),IF(G$3=G1104,1,0),IF(G$3=G894,1,0)))))</f>
        <v/>
      </c>
      <c r="H1314" s="62">
        <f>IF(H159=0,0,IF(H$15&lt;=1,1,IF(EXACT(H1209,"keine"),IF(H$3=H$12,1,0),IF(EXACT(H1209,"beste"),IF(H$3=H1104,1,0),IF(H$3=H894,1,0)))))</f>
        <v/>
      </c>
      <c r="I1314" s="62">
        <f>IF(I159=0,0,IF(I$15&lt;=1,1,IF(EXACT(I1209,"keine"),IF(I$3=I$12,1,0),IF(EXACT(I1209,"beste"),IF(I$3=I1104,1,0),IF(I$3=I894,1,0)))))</f>
        <v/>
      </c>
      <c r="J1314" s="62">
        <f>IF(J159=0,0,IF(J$15&lt;=1,1,IF(EXACT(J1209,"keine"),IF(J$3=J$12,1,0),IF(EXACT(J1209,"beste"),IF(J$3=J1104,1,0),IF(J$3=J894,1,0)))))</f>
        <v/>
      </c>
      <c r="K1314" s="62">
        <f>IF(K159=0,0,IF(K$15&lt;=1,1,IF(EXACT(K1209,"keine"),IF(K$3=K$12,1,0),IF(EXACT(K1209,"beste"),IF(K$3=K1104,1,0),IF(K$3=K894,1,0)))))</f>
        <v/>
      </c>
      <c r="L1314" s="62">
        <f>IF(L159=0,0,IF(L$15&lt;=1,1,IF(EXACT(L1209,"keine"),IF(L$3=L$12,1,0),IF(EXACT(L1209,"beste"),IF(L$3=L1104,1,0),IF(L$3=L894,1,0)))))</f>
        <v/>
      </c>
      <c r="M1314" s="62">
        <f>IF(M159=0,0,IF(M$15&lt;=1,1,IF(EXACT(M1209,"keine"),IF(M$3=M$12,1,0),IF(EXACT(M1209,"beste"),IF(M$3=M1104,1,0),IF(M$3=M894,1,0)))))</f>
        <v/>
      </c>
      <c r="N1314" s="62">
        <f>IF(N159=0,0,IF(N$15&lt;=1,1,IF(EXACT(N1209,"keine"),IF(N$3=N$12,1,0),IF(EXACT(N1209,"beste"),IF(N$3=N1104,1,0),IF(N$3=N894,1,0)))))</f>
        <v/>
      </c>
      <c r="O1314" s="62">
        <f>IF(O159=0,0,IF(O$15&lt;=1,1,IF(EXACT(O1209,"keine"),IF(O$3=O$12,1,0),IF(EXACT(O1209,"beste"),IF(O$3=O1104,1,0),IF(O$3=O894,1,0)))))</f>
        <v/>
      </c>
      <c r="P1314" s="62">
        <f>IF(P159=0,0,IF(P$15&lt;=1,1,IF(EXACT(P1209,"keine"),IF(P$3=P$12,1,0),IF(EXACT(P1209,"beste"),IF(P$3=P1104,1,0),IF(P$3=P894,1,0)))))</f>
        <v/>
      </c>
      <c r="Q1314" s="62">
        <f>IF(Q159=0,0,IF(Q$15&lt;=1,1,IF(EXACT(Q1209,"keine"),IF(Q$3=Q$12,1,0),IF(EXACT(Q1209,"beste"),IF(Q$3=Q1104,1,0),IF(Q$3=Q894,1,0)))))</f>
        <v/>
      </c>
      <c r="R1314" s="62">
        <f>IF(R159=0,0,IF(R$15&lt;=1,1,IF(EXACT(R1209,"keine"),IF(R$3=R$12,1,0),IF(EXACT(R1209,"beste"),IF(R$3=R1104,1,0),IF(R$3=R894,1,0)))))</f>
        <v/>
      </c>
      <c r="S1314" s="62">
        <f>IF(S159=0,0,IF(S$15&lt;=1,1,IF(EXACT(S1209,"keine"),IF(S$3=S$12,1,0),IF(EXACT(S1209,"beste"),IF(S$3=S1104,1,0),IF(S$3=S894,1,0)))))</f>
        <v/>
      </c>
      <c r="T1314" s="62">
        <f>IF(T159=0,0,IF(T$15&lt;=1,1,IF(EXACT(T1209,"keine"),IF(T$3=T$12,1,0),IF(EXACT(T1209,"beste"),IF(T$3=T1104,1,0),IF(T$3=T894,1,0)))))</f>
        <v/>
      </c>
      <c r="U1314" s="62">
        <f>IF(U159=0,0,IF(U$15&lt;=1,1,IF(EXACT(U1209,"keine"),IF(U$3=U$12,1,0),IF(EXACT(U1209,"beste"),IF(U$3=U1104,1,0),IF(U$3=U894,1,0)))))</f>
        <v/>
      </c>
      <c r="V1314" s="62">
        <f>IF(V159=0,0,IF(V$15&lt;=1,1,IF(EXACT(V1209,"keine"),IF(V$3=V$12,1,0),IF(EXACT(V1209,"beste"),IF(V$3=V1104,1,0),IF(V$3=V894,1,0)))))</f>
        <v/>
      </c>
    </row>
    <row r="1315">
      <c r="C1315" s="62">
        <f>IF(C160=0,0,IF(C$15&lt;=1,1,IF(EXACT(C1210,"keine"),IF(C$3=C$12,1,0),IF(EXACT(C1210,"beste"),IF(C$3=C1105,1,0),IF(C$3=C895,1,0)))))</f>
        <v/>
      </c>
      <c r="D1315" s="62">
        <f>IF(D160=0,0,IF(D$15&lt;=1,1,IF(EXACT(D1210,"keine"),IF(D$3=D$12,1,0),IF(EXACT(D1210,"beste"),IF(D$3=D1105,1,0),IF(D$3=D895,1,0)))))</f>
        <v/>
      </c>
      <c r="E1315" s="62">
        <f>IF(E160=0,0,IF(E$15&lt;=1,1,IF(EXACT(E1210,"keine"),IF(E$3=E$12,1,0),IF(EXACT(E1210,"beste"),IF(E$3=E1105,1,0),IF(E$3=E895,1,0)))))</f>
        <v/>
      </c>
      <c r="F1315" s="62">
        <f>IF(F160=0,0,IF(F$15&lt;=1,1,IF(EXACT(F1210,"keine"),IF(F$3=F$12,1,0),IF(EXACT(F1210,"beste"),IF(F$3=F1105,1,0),IF(F$3=F895,1,0)))))</f>
        <v/>
      </c>
      <c r="G1315" s="62">
        <f>IF(G160=0,0,IF(G$15&lt;=1,1,IF(EXACT(G1210,"keine"),IF(G$3=G$12,1,0),IF(EXACT(G1210,"beste"),IF(G$3=G1105,1,0),IF(G$3=G895,1,0)))))</f>
        <v/>
      </c>
      <c r="H1315" s="62">
        <f>IF(H160=0,0,IF(H$15&lt;=1,1,IF(EXACT(H1210,"keine"),IF(H$3=H$12,1,0),IF(EXACT(H1210,"beste"),IF(H$3=H1105,1,0),IF(H$3=H895,1,0)))))</f>
        <v/>
      </c>
      <c r="I1315" s="62">
        <f>IF(I160=0,0,IF(I$15&lt;=1,1,IF(EXACT(I1210,"keine"),IF(I$3=I$12,1,0),IF(EXACT(I1210,"beste"),IF(I$3=I1105,1,0),IF(I$3=I895,1,0)))))</f>
        <v/>
      </c>
      <c r="J1315" s="62">
        <f>IF(J160=0,0,IF(J$15&lt;=1,1,IF(EXACT(J1210,"keine"),IF(J$3=J$12,1,0),IF(EXACT(J1210,"beste"),IF(J$3=J1105,1,0),IF(J$3=J895,1,0)))))</f>
        <v/>
      </c>
      <c r="K1315" s="62">
        <f>IF(K160=0,0,IF(K$15&lt;=1,1,IF(EXACT(K1210,"keine"),IF(K$3=K$12,1,0),IF(EXACT(K1210,"beste"),IF(K$3=K1105,1,0),IF(K$3=K895,1,0)))))</f>
        <v/>
      </c>
      <c r="L1315" s="62">
        <f>IF(L160=0,0,IF(L$15&lt;=1,1,IF(EXACT(L1210,"keine"),IF(L$3=L$12,1,0),IF(EXACT(L1210,"beste"),IF(L$3=L1105,1,0),IF(L$3=L895,1,0)))))</f>
        <v/>
      </c>
      <c r="M1315" s="62">
        <f>IF(M160=0,0,IF(M$15&lt;=1,1,IF(EXACT(M1210,"keine"),IF(M$3=M$12,1,0),IF(EXACT(M1210,"beste"),IF(M$3=M1105,1,0),IF(M$3=M895,1,0)))))</f>
        <v/>
      </c>
      <c r="N1315" s="62">
        <f>IF(N160=0,0,IF(N$15&lt;=1,1,IF(EXACT(N1210,"keine"),IF(N$3=N$12,1,0),IF(EXACT(N1210,"beste"),IF(N$3=N1105,1,0),IF(N$3=N895,1,0)))))</f>
        <v/>
      </c>
      <c r="O1315" s="62">
        <f>IF(O160=0,0,IF(O$15&lt;=1,1,IF(EXACT(O1210,"keine"),IF(O$3=O$12,1,0),IF(EXACT(O1210,"beste"),IF(O$3=O1105,1,0),IF(O$3=O895,1,0)))))</f>
        <v/>
      </c>
      <c r="P1315" s="62">
        <f>IF(P160=0,0,IF(P$15&lt;=1,1,IF(EXACT(P1210,"keine"),IF(P$3=P$12,1,0),IF(EXACT(P1210,"beste"),IF(P$3=P1105,1,0),IF(P$3=P895,1,0)))))</f>
        <v/>
      </c>
      <c r="Q1315" s="62">
        <f>IF(Q160=0,0,IF(Q$15&lt;=1,1,IF(EXACT(Q1210,"keine"),IF(Q$3=Q$12,1,0),IF(EXACT(Q1210,"beste"),IF(Q$3=Q1105,1,0),IF(Q$3=Q895,1,0)))))</f>
        <v/>
      </c>
      <c r="R1315" s="62">
        <f>IF(R160=0,0,IF(R$15&lt;=1,1,IF(EXACT(R1210,"keine"),IF(R$3=R$12,1,0),IF(EXACT(R1210,"beste"),IF(R$3=R1105,1,0),IF(R$3=R895,1,0)))))</f>
        <v/>
      </c>
      <c r="S1315" s="62">
        <f>IF(S160=0,0,IF(S$15&lt;=1,1,IF(EXACT(S1210,"keine"),IF(S$3=S$12,1,0),IF(EXACT(S1210,"beste"),IF(S$3=S1105,1,0),IF(S$3=S895,1,0)))))</f>
        <v/>
      </c>
      <c r="T1315" s="62">
        <f>IF(T160=0,0,IF(T$15&lt;=1,1,IF(EXACT(T1210,"keine"),IF(T$3=T$12,1,0),IF(EXACT(T1210,"beste"),IF(T$3=T1105,1,0),IF(T$3=T895,1,0)))))</f>
        <v/>
      </c>
      <c r="U1315" s="62">
        <f>IF(U160=0,0,IF(U$15&lt;=1,1,IF(EXACT(U1210,"keine"),IF(U$3=U$12,1,0),IF(EXACT(U1210,"beste"),IF(U$3=U1105,1,0),IF(U$3=U895,1,0)))))</f>
        <v/>
      </c>
      <c r="V1315" s="62">
        <f>IF(V160=0,0,IF(V$15&lt;=1,1,IF(EXACT(V1210,"keine"),IF(V$3=V$12,1,0),IF(EXACT(V1210,"beste"),IF(V$3=V1105,1,0),IF(V$3=V895,1,0)))))</f>
        <v/>
      </c>
    </row>
    <row r="1316">
      <c r="C1316" s="62">
        <f>IF(C161=0,0,IF(C$15&lt;=1,1,IF(EXACT(C1211,"keine"),IF(C$3=C$12,1,0),IF(EXACT(C1211,"beste"),IF(C$3=C1106,1,0),IF(C$3=C896,1,0)))))</f>
        <v/>
      </c>
      <c r="D1316" s="62">
        <f>IF(D161=0,0,IF(D$15&lt;=1,1,IF(EXACT(D1211,"keine"),IF(D$3=D$12,1,0),IF(EXACT(D1211,"beste"),IF(D$3=D1106,1,0),IF(D$3=D896,1,0)))))</f>
        <v/>
      </c>
      <c r="E1316" s="62">
        <f>IF(E161=0,0,IF(E$15&lt;=1,1,IF(EXACT(E1211,"keine"),IF(E$3=E$12,1,0),IF(EXACT(E1211,"beste"),IF(E$3=E1106,1,0),IF(E$3=E896,1,0)))))</f>
        <v/>
      </c>
      <c r="F1316" s="62">
        <f>IF(F161=0,0,IF(F$15&lt;=1,1,IF(EXACT(F1211,"keine"),IF(F$3=F$12,1,0),IF(EXACT(F1211,"beste"),IF(F$3=F1106,1,0),IF(F$3=F896,1,0)))))</f>
        <v/>
      </c>
      <c r="G1316" s="62">
        <f>IF(G161=0,0,IF(G$15&lt;=1,1,IF(EXACT(G1211,"keine"),IF(G$3=G$12,1,0),IF(EXACT(G1211,"beste"),IF(G$3=G1106,1,0),IF(G$3=G896,1,0)))))</f>
        <v/>
      </c>
      <c r="H1316" s="62">
        <f>IF(H161=0,0,IF(H$15&lt;=1,1,IF(EXACT(H1211,"keine"),IF(H$3=H$12,1,0),IF(EXACT(H1211,"beste"),IF(H$3=H1106,1,0),IF(H$3=H896,1,0)))))</f>
        <v/>
      </c>
      <c r="I1316" s="62">
        <f>IF(I161=0,0,IF(I$15&lt;=1,1,IF(EXACT(I1211,"keine"),IF(I$3=I$12,1,0),IF(EXACT(I1211,"beste"),IF(I$3=I1106,1,0),IF(I$3=I896,1,0)))))</f>
        <v/>
      </c>
      <c r="J1316" s="62">
        <f>IF(J161=0,0,IF(J$15&lt;=1,1,IF(EXACT(J1211,"keine"),IF(J$3=J$12,1,0),IF(EXACT(J1211,"beste"),IF(J$3=J1106,1,0),IF(J$3=J896,1,0)))))</f>
        <v/>
      </c>
      <c r="K1316" s="62">
        <f>IF(K161=0,0,IF(K$15&lt;=1,1,IF(EXACT(K1211,"keine"),IF(K$3=K$12,1,0),IF(EXACT(K1211,"beste"),IF(K$3=K1106,1,0),IF(K$3=K896,1,0)))))</f>
        <v/>
      </c>
      <c r="L1316" s="62">
        <f>IF(L161=0,0,IF(L$15&lt;=1,1,IF(EXACT(L1211,"keine"),IF(L$3=L$12,1,0),IF(EXACT(L1211,"beste"),IF(L$3=L1106,1,0),IF(L$3=L896,1,0)))))</f>
        <v/>
      </c>
      <c r="M1316" s="62">
        <f>IF(M161=0,0,IF(M$15&lt;=1,1,IF(EXACT(M1211,"keine"),IF(M$3=M$12,1,0),IF(EXACT(M1211,"beste"),IF(M$3=M1106,1,0),IF(M$3=M896,1,0)))))</f>
        <v/>
      </c>
      <c r="N1316" s="62">
        <f>IF(N161=0,0,IF(N$15&lt;=1,1,IF(EXACT(N1211,"keine"),IF(N$3=N$12,1,0),IF(EXACT(N1211,"beste"),IF(N$3=N1106,1,0),IF(N$3=N896,1,0)))))</f>
        <v/>
      </c>
      <c r="O1316" s="62">
        <f>IF(O161=0,0,IF(O$15&lt;=1,1,IF(EXACT(O1211,"keine"),IF(O$3=O$12,1,0),IF(EXACT(O1211,"beste"),IF(O$3=O1106,1,0),IF(O$3=O896,1,0)))))</f>
        <v/>
      </c>
      <c r="P1316" s="62">
        <f>IF(P161=0,0,IF(P$15&lt;=1,1,IF(EXACT(P1211,"keine"),IF(P$3=P$12,1,0),IF(EXACT(P1211,"beste"),IF(P$3=P1106,1,0),IF(P$3=P896,1,0)))))</f>
        <v/>
      </c>
      <c r="Q1316" s="62">
        <f>IF(Q161=0,0,IF(Q$15&lt;=1,1,IF(EXACT(Q1211,"keine"),IF(Q$3=Q$12,1,0),IF(EXACT(Q1211,"beste"),IF(Q$3=Q1106,1,0),IF(Q$3=Q896,1,0)))))</f>
        <v/>
      </c>
      <c r="R1316" s="62">
        <f>IF(R161=0,0,IF(R$15&lt;=1,1,IF(EXACT(R1211,"keine"),IF(R$3=R$12,1,0),IF(EXACT(R1211,"beste"),IF(R$3=R1106,1,0),IF(R$3=R896,1,0)))))</f>
        <v/>
      </c>
      <c r="S1316" s="62">
        <f>IF(S161=0,0,IF(S$15&lt;=1,1,IF(EXACT(S1211,"keine"),IF(S$3=S$12,1,0),IF(EXACT(S1211,"beste"),IF(S$3=S1106,1,0),IF(S$3=S896,1,0)))))</f>
        <v/>
      </c>
      <c r="T1316" s="62">
        <f>IF(T161=0,0,IF(T$15&lt;=1,1,IF(EXACT(T1211,"keine"),IF(T$3=T$12,1,0),IF(EXACT(T1211,"beste"),IF(T$3=T1106,1,0),IF(T$3=T896,1,0)))))</f>
        <v/>
      </c>
      <c r="U1316" s="62">
        <f>IF(U161=0,0,IF(U$15&lt;=1,1,IF(EXACT(U1211,"keine"),IF(U$3=U$12,1,0),IF(EXACT(U1211,"beste"),IF(U$3=U1106,1,0),IF(U$3=U896,1,0)))))</f>
        <v/>
      </c>
      <c r="V1316" s="62">
        <f>IF(V161=0,0,IF(V$15&lt;=1,1,IF(EXACT(V1211,"keine"),IF(V$3=V$12,1,0),IF(EXACT(V1211,"beste"),IF(V$3=V1106,1,0),IF(V$3=V896,1,0)))))</f>
        <v/>
      </c>
    </row>
    <row r="1317">
      <c r="C1317" s="62">
        <f>IF(C162=0,0,IF(C$15&lt;=1,1,IF(EXACT(C1212,"keine"),IF(C$3=C$12,1,0),IF(EXACT(C1212,"beste"),IF(C$3=C1107,1,0),IF(C$3=C897,1,0)))))</f>
        <v/>
      </c>
      <c r="D1317" s="62">
        <f>IF(D162=0,0,IF(D$15&lt;=1,1,IF(EXACT(D1212,"keine"),IF(D$3=D$12,1,0),IF(EXACT(D1212,"beste"),IF(D$3=D1107,1,0),IF(D$3=D897,1,0)))))</f>
        <v/>
      </c>
      <c r="E1317" s="62">
        <f>IF(E162=0,0,IF(E$15&lt;=1,1,IF(EXACT(E1212,"keine"),IF(E$3=E$12,1,0),IF(EXACT(E1212,"beste"),IF(E$3=E1107,1,0),IF(E$3=E897,1,0)))))</f>
        <v/>
      </c>
      <c r="F1317" s="62">
        <f>IF(F162=0,0,IF(F$15&lt;=1,1,IF(EXACT(F1212,"keine"),IF(F$3=F$12,1,0),IF(EXACT(F1212,"beste"),IF(F$3=F1107,1,0),IF(F$3=F897,1,0)))))</f>
        <v/>
      </c>
      <c r="G1317" s="62">
        <f>IF(G162=0,0,IF(G$15&lt;=1,1,IF(EXACT(G1212,"keine"),IF(G$3=G$12,1,0),IF(EXACT(G1212,"beste"),IF(G$3=G1107,1,0),IF(G$3=G897,1,0)))))</f>
        <v/>
      </c>
      <c r="H1317" s="62">
        <f>IF(H162=0,0,IF(H$15&lt;=1,1,IF(EXACT(H1212,"keine"),IF(H$3=H$12,1,0),IF(EXACT(H1212,"beste"),IF(H$3=H1107,1,0),IF(H$3=H897,1,0)))))</f>
        <v/>
      </c>
      <c r="I1317" s="62">
        <f>IF(I162=0,0,IF(I$15&lt;=1,1,IF(EXACT(I1212,"keine"),IF(I$3=I$12,1,0),IF(EXACT(I1212,"beste"),IF(I$3=I1107,1,0),IF(I$3=I897,1,0)))))</f>
        <v/>
      </c>
      <c r="J1317" s="62">
        <f>IF(J162=0,0,IF(J$15&lt;=1,1,IF(EXACT(J1212,"keine"),IF(J$3=J$12,1,0),IF(EXACT(J1212,"beste"),IF(J$3=J1107,1,0),IF(J$3=J897,1,0)))))</f>
        <v/>
      </c>
      <c r="K1317" s="62">
        <f>IF(K162=0,0,IF(K$15&lt;=1,1,IF(EXACT(K1212,"keine"),IF(K$3=K$12,1,0),IF(EXACT(K1212,"beste"),IF(K$3=K1107,1,0),IF(K$3=K897,1,0)))))</f>
        <v/>
      </c>
      <c r="L1317" s="62">
        <f>IF(L162=0,0,IF(L$15&lt;=1,1,IF(EXACT(L1212,"keine"),IF(L$3=L$12,1,0),IF(EXACT(L1212,"beste"),IF(L$3=L1107,1,0),IF(L$3=L897,1,0)))))</f>
        <v/>
      </c>
      <c r="M1317" s="62">
        <f>IF(M162=0,0,IF(M$15&lt;=1,1,IF(EXACT(M1212,"keine"),IF(M$3=M$12,1,0),IF(EXACT(M1212,"beste"),IF(M$3=M1107,1,0),IF(M$3=M897,1,0)))))</f>
        <v/>
      </c>
      <c r="N1317" s="62">
        <f>IF(N162=0,0,IF(N$15&lt;=1,1,IF(EXACT(N1212,"keine"),IF(N$3=N$12,1,0),IF(EXACT(N1212,"beste"),IF(N$3=N1107,1,0),IF(N$3=N897,1,0)))))</f>
        <v/>
      </c>
      <c r="O1317" s="62">
        <f>IF(O162=0,0,IF(O$15&lt;=1,1,IF(EXACT(O1212,"keine"),IF(O$3=O$12,1,0),IF(EXACT(O1212,"beste"),IF(O$3=O1107,1,0),IF(O$3=O897,1,0)))))</f>
        <v/>
      </c>
      <c r="P1317" s="62">
        <f>IF(P162=0,0,IF(P$15&lt;=1,1,IF(EXACT(P1212,"keine"),IF(P$3=P$12,1,0),IF(EXACT(P1212,"beste"),IF(P$3=P1107,1,0),IF(P$3=P897,1,0)))))</f>
        <v/>
      </c>
      <c r="Q1317" s="62">
        <f>IF(Q162=0,0,IF(Q$15&lt;=1,1,IF(EXACT(Q1212,"keine"),IF(Q$3=Q$12,1,0),IF(EXACT(Q1212,"beste"),IF(Q$3=Q1107,1,0),IF(Q$3=Q897,1,0)))))</f>
        <v/>
      </c>
      <c r="R1317" s="62">
        <f>IF(R162=0,0,IF(R$15&lt;=1,1,IF(EXACT(R1212,"keine"),IF(R$3=R$12,1,0),IF(EXACT(R1212,"beste"),IF(R$3=R1107,1,0),IF(R$3=R897,1,0)))))</f>
        <v/>
      </c>
      <c r="S1317" s="62">
        <f>IF(S162=0,0,IF(S$15&lt;=1,1,IF(EXACT(S1212,"keine"),IF(S$3=S$12,1,0),IF(EXACT(S1212,"beste"),IF(S$3=S1107,1,0),IF(S$3=S897,1,0)))))</f>
        <v/>
      </c>
      <c r="T1317" s="62">
        <f>IF(T162=0,0,IF(T$15&lt;=1,1,IF(EXACT(T1212,"keine"),IF(T$3=T$12,1,0),IF(EXACT(T1212,"beste"),IF(T$3=T1107,1,0),IF(T$3=T897,1,0)))))</f>
        <v/>
      </c>
      <c r="U1317" s="62">
        <f>IF(U162=0,0,IF(U$15&lt;=1,1,IF(EXACT(U1212,"keine"),IF(U$3=U$12,1,0),IF(EXACT(U1212,"beste"),IF(U$3=U1107,1,0),IF(U$3=U897,1,0)))))</f>
        <v/>
      </c>
      <c r="V1317" s="62">
        <f>IF(V162=0,0,IF(V$15&lt;=1,1,IF(EXACT(V1212,"keine"),IF(V$3=V$12,1,0),IF(EXACT(V1212,"beste"),IF(V$3=V1107,1,0),IF(V$3=V897,1,0)))))</f>
        <v/>
      </c>
    </row>
    <row r="1318">
      <c r="C1318" s="62">
        <f>IF(C163=0,0,IF(C$15&lt;=1,1,IF(EXACT(C1213,"keine"),IF(C$3=C$12,1,0),IF(EXACT(C1213,"beste"),IF(C$3=C1108,1,0),IF(C$3=C898,1,0)))))</f>
        <v/>
      </c>
      <c r="D1318" s="62">
        <f>IF(D163=0,0,IF(D$15&lt;=1,1,IF(EXACT(D1213,"keine"),IF(D$3=D$12,1,0),IF(EXACT(D1213,"beste"),IF(D$3=D1108,1,0),IF(D$3=D898,1,0)))))</f>
        <v/>
      </c>
      <c r="E1318" s="62">
        <f>IF(E163=0,0,IF(E$15&lt;=1,1,IF(EXACT(E1213,"keine"),IF(E$3=E$12,1,0),IF(EXACT(E1213,"beste"),IF(E$3=E1108,1,0),IF(E$3=E898,1,0)))))</f>
        <v/>
      </c>
      <c r="F1318" s="62">
        <f>IF(F163=0,0,IF(F$15&lt;=1,1,IF(EXACT(F1213,"keine"),IF(F$3=F$12,1,0),IF(EXACT(F1213,"beste"),IF(F$3=F1108,1,0),IF(F$3=F898,1,0)))))</f>
        <v/>
      </c>
      <c r="G1318" s="62">
        <f>IF(G163=0,0,IF(G$15&lt;=1,1,IF(EXACT(G1213,"keine"),IF(G$3=G$12,1,0),IF(EXACT(G1213,"beste"),IF(G$3=G1108,1,0),IF(G$3=G898,1,0)))))</f>
        <v/>
      </c>
      <c r="H1318" s="62">
        <f>IF(H163=0,0,IF(H$15&lt;=1,1,IF(EXACT(H1213,"keine"),IF(H$3=H$12,1,0),IF(EXACT(H1213,"beste"),IF(H$3=H1108,1,0),IF(H$3=H898,1,0)))))</f>
        <v/>
      </c>
      <c r="I1318" s="62">
        <f>IF(I163=0,0,IF(I$15&lt;=1,1,IF(EXACT(I1213,"keine"),IF(I$3=I$12,1,0),IF(EXACT(I1213,"beste"),IF(I$3=I1108,1,0),IF(I$3=I898,1,0)))))</f>
        <v/>
      </c>
      <c r="J1318" s="62">
        <f>IF(J163=0,0,IF(J$15&lt;=1,1,IF(EXACT(J1213,"keine"),IF(J$3=J$12,1,0),IF(EXACT(J1213,"beste"),IF(J$3=J1108,1,0),IF(J$3=J898,1,0)))))</f>
        <v/>
      </c>
      <c r="K1318" s="62">
        <f>IF(K163=0,0,IF(K$15&lt;=1,1,IF(EXACT(K1213,"keine"),IF(K$3=K$12,1,0),IF(EXACT(K1213,"beste"),IF(K$3=K1108,1,0),IF(K$3=K898,1,0)))))</f>
        <v/>
      </c>
      <c r="L1318" s="62">
        <f>IF(L163=0,0,IF(L$15&lt;=1,1,IF(EXACT(L1213,"keine"),IF(L$3=L$12,1,0),IF(EXACT(L1213,"beste"),IF(L$3=L1108,1,0),IF(L$3=L898,1,0)))))</f>
        <v/>
      </c>
      <c r="M1318" s="62">
        <f>IF(M163=0,0,IF(M$15&lt;=1,1,IF(EXACT(M1213,"keine"),IF(M$3=M$12,1,0),IF(EXACT(M1213,"beste"),IF(M$3=M1108,1,0),IF(M$3=M898,1,0)))))</f>
        <v/>
      </c>
      <c r="N1318" s="62">
        <f>IF(N163=0,0,IF(N$15&lt;=1,1,IF(EXACT(N1213,"keine"),IF(N$3=N$12,1,0),IF(EXACT(N1213,"beste"),IF(N$3=N1108,1,0),IF(N$3=N898,1,0)))))</f>
        <v/>
      </c>
      <c r="O1318" s="62">
        <f>IF(O163=0,0,IF(O$15&lt;=1,1,IF(EXACT(O1213,"keine"),IF(O$3=O$12,1,0),IF(EXACT(O1213,"beste"),IF(O$3=O1108,1,0),IF(O$3=O898,1,0)))))</f>
        <v/>
      </c>
      <c r="P1318" s="62">
        <f>IF(P163=0,0,IF(P$15&lt;=1,1,IF(EXACT(P1213,"keine"),IF(P$3=P$12,1,0),IF(EXACT(P1213,"beste"),IF(P$3=P1108,1,0),IF(P$3=P898,1,0)))))</f>
        <v/>
      </c>
      <c r="Q1318" s="62">
        <f>IF(Q163=0,0,IF(Q$15&lt;=1,1,IF(EXACT(Q1213,"keine"),IF(Q$3=Q$12,1,0),IF(EXACT(Q1213,"beste"),IF(Q$3=Q1108,1,0),IF(Q$3=Q898,1,0)))))</f>
        <v/>
      </c>
      <c r="R1318" s="62">
        <f>IF(R163=0,0,IF(R$15&lt;=1,1,IF(EXACT(R1213,"keine"),IF(R$3=R$12,1,0),IF(EXACT(R1213,"beste"),IF(R$3=R1108,1,0),IF(R$3=R898,1,0)))))</f>
        <v/>
      </c>
      <c r="S1318" s="62">
        <f>IF(S163=0,0,IF(S$15&lt;=1,1,IF(EXACT(S1213,"keine"),IF(S$3=S$12,1,0),IF(EXACT(S1213,"beste"),IF(S$3=S1108,1,0),IF(S$3=S898,1,0)))))</f>
        <v/>
      </c>
      <c r="T1318" s="62">
        <f>IF(T163=0,0,IF(T$15&lt;=1,1,IF(EXACT(T1213,"keine"),IF(T$3=T$12,1,0),IF(EXACT(T1213,"beste"),IF(T$3=T1108,1,0),IF(T$3=T898,1,0)))))</f>
        <v/>
      </c>
      <c r="U1318" s="62">
        <f>IF(U163=0,0,IF(U$15&lt;=1,1,IF(EXACT(U1213,"keine"),IF(U$3=U$12,1,0),IF(EXACT(U1213,"beste"),IF(U$3=U1108,1,0),IF(U$3=U898,1,0)))))</f>
        <v/>
      </c>
      <c r="V1318" s="62">
        <f>IF(V163=0,0,IF(V$15&lt;=1,1,IF(EXACT(V1213,"keine"),IF(V$3=V$12,1,0),IF(EXACT(V1213,"beste"),IF(V$3=V1108,1,0),IF(V$3=V898,1,0)))))</f>
        <v/>
      </c>
    </row>
    <row r="1319">
      <c r="C1319" s="62">
        <f>IF(C164=0,0,IF(C$15&lt;=1,1,IF(EXACT(C1214,"keine"),IF(C$3=C$12,1,0),IF(EXACT(C1214,"beste"),IF(C$3=C1109,1,0),IF(C$3=C899,1,0)))))</f>
        <v/>
      </c>
      <c r="D1319" s="62">
        <f>IF(D164=0,0,IF(D$15&lt;=1,1,IF(EXACT(D1214,"keine"),IF(D$3=D$12,1,0),IF(EXACT(D1214,"beste"),IF(D$3=D1109,1,0),IF(D$3=D899,1,0)))))</f>
        <v/>
      </c>
      <c r="E1319" s="62">
        <f>IF(E164=0,0,IF(E$15&lt;=1,1,IF(EXACT(E1214,"keine"),IF(E$3=E$12,1,0),IF(EXACT(E1214,"beste"),IF(E$3=E1109,1,0),IF(E$3=E899,1,0)))))</f>
        <v/>
      </c>
      <c r="F1319" s="62">
        <f>IF(F164=0,0,IF(F$15&lt;=1,1,IF(EXACT(F1214,"keine"),IF(F$3=F$12,1,0),IF(EXACT(F1214,"beste"),IF(F$3=F1109,1,0),IF(F$3=F899,1,0)))))</f>
        <v/>
      </c>
      <c r="G1319" s="62">
        <f>IF(G164=0,0,IF(G$15&lt;=1,1,IF(EXACT(G1214,"keine"),IF(G$3=G$12,1,0),IF(EXACT(G1214,"beste"),IF(G$3=G1109,1,0),IF(G$3=G899,1,0)))))</f>
        <v/>
      </c>
      <c r="H1319" s="62">
        <f>IF(H164=0,0,IF(H$15&lt;=1,1,IF(EXACT(H1214,"keine"),IF(H$3=H$12,1,0),IF(EXACT(H1214,"beste"),IF(H$3=H1109,1,0),IF(H$3=H899,1,0)))))</f>
        <v/>
      </c>
      <c r="I1319" s="62">
        <f>IF(I164=0,0,IF(I$15&lt;=1,1,IF(EXACT(I1214,"keine"),IF(I$3=I$12,1,0),IF(EXACT(I1214,"beste"),IF(I$3=I1109,1,0),IF(I$3=I899,1,0)))))</f>
        <v/>
      </c>
      <c r="J1319" s="62">
        <f>IF(J164=0,0,IF(J$15&lt;=1,1,IF(EXACT(J1214,"keine"),IF(J$3=J$12,1,0),IF(EXACT(J1214,"beste"),IF(J$3=J1109,1,0),IF(J$3=J899,1,0)))))</f>
        <v/>
      </c>
      <c r="K1319" s="62">
        <f>IF(K164=0,0,IF(K$15&lt;=1,1,IF(EXACT(K1214,"keine"),IF(K$3=K$12,1,0),IF(EXACT(K1214,"beste"),IF(K$3=K1109,1,0),IF(K$3=K899,1,0)))))</f>
        <v/>
      </c>
      <c r="L1319" s="62">
        <f>IF(L164=0,0,IF(L$15&lt;=1,1,IF(EXACT(L1214,"keine"),IF(L$3=L$12,1,0),IF(EXACT(L1214,"beste"),IF(L$3=L1109,1,0),IF(L$3=L899,1,0)))))</f>
        <v/>
      </c>
      <c r="M1319" s="62">
        <f>IF(M164=0,0,IF(M$15&lt;=1,1,IF(EXACT(M1214,"keine"),IF(M$3=M$12,1,0),IF(EXACT(M1214,"beste"),IF(M$3=M1109,1,0),IF(M$3=M899,1,0)))))</f>
        <v/>
      </c>
      <c r="N1319" s="62">
        <f>IF(N164=0,0,IF(N$15&lt;=1,1,IF(EXACT(N1214,"keine"),IF(N$3=N$12,1,0),IF(EXACT(N1214,"beste"),IF(N$3=N1109,1,0),IF(N$3=N899,1,0)))))</f>
        <v/>
      </c>
      <c r="O1319" s="62">
        <f>IF(O164=0,0,IF(O$15&lt;=1,1,IF(EXACT(O1214,"keine"),IF(O$3=O$12,1,0),IF(EXACT(O1214,"beste"),IF(O$3=O1109,1,0),IF(O$3=O899,1,0)))))</f>
        <v/>
      </c>
      <c r="P1319" s="62">
        <f>IF(P164=0,0,IF(P$15&lt;=1,1,IF(EXACT(P1214,"keine"),IF(P$3=P$12,1,0),IF(EXACT(P1214,"beste"),IF(P$3=P1109,1,0),IF(P$3=P899,1,0)))))</f>
        <v/>
      </c>
      <c r="Q1319" s="62">
        <f>IF(Q164=0,0,IF(Q$15&lt;=1,1,IF(EXACT(Q1214,"keine"),IF(Q$3=Q$12,1,0),IF(EXACT(Q1214,"beste"),IF(Q$3=Q1109,1,0),IF(Q$3=Q899,1,0)))))</f>
        <v/>
      </c>
      <c r="R1319" s="62">
        <f>IF(R164=0,0,IF(R$15&lt;=1,1,IF(EXACT(R1214,"keine"),IF(R$3=R$12,1,0),IF(EXACT(R1214,"beste"),IF(R$3=R1109,1,0),IF(R$3=R899,1,0)))))</f>
        <v/>
      </c>
      <c r="S1319" s="62">
        <f>IF(S164=0,0,IF(S$15&lt;=1,1,IF(EXACT(S1214,"keine"),IF(S$3=S$12,1,0),IF(EXACT(S1214,"beste"),IF(S$3=S1109,1,0),IF(S$3=S899,1,0)))))</f>
        <v/>
      </c>
      <c r="T1319" s="62">
        <f>IF(T164=0,0,IF(T$15&lt;=1,1,IF(EXACT(T1214,"keine"),IF(T$3=T$12,1,0),IF(EXACT(T1214,"beste"),IF(T$3=T1109,1,0),IF(T$3=T899,1,0)))))</f>
        <v/>
      </c>
      <c r="U1319" s="62">
        <f>IF(U164=0,0,IF(U$15&lt;=1,1,IF(EXACT(U1214,"keine"),IF(U$3=U$12,1,0),IF(EXACT(U1214,"beste"),IF(U$3=U1109,1,0),IF(U$3=U899,1,0)))))</f>
        <v/>
      </c>
      <c r="V1319" s="62">
        <f>IF(V164=0,0,IF(V$15&lt;=1,1,IF(EXACT(V1214,"keine"),IF(V$3=V$12,1,0),IF(EXACT(V1214,"beste"),IF(V$3=V1109,1,0),IF(V$3=V899,1,0)))))</f>
        <v/>
      </c>
    </row>
    <row r="1320">
      <c r="C1320" s="62">
        <f>IF(C165=0,0,IF(C$15&lt;=1,1,IF(EXACT(C1215,"keine"),IF(C$3=C$12,1,0),IF(EXACT(C1215,"beste"),IF(C$3=C1110,1,0),IF(C$3=C900,1,0)))))</f>
        <v/>
      </c>
      <c r="D1320" s="62">
        <f>IF(D165=0,0,IF(D$15&lt;=1,1,IF(EXACT(D1215,"keine"),IF(D$3=D$12,1,0),IF(EXACT(D1215,"beste"),IF(D$3=D1110,1,0),IF(D$3=D900,1,0)))))</f>
        <v/>
      </c>
      <c r="E1320" s="62">
        <f>IF(E165=0,0,IF(E$15&lt;=1,1,IF(EXACT(E1215,"keine"),IF(E$3=E$12,1,0),IF(EXACT(E1215,"beste"),IF(E$3=E1110,1,0),IF(E$3=E900,1,0)))))</f>
        <v/>
      </c>
      <c r="F1320" s="62">
        <f>IF(F165=0,0,IF(F$15&lt;=1,1,IF(EXACT(F1215,"keine"),IF(F$3=F$12,1,0),IF(EXACT(F1215,"beste"),IF(F$3=F1110,1,0),IF(F$3=F900,1,0)))))</f>
        <v/>
      </c>
      <c r="G1320" s="62">
        <f>IF(G165=0,0,IF(G$15&lt;=1,1,IF(EXACT(G1215,"keine"),IF(G$3=G$12,1,0),IF(EXACT(G1215,"beste"),IF(G$3=G1110,1,0),IF(G$3=G900,1,0)))))</f>
        <v/>
      </c>
      <c r="H1320" s="62">
        <f>IF(H165=0,0,IF(H$15&lt;=1,1,IF(EXACT(H1215,"keine"),IF(H$3=H$12,1,0),IF(EXACT(H1215,"beste"),IF(H$3=H1110,1,0),IF(H$3=H900,1,0)))))</f>
        <v/>
      </c>
      <c r="I1320" s="62">
        <f>IF(I165=0,0,IF(I$15&lt;=1,1,IF(EXACT(I1215,"keine"),IF(I$3=I$12,1,0),IF(EXACT(I1215,"beste"),IF(I$3=I1110,1,0),IF(I$3=I900,1,0)))))</f>
        <v/>
      </c>
      <c r="J1320" s="62">
        <f>IF(J165=0,0,IF(J$15&lt;=1,1,IF(EXACT(J1215,"keine"),IF(J$3=J$12,1,0),IF(EXACT(J1215,"beste"),IF(J$3=J1110,1,0),IF(J$3=J900,1,0)))))</f>
        <v/>
      </c>
      <c r="K1320" s="62">
        <f>IF(K165=0,0,IF(K$15&lt;=1,1,IF(EXACT(K1215,"keine"),IF(K$3=K$12,1,0),IF(EXACT(K1215,"beste"),IF(K$3=K1110,1,0),IF(K$3=K900,1,0)))))</f>
        <v/>
      </c>
      <c r="L1320" s="62">
        <f>IF(L165=0,0,IF(L$15&lt;=1,1,IF(EXACT(L1215,"keine"),IF(L$3=L$12,1,0),IF(EXACT(L1215,"beste"),IF(L$3=L1110,1,0),IF(L$3=L900,1,0)))))</f>
        <v/>
      </c>
      <c r="M1320" s="62">
        <f>IF(M165=0,0,IF(M$15&lt;=1,1,IF(EXACT(M1215,"keine"),IF(M$3=M$12,1,0),IF(EXACT(M1215,"beste"),IF(M$3=M1110,1,0),IF(M$3=M900,1,0)))))</f>
        <v/>
      </c>
      <c r="N1320" s="62">
        <f>IF(N165=0,0,IF(N$15&lt;=1,1,IF(EXACT(N1215,"keine"),IF(N$3=N$12,1,0),IF(EXACT(N1215,"beste"),IF(N$3=N1110,1,0),IF(N$3=N900,1,0)))))</f>
        <v/>
      </c>
      <c r="O1320" s="62">
        <f>IF(O165=0,0,IF(O$15&lt;=1,1,IF(EXACT(O1215,"keine"),IF(O$3=O$12,1,0),IF(EXACT(O1215,"beste"),IF(O$3=O1110,1,0),IF(O$3=O900,1,0)))))</f>
        <v/>
      </c>
      <c r="P1320" s="62">
        <f>IF(P165=0,0,IF(P$15&lt;=1,1,IF(EXACT(P1215,"keine"),IF(P$3=P$12,1,0),IF(EXACT(P1215,"beste"),IF(P$3=P1110,1,0),IF(P$3=P900,1,0)))))</f>
        <v/>
      </c>
      <c r="Q1320" s="62">
        <f>IF(Q165=0,0,IF(Q$15&lt;=1,1,IF(EXACT(Q1215,"keine"),IF(Q$3=Q$12,1,0),IF(EXACT(Q1215,"beste"),IF(Q$3=Q1110,1,0),IF(Q$3=Q900,1,0)))))</f>
        <v/>
      </c>
      <c r="R1320" s="62">
        <f>IF(R165=0,0,IF(R$15&lt;=1,1,IF(EXACT(R1215,"keine"),IF(R$3=R$12,1,0),IF(EXACT(R1215,"beste"),IF(R$3=R1110,1,0),IF(R$3=R900,1,0)))))</f>
        <v/>
      </c>
      <c r="S1320" s="62">
        <f>IF(S165=0,0,IF(S$15&lt;=1,1,IF(EXACT(S1215,"keine"),IF(S$3=S$12,1,0),IF(EXACT(S1215,"beste"),IF(S$3=S1110,1,0),IF(S$3=S900,1,0)))))</f>
        <v/>
      </c>
      <c r="T1320" s="62">
        <f>IF(T165=0,0,IF(T$15&lt;=1,1,IF(EXACT(T1215,"keine"),IF(T$3=T$12,1,0),IF(EXACT(T1215,"beste"),IF(T$3=T1110,1,0),IF(T$3=T900,1,0)))))</f>
        <v/>
      </c>
      <c r="U1320" s="62">
        <f>IF(U165=0,0,IF(U$15&lt;=1,1,IF(EXACT(U1215,"keine"),IF(U$3=U$12,1,0),IF(EXACT(U1215,"beste"),IF(U$3=U1110,1,0),IF(U$3=U900,1,0)))))</f>
        <v/>
      </c>
      <c r="V1320" s="62">
        <f>IF(V165=0,0,IF(V$15&lt;=1,1,IF(EXACT(V1215,"keine"),IF(V$3=V$12,1,0),IF(EXACT(V1215,"beste"),IF(V$3=V1110,1,0),IF(V$3=V900,1,0)))))</f>
        <v/>
      </c>
    </row>
    <row r="1321">
      <c r="C1321" s="62">
        <f>IF(C166=0,0,IF(C$15&lt;=1,1,IF(EXACT(C1216,"keine"),IF(C$3=C$12,1,0),IF(EXACT(C1216,"beste"),IF(C$3=C1111,1,0),IF(C$3=C901,1,0)))))</f>
        <v/>
      </c>
      <c r="D1321" s="62">
        <f>IF(D166=0,0,IF(D$15&lt;=1,1,IF(EXACT(D1216,"keine"),IF(D$3=D$12,1,0),IF(EXACT(D1216,"beste"),IF(D$3=D1111,1,0),IF(D$3=D901,1,0)))))</f>
        <v/>
      </c>
      <c r="E1321" s="62">
        <f>IF(E166=0,0,IF(E$15&lt;=1,1,IF(EXACT(E1216,"keine"),IF(E$3=E$12,1,0),IF(EXACT(E1216,"beste"),IF(E$3=E1111,1,0),IF(E$3=E901,1,0)))))</f>
        <v/>
      </c>
      <c r="F1321" s="62">
        <f>IF(F166=0,0,IF(F$15&lt;=1,1,IF(EXACT(F1216,"keine"),IF(F$3=F$12,1,0),IF(EXACT(F1216,"beste"),IF(F$3=F1111,1,0),IF(F$3=F901,1,0)))))</f>
        <v/>
      </c>
      <c r="G1321" s="62">
        <f>IF(G166=0,0,IF(G$15&lt;=1,1,IF(EXACT(G1216,"keine"),IF(G$3=G$12,1,0),IF(EXACT(G1216,"beste"),IF(G$3=G1111,1,0),IF(G$3=G901,1,0)))))</f>
        <v/>
      </c>
      <c r="H1321" s="62">
        <f>IF(H166=0,0,IF(H$15&lt;=1,1,IF(EXACT(H1216,"keine"),IF(H$3=H$12,1,0),IF(EXACT(H1216,"beste"),IF(H$3=H1111,1,0),IF(H$3=H901,1,0)))))</f>
        <v/>
      </c>
      <c r="I1321" s="62">
        <f>IF(I166=0,0,IF(I$15&lt;=1,1,IF(EXACT(I1216,"keine"),IF(I$3=I$12,1,0),IF(EXACT(I1216,"beste"),IF(I$3=I1111,1,0),IF(I$3=I901,1,0)))))</f>
        <v/>
      </c>
      <c r="J1321" s="62">
        <f>IF(J166=0,0,IF(J$15&lt;=1,1,IF(EXACT(J1216,"keine"),IF(J$3=J$12,1,0),IF(EXACT(J1216,"beste"),IF(J$3=J1111,1,0),IF(J$3=J901,1,0)))))</f>
        <v/>
      </c>
      <c r="K1321" s="62">
        <f>IF(K166=0,0,IF(K$15&lt;=1,1,IF(EXACT(K1216,"keine"),IF(K$3=K$12,1,0),IF(EXACT(K1216,"beste"),IF(K$3=K1111,1,0),IF(K$3=K901,1,0)))))</f>
        <v/>
      </c>
      <c r="L1321" s="62">
        <f>IF(L166=0,0,IF(L$15&lt;=1,1,IF(EXACT(L1216,"keine"),IF(L$3=L$12,1,0),IF(EXACT(L1216,"beste"),IF(L$3=L1111,1,0),IF(L$3=L901,1,0)))))</f>
        <v/>
      </c>
      <c r="M1321" s="62">
        <f>IF(M166=0,0,IF(M$15&lt;=1,1,IF(EXACT(M1216,"keine"),IF(M$3=M$12,1,0),IF(EXACT(M1216,"beste"),IF(M$3=M1111,1,0),IF(M$3=M901,1,0)))))</f>
        <v/>
      </c>
      <c r="N1321" s="62">
        <f>IF(N166=0,0,IF(N$15&lt;=1,1,IF(EXACT(N1216,"keine"),IF(N$3=N$12,1,0),IF(EXACT(N1216,"beste"),IF(N$3=N1111,1,0),IF(N$3=N901,1,0)))))</f>
        <v/>
      </c>
      <c r="O1321" s="62">
        <f>IF(O166=0,0,IF(O$15&lt;=1,1,IF(EXACT(O1216,"keine"),IF(O$3=O$12,1,0),IF(EXACT(O1216,"beste"),IF(O$3=O1111,1,0),IF(O$3=O901,1,0)))))</f>
        <v/>
      </c>
      <c r="P1321" s="62">
        <f>IF(P166=0,0,IF(P$15&lt;=1,1,IF(EXACT(P1216,"keine"),IF(P$3=P$12,1,0),IF(EXACT(P1216,"beste"),IF(P$3=P1111,1,0),IF(P$3=P901,1,0)))))</f>
        <v/>
      </c>
      <c r="Q1321" s="62">
        <f>IF(Q166=0,0,IF(Q$15&lt;=1,1,IF(EXACT(Q1216,"keine"),IF(Q$3=Q$12,1,0),IF(EXACT(Q1216,"beste"),IF(Q$3=Q1111,1,0),IF(Q$3=Q901,1,0)))))</f>
        <v/>
      </c>
      <c r="R1321" s="62">
        <f>IF(R166=0,0,IF(R$15&lt;=1,1,IF(EXACT(R1216,"keine"),IF(R$3=R$12,1,0),IF(EXACT(R1216,"beste"),IF(R$3=R1111,1,0),IF(R$3=R901,1,0)))))</f>
        <v/>
      </c>
      <c r="S1321" s="62">
        <f>IF(S166=0,0,IF(S$15&lt;=1,1,IF(EXACT(S1216,"keine"),IF(S$3=S$12,1,0),IF(EXACT(S1216,"beste"),IF(S$3=S1111,1,0),IF(S$3=S901,1,0)))))</f>
        <v/>
      </c>
      <c r="T1321" s="62">
        <f>IF(T166=0,0,IF(T$15&lt;=1,1,IF(EXACT(T1216,"keine"),IF(T$3=T$12,1,0),IF(EXACT(T1216,"beste"),IF(T$3=T1111,1,0),IF(T$3=T901,1,0)))))</f>
        <v/>
      </c>
      <c r="U1321" s="62">
        <f>IF(U166=0,0,IF(U$15&lt;=1,1,IF(EXACT(U1216,"keine"),IF(U$3=U$12,1,0),IF(EXACT(U1216,"beste"),IF(U$3=U1111,1,0),IF(U$3=U901,1,0)))))</f>
        <v/>
      </c>
      <c r="V1321" s="62">
        <f>IF(V166=0,0,IF(V$15&lt;=1,1,IF(EXACT(V1216,"keine"),IF(V$3=V$12,1,0),IF(EXACT(V1216,"beste"),IF(V$3=V1111,1,0),IF(V$3=V901,1,0)))))</f>
        <v/>
      </c>
    </row>
    <row r="1322">
      <c r="C1322" s="62">
        <f>IF(C167=0,0,IF(C$15&lt;=1,1,IF(EXACT(C1217,"keine"),IF(C$3=C$12,1,0),IF(EXACT(C1217,"beste"),IF(C$3=C1112,1,0),IF(C$3=C902,1,0)))))</f>
        <v/>
      </c>
      <c r="D1322" s="62">
        <f>IF(D167=0,0,IF(D$15&lt;=1,1,IF(EXACT(D1217,"keine"),IF(D$3=D$12,1,0),IF(EXACT(D1217,"beste"),IF(D$3=D1112,1,0),IF(D$3=D902,1,0)))))</f>
        <v/>
      </c>
      <c r="E1322" s="62">
        <f>IF(E167=0,0,IF(E$15&lt;=1,1,IF(EXACT(E1217,"keine"),IF(E$3=E$12,1,0),IF(EXACT(E1217,"beste"),IF(E$3=E1112,1,0),IF(E$3=E902,1,0)))))</f>
        <v/>
      </c>
      <c r="F1322" s="62">
        <f>IF(F167=0,0,IF(F$15&lt;=1,1,IF(EXACT(F1217,"keine"),IF(F$3=F$12,1,0),IF(EXACT(F1217,"beste"),IF(F$3=F1112,1,0),IF(F$3=F902,1,0)))))</f>
        <v/>
      </c>
      <c r="G1322" s="62">
        <f>IF(G167=0,0,IF(G$15&lt;=1,1,IF(EXACT(G1217,"keine"),IF(G$3=G$12,1,0),IF(EXACT(G1217,"beste"),IF(G$3=G1112,1,0),IF(G$3=G902,1,0)))))</f>
        <v/>
      </c>
      <c r="H1322" s="62">
        <f>IF(H167=0,0,IF(H$15&lt;=1,1,IF(EXACT(H1217,"keine"),IF(H$3=H$12,1,0),IF(EXACT(H1217,"beste"),IF(H$3=H1112,1,0),IF(H$3=H902,1,0)))))</f>
        <v/>
      </c>
      <c r="I1322" s="62">
        <f>IF(I167=0,0,IF(I$15&lt;=1,1,IF(EXACT(I1217,"keine"),IF(I$3=I$12,1,0),IF(EXACT(I1217,"beste"),IF(I$3=I1112,1,0),IF(I$3=I902,1,0)))))</f>
        <v/>
      </c>
      <c r="J1322" s="62">
        <f>IF(J167=0,0,IF(J$15&lt;=1,1,IF(EXACT(J1217,"keine"),IF(J$3=J$12,1,0),IF(EXACT(J1217,"beste"),IF(J$3=J1112,1,0),IF(J$3=J902,1,0)))))</f>
        <v/>
      </c>
      <c r="K1322" s="62">
        <f>IF(K167=0,0,IF(K$15&lt;=1,1,IF(EXACT(K1217,"keine"),IF(K$3=K$12,1,0),IF(EXACT(K1217,"beste"),IF(K$3=K1112,1,0),IF(K$3=K902,1,0)))))</f>
        <v/>
      </c>
      <c r="L1322" s="62">
        <f>IF(L167=0,0,IF(L$15&lt;=1,1,IF(EXACT(L1217,"keine"),IF(L$3=L$12,1,0),IF(EXACT(L1217,"beste"),IF(L$3=L1112,1,0),IF(L$3=L902,1,0)))))</f>
        <v/>
      </c>
      <c r="M1322" s="62">
        <f>IF(M167=0,0,IF(M$15&lt;=1,1,IF(EXACT(M1217,"keine"),IF(M$3=M$12,1,0),IF(EXACT(M1217,"beste"),IF(M$3=M1112,1,0),IF(M$3=M902,1,0)))))</f>
        <v/>
      </c>
      <c r="N1322" s="62">
        <f>IF(N167=0,0,IF(N$15&lt;=1,1,IF(EXACT(N1217,"keine"),IF(N$3=N$12,1,0),IF(EXACT(N1217,"beste"),IF(N$3=N1112,1,0),IF(N$3=N902,1,0)))))</f>
        <v/>
      </c>
      <c r="O1322" s="62">
        <f>IF(O167=0,0,IF(O$15&lt;=1,1,IF(EXACT(O1217,"keine"),IF(O$3=O$12,1,0),IF(EXACT(O1217,"beste"),IF(O$3=O1112,1,0),IF(O$3=O902,1,0)))))</f>
        <v/>
      </c>
      <c r="P1322" s="62">
        <f>IF(P167=0,0,IF(P$15&lt;=1,1,IF(EXACT(P1217,"keine"),IF(P$3=P$12,1,0),IF(EXACT(P1217,"beste"),IF(P$3=P1112,1,0),IF(P$3=P902,1,0)))))</f>
        <v/>
      </c>
      <c r="Q1322" s="62">
        <f>IF(Q167=0,0,IF(Q$15&lt;=1,1,IF(EXACT(Q1217,"keine"),IF(Q$3=Q$12,1,0),IF(EXACT(Q1217,"beste"),IF(Q$3=Q1112,1,0),IF(Q$3=Q902,1,0)))))</f>
        <v/>
      </c>
      <c r="R1322" s="62">
        <f>IF(R167=0,0,IF(R$15&lt;=1,1,IF(EXACT(R1217,"keine"),IF(R$3=R$12,1,0),IF(EXACT(R1217,"beste"),IF(R$3=R1112,1,0),IF(R$3=R902,1,0)))))</f>
        <v/>
      </c>
      <c r="S1322" s="62">
        <f>IF(S167=0,0,IF(S$15&lt;=1,1,IF(EXACT(S1217,"keine"),IF(S$3=S$12,1,0),IF(EXACT(S1217,"beste"),IF(S$3=S1112,1,0),IF(S$3=S902,1,0)))))</f>
        <v/>
      </c>
      <c r="T1322" s="62">
        <f>IF(T167=0,0,IF(T$15&lt;=1,1,IF(EXACT(T1217,"keine"),IF(T$3=T$12,1,0),IF(EXACT(T1217,"beste"),IF(T$3=T1112,1,0),IF(T$3=T902,1,0)))))</f>
        <v/>
      </c>
      <c r="U1322" s="62">
        <f>IF(U167=0,0,IF(U$15&lt;=1,1,IF(EXACT(U1217,"keine"),IF(U$3=U$12,1,0),IF(EXACT(U1217,"beste"),IF(U$3=U1112,1,0),IF(U$3=U902,1,0)))))</f>
        <v/>
      </c>
      <c r="V1322" s="62">
        <f>IF(V167=0,0,IF(V$15&lt;=1,1,IF(EXACT(V1217,"keine"),IF(V$3=V$12,1,0),IF(EXACT(V1217,"beste"),IF(V$3=V1112,1,0),IF(V$3=V902,1,0)))))</f>
        <v/>
      </c>
    </row>
    <row r="1323">
      <c r="C1323" s="62">
        <f>IF(C168=0,0,IF(C$15&lt;=1,1,IF(EXACT(C1218,"keine"),IF(C$3=C$12,1,0),IF(EXACT(C1218,"beste"),IF(C$3=C1113,1,0),IF(C$3=C903,1,0)))))</f>
        <v/>
      </c>
      <c r="D1323" s="62">
        <f>IF(D168=0,0,IF(D$15&lt;=1,1,IF(EXACT(D1218,"keine"),IF(D$3=D$12,1,0),IF(EXACT(D1218,"beste"),IF(D$3=D1113,1,0),IF(D$3=D903,1,0)))))</f>
        <v/>
      </c>
      <c r="E1323" s="62">
        <f>IF(E168=0,0,IF(E$15&lt;=1,1,IF(EXACT(E1218,"keine"),IF(E$3=E$12,1,0),IF(EXACT(E1218,"beste"),IF(E$3=E1113,1,0),IF(E$3=E903,1,0)))))</f>
        <v/>
      </c>
      <c r="F1323" s="62">
        <f>IF(F168=0,0,IF(F$15&lt;=1,1,IF(EXACT(F1218,"keine"),IF(F$3=F$12,1,0),IF(EXACT(F1218,"beste"),IF(F$3=F1113,1,0),IF(F$3=F903,1,0)))))</f>
        <v/>
      </c>
      <c r="G1323" s="62">
        <f>IF(G168=0,0,IF(G$15&lt;=1,1,IF(EXACT(G1218,"keine"),IF(G$3=G$12,1,0),IF(EXACT(G1218,"beste"),IF(G$3=G1113,1,0),IF(G$3=G903,1,0)))))</f>
        <v/>
      </c>
      <c r="H1323" s="62">
        <f>IF(H168=0,0,IF(H$15&lt;=1,1,IF(EXACT(H1218,"keine"),IF(H$3=H$12,1,0),IF(EXACT(H1218,"beste"),IF(H$3=H1113,1,0),IF(H$3=H903,1,0)))))</f>
        <v/>
      </c>
      <c r="I1323" s="62">
        <f>IF(I168=0,0,IF(I$15&lt;=1,1,IF(EXACT(I1218,"keine"),IF(I$3=I$12,1,0),IF(EXACT(I1218,"beste"),IF(I$3=I1113,1,0),IF(I$3=I903,1,0)))))</f>
        <v/>
      </c>
      <c r="J1323" s="62">
        <f>IF(J168=0,0,IF(J$15&lt;=1,1,IF(EXACT(J1218,"keine"),IF(J$3=J$12,1,0),IF(EXACT(J1218,"beste"),IF(J$3=J1113,1,0),IF(J$3=J903,1,0)))))</f>
        <v/>
      </c>
      <c r="K1323" s="62">
        <f>IF(K168=0,0,IF(K$15&lt;=1,1,IF(EXACT(K1218,"keine"),IF(K$3=K$12,1,0),IF(EXACT(K1218,"beste"),IF(K$3=K1113,1,0),IF(K$3=K903,1,0)))))</f>
        <v/>
      </c>
      <c r="L1323" s="62">
        <f>IF(L168=0,0,IF(L$15&lt;=1,1,IF(EXACT(L1218,"keine"),IF(L$3=L$12,1,0),IF(EXACT(L1218,"beste"),IF(L$3=L1113,1,0),IF(L$3=L903,1,0)))))</f>
        <v/>
      </c>
      <c r="M1323" s="62">
        <f>IF(M168=0,0,IF(M$15&lt;=1,1,IF(EXACT(M1218,"keine"),IF(M$3=M$12,1,0),IF(EXACT(M1218,"beste"),IF(M$3=M1113,1,0),IF(M$3=M903,1,0)))))</f>
        <v/>
      </c>
      <c r="N1323" s="62">
        <f>IF(N168=0,0,IF(N$15&lt;=1,1,IF(EXACT(N1218,"keine"),IF(N$3=N$12,1,0),IF(EXACT(N1218,"beste"),IF(N$3=N1113,1,0),IF(N$3=N903,1,0)))))</f>
        <v/>
      </c>
      <c r="O1323" s="62">
        <f>IF(O168=0,0,IF(O$15&lt;=1,1,IF(EXACT(O1218,"keine"),IF(O$3=O$12,1,0),IF(EXACT(O1218,"beste"),IF(O$3=O1113,1,0),IF(O$3=O903,1,0)))))</f>
        <v/>
      </c>
      <c r="P1323" s="62">
        <f>IF(P168=0,0,IF(P$15&lt;=1,1,IF(EXACT(P1218,"keine"),IF(P$3=P$12,1,0),IF(EXACT(P1218,"beste"),IF(P$3=P1113,1,0),IF(P$3=P903,1,0)))))</f>
        <v/>
      </c>
      <c r="Q1323" s="62">
        <f>IF(Q168=0,0,IF(Q$15&lt;=1,1,IF(EXACT(Q1218,"keine"),IF(Q$3=Q$12,1,0),IF(EXACT(Q1218,"beste"),IF(Q$3=Q1113,1,0),IF(Q$3=Q903,1,0)))))</f>
        <v/>
      </c>
      <c r="R1323" s="62">
        <f>IF(R168=0,0,IF(R$15&lt;=1,1,IF(EXACT(R1218,"keine"),IF(R$3=R$12,1,0),IF(EXACT(R1218,"beste"),IF(R$3=R1113,1,0),IF(R$3=R903,1,0)))))</f>
        <v/>
      </c>
      <c r="S1323" s="62">
        <f>IF(S168=0,0,IF(S$15&lt;=1,1,IF(EXACT(S1218,"keine"),IF(S$3=S$12,1,0),IF(EXACT(S1218,"beste"),IF(S$3=S1113,1,0),IF(S$3=S903,1,0)))))</f>
        <v/>
      </c>
      <c r="T1323" s="62">
        <f>IF(T168=0,0,IF(T$15&lt;=1,1,IF(EXACT(T1218,"keine"),IF(T$3=T$12,1,0),IF(EXACT(T1218,"beste"),IF(T$3=T1113,1,0),IF(T$3=T903,1,0)))))</f>
        <v/>
      </c>
      <c r="U1323" s="62">
        <f>IF(U168=0,0,IF(U$15&lt;=1,1,IF(EXACT(U1218,"keine"),IF(U$3=U$12,1,0),IF(EXACT(U1218,"beste"),IF(U$3=U1113,1,0),IF(U$3=U903,1,0)))))</f>
        <v/>
      </c>
      <c r="V1323" s="62">
        <f>IF(V168=0,0,IF(V$15&lt;=1,1,IF(EXACT(V1218,"keine"),IF(V$3=V$12,1,0),IF(EXACT(V1218,"beste"),IF(V$3=V1113,1,0),IF(V$3=V903,1,0)))))</f>
        <v/>
      </c>
    </row>
    <row r="1324">
      <c r="C1324" s="62">
        <f>IF(C169=0,0,IF(C$15&lt;=1,1,IF(EXACT(C1219,"keine"),IF(C$3=C$12,1,0),IF(EXACT(C1219,"beste"),IF(C$3=C1114,1,0),IF(C$3=C904,1,0)))))</f>
        <v/>
      </c>
      <c r="D1324" s="62">
        <f>IF(D169=0,0,IF(D$15&lt;=1,1,IF(EXACT(D1219,"keine"),IF(D$3=D$12,1,0),IF(EXACT(D1219,"beste"),IF(D$3=D1114,1,0),IF(D$3=D904,1,0)))))</f>
        <v/>
      </c>
      <c r="E1324" s="62">
        <f>IF(E169=0,0,IF(E$15&lt;=1,1,IF(EXACT(E1219,"keine"),IF(E$3=E$12,1,0),IF(EXACT(E1219,"beste"),IF(E$3=E1114,1,0),IF(E$3=E904,1,0)))))</f>
        <v/>
      </c>
      <c r="F1324" s="62">
        <f>IF(F169=0,0,IF(F$15&lt;=1,1,IF(EXACT(F1219,"keine"),IF(F$3=F$12,1,0),IF(EXACT(F1219,"beste"),IF(F$3=F1114,1,0),IF(F$3=F904,1,0)))))</f>
        <v/>
      </c>
      <c r="G1324" s="62">
        <f>IF(G169=0,0,IF(G$15&lt;=1,1,IF(EXACT(G1219,"keine"),IF(G$3=G$12,1,0),IF(EXACT(G1219,"beste"),IF(G$3=G1114,1,0),IF(G$3=G904,1,0)))))</f>
        <v/>
      </c>
      <c r="H1324" s="62">
        <f>IF(H169=0,0,IF(H$15&lt;=1,1,IF(EXACT(H1219,"keine"),IF(H$3=H$12,1,0),IF(EXACT(H1219,"beste"),IF(H$3=H1114,1,0),IF(H$3=H904,1,0)))))</f>
        <v/>
      </c>
      <c r="I1324" s="62">
        <f>IF(I169=0,0,IF(I$15&lt;=1,1,IF(EXACT(I1219,"keine"),IF(I$3=I$12,1,0),IF(EXACT(I1219,"beste"),IF(I$3=I1114,1,0),IF(I$3=I904,1,0)))))</f>
        <v/>
      </c>
      <c r="J1324" s="62">
        <f>IF(J169=0,0,IF(J$15&lt;=1,1,IF(EXACT(J1219,"keine"),IF(J$3=J$12,1,0),IF(EXACT(J1219,"beste"),IF(J$3=J1114,1,0),IF(J$3=J904,1,0)))))</f>
        <v/>
      </c>
      <c r="K1324" s="62">
        <f>IF(K169=0,0,IF(K$15&lt;=1,1,IF(EXACT(K1219,"keine"),IF(K$3=K$12,1,0),IF(EXACT(K1219,"beste"),IF(K$3=K1114,1,0),IF(K$3=K904,1,0)))))</f>
        <v/>
      </c>
      <c r="L1324" s="62">
        <f>IF(L169=0,0,IF(L$15&lt;=1,1,IF(EXACT(L1219,"keine"),IF(L$3=L$12,1,0),IF(EXACT(L1219,"beste"),IF(L$3=L1114,1,0),IF(L$3=L904,1,0)))))</f>
        <v/>
      </c>
      <c r="M1324" s="62">
        <f>IF(M169=0,0,IF(M$15&lt;=1,1,IF(EXACT(M1219,"keine"),IF(M$3=M$12,1,0),IF(EXACT(M1219,"beste"),IF(M$3=M1114,1,0),IF(M$3=M904,1,0)))))</f>
        <v/>
      </c>
      <c r="N1324" s="62">
        <f>IF(N169=0,0,IF(N$15&lt;=1,1,IF(EXACT(N1219,"keine"),IF(N$3=N$12,1,0),IF(EXACT(N1219,"beste"),IF(N$3=N1114,1,0),IF(N$3=N904,1,0)))))</f>
        <v/>
      </c>
      <c r="O1324" s="62">
        <f>IF(O169=0,0,IF(O$15&lt;=1,1,IF(EXACT(O1219,"keine"),IF(O$3=O$12,1,0),IF(EXACT(O1219,"beste"),IF(O$3=O1114,1,0),IF(O$3=O904,1,0)))))</f>
        <v/>
      </c>
      <c r="P1324" s="62">
        <f>IF(P169=0,0,IF(P$15&lt;=1,1,IF(EXACT(P1219,"keine"),IF(P$3=P$12,1,0),IF(EXACT(P1219,"beste"),IF(P$3=P1114,1,0),IF(P$3=P904,1,0)))))</f>
        <v/>
      </c>
      <c r="Q1324" s="62">
        <f>IF(Q169=0,0,IF(Q$15&lt;=1,1,IF(EXACT(Q1219,"keine"),IF(Q$3=Q$12,1,0),IF(EXACT(Q1219,"beste"),IF(Q$3=Q1114,1,0),IF(Q$3=Q904,1,0)))))</f>
        <v/>
      </c>
      <c r="R1324" s="62">
        <f>IF(R169=0,0,IF(R$15&lt;=1,1,IF(EXACT(R1219,"keine"),IF(R$3=R$12,1,0),IF(EXACT(R1219,"beste"),IF(R$3=R1114,1,0),IF(R$3=R904,1,0)))))</f>
        <v/>
      </c>
      <c r="S1324" s="62">
        <f>IF(S169=0,0,IF(S$15&lt;=1,1,IF(EXACT(S1219,"keine"),IF(S$3=S$12,1,0),IF(EXACT(S1219,"beste"),IF(S$3=S1114,1,0),IF(S$3=S904,1,0)))))</f>
        <v/>
      </c>
      <c r="T1324" s="62">
        <f>IF(T169=0,0,IF(T$15&lt;=1,1,IF(EXACT(T1219,"keine"),IF(T$3=T$12,1,0),IF(EXACT(T1219,"beste"),IF(T$3=T1114,1,0),IF(T$3=T904,1,0)))))</f>
        <v/>
      </c>
      <c r="U1324" s="62">
        <f>IF(U169=0,0,IF(U$15&lt;=1,1,IF(EXACT(U1219,"keine"),IF(U$3=U$12,1,0),IF(EXACT(U1219,"beste"),IF(U$3=U1114,1,0),IF(U$3=U904,1,0)))))</f>
        <v/>
      </c>
      <c r="V1324" s="62">
        <f>IF(V169=0,0,IF(V$15&lt;=1,1,IF(EXACT(V1219,"keine"),IF(V$3=V$12,1,0),IF(EXACT(V1219,"beste"),IF(V$3=V1114,1,0),IF(V$3=V904,1,0)))))</f>
        <v/>
      </c>
    </row>
    <row r="1325">
      <c r="C1325" s="62">
        <f>IF(C170=0,0,IF(C$15&lt;=1,1,IF(EXACT(C1220,"keine"),IF(C$3=C$12,1,0),IF(EXACT(C1220,"beste"),IF(C$3=C1115,1,0),IF(C$3=C905,1,0)))))</f>
        <v/>
      </c>
      <c r="D1325" s="62">
        <f>IF(D170=0,0,IF(D$15&lt;=1,1,IF(EXACT(D1220,"keine"),IF(D$3=D$12,1,0),IF(EXACT(D1220,"beste"),IF(D$3=D1115,1,0),IF(D$3=D905,1,0)))))</f>
        <v/>
      </c>
      <c r="E1325" s="62">
        <f>IF(E170=0,0,IF(E$15&lt;=1,1,IF(EXACT(E1220,"keine"),IF(E$3=E$12,1,0),IF(EXACT(E1220,"beste"),IF(E$3=E1115,1,0),IF(E$3=E905,1,0)))))</f>
        <v/>
      </c>
      <c r="F1325" s="62">
        <f>IF(F170=0,0,IF(F$15&lt;=1,1,IF(EXACT(F1220,"keine"),IF(F$3=F$12,1,0),IF(EXACT(F1220,"beste"),IF(F$3=F1115,1,0),IF(F$3=F905,1,0)))))</f>
        <v/>
      </c>
      <c r="G1325" s="62">
        <f>IF(G170=0,0,IF(G$15&lt;=1,1,IF(EXACT(G1220,"keine"),IF(G$3=G$12,1,0),IF(EXACT(G1220,"beste"),IF(G$3=G1115,1,0),IF(G$3=G905,1,0)))))</f>
        <v/>
      </c>
      <c r="H1325" s="62">
        <f>IF(H170=0,0,IF(H$15&lt;=1,1,IF(EXACT(H1220,"keine"),IF(H$3=H$12,1,0),IF(EXACT(H1220,"beste"),IF(H$3=H1115,1,0),IF(H$3=H905,1,0)))))</f>
        <v/>
      </c>
      <c r="I1325" s="62">
        <f>IF(I170=0,0,IF(I$15&lt;=1,1,IF(EXACT(I1220,"keine"),IF(I$3=I$12,1,0),IF(EXACT(I1220,"beste"),IF(I$3=I1115,1,0),IF(I$3=I905,1,0)))))</f>
        <v/>
      </c>
      <c r="J1325" s="62">
        <f>IF(J170=0,0,IF(J$15&lt;=1,1,IF(EXACT(J1220,"keine"),IF(J$3=J$12,1,0),IF(EXACT(J1220,"beste"),IF(J$3=J1115,1,0),IF(J$3=J905,1,0)))))</f>
        <v/>
      </c>
      <c r="K1325" s="62">
        <f>IF(K170=0,0,IF(K$15&lt;=1,1,IF(EXACT(K1220,"keine"),IF(K$3=K$12,1,0),IF(EXACT(K1220,"beste"),IF(K$3=K1115,1,0),IF(K$3=K905,1,0)))))</f>
        <v/>
      </c>
      <c r="L1325" s="62">
        <f>IF(L170=0,0,IF(L$15&lt;=1,1,IF(EXACT(L1220,"keine"),IF(L$3=L$12,1,0),IF(EXACT(L1220,"beste"),IF(L$3=L1115,1,0),IF(L$3=L905,1,0)))))</f>
        <v/>
      </c>
      <c r="M1325" s="62">
        <f>IF(M170=0,0,IF(M$15&lt;=1,1,IF(EXACT(M1220,"keine"),IF(M$3=M$12,1,0),IF(EXACT(M1220,"beste"),IF(M$3=M1115,1,0),IF(M$3=M905,1,0)))))</f>
        <v/>
      </c>
      <c r="N1325" s="62">
        <f>IF(N170=0,0,IF(N$15&lt;=1,1,IF(EXACT(N1220,"keine"),IF(N$3=N$12,1,0),IF(EXACT(N1220,"beste"),IF(N$3=N1115,1,0),IF(N$3=N905,1,0)))))</f>
        <v/>
      </c>
      <c r="O1325" s="62">
        <f>IF(O170=0,0,IF(O$15&lt;=1,1,IF(EXACT(O1220,"keine"),IF(O$3=O$12,1,0),IF(EXACT(O1220,"beste"),IF(O$3=O1115,1,0),IF(O$3=O905,1,0)))))</f>
        <v/>
      </c>
      <c r="P1325" s="62">
        <f>IF(P170=0,0,IF(P$15&lt;=1,1,IF(EXACT(P1220,"keine"),IF(P$3=P$12,1,0),IF(EXACT(P1220,"beste"),IF(P$3=P1115,1,0),IF(P$3=P905,1,0)))))</f>
        <v/>
      </c>
      <c r="Q1325" s="62">
        <f>IF(Q170=0,0,IF(Q$15&lt;=1,1,IF(EXACT(Q1220,"keine"),IF(Q$3=Q$12,1,0),IF(EXACT(Q1220,"beste"),IF(Q$3=Q1115,1,0),IF(Q$3=Q905,1,0)))))</f>
        <v/>
      </c>
      <c r="R1325" s="62">
        <f>IF(R170=0,0,IF(R$15&lt;=1,1,IF(EXACT(R1220,"keine"),IF(R$3=R$12,1,0),IF(EXACT(R1220,"beste"),IF(R$3=R1115,1,0),IF(R$3=R905,1,0)))))</f>
        <v/>
      </c>
      <c r="S1325" s="62">
        <f>IF(S170=0,0,IF(S$15&lt;=1,1,IF(EXACT(S1220,"keine"),IF(S$3=S$12,1,0),IF(EXACT(S1220,"beste"),IF(S$3=S1115,1,0),IF(S$3=S905,1,0)))))</f>
        <v/>
      </c>
      <c r="T1325" s="62">
        <f>IF(T170=0,0,IF(T$15&lt;=1,1,IF(EXACT(T1220,"keine"),IF(T$3=T$12,1,0),IF(EXACT(T1220,"beste"),IF(T$3=T1115,1,0),IF(T$3=T905,1,0)))))</f>
        <v/>
      </c>
      <c r="U1325" s="62">
        <f>IF(U170=0,0,IF(U$15&lt;=1,1,IF(EXACT(U1220,"keine"),IF(U$3=U$12,1,0),IF(EXACT(U1220,"beste"),IF(U$3=U1115,1,0),IF(U$3=U905,1,0)))))</f>
        <v/>
      </c>
      <c r="V1325" s="62">
        <f>IF(V170=0,0,IF(V$15&lt;=1,1,IF(EXACT(V1220,"keine"),IF(V$3=V$12,1,0),IF(EXACT(V1220,"beste"),IF(V$3=V1115,1,0),IF(V$3=V905,1,0)))))</f>
        <v/>
      </c>
    </row>
    <row r="1326">
      <c r="C1326" s="62">
        <f>IF(C171=0,0,IF(C$15&lt;=1,1,IF(EXACT(C1221,"keine"),IF(C$3=C$12,1,0),IF(EXACT(C1221,"beste"),IF(C$3=C1116,1,0),IF(C$3=C906,1,0)))))</f>
        <v/>
      </c>
      <c r="D1326" s="62">
        <f>IF(D171=0,0,IF(D$15&lt;=1,1,IF(EXACT(D1221,"keine"),IF(D$3=D$12,1,0),IF(EXACT(D1221,"beste"),IF(D$3=D1116,1,0),IF(D$3=D906,1,0)))))</f>
        <v/>
      </c>
      <c r="E1326" s="62">
        <f>IF(E171=0,0,IF(E$15&lt;=1,1,IF(EXACT(E1221,"keine"),IF(E$3=E$12,1,0),IF(EXACT(E1221,"beste"),IF(E$3=E1116,1,0),IF(E$3=E906,1,0)))))</f>
        <v/>
      </c>
      <c r="F1326" s="62">
        <f>IF(F171=0,0,IF(F$15&lt;=1,1,IF(EXACT(F1221,"keine"),IF(F$3=F$12,1,0),IF(EXACT(F1221,"beste"),IF(F$3=F1116,1,0),IF(F$3=F906,1,0)))))</f>
        <v/>
      </c>
      <c r="G1326" s="62">
        <f>IF(G171=0,0,IF(G$15&lt;=1,1,IF(EXACT(G1221,"keine"),IF(G$3=G$12,1,0),IF(EXACT(G1221,"beste"),IF(G$3=G1116,1,0),IF(G$3=G906,1,0)))))</f>
        <v/>
      </c>
      <c r="H1326" s="62">
        <f>IF(H171=0,0,IF(H$15&lt;=1,1,IF(EXACT(H1221,"keine"),IF(H$3=H$12,1,0),IF(EXACT(H1221,"beste"),IF(H$3=H1116,1,0),IF(H$3=H906,1,0)))))</f>
        <v/>
      </c>
      <c r="I1326" s="62">
        <f>IF(I171=0,0,IF(I$15&lt;=1,1,IF(EXACT(I1221,"keine"),IF(I$3=I$12,1,0),IF(EXACT(I1221,"beste"),IF(I$3=I1116,1,0),IF(I$3=I906,1,0)))))</f>
        <v/>
      </c>
      <c r="J1326" s="62">
        <f>IF(J171=0,0,IF(J$15&lt;=1,1,IF(EXACT(J1221,"keine"),IF(J$3=J$12,1,0),IF(EXACT(J1221,"beste"),IF(J$3=J1116,1,0),IF(J$3=J906,1,0)))))</f>
        <v/>
      </c>
      <c r="K1326" s="62">
        <f>IF(K171=0,0,IF(K$15&lt;=1,1,IF(EXACT(K1221,"keine"),IF(K$3=K$12,1,0),IF(EXACT(K1221,"beste"),IF(K$3=K1116,1,0),IF(K$3=K906,1,0)))))</f>
        <v/>
      </c>
      <c r="L1326" s="62">
        <f>IF(L171=0,0,IF(L$15&lt;=1,1,IF(EXACT(L1221,"keine"),IF(L$3=L$12,1,0),IF(EXACT(L1221,"beste"),IF(L$3=L1116,1,0),IF(L$3=L906,1,0)))))</f>
        <v/>
      </c>
      <c r="M1326" s="62">
        <f>IF(M171=0,0,IF(M$15&lt;=1,1,IF(EXACT(M1221,"keine"),IF(M$3=M$12,1,0),IF(EXACT(M1221,"beste"),IF(M$3=M1116,1,0),IF(M$3=M906,1,0)))))</f>
        <v/>
      </c>
      <c r="N1326" s="62">
        <f>IF(N171=0,0,IF(N$15&lt;=1,1,IF(EXACT(N1221,"keine"),IF(N$3=N$12,1,0),IF(EXACT(N1221,"beste"),IF(N$3=N1116,1,0),IF(N$3=N906,1,0)))))</f>
        <v/>
      </c>
      <c r="O1326" s="62">
        <f>IF(O171=0,0,IF(O$15&lt;=1,1,IF(EXACT(O1221,"keine"),IF(O$3=O$12,1,0),IF(EXACT(O1221,"beste"),IF(O$3=O1116,1,0),IF(O$3=O906,1,0)))))</f>
        <v/>
      </c>
      <c r="P1326" s="62">
        <f>IF(P171=0,0,IF(P$15&lt;=1,1,IF(EXACT(P1221,"keine"),IF(P$3=P$12,1,0),IF(EXACT(P1221,"beste"),IF(P$3=P1116,1,0),IF(P$3=P906,1,0)))))</f>
        <v/>
      </c>
      <c r="Q1326" s="62">
        <f>IF(Q171=0,0,IF(Q$15&lt;=1,1,IF(EXACT(Q1221,"keine"),IF(Q$3=Q$12,1,0),IF(EXACT(Q1221,"beste"),IF(Q$3=Q1116,1,0),IF(Q$3=Q906,1,0)))))</f>
        <v/>
      </c>
      <c r="R1326" s="62">
        <f>IF(R171=0,0,IF(R$15&lt;=1,1,IF(EXACT(R1221,"keine"),IF(R$3=R$12,1,0),IF(EXACT(R1221,"beste"),IF(R$3=R1116,1,0),IF(R$3=R906,1,0)))))</f>
        <v/>
      </c>
      <c r="S1326" s="62">
        <f>IF(S171=0,0,IF(S$15&lt;=1,1,IF(EXACT(S1221,"keine"),IF(S$3=S$12,1,0),IF(EXACT(S1221,"beste"),IF(S$3=S1116,1,0),IF(S$3=S906,1,0)))))</f>
        <v/>
      </c>
      <c r="T1326" s="62">
        <f>IF(T171=0,0,IF(T$15&lt;=1,1,IF(EXACT(T1221,"keine"),IF(T$3=T$12,1,0),IF(EXACT(T1221,"beste"),IF(T$3=T1116,1,0),IF(T$3=T906,1,0)))))</f>
        <v/>
      </c>
      <c r="U1326" s="62">
        <f>IF(U171=0,0,IF(U$15&lt;=1,1,IF(EXACT(U1221,"keine"),IF(U$3=U$12,1,0),IF(EXACT(U1221,"beste"),IF(U$3=U1116,1,0),IF(U$3=U906,1,0)))))</f>
        <v/>
      </c>
      <c r="V1326" s="62">
        <f>IF(V171=0,0,IF(V$15&lt;=1,1,IF(EXACT(V1221,"keine"),IF(V$3=V$12,1,0),IF(EXACT(V1221,"beste"),IF(V$3=V1116,1,0),IF(V$3=V906,1,0)))))</f>
        <v/>
      </c>
    </row>
    <row r="1327">
      <c r="C1327" s="62">
        <f>IF(C172=0,0,IF(C$15&lt;=1,1,IF(EXACT(C1222,"keine"),IF(C$3=C$12,1,0),IF(EXACT(C1222,"beste"),IF(C$3=C1117,1,0),IF(C$3=C907,1,0)))))</f>
        <v/>
      </c>
      <c r="D1327" s="62">
        <f>IF(D172=0,0,IF(D$15&lt;=1,1,IF(EXACT(D1222,"keine"),IF(D$3=D$12,1,0),IF(EXACT(D1222,"beste"),IF(D$3=D1117,1,0),IF(D$3=D907,1,0)))))</f>
        <v/>
      </c>
      <c r="E1327" s="62">
        <f>IF(E172=0,0,IF(E$15&lt;=1,1,IF(EXACT(E1222,"keine"),IF(E$3=E$12,1,0),IF(EXACT(E1222,"beste"),IF(E$3=E1117,1,0),IF(E$3=E907,1,0)))))</f>
        <v/>
      </c>
      <c r="F1327" s="62">
        <f>IF(F172=0,0,IF(F$15&lt;=1,1,IF(EXACT(F1222,"keine"),IF(F$3=F$12,1,0),IF(EXACT(F1222,"beste"),IF(F$3=F1117,1,0),IF(F$3=F907,1,0)))))</f>
        <v/>
      </c>
      <c r="G1327" s="62">
        <f>IF(G172=0,0,IF(G$15&lt;=1,1,IF(EXACT(G1222,"keine"),IF(G$3=G$12,1,0),IF(EXACT(G1222,"beste"),IF(G$3=G1117,1,0),IF(G$3=G907,1,0)))))</f>
        <v/>
      </c>
      <c r="H1327" s="62">
        <f>IF(H172=0,0,IF(H$15&lt;=1,1,IF(EXACT(H1222,"keine"),IF(H$3=H$12,1,0),IF(EXACT(H1222,"beste"),IF(H$3=H1117,1,0),IF(H$3=H907,1,0)))))</f>
        <v/>
      </c>
      <c r="I1327" s="62">
        <f>IF(I172=0,0,IF(I$15&lt;=1,1,IF(EXACT(I1222,"keine"),IF(I$3=I$12,1,0),IF(EXACT(I1222,"beste"),IF(I$3=I1117,1,0),IF(I$3=I907,1,0)))))</f>
        <v/>
      </c>
      <c r="J1327" s="62">
        <f>IF(J172=0,0,IF(J$15&lt;=1,1,IF(EXACT(J1222,"keine"),IF(J$3=J$12,1,0),IF(EXACT(J1222,"beste"),IF(J$3=J1117,1,0),IF(J$3=J907,1,0)))))</f>
        <v/>
      </c>
      <c r="K1327" s="62">
        <f>IF(K172=0,0,IF(K$15&lt;=1,1,IF(EXACT(K1222,"keine"),IF(K$3=K$12,1,0),IF(EXACT(K1222,"beste"),IF(K$3=K1117,1,0),IF(K$3=K907,1,0)))))</f>
        <v/>
      </c>
      <c r="L1327" s="62">
        <f>IF(L172=0,0,IF(L$15&lt;=1,1,IF(EXACT(L1222,"keine"),IF(L$3=L$12,1,0),IF(EXACT(L1222,"beste"),IF(L$3=L1117,1,0),IF(L$3=L907,1,0)))))</f>
        <v/>
      </c>
      <c r="M1327" s="62">
        <f>IF(M172=0,0,IF(M$15&lt;=1,1,IF(EXACT(M1222,"keine"),IF(M$3=M$12,1,0),IF(EXACT(M1222,"beste"),IF(M$3=M1117,1,0),IF(M$3=M907,1,0)))))</f>
        <v/>
      </c>
      <c r="N1327" s="62">
        <f>IF(N172=0,0,IF(N$15&lt;=1,1,IF(EXACT(N1222,"keine"),IF(N$3=N$12,1,0),IF(EXACT(N1222,"beste"),IF(N$3=N1117,1,0),IF(N$3=N907,1,0)))))</f>
        <v/>
      </c>
      <c r="O1327" s="62">
        <f>IF(O172=0,0,IF(O$15&lt;=1,1,IF(EXACT(O1222,"keine"),IF(O$3=O$12,1,0),IF(EXACT(O1222,"beste"),IF(O$3=O1117,1,0),IF(O$3=O907,1,0)))))</f>
        <v/>
      </c>
      <c r="P1327" s="62">
        <f>IF(P172=0,0,IF(P$15&lt;=1,1,IF(EXACT(P1222,"keine"),IF(P$3=P$12,1,0),IF(EXACT(P1222,"beste"),IF(P$3=P1117,1,0),IF(P$3=P907,1,0)))))</f>
        <v/>
      </c>
      <c r="Q1327" s="62">
        <f>IF(Q172=0,0,IF(Q$15&lt;=1,1,IF(EXACT(Q1222,"keine"),IF(Q$3=Q$12,1,0),IF(EXACT(Q1222,"beste"),IF(Q$3=Q1117,1,0),IF(Q$3=Q907,1,0)))))</f>
        <v/>
      </c>
      <c r="R1327" s="62">
        <f>IF(R172=0,0,IF(R$15&lt;=1,1,IF(EXACT(R1222,"keine"),IF(R$3=R$12,1,0),IF(EXACT(R1222,"beste"),IF(R$3=R1117,1,0),IF(R$3=R907,1,0)))))</f>
        <v/>
      </c>
      <c r="S1327" s="62">
        <f>IF(S172=0,0,IF(S$15&lt;=1,1,IF(EXACT(S1222,"keine"),IF(S$3=S$12,1,0),IF(EXACT(S1222,"beste"),IF(S$3=S1117,1,0),IF(S$3=S907,1,0)))))</f>
        <v/>
      </c>
      <c r="T1327" s="62">
        <f>IF(T172=0,0,IF(T$15&lt;=1,1,IF(EXACT(T1222,"keine"),IF(T$3=T$12,1,0),IF(EXACT(T1222,"beste"),IF(T$3=T1117,1,0),IF(T$3=T907,1,0)))))</f>
        <v/>
      </c>
      <c r="U1327" s="62">
        <f>IF(U172=0,0,IF(U$15&lt;=1,1,IF(EXACT(U1222,"keine"),IF(U$3=U$12,1,0),IF(EXACT(U1222,"beste"),IF(U$3=U1117,1,0),IF(U$3=U907,1,0)))))</f>
        <v/>
      </c>
      <c r="V1327" s="62">
        <f>IF(V172=0,0,IF(V$15&lt;=1,1,IF(EXACT(V1222,"keine"),IF(V$3=V$12,1,0),IF(EXACT(V1222,"beste"),IF(V$3=V1117,1,0),IF(V$3=V907,1,0)))))</f>
        <v/>
      </c>
    </row>
    <row r="1328">
      <c r="C1328" s="62">
        <f>IF(C173=0,0,IF(C$15&lt;=1,1,IF(EXACT(C1223,"keine"),IF(C$3=C$12,1,0),IF(EXACT(C1223,"beste"),IF(C$3=C1118,1,0),IF(C$3=C908,1,0)))))</f>
        <v/>
      </c>
      <c r="D1328" s="62">
        <f>IF(D173=0,0,IF(D$15&lt;=1,1,IF(EXACT(D1223,"keine"),IF(D$3=D$12,1,0),IF(EXACT(D1223,"beste"),IF(D$3=D1118,1,0),IF(D$3=D908,1,0)))))</f>
        <v/>
      </c>
      <c r="E1328" s="62">
        <f>IF(E173=0,0,IF(E$15&lt;=1,1,IF(EXACT(E1223,"keine"),IF(E$3=E$12,1,0),IF(EXACT(E1223,"beste"),IF(E$3=E1118,1,0),IF(E$3=E908,1,0)))))</f>
        <v/>
      </c>
      <c r="F1328" s="62">
        <f>IF(F173=0,0,IF(F$15&lt;=1,1,IF(EXACT(F1223,"keine"),IF(F$3=F$12,1,0),IF(EXACT(F1223,"beste"),IF(F$3=F1118,1,0),IF(F$3=F908,1,0)))))</f>
        <v/>
      </c>
      <c r="G1328" s="62">
        <f>IF(G173=0,0,IF(G$15&lt;=1,1,IF(EXACT(G1223,"keine"),IF(G$3=G$12,1,0),IF(EXACT(G1223,"beste"),IF(G$3=G1118,1,0),IF(G$3=G908,1,0)))))</f>
        <v/>
      </c>
      <c r="H1328" s="62">
        <f>IF(H173=0,0,IF(H$15&lt;=1,1,IF(EXACT(H1223,"keine"),IF(H$3=H$12,1,0),IF(EXACT(H1223,"beste"),IF(H$3=H1118,1,0),IF(H$3=H908,1,0)))))</f>
        <v/>
      </c>
      <c r="I1328" s="62">
        <f>IF(I173=0,0,IF(I$15&lt;=1,1,IF(EXACT(I1223,"keine"),IF(I$3=I$12,1,0),IF(EXACT(I1223,"beste"),IF(I$3=I1118,1,0),IF(I$3=I908,1,0)))))</f>
        <v/>
      </c>
      <c r="J1328" s="62">
        <f>IF(J173=0,0,IF(J$15&lt;=1,1,IF(EXACT(J1223,"keine"),IF(J$3=J$12,1,0),IF(EXACT(J1223,"beste"),IF(J$3=J1118,1,0),IF(J$3=J908,1,0)))))</f>
        <v/>
      </c>
      <c r="K1328" s="62">
        <f>IF(K173=0,0,IF(K$15&lt;=1,1,IF(EXACT(K1223,"keine"),IF(K$3=K$12,1,0),IF(EXACT(K1223,"beste"),IF(K$3=K1118,1,0),IF(K$3=K908,1,0)))))</f>
        <v/>
      </c>
      <c r="L1328" s="62">
        <f>IF(L173=0,0,IF(L$15&lt;=1,1,IF(EXACT(L1223,"keine"),IF(L$3=L$12,1,0),IF(EXACT(L1223,"beste"),IF(L$3=L1118,1,0),IF(L$3=L908,1,0)))))</f>
        <v/>
      </c>
      <c r="M1328" s="62">
        <f>IF(M173=0,0,IF(M$15&lt;=1,1,IF(EXACT(M1223,"keine"),IF(M$3=M$12,1,0),IF(EXACT(M1223,"beste"),IF(M$3=M1118,1,0),IF(M$3=M908,1,0)))))</f>
        <v/>
      </c>
      <c r="N1328" s="62">
        <f>IF(N173=0,0,IF(N$15&lt;=1,1,IF(EXACT(N1223,"keine"),IF(N$3=N$12,1,0),IF(EXACT(N1223,"beste"),IF(N$3=N1118,1,0),IF(N$3=N908,1,0)))))</f>
        <v/>
      </c>
      <c r="O1328" s="62">
        <f>IF(O173=0,0,IF(O$15&lt;=1,1,IF(EXACT(O1223,"keine"),IF(O$3=O$12,1,0),IF(EXACT(O1223,"beste"),IF(O$3=O1118,1,0),IF(O$3=O908,1,0)))))</f>
        <v/>
      </c>
      <c r="P1328" s="62">
        <f>IF(P173=0,0,IF(P$15&lt;=1,1,IF(EXACT(P1223,"keine"),IF(P$3=P$12,1,0),IF(EXACT(P1223,"beste"),IF(P$3=P1118,1,0),IF(P$3=P908,1,0)))))</f>
        <v/>
      </c>
      <c r="Q1328" s="62">
        <f>IF(Q173=0,0,IF(Q$15&lt;=1,1,IF(EXACT(Q1223,"keine"),IF(Q$3=Q$12,1,0),IF(EXACT(Q1223,"beste"),IF(Q$3=Q1118,1,0),IF(Q$3=Q908,1,0)))))</f>
        <v/>
      </c>
      <c r="R1328" s="62">
        <f>IF(R173=0,0,IF(R$15&lt;=1,1,IF(EXACT(R1223,"keine"),IF(R$3=R$12,1,0),IF(EXACT(R1223,"beste"),IF(R$3=R1118,1,0),IF(R$3=R908,1,0)))))</f>
        <v/>
      </c>
      <c r="S1328" s="62">
        <f>IF(S173=0,0,IF(S$15&lt;=1,1,IF(EXACT(S1223,"keine"),IF(S$3=S$12,1,0),IF(EXACT(S1223,"beste"),IF(S$3=S1118,1,0),IF(S$3=S908,1,0)))))</f>
        <v/>
      </c>
      <c r="T1328" s="62">
        <f>IF(T173=0,0,IF(T$15&lt;=1,1,IF(EXACT(T1223,"keine"),IF(T$3=T$12,1,0),IF(EXACT(T1223,"beste"),IF(T$3=T1118,1,0),IF(T$3=T908,1,0)))))</f>
        <v/>
      </c>
      <c r="U1328" s="62">
        <f>IF(U173=0,0,IF(U$15&lt;=1,1,IF(EXACT(U1223,"keine"),IF(U$3=U$12,1,0),IF(EXACT(U1223,"beste"),IF(U$3=U1118,1,0),IF(U$3=U908,1,0)))))</f>
        <v/>
      </c>
      <c r="V1328" s="62">
        <f>IF(V173=0,0,IF(V$15&lt;=1,1,IF(EXACT(V1223,"keine"),IF(V$3=V$12,1,0),IF(EXACT(V1223,"beste"),IF(V$3=V1118,1,0),IF(V$3=V908,1,0)))))</f>
        <v/>
      </c>
    </row>
    <row r="1329">
      <c r="C1329" s="62">
        <f>IF(C174=0,0,IF(C$15&lt;=1,1,IF(EXACT(C1224,"keine"),IF(C$3=C$12,1,0),IF(EXACT(C1224,"beste"),IF(C$3=C1119,1,0),IF(C$3=C909,1,0)))))</f>
        <v/>
      </c>
      <c r="D1329" s="62">
        <f>IF(D174=0,0,IF(D$15&lt;=1,1,IF(EXACT(D1224,"keine"),IF(D$3=D$12,1,0),IF(EXACT(D1224,"beste"),IF(D$3=D1119,1,0),IF(D$3=D909,1,0)))))</f>
        <v/>
      </c>
      <c r="E1329" s="62">
        <f>IF(E174=0,0,IF(E$15&lt;=1,1,IF(EXACT(E1224,"keine"),IF(E$3=E$12,1,0),IF(EXACT(E1224,"beste"),IF(E$3=E1119,1,0),IF(E$3=E909,1,0)))))</f>
        <v/>
      </c>
      <c r="F1329" s="62">
        <f>IF(F174=0,0,IF(F$15&lt;=1,1,IF(EXACT(F1224,"keine"),IF(F$3=F$12,1,0),IF(EXACT(F1224,"beste"),IF(F$3=F1119,1,0),IF(F$3=F909,1,0)))))</f>
        <v/>
      </c>
      <c r="G1329" s="62">
        <f>IF(G174=0,0,IF(G$15&lt;=1,1,IF(EXACT(G1224,"keine"),IF(G$3=G$12,1,0),IF(EXACT(G1224,"beste"),IF(G$3=G1119,1,0),IF(G$3=G909,1,0)))))</f>
        <v/>
      </c>
      <c r="H1329" s="62">
        <f>IF(H174=0,0,IF(H$15&lt;=1,1,IF(EXACT(H1224,"keine"),IF(H$3=H$12,1,0),IF(EXACT(H1224,"beste"),IF(H$3=H1119,1,0),IF(H$3=H909,1,0)))))</f>
        <v/>
      </c>
      <c r="I1329" s="62">
        <f>IF(I174=0,0,IF(I$15&lt;=1,1,IF(EXACT(I1224,"keine"),IF(I$3=I$12,1,0),IF(EXACT(I1224,"beste"),IF(I$3=I1119,1,0),IF(I$3=I909,1,0)))))</f>
        <v/>
      </c>
      <c r="J1329" s="62">
        <f>IF(J174=0,0,IF(J$15&lt;=1,1,IF(EXACT(J1224,"keine"),IF(J$3=J$12,1,0),IF(EXACT(J1224,"beste"),IF(J$3=J1119,1,0),IF(J$3=J909,1,0)))))</f>
        <v/>
      </c>
      <c r="K1329" s="62">
        <f>IF(K174=0,0,IF(K$15&lt;=1,1,IF(EXACT(K1224,"keine"),IF(K$3=K$12,1,0),IF(EXACT(K1224,"beste"),IF(K$3=K1119,1,0),IF(K$3=K909,1,0)))))</f>
        <v/>
      </c>
      <c r="L1329" s="62">
        <f>IF(L174=0,0,IF(L$15&lt;=1,1,IF(EXACT(L1224,"keine"),IF(L$3=L$12,1,0),IF(EXACT(L1224,"beste"),IF(L$3=L1119,1,0),IF(L$3=L909,1,0)))))</f>
        <v/>
      </c>
      <c r="M1329" s="62">
        <f>IF(M174=0,0,IF(M$15&lt;=1,1,IF(EXACT(M1224,"keine"),IF(M$3=M$12,1,0),IF(EXACT(M1224,"beste"),IF(M$3=M1119,1,0),IF(M$3=M909,1,0)))))</f>
        <v/>
      </c>
      <c r="N1329" s="62">
        <f>IF(N174=0,0,IF(N$15&lt;=1,1,IF(EXACT(N1224,"keine"),IF(N$3=N$12,1,0),IF(EXACT(N1224,"beste"),IF(N$3=N1119,1,0),IF(N$3=N909,1,0)))))</f>
        <v/>
      </c>
      <c r="O1329" s="62">
        <f>IF(O174=0,0,IF(O$15&lt;=1,1,IF(EXACT(O1224,"keine"),IF(O$3=O$12,1,0),IF(EXACT(O1224,"beste"),IF(O$3=O1119,1,0),IF(O$3=O909,1,0)))))</f>
        <v/>
      </c>
      <c r="P1329" s="62">
        <f>IF(P174=0,0,IF(P$15&lt;=1,1,IF(EXACT(P1224,"keine"),IF(P$3=P$12,1,0),IF(EXACT(P1224,"beste"),IF(P$3=P1119,1,0),IF(P$3=P909,1,0)))))</f>
        <v/>
      </c>
      <c r="Q1329" s="62">
        <f>IF(Q174=0,0,IF(Q$15&lt;=1,1,IF(EXACT(Q1224,"keine"),IF(Q$3=Q$12,1,0),IF(EXACT(Q1224,"beste"),IF(Q$3=Q1119,1,0),IF(Q$3=Q909,1,0)))))</f>
        <v/>
      </c>
      <c r="R1329" s="62">
        <f>IF(R174=0,0,IF(R$15&lt;=1,1,IF(EXACT(R1224,"keine"),IF(R$3=R$12,1,0),IF(EXACT(R1224,"beste"),IF(R$3=R1119,1,0),IF(R$3=R909,1,0)))))</f>
        <v/>
      </c>
      <c r="S1329" s="62">
        <f>IF(S174=0,0,IF(S$15&lt;=1,1,IF(EXACT(S1224,"keine"),IF(S$3=S$12,1,0),IF(EXACT(S1224,"beste"),IF(S$3=S1119,1,0),IF(S$3=S909,1,0)))))</f>
        <v/>
      </c>
      <c r="T1329" s="62">
        <f>IF(T174=0,0,IF(T$15&lt;=1,1,IF(EXACT(T1224,"keine"),IF(T$3=T$12,1,0),IF(EXACT(T1224,"beste"),IF(T$3=T1119,1,0),IF(T$3=T909,1,0)))))</f>
        <v/>
      </c>
      <c r="U1329" s="62">
        <f>IF(U174=0,0,IF(U$15&lt;=1,1,IF(EXACT(U1224,"keine"),IF(U$3=U$12,1,0),IF(EXACT(U1224,"beste"),IF(U$3=U1119,1,0),IF(U$3=U909,1,0)))))</f>
        <v/>
      </c>
      <c r="V1329" s="62">
        <f>IF(V174=0,0,IF(V$15&lt;=1,1,IF(EXACT(V1224,"keine"),IF(V$3=V$12,1,0),IF(EXACT(V1224,"beste"),IF(V$3=V1119,1,0),IF(V$3=V909,1,0)))))</f>
        <v/>
      </c>
    </row>
    <row r="1330">
      <c r="C1330" s="62">
        <f>IF(C175=0,0,IF(C$15&lt;=1,1,IF(EXACT(C1225,"keine"),IF(C$3=C$12,1,0),IF(EXACT(C1225,"beste"),IF(C$3=C1120,1,0),IF(C$3=C910,1,0)))))</f>
        <v/>
      </c>
      <c r="D1330" s="62">
        <f>IF(D175=0,0,IF(D$15&lt;=1,1,IF(EXACT(D1225,"keine"),IF(D$3=D$12,1,0),IF(EXACT(D1225,"beste"),IF(D$3=D1120,1,0),IF(D$3=D910,1,0)))))</f>
        <v/>
      </c>
      <c r="E1330" s="62">
        <f>IF(E175=0,0,IF(E$15&lt;=1,1,IF(EXACT(E1225,"keine"),IF(E$3=E$12,1,0),IF(EXACT(E1225,"beste"),IF(E$3=E1120,1,0),IF(E$3=E910,1,0)))))</f>
        <v/>
      </c>
      <c r="F1330" s="62">
        <f>IF(F175=0,0,IF(F$15&lt;=1,1,IF(EXACT(F1225,"keine"),IF(F$3=F$12,1,0),IF(EXACT(F1225,"beste"),IF(F$3=F1120,1,0),IF(F$3=F910,1,0)))))</f>
        <v/>
      </c>
      <c r="G1330" s="62">
        <f>IF(G175=0,0,IF(G$15&lt;=1,1,IF(EXACT(G1225,"keine"),IF(G$3=G$12,1,0),IF(EXACT(G1225,"beste"),IF(G$3=G1120,1,0),IF(G$3=G910,1,0)))))</f>
        <v/>
      </c>
      <c r="H1330" s="62">
        <f>IF(H175=0,0,IF(H$15&lt;=1,1,IF(EXACT(H1225,"keine"),IF(H$3=H$12,1,0),IF(EXACT(H1225,"beste"),IF(H$3=H1120,1,0),IF(H$3=H910,1,0)))))</f>
        <v/>
      </c>
      <c r="I1330" s="62">
        <f>IF(I175=0,0,IF(I$15&lt;=1,1,IF(EXACT(I1225,"keine"),IF(I$3=I$12,1,0),IF(EXACT(I1225,"beste"),IF(I$3=I1120,1,0),IF(I$3=I910,1,0)))))</f>
        <v/>
      </c>
      <c r="J1330" s="62">
        <f>IF(J175=0,0,IF(J$15&lt;=1,1,IF(EXACT(J1225,"keine"),IF(J$3=J$12,1,0),IF(EXACT(J1225,"beste"),IF(J$3=J1120,1,0),IF(J$3=J910,1,0)))))</f>
        <v/>
      </c>
      <c r="K1330" s="62">
        <f>IF(K175=0,0,IF(K$15&lt;=1,1,IF(EXACT(K1225,"keine"),IF(K$3=K$12,1,0),IF(EXACT(K1225,"beste"),IF(K$3=K1120,1,0),IF(K$3=K910,1,0)))))</f>
        <v/>
      </c>
      <c r="L1330" s="62">
        <f>IF(L175=0,0,IF(L$15&lt;=1,1,IF(EXACT(L1225,"keine"),IF(L$3=L$12,1,0),IF(EXACT(L1225,"beste"),IF(L$3=L1120,1,0),IF(L$3=L910,1,0)))))</f>
        <v/>
      </c>
      <c r="M1330" s="62">
        <f>IF(M175=0,0,IF(M$15&lt;=1,1,IF(EXACT(M1225,"keine"),IF(M$3=M$12,1,0),IF(EXACT(M1225,"beste"),IF(M$3=M1120,1,0),IF(M$3=M910,1,0)))))</f>
        <v/>
      </c>
      <c r="N1330" s="62">
        <f>IF(N175=0,0,IF(N$15&lt;=1,1,IF(EXACT(N1225,"keine"),IF(N$3=N$12,1,0),IF(EXACT(N1225,"beste"),IF(N$3=N1120,1,0),IF(N$3=N910,1,0)))))</f>
        <v/>
      </c>
      <c r="O1330" s="62">
        <f>IF(O175=0,0,IF(O$15&lt;=1,1,IF(EXACT(O1225,"keine"),IF(O$3=O$12,1,0),IF(EXACT(O1225,"beste"),IF(O$3=O1120,1,0),IF(O$3=O910,1,0)))))</f>
        <v/>
      </c>
      <c r="P1330" s="62">
        <f>IF(P175=0,0,IF(P$15&lt;=1,1,IF(EXACT(P1225,"keine"),IF(P$3=P$12,1,0),IF(EXACT(P1225,"beste"),IF(P$3=P1120,1,0),IF(P$3=P910,1,0)))))</f>
        <v/>
      </c>
      <c r="Q1330" s="62">
        <f>IF(Q175=0,0,IF(Q$15&lt;=1,1,IF(EXACT(Q1225,"keine"),IF(Q$3=Q$12,1,0),IF(EXACT(Q1225,"beste"),IF(Q$3=Q1120,1,0),IF(Q$3=Q910,1,0)))))</f>
        <v/>
      </c>
      <c r="R1330" s="62">
        <f>IF(R175=0,0,IF(R$15&lt;=1,1,IF(EXACT(R1225,"keine"),IF(R$3=R$12,1,0),IF(EXACT(R1225,"beste"),IF(R$3=R1120,1,0),IF(R$3=R910,1,0)))))</f>
        <v/>
      </c>
      <c r="S1330" s="62">
        <f>IF(S175=0,0,IF(S$15&lt;=1,1,IF(EXACT(S1225,"keine"),IF(S$3=S$12,1,0),IF(EXACT(S1225,"beste"),IF(S$3=S1120,1,0),IF(S$3=S910,1,0)))))</f>
        <v/>
      </c>
      <c r="T1330" s="62">
        <f>IF(T175=0,0,IF(T$15&lt;=1,1,IF(EXACT(T1225,"keine"),IF(T$3=T$12,1,0),IF(EXACT(T1225,"beste"),IF(T$3=T1120,1,0),IF(T$3=T910,1,0)))))</f>
        <v/>
      </c>
      <c r="U1330" s="62">
        <f>IF(U175=0,0,IF(U$15&lt;=1,1,IF(EXACT(U1225,"keine"),IF(U$3=U$12,1,0),IF(EXACT(U1225,"beste"),IF(U$3=U1120,1,0),IF(U$3=U910,1,0)))))</f>
        <v/>
      </c>
      <c r="V1330" s="62">
        <f>IF(V175=0,0,IF(V$15&lt;=1,1,IF(EXACT(V1225,"keine"),IF(V$3=V$12,1,0),IF(EXACT(V1225,"beste"),IF(V$3=V1120,1,0),IF(V$3=V910,1,0)))))</f>
        <v/>
      </c>
    </row>
    <row r="1331">
      <c r="C1331" s="62">
        <f>IF(C176=0,0,IF(C$15&lt;=1,1,IF(EXACT(C1226,"keine"),IF(C$3=C$12,1,0),IF(EXACT(C1226,"beste"),IF(C$3=C1121,1,0),IF(C$3=C911,1,0)))))</f>
        <v/>
      </c>
      <c r="D1331" s="62">
        <f>IF(D176=0,0,IF(D$15&lt;=1,1,IF(EXACT(D1226,"keine"),IF(D$3=D$12,1,0),IF(EXACT(D1226,"beste"),IF(D$3=D1121,1,0),IF(D$3=D911,1,0)))))</f>
        <v/>
      </c>
      <c r="E1331" s="62">
        <f>IF(E176=0,0,IF(E$15&lt;=1,1,IF(EXACT(E1226,"keine"),IF(E$3=E$12,1,0),IF(EXACT(E1226,"beste"),IF(E$3=E1121,1,0),IF(E$3=E911,1,0)))))</f>
        <v/>
      </c>
      <c r="F1331" s="62">
        <f>IF(F176=0,0,IF(F$15&lt;=1,1,IF(EXACT(F1226,"keine"),IF(F$3=F$12,1,0),IF(EXACT(F1226,"beste"),IF(F$3=F1121,1,0),IF(F$3=F911,1,0)))))</f>
        <v/>
      </c>
      <c r="G1331" s="62">
        <f>IF(G176=0,0,IF(G$15&lt;=1,1,IF(EXACT(G1226,"keine"),IF(G$3=G$12,1,0),IF(EXACT(G1226,"beste"),IF(G$3=G1121,1,0),IF(G$3=G911,1,0)))))</f>
        <v/>
      </c>
      <c r="H1331" s="62">
        <f>IF(H176=0,0,IF(H$15&lt;=1,1,IF(EXACT(H1226,"keine"),IF(H$3=H$12,1,0),IF(EXACT(H1226,"beste"),IF(H$3=H1121,1,0),IF(H$3=H911,1,0)))))</f>
        <v/>
      </c>
      <c r="I1331" s="62">
        <f>IF(I176=0,0,IF(I$15&lt;=1,1,IF(EXACT(I1226,"keine"),IF(I$3=I$12,1,0),IF(EXACT(I1226,"beste"),IF(I$3=I1121,1,0),IF(I$3=I911,1,0)))))</f>
        <v/>
      </c>
      <c r="J1331" s="62">
        <f>IF(J176=0,0,IF(J$15&lt;=1,1,IF(EXACT(J1226,"keine"),IF(J$3=J$12,1,0),IF(EXACT(J1226,"beste"),IF(J$3=J1121,1,0),IF(J$3=J911,1,0)))))</f>
        <v/>
      </c>
      <c r="K1331" s="62">
        <f>IF(K176=0,0,IF(K$15&lt;=1,1,IF(EXACT(K1226,"keine"),IF(K$3=K$12,1,0),IF(EXACT(K1226,"beste"),IF(K$3=K1121,1,0),IF(K$3=K911,1,0)))))</f>
        <v/>
      </c>
      <c r="L1331" s="62">
        <f>IF(L176=0,0,IF(L$15&lt;=1,1,IF(EXACT(L1226,"keine"),IF(L$3=L$12,1,0),IF(EXACT(L1226,"beste"),IF(L$3=L1121,1,0),IF(L$3=L911,1,0)))))</f>
        <v/>
      </c>
      <c r="M1331" s="62">
        <f>IF(M176=0,0,IF(M$15&lt;=1,1,IF(EXACT(M1226,"keine"),IF(M$3=M$12,1,0),IF(EXACT(M1226,"beste"),IF(M$3=M1121,1,0),IF(M$3=M911,1,0)))))</f>
        <v/>
      </c>
      <c r="N1331" s="62">
        <f>IF(N176=0,0,IF(N$15&lt;=1,1,IF(EXACT(N1226,"keine"),IF(N$3=N$12,1,0),IF(EXACT(N1226,"beste"),IF(N$3=N1121,1,0),IF(N$3=N911,1,0)))))</f>
        <v/>
      </c>
      <c r="O1331" s="62">
        <f>IF(O176=0,0,IF(O$15&lt;=1,1,IF(EXACT(O1226,"keine"),IF(O$3=O$12,1,0),IF(EXACT(O1226,"beste"),IF(O$3=O1121,1,0),IF(O$3=O911,1,0)))))</f>
        <v/>
      </c>
      <c r="P1331" s="62">
        <f>IF(P176=0,0,IF(P$15&lt;=1,1,IF(EXACT(P1226,"keine"),IF(P$3=P$12,1,0),IF(EXACT(P1226,"beste"),IF(P$3=P1121,1,0),IF(P$3=P911,1,0)))))</f>
        <v/>
      </c>
      <c r="Q1331" s="62">
        <f>IF(Q176=0,0,IF(Q$15&lt;=1,1,IF(EXACT(Q1226,"keine"),IF(Q$3=Q$12,1,0),IF(EXACT(Q1226,"beste"),IF(Q$3=Q1121,1,0),IF(Q$3=Q911,1,0)))))</f>
        <v/>
      </c>
      <c r="R1331" s="62">
        <f>IF(R176=0,0,IF(R$15&lt;=1,1,IF(EXACT(R1226,"keine"),IF(R$3=R$12,1,0),IF(EXACT(R1226,"beste"),IF(R$3=R1121,1,0),IF(R$3=R911,1,0)))))</f>
        <v/>
      </c>
      <c r="S1331" s="62">
        <f>IF(S176=0,0,IF(S$15&lt;=1,1,IF(EXACT(S1226,"keine"),IF(S$3=S$12,1,0),IF(EXACT(S1226,"beste"),IF(S$3=S1121,1,0),IF(S$3=S911,1,0)))))</f>
        <v/>
      </c>
      <c r="T1331" s="62">
        <f>IF(T176=0,0,IF(T$15&lt;=1,1,IF(EXACT(T1226,"keine"),IF(T$3=T$12,1,0),IF(EXACT(T1226,"beste"),IF(T$3=T1121,1,0),IF(T$3=T911,1,0)))))</f>
        <v/>
      </c>
      <c r="U1331" s="62">
        <f>IF(U176=0,0,IF(U$15&lt;=1,1,IF(EXACT(U1226,"keine"),IF(U$3=U$12,1,0),IF(EXACT(U1226,"beste"),IF(U$3=U1121,1,0),IF(U$3=U911,1,0)))))</f>
        <v/>
      </c>
      <c r="V1331" s="62">
        <f>IF(V176=0,0,IF(V$15&lt;=1,1,IF(EXACT(V1226,"keine"),IF(V$3=V$12,1,0),IF(EXACT(V1226,"beste"),IF(V$3=V1121,1,0),IF(V$3=V911,1,0)))))</f>
        <v/>
      </c>
    </row>
    <row r="1332">
      <c r="C1332" s="62">
        <f>IF(C177=0,0,IF(C$15&lt;=1,1,IF(EXACT(C1227,"keine"),IF(C$3=C$12,1,0),IF(EXACT(C1227,"beste"),IF(C$3=C1122,1,0),IF(C$3=C912,1,0)))))</f>
        <v/>
      </c>
      <c r="D1332" s="62">
        <f>IF(D177=0,0,IF(D$15&lt;=1,1,IF(EXACT(D1227,"keine"),IF(D$3=D$12,1,0),IF(EXACT(D1227,"beste"),IF(D$3=D1122,1,0),IF(D$3=D912,1,0)))))</f>
        <v/>
      </c>
      <c r="E1332" s="62">
        <f>IF(E177=0,0,IF(E$15&lt;=1,1,IF(EXACT(E1227,"keine"),IF(E$3=E$12,1,0),IF(EXACT(E1227,"beste"),IF(E$3=E1122,1,0),IF(E$3=E912,1,0)))))</f>
        <v/>
      </c>
      <c r="F1332" s="62">
        <f>IF(F177=0,0,IF(F$15&lt;=1,1,IF(EXACT(F1227,"keine"),IF(F$3=F$12,1,0),IF(EXACT(F1227,"beste"),IF(F$3=F1122,1,0),IF(F$3=F912,1,0)))))</f>
        <v/>
      </c>
      <c r="G1332" s="62">
        <f>IF(G177=0,0,IF(G$15&lt;=1,1,IF(EXACT(G1227,"keine"),IF(G$3=G$12,1,0),IF(EXACT(G1227,"beste"),IF(G$3=G1122,1,0),IF(G$3=G912,1,0)))))</f>
        <v/>
      </c>
      <c r="H1332" s="62">
        <f>IF(H177=0,0,IF(H$15&lt;=1,1,IF(EXACT(H1227,"keine"),IF(H$3=H$12,1,0),IF(EXACT(H1227,"beste"),IF(H$3=H1122,1,0),IF(H$3=H912,1,0)))))</f>
        <v/>
      </c>
      <c r="I1332" s="62">
        <f>IF(I177=0,0,IF(I$15&lt;=1,1,IF(EXACT(I1227,"keine"),IF(I$3=I$12,1,0),IF(EXACT(I1227,"beste"),IF(I$3=I1122,1,0),IF(I$3=I912,1,0)))))</f>
        <v/>
      </c>
      <c r="J1332" s="62">
        <f>IF(J177=0,0,IF(J$15&lt;=1,1,IF(EXACT(J1227,"keine"),IF(J$3=J$12,1,0),IF(EXACT(J1227,"beste"),IF(J$3=J1122,1,0),IF(J$3=J912,1,0)))))</f>
        <v/>
      </c>
      <c r="K1332" s="62">
        <f>IF(K177=0,0,IF(K$15&lt;=1,1,IF(EXACT(K1227,"keine"),IF(K$3=K$12,1,0),IF(EXACT(K1227,"beste"),IF(K$3=K1122,1,0),IF(K$3=K912,1,0)))))</f>
        <v/>
      </c>
      <c r="L1332" s="62">
        <f>IF(L177=0,0,IF(L$15&lt;=1,1,IF(EXACT(L1227,"keine"),IF(L$3=L$12,1,0),IF(EXACT(L1227,"beste"),IF(L$3=L1122,1,0),IF(L$3=L912,1,0)))))</f>
        <v/>
      </c>
      <c r="M1332" s="62">
        <f>IF(M177=0,0,IF(M$15&lt;=1,1,IF(EXACT(M1227,"keine"),IF(M$3=M$12,1,0),IF(EXACT(M1227,"beste"),IF(M$3=M1122,1,0),IF(M$3=M912,1,0)))))</f>
        <v/>
      </c>
      <c r="N1332" s="62">
        <f>IF(N177=0,0,IF(N$15&lt;=1,1,IF(EXACT(N1227,"keine"),IF(N$3=N$12,1,0),IF(EXACT(N1227,"beste"),IF(N$3=N1122,1,0),IF(N$3=N912,1,0)))))</f>
        <v/>
      </c>
      <c r="O1332" s="62">
        <f>IF(O177=0,0,IF(O$15&lt;=1,1,IF(EXACT(O1227,"keine"),IF(O$3=O$12,1,0),IF(EXACT(O1227,"beste"),IF(O$3=O1122,1,0),IF(O$3=O912,1,0)))))</f>
        <v/>
      </c>
      <c r="P1332" s="62">
        <f>IF(P177=0,0,IF(P$15&lt;=1,1,IF(EXACT(P1227,"keine"),IF(P$3=P$12,1,0),IF(EXACT(P1227,"beste"),IF(P$3=P1122,1,0),IF(P$3=P912,1,0)))))</f>
        <v/>
      </c>
      <c r="Q1332" s="62">
        <f>IF(Q177=0,0,IF(Q$15&lt;=1,1,IF(EXACT(Q1227,"keine"),IF(Q$3=Q$12,1,0),IF(EXACT(Q1227,"beste"),IF(Q$3=Q1122,1,0),IF(Q$3=Q912,1,0)))))</f>
        <v/>
      </c>
      <c r="R1332" s="62">
        <f>IF(R177=0,0,IF(R$15&lt;=1,1,IF(EXACT(R1227,"keine"),IF(R$3=R$12,1,0),IF(EXACT(R1227,"beste"),IF(R$3=R1122,1,0),IF(R$3=R912,1,0)))))</f>
        <v/>
      </c>
      <c r="S1332" s="62">
        <f>IF(S177=0,0,IF(S$15&lt;=1,1,IF(EXACT(S1227,"keine"),IF(S$3=S$12,1,0),IF(EXACT(S1227,"beste"),IF(S$3=S1122,1,0),IF(S$3=S912,1,0)))))</f>
        <v/>
      </c>
      <c r="T1332" s="62">
        <f>IF(T177=0,0,IF(T$15&lt;=1,1,IF(EXACT(T1227,"keine"),IF(T$3=T$12,1,0),IF(EXACT(T1227,"beste"),IF(T$3=T1122,1,0),IF(T$3=T912,1,0)))))</f>
        <v/>
      </c>
      <c r="U1332" s="62">
        <f>IF(U177=0,0,IF(U$15&lt;=1,1,IF(EXACT(U1227,"keine"),IF(U$3=U$12,1,0),IF(EXACT(U1227,"beste"),IF(U$3=U1122,1,0),IF(U$3=U912,1,0)))))</f>
        <v/>
      </c>
      <c r="V1332" s="62">
        <f>IF(V177=0,0,IF(V$15&lt;=1,1,IF(EXACT(V1227,"keine"),IF(V$3=V$12,1,0),IF(EXACT(V1227,"beste"),IF(V$3=V1122,1,0),IF(V$3=V912,1,0)))))</f>
        <v/>
      </c>
    </row>
    <row r="1333">
      <c r="C1333" s="62">
        <f>IF(C178=0,0,IF(C$15&lt;=1,1,IF(EXACT(C1228,"keine"),IF(C$3=C$12,1,0),IF(EXACT(C1228,"beste"),IF(C$3=C1123,1,0),IF(C$3=C913,1,0)))))</f>
        <v/>
      </c>
      <c r="D1333" s="62">
        <f>IF(D178=0,0,IF(D$15&lt;=1,1,IF(EXACT(D1228,"keine"),IF(D$3=D$12,1,0),IF(EXACT(D1228,"beste"),IF(D$3=D1123,1,0),IF(D$3=D913,1,0)))))</f>
        <v/>
      </c>
      <c r="E1333" s="62">
        <f>IF(E178=0,0,IF(E$15&lt;=1,1,IF(EXACT(E1228,"keine"),IF(E$3=E$12,1,0),IF(EXACT(E1228,"beste"),IF(E$3=E1123,1,0),IF(E$3=E913,1,0)))))</f>
        <v/>
      </c>
      <c r="F1333" s="62">
        <f>IF(F178=0,0,IF(F$15&lt;=1,1,IF(EXACT(F1228,"keine"),IF(F$3=F$12,1,0),IF(EXACT(F1228,"beste"),IF(F$3=F1123,1,0),IF(F$3=F913,1,0)))))</f>
        <v/>
      </c>
      <c r="G1333" s="62">
        <f>IF(G178=0,0,IF(G$15&lt;=1,1,IF(EXACT(G1228,"keine"),IF(G$3=G$12,1,0),IF(EXACT(G1228,"beste"),IF(G$3=G1123,1,0),IF(G$3=G913,1,0)))))</f>
        <v/>
      </c>
      <c r="H1333" s="62">
        <f>IF(H178=0,0,IF(H$15&lt;=1,1,IF(EXACT(H1228,"keine"),IF(H$3=H$12,1,0),IF(EXACT(H1228,"beste"),IF(H$3=H1123,1,0),IF(H$3=H913,1,0)))))</f>
        <v/>
      </c>
      <c r="I1333" s="62">
        <f>IF(I178=0,0,IF(I$15&lt;=1,1,IF(EXACT(I1228,"keine"),IF(I$3=I$12,1,0),IF(EXACT(I1228,"beste"),IF(I$3=I1123,1,0),IF(I$3=I913,1,0)))))</f>
        <v/>
      </c>
      <c r="J1333" s="62">
        <f>IF(J178=0,0,IF(J$15&lt;=1,1,IF(EXACT(J1228,"keine"),IF(J$3=J$12,1,0),IF(EXACT(J1228,"beste"),IF(J$3=J1123,1,0),IF(J$3=J913,1,0)))))</f>
        <v/>
      </c>
      <c r="K1333" s="62">
        <f>IF(K178=0,0,IF(K$15&lt;=1,1,IF(EXACT(K1228,"keine"),IF(K$3=K$12,1,0),IF(EXACT(K1228,"beste"),IF(K$3=K1123,1,0),IF(K$3=K913,1,0)))))</f>
        <v/>
      </c>
      <c r="L1333" s="62">
        <f>IF(L178=0,0,IF(L$15&lt;=1,1,IF(EXACT(L1228,"keine"),IF(L$3=L$12,1,0),IF(EXACT(L1228,"beste"),IF(L$3=L1123,1,0),IF(L$3=L913,1,0)))))</f>
        <v/>
      </c>
      <c r="M1333" s="62">
        <f>IF(M178=0,0,IF(M$15&lt;=1,1,IF(EXACT(M1228,"keine"),IF(M$3=M$12,1,0),IF(EXACT(M1228,"beste"),IF(M$3=M1123,1,0),IF(M$3=M913,1,0)))))</f>
        <v/>
      </c>
      <c r="N1333" s="62">
        <f>IF(N178=0,0,IF(N$15&lt;=1,1,IF(EXACT(N1228,"keine"),IF(N$3=N$12,1,0),IF(EXACT(N1228,"beste"),IF(N$3=N1123,1,0),IF(N$3=N913,1,0)))))</f>
        <v/>
      </c>
      <c r="O1333" s="62">
        <f>IF(O178=0,0,IF(O$15&lt;=1,1,IF(EXACT(O1228,"keine"),IF(O$3=O$12,1,0),IF(EXACT(O1228,"beste"),IF(O$3=O1123,1,0),IF(O$3=O913,1,0)))))</f>
        <v/>
      </c>
      <c r="P1333" s="62">
        <f>IF(P178=0,0,IF(P$15&lt;=1,1,IF(EXACT(P1228,"keine"),IF(P$3=P$12,1,0),IF(EXACT(P1228,"beste"),IF(P$3=P1123,1,0),IF(P$3=P913,1,0)))))</f>
        <v/>
      </c>
      <c r="Q1333" s="62">
        <f>IF(Q178=0,0,IF(Q$15&lt;=1,1,IF(EXACT(Q1228,"keine"),IF(Q$3=Q$12,1,0),IF(EXACT(Q1228,"beste"),IF(Q$3=Q1123,1,0),IF(Q$3=Q913,1,0)))))</f>
        <v/>
      </c>
      <c r="R1333" s="62">
        <f>IF(R178=0,0,IF(R$15&lt;=1,1,IF(EXACT(R1228,"keine"),IF(R$3=R$12,1,0),IF(EXACT(R1228,"beste"),IF(R$3=R1123,1,0),IF(R$3=R913,1,0)))))</f>
        <v/>
      </c>
      <c r="S1333" s="62">
        <f>IF(S178=0,0,IF(S$15&lt;=1,1,IF(EXACT(S1228,"keine"),IF(S$3=S$12,1,0),IF(EXACT(S1228,"beste"),IF(S$3=S1123,1,0),IF(S$3=S913,1,0)))))</f>
        <v/>
      </c>
      <c r="T1333" s="62">
        <f>IF(T178=0,0,IF(T$15&lt;=1,1,IF(EXACT(T1228,"keine"),IF(T$3=T$12,1,0),IF(EXACT(T1228,"beste"),IF(T$3=T1123,1,0),IF(T$3=T913,1,0)))))</f>
        <v/>
      </c>
      <c r="U1333" s="62">
        <f>IF(U178=0,0,IF(U$15&lt;=1,1,IF(EXACT(U1228,"keine"),IF(U$3=U$12,1,0),IF(EXACT(U1228,"beste"),IF(U$3=U1123,1,0),IF(U$3=U913,1,0)))))</f>
        <v/>
      </c>
      <c r="V1333" s="62">
        <f>IF(V178=0,0,IF(V$15&lt;=1,1,IF(EXACT(V1228,"keine"),IF(V$3=V$12,1,0),IF(EXACT(V1228,"beste"),IF(V$3=V1123,1,0),IF(V$3=V913,1,0)))))</f>
        <v/>
      </c>
    </row>
    <row r="1334">
      <c r="C1334" s="62">
        <f>IF(C179=0,0,IF(C$15&lt;=1,1,IF(EXACT(C1229,"keine"),IF(C$3=C$12,1,0),IF(EXACT(C1229,"beste"),IF(C$3=C1124,1,0),IF(C$3=C914,1,0)))))</f>
        <v/>
      </c>
      <c r="D1334" s="62">
        <f>IF(D179=0,0,IF(D$15&lt;=1,1,IF(EXACT(D1229,"keine"),IF(D$3=D$12,1,0),IF(EXACT(D1229,"beste"),IF(D$3=D1124,1,0),IF(D$3=D914,1,0)))))</f>
        <v/>
      </c>
      <c r="E1334" s="62">
        <f>IF(E179=0,0,IF(E$15&lt;=1,1,IF(EXACT(E1229,"keine"),IF(E$3=E$12,1,0),IF(EXACT(E1229,"beste"),IF(E$3=E1124,1,0),IF(E$3=E914,1,0)))))</f>
        <v/>
      </c>
      <c r="F1334" s="62">
        <f>IF(F179=0,0,IF(F$15&lt;=1,1,IF(EXACT(F1229,"keine"),IF(F$3=F$12,1,0),IF(EXACT(F1229,"beste"),IF(F$3=F1124,1,0),IF(F$3=F914,1,0)))))</f>
        <v/>
      </c>
      <c r="G1334" s="62">
        <f>IF(G179=0,0,IF(G$15&lt;=1,1,IF(EXACT(G1229,"keine"),IF(G$3=G$12,1,0),IF(EXACT(G1229,"beste"),IF(G$3=G1124,1,0),IF(G$3=G914,1,0)))))</f>
        <v/>
      </c>
      <c r="H1334" s="62">
        <f>IF(H179=0,0,IF(H$15&lt;=1,1,IF(EXACT(H1229,"keine"),IF(H$3=H$12,1,0),IF(EXACT(H1229,"beste"),IF(H$3=H1124,1,0),IF(H$3=H914,1,0)))))</f>
        <v/>
      </c>
      <c r="I1334" s="62">
        <f>IF(I179=0,0,IF(I$15&lt;=1,1,IF(EXACT(I1229,"keine"),IF(I$3=I$12,1,0),IF(EXACT(I1229,"beste"),IF(I$3=I1124,1,0),IF(I$3=I914,1,0)))))</f>
        <v/>
      </c>
      <c r="J1334" s="62">
        <f>IF(J179=0,0,IF(J$15&lt;=1,1,IF(EXACT(J1229,"keine"),IF(J$3=J$12,1,0),IF(EXACT(J1229,"beste"),IF(J$3=J1124,1,0),IF(J$3=J914,1,0)))))</f>
        <v/>
      </c>
      <c r="K1334" s="62">
        <f>IF(K179=0,0,IF(K$15&lt;=1,1,IF(EXACT(K1229,"keine"),IF(K$3=K$12,1,0),IF(EXACT(K1229,"beste"),IF(K$3=K1124,1,0),IF(K$3=K914,1,0)))))</f>
        <v/>
      </c>
      <c r="L1334" s="62">
        <f>IF(L179=0,0,IF(L$15&lt;=1,1,IF(EXACT(L1229,"keine"),IF(L$3=L$12,1,0),IF(EXACT(L1229,"beste"),IF(L$3=L1124,1,0),IF(L$3=L914,1,0)))))</f>
        <v/>
      </c>
      <c r="M1334" s="62">
        <f>IF(M179=0,0,IF(M$15&lt;=1,1,IF(EXACT(M1229,"keine"),IF(M$3=M$12,1,0),IF(EXACT(M1229,"beste"),IF(M$3=M1124,1,0),IF(M$3=M914,1,0)))))</f>
        <v/>
      </c>
      <c r="N1334" s="62">
        <f>IF(N179=0,0,IF(N$15&lt;=1,1,IF(EXACT(N1229,"keine"),IF(N$3=N$12,1,0),IF(EXACT(N1229,"beste"),IF(N$3=N1124,1,0),IF(N$3=N914,1,0)))))</f>
        <v/>
      </c>
      <c r="O1334" s="62">
        <f>IF(O179=0,0,IF(O$15&lt;=1,1,IF(EXACT(O1229,"keine"),IF(O$3=O$12,1,0),IF(EXACT(O1229,"beste"),IF(O$3=O1124,1,0),IF(O$3=O914,1,0)))))</f>
        <v/>
      </c>
      <c r="P1334" s="62">
        <f>IF(P179=0,0,IF(P$15&lt;=1,1,IF(EXACT(P1229,"keine"),IF(P$3=P$12,1,0),IF(EXACT(P1229,"beste"),IF(P$3=P1124,1,0),IF(P$3=P914,1,0)))))</f>
        <v/>
      </c>
      <c r="Q1334" s="62">
        <f>IF(Q179=0,0,IF(Q$15&lt;=1,1,IF(EXACT(Q1229,"keine"),IF(Q$3=Q$12,1,0),IF(EXACT(Q1229,"beste"),IF(Q$3=Q1124,1,0),IF(Q$3=Q914,1,0)))))</f>
        <v/>
      </c>
      <c r="R1334" s="62">
        <f>IF(R179=0,0,IF(R$15&lt;=1,1,IF(EXACT(R1229,"keine"),IF(R$3=R$12,1,0),IF(EXACT(R1229,"beste"),IF(R$3=R1124,1,0),IF(R$3=R914,1,0)))))</f>
        <v/>
      </c>
      <c r="S1334" s="62">
        <f>IF(S179=0,0,IF(S$15&lt;=1,1,IF(EXACT(S1229,"keine"),IF(S$3=S$12,1,0),IF(EXACT(S1229,"beste"),IF(S$3=S1124,1,0),IF(S$3=S914,1,0)))))</f>
        <v/>
      </c>
      <c r="T1334" s="62">
        <f>IF(T179=0,0,IF(T$15&lt;=1,1,IF(EXACT(T1229,"keine"),IF(T$3=T$12,1,0),IF(EXACT(T1229,"beste"),IF(T$3=T1124,1,0),IF(T$3=T914,1,0)))))</f>
        <v/>
      </c>
      <c r="U1334" s="62">
        <f>IF(U179=0,0,IF(U$15&lt;=1,1,IF(EXACT(U1229,"keine"),IF(U$3=U$12,1,0),IF(EXACT(U1229,"beste"),IF(U$3=U1124,1,0),IF(U$3=U914,1,0)))))</f>
        <v/>
      </c>
      <c r="V1334" s="62">
        <f>IF(V179=0,0,IF(V$15&lt;=1,1,IF(EXACT(V1229,"keine"),IF(V$3=V$12,1,0),IF(EXACT(V1229,"beste"),IF(V$3=V1124,1,0),IF(V$3=V914,1,0)))))</f>
        <v/>
      </c>
    </row>
    <row r="1335">
      <c r="C1335" s="62">
        <f>IF(C180=0,0,IF(C$15&lt;=1,1,IF(EXACT(C1230,"keine"),IF(C$3=C$12,1,0),IF(EXACT(C1230,"beste"),IF(C$3=C1125,1,0),IF(C$3=C915,1,0)))))</f>
        <v/>
      </c>
      <c r="D1335" s="62">
        <f>IF(D180=0,0,IF(D$15&lt;=1,1,IF(EXACT(D1230,"keine"),IF(D$3=D$12,1,0),IF(EXACT(D1230,"beste"),IF(D$3=D1125,1,0),IF(D$3=D915,1,0)))))</f>
        <v/>
      </c>
      <c r="E1335" s="62">
        <f>IF(E180=0,0,IF(E$15&lt;=1,1,IF(EXACT(E1230,"keine"),IF(E$3=E$12,1,0),IF(EXACT(E1230,"beste"),IF(E$3=E1125,1,0),IF(E$3=E915,1,0)))))</f>
        <v/>
      </c>
      <c r="F1335" s="62">
        <f>IF(F180=0,0,IF(F$15&lt;=1,1,IF(EXACT(F1230,"keine"),IF(F$3=F$12,1,0),IF(EXACT(F1230,"beste"),IF(F$3=F1125,1,0),IF(F$3=F915,1,0)))))</f>
        <v/>
      </c>
      <c r="G1335" s="62">
        <f>IF(G180=0,0,IF(G$15&lt;=1,1,IF(EXACT(G1230,"keine"),IF(G$3=G$12,1,0),IF(EXACT(G1230,"beste"),IF(G$3=G1125,1,0),IF(G$3=G915,1,0)))))</f>
        <v/>
      </c>
      <c r="H1335" s="62">
        <f>IF(H180=0,0,IF(H$15&lt;=1,1,IF(EXACT(H1230,"keine"),IF(H$3=H$12,1,0),IF(EXACT(H1230,"beste"),IF(H$3=H1125,1,0),IF(H$3=H915,1,0)))))</f>
        <v/>
      </c>
      <c r="I1335" s="62">
        <f>IF(I180=0,0,IF(I$15&lt;=1,1,IF(EXACT(I1230,"keine"),IF(I$3=I$12,1,0),IF(EXACT(I1230,"beste"),IF(I$3=I1125,1,0),IF(I$3=I915,1,0)))))</f>
        <v/>
      </c>
      <c r="J1335" s="62">
        <f>IF(J180=0,0,IF(J$15&lt;=1,1,IF(EXACT(J1230,"keine"),IF(J$3=J$12,1,0),IF(EXACT(J1230,"beste"),IF(J$3=J1125,1,0),IF(J$3=J915,1,0)))))</f>
        <v/>
      </c>
      <c r="K1335" s="62">
        <f>IF(K180=0,0,IF(K$15&lt;=1,1,IF(EXACT(K1230,"keine"),IF(K$3=K$12,1,0),IF(EXACT(K1230,"beste"),IF(K$3=K1125,1,0),IF(K$3=K915,1,0)))))</f>
        <v/>
      </c>
      <c r="L1335" s="62">
        <f>IF(L180=0,0,IF(L$15&lt;=1,1,IF(EXACT(L1230,"keine"),IF(L$3=L$12,1,0),IF(EXACT(L1230,"beste"),IF(L$3=L1125,1,0),IF(L$3=L915,1,0)))))</f>
        <v/>
      </c>
      <c r="M1335" s="62">
        <f>IF(M180=0,0,IF(M$15&lt;=1,1,IF(EXACT(M1230,"keine"),IF(M$3=M$12,1,0),IF(EXACT(M1230,"beste"),IF(M$3=M1125,1,0),IF(M$3=M915,1,0)))))</f>
        <v/>
      </c>
      <c r="N1335" s="62">
        <f>IF(N180=0,0,IF(N$15&lt;=1,1,IF(EXACT(N1230,"keine"),IF(N$3=N$12,1,0),IF(EXACT(N1230,"beste"),IF(N$3=N1125,1,0),IF(N$3=N915,1,0)))))</f>
        <v/>
      </c>
      <c r="O1335" s="62">
        <f>IF(O180=0,0,IF(O$15&lt;=1,1,IF(EXACT(O1230,"keine"),IF(O$3=O$12,1,0),IF(EXACT(O1230,"beste"),IF(O$3=O1125,1,0),IF(O$3=O915,1,0)))))</f>
        <v/>
      </c>
      <c r="P1335" s="62">
        <f>IF(P180=0,0,IF(P$15&lt;=1,1,IF(EXACT(P1230,"keine"),IF(P$3=P$12,1,0),IF(EXACT(P1230,"beste"),IF(P$3=P1125,1,0),IF(P$3=P915,1,0)))))</f>
        <v/>
      </c>
      <c r="Q1335" s="62">
        <f>IF(Q180=0,0,IF(Q$15&lt;=1,1,IF(EXACT(Q1230,"keine"),IF(Q$3=Q$12,1,0),IF(EXACT(Q1230,"beste"),IF(Q$3=Q1125,1,0),IF(Q$3=Q915,1,0)))))</f>
        <v/>
      </c>
      <c r="R1335" s="62">
        <f>IF(R180=0,0,IF(R$15&lt;=1,1,IF(EXACT(R1230,"keine"),IF(R$3=R$12,1,0),IF(EXACT(R1230,"beste"),IF(R$3=R1125,1,0),IF(R$3=R915,1,0)))))</f>
        <v/>
      </c>
      <c r="S1335" s="62">
        <f>IF(S180=0,0,IF(S$15&lt;=1,1,IF(EXACT(S1230,"keine"),IF(S$3=S$12,1,0),IF(EXACT(S1230,"beste"),IF(S$3=S1125,1,0),IF(S$3=S915,1,0)))))</f>
        <v/>
      </c>
      <c r="T1335" s="62">
        <f>IF(T180=0,0,IF(T$15&lt;=1,1,IF(EXACT(T1230,"keine"),IF(T$3=T$12,1,0),IF(EXACT(T1230,"beste"),IF(T$3=T1125,1,0),IF(T$3=T915,1,0)))))</f>
        <v/>
      </c>
      <c r="U1335" s="62">
        <f>IF(U180=0,0,IF(U$15&lt;=1,1,IF(EXACT(U1230,"keine"),IF(U$3=U$12,1,0),IF(EXACT(U1230,"beste"),IF(U$3=U1125,1,0),IF(U$3=U915,1,0)))))</f>
        <v/>
      </c>
      <c r="V1335" s="62">
        <f>IF(V180=0,0,IF(V$15&lt;=1,1,IF(EXACT(V1230,"keine"),IF(V$3=V$12,1,0),IF(EXACT(V1230,"beste"),IF(V$3=V1125,1,0),IF(V$3=V915,1,0)))))</f>
        <v/>
      </c>
    </row>
    <row r="1336">
      <c r="C1336" s="62">
        <f>IF(C181=0,0,IF(C$15&lt;=1,1,IF(EXACT(C1231,"keine"),IF(C$3=C$12,1,0),IF(EXACT(C1231,"beste"),IF(C$3=C1126,1,0),IF(C$3=C916,1,0)))))</f>
        <v/>
      </c>
      <c r="D1336" s="62">
        <f>IF(D181=0,0,IF(D$15&lt;=1,1,IF(EXACT(D1231,"keine"),IF(D$3=D$12,1,0),IF(EXACT(D1231,"beste"),IF(D$3=D1126,1,0),IF(D$3=D916,1,0)))))</f>
        <v/>
      </c>
      <c r="E1336" s="62">
        <f>IF(E181=0,0,IF(E$15&lt;=1,1,IF(EXACT(E1231,"keine"),IF(E$3=E$12,1,0),IF(EXACT(E1231,"beste"),IF(E$3=E1126,1,0),IF(E$3=E916,1,0)))))</f>
        <v/>
      </c>
      <c r="F1336" s="62">
        <f>IF(F181=0,0,IF(F$15&lt;=1,1,IF(EXACT(F1231,"keine"),IF(F$3=F$12,1,0),IF(EXACT(F1231,"beste"),IF(F$3=F1126,1,0),IF(F$3=F916,1,0)))))</f>
        <v/>
      </c>
      <c r="G1336" s="62">
        <f>IF(G181=0,0,IF(G$15&lt;=1,1,IF(EXACT(G1231,"keine"),IF(G$3=G$12,1,0),IF(EXACT(G1231,"beste"),IF(G$3=G1126,1,0),IF(G$3=G916,1,0)))))</f>
        <v/>
      </c>
      <c r="H1336" s="62">
        <f>IF(H181=0,0,IF(H$15&lt;=1,1,IF(EXACT(H1231,"keine"),IF(H$3=H$12,1,0),IF(EXACT(H1231,"beste"),IF(H$3=H1126,1,0),IF(H$3=H916,1,0)))))</f>
        <v/>
      </c>
      <c r="I1336" s="62">
        <f>IF(I181=0,0,IF(I$15&lt;=1,1,IF(EXACT(I1231,"keine"),IF(I$3=I$12,1,0),IF(EXACT(I1231,"beste"),IF(I$3=I1126,1,0),IF(I$3=I916,1,0)))))</f>
        <v/>
      </c>
      <c r="J1336" s="62">
        <f>IF(J181=0,0,IF(J$15&lt;=1,1,IF(EXACT(J1231,"keine"),IF(J$3=J$12,1,0),IF(EXACT(J1231,"beste"),IF(J$3=J1126,1,0),IF(J$3=J916,1,0)))))</f>
        <v/>
      </c>
      <c r="K1336" s="62">
        <f>IF(K181=0,0,IF(K$15&lt;=1,1,IF(EXACT(K1231,"keine"),IF(K$3=K$12,1,0),IF(EXACT(K1231,"beste"),IF(K$3=K1126,1,0),IF(K$3=K916,1,0)))))</f>
        <v/>
      </c>
      <c r="L1336" s="62">
        <f>IF(L181=0,0,IF(L$15&lt;=1,1,IF(EXACT(L1231,"keine"),IF(L$3=L$12,1,0),IF(EXACT(L1231,"beste"),IF(L$3=L1126,1,0),IF(L$3=L916,1,0)))))</f>
        <v/>
      </c>
      <c r="M1336" s="62">
        <f>IF(M181=0,0,IF(M$15&lt;=1,1,IF(EXACT(M1231,"keine"),IF(M$3=M$12,1,0),IF(EXACT(M1231,"beste"),IF(M$3=M1126,1,0),IF(M$3=M916,1,0)))))</f>
        <v/>
      </c>
      <c r="N1336" s="62">
        <f>IF(N181=0,0,IF(N$15&lt;=1,1,IF(EXACT(N1231,"keine"),IF(N$3=N$12,1,0),IF(EXACT(N1231,"beste"),IF(N$3=N1126,1,0),IF(N$3=N916,1,0)))))</f>
        <v/>
      </c>
      <c r="O1336" s="62">
        <f>IF(O181=0,0,IF(O$15&lt;=1,1,IF(EXACT(O1231,"keine"),IF(O$3=O$12,1,0),IF(EXACT(O1231,"beste"),IF(O$3=O1126,1,0),IF(O$3=O916,1,0)))))</f>
        <v/>
      </c>
      <c r="P1336" s="62">
        <f>IF(P181=0,0,IF(P$15&lt;=1,1,IF(EXACT(P1231,"keine"),IF(P$3=P$12,1,0),IF(EXACT(P1231,"beste"),IF(P$3=P1126,1,0),IF(P$3=P916,1,0)))))</f>
        <v/>
      </c>
      <c r="Q1336" s="62">
        <f>IF(Q181=0,0,IF(Q$15&lt;=1,1,IF(EXACT(Q1231,"keine"),IF(Q$3=Q$12,1,0),IF(EXACT(Q1231,"beste"),IF(Q$3=Q1126,1,0),IF(Q$3=Q916,1,0)))))</f>
        <v/>
      </c>
      <c r="R1336" s="62">
        <f>IF(R181=0,0,IF(R$15&lt;=1,1,IF(EXACT(R1231,"keine"),IF(R$3=R$12,1,0),IF(EXACT(R1231,"beste"),IF(R$3=R1126,1,0),IF(R$3=R916,1,0)))))</f>
        <v/>
      </c>
      <c r="S1336" s="62">
        <f>IF(S181=0,0,IF(S$15&lt;=1,1,IF(EXACT(S1231,"keine"),IF(S$3=S$12,1,0),IF(EXACT(S1231,"beste"),IF(S$3=S1126,1,0),IF(S$3=S916,1,0)))))</f>
        <v/>
      </c>
      <c r="T1336" s="62">
        <f>IF(T181=0,0,IF(T$15&lt;=1,1,IF(EXACT(T1231,"keine"),IF(T$3=T$12,1,0),IF(EXACT(T1231,"beste"),IF(T$3=T1126,1,0),IF(T$3=T916,1,0)))))</f>
        <v/>
      </c>
      <c r="U1336" s="62">
        <f>IF(U181=0,0,IF(U$15&lt;=1,1,IF(EXACT(U1231,"keine"),IF(U$3=U$12,1,0),IF(EXACT(U1231,"beste"),IF(U$3=U1126,1,0),IF(U$3=U916,1,0)))))</f>
        <v/>
      </c>
      <c r="V1336" s="62">
        <f>IF(V181=0,0,IF(V$15&lt;=1,1,IF(EXACT(V1231,"keine"),IF(V$3=V$12,1,0),IF(EXACT(V1231,"beste"),IF(V$3=V1126,1,0),IF(V$3=V916,1,0)))))</f>
        <v/>
      </c>
    </row>
    <row r="1337">
      <c r="C1337" s="62">
        <f>IF(C182=0,0,IF(C$15&lt;=1,1,IF(EXACT(C1232,"keine"),IF(C$3=C$12,1,0),IF(EXACT(C1232,"beste"),IF(C$3=C1127,1,0),IF(C$3=C917,1,0)))))</f>
        <v/>
      </c>
      <c r="D1337" s="62">
        <f>IF(D182=0,0,IF(D$15&lt;=1,1,IF(EXACT(D1232,"keine"),IF(D$3=D$12,1,0),IF(EXACT(D1232,"beste"),IF(D$3=D1127,1,0),IF(D$3=D917,1,0)))))</f>
        <v/>
      </c>
      <c r="E1337" s="62">
        <f>IF(E182=0,0,IF(E$15&lt;=1,1,IF(EXACT(E1232,"keine"),IF(E$3=E$12,1,0),IF(EXACT(E1232,"beste"),IF(E$3=E1127,1,0),IF(E$3=E917,1,0)))))</f>
        <v/>
      </c>
      <c r="F1337" s="62">
        <f>IF(F182=0,0,IF(F$15&lt;=1,1,IF(EXACT(F1232,"keine"),IF(F$3=F$12,1,0),IF(EXACT(F1232,"beste"),IF(F$3=F1127,1,0),IF(F$3=F917,1,0)))))</f>
        <v/>
      </c>
      <c r="G1337" s="62">
        <f>IF(G182=0,0,IF(G$15&lt;=1,1,IF(EXACT(G1232,"keine"),IF(G$3=G$12,1,0),IF(EXACT(G1232,"beste"),IF(G$3=G1127,1,0),IF(G$3=G917,1,0)))))</f>
        <v/>
      </c>
      <c r="H1337" s="62">
        <f>IF(H182=0,0,IF(H$15&lt;=1,1,IF(EXACT(H1232,"keine"),IF(H$3=H$12,1,0),IF(EXACT(H1232,"beste"),IF(H$3=H1127,1,0),IF(H$3=H917,1,0)))))</f>
        <v/>
      </c>
      <c r="I1337" s="62">
        <f>IF(I182=0,0,IF(I$15&lt;=1,1,IF(EXACT(I1232,"keine"),IF(I$3=I$12,1,0),IF(EXACT(I1232,"beste"),IF(I$3=I1127,1,0),IF(I$3=I917,1,0)))))</f>
        <v/>
      </c>
      <c r="J1337" s="62">
        <f>IF(J182=0,0,IF(J$15&lt;=1,1,IF(EXACT(J1232,"keine"),IF(J$3=J$12,1,0),IF(EXACT(J1232,"beste"),IF(J$3=J1127,1,0),IF(J$3=J917,1,0)))))</f>
        <v/>
      </c>
      <c r="K1337" s="62">
        <f>IF(K182=0,0,IF(K$15&lt;=1,1,IF(EXACT(K1232,"keine"),IF(K$3=K$12,1,0),IF(EXACT(K1232,"beste"),IF(K$3=K1127,1,0),IF(K$3=K917,1,0)))))</f>
        <v/>
      </c>
      <c r="L1337" s="62">
        <f>IF(L182=0,0,IF(L$15&lt;=1,1,IF(EXACT(L1232,"keine"),IF(L$3=L$12,1,0),IF(EXACT(L1232,"beste"),IF(L$3=L1127,1,0),IF(L$3=L917,1,0)))))</f>
        <v/>
      </c>
      <c r="M1337" s="62">
        <f>IF(M182=0,0,IF(M$15&lt;=1,1,IF(EXACT(M1232,"keine"),IF(M$3=M$12,1,0),IF(EXACT(M1232,"beste"),IF(M$3=M1127,1,0),IF(M$3=M917,1,0)))))</f>
        <v/>
      </c>
      <c r="N1337" s="62">
        <f>IF(N182=0,0,IF(N$15&lt;=1,1,IF(EXACT(N1232,"keine"),IF(N$3=N$12,1,0),IF(EXACT(N1232,"beste"),IF(N$3=N1127,1,0),IF(N$3=N917,1,0)))))</f>
        <v/>
      </c>
      <c r="O1337" s="62">
        <f>IF(O182=0,0,IF(O$15&lt;=1,1,IF(EXACT(O1232,"keine"),IF(O$3=O$12,1,0),IF(EXACT(O1232,"beste"),IF(O$3=O1127,1,0),IF(O$3=O917,1,0)))))</f>
        <v/>
      </c>
      <c r="P1337" s="62">
        <f>IF(P182=0,0,IF(P$15&lt;=1,1,IF(EXACT(P1232,"keine"),IF(P$3=P$12,1,0),IF(EXACT(P1232,"beste"),IF(P$3=P1127,1,0),IF(P$3=P917,1,0)))))</f>
        <v/>
      </c>
      <c r="Q1337" s="62">
        <f>IF(Q182=0,0,IF(Q$15&lt;=1,1,IF(EXACT(Q1232,"keine"),IF(Q$3=Q$12,1,0),IF(EXACT(Q1232,"beste"),IF(Q$3=Q1127,1,0),IF(Q$3=Q917,1,0)))))</f>
        <v/>
      </c>
      <c r="R1337" s="62">
        <f>IF(R182=0,0,IF(R$15&lt;=1,1,IF(EXACT(R1232,"keine"),IF(R$3=R$12,1,0),IF(EXACT(R1232,"beste"),IF(R$3=R1127,1,0),IF(R$3=R917,1,0)))))</f>
        <v/>
      </c>
      <c r="S1337" s="62">
        <f>IF(S182=0,0,IF(S$15&lt;=1,1,IF(EXACT(S1232,"keine"),IF(S$3=S$12,1,0),IF(EXACT(S1232,"beste"),IF(S$3=S1127,1,0),IF(S$3=S917,1,0)))))</f>
        <v/>
      </c>
      <c r="T1337" s="62">
        <f>IF(T182=0,0,IF(T$15&lt;=1,1,IF(EXACT(T1232,"keine"),IF(T$3=T$12,1,0),IF(EXACT(T1232,"beste"),IF(T$3=T1127,1,0),IF(T$3=T917,1,0)))))</f>
        <v/>
      </c>
      <c r="U1337" s="62">
        <f>IF(U182=0,0,IF(U$15&lt;=1,1,IF(EXACT(U1232,"keine"),IF(U$3=U$12,1,0),IF(EXACT(U1232,"beste"),IF(U$3=U1127,1,0),IF(U$3=U917,1,0)))))</f>
        <v/>
      </c>
      <c r="V1337" s="62">
        <f>IF(V182=0,0,IF(V$15&lt;=1,1,IF(EXACT(V1232,"keine"),IF(V$3=V$12,1,0),IF(EXACT(V1232,"beste"),IF(V$3=V1127,1,0),IF(V$3=V917,1,0)))))</f>
        <v/>
      </c>
    </row>
    <row r="1338">
      <c r="C1338" s="62">
        <f>IF(C183=0,0,IF(C$15&lt;=1,1,IF(EXACT(C1233,"keine"),IF(C$3=C$12,1,0),IF(EXACT(C1233,"beste"),IF(C$3=C1128,1,0),IF(C$3=C918,1,0)))))</f>
        <v/>
      </c>
      <c r="D1338" s="62">
        <f>IF(D183=0,0,IF(D$15&lt;=1,1,IF(EXACT(D1233,"keine"),IF(D$3=D$12,1,0),IF(EXACT(D1233,"beste"),IF(D$3=D1128,1,0),IF(D$3=D918,1,0)))))</f>
        <v/>
      </c>
      <c r="E1338" s="62">
        <f>IF(E183=0,0,IF(E$15&lt;=1,1,IF(EXACT(E1233,"keine"),IF(E$3=E$12,1,0),IF(EXACT(E1233,"beste"),IF(E$3=E1128,1,0),IF(E$3=E918,1,0)))))</f>
        <v/>
      </c>
      <c r="F1338" s="62">
        <f>IF(F183=0,0,IF(F$15&lt;=1,1,IF(EXACT(F1233,"keine"),IF(F$3=F$12,1,0),IF(EXACT(F1233,"beste"),IF(F$3=F1128,1,0),IF(F$3=F918,1,0)))))</f>
        <v/>
      </c>
      <c r="G1338" s="62">
        <f>IF(G183=0,0,IF(G$15&lt;=1,1,IF(EXACT(G1233,"keine"),IF(G$3=G$12,1,0),IF(EXACT(G1233,"beste"),IF(G$3=G1128,1,0),IF(G$3=G918,1,0)))))</f>
        <v/>
      </c>
      <c r="H1338" s="62">
        <f>IF(H183=0,0,IF(H$15&lt;=1,1,IF(EXACT(H1233,"keine"),IF(H$3=H$12,1,0),IF(EXACT(H1233,"beste"),IF(H$3=H1128,1,0),IF(H$3=H918,1,0)))))</f>
        <v/>
      </c>
      <c r="I1338" s="62">
        <f>IF(I183=0,0,IF(I$15&lt;=1,1,IF(EXACT(I1233,"keine"),IF(I$3=I$12,1,0),IF(EXACT(I1233,"beste"),IF(I$3=I1128,1,0),IF(I$3=I918,1,0)))))</f>
        <v/>
      </c>
      <c r="J1338" s="62">
        <f>IF(J183=0,0,IF(J$15&lt;=1,1,IF(EXACT(J1233,"keine"),IF(J$3=J$12,1,0),IF(EXACT(J1233,"beste"),IF(J$3=J1128,1,0),IF(J$3=J918,1,0)))))</f>
        <v/>
      </c>
      <c r="K1338" s="62">
        <f>IF(K183=0,0,IF(K$15&lt;=1,1,IF(EXACT(K1233,"keine"),IF(K$3=K$12,1,0),IF(EXACT(K1233,"beste"),IF(K$3=K1128,1,0),IF(K$3=K918,1,0)))))</f>
        <v/>
      </c>
      <c r="L1338" s="62">
        <f>IF(L183=0,0,IF(L$15&lt;=1,1,IF(EXACT(L1233,"keine"),IF(L$3=L$12,1,0),IF(EXACT(L1233,"beste"),IF(L$3=L1128,1,0),IF(L$3=L918,1,0)))))</f>
        <v/>
      </c>
      <c r="M1338" s="62">
        <f>IF(M183=0,0,IF(M$15&lt;=1,1,IF(EXACT(M1233,"keine"),IF(M$3=M$12,1,0),IF(EXACT(M1233,"beste"),IF(M$3=M1128,1,0),IF(M$3=M918,1,0)))))</f>
        <v/>
      </c>
      <c r="N1338" s="62">
        <f>IF(N183=0,0,IF(N$15&lt;=1,1,IF(EXACT(N1233,"keine"),IF(N$3=N$12,1,0),IF(EXACT(N1233,"beste"),IF(N$3=N1128,1,0),IF(N$3=N918,1,0)))))</f>
        <v/>
      </c>
      <c r="O1338" s="62">
        <f>IF(O183=0,0,IF(O$15&lt;=1,1,IF(EXACT(O1233,"keine"),IF(O$3=O$12,1,0),IF(EXACT(O1233,"beste"),IF(O$3=O1128,1,0),IF(O$3=O918,1,0)))))</f>
        <v/>
      </c>
      <c r="P1338" s="62">
        <f>IF(P183=0,0,IF(P$15&lt;=1,1,IF(EXACT(P1233,"keine"),IF(P$3=P$12,1,0),IF(EXACT(P1233,"beste"),IF(P$3=P1128,1,0),IF(P$3=P918,1,0)))))</f>
        <v/>
      </c>
      <c r="Q1338" s="62">
        <f>IF(Q183=0,0,IF(Q$15&lt;=1,1,IF(EXACT(Q1233,"keine"),IF(Q$3=Q$12,1,0),IF(EXACT(Q1233,"beste"),IF(Q$3=Q1128,1,0),IF(Q$3=Q918,1,0)))))</f>
        <v/>
      </c>
      <c r="R1338" s="62">
        <f>IF(R183=0,0,IF(R$15&lt;=1,1,IF(EXACT(R1233,"keine"),IF(R$3=R$12,1,0),IF(EXACT(R1233,"beste"),IF(R$3=R1128,1,0),IF(R$3=R918,1,0)))))</f>
        <v/>
      </c>
      <c r="S1338" s="62">
        <f>IF(S183=0,0,IF(S$15&lt;=1,1,IF(EXACT(S1233,"keine"),IF(S$3=S$12,1,0),IF(EXACT(S1233,"beste"),IF(S$3=S1128,1,0),IF(S$3=S918,1,0)))))</f>
        <v/>
      </c>
      <c r="T1338" s="62">
        <f>IF(T183=0,0,IF(T$15&lt;=1,1,IF(EXACT(T1233,"keine"),IF(T$3=T$12,1,0),IF(EXACT(T1233,"beste"),IF(T$3=T1128,1,0),IF(T$3=T918,1,0)))))</f>
        <v/>
      </c>
      <c r="U1338" s="62">
        <f>IF(U183=0,0,IF(U$15&lt;=1,1,IF(EXACT(U1233,"keine"),IF(U$3=U$12,1,0),IF(EXACT(U1233,"beste"),IF(U$3=U1128,1,0),IF(U$3=U918,1,0)))))</f>
        <v/>
      </c>
      <c r="V1338" s="62">
        <f>IF(V183=0,0,IF(V$15&lt;=1,1,IF(EXACT(V1233,"keine"),IF(V$3=V$12,1,0),IF(EXACT(V1233,"beste"),IF(V$3=V1128,1,0),IF(V$3=V918,1,0)))))</f>
        <v/>
      </c>
    </row>
    <row r="1339">
      <c r="C1339" s="62">
        <f>IF(C184=0,0,IF(C$15&lt;=1,1,IF(EXACT(C1234,"keine"),IF(C$3=C$12,1,0),IF(EXACT(C1234,"beste"),IF(C$3=C1129,1,0),IF(C$3=C919,1,0)))))</f>
        <v/>
      </c>
      <c r="D1339" s="62">
        <f>IF(D184=0,0,IF(D$15&lt;=1,1,IF(EXACT(D1234,"keine"),IF(D$3=D$12,1,0),IF(EXACT(D1234,"beste"),IF(D$3=D1129,1,0),IF(D$3=D919,1,0)))))</f>
        <v/>
      </c>
      <c r="E1339" s="62">
        <f>IF(E184=0,0,IF(E$15&lt;=1,1,IF(EXACT(E1234,"keine"),IF(E$3=E$12,1,0),IF(EXACT(E1234,"beste"),IF(E$3=E1129,1,0),IF(E$3=E919,1,0)))))</f>
        <v/>
      </c>
      <c r="F1339" s="62">
        <f>IF(F184=0,0,IF(F$15&lt;=1,1,IF(EXACT(F1234,"keine"),IF(F$3=F$12,1,0),IF(EXACT(F1234,"beste"),IF(F$3=F1129,1,0),IF(F$3=F919,1,0)))))</f>
        <v/>
      </c>
      <c r="G1339" s="62">
        <f>IF(G184=0,0,IF(G$15&lt;=1,1,IF(EXACT(G1234,"keine"),IF(G$3=G$12,1,0),IF(EXACT(G1234,"beste"),IF(G$3=G1129,1,0),IF(G$3=G919,1,0)))))</f>
        <v/>
      </c>
      <c r="H1339" s="62">
        <f>IF(H184=0,0,IF(H$15&lt;=1,1,IF(EXACT(H1234,"keine"),IF(H$3=H$12,1,0),IF(EXACT(H1234,"beste"),IF(H$3=H1129,1,0),IF(H$3=H919,1,0)))))</f>
        <v/>
      </c>
      <c r="I1339" s="62">
        <f>IF(I184=0,0,IF(I$15&lt;=1,1,IF(EXACT(I1234,"keine"),IF(I$3=I$12,1,0),IF(EXACT(I1234,"beste"),IF(I$3=I1129,1,0),IF(I$3=I919,1,0)))))</f>
        <v/>
      </c>
      <c r="J1339" s="62">
        <f>IF(J184=0,0,IF(J$15&lt;=1,1,IF(EXACT(J1234,"keine"),IF(J$3=J$12,1,0),IF(EXACT(J1234,"beste"),IF(J$3=J1129,1,0),IF(J$3=J919,1,0)))))</f>
        <v/>
      </c>
      <c r="K1339" s="62">
        <f>IF(K184=0,0,IF(K$15&lt;=1,1,IF(EXACT(K1234,"keine"),IF(K$3=K$12,1,0),IF(EXACT(K1234,"beste"),IF(K$3=K1129,1,0),IF(K$3=K919,1,0)))))</f>
        <v/>
      </c>
      <c r="L1339" s="62">
        <f>IF(L184=0,0,IF(L$15&lt;=1,1,IF(EXACT(L1234,"keine"),IF(L$3=L$12,1,0),IF(EXACT(L1234,"beste"),IF(L$3=L1129,1,0),IF(L$3=L919,1,0)))))</f>
        <v/>
      </c>
      <c r="M1339" s="62">
        <f>IF(M184=0,0,IF(M$15&lt;=1,1,IF(EXACT(M1234,"keine"),IF(M$3=M$12,1,0),IF(EXACT(M1234,"beste"),IF(M$3=M1129,1,0),IF(M$3=M919,1,0)))))</f>
        <v/>
      </c>
      <c r="N1339" s="62">
        <f>IF(N184=0,0,IF(N$15&lt;=1,1,IF(EXACT(N1234,"keine"),IF(N$3=N$12,1,0),IF(EXACT(N1234,"beste"),IF(N$3=N1129,1,0),IF(N$3=N919,1,0)))))</f>
        <v/>
      </c>
      <c r="O1339" s="62">
        <f>IF(O184=0,0,IF(O$15&lt;=1,1,IF(EXACT(O1234,"keine"),IF(O$3=O$12,1,0),IF(EXACT(O1234,"beste"),IF(O$3=O1129,1,0),IF(O$3=O919,1,0)))))</f>
        <v/>
      </c>
      <c r="P1339" s="62">
        <f>IF(P184=0,0,IF(P$15&lt;=1,1,IF(EXACT(P1234,"keine"),IF(P$3=P$12,1,0),IF(EXACT(P1234,"beste"),IF(P$3=P1129,1,0),IF(P$3=P919,1,0)))))</f>
        <v/>
      </c>
      <c r="Q1339" s="62">
        <f>IF(Q184=0,0,IF(Q$15&lt;=1,1,IF(EXACT(Q1234,"keine"),IF(Q$3=Q$12,1,0),IF(EXACT(Q1234,"beste"),IF(Q$3=Q1129,1,0),IF(Q$3=Q919,1,0)))))</f>
        <v/>
      </c>
      <c r="R1339" s="62">
        <f>IF(R184=0,0,IF(R$15&lt;=1,1,IF(EXACT(R1234,"keine"),IF(R$3=R$12,1,0),IF(EXACT(R1234,"beste"),IF(R$3=R1129,1,0),IF(R$3=R919,1,0)))))</f>
        <v/>
      </c>
      <c r="S1339" s="62">
        <f>IF(S184=0,0,IF(S$15&lt;=1,1,IF(EXACT(S1234,"keine"),IF(S$3=S$12,1,0),IF(EXACT(S1234,"beste"),IF(S$3=S1129,1,0),IF(S$3=S919,1,0)))))</f>
        <v/>
      </c>
      <c r="T1339" s="62">
        <f>IF(T184=0,0,IF(T$15&lt;=1,1,IF(EXACT(T1234,"keine"),IF(T$3=T$12,1,0),IF(EXACT(T1234,"beste"),IF(T$3=T1129,1,0),IF(T$3=T919,1,0)))))</f>
        <v/>
      </c>
      <c r="U1339" s="62">
        <f>IF(U184=0,0,IF(U$15&lt;=1,1,IF(EXACT(U1234,"keine"),IF(U$3=U$12,1,0),IF(EXACT(U1234,"beste"),IF(U$3=U1129,1,0),IF(U$3=U919,1,0)))))</f>
        <v/>
      </c>
      <c r="V1339" s="62">
        <f>IF(V184=0,0,IF(V$15&lt;=1,1,IF(EXACT(V1234,"keine"),IF(V$3=V$12,1,0),IF(EXACT(V1234,"beste"),IF(V$3=V1129,1,0),IF(V$3=V919,1,0)))))</f>
        <v/>
      </c>
    </row>
    <row r="1340">
      <c r="C1340" s="62">
        <f>IF(C185=0,0,IF(C$15&lt;=1,1,IF(EXACT(C1235,"keine"),IF(C$3=C$12,1,0),IF(EXACT(C1235,"beste"),IF(C$3=C1130,1,0),IF(C$3=C920,1,0)))))</f>
        <v/>
      </c>
      <c r="D1340" s="62">
        <f>IF(D185=0,0,IF(D$15&lt;=1,1,IF(EXACT(D1235,"keine"),IF(D$3=D$12,1,0),IF(EXACT(D1235,"beste"),IF(D$3=D1130,1,0),IF(D$3=D920,1,0)))))</f>
        <v/>
      </c>
      <c r="E1340" s="62">
        <f>IF(E185=0,0,IF(E$15&lt;=1,1,IF(EXACT(E1235,"keine"),IF(E$3=E$12,1,0),IF(EXACT(E1235,"beste"),IF(E$3=E1130,1,0),IF(E$3=E920,1,0)))))</f>
        <v/>
      </c>
      <c r="F1340" s="62">
        <f>IF(F185=0,0,IF(F$15&lt;=1,1,IF(EXACT(F1235,"keine"),IF(F$3=F$12,1,0),IF(EXACT(F1235,"beste"),IF(F$3=F1130,1,0),IF(F$3=F920,1,0)))))</f>
        <v/>
      </c>
      <c r="G1340" s="62">
        <f>IF(G185=0,0,IF(G$15&lt;=1,1,IF(EXACT(G1235,"keine"),IF(G$3=G$12,1,0),IF(EXACT(G1235,"beste"),IF(G$3=G1130,1,0),IF(G$3=G920,1,0)))))</f>
        <v/>
      </c>
      <c r="H1340" s="62">
        <f>IF(H185=0,0,IF(H$15&lt;=1,1,IF(EXACT(H1235,"keine"),IF(H$3=H$12,1,0),IF(EXACT(H1235,"beste"),IF(H$3=H1130,1,0),IF(H$3=H920,1,0)))))</f>
        <v/>
      </c>
      <c r="I1340" s="62">
        <f>IF(I185=0,0,IF(I$15&lt;=1,1,IF(EXACT(I1235,"keine"),IF(I$3=I$12,1,0),IF(EXACT(I1235,"beste"),IF(I$3=I1130,1,0),IF(I$3=I920,1,0)))))</f>
        <v/>
      </c>
      <c r="J1340" s="62">
        <f>IF(J185=0,0,IF(J$15&lt;=1,1,IF(EXACT(J1235,"keine"),IF(J$3=J$12,1,0),IF(EXACT(J1235,"beste"),IF(J$3=J1130,1,0),IF(J$3=J920,1,0)))))</f>
        <v/>
      </c>
      <c r="K1340" s="62">
        <f>IF(K185=0,0,IF(K$15&lt;=1,1,IF(EXACT(K1235,"keine"),IF(K$3=K$12,1,0),IF(EXACT(K1235,"beste"),IF(K$3=K1130,1,0),IF(K$3=K920,1,0)))))</f>
        <v/>
      </c>
      <c r="L1340" s="62">
        <f>IF(L185=0,0,IF(L$15&lt;=1,1,IF(EXACT(L1235,"keine"),IF(L$3=L$12,1,0),IF(EXACT(L1235,"beste"),IF(L$3=L1130,1,0),IF(L$3=L920,1,0)))))</f>
        <v/>
      </c>
      <c r="M1340" s="62">
        <f>IF(M185=0,0,IF(M$15&lt;=1,1,IF(EXACT(M1235,"keine"),IF(M$3=M$12,1,0),IF(EXACT(M1235,"beste"),IF(M$3=M1130,1,0),IF(M$3=M920,1,0)))))</f>
        <v/>
      </c>
      <c r="N1340" s="62">
        <f>IF(N185=0,0,IF(N$15&lt;=1,1,IF(EXACT(N1235,"keine"),IF(N$3=N$12,1,0),IF(EXACT(N1235,"beste"),IF(N$3=N1130,1,0),IF(N$3=N920,1,0)))))</f>
        <v/>
      </c>
      <c r="O1340" s="62">
        <f>IF(O185=0,0,IF(O$15&lt;=1,1,IF(EXACT(O1235,"keine"),IF(O$3=O$12,1,0),IF(EXACT(O1235,"beste"),IF(O$3=O1130,1,0),IF(O$3=O920,1,0)))))</f>
        <v/>
      </c>
      <c r="P1340" s="62">
        <f>IF(P185=0,0,IF(P$15&lt;=1,1,IF(EXACT(P1235,"keine"),IF(P$3=P$12,1,0),IF(EXACT(P1235,"beste"),IF(P$3=P1130,1,0),IF(P$3=P920,1,0)))))</f>
        <v/>
      </c>
      <c r="Q1340" s="62">
        <f>IF(Q185=0,0,IF(Q$15&lt;=1,1,IF(EXACT(Q1235,"keine"),IF(Q$3=Q$12,1,0),IF(EXACT(Q1235,"beste"),IF(Q$3=Q1130,1,0),IF(Q$3=Q920,1,0)))))</f>
        <v/>
      </c>
      <c r="R1340" s="62">
        <f>IF(R185=0,0,IF(R$15&lt;=1,1,IF(EXACT(R1235,"keine"),IF(R$3=R$12,1,0),IF(EXACT(R1235,"beste"),IF(R$3=R1130,1,0),IF(R$3=R920,1,0)))))</f>
        <v/>
      </c>
      <c r="S1340" s="62">
        <f>IF(S185=0,0,IF(S$15&lt;=1,1,IF(EXACT(S1235,"keine"),IF(S$3=S$12,1,0),IF(EXACT(S1235,"beste"),IF(S$3=S1130,1,0),IF(S$3=S920,1,0)))))</f>
        <v/>
      </c>
      <c r="T1340" s="62">
        <f>IF(T185=0,0,IF(T$15&lt;=1,1,IF(EXACT(T1235,"keine"),IF(T$3=T$12,1,0),IF(EXACT(T1235,"beste"),IF(T$3=T1130,1,0),IF(T$3=T920,1,0)))))</f>
        <v/>
      </c>
      <c r="U1340" s="62">
        <f>IF(U185=0,0,IF(U$15&lt;=1,1,IF(EXACT(U1235,"keine"),IF(U$3=U$12,1,0),IF(EXACT(U1235,"beste"),IF(U$3=U1130,1,0),IF(U$3=U920,1,0)))))</f>
        <v/>
      </c>
      <c r="V1340" s="62">
        <f>IF(V185=0,0,IF(V$15&lt;=1,1,IF(EXACT(V1235,"keine"),IF(V$3=V$12,1,0),IF(EXACT(V1235,"beste"),IF(V$3=V1130,1,0),IF(V$3=V920,1,0)))))</f>
        <v/>
      </c>
    </row>
    <row r="1341">
      <c r="C1341" s="62">
        <f>IF(C186=0,0,IF(C$15&lt;=1,1,IF(EXACT(C1236,"keine"),IF(C$3=C$12,1,0),IF(EXACT(C1236,"beste"),IF(C$3=C1131,1,0),IF(C$3=C921,1,0)))))</f>
        <v/>
      </c>
      <c r="D1341" s="62">
        <f>IF(D186=0,0,IF(D$15&lt;=1,1,IF(EXACT(D1236,"keine"),IF(D$3=D$12,1,0),IF(EXACT(D1236,"beste"),IF(D$3=D1131,1,0),IF(D$3=D921,1,0)))))</f>
        <v/>
      </c>
      <c r="E1341" s="62">
        <f>IF(E186=0,0,IF(E$15&lt;=1,1,IF(EXACT(E1236,"keine"),IF(E$3=E$12,1,0),IF(EXACT(E1236,"beste"),IF(E$3=E1131,1,0),IF(E$3=E921,1,0)))))</f>
        <v/>
      </c>
      <c r="F1341" s="62">
        <f>IF(F186=0,0,IF(F$15&lt;=1,1,IF(EXACT(F1236,"keine"),IF(F$3=F$12,1,0),IF(EXACT(F1236,"beste"),IF(F$3=F1131,1,0),IF(F$3=F921,1,0)))))</f>
        <v/>
      </c>
      <c r="G1341" s="62">
        <f>IF(G186=0,0,IF(G$15&lt;=1,1,IF(EXACT(G1236,"keine"),IF(G$3=G$12,1,0),IF(EXACT(G1236,"beste"),IF(G$3=G1131,1,0),IF(G$3=G921,1,0)))))</f>
        <v/>
      </c>
      <c r="H1341" s="62">
        <f>IF(H186=0,0,IF(H$15&lt;=1,1,IF(EXACT(H1236,"keine"),IF(H$3=H$12,1,0),IF(EXACT(H1236,"beste"),IF(H$3=H1131,1,0),IF(H$3=H921,1,0)))))</f>
        <v/>
      </c>
      <c r="I1341" s="62">
        <f>IF(I186=0,0,IF(I$15&lt;=1,1,IF(EXACT(I1236,"keine"),IF(I$3=I$12,1,0),IF(EXACT(I1236,"beste"),IF(I$3=I1131,1,0),IF(I$3=I921,1,0)))))</f>
        <v/>
      </c>
      <c r="J1341" s="62">
        <f>IF(J186=0,0,IF(J$15&lt;=1,1,IF(EXACT(J1236,"keine"),IF(J$3=J$12,1,0),IF(EXACT(J1236,"beste"),IF(J$3=J1131,1,0),IF(J$3=J921,1,0)))))</f>
        <v/>
      </c>
      <c r="K1341" s="62">
        <f>IF(K186=0,0,IF(K$15&lt;=1,1,IF(EXACT(K1236,"keine"),IF(K$3=K$12,1,0),IF(EXACT(K1236,"beste"),IF(K$3=K1131,1,0),IF(K$3=K921,1,0)))))</f>
        <v/>
      </c>
      <c r="L1341" s="62">
        <f>IF(L186=0,0,IF(L$15&lt;=1,1,IF(EXACT(L1236,"keine"),IF(L$3=L$12,1,0),IF(EXACT(L1236,"beste"),IF(L$3=L1131,1,0),IF(L$3=L921,1,0)))))</f>
        <v/>
      </c>
      <c r="M1341" s="62">
        <f>IF(M186=0,0,IF(M$15&lt;=1,1,IF(EXACT(M1236,"keine"),IF(M$3=M$12,1,0),IF(EXACT(M1236,"beste"),IF(M$3=M1131,1,0),IF(M$3=M921,1,0)))))</f>
        <v/>
      </c>
      <c r="N1341" s="62">
        <f>IF(N186=0,0,IF(N$15&lt;=1,1,IF(EXACT(N1236,"keine"),IF(N$3=N$12,1,0),IF(EXACT(N1236,"beste"),IF(N$3=N1131,1,0),IF(N$3=N921,1,0)))))</f>
        <v/>
      </c>
      <c r="O1341" s="62">
        <f>IF(O186=0,0,IF(O$15&lt;=1,1,IF(EXACT(O1236,"keine"),IF(O$3=O$12,1,0),IF(EXACT(O1236,"beste"),IF(O$3=O1131,1,0),IF(O$3=O921,1,0)))))</f>
        <v/>
      </c>
      <c r="P1341" s="62">
        <f>IF(P186=0,0,IF(P$15&lt;=1,1,IF(EXACT(P1236,"keine"),IF(P$3=P$12,1,0),IF(EXACT(P1236,"beste"),IF(P$3=P1131,1,0),IF(P$3=P921,1,0)))))</f>
        <v/>
      </c>
      <c r="Q1341" s="62">
        <f>IF(Q186=0,0,IF(Q$15&lt;=1,1,IF(EXACT(Q1236,"keine"),IF(Q$3=Q$12,1,0),IF(EXACT(Q1236,"beste"),IF(Q$3=Q1131,1,0),IF(Q$3=Q921,1,0)))))</f>
        <v/>
      </c>
      <c r="R1341" s="62">
        <f>IF(R186=0,0,IF(R$15&lt;=1,1,IF(EXACT(R1236,"keine"),IF(R$3=R$12,1,0),IF(EXACT(R1236,"beste"),IF(R$3=R1131,1,0),IF(R$3=R921,1,0)))))</f>
        <v/>
      </c>
      <c r="S1341" s="62">
        <f>IF(S186=0,0,IF(S$15&lt;=1,1,IF(EXACT(S1236,"keine"),IF(S$3=S$12,1,0),IF(EXACT(S1236,"beste"),IF(S$3=S1131,1,0),IF(S$3=S921,1,0)))))</f>
        <v/>
      </c>
      <c r="T1341" s="62">
        <f>IF(T186=0,0,IF(T$15&lt;=1,1,IF(EXACT(T1236,"keine"),IF(T$3=T$12,1,0),IF(EXACT(T1236,"beste"),IF(T$3=T1131,1,0),IF(T$3=T921,1,0)))))</f>
        <v/>
      </c>
      <c r="U1341" s="62">
        <f>IF(U186=0,0,IF(U$15&lt;=1,1,IF(EXACT(U1236,"keine"),IF(U$3=U$12,1,0),IF(EXACT(U1236,"beste"),IF(U$3=U1131,1,0),IF(U$3=U921,1,0)))))</f>
        <v/>
      </c>
      <c r="V1341" s="62">
        <f>IF(V186=0,0,IF(V$15&lt;=1,1,IF(EXACT(V1236,"keine"),IF(V$3=V$12,1,0),IF(EXACT(V1236,"beste"),IF(V$3=V1131,1,0),IF(V$3=V921,1,0)))))</f>
        <v/>
      </c>
    </row>
    <row r="1342">
      <c r="C1342" s="62">
        <f>IF(C187=0,0,IF(C$15&lt;=1,1,IF(EXACT(C1237,"keine"),IF(C$3=C$12,1,0),IF(EXACT(C1237,"beste"),IF(C$3=C1132,1,0),IF(C$3=C922,1,0)))))</f>
        <v/>
      </c>
      <c r="D1342" s="62">
        <f>IF(D187=0,0,IF(D$15&lt;=1,1,IF(EXACT(D1237,"keine"),IF(D$3=D$12,1,0),IF(EXACT(D1237,"beste"),IF(D$3=D1132,1,0),IF(D$3=D922,1,0)))))</f>
        <v/>
      </c>
      <c r="E1342" s="62">
        <f>IF(E187=0,0,IF(E$15&lt;=1,1,IF(EXACT(E1237,"keine"),IF(E$3=E$12,1,0),IF(EXACT(E1237,"beste"),IF(E$3=E1132,1,0),IF(E$3=E922,1,0)))))</f>
        <v/>
      </c>
      <c r="F1342" s="62">
        <f>IF(F187=0,0,IF(F$15&lt;=1,1,IF(EXACT(F1237,"keine"),IF(F$3=F$12,1,0),IF(EXACT(F1237,"beste"),IF(F$3=F1132,1,0),IF(F$3=F922,1,0)))))</f>
        <v/>
      </c>
      <c r="G1342" s="62">
        <f>IF(G187=0,0,IF(G$15&lt;=1,1,IF(EXACT(G1237,"keine"),IF(G$3=G$12,1,0),IF(EXACT(G1237,"beste"),IF(G$3=G1132,1,0),IF(G$3=G922,1,0)))))</f>
        <v/>
      </c>
      <c r="H1342" s="62">
        <f>IF(H187=0,0,IF(H$15&lt;=1,1,IF(EXACT(H1237,"keine"),IF(H$3=H$12,1,0),IF(EXACT(H1237,"beste"),IF(H$3=H1132,1,0),IF(H$3=H922,1,0)))))</f>
        <v/>
      </c>
      <c r="I1342" s="62">
        <f>IF(I187=0,0,IF(I$15&lt;=1,1,IF(EXACT(I1237,"keine"),IF(I$3=I$12,1,0),IF(EXACT(I1237,"beste"),IF(I$3=I1132,1,0),IF(I$3=I922,1,0)))))</f>
        <v/>
      </c>
      <c r="J1342" s="62">
        <f>IF(J187=0,0,IF(J$15&lt;=1,1,IF(EXACT(J1237,"keine"),IF(J$3=J$12,1,0),IF(EXACT(J1237,"beste"),IF(J$3=J1132,1,0),IF(J$3=J922,1,0)))))</f>
        <v/>
      </c>
      <c r="K1342" s="62">
        <f>IF(K187=0,0,IF(K$15&lt;=1,1,IF(EXACT(K1237,"keine"),IF(K$3=K$12,1,0),IF(EXACT(K1237,"beste"),IF(K$3=K1132,1,0),IF(K$3=K922,1,0)))))</f>
        <v/>
      </c>
      <c r="L1342" s="62">
        <f>IF(L187=0,0,IF(L$15&lt;=1,1,IF(EXACT(L1237,"keine"),IF(L$3=L$12,1,0),IF(EXACT(L1237,"beste"),IF(L$3=L1132,1,0),IF(L$3=L922,1,0)))))</f>
        <v/>
      </c>
      <c r="M1342" s="62">
        <f>IF(M187=0,0,IF(M$15&lt;=1,1,IF(EXACT(M1237,"keine"),IF(M$3=M$12,1,0),IF(EXACT(M1237,"beste"),IF(M$3=M1132,1,0),IF(M$3=M922,1,0)))))</f>
        <v/>
      </c>
      <c r="N1342" s="62">
        <f>IF(N187=0,0,IF(N$15&lt;=1,1,IF(EXACT(N1237,"keine"),IF(N$3=N$12,1,0),IF(EXACT(N1237,"beste"),IF(N$3=N1132,1,0),IF(N$3=N922,1,0)))))</f>
        <v/>
      </c>
      <c r="O1342" s="62">
        <f>IF(O187=0,0,IF(O$15&lt;=1,1,IF(EXACT(O1237,"keine"),IF(O$3=O$12,1,0),IF(EXACT(O1237,"beste"),IF(O$3=O1132,1,0),IF(O$3=O922,1,0)))))</f>
        <v/>
      </c>
      <c r="P1342" s="62">
        <f>IF(P187=0,0,IF(P$15&lt;=1,1,IF(EXACT(P1237,"keine"),IF(P$3=P$12,1,0),IF(EXACT(P1237,"beste"),IF(P$3=P1132,1,0),IF(P$3=P922,1,0)))))</f>
        <v/>
      </c>
      <c r="Q1342" s="62">
        <f>IF(Q187=0,0,IF(Q$15&lt;=1,1,IF(EXACT(Q1237,"keine"),IF(Q$3=Q$12,1,0),IF(EXACT(Q1237,"beste"),IF(Q$3=Q1132,1,0),IF(Q$3=Q922,1,0)))))</f>
        <v/>
      </c>
      <c r="R1342" s="62">
        <f>IF(R187=0,0,IF(R$15&lt;=1,1,IF(EXACT(R1237,"keine"),IF(R$3=R$12,1,0),IF(EXACT(R1237,"beste"),IF(R$3=R1132,1,0),IF(R$3=R922,1,0)))))</f>
        <v/>
      </c>
      <c r="S1342" s="62">
        <f>IF(S187=0,0,IF(S$15&lt;=1,1,IF(EXACT(S1237,"keine"),IF(S$3=S$12,1,0),IF(EXACT(S1237,"beste"),IF(S$3=S1132,1,0),IF(S$3=S922,1,0)))))</f>
        <v/>
      </c>
      <c r="T1342" s="62">
        <f>IF(T187=0,0,IF(T$15&lt;=1,1,IF(EXACT(T1237,"keine"),IF(T$3=T$12,1,0),IF(EXACT(T1237,"beste"),IF(T$3=T1132,1,0),IF(T$3=T922,1,0)))))</f>
        <v/>
      </c>
      <c r="U1342" s="62">
        <f>IF(U187=0,0,IF(U$15&lt;=1,1,IF(EXACT(U1237,"keine"),IF(U$3=U$12,1,0),IF(EXACT(U1237,"beste"),IF(U$3=U1132,1,0),IF(U$3=U922,1,0)))))</f>
        <v/>
      </c>
      <c r="V1342" s="62">
        <f>IF(V187=0,0,IF(V$15&lt;=1,1,IF(EXACT(V1237,"keine"),IF(V$3=V$12,1,0),IF(EXACT(V1237,"beste"),IF(V$3=V1132,1,0),IF(V$3=V922,1,0)))))</f>
        <v/>
      </c>
    </row>
    <row r="1343">
      <c r="C1343" s="62">
        <f>IF(C188=0,0,IF(C$15&lt;=1,1,IF(EXACT(C1238,"keine"),IF(C$3=C$12,1,0),IF(EXACT(C1238,"beste"),IF(C$3=C1133,1,0),IF(C$3=C923,1,0)))))</f>
        <v/>
      </c>
      <c r="D1343" s="62">
        <f>IF(D188=0,0,IF(D$15&lt;=1,1,IF(EXACT(D1238,"keine"),IF(D$3=D$12,1,0),IF(EXACT(D1238,"beste"),IF(D$3=D1133,1,0),IF(D$3=D923,1,0)))))</f>
        <v/>
      </c>
      <c r="E1343" s="62">
        <f>IF(E188=0,0,IF(E$15&lt;=1,1,IF(EXACT(E1238,"keine"),IF(E$3=E$12,1,0),IF(EXACT(E1238,"beste"),IF(E$3=E1133,1,0),IF(E$3=E923,1,0)))))</f>
        <v/>
      </c>
      <c r="F1343" s="62">
        <f>IF(F188=0,0,IF(F$15&lt;=1,1,IF(EXACT(F1238,"keine"),IF(F$3=F$12,1,0),IF(EXACT(F1238,"beste"),IF(F$3=F1133,1,0),IF(F$3=F923,1,0)))))</f>
        <v/>
      </c>
      <c r="G1343" s="62">
        <f>IF(G188=0,0,IF(G$15&lt;=1,1,IF(EXACT(G1238,"keine"),IF(G$3=G$12,1,0),IF(EXACT(G1238,"beste"),IF(G$3=G1133,1,0),IF(G$3=G923,1,0)))))</f>
        <v/>
      </c>
      <c r="H1343" s="62">
        <f>IF(H188=0,0,IF(H$15&lt;=1,1,IF(EXACT(H1238,"keine"),IF(H$3=H$12,1,0),IF(EXACT(H1238,"beste"),IF(H$3=H1133,1,0),IF(H$3=H923,1,0)))))</f>
        <v/>
      </c>
      <c r="I1343" s="62">
        <f>IF(I188=0,0,IF(I$15&lt;=1,1,IF(EXACT(I1238,"keine"),IF(I$3=I$12,1,0),IF(EXACT(I1238,"beste"),IF(I$3=I1133,1,0),IF(I$3=I923,1,0)))))</f>
        <v/>
      </c>
      <c r="J1343" s="62">
        <f>IF(J188=0,0,IF(J$15&lt;=1,1,IF(EXACT(J1238,"keine"),IF(J$3=J$12,1,0),IF(EXACT(J1238,"beste"),IF(J$3=J1133,1,0),IF(J$3=J923,1,0)))))</f>
        <v/>
      </c>
      <c r="K1343" s="62">
        <f>IF(K188=0,0,IF(K$15&lt;=1,1,IF(EXACT(K1238,"keine"),IF(K$3=K$12,1,0),IF(EXACT(K1238,"beste"),IF(K$3=K1133,1,0),IF(K$3=K923,1,0)))))</f>
        <v/>
      </c>
      <c r="L1343" s="62">
        <f>IF(L188=0,0,IF(L$15&lt;=1,1,IF(EXACT(L1238,"keine"),IF(L$3=L$12,1,0),IF(EXACT(L1238,"beste"),IF(L$3=L1133,1,0),IF(L$3=L923,1,0)))))</f>
        <v/>
      </c>
      <c r="M1343" s="62">
        <f>IF(M188=0,0,IF(M$15&lt;=1,1,IF(EXACT(M1238,"keine"),IF(M$3=M$12,1,0),IF(EXACT(M1238,"beste"),IF(M$3=M1133,1,0),IF(M$3=M923,1,0)))))</f>
        <v/>
      </c>
      <c r="N1343" s="62">
        <f>IF(N188=0,0,IF(N$15&lt;=1,1,IF(EXACT(N1238,"keine"),IF(N$3=N$12,1,0),IF(EXACT(N1238,"beste"),IF(N$3=N1133,1,0),IF(N$3=N923,1,0)))))</f>
        <v/>
      </c>
      <c r="O1343" s="62">
        <f>IF(O188=0,0,IF(O$15&lt;=1,1,IF(EXACT(O1238,"keine"),IF(O$3=O$12,1,0),IF(EXACT(O1238,"beste"),IF(O$3=O1133,1,0),IF(O$3=O923,1,0)))))</f>
        <v/>
      </c>
      <c r="P1343" s="62">
        <f>IF(P188=0,0,IF(P$15&lt;=1,1,IF(EXACT(P1238,"keine"),IF(P$3=P$12,1,0),IF(EXACT(P1238,"beste"),IF(P$3=P1133,1,0),IF(P$3=P923,1,0)))))</f>
        <v/>
      </c>
      <c r="Q1343" s="62">
        <f>IF(Q188=0,0,IF(Q$15&lt;=1,1,IF(EXACT(Q1238,"keine"),IF(Q$3=Q$12,1,0),IF(EXACT(Q1238,"beste"),IF(Q$3=Q1133,1,0),IF(Q$3=Q923,1,0)))))</f>
        <v/>
      </c>
      <c r="R1343" s="62">
        <f>IF(R188=0,0,IF(R$15&lt;=1,1,IF(EXACT(R1238,"keine"),IF(R$3=R$12,1,0),IF(EXACT(R1238,"beste"),IF(R$3=R1133,1,0),IF(R$3=R923,1,0)))))</f>
        <v/>
      </c>
      <c r="S1343" s="62">
        <f>IF(S188=0,0,IF(S$15&lt;=1,1,IF(EXACT(S1238,"keine"),IF(S$3=S$12,1,0),IF(EXACT(S1238,"beste"),IF(S$3=S1133,1,0),IF(S$3=S923,1,0)))))</f>
        <v/>
      </c>
      <c r="T1343" s="62">
        <f>IF(T188=0,0,IF(T$15&lt;=1,1,IF(EXACT(T1238,"keine"),IF(T$3=T$12,1,0),IF(EXACT(T1238,"beste"),IF(T$3=T1133,1,0),IF(T$3=T923,1,0)))))</f>
        <v/>
      </c>
      <c r="U1343" s="62">
        <f>IF(U188=0,0,IF(U$15&lt;=1,1,IF(EXACT(U1238,"keine"),IF(U$3=U$12,1,0),IF(EXACT(U1238,"beste"),IF(U$3=U1133,1,0),IF(U$3=U923,1,0)))))</f>
        <v/>
      </c>
      <c r="V1343" s="62">
        <f>IF(V188=0,0,IF(V$15&lt;=1,1,IF(EXACT(V1238,"keine"),IF(V$3=V$12,1,0),IF(EXACT(V1238,"beste"),IF(V$3=V1133,1,0),IF(V$3=V923,1,0)))))</f>
        <v/>
      </c>
    </row>
    <row r="1344">
      <c r="C1344" s="62">
        <f>IF(C189=0,0,IF(C$15&lt;=1,1,IF(EXACT(C1239,"keine"),IF(C$3=C$12,1,0),IF(EXACT(C1239,"beste"),IF(C$3=C1134,1,0),IF(C$3=C924,1,0)))))</f>
        <v/>
      </c>
      <c r="D1344" s="62">
        <f>IF(D189=0,0,IF(D$15&lt;=1,1,IF(EXACT(D1239,"keine"),IF(D$3=D$12,1,0),IF(EXACT(D1239,"beste"),IF(D$3=D1134,1,0),IF(D$3=D924,1,0)))))</f>
        <v/>
      </c>
      <c r="E1344" s="62">
        <f>IF(E189=0,0,IF(E$15&lt;=1,1,IF(EXACT(E1239,"keine"),IF(E$3=E$12,1,0),IF(EXACT(E1239,"beste"),IF(E$3=E1134,1,0),IF(E$3=E924,1,0)))))</f>
        <v/>
      </c>
      <c r="F1344" s="62">
        <f>IF(F189=0,0,IF(F$15&lt;=1,1,IF(EXACT(F1239,"keine"),IF(F$3=F$12,1,0),IF(EXACT(F1239,"beste"),IF(F$3=F1134,1,0),IF(F$3=F924,1,0)))))</f>
        <v/>
      </c>
      <c r="G1344" s="62">
        <f>IF(G189=0,0,IF(G$15&lt;=1,1,IF(EXACT(G1239,"keine"),IF(G$3=G$12,1,0),IF(EXACT(G1239,"beste"),IF(G$3=G1134,1,0),IF(G$3=G924,1,0)))))</f>
        <v/>
      </c>
      <c r="H1344" s="62">
        <f>IF(H189=0,0,IF(H$15&lt;=1,1,IF(EXACT(H1239,"keine"),IF(H$3=H$12,1,0),IF(EXACT(H1239,"beste"),IF(H$3=H1134,1,0),IF(H$3=H924,1,0)))))</f>
        <v/>
      </c>
      <c r="I1344" s="62">
        <f>IF(I189=0,0,IF(I$15&lt;=1,1,IF(EXACT(I1239,"keine"),IF(I$3=I$12,1,0),IF(EXACT(I1239,"beste"),IF(I$3=I1134,1,0),IF(I$3=I924,1,0)))))</f>
        <v/>
      </c>
      <c r="J1344" s="62">
        <f>IF(J189=0,0,IF(J$15&lt;=1,1,IF(EXACT(J1239,"keine"),IF(J$3=J$12,1,0),IF(EXACT(J1239,"beste"),IF(J$3=J1134,1,0),IF(J$3=J924,1,0)))))</f>
        <v/>
      </c>
      <c r="K1344" s="62">
        <f>IF(K189=0,0,IF(K$15&lt;=1,1,IF(EXACT(K1239,"keine"),IF(K$3=K$12,1,0),IF(EXACT(K1239,"beste"),IF(K$3=K1134,1,0),IF(K$3=K924,1,0)))))</f>
        <v/>
      </c>
      <c r="L1344" s="62">
        <f>IF(L189=0,0,IF(L$15&lt;=1,1,IF(EXACT(L1239,"keine"),IF(L$3=L$12,1,0),IF(EXACT(L1239,"beste"),IF(L$3=L1134,1,0),IF(L$3=L924,1,0)))))</f>
        <v/>
      </c>
      <c r="M1344" s="62">
        <f>IF(M189=0,0,IF(M$15&lt;=1,1,IF(EXACT(M1239,"keine"),IF(M$3=M$12,1,0),IF(EXACT(M1239,"beste"),IF(M$3=M1134,1,0),IF(M$3=M924,1,0)))))</f>
        <v/>
      </c>
      <c r="N1344" s="62">
        <f>IF(N189=0,0,IF(N$15&lt;=1,1,IF(EXACT(N1239,"keine"),IF(N$3=N$12,1,0),IF(EXACT(N1239,"beste"),IF(N$3=N1134,1,0),IF(N$3=N924,1,0)))))</f>
        <v/>
      </c>
      <c r="O1344" s="62">
        <f>IF(O189=0,0,IF(O$15&lt;=1,1,IF(EXACT(O1239,"keine"),IF(O$3=O$12,1,0),IF(EXACT(O1239,"beste"),IF(O$3=O1134,1,0),IF(O$3=O924,1,0)))))</f>
        <v/>
      </c>
      <c r="P1344" s="62">
        <f>IF(P189=0,0,IF(P$15&lt;=1,1,IF(EXACT(P1239,"keine"),IF(P$3=P$12,1,0),IF(EXACT(P1239,"beste"),IF(P$3=P1134,1,0),IF(P$3=P924,1,0)))))</f>
        <v/>
      </c>
      <c r="Q1344" s="62">
        <f>IF(Q189=0,0,IF(Q$15&lt;=1,1,IF(EXACT(Q1239,"keine"),IF(Q$3=Q$12,1,0),IF(EXACT(Q1239,"beste"),IF(Q$3=Q1134,1,0),IF(Q$3=Q924,1,0)))))</f>
        <v/>
      </c>
      <c r="R1344" s="62">
        <f>IF(R189=0,0,IF(R$15&lt;=1,1,IF(EXACT(R1239,"keine"),IF(R$3=R$12,1,0),IF(EXACT(R1239,"beste"),IF(R$3=R1134,1,0),IF(R$3=R924,1,0)))))</f>
        <v/>
      </c>
      <c r="S1344" s="62">
        <f>IF(S189=0,0,IF(S$15&lt;=1,1,IF(EXACT(S1239,"keine"),IF(S$3=S$12,1,0),IF(EXACT(S1239,"beste"),IF(S$3=S1134,1,0),IF(S$3=S924,1,0)))))</f>
        <v/>
      </c>
      <c r="T1344" s="62">
        <f>IF(T189=0,0,IF(T$15&lt;=1,1,IF(EXACT(T1239,"keine"),IF(T$3=T$12,1,0),IF(EXACT(T1239,"beste"),IF(T$3=T1134,1,0),IF(T$3=T924,1,0)))))</f>
        <v/>
      </c>
      <c r="U1344" s="62">
        <f>IF(U189=0,0,IF(U$15&lt;=1,1,IF(EXACT(U1239,"keine"),IF(U$3=U$12,1,0),IF(EXACT(U1239,"beste"),IF(U$3=U1134,1,0),IF(U$3=U924,1,0)))))</f>
        <v/>
      </c>
      <c r="V1344" s="62">
        <f>IF(V189=0,0,IF(V$15&lt;=1,1,IF(EXACT(V1239,"keine"),IF(V$3=V$12,1,0),IF(EXACT(V1239,"beste"),IF(V$3=V1134,1,0),IF(V$3=V924,1,0)))))</f>
        <v/>
      </c>
    </row>
    <row r="1345">
      <c r="C1345" s="62">
        <f>IF(C190=0,0,IF(C$15&lt;=1,1,IF(EXACT(C1240,"keine"),IF(C$3=C$12,1,0),IF(EXACT(C1240,"beste"),IF(C$3=C1135,1,0),IF(C$3=C925,1,0)))))</f>
        <v/>
      </c>
      <c r="D1345" s="62">
        <f>IF(D190=0,0,IF(D$15&lt;=1,1,IF(EXACT(D1240,"keine"),IF(D$3=D$12,1,0),IF(EXACT(D1240,"beste"),IF(D$3=D1135,1,0),IF(D$3=D925,1,0)))))</f>
        <v/>
      </c>
      <c r="E1345" s="62">
        <f>IF(E190=0,0,IF(E$15&lt;=1,1,IF(EXACT(E1240,"keine"),IF(E$3=E$12,1,0),IF(EXACT(E1240,"beste"),IF(E$3=E1135,1,0),IF(E$3=E925,1,0)))))</f>
        <v/>
      </c>
      <c r="F1345" s="62">
        <f>IF(F190=0,0,IF(F$15&lt;=1,1,IF(EXACT(F1240,"keine"),IF(F$3=F$12,1,0),IF(EXACT(F1240,"beste"),IF(F$3=F1135,1,0),IF(F$3=F925,1,0)))))</f>
        <v/>
      </c>
      <c r="G1345" s="62">
        <f>IF(G190=0,0,IF(G$15&lt;=1,1,IF(EXACT(G1240,"keine"),IF(G$3=G$12,1,0),IF(EXACT(G1240,"beste"),IF(G$3=G1135,1,0),IF(G$3=G925,1,0)))))</f>
        <v/>
      </c>
      <c r="H1345" s="62">
        <f>IF(H190=0,0,IF(H$15&lt;=1,1,IF(EXACT(H1240,"keine"),IF(H$3=H$12,1,0),IF(EXACT(H1240,"beste"),IF(H$3=H1135,1,0),IF(H$3=H925,1,0)))))</f>
        <v/>
      </c>
      <c r="I1345" s="62">
        <f>IF(I190=0,0,IF(I$15&lt;=1,1,IF(EXACT(I1240,"keine"),IF(I$3=I$12,1,0),IF(EXACT(I1240,"beste"),IF(I$3=I1135,1,0),IF(I$3=I925,1,0)))))</f>
        <v/>
      </c>
      <c r="J1345" s="62">
        <f>IF(J190=0,0,IF(J$15&lt;=1,1,IF(EXACT(J1240,"keine"),IF(J$3=J$12,1,0),IF(EXACT(J1240,"beste"),IF(J$3=J1135,1,0),IF(J$3=J925,1,0)))))</f>
        <v/>
      </c>
      <c r="K1345" s="62">
        <f>IF(K190=0,0,IF(K$15&lt;=1,1,IF(EXACT(K1240,"keine"),IF(K$3=K$12,1,0),IF(EXACT(K1240,"beste"),IF(K$3=K1135,1,0),IF(K$3=K925,1,0)))))</f>
        <v/>
      </c>
      <c r="L1345" s="62">
        <f>IF(L190=0,0,IF(L$15&lt;=1,1,IF(EXACT(L1240,"keine"),IF(L$3=L$12,1,0),IF(EXACT(L1240,"beste"),IF(L$3=L1135,1,0),IF(L$3=L925,1,0)))))</f>
        <v/>
      </c>
      <c r="M1345" s="62">
        <f>IF(M190=0,0,IF(M$15&lt;=1,1,IF(EXACT(M1240,"keine"),IF(M$3=M$12,1,0),IF(EXACT(M1240,"beste"),IF(M$3=M1135,1,0),IF(M$3=M925,1,0)))))</f>
        <v/>
      </c>
      <c r="N1345" s="62">
        <f>IF(N190=0,0,IF(N$15&lt;=1,1,IF(EXACT(N1240,"keine"),IF(N$3=N$12,1,0),IF(EXACT(N1240,"beste"),IF(N$3=N1135,1,0),IF(N$3=N925,1,0)))))</f>
        <v/>
      </c>
      <c r="O1345" s="62">
        <f>IF(O190=0,0,IF(O$15&lt;=1,1,IF(EXACT(O1240,"keine"),IF(O$3=O$12,1,0),IF(EXACT(O1240,"beste"),IF(O$3=O1135,1,0),IF(O$3=O925,1,0)))))</f>
        <v/>
      </c>
      <c r="P1345" s="62">
        <f>IF(P190=0,0,IF(P$15&lt;=1,1,IF(EXACT(P1240,"keine"),IF(P$3=P$12,1,0),IF(EXACT(P1240,"beste"),IF(P$3=P1135,1,0),IF(P$3=P925,1,0)))))</f>
        <v/>
      </c>
      <c r="Q1345" s="62">
        <f>IF(Q190=0,0,IF(Q$15&lt;=1,1,IF(EXACT(Q1240,"keine"),IF(Q$3=Q$12,1,0),IF(EXACT(Q1240,"beste"),IF(Q$3=Q1135,1,0),IF(Q$3=Q925,1,0)))))</f>
        <v/>
      </c>
      <c r="R1345" s="62">
        <f>IF(R190=0,0,IF(R$15&lt;=1,1,IF(EXACT(R1240,"keine"),IF(R$3=R$12,1,0),IF(EXACT(R1240,"beste"),IF(R$3=R1135,1,0),IF(R$3=R925,1,0)))))</f>
        <v/>
      </c>
      <c r="S1345" s="62">
        <f>IF(S190=0,0,IF(S$15&lt;=1,1,IF(EXACT(S1240,"keine"),IF(S$3=S$12,1,0),IF(EXACT(S1240,"beste"),IF(S$3=S1135,1,0),IF(S$3=S925,1,0)))))</f>
        <v/>
      </c>
      <c r="T1345" s="62">
        <f>IF(T190=0,0,IF(T$15&lt;=1,1,IF(EXACT(T1240,"keine"),IF(T$3=T$12,1,0),IF(EXACT(T1240,"beste"),IF(T$3=T1135,1,0),IF(T$3=T925,1,0)))))</f>
        <v/>
      </c>
      <c r="U1345" s="62">
        <f>IF(U190=0,0,IF(U$15&lt;=1,1,IF(EXACT(U1240,"keine"),IF(U$3=U$12,1,0),IF(EXACT(U1240,"beste"),IF(U$3=U1135,1,0),IF(U$3=U925,1,0)))))</f>
        <v/>
      </c>
      <c r="V1345" s="62">
        <f>IF(V190=0,0,IF(V$15&lt;=1,1,IF(EXACT(V1240,"keine"),IF(V$3=V$12,1,0),IF(EXACT(V1240,"beste"),IF(V$3=V1135,1,0),IF(V$3=V925,1,0)))))</f>
        <v/>
      </c>
    </row>
    <row r="1346">
      <c r="C1346" s="62">
        <f>IF(C191=0,0,IF(C$15&lt;=1,1,IF(EXACT(C1241,"keine"),IF(C$3=C$12,1,0),IF(EXACT(C1241,"beste"),IF(C$3=C1136,1,0),IF(C$3=C926,1,0)))))</f>
        <v/>
      </c>
      <c r="D1346" s="62">
        <f>IF(D191=0,0,IF(D$15&lt;=1,1,IF(EXACT(D1241,"keine"),IF(D$3=D$12,1,0),IF(EXACT(D1241,"beste"),IF(D$3=D1136,1,0),IF(D$3=D926,1,0)))))</f>
        <v/>
      </c>
      <c r="E1346" s="62">
        <f>IF(E191=0,0,IF(E$15&lt;=1,1,IF(EXACT(E1241,"keine"),IF(E$3=E$12,1,0),IF(EXACT(E1241,"beste"),IF(E$3=E1136,1,0),IF(E$3=E926,1,0)))))</f>
        <v/>
      </c>
      <c r="F1346" s="62">
        <f>IF(F191=0,0,IF(F$15&lt;=1,1,IF(EXACT(F1241,"keine"),IF(F$3=F$12,1,0),IF(EXACT(F1241,"beste"),IF(F$3=F1136,1,0),IF(F$3=F926,1,0)))))</f>
        <v/>
      </c>
      <c r="G1346" s="62">
        <f>IF(G191=0,0,IF(G$15&lt;=1,1,IF(EXACT(G1241,"keine"),IF(G$3=G$12,1,0),IF(EXACT(G1241,"beste"),IF(G$3=G1136,1,0),IF(G$3=G926,1,0)))))</f>
        <v/>
      </c>
      <c r="H1346" s="62">
        <f>IF(H191=0,0,IF(H$15&lt;=1,1,IF(EXACT(H1241,"keine"),IF(H$3=H$12,1,0),IF(EXACT(H1241,"beste"),IF(H$3=H1136,1,0),IF(H$3=H926,1,0)))))</f>
        <v/>
      </c>
      <c r="I1346" s="62">
        <f>IF(I191=0,0,IF(I$15&lt;=1,1,IF(EXACT(I1241,"keine"),IF(I$3=I$12,1,0),IF(EXACT(I1241,"beste"),IF(I$3=I1136,1,0),IF(I$3=I926,1,0)))))</f>
        <v/>
      </c>
      <c r="J1346" s="62">
        <f>IF(J191=0,0,IF(J$15&lt;=1,1,IF(EXACT(J1241,"keine"),IF(J$3=J$12,1,0),IF(EXACT(J1241,"beste"),IF(J$3=J1136,1,0),IF(J$3=J926,1,0)))))</f>
        <v/>
      </c>
      <c r="K1346" s="62">
        <f>IF(K191=0,0,IF(K$15&lt;=1,1,IF(EXACT(K1241,"keine"),IF(K$3=K$12,1,0),IF(EXACT(K1241,"beste"),IF(K$3=K1136,1,0),IF(K$3=K926,1,0)))))</f>
        <v/>
      </c>
      <c r="L1346" s="62">
        <f>IF(L191=0,0,IF(L$15&lt;=1,1,IF(EXACT(L1241,"keine"),IF(L$3=L$12,1,0),IF(EXACT(L1241,"beste"),IF(L$3=L1136,1,0),IF(L$3=L926,1,0)))))</f>
        <v/>
      </c>
      <c r="M1346" s="62">
        <f>IF(M191=0,0,IF(M$15&lt;=1,1,IF(EXACT(M1241,"keine"),IF(M$3=M$12,1,0),IF(EXACT(M1241,"beste"),IF(M$3=M1136,1,0),IF(M$3=M926,1,0)))))</f>
        <v/>
      </c>
      <c r="N1346" s="62">
        <f>IF(N191=0,0,IF(N$15&lt;=1,1,IF(EXACT(N1241,"keine"),IF(N$3=N$12,1,0),IF(EXACT(N1241,"beste"),IF(N$3=N1136,1,0),IF(N$3=N926,1,0)))))</f>
        <v/>
      </c>
      <c r="O1346" s="62">
        <f>IF(O191=0,0,IF(O$15&lt;=1,1,IF(EXACT(O1241,"keine"),IF(O$3=O$12,1,0),IF(EXACT(O1241,"beste"),IF(O$3=O1136,1,0),IF(O$3=O926,1,0)))))</f>
        <v/>
      </c>
      <c r="P1346" s="62">
        <f>IF(P191=0,0,IF(P$15&lt;=1,1,IF(EXACT(P1241,"keine"),IF(P$3=P$12,1,0),IF(EXACT(P1241,"beste"),IF(P$3=P1136,1,0),IF(P$3=P926,1,0)))))</f>
        <v/>
      </c>
      <c r="Q1346" s="62">
        <f>IF(Q191=0,0,IF(Q$15&lt;=1,1,IF(EXACT(Q1241,"keine"),IF(Q$3=Q$12,1,0),IF(EXACT(Q1241,"beste"),IF(Q$3=Q1136,1,0),IF(Q$3=Q926,1,0)))))</f>
        <v/>
      </c>
      <c r="R1346" s="62">
        <f>IF(R191=0,0,IF(R$15&lt;=1,1,IF(EXACT(R1241,"keine"),IF(R$3=R$12,1,0),IF(EXACT(R1241,"beste"),IF(R$3=R1136,1,0),IF(R$3=R926,1,0)))))</f>
        <v/>
      </c>
      <c r="S1346" s="62">
        <f>IF(S191=0,0,IF(S$15&lt;=1,1,IF(EXACT(S1241,"keine"),IF(S$3=S$12,1,0),IF(EXACT(S1241,"beste"),IF(S$3=S1136,1,0),IF(S$3=S926,1,0)))))</f>
        <v/>
      </c>
      <c r="T1346" s="62">
        <f>IF(T191=0,0,IF(T$15&lt;=1,1,IF(EXACT(T1241,"keine"),IF(T$3=T$12,1,0),IF(EXACT(T1241,"beste"),IF(T$3=T1136,1,0),IF(T$3=T926,1,0)))))</f>
        <v/>
      </c>
      <c r="U1346" s="62">
        <f>IF(U191=0,0,IF(U$15&lt;=1,1,IF(EXACT(U1241,"keine"),IF(U$3=U$12,1,0),IF(EXACT(U1241,"beste"),IF(U$3=U1136,1,0),IF(U$3=U926,1,0)))))</f>
        <v/>
      </c>
      <c r="V1346" s="62">
        <f>IF(V191=0,0,IF(V$15&lt;=1,1,IF(EXACT(V1241,"keine"),IF(V$3=V$12,1,0),IF(EXACT(V1241,"beste"),IF(V$3=V1136,1,0),IF(V$3=V926,1,0)))))</f>
        <v/>
      </c>
    </row>
    <row r="1347">
      <c r="C1347" s="62">
        <f>IF(C192=0,0,IF(C$15&lt;=1,1,IF(EXACT(C1242,"keine"),IF(C$3=C$12,1,0),IF(EXACT(C1242,"beste"),IF(C$3=C1137,1,0),IF(C$3=C927,1,0)))))</f>
        <v/>
      </c>
      <c r="D1347" s="62">
        <f>IF(D192=0,0,IF(D$15&lt;=1,1,IF(EXACT(D1242,"keine"),IF(D$3=D$12,1,0),IF(EXACT(D1242,"beste"),IF(D$3=D1137,1,0),IF(D$3=D927,1,0)))))</f>
        <v/>
      </c>
      <c r="E1347" s="62">
        <f>IF(E192=0,0,IF(E$15&lt;=1,1,IF(EXACT(E1242,"keine"),IF(E$3=E$12,1,0),IF(EXACT(E1242,"beste"),IF(E$3=E1137,1,0),IF(E$3=E927,1,0)))))</f>
        <v/>
      </c>
      <c r="F1347" s="62">
        <f>IF(F192=0,0,IF(F$15&lt;=1,1,IF(EXACT(F1242,"keine"),IF(F$3=F$12,1,0),IF(EXACT(F1242,"beste"),IF(F$3=F1137,1,0),IF(F$3=F927,1,0)))))</f>
        <v/>
      </c>
      <c r="G1347" s="62">
        <f>IF(G192=0,0,IF(G$15&lt;=1,1,IF(EXACT(G1242,"keine"),IF(G$3=G$12,1,0),IF(EXACT(G1242,"beste"),IF(G$3=G1137,1,0),IF(G$3=G927,1,0)))))</f>
        <v/>
      </c>
      <c r="H1347" s="62">
        <f>IF(H192=0,0,IF(H$15&lt;=1,1,IF(EXACT(H1242,"keine"),IF(H$3=H$12,1,0),IF(EXACT(H1242,"beste"),IF(H$3=H1137,1,0),IF(H$3=H927,1,0)))))</f>
        <v/>
      </c>
      <c r="I1347" s="62">
        <f>IF(I192=0,0,IF(I$15&lt;=1,1,IF(EXACT(I1242,"keine"),IF(I$3=I$12,1,0),IF(EXACT(I1242,"beste"),IF(I$3=I1137,1,0),IF(I$3=I927,1,0)))))</f>
        <v/>
      </c>
      <c r="J1347" s="62">
        <f>IF(J192=0,0,IF(J$15&lt;=1,1,IF(EXACT(J1242,"keine"),IF(J$3=J$12,1,0),IF(EXACT(J1242,"beste"),IF(J$3=J1137,1,0),IF(J$3=J927,1,0)))))</f>
        <v/>
      </c>
      <c r="K1347" s="62">
        <f>IF(K192=0,0,IF(K$15&lt;=1,1,IF(EXACT(K1242,"keine"),IF(K$3=K$12,1,0),IF(EXACT(K1242,"beste"),IF(K$3=K1137,1,0),IF(K$3=K927,1,0)))))</f>
        <v/>
      </c>
      <c r="L1347" s="62">
        <f>IF(L192=0,0,IF(L$15&lt;=1,1,IF(EXACT(L1242,"keine"),IF(L$3=L$12,1,0),IF(EXACT(L1242,"beste"),IF(L$3=L1137,1,0),IF(L$3=L927,1,0)))))</f>
        <v/>
      </c>
      <c r="M1347" s="62">
        <f>IF(M192=0,0,IF(M$15&lt;=1,1,IF(EXACT(M1242,"keine"),IF(M$3=M$12,1,0),IF(EXACT(M1242,"beste"),IF(M$3=M1137,1,0),IF(M$3=M927,1,0)))))</f>
        <v/>
      </c>
      <c r="N1347" s="62">
        <f>IF(N192=0,0,IF(N$15&lt;=1,1,IF(EXACT(N1242,"keine"),IF(N$3=N$12,1,0),IF(EXACT(N1242,"beste"),IF(N$3=N1137,1,0),IF(N$3=N927,1,0)))))</f>
        <v/>
      </c>
      <c r="O1347" s="62">
        <f>IF(O192=0,0,IF(O$15&lt;=1,1,IF(EXACT(O1242,"keine"),IF(O$3=O$12,1,0),IF(EXACT(O1242,"beste"),IF(O$3=O1137,1,0),IF(O$3=O927,1,0)))))</f>
        <v/>
      </c>
      <c r="P1347" s="62">
        <f>IF(P192=0,0,IF(P$15&lt;=1,1,IF(EXACT(P1242,"keine"),IF(P$3=P$12,1,0),IF(EXACT(P1242,"beste"),IF(P$3=P1137,1,0),IF(P$3=P927,1,0)))))</f>
        <v/>
      </c>
      <c r="Q1347" s="62">
        <f>IF(Q192=0,0,IF(Q$15&lt;=1,1,IF(EXACT(Q1242,"keine"),IF(Q$3=Q$12,1,0),IF(EXACT(Q1242,"beste"),IF(Q$3=Q1137,1,0),IF(Q$3=Q927,1,0)))))</f>
        <v/>
      </c>
      <c r="R1347" s="62">
        <f>IF(R192=0,0,IF(R$15&lt;=1,1,IF(EXACT(R1242,"keine"),IF(R$3=R$12,1,0),IF(EXACT(R1242,"beste"),IF(R$3=R1137,1,0),IF(R$3=R927,1,0)))))</f>
        <v/>
      </c>
      <c r="S1347" s="62">
        <f>IF(S192=0,0,IF(S$15&lt;=1,1,IF(EXACT(S1242,"keine"),IF(S$3=S$12,1,0),IF(EXACT(S1242,"beste"),IF(S$3=S1137,1,0),IF(S$3=S927,1,0)))))</f>
        <v/>
      </c>
      <c r="T1347" s="62">
        <f>IF(T192=0,0,IF(T$15&lt;=1,1,IF(EXACT(T1242,"keine"),IF(T$3=T$12,1,0),IF(EXACT(T1242,"beste"),IF(T$3=T1137,1,0),IF(T$3=T927,1,0)))))</f>
        <v/>
      </c>
      <c r="U1347" s="62">
        <f>IF(U192=0,0,IF(U$15&lt;=1,1,IF(EXACT(U1242,"keine"),IF(U$3=U$12,1,0),IF(EXACT(U1242,"beste"),IF(U$3=U1137,1,0),IF(U$3=U927,1,0)))))</f>
        <v/>
      </c>
      <c r="V1347" s="62">
        <f>IF(V192=0,0,IF(V$15&lt;=1,1,IF(EXACT(V1242,"keine"),IF(V$3=V$12,1,0),IF(EXACT(V1242,"beste"),IF(V$3=V1137,1,0),IF(V$3=V927,1,0)))))</f>
        <v/>
      </c>
    </row>
    <row r="1348">
      <c r="C1348" s="62">
        <f>IF(C193=0,0,IF(C$15&lt;=1,1,IF(EXACT(C1243,"keine"),IF(C$3=C$12,1,0),IF(EXACT(C1243,"beste"),IF(C$3=C1138,1,0),IF(C$3=C928,1,0)))))</f>
        <v/>
      </c>
      <c r="D1348" s="62">
        <f>IF(D193=0,0,IF(D$15&lt;=1,1,IF(EXACT(D1243,"keine"),IF(D$3=D$12,1,0),IF(EXACT(D1243,"beste"),IF(D$3=D1138,1,0),IF(D$3=D928,1,0)))))</f>
        <v/>
      </c>
      <c r="E1348" s="62">
        <f>IF(E193=0,0,IF(E$15&lt;=1,1,IF(EXACT(E1243,"keine"),IF(E$3=E$12,1,0),IF(EXACT(E1243,"beste"),IF(E$3=E1138,1,0),IF(E$3=E928,1,0)))))</f>
        <v/>
      </c>
      <c r="F1348" s="62">
        <f>IF(F193=0,0,IF(F$15&lt;=1,1,IF(EXACT(F1243,"keine"),IF(F$3=F$12,1,0),IF(EXACT(F1243,"beste"),IF(F$3=F1138,1,0),IF(F$3=F928,1,0)))))</f>
        <v/>
      </c>
      <c r="G1348" s="62">
        <f>IF(G193=0,0,IF(G$15&lt;=1,1,IF(EXACT(G1243,"keine"),IF(G$3=G$12,1,0),IF(EXACT(G1243,"beste"),IF(G$3=G1138,1,0),IF(G$3=G928,1,0)))))</f>
        <v/>
      </c>
      <c r="H1348" s="62">
        <f>IF(H193=0,0,IF(H$15&lt;=1,1,IF(EXACT(H1243,"keine"),IF(H$3=H$12,1,0),IF(EXACT(H1243,"beste"),IF(H$3=H1138,1,0),IF(H$3=H928,1,0)))))</f>
        <v/>
      </c>
      <c r="I1348" s="62">
        <f>IF(I193=0,0,IF(I$15&lt;=1,1,IF(EXACT(I1243,"keine"),IF(I$3=I$12,1,0),IF(EXACT(I1243,"beste"),IF(I$3=I1138,1,0),IF(I$3=I928,1,0)))))</f>
        <v/>
      </c>
      <c r="J1348" s="62">
        <f>IF(J193=0,0,IF(J$15&lt;=1,1,IF(EXACT(J1243,"keine"),IF(J$3=J$12,1,0),IF(EXACT(J1243,"beste"),IF(J$3=J1138,1,0),IF(J$3=J928,1,0)))))</f>
        <v/>
      </c>
      <c r="K1348" s="62">
        <f>IF(K193=0,0,IF(K$15&lt;=1,1,IF(EXACT(K1243,"keine"),IF(K$3=K$12,1,0),IF(EXACT(K1243,"beste"),IF(K$3=K1138,1,0),IF(K$3=K928,1,0)))))</f>
        <v/>
      </c>
      <c r="L1348" s="62">
        <f>IF(L193=0,0,IF(L$15&lt;=1,1,IF(EXACT(L1243,"keine"),IF(L$3=L$12,1,0),IF(EXACT(L1243,"beste"),IF(L$3=L1138,1,0),IF(L$3=L928,1,0)))))</f>
        <v/>
      </c>
      <c r="M1348" s="62">
        <f>IF(M193=0,0,IF(M$15&lt;=1,1,IF(EXACT(M1243,"keine"),IF(M$3=M$12,1,0),IF(EXACT(M1243,"beste"),IF(M$3=M1138,1,0),IF(M$3=M928,1,0)))))</f>
        <v/>
      </c>
      <c r="N1348" s="62">
        <f>IF(N193=0,0,IF(N$15&lt;=1,1,IF(EXACT(N1243,"keine"),IF(N$3=N$12,1,0),IF(EXACT(N1243,"beste"),IF(N$3=N1138,1,0),IF(N$3=N928,1,0)))))</f>
        <v/>
      </c>
      <c r="O1348" s="62">
        <f>IF(O193=0,0,IF(O$15&lt;=1,1,IF(EXACT(O1243,"keine"),IF(O$3=O$12,1,0),IF(EXACT(O1243,"beste"),IF(O$3=O1138,1,0),IF(O$3=O928,1,0)))))</f>
        <v/>
      </c>
      <c r="P1348" s="62">
        <f>IF(P193=0,0,IF(P$15&lt;=1,1,IF(EXACT(P1243,"keine"),IF(P$3=P$12,1,0),IF(EXACT(P1243,"beste"),IF(P$3=P1138,1,0),IF(P$3=P928,1,0)))))</f>
        <v/>
      </c>
      <c r="Q1348" s="62">
        <f>IF(Q193=0,0,IF(Q$15&lt;=1,1,IF(EXACT(Q1243,"keine"),IF(Q$3=Q$12,1,0),IF(EXACT(Q1243,"beste"),IF(Q$3=Q1138,1,0),IF(Q$3=Q928,1,0)))))</f>
        <v/>
      </c>
      <c r="R1348" s="62">
        <f>IF(R193=0,0,IF(R$15&lt;=1,1,IF(EXACT(R1243,"keine"),IF(R$3=R$12,1,0),IF(EXACT(R1243,"beste"),IF(R$3=R1138,1,0),IF(R$3=R928,1,0)))))</f>
        <v/>
      </c>
      <c r="S1348" s="62">
        <f>IF(S193=0,0,IF(S$15&lt;=1,1,IF(EXACT(S1243,"keine"),IF(S$3=S$12,1,0),IF(EXACT(S1243,"beste"),IF(S$3=S1138,1,0),IF(S$3=S928,1,0)))))</f>
        <v/>
      </c>
      <c r="T1348" s="62">
        <f>IF(T193=0,0,IF(T$15&lt;=1,1,IF(EXACT(T1243,"keine"),IF(T$3=T$12,1,0),IF(EXACT(T1243,"beste"),IF(T$3=T1138,1,0),IF(T$3=T928,1,0)))))</f>
        <v/>
      </c>
      <c r="U1348" s="62">
        <f>IF(U193=0,0,IF(U$15&lt;=1,1,IF(EXACT(U1243,"keine"),IF(U$3=U$12,1,0),IF(EXACT(U1243,"beste"),IF(U$3=U1138,1,0),IF(U$3=U928,1,0)))))</f>
        <v/>
      </c>
      <c r="V1348" s="62">
        <f>IF(V193=0,0,IF(V$15&lt;=1,1,IF(EXACT(V1243,"keine"),IF(V$3=V$12,1,0),IF(EXACT(V1243,"beste"),IF(V$3=V1138,1,0),IF(V$3=V928,1,0)))))</f>
        <v/>
      </c>
    </row>
    <row r="1349">
      <c r="C1349" s="62">
        <f>IF(C194=0,0,IF(C$15&lt;=1,1,IF(EXACT(C1244,"keine"),IF(C$3=C$12,1,0),IF(EXACT(C1244,"beste"),IF(C$3=C1139,1,0),IF(C$3=C929,1,0)))))</f>
        <v/>
      </c>
      <c r="D1349" s="62">
        <f>IF(D194=0,0,IF(D$15&lt;=1,1,IF(EXACT(D1244,"keine"),IF(D$3=D$12,1,0),IF(EXACT(D1244,"beste"),IF(D$3=D1139,1,0),IF(D$3=D929,1,0)))))</f>
        <v/>
      </c>
      <c r="E1349" s="62">
        <f>IF(E194=0,0,IF(E$15&lt;=1,1,IF(EXACT(E1244,"keine"),IF(E$3=E$12,1,0),IF(EXACT(E1244,"beste"),IF(E$3=E1139,1,0),IF(E$3=E929,1,0)))))</f>
        <v/>
      </c>
      <c r="F1349" s="62">
        <f>IF(F194=0,0,IF(F$15&lt;=1,1,IF(EXACT(F1244,"keine"),IF(F$3=F$12,1,0),IF(EXACT(F1244,"beste"),IF(F$3=F1139,1,0),IF(F$3=F929,1,0)))))</f>
        <v/>
      </c>
      <c r="G1349" s="62">
        <f>IF(G194=0,0,IF(G$15&lt;=1,1,IF(EXACT(G1244,"keine"),IF(G$3=G$12,1,0),IF(EXACT(G1244,"beste"),IF(G$3=G1139,1,0),IF(G$3=G929,1,0)))))</f>
        <v/>
      </c>
      <c r="H1349" s="62">
        <f>IF(H194=0,0,IF(H$15&lt;=1,1,IF(EXACT(H1244,"keine"),IF(H$3=H$12,1,0),IF(EXACT(H1244,"beste"),IF(H$3=H1139,1,0),IF(H$3=H929,1,0)))))</f>
        <v/>
      </c>
      <c r="I1349" s="62">
        <f>IF(I194=0,0,IF(I$15&lt;=1,1,IF(EXACT(I1244,"keine"),IF(I$3=I$12,1,0),IF(EXACT(I1244,"beste"),IF(I$3=I1139,1,0),IF(I$3=I929,1,0)))))</f>
        <v/>
      </c>
      <c r="J1349" s="62">
        <f>IF(J194=0,0,IF(J$15&lt;=1,1,IF(EXACT(J1244,"keine"),IF(J$3=J$12,1,0),IF(EXACT(J1244,"beste"),IF(J$3=J1139,1,0),IF(J$3=J929,1,0)))))</f>
        <v/>
      </c>
      <c r="K1349" s="62">
        <f>IF(K194=0,0,IF(K$15&lt;=1,1,IF(EXACT(K1244,"keine"),IF(K$3=K$12,1,0),IF(EXACT(K1244,"beste"),IF(K$3=K1139,1,0),IF(K$3=K929,1,0)))))</f>
        <v/>
      </c>
      <c r="L1349" s="62">
        <f>IF(L194=0,0,IF(L$15&lt;=1,1,IF(EXACT(L1244,"keine"),IF(L$3=L$12,1,0),IF(EXACT(L1244,"beste"),IF(L$3=L1139,1,0),IF(L$3=L929,1,0)))))</f>
        <v/>
      </c>
      <c r="M1349" s="62">
        <f>IF(M194=0,0,IF(M$15&lt;=1,1,IF(EXACT(M1244,"keine"),IF(M$3=M$12,1,0),IF(EXACT(M1244,"beste"),IF(M$3=M1139,1,0),IF(M$3=M929,1,0)))))</f>
        <v/>
      </c>
      <c r="N1349" s="62">
        <f>IF(N194=0,0,IF(N$15&lt;=1,1,IF(EXACT(N1244,"keine"),IF(N$3=N$12,1,0),IF(EXACT(N1244,"beste"),IF(N$3=N1139,1,0),IF(N$3=N929,1,0)))))</f>
        <v/>
      </c>
      <c r="O1349" s="62">
        <f>IF(O194=0,0,IF(O$15&lt;=1,1,IF(EXACT(O1244,"keine"),IF(O$3=O$12,1,0),IF(EXACT(O1244,"beste"),IF(O$3=O1139,1,0),IF(O$3=O929,1,0)))))</f>
        <v/>
      </c>
      <c r="P1349" s="62">
        <f>IF(P194=0,0,IF(P$15&lt;=1,1,IF(EXACT(P1244,"keine"),IF(P$3=P$12,1,0),IF(EXACT(P1244,"beste"),IF(P$3=P1139,1,0),IF(P$3=P929,1,0)))))</f>
        <v/>
      </c>
      <c r="Q1349" s="62">
        <f>IF(Q194=0,0,IF(Q$15&lt;=1,1,IF(EXACT(Q1244,"keine"),IF(Q$3=Q$12,1,0),IF(EXACT(Q1244,"beste"),IF(Q$3=Q1139,1,0),IF(Q$3=Q929,1,0)))))</f>
        <v/>
      </c>
      <c r="R1349" s="62">
        <f>IF(R194=0,0,IF(R$15&lt;=1,1,IF(EXACT(R1244,"keine"),IF(R$3=R$12,1,0),IF(EXACT(R1244,"beste"),IF(R$3=R1139,1,0),IF(R$3=R929,1,0)))))</f>
        <v/>
      </c>
      <c r="S1349" s="62">
        <f>IF(S194=0,0,IF(S$15&lt;=1,1,IF(EXACT(S1244,"keine"),IF(S$3=S$12,1,0),IF(EXACT(S1244,"beste"),IF(S$3=S1139,1,0),IF(S$3=S929,1,0)))))</f>
        <v/>
      </c>
      <c r="T1349" s="62">
        <f>IF(T194=0,0,IF(T$15&lt;=1,1,IF(EXACT(T1244,"keine"),IF(T$3=T$12,1,0),IF(EXACT(T1244,"beste"),IF(T$3=T1139,1,0),IF(T$3=T929,1,0)))))</f>
        <v/>
      </c>
      <c r="U1349" s="62">
        <f>IF(U194=0,0,IF(U$15&lt;=1,1,IF(EXACT(U1244,"keine"),IF(U$3=U$12,1,0),IF(EXACT(U1244,"beste"),IF(U$3=U1139,1,0),IF(U$3=U929,1,0)))))</f>
        <v/>
      </c>
      <c r="V1349" s="62">
        <f>IF(V194=0,0,IF(V$15&lt;=1,1,IF(EXACT(V1244,"keine"),IF(V$3=V$12,1,0),IF(EXACT(V1244,"beste"),IF(V$3=V1139,1,0),IF(V$3=V929,1,0)))))</f>
        <v/>
      </c>
    </row>
    <row r="1350">
      <c r="C1350" s="62">
        <f>IF(C195=0,0,IF(C$15&lt;=1,1,IF(EXACT(C1245,"keine"),IF(C$3=C$12,1,0),IF(EXACT(C1245,"beste"),IF(C$3=C1140,1,0),IF(C$3=C930,1,0)))))</f>
        <v/>
      </c>
      <c r="D1350" s="62">
        <f>IF(D195=0,0,IF(D$15&lt;=1,1,IF(EXACT(D1245,"keine"),IF(D$3=D$12,1,0),IF(EXACT(D1245,"beste"),IF(D$3=D1140,1,0),IF(D$3=D930,1,0)))))</f>
        <v/>
      </c>
      <c r="E1350" s="62">
        <f>IF(E195=0,0,IF(E$15&lt;=1,1,IF(EXACT(E1245,"keine"),IF(E$3=E$12,1,0),IF(EXACT(E1245,"beste"),IF(E$3=E1140,1,0),IF(E$3=E930,1,0)))))</f>
        <v/>
      </c>
      <c r="F1350" s="62">
        <f>IF(F195=0,0,IF(F$15&lt;=1,1,IF(EXACT(F1245,"keine"),IF(F$3=F$12,1,0),IF(EXACT(F1245,"beste"),IF(F$3=F1140,1,0),IF(F$3=F930,1,0)))))</f>
        <v/>
      </c>
      <c r="G1350" s="62">
        <f>IF(G195=0,0,IF(G$15&lt;=1,1,IF(EXACT(G1245,"keine"),IF(G$3=G$12,1,0),IF(EXACT(G1245,"beste"),IF(G$3=G1140,1,0),IF(G$3=G930,1,0)))))</f>
        <v/>
      </c>
      <c r="H1350" s="62">
        <f>IF(H195=0,0,IF(H$15&lt;=1,1,IF(EXACT(H1245,"keine"),IF(H$3=H$12,1,0),IF(EXACT(H1245,"beste"),IF(H$3=H1140,1,0),IF(H$3=H930,1,0)))))</f>
        <v/>
      </c>
      <c r="I1350" s="62">
        <f>IF(I195=0,0,IF(I$15&lt;=1,1,IF(EXACT(I1245,"keine"),IF(I$3=I$12,1,0),IF(EXACT(I1245,"beste"),IF(I$3=I1140,1,0),IF(I$3=I930,1,0)))))</f>
        <v/>
      </c>
      <c r="J1350" s="62">
        <f>IF(J195=0,0,IF(J$15&lt;=1,1,IF(EXACT(J1245,"keine"),IF(J$3=J$12,1,0),IF(EXACT(J1245,"beste"),IF(J$3=J1140,1,0),IF(J$3=J930,1,0)))))</f>
        <v/>
      </c>
      <c r="K1350" s="62">
        <f>IF(K195=0,0,IF(K$15&lt;=1,1,IF(EXACT(K1245,"keine"),IF(K$3=K$12,1,0),IF(EXACT(K1245,"beste"),IF(K$3=K1140,1,0),IF(K$3=K930,1,0)))))</f>
        <v/>
      </c>
      <c r="L1350" s="62">
        <f>IF(L195=0,0,IF(L$15&lt;=1,1,IF(EXACT(L1245,"keine"),IF(L$3=L$12,1,0),IF(EXACT(L1245,"beste"),IF(L$3=L1140,1,0),IF(L$3=L930,1,0)))))</f>
        <v/>
      </c>
      <c r="M1350" s="62">
        <f>IF(M195=0,0,IF(M$15&lt;=1,1,IF(EXACT(M1245,"keine"),IF(M$3=M$12,1,0),IF(EXACT(M1245,"beste"),IF(M$3=M1140,1,0),IF(M$3=M930,1,0)))))</f>
        <v/>
      </c>
      <c r="N1350" s="62">
        <f>IF(N195=0,0,IF(N$15&lt;=1,1,IF(EXACT(N1245,"keine"),IF(N$3=N$12,1,0),IF(EXACT(N1245,"beste"),IF(N$3=N1140,1,0),IF(N$3=N930,1,0)))))</f>
        <v/>
      </c>
      <c r="O1350" s="62">
        <f>IF(O195=0,0,IF(O$15&lt;=1,1,IF(EXACT(O1245,"keine"),IF(O$3=O$12,1,0),IF(EXACT(O1245,"beste"),IF(O$3=O1140,1,0),IF(O$3=O930,1,0)))))</f>
        <v/>
      </c>
      <c r="P1350" s="62">
        <f>IF(P195=0,0,IF(P$15&lt;=1,1,IF(EXACT(P1245,"keine"),IF(P$3=P$12,1,0),IF(EXACT(P1245,"beste"),IF(P$3=P1140,1,0),IF(P$3=P930,1,0)))))</f>
        <v/>
      </c>
      <c r="Q1350" s="62">
        <f>IF(Q195=0,0,IF(Q$15&lt;=1,1,IF(EXACT(Q1245,"keine"),IF(Q$3=Q$12,1,0),IF(EXACT(Q1245,"beste"),IF(Q$3=Q1140,1,0),IF(Q$3=Q930,1,0)))))</f>
        <v/>
      </c>
      <c r="R1350" s="62">
        <f>IF(R195=0,0,IF(R$15&lt;=1,1,IF(EXACT(R1245,"keine"),IF(R$3=R$12,1,0),IF(EXACT(R1245,"beste"),IF(R$3=R1140,1,0),IF(R$3=R930,1,0)))))</f>
        <v/>
      </c>
      <c r="S1350" s="62">
        <f>IF(S195=0,0,IF(S$15&lt;=1,1,IF(EXACT(S1245,"keine"),IF(S$3=S$12,1,0),IF(EXACT(S1245,"beste"),IF(S$3=S1140,1,0),IF(S$3=S930,1,0)))))</f>
        <v/>
      </c>
      <c r="T1350" s="62">
        <f>IF(T195=0,0,IF(T$15&lt;=1,1,IF(EXACT(T1245,"keine"),IF(T$3=T$12,1,0),IF(EXACT(T1245,"beste"),IF(T$3=T1140,1,0),IF(T$3=T930,1,0)))))</f>
        <v/>
      </c>
      <c r="U1350" s="62">
        <f>IF(U195=0,0,IF(U$15&lt;=1,1,IF(EXACT(U1245,"keine"),IF(U$3=U$12,1,0),IF(EXACT(U1245,"beste"),IF(U$3=U1140,1,0),IF(U$3=U930,1,0)))))</f>
        <v/>
      </c>
      <c r="V1350" s="62">
        <f>IF(V195=0,0,IF(V$15&lt;=1,1,IF(EXACT(V1245,"keine"),IF(V$3=V$12,1,0),IF(EXACT(V1245,"beste"),IF(V$3=V1140,1,0),IF(V$3=V930,1,0)))))</f>
        <v/>
      </c>
    </row>
    <row r="1351">
      <c r="C1351" s="62">
        <f>IF(C196=0,0,IF(C$15&lt;=1,1,IF(EXACT(C1246,"keine"),IF(C$3=C$12,1,0),IF(EXACT(C1246,"beste"),IF(C$3=C1141,1,0),IF(C$3=C931,1,0)))))</f>
        <v/>
      </c>
      <c r="D1351" s="62">
        <f>IF(D196=0,0,IF(D$15&lt;=1,1,IF(EXACT(D1246,"keine"),IF(D$3=D$12,1,0),IF(EXACT(D1246,"beste"),IF(D$3=D1141,1,0),IF(D$3=D931,1,0)))))</f>
        <v/>
      </c>
      <c r="E1351" s="62">
        <f>IF(E196=0,0,IF(E$15&lt;=1,1,IF(EXACT(E1246,"keine"),IF(E$3=E$12,1,0),IF(EXACT(E1246,"beste"),IF(E$3=E1141,1,0),IF(E$3=E931,1,0)))))</f>
        <v/>
      </c>
      <c r="F1351" s="62">
        <f>IF(F196=0,0,IF(F$15&lt;=1,1,IF(EXACT(F1246,"keine"),IF(F$3=F$12,1,0),IF(EXACT(F1246,"beste"),IF(F$3=F1141,1,0),IF(F$3=F931,1,0)))))</f>
        <v/>
      </c>
      <c r="G1351" s="62">
        <f>IF(G196=0,0,IF(G$15&lt;=1,1,IF(EXACT(G1246,"keine"),IF(G$3=G$12,1,0),IF(EXACT(G1246,"beste"),IF(G$3=G1141,1,0),IF(G$3=G931,1,0)))))</f>
        <v/>
      </c>
      <c r="H1351" s="62">
        <f>IF(H196=0,0,IF(H$15&lt;=1,1,IF(EXACT(H1246,"keine"),IF(H$3=H$12,1,0),IF(EXACT(H1246,"beste"),IF(H$3=H1141,1,0),IF(H$3=H931,1,0)))))</f>
        <v/>
      </c>
      <c r="I1351" s="62">
        <f>IF(I196=0,0,IF(I$15&lt;=1,1,IF(EXACT(I1246,"keine"),IF(I$3=I$12,1,0),IF(EXACT(I1246,"beste"),IF(I$3=I1141,1,0),IF(I$3=I931,1,0)))))</f>
        <v/>
      </c>
      <c r="J1351" s="62">
        <f>IF(J196=0,0,IF(J$15&lt;=1,1,IF(EXACT(J1246,"keine"),IF(J$3=J$12,1,0),IF(EXACT(J1246,"beste"),IF(J$3=J1141,1,0),IF(J$3=J931,1,0)))))</f>
        <v/>
      </c>
      <c r="K1351" s="62">
        <f>IF(K196=0,0,IF(K$15&lt;=1,1,IF(EXACT(K1246,"keine"),IF(K$3=K$12,1,0),IF(EXACT(K1246,"beste"),IF(K$3=K1141,1,0),IF(K$3=K931,1,0)))))</f>
        <v/>
      </c>
      <c r="L1351" s="62">
        <f>IF(L196=0,0,IF(L$15&lt;=1,1,IF(EXACT(L1246,"keine"),IF(L$3=L$12,1,0),IF(EXACT(L1246,"beste"),IF(L$3=L1141,1,0),IF(L$3=L931,1,0)))))</f>
        <v/>
      </c>
      <c r="M1351" s="62">
        <f>IF(M196=0,0,IF(M$15&lt;=1,1,IF(EXACT(M1246,"keine"),IF(M$3=M$12,1,0),IF(EXACT(M1246,"beste"),IF(M$3=M1141,1,0),IF(M$3=M931,1,0)))))</f>
        <v/>
      </c>
      <c r="N1351" s="62">
        <f>IF(N196=0,0,IF(N$15&lt;=1,1,IF(EXACT(N1246,"keine"),IF(N$3=N$12,1,0),IF(EXACT(N1246,"beste"),IF(N$3=N1141,1,0),IF(N$3=N931,1,0)))))</f>
        <v/>
      </c>
      <c r="O1351" s="62">
        <f>IF(O196=0,0,IF(O$15&lt;=1,1,IF(EXACT(O1246,"keine"),IF(O$3=O$12,1,0),IF(EXACT(O1246,"beste"),IF(O$3=O1141,1,0),IF(O$3=O931,1,0)))))</f>
        <v/>
      </c>
      <c r="P1351" s="62">
        <f>IF(P196=0,0,IF(P$15&lt;=1,1,IF(EXACT(P1246,"keine"),IF(P$3=P$12,1,0),IF(EXACT(P1246,"beste"),IF(P$3=P1141,1,0),IF(P$3=P931,1,0)))))</f>
        <v/>
      </c>
      <c r="Q1351" s="62">
        <f>IF(Q196=0,0,IF(Q$15&lt;=1,1,IF(EXACT(Q1246,"keine"),IF(Q$3=Q$12,1,0),IF(EXACT(Q1246,"beste"),IF(Q$3=Q1141,1,0),IF(Q$3=Q931,1,0)))))</f>
        <v/>
      </c>
      <c r="R1351" s="62">
        <f>IF(R196=0,0,IF(R$15&lt;=1,1,IF(EXACT(R1246,"keine"),IF(R$3=R$12,1,0),IF(EXACT(R1246,"beste"),IF(R$3=R1141,1,0),IF(R$3=R931,1,0)))))</f>
        <v/>
      </c>
      <c r="S1351" s="62">
        <f>IF(S196=0,0,IF(S$15&lt;=1,1,IF(EXACT(S1246,"keine"),IF(S$3=S$12,1,0),IF(EXACT(S1246,"beste"),IF(S$3=S1141,1,0),IF(S$3=S931,1,0)))))</f>
        <v/>
      </c>
      <c r="T1351" s="62">
        <f>IF(T196=0,0,IF(T$15&lt;=1,1,IF(EXACT(T1246,"keine"),IF(T$3=T$12,1,0),IF(EXACT(T1246,"beste"),IF(T$3=T1141,1,0),IF(T$3=T931,1,0)))))</f>
        <v/>
      </c>
      <c r="U1351" s="62">
        <f>IF(U196=0,0,IF(U$15&lt;=1,1,IF(EXACT(U1246,"keine"),IF(U$3=U$12,1,0),IF(EXACT(U1246,"beste"),IF(U$3=U1141,1,0),IF(U$3=U931,1,0)))))</f>
        <v/>
      </c>
      <c r="V1351" s="62">
        <f>IF(V196=0,0,IF(V$15&lt;=1,1,IF(EXACT(V1246,"keine"),IF(V$3=V$12,1,0),IF(EXACT(V1246,"beste"),IF(V$3=V1141,1,0),IF(V$3=V931,1,0)))))</f>
        <v/>
      </c>
    </row>
    <row r="1352">
      <c r="C1352" s="62">
        <f>IF(C197=0,0,IF(C$15&lt;=1,1,IF(EXACT(C1247,"keine"),IF(C$3=C$12,1,0),IF(EXACT(C1247,"beste"),IF(C$3=C1142,1,0),IF(C$3=C932,1,0)))))</f>
        <v/>
      </c>
      <c r="D1352" s="62">
        <f>IF(D197=0,0,IF(D$15&lt;=1,1,IF(EXACT(D1247,"keine"),IF(D$3=D$12,1,0),IF(EXACT(D1247,"beste"),IF(D$3=D1142,1,0),IF(D$3=D932,1,0)))))</f>
        <v/>
      </c>
      <c r="E1352" s="62">
        <f>IF(E197=0,0,IF(E$15&lt;=1,1,IF(EXACT(E1247,"keine"),IF(E$3=E$12,1,0),IF(EXACT(E1247,"beste"),IF(E$3=E1142,1,0),IF(E$3=E932,1,0)))))</f>
        <v/>
      </c>
      <c r="F1352" s="62">
        <f>IF(F197=0,0,IF(F$15&lt;=1,1,IF(EXACT(F1247,"keine"),IF(F$3=F$12,1,0),IF(EXACT(F1247,"beste"),IF(F$3=F1142,1,0),IF(F$3=F932,1,0)))))</f>
        <v/>
      </c>
      <c r="G1352" s="62">
        <f>IF(G197=0,0,IF(G$15&lt;=1,1,IF(EXACT(G1247,"keine"),IF(G$3=G$12,1,0),IF(EXACT(G1247,"beste"),IF(G$3=G1142,1,0),IF(G$3=G932,1,0)))))</f>
        <v/>
      </c>
      <c r="H1352" s="62">
        <f>IF(H197=0,0,IF(H$15&lt;=1,1,IF(EXACT(H1247,"keine"),IF(H$3=H$12,1,0),IF(EXACT(H1247,"beste"),IF(H$3=H1142,1,0),IF(H$3=H932,1,0)))))</f>
        <v/>
      </c>
      <c r="I1352" s="62">
        <f>IF(I197=0,0,IF(I$15&lt;=1,1,IF(EXACT(I1247,"keine"),IF(I$3=I$12,1,0),IF(EXACT(I1247,"beste"),IF(I$3=I1142,1,0),IF(I$3=I932,1,0)))))</f>
        <v/>
      </c>
      <c r="J1352" s="62">
        <f>IF(J197=0,0,IF(J$15&lt;=1,1,IF(EXACT(J1247,"keine"),IF(J$3=J$12,1,0),IF(EXACT(J1247,"beste"),IF(J$3=J1142,1,0),IF(J$3=J932,1,0)))))</f>
        <v/>
      </c>
      <c r="K1352" s="62">
        <f>IF(K197=0,0,IF(K$15&lt;=1,1,IF(EXACT(K1247,"keine"),IF(K$3=K$12,1,0),IF(EXACT(K1247,"beste"),IF(K$3=K1142,1,0),IF(K$3=K932,1,0)))))</f>
        <v/>
      </c>
      <c r="L1352" s="62">
        <f>IF(L197=0,0,IF(L$15&lt;=1,1,IF(EXACT(L1247,"keine"),IF(L$3=L$12,1,0),IF(EXACT(L1247,"beste"),IF(L$3=L1142,1,0),IF(L$3=L932,1,0)))))</f>
        <v/>
      </c>
      <c r="M1352" s="62">
        <f>IF(M197=0,0,IF(M$15&lt;=1,1,IF(EXACT(M1247,"keine"),IF(M$3=M$12,1,0),IF(EXACT(M1247,"beste"),IF(M$3=M1142,1,0),IF(M$3=M932,1,0)))))</f>
        <v/>
      </c>
      <c r="N1352" s="62">
        <f>IF(N197=0,0,IF(N$15&lt;=1,1,IF(EXACT(N1247,"keine"),IF(N$3=N$12,1,0),IF(EXACT(N1247,"beste"),IF(N$3=N1142,1,0),IF(N$3=N932,1,0)))))</f>
        <v/>
      </c>
      <c r="O1352" s="62">
        <f>IF(O197=0,0,IF(O$15&lt;=1,1,IF(EXACT(O1247,"keine"),IF(O$3=O$12,1,0),IF(EXACT(O1247,"beste"),IF(O$3=O1142,1,0),IF(O$3=O932,1,0)))))</f>
        <v/>
      </c>
      <c r="P1352" s="62">
        <f>IF(P197=0,0,IF(P$15&lt;=1,1,IF(EXACT(P1247,"keine"),IF(P$3=P$12,1,0),IF(EXACT(P1247,"beste"),IF(P$3=P1142,1,0),IF(P$3=P932,1,0)))))</f>
        <v/>
      </c>
      <c r="Q1352" s="62">
        <f>IF(Q197=0,0,IF(Q$15&lt;=1,1,IF(EXACT(Q1247,"keine"),IF(Q$3=Q$12,1,0),IF(EXACT(Q1247,"beste"),IF(Q$3=Q1142,1,0),IF(Q$3=Q932,1,0)))))</f>
        <v/>
      </c>
      <c r="R1352" s="62">
        <f>IF(R197=0,0,IF(R$15&lt;=1,1,IF(EXACT(R1247,"keine"),IF(R$3=R$12,1,0),IF(EXACT(R1247,"beste"),IF(R$3=R1142,1,0),IF(R$3=R932,1,0)))))</f>
        <v/>
      </c>
      <c r="S1352" s="62">
        <f>IF(S197=0,0,IF(S$15&lt;=1,1,IF(EXACT(S1247,"keine"),IF(S$3=S$12,1,0),IF(EXACT(S1247,"beste"),IF(S$3=S1142,1,0),IF(S$3=S932,1,0)))))</f>
        <v/>
      </c>
      <c r="T1352" s="62">
        <f>IF(T197=0,0,IF(T$15&lt;=1,1,IF(EXACT(T1247,"keine"),IF(T$3=T$12,1,0),IF(EXACT(T1247,"beste"),IF(T$3=T1142,1,0),IF(T$3=T932,1,0)))))</f>
        <v/>
      </c>
      <c r="U1352" s="62">
        <f>IF(U197=0,0,IF(U$15&lt;=1,1,IF(EXACT(U1247,"keine"),IF(U$3=U$12,1,0),IF(EXACT(U1247,"beste"),IF(U$3=U1142,1,0),IF(U$3=U932,1,0)))))</f>
        <v/>
      </c>
      <c r="V1352" s="62">
        <f>IF(V197=0,0,IF(V$15&lt;=1,1,IF(EXACT(V1247,"keine"),IF(V$3=V$12,1,0),IF(EXACT(V1247,"beste"),IF(V$3=V1142,1,0),IF(V$3=V932,1,0)))))</f>
        <v/>
      </c>
    </row>
    <row r="1353">
      <c r="C1353" s="62">
        <f>IF(C198=0,0,IF(C$15&lt;=1,1,IF(EXACT(C1248,"keine"),IF(C$3=C$12,1,0),IF(EXACT(C1248,"beste"),IF(C$3=C1143,1,0),IF(C$3=C933,1,0)))))</f>
        <v/>
      </c>
      <c r="D1353" s="62">
        <f>IF(D198=0,0,IF(D$15&lt;=1,1,IF(EXACT(D1248,"keine"),IF(D$3=D$12,1,0),IF(EXACT(D1248,"beste"),IF(D$3=D1143,1,0),IF(D$3=D933,1,0)))))</f>
        <v/>
      </c>
      <c r="E1353" s="62">
        <f>IF(E198=0,0,IF(E$15&lt;=1,1,IF(EXACT(E1248,"keine"),IF(E$3=E$12,1,0),IF(EXACT(E1248,"beste"),IF(E$3=E1143,1,0),IF(E$3=E933,1,0)))))</f>
        <v/>
      </c>
      <c r="F1353" s="62">
        <f>IF(F198=0,0,IF(F$15&lt;=1,1,IF(EXACT(F1248,"keine"),IF(F$3=F$12,1,0),IF(EXACT(F1248,"beste"),IF(F$3=F1143,1,0),IF(F$3=F933,1,0)))))</f>
        <v/>
      </c>
      <c r="G1353" s="62">
        <f>IF(G198=0,0,IF(G$15&lt;=1,1,IF(EXACT(G1248,"keine"),IF(G$3=G$12,1,0),IF(EXACT(G1248,"beste"),IF(G$3=G1143,1,0),IF(G$3=G933,1,0)))))</f>
        <v/>
      </c>
      <c r="H1353" s="62">
        <f>IF(H198=0,0,IF(H$15&lt;=1,1,IF(EXACT(H1248,"keine"),IF(H$3=H$12,1,0),IF(EXACT(H1248,"beste"),IF(H$3=H1143,1,0),IF(H$3=H933,1,0)))))</f>
        <v/>
      </c>
      <c r="I1353" s="62">
        <f>IF(I198=0,0,IF(I$15&lt;=1,1,IF(EXACT(I1248,"keine"),IF(I$3=I$12,1,0),IF(EXACT(I1248,"beste"),IF(I$3=I1143,1,0),IF(I$3=I933,1,0)))))</f>
        <v/>
      </c>
      <c r="J1353" s="62">
        <f>IF(J198=0,0,IF(J$15&lt;=1,1,IF(EXACT(J1248,"keine"),IF(J$3=J$12,1,0),IF(EXACT(J1248,"beste"),IF(J$3=J1143,1,0),IF(J$3=J933,1,0)))))</f>
        <v/>
      </c>
      <c r="K1353" s="62">
        <f>IF(K198=0,0,IF(K$15&lt;=1,1,IF(EXACT(K1248,"keine"),IF(K$3=K$12,1,0),IF(EXACT(K1248,"beste"),IF(K$3=K1143,1,0),IF(K$3=K933,1,0)))))</f>
        <v/>
      </c>
      <c r="L1353" s="62">
        <f>IF(L198=0,0,IF(L$15&lt;=1,1,IF(EXACT(L1248,"keine"),IF(L$3=L$12,1,0),IF(EXACT(L1248,"beste"),IF(L$3=L1143,1,0),IF(L$3=L933,1,0)))))</f>
        <v/>
      </c>
      <c r="M1353" s="62">
        <f>IF(M198=0,0,IF(M$15&lt;=1,1,IF(EXACT(M1248,"keine"),IF(M$3=M$12,1,0),IF(EXACT(M1248,"beste"),IF(M$3=M1143,1,0),IF(M$3=M933,1,0)))))</f>
        <v/>
      </c>
      <c r="N1353" s="62">
        <f>IF(N198=0,0,IF(N$15&lt;=1,1,IF(EXACT(N1248,"keine"),IF(N$3=N$12,1,0),IF(EXACT(N1248,"beste"),IF(N$3=N1143,1,0),IF(N$3=N933,1,0)))))</f>
        <v/>
      </c>
      <c r="O1353" s="62">
        <f>IF(O198=0,0,IF(O$15&lt;=1,1,IF(EXACT(O1248,"keine"),IF(O$3=O$12,1,0),IF(EXACT(O1248,"beste"),IF(O$3=O1143,1,0),IF(O$3=O933,1,0)))))</f>
        <v/>
      </c>
      <c r="P1353" s="62">
        <f>IF(P198=0,0,IF(P$15&lt;=1,1,IF(EXACT(P1248,"keine"),IF(P$3=P$12,1,0),IF(EXACT(P1248,"beste"),IF(P$3=P1143,1,0),IF(P$3=P933,1,0)))))</f>
        <v/>
      </c>
      <c r="Q1353" s="62">
        <f>IF(Q198=0,0,IF(Q$15&lt;=1,1,IF(EXACT(Q1248,"keine"),IF(Q$3=Q$12,1,0),IF(EXACT(Q1248,"beste"),IF(Q$3=Q1143,1,0),IF(Q$3=Q933,1,0)))))</f>
        <v/>
      </c>
      <c r="R1353" s="62">
        <f>IF(R198=0,0,IF(R$15&lt;=1,1,IF(EXACT(R1248,"keine"),IF(R$3=R$12,1,0),IF(EXACT(R1248,"beste"),IF(R$3=R1143,1,0),IF(R$3=R933,1,0)))))</f>
        <v/>
      </c>
      <c r="S1353" s="62">
        <f>IF(S198=0,0,IF(S$15&lt;=1,1,IF(EXACT(S1248,"keine"),IF(S$3=S$12,1,0),IF(EXACT(S1248,"beste"),IF(S$3=S1143,1,0),IF(S$3=S933,1,0)))))</f>
        <v/>
      </c>
      <c r="T1353" s="62">
        <f>IF(T198=0,0,IF(T$15&lt;=1,1,IF(EXACT(T1248,"keine"),IF(T$3=T$12,1,0),IF(EXACT(T1248,"beste"),IF(T$3=T1143,1,0),IF(T$3=T933,1,0)))))</f>
        <v/>
      </c>
      <c r="U1353" s="62">
        <f>IF(U198=0,0,IF(U$15&lt;=1,1,IF(EXACT(U1248,"keine"),IF(U$3=U$12,1,0),IF(EXACT(U1248,"beste"),IF(U$3=U1143,1,0),IF(U$3=U933,1,0)))))</f>
        <v/>
      </c>
      <c r="V1353" s="62">
        <f>IF(V198=0,0,IF(V$15&lt;=1,1,IF(EXACT(V1248,"keine"),IF(V$3=V$12,1,0),IF(EXACT(V1248,"beste"),IF(V$3=V1143,1,0),IF(V$3=V933,1,0)))))</f>
        <v/>
      </c>
    </row>
    <row r="1354">
      <c r="C1354" s="62">
        <f>IF(C199=0,0,IF(C$15&lt;=1,1,IF(EXACT(C1249,"keine"),IF(C$3=C$12,1,0),IF(EXACT(C1249,"beste"),IF(C$3=C1144,1,0),IF(C$3=C934,1,0)))))</f>
        <v/>
      </c>
      <c r="D1354" s="62">
        <f>IF(D199=0,0,IF(D$15&lt;=1,1,IF(EXACT(D1249,"keine"),IF(D$3=D$12,1,0),IF(EXACT(D1249,"beste"),IF(D$3=D1144,1,0),IF(D$3=D934,1,0)))))</f>
        <v/>
      </c>
      <c r="E1354" s="62">
        <f>IF(E199=0,0,IF(E$15&lt;=1,1,IF(EXACT(E1249,"keine"),IF(E$3=E$12,1,0),IF(EXACT(E1249,"beste"),IF(E$3=E1144,1,0),IF(E$3=E934,1,0)))))</f>
        <v/>
      </c>
      <c r="F1354" s="62">
        <f>IF(F199=0,0,IF(F$15&lt;=1,1,IF(EXACT(F1249,"keine"),IF(F$3=F$12,1,0),IF(EXACT(F1249,"beste"),IF(F$3=F1144,1,0),IF(F$3=F934,1,0)))))</f>
        <v/>
      </c>
      <c r="G1354" s="62">
        <f>IF(G199=0,0,IF(G$15&lt;=1,1,IF(EXACT(G1249,"keine"),IF(G$3=G$12,1,0),IF(EXACT(G1249,"beste"),IF(G$3=G1144,1,0),IF(G$3=G934,1,0)))))</f>
        <v/>
      </c>
      <c r="H1354" s="62">
        <f>IF(H199=0,0,IF(H$15&lt;=1,1,IF(EXACT(H1249,"keine"),IF(H$3=H$12,1,0),IF(EXACT(H1249,"beste"),IF(H$3=H1144,1,0),IF(H$3=H934,1,0)))))</f>
        <v/>
      </c>
      <c r="I1354" s="62">
        <f>IF(I199=0,0,IF(I$15&lt;=1,1,IF(EXACT(I1249,"keine"),IF(I$3=I$12,1,0),IF(EXACT(I1249,"beste"),IF(I$3=I1144,1,0),IF(I$3=I934,1,0)))))</f>
        <v/>
      </c>
      <c r="J1354" s="62">
        <f>IF(J199=0,0,IF(J$15&lt;=1,1,IF(EXACT(J1249,"keine"),IF(J$3=J$12,1,0),IF(EXACT(J1249,"beste"),IF(J$3=J1144,1,0),IF(J$3=J934,1,0)))))</f>
        <v/>
      </c>
      <c r="K1354" s="62">
        <f>IF(K199=0,0,IF(K$15&lt;=1,1,IF(EXACT(K1249,"keine"),IF(K$3=K$12,1,0),IF(EXACT(K1249,"beste"),IF(K$3=K1144,1,0),IF(K$3=K934,1,0)))))</f>
        <v/>
      </c>
      <c r="L1354" s="62">
        <f>IF(L199=0,0,IF(L$15&lt;=1,1,IF(EXACT(L1249,"keine"),IF(L$3=L$12,1,0),IF(EXACT(L1249,"beste"),IF(L$3=L1144,1,0),IF(L$3=L934,1,0)))))</f>
        <v/>
      </c>
      <c r="M1354" s="62">
        <f>IF(M199=0,0,IF(M$15&lt;=1,1,IF(EXACT(M1249,"keine"),IF(M$3=M$12,1,0),IF(EXACT(M1249,"beste"),IF(M$3=M1144,1,0),IF(M$3=M934,1,0)))))</f>
        <v/>
      </c>
      <c r="N1354" s="62">
        <f>IF(N199=0,0,IF(N$15&lt;=1,1,IF(EXACT(N1249,"keine"),IF(N$3=N$12,1,0),IF(EXACT(N1249,"beste"),IF(N$3=N1144,1,0),IF(N$3=N934,1,0)))))</f>
        <v/>
      </c>
      <c r="O1354" s="62">
        <f>IF(O199=0,0,IF(O$15&lt;=1,1,IF(EXACT(O1249,"keine"),IF(O$3=O$12,1,0),IF(EXACT(O1249,"beste"),IF(O$3=O1144,1,0),IF(O$3=O934,1,0)))))</f>
        <v/>
      </c>
      <c r="P1354" s="62">
        <f>IF(P199=0,0,IF(P$15&lt;=1,1,IF(EXACT(P1249,"keine"),IF(P$3=P$12,1,0),IF(EXACT(P1249,"beste"),IF(P$3=P1144,1,0),IF(P$3=P934,1,0)))))</f>
        <v/>
      </c>
      <c r="Q1354" s="62">
        <f>IF(Q199=0,0,IF(Q$15&lt;=1,1,IF(EXACT(Q1249,"keine"),IF(Q$3=Q$12,1,0),IF(EXACT(Q1249,"beste"),IF(Q$3=Q1144,1,0),IF(Q$3=Q934,1,0)))))</f>
        <v/>
      </c>
      <c r="R1354" s="62">
        <f>IF(R199=0,0,IF(R$15&lt;=1,1,IF(EXACT(R1249,"keine"),IF(R$3=R$12,1,0),IF(EXACT(R1249,"beste"),IF(R$3=R1144,1,0),IF(R$3=R934,1,0)))))</f>
        <v/>
      </c>
      <c r="S1354" s="62">
        <f>IF(S199=0,0,IF(S$15&lt;=1,1,IF(EXACT(S1249,"keine"),IF(S$3=S$12,1,0),IF(EXACT(S1249,"beste"),IF(S$3=S1144,1,0),IF(S$3=S934,1,0)))))</f>
        <v/>
      </c>
      <c r="T1354" s="62">
        <f>IF(T199=0,0,IF(T$15&lt;=1,1,IF(EXACT(T1249,"keine"),IF(T$3=T$12,1,0),IF(EXACT(T1249,"beste"),IF(T$3=T1144,1,0),IF(T$3=T934,1,0)))))</f>
        <v/>
      </c>
      <c r="U1354" s="62">
        <f>IF(U199=0,0,IF(U$15&lt;=1,1,IF(EXACT(U1249,"keine"),IF(U$3=U$12,1,0),IF(EXACT(U1249,"beste"),IF(U$3=U1144,1,0),IF(U$3=U934,1,0)))))</f>
        <v/>
      </c>
      <c r="V1354" s="62">
        <f>IF(V199=0,0,IF(V$15&lt;=1,1,IF(EXACT(V1249,"keine"),IF(V$3=V$12,1,0),IF(EXACT(V1249,"beste"),IF(V$3=V1144,1,0),IF(V$3=V934,1,0)))))</f>
        <v/>
      </c>
    </row>
    <row r="1355">
      <c r="C1355" s="62">
        <f>IF(C200=0,0,IF(C$15&lt;=1,1,IF(EXACT(C1250,"keine"),IF(C$3=C$12,1,0),IF(EXACT(C1250,"beste"),IF(C$3=C1145,1,0),IF(C$3=C935,1,0)))))</f>
        <v/>
      </c>
      <c r="D1355" s="62">
        <f>IF(D200=0,0,IF(D$15&lt;=1,1,IF(EXACT(D1250,"keine"),IF(D$3=D$12,1,0),IF(EXACT(D1250,"beste"),IF(D$3=D1145,1,0),IF(D$3=D935,1,0)))))</f>
        <v/>
      </c>
      <c r="E1355" s="62">
        <f>IF(E200=0,0,IF(E$15&lt;=1,1,IF(EXACT(E1250,"keine"),IF(E$3=E$12,1,0),IF(EXACT(E1250,"beste"),IF(E$3=E1145,1,0),IF(E$3=E935,1,0)))))</f>
        <v/>
      </c>
      <c r="F1355" s="62">
        <f>IF(F200=0,0,IF(F$15&lt;=1,1,IF(EXACT(F1250,"keine"),IF(F$3=F$12,1,0),IF(EXACT(F1250,"beste"),IF(F$3=F1145,1,0),IF(F$3=F935,1,0)))))</f>
        <v/>
      </c>
      <c r="G1355" s="62">
        <f>IF(G200=0,0,IF(G$15&lt;=1,1,IF(EXACT(G1250,"keine"),IF(G$3=G$12,1,0),IF(EXACT(G1250,"beste"),IF(G$3=G1145,1,0),IF(G$3=G935,1,0)))))</f>
        <v/>
      </c>
      <c r="H1355" s="62">
        <f>IF(H200=0,0,IF(H$15&lt;=1,1,IF(EXACT(H1250,"keine"),IF(H$3=H$12,1,0),IF(EXACT(H1250,"beste"),IF(H$3=H1145,1,0),IF(H$3=H935,1,0)))))</f>
        <v/>
      </c>
      <c r="I1355" s="62">
        <f>IF(I200=0,0,IF(I$15&lt;=1,1,IF(EXACT(I1250,"keine"),IF(I$3=I$12,1,0),IF(EXACT(I1250,"beste"),IF(I$3=I1145,1,0),IF(I$3=I935,1,0)))))</f>
        <v/>
      </c>
      <c r="J1355" s="62">
        <f>IF(J200=0,0,IF(J$15&lt;=1,1,IF(EXACT(J1250,"keine"),IF(J$3=J$12,1,0),IF(EXACT(J1250,"beste"),IF(J$3=J1145,1,0),IF(J$3=J935,1,0)))))</f>
        <v/>
      </c>
      <c r="K1355" s="62">
        <f>IF(K200=0,0,IF(K$15&lt;=1,1,IF(EXACT(K1250,"keine"),IF(K$3=K$12,1,0),IF(EXACT(K1250,"beste"),IF(K$3=K1145,1,0),IF(K$3=K935,1,0)))))</f>
        <v/>
      </c>
      <c r="L1355" s="62">
        <f>IF(L200=0,0,IF(L$15&lt;=1,1,IF(EXACT(L1250,"keine"),IF(L$3=L$12,1,0),IF(EXACT(L1250,"beste"),IF(L$3=L1145,1,0),IF(L$3=L935,1,0)))))</f>
        <v/>
      </c>
      <c r="M1355" s="62">
        <f>IF(M200=0,0,IF(M$15&lt;=1,1,IF(EXACT(M1250,"keine"),IF(M$3=M$12,1,0),IF(EXACT(M1250,"beste"),IF(M$3=M1145,1,0),IF(M$3=M935,1,0)))))</f>
        <v/>
      </c>
      <c r="N1355" s="62">
        <f>IF(N200=0,0,IF(N$15&lt;=1,1,IF(EXACT(N1250,"keine"),IF(N$3=N$12,1,0),IF(EXACT(N1250,"beste"),IF(N$3=N1145,1,0),IF(N$3=N935,1,0)))))</f>
        <v/>
      </c>
      <c r="O1355" s="62">
        <f>IF(O200=0,0,IF(O$15&lt;=1,1,IF(EXACT(O1250,"keine"),IF(O$3=O$12,1,0),IF(EXACT(O1250,"beste"),IF(O$3=O1145,1,0),IF(O$3=O935,1,0)))))</f>
        <v/>
      </c>
      <c r="P1355" s="62">
        <f>IF(P200=0,0,IF(P$15&lt;=1,1,IF(EXACT(P1250,"keine"),IF(P$3=P$12,1,0),IF(EXACT(P1250,"beste"),IF(P$3=P1145,1,0),IF(P$3=P935,1,0)))))</f>
        <v/>
      </c>
      <c r="Q1355" s="62">
        <f>IF(Q200=0,0,IF(Q$15&lt;=1,1,IF(EXACT(Q1250,"keine"),IF(Q$3=Q$12,1,0),IF(EXACT(Q1250,"beste"),IF(Q$3=Q1145,1,0),IF(Q$3=Q935,1,0)))))</f>
        <v/>
      </c>
      <c r="R1355" s="62">
        <f>IF(R200=0,0,IF(R$15&lt;=1,1,IF(EXACT(R1250,"keine"),IF(R$3=R$12,1,0),IF(EXACT(R1250,"beste"),IF(R$3=R1145,1,0),IF(R$3=R935,1,0)))))</f>
        <v/>
      </c>
      <c r="S1355" s="62">
        <f>IF(S200=0,0,IF(S$15&lt;=1,1,IF(EXACT(S1250,"keine"),IF(S$3=S$12,1,0),IF(EXACT(S1250,"beste"),IF(S$3=S1145,1,0),IF(S$3=S935,1,0)))))</f>
        <v/>
      </c>
      <c r="T1355" s="62">
        <f>IF(T200=0,0,IF(T$15&lt;=1,1,IF(EXACT(T1250,"keine"),IF(T$3=T$12,1,0),IF(EXACT(T1250,"beste"),IF(T$3=T1145,1,0),IF(T$3=T935,1,0)))))</f>
        <v/>
      </c>
      <c r="U1355" s="62">
        <f>IF(U200=0,0,IF(U$15&lt;=1,1,IF(EXACT(U1250,"keine"),IF(U$3=U$12,1,0),IF(EXACT(U1250,"beste"),IF(U$3=U1145,1,0),IF(U$3=U935,1,0)))))</f>
        <v/>
      </c>
      <c r="V1355" s="62">
        <f>IF(V200=0,0,IF(V$15&lt;=1,1,IF(EXACT(V1250,"keine"),IF(V$3=V$12,1,0),IF(EXACT(V1250,"beste"),IF(V$3=V1145,1,0),IF(V$3=V935,1,0)))))</f>
        <v/>
      </c>
    </row>
    <row r="1356">
      <c r="C1356" s="62">
        <f>IF(C201=0,0,IF(C$15&lt;=1,1,IF(EXACT(C1251,"keine"),IF(C$3=C$12,1,0),IF(EXACT(C1251,"beste"),IF(C$3=C1146,1,0),IF(C$3=C936,1,0)))))</f>
        <v/>
      </c>
      <c r="D1356" s="62">
        <f>IF(D201=0,0,IF(D$15&lt;=1,1,IF(EXACT(D1251,"keine"),IF(D$3=D$12,1,0),IF(EXACT(D1251,"beste"),IF(D$3=D1146,1,0),IF(D$3=D936,1,0)))))</f>
        <v/>
      </c>
      <c r="E1356" s="62">
        <f>IF(E201=0,0,IF(E$15&lt;=1,1,IF(EXACT(E1251,"keine"),IF(E$3=E$12,1,0),IF(EXACT(E1251,"beste"),IF(E$3=E1146,1,0),IF(E$3=E936,1,0)))))</f>
        <v/>
      </c>
      <c r="F1356" s="62">
        <f>IF(F201=0,0,IF(F$15&lt;=1,1,IF(EXACT(F1251,"keine"),IF(F$3=F$12,1,0),IF(EXACT(F1251,"beste"),IF(F$3=F1146,1,0),IF(F$3=F936,1,0)))))</f>
        <v/>
      </c>
      <c r="G1356" s="62">
        <f>IF(G201=0,0,IF(G$15&lt;=1,1,IF(EXACT(G1251,"keine"),IF(G$3=G$12,1,0),IF(EXACT(G1251,"beste"),IF(G$3=G1146,1,0),IF(G$3=G936,1,0)))))</f>
        <v/>
      </c>
      <c r="H1356" s="62">
        <f>IF(H201=0,0,IF(H$15&lt;=1,1,IF(EXACT(H1251,"keine"),IF(H$3=H$12,1,0),IF(EXACT(H1251,"beste"),IF(H$3=H1146,1,0),IF(H$3=H936,1,0)))))</f>
        <v/>
      </c>
      <c r="I1356" s="62">
        <f>IF(I201=0,0,IF(I$15&lt;=1,1,IF(EXACT(I1251,"keine"),IF(I$3=I$12,1,0),IF(EXACT(I1251,"beste"),IF(I$3=I1146,1,0),IF(I$3=I936,1,0)))))</f>
        <v/>
      </c>
      <c r="J1356" s="62">
        <f>IF(J201=0,0,IF(J$15&lt;=1,1,IF(EXACT(J1251,"keine"),IF(J$3=J$12,1,0),IF(EXACT(J1251,"beste"),IF(J$3=J1146,1,0),IF(J$3=J936,1,0)))))</f>
        <v/>
      </c>
      <c r="K1356" s="62">
        <f>IF(K201=0,0,IF(K$15&lt;=1,1,IF(EXACT(K1251,"keine"),IF(K$3=K$12,1,0),IF(EXACT(K1251,"beste"),IF(K$3=K1146,1,0),IF(K$3=K936,1,0)))))</f>
        <v/>
      </c>
      <c r="L1356" s="62">
        <f>IF(L201=0,0,IF(L$15&lt;=1,1,IF(EXACT(L1251,"keine"),IF(L$3=L$12,1,0),IF(EXACT(L1251,"beste"),IF(L$3=L1146,1,0),IF(L$3=L936,1,0)))))</f>
        <v/>
      </c>
      <c r="M1356" s="62">
        <f>IF(M201=0,0,IF(M$15&lt;=1,1,IF(EXACT(M1251,"keine"),IF(M$3=M$12,1,0),IF(EXACT(M1251,"beste"),IF(M$3=M1146,1,0),IF(M$3=M936,1,0)))))</f>
        <v/>
      </c>
      <c r="N1356" s="62">
        <f>IF(N201=0,0,IF(N$15&lt;=1,1,IF(EXACT(N1251,"keine"),IF(N$3=N$12,1,0),IF(EXACT(N1251,"beste"),IF(N$3=N1146,1,0),IF(N$3=N936,1,0)))))</f>
        <v/>
      </c>
      <c r="O1356" s="62">
        <f>IF(O201=0,0,IF(O$15&lt;=1,1,IF(EXACT(O1251,"keine"),IF(O$3=O$12,1,0),IF(EXACT(O1251,"beste"),IF(O$3=O1146,1,0),IF(O$3=O936,1,0)))))</f>
        <v/>
      </c>
      <c r="P1356" s="62">
        <f>IF(P201=0,0,IF(P$15&lt;=1,1,IF(EXACT(P1251,"keine"),IF(P$3=P$12,1,0),IF(EXACT(P1251,"beste"),IF(P$3=P1146,1,0),IF(P$3=P936,1,0)))))</f>
        <v/>
      </c>
      <c r="Q1356" s="62">
        <f>IF(Q201=0,0,IF(Q$15&lt;=1,1,IF(EXACT(Q1251,"keine"),IF(Q$3=Q$12,1,0),IF(EXACT(Q1251,"beste"),IF(Q$3=Q1146,1,0),IF(Q$3=Q936,1,0)))))</f>
        <v/>
      </c>
      <c r="R1356" s="62">
        <f>IF(R201=0,0,IF(R$15&lt;=1,1,IF(EXACT(R1251,"keine"),IF(R$3=R$12,1,0),IF(EXACT(R1251,"beste"),IF(R$3=R1146,1,0),IF(R$3=R936,1,0)))))</f>
        <v/>
      </c>
      <c r="S1356" s="62">
        <f>IF(S201=0,0,IF(S$15&lt;=1,1,IF(EXACT(S1251,"keine"),IF(S$3=S$12,1,0),IF(EXACT(S1251,"beste"),IF(S$3=S1146,1,0),IF(S$3=S936,1,0)))))</f>
        <v/>
      </c>
      <c r="T1356" s="62">
        <f>IF(T201=0,0,IF(T$15&lt;=1,1,IF(EXACT(T1251,"keine"),IF(T$3=T$12,1,0),IF(EXACT(T1251,"beste"),IF(T$3=T1146,1,0),IF(T$3=T936,1,0)))))</f>
        <v/>
      </c>
      <c r="U1356" s="62">
        <f>IF(U201=0,0,IF(U$15&lt;=1,1,IF(EXACT(U1251,"keine"),IF(U$3=U$12,1,0),IF(EXACT(U1251,"beste"),IF(U$3=U1146,1,0),IF(U$3=U936,1,0)))))</f>
        <v/>
      </c>
      <c r="V1356" s="62">
        <f>IF(V201=0,0,IF(V$15&lt;=1,1,IF(EXACT(V1251,"keine"),IF(V$3=V$12,1,0),IF(EXACT(V1251,"beste"),IF(V$3=V1146,1,0),IF(V$3=V936,1,0)))))</f>
        <v/>
      </c>
    </row>
    <row r="1357">
      <c r="C1357" s="62">
        <f>IF(C202=0,0,IF(C$15&lt;=1,1,IF(EXACT(C1252,"keine"),IF(C$3=C$12,1,0),IF(EXACT(C1252,"beste"),IF(C$3=C1147,1,0),IF(C$3=C937,1,0)))))</f>
        <v/>
      </c>
      <c r="D1357" s="62">
        <f>IF(D202=0,0,IF(D$15&lt;=1,1,IF(EXACT(D1252,"keine"),IF(D$3=D$12,1,0),IF(EXACT(D1252,"beste"),IF(D$3=D1147,1,0),IF(D$3=D937,1,0)))))</f>
        <v/>
      </c>
      <c r="E1357" s="62">
        <f>IF(E202=0,0,IF(E$15&lt;=1,1,IF(EXACT(E1252,"keine"),IF(E$3=E$12,1,0),IF(EXACT(E1252,"beste"),IF(E$3=E1147,1,0),IF(E$3=E937,1,0)))))</f>
        <v/>
      </c>
      <c r="F1357" s="62">
        <f>IF(F202=0,0,IF(F$15&lt;=1,1,IF(EXACT(F1252,"keine"),IF(F$3=F$12,1,0),IF(EXACT(F1252,"beste"),IF(F$3=F1147,1,0),IF(F$3=F937,1,0)))))</f>
        <v/>
      </c>
      <c r="G1357" s="62">
        <f>IF(G202=0,0,IF(G$15&lt;=1,1,IF(EXACT(G1252,"keine"),IF(G$3=G$12,1,0),IF(EXACT(G1252,"beste"),IF(G$3=G1147,1,0),IF(G$3=G937,1,0)))))</f>
        <v/>
      </c>
      <c r="H1357" s="62">
        <f>IF(H202=0,0,IF(H$15&lt;=1,1,IF(EXACT(H1252,"keine"),IF(H$3=H$12,1,0),IF(EXACT(H1252,"beste"),IF(H$3=H1147,1,0),IF(H$3=H937,1,0)))))</f>
        <v/>
      </c>
      <c r="I1357" s="62">
        <f>IF(I202=0,0,IF(I$15&lt;=1,1,IF(EXACT(I1252,"keine"),IF(I$3=I$12,1,0),IF(EXACT(I1252,"beste"),IF(I$3=I1147,1,0),IF(I$3=I937,1,0)))))</f>
        <v/>
      </c>
      <c r="J1357" s="62">
        <f>IF(J202=0,0,IF(J$15&lt;=1,1,IF(EXACT(J1252,"keine"),IF(J$3=J$12,1,0),IF(EXACT(J1252,"beste"),IF(J$3=J1147,1,0),IF(J$3=J937,1,0)))))</f>
        <v/>
      </c>
      <c r="K1357" s="62">
        <f>IF(K202=0,0,IF(K$15&lt;=1,1,IF(EXACT(K1252,"keine"),IF(K$3=K$12,1,0),IF(EXACT(K1252,"beste"),IF(K$3=K1147,1,0),IF(K$3=K937,1,0)))))</f>
        <v/>
      </c>
      <c r="L1357" s="62">
        <f>IF(L202=0,0,IF(L$15&lt;=1,1,IF(EXACT(L1252,"keine"),IF(L$3=L$12,1,0),IF(EXACT(L1252,"beste"),IF(L$3=L1147,1,0),IF(L$3=L937,1,0)))))</f>
        <v/>
      </c>
      <c r="M1357" s="62">
        <f>IF(M202=0,0,IF(M$15&lt;=1,1,IF(EXACT(M1252,"keine"),IF(M$3=M$12,1,0),IF(EXACT(M1252,"beste"),IF(M$3=M1147,1,0),IF(M$3=M937,1,0)))))</f>
        <v/>
      </c>
      <c r="N1357" s="62">
        <f>IF(N202=0,0,IF(N$15&lt;=1,1,IF(EXACT(N1252,"keine"),IF(N$3=N$12,1,0),IF(EXACT(N1252,"beste"),IF(N$3=N1147,1,0),IF(N$3=N937,1,0)))))</f>
        <v/>
      </c>
      <c r="O1357" s="62">
        <f>IF(O202=0,0,IF(O$15&lt;=1,1,IF(EXACT(O1252,"keine"),IF(O$3=O$12,1,0),IF(EXACT(O1252,"beste"),IF(O$3=O1147,1,0),IF(O$3=O937,1,0)))))</f>
        <v/>
      </c>
      <c r="P1357" s="62">
        <f>IF(P202=0,0,IF(P$15&lt;=1,1,IF(EXACT(P1252,"keine"),IF(P$3=P$12,1,0),IF(EXACT(P1252,"beste"),IF(P$3=P1147,1,0),IF(P$3=P937,1,0)))))</f>
        <v/>
      </c>
      <c r="Q1357" s="62">
        <f>IF(Q202=0,0,IF(Q$15&lt;=1,1,IF(EXACT(Q1252,"keine"),IF(Q$3=Q$12,1,0),IF(EXACT(Q1252,"beste"),IF(Q$3=Q1147,1,0),IF(Q$3=Q937,1,0)))))</f>
        <v/>
      </c>
      <c r="R1357" s="62">
        <f>IF(R202=0,0,IF(R$15&lt;=1,1,IF(EXACT(R1252,"keine"),IF(R$3=R$12,1,0),IF(EXACT(R1252,"beste"),IF(R$3=R1147,1,0),IF(R$3=R937,1,0)))))</f>
        <v/>
      </c>
      <c r="S1357" s="62">
        <f>IF(S202=0,0,IF(S$15&lt;=1,1,IF(EXACT(S1252,"keine"),IF(S$3=S$12,1,0),IF(EXACT(S1252,"beste"),IF(S$3=S1147,1,0),IF(S$3=S937,1,0)))))</f>
        <v/>
      </c>
      <c r="T1357" s="62">
        <f>IF(T202=0,0,IF(T$15&lt;=1,1,IF(EXACT(T1252,"keine"),IF(T$3=T$12,1,0),IF(EXACT(T1252,"beste"),IF(T$3=T1147,1,0),IF(T$3=T937,1,0)))))</f>
        <v/>
      </c>
      <c r="U1357" s="62">
        <f>IF(U202=0,0,IF(U$15&lt;=1,1,IF(EXACT(U1252,"keine"),IF(U$3=U$12,1,0),IF(EXACT(U1252,"beste"),IF(U$3=U1147,1,0),IF(U$3=U937,1,0)))))</f>
        <v/>
      </c>
      <c r="V1357" s="62">
        <f>IF(V202=0,0,IF(V$15&lt;=1,1,IF(EXACT(V1252,"keine"),IF(V$3=V$12,1,0),IF(EXACT(V1252,"beste"),IF(V$3=V1147,1,0),IF(V$3=V937,1,0)))))</f>
        <v/>
      </c>
    </row>
    <row r="1358">
      <c r="C1358" s="62">
        <f>IF(C203=0,0,IF(C$15&lt;=1,1,IF(EXACT(C1253,"keine"),IF(C$3=C$12,1,0),IF(EXACT(C1253,"beste"),IF(C$3=C1148,1,0),IF(C$3=C938,1,0)))))</f>
        <v/>
      </c>
      <c r="D1358" s="62">
        <f>IF(D203=0,0,IF(D$15&lt;=1,1,IF(EXACT(D1253,"keine"),IF(D$3=D$12,1,0),IF(EXACT(D1253,"beste"),IF(D$3=D1148,1,0),IF(D$3=D938,1,0)))))</f>
        <v/>
      </c>
      <c r="E1358" s="62">
        <f>IF(E203=0,0,IF(E$15&lt;=1,1,IF(EXACT(E1253,"keine"),IF(E$3=E$12,1,0),IF(EXACT(E1253,"beste"),IF(E$3=E1148,1,0),IF(E$3=E938,1,0)))))</f>
        <v/>
      </c>
      <c r="F1358" s="62">
        <f>IF(F203=0,0,IF(F$15&lt;=1,1,IF(EXACT(F1253,"keine"),IF(F$3=F$12,1,0),IF(EXACT(F1253,"beste"),IF(F$3=F1148,1,0),IF(F$3=F938,1,0)))))</f>
        <v/>
      </c>
      <c r="G1358" s="62">
        <f>IF(G203=0,0,IF(G$15&lt;=1,1,IF(EXACT(G1253,"keine"),IF(G$3=G$12,1,0),IF(EXACT(G1253,"beste"),IF(G$3=G1148,1,0),IF(G$3=G938,1,0)))))</f>
        <v/>
      </c>
      <c r="H1358" s="62">
        <f>IF(H203=0,0,IF(H$15&lt;=1,1,IF(EXACT(H1253,"keine"),IF(H$3=H$12,1,0),IF(EXACT(H1253,"beste"),IF(H$3=H1148,1,0),IF(H$3=H938,1,0)))))</f>
        <v/>
      </c>
      <c r="I1358" s="62">
        <f>IF(I203=0,0,IF(I$15&lt;=1,1,IF(EXACT(I1253,"keine"),IF(I$3=I$12,1,0),IF(EXACT(I1253,"beste"),IF(I$3=I1148,1,0),IF(I$3=I938,1,0)))))</f>
        <v/>
      </c>
      <c r="J1358" s="62">
        <f>IF(J203=0,0,IF(J$15&lt;=1,1,IF(EXACT(J1253,"keine"),IF(J$3=J$12,1,0),IF(EXACT(J1253,"beste"),IF(J$3=J1148,1,0),IF(J$3=J938,1,0)))))</f>
        <v/>
      </c>
      <c r="K1358" s="62">
        <f>IF(K203=0,0,IF(K$15&lt;=1,1,IF(EXACT(K1253,"keine"),IF(K$3=K$12,1,0),IF(EXACT(K1253,"beste"),IF(K$3=K1148,1,0),IF(K$3=K938,1,0)))))</f>
        <v/>
      </c>
      <c r="L1358" s="62">
        <f>IF(L203=0,0,IF(L$15&lt;=1,1,IF(EXACT(L1253,"keine"),IF(L$3=L$12,1,0),IF(EXACT(L1253,"beste"),IF(L$3=L1148,1,0),IF(L$3=L938,1,0)))))</f>
        <v/>
      </c>
      <c r="M1358" s="62">
        <f>IF(M203=0,0,IF(M$15&lt;=1,1,IF(EXACT(M1253,"keine"),IF(M$3=M$12,1,0),IF(EXACT(M1253,"beste"),IF(M$3=M1148,1,0),IF(M$3=M938,1,0)))))</f>
        <v/>
      </c>
      <c r="N1358" s="62">
        <f>IF(N203=0,0,IF(N$15&lt;=1,1,IF(EXACT(N1253,"keine"),IF(N$3=N$12,1,0),IF(EXACT(N1253,"beste"),IF(N$3=N1148,1,0),IF(N$3=N938,1,0)))))</f>
        <v/>
      </c>
      <c r="O1358" s="62">
        <f>IF(O203=0,0,IF(O$15&lt;=1,1,IF(EXACT(O1253,"keine"),IF(O$3=O$12,1,0),IF(EXACT(O1253,"beste"),IF(O$3=O1148,1,0),IF(O$3=O938,1,0)))))</f>
        <v/>
      </c>
      <c r="P1358" s="62">
        <f>IF(P203=0,0,IF(P$15&lt;=1,1,IF(EXACT(P1253,"keine"),IF(P$3=P$12,1,0),IF(EXACT(P1253,"beste"),IF(P$3=P1148,1,0),IF(P$3=P938,1,0)))))</f>
        <v/>
      </c>
      <c r="Q1358" s="62">
        <f>IF(Q203=0,0,IF(Q$15&lt;=1,1,IF(EXACT(Q1253,"keine"),IF(Q$3=Q$12,1,0),IF(EXACT(Q1253,"beste"),IF(Q$3=Q1148,1,0),IF(Q$3=Q938,1,0)))))</f>
        <v/>
      </c>
      <c r="R1358" s="62">
        <f>IF(R203=0,0,IF(R$15&lt;=1,1,IF(EXACT(R1253,"keine"),IF(R$3=R$12,1,0),IF(EXACT(R1253,"beste"),IF(R$3=R1148,1,0),IF(R$3=R938,1,0)))))</f>
        <v/>
      </c>
      <c r="S1358" s="62">
        <f>IF(S203=0,0,IF(S$15&lt;=1,1,IF(EXACT(S1253,"keine"),IF(S$3=S$12,1,0),IF(EXACT(S1253,"beste"),IF(S$3=S1148,1,0),IF(S$3=S938,1,0)))))</f>
        <v/>
      </c>
      <c r="T1358" s="62">
        <f>IF(T203=0,0,IF(T$15&lt;=1,1,IF(EXACT(T1253,"keine"),IF(T$3=T$12,1,0),IF(EXACT(T1253,"beste"),IF(T$3=T1148,1,0),IF(T$3=T938,1,0)))))</f>
        <v/>
      </c>
      <c r="U1358" s="62">
        <f>IF(U203=0,0,IF(U$15&lt;=1,1,IF(EXACT(U1253,"keine"),IF(U$3=U$12,1,0),IF(EXACT(U1253,"beste"),IF(U$3=U1148,1,0),IF(U$3=U938,1,0)))))</f>
        <v/>
      </c>
      <c r="V1358" s="62">
        <f>IF(V203=0,0,IF(V$15&lt;=1,1,IF(EXACT(V1253,"keine"),IF(V$3=V$12,1,0),IF(EXACT(V1253,"beste"),IF(V$3=V1148,1,0),IF(V$3=V938,1,0)))))</f>
        <v/>
      </c>
    </row>
    <row r="1359">
      <c r="C1359" s="62">
        <f>IF(C204=0,0,IF(C$15&lt;=1,1,IF(EXACT(C1254,"keine"),IF(C$3=C$12,1,0),IF(EXACT(C1254,"beste"),IF(C$3=C1149,1,0),IF(C$3=C939,1,0)))))</f>
        <v/>
      </c>
      <c r="D1359" s="62">
        <f>IF(D204=0,0,IF(D$15&lt;=1,1,IF(EXACT(D1254,"keine"),IF(D$3=D$12,1,0),IF(EXACT(D1254,"beste"),IF(D$3=D1149,1,0),IF(D$3=D939,1,0)))))</f>
        <v/>
      </c>
      <c r="E1359" s="62">
        <f>IF(E204=0,0,IF(E$15&lt;=1,1,IF(EXACT(E1254,"keine"),IF(E$3=E$12,1,0),IF(EXACT(E1254,"beste"),IF(E$3=E1149,1,0),IF(E$3=E939,1,0)))))</f>
        <v/>
      </c>
      <c r="F1359" s="62">
        <f>IF(F204=0,0,IF(F$15&lt;=1,1,IF(EXACT(F1254,"keine"),IF(F$3=F$12,1,0),IF(EXACT(F1254,"beste"),IF(F$3=F1149,1,0),IF(F$3=F939,1,0)))))</f>
        <v/>
      </c>
      <c r="G1359" s="62">
        <f>IF(G204=0,0,IF(G$15&lt;=1,1,IF(EXACT(G1254,"keine"),IF(G$3=G$12,1,0),IF(EXACT(G1254,"beste"),IF(G$3=G1149,1,0),IF(G$3=G939,1,0)))))</f>
        <v/>
      </c>
      <c r="H1359" s="62">
        <f>IF(H204=0,0,IF(H$15&lt;=1,1,IF(EXACT(H1254,"keine"),IF(H$3=H$12,1,0),IF(EXACT(H1254,"beste"),IF(H$3=H1149,1,0),IF(H$3=H939,1,0)))))</f>
        <v/>
      </c>
      <c r="I1359" s="62">
        <f>IF(I204=0,0,IF(I$15&lt;=1,1,IF(EXACT(I1254,"keine"),IF(I$3=I$12,1,0),IF(EXACT(I1254,"beste"),IF(I$3=I1149,1,0),IF(I$3=I939,1,0)))))</f>
        <v/>
      </c>
      <c r="J1359" s="62">
        <f>IF(J204=0,0,IF(J$15&lt;=1,1,IF(EXACT(J1254,"keine"),IF(J$3=J$12,1,0),IF(EXACT(J1254,"beste"),IF(J$3=J1149,1,0),IF(J$3=J939,1,0)))))</f>
        <v/>
      </c>
      <c r="K1359" s="62">
        <f>IF(K204=0,0,IF(K$15&lt;=1,1,IF(EXACT(K1254,"keine"),IF(K$3=K$12,1,0),IF(EXACT(K1254,"beste"),IF(K$3=K1149,1,0),IF(K$3=K939,1,0)))))</f>
        <v/>
      </c>
      <c r="L1359" s="62">
        <f>IF(L204=0,0,IF(L$15&lt;=1,1,IF(EXACT(L1254,"keine"),IF(L$3=L$12,1,0),IF(EXACT(L1254,"beste"),IF(L$3=L1149,1,0),IF(L$3=L939,1,0)))))</f>
        <v/>
      </c>
      <c r="M1359" s="62">
        <f>IF(M204=0,0,IF(M$15&lt;=1,1,IF(EXACT(M1254,"keine"),IF(M$3=M$12,1,0),IF(EXACT(M1254,"beste"),IF(M$3=M1149,1,0),IF(M$3=M939,1,0)))))</f>
        <v/>
      </c>
      <c r="N1359" s="62">
        <f>IF(N204=0,0,IF(N$15&lt;=1,1,IF(EXACT(N1254,"keine"),IF(N$3=N$12,1,0),IF(EXACT(N1254,"beste"),IF(N$3=N1149,1,0),IF(N$3=N939,1,0)))))</f>
        <v/>
      </c>
      <c r="O1359" s="62">
        <f>IF(O204=0,0,IF(O$15&lt;=1,1,IF(EXACT(O1254,"keine"),IF(O$3=O$12,1,0),IF(EXACT(O1254,"beste"),IF(O$3=O1149,1,0),IF(O$3=O939,1,0)))))</f>
        <v/>
      </c>
      <c r="P1359" s="62">
        <f>IF(P204=0,0,IF(P$15&lt;=1,1,IF(EXACT(P1254,"keine"),IF(P$3=P$12,1,0),IF(EXACT(P1254,"beste"),IF(P$3=P1149,1,0),IF(P$3=P939,1,0)))))</f>
        <v/>
      </c>
      <c r="Q1359" s="62">
        <f>IF(Q204=0,0,IF(Q$15&lt;=1,1,IF(EXACT(Q1254,"keine"),IF(Q$3=Q$12,1,0),IF(EXACT(Q1254,"beste"),IF(Q$3=Q1149,1,0),IF(Q$3=Q939,1,0)))))</f>
        <v/>
      </c>
      <c r="R1359" s="62">
        <f>IF(R204=0,0,IF(R$15&lt;=1,1,IF(EXACT(R1254,"keine"),IF(R$3=R$12,1,0),IF(EXACT(R1254,"beste"),IF(R$3=R1149,1,0),IF(R$3=R939,1,0)))))</f>
        <v/>
      </c>
      <c r="S1359" s="62">
        <f>IF(S204=0,0,IF(S$15&lt;=1,1,IF(EXACT(S1254,"keine"),IF(S$3=S$12,1,0),IF(EXACT(S1254,"beste"),IF(S$3=S1149,1,0),IF(S$3=S939,1,0)))))</f>
        <v/>
      </c>
      <c r="T1359" s="62">
        <f>IF(T204=0,0,IF(T$15&lt;=1,1,IF(EXACT(T1254,"keine"),IF(T$3=T$12,1,0),IF(EXACT(T1254,"beste"),IF(T$3=T1149,1,0),IF(T$3=T939,1,0)))))</f>
        <v/>
      </c>
      <c r="U1359" s="62">
        <f>IF(U204=0,0,IF(U$15&lt;=1,1,IF(EXACT(U1254,"keine"),IF(U$3=U$12,1,0),IF(EXACT(U1254,"beste"),IF(U$3=U1149,1,0),IF(U$3=U939,1,0)))))</f>
        <v/>
      </c>
      <c r="V1359" s="62">
        <f>IF(V204=0,0,IF(V$15&lt;=1,1,IF(EXACT(V1254,"keine"),IF(V$3=V$12,1,0),IF(EXACT(V1254,"beste"),IF(V$3=V1149,1,0),IF(V$3=V939,1,0)))))</f>
        <v/>
      </c>
    </row>
    <row r="1360">
      <c r="C1360" s="62">
        <f>IF(C205=0,0,IF(C$15&lt;=1,1,IF(EXACT(C1255,"keine"),IF(C$3=C$12,1,0),IF(EXACT(C1255,"beste"),IF(C$3=C1150,1,0),IF(C$3=C940,1,0)))))</f>
        <v/>
      </c>
      <c r="D1360" s="62">
        <f>IF(D205=0,0,IF(D$15&lt;=1,1,IF(EXACT(D1255,"keine"),IF(D$3=D$12,1,0),IF(EXACT(D1255,"beste"),IF(D$3=D1150,1,0),IF(D$3=D940,1,0)))))</f>
        <v/>
      </c>
      <c r="E1360" s="62">
        <f>IF(E205=0,0,IF(E$15&lt;=1,1,IF(EXACT(E1255,"keine"),IF(E$3=E$12,1,0),IF(EXACT(E1255,"beste"),IF(E$3=E1150,1,0),IF(E$3=E940,1,0)))))</f>
        <v/>
      </c>
      <c r="F1360" s="62">
        <f>IF(F205=0,0,IF(F$15&lt;=1,1,IF(EXACT(F1255,"keine"),IF(F$3=F$12,1,0),IF(EXACT(F1255,"beste"),IF(F$3=F1150,1,0),IF(F$3=F940,1,0)))))</f>
        <v/>
      </c>
      <c r="G1360" s="62">
        <f>IF(G205=0,0,IF(G$15&lt;=1,1,IF(EXACT(G1255,"keine"),IF(G$3=G$12,1,0),IF(EXACT(G1255,"beste"),IF(G$3=G1150,1,0),IF(G$3=G940,1,0)))))</f>
        <v/>
      </c>
      <c r="H1360" s="62">
        <f>IF(H205=0,0,IF(H$15&lt;=1,1,IF(EXACT(H1255,"keine"),IF(H$3=H$12,1,0),IF(EXACT(H1255,"beste"),IF(H$3=H1150,1,0),IF(H$3=H940,1,0)))))</f>
        <v/>
      </c>
      <c r="I1360" s="62">
        <f>IF(I205=0,0,IF(I$15&lt;=1,1,IF(EXACT(I1255,"keine"),IF(I$3=I$12,1,0),IF(EXACT(I1255,"beste"),IF(I$3=I1150,1,0),IF(I$3=I940,1,0)))))</f>
        <v/>
      </c>
      <c r="J1360" s="62">
        <f>IF(J205=0,0,IF(J$15&lt;=1,1,IF(EXACT(J1255,"keine"),IF(J$3=J$12,1,0),IF(EXACT(J1255,"beste"),IF(J$3=J1150,1,0),IF(J$3=J940,1,0)))))</f>
        <v/>
      </c>
      <c r="K1360" s="62">
        <f>IF(K205=0,0,IF(K$15&lt;=1,1,IF(EXACT(K1255,"keine"),IF(K$3=K$12,1,0),IF(EXACT(K1255,"beste"),IF(K$3=K1150,1,0),IF(K$3=K940,1,0)))))</f>
        <v/>
      </c>
      <c r="L1360" s="62">
        <f>IF(L205=0,0,IF(L$15&lt;=1,1,IF(EXACT(L1255,"keine"),IF(L$3=L$12,1,0),IF(EXACT(L1255,"beste"),IF(L$3=L1150,1,0),IF(L$3=L940,1,0)))))</f>
        <v/>
      </c>
      <c r="M1360" s="62">
        <f>IF(M205=0,0,IF(M$15&lt;=1,1,IF(EXACT(M1255,"keine"),IF(M$3=M$12,1,0),IF(EXACT(M1255,"beste"),IF(M$3=M1150,1,0),IF(M$3=M940,1,0)))))</f>
        <v/>
      </c>
      <c r="N1360" s="62">
        <f>IF(N205=0,0,IF(N$15&lt;=1,1,IF(EXACT(N1255,"keine"),IF(N$3=N$12,1,0),IF(EXACT(N1255,"beste"),IF(N$3=N1150,1,0),IF(N$3=N940,1,0)))))</f>
        <v/>
      </c>
      <c r="O1360" s="62">
        <f>IF(O205=0,0,IF(O$15&lt;=1,1,IF(EXACT(O1255,"keine"),IF(O$3=O$12,1,0),IF(EXACT(O1255,"beste"),IF(O$3=O1150,1,0),IF(O$3=O940,1,0)))))</f>
        <v/>
      </c>
      <c r="P1360" s="62">
        <f>IF(P205=0,0,IF(P$15&lt;=1,1,IF(EXACT(P1255,"keine"),IF(P$3=P$12,1,0),IF(EXACT(P1255,"beste"),IF(P$3=P1150,1,0),IF(P$3=P940,1,0)))))</f>
        <v/>
      </c>
      <c r="Q1360" s="62">
        <f>IF(Q205=0,0,IF(Q$15&lt;=1,1,IF(EXACT(Q1255,"keine"),IF(Q$3=Q$12,1,0),IF(EXACT(Q1255,"beste"),IF(Q$3=Q1150,1,0),IF(Q$3=Q940,1,0)))))</f>
        <v/>
      </c>
      <c r="R1360" s="62">
        <f>IF(R205=0,0,IF(R$15&lt;=1,1,IF(EXACT(R1255,"keine"),IF(R$3=R$12,1,0),IF(EXACT(R1255,"beste"),IF(R$3=R1150,1,0),IF(R$3=R940,1,0)))))</f>
        <v/>
      </c>
      <c r="S1360" s="62">
        <f>IF(S205=0,0,IF(S$15&lt;=1,1,IF(EXACT(S1255,"keine"),IF(S$3=S$12,1,0),IF(EXACT(S1255,"beste"),IF(S$3=S1150,1,0),IF(S$3=S940,1,0)))))</f>
        <v/>
      </c>
      <c r="T1360" s="62">
        <f>IF(T205=0,0,IF(T$15&lt;=1,1,IF(EXACT(T1255,"keine"),IF(T$3=T$12,1,0),IF(EXACT(T1255,"beste"),IF(T$3=T1150,1,0),IF(T$3=T940,1,0)))))</f>
        <v/>
      </c>
      <c r="U1360" s="62">
        <f>IF(U205=0,0,IF(U$15&lt;=1,1,IF(EXACT(U1255,"keine"),IF(U$3=U$12,1,0),IF(EXACT(U1255,"beste"),IF(U$3=U1150,1,0),IF(U$3=U940,1,0)))))</f>
        <v/>
      </c>
      <c r="V1360" s="62">
        <f>IF(V205=0,0,IF(V$15&lt;=1,1,IF(EXACT(V1255,"keine"),IF(V$3=V$12,1,0),IF(EXACT(V1255,"beste"),IF(V$3=V1150,1,0),IF(V$3=V940,1,0)))))</f>
        <v/>
      </c>
    </row>
    <row r="1361">
      <c r="C1361" s="62">
        <f>IF(C206=0,0,IF(C$15&lt;=1,1,IF(EXACT(C1256,"keine"),IF(C$3=C$12,1,0),IF(EXACT(C1256,"beste"),IF(C$3=C1151,1,0),IF(C$3=C941,1,0)))))</f>
        <v/>
      </c>
      <c r="D1361" s="62">
        <f>IF(D206=0,0,IF(D$15&lt;=1,1,IF(EXACT(D1256,"keine"),IF(D$3=D$12,1,0),IF(EXACT(D1256,"beste"),IF(D$3=D1151,1,0),IF(D$3=D941,1,0)))))</f>
        <v/>
      </c>
      <c r="E1361" s="62">
        <f>IF(E206=0,0,IF(E$15&lt;=1,1,IF(EXACT(E1256,"keine"),IF(E$3=E$12,1,0),IF(EXACT(E1256,"beste"),IF(E$3=E1151,1,0),IF(E$3=E941,1,0)))))</f>
        <v/>
      </c>
      <c r="F1361" s="62">
        <f>IF(F206=0,0,IF(F$15&lt;=1,1,IF(EXACT(F1256,"keine"),IF(F$3=F$12,1,0),IF(EXACT(F1256,"beste"),IF(F$3=F1151,1,0),IF(F$3=F941,1,0)))))</f>
        <v/>
      </c>
      <c r="G1361" s="62">
        <f>IF(G206=0,0,IF(G$15&lt;=1,1,IF(EXACT(G1256,"keine"),IF(G$3=G$12,1,0),IF(EXACT(G1256,"beste"),IF(G$3=G1151,1,0),IF(G$3=G941,1,0)))))</f>
        <v/>
      </c>
      <c r="H1361" s="62">
        <f>IF(H206=0,0,IF(H$15&lt;=1,1,IF(EXACT(H1256,"keine"),IF(H$3=H$12,1,0),IF(EXACT(H1256,"beste"),IF(H$3=H1151,1,0),IF(H$3=H941,1,0)))))</f>
        <v/>
      </c>
      <c r="I1361" s="62">
        <f>IF(I206=0,0,IF(I$15&lt;=1,1,IF(EXACT(I1256,"keine"),IF(I$3=I$12,1,0),IF(EXACT(I1256,"beste"),IF(I$3=I1151,1,0),IF(I$3=I941,1,0)))))</f>
        <v/>
      </c>
      <c r="J1361" s="62">
        <f>IF(J206=0,0,IF(J$15&lt;=1,1,IF(EXACT(J1256,"keine"),IF(J$3=J$12,1,0),IF(EXACT(J1256,"beste"),IF(J$3=J1151,1,0),IF(J$3=J941,1,0)))))</f>
        <v/>
      </c>
      <c r="K1361" s="62">
        <f>IF(K206=0,0,IF(K$15&lt;=1,1,IF(EXACT(K1256,"keine"),IF(K$3=K$12,1,0),IF(EXACT(K1256,"beste"),IF(K$3=K1151,1,0),IF(K$3=K941,1,0)))))</f>
        <v/>
      </c>
      <c r="L1361" s="62">
        <f>IF(L206=0,0,IF(L$15&lt;=1,1,IF(EXACT(L1256,"keine"),IF(L$3=L$12,1,0),IF(EXACT(L1256,"beste"),IF(L$3=L1151,1,0),IF(L$3=L941,1,0)))))</f>
        <v/>
      </c>
      <c r="M1361" s="62">
        <f>IF(M206=0,0,IF(M$15&lt;=1,1,IF(EXACT(M1256,"keine"),IF(M$3=M$12,1,0),IF(EXACT(M1256,"beste"),IF(M$3=M1151,1,0),IF(M$3=M941,1,0)))))</f>
        <v/>
      </c>
      <c r="N1361" s="62">
        <f>IF(N206=0,0,IF(N$15&lt;=1,1,IF(EXACT(N1256,"keine"),IF(N$3=N$12,1,0),IF(EXACT(N1256,"beste"),IF(N$3=N1151,1,0),IF(N$3=N941,1,0)))))</f>
        <v/>
      </c>
      <c r="O1361" s="62">
        <f>IF(O206=0,0,IF(O$15&lt;=1,1,IF(EXACT(O1256,"keine"),IF(O$3=O$12,1,0),IF(EXACT(O1256,"beste"),IF(O$3=O1151,1,0),IF(O$3=O941,1,0)))))</f>
        <v/>
      </c>
      <c r="P1361" s="62">
        <f>IF(P206=0,0,IF(P$15&lt;=1,1,IF(EXACT(P1256,"keine"),IF(P$3=P$12,1,0),IF(EXACT(P1256,"beste"),IF(P$3=P1151,1,0),IF(P$3=P941,1,0)))))</f>
        <v/>
      </c>
      <c r="Q1361" s="62">
        <f>IF(Q206=0,0,IF(Q$15&lt;=1,1,IF(EXACT(Q1256,"keine"),IF(Q$3=Q$12,1,0),IF(EXACT(Q1256,"beste"),IF(Q$3=Q1151,1,0),IF(Q$3=Q941,1,0)))))</f>
        <v/>
      </c>
      <c r="R1361" s="62">
        <f>IF(R206=0,0,IF(R$15&lt;=1,1,IF(EXACT(R1256,"keine"),IF(R$3=R$12,1,0),IF(EXACT(R1256,"beste"),IF(R$3=R1151,1,0),IF(R$3=R941,1,0)))))</f>
        <v/>
      </c>
      <c r="S1361" s="62">
        <f>IF(S206=0,0,IF(S$15&lt;=1,1,IF(EXACT(S1256,"keine"),IF(S$3=S$12,1,0),IF(EXACT(S1256,"beste"),IF(S$3=S1151,1,0),IF(S$3=S941,1,0)))))</f>
        <v/>
      </c>
      <c r="T1361" s="62">
        <f>IF(T206=0,0,IF(T$15&lt;=1,1,IF(EXACT(T1256,"keine"),IF(T$3=T$12,1,0),IF(EXACT(T1256,"beste"),IF(T$3=T1151,1,0),IF(T$3=T941,1,0)))))</f>
        <v/>
      </c>
      <c r="U1361" s="62">
        <f>IF(U206=0,0,IF(U$15&lt;=1,1,IF(EXACT(U1256,"keine"),IF(U$3=U$12,1,0),IF(EXACT(U1256,"beste"),IF(U$3=U1151,1,0),IF(U$3=U941,1,0)))))</f>
        <v/>
      </c>
      <c r="V1361" s="62">
        <f>IF(V206=0,0,IF(V$15&lt;=1,1,IF(EXACT(V1256,"keine"),IF(V$3=V$12,1,0),IF(EXACT(V1256,"beste"),IF(V$3=V1151,1,0),IF(V$3=V941,1,0)))))</f>
        <v/>
      </c>
    </row>
    <row r="1362">
      <c r="C1362" s="62">
        <f>IF(C207=0,0,IF(C$15&lt;=1,1,IF(EXACT(C1257,"keine"),IF(C$3=C$12,1,0),IF(EXACT(C1257,"beste"),IF(C$3=C1152,1,0),IF(C$3=C942,1,0)))))</f>
        <v/>
      </c>
      <c r="D1362" s="62">
        <f>IF(D207=0,0,IF(D$15&lt;=1,1,IF(EXACT(D1257,"keine"),IF(D$3=D$12,1,0),IF(EXACT(D1257,"beste"),IF(D$3=D1152,1,0),IF(D$3=D942,1,0)))))</f>
        <v/>
      </c>
      <c r="E1362" s="62">
        <f>IF(E207=0,0,IF(E$15&lt;=1,1,IF(EXACT(E1257,"keine"),IF(E$3=E$12,1,0),IF(EXACT(E1257,"beste"),IF(E$3=E1152,1,0),IF(E$3=E942,1,0)))))</f>
        <v/>
      </c>
      <c r="F1362" s="62">
        <f>IF(F207=0,0,IF(F$15&lt;=1,1,IF(EXACT(F1257,"keine"),IF(F$3=F$12,1,0),IF(EXACT(F1257,"beste"),IF(F$3=F1152,1,0),IF(F$3=F942,1,0)))))</f>
        <v/>
      </c>
      <c r="G1362" s="62">
        <f>IF(G207=0,0,IF(G$15&lt;=1,1,IF(EXACT(G1257,"keine"),IF(G$3=G$12,1,0),IF(EXACT(G1257,"beste"),IF(G$3=G1152,1,0),IF(G$3=G942,1,0)))))</f>
        <v/>
      </c>
      <c r="H1362" s="62">
        <f>IF(H207=0,0,IF(H$15&lt;=1,1,IF(EXACT(H1257,"keine"),IF(H$3=H$12,1,0),IF(EXACT(H1257,"beste"),IF(H$3=H1152,1,0),IF(H$3=H942,1,0)))))</f>
        <v/>
      </c>
      <c r="I1362" s="62">
        <f>IF(I207=0,0,IF(I$15&lt;=1,1,IF(EXACT(I1257,"keine"),IF(I$3=I$12,1,0),IF(EXACT(I1257,"beste"),IF(I$3=I1152,1,0),IF(I$3=I942,1,0)))))</f>
        <v/>
      </c>
      <c r="J1362" s="62">
        <f>IF(J207=0,0,IF(J$15&lt;=1,1,IF(EXACT(J1257,"keine"),IF(J$3=J$12,1,0),IF(EXACT(J1257,"beste"),IF(J$3=J1152,1,0),IF(J$3=J942,1,0)))))</f>
        <v/>
      </c>
      <c r="K1362" s="62">
        <f>IF(K207=0,0,IF(K$15&lt;=1,1,IF(EXACT(K1257,"keine"),IF(K$3=K$12,1,0),IF(EXACT(K1257,"beste"),IF(K$3=K1152,1,0),IF(K$3=K942,1,0)))))</f>
        <v/>
      </c>
      <c r="L1362" s="62">
        <f>IF(L207=0,0,IF(L$15&lt;=1,1,IF(EXACT(L1257,"keine"),IF(L$3=L$12,1,0),IF(EXACT(L1257,"beste"),IF(L$3=L1152,1,0),IF(L$3=L942,1,0)))))</f>
        <v/>
      </c>
      <c r="M1362" s="62">
        <f>IF(M207=0,0,IF(M$15&lt;=1,1,IF(EXACT(M1257,"keine"),IF(M$3=M$12,1,0),IF(EXACT(M1257,"beste"),IF(M$3=M1152,1,0),IF(M$3=M942,1,0)))))</f>
        <v/>
      </c>
      <c r="N1362" s="62">
        <f>IF(N207=0,0,IF(N$15&lt;=1,1,IF(EXACT(N1257,"keine"),IF(N$3=N$12,1,0),IF(EXACT(N1257,"beste"),IF(N$3=N1152,1,0),IF(N$3=N942,1,0)))))</f>
        <v/>
      </c>
      <c r="O1362" s="62">
        <f>IF(O207=0,0,IF(O$15&lt;=1,1,IF(EXACT(O1257,"keine"),IF(O$3=O$12,1,0),IF(EXACT(O1257,"beste"),IF(O$3=O1152,1,0),IF(O$3=O942,1,0)))))</f>
        <v/>
      </c>
      <c r="P1362" s="62">
        <f>IF(P207=0,0,IF(P$15&lt;=1,1,IF(EXACT(P1257,"keine"),IF(P$3=P$12,1,0),IF(EXACT(P1257,"beste"),IF(P$3=P1152,1,0),IF(P$3=P942,1,0)))))</f>
        <v/>
      </c>
      <c r="Q1362" s="62">
        <f>IF(Q207=0,0,IF(Q$15&lt;=1,1,IF(EXACT(Q1257,"keine"),IF(Q$3=Q$12,1,0),IF(EXACT(Q1257,"beste"),IF(Q$3=Q1152,1,0),IF(Q$3=Q942,1,0)))))</f>
        <v/>
      </c>
      <c r="R1362" s="62">
        <f>IF(R207=0,0,IF(R$15&lt;=1,1,IF(EXACT(R1257,"keine"),IF(R$3=R$12,1,0),IF(EXACT(R1257,"beste"),IF(R$3=R1152,1,0),IF(R$3=R942,1,0)))))</f>
        <v/>
      </c>
      <c r="S1362" s="62">
        <f>IF(S207=0,0,IF(S$15&lt;=1,1,IF(EXACT(S1257,"keine"),IF(S$3=S$12,1,0),IF(EXACT(S1257,"beste"),IF(S$3=S1152,1,0),IF(S$3=S942,1,0)))))</f>
        <v/>
      </c>
      <c r="T1362" s="62">
        <f>IF(T207=0,0,IF(T$15&lt;=1,1,IF(EXACT(T1257,"keine"),IF(T$3=T$12,1,0),IF(EXACT(T1257,"beste"),IF(T$3=T1152,1,0),IF(T$3=T942,1,0)))))</f>
        <v/>
      </c>
      <c r="U1362" s="62">
        <f>IF(U207=0,0,IF(U$15&lt;=1,1,IF(EXACT(U1257,"keine"),IF(U$3=U$12,1,0),IF(EXACT(U1257,"beste"),IF(U$3=U1152,1,0),IF(U$3=U942,1,0)))))</f>
        <v/>
      </c>
      <c r="V1362" s="62">
        <f>IF(V207=0,0,IF(V$15&lt;=1,1,IF(EXACT(V1257,"keine"),IF(V$3=V$12,1,0),IF(EXACT(V1257,"beste"),IF(V$3=V1152,1,0),IF(V$3=V942,1,0)))))</f>
        <v/>
      </c>
    </row>
    <row r="1363">
      <c r="C1363" s="62">
        <f>IF(C208=0,0,IF(C$15&lt;=1,1,IF(EXACT(C1258,"keine"),IF(C$3=C$12,1,0),IF(EXACT(C1258,"beste"),IF(C$3=C1153,1,0),IF(C$3=C943,1,0)))))</f>
        <v/>
      </c>
      <c r="D1363" s="62">
        <f>IF(D208=0,0,IF(D$15&lt;=1,1,IF(EXACT(D1258,"keine"),IF(D$3=D$12,1,0),IF(EXACT(D1258,"beste"),IF(D$3=D1153,1,0),IF(D$3=D943,1,0)))))</f>
        <v/>
      </c>
      <c r="E1363" s="62">
        <f>IF(E208=0,0,IF(E$15&lt;=1,1,IF(EXACT(E1258,"keine"),IF(E$3=E$12,1,0),IF(EXACT(E1258,"beste"),IF(E$3=E1153,1,0),IF(E$3=E943,1,0)))))</f>
        <v/>
      </c>
      <c r="F1363" s="62">
        <f>IF(F208=0,0,IF(F$15&lt;=1,1,IF(EXACT(F1258,"keine"),IF(F$3=F$12,1,0),IF(EXACT(F1258,"beste"),IF(F$3=F1153,1,0),IF(F$3=F943,1,0)))))</f>
        <v/>
      </c>
      <c r="G1363" s="62">
        <f>IF(G208=0,0,IF(G$15&lt;=1,1,IF(EXACT(G1258,"keine"),IF(G$3=G$12,1,0),IF(EXACT(G1258,"beste"),IF(G$3=G1153,1,0),IF(G$3=G943,1,0)))))</f>
        <v/>
      </c>
      <c r="H1363" s="62">
        <f>IF(H208=0,0,IF(H$15&lt;=1,1,IF(EXACT(H1258,"keine"),IF(H$3=H$12,1,0),IF(EXACT(H1258,"beste"),IF(H$3=H1153,1,0),IF(H$3=H943,1,0)))))</f>
        <v/>
      </c>
      <c r="I1363" s="62">
        <f>IF(I208=0,0,IF(I$15&lt;=1,1,IF(EXACT(I1258,"keine"),IF(I$3=I$12,1,0),IF(EXACT(I1258,"beste"),IF(I$3=I1153,1,0),IF(I$3=I943,1,0)))))</f>
        <v/>
      </c>
      <c r="J1363" s="62">
        <f>IF(J208=0,0,IF(J$15&lt;=1,1,IF(EXACT(J1258,"keine"),IF(J$3=J$12,1,0),IF(EXACT(J1258,"beste"),IF(J$3=J1153,1,0),IF(J$3=J943,1,0)))))</f>
        <v/>
      </c>
      <c r="K1363" s="62">
        <f>IF(K208=0,0,IF(K$15&lt;=1,1,IF(EXACT(K1258,"keine"),IF(K$3=K$12,1,0),IF(EXACT(K1258,"beste"),IF(K$3=K1153,1,0),IF(K$3=K943,1,0)))))</f>
        <v/>
      </c>
      <c r="L1363" s="62">
        <f>IF(L208=0,0,IF(L$15&lt;=1,1,IF(EXACT(L1258,"keine"),IF(L$3=L$12,1,0),IF(EXACT(L1258,"beste"),IF(L$3=L1153,1,0),IF(L$3=L943,1,0)))))</f>
        <v/>
      </c>
      <c r="M1363" s="62">
        <f>IF(M208=0,0,IF(M$15&lt;=1,1,IF(EXACT(M1258,"keine"),IF(M$3=M$12,1,0),IF(EXACT(M1258,"beste"),IF(M$3=M1153,1,0),IF(M$3=M943,1,0)))))</f>
        <v/>
      </c>
      <c r="N1363" s="62">
        <f>IF(N208=0,0,IF(N$15&lt;=1,1,IF(EXACT(N1258,"keine"),IF(N$3=N$12,1,0),IF(EXACT(N1258,"beste"),IF(N$3=N1153,1,0),IF(N$3=N943,1,0)))))</f>
        <v/>
      </c>
      <c r="O1363" s="62">
        <f>IF(O208=0,0,IF(O$15&lt;=1,1,IF(EXACT(O1258,"keine"),IF(O$3=O$12,1,0),IF(EXACT(O1258,"beste"),IF(O$3=O1153,1,0),IF(O$3=O943,1,0)))))</f>
        <v/>
      </c>
      <c r="P1363" s="62">
        <f>IF(P208=0,0,IF(P$15&lt;=1,1,IF(EXACT(P1258,"keine"),IF(P$3=P$12,1,0),IF(EXACT(P1258,"beste"),IF(P$3=P1153,1,0),IF(P$3=P943,1,0)))))</f>
        <v/>
      </c>
      <c r="Q1363" s="62">
        <f>IF(Q208=0,0,IF(Q$15&lt;=1,1,IF(EXACT(Q1258,"keine"),IF(Q$3=Q$12,1,0),IF(EXACT(Q1258,"beste"),IF(Q$3=Q1153,1,0),IF(Q$3=Q943,1,0)))))</f>
        <v/>
      </c>
      <c r="R1363" s="62">
        <f>IF(R208=0,0,IF(R$15&lt;=1,1,IF(EXACT(R1258,"keine"),IF(R$3=R$12,1,0),IF(EXACT(R1258,"beste"),IF(R$3=R1153,1,0),IF(R$3=R943,1,0)))))</f>
        <v/>
      </c>
      <c r="S1363" s="62">
        <f>IF(S208=0,0,IF(S$15&lt;=1,1,IF(EXACT(S1258,"keine"),IF(S$3=S$12,1,0),IF(EXACT(S1258,"beste"),IF(S$3=S1153,1,0),IF(S$3=S943,1,0)))))</f>
        <v/>
      </c>
      <c r="T1363" s="62">
        <f>IF(T208=0,0,IF(T$15&lt;=1,1,IF(EXACT(T1258,"keine"),IF(T$3=T$12,1,0),IF(EXACT(T1258,"beste"),IF(T$3=T1153,1,0),IF(T$3=T943,1,0)))))</f>
        <v/>
      </c>
      <c r="U1363" s="62">
        <f>IF(U208=0,0,IF(U$15&lt;=1,1,IF(EXACT(U1258,"keine"),IF(U$3=U$12,1,0),IF(EXACT(U1258,"beste"),IF(U$3=U1153,1,0),IF(U$3=U943,1,0)))))</f>
        <v/>
      </c>
      <c r="V1363" s="62">
        <f>IF(V208=0,0,IF(V$15&lt;=1,1,IF(EXACT(V1258,"keine"),IF(V$3=V$12,1,0),IF(EXACT(V1258,"beste"),IF(V$3=V1153,1,0),IF(V$3=V943,1,0)))))</f>
        <v/>
      </c>
    </row>
    <row r="1364">
      <c r="C1364" s="62">
        <f>IF(C209=0,0,IF(C$15&lt;=1,1,IF(EXACT(C1259,"keine"),IF(C$3=C$12,1,0),IF(EXACT(C1259,"beste"),IF(C$3=C1154,1,0),IF(C$3=C944,1,0)))))</f>
        <v/>
      </c>
      <c r="D1364" s="62">
        <f>IF(D209=0,0,IF(D$15&lt;=1,1,IF(EXACT(D1259,"keine"),IF(D$3=D$12,1,0),IF(EXACT(D1259,"beste"),IF(D$3=D1154,1,0),IF(D$3=D944,1,0)))))</f>
        <v/>
      </c>
      <c r="E1364" s="62">
        <f>IF(E209=0,0,IF(E$15&lt;=1,1,IF(EXACT(E1259,"keine"),IF(E$3=E$12,1,0),IF(EXACT(E1259,"beste"),IF(E$3=E1154,1,0),IF(E$3=E944,1,0)))))</f>
        <v/>
      </c>
      <c r="F1364" s="62">
        <f>IF(F209=0,0,IF(F$15&lt;=1,1,IF(EXACT(F1259,"keine"),IF(F$3=F$12,1,0),IF(EXACT(F1259,"beste"),IF(F$3=F1154,1,0),IF(F$3=F944,1,0)))))</f>
        <v/>
      </c>
      <c r="G1364" s="62">
        <f>IF(G209=0,0,IF(G$15&lt;=1,1,IF(EXACT(G1259,"keine"),IF(G$3=G$12,1,0),IF(EXACT(G1259,"beste"),IF(G$3=G1154,1,0),IF(G$3=G944,1,0)))))</f>
        <v/>
      </c>
      <c r="H1364" s="62">
        <f>IF(H209=0,0,IF(H$15&lt;=1,1,IF(EXACT(H1259,"keine"),IF(H$3=H$12,1,0),IF(EXACT(H1259,"beste"),IF(H$3=H1154,1,0),IF(H$3=H944,1,0)))))</f>
        <v/>
      </c>
      <c r="I1364" s="62">
        <f>IF(I209=0,0,IF(I$15&lt;=1,1,IF(EXACT(I1259,"keine"),IF(I$3=I$12,1,0),IF(EXACT(I1259,"beste"),IF(I$3=I1154,1,0),IF(I$3=I944,1,0)))))</f>
        <v/>
      </c>
      <c r="J1364" s="62">
        <f>IF(J209=0,0,IF(J$15&lt;=1,1,IF(EXACT(J1259,"keine"),IF(J$3=J$12,1,0),IF(EXACT(J1259,"beste"),IF(J$3=J1154,1,0),IF(J$3=J944,1,0)))))</f>
        <v/>
      </c>
      <c r="K1364" s="62">
        <f>IF(K209=0,0,IF(K$15&lt;=1,1,IF(EXACT(K1259,"keine"),IF(K$3=K$12,1,0),IF(EXACT(K1259,"beste"),IF(K$3=K1154,1,0),IF(K$3=K944,1,0)))))</f>
        <v/>
      </c>
      <c r="L1364" s="62">
        <f>IF(L209=0,0,IF(L$15&lt;=1,1,IF(EXACT(L1259,"keine"),IF(L$3=L$12,1,0),IF(EXACT(L1259,"beste"),IF(L$3=L1154,1,0),IF(L$3=L944,1,0)))))</f>
        <v/>
      </c>
      <c r="M1364" s="62">
        <f>IF(M209=0,0,IF(M$15&lt;=1,1,IF(EXACT(M1259,"keine"),IF(M$3=M$12,1,0),IF(EXACT(M1259,"beste"),IF(M$3=M1154,1,0),IF(M$3=M944,1,0)))))</f>
        <v/>
      </c>
      <c r="N1364" s="62">
        <f>IF(N209=0,0,IF(N$15&lt;=1,1,IF(EXACT(N1259,"keine"),IF(N$3=N$12,1,0),IF(EXACT(N1259,"beste"),IF(N$3=N1154,1,0),IF(N$3=N944,1,0)))))</f>
        <v/>
      </c>
      <c r="O1364" s="62">
        <f>IF(O209=0,0,IF(O$15&lt;=1,1,IF(EXACT(O1259,"keine"),IF(O$3=O$12,1,0),IF(EXACT(O1259,"beste"),IF(O$3=O1154,1,0),IF(O$3=O944,1,0)))))</f>
        <v/>
      </c>
      <c r="P1364" s="62">
        <f>IF(P209=0,0,IF(P$15&lt;=1,1,IF(EXACT(P1259,"keine"),IF(P$3=P$12,1,0),IF(EXACT(P1259,"beste"),IF(P$3=P1154,1,0),IF(P$3=P944,1,0)))))</f>
        <v/>
      </c>
      <c r="Q1364" s="62">
        <f>IF(Q209=0,0,IF(Q$15&lt;=1,1,IF(EXACT(Q1259,"keine"),IF(Q$3=Q$12,1,0),IF(EXACT(Q1259,"beste"),IF(Q$3=Q1154,1,0),IF(Q$3=Q944,1,0)))))</f>
        <v/>
      </c>
      <c r="R1364" s="62">
        <f>IF(R209=0,0,IF(R$15&lt;=1,1,IF(EXACT(R1259,"keine"),IF(R$3=R$12,1,0),IF(EXACT(R1259,"beste"),IF(R$3=R1154,1,0),IF(R$3=R944,1,0)))))</f>
        <v/>
      </c>
      <c r="S1364" s="62">
        <f>IF(S209=0,0,IF(S$15&lt;=1,1,IF(EXACT(S1259,"keine"),IF(S$3=S$12,1,0),IF(EXACT(S1259,"beste"),IF(S$3=S1154,1,0),IF(S$3=S944,1,0)))))</f>
        <v/>
      </c>
      <c r="T1364" s="62">
        <f>IF(T209=0,0,IF(T$15&lt;=1,1,IF(EXACT(T1259,"keine"),IF(T$3=T$12,1,0),IF(EXACT(T1259,"beste"),IF(T$3=T1154,1,0),IF(T$3=T944,1,0)))))</f>
        <v/>
      </c>
      <c r="U1364" s="62">
        <f>IF(U209=0,0,IF(U$15&lt;=1,1,IF(EXACT(U1259,"keine"),IF(U$3=U$12,1,0),IF(EXACT(U1259,"beste"),IF(U$3=U1154,1,0),IF(U$3=U944,1,0)))))</f>
        <v/>
      </c>
      <c r="V1364" s="62">
        <f>IF(V209=0,0,IF(V$15&lt;=1,1,IF(EXACT(V1259,"keine"),IF(V$3=V$12,1,0),IF(EXACT(V1259,"beste"),IF(V$3=V1154,1,0),IF(V$3=V944,1,0)))))</f>
        <v/>
      </c>
    </row>
    <row r="1365">
      <c r="C1365" s="62">
        <f>IF(C210=0,0,IF(C$15&lt;=1,1,IF(EXACT(C1260,"keine"),IF(C$3=C$12,1,0),IF(EXACT(C1260,"beste"),IF(C$3=C1155,1,0),IF(C$3=C945,1,0)))))</f>
        <v/>
      </c>
      <c r="D1365" s="62">
        <f>IF(D210=0,0,IF(D$15&lt;=1,1,IF(EXACT(D1260,"keine"),IF(D$3=D$12,1,0),IF(EXACT(D1260,"beste"),IF(D$3=D1155,1,0),IF(D$3=D945,1,0)))))</f>
        <v/>
      </c>
      <c r="E1365" s="62">
        <f>IF(E210=0,0,IF(E$15&lt;=1,1,IF(EXACT(E1260,"keine"),IF(E$3=E$12,1,0),IF(EXACT(E1260,"beste"),IF(E$3=E1155,1,0),IF(E$3=E945,1,0)))))</f>
        <v/>
      </c>
      <c r="F1365" s="62">
        <f>IF(F210=0,0,IF(F$15&lt;=1,1,IF(EXACT(F1260,"keine"),IF(F$3=F$12,1,0),IF(EXACT(F1260,"beste"),IF(F$3=F1155,1,0),IF(F$3=F945,1,0)))))</f>
        <v/>
      </c>
      <c r="G1365" s="62">
        <f>IF(G210=0,0,IF(G$15&lt;=1,1,IF(EXACT(G1260,"keine"),IF(G$3=G$12,1,0),IF(EXACT(G1260,"beste"),IF(G$3=G1155,1,0),IF(G$3=G945,1,0)))))</f>
        <v/>
      </c>
      <c r="H1365" s="62">
        <f>IF(H210=0,0,IF(H$15&lt;=1,1,IF(EXACT(H1260,"keine"),IF(H$3=H$12,1,0),IF(EXACT(H1260,"beste"),IF(H$3=H1155,1,0),IF(H$3=H945,1,0)))))</f>
        <v/>
      </c>
      <c r="I1365" s="62">
        <f>IF(I210=0,0,IF(I$15&lt;=1,1,IF(EXACT(I1260,"keine"),IF(I$3=I$12,1,0),IF(EXACT(I1260,"beste"),IF(I$3=I1155,1,0),IF(I$3=I945,1,0)))))</f>
        <v/>
      </c>
      <c r="J1365" s="62">
        <f>IF(J210=0,0,IF(J$15&lt;=1,1,IF(EXACT(J1260,"keine"),IF(J$3=J$12,1,0),IF(EXACT(J1260,"beste"),IF(J$3=J1155,1,0),IF(J$3=J945,1,0)))))</f>
        <v/>
      </c>
      <c r="K1365" s="62">
        <f>IF(K210=0,0,IF(K$15&lt;=1,1,IF(EXACT(K1260,"keine"),IF(K$3=K$12,1,0),IF(EXACT(K1260,"beste"),IF(K$3=K1155,1,0),IF(K$3=K945,1,0)))))</f>
        <v/>
      </c>
      <c r="L1365" s="62">
        <f>IF(L210=0,0,IF(L$15&lt;=1,1,IF(EXACT(L1260,"keine"),IF(L$3=L$12,1,0),IF(EXACT(L1260,"beste"),IF(L$3=L1155,1,0),IF(L$3=L945,1,0)))))</f>
        <v/>
      </c>
      <c r="M1365" s="62">
        <f>IF(M210=0,0,IF(M$15&lt;=1,1,IF(EXACT(M1260,"keine"),IF(M$3=M$12,1,0),IF(EXACT(M1260,"beste"),IF(M$3=M1155,1,0),IF(M$3=M945,1,0)))))</f>
        <v/>
      </c>
      <c r="N1365" s="62">
        <f>IF(N210=0,0,IF(N$15&lt;=1,1,IF(EXACT(N1260,"keine"),IF(N$3=N$12,1,0),IF(EXACT(N1260,"beste"),IF(N$3=N1155,1,0),IF(N$3=N945,1,0)))))</f>
        <v/>
      </c>
      <c r="O1365" s="62">
        <f>IF(O210=0,0,IF(O$15&lt;=1,1,IF(EXACT(O1260,"keine"),IF(O$3=O$12,1,0),IF(EXACT(O1260,"beste"),IF(O$3=O1155,1,0),IF(O$3=O945,1,0)))))</f>
        <v/>
      </c>
      <c r="P1365" s="62">
        <f>IF(P210=0,0,IF(P$15&lt;=1,1,IF(EXACT(P1260,"keine"),IF(P$3=P$12,1,0),IF(EXACT(P1260,"beste"),IF(P$3=P1155,1,0),IF(P$3=P945,1,0)))))</f>
        <v/>
      </c>
      <c r="Q1365" s="62">
        <f>IF(Q210=0,0,IF(Q$15&lt;=1,1,IF(EXACT(Q1260,"keine"),IF(Q$3=Q$12,1,0),IF(EXACT(Q1260,"beste"),IF(Q$3=Q1155,1,0),IF(Q$3=Q945,1,0)))))</f>
        <v/>
      </c>
      <c r="R1365" s="62">
        <f>IF(R210=0,0,IF(R$15&lt;=1,1,IF(EXACT(R1260,"keine"),IF(R$3=R$12,1,0),IF(EXACT(R1260,"beste"),IF(R$3=R1155,1,0),IF(R$3=R945,1,0)))))</f>
        <v/>
      </c>
      <c r="S1365" s="62">
        <f>IF(S210=0,0,IF(S$15&lt;=1,1,IF(EXACT(S1260,"keine"),IF(S$3=S$12,1,0),IF(EXACT(S1260,"beste"),IF(S$3=S1155,1,0),IF(S$3=S945,1,0)))))</f>
        <v/>
      </c>
      <c r="T1365" s="62">
        <f>IF(T210=0,0,IF(T$15&lt;=1,1,IF(EXACT(T1260,"keine"),IF(T$3=T$12,1,0),IF(EXACT(T1260,"beste"),IF(T$3=T1155,1,0),IF(T$3=T945,1,0)))))</f>
        <v/>
      </c>
      <c r="U1365" s="62">
        <f>IF(U210=0,0,IF(U$15&lt;=1,1,IF(EXACT(U1260,"keine"),IF(U$3=U$12,1,0),IF(EXACT(U1260,"beste"),IF(U$3=U1155,1,0),IF(U$3=U945,1,0)))))</f>
        <v/>
      </c>
      <c r="V1365" s="62">
        <f>IF(V210=0,0,IF(V$15&lt;=1,1,IF(EXACT(V1260,"keine"),IF(V$3=V$12,1,0),IF(EXACT(V1260,"beste"),IF(V$3=V1155,1,0),IF(V$3=V945,1,0)))))</f>
        <v/>
      </c>
    </row>
    <row r="1366">
      <c r="C1366" s="62">
        <f>IF(C211=0,0,IF(C$15&lt;=1,1,IF(EXACT(C1261,"keine"),IF(C$3=C$12,1,0),IF(EXACT(C1261,"beste"),IF(C$3=C1156,1,0),IF(C$3=C946,1,0)))))</f>
        <v/>
      </c>
      <c r="D1366" s="62">
        <f>IF(D211=0,0,IF(D$15&lt;=1,1,IF(EXACT(D1261,"keine"),IF(D$3=D$12,1,0),IF(EXACT(D1261,"beste"),IF(D$3=D1156,1,0),IF(D$3=D946,1,0)))))</f>
        <v/>
      </c>
      <c r="E1366" s="62">
        <f>IF(E211=0,0,IF(E$15&lt;=1,1,IF(EXACT(E1261,"keine"),IF(E$3=E$12,1,0),IF(EXACT(E1261,"beste"),IF(E$3=E1156,1,0),IF(E$3=E946,1,0)))))</f>
        <v/>
      </c>
      <c r="F1366" s="62">
        <f>IF(F211=0,0,IF(F$15&lt;=1,1,IF(EXACT(F1261,"keine"),IF(F$3=F$12,1,0),IF(EXACT(F1261,"beste"),IF(F$3=F1156,1,0),IF(F$3=F946,1,0)))))</f>
        <v/>
      </c>
      <c r="G1366" s="62">
        <f>IF(G211=0,0,IF(G$15&lt;=1,1,IF(EXACT(G1261,"keine"),IF(G$3=G$12,1,0),IF(EXACT(G1261,"beste"),IF(G$3=G1156,1,0),IF(G$3=G946,1,0)))))</f>
        <v/>
      </c>
      <c r="H1366" s="62">
        <f>IF(H211=0,0,IF(H$15&lt;=1,1,IF(EXACT(H1261,"keine"),IF(H$3=H$12,1,0),IF(EXACT(H1261,"beste"),IF(H$3=H1156,1,0),IF(H$3=H946,1,0)))))</f>
        <v/>
      </c>
      <c r="I1366" s="62">
        <f>IF(I211=0,0,IF(I$15&lt;=1,1,IF(EXACT(I1261,"keine"),IF(I$3=I$12,1,0),IF(EXACT(I1261,"beste"),IF(I$3=I1156,1,0),IF(I$3=I946,1,0)))))</f>
        <v/>
      </c>
      <c r="J1366" s="62">
        <f>IF(J211=0,0,IF(J$15&lt;=1,1,IF(EXACT(J1261,"keine"),IF(J$3=J$12,1,0),IF(EXACT(J1261,"beste"),IF(J$3=J1156,1,0),IF(J$3=J946,1,0)))))</f>
        <v/>
      </c>
      <c r="K1366" s="62">
        <f>IF(K211=0,0,IF(K$15&lt;=1,1,IF(EXACT(K1261,"keine"),IF(K$3=K$12,1,0),IF(EXACT(K1261,"beste"),IF(K$3=K1156,1,0),IF(K$3=K946,1,0)))))</f>
        <v/>
      </c>
      <c r="L1366" s="62">
        <f>IF(L211=0,0,IF(L$15&lt;=1,1,IF(EXACT(L1261,"keine"),IF(L$3=L$12,1,0),IF(EXACT(L1261,"beste"),IF(L$3=L1156,1,0),IF(L$3=L946,1,0)))))</f>
        <v/>
      </c>
      <c r="M1366" s="62">
        <f>IF(M211=0,0,IF(M$15&lt;=1,1,IF(EXACT(M1261,"keine"),IF(M$3=M$12,1,0),IF(EXACT(M1261,"beste"),IF(M$3=M1156,1,0),IF(M$3=M946,1,0)))))</f>
        <v/>
      </c>
      <c r="N1366" s="62">
        <f>IF(N211=0,0,IF(N$15&lt;=1,1,IF(EXACT(N1261,"keine"),IF(N$3=N$12,1,0),IF(EXACT(N1261,"beste"),IF(N$3=N1156,1,0),IF(N$3=N946,1,0)))))</f>
        <v/>
      </c>
      <c r="O1366" s="62">
        <f>IF(O211=0,0,IF(O$15&lt;=1,1,IF(EXACT(O1261,"keine"),IF(O$3=O$12,1,0),IF(EXACT(O1261,"beste"),IF(O$3=O1156,1,0),IF(O$3=O946,1,0)))))</f>
        <v/>
      </c>
      <c r="P1366" s="62">
        <f>IF(P211=0,0,IF(P$15&lt;=1,1,IF(EXACT(P1261,"keine"),IF(P$3=P$12,1,0),IF(EXACT(P1261,"beste"),IF(P$3=P1156,1,0),IF(P$3=P946,1,0)))))</f>
        <v/>
      </c>
      <c r="Q1366" s="62">
        <f>IF(Q211=0,0,IF(Q$15&lt;=1,1,IF(EXACT(Q1261,"keine"),IF(Q$3=Q$12,1,0),IF(EXACT(Q1261,"beste"),IF(Q$3=Q1156,1,0),IF(Q$3=Q946,1,0)))))</f>
        <v/>
      </c>
      <c r="R1366" s="62">
        <f>IF(R211=0,0,IF(R$15&lt;=1,1,IF(EXACT(R1261,"keine"),IF(R$3=R$12,1,0),IF(EXACT(R1261,"beste"),IF(R$3=R1156,1,0),IF(R$3=R946,1,0)))))</f>
        <v/>
      </c>
      <c r="S1366" s="62">
        <f>IF(S211=0,0,IF(S$15&lt;=1,1,IF(EXACT(S1261,"keine"),IF(S$3=S$12,1,0),IF(EXACT(S1261,"beste"),IF(S$3=S1156,1,0),IF(S$3=S946,1,0)))))</f>
        <v/>
      </c>
      <c r="T1366" s="62">
        <f>IF(T211=0,0,IF(T$15&lt;=1,1,IF(EXACT(T1261,"keine"),IF(T$3=T$12,1,0),IF(EXACT(T1261,"beste"),IF(T$3=T1156,1,0),IF(T$3=T946,1,0)))))</f>
        <v/>
      </c>
      <c r="U1366" s="62">
        <f>IF(U211=0,0,IF(U$15&lt;=1,1,IF(EXACT(U1261,"keine"),IF(U$3=U$12,1,0),IF(EXACT(U1261,"beste"),IF(U$3=U1156,1,0),IF(U$3=U946,1,0)))))</f>
        <v/>
      </c>
      <c r="V1366" s="62">
        <f>IF(V211=0,0,IF(V$15&lt;=1,1,IF(EXACT(V1261,"keine"),IF(V$3=V$12,1,0),IF(EXACT(V1261,"beste"),IF(V$3=V1156,1,0),IF(V$3=V946,1,0)))))</f>
        <v/>
      </c>
    </row>
    <row r="1367">
      <c r="C1367" s="62">
        <f>IF(C212=0,0,IF(C$15&lt;=1,1,IF(EXACT(C1262,"keine"),IF(C$3=C$12,1,0),IF(EXACT(C1262,"beste"),IF(C$3=C1157,1,0),IF(C$3=C947,1,0)))))</f>
        <v/>
      </c>
      <c r="D1367" s="62">
        <f>IF(D212=0,0,IF(D$15&lt;=1,1,IF(EXACT(D1262,"keine"),IF(D$3=D$12,1,0),IF(EXACT(D1262,"beste"),IF(D$3=D1157,1,0),IF(D$3=D947,1,0)))))</f>
        <v/>
      </c>
      <c r="E1367" s="62">
        <f>IF(E212=0,0,IF(E$15&lt;=1,1,IF(EXACT(E1262,"keine"),IF(E$3=E$12,1,0),IF(EXACT(E1262,"beste"),IF(E$3=E1157,1,0),IF(E$3=E947,1,0)))))</f>
        <v/>
      </c>
      <c r="F1367" s="62">
        <f>IF(F212=0,0,IF(F$15&lt;=1,1,IF(EXACT(F1262,"keine"),IF(F$3=F$12,1,0),IF(EXACT(F1262,"beste"),IF(F$3=F1157,1,0),IF(F$3=F947,1,0)))))</f>
        <v/>
      </c>
      <c r="G1367" s="62">
        <f>IF(G212=0,0,IF(G$15&lt;=1,1,IF(EXACT(G1262,"keine"),IF(G$3=G$12,1,0),IF(EXACT(G1262,"beste"),IF(G$3=G1157,1,0),IF(G$3=G947,1,0)))))</f>
        <v/>
      </c>
      <c r="H1367" s="62">
        <f>IF(H212=0,0,IF(H$15&lt;=1,1,IF(EXACT(H1262,"keine"),IF(H$3=H$12,1,0),IF(EXACT(H1262,"beste"),IF(H$3=H1157,1,0),IF(H$3=H947,1,0)))))</f>
        <v/>
      </c>
      <c r="I1367" s="62">
        <f>IF(I212=0,0,IF(I$15&lt;=1,1,IF(EXACT(I1262,"keine"),IF(I$3=I$12,1,0),IF(EXACT(I1262,"beste"),IF(I$3=I1157,1,0),IF(I$3=I947,1,0)))))</f>
        <v/>
      </c>
      <c r="J1367" s="62">
        <f>IF(J212=0,0,IF(J$15&lt;=1,1,IF(EXACT(J1262,"keine"),IF(J$3=J$12,1,0),IF(EXACT(J1262,"beste"),IF(J$3=J1157,1,0),IF(J$3=J947,1,0)))))</f>
        <v/>
      </c>
      <c r="K1367" s="62">
        <f>IF(K212=0,0,IF(K$15&lt;=1,1,IF(EXACT(K1262,"keine"),IF(K$3=K$12,1,0),IF(EXACT(K1262,"beste"),IF(K$3=K1157,1,0),IF(K$3=K947,1,0)))))</f>
        <v/>
      </c>
      <c r="L1367" s="62">
        <f>IF(L212=0,0,IF(L$15&lt;=1,1,IF(EXACT(L1262,"keine"),IF(L$3=L$12,1,0),IF(EXACT(L1262,"beste"),IF(L$3=L1157,1,0),IF(L$3=L947,1,0)))))</f>
        <v/>
      </c>
      <c r="M1367" s="62">
        <f>IF(M212=0,0,IF(M$15&lt;=1,1,IF(EXACT(M1262,"keine"),IF(M$3=M$12,1,0),IF(EXACT(M1262,"beste"),IF(M$3=M1157,1,0),IF(M$3=M947,1,0)))))</f>
        <v/>
      </c>
      <c r="N1367" s="62">
        <f>IF(N212=0,0,IF(N$15&lt;=1,1,IF(EXACT(N1262,"keine"),IF(N$3=N$12,1,0),IF(EXACT(N1262,"beste"),IF(N$3=N1157,1,0),IF(N$3=N947,1,0)))))</f>
        <v/>
      </c>
      <c r="O1367" s="62">
        <f>IF(O212=0,0,IF(O$15&lt;=1,1,IF(EXACT(O1262,"keine"),IF(O$3=O$12,1,0),IF(EXACT(O1262,"beste"),IF(O$3=O1157,1,0),IF(O$3=O947,1,0)))))</f>
        <v/>
      </c>
      <c r="P1367" s="62">
        <f>IF(P212=0,0,IF(P$15&lt;=1,1,IF(EXACT(P1262,"keine"),IF(P$3=P$12,1,0),IF(EXACT(P1262,"beste"),IF(P$3=P1157,1,0),IF(P$3=P947,1,0)))))</f>
        <v/>
      </c>
      <c r="Q1367" s="62">
        <f>IF(Q212=0,0,IF(Q$15&lt;=1,1,IF(EXACT(Q1262,"keine"),IF(Q$3=Q$12,1,0),IF(EXACT(Q1262,"beste"),IF(Q$3=Q1157,1,0),IF(Q$3=Q947,1,0)))))</f>
        <v/>
      </c>
      <c r="R1367" s="62">
        <f>IF(R212=0,0,IF(R$15&lt;=1,1,IF(EXACT(R1262,"keine"),IF(R$3=R$12,1,0),IF(EXACT(R1262,"beste"),IF(R$3=R1157,1,0),IF(R$3=R947,1,0)))))</f>
        <v/>
      </c>
      <c r="S1367" s="62">
        <f>IF(S212=0,0,IF(S$15&lt;=1,1,IF(EXACT(S1262,"keine"),IF(S$3=S$12,1,0),IF(EXACT(S1262,"beste"),IF(S$3=S1157,1,0),IF(S$3=S947,1,0)))))</f>
        <v/>
      </c>
      <c r="T1367" s="62">
        <f>IF(T212=0,0,IF(T$15&lt;=1,1,IF(EXACT(T1262,"keine"),IF(T$3=T$12,1,0),IF(EXACT(T1262,"beste"),IF(T$3=T1157,1,0),IF(T$3=T947,1,0)))))</f>
        <v/>
      </c>
      <c r="U1367" s="62">
        <f>IF(U212=0,0,IF(U$15&lt;=1,1,IF(EXACT(U1262,"keine"),IF(U$3=U$12,1,0),IF(EXACT(U1262,"beste"),IF(U$3=U1157,1,0),IF(U$3=U947,1,0)))))</f>
        <v/>
      </c>
      <c r="V1367" s="62">
        <f>IF(V212=0,0,IF(V$15&lt;=1,1,IF(EXACT(V1262,"keine"),IF(V$3=V$12,1,0),IF(EXACT(V1262,"beste"),IF(V$3=V1157,1,0),IF(V$3=V947,1,0)))))</f>
        <v/>
      </c>
    </row>
    <row r="1368">
      <c r="C1368" s="62">
        <f>IF(C213=0,0,IF(C$15&lt;=1,1,IF(EXACT(C1263,"keine"),IF(C$3=C$12,1,0),IF(EXACT(C1263,"beste"),IF(C$3=C1158,1,0),IF(C$3=C948,1,0)))))</f>
        <v/>
      </c>
      <c r="D1368" s="62">
        <f>IF(D213=0,0,IF(D$15&lt;=1,1,IF(EXACT(D1263,"keine"),IF(D$3=D$12,1,0),IF(EXACT(D1263,"beste"),IF(D$3=D1158,1,0),IF(D$3=D948,1,0)))))</f>
        <v/>
      </c>
      <c r="E1368" s="62">
        <f>IF(E213=0,0,IF(E$15&lt;=1,1,IF(EXACT(E1263,"keine"),IF(E$3=E$12,1,0),IF(EXACT(E1263,"beste"),IF(E$3=E1158,1,0),IF(E$3=E948,1,0)))))</f>
        <v/>
      </c>
      <c r="F1368" s="62">
        <f>IF(F213=0,0,IF(F$15&lt;=1,1,IF(EXACT(F1263,"keine"),IF(F$3=F$12,1,0),IF(EXACT(F1263,"beste"),IF(F$3=F1158,1,0),IF(F$3=F948,1,0)))))</f>
        <v/>
      </c>
      <c r="G1368" s="62">
        <f>IF(G213=0,0,IF(G$15&lt;=1,1,IF(EXACT(G1263,"keine"),IF(G$3=G$12,1,0),IF(EXACT(G1263,"beste"),IF(G$3=G1158,1,0),IF(G$3=G948,1,0)))))</f>
        <v/>
      </c>
      <c r="H1368" s="62">
        <f>IF(H213=0,0,IF(H$15&lt;=1,1,IF(EXACT(H1263,"keine"),IF(H$3=H$12,1,0),IF(EXACT(H1263,"beste"),IF(H$3=H1158,1,0),IF(H$3=H948,1,0)))))</f>
        <v/>
      </c>
      <c r="I1368" s="62">
        <f>IF(I213=0,0,IF(I$15&lt;=1,1,IF(EXACT(I1263,"keine"),IF(I$3=I$12,1,0),IF(EXACT(I1263,"beste"),IF(I$3=I1158,1,0),IF(I$3=I948,1,0)))))</f>
        <v/>
      </c>
      <c r="J1368" s="62">
        <f>IF(J213=0,0,IF(J$15&lt;=1,1,IF(EXACT(J1263,"keine"),IF(J$3=J$12,1,0),IF(EXACT(J1263,"beste"),IF(J$3=J1158,1,0),IF(J$3=J948,1,0)))))</f>
        <v/>
      </c>
      <c r="K1368" s="62">
        <f>IF(K213=0,0,IF(K$15&lt;=1,1,IF(EXACT(K1263,"keine"),IF(K$3=K$12,1,0),IF(EXACT(K1263,"beste"),IF(K$3=K1158,1,0),IF(K$3=K948,1,0)))))</f>
        <v/>
      </c>
      <c r="L1368" s="62">
        <f>IF(L213=0,0,IF(L$15&lt;=1,1,IF(EXACT(L1263,"keine"),IF(L$3=L$12,1,0),IF(EXACT(L1263,"beste"),IF(L$3=L1158,1,0),IF(L$3=L948,1,0)))))</f>
        <v/>
      </c>
      <c r="M1368" s="62">
        <f>IF(M213=0,0,IF(M$15&lt;=1,1,IF(EXACT(M1263,"keine"),IF(M$3=M$12,1,0),IF(EXACT(M1263,"beste"),IF(M$3=M1158,1,0),IF(M$3=M948,1,0)))))</f>
        <v/>
      </c>
      <c r="N1368" s="62">
        <f>IF(N213=0,0,IF(N$15&lt;=1,1,IF(EXACT(N1263,"keine"),IF(N$3=N$12,1,0),IF(EXACT(N1263,"beste"),IF(N$3=N1158,1,0),IF(N$3=N948,1,0)))))</f>
        <v/>
      </c>
      <c r="O1368" s="62">
        <f>IF(O213=0,0,IF(O$15&lt;=1,1,IF(EXACT(O1263,"keine"),IF(O$3=O$12,1,0),IF(EXACT(O1263,"beste"),IF(O$3=O1158,1,0),IF(O$3=O948,1,0)))))</f>
        <v/>
      </c>
      <c r="P1368" s="62">
        <f>IF(P213=0,0,IF(P$15&lt;=1,1,IF(EXACT(P1263,"keine"),IF(P$3=P$12,1,0),IF(EXACT(P1263,"beste"),IF(P$3=P1158,1,0),IF(P$3=P948,1,0)))))</f>
        <v/>
      </c>
      <c r="Q1368" s="62">
        <f>IF(Q213=0,0,IF(Q$15&lt;=1,1,IF(EXACT(Q1263,"keine"),IF(Q$3=Q$12,1,0),IF(EXACT(Q1263,"beste"),IF(Q$3=Q1158,1,0),IF(Q$3=Q948,1,0)))))</f>
        <v/>
      </c>
      <c r="R1368" s="62">
        <f>IF(R213=0,0,IF(R$15&lt;=1,1,IF(EXACT(R1263,"keine"),IF(R$3=R$12,1,0),IF(EXACT(R1263,"beste"),IF(R$3=R1158,1,0),IF(R$3=R948,1,0)))))</f>
        <v/>
      </c>
      <c r="S1368" s="62">
        <f>IF(S213=0,0,IF(S$15&lt;=1,1,IF(EXACT(S1263,"keine"),IF(S$3=S$12,1,0),IF(EXACT(S1263,"beste"),IF(S$3=S1158,1,0),IF(S$3=S948,1,0)))))</f>
        <v/>
      </c>
      <c r="T1368" s="62">
        <f>IF(T213=0,0,IF(T$15&lt;=1,1,IF(EXACT(T1263,"keine"),IF(T$3=T$12,1,0),IF(EXACT(T1263,"beste"),IF(T$3=T1158,1,0),IF(T$3=T948,1,0)))))</f>
        <v/>
      </c>
      <c r="U1368" s="62">
        <f>IF(U213=0,0,IF(U$15&lt;=1,1,IF(EXACT(U1263,"keine"),IF(U$3=U$12,1,0),IF(EXACT(U1263,"beste"),IF(U$3=U1158,1,0),IF(U$3=U948,1,0)))))</f>
        <v/>
      </c>
      <c r="V1368" s="62">
        <f>IF(V213=0,0,IF(V$15&lt;=1,1,IF(EXACT(V1263,"keine"),IF(V$3=V$12,1,0),IF(EXACT(V1263,"beste"),IF(V$3=V1158,1,0),IF(V$3=V948,1,0)))))</f>
        <v/>
      </c>
    </row>
    <row r="1369">
      <c r="C1369" s="62">
        <f>IF(C214=0,0,IF(C$15&lt;=1,1,IF(EXACT(C1264,"keine"),IF(C$3=C$12,1,0),IF(EXACT(C1264,"beste"),IF(C$3=C1159,1,0),IF(C$3=C949,1,0)))))</f>
        <v/>
      </c>
      <c r="D1369" s="62">
        <f>IF(D214=0,0,IF(D$15&lt;=1,1,IF(EXACT(D1264,"keine"),IF(D$3=D$12,1,0),IF(EXACT(D1264,"beste"),IF(D$3=D1159,1,0),IF(D$3=D949,1,0)))))</f>
        <v/>
      </c>
      <c r="E1369" s="62">
        <f>IF(E214=0,0,IF(E$15&lt;=1,1,IF(EXACT(E1264,"keine"),IF(E$3=E$12,1,0),IF(EXACT(E1264,"beste"),IF(E$3=E1159,1,0),IF(E$3=E949,1,0)))))</f>
        <v/>
      </c>
      <c r="F1369" s="62">
        <f>IF(F214=0,0,IF(F$15&lt;=1,1,IF(EXACT(F1264,"keine"),IF(F$3=F$12,1,0),IF(EXACT(F1264,"beste"),IF(F$3=F1159,1,0),IF(F$3=F949,1,0)))))</f>
        <v/>
      </c>
      <c r="G1369" s="62">
        <f>IF(G214=0,0,IF(G$15&lt;=1,1,IF(EXACT(G1264,"keine"),IF(G$3=G$12,1,0),IF(EXACT(G1264,"beste"),IF(G$3=G1159,1,0),IF(G$3=G949,1,0)))))</f>
        <v/>
      </c>
      <c r="H1369" s="62">
        <f>IF(H214=0,0,IF(H$15&lt;=1,1,IF(EXACT(H1264,"keine"),IF(H$3=H$12,1,0),IF(EXACT(H1264,"beste"),IF(H$3=H1159,1,0),IF(H$3=H949,1,0)))))</f>
        <v/>
      </c>
      <c r="I1369" s="62">
        <f>IF(I214=0,0,IF(I$15&lt;=1,1,IF(EXACT(I1264,"keine"),IF(I$3=I$12,1,0),IF(EXACT(I1264,"beste"),IF(I$3=I1159,1,0),IF(I$3=I949,1,0)))))</f>
        <v/>
      </c>
      <c r="J1369" s="62">
        <f>IF(J214=0,0,IF(J$15&lt;=1,1,IF(EXACT(J1264,"keine"),IF(J$3=J$12,1,0),IF(EXACT(J1264,"beste"),IF(J$3=J1159,1,0),IF(J$3=J949,1,0)))))</f>
        <v/>
      </c>
      <c r="K1369" s="62">
        <f>IF(K214=0,0,IF(K$15&lt;=1,1,IF(EXACT(K1264,"keine"),IF(K$3=K$12,1,0),IF(EXACT(K1264,"beste"),IF(K$3=K1159,1,0),IF(K$3=K949,1,0)))))</f>
        <v/>
      </c>
      <c r="L1369" s="62">
        <f>IF(L214=0,0,IF(L$15&lt;=1,1,IF(EXACT(L1264,"keine"),IF(L$3=L$12,1,0),IF(EXACT(L1264,"beste"),IF(L$3=L1159,1,0),IF(L$3=L949,1,0)))))</f>
        <v/>
      </c>
      <c r="M1369" s="62">
        <f>IF(M214=0,0,IF(M$15&lt;=1,1,IF(EXACT(M1264,"keine"),IF(M$3=M$12,1,0),IF(EXACT(M1264,"beste"),IF(M$3=M1159,1,0),IF(M$3=M949,1,0)))))</f>
        <v/>
      </c>
      <c r="N1369" s="62">
        <f>IF(N214=0,0,IF(N$15&lt;=1,1,IF(EXACT(N1264,"keine"),IF(N$3=N$12,1,0),IF(EXACT(N1264,"beste"),IF(N$3=N1159,1,0),IF(N$3=N949,1,0)))))</f>
        <v/>
      </c>
      <c r="O1369" s="62">
        <f>IF(O214=0,0,IF(O$15&lt;=1,1,IF(EXACT(O1264,"keine"),IF(O$3=O$12,1,0),IF(EXACT(O1264,"beste"),IF(O$3=O1159,1,0),IF(O$3=O949,1,0)))))</f>
        <v/>
      </c>
      <c r="P1369" s="62">
        <f>IF(P214=0,0,IF(P$15&lt;=1,1,IF(EXACT(P1264,"keine"),IF(P$3=P$12,1,0),IF(EXACT(P1264,"beste"),IF(P$3=P1159,1,0),IF(P$3=P949,1,0)))))</f>
        <v/>
      </c>
      <c r="Q1369" s="62">
        <f>IF(Q214=0,0,IF(Q$15&lt;=1,1,IF(EXACT(Q1264,"keine"),IF(Q$3=Q$12,1,0),IF(EXACT(Q1264,"beste"),IF(Q$3=Q1159,1,0),IF(Q$3=Q949,1,0)))))</f>
        <v/>
      </c>
      <c r="R1369" s="62">
        <f>IF(R214=0,0,IF(R$15&lt;=1,1,IF(EXACT(R1264,"keine"),IF(R$3=R$12,1,0),IF(EXACT(R1264,"beste"),IF(R$3=R1159,1,0),IF(R$3=R949,1,0)))))</f>
        <v/>
      </c>
      <c r="S1369" s="62">
        <f>IF(S214=0,0,IF(S$15&lt;=1,1,IF(EXACT(S1264,"keine"),IF(S$3=S$12,1,0),IF(EXACT(S1264,"beste"),IF(S$3=S1159,1,0),IF(S$3=S949,1,0)))))</f>
        <v/>
      </c>
      <c r="T1369" s="62">
        <f>IF(T214=0,0,IF(T$15&lt;=1,1,IF(EXACT(T1264,"keine"),IF(T$3=T$12,1,0),IF(EXACT(T1264,"beste"),IF(T$3=T1159,1,0),IF(T$3=T949,1,0)))))</f>
        <v/>
      </c>
      <c r="U1369" s="62">
        <f>IF(U214=0,0,IF(U$15&lt;=1,1,IF(EXACT(U1264,"keine"),IF(U$3=U$12,1,0),IF(EXACT(U1264,"beste"),IF(U$3=U1159,1,0),IF(U$3=U949,1,0)))))</f>
        <v/>
      </c>
      <c r="V1369" s="62">
        <f>IF(V214=0,0,IF(V$15&lt;=1,1,IF(EXACT(V1264,"keine"),IF(V$3=V$12,1,0),IF(EXACT(V1264,"beste"),IF(V$3=V1159,1,0),IF(V$3=V949,1,0)))))</f>
        <v/>
      </c>
    </row>
    <row r="1370">
      <c r="C1370" s="62">
        <f>IF(C215=0,0,IF(C$15&lt;=1,1,IF(EXACT(C1265,"keine"),IF(C$3=C$12,1,0),IF(EXACT(C1265,"beste"),IF(C$3=C1160,1,0),IF(C$3=C950,1,0)))))</f>
        <v/>
      </c>
      <c r="D1370" s="62">
        <f>IF(D215=0,0,IF(D$15&lt;=1,1,IF(EXACT(D1265,"keine"),IF(D$3=D$12,1,0),IF(EXACT(D1265,"beste"),IF(D$3=D1160,1,0),IF(D$3=D950,1,0)))))</f>
        <v/>
      </c>
      <c r="E1370" s="62">
        <f>IF(E215=0,0,IF(E$15&lt;=1,1,IF(EXACT(E1265,"keine"),IF(E$3=E$12,1,0),IF(EXACT(E1265,"beste"),IF(E$3=E1160,1,0),IF(E$3=E950,1,0)))))</f>
        <v/>
      </c>
      <c r="F1370" s="62">
        <f>IF(F215=0,0,IF(F$15&lt;=1,1,IF(EXACT(F1265,"keine"),IF(F$3=F$12,1,0),IF(EXACT(F1265,"beste"),IF(F$3=F1160,1,0),IF(F$3=F950,1,0)))))</f>
        <v/>
      </c>
      <c r="G1370" s="62">
        <f>IF(G215=0,0,IF(G$15&lt;=1,1,IF(EXACT(G1265,"keine"),IF(G$3=G$12,1,0),IF(EXACT(G1265,"beste"),IF(G$3=G1160,1,0),IF(G$3=G950,1,0)))))</f>
        <v/>
      </c>
      <c r="H1370" s="62">
        <f>IF(H215=0,0,IF(H$15&lt;=1,1,IF(EXACT(H1265,"keine"),IF(H$3=H$12,1,0),IF(EXACT(H1265,"beste"),IF(H$3=H1160,1,0),IF(H$3=H950,1,0)))))</f>
        <v/>
      </c>
      <c r="I1370" s="62">
        <f>IF(I215=0,0,IF(I$15&lt;=1,1,IF(EXACT(I1265,"keine"),IF(I$3=I$12,1,0),IF(EXACT(I1265,"beste"),IF(I$3=I1160,1,0),IF(I$3=I950,1,0)))))</f>
        <v/>
      </c>
      <c r="J1370" s="62">
        <f>IF(J215=0,0,IF(J$15&lt;=1,1,IF(EXACT(J1265,"keine"),IF(J$3=J$12,1,0),IF(EXACT(J1265,"beste"),IF(J$3=J1160,1,0),IF(J$3=J950,1,0)))))</f>
        <v/>
      </c>
      <c r="K1370" s="62">
        <f>IF(K215=0,0,IF(K$15&lt;=1,1,IF(EXACT(K1265,"keine"),IF(K$3=K$12,1,0),IF(EXACT(K1265,"beste"),IF(K$3=K1160,1,0),IF(K$3=K950,1,0)))))</f>
        <v/>
      </c>
      <c r="L1370" s="62">
        <f>IF(L215=0,0,IF(L$15&lt;=1,1,IF(EXACT(L1265,"keine"),IF(L$3=L$12,1,0),IF(EXACT(L1265,"beste"),IF(L$3=L1160,1,0),IF(L$3=L950,1,0)))))</f>
        <v/>
      </c>
      <c r="M1370" s="62">
        <f>IF(M215=0,0,IF(M$15&lt;=1,1,IF(EXACT(M1265,"keine"),IF(M$3=M$12,1,0),IF(EXACT(M1265,"beste"),IF(M$3=M1160,1,0),IF(M$3=M950,1,0)))))</f>
        <v/>
      </c>
      <c r="N1370" s="62">
        <f>IF(N215=0,0,IF(N$15&lt;=1,1,IF(EXACT(N1265,"keine"),IF(N$3=N$12,1,0),IF(EXACT(N1265,"beste"),IF(N$3=N1160,1,0),IF(N$3=N950,1,0)))))</f>
        <v/>
      </c>
      <c r="O1370" s="62">
        <f>IF(O215=0,0,IF(O$15&lt;=1,1,IF(EXACT(O1265,"keine"),IF(O$3=O$12,1,0),IF(EXACT(O1265,"beste"),IF(O$3=O1160,1,0),IF(O$3=O950,1,0)))))</f>
        <v/>
      </c>
      <c r="P1370" s="62">
        <f>IF(P215=0,0,IF(P$15&lt;=1,1,IF(EXACT(P1265,"keine"),IF(P$3=P$12,1,0),IF(EXACT(P1265,"beste"),IF(P$3=P1160,1,0),IF(P$3=P950,1,0)))))</f>
        <v/>
      </c>
      <c r="Q1370" s="62">
        <f>IF(Q215=0,0,IF(Q$15&lt;=1,1,IF(EXACT(Q1265,"keine"),IF(Q$3=Q$12,1,0),IF(EXACT(Q1265,"beste"),IF(Q$3=Q1160,1,0),IF(Q$3=Q950,1,0)))))</f>
        <v/>
      </c>
      <c r="R1370" s="62">
        <f>IF(R215=0,0,IF(R$15&lt;=1,1,IF(EXACT(R1265,"keine"),IF(R$3=R$12,1,0),IF(EXACT(R1265,"beste"),IF(R$3=R1160,1,0),IF(R$3=R950,1,0)))))</f>
        <v/>
      </c>
      <c r="S1370" s="62">
        <f>IF(S215=0,0,IF(S$15&lt;=1,1,IF(EXACT(S1265,"keine"),IF(S$3=S$12,1,0),IF(EXACT(S1265,"beste"),IF(S$3=S1160,1,0),IF(S$3=S950,1,0)))))</f>
        <v/>
      </c>
      <c r="T1370" s="62">
        <f>IF(T215=0,0,IF(T$15&lt;=1,1,IF(EXACT(T1265,"keine"),IF(T$3=T$12,1,0),IF(EXACT(T1265,"beste"),IF(T$3=T1160,1,0),IF(T$3=T950,1,0)))))</f>
        <v/>
      </c>
      <c r="U1370" s="62">
        <f>IF(U215=0,0,IF(U$15&lt;=1,1,IF(EXACT(U1265,"keine"),IF(U$3=U$12,1,0),IF(EXACT(U1265,"beste"),IF(U$3=U1160,1,0),IF(U$3=U950,1,0)))))</f>
        <v/>
      </c>
      <c r="V1370" s="62">
        <f>IF(V215=0,0,IF(V$15&lt;=1,1,IF(EXACT(V1265,"keine"),IF(V$3=V$12,1,0),IF(EXACT(V1265,"beste"),IF(V$3=V1160,1,0),IF(V$3=V950,1,0)))))</f>
        <v/>
      </c>
    </row>
    <row r="1371">
      <c r="C1371" s="62">
        <f>IF(C216=0,0,IF(C$15&lt;=1,1,IF(EXACT(C1266,"keine"),IF(C$3=C$12,1,0),IF(EXACT(C1266,"beste"),IF(C$3=C1161,1,0),IF(C$3=C951,1,0)))))</f>
        <v/>
      </c>
      <c r="D1371" s="62">
        <f>IF(D216=0,0,IF(D$15&lt;=1,1,IF(EXACT(D1266,"keine"),IF(D$3=D$12,1,0),IF(EXACT(D1266,"beste"),IF(D$3=D1161,1,0),IF(D$3=D951,1,0)))))</f>
        <v/>
      </c>
      <c r="E1371" s="62">
        <f>IF(E216=0,0,IF(E$15&lt;=1,1,IF(EXACT(E1266,"keine"),IF(E$3=E$12,1,0),IF(EXACT(E1266,"beste"),IF(E$3=E1161,1,0),IF(E$3=E951,1,0)))))</f>
        <v/>
      </c>
      <c r="F1371" s="62">
        <f>IF(F216=0,0,IF(F$15&lt;=1,1,IF(EXACT(F1266,"keine"),IF(F$3=F$12,1,0),IF(EXACT(F1266,"beste"),IF(F$3=F1161,1,0),IF(F$3=F951,1,0)))))</f>
        <v/>
      </c>
      <c r="G1371" s="62">
        <f>IF(G216=0,0,IF(G$15&lt;=1,1,IF(EXACT(G1266,"keine"),IF(G$3=G$12,1,0),IF(EXACT(G1266,"beste"),IF(G$3=G1161,1,0),IF(G$3=G951,1,0)))))</f>
        <v/>
      </c>
      <c r="H1371" s="62">
        <f>IF(H216=0,0,IF(H$15&lt;=1,1,IF(EXACT(H1266,"keine"),IF(H$3=H$12,1,0),IF(EXACT(H1266,"beste"),IF(H$3=H1161,1,0),IF(H$3=H951,1,0)))))</f>
        <v/>
      </c>
      <c r="I1371" s="62">
        <f>IF(I216=0,0,IF(I$15&lt;=1,1,IF(EXACT(I1266,"keine"),IF(I$3=I$12,1,0),IF(EXACT(I1266,"beste"),IF(I$3=I1161,1,0),IF(I$3=I951,1,0)))))</f>
        <v/>
      </c>
      <c r="J1371" s="62">
        <f>IF(J216=0,0,IF(J$15&lt;=1,1,IF(EXACT(J1266,"keine"),IF(J$3=J$12,1,0),IF(EXACT(J1266,"beste"),IF(J$3=J1161,1,0),IF(J$3=J951,1,0)))))</f>
        <v/>
      </c>
      <c r="K1371" s="62">
        <f>IF(K216=0,0,IF(K$15&lt;=1,1,IF(EXACT(K1266,"keine"),IF(K$3=K$12,1,0),IF(EXACT(K1266,"beste"),IF(K$3=K1161,1,0),IF(K$3=K951,1,0)))))</f>
        <v/>
      </c>
      <c r="L1371" s="62">
        <f>IF(L216=0,0,IF(L$15&lt;=1,1,IF(EXACT(L1266,"keine"),IF(L$3=L$12,1,0),IF(EXACT(L1266,"beste"),IF(L$3=L1161,1,0),IF(L$3=L951,1,0)))))</f>
        <v/>
      </c>
      <c r="M1371" s="62">
        <f>IF(M216=0,0,IF(M$15&lt;=1,1,IF(EXACT(M1266,"keine"),IF(M$3=M$12,1,0),IF(EXACT(M1266,"beste"),IF(M$3=M1161,1,0),IF(M$3=M951,1,0)))))</f>
        <v/>
      </c>
      <c r="N1371" s="62">
        <f>IF(N216=0,0,IF(N$15&lt;=1,1,IF(EXACT(N1266,"keine"),IF(N$3=N$12,1,0),IF(EXACT(N1266,"beste"),IF(N$3=N1161,1,0),IF(N$3=N951,1,0)))))</f>
        <v/>
      </c>
      <c r="O1371" s="62">
        <f>IF(O216=0,0,IF(O$15&lt;=1,1,IF(EXACT(O1266,"keine"),IF(O$3=O$12,1,0),IF(EXACT(O1266,"beste"),IF(O$3=O1161,1,0),IF(O$3=O951,1,0)))))</f>
        <v/>
      </c>
      <c r="P1371" s="62">
        <f>IF(P216=0,0,IF(P$15&lt;=1,1,IF(EXACT(P1266,"keine"),IF(P$3=P$12,1,0),IF(EXACT(P1266,"beste"),IF(P$3=P1161,1,0),IF(P$3=P951,1,0)))))</f>
        <v/>
      </c>
      <c r="Q1371" s="62">
        <f>IF(Q216=0,0,IF(Q$15&lt;=1,1,IF(EXACT(Q1266,"keine"),IF(Q$3=Q$12,1,0),IF(EXACT(Q1266,"beste"),IF(Q$3=Q1161,1,0),IF(Q$3=Q951,1,0)))))</f>
        <v/>
      </c>
      <c r="R1371" s="62">
        <f>IF(R216=0,0,IF(R$15&lt;=1,1,IF(EXACT(R1266,"keine"),IF(R$3=R$12,1,0),IF(EXACT(R1266,"beste"),IF(R$3=R1161,1,0),IF(R$3=R951,1,0)))))</f>
        <v/>
      </c>
      <c r="S1371" s="62">
        <f>IF(S216=0,0,IF(S$15&lt;=1,1,IF(EXACT(S1266,"keine"),IF(S$3=S$12,1,0),IF(EXACT(S1266,"beste"),IF(S$3=S1161,1,0),IF(S$3=S951,1,0)))))</f>
        <v/>
      </c>
      <c r="T1371" s="62">
        <f>IF(T216=0,0,IF(T$15&lt;=1,1,IF(EXACT(T1266,"keine"),IF(T$3=T$12,1,0),IF(EXACT(T1266,"beste"),IF(T$3=T1161,1,0),IF(T$3=T951,1,0)))))</f>
        <v/>
      </c>
      <c r="U1371" s="62">
        <f>IF(U216=0,0,IF(U$15&lt;=1,1,IF(EXACT(U1266,"keine"),IF(U$3=U$12,1,0),IF(EXACT(U1266,"beste"),IF(U$3=U1161,1,0),IF(U$3=U951,1,0)))))</f>
        <v/>
      </c>
      <c r="V1371" s="62">
        <f>IF(V216=0,0,IF(V$15&lt;=1,1,IF(EXACT(V1266,"keine"),IF(V$3=V$12,1,0),IF(EXACT(V1266,"beste"),IF(V$3=V1161,1,0),IF(V$3=V951,1,0)))))</f>
        <v/>
      </c>
    </row>
    <row r="1372">
      <c r="C1372" s="62">
        <f>IF(C217=0,0,IF(C$15&lt;=1,1,IF(EXACT(C1267,"keine"),IF(C$3=C$12,1,0),IF(EXACT(C1267,"beste"),IF(C$3=C1162,1,0),IF(C$3=C952,1,0)))))</f>
        <v/>
      </c>
      <c r="D1372" s="62">
        <f>IF(D217=0,0,IF(D$15&lt;=1,1,IF(EXACT(D1267,"keine"),IF(D$3=D$12,1,0),IF(EXACT(D1267,"beste"),IF(D$3=D1162,1,0),IF(D$3=D952,1,0)))))</f>
        <v/>
      </c>
      <c r="E1372" s="62">
        <f>IF(E217=0,0,IF(E$15&lt;=1,1,IF(EXACT(E1267,"keine"),IF(E$3=E$12,1,0),IF(EXACT(E1267,"beste"),IF(E$3=E1162,1,0),IF(E$3=E952,1,0)))))</f>
        <v/>
      </c>
      <c r="F1372" s="62">
        <f>IF(F217=0,0,IF(F$15&lt;=1,1,IF(EXACT(F1267,"keine"),IF(F$3=F$12,1,0),IF(EXACT(F1267,"beste"),IF(F$3=F1162,1,0),IF(F$3=F952,1,0)))))</f>
        <v/>
      </c>
      <c r="G1372" s="62">
        <f>IF(G217=0,0,IF(G$15&lt;=1,1,IF(EXACT(G1267,"keine"),IF(G$3=G$12,1,0),IF(EXACT(G1267,"beste"),IF(G$3=G1162,1,0),IF(G$3=G952,1,0)))))</f>
        <v/>
      </c>
      <c r="H1372" s="62">
        <f>IF(H217=0,0,IF(H$15&lt;=1,1,IF(EXACT(H1267,"keine"),IF(H$3=H$12,1,0),IF(EXACT(H1267,"beste"),IF(H$3=H1162,1,0),IF(H$3=H952,1,0)))))</f>
        <v/>
      </c>
      <c r="I1372" s="62">
        <f>IF(I217=0,0,IF(I$15&lt;=1,1,IF(EXACT(I1267,"keine"),IF(I$3=I$12,1,0),IF(EXACT(I1267,"beste"),IF(I$3=I1162,1,0),IF(I$3=I952,1,0)))))</f>
        <v/>
      </c>
      <c r="J1372" s="62">
        <f>IF(J217=0,0,IF(J$15&lt;=1,1,IF(EXACT(J1267,"keine"),IF(J$3=J$12,1,0),IF(EXACT(J1267,"beste"),IF(J$3=J1162,1,0),IF(J$3=J952,1,0)))))</f>
        <v/>
      </c>
      <c r="K1372" s="62">
        <f>IF(K217=0,0,IF(K$15&lt;=1,1,IF(EXACT(K1267,"keine"),IF(K$3=K$12,1,0),IF(EXACT(K1267,"beste"),IF(K$3=K1162,1,0),IF(K$3=K952,1,0)))))</f>
        <v/>
      </c>
      <c r="L1372" s="62">
        <f>IF(L217=0,0,IF(L$15&lt;=1,1,IF(EXACT(L1267,"keine"),IF(L$3=L$12,1,0),IF(EXACT(L1267,"beste"),IF(L$3=L1162,1,0),IF(L$3=L952,1,0)))))</f>
        <v/>
      </c>
      <c r="M1372" s="62">
        <f>IF(M217=0,0,IF(M$15&lt;=1,1,IF(EXACT(M1267,"keine"),IF(M$3=M$12,1,0),IF(EXACT(M1267,"beste"),IF(M$3=M1162,1,0),IF(M$3=M952,1,0)))))</f>
        <v/>
      </c>
      <c r="N1372" s="62">
        <f>IF(N217=0,0,IF(N$15&lt;=1,1,IF(EXACT(N1267,"keine"),IF(N$3=N$12,1,0),IF(EXACT(N1267,"beste"),IF(N$3=N1162,1,0),IF(N$3=N952,1,0)))))</f>
        <v/>
      </c>
      <c r="O1372" s="62">
        <f>IF(O217=0,0,IF(O$15&lt;=1,1,IF(EXACT(O1267,"keine"),IF(O$3=O$12,1,0),IF(EXACT(O1267,"beste"),IF(O$3=O1162,1,0),IF(O$3=O952,1,0)))))</f>
        <v/>
      </c>
      <c r="P1372" s="62">
        <f>IF(P217=0,0,IF(P$15&lt;=1,1,IF(EXACT(P1267,"keine"),IF(P$3=P$12,1,0),IF(EXACT(P1267,"beste"),IF(P$3=P1162,1,0),IF(P$3=P952,1,0)))))</f>
        <v/>
      </c>
      <c r="Q1372" s="62">
        <f>IF(Q217=0,0,IF(Q$15&lt;=1,1,IF(EXACT(Q1267,"keine"),IF(Q$3=Q$12,1,0),IF(EXACT(Q1267,"beste"),IF(Q$3=Q1162,1,0),IF(Q$3=Q952,1,0)))))</f>
        <v/>
      </c>
      <c r="R1372" s="62">
        <f>IF(R217=0,0,IF(R$15&lt;=1,1,IF(EXACT(R1267,"keine"),IF(R$3=R$12,1,0),IF(EXACT(R1267,"beste"),IF(R$3=R1162,1,0),IF(R$3=R952,1,0)))))</f>
        <v/>
      </c>
      <c r="S1372" s="62">
        <f>IF(S217=0,0,IF(S$15&lt;=1,1,IF(EXACT(S1267,"keine"),IF(S$3=S$12,1,0),IF(EXACT(S1267,"beste"),IF(S$3=S1162,1,0),IF(S$3=S952,1,0)))))</f>
        <v/>
      </c>
      <c r="T1372" s="62">
        <f>IF(T217=0,0,IF(T$15&lt;=1,1,IF(EXACT(T1267,"keine"),IF(T$3=T$12,1,0),IF(EXACT(T1267,"beste"),IF(T$3=T1162,1,0),IF(T$3=T952,1,0)))))</f>
        <v/>
      </c>
      <c r="U1372" s="62">
        <f>IF(U217=0,0,IF(U$15&lt;=1,1,IF(EXACT(U1267,"keine"),IF(U$3=U$12,1,0),IF(EXACT(U1267,"beste"),IF(U$3=U1162,1,0),IF(U$3=U952,1,0)))))</f>
        <v/>
      </c>
      <c r="V1372" s="62">
        <f>IF(V217=0,0,IF(V$15&lt;=1,1,IF(EXACT(V1267,"keine"),IF(V$3=V$12,1,0),IF(EXACT(V1267,"beste"),IF(V$3=V1162,1,0),IF(V$3=V952,1,0)))))</f>
        <v/>
      </c>
    </row>
    <row r="1373">
      <c r="C1373" s="62">
        <f>IF(C218=0,0,IF(C$15&lt;=1,1,IF(EXACT(C1268,"keine"),IF(C$3=C$12,1,0),IF(EXACT(C1268,"beste"),IF(C$3=C1163,1,0),IF(C$3=C953,1,0)))))</f>
        <v/>
      </c>
      <c r="D1373" s="62">
        <f>IF(D218=0,0,IF(D$15&lt;=1,1,IF(EXACT(D1268,"keine"),IF(D$3=D$12,1,0),IF(EXACT(D1268,"beste"),IF(D$3=D1163,1,0),IF(D$3=D953,1,0)))))</f>
        <v/>
      </c>
      <c r="E1373" s="62">
        <f>IF(E218=0,0,IF(E$15&lt;=1,1,IF(EXACT(E1268,"keine"),IF(E$3=E$12,1,0),IF(EXACT(E1268,"beste"),IF(E$3=E1163,1,0),IF(E$3=E953,1,0)))))</f>
        <v/>
      </c>
      <c r="F1373" s="62">
        <f>IF(F218=0,0,IF(F$15&lt;=1,1,IF(EXACT(F1268,"keine"),IF(F$3=F$12,1,0),IF(EXACT(F1268,"beste"),IF(F$3=F1163,1,0),IF(F$3=F953,1,0)))))</f>
        <v/>
      </c>
      <c r="G1373" s="62">
        <f>IF(G218=0,0,IF(G$15&lt;=1,1,IF(EXACT(G1268,"keine"),IF(G$3=G$12,1,0),IF(EXACT(G1268,"beste"),IF(G$3=G1163,1,0),IF(G$3=G953,1,0)))))</f>
        <v/>
      </c>
      <c r="H1373" s="62">
        <f>IF(H218=0,0,IF(H$15&lt;=1,1,IF(EXACT(H1268,"keine"),IF(H$3=H$12,1,0),IF(EXACT(H1268,"beste"),IF(H$3=H1163,1,0),IF(H$3=H953,1,0)))))</f>
        <v/>
      </c>
      <c r="I1373" s="62">
        <f>IF(I218=0,0,IF(I$15&lt;=1,1,IF(EXACT(I1268,"keine"),IF(I$3=I$12,1,0),IF(EXACT(I1268,"beste"),IF(I$3=I1163,1,0),IF(I$3=I953,1,0)))))</f>
        <v/>
      </c>
      <c r="J1373" s="62">
        <f>IF(J218=0,0,IF(J$15&lt;=1,1,IF(EXACT(J1268,"keine"),IF(J$3=J$12,1,0),IF(EXACT(J1268,"beste"),IF(J$3=J1163,1,0),IF(J$3=J953,1,0)))))</f>
        <v/>
      </c>
      <c r="K1373" s="62">
        <f>IF(K218=0,0,IF(K$15&lt;=1,1,IF(EXACT(K1268,"keine"),IF(K$3=K$12,1,0),IF(EXACT(K1268,"beste"),IF(K$3=K1163,1,0),IF(K$3=K953,1,0)))))</f>
        <v/>
      </c>
      <c r="L1373" s="62">
        <f>IF(L218=0,0,IF(L$15&lt;=1,1,IF(EXACT(L1268,"keine"),IF(L$3=L$12,1,0),IF(EXACT(L1268,"beste"),IF(L$3=L1163,1,0),IF(L$3=L953,1,0)))))</f>
        <v/>
      </c>
      <c r="M1373" s="62">
        <f>IF(M218=0,0,IF(M$15&lt;=1,1,IF(EXACT(M1268,"keine"),IF(M$3=M$12,1,0),IF(EXACT(M1268,"beste"),IF(M$3=M1163,1,0),IF(M$3=M953,1,0)))))</f>
        <v/>
      </c>
      <c r="N1373" s="62">
        <f>IF(N218=0,0,IF(N$15&lt;=1,1,IF(EXACT(N1268,"keine"),IF(N$3=N$12,1,0),IF(EXACT(N1268,"beste"),IF(N$3=N1163,1,0),IF(N$3=N953,1,0)))))</f>
        <v/>
      </c>
      <c r="O1373" s="62">
        <f>IF(O218=0,0,IF(O$15&lt;=1,1,IF(EXACT(O1268,"keine"),IF(O$3=O$12,1,0),IF(EXACT(O1268,"beste"),IF(O$3=O1163,1,0),IF(O$3=O953,1,0)))))</f>
        <v/>
      </c>
      <c r="P1373" s="62">
        <f>IF(P218=0,0,IF(P$15&lt;=1,1,IF(EXACT(P1268,"keine"),IF(P$3=P$12,1,0),IF(EXACT(P1268,"beste"),IF(P$3=P1163,1,0),IF(P$3=P953,1,0)))))</f>
        <v/>
      </c>
      <c r="Q1373" s="62">
        <f>IF(Q218=0,0,IF(Q$15&lt;=1,1,IF(EXACT(Q1268,"keine"),IF(Q$3=Q$12,1,0),IF(EXACT(Q1268,"beste"),IF(Q$3=Q1163,1,0),IF(Q$3=Q953,1,0)))))</f>
        <v/>
      </c>
      <c r="R1373" s="62">
        <f>IF(R218=0,0,IF(R$15&lt;=1,1,IF(EXACT(R1268,"keine"),IF(R$3=R$12,1,0),IF(EXACT(R1268,"beste"),IF(R$3=R1163,1,0),IF(R$3=R953,1,0)))))</f>
        <v/>
      </c>
      <c r="S1373" s="62">
        <f>IF(S218=0,0,IF(S$15&lt;=1,1,IF(EXACT(S1268,"keine"),IF(S$3=S$12,1,0),IF(EXACT(S1268,"beste"),IF(S$3=S1163,1,0),IF(S$3=S953,1,0)))))</f>
        <v/>
      </c>
      <c r="T1373" s="62">
        <f>IF(T218=0,0,IF(T$15&lt;=1,1,IF(EXACT(T1268,"keine"),IF(T$3=T$12,1,0),IF(EXACT(T1268,"beste"),IF(T$3=T1163,1,0),IF(T$3=T953,1,0)))))</f>
        <v/>
      </c>
      <c r="U1373" s="62">
        <f>IF(U218=0,0,IF(U$15&lt;=1,1,IF(EXACT(U1268,"keine"),IF(U$3=U$12,1,0),IF(EXACT(U1268,"beste"),IF(U$3=U1163,1,0),IF(U$3=U953,1,0)))))</f>
        <v/>
      </c>
      <c r="V1373" s="62">
        <f>IF(V218=0,0,IF(V$15&lt;=1,1,IF(EXACT(V1268,"keine"),IF(V$3=V$12,1,0),IF(EXACT(V1268,"beste"),IF(V$3=V1163,1,0),IF(V$3=V953,1,0)))))</f>
        <v/>
      </c>
    </row>
    <row r="1374">
      <c r="C1374" s="62">
        <f>IF(C219=0,0,IF(C$15&lt;=1,1,IF(EXACT(C1269,"keine"),IF(C$3=C$12,1,0),IF(EXACT(C1269,"beste"),IF(C$3=C1164,1,0),IF(C$3=C954,1,0)))))</f>
        <v/>
      </c>
      <c r="D1374" s="62">
        <f>IF(D219=0,0,IF(D$15&lt;=1,1,IF(EXACT(D1269,"keine"),IF(D$3=D$12,1,0),IF(EXACT(D1269,"beste"),IF(D$3=D1164,1,0),IF(D$3=D954,1,0)))))</f>
        <v/>
      </c>
      <c r="E1374" s="62">
        <f>IF(E219=0,0,IF(E$15&lt;=1,1,IF(EXACT(E1269,"keine"),IF(E$3=E$12,1,0),IF(EXACT(E1269,"beste"),IF(E$3=E1164,1,0),IF(E$3=E954,1,0)))))</f>
        <v/>
      </c>
      <c r="F1374" s="62">
        <f>IF(F219=0,0,IF(F$15&lt;=1,1,IF(EXACT(F1269,"keine"),IF(F$3=F$12,1,0),IF(EXACT(F1269,"beste"),IF(F$3=F1164,1,0),IF(F$3=F954,1,0)))))</f>
        <v/>
      </c>
      <c r="G1374" s="62">
        <f>IF(G219=0,0,IF(G$15&lt;=1,1,IF(EXACT(G1269,"keine"),IF(G$3=G$12,1,0),IF(EXACT(G1269,"beste"),IF(G$3=G1164,1,0),IF(G$3=G954,1,0)))))</f>
        <v/>
      </c>
      <c r="H1374" s="62">
        <f>IF(H219=0,0,IF(H$15&lt;=1,1,IF(EXACT(H1269,"keine"),IF(H$3=H$12,1,0),IF(EXACT(H1269,"beste"),IF(H$3=H1164,1,0),IF(H$3=H954,1,0)))))</f>
        <v/>
      </c>
      <c r="I1374" s="62">
        <f>IF(I219=0,0,IF(I$15&lt;=1,1,IF(EXACT(I1269,"keine"),IF(I$3=I$12,1,0),IF(EXACT(I1269,"beste"),IF(I$3=I1164,1,0),IF(I$3=I954,1,0)))))</f>
        <v/>
      </c>
      <c r="J1374" s="62">
        <f>IF(J219=0,0,IF(J$15&lt;=1,1,IF(EXACT(J1269,"keine"),IF(J$3=J$12,1,0),IF(EXACT(J1269,"beste"),IF(J$3=J1164,1,0),IF(J$3=J954,1,0)))))</f>
        <v/>
      </c>
      <c r="K1374" s="62">
        <f>IF(K219=0,0,IF(K$15&lt;=1,1,IF(EXACT(K1269,"keine"),IF(K$3=K$12,1,0),IF(EXACT(K1269,"beste"),IF(K$3=K1164,1,0),IF(K$3=K954,1,0)))))</f>
        <v/>
      </c>
      <c r="L1374" s="62">
        <f>IF(L219=0,0,IF(L$15&lt;=1,1,IF(EXACT(L1269,"keine"),IF(L$3=L$12,1,0),IF(EXACT(L1269,"beste"),IF(L$3=L1164,1,0),IF(L$3=L954,1,0)))))</f>
        <v/>
      </c>
      <c r="M1374" s="62">
        <f>IF(M219=0,0,IF(M$15&lt;=1,1,IF(EXACT(M1269,"keine"),IF(M$3=M$12,1,0),IF(EXACT(M1269,"beste"),IF(M$3=M1164,1,0),IF(M$3=M954,1,0)))))</f>
        <v/>
      </c>
      <c r="N1374" s="62">
        <f>IF(N219=0,0,IF(N$15&lt;=1,1,IF(EXACT(N1269,"keine"),IF(N$3=N$12,1,0),IF(EXACT(N1269,"beste"),IF(N$3=N1164,1,0),IF(N$3=N954,1,0)))))</f>
        <v/>
      </c>
      <c r="O1374" s="62">
        <f>IF(O219=0,0,IF(O$15&lt;=1,1,IF(EXACT(O1269,"keine"),IF(O$3=O$12,1,0),IF(EXACT(O1269,"beste"),IF(O$3=O1164,1,0),IF(O$3=O954,1,0)))))</f>
        <v/>
      </c>
      <c r="P1374" s="62">
        <f>IF(P219=0,0,IF(P$15&lt;=1,1,IF(EXACT(P1269,"keine"),IF(P$3=P$12,1,0),IF(EXACT(P1269,"beste"),IF(P$3=P1164,1,0),IF(P$3=P954,1,0)))))</f>
        <v/>
      </c>
      <c r="Q1374" s="62">
        <f>IF(Q219=0,0,IF(Q$15&lt;=1,1,IF(EXACT(Q1269,"keine"),IF(Q$3=Q$12,1,0),IF(EXACT(Q1269,"beste"),IF(Q$3=Q1164,1,0),IF(Q$3=Q954,1,0)))))</f>
        <v/>
      </c>
      <c r="R1374" s="62">
        <f>IF(R219=0,0,IF(R$15&lt;=1,1,IF(EXACT(R1269,"keine"),IF(R$3=R$12,1,0),IF(EXACT(R1269,"beste"),IF(R$3=R1164,1,0),IF(R$3=R954,1,0)))))</f>
        <v/>
      </c>
      <c r="S1374" s="62">
        <f>IF(S219=0,0,IF(S$15&lt;=1,1,IF(EXACT(S1269,"keine"),IF(S$3=S$12,1,0),IF(EXACT(S1269,"beste"),IF(S$3=S1164,1,0),IF(S$3=S954,1,0)))))</f>
        <v/>
      </c>
      <c r="T1374" s="62">
        <f>IF(T219=0,0,IF(T$15&lt;=1,1,IF(EXACT(T1269,"keine"),IF(T$3=T$12,1,0),IF(EXACT(T1269,"beste"),IF(T$3=T1164,1,0),IF(T$3=T954,1,0)))))</f>
        <v/>
      </c>
      <c r="U1374" s="62">
        <f>IF(U219=0,0,IF(U$15&lt;=1,1,IF(EXACT(U1269,"keine"),IF(U$3=U$12,1,0),IF(EXACT(U1269,"beste"),IF(U$3=U1164,1,0),IF(U$3=U954,1,0)))))</f>
        <v/>
      </c>
      <c r="V1374" s="62">
        <f>IF(V219=0,0,IF(V$15&lt;=1,1,IF(EXACT(V1269,"keine"),IF(V$3=V$12,1,0),IF(EXACT(V1269,"beste"),IF(V$3=V1164,1,0),IF(V$3=V954,1,0)))))</f>
        <v/>
      </c>
    </row>
    <row r="1375">
      <c r="C1375" s="62">
        <f>IF(C220=0,0,IF(C$15&lt;=1,1,IF(EXACT(C1270,"keine"),IF(C$3=C$12,1,0),IF(EXACT(C1270,"beste"),IF(C$3=C1165,1,0),IF(C$3=C955,1,0)))))</f>
        <v/>
      </c>
      <c r="D1375" s="62">
        <f>IF(D220=0,0,IF(D$15&lt;=1,1,IF(EXACT(D1270,"keine"),IF(D$3=D$12,1,0),IF(EXACT(D1270,"beste"),IF(D$3=D1165,1,0),IF(D$3=D955,1,0)))))</f>
        <v/>
      </c>
      <c r="E1375" s="62">
        <f>IF(E220=0,0,IF(E$15&lt;=1,1,IF(EXACT(E1270,"keine"),IF(E$3=E$12,1,0),IF(EXACT(E1270,"beste"),IF(E$3=E1165,1,0),IF(E$3=E955,1,0)))))</f>
        <v/>
      </c>
      <c r="F1375" s="62">
        <f>IF(F220=0,0,IF(F$15&lt;=1,1,IF(EXACT(F1270,"keine"),IF(F$3=F$12,1,0),IF(EXACT(F1270,"beste"),IF(F$3=F1165,1,0),IF(F$3=F955,1,0)))))</f>
        <v/>
      </c>
      <c r="G1375" s="62">
        <f>IF(G220=0,0,IF(G$15&lt;=1,1,IF(EXACT(G1270,"keine"),IF(G$3=G$12,1,0),IF(EXACT(G1270,"beste"),IF(G$3=G1165,1,0),IF(G$3=G955,1,0)))))</f>
        <v/>
      </c>
      <c r="H1375" s="62">
        <f>IF(H220=0,0,IF(H$15&lt;=1,1,IF(EXACT(H1270,"keine"),IF(H$3=H$12,1,0),IF(EXACT(H1270,"beste"),IF(H$3=H1165,1,0),IF(H$3=H955,1,0)))))</f>
        <v/>
      </c>
      <c r="I1375" s="62">
        <f>IF(I220=0,0,IF(I$15&lt;=1,1,IF(EXACT(I1270,"keine"),IF(I$3=I$12,1,0),IF(EXACT(I1270,"beste"),IF(I$3=I1165,1,0),IF(I$3=I955,1,0)))))</f>
        <v/>
      </c>
      <c r="J1375" s="62">
        <f>IF(J220=0,0,IF(J$15&lt;=1,1,IF(EXACT(J1270,"keine"),IF(J$3=J$12,1,0),IF(EXACT(J1270,"beste"),IF(J$3=J1165,1,0),IF(J$3=J955,1,0)))))</f>
        <v/>
      </c>
      <c r="K1375" s="62">
        <f>IF(K220=0,0,IF(K$15&lt;=1,1,IF(EXACT(K1270,"keine"),IF(K$3=K$12,1,0),IF(EXACT(K1270,"beste"),IF(K$3=K1165,1,0),IF(K$3=K955,1,0)))))</f>
        <v/>
      </c>
      <c r="L1375" s="62">
        <f>IF(L220=0,0,IF(L$15&lt;=1,1,IF(EXACT(L1270,"keine"),IF(L$3=L$12,1,0),IF(EXACT(L1270,"beste"),IF(L$3=L1165,1,0),IF(L$3=L955,1,0)))))</f>
        <v/>
      </c>
      <c r="M1375" s="62">
        <f>IF(M220=0,0,IF(M$15&lt;=1,1,IF(EXACT(M1270,"keine"),IF(M$3=M$12,1,0),IF(EXACT(M1270,"beste"),IF(M$3=M1165,1,0),IF(M$3=M955,1,0)))))</f>
        <v/>
      </c>
      <c r="N1375" s="62">
        <f>IF(N220=0,0,IF(N$15&lt;=1,1,IF(EXACT(N1270,"keine"),IF(N$3=N$12,1,0),IF(EXACT(N1270,"beste"),IF(N$3=N1165,1,0),IF(N$3=N955,1,0)))))</f>
        <v/>
      </c>
      <c r="O1375" s="62">
        <f>IF(O220=0,0,IF(O$15&lt;=1,1,IF(EXACT(O1270,"keine"),IF(O$3=O$12,1,0),IF(EXACT(O1270,"beste"),IF(O$3=O1165,1,0),IF(O$3=O955,1,0)))))</f>
        <v/>
      </c>
      <c r="P1375" s="62">
        <f>IF(P220=0,0,IF(P$15&lt;=1,1,IF(EXACT(P1270,"keine"),IF(P$3=P$12,1,0),IF(EXACT(P1270,"beste"),IF(P$3=P1165,1,0),IF(P$3=P955,1,0)))))</f>
        <v/>
      </c>
      <c r="Q1375" s="62">
        <f>IF(Q220=0,0,IF(Q$15&lt;=1,1,IF(EXACT(Q1270,"keine"),IF(Q$3=Q$12,1,0),IF(EXACT(Q1270,"beste"),IF(Q$3=Q1165,1,0),IF(Q$3=Q955,1,0)))))</f>
        <v/>
      </c>
      <c r="R1375" s="62">
        <f>IF(R220=0,0,IF(R$15&lt;=1,1,IF(EXACT(R1270,"keine"),IF(R$3=R$12,1,0),IF(EXACT(R1270,"beste"),IF(R$3=R1165,1,0),IF(R$3=R955,1,0)))))</f>
        <v/>
      </c>
      <c r="S1375" s="62">
        <f>IF(S220=0,0,IF(S$15&lt;=1,1,IF(EXACT(S1270,"keine"),IF(S$3=S$12,1,0),IF(EXACT(S1270,"beste"),IF(S$3=S1165,1,0),IF(S$3=S955,1,0)))))</f>
        <v/>
      </c>
      <c r="T1375" s="62">
        <f>IF(T220=0,0,IF(T$15&lt;=1,1,IF(EXACT(T1270,"keine"),IF(T$3=T$12,1,0),IF(EXACT(T1270,"beste"),IF(T$3=T1165,1,0),IF(T$3=T955,1,0)))))</f>
        <v/>
      </c>
      <c r="U1375" s="62">
        <f>IF(U220=0,0,IF(U$15&lt;=1,1,IF(EXACT(U1270,"keine"),IF(U$3=U$12,1,0),IF(EXACT(U1270,"beste"),IF(U$3=U1165,1,0),IF(U$3=U955,1,0)))))</f>
        <v/>
      </c>
      <c r="V1375" s="62">
        <f>IF(V220=0,0,IF(V$15&lt;=1,1,IF(EXACT(V1270,"keine"),IF(V$3=V$12,1,0),IF(EXACT(V1270,"beste"),IF(V$3=V1165,1,0),IF(V$3=V955,1,0)))))</f>
        <v/>
      </c>
    </row>
    <row r="1376">
      <c r="C1376" s="62">
        <f>IF(C221=0,0,IF(C$15&lt;=1,1,IF(EXACT(C1271,"keine"),IF(C$3=C$12,1,0),IF(EXACT(C1271,"beste"),IF(C$3=C1166,1,0),IF(C$3=C956,1,0)))))</f>
        <v/>
      </c>
      <c r="D1376" s="62">
        <f>IF(D221=0,0,IF(D$15&lt;=1,1,IF(EXACT(D1271,"keine"),IF(D$3=D$12,1,0),IF(EXACT(D1271,"beste"),IF(D$3=D1166,1,0),IF(D$3=D956,1,0)))))</f>
        <v/>
      </c>
      <c r="E1376" s="62">
        <f>IF(E221=0,0,IF(E$15&lt;=1,1,IF(EXACT(E1271,"keine"),IF(E$3=E$12,1,0),IF(EXACT(E1271,"beste"),IF(E$3=E1166,1,0),IF(E$3=E956,1,0)))))</f>
        <v/>
      </c>
      <c r="F1376" s="62">
        <f>IF(F221=0,0,IF(F$15&lt;=1,1,IF(EXACT(F1271,"keine"),IF(F$3=F$12,1,0),IF(EXACT(F1271,"beste"),IF(F$3=F1166,1,0),IF(F$3=F956,1,0)))))</f>
        <v/>
      </c>
      <c r="G1376" s="62">
        <f>IF(G221=0,0,IF(G$15&lt;=1,1,IF(EXACT(G1271,"keine"),IF(G$3=G$12,1,0),IF(EXACT(G1271,"beste"),IF(G$3=G1166,1,0),IF(G$3=G956,1,0)))))</f>
        <v/>
      </c>
      <c r="H1376" s="62">
        <f>IF(H221=0,0,IF(H$15&lt;=1,1,IF(EXACT(H1271,"keine"),IF(H$3=H$12,1,0),IF(EXACT(H1271,"beste"),IF(H$3=H1166,1,0),IF(H$3=H956,1,0)))))</f>
        <v/>
      </c>
      <c r="I1376" s="62">
        <f>IF(I221=0,0,IF(I$15&lt;=1,1,IF(EXACT(I1271,"keine"),IF(I$3=I$12,1,0),IF(EXACT(I1271,"beste"),IF(I$3=I1166,1,0),IF(I$3=I956,1,0)))))</f>
        <v/>
      </c>
      <c r="J1376" s="62">
        <f>IF(J221=0,0,IF(J$15&lt;=1,1,IF(EXACT(J1271,"keine"),IF(J$3=J$12,1,0),IF(EXACT(J1271,"beste"),IF(J$3=J1166,1,0),IF(J$3=J956,1,0)))))</f>
        <v/>
      </c>
      <c r="K1376" s="62">
        <f>IF(K221=0,0,IF(K$15&lt;=1,1,IF(EXACT(K1271,"keine"),IF(K$3=K$12,1,0),IF(EXACT(K1271,"beste"),IF(K$3=K1166,1,0),IF(K$3=K956,1,0)))))</f>
        <v/>
      </c>
      <c r="L1376" s="62">
        <f>IF(L221=0,0,IF(L$15&lt;=1,1,IF(EXACT(L1271,"keine"),IF(L$3=L$12,1,0),IF(EXACT(L1271,"beste"),IF(L$3=L1166,1,0),IF(L$3=L956,1,0)))))</f>
        <v/>
      </c>
      <c r="M1376" s="62">
        <f>IF(M221=0,0,IF(M$15&lt;=1,1,IF(EXACT(M1271,"keine"),IF(M$3=M$12,1,0),IF(EXACT(M1271,"beste"),IF(M$3=M1166,1,0),IF(M$3=M956,1,0)))))</f>
        <v/>
      </c>
      <c r="N1376" s="62">
        <f>IF(N221=0,0,IF(N$15&lt;=1,1,IF(EXACT(N1271,"keine"),IF(N$3=N$12,1,0),IF(EXACT(N1271,"beste"),IF(N$3=N1166,1,0),IF(N$3=N956,1,0)))))</f>
        <v/>
      </c>
      <c r="O1376" s="62">
        <f>IF(O221=0,0,IF(O$15&lt;=1,1,IF(EXACT(O1271,"keine"),IF(O$3=O$12,1,0),IF(EXACT(O1271,"beste"),IF(O$3=O1166,1,0),IF(O$3=O956,1,0)))))</f>
        <v/>
      </c>
      <c r="P1376" s="62">
        <f>IF(P221=0,0,IF(P$15&lt;=1,1,IF(EXACT(P1271,"keine"),IF(P$3=P$12,1,0),IF(EXACT(P1271,"beste"),IF(P$3=P1166,1,0),IF(P$3=P956,1,0)))))</f>
        <v/>
      </c>
      <c r="Q1376" s="62">
        <f>IF(Q221=0,0,IF(Q$15&lt;=1,1,IF(EXACT(Q1271,"keine"),IF(Q$3=Q$12,1,0),IF(EXACT(Q1271,"beste"),IF(Q$3=Q1166,1,0),IF(Q$3=Q956,1,0)))))</f>
        <v/>
      </c>
      <c r="R1376" s="62">
        <f>IF(R221=0,0,IF(R$15&lt;=1,1,IF(EXACT(R1271,"keine"),IF(R$3=R$12,1,0),IF(EXACT(R1271,"beste"),IF(R$3=R1166,1,0),IF(R$3=R956,1,0)))))</f>
        <v/>
      </c>
      <c r="S1376" s="62">
        <f>IF(S221=0,0,IF(S$15&lt;=1,1,IF(EXACT(S1271,"keine"),IF(S$3=S$12,1,0),IF(EXACT(S1271,"beste"),IF(S$3=S1166,1,0),IF(S$3=S956,1,0)))))</f>
        <v/>
      </c>
      <c r="T1376" s="62">
        <f>IF(T221=0,0,IF(T$15&lt;=1,1,IF(EXACT(T1271,"keine"),IF(T$3=T$12,1,0),IF(EXACT(T1271,"beste"),IF(T$3=T1166,1,0),IF(T$3=T956,1,0)))))</f>
        <v/>
      </c>
      <c r="U1376" s="62">
        <f>IF(U221=0,0,IF(U$15&lt;=1,1,IF(EXACT(U1271,"keine"),IF(U$3=U$12,1,0),IF(EXACT(U1271,"beste"),IF(U$3=U1166,1,0),IF(U$3=U956,1,0)))))</f>
        <v/>
      </c>
      <c r="V1376" s="62">
        <f>IF(V221=0,0,IF(V$15&lt;=1,1,IF(EXACT(V1271,"keine"),IF(V$3=V$12,1,0),IF(EXACT(V1271,"beste"),IF(V$3=V1166,1,0),IF(V$3=V956,1,0)))))</f>
        <v/>
      </c>
    </row>
    <row r="1377">
      <c r="C1377" s="62">
        <f>IF(C222=0,0,IF(C$15&lt;=1,1,IF(EXACT(C1272,"keine"),IF(C$3=C$12,1,0),IF(EXACT(C1272,"beste"),IF(C$3=C1167,1,0),IF(C$3=C957,1,0)))))</f>
        <v/>
      </c>
      <c r="D1377" s="62">
        <f>IF(D222=0,0,IF(D$15&lt;=1,1,IF(EXACT(D1272,"keine"),IF(D$3=D$12,1,0),IF(EXACT(D1272,"beste"),IF(D$3=D1167,1,0),IF(D$3=D957,1,0)))))</f>
        <v/>
      </c>
      <c r="E1377" s="62">
        <f>IF(E222=0,0,IF(E$15&lt;=1,1,IF(EXACT(E1272,"keine"),IF(E$3=E$12,1,0),IF(EXACT(E1272,"beste"),IF(E$3=E1167,1,0),IF(E$3=E957,1,0)))))</f>
        <v/>
      </c>
      <c r="F1377" s="62">
        <f>IF(F222=0,0,IF(F$15&lt;=1,1,IF(EXACT(F1272,"keine"),IF(F$3=F$12,1,0),IF(EXACT(F1272,"beste"),IF(F$3=F1167,1,0),IF(F$3=F957,1,0)))))</f>
        <v/>
      </c>
      <c r="G1377" s="62">
        <f>IF(G222=0,0,IF(G$15&lt;=1,1,IF(EXACT(G1272,"keine"),IF(G$3=G$12,1,0),IF(EXACT(G1272,"beste"),IF(G$3=G1167,1,0),IF(G$3=G957,1,0)))))</f>
        <v/>
      </c>
      <c r="H1377" s="62">
        <f>IF(H222=0,0,IF(H$15&lt;=1,1,IF(EXACT(H1272,"keine"),IF(H$3=H$12,1,0),IF(EXACT(H1272,"beste"),IF(H$3=H1167,1,0),IF(H$3=H957,1,0)))))</f>
        <v/>
      </c>
      <c r="I1377" s="62">
        <f>IF(I222=0,0,IF(I$15&lt;=1,1,IF(EXACT(I1272,"keine"),IF(I$3=I$12,1,0),IF(EXACT(I1272,"beste"),IF(I$3=I1167,1,0),IF(I$3=I957,1,0)))))</f>
        <v/>
      </c>
      <c r="J1377" s="62">
        <f>IF(J222=0,0,IF(J$15&lt;=1,1,IF(EXACT(J1272,"keine"),IF(J$3=J$12,1,0),IF(EXACT(J1272,"beste"),IF(J$3=J1167,1,0),IF(J$3=J957,1,0)))))</f>
        <v/>
      </c>
      <c r="K1377" s="62">
        <f>IF(K222=0,0,IF(K$15&lt;=1,1,IF(EXACT(K1272,"keine"),IF(K$3=K$12,1,0),IF(EXACT(K1272,"beste"),IF(K$3=K1167,1,0),IF(K$3=K957,1,0)))))</f>
        <v/>
      </c>
      <c r="L1377" s="62">
        <f>IF(L222=0,0,IF(L$15&lt;=1,1,IF(EXACT(L1272,"keine"),IF(L$3=L$12,1,0),IF(EXACT(L1272,"beste"),IF(L$3=L1167,1,0),IF(L$3=L957,1,0)))))</f>
        <v/>
      </c>
      <c r="M1377" s="62">
        <f>IF(M222=0,0,IF(M$15&lt;=1,1,IF(EXACT(M1272,"keine"),IF(M$3=M$12,1,0),IF(EXACT(M1272,"beste"),IF(M$3=M1167,1,0),IF(M$3=M957,1,0)))))</f>
        <v/>
      </c>
      <c r="N1377" s="62">
        <f>IF(N222=0,0,IF(N$15&lt;=1,1,IF(EXACT(N1272,"keine"),IF(N$3=N$12,1,0),IF(EXACT(N1272,"beste"),IF(N$3=N1167,1,0),IF(N$3=N957,1,0)))))</f>
        <v/>
      </c>
      <c r="O1377" s="62">
        <f>IF(O222=0,0,IF(O$15&lt;=1,1,IF(EXACT(O1272,"keine"),IF(O$3=O$12,1,0),IF(EXACT(O1272,"beste"),IF(O$3=O1167,1,0),IF(O$3=O957,1,0)))))</f>
        <v/>
      </c>
      <c r="P1377" s="62">
        <f>IF(P222=0,0,IF(P$15&lt;=1,1,IF(EXACT(P1272,"keine"),IF(P$3=P$12,1,0),IF(EXACT(P1272,"beste"),IF(P$3=P1167,1,0),IF(P$3=P957,1,0)))))</f>
        <v/>
      </c>
      <c r="Q1377" s="62">
        <f>IF(Q222=0,0,IF(Q$15&lt;=1,1,IF(EXACT(Q1272,"keine"),IF(Q$3=Q$12,1,0),IF(EXACT(Q1272,"beste"),IF(Q$3=Q1167,1,0),IF(Q$3=Q957,1,0)))))</f>
        <v/>
      </c>
      <c r="R1377" s="62">
        <f>IF(R222=0,0,IF(R$15&lt;=1,1,IF(EXACT(R1272,"keine"),IF(R$3=R$12,1,0),IF(EXACT(R1272,"beste"),IF(R$3=R1167,1,0),IF(R$3=R957,1,0)))))</f>
        <v/>
      </c>
      <c r="S1377" s="62">
        <f>IF(S222=0,0,IF(S$15&lt;=1,1,IF(EXACT(S1272,"keine"),IF(S$3=S$12,1,0),IF(EXACT(S1272,"beste"),IF(S$3=S1167,1,0),IF(S$3=S957,1,0)))))</f>
        <v/>
      </c>
      <c r="T1377" s="62">
        <f>IF(T222=0,0,IF(T$15&lt;=1,1,IF(EXACT(T1272,"keine"),IF(T$3=T$12,1,0),IF(EXACT(T1272,"beste"),IF(T$3=T1167,1,0),IF(T$3=T957,1,0)))))</f>
        <v/>
      </c>
      <c r="U1377" s="62">
        <f>IF(U222=0,0,IF(U$15&lt;=1,1,IF(EXACT(U1272,"keine"),IF(U$3=U$12,1,0),IF(EXACT(U1272,"beste"),IF(U$3=U1167,1,0),IF(U$3=U957,1,0)))))</f>
        <v/>
      </c>
      <c r="V1377" s="62">
        <f>IF(V222=0,0,IF(V$15&lt;=1,1,IF(EXACT(V1272,"keine"),IF(V$3=V$12,1,0),IF(EXACT(V1272,"beste"),IF(V$3=V1167,1,0),IF(V$3=V957,1,0)))))</f>
        <v/>
      </c>
    </row>
    <row r="1378">
      <c r="C1378" s="62">
        <f>IF(C223=0,0,IF(C$15&lt;=1,1,IF(EXACT(C1273,"keine"),IF(C$3=C$12,1,0),IF(EXACT(C1273,"beste"),IF(C$3=C1168,1,0),IF(C$3=C958,1,0)))))</f>
        <v/>
      </c>
      <c r="D1378" s="62">
        <f>IF(D223=0,0,IF(D$15&lt;=1,1,IF(EXACT(D1273,"keine"),IF(D$3=D$12,1,0),IF(EXACT(D1273,"beste"),IF(D$3=D1168,1,0),IF(D$3=D958,1,0)))))</f>
        <v/>
      </c>
      <c r="E1378" s="62">
        <f>IF(E223=0,0,IF(E$15&lt;=1,1,IF(EXACT(E1273,"keine"),IF(E$3=E$12,1,0),IF(EXACT(E1273,"beste"),IF(E$3=E1168,1,0),IF(E$3=E958,1,0)))))</f>
        <v/>
      </c>
      <c r="F1378" s="62">
        <f>IF(F223=0,0,IF(F$15&lt;=1,1,IF(EXACT(F1273,"keine"),IF(F$3=F$12,1,0),IF(EXACT(F1273,"beste"),IF(F$3=F1168,1,0),IF(F$3=F958,1,0)))))</f>
        <v/>
      </c>
      <c r="G1378" s="62">
        <f>IF(G223=0,0,IF(G$15&lt;=1,1,IF(EXACT(G1273,"keine"),IF(G$3=G$12,1,0),IF(EXACT(G1273,"beste"),IF(G$3=G1168,1,0),IF(G$3=G958,1,0)))))</f>
        <v/>
      </c>
      <c r="H1378" s="62">
        <f>IF(H223=0,0,IF(H$15&lt;=1,1,IF(EXACT(H1273,"keine"),IF(H$3=H$12,1,0),IF(EXACT(H1273,"beste"),IF(H$3=H1168,1,0),IF(H$3=H958,1,0)))))</f>
        <v/>
      </c>
      <c r="I1378" s="62">
        <f>IF(I223=0,0,IF(I$15&lt;=1,1,IF(EXACT(I1273,"keine"),IF(I$3=I$12,1,0),IF(EXACT(I1273,"beste"),IF(I$3=I1168,1,0),IF(I$3=I958,1,0)))))</f>
        <v/>
      </c>
      <c r="J1378" s="62">
        <f>IF(J223=0,0,IF(J$15&lt;=1,1,IF(EXACT(J1273,"keine"),IF(J$3=J$12,1,0),IF(EXACT(J1273,"beste"),IF(J$3=J1168,1,0),IF(J$3=J958,1,0)))))</f>
        <v/>
      </c>
      <c r="K1378" s="62">
        <f>IF(K223=0,0,IF(K$15&lt;=1,1,IF(EXACT(K1273,"keine"),IF(K$3=K$12,1,0),IF(EXACT(K1273,"beste"),IF(K$3=K1168,1,0),IF(K$3=K958,1,0)))))</f>
        <v/>
      </c>
      <c r="L1378" s="62">
        <f>IF(L223=0,0,IF(L$15&lt;=1,1,IF(EXACT(L1273,"keine"),IF(L$3=L$12,1,0),IF(EXACT(L1273,"beste"),IF(L$3=L1168,1,0),IF(L$3=L958,1,0)))))</f>
        <v/>
      </c>
      <c r="M1378" s="62">
        <f>IF(M223=0,0,IF(M$15&lt;=1,1,IF(EXACT(M1273,"keine"),IF(M$3=M$12,1,0),IF(EXACT(M1273,"beste"),IF(M$3=M1168,1,0),IF(M$3=M958,1,0)))))</f>
        <v/>
      </c>
      <c r="N1378" s="62">
        <f>IF(N223=0,0,IF(N$15&lt;=1,1,IF(EXACT(N1273,"keine"),IF(N$3=N$12,1,0),IF(EXACT(N1273,"beste"),IF(N$3=N1168,1,0),IF(N$3=N958,1,0)))))</f>
        <v/>
      </c>
      <c r="O1378" s="62">
        <f>IF(O223=0,0,IF(O$15&lt;=1,1,IF(EXACT(O1273,"keine"),IF(O$3=O$12,1,0),IF(EXACT(O1273,"beste"),IF(O$3=O1168,1,0),IF(O$3=O958,1,0)))))</f>
        <v/>
      </c>
      <c r="P1378" s="62">
        <f>IF(P223=0,0,IF(P$15&lt;=1,1,IF(EXACT(P1273,"keine"),IF(P$3=P$12,1,0),IF(EXACT(P1273,"beste"),IF(P$3=P1168,1,0),IF(P$3=P958,1,0)))))</f>
        <v/>
      </c>
      <c r="Q1378" s="62">
        <f>IF(Q223=0,0,IF(Q$15&lt;=1,1,IF(EXACT(Q1273,"keine"),IF(Q$3=Q$12,1,0),IF(EXACT(Q1273,"beste"),IF(Q$3=Q1168,1,0),IF(Q$3=Q958,1,0)))))</f>
        <v/>
      </c>
      <c r="R1378" s="62">
        <f>IF(R223=0,0,IF(R$15&lt;=1,1,IF(EXACT(R1273,"keine"),IF(R$3=R$12,1,0),IF(EXACT(R1273,"beste"),IF(R$3=R1168,1,0),IF(R$3=R958,1,0)))))</f>
        <v/>
      </c>
      <c r="S1378" s="62">
        <f>IF(S223=0,0,IF(S$15&lt;=1,1,IF(EXACT(S1273,"keine"),IF(S$3=S$12,1,0),IF(EXACT(S1273,"beste"),IF(S$3=S1168,1,0),IF(S$3=S958,1,0)))))</f>
        <v/>
      </c>
      <c r="T1378" s="62">
        <f>IF(T223=0,0,IF(T$15&lt;=1,1,IF(EXACT(T1273,"keine"),IF(T$3=T$12,1,0),IF(EXACT(T1273,"beste"),IF(T$3=T1168,1,0),IF(T$3=T958,1,0)))))</f>
        <v/>
      </c>
      <c r="U1378" s="62">
        <f>IF(U223=0,0,IF(U$15&lt;=1,1,IF(EXACT(U1273,"keine"),IF(U$3=U$12,1,0),IF(EXACT(U1273,"beste"),IF(U$3=U1168,1,0),IF(U$3=U958,1,0)))))</f>
        <v/>
      </c>
      <c r="V1378" s="62">
        <f>IF(V223=0,0,IF(V$15&lt;=1,1,IF(EXACT(V1273,"keine"),IF(V$3=V$12,1,0),IF(EXACT(V1273,"beste"),IF(V$3=V1168,1,0),IF(V$3=V958,1,0)))))</f>
        <v/>
      </c>
    </row>
    <row r="1379">
      <c r="C1379" s="62">
        <f>IF(C224=0,0,IF(C$15&lt;=1,1,IF(EXACT(C1274,"keine"),IF(C$3=C$12,1,0),IF(EXACT(C1274,"beste"),IF(C$3=C1169,1,0),IF(C$3=C959,1,0)))))</f>
        <v/>
      </c>
      <c r="D1379" s="62">
        <f>IF(D224=0,0,IF(D$15&lt;=1,1,IF(EXACT(D1274,"keine"),IF(D$3=D$12,1,0),IF(EXACT(D1274,"beste"),IF(D$3=D1169,1,0),IF(D$3=D959,1,0)))))</f>
        <v/>
      </c>
      <c r="E1379" s="62">
        <f>IF(E224=0,0,IF(E$15&lt;=1,1,IF(EXACT(E1274,"keine"),IF(E$3=E$12,1,0),IF(EXACT(E1274,"beste"),IF(E$3=E1169,1,0),IF(E$3=E959,1,0)))))</f>
        <v/>
      </c>
      <c r="F1379" s="62">
        <f>IF(F224=0,0,IF(F$15&lt;=1,1,IF(EXACT(F1274,"keine"),IF(F$3=F$12,1,0),IF(EXACT(F1274,"beste"),IF(F$3=F1169,1,0),IF(F$3=F959,1,0)))))</f>
        <v/>
      </c>
      <c r="G1379" s="62">
        <f>IF(G224=0,0,IF(G$15&lt;=1,1,IF(EXACT(G1274,"keine"),IF(G$3=G$12,1,0),IF(EXACT(G1274,"beste"),IF(G$3=G1169,1,0),IF(G$3=G959,1,0)))))</f>
        <v/>
      </c>
      <c r="H1379" s="62">
        <f>IF(H224=0,0,IF(H$15&lt;=1,1,IF(EXACT(H1274,"keine"),IF(H$3=H$12,1,0),IF(EXACT(H1274,"beste"),IF(H$3=H1169,1,0),IF(H$3=H959,1,0)))))</f>
        <v/>
      </c>
      <c r="I1379" s="62">
        <f>IF(I224=0,0,IF(I$15&lt;=1,1,IF(EXACT(I1274,"keine"),IF(I$3=I$12,1,0),IF(EXACT(I1274,"beste"),IF(I$3=I1169,1,0),IF(I$3=I959,1,0)))))</f>
        <v/>
      </c>
      <c r="J1379" s="62">
        <f>IF(J224=0,0,IF(J$15&lt;=1,1,IF(EXACT(J1274,"keine"),IF(J$3=J$12,1,0),IF(EXACT(J1274,"beste"),IF(J$3=J1169,1,0),IF(J$3=J959,1,0)))))</f>
        <v/>
      </c>
      <c r="K1379" s="62">
        <f>IF(K224=0,0,IF(K$15&lt;=1,1,IF(EXACT(K1274,"keine"),IF(K$3=K$12,1,0),IF(EXACT(K1274,"beste"),IF(K$3=K1169,1,0),IF(K$3=K959,1,0)))))</f>
        <v/>
      </c>
      <c r="L1379" s="62">
        <f>IF(L224=0,0,IF(L$15&lt;=1,1,IF(EXACT(L1274,"keine"),IF(L$3=L$12,1,0),IF(EXACT(L1274,"beste"),IF(L$3=L1169,1,0),IF(L$3=L959,1,0)))))</f>
        <v/>
      </c>
      <c r="M1379" s="62">
        <f>IF(M224=0,0,IF(M$15&lt;=1,1,IF(EXACT(M1274,"keine"),IF(M$3=M$12,1,0),IF(EXACT(M1274,"beste"),IF(M$3=M1169,1,0),IF(M$3=M959,1,0)))))</f>
        <v/>
      </c>
      <c r="N1379" s="62">
        <f>IF(N224=0,0,IF(N$15&lt;=1,1,IF(EXACT(N1274,"keine"),IF(N$3=N$12,1,0),IF(EXACT(N1274,"beste"),IF(N$3=N1169,1,0),IF(N$3=N959,1,0)))))</f>
        <v/>
      </c>
      <c r="O1379" s="62">
        <f>IF(O224=0,0,IF(O$15&lt;=1,1,IF(EXACT(O1274,"keine"),IF(O$3=O$12,1,0),IF(EXACT(O1274,"beste"),IF(O$3=O1169,1,0),IF(O$3=O959,1,0)))))</f>
        <v/>
      </c>
      <c r="P1379" s="62">
        <f>IF(P224=0,0,IF(P$15&lt;=1,1,IF(EXACT(P1274,"keine"),IF(P$3=P$12,1,0),IF(EXACT(P1274,"beste"),IF(P$3=P1169,1,0),IF(P$3=P959,1,0)))))</f>
        <v/>
      </c>
      <c r="Q1379" s="62">
        <f>IF(Q224=0,0,IF(Q$15&lt;=1,1,IF(EXACT(Q1274,"keine"),IF(Q$3=Q$12,1,0),IF(EXACT(Q1274,"beste"),IF(Q$3=Q1169,1,0),IF(Q$3=Q959,1,0)))))</f>
        <v/>
      </c>
      <c r="R1379" s="62">
        <f>IF(R224=0,0,IF(R$15&lt;=1,1,IF(EXACT(R1274,"keine"),IF(R$3=R$12,1,0),IF(EXACT(R1274,"beste"),IF(R$3=R1169,1,0),IF(R$3=R959,1,0)))))</f>
        <v/>
      </c>
      <c r="S1379" s="62">
        <f>IF(S224=0,0,IF(S$15&lt;=1,1,IF(EXACT(S1274,"keine"),IF(S$3=S$12,1,0),IF(EXACT(S1274,"beste"),IF(S$3=S1169,1,0),IF(S$3=S959,1,0)))))</f>
        <v/>
      </c>
      <c r="T1379" s="62">
        <f>IF(T224=0,0,IF(T$15&lt;=1,1,IF(EXACT(T1274,"keine"),IF(T$3=T$12,1,0),IF(EXACT(T1274,"beste"),IF(T$3=T1169,1,0),IF(T$3=T959,1,0)))))</f>
        <v/>
      </c>
      <c r="U1379" s="62">
        <f>IF(U224=0,0,IF(U$15&lt;=1,1,IF(EXACT(U1274,"keine"),IF(U$3=U$12,1,0),IF(EXACT(U1274,"beste"),IF(U$3=U1169,1,0),IF(U$3=U959,1,0)))))</f>
        <v/>
      </c>
      <c r="V1379" s="62">
        <f>IF(V224=0,0,IF(V$15&lt;=1,1,IF(EXACT(V1274,"keine"),IF(V$3=V$12,1,0),IF(EXACT(V1274,"beste"),IF(V$3=V1169,1,0),IF(V$3=V959,1,0)))))</f>
        <v/>
      </c>
    </row>
    <row r="1384">
      <c r="A1384" s="171" t="inlineStr">
        <is>
          <t>zählt (nur aktive)</t>
        </is>
      </c>
    </row>
    <row r="1385">
      <c r="C1385" s="62">
        <f>C1280*$A$20</f>
        <v/>
      </c>
      <c r="D1385" s="62">
        <f>D1280*$A$20</f>
        <v/>
      </c>
      <c r="E1385" s="62">
        <f>E1280*$A$20</f>
        <v/>
      </c>
      <c r="F1385" s="62">
        <f>F1280*$A$20</f>
        <v/>
      </c>
      <c r="G1385" s="62">
        <f>G1280*$A$20</f>
        <v/>
      </c>
      <c r="H1385" s="62">
        <f>H1280*$A$20</f>
        <v/>
      </c>
      <c r="I1385" s="62">
        <f>I1280*$A$20</f>
        <v/>
      </c>
      <c r="J1385" s="62">
        <f>J1280*$A$20</f>
        <v/>
      </c>
      <c r="K1385" s="62">
        <f>K1280*$A$20</f>
        <v/>
      </c>
      <c r="L1385" s="62">
        <f>L1280*$A$20</f>
        <v/>
      </c>
      <c r="M1385" s="62">
        <f>M1280*$A$20</f>
        <v/>
      </c>
      <c r="N1385" s="62">
        <f>N1280*$A$20</f>
        <v/>
      </c>
      <c r="O1385" s="62">
        <f>O1280*$A$20</f>
        <v/>
      </c>
      <c r="P1385" s="62">
        <f>P1280*$A$20</f>
        <v/>
      </c>
      <c r="Q1385" s="62">
        <f>Q1280*$A$20</f>
        <v/>
      </c>
      <c r="R1385" s="62">
        <f>R1280*$A$20</f>
        <v/>
      </c>
      <c r="S1385" s="62">
        <f>S1280*$A$20</f>
        <v/>
      </c>
      <c r="T1385" s="62">
        <f>T1280*$A$20</f>
        <v/>
      </c>
      <c r="U1385" s="62">
        <f>U1280*$A$20</f>
        <v/>
      </c>
      <c r="V1385" s="62">
        <f>V1280*$A$20</f>
        <v/>
      </c>
    </row>
    <row r="1386">
      <c r="C1386" s="62">
        <f>C1281*$A$21</f>
        <v/>
      </c>
      <c r="D1386" s="62">
        <f>D1281*$A$21</f>
        <v/>
      </c>
      <c r="E1386" s="62">
        <f>E1281*$A$21</f>
        <v/>
      </c>
      <c r="F1386" s="62">
        <f>F1281*$A$21</f>
        <v/>
      </c>
      <c r="G1386" s="62">
        <f>G1281*$A$21</f>
        <v/>
      </c>
      <c r="H1386" s="62">
        <f>H1281*$A$21</f>
        <v/>
      </c>
      <c r="I1386" s="62">
        <f>I1281*$A$21</f>
        <v/>
      </c>
      <c r="J1386" s="62">
        <f>J1281*$A$21</f>
        <v/>
      </c>
      <c r="K1386" s="62">
        <f>K1281*$A$21</f>
        <v/>
      </c>
      <c r="L1386" s="62">
        <f>L1281*$A$21</f>
        <v/>
      </c>
      <c r="M1386" s="62">
        <f>M1281*$A$21</f>
        <v/>
      </c>
      <c r="N1386" s="62">
        <f>N1281*$A$21</f>
        <v/>
      </c>
      <c r="O1386" s="62">
        <f>O1281*$A$21</f>
        <v/>
      </c>
      <c r="P1386" s="62">
        <f>P1281*$A$21</f>
        <v/>
      </c>
      <c r="Q1386" s="62">
        <f>Q1281*$A$21</f>
        <v/>
      </c>
      <c r="R1386" s="62">
        <f>R1281*$A$21</f>
        <v/>
      </c>
      <c r="S1386" s="62">
        <f>S1281*$A$21</f>
        <v/>
      </c>
      <c r="T1386" s="62">
        <f>T1281*$A$21</f>
        <v/>
      </c>
      <c r="U1386" s="62">
        <f>U1281*$A$21</f>
        <v/>
      </c>
      <c r="V1386" s="62">
        <f>V1281*$A$21</f>
        <v/>
      </c>
    </row>
    <row r="1387">
      <c r="C1387" s="62">
        <f>C1282*$A$22</f>
        <v/>
      </c>
      <c r="D1387" s="62">
        <f>D1282*$A$22</f>
        <v/>
      </c>
      <c r="E1387" s="62">
        <f>E1282*$A$22</f>
        <v/>
      </c>
      <c r="F1387" s="62">
        <f>F1282*$A$22</f>
        <v/>
      </c>
      <c r="G1387" s="62">
        <f>G1282*$A$22</f>
        <v/>
      </c>
      <c r="H1387" s="62">
        <f>H1282*$A$22</f>
        <v/>
      </c>
      <c r="I1387" s="62">
        <f>I1282*$A$22</f>
        <v/>
      </c>
      <c r="J1387" s="62">
        <f>J1282*$A$22</f>
        <v/>
      </c>
      <c r="K1387" s="62">
        <f>K1282*$A$22</f>
        <v/>
      </c>
      <c r="L1387" s="62">
        <f>L1282*$A$22</f>
        <v/>
      </c>
      <c r="M1387" s="62">
        <f>M1282*$A$22</f>
        <v/>
      </c>
      <c r="N1387" s="62">
        <f>N1282*$A$22</f>
        <v/>
      </c>
      <c r="O1387" s="62">
        <f>O1282*$A$22</f>
        <v/>
      </c>
      <c r="P1387" s="62">
        <f>P1282*$A$22</f>
        <v/>
      </c>
      <c r="Q1387" s="62">
        <f>Q1282*$A$22</f>
        <v/>
      </c>
      <c r="R1387" s="62">
        <f>R1282*$A$22</f>
        <v/>
      </c>
      <c r="S1387" s="62">
        <f>S1282*$A$22</f>
        <v/>
      </c>
      <c r="T1387" s="62">
        <f>T1282*$A$22</f>
        <v/>
      </c>
      <c r="U1387" s="62">
        <f>U1282*$A$22</f>
        <v/>
      </c>
      <c r="V1387" s="62">
        <f>V1282*$A$22</f>
        <v/>
      </c>
    </row>
    <row r="1388">
      <c r="C1388" s="62">
        <f>C1283*$A$23</f>
        <v/>
      </c>
      <c r="D1388" s="62">
        <f>D1283*$A$23</f>
        <v/>
      </c>
      <c r="E1388" s="62">
        <f>E1283*$A$23</f>
        <v/>
      </c>
      <c r="F1388" s="62">
        <f>F1283*$A$23</f>
        <v/>
      </c>
      <c r="G1388" s="62">
        <f>G1283*$A$23</f>
        <v/>
      </c>
      <c r="H1388" s="62">
        <f>H1283*$A$23</f>
        <v/>
      </c>
      <c r="I1388" s="62">
        <f>I1283*$A$23</f>
        <v/>
      </c>
      <c r="J1388" s="62">
        <f>J1283*$A$23</f>
        <v/>
      </c>
      <c r="K1388" s="62">
        <f>K1283*$A$23</f>
        <v/>
      </c>
      <c r="L1388" s="62">
        <f>L1283*$A$23</f>
        <v/>
      </c>
      <c r="M1388" s="62">
        <f>M1283*$A$23</f>
        <v/>
      </c>
      <c r="N1388" s="62">
        <f>N1283*$A$23</f>
        <v/>
      </c>
      <c r="O1388" s="62">
        <f>O1283*$A$23</f>
        <v/>
      </c>
      <c r="P1388" s="62">
        <f>P1283*$A$23</f>
        <v/>
      </c>
      <c r="Q1388" s="62">
        <f>Q1283*$A$23</f>
        <v/>
      </c>
      <c r="R1388" s="62">
        <f>R1283*$A$23</f>
        <v/>
      </c>
      <c r="S1388" s="62">
        <f>S1283*$A$23</f>
        <v/>
      </c>
      <c r="T1388" s="62">
        <f>T1283*$A$23</f>
        <v/>
      </c>
      <c r="U1388" s="62">
        <f>U1283*$A$23</f>
        <v/>
      </c>
      <c r="V1388" s="62">
        <f>V1283*$A$23</f>
        <v/>
      </c>
    </row>
    <row r="1389">
      <c r="C1389" s="62">
        <f>C1284*$A$24</f>
        <v/>
      </c>
      <c r="D1389" s="62">
        <f>D1284*$A$24</f>
        <v/>
      </c>
      <c r="E1389" s="62">
        <f>E1284*$A$24</f>
        <v/>
      </c>
      <c r="F1389" s="62">
        <f>F1284*$A$24</f>
        <v/>
      </c>
      <c r="G1389" s="62">
        <f>G1284*$A$24</f>
        <v/>
      </c>
      <c r="H1389" s="62">
        <f>H1284*$A$24</f>
        <v/>
      </c>
      <c r="I1389" s="62">
        <f>I1284*$A$24</f>
        <v/>
      </c>
      <c r="J1389" s="62">
        <f>J1284*$A$24</f>
        <v/>
      </c>
      <c r="K1389" s="62">
        <f>K1284*$A$24</f>
        <v/>
      </c>
      <c r="L1389" s="62">
        <f>L1284*$A$24</f>
        <v/>
      </c>
      <c r="M1389" s="62">
        <f>M1284*$A$24</f>
        <v/>
      </c>
      <c r="N1389" s="62">
        <f>N1284*$A$24</f>
        <v/>
      </c>
      <c r="O1389" s="62">
        <f>O1284*$A$24</f>
        <v/>
      </c>
      <c r="P1389" s="62">
        <f>P1284*$A$24</f>
        <v/>
      </c>
      <c r="Q1389" s="62">
        <f>Q1284*$A$24</f>
        <v/>
      </c>
      <c r="R1389" s="62">
        <f>R1284*$A$24</f>
        <v/>
      </c>
      <c r="S1389" s="62">
        <f>S1284*$A$24</f>
        <v/>
      </c>
      <c r="T1389" s="62">
        <f>T1284*$A$24</f>
        <v/>
      </c>
      <c r="U1389" s="62">
        <f>U1284*$A$24</f>
        <v/>
      </c>
      <c r="V1389" s="62">
        <f>V1284*$A$24</f>
        <v/>
      </c>
    </row>
    <row r="1390">
      <c r="C1390" s="62">
        <f>C1285*$A$25</f>
        <v/>
      </c>
      <c r="D1390" s="62">
        <f>D1285*$A$25</f>
        <v/>
      </c>
      <c r="E1390" s="62">
        <f>E1285*$A$25</f>
        <v/>
      </c>
      <c r="F1390" s="62">
        <f>F1285*$A$25</f>
        <v/>
      </c>
      <c r="G1390" s="62">
        <f>G1285*$A$25</f>
        <v/>
      </c>
      <c r="H1390" s="62">
        <f>H1285*$A$25</f>
        <v/>
      </c>
      <c r="I1390" s="62">
        <f>I1285*$A$25</f>
        <v/>
      </c>
      <c r="J1390" s="62">
        <f>J1285*$A$25</f>
        <v/>
      </c>
      <c r="K1390" s="62">
        <f>K1285*$A$25</f>
        <v/>
      </c>
      <c r="L1390" s="62">
        <f>L1285*$A$25</f>
        <v/>
      </c>
      <c r="M1390" s="62">
        <f>M1285*$A$25</f>
        <v/>
      </c>
      <c r="N1390" s="62">
        <f>N1285*$A$25</f>
        <v/>
      </c>
      <c r="O1390" s="62">
        <f>O1285*$A$25</f>
        <v/>
      </c>
      <c r="P1390" s="62">
        <f>P1285*$A$25</f>
        <v/>
      </c>
      <c r="Q1390" s="62">
        <f>Q1285*$A$25</f>
        <v/>
      </c>
      <c r="R1390" s="62">
        <f>R1285*$A$25</f>
        <v/>
      </c>
      <c r="S1390" s="62">
        <f>S1285*$A$25</f>
        <v/>
      </c>
      <c r="T1390" s="62">
        <f>T1285*$A$25</f>
        <v/>
      </c>
      <c r="U1390" s="62">
        <f>U1285*$A$25</f>
        <v/>
      </c>
      <c r="V1390" s="62">
        <f>V1285*$A$25</f>
        <v/>
      </c>
    </row>
    <row r="1391">
      <c r="C1391" s="62">
        <f>C1286*$A$26</f>
        <v/>
      </c>
      <c r="D1391" s="62">
        <f>D1286*$A$26</f>
        <v/>
      </c>
      <c r="E1391" s="62">
        <f>E1286*$A$26</f>
        <v/>
      </c>
      <c r="F1391" s="62">
        <f>F1286*$A$26</f>
        <v/>
      </c>
      <c r="G1391" s="62">
        <f>G1286*$A$26</f>
        <v/>
      </c>
      <c r="H1391" s="62">
        <f>H1286*$A$26</f>
        <v/>
      </c>
      <c r="I1391" s="62">
        <f>I1286*$A$26</f>
        <v/>
      </c>
      <c r="J1391" s="62">
        <f>J1286*$A$26</f>
        <v/>
      </c>
      <c r="K1391" s="62">
        <f>K1286*$A$26</f>
        <v/>
      </c>
      <c r="L1391" s="62">
        <f>L1286*$A$26</f>
        <v/>
      </c>
      <c r="M1391" s="62">
        <f>M1286*$A$26</f>
        <v/>
      </c>
      <c r="N1391" s="62">
        <f>N1286*$A$26</f>
        <v/>
      </c>
      <c r="O1391" s="62">
        <f>O1286*$A$26</f>
        <v/>
      </c>
      <c r="P1391" s="62">
        <f>P1286*$A$26</f>
        <v/>
      </c>
      <c r="Q1391" s="62">
        <f>Q1286*$A$26</f>
        <v/>
      </c>
      <c r="R1391" s="62">
        <f>R1286*$A$26</f>
        <v/>
      </c>
      <c r="S1391" s="62">
        <f>S1286*$A$26</f>
        <v/>
      </c>
      <c r="T1391" s="62">
        <f>T1286*$A$26</f>
        <v/>
      </c>
      <c r="U1391" s="62">
        <f>U1286*$A$26</f>
        <v/>
      </c>
      <c r="V1391" s="62">
        <f>V1286*$A$26</f>
        <v/>
      </c>
    </row>
    <row r="1392">
      <c r="C1392" s="62">
        <f>C1287*$A$27</f>
        <v/>
      </c>
      <c r="D1392" s="62">
        <f>D1287*$A$27</f>
        <v/>
      </c>
      <c r="E1392" s="62">
        <f>E1287*$A$27</f>
        <v/>
      </c>
      <c r="F1392" s="62">
        <f>F1287*$A$27</f>
        <v/>
      </c>
      <c r="G1392" s="62">
        <f>G1287*$A$27</f>
        <v/>
      </c>
      <c r="H1392" s="62">
        <f>H1287*$A$27</f>
        <v/>
      </c>
      <c r="I1392" s="62">
        <f>I1287*$A$27</f>
        <v/>
      </c>
      <c r="J1392" s="62">
        <f>J1287*$A$27</f>
        <v/>
      </c>
      <c r="K1392" s="62">
        <f>K1287*$A$27</f>
        <v/>
      </c>
      <c r="L1392" s="62">
        <f>L1287*$A$27</f>
        <v/>
      </c>
      <c r="M1392" s="62">
        <f>M1287*$A$27</f>
        <v/>
      </c>
      <c r="N1392" s="62">
        <f>N1287*$A$27</f>
        <v/>
      </c>
      <c r="O1392" s="62">
        <f>O1287*$A$27</f>
        <v/>
      </c>
      <c r="P1392" s="62">
        <f>P1287*$A$27</f>
        <v/>
      </c>
      <c r="Q1392" s="62">
        <f>Q1287*$A$27</f>
        <v/>
      </c>
      <c r="R1392" s="62">
        <f>R1287*$A$27</f>
        <v/>
      </c>
      <c r="S1392" s="62">
        <f>S1287*$A$27</f>
        <v/>
      </c>
      <c r="T1392" s="62">
        <f>T1287*$A$27</f>
        <v/>
      </c>
      <c r="U1392" s="62">
        <f>U1287*$A$27</f>
        <v/>
      </c>
      <c r="V1392" s="62">
        <f>V1287*$A$27</f>
        <v/>
      </c>
    </row>
    <row r="1393">
      <c r="C1393" s="62">
        <f>C1288*$A$28</f>
        <v/>
      </c>
      <c r="D1393" s="62">
        <f>D1288*$A$28</f>
        <v/>
      </c>
      <c r="E1393" s="62">
        <f>E1288*$A$28</f>
        <v/>
      </c>
      <c r="F1393" s="62">
        <f>F1288*$A$28</f>
        <v/>
      </c>
      <c r="G1393" s="62">
        <f>G1288*$A$28</f>
        <v/>
      </c>
      <c r="H1393" s="62">
        <f>H1288*$A$28</f>
        <v/>
      </c>
      <c r="I1393" s="62">
        <f>I1288*$A$28</f>
        <v/>
      </c>
      <c r="J1393" s="62">
        <f>J1288*$A$28</f>
        <v/>
      </c>
      <c r="K1393" s="62">
        <f>K1288*$A$28</f>
        <v/>
      </c>
      <c r="L1393" s="62">
        <f>L1288*$A$28</f>
        <v/>
      </c>
      <c r="M1393" s="62">
        <f>M1288*$A$28</f>
        <v/>
      </c>
      <c r="N1393" s="62">
        <f>N1288*$A$28</f>
        <v/>
      </c>
      <c r="O1393" s="62">
        <f>O1288*$A$28</f>
        <v/>
      </c>
      <c r="P1393" s="62">
        <f>P1288*$A$28</f>
        <v/>
      </c>
      <c r="Q1393" s="62">
        <f>Q1288*$A$28</f>
        <v/>
      </c>
      <c r="R1393" s="62">
        <f>R1288*$A$28</f>
        <v/>
      </c>
      <c r="S1393" s="62">
        <f>S1288*$A$28</f>
        <v/>
      </c>
      <c r="T1393" s="62">
        <f>T1288*$A$28</f>
        <v/>
      </c>
      <c r="U1393" s="62">
        <f>U1288*$A$28</f>
        <v/>
      </c>
      <c r="V1393" s="62">
        <f>V1288*$A$28</f>
        <v/>
      </c>
    </row>
    <row r="1394">
      <c r="C1394" s="62">
        <f>C1289*$A$29</f>
        <v/>
      </c>
      <c r="D1394" s="62">
        <f>D1289*$A$29</f>
        <v/>
      </c>
      <c r="E1394" s="62">
        <f>E1289*$A$29</f>
        <v/>
      </c>
      <c r="F1394" s="62">
        <f>F1289*$A$29</f>
        <v/>
      </c>
      <c r="G1394" s="62">
        <f>G1289*$A$29</f>
        <v/>
      </c>
      <c r="H1394" s="62">
        <f>H1289*$A$29</f>
        <v/>
      </c>
      <c r="I1394" s="62">
        <f>I1289*$A$29</f>
        <v/>
      </c>
      <c r="J1394" s="62">
        <f>J1289*$A$29</f>
        <v/>
      </c>
      <c r="K1394" s="62">
        <f>K1289*$A$29</f>
        <v/>
      </c>
      <c r="L1394" s="62">
        <f>L1289*$A$29</f>
        <v/>
      </c>
      <c r="M1394" s="62">
        <f>M1289*$A$29</f>
        <v/>
      </c>
      <c r="N1394" s="62">
        <f>N1289*$A$29</f>
        <v/>
      </c>
      <c r="O1394" s="62">
        <f>O1289*$A$29</f>
        <v/>
      </c>
      <c r="P1394" s="62">
        <f>P1289*$A$29</f>
        <v/>
      </c>
      <c r="Q1394" s="62">
        <f>Q1289*$A$29</f>
        <v/>
      </c>
      <c r="R1394" s="62">
        <f>R1289*$A$29</f>
        <v/>
      </c>
      <c r="S1394" s="62">
        <f>S1289*$A$29</f>
        <v/>
      </c>
      <c r="T1394" s="62">
        <f>T1289*$A$29</f>
        <v/>
      </c>
      <c r="U1394" s="62">
        <f>U1289*$A$29</f>
        <v/>
      </c>
      <c r="V1394" s="62">
        <f>V1289*$A$29</f>
        <v/>
      </c>
    </row>
    <row r="1395">
      <c r="C1395" s="62">
        <f>C1290*$A$30</f>
        <v/>
      </c>
      <c r="D1395" s="62">
        <f>D1290*$A$30</f>
        <v/>
      </c>
      <c r="E1395" s="62">
        <f>E1290*$A$30</f>
        <v/>
      </c>
      <c r="F1395" s="62">
        <f>F1290*$A$30</f>
        <v/>
      </c>
      <c r="G1395" s="62">
        <f>G1290*$A$30</f>
        <v/>
      </c>
      <c r="H1395" s="62">
        <f>H1290*$A$30</f>
        <v/>
      </c>
      <c r="I1395" s="62">
        <f>I1290*$A$30</f>
        <v/>
      </c>
      <c r="J1395" s="62">
        <f>J1290*$A$30</f>
        <v/>
      </c>
      <c r="K1395" s="62">
        <f>K1290*$A$30</f>
        <v/>
      </c>
      <c r="L1395" s="62">
        <f>L1290*$A$30</f>
        <v/>
      </c>
      <c r="M1395" s="62">
        <f>M1290*$A$30</f>
        <v/>
      </c>
      <c r="N1395" s="62">
        <f>N1290*$A$30</f>
        <v/>
      </c>
      <c r="O1395" s="62">
        <f>O1290*$A$30</f>
        <v/>
      </c>
      <c r="P1395" s="62">
        <f>P1290*$A$30</f>
        <v/>
      </c>
      <c r="Q1395" s="62">
        <f>Q1290*$A$30</f>
        <v/>
      </c>
      <c r="R1395" s="62">
        <f>R1290*$A$30</f>
        <v/>
      </c>
      <c r="S1395" s="62">
        <f>S1290*$A$30</f>
        <v/>
      </c>
      <c r="T1395" s="62">
        <f>T1290*$A$30</f>
        <v/>
      </c>
      <c r="U1395" s="62">
        <f>U1290*$A$30</f>
        <v/>
      </c>
      <c r="V1395" s="62">
        <f>V1290*$A$30</f>
        <v/>
      </c>
    </row>
    <row r="1396">
      <c r="C1396" s="62">
        <f>C1291*$A$31</f>
        <v/>
      </c>
      <c r="D1396" s="62">
        <f>D1291*$A$31</f>
        <v/>
      </c>
      <c r="E1396" s="62">
        <f>E1291*$A$31</f>
        <v/>
      </c>
      <c r="F1396" s="62">
        <f>F1291*$A$31</f>
        <v/>
      </c>
      <c r="G1396" s="62">
        <f>G1291*$A$31</f>
        <v/>
      </c>
      <c r="H1396" s="62">
        <f>H1291*$A$31</f>
        <v/>
      </c>
      <c r="I1396" s="62">
        <f>I1291*$A$31</f>
        <v/>
      </c>
      <c r="J1396" s="62">
        <f>J1291*$A$31</f>
        <v/>
      </c>
      <c r="K1396" s="62">
        <f>K1291*$A$31</f>
        <v/>
      </c>
      <c r="L1396" s="62">
        <f>L1291*$A$31</f>
        <v/>
      </c>
      <c r="M1396" s="62">
        <f>M1291*$A$31</f>
        <v/>
      </c>
      <c r="N1396" s="62">
        <f>N1291*$A$31</f>
        <v/>
      </c>
      <c r="O1396" s="62">
        <f>O1291*$A$31</f>
        <v/>
      </c>
      <c r="P1396" s="62">
        <f>P1291*$A$31</f>
        <v/>
      </c>
      <c r="Q1396" s="62">
        <f>Q1291*$A$31</f>
        <v/>
      </c>
      <c r="R1396" s="62">
        <f>R1291*$A$31</f>
        <v/>
      </c>
      <c r="S1396" s="62">
        <f>S1291*$A$31</f>
        <v/>
      </c>
      <c r="T1396" s="62">
        <f>T1291*$A$31</f>
        <v/>
      </c>
      <c r="U1396" s="62">
        <f>U1291*$A$31</f>
        <v/>
      </c>
      <c r="V1396" s="62">
        <f>V1291*$A$31</f>
        <v/>
      </c>
    </row>
    <row r="1397">
      <c r="C1397" s="62">
        <f>C1292*$A$32</f>
        <v/>
      </c>
      <c r="D1397" s="62">
        <f>D1292*$A$32</f>
        <v/>
      </c>
      <c r="E1397" s="62">
        <f>E1292*$A$32</f>
        <v/>
      </c>
      <c r="F1397" s="62">
        <f>F1292*$A$32</f>
        <v/>
      </c>
      <c r="G1397" s="62">
        <f>G1292*$A$32</f>
        <v/>
      </c>
      <c r="H1397" s="62">
        <f>H1292*$A$32</f>
        <v/>
      </c>
      <c r="I1397" s="62">
        <f>I1292*$A$32</f>
        <v/>
      </c>
      <c r="J1397" s="62">
        <f>J1292*$A$32</f>
        <v/>
      </c>
      <c r="K1397" s="62">
        <f>K1292*$A$32</f>
        <v/>
      </c>
      <c r="L1397" s="62">
        <f>L1292*$A$32</f>
        <v/>
      </c>
      <c r="M1397" s="62">
        <f>M1292*$A$32</f>
        <v/>
      </c>
      <c r="N1397" s="62">
        <f>N1292*$A$32</f>
        <v/>
      </c>
      <c r="O1397" s="62">
        <f>O1292*$A$32</f>
        <v/>
      </c>
      <c r="P1397" s="62">
        <f>P1292*$A$32</f>
        <v/>
      </c>
      <c r="Q1397" s="62">
        <f>Q1292*$A$32</f>
        <v/>
      </c>
      <c r="R1397" s="62">
        <f>R1292*$A$32</f>
        <v/>
      </c>
      <c r="S1397" s="62">
        <f>S1292*$A$32</f>
        <v/>
      </c>
      <c r="T1397" s="62">
        <f>T1292*$A$32</f>
        <v/>
      </c>
      <c r="U1397" s="62">
        <f>U1292*$A$32</f>
        <v/>
      </c>
      <c r="V1397" s="62">
        <f>V1292*$A$32</f>
        <v/>
      </c>
    </row>
    <row r="1398">
      <c r="C1398" s="62">
        <f>C1293*$A$33</f>
        <v/>
      </c>
      <c r="D1398" s="62">
        <f>D1293*$A$33</f>
        <v/>
      </c>
      <c r="E1398" s="62">
        <f>E1293*$A$33</f>
        <v/>
      </c>
      <c r="F1398" s="62">
        <f>F1293*$A$33</f>
        <v/>
      </c>
      <c r="G1398" s="62">
        <f>G1293*$A$33</f>
        <v/>
      </c>
      <c r="H1398" s="62">
        <f>H1293*$A$33</f>
        <v/>
      </c>
      <c r="I1398" s="62">
        <f>I1293*$A$33</f>
        <v/>
      </c>
      <c r="J1398" s="62">
        <f>J1293*$A$33</f>
        <v/>
      </c>
      <c r="K1398" s="62">
        <f>K1293*$A$33</f>
        <v/>
      </c>
      <c r="L1398" s="62">
        <f>L1293*$A$33</f>
        <v/>
      </c>
      <c r="M1398" s="62">
        <f>M1293*$A$33</f>
        <v/>
      </c>
      <c r="N1398" s="62">
        <f>N1293*$A$33</f>
        <v/>
      </c>
      <c r="O1398" s="62">
        <f>O1293*$A$33</f>
        <v/>
      </c>
      <c r="P1398" s="62">
        <f>P1293*$A$33</f>
        <v/>
      </c>
      <c r="Q1398" s="62">
        <f>Q1293*$A$33</f>
        <v/>
      </c>
      <c r="R1398" s="62">
        <f>R1293*$A$33</f>
        <v/>
      </c>
      <c r="S1398" s="62">
        <f>S1293*$A$33</f>
        <v/>
      </c>
      <c r="T1398" s="62">
        <f>T1293*$A$33</f>
        <v/>
      </c>
      <c r="U1398" s="62">
        <f>U1293*$A$33</f>
        <v/>
      </c>
      <c r="V1398" s="62">
        <f>V1293*$A$33</f>
        <v/>
      </c>
    </row>
    <row r="1399">
      <c r="C1399" s="62">
        <f>C1294*$A$34</f>
        <v/>
      </c>
      <c r="D1399" s="62">
        <f>D1294*$A$34</f>
        <v/>
      </c>
      <c r="E1399" s="62">
        <f>E1294*$A$34</f>
        <v/>
      </c>
      <c r="F1399" s="62">
        <f>F1294*$A$34</f>
        <v/>
      </c>
      <c r="G1399" s="62">
        <f>G1294*$A$34</f>
        <v/>
      </c>
      <c r="H1399" s="62">
        <f>H1294*$A$34</f>
        <v/>
      </c>
      <c r="I1399" s="62">
        <f>I1294*$A$34</f>
        <v/>
      </c>
      <c r="J1399" s="62">
        <f>J1294*$A$34</f>
        <v/>
      </c>
      <c r="K1399" s="62">
        <f>K1294*$A$34</f>
        <v/>
      </c>
      <c r="L1399" s="62">
        <f>L1294*$A$34</f>
        <v/>
      </c>
      <c r="M1399" s="62">
        <f>M1294*$A$34</f>
        <v/>
      </c>
      <c r="N1399" s="62">
        <f>N1294*$A$34</f>
        <v/>
      </c>
      <c r="O1399" s="62">
        <f>O1294*$A$34</f>
        <v/>
      </c>
      <c r="P1399" s="62">
        <f>P1294*$A$34</f>
        <v/>
      </c>
      <c r="Q1399" s="62">
        <f>Q1294*$A$34</f>
        <v/>
      </c>
      <c r="R1399" s="62">
        <f>R1294*$A$34</f>
        <v/>
      </c>
      <c r="S1399" s="62">
        <f>S1294*$A$34</f>
        <v/>
      </c>
      <c r="T1399" s="62">
        <f>T1294*$A$34</f>
        <v/>
      </c>
      <c r="U1399" s="62">
        <f>U1294*$A$34</f>
        <v/>
      </c>
      <c r="V1399" s="62">
        <f>V1294*$A$34</f>
        <v/>
      </c>
    </row>
    <row r="1400">
      <c r="C1400" s="62">
        <f>C1295*$A$35</f>
        <v/>
      </c>
      <c r="D1400" s="62">
        <f>D1295*$A$35</f>
        <v/>
      </c>
      <c r="E1400" s="62">
        <f>E1295*$A$35</f>
        <v/>
      </c>
      <c r="F1400" s="62">
        <f>F1295*$A$35</f>
        <v/>
      </c>
      <c r="G1400" s="62">
        <f>G1295*$A$35</f>
        <v/>
      </c>
      <c r="H1400" s="62">
        <f>H1295*$A$35</f>
        <v/>
      </c>
      <c r="I1400" s="62">
        <f>I1295*$A$35</f>
        <v/>
      </c>
      <c r="J1400" s="62">
        <f>J1295*$A$35</f>
        <v/>
      </c>
      <c r="K1400" s="62">
        <f>K1295*$A$35</f>
        <v/>
      </c>
      <c r="L1400" s="62">
        <f>L1295*$A$35</f>
        <v/>
      </c>
      <c r="M1400" s="62">
        <f>M1295*$A$35</f>
        <v/>
      </c>
      <c r="N1400" s="62">
        <f>N1295*$A$35</f>
        <v/>
      </c>
      <c r="O1400" s="62">
        <f>O1295*$A$35</f>
        <v/>
      </c>
      <c r="P1400" s="62">
        <f>P1295*$A$35</f>
        <v/>
      </c>
      <c r="Q1400" s="62">
        <f>Q1295*$A$35</f>
        <v/>
      </c>
      <c r="R1400" s="62">
        <f>R1295*$A$35</f>
        <v/>
      </c>
      <c r="S1400" s="62">
        <f>S1295*$A$35</f>
        <v/>
      </c>
      <c r="T1400" s="62">
        <f>T1295*$A$35</f>
        <v/>
      </c>
      <c r="U1400" s="62">
        <f>U1295*$A$35</f>
        <v/>
      </c>
      <c r="V1400" s="62">
        <f>V1295*$A$35</f>
        <v/>
      </c>
    </row>
    <row r="1401">
      <c r="C1401" s="62">
        <f>C1296*$A$36</f>
        <v/>
      </c>
      <c r="D1401" s="62">
        <f>D1296*$A$36</f>
        <v/>
      </c>
      <c r="E1401" s="62">
        <f>E1296*$A$36</f>
        <v/>
      </c>
      <c r="F1401" s="62">
        <f>F1296*$A$36</f>
        <v/>
      </c>
      <c r="G1401" s="62">
        <f>G1296*$A$36</f>
        <v/>
      </c>
      <c r="H1401" s="62">
        <f>H1296*$A$36</f>
        <v/>
      </c>
      <c r="I1401" s="62">
        <f>I1296*$A$36</f>
        <v/>
      </c>
      <c r="J1401" s="62">
        <f>J1296*$A$36</f>
        <v/>
      </c>
      <c r="K1401" s="62">
        <f>K1296*$A$36</f>
        <v/>
      </c>
      <c r="L1401" s="62">
        <f>L1296*$A$36</f>
        <v/>
      </c>
      <c r="M1401" s="62">
        <f>M1296*$A$36</f>
        <v/>
      </c>
      <c r="N1401" s="62">
        <f>N1296*$A$36</f>
        <v/>
      </c>
      <c r="O1401" s="62">
        <f>O1296*$A$36</f>
        <v/>
      </c>
      <c r="P1401" s="62">
        <f>P1296*$A$36</f>
        <v/>
      </c>
      <c r="Q1401" s="62">
        <f>Q1296*$A$36</f>
        <v/>
      </c>
      <c r="R1401" s="62">
        <f>R1296*$A$36</f>
        <v/>
      </c>
      <c r="S1401" s="62">
        <f>S1296*$A$36</f>
        <v/>
      </c>
      <c r="T1401" s="62">
        <f>T1296*$A$36</f>
        <v/>
      </c>
      <c r="U1401" s="62">
        <f>U1296*$A$36</f>
        <v/>
      </c>
      <c r="V1401" s="62">
        <f>V1296*$A$36</f>
        <v/>
      </c>
    </row>
    <row r="1402">
      <c r="C1402" s="62">
        <f>C1297*$A$37</f>
        <v/>
      </c>
      <c r="D1402" s="62">
        <f>D1297*$A$37</f>
        <v/>
      </c>
      <c r="E1402" s="62">
        <f>E1297*$A$37</f>
        <v/>
      </c>
      <c r="F1402" s="62">
        <f>F1297*$A$37</f>
        <v/>
      </c>
      <c r="G1402" s="62">
        <f>G1297*$A$37</f>
        <v/>
      </c>
      <c r="H1402" s="62">
        <f>H1297*$A$37</f>
        <v/>
      </c>
      <c r="I1402" s="62">
        <f>I1297*$A$37</f>
        <v/>
      </c>
      <c r="J1402" s="62">
        <f>J1297*$A$37</f>
        <v/>
      </c>
      <c r="K1402" s="62">
        <f>K1297*$A$37</f>
        <v/>
      </c>
      <c r="L1402" s="62">
        <f>L1297*$A$37</f>
        <v/>
      </c>
      <c r="M1402" s="62">
        <f>M1297*$A$37</f>
        <v/>
      </c>
      <c r="N1402" s="62">
        <f>N1297*$A$37</f>
        <v/>
      </c>
      <c r="O1402" s="62">
        <f>O1297*$A$37</f>
        <v/>
      </c>
      <c r="P1402" s="62">
        <f>P1297*$A$37</f>
        <v/>
      </c>
      <c r="Q1402" s="62">
        <f>Q1297*$A$37</f>
        <v/>
      </c>
      <c r="R1402" s="62">
        <f>R1297*$A$37</f>
        <v/>
      </c>
      <c r="S1402" s="62">
        <f>S1297*$A$37</f>
        <v/>
      </c>
      <c r="T1402" s="62">
        <f>T1297*$A$37</f>
        <v/>
      </c>
      <c r="U1402" s="62">
        <f>U1297*$A$37</f>
        <v/>
      </c>
      <c r="V1402" s="62">
        <f>V1297*$A$37</f>
        <v/>
      </c>
    </row>
    <row r="1403">
      <c r="C1403" s="62">
        <f>C1298*$A$38</f>
        <v/>
      </c>
      <c r="D1403" s="62">
        <f>D1298*$A$38</f>
        <v/>
      </c>
      <c r="E1403" s="62">
        <f>E1298*$A$38</f>
        <v/>
      </c>
      <c r="F1403" s="62">
        <f>F1298*$A$38</f>
        <v/>
      </c>
      <c r="G1403" s="62">
        <f>G1298*$A$38</f>
        <v/>
      </c>
      <c r="H1403" s="62">
        <f>H1298*$A$38</f>
        <v/>
      </c>
      <c r="I1403" s="62">
        <f>I1298*$A$38</f>
        <v/>
      </c>
      <c r="J1403" s="62">
        <f>J1298*$A$38</f>
        <v/>
      </c>
      <c r="K1403" s="62">
        <f>K1298*$A$38</f>
        <v/>
      </c>
      <c r="L1403" s="62">
        <f>L1298*$A$38</f>
        <v/>
      </c>
      <c r="M1403" s="62">
        <f>M1298*$A$38</f>
        <v/>
      </c>
      <c r="N1403" s="62">
        <f>N1298*$A$38</f>
        <v/>
      </c>
      <c r="O1403" s="62">
        <f>O1298*$A$38</f>
        <v/>
      </c>
      <c r="P1403" s="62">
        <f>P1298*$A$38</f>
        <v/>
      </c>
      <c r="Q1403" s="62">
        <f>Q1298*$A$38</f>
        <v/>
      </c>
      <c r="R1403" s="62">
        <f>R1298*$A$38</f>
        <v/>
      </c>
      <c r="S1403" s="62">
        <f>S1298*$A$38</f>
        <v/>
      </c>
      <c r="T1403" s="62">
        <f>T1298*$A$38</f>
        <v/>
      </c>
      <c r="U1403" s="62">
        <f>U1298*$A$38</f>
        <v/>
      </c>
      <c r="V1403" s="62">
        <f>V1298*$A$38</f>
        <v/>
      </c>
    </row>
    <row r="1404">
      <c r="C1404" s="62">
        <f>C1299*$A$39</f>
        <v/>
      </c>
      <c r="D1404" s="62">
        <f>D1299*$A$39</f>
        <v/>
      </c>
      <c r="E1404" s="62">
        <f>E1299*$A$39</f>
        <v/>
      </c>
      <c r="F1404" s="62">
        <f>F1299*$A$39</f>
        <v/>
      </c>
      <c r="G1404" s="62">
        <f>G1299*$A$39</f>
        <v/>
      </c>
      <c r="H1404" s="62">
        <f>H1299*$A$39</f>
        <v/>
      </c>
      <c r="I1404" s="62">
        <f>I1299*$A$39</f>
        <v/>
      </c>
      <c r="J1404" s="62">
        <f>J1299*$A$39</f>
        <v/>
      </c>
      <c r="K1404" s="62">
        <f>K1299*$A$39</f>
        <v/>
      </c>
      <c r="L1404" s="62">
        <f>L1299*$A$39</f>
        <v/>
      </c>
      <c r="M1404" s="62">
        <f>M1299*$A$39</f>
        <v/>
      </c>
      <c r="N1404" s="62">
        <f>N1299*$A$39</f>
        <v/>
      </c>
      <c r="O1404" s="62">
        <f>O1299*$A$39</f>
        <v/>
      </c>
      <c r="P1404" s="62">
        <f>P1299*$A$39</f>
        <v/>
      </c>
      <c r="Q1404" s="62">
        <f>Q1299*$A$39</f>
        <v/>
      </c>
      <c r="R1404" s="62">
        <f>R1299*$A$39</f>
        <v/>
      </c>
      <c r="S1404" s="62">
        <f>S1299*$A$39</f>
        <v/>
      </c>
      <c r="T1404" s="62">
        <f>T1299*$A$39</f>
        <v/>
      </c>
      <c r="U1404" s="62">
        <f>U1299*$A$39</f>
        <v/>
      </c>
      <c r="V1404" s="62">
        <f>V1299*$A$39</f>
        <v/>
      </c>
    </row>
    <row r="1405">
      <c r="C1405" s="62">
        <f>C1300*$A$40</f>
        <v/>
      </c>
      <c r="D1405" s="62">
        <f>D1300*$A$40</f>
        <v/>
      </c>
      <c r="E1405" s="62">
        <f>E1300*$A$40</f>
        <v/>
      </c>
      <c r="F1405" s="62">
        <f>F1300*$A$40</f>
        <v/>
      </c>
      <c r="G1405" s="62">
        <f>G1300*$A$40</f>
        <v/>
      </c>
      <c r="H1405" s="62">
        <f>H1300*$A$40</f>
        <v/>
      </c>
      <c r="I1405" s="62">
        <f>I1300*$A$40</f>
        <v/>
      </c>
      <c r="J1405" s="62">
        <f>J1300*$A$40</f>
        <v/>
      </c>
      <c r="K1405" s="62">
        <f>K1300*$A$40</f>
        <v/>
      </c>
      <c r="L1405" s="62">
        <f>L1300*$A$40</f>
        <v/>
      </c>
      <c r="M1405" s="62">
        <f>M1300*$A$40</f>
        <v/>
      </c>
      <c r="N1405" s="62">
        <f>N1300*$A$40</f>
        <v/>
      </c>
      <c r="O1405" s="62">
        <f>O1300*$A$40</f>
        <v/>
      </c>
      <c r="P1405" s="62">
        <f>P1300*$A$40</f>
        <v/>
      </c>
      <c r="Q1405" s="62">
        <f>Q1300*$A$40</f>
        <v/>
      </c>
      <c r="R1405" s="62">
        <f>R1300*$A$40</f>
        <v/>
      </c>
      <c r="S1405" s="62">
        <f>S1300*$A$40</f>
        <v/>
      </c>
      <c r="T1405" s="62">
        <f>T1300*$A$40</f>
        <v/>
      </c>
      <c r="U1405" s="62">
        <f>U1300*$A$40</f>
        <v/>
      </c>
      <c r="V1405" s="62">
        <f>V1300*$A$40</f>
        <v/>
      </c>
    </row>
    <row r="1406">
      <c r="C1406" s="62">
        <f>C1301*$A$41</f>
        <v/>
      </c>
      <c r="D1406" s="62">
        <f>D1301*$A$41</f>
        <v/>
      </c>
      <c r="E1406" s="62">
        <f>E1301*$A$41</f>
        <v/>
      </c>
      <c r="F1406" s="62">
        <f>F1301*$A$41</f>
        <v/>
      </c>
      <c r="G1406" s="62">
        <f>G1301*$A$41</f>
        <v/>
      </c>
      <c r="H1406" s="62">
        <f>H1301*$A$41</f>
        <v/>
      </c>
      <c r="I1406" s="62">
        <f>I1301*$A$41</f>
        <v/>
      </c>
      <c r="J1406" s="62">
        <f>J1301*$A$41</f>
        <v/>
      </c>
      <c r="K1406" s="62">
        <f>K1301*$A$41</f>
        <v/>
      </c>
      <c r="L1406" s="62">
        <f>L1301*$A$41</f>
        <v/>
      </c>
      <c r="M1406" s="62">
        <f>M1301*$A$41</f>
        <v/>
      </c>
      <c r="N1406" s="62">
        <f>N1301*$A$41</f>
        <v/>
      </c>
      <c r="O1406" s="62">
        <f>O1301*$A$41</f>
        <v/>
      </c>
      <c r="P1406" s="62">
        <f>P1301*$A$41</f>
        <v/>
      </c>
      <c r="Q1406" s="62">
        <f>Q1301*$A$41</f>
        <v/>
      </c>
      <c r="R1406" s="62">
        <f>R1301*$A$41</f>
        <v/>
      </c>
      <c r="S1406" s="62">
        <f>S1301*$A$41</f>
        <v/>
      </c>
      <c r="T1406" s="62">
        <f>T1301*$A$41</f>
        <v/>
      </c>
      <c r="U1406" s="62">
        <f>U1301*$A$41</f>
        <v/>
      </c>
      <c r="V1406" s="62">
        <f>V1301*$A$41</f>
        <v/>
      </c>
    </row>
    <row r="1407">
      <c r="C1407" s="62">
        <f>C1302*$A$42</f>
        <v/>
      </c>
      <c r="D1407" s="62">
        <f>D1302*$A$42</f>
        <v/>
      </c>
      <c r="E1407" s="62">
        <f>E1302*$A$42</f>
        <v/>
      </c>
      <c r="F1407" s="62">
        <f>F1302*$A$42</f>
        <v/>
      </c>
      <c r="G1407" s="62">
        <f>G1302*$A$42</f>
        <v/>
      </c>
      <c r="H1407" s="62">
        <f>H1302*$A$42</f>
        <v/>
      </c>
      <c r="I1407" s="62">
        <f>I1302*$A$42</f>
        <v/>
      </c>
      <c r="J1407" s="62">
        <f>J1302*$A$42</f>
        <v/>
      </c>
      <c r="K1407" s="62">
        <f>K1302*$A$42</f>
        <v/>
      </c>
      <c r="L1407" s="62">
        <f>L1302*$A$42</f>
        <v/>
      </c>
      <c r="M1407" s="62">
        <f>M1302*$A$42</f>
        <v/>
      </c>
      <c r="N1407" s="62">
        <f>N1302*$A$42</f>
        <v/>
      </c>
      <c r="O1407" s="62">
        <f>O1302*$A$42</f>
        <v/>
      </c>
      <c r="P1407" s="62">
        <f>P1302*$A$42</f>
        <v/>
      </c>
      <c r="Q1407" s="62">
        <f>Q1302*$A$42</f>
        <v/>
      </c>
      <c r="R1407" s="62">
        <f>R1302*$A$42</f>
        <v/>
      </c>
      <c r="S1407" s="62">
        <f>S1302*$A$42</f>
        <v/>
      </c>
      <c r="T1407" s="62">
        <f>T1302*$A$42</f>
        <v/>
      </c>
      <c r="U1407" s="62">
        <f>U1302*$A$42</f>
        <v/>
      </c>
      <c r="V1407" s="62">
        <f>V1302*$A$42</f>
        <v/>
      </c>
    </row>
    <row r="1408">
      <c r="C1408" s="62">
        <f>C1303*$A$43</f>
        <v/>
      </c>
      <c r="D1408" s="62">
        <f>D1303*$A$43</f>
        <v/>
      </c>
      <c r="E1408" s="62">
        <f>E1303*$A$43</f>
        <v/>
      </c>
      <c r="F1408" s="62">
        <f>F1303*$A$43</f>
        <v/>
      </c>
      <c r="G1408" s="62">
        <f>G1303*$A$43</f>
        <v/>
      </c>
      <c r="H1408" s="62">
        <f>H1303*$A$43</f>
        <v/>
      </c>
      <c r="I1408" s="62">
        <f>I1303*$A$43</f>
        <v/>
      </c>
      <c r="J1408" s="62">
        <f>J1303*$A$43</f>
        <v/>
      </c>
      <c r="K1408" s="62">
        <f>K1303*$A$43</f>
        <v/>
      </c>
      <c r="L1408" s="62">
        <f>L1303*$A$43</f>
        <v/>
      </c>
      <c r="M1408" s="62">
        <f>M1303*$A$43</f>
        <v/>
      </c>
      <c r="N1408" s="62">
        <f>N1303*$A$43</f>
        <v/>
      </c>
      <c r="O1408" s="62">
        <f>O1303*$A$43</f>
        <v/>
      </c>
      <c r="P1408" s="62">
        <f>P1303*$A$43</f>
        <v/>
      </c>
      <c r="Q1408" s="62">
        <f>Q1303*$A$43</f>
        <v/>
      </c>
      <c r="R1408" s="62">
        <f>R1303*$A$43</f>
        <v/>
      </c>
      <c r="S1408" s="62">
        <f>S1303*$A$43</f>
        <v/>
      </c>
      <c r="T1408" s="62">
        <f>T1303*$A$43</f>
        <v/>
      </c>
      <c r="U1408" s="62">
        <f>U1303*$A$43</f>
        <v/>
      </c>
      <c r="V1408" s="62">
        <f>V1303*$A$43</f>
        <v/>
      </c>
    </row>
    <row r="1409">
      <c r="C1409" s="62">
        <f>C1304*$A$44</f>
        <v/>
      </c>
      <c r="D1409" s="62">
        <f>D1304*$A$44</f>
        <v/>
      </c>
      <c r="E1409" s="62">
        <f>E1304*$A$44</f>
        <v/>
      </c>
      <c r="F1409" s="62">
        <f>F1304*$A$44</f>
        <v/>
      </c>
      <c r="G1409" s="62">
        <f>G1304*$A$44</f>
        <v/>
      </c>
      <c r="H1409" s="62">
        <f>H1304*$A$44</f>
        <v/>
      </c>
      <c r="I1409" s="62">
        <f>I1304*$A$44</f>
        <v/>
      </c>
      <c r="J1409" s="62">
        <f>J1304*$A$44</f>
        <v/>
      </c>
      <c r="K1409" s="62">
        <f>K1304*$A$44</f>
        <v/>
      </c>
      <c r="L1409" s="62">
        <f>L1304*$A$44</f>
        <v/>
      </c>
      <c r="M1409" s="62">
        <f>M1304*$A$44</f>
        <v/>
      </c>
      <c r="N1409" s="62">
        <f>N1304*$A$44</f>
        <v/>
      </c>
      <c r="O1409" s="62">
        <f>O1304*$A$44</f>
        <v/>
      </c>
      <c r="P1409" s="62">
        <f>P1304*$A$44</f>
        <v/>
      </c>
      <c r="Q1409" s="62">
        <f>Q1304*$A$44</f>
        <v/>
      </c>
      <c r="R1409" s="62">
        <f>R1304*$A$44</f>
        <v/>
      </c>
      <c r="S1409" s="62">
        <f>S1304*$A$44</f>
        <v/>
      </c>
      <c r="T1409" s="62">
        <f>T1304*$A$44</f>
        <v/>
      </c>
      <c r="U1409" s="62">
        <f>U1304*$A$44</f>
        <v/>
      </c>
      <c r="V1409" s="62">
        <f>V1304*$A$44</f>
        <v/>
      </c>
    </row>
    <row r="1410">
      <c r="C1410" s="62">
        <f>C1305*$A$45</f>
        <v/>
      </c>
      <c r="D1410" s="62">
        <f>D1305*$A$45</f>
        <v/>
      </c>
      <c r="E1410" s="62">
        <f>E1305*$A$45</f>
        <v/>
      </c>
      <c r="F1410" s="62">
        <f>F1305*$A$45</f>
        <v/>
      </c>
      <c r="G1410" s="62">
        <f>G1305*$A$45</f>
        <v/>
      </c>
      <c r="H1410" s="62">
        <f>H1305*$A$45</f>
        <v/>
      </c>
      <c r="I1410" s="62">
        <f>I1305*$A$45</f>
        <v/>
      </c>
      <c r="J1410" s="62">
        <f>J1305*$A$45</f>
        <v/>
      </c>
      <c r="K1410" s="62">
        <f>K1305*$A$45</f>
        <v/>
      </c>
      <c r="L1410" s="62">
        <f>L1305*$A$45</f>
        <v/>
      </c>
      <c r="M1410" s="62">
        <f>M1305*$A$45</f>
        <v/>
      </c>
      <c r="N1410" s="62">
        <f>N1305*$A$45</f>
        <v/>
      </c>
      <c r="O1410" s="62">
        <f>O1305*$A$45</f>
        <v/>
      </c>
      <c r="P1410" s="62">
        <f>P1305*$A$45</f>
        <v/>
      </c>
      <c r="Q1410" s="62">
        <f>Q1305*$A$45</f>
        <v/>
      </c>
      <c r="R1410" s="62">
        <f>R1305*$A$45</f>
        <v/>
      </c>
      <c r="S1410" s="62">
        <f>S1305*$A$45</f>
        <v/>
      </c>
      <c r="T1410" s="62">
        <f>T1305*$A$45</f>
        <v/>
      </c>
      <c r="U1410" s="62">
        <f>U1305*$A$45</f>
        <v/>
      </c>
      <c r="V1410" s="62">
        <f>V1305*$A$45</f>
        <v/>
      </c>
    </row>
    <row r="1411">
      <c r="C1411" s="62">
        <f>C1306*$A$46</f>
        <v/>
      </c>
      <c r="D1411" s="62">
        <f>D1306*$A$46</f>
        <v/>
      </c>
      <c r="E1411" s="62">
        <f>E1306*$A$46</f>
        <v/>
      </c>
      <c r="F1411" s="62">
        <f>F1306*$A$46</f>
        <v/>
      </c>
      <c r="G1411" s="62">
        <f>G1306*$A$46</f>
        <v/>
      </c>
      <c r="H1411" s="62">
        <f>H1306*$A$46</f>
        <v/>
      </c>
      <c r="I1411" s="62">
        <f>I1306*$A$46</f>
        <v/>
      </c>
      <c r="J1411" s="62">
        <f>J1306*$A$46</f>
        <v/>
      </c>
      <c r="K1411" s="62">
        <f>K1306*$A$46</f>
        <v/>
      </c>
      <c r="L1411" s="62">
        <f>L1306*$A$46</f>
        <v/>
      </c>
      <c r="M1411" s="62">
        <f>M1306*$A$46</f>
        <v/>
      </c>
      <c r="N1411" s="62">
        <f>N1306*$A$46</f>
        <v/>
      </c>
      <c r="O1411" s="62">
        <f>O1306*$A$46</f>
        <v/>
      </c>
      <c r="P1411" s="62">
        <f>P1306*$A$46</f>
        <v/>
      </c>
      <c r="Q1411" s="62">
        <f>Q1306*$A$46</f>
        <v/>
      </c>
      <c r="R1411" s="62">
        <f>R1306*$A$46</f>
        <v/>
      </c>
      <c r="S1411" s="62">
        <f>S1306*$A$46</f>
        <v/>
      </c>
      <c r="T1411" s="62">
        <f>T1306*$A$46</f>
        <v/>
      </c>
      <c r="U1411" s="62">
        <f>U1306*$A$46</f>
        <v/>
      </c>
      <c r="V1411" s="62">
        <f>V1306*$A$46</f>
        <v/>
      </c>
    </row>
    <row r="1412">
      <c r="C1412" s="62">
        <f>C1307*$A$47</f>
        <v/>
      </c>
      <c r="D1412" s="62">
        <f>D1307*$A$47</f>
        <v/>
      </c>
      <c r="E1412" s="62">
        <f>E1307*$A$47</f>
        <v/>
      </c>
      <c r="F1412" s="62">
        <f>F1307*$A$47</f>
        <v/>
      </c>
      <c r="G1412" s="62">
        <f>G1307*$A$47</f>
        <v/>
      </c>
      <c r="H1412" s="62">
        <f>H1307*$A$47</f>
        <v/>
      </c>
      <c r="I1412" s="62">
        <f>I1307*$A$47</f>
        <v/>
      </c>
      <c r="J1412" s="62">
        <f>J1307*$A$47</f>
        <v/>
      </c>
      <c r="K1412" s="62">
        <f>K1307*$A$47</f>
        <v/>
      </c>
      <c r="L1412" s="62">
        <f>L1307*$A$47</f>
        <v/>
      </c>
      <c r="M1412" s="62">
        <f>M1307*$A$47</f>
        <v/>
      </c>
      <c r="N1412" s="62">
        <f>N1307*$A$47</f>
        <v/>
      </c>
      <c r="O1412" s="62">
        <f>O1307*$A$47</f>
        <v/>
      </c>
      <c r="P1412" s="62">
        <f>P1307*$A$47</f>
        <v/>
      </c>
      <c r="Q1412" s="62">
        <f>Q1307*$A$47</f>
        <v/>
      </c>
      <c r="R1412" s="62">
        <f>R1307*$A$47</f>
        <v/>
      </c>
      <c r="S1412" s="62">
        <f>S1307*$A$47</f>
        <v/>
      </c>
      <c r="T1412" s="62">
        <f>T1307*$A$47</f>
        <v/>
      </c>
      <c r="U1412" s="62">
        <f>U1307*$A$47</f>
        <v/>
      </c>
      <c r="V1412" s="62">
        <f>V1307*$A$47</f>
        <v/>
      </c>
    </row>
    <row r="1413">
      <c r="C1413" s="62">
        <f>C1308*$A$48</f>
        <v/>
      </c>
      <c r="D1413" s="62">
        <f>D1308*$A$48</f>
        <v/>
      </c>
      <c r="E1413" s="62">
        <f>E1308*$A$48</f>
        <v/>
      </c>
      <c r="F1413" s="62">
        <f>F1308*$A$48</f>
        <v/>
      </c>
      <c r="G1413" s="62">
        <f>G1308*$A$48</f>
        <v/>
      </c>
      <c r="H1413" s="62">
        <f>H1308*$A$48</f>
        <v/>
      </c>
      <c r="I1413" s="62">
        <f>I1308*$A$48</f>
        <v/>
      </c>
      <c r="J1413" s="62">
        <f>J1308*$A$48</f>
        <v/>
      </c>
      <c r="K1413" s="62">
        <f>K1308*$A$48</f>
        <v/>
      </c>
      <c r="L1413" s="62">
        <f>L1308*$A$48</f>
        <v/>
      </c>
      <c r="M1413" s="62">
        <f>M1308*$A$48</f>
        <v/>
      </c>
      <c r="N1413" s="62">
        <f>N1308*$A$48</f>
        <v/>
      </c>
      <c r="O1413" s="62">
        <f>O1308*$A$48</f>
        <v/>
      </c>
      <c r="P1413" s="62">
        <f>P1308*$A$48</f>
        <v/>
      </c>
      <c r="Q1413" s="62">
        <f>Q1308*$A$48</f>
        <v/>
      </c>
      <c r="R1413" s="62">
        <f>R1308*$A$48</f>
        <v/>
      </c>
      <c r="S1413" s="62">
        <f>S1308*$A$48</f>
        <v/>
      </c>
      <c r="T1413" s="62">
        <f>T1308*$A$48</f>
        <v/>
      </c>
      <c r="U1413" s="62">
        <f>U1308*$A$48</f>
        <v/>
      </c>
      <c r="V1413" s="62">
        <f>V1308*$A$48</f>
        <v/>
      </c>
    </row>
    <row r="1414">
      <c r="C1414" s="62">
        <f>C1309*$A$49</f>
        <v/>
      </c>
      <c r="D1414" s="62">
        <f>D1309*$A$49</f>
        <v/>
      </c>
      <c r="E1414" s="62">
        <f>E1309*$A$49</f>
        <v/>
      </c>
      <c r="F1414" s="62">
        <f>F1309*$A$49</f>
        <v/>
      </c>
      <c r="G1414" s="62">
        <f>G1309*$A$49</f>
        <v/>
      </c>
      <c r="H1414" s="62">
        <f>H1309*$A$49</f>
        <v/>
      </c>
      <c r="I1414" s="62">
        <f>I1309*$A$49</f>
        <v/>
      </c>
      <c r="J1414" s="62">
        <f>J1309*$A$49</f>
        <v/>
      </c>
      <c r="K1414" s="62">
        <f>K1309*$A$49</f>
        <v/>
      </c>
      <c r="L1414" s="62">
        <f>L1309*$A$49</f>
        <v/>
      </c>
      <c r="M1414" s="62">
        <f>M1309*$A$49</f>
        <v/>
      </c>
      <c r="N1414" s="62">
        <f>N1309*$A$49</f>
        <v/>
      </c>
      <c r="O1414" s="62">
        <f>O1309*$A$49</f>
        <v/>
      </c>
      <c r="P1414" s="62">
        <f>P1309*$A$49</f>
        <v/>
      </c>
      <c r="Q1414" s="62">
        <f>Q1309*$A$49</f>
        <v/>
      </c>
      <c r="R1414" s="62">
        <f>R1309*$A$49</f>
        <v/>
      </c>
      <c r="S1414" s="62">
        <f>S1309*$A$49</f>
        <v/>
      </c>
      <c r="T1414" s="62">
        <f>T1309*$A$49</f>
        <v/>
      </c>
      <c r="U1414" s="62">
        <f>U1309*$A$49</f>
        <v/>
      </c>
      <c r="V1414" s="62">
        <f>V1309*$A$49</f>
        <v/>
      </c>
    </row>
    <row r="1415">
      <c r="C1415" s="62">
        <f>C1310*$A$50</f>
        <v/>
      </c>
      <c r="D1415" s="62">
        <f>D1310*$A$50</f>
        <v/>
      </c>
      <c r="E1415" s="62">
        <f>E1310*$A$50</f>
        <v/>
      </c>
      <c r="F1415" s="62">
        <f>F1310*$A$50</f>
        <v/>
      </c>
      <c r="G1415" s="62">
        <f>G1310*$A$50</f>
        <v/>
      </c>
      <c r="H1415" s="62">
        <f>H1310*$A$50</f>
        <v/>
      </c>
      <c r="I1415" s="62">
        <f>I1310*$A$50</f>
        <v/>
      </c>
      <c r="J1415" s="62">
        <f>J1310*$A$50</f>
        <v/>
      </c>
      <c r="K1415" s="62">
        <f>K1310*$A$50</f>
        <v/>
      </c>
      <c r="L1415" s="62">
        <f>L1310*$A$50</f>
        <v/>
      </c>
      <c r="M1415" s="62">
        <f>M1310*$A$50</f>
        <v/>
      </c>
      <c r="N1415" s="62">
        <f>N1310*$A$50</f>
        <v/>
      </c>
      <c r="O1415" s="62">
        <f>O1310*$A$50</f>
        <v/>
      </c>
      <c r="P1415" s="62">
        <f>P1310*$A$50</f>
        <v/>
      </c>
      <c r="Q1415" s="62">
        <f>Q1310*$A$50</f>
        <v/>
      </c>
      <c r="R1415" s="62">
        <f>R1310*$A$50</f>
        <v/>
      </c>
      <c r="S1415" s="62">
        <f>S1310*$A$50</f>
        <v/>
      </c>
      <c r="T1415" s="62">
        <f>T1310*$A$50</f>
        <v/>
      </c>
      <c r="U1415" s="62">
        <f>U1310*$A$50</f>
        <v/>
      </c>
      <c r="V1415" s="62">
        <f>V1310*$A$50</f>
        <v/>
      </c>
    </row>
    <row r="1416">
      <c r="C1416" s="62">
        <f>C1311*$A$51</f>
        <v/>
      </c>
      <c r="D1416" s="62">
        <f>D1311*$A$51</f>
        <v/>
      </c>
      <c r="E1416" s="62">
        <f>E1311*$A$51</f>
        <v/>
      </c>
      <c r="F1416" s="62">
        <f>F1311*$A$51</f>
        <v/>
      </c>
      <c r="G1416" s="62">
        <f>G1311*$A$51</f>
        <v/>
      </c>
      <c r="H1416" s="62">
        <f>H1311*$A$51</f>
        <v/>
      </c>
      <c r="I1416" s="62">
        <f>I1311*$A$51</f>
        <v/>
      </c>
      <c r="J1416" s="62">
        <f>J1311*$A$51</f>
        <v/>
      </c>
      <c r="K1416" s="62">
        <f>K1311*$A$51</f>
        <v/>
      </c>
      <c r="L1416" s="62">
        <f>L1311*$A$51</f>
        <v/>
      </c>
      <c r="M1416" s="62">
        <f>M1311*$A$51</f>
        <v/>
      </c>
      <c r="N1416" s="62">
        <f>N1311*$A$51</f>
        <v/>
      </c>
      <c r="O1416" s="62">
        <f>O1311*$A$51</f>
        <v/>
      </c>
      <c r="P1416" s="62">
        <f>P1311*$A$51</f>
        <v/>
      </c>
      <c r="Q1416" s="62">
        <f>Q1311*$A$51</f>
        <v/>
      </c>
      <c r="R1416" s="62">
        <f>R1311*$A$51</f>
        <v/>
      </c>
      <c r="S1416" s="62">
        <f>S1311*$A$51</f>
        <v/>
      </c>
      <c r="T1416" s="62">
        <f>T1311*$A$51</f>
        <v/>
      </c>
      <c r="U1416" s="62">
        <f>U1311*$A$51</f>
        <v/>
      </c>
      <c r="V1416" s="62">
        <f>V1311*$A$51</f>
        <v/>
      </c>
    </row>
    <row r="1417">
      <c r="C1417" s="62">
        <f>C1312*$A$52</f>
        <v/>
      </c>
      <c r="D1417" s="62">
        <f>D1312*$A$52</f>
        <v/>
      </c>
      <c r="E1417" s="62">
        <f>E1312*$A$52</f>
        <v/>
      </c>
      <c r="F1417" s="62">
        <f>F1312*$A$52</f>
        <v/>
      </c>
      <c r="G1417" s="62">
        <f>G1312*$A$52</f>
        <v/>
      </c>
      <c r="H1417" s="62">
        <f>H1312*$A$52</f>
        <v/>
      </c>
      <c r="I1417" s="62">
        <f>I1312*$A$52</f>
        <v/>
      </c>
      <c r="J1417" s="62">
        <f>J1312*$A$52</f>
        <v/>
      </c>
      <c r="K1417" s="62">
        <f>K1312*$A$52</f>
        <v/>
      </c>
      <c r="L1417" s="62">
        <f>L1312*$A$52</f>
        <v/>
      </c>
      <c r="M1417" s="62">
        <f>M1312*$A$52</f>
        <v/>
      </c>
      <c r="N1417" s="62">
        <f>N1312*$A$52</f>
        <v/>
      </c>
      <c r="O1417" s="62">
        <f>O1312*$A$52</f>
        <v/>
      </c>
      <c r="P1417" s="62">
        <f>P1312*$A$52</f>
        <v/>
      </c>
      <c r="Q1417" s="62">
        <f>Q1312*$A$52</f>
        <v/>
      </c>
      <c r="R1417" s="62">
        <f>R1312*$A$52</f>
        <v/>
      </c>
      <c r="S1417" s="62">
        <f>S1312*$A$52</f>
        <v/>
      </c>
      <c r="T1417" s="62">
        <f>T1312*$A$52</f>
        <v/>
      </c>
      <c r="U1417" s="62">
        <f>U1312*$A$52</f>
        <v/>
      </c>
      <c r="V1417" s="62">
        <f>V1312*$A$52</f>
        <v/>
      </c>
    </row>
    <row r="1418">
      <c r="C1418" s="62">
        <f>C1313*$A$53</f>
        <v/>
      </c>
      <c r="D1418" s="62">
        <f>D1313*$A$53</f>
        <v/>
      </c>
      <c r="E1418" s="62">
        <f>E1313*$A$53</f>
        <v/>
      </c>
      <c r="F1418" s="62">
        <f>F1313*$A$53</f>
        <v/>
      </c>
      <c r="G1418" s="62">
        <f>G1313*$A$53</f>
        <v/>
      </c>
      <c r="H1418" s="62">
        <f>H1313*$A$53</f>
        <v/>
      </c>
      <c r="I1418" s="62">
        <f>I1313*$A$53</f>
        <v/>
      </c>
      <c r="J1418" s="62">
        <f>J1313*$A$53</f>
        <v/>
      </c>
      <c r="K1418" s="62">
        <f>K1313*$A$53</f>
        <v/>
      </c>
      <c r="L1418" s="62">
        <f>L1313*$A$53</f>
        <v/>
      </c>
      <c r="M1418" s="62">
        <f>M1313*$A$53</f>
        <v/>
      </c>
      <c r="N1418" s="62">
        <f>N1313*$A$53</f>
        <v/>
      </c>
      <c r="O1418" s="62">
        <f>O1313*$A$53</f>
        <v/>
      </c>
      <c r="P1418" s="62">
        <f>P1313*$A$53</f>
        <v/>
      </c>
      <c r="Q1418" s="62">
        <f>Q1313*$A$53</f>
        <v/>
      </c>
      <c r="R1418" s="62">
        <f>R1313*$A$53</f>
        <v/>
      </c>
      <c r="S1418" s="62">
        <f>S1313*$A$53</f>
        <v/>
      </c>
      <c r="T1418" s="62">
        <f>T1313*$A$53</f>
        <v/>
      </c>
      <c r="U1418" s="62">
        <f>U1313*$A$53</f>
        <v/>
      </c>
      <c r="V1418" s="62">
        <f>V1313*$A$53</f>
        <v/>
      </c>
    </row>
    <row r="1419">
      <c r="C1419" s="62">
        <f>C1314*$A$54</f>
        <v/>
      </c>
      <c r="D1419" s="62">
        <f>D1314*$A$54</f>
        <v/>
      </c>
      <c r="E1419" s="62">
        <f>E1314*$A$54</f>
        <v/>
      </c>
      <c r="F1419" s="62">
        <f>F1314*$A$54</f>
        <v/>
      </c>
      <c r="G1419" s="62">
        <f>G1314*$A$54</f>
        <v/>
      </c>
      <c r="H1419" s="62">
        <f>H1314*$A$54</f>
        <v/>
      </c>
      <c r="I1419" s="62">
        <f>I1314*$A$54</f>
        <v/>
      </c>
      <c r="J1419" s="62">
        <f>J1314*$A$54</f>
        <v/>
      </c>
      <c r="K1419" s="62">
        <f>K1314*$A$54</f>
        <v/>
      </c>
      <c r="L1419" s="62">
        <f>L1314*$A$54</f>
        <v/>
      </c>
      <c r="M1419" s="62">
        <f>M1314*$A$54</f>
        <v/>
      </c>
      <c r="N1419" s="62">
        <f>N1314*$A$54</f>
        <v/>
      </c>
      <c r="O1419" s="62">
        <f>O1314*$A$54</f>
        <v/>
      </c>
      <c r="P1419" s="62">
        <f>P1314*$A$54</f>
        <v/>
      </c>
      <c r="Q1419" s="62">
        <f>Q1314*$A$54</f>
        <v/>
      </c>
      <c r="R1419" s="62">
        <f>R1314*$A$54</f>
        <v/>
      </c>
      <c r="S1419" s="62">
        <f>S1314*$A$54</f>
        <v/>
      </c>
      <c r="T1419" s="62">
        <f>T1314*$A$54</f>
        <v/>
      </c>
      <c r="U1419" s="62">
        <f>U1314*$A$54</f>
        <v/>
      </c>
      <c r="V1419" s="62">
        <f>V1314*$A$54</f>
        <v/>
      </c>
    </row>
    <row r="1420">
      <c r="C1420" s="62">
        <f>C1315*$A$55</f>
        <v/>
      </c>
      <c r="D1420" s="62">
        <f>D1315*$A$55</f>
        <v/>
      </c>
      <c r="E1420" s="62">
        <f>E1315*$A$55</f>
        <v/>
      </c>
      <c r="F1420" s="62">
        <f>F1315*$A$55</f>
        <v/>
      </c>
      <c r="G1420" s="62">
        <f>G1315*$A$55</f>
        <v/>
      </c>
      <c r="H1420" s="62">
        <f>H1315*$A$55</f>
        <v/>
      </c>
      <c r="I1420" s="62">
        <f>I1315*$A$55</f>
        <v/>
      </c>
      <c r="J1420" s="62">
        <f>J1315*$A$55</f>
        <v/>
      </c>
      <c r="K1420" s="62">
        <f>K1315*$A$55</f>
        <v/>
      </c>
      <c r="L1420" s="62">
        <f>L1315*$A$55</f>
        <v/>
      </c>
      <c r="M1420" s="62">
        <f>M1315*$A$55</f>
        <v/>
      </c>
      <c r="N1420" s="62">
        <f>N1315*$A$55</f>
        <v/>
      </c>
      <c r="O1420" s="62">
        <f>O1315*$A$55</f>
        <v/>
      </c>
      <c r="P1420" s="62">
        <f>P1315*$A$55</f>
        <v/>
      </c>
      <c r="Q1420" s="62">
        <f>Q1315*$A$55</f>
        <v/>
      </c>
      <c r="R1420" s="62">
        <f>R1315*$A$55</f>
        <v/>
      </c>
      <c r="S1420" s="62">
        <f>S1315*$A$55</f>
        <v/>
      </c>
      <c r="T1420" s="62">
        <f>T1315*$A$55</f>
        <v/>
      </c>
      <c r="U1420" s="62">
        <f>U1315*$A$55</f>
        <v/>
      </c>
      <c r="V1420" s="62">
        <f>V1315*$A$55</f>
        <v/>
      </c>
    </row>
    <row r="1421">
      <c r="C1421" s="62">
        <f>C1316*$A$56</f>
        <v/>
      </c>
      <c r="D1421" s="62">
        <f>D1316*$A$56</f>
        <v/>
      </c>
      <c r="E1421" s="62">
        <f>E1316*$A$56</f>
        <v/>
      </c>
      <c r="F1421" s="62">
        <f>F1316*$A$56</f>
        <v/>
      </c>
      <c r="G1421" s="62">
        <f>G1316*$A$56</f>
        <v/>
      </c>
      <c r="H1421" s="62">
        <f>H1316*$A$56</f>
        <v/>
      </c>
      <c r="I1421" s="62">
        <f>I1316*$A$56</f>
        <v/>
      </c>
      <c r="J1421" s="62">
        <f>J1316*$A$56</f>
        <v/>
      </c>
      <c r="K1421" s="62">
        <f>K1316*$A$56</f>
        <v/>
      </c>
      <c r="L1421" s="62">
        <f>L1316*$A$56</f>
        <v/>
      </c>
      <c r="M1421" s="62">
        <f>M1316*$A$56</f>
        <v/>
      </c>
      <c r="N1421" s="62">
        <f>N1316*$A$56</f>
        <v/>
      </c>
      <c r="O1421" s="62">
        <f>O1316*$A$56</f>
        <v/>
      </c>
      <c r="P1421" s="62">
        <f>P1316*$A$56</f>
        <v/>
      </c>
      <c r="Q1421" s="62">
        <f>Q1316*$A$56</f>
        <v/>
      </c>
      <c r="R1421" s="62">
        <f>R1316*$A$56</f>
        <v/>
      </c>
      <c r="S1421" s="62">
        <f>S1316*$A$56</f>
        <v/>
      </c>
      <c r="T1421" s="62">
        <f>T1316*$A$56</f>
        <v/>
      </c>
      <c r="U1421" s="62">
        <f>U1316*$A$56</f>
        <v/>
      </c>
      <c r="V1421" s="62">
        <f>V1316*$A$56</f>
        <v/>
      </c>
    </row>
    <row r="1422">
      <c r="C1422" s="62">
        <f>C1317*$A$57</f>
        <v/>
      </c>
      <c r="D1422" s="62">
        <f>D1317*$A$57</f>
        <v/>
      </c>
      <c r="E1422" s="62">
        <f>E1317*$A$57</f>
        <v/>
      </c>
      <c r="F1422" s="62">
        <f>F1317*$A$57</f>
        <v/>
      </c>
      <c r="G1422" s="62">
        <f>G1317*$A$57</f>
        <v/>
      </c>
      <c r="H1422" s="62">
        <f>H1317*$A$57</f>
        <v/>
      </c>
      <c r="I1422" s="62">
        <f>I1317*$A$57</f>
        <v/>
      </c>
      <c r="J1422" s="62">
        <f>J1317*$A$57</f>
        <v/>
      </c>
      <c r="K1422" s="62">
        <f>K1317*$A$57</f>
        <v/>
      </c>
      <c r="L1422" s="62">
        <f>L1317*$A$57</f>
        <v/>
      </c>
      <c r="M1422" s="62">
        <f>M1317*$A$57</f>
        <v/>
      </c>
      <c r="N1422" s="62">
        <f>N1317*$A$57</f>
        <v/>
      </c>
      <c r="O1422" s="62">
        <f>O1317*$A$57</f>
        <v/>
      </c>
      <c r="P1422" s="62">
        <f>P1317*$A$57</f>
        <v/>
      </c>
      <c r="Q1422" s="62">
        <f>Q1317*$A$57</f>
        <v/>
      </c>
      <c r="R1422" s="62">
        <f>R1317*$A$57</f>
        <v/>
      </c>
      <c r="S1422" s="62">
        <f>S1317*$A$57</f>
        <v/>
      </c>
      <c r="T1422" s="62">
        <f>T1317*$A$57</f>
        <v/>
      </c>
      <c r="U1422" s="62">
        <f>U1317*$A$57</f>
        <v/>
      </c>
      <c r="V1422" s="62">
        <f>V1317*$A$57</f>
        <v/>
      </c>
    </row>
    <row r="1423">
      <c r="C1423" s="62">
        <f>C1318*$A$58</f>
        <v/>
      </c>
      <c r="D1423" s="62">
        <f>D1318*$A$58</f>
        <v/>
      </c>
      <c r="E1423" s="62">
        <f>E1318*$A$58</f>
        <v/>
      </c>
      <c r="F1423" s="62">
        <f>F1318*$A$58</f>
        <v/>
      </c>
      <c r="G1423" s="62">
        <f>G1318*$A$58</f>
        <v/>
      </c>
      <c r="H1423" s="62">
        <f>H1318*$A$58</f>
        <v/>
      </c>
      <c r="I1423" s="62">
        <f>I1318*$A$58</f>
        <v/>
      </c>
      <c r="J1423" s="62">
        <f>J1318*$A$58</f>
        <v/>
      </c>
      <c r="K1423" s="62">
        <f>K1318*$A$58</f>
        <v/>
      </c>
      <c r="L1423" s="62">
        <f>L1318*$A$58</f>
        <v/>
      </c>
      <c r="M1423" s="62">
        <f>M1318*$A$58</f>
        <v/>
      </c>
      <c r="N1423" s="62">
        <f>N1318*$A$58</f>
        <v/>
      </c>
      <c r="O1423" s="62">
        <f>O1318*$A$58</f>
        <v/>
      </c>
      <c r="P1423" s="62">
        <f>P1318*$A$58</f>
        <v/>
      </c>
      <c r="Q1423" s="62">
        <f>Q1318*$A$58</f>
        <v/>
      </c>
      <c r="R1423" s="62">
        <f>R1318*$A$58</f>
        <v/>
      </c>
      <c r="S1423" s="62">
        <f>S1318*$A$58</f>
        <v/>
      </c>
      <c r="T1423" s="62">
        <f>T1318*$A$58</f>
        <v/>
      </c>
      <c r="U1423" s="62">
        <f>U1318*$A$58</f>
        <v/>
      </c>
      <c r="V1423" s="62">
        <f>V1318*$A$58</f>
        <v/>
      </c>
    </row>
    <row r="1424">
      <c r="C1424" s="62">
        <f>C1319*$A$59</f>
        <v/>
      </c>
      <c r="D1424" s="62">
        <f>D1319*$A$59</f>
        <v/>
      </c>
      <c r="E1424" s="62">
        <f>E1319*$A$59</f>
        <v/>
      </c>
      <c r="F1424" s="62">
        <f>F1319*$A$59</f>
        <v/>
      </c>
      <c r="G1424" s="62">
        <f>G1319*$A$59</f>
        <v/>
      </c>
      <c r="H1424" s="62">
        <f>H1319*$A$59</f>
        <v/>
      </c>
      <c r="I1424" s="62">
        <f>I1319*$A$59</f>
        <v/>
      </c>
      <c r="J1424" s="62">
        <f>J1319*$A$59</f>
        <v/>
      </c>
      <c r="K1424" s="62">
        <f>K1319*$A$59</f>
        <v/>
      </c>
      <c r="L1424" s="62">
        <f>L1319*$A$59</f>
        <v/>
      </c>
      <c r="M1424" s="62">
        <f>M1319*$A$59</f>
        <v/>
      </c>
      <c r="N1424" s="62">
        <f>N1319*$A$59</f>
        <v/>
      </c>
      <c r="O1424" s="62">
        <f>O1319*$A$59</f>
        <v/>
      </c>
      <c r="P1424" s="62">
        <f>P1319*$A$59</f>
        <v/>
      </c>
      <c r="Q1424" s="62">
        <f>Q1319*$A$59</f>
        <v/>
      </c>
      <c r="R1424" s="62">
        <f>R1319*$A$59</f>
        <v/>
      </c>
      <c r="S1424" s="62">
        <f>S1319*$A$59</f>
        <v/>
      </c>
      <c r="T1424" s="62">
        <f>T1319*$A$59</f>
        <v/>
      </c>
      <c r="U1424" s="62">
        <f>U1319*$A$59</f>
        <v/>
      </c>
      <c r="V1424" s="62">
        <f>V1319*$A$59</f>
        <v/>
      </c>
    </row>
    <row r="1425">
      <c r="C1425" s="62">
        <f>C1320*$A$60</f>
        <v/>
      </c>
      <c r="D1425" s="62">
        <f>D1320*$A$60</f>
        <v/>
      </c>
      <c r="E1425" s="62">
        <f>E1320*$A$60</f>
        <v/>
      </c>
      <c r="F1425" s="62">
        <f>F1320*$A$60</f>
        <v/>
      </c>
      <c r="G1425" s="62">
        <f>G1320*$A$60</f>
        <v/>
      </c>
      <c r="H1425" s="62">
        <f>H1320*$A$60</f>
        <v/>
      </c>
      <c r="I1425" s="62">
        <f>I1320*$A$60</f>
        <v/>
      </c>
      <c r="J1425" s="62">
        <f>J1320*$A$60</f>
        <v/>
      </c>
      <c r="K1425" s="62">
        <f>K1320*$A$60</f>
        <v/>
      </c>
      <c r="L1425" s="62">
        <f>L1320*$A$60</f>
        <v/>
      </c>
      <c r="M1425" s="62">
        <f>M1320*$A$60</f>
        <v/>
      </c>
      <c r="N1425" s="62">
        <f>N1320*$A$60</f>
        <v/>
      </c>
      <c r="O1425" s="62">
        <f>O1320*$A$60</f>
        <v/>
      </c>
      <c r="P1425" s="62">
        <f>P1320*$A$60</f>
        <v/>
      </c>
      <c r="Q1425" s="62">
        <f>Q1320*$A$60</f>
        <v/>
      </c>
      <c r="R1425" s="62">
        <f>R1320*$A$60</f>
        <v/>
      </c>
      <c r="S1425" s="62">
        <f>S1320*$A$60</f>
        <v/>
      </c>
      <c r="T1425" s="62">
        <f>T1320*$A$60</f>
        <v/>
      </c>
      <c r="U1425" s="62">
        <f>U1320*$A$60</f>
        <v/>
      </c>
      <c r="V1425" s="62">
        <f>V1320*$A$60</f>
        <v/>
      </c>
    </row>
    <row r="1426">
      <c r="C1426" s="62">
        <f>C1321*$A$61</f>
        <v/>
      </c>
      <c r="D1426" s="62">
        <f>D1321*$A$61</f>
        <v/>
      </c>
      <c r="E1426" s="62">
        <f>E1321*$A$61</f>
        <v/>
      </c>
      <c r="F1426" s="62">
        <f>F1321*$A$61</f>
        <v/>
      </c>
      <c r="G1426" s="62">
        <f>G1321*$A$61</f>
        <v/>
      </c>
      <c r="H1426" s="62">
        <f>H1321*$A$61</f>
        <v/>
      </c>
      <c r="I1426" s="62">
        <f>I1321*$A$61</f>
        <v/>
      </c>
      <c r="J1426" s="62">
        <f>J1321*$A$61</f>
        <v/>
      </c>
      <c r="K1426" s="62">
        <f>K1321*$A$61</f>
        <v/>
      </c>
      <c r="L1426" s="62">
        <f>L1321*$A$61</f>
        <v/>
      </c>
      <c r="M1426" s="62">
        <f>M1321*$A$61</f>
        <v/>
      </c>
      <c r="N1426" s="62">
        <f>N1321*$A$61</f>
        <v/>
      </c>
      <c r="O1426" s="62">
        <f>O1321*$A$61</f>
        <v/>
      </c>
      <c r="P1426" s="62">
        <f>P1321*$A$61</f>
        <v/>
      </c>
      <c r="Q1426" s="62">
        <f>Q1321*$A$61</f>
        <v/>
      </c>
      <c r="R1426" s="62">
        <f>R1321*$A$61</f>
        <v/>
      </c>
      <c r="S1426" s="62">
        <f>S1321*$A$61</f>
        <v/>
      </c>
      <c r="T1426" s="62">
        <f>T1321*$A$61</f>
        <v/>
      </c>
      <c r="U1426" s="62">
        <f>U1321*$A$61</f>
        <v/>
      </c>
      <c r="V1426" s="62">
        <f>V1321*$A$61</f>
        <v/>
      </c>
    </row>
    <row r="1427">
      <c r="C1427" s="62">
        <f>C1322*$A$62</f>
        <v/>
      </c>
      <c r="D1427" s="62">
        <f>D1322*$A$62</f>
        <v/>
      </c>
      <c r="E1427" s="62">
        <f>E1322*$A$62</f>
        <v/>
      </c>
      <c r="F1427" s="62">
        <f>F1322*$A$62</f>
        <v/>
      </c>
      <c r="G1427" s="62">
        <f>G1322*$A$62</f>
        <v/>
      </c>
      <c r="H1427" s="62">
        <f>H1322*$A$62</f>
        <v/>
      </c>
      <c r="I1427" s="62">
        <f>I1322*$A$62</f>
        <v/>
      </c>
      <c r="J1427" s="62">
        <f>J1322*$A$62</f>
        <v/>
      </c>
      <c r="K1427" s="62">
        <f>K1322*$A$62</f>
        <v/>
      </c>
      <c r="L1427" s="62">
        <f>L1322*$A$62</f>
        <v/>
      </c>
      <c r="M1427" s="62">
        <f>M1322*$A$62</f>
        <v/>
      </c>
      <c r="N1427" s="62">
        <f>N1322*$A$62</f>
        <v/>
      </c>
      <c r="O1427" s="62">
        <f>O1322*$A$62</f>
        <v/>
      </c>
      <c r="P1427" s="62">
        <f>P1322*$A$62</f>
        <v/>
      </c>
      <c r="Q1427" s="62">
        <f>Q1322*$A$62</f>
        <v/>
      </c>
      <c r="R1427" s="62">
        <f>R1322*$A$62</f>
        <v/>
      </c>
      <c r="S1427" s="62">
        <f>S1322*$A$62</f>
        <v/>
      </c>
      <c r="T1427" s="62">
        <f>T1322*$A$62</f>
        <v/>
      </c>
      <c r="U1427" s="62">
        <f>U1322*$A$62</f>
        <v/>
      </c>
      <c r="V1427" s="62">
        <f>V1322*$A$62</f>
        <v/>
      </c>
    </row>
    <row r="1428">
      <c r="C1428" s="62">
        <f>C1323*$A$63</f>
        <v/>
      </c>
      <c r="D1428" s="62">
        <f>D1323*$A$63</f>
        <v/>
      </c>
      <c r="E1428" s="62">
        <f>E1323*$A$63</f>
        <v/>
      </c>
      <c r="F1428" s="62">
        <f>F1323*$A$63</f>
        <v/>
      </c>
      <c r="G1428" s="62">
        <f>G1323*$A$63</f>
        <v/>
      </c>
      <c r="H1428" s="62">
        <f>H1323*$A$63</f>
        <v/>
      </c>
      <c r="I1428" s="62">
        <f>I1323*$A$63</f>
        <v/>
      </c>
      <c r="J1428" s="62">
        <f>J1323*$A$63</f>
        <v/>
      </c>
      <c r="K1428" s="62">
        <f>K1323*$A$63</f>
        <v/>
      </c>
      <c r="L1428" s="62">
        <f>L1323*$A$63</f>
        <v/>
      </c>
      <c r="M1428" s="62">
        <f>M1323*$A$63</f>
        <v/>
      </c>
      <c r="N1428" s="62">
        <f>N1323*$A$63</f>
        <v/>
      </c>
      <c r="O1428" s="62">
        <f>O1323*$A$63</f>
        <v/>
      </c>
      <c r="P1428" s="62">
        <f>P1323*$A$63</f>
        <v/>
      </c>
      <c r="Q1428" s="62">
        <f>Q1323*$A$63</f>
        <v/>
      </c>
      <c r="R1428" s="62">
        <f>R1323*$A$63</f>
        <v/>
      </c>
      <c r="S1428" s="62">
        <f>S1323*$A$63</f>
        <v/>
      </c>
      <c r="T1428" s="62">
        <f>T1323*$A$63</f>
        <v/>
      </c>
      <c r="U1428" s="62">
        <f>U1323*$A$63</f>
        <v/>
      </c>
      <c r="V1428" s="62">
        <f>V1323*$A$63</f>
        <v/>
      </c>
    </row>
    <row r="1429">
      <c r="C1429" s="62">
        <f>C1324*$A$64</f>
        <v/>
      </c>
      <c r="D1429" s="62">
        <f>D1324*$A$64</f>
        <v/>
      </c>
      <c r="E1429" s="62">
        <f>E1324*$A$64</f>
        <v/>
      </c>
      <c r="F1429" s="62">
        <f>F1324*$A$64</f>
        <v/>
      </c>
      <c r="G1429" s="62">
        <f>G1324*$A$64</f>
        <v/>
      </c>
      <c r="H1429" s="62">
        <f>H1324*$A$64</f>
        <v/>
      </c>
      <c r="I1429" s="62">
        <f>I1324*$A$64</f>
        <v/>
      </c>
      <c r="J1429" s="62">
        <f>J1324*$A$64</f>
        <v/>
      </c>
      <c r="K1429" s="62">
        <f>K1324*$A$64</f>
        <v/>
      </c>
      <c r="L1429" s="62">
        <f>L1324*$A$64</f>
        <v/>
      </c>
      <c r="M1429" s="62">
        <f>M1324*$A$64</f>
        <v/>
      </c>
      <c r="N1429" s="62">
        <f>N1324*$A$64</f>
        <v/>
      </c>
      <c r="O1429" s="62">
        <f>O1324*$A$64</f>
        <v/>
      </c>
      <c r="P1429" s="62">
        <f>P1324*$A$64</f>
        <v/>
      </c>
      <c r="Q1429" s="62">
        <f>Q1324*$A$64</f>
        <v/>
      </c>
      <c r="R1429" s="62">
        <f>R1324*$A$64</f>
        <v/>
      </c>
      <c r="S1429" s="62">
        <f>S1324*$A$64</f>
        <v/>
      </c>
      <c r="T1429" s="62">
        <f>T1324*$A$64</f>
        <v/>
      </c>
      <c r="U1429" s="62">
        <f>U1324*$A$64</f>
        <v/>
      </c>
      <c r="V1429" s="62">
        <f>V1324*$A$64</f>
        <v/>
      </c>
    </row>
    <row r="1430">
      <c r="C1430" s="62">
        <f>C1325*$A$65</f>
        <v/>
      </c>
      <c r="D1430" s="62">
        <f>D1325*$A$65</f>
        <v/>
      </c>
      <c r="E1430" s="62">
        <f>E1325*$A$65</f>
        <v/>
      </c>
      <c r="F1430" s="62">
        <f>F1325*$A$65</f>
        <v/>
      </c>
      <c r="G1430" s="62">
        <f>G1325*$A$65</f>
        <v/>
      </c>
      <c r="H1430" s="62">
        <f>H1325*$A$65</f>
        <v/>
      </c>
      <c r="I1430" s="62">
        <f>I1325*$A$65</f>
        <v/>
      </c>
      <c r="J1430" s="62">
        <f>J1325*$A$65</f>
        <v/>
      </c>
      <c r="K1430" s="62">
        <f>K1325*$A$65</f>
        <v/>
      </c>
      <c r="L1430" s="62">
        <f>L1325*$A$65</f>
        <v/>
      </c>
      <c r="M1430" s="62">
        <f>M1325*$A$65</f>
        <v/>
      </c>
      <c r="N1430" s="62">
        <f>N1325*$A$65</f>
        <v/>
      </c>
      <c r="O1430" s="62">
        <f>O1325*$A$65</f>
        <v/>
      </c>
      <c r="P1430" s="62">
        <f>P1325*$A$65</f>
        <v/>
      </c>
      <c r="Q1430" s="62">
        <f>Q1325*$A$65</f>
        <v/>
      </c>
      <c r="R1430" s="62">
        <f>R1325*$A$65</f>
        <v/>
      </c>
      <c r="S1430" s="62">
        <f>S1325*$A$65</f>
        <v/>
      </c>
      <c r="T1430" s="62">
        <f>T1325*$A$65</f>
        <v/>
      </c>
      <c r="U1430" s="62">
        <f>U1325*$A$65</f>
        <v/>
      </c>
      <c r="V1430" s="62">
        <f>V1325*$A$65</f>
        <v/>
      </c>
    </row>
    <row r="1431">
      <c r="C1431" s="62">
        <f>C1326*$A$66</f>
        <v/>
      </c>
      <c r="D1431" s="62">
        <f>D1326*$A$66</f>
        <v/>
      </c>
      <c r="E1431" s="62">
        <f>E1326*$A$66</f>
        <v/>
      </c>
      <c r="F1431" s="62">
        <f>F1326*$A$66</f>
        <v/>
      </c>
      <c r="G1431" s="62">
        <f>G1326*$A$66</f>
        <v/>
      </c>
      <c r="H1431" s="62">
        <f>H1326*$A$66</f>
        <v/>
      </c>
      <c r="I1431" s="62">
        <f>I1326*$A$66</f>
        <v/>
      </c>
      <c r="J1431" s="62">
        <f>J1326*$A$66</f>
        <v/>
      </c>
      <c r="K1431" s="62">
        <f>K1326*$A$66</f>
        <v/>
      </c>
      <c r="L1431" s="62">
        <f>L1326*$A$66</f>
        <v/>
      </c>
      <c r="M1431" s="62">
        <f>M1326*$A$66</f>
        <v/>
      </c>
      <c r="N1431" s="62">
        <f>N1326*$A$66</f>
        <v/>
      </c>
      <c r="O1431" s="62">
        <f>O1326*$A$66</f>
        <v/>
      </c>
      <c r="P1431" s="62">
        <f>P1326*$A$66</f>
        <v/>
      </c>
      <c r="Q1431" s="62">
        <f>Q1326*$A$66</f>
        <v/>
      </c>
      <c r="R1431" s="62">
        <f>R1326*$A$66</f>
        <v/>
      </c>
      <c r="S1431" s="62">
        <f>S1326*$A$66</f>
        <v/>
      </c>
      <c r="T1431" s="62">
        <f>T1326*$A$66</f>
        <v/>
      </c>
      <c r="U1431" s="62">
        <f>U1326*$A$66</f>
        <v/>
      </c>
      <c r="V1431" s="62">
        <f>V1326*$A$66</f>
        <v/>
      </c>
    </row>
    <row r="1432">
      <c r="C1432" s="62">
        <f>C1327*$A$67</f>
        <v/>
      </c>
      <c r="D1432" s="62">
        <f>D1327*$A$67</f>
        <v/>
      </c>
      <c r="E1432" s="62">
        <f>E1327*$A$67</f>
        <v/>
      </c>
      <c r="F1432" s="62">
        <f>F1327*$A$67</f>
        <v/>
      </c>
      <c r="G1432" s="62">
        <f>G1327*$A$67</f>
        <v/>
      </c>
      <c r="H1432" s="62">
        <f>H1327*$A$67</f>
        <v/>
      </c>
      <c r="I1432" s="62">
        <f>I1327*$A$67</f>
        <v/>
      </c>
      <c r="J1432" s="62">
        <f>J1327*$A$67</f>
        <v/>
      </c>
      <c r="K1432" s="62">
        <f>K1327*$A$67</f>
        <v/>
      </c>
      <c r="L1432" s="62">
        <f>L1327*$A$67</f>
        <v/>
      </c>
      <c r="M1432" s="62">
        <f>M1327*$A$67</f>
        <v/>
      </c>
      <c r="N1432" s="62">
        <f>N1327*$A$67</f>
        <v/>
      </c>
      <c r="O1432" s="62">
        <f>O1327*$A$67</f>
        <v/>
      </c>
      <c r="P1432" s="62">
        <f>P1327*$A$67</f>
        <v/>
      </c>
      <c r="Q1432" s="62">
        <f>Q1327*$A$67</f>
        <v/>
      </c>
      <c r="R1432" s="62">
        <f>R1327*$A$67</f>
        <v/>
      </c>
      <c r="S1432" s="62">
        <f>S1327*$A$67</f>
        <v/>
      </c>
      <c r="T1432" s="62">
        <f>T1327*$A$67</f>
        <v/>
      </c>
      <c r="U1432" s="62">
        <f>U1327*$A$67</f>
        <v/>
      </c>
      <c r="V1432" s="62">
        <f>V1327*$A$67</f>
        <v/>
      </c>
    </row>
    <row r="1433">
      <c r="C1433" s="62">
        <f>C1328*$A$68</f>
        <v/>
      </c>
      <c r="D1433" s="62">
        <f>D1328*$A$68</f>
        <v/>
      </c>
      <c r="E1433" s="62">
        <f>E1328*$A$68</f>
        <v/>
      </c>
      <c r="F1433" s="62">
        <f>F1328*$A$68</f>
        <v/>
      </c>
      <c r="G1433" s="62">
        <f>G1328*$A$68</f>
        <v/>
      </c>
      <c r="H1433" s="62">
        <f>H1328*$A$68</f>
        <v/>
      </c>
      <c r="I1433" s="62">
        <f>I1328*$A$68</f>
        <v/>
      </c>
      <c r="J1433" s="62">
        <f>J1328*$A$68</f>
        <v/>
      </c>
      <c r="K1433" s="62">
        <f>K1328*$A$68</f>
        <v/>
      </c>
      <c r="L1433" s="62">
        <f>L1328*$A$68</f>
        <v/>
      </c>
      <c r="M1433" s="62">
        <f>M1328*$A$68</f>
        <v/>
      </c>
      <c r="N1433" s="62">
        <f>N1328*$A$68</f>
        <v/>
      </c>
      <c r="O1433" s="62">
        <f>O1328*$A$68</f>
        <v/>
      </c>
      <c r="P1433" s="62">
        <f>P1328*$A$68</f>
        <v/>
      </c>
      <c r="Q1433" s="62">
        <f>Q1328*$A$68</f>
        <v/>
      </c>
      <c r="R1433" s="62">
        <f>R1328*$A$68</f>
        <v/>
      </c>
      <c r="S1433" s="62">
        <f>S1328*$A$68</f>
        <v/>
      </c>
      <c r="T1433" s="62">
        <f>T1328*$A$68</f>
        <v/>
      </c>
      <c r="U1433" s="62">
        <f>U1328*$A$68</f>
        <v/>
      </c>
      <c r="V1433" s="62">
        <f>V1328*$A$68</f>
        <v/>
      </c>
    </row>
    <row r="1434">
      <c r="C1434" s="62">
        <f>C1329*$A$69</f>
        <v/>
      </c>
      <c r="D1434" s="62">
        <f>D1329*$A$69</f>
        <v/>
      </c>
      <c r="E1434" s="62">
        <f>E1329*$A$69</f>
        <v/>
      </c>
      <c r="F1434" s="62">
        <f>F1329*$A$69</f>
        <v/>
      </c>
      <c r="G1434" s="62">
        <f>G1329*$A$69</f>
        <v/>
      </c>
      <c r="H1434" s="62">
        <f>H1329*$A$69</f>
        <v/>
      </c>
      <c r="I1434" s="62">
        <f>I1329*$A$69</f>
        <v/>
      </c>
      <c r="J1434" s="62">
        <f>J1329*$A$69</f>
        <v/>
      </c>
      <c r="K1434" s="62">
        <f>K1329*$A$69</f>
        <v/>
      </c>
      <c r="L1434" s="62">
        <f>L1329*$A$69</f>
        <v/>
      </c>
      <c r="M1434" s="62">
        <f>M1329*$A$69</f>
        <v/>
      </c>
      <c r="N1434" s="62">
        <f>N1329*$A$69</f>
        <v/>
      </c>
      <c r="O1434" s="62">
        <f>O1329*$A$69</f>
        <v/>
      </c>
      <c r="P1434" s="62">
        <f>P1329*$A$69</f>
        <v/>
      </c>
      <c r="Q1434" s="62">
        <f>Q1329*$A$69</f>
        <v/>
      </c>
      <c r="R1434" s="62">
        <f>R1329*$A$69</f>
        <v/>
      </c>
      <c r="S1434" s="62">
        <f>S1329*$A$69</f>
        <v/>
      </c>
      <c r="T1434" s="62">
        <f>T1329*$A$69</f>
        <v/>
      </c>
      <c r="U1434" s="62">
        <f>U1329*$A$69</f>
        <v/>
      </c>
      <c r="V1434" s="62">
        <f>V1329*$A$69</f>
        <v/>
      </c>
    </row>
    <row r="1435">
      <c r="C1435" s="62">
        <f>C1330*$A$70</f>
        <v/>
      </c>
      <c r="D1435" s="62">
        <f>D1330*$A$70</f>
        <v/>
      </c>
      <c r="E1435" s="62">
        <f>E1330*$A$70</f>
        <v/>
      </c>
      <c r="F1435" s="62">
        <f>F1330*$A$70</f>
        <v/>
      </c>
      <c r="G1435" s="62">
        <f>G1330*$A$70</f>
        <v/>
      </c>
      <c r="H1435" s="62">
        <f>H1330*$A$70</f>
        <v/>
      </c>
      <c r="I1435" s="62">
        <f>I1330*$A$70</f>
        <v/>
      </c>
      <c r="J1435" s="62">
        <f>J1330*$A$70</f>
        <v/>
      </c>
      <c r="K1435" s="62">
        <f>K1330*$A$70</f>
        <v/>
      </c>
      <c r="L1435" s="62">
        <f>L1330*$A$70</f>
        <v/>
      </c>
      <c r="M1435" s="62">
        <f>M1330*$A$70</f>
        <v/>
      </c>
      <c r="N1435" s="62">
        <f>N1330*$A$70</f>
        <v/>
      </c>
      <c r="O1435" s="62">
        <f>O1330*$A$70</f>
        <v/>
      </c>
      <c r="P1435" s="62">
        <f>P1330*$A$70</f>
        <v/>
      </c>
      <c r="Q1435" s="62">
        <f>Q1330*$A$70</f>
        <v/>
      </c>
      <c r="R1435" s="62">
        <f>R1330*$A$70</f>
        <v/>
      </c>
      <c r="S1435" s="62">
        <f>S1330*$A$70</f>
        <v/>
      </c>
      <c r="T1435" s="62">
        <f>T1330*$A$70</f>
        <v/>
      </c>
      <c r="U1435" s="62">
        <f>U1330*$A$70</f>
        <v/>
      </c>
      <c r="V1435" s="62">
        <f>V1330*$A$70</f>
        <v/>
      </c>
    </row>
    <row r="1436">
      <c r="C1436" s="62">
        <f>C1331*$A$71</f>
        <v/>
      </c>
      <c r="D1436" s="62">
        <f>D1331*$A$71</f>
        <v/>
      </c>
      <c r="E1436" s="62">
        <f>E1331*$A$71</f>
        <v/>
      </c>
      <c r="F1436" s="62">
        <f>F1331*$A$71</f>
        <v/>
      </c>
      <c r="G1436" s="62">
        <f>G1331*$A$71</f>
        <v/>
      </c>
      <c r="H1436" s="62">
        <f>H1331*$A$71</f>
        <v/>
      </c>
      <c r="I1436" s="62">
        <f>I1331*$A$71</f>
        <v/>
      </c>
      <c r="J1436" s="62">
        <f>J1331*$A$71</f>
        <v/>
      </c>
      <c r="K1436" s="62">
        <f>K1331*$A$71</f>
        <v/>
      </c>
      <c r="L1436" s="62">
        <f>L1331*$A$71</f>
        <v/>
      </c>
      <c r="M1436" s="62">
        <f>M1331*$A$71</f>
        <v/>
      </c>
      <c r="N1436" s="62">
        <f>N1331*$A$71</f>
        <v/>
      </c>
      <c r="O1436" s="62">
        <f>O1331*$A$71</f>
        <v/>
      </c>
      <c r="P1436" s="62">
        <f>P1331*$A$71</f>
        <v/>
      </c>
      <c r="Q1436" s="62">
        <f>Q1331*$A$71</f>
        <v/>
      </c>
      <c r="R1436" s="62">
        <f>R1331*$A$71</f>
        <v/>
      </c>
      <c r="S1436" s="62">
        <f>S1331*$A$71</f>
        <v/>
      </c>
      <c r="T1436" s="62">
        <f>T1331*$A$71</f>
        <v/>
      </c>
      <c r="U1436" s="62">
        <f>U1331*$A$71</f>
        <v/>
      </c>
      <c r="V1436" s="62">
        <f>V1331*$A$71</f>
        <v/>
      </c>
    </row>
    <row r="1437">
      <c r="C1437" s="62">
        <f>C1332*$A$72</f>
        <v/>
      </c>
      <c r="D1437" s="62">
        <f>D1332*$A$72</f>
        <v/>
      </c>
      <c r="E1437" s="62">
        <f>E1332*$A$72</f>
        <v/>
      </c>
      <c r="F1437" s="62">
        <f>F1332*$A$72</f>
        <v/>
      </c>
      <c r="G1437" s="62">
        <f>G1332*$A$72</f>
        <v/>
      </c>
      <c r="H1437" s="62">
        <f>H1332*$A$72</f>
        <v/>
      </c>
      <c r="I1437" s="62">
        <f>I1332*$A$72</f>
        <v/>
      </c>
      <c r="J1437" s="62">
        <f>J1332*$A$72</f>
        <v/>
      </c>
      <c r="K1437" s="62">
        <f>K1332*$A$72</f>
        <v/>
      </c>
      <c r="L1437" s="62">
        <f>L1332*$A$72</f>
        <v/>
      </c>
      <c r="M1437" s="62">
        <f>M1332*$A$72</f>
        <v/>
      </c>
      <c r="N1437" s="62">
        <f>N1332*$A$72</f>
        <v/>
      </c>
      <c r="O1437" s="62">
        <f>O1332*$A$72</f>
        <v/>
      </c>
      <c r="P1437" s="62">
        <f>P1332*$A$72</f>
        <v/>
      </c>
      <c r="Q1437" s="62">
        <f>Q1332*$A$72</f>
        <v/>
      </c>
      <c r="R1437" s="62">
        <f>R1332*$A$72</f>
        <v/>
      </c>
      <c r="S1437" s="62">
        <f>S1332*$A$72</f>
        <v/>
      </c>
      <c r="T1437" s="62">
        <f>T1332*$A$72</f>
        <v/>
      </c>
      <c r="U1437" s="62">
        <f>U1332*$A$72</f>
        <v/>
      </c>
      <c r="V1437" s="62">
        <f>V1332*$A$72</f>
        <v/>
      </c>
    </row>
    <row r="1438">
      <c r="C1438" s="62">
        <f>C1333*$A$73</f>
        <v/>
      </c>
      <c r="D1438" s="62">
        <f>D1333*$A$73</f>
        <v/>
      </c>
      <c r="E1438" s="62">
        <f>E1333*$A$73</f>
        <v/>
      </c>
      <c r="F1438" s="62">
        <f>F1333*$A$73</f>
        <v/>
      </c>
      <c r="G1438" s="62">
        <f>G1333*$A$73</f>
        <v/>
      </c>
      <c r="H1438" s="62">
        <f>H1333*$A$73</f>
        <v/>
      </c>
      <c r="I1438" s="62">
        <f>I1333*$A$73</f>
        <v/>
      </c>
      <c r="J1438" s="62">
        <f>J1333*$A$73</f>
        <v/>
      </c>
      <c r="K1438" s="62">
        <f>K1333*$A$73</f>
        <v/>
      </c>
      <c r="L1438" s="62">
        <f>L1333*$A$73</f>
        <v/>
      </c>
      <c r="M1438" s="62">
        <f>M1333*$A$73</f>
        <v/>
      </c>
      <c r="N1438" s="62">
        <f>N1333*$A$73</f>
        <v/>
      </c>
      <c r="O1438" s="62">
        <f>O1333*$A$73</f>
        <v/>
      </c>
      <c r="P1438" s="62">
        <f>P1333*$A$73</f>
        <v/>
      </c>
      <c r="Q1438" s="62">
        <f>Q1333*$A$73</f>
        <v/>
      </c>
      <c r="R1438" s="62">
        <f>R1333*$A$73</f>
        <v/>
      </c>
      <c r="S1438" s="62">
        <f>S1333*$A$73</f>
        <v/>
      </c>
      <c r="T1438" s="62">
        <f>T1333*$A$73</f>
        <v/>
      </c>
      <c r="U1438" s="62">
        <f>U1333*$A$73</f>
        <v/>
      </c>
      <c r="V1438" s="62">
        <f>V1333*$A$73</f>
        <v/>
      </c>
    </row>
    <row r="1439">
      <c r="C1439" s="62">
        <f>C1334*$A$74</f>
        <v/>
      </c>
      <c r="D1439" s="62">
        <f>D1334*$A$74</f>
        <v/>
      </c>
      <c r="E1439" s="62">
        <f>E1334*$A$74</f>
        <v/>
      </c>
      <c r="F1439" s="62">
        <f>F1334*$A$74</f>
        <v/>
      </c>
      <c r="G1439" s="62">
        <f>G1334*$A$74</f>
        <v/>
      </c>
      <c r="H1439" s="62">
        <f>H1334*$A$74</f>
        <v/>
      </c>
      <c r="I1439" s="62">
        <f>I1334*$A$74</f>
        <v/>
      </c>
      <c r="J1439" s="62">
        <f>J1334*$A$74</f>
        <v/>
      </c>
      <c r="K1439" s="62">
        <f>K1334*$A$74</f>
        <v/>
      </c>
      <c r="L1439" s="62">
        <f>L1334*$A$74</f>
        <v/>
      </c>
      <c r="M1439" s="62">
        <f>M1334*$A$74</f>
        <v/>
      </c>
      <c r="N1439" s="62">
        <f>N1334*$A$74</f>
        <v/>
      </c>
      <c r="O1439" s="62">
        <f>O1334*$A$74</f>
        <v/>
      </c>
      <c r="P1439" s="62">
        <f>P1334*$A$74</f>
        <v/>
      </c>
      <c r="Q1439" s="62">
        <f>Q1334*$A$74</f>
        <v/>
      </c>
      <c r="R1439" s="62">
        <f>R1334*$A$74</f>
        <v/>
      </c>
      <c r="S1439" s="62">
        <f>S1334*$A$74</f>
        <v/>
      </c>
      <c r="T1439" s="62">
        <f>T1334*$A$74</f>
        <v/>
      </c>
      <c r="U1439" s="62">
        <f>U1334*$A$74</f>
        <v/>
      </c>
      <c r="V1439" s="62">
        <f>V1334*$A$74</f>
        <v/>
      </c>
    </row>
    <row r="1440">
      <c r="C1440" s="62">
        <f>C1335*$A$75</f>
        <v/>
      </c>
      <c r="D1440" s="62">
        <f>D1335*$A$75</f>
        <v/>
      </c>
      <c r="E1440" s="62">
        <f>E1335*$A$75</f>
        <v/>
      </c>
      <c r="F1440" s="62">
        <f>F1335*$A$75</f>
        <v/>
      </c>
      <c r="G1440" s="62">
        <f>G1335*$A$75</f>
        <v/>
      </c>
      <c r="H1440" s="62">
        <f>H1335*$A$75</f>
        <v/>
      </c>
      <c r="I1440" s="62">
        <f>I1335*$A$75</f>
        <v/>
      </c>
      <c r="J1440" s="62">
        <f>J1335*$A$75</f>
        <v/>
      </c>
      <c r="K1440" s="62">
        <f>K1335*$A$75</f>
        <v/>
      </c>
      <c r="L1440" s="62">
        <f>L1335*$A$75</f>
        <v/>
      </c>
      <c r="M1440" s="62">
        <f>M1335*$A$75</f>
        <v/>
      </c>
      <c r="N1440" s="62">
        <f>N1335*$A$75</f>
        <v/>
      </c>
      <c r="O1440" s="62">
        <f>O1335*$A$75</f>
        <v/>
      </c>
      <c r="P1440" s="62">
        <f>P1335*$A$75</f>
        <v/>
      </c>
      <c r="Q1440" s="62">
        <f>Q1335*$A$75</f>
        <v/>
      </c>
      <c r="R1440" s="62">
        <f>R1335*$A$75</f>
        <v/>
      </c>
      <c r="S1440" s="62">
        <f>S1335*$A$75</f>
        <v/>
      </c>
      <c r="T1440" s="62">
        <f>T1335*$A$75</f>
        <v/>
      </c>
      <c r="U1440" s="62">
        <f>U1335*$A$75</f>
        <v/>
      </c>
      <c r="V1440" s="62">
        <f>V1335*$A$75</f>
        <v/>
      </c>
    </row>
    <row r="1441">
      <c r="C1441" s="62">
        <f>C1336*$A$76</f>
        <v/>
      </c>
      <c r="D1441" s="62">
        <f>D1336*$A$76</f>
        <v/>
      </c>
      <c r="E1441" s="62">
        <f>E1336*$A$76</f>
        <v/>
      </c>
      <c r="F1441" s="62">
        <f>F1336*$A$76</f>
        <v/>
      </c>
      <c r="G1441" s="62">
        <f>G1336*$A$76</f>
        <v/>
      </c>
      <c r="H1441" s="62">
        <f>H1336*$A$76</f>
        <v/>
      </c>
      <c r="I1441" s="62">
        <f>I1336*$A$76</f>
        <v/>
      </c>
      <c r="J1441" s="62">
        <f>J1336*$A$76</f>
        <v/>
      </c>
      <c r="K1441" s="62">
        <f>K1336*$A$76</f>
        <v/>
      </c>
      <c r="L1441" s="62">
        <f>L1336*$A$76</f>
        <v/>
      </c>
      <c r="M1441" s="62">
        <f>M1336*$A$76</f>
        <v/>
      </c>
      <c r="N1441" s="62">
        <f>N1336*$A$76</f>
        <v/>
      </c>
      <c r="O1441" s="62">
        <f>O1336*$A$76</f>
        <v/>
      </c>
      <c r="P1441" s="62">
        <f>P1336*$A$76</f>
        <v/>
      </c>
      <c r="Q1441" s="62">
        <f>Q1336*$A$76</f>
        <v/>
      </c>
      <c r="R1441" s="62">
        <f>R1336*$A$76</f>
        <v/>
      </c>
      <c r="S1441" s="62">
        <f>S1336*$A$76</f>
        <v/>
      </c>
      <c r="T1441" s="62">
        <f>T1336*$A$76</f>
        <v/>
      </c>
      <c r="U1441" s="62">
        <f>U1336*$A$76</f>
        <v/>
      </c>
      <c r="V1441" s="62">
        <f>V1336*$A$76</f>
        <v/>
      </c>
    </row>
    <row r="1442">
      <c r="C1442" s="62">
        <f>C1337*$A$77</f>
        <v/>
      </c>
      <c r="D1442" s="62">
        <f>D1337*$A$77</f>
        <v/>
      </c>
      <c r="E1442" s="62">
        <f>E1337*$A$77</f>
        <v/>
      </c>
      <c r="F1442" s="62">
        <f>F1337*$A$77</f>
        <v/>
      </c>
      <c r="G1442" s="62">
        <f>G1337*$A$77</f>
        <v/>
      </c>
      <c r="H1442" s="62">
        <f>H1337*$A$77</f>
        <v/>
      </c>
      <c r="I1442" s="62">
        <f>I1337*$A$77</f>
        <v/>
      </c>
      <c r="J1442" s="62">
        <f>J1337*$A$77</f>
        <v/>
      </c>
      <c r="K1442" s="62">
        <f>K1337*$A$77</f>
        <v/>
      </c>
      <c r="L1442" s="62">
        <f>L1337*$A$77</f>
        <v/>
      </c>
      <c r="M1442" s="62">
        <f>M1337*$A$77</f>
        <v/>
      </c>
      <c r="N1442" s="62">
        <f>N1337*$A$77</f>
        <v/>
      </c>
      <c r="O1442" s="62">
        <f>O1337*$A$77</f>
        <v/>
      </c>
      <c r="P1442" s="62">
        <f>P1337*$A$77</f>
        <v/>
      </c>
      <c r="Q1442" s="62">
        <f>Q1337*$A$77</f>
        <v/>
      </c>
      <c r="R1442" s="62">
        <f>R1337*$A$77</f>
        <v/>
      </c>
      <c r="S1442" s="62">
        <f>S1337*$A$77</f>
        <v/>
      </c>
      <c r="T1442" s="62">
        <f>T1337*$A$77</f>
        <v/>
      </c>
      <c r="U1442" s="62">
        <f>U1337*$A$77</f>
        <v/>
      </c>
      <c r="V1442" s="62">
        <f>V1337*$A$77</f>
        <v/>
      </c>
    </row>
    <row r="1443">
      <c r="C1443" s="62">
        <f>C1338*$A$78</f>
        <v/>
      </c>
      <c r="D1443" s="62">
        <f>D1338*$A$78</f>
        <v/>
      </c>
      <c r="E1443" s="62">
        <f>E1338*$A$78</f>
        <v/>
      </c>
      <c r="F1443" s="62">
        <f>F1338*$A$78</f>
        <v/>
      </c>
      <c r="G1443" s="62">
        <f>G1338*$A$78</f>
        <v/>
      </c>
      <c r="H1443" s="62">
        <f>H1338*$A$78</f>
        <v/>
      </c>
      <c r="I1443" s="62">
        <f>I1338*$A$78</f>
        <v/>
      </c>
      <c r="J1443" s="62">
        <f>J1338*$A$78</f>
        <v/>
      </c>
      <c r="K1443" s="62">
        <f>K1338*$A$78</f>
        <v/>
      </c>
      <c r="L1443" s="62">
        <f>L1338*$A$78</f>
        <v/>
      </c>
      <c r="M1443" s="62">
        <f>M1338*$A$78</f>
        <v/>
      </c>
      <c r="N1443" s="62">
        <f>N1338*$A$78</f>
        <v/>
      </c>
      <c r="O1443" s="62">
        <f>O1338*$A$78</f>
        <v/>
      </c>
      <c r="P1443" s="62">
        <f>P1338*$A$78</f>
        <v/>
      </c>
      <c r="Q1443" s="62">
        <f>Q1338*$A$78</f>
        <v/>
      </c>
      <c r="R1443" s="62">
        <f>R1338*$A$78</f>
        <v/>
      </c>
      <c r="S1443" s="62">
        <f>S1338*$A$78</f>
        <v/>
      </c>
      <c r="T1443" s="62">
        <f>T1338*$A$78</f>
        <v/>
      </c>
      <c r="U1443" s="62">
        <f>U1338*$A$78</f>
        <v/>
      </c>
      <c r="V1443" s="62">
        <f>V1338*$A$78</f>
        <v/>
      </c>
    </row>
    <row r="1444">
      <c r="C1444" s="62">
        <f>C1339*$A$79</f>
        <v/>
      </c>
      <c r="D1444" s="62">
        <f>D1339*$A$79</f>
        <v/>
      </c>
      <c r="E1444" s="62">
        <f>E1339*$A$79</f>
        <v/>
      </c>
      <c r="F1444" s="62">
        <f>F1339*$A$79</f>
        <v/>
      </c>
      <c r="G1444" s="62">
        <f>G1339*$A$79</f>
        <v/>
      </c>
      <c r="H1444" s="62">
        <f>H1339*$A$79</f>
        <v/>
      </c>
      <c r="I1444" s="62">
        <f>I1339*$A$79</f>
        <v/>
      </c>
      <c r="J1444" s="62">
        <f>J1339*$A$79</f>
        <v/>
      </c>
      <c r="K1444" s="62">
        <f>K1339*$A$79</f>
        <v/>
      </c>
      <c r="L1444" s="62">
        <f>L1339*$A$79</f>
        <v/>
      </c>
      <c r="M1444" s="62">
        <f>M1339*$A$79</f>
        <v/>
      </c>
      <c r="N1444" s="62">
        <f>N1339*$A$79</f>
        <v/>
      </c>
      <c r="O1444" s="62">
        <f>O1339*$A$79</f>
        <v/>
      </c>
      <c r="P1444" s="62">
        <f>P1339*$A$79</f>
        <v/>
      </c>
      <c r="Q1444" s="62">
        <f>Q1339*$A$79</f>
        <v/>
      </c>
      <c r="R1444" s="62">
        <f>R1339*$A$79</f>
        <v/>
      </c>
      <c r="S1444" s="62">
        <f>S1339*$A$79</f>
        <v/>
      </c>
      <c r="T1444" s="62">
        <f>T1339*$A$79</f>
        <v/>
      </c>
      <c r="U1444" s="62">
        <f>U1339*$A$79</f>
        <v/>
      </c>
      <c r="V1444" s="62">
        <f>V1339*$A$79</f>
        <v/>
      </c>
    </row>
    <row r="1445">
      <c r="C1445" s="62">
        <f>C1340*$A$80</f>
        <v/>
      </c>
      <c r="D1445" s="62">
        <f>D1340*$A$80</f>
        <v/>
      </c>
      <c r="E1445" s="62">
        <f>E1340*$A$80</f>
        <v/>
      </c>
      <c r="F1445" s="62">
        <f>F1340*$A$80</f>
        <v/>
      </c>
      <c r="G1445" s="62">
        <f>G1340*$A$80</f>
        <v/>
      </c>
      <c r="H1445" s="62">
        <f>H1340*$A$80</f>
        <v/>
      </c>
      <c r="I1445" s="62">
        <f>I1340*$A$80</f>
        <v/>
      </c>
      <c r="J1445" s="62">
        <f>J1340*$A$80</f>
        <v/>
      </c>
      <c r="K1445" s="62">
        <f>K1340*$A$80</f>
        <v/>
      </c>
      <c r="L1445" s="62">
        <f>L1340*$A$80</f>
        <v/>
      </c>
      <c r="M1445" s="62">
        <f>M1340*$A$80</f>
        <v/>
      </c>
      <c r="N1445" s="62">
        <f>N1340*$A$80</f>
        <v/>
      </c>
      <c r="O1445" s="62">
        <f>O1340*$A$80</f>
        <v/>
      </c>
      <c r="P1445" s="62">
        <f>P1340*$A$80</f>
        <v/>
      </c>
      <c r="Q1445" s="62">
        <f>Q1340*$A$80</f>
        <v/>
      </c>
      <c r="R1445" s="62">
        <f>R1340*$A$80</f>
        <v/>
      </c>
      <c r="S1445" s="62">
        <f>S1340*$A$80</f>
        <v/>
      </c>
      <c r="T1445" s="62">
        <f>T1340*$A$80</f>
        <v/>
      </c>
      <c r="U1445" s="62">
        <f>U1340*$A$80</f>
        <v/>
      </c>
      <c r="V1445" s="62">
        <f>V1340*$A$80</f>
        <v/>
      </c>
    </row>
    <row r="1446">
      <c r="C1446" s="62">
        <f>C1341*$A$81</f>
        <v/>
      </c>
      <c r="D1446" s="62">
        <f>D1341*$A$81</f>
        <v/>
      </c>
      <c r="E1446" s="62">
        <f>E1341*$A$81</f>
        <v/>
      </c>
      <c r="F1446" s="62">
        <f>F1341*$A$81</f>
        <v/>
      </c>
      <c r="G1446" s="62">
        <f>G1341*$A$81</f>
        <v/>
      </c>
      <c r="H1446" s="62">
        <f>H1341*$A$81</f>
        <v/>
      </c>
      <c r="I1446" s="62">
        <f>I1341*$A$81</f>
        <v/>
      </c>
      <c r="J1446" s="62">
        <f>J1341*$A$81</f>
        <v/>
      </c>
      <c r="K1446" s="62">
        <f>K1341*$A$81</f>
        <v/>
      </c>
      <c r="L1446" s="62">
        <f>L1341*$A$81</f>
        <v/>
      </c>
      <c r="M1446" s="62">
        <f>M1341*$A$81</f>
        <v/>
      </c>
      <c r="N1446" s="62">
        <f>N1341*$A$81</f>
        <v/>
      </c>
      <c r="O1446" s="62">
        <f>O1341*$A$81</f>
        <v/>
      </c>
      <c r="P1446" s="62">
        <f>P1341*$A$81</f>
        <v/>
      </c>
      <c r="Q1446" s="62">
        <f>Q1341*$A$81</f>
        <v/>
      </c>
      <c r="R1446" s="62">
        <f>R1341*$A$81</f>
        <v/>
      </c>
      <c r="S1446" s="62">
        <f>S1341*$A$81</f>
        <v/>
      </c>
      <c r="T1446" s="62">
        <f>T1341*$A$81</f>
        <v/>
      </c>
      <c r="U1446" s="62">
        <f>U1341*$A$81</f>
        <v/>
      </c>
      <c r="V1446" s="62">
        <f>V1341*$A$81</f>
        <v/>
      </c>
    </row>
    <row r="1447">
      <c r="C1447" s="62">
        <f>C1342*$A$82</f>
        <v/>
      </c>
      <c r="D1447" s="62">
        <f>D1342*$A$82</f>
        <v/>
      </c>
      <c r="E1447" s="62">
        <f>E1342*$A$82</f>
        <v/>
      </c>
      <c r="F1447" s="62">
        <f>F1342*$A$82</f>
        <v/>
      </c>
      <c r="G1447" s="62">
        <f>G1342*$A$82</f>
        <v/>
      </c>
      <c r="H1447" s="62">
        <f>H1342*$A$82</f>
        <v/>
      </c>
      <c r="I1447" s="62">
        <f>I1342*$A$82</f>
        <v/>
      </c>
      <c r="J1447" s="62">
        <f>J1342*$A$82</f>
        <v/>
      </c>
      <c r="K1447" s="62">
        <f>K1342*$A$82</f>
        <v/>
      </c>
      <c r="L1447" s="62">
        <f>L1342*$A$82</f>
        <v/>
      </c>
      <c r="M1447" s="62">
        <f>M1342*$A$82</f>
        <v/>
      </c>
      <c r="N1447" s="62">
        <f>N1342*$A$82</f>
        <v/>
      </c>
      <c r="O1447" s="62">
        <f>O1342*$A$82</f>
        <v/>
      </c>
      <c r="P1447" s="62">
        <f>P1342*$A$82</f>
        <v/>
      </c>
      <c r="Q1447" s="62">
        <f>Q1342*$A$82</f>
        <v/>
      </c>
      <c r="R1447" s="62">
        <f>R1342*$A$82</f>
        <v/>
      </c>
      <c r="S1447" s="62">
        <f>S1342*$A$82</f>
        <v/>
      </c>
      <c r="T1447" s="62">
        <f>T1342*$A$82</f>
        <v/>
      </c>
      <c r="U1447" s="62">
        <f>U1342*$A$82</f>
        <v/>
      </c>
      <c r="V1447" s="62">
        <f>V1342*$A$82</f>
        <v/>
      </c>
    </row>
    <row r="1448">
      <c r="C1448" s="62">
        <f>C1343*$A$83</f>
        <v/>
      </c>
      <c r="D1448" s="62">
        <f>D1343*$A$83</f>
        <v/>
      </c>
      <c r="E1448" s="62">
        <f>E1343*$A$83</f>
        <v/>
      </c>
      <c r="F1448" s="62">
        <f>F1343*$A$83</f>
        <v/>
      </c>
      <c r="G1448" s="62">
        <f>G1343*$A$83</f>
        <v/>
      </c>
      <c r="H1448" s="62">
        <f>H1343*$A$83</f>
        <v/>
      </c>
      <c r="I1448" s="62">
        <f>I1343*$A$83</f>
        <v/>
      </c>
      <c r="J1448" s="62">
        <f>J1343*$A$83</f>
        <v/>
      </c>
      <c r="K1448" s="62">
        <f>K1343*$A$83</f>
        <v/>
      </c>
      <c r="L1448" s="62">
        <f>L1343*$A$83</f>
        <v/>
      </c>
      <c r="M1448" s="62">
        <f>M1343*$A$83</f>
        <v/>
      </c>
      <c r="N1448" s="62">
        <f>N1343*$A$83</f>
        <v/>
      </c>
      <c r="O1448" s="62">
        <f>O1343*$A$83</f>
        <v/>
      </c>
      <c r="P1448" s="62">
        <f>P1343*$A$83</f>
        <v/>
      </c>
      <c r="Q1448" s="62">
        <f>Q1343*$A$83</f>
        <v/>
      </c>
      <c r="R1448" s="62">
        <f>R1343*$A$83</f>
        <v/>
      </c>
      <c r="S1448" s="62">
        <f>S1343*$A$83</f>
        <v/>
      </c>
      <c r="T1448" s="62">
        <f>T1343*$A$83</f>
        <v/>
      </c>
      <c r="U1448" s="62">
        <f>U1343*$A$83</f>
        <v/>
      </c>
      <c r="V1448" s="62">
        <f>V1343*$A$83</f>
        <v/>
      </c>
    </row>
    <row r="1449">
      <c r="C1449" s="62">
        <f>C1344*$A$84</f>
        <v/>
      </c>
      <c r="D1449" s="62">
        <f>D1344*$A$84</f>
        <v/>
      </c>
      <c r="E1449" s="62">
        <f>E1344*$A$84</f>
        <v/>
      </c>
      <c r="F1449" s="62">
        <f>F1344*$A$84</f>
        <v/>
      </c>
      <c r="G1449" s="62">
        <f>G1344*$A$84</f>
        <v/>
      </c>
      <c r="H1449" s="62">
        <f>H1344*$A$84</f>
        <v/>
      </c>
      <c r="I1449" s="62">
        <f>I1344*$A$84</f>
        <v/>
      </c>
      <c r="J1449" s="62">
        <f>J1344*$A$84</f>
        <v/>
      </c>
      <c r="K1449" s="62">
        <f>K1344*$A$84</f>
        <v/>
      </c>
      <c r="L1449" s="62">
        <f>L1344*$A$84</f>
        <v/>
      </c>
      <c r="M1449" s="62">
        <f>M1344*$A$84</f>
        <v/>
      </c>
      <c r="N1449" s="62">
        <f>N1344*$A$84</f>
        <v/>
      </c>
      <c r="O1449" s="62">
        <f>O1344*$A$84</f>
        <v/>
      </c>
      <c r="P1449" s="62">
        <f>P1344*$A$84</f>
        <v/>
      </c>
      <c r="Q1449" s="62">
        <f>Q1344*$A$84</f>
        <v/>
      </c>
      <c r="R1449" s="62">
        <f>R1344*$A$84</f>
        <v/>
      </c>
      <c r="S1449" s="62">
        <f>S1344*$A$84</f>
        <v/>
      </c>
      <c r="T1449" s="62">
        <f>T1344*$A$84</f>
        <v/>
      </c>
      <c r="U1449" s="62">
        <f>U1344*$A$84</f>
        <v/>
      </c>
      <c r="V1449" s="62">
        <f>V1344*$A$84</f>
        <v/>
      </c>
    </row>
    <row r="1450">
      <c r="C1450" s="62">
        <f>C1345*$A$85</f>
        <v/>
      </c>
      <c r="D1450" s="62">
        <f>D1345*$A$85</f>
        <v/>
      </c>
      <c r="E1450" s="62">
        <f>E1345*$A$85</f>
        <v/>
      </c>
      <c r="F1450" s="62">
        <f>F1345*$A$85</f>
        <v/>
      </c>
      <c r="G1450" s="62">
        <f>G1345*$A$85</f>
        <v/>
      </c>
      <c r="H1450" s="62">
        <f>H1345*$A$85</f>
        <v/>
      </c>
      <c r="I1450" s="62">
        <f>I1345*$A$85</f>
        <v/>
      </c>
      <c r="J1450" s="62">
        <f>J1345*$A$85</f>
        <v/>
      </c>
      <c r="K1450" s="62">
        <f>K1345*$A$85</f>
        <v/>
      </c>
      <c r="L1450" s="62">
        <f>L1345*$A$85</f>
        <v/>
      </c>
      <c r="M1450" s="62">
        <f>M1345*$A$85</f>
        <v/>
      </c>
      <c r="N1450" s="62">
        <f>N1345*$A$85</f>
        <v/>
      </c>
      <c r="O1450" s="62">
        <f>O1345*$A$85</f>
        <v/>
      </c>
      <c r="P1450" s="62">
        <f>P1345*$A$85</f>
        <v/>
      </c>
      <c r="Q1450" s="62">
        <f>Q1345*$A$85</f>
        <v/>
      </c>
      <c r="R1450" s="62">
        <f>R1345*$A$85</f>
        <v/>
      </c>
      <c r="S1450" s="62">
        <f>S1345*$A$85</f>
        <v/>
      </c>
      <c r="T1450" s="62">
        <f>T1345*$A$85</f>
        <v/>
      </c>
      <c r="U1450" s="62">
        <f>U1345*$A$85</f>
        <v/>
      </c>
      <c r="V1450" s="62">
        <f>V1345*$A$85</f>
        <v/>
      </c>
    </row>
    <row r="1451">
      <c r="C1451" s="62">
        <f>C1346*$A$86</f>
        <v/>
      </c>
      <c r="D1451" s="62">
        <f>D1346*$A$86</f>
        <v/>
      </c>
      <c r="E1451" s="62">
        <f>E1346*$A$86</f>
        <v/>
      </c>
      <c r="F1451" s="62">
        <f>F1346*$A$86</f>
        <v/>
      </c>
      <c r="G1451" s="62">
        <f>G1346*$A$86</f>
        <v/>
      </c>
      <c r="H1451" s="62">
        <f>H1346*$A$86</f>
        <v/>
      </c>
      <c r="I1451" s="62">
        <f>I1346*$A$86</f>
        <v/>
      </c>
      <c r="J1451" s="62">
        <f>J1346*$A$86</f>
        <v/>
      </c>
      <c r="K1451" s="62">
        <f>K1346*$A$86</f>
        <v/>
      </c>
      <c r="L1451" s="62">
        <f>L1346*$A$86</f>
        <v/>
      </c>
      <c r="M1451" s="62">
        <f>M1346*$A$86</f>
        <v/>
      </c>
      <c r="N1451" s="62">
        <f>N1346*$A$86</f>
        <v/>
      </c>
      <c r="O1451" s="62">
        <f>O1346*$A$86</f>
        <v/>
      </c>
      <c r="P1451" s="62">
        <f>P1346*$A$86</f>
        <v/>
      </c>
      <c r="Q1451" s="62">
        <f>Q1346*$A$86</f>
        <v/>
      </c>
      <c r="R1451" s="62">
        <f>R1346*$A$86</f>
        <v/>
      </c>
      <c r="S1451" s="62">
        <f>S1346*$A$86</f>
        <v/>
      </c>
      <c r="T1451" s="62">
        <f>T1346*$A$86</f>
        <v/>
      </c>
      <c r="U1451" s="62">
        <f>U1346*$A$86</f>
        <v/>
      </c>
      <c r="V1451" s="62">
        <f>V1346*$A$86</f>
        <v/>
      </c>
    </row>
    <row r="1452">
      <c r="C1452" s="62">
        <f>C1347*$A$87</f>
        <v/>
      </c>
      <c r="D1452" s="62">
        <f>D1347*$A$87</f>
        <v/>
      </c>
      <c r="E1452" s="62">
        <f>E1347*$A$87</f>
        <v/>
      </c>
      <c r="F1452" s="62">
        <f>F1347*$A$87</f>
        <v/>
      </c>
      <c r="G1452" s="62">
        <f>G1347*$A$87</f>
        <v/>
      </c>
      <c r="H1452" s="62">
        <f>H1347*$A$87</f>
        <v/>
      </c>
      <c r="I1452" s="62">
        <f>I1347*$A$87</f>
        <v/>
      </c>
      <c r="J1452" s="62">
        <f>J1347*$A$87</f>
        <v/>
      </c>
      <c r="K1452" s="62">
        <f>K1347*$A$87</f>
        <v/>
      </c>
      <c r="L1452" s="62">
        <f>L1347*$A$87</f>
        <v/>
      </c>
      <c r="M1452" s="62">
        <f>M1347*$A$87</f>
        <v/>
      </c>
      <c r="N1452" s="62">
        <f>N1347*$A$87</f>
        <v/>
      </c>
      <c r="O1452" s="62">
        <f>O1347*$A$87</f>
        <v/>
      </c>
      <c r="P1452" s="62">
        <f>P1347*$A$87</f>
        <v/>
      </c>
      <c r="Q1452" s="62">
        <f>Q1347*$A$87</f>
        <v/>
      </c>
      <c r="R1452" s="62">
        <f>R1347*$A$87</f>
        <v/>
      </c>
      <c r="S1452" s="62">
        <f>S1347*$A$87</f>
        <v/>
      </c>
      <c r="T1452" s="62">
        <f>T1347*$A$87</f>
        <v/>
      </c>
      <c r="U1452" s="62">
        <f>U1347*$A$87</f>
        <v/>
      </c>
      <c r="V1452" s="62">
        <f>V1347*$A$87</f>
        <v/>
      </c>
    </row>
    <row r="1453">
      <c r="C1453" s="62">
        <f>C1348*$A$88</f>
        <v/>
      </c>
      <c r="D1453" s="62">
        <f>D1348*$A$88</f>
        <v/>
      </c>
      <c r="E1453" s="62">
        <f>E1348*$A$88</f>
        <v/>
      </c>
      <c r="F1453" s="62">
        <f>F1348*$A$88</f>
        <v/>
      </c>
      <c r="G1453" s="62">
        <f>G1348*$A$88</f>
        <v/>
      </c>
      <c r="H1453" s="62">
        <f>H1348*$A$88</f>
        <v/>
      </c>
      <c r="I1453" s="62">
        <f>I1348*$A$88</f>
        <v/>
      </c>
      <c r="J1453" s="62">
        <f>J1348*$A$88</f>
        <v/>
      </c>
      <c r="K1453" s="62">
        <f>K1348*$A$88</f>
        <v/>
      </c>
      <c r="L1453" s="62">
        <f>L1348*$A$88</f>
        <v/>
      </c>
      <c r="M1453" s="62">
        <f>M1348*$A$88</f>
        <v/>
      </c>
      <c r="N1453" s="62">
        <f>N1348*$A$88</f>
        <v/>
      </c>
      <c r="O1453" s="62">
        <f>O1348*$A$88</f>
        <v/>
      </c>
      <c r="P1453" s="62">
        <f>P1348*$A$88</f>
        <v/>
      </c>
      <c r="Q1453" s="62">
        <f>Q1348*$A$88</f>
        <v/>
      </c>
      <c r="R1453" s="62">
        <f>R1348*$A$88</f>
        <v/>
      </c>
      <c r="S1453" s="62">
        <f>S1348*$A$88</f>
        <v/>
      </c>
      <c r="T1453" s="62">
        <f>T1348*$A$88</f>
        <v/>
      </c>
      <c r="U1453" s="62">
        <f>U1348*$A$88</f>
        <v/>
      </c>
      <c r="V1453" s="62">
        <f>V1348*$A$88</f>
        <v/>
      </c>
    </row>
    <row r="1454">
      <c r="C1454" s="62">
        <f>C1349*$A$89</f>
        <v/>
      </c>
      <c r="D1454" s="62">
        <f>D1349*$A$89</f>
        <v/>
      </c>
      <c r="E1454" s="62">
        <f>E1349*$A$89</f>
        <v/>
      </c>
      <c r="F1454" s="62">
        <f>F1349*$A$89</f>
        <v/>
      </c>
      <c r="G1454" s="62">
        <f>G1349*$A$89</f>
        <v/>
      </c>
      <c r="H1454" s="62">
        <f>H1349*$A$89</f>
        <v/>
      </c>
      <c r="I1454" s="62">
        <f>I1349*$A$89</f>
        <v/>
      </c>
      <c r="J1454" s="62">
        <f>J1349*$A$89</f>
        <v/>
      </c>
      <c r="K1454" s="62">
        <f>K1349*$A$89</f>
        <v/>
      </c>
      <c r="L1454" s="62">
        <f>L1349*$A$89</f>
        <v/>
      </c>
      <c r="M1454" s="62">
        <f>M1349*$A$89</f>
        <v/>
      </c>
      <c r="N1454" s="62">
        <f>N1349*$A$89</f>
        <v/>
      </c>
      <c r="O1454" s="62">
        <f>O1349*$A$89</f>
        <v/>
      </c>
      <c r="P1454" s="62">
        <f>P1349*$A$89</f>
        <v/>
      </c>
      <c r="Q1454" s="62">
        <f>Q1349*$A$89</f>
        <v/>
      </c>
      <c r="R1454" s="62">
        <f>R1349*$A$89</f>
        <v/>
      </c>
      <c r="S1454" s="62">
        <f>S1349*$A$89</f>
        <v/>
      </c>
      <c r="T1454" s="62">
        <f>T1349*$A$89</f>
        <v/>
      </c>
      <c r="U1454" s="62">
        <f>U1349*$A$89</f>
        <v/>
      </c>
      <c r="V1454" s="62">
        <f>V1349*$A$89</f>
        <v/>
      </c>
    </row>
    <row r="1455">
      <c r="C1455" s="62">
        <f>C1350*$A$90</f>
        <v/>
      </c>
      <c r="D1455" s="62">
        <f>D1350*$A$90</f>
        <v/>
      </c>
      <c r="E1455" s="62">
        <f>E1350*$A$90</f>
        <v/>
      </c>
      <c r="F1455" s="62">
        <f>F1350*$A$90</f>
        <v/>
      </c>
      <c r="G1455" s="62">
        <f>G1350*$A$90</f>
        <v/>
      </c>
      <c r="H1455" s="62">
        <f>H1350*$A$90</f>
        <v/>
      </c>
      <c r="I1455" s="62">
        <f>I1350*$A$90</f>
        <v/>
      </c>
      <c r="J1455" s="62">
        <f>J1350*$A$90</f>
        <v/>
      </c>
      <c r="K1455" s="62">
        <f>K1350*$A$90</f>
        <v/>
      </c>
      <c r="L1455" s="62">
        <f>L1350*$A$90</f>
        <v/>
      </c>
      <c r="M1455" s="62">
        <f>M1350*$A$90</f>
        <v/>
      </c>
      <c r="N1455" s="62">
        <f>N1350*$A$90</f>
        <v/>
      </c>
      <c r="O1455" s="62">
        <f>O1350*$A$90</f>
        <v/>
      </c>
      <c r="P1455" s="62">
        <f>P1350*$A$90</f>
        <v/>
      </c>
      <c r="Q1455" s="62">
        <f>Q1350*$A$90</f>
        <v/>
      </c>
      <c r="R1455" s="62">
        <f>R1350*$A$90</f>
        <v/>
      </c>
      <c r="S1455" s="62">
        <f>S1350*$A$90</f>
        <v/>
      </c>
      <c r="T1455" s="62">
        <f>T1350*$A$90</f>
        <v/>
      </c>
      <c r="U1455" s="62">
        <f>U1350*$A$90</f>
        <v/>
      </c>
      <c r="V1455" s="62">
        <f>V1350*$A$90</f>
        <v/>
      </c>
    </row>
    <row r="1456">
      <c r="C1456" s="62">
        <f>C1351*$A$91</f>
        <v/>
      </c>
      <c r="D1456" s="62">
        <f>D1351*$A$91</f>
        <v/>
      </c>
      <c r="E1456" s="62">
        <f>E1351*$A$91</f>
        <v/>
      </c>
      <c r="F1456" s="62">
        <f>F1351*$A$91</f>
        <v/>
      </c>
      <c r="G1456" s="62">
        <f>G1351*$A$91</f>
        <v/>
      </c>
      <c r="H1456" s="62">
        <f>H1351*$A$91</f>
        <v/>
      </c>
      <c r="I1456" s="62">
        <f>I1351*$A$91</f>
        <v/>
      </c>
      <c r="J1456" s="62">
        <f>J1351*$A$91</f>
        <v/>
      </c>
      <c r="K1456" s="62">
        <f>K1351*$A$91</f>
        <v/>
      </c>
      <c r="L1456" s="62">
        <f>L1351*$A$91</f>
        <v/>
      </c>
      <c r="M1456" s="62">
        <f>M1351*$A$91</f>
        <v/>
      </c>
      <c r="N1456" s="62">
        <f>N1351*$A$91</f>
        <v/>
      </c>
      <c r="O1456" s="62">
        <f>O1351*$A$91</f>
        <v/>
      </c>
      <c r="P1456" s="62">
        <f>P1351*$A$91</f>
        <v/>
      </c>
      <c r="Q1456" s="62">
        <f>Q1351*$A$91</f>
        <v/>
      </c>
      <c r="R1456" s="62">
        <f>R1351*$A$91</f>
        <v/>
      </c>
      <c r="S1456" s="62">
        <f>S1351*$A$91</f>
        <v/>
      </c>
      <c r="T1456" s="62">
        <f>T1351*$A$91</f>
        <v/>
      </c>
      <c r="U1456" s="62">
        <f>U1351*$A$91</f>
        <v/>
      </c>
      <c r="V1456" s="62">
        <f>V1351*$A$91</f>
        <v/>
      </c>
    </row>
    <row r="1457">
      <c r="C1457" s="62">
        <f>C1352*$A$92</f>
        <v/>
      </c>
      <c r="D1457" s="62">
        <f>D1352*$A$92</f>
        <v/>
      </c>
      <c r="E1457" s="62">
        <f>E1352*$A$92</f>
        <v/>
      </c>
      <c r="F1457" s="62">
        <f>F1352*$A$92</f>
        <v/>
      </c>
      <c r="G1457" s="62">
        <f>G1352*$A$92</f>
        <v/>
      </c>
      <c r="H1457" s="62">
        <f>H1352*$A$92</f>
        <v/>
      </c>
      <c r="I1457" s="62">
        <f>I1352*$A$92</f>
        <v/>
      </c>
      <c r="J1457" s="62">
        <f>J1352*$A$92</f>
        <v/>
      </c>
      <c r="K1457" s="62">
        <f>K1352*$A$92</f>
        <v/>
      </c>
      <c r="L1457" s="62">
        <f>L1352*$A$92</f>
        <v/>
      </c>
      <c r="M1457" s="62">
        <f>M1352*$A$92</f>
        <v/>
      </c>
      <c r="N1457" s="62">
        <f>N1352*$A$92</f>
        <v/>
      </c>
      <c r="O1457" s="62">
        <f>O1352*$A$92</f>
        <v/>
      </c>
      <c r="P1457" s="62">
        <f>P1352*$A$92</f>
        <v/>
      </c>
      <c r="Q1457" s="62">
        <f>Q1352*$A$92</f>
        <v/>
      </c>
      <c r="R1457" s="62">
        <f>R1352*$A$92</f>
        <v/>
      </c>
      <c r="S1457" s="62">
        <f>S1352*$A$92</f>
        <v/>
      </c>
      <c r="T1457" s="62">
        <f>T1352*$A$92</f>
        <v/>
      </c>
      <c r="U1457" s="62">
        <f>U1352*$A$92</f>
        <v/>
      </c>
      <c r="V1457" s="62">
        <f>V1352*$A$92</f>
        <v/>
      </c>
    </row>
    <row r="1458">
      <c r="C1458" s="62">
        <f>C1353*$A$93</f>
        <v/>
      </c>
      <c r="D1458" s="62">
        <f>D1353*$A$93</f>
        <v/>
      </c>
      <c r="E1458" s="62">
        <f>E1353*$A$93</f>
        <v/>
      </c>
      <c r="F1458" s="62">
        <f>F1353*$A$93</f>
        <v/>
      </c>
      <c r="G1458" s="62">
        <f>G1353*$A$93</f>
        <v/>
      </c>
      <c r="H1458" s="62">
        <f>H1353*$A$93</f>
        <v/>
      </c>
      <c r="I1458" s="62">
        <f>I1353*$A$93</f>
        <v/>
      </c>
      <c r="J1458" s="62">
        <f>J1353*$A$93</f>
        <v/>
      </c>
      <c r="K1458" s="62">
        <f>K1353*$A$93</f>
        <v/>
      </c>
      <c r="L1458" s="62">
        <f>L1353*$A$93</f>
        <v/>
      </c>
      <c r="M1458" s="62">
        <f>M1353*$A$93</f>
        <v/>
      </c>
      <c r="N1458" s="62">
        <f>N1353*$A$93</f>
        <v/>
      </c>
      <c r="O1458" s="62">
        <f>O1353*$A$93</f>
        <v/>
      </c>
      <c r="P1458" s="62">
        <f>P1353*$A$93</f>
        <v/>
      </c>
      <c r="Q1458" s="62">
        <f>Q1353*$A$93</f>
        <v/>
      </c>
      <c r="R1458" s="62">
        <f>R1353*$A$93</f>
        <v/>
      </c>
      <c r="S1458" s="62">
        <f>S1353*$A$93</f>
        <v/>
      </c>
      <c r="T1458" s="62">
        <f>T1353*$A$93</f>
        <v/>
      </c>
      <c r="U1458" s="62">
        <f>U1353*$A$93</f>
        <v/>
      </c>
      <c r="V1458" s="62">
        <f>V1353*$A$93</f>
        <v/>
      </c>
    </row>
    <row r="1459">
      <c r="C1459" s="62">
        <f>C1354*$A$94</f>
        <v/>
      </c>
      <c r="D1459" s="62">
        <f>D1354*$A$94</f>
        <v/>
      </c>
      <c r="E1459" s="62">
        <f>E1354*$A$94</f>
        <v/>
      </c>
      <c r="F1459" s="62">
        <f>F1354*$A$94</f>
        <v/>
      </c>
      <c r="G1459" s="62">
        <f>G1354*$A$94</f>
        <v/>
      </c>
      <c r="H1459" s="62">
        <f>H1354*$A$94</f>
        <v/>
      </c>
      <c r="I1459" s="62">
        <f>I1354*$A$94</f>
        <v/>
      </c>
      <c r="J1459" s="62">
        <f>J1354*$A$94</f>
        <v/>
      </c>
      <c r="K1459" s="62">
        <f>K1354*$A$94</f>
        <v/>
      </c>
      <c r="L1459" s="62">
        <f>L1354*$A$94</f>
        <v/>
      </c>
      <c r="M1459" s="62">
        <f>M1354*$A$94</f>
        <v/>
      </c>
      <c r="N1459" s="62">
        <f>N1354*$A$94</f>
        <v/>
      </c>
      <c r="O1459" s="62">
        <f>O1354*$A$94</f>
        <v/>
      </c>
      <c r="P1459" s="62">
        <f>P1354*$A$94</f>
        <v/>
      </c>
      <c r="Q1459" s="62">
        <f>Q1354*$A$94</f>
        <v/>
      </c>
      <c r="R1459" s="62">
        <f>R1354*$A$94</f>
        <v/>
      </c>
      <c r="S1459" s="62">
        <f>S1354*$A$94</f>
        <v/>
      </c>
      <c r="T1459" s="62">
        <f>T1354*$A$94</f>
        <v/>
      </c>
      <c r="U1459" s="62">
        <f>U1354*$A$94</f>
        <v/>
      </c>
      <c r="V1459" s="62">
        <f>V1354*$A$94</f>
        <v/>
      </c>
    </row>
    <row r="1460">
      <c r="C1460" s="62">
        <f>C1355*$A$95</f>
        <v/>
      </c>
      <c r="D1460" s="62">
        <f>D1355*$A$95</f>
        <v/>
      </c>
      <c r="E1460" s="62">
        <f>E1355*$A$95</f>
        <v/>
      </c>
      <c r="F1460" s="62">
        <f>F1355*$A$95</f>
        <v/>
      </c>
      <c r="G1460" s="62">
        <f>G1355*$A$95</f>
        <v/>
      </c>
      <c r="H1460" s="62">
        <f>H1355*$A$95</f>
        <v/>
      </c>
      <c r="I1460" s="62">
        <f>I1355*$A$95</f>
        <v/>
      </c>
      <c r="J1460" s="62">
        <f>J1355*$A$95</f>
        <v/>
      </c>
      <c r="K1460" s="62">
        <f>K1355*$A$95</f>
        <v/>
      </c>
      <c r="L1460" s="62">
        <f>L1355*$A$95</f>
        <v/>
      </c>
      <c r="M1460" s="62">
        <f>M1355*$A$95</f>
        <v/>
      </c>
      <c r="N1460" s="62">
        <f>N1355*$A$95</f>
        <v/>
      </c>
      <c r="O1460" s="62">
        <f>O1355*$A$95</f>
        <v/>
      </c>
      <c r="P1460" s="62">
        <f>P1355*$A$95</f>
        <v/>
      </c>
      <c r="Q1460" s="62">
        <f>Q1355*$A$95</f>
        <v/>
      </c>
      <c r="R1460" s="62">
        <f>R1355*$A$95</f>
        <v/>
      </c>
      <c r="S1460" s="62">
        <f>S1355*$A$95</f>
        <v/>
      </c>
      <c r="T1460" s="62">
        <f>T1355*$A$95</f>
        <v/>
      </c>
      <c r="U1460" s="62">
        <f>U1355*$A$95</f>
        <v/>
      </c>
      <c r="V1460" s="62">
        <f>V1355*$A$95</f>
        <v/>
      </c>
    </row>
    <row r="1461">
      <c r="C1461" s="62">
        <f>C1356*$A$96</f>
        <v/>
      </c>
      <c r="D1461" s="62">
        <f>D1356*$A$96</f>
        <v/>
      </c>
      <c r="E1461" s="62">
        <f>E1356*$A$96</f>
        <v/>
      </c>
      <c r="F1461" s="62">
        <f>F1356*$A$96</f>
        <v/>
      </c>
      <c r="G1461" s="62">
        <f>G1356*$A$96</f>
        <v/>
      </c>
      <c r="H1461" s="62">
        <f>H1356*$A$96</f>
        <v/>
      </c>
      <c r="I1461" s="62">
        <f>I1356*$A$96</f>
        <v/>
      </c>
      <c r="J1461" s="62">
        <f>J1356*$A$96</f>
        <v/>
      </c>
      <c r="K1461" s="62">
        <f>K1356*$A$96</f>
        <v/>
      </c>
      <c r="L1461" s="62">
        <f>L1356*$A$96</f>
        <v/>
      </c>
      <c r="M1461" s="62">
        <f>M1356*$A$96</f>
        <v/>
      </c>
      <c r="N1461" s="62">
        <f>N1356*$A$96</f>
        <v/>
      </c>
      <c r="O1461" s="62">
        <f>O1356*$A$96</f>
        <v/>
      </c>
      <c r="P1461" s="62">
        <f>P1356*$A$96</f>
        <v/>
      </c>
      <c r="Q1461" s="62">
        <f>Q1356*$A$96</f>
        <v/>
      </c>
      <c r="R1461" s="62">
        <f>R1356*$A$96</f>
        <v/>
      </c>
      <c r="S1461" s="62">
        <f>S1356*$A$96</f>
        <v/>
      </c>
      <c r="T1461" s="62">
        <f>T1356*$A$96</f>
        <v/>
      </c>
      <c r="U1461" s="62">
        <f>U1356*$A$96</f>
        <v/>
      </c>
      <c r="V1461" s="62">
        <f>V1356*$A$96</f>
        <v/>
      </c>
    </row>
    <row r="1462">
      <c r="C1462" s="62">
        <f>C1357*$A$97</f>
        <v/>
      </c>
      <c r="D1462" s="62">
        <f>D1357*$A$97</f>
        <v/>
      </c>
      <c r="E1462" s="62">
        <f>E1357*$A$97</f>
        <v/>
      </c>
      <c r="F1462" s="62">
        <f>F1357*$A$97</f>
        <v/>
      </c>
      <c r="G1462" s="62">
        <f>G1357*$A$97</f>
        <v/>
      </c>
      <c r="H1462" s="62">
        <f>H1357*$A$97</f>
        <v/>
      </c>
      <c r="I1462" s="62">
        <f>I1357*$A$97</f>
        <v/>
      </c>
      <c r="J1462" s="62">
        <f>J1357*$A$97</f>
        <v/>
      </c>
      <c r="K1462" s="62">
        <f>K1357*$A$97</f>
        <v/>
      </c>
      <c r="L1462" s="62">
        <f>L1357*$A$97</f>
        <v/>
      </c>
      <c r="M1462" s="62">
        <f>M1357*$A$97</f>
        <v/>
      </c>
      <c r="N1462" s="62">
        <f>N1357*$A$97</f>
        <v/>
      </c>
      <c r="O1462" s="62">
        <f>O1357*$A$97</f>
        <v/>
      </c>
      <c r="P1462" s="62">
        <f>P1357*$A$97</f>
        <v/>
      </c>
      <c r="Q1462" s="62">
        <f>Q1357*$A$97</f>
        <v/>
      </c>
      <c r="R1462" s="62">
        <f>R1357*$A$97</f>
        <v/>
      </c>
      <c r="S1462" s="62">
        <f>S1357*$A$97</f>
        <v/>
      </c>
      <c r="T1462" s="62">
        <f>T1357*$A$97</f>
        <v/>
      </c>
      <c r="U1462" s="62">
        <f>U1357*$A$97</f>
        <v/>
      </c>
      <c r="V1462" s="62">
        <f>V1357*$A$97</f>
        <v/>
      </c>
    </row>
    <row r="1463">
      <c r="C1463" s="62">
        <f>C1358*$A$98</f>
        <v/>
      </c>
      <c r="D1463" s="62">
        <f>D1358*$A$98</f>
        <v/>
      </c>
      <c r="E1463" s="62">
        <f>E1358*$A$98</f>
        <v/>
      </c>
      <c r="F1463" s="62">
        <f>F1358*$A$98</f>
        <v/>
      </c>
      <c r="G1463" s="62">
        <f>G1358*$A$98</f>
        <v/>
      </c>
      <c r="H1463" s="62">
        <f>H1358*$A$98</f>
        <v/>
      </c>
      <c r="I1463" s="62">
        <f>I1358*$A$98</f>
        <v/>
      </c>
      <c r="J1463" s="62">
        <f>J1358*$A$98</f>
        <v/>
      </c>
      <c r="K1463" s="62">
        <f>K1358*$A$98</f>
        <v/>
      </c>
      <c r="L1463" s="62">
        <f>L1358*$A$98</f>
        <v/>
      </c>
      <c r="M1463" s="62">
        <f>M1358*$A$98</f>
        <v/>
      </c>
      <c r="N1463" s="62">
        <f>N1358*$A$98</f>
        <v/>
      </c>
      <c r="O1463" s="62">
        <f>O1358*$A$98</f>
        <v/>
      </c>
      <c r="P1463" s="62">
        <f>P1358*$A$98</f>
        <v/>
      </c>
      <c r="Q1463" s="62">
        <f>Q1358*$A$98</f>
        <v/>
      </c>
      <c r="R1463" s="62">
        <f>R1358*$A$98</f>
        <v/>
      </c>
      <c r="S1463" s="62">
        <f>S1358*$A$98</f>
        <v/>
      </c>
      <c r="T1463" s="62">
        <f>T1358*$A$98</f>
        <v/>
      </c>
      <c r="U1463" s="62">
        <f>U1358*$A$98</f>
        <v/>
      </c>
      <c r="V1463" s="62">
        <f>V1358*$A$98</f>
        <v/>
      </c>
    </row>
    <row r="1464">
      <c r="C1464" s="62">
        <f>C1359*$A$99</f>
        <v/>
      </c>
      <c r="D1464" s="62">
        <f>D1359*$A$99</f>
        <v/>
      </c>
      <c r="E1464" s="62">
        <f>E1359*$A$99</f>
        <v/>
      </c>
      <c r="F1464" s="62">
        <f>F1359*$A$99</f>
        <v/>
      </c>
      <c r="G1464" s="62">
        <f>G1359*$A$99</f>
        <v/>
      </c>
      <c r="H1464" s="62">
        <f>H1359*$A$99</f>
        <v/>
      </c>
      <c r="I1464" s="62">
        <f>I1359*$A$99</f>
        <v/>
      </c>
      <c r="J1464" s="62">
        <f>J1359*$A$99</f>
        <v/>
      </c>
      <c r="K1464" s="62">
        <f>K1359*$A$99</f>
        <v/>
      </c>
      <c r="L1464" s="62">
        <f>L1359*$A$99</f>
        <v/>
      </c>
      <c r="M1464" s="62">
        <f>M1359*$A$99</f>
        <v/>
      </c>
      <c r="N1464" s="62">
        <f>N1359*$A$99</f>
        <v/>
      </c>
      <c r="O1464" s="62">
        <f>O1359*$A$99</f>
        <v/>
      </c>
      <c r="P1464" s="62">
        <f>P1359*$A$99</f>
        <v/>
      </c>
      <c r="Q1464" s="62">
        <f>Q1359*$A$99</f>
        <v/>
      </c>
      <c r="R1464" s="62">
        <f>R1359*$A$99</f>
        <v/>
      </c>
      <c r="S1464" s="62">
        <f>S1359*$A$99</f>
        <v/>
      </c>
      <c r="T1464" s="62">
        <f>T1359*$A$99</f>
        <v/>
      </c>
      <c r="U1464" s="62">
        <f>U1359*$A$99</f>
        <v/>
      </c>
      <c r="V1464" s="62">
        <f>V1359*$A$99</f>
        <v/>
      </c>
    </row>
    <row r="1465">
      <c r="C1465" s="62">
        <f>C1360*$A$100</f>
        <v/>
      </c>
      <c r="D1465" s="62">
        <f>D1360*$A$100</f>
        <v/>
      </c>
      <c r="E1465" s="62">
        <f>E1360*$A$100</f>
        <v/>
      </c>
      <c r="F1465" s="62">
        <f>F1360*$A$100</f>
        <v/>
      </c>
      <c r="G1465" s="62">
        <f>G1360*$A$100</f>
        <v/>
      </c>
      <c r="H1465" s="62">
        <f>H1360*$A$100</f>
        <v/>
      </c>
      <c r="I1465" s="62">
        <f>I1360*$A$100</f>
        <v/>
      </c>
      <c r="J1465" s="62">
        <f>J1360*$A$100</f>
        <v/>
      </c>
      <c r="K1465" s="62">
        <f>K1360*$A$100</f>
        <v/>
      </c>
      <c r="L1465" s="62">
        <f>L1360*$A$100</f>
        <v/>
      </c>
      <c r="M1465" s="62">
        <f>M1360*$A$100</f>
        <v/>
      </c>
      <c r="N1465" s="62">
        <f>N1360*$A$100</f>
        <v/>
      </c>
      <c r="O1465" s="62">
        <f>O1360*$A$100</f>
        <v/>
      </c>
      <c r="P1465" s="62">
        <f>P1360*$A$100</f>
        <v/>
      </c>
      <c r="Q1465" s="62">
        <f>Q1360*$A$100</f>
        <v/>
      </c>
      <c r="R1465" s="62">
        <f>R1360*$A$100</f>
        <v/>
      </c>
      <c r="S1465" s="62">
        <f>S1360*$A$100</f>
        <v/>
      </c>
      <c r="T1465" s="62">
        <f>T1360*$A$100</f>
        <v/>
      </c>
      <c r="U1465" s="62">
        <f>U1360*$A$100</f>
        <v/>
      </c>
      <c r="V1465" s="62">
        <f>V1360*$A$100</f>
        <v/>
      </c>
    </row>
    <row r="1466">
      <c r="C1466" s="62">
        <f>C1361*$A$101</f>
        <v/>
      </c>
      <c r="D1466" s="62">
        <f>D1361*$A$101</f>
        <v/>
      </c>
      <c r="E1466" s="62">
        <f>E1361*$A$101</f>
        <v/>
      </c>
      <c r="F1466" s="62">
        <f>F1361*$A$101</f>
        <v/>
      </c>
      <c r="G1466" s="62">
        <f>G1361*$A$101</f>
        <v/>
      </c>
      <c r="H1466" s="62">
        <f>H1361*$A$101</f>
        <v/>
      </c>
      <c r="I1466" s="62">
        <f>I1361*$A$101</f>
        <v/>
      </c>
      <c r="J1466" s="62">
        <f>J1361*$A$101</f>
        <v/>
      </c>
      <c r="K1466" s="62">
        <f>K1361*$A$101</f>
        <v/>
      </c>
      <c r="L1466" s="62">
        <f>L1361*$A$101</f>
        <v/>
      </c>
      <c r="M1466" s="62">
        <f>M1361*$A$101</f>
        <v/>
      </c>
      <c r="N1466" s="62">
        <f>N1361*$A$101</f>
        <v/>
      </c>
      <c r="O1466" s="62">
        <f>O1361*$A$101</f>
        <v/>
      </c>
      <c r="P1466" s="62">
        <f>P1361*$A$101</f>
        <v/>
      </c>
      <c r="Q1466" s="62">
        <f>Q1361*$A$101</f>
        <v/>
      </c>
      <c r="R1466" s="62">
        <f>R1361*$A$101</f>
        <v/>
      </c>
      <c r="S1466" s="62">
        <f>S1361*$A$101</f>
        <v/>
      </c>
      <c r="T1466" s="62">
        <f>T1361*$A$101</f>
        <v/>
      </c>
      <c r="U1466" s="62">
        <f>U1361*$A$101</f>
        <v/>
      </c>
      <c r="V1466" s="62">
        <f>V1361*$A$101</f>
        <v/>
      </c>
    </row>
    <row r="1467">
      <c r="C1467" s="62">
        <f>C1362*$A$102</f>
        <v/>
      </c>
      <c r="D1467" s="62">
        <f>D1362*$A$102</f>
        <v/>
      </c>
      <c r="E1467" s="62">
        <f>E1362*$A$102</f>
        <v/>
      </c>
      <c r="F1467" s="62">
        <f>F1362*$A$102</f>
        <v/>
      </c>
      <c r="G1467" s="62">
        <f>G1362*$A$102</f>
        <v/>
      </c>
      <c r="H1467" s="62">
        <f>H1362*$A$102</f>
        <v/>
      </c>
      <c r="I1467" s="62">
        <f>I1362*$A$102</f>
        <v/>
      </c>
      <c r="J1467" s="62">
        <f>J1362*$A$102</f>
        <v/>
      </c>
      <c r="K1467" s="62">
        <f>K1362*$A$102</f>
        <v/>
      </c>
      <c r="L1467" s="62">
        <f>L1362*$A$102</f>
        <v/>
      </c>
      <c r="M1467" s="62">
        <f>M1362*$A$102</f>
        <v/>
      </c>
      <c r="N1467" s="62">
        <f>N1362*$A$102</f>
        <v/>
      </c>
      <c r="O1467" s="62">
        <f>O1362*$A$102</f>
        <v/>
      </c>
      <c r="P1467" s="62">
        <f>P1362*$A$102</f>
        <v/>
      </c>
      <c r="Q1467" s="62">
        <f>Q1362*$A$102</f>
        <v/>
      </c>
      <c r="R1467" s="62">
        <f>R1362*$A$102</f>
        <v/>
      </c>
      <c r="S1467" s="62">
        <f>S1362*$A$102</f>
        <v/>
      </c>
      <c r="T1467" s="62">
        <f>T1362*$A$102</f>
        <v/>
      </c>
      <c r="U1467" s="62">
        <f>U1362*$A$102</f>
        <v/>
      </c>
      <c r="V1467" s="62">
        <f>V1362*$A$102</f>
        <v/>
      </c>
    </row>
    <row r="1468">
      <c r="C1468" s="62">
        <f>C1363*$A$103</f>
        <v/>
      </c>
      <c r="D1468" s="62">
        <f>D1363*$A$103</f>
        <v/>
      </c>
      <c r="E1468" s="62">
        <f>E1363*$A$103</f>
        <v/>
      </c>
      <c r="F1468" s="62">
        <f>F1363*$A$103</f>
        <v/>
      </c>
      <c r="G1468" s="62">
        <f>G1363*$A$103</f>
        <v/>
      </c>
      <c r="H1468" s="62">
        <f>H1363*$A$103</f>
        <v/>
      </c>
      <c r="I1468" s="62">
        <f>I1363*$A$103</f>
        <v/>
      </c>
      <c r="J1468" s="62">
        <f>J1363*$A$103</f>
        <v/>
      </c>
      <c r="K1468" s="62">
        <f>K1363*$A$103</f>
        <v/>
      </c>
      <c r="L1468" s="62">
        <f>L1363*$A$103</f>
        <v/>
      </c>
      <c r="M1468" s="62">
        <f>M1363*$A$103</f>
        <v/>
      </c>
      <c r="N1468" s="62">
        <f>N1363*$A$103</f>
        <v/>
      </c>
      <c r="O1468" s="62">
        <f>O1363*$A$103</f>
        <v/>
      </c>
      <c r="P1468" s="62">
        <f>P1363*$A$103</f>
        <v/>
      </c>
      <c r="Q1468" s="62">
        <f>Q1363*$A$103</f>
        <v/>
      </c>
      <c r="R1468" s="62">
        <f>R1363*$A$103</f>
        <v/>
      </c>
      <c r="S1468" s="62">
        <f>S1363*$A$103</f>
        <v/>
      </c>
      <c r="T1468" s="62">
        <f>T1363*$A$103</f>
        <v/>
      </c>
      <c r="U1468" s="62">
        <f>U1363*$A$103</f>
        <v/>
      </c>
      <c r="V1468" s="62">
        <f>V1363*$A$103</f>
        <v/>
      </c>
    </row>
    <row r="1469">
      <c r="C1469" s="62">
        <f>C1364*$A$104</f>
        <v/>
      </c>
      <c r="D1469" s="62">
        <f>D1364*$A$104</f>
        <v/>
      </c>
      <c r="E1469" s="62">
        <f>E1364*$A$104</f>
        <v/>
      </c>
      <c r="F1469" s="62">
        <f>F1364*$A$104</f>
        <v/>
      </c>
      <c r="G1469" s="62">
        <f>G1364*$A$104</f>
        <v/>
      </c>
      <c r="H1469" s="62">
        <f>H1364*$A$104</f>
        <v/>
      </c>
      <c r="I1469" s="62">
        <f>I1364*$A$104</f>
        <v/>
      </c>
      <c r="J1469" s="62">
        <f>J1364*$A$104</f>
        <v/>
      </c>
      <c r="K1469" s="62">
        <f>K1364*$A$104</f>
        <v/>
      </c>
      <c r="L1469" s="62">
        <f>L1364*$A$104</f>
        <v/>
      </c>
      <c r="M1469" s="62">
        <f>M1364*$A$104</f>
        <v/>
      </c>
      <c r="N1469" s="62">
        <f>N1364*$A$104</f>
        <v/>
      </c>
      <c r="O1469" s="62">
        <f>O1364*$A$104</f>
        <v/>
      </c>
      <c r="P1469" s="62">
        <f>P1364*$A$104</f>
        <v/>
      </c>
      <c r="Q1469" s="62">
        <f>Q1364*$A$104</f>
        <v/>
      </c>
      <c r="R1469" s="62">
        <f>R1364*$A$104</f>
        <v/>
      </c>
      <c r="S1469" s="62">
        <f>S1364*$A$104</f>
        <v/>
      </c>
      <c r="T1469" s="62">
        <f>T1364*$A$104</f>
        <v/>
      </c>
      <c r="U1469" s="62">
        <f>U1364*$A$104</f>
        <v/>
      </c>
      <c r="V1469" s="62">
        <f>V1364*$A$104</f>
        <v/>
      </c>
    </row>
    <row r="1470">
      <c r="C1470" s="62">
        <f>C1365*$A$105</f>
        <v/>
      </c>
      <c r="D1470" s="62">
        <f>D1365*$A$105</f>
        <v/>
      </c>
      <c r="E1470" s="62">
        <f>E1365*$A$105</f>
        <v/>
      </c>
      <c r="F1470" s="62">
        <f>F1365*$A$105</f>
        <v/>
      </c>
      <c r="G1470" s="62">
        <f>G1365*$A$105</f>
        <v/>
      </c>
      <c r="H1470" s="62">
        <f>H1365*$A$105</f>
        <v/>
      </c>
      <c r="I1470" s="62">
        <f>I1365*$A$105</f>
        <v/>
      </c>
      <c r="J1470" s="62">
        <f>J1365*$A$105</f>
        <v/>
      </c>
      <c r="K1470" s="62">
        <f>K1365*$A$105</f>
        <v/>
      </c>
      <c r="L1470" s="62">
        <f>L1365*$A$105</f>
        <v/>
      </c>
      <c r="M1470" s="62">
        <f>M1365*$A$105</f>
        <v/>
      </c>
      <c r="N1470" s="62">
        <f>N1365*$A$105</f>
        <v/>
      </c>
      <c r="O1470" s="62">
        <f>O1365*$A$105</f>
        <v/>
      </c>
      <c r="P1470" s="62">
        <f>P1365*$A$105</f>
        <v/>
      </c>
      <c r="Q1470" s="62">
        <f>Q1365*$A$105</f>
        <v/>
      </c>
      <c r="R1470" s="62">
        <f>R1365*$A$105</f>
        <v/>
      </c>
      <c r="S1470" s="62">
        <f>S1365*$A$105</f>
        <v/>
      </c>
      <c r="T1470" s="62">
        <f>T1365*$A$105</f>
        <v/>
      </c>
      <c r="U1470" s="62">
        <f>U1365*$A$105</f>
        <v/>
      </c>
      <c r="V1470" s="62">
        <f>V1365*$A$105</f>
        <v/>
      </c>
    </row>
    <row r="1471">
      <c r="C1471" s="62">
        <f>C1366*$A$106</f>
        <v/>
      </c>
      <c r="D1471" s="62">
        <f>D1366*$A$106</f>
        <v/>
      </c>
      <c r="E1471" s="62">
        <f>E1366*$A$106</f>
        <v/>
      </c>
      <c r="F1471" s="62">
        <f>F1366*$A$106</f>
        <v/>
      </c>
      <c r="G1471" s="62">
        <f>G1366*$A$106</f>
        <v/>
      </c>
      <c r="H1471" s="62">
        <f>H1366*$A$106</f>
        <v/>
      </c>
      <c r="I1471" s="62">
        <f>I1366*$A$106</f>
        <v/>
      </c>
      <c r="J1471" s="62">
        <f>J1366*$A$106</f>
        <v/>
      </c>
      <c r="K1471" s="62">
        <f>K1366*$A$106</f>
        <v/>
      </c>
      <c r="L1471" s="62">
        <f>L1366*$A$106</f>
        <v/>
      </c>
      <c r="M1471" s="62">
        <f>M1366*$A$106</f>
        <v/>
      </c>
      <c r="N1471" s="62">
        <f>N1366*$A$106</f>
        <v/>
      </c>
      <c r="O1471" s="62">
        <f>O1366*$A$106</f>
        <v/>
      </c>
      <c r="P1471" s="62">
        <f>P1366*$A$106</f>
        <v/>
      </c>
      <c r="Q1471" s="62">
        <f>Q1366*$A$106</f>
        <v/>
      </c>
      <c r="R1471" s="62">
        <f>R1366*$A$106</f>
        <v/>
      </c>
      <c r="S1471" s="62">
        <f>S1366*$A$106</f>
        <v/>
      </c>
      <c r="T1471" s="62">
        <f>T1366*$A$106</f>
        <v/>
      </c>
      <c r="U1471" s="62">
        <f>U1366*$A$106</f>
        <v/>
      </c>
      <c r="V1471" s="62">
        <f>V1366*$A$106</f>
        <v/>
      </c>
    </row>
    <row r="1472">
      <c r="C1472" s="62">
        <f>C1367*$A$107</f>
        <v/>
      </c>
      <c r="D1472" s="62">
        <f>D1367*$A$107</f>
        <v/>
      </c>
      <c r="E1472" s="62">
        <f>E1367*$A$107</f>
        <v/>
      </c>
      <c r="F1472" s="62">
        <f>F1367*$A$107</f>
        <v/>
      </c>
      <c r="G1472" s="62">
        <f>G1367*$A$107</f>
        <v/>
      </c>
      <c r="H1472" s="62">
        <f>H1367*$A$107</f>
        <v/>
      </c>
      <c r="I1472" s="62">
        <f>I1367*$A$107</f>
        <v/>
      </c>
      <c r="J1472" s="62">
        <f>J1367*$A$107</f>
        <v/>
      </c>
      <c r="K1472" s="62">
        <f>K1367*$A$107</f>
        <v/>
      </c>
      <c r="L1472" s="62">
        <f>L1367*$A$107</f>
        <v/>
      </c>
      <c r="M1472" s="62">
        <f>M1367*$A$107</f>
        <v/>
      </c>
      <c r="N1472" s="62">
        <f>N1367*$A$107</f>
        <v/>
      </c>
      <c r="O1472" s="62">
        <f>O1367*$A$107</f>
        <v/>
      </c>
      <c r="P1472" s="62">
        <f>P1367*$A$107</f>
        <v/>
      </c>
      <c r="Q1472" s="62">
        <f>Q1367*$A$107</f>
        <v/>
      </c>
      <c r="R1472" s="62">
        <f>R1367*$A$107</f>
        <v/>
      </c>
      <c r="S1472" s="62">
        <f>S1367*$A$107</f>
        <v/>
      </c>
      <c r="T1472" s="62">
        <f>T1367*$A$107</f>
        <v/>
      </c>
      <c r="U1472" s="62">
        <f>U1367*$A$107</f>
        <v/>
      </c>
      <c r="V1472" s="62">
        <f>V1367*$A$107</f>
        <v/>
      </c>
    </row>
    <row r="1473">
      <c r="C1473" s="62">
        <f>C1368*$A$108</f>
        <v/>
      </c>
      <c r="D1473" s="62">
        <f>D1368*$A$108</f>
        <v/>
      </c>
      <c r="E1473" s="62">
        <f>E1368*$A$108</f>
        <v/>
      </c>
      <c r="F1473" s="62">
        <f>F1368*$A$108</f>
        <v/>
      </c>
      <c r="G1473" s="62">
        <f>G1368*$A$108</f>
        <v/>
      </c>
      <c r="H1473" s="62">
        <f>H1368*$A$108</f>
        <v/>
      </c>
      <c r="I1473" s="62">
        <f>I1368*$A$108</f>
        <v/>
      </c>
      <c r="J1473" s="62">
        <f>J1368*$A$108</f>
        <v/>
      </c>
      <c r="K1473" s="62">
        <f>K1368*$A$108</f>
        <v/>
      </c>
      <c r="L1473" s="62">
        <f>L1368*$A$108</f>
        <v/>
      </c>
      <c r="M1473" s="62">
        <f>M1368*$A$108</f>
        <v/>
      </c>
      <c r="N1473" s="62">
        <f>N1368*$A$108</f>
        <v/>
      </c>
      <c r="O1473" s="62">
        <f>O1368*$A$108</f>
        <v/>
      </c>
      <c r="P1473" s="62">
        <f>P1368*$A$108</f>
        <v/>
      </c>
      <c r="Q1473" s="62">
        <f>Q1368*$A$108</f>
        <v/>
      </c>
      <c r="R1473" s="62">
        <f>R1368*$A$108</f>
        <v/>
      </c>
      <c r="S1473" s="62">
        <f>S1368*$A$108</f>
        <v/>
      </c>
      <c r="T1473" s="62">
        <f>T1368*$A$108</f>
        <v/>
      </c>
      <c r="U1473" s="62">
        <f>U1368*$A$108</f>
        <v/>
      </c>
      <c r="V1473" s="62">
        <f>V1368*$A$108</f>
        <v/>
      </c>
    </row>
    <row r="1474">
      <c r="C1474" s="62">
        <f>C1369*$A$109</f>
        <v/>
      </c>
      <c r="D1474" s="62">
        <f>D1369*$A$109</f>
        <v/>
      </c>
      <c r="E1474" s="62">
        <f>E1369*$A$109</f>
        <v/>
      </c>
      <c r="F1474" s="62">
        <f>F1369*$A$109</f>
        <v/>
      </c>
      <c r="G1474" s="62">
        <f>G1369*$A$109</f>
        <v/>
      </c>
      <c r="H1474" s="62">
        <f>H1369*$A$109</f>
        <v/>
      </c>
      <c r="I1474" s="62">
        <f>I1369*$A$109</f>
        <v/>
      </c>
      <c r="J1474" s="62">
        <f>J1369*$A$109</f>
        <v/>
      </c>
      <c r="K1474" s="62">
        <f>K1369*$A$109</f>
        <v/>
      </c>
      <c r="L1474" s="62">
        <f>L1369*$A$109</f>
        <v/>
      </c>
      <c r="M1474" s="62">
        <f>M1369*$A$109</f>
        <v/>
      </c>
      <c r="N1474" s="62">
        <f>N1369*$A$109</f>
        <v/>
      </c>
      <c r="O1474" s="62">
        <f>O1369*$A$109</f>
        <v/>
      </c>
      <c r="P1474" s="62">
        <f>P1369*$A$109</f>
        <v/>
      </c>
      <c r="Q1474" s="62">
        <f>Q1369*$A$109</f>
        <v/>
      </c>
      <c r="R1474" s="62">
        <f>R1369*$A$109</f>
        <v/>
      </c>
      <c r="S1474" s="62">
        <f>S1369*$A$109</f>
        <v/>
      </c>
      <c r="T1474" s="62">
        <f>T1369*$A$109</f>
        <v/>
      </c>
      <c r="U1474" s="62">
        <f>U1369*$A$109</f>
        <v/>
      </c>
      <c r="V1474" s="62">
        <f>V1369*$A$109</f>
        <v/>
      </c>
    </row>
    <row r="1475">
      <c r="C1475" s="62">
        <f>C1370*$A$110</f>
        <v/>
      </c>
      <c r="D1475" s="62">
        <f>D1370*$A$110</f>
        <v/>
      </c>
      <c r="E1475" s="62">
        <f>E1370*$A$110</f>
        <v/>
      </c>
      <c r="F1475" s="62">
        <f>F1370*$A$110</f>
        <v/>
      </c>
      <c r="G1475" s="62">
        <f>G1370*$A$110</f>
        <v/>
      </c>
      <c r="H1475" s="62">
        <f>H1370*$A$110</f>
        <v/>
      </c>
      <c r="I1475" s="62">
        <f>I1370*$A$110</f>
        <v/>
      </c>
      <c r="J1475" s="62">
        <f>J1370*$A$110</f>
        <v/>
      </c>
      <c r="K1475" s="62">
        <f>K1370*$A$110</f>
        <v/>
      </c>
      <c r="L1475" s="62">
        <f>L1370*$A$110</f>
        <v/>
      </c>
      <c r="M1475" s="62">
        <f>M1370*$A$110</f>
        <v/>
      </c>
      <c r="N1475" s="62">
        <f>N1370*$A$110</f>
        <v/>
      </c>
      <c r="O1475" s="62">
        <f>O1370*$A$110</f>
        <v/>
      </c>
      <c r="P1475" s="62">
        <f>P1370*$A$110</f>
        <v/>
      </c>
      <c r="Q1475" s="62">
        <f>Q1370*$A$110</f>
        <v/>
      </c>
      <c r="R1475" s="62">
        <f>R1370*$A$110</f>
        <v/>
      </c>
      <c r="S1475" s="62">
        <f>S1370*$A$110</f>
        <v/>
      </c>
      <c r="T1475" s="62">
        <f>T1370*$A$110</f>
        <v/>
      </c>
      <c r="U1475" s="62">
        <f>U1370*$A$110</f>
        <v/>
      </c>
      <c r="V1475" s="62">
        <f>V1370*$A$110</f>
        <v/>
      </c>
    </row>
    <row r="1476">
      <c r="C1476" s="62">
        <f>C1371*$A$111</f>
        <v/>
      </c>
      <c r="D1476" s="62">
        <f>D1371*$A$111</f>
        <v/>
      </c>
      <c r="E1476" s="62">
        <f>E1371*$A$111</f>
        <v/>
      </c>
      <c r="F1476" s="62">
        <f>F1371*$A$111</f>
        <v/>
      </c>
      <c r="G1476" s="62">
        <f>G1371*$A$111</f>
        <v/>
      </c>
      <c r="H1476" s="62">
        <f>H1371*$A$111</f>
        <v/>
      </c>
      <c r="I1476" s="62">
        <f>I1371*$A$111</f>
        <v/>
      </c>
      <c r="J1476" s="62">
        <f>J1371*$A$111</f>
        <v/>
      </c>
      <c r="K1476" s="62">
        <f>K1371*$A$111</f>
        <v/>
      </c>
      <c r="L1476" s="62">
        <f>L1371*$A$111</f>
        <v/>
      </c>
      <c r="M1476" s="62">
        <f>M1371*$A$111</f>
        <v/>
      </c>
      <c r="N1476" s="62">
        <f>N1371*$A$111</f>
        <v/>
      </c>
      <c r="O1476" s="62">
        <f>O1371*$A$111</f>
        <v/>
      </c>
      <c r="P1476" s="62">
        <f>P1371*$A$111</f>
        <v/>
      </c>
      <c r="Q1476" s="62">
        <f>Q1371*$A$111</f>
        <v/>
      </c>
      <c r="R1476" s="62">
        <f>R1371*$A$111</f>
        <v/>
      </c>
      <c r="S1476" s="62">
        <f>S1371*$A$111</f>
        <v/>
      </c>
      <c r="T1476" s="62">
        <f>T1371*$A$111</f>
        <v/>
      </c>
      <c r="U1476" s="62">
        <f>U1371*$A$111</f>
        <v/>
      </c>
      <c r="V1476" s="62">
        <f>V1371*$A$111</f>
        <v/>
      </c>
    </row>
    <row r="1477">
      <c r="C1477" s="62">
        <f>C1372*$A$112</f>
        <v/>
      </c>
      <c r="D1477" s="62">
        <f>D1372*$A$112</f>
        <v/>
      </c>
      <c r="E1477" s="62">
        <f>E1372*$A$112</f>
        <v/>
      </c>
      <c r="F1477" s="62">
        <f>F1372*$A$112</f>
        <v/>
      </c>
      <c r="G1477" s="62">
        <f>G1372*$A$112</f>
        <v/>
      </c>
      <c r="H1477" s="62">
        <f>H1372*$A$112</f>
        <v/>
      </c>
      <c r="I1477" s="62">
        <f>I1372*$A$112</f>
        <v/>
      </c>
      <c r="J1477" s="62">
        <f>J1372*$A$112</f>
        <v/>
      </c>
      <c r="K1477" s="62">
        <f>K1372*$A$112</f>
        <v/>
      </c>
      <c r="L1477" s="62">
        <f>L1372*$A$112</f>
        <v/>
      </c>
      <c r="M1477" s="62">
        <f>M1372*$A$112</f>
        <v/>
      </c>
      <c r="N1477" s="62">
        <f>N1372*$A$112</f>
        <v/>
      </c>
      <c r="O1477" s="62">
        <f>O1372*$A$112</f>
        <v/>
      </c>
      <c r="P1477" s="62">
        <f>P1372*$A$112</f>
        <v/>
      </c>
      <c r="Q1477" s="62">
        <f>Q1372*$A$112</f>
        <v/>
      </c>
      <c r="R1477" s="62">
        <f>R1372*$A$112</f>
        <v/>
      </c>
      <c r="S1477" s="62">
        <f>S1372*$A$112</f>
        <v/>
      </c>
      <c r="T1477" s="62">
        <f>T1372*$A$112</f>
        <v/>
      </c>
      <c r="U1477" s="62">
        <f>U1372*$A$112</f>
        <v/>
      </c>
      <c r="V1477" s="62">
        <f>V1372*$A$112</f>
        <v/>
      </c>
    </row>
    <row r="1478">
      <c r="C1478" s="62">
        <f>C1373*$A$113</f>
        <v/>
      </c>
      <c r="D1478" s="62">
        <f>D1373*$A$113</f>
        <v/>
      </c>
      <c r="E1478" s="62">
        <f>E1373*$A$113</f>
        <v/>
      </c>
      <c r="F1478" s="62">
        <f>F1373*$A$113</f>
        <v/>
      </c>
      <c r="G1478" s="62">
        <f>G1373*$A$113</f>
        <v/>
      </c>
      <c r="H1478" s="62">
        <f>H1373*$A$113</f>
        <v/>
      </c>
      <c r="I1478" s="62">
        <f>I1373*$A$113</f>
        <v/>
      </c>
      <c r="J1478" s="62">
        <f>J1373*$A$113</f>
        <v/>
      </c>
      <c r="K1478" s="62">
        <f>K1373*$A$113</f>
        <v/>
      </c>
      <c r="L1478" s="62">
        <f>L1373*$A$113</f>
        <v/>
      </c>
      <c r="M1478" s="62">
        <f>M1373*$A$113</f>
        <v/>
      </c>
      <c r="N1478" s="62">
        <f>N1373*$A$113</f>
        <v/>
      </c>
      <c r="O1478" s="62">
        <f>O1373*$A$113</f>
        <v/>
      </c>
      <c r="P1478" s="62">
        <f>P1373*$A$113</f>
        <v/>
      </c>
      <c r="Q1478" s="62">
        <f>Q1373*$A$113</f>
        <v/>
      </c>
      <c r="R1478" s="62">
        <f>R1373*$A$113</f>
        <v/>
      </c>
      <c r="S1478" s="62">
        <f>S1373*$A$113</f>
        <v/>
      </c>
      <c r="T1478" s="62">
        <f>T1373*$A$113</f>
        <v/>
      </c>
      <c r="U1478" s="62">
        <f>U1373*$A$113</f>
        <v/>
      </c>
      <c r="V1478" s="62">
        <f>V1373*$A$113</f>
        <v/>
      </c>
    </row>
    <row r="1479">
      <c r="C1479" s="62">
        <f>C1374*$A$114</f>
        <v/>
      </c>
      <c r="D1479" s="62">
        <f>D1374*$A$114</f>
        <v/>
      </c>
      <c r="E1479" s="62">
        <f>E1374*$A$114</f>
        <v/>
      </c>
      <c r="F1479" s="62">
        <f>F1374*$A$114</f>
        <v/>
      </c>
      <c r="G1479" s="62">
        <f>G1374*$A$114</f>
        <v/>
      </c>
      <c r="H1479" s="62">
        <f>H1374*$A$114</f>
        <v/>
      </c>
      <c r="I1479" s="62">
        <f>I1374*$A$114</f>
        <v/>
      </c>
      <c r="J1479" s="62">
        <f>J1374*$A$114</f>
        <v/>
      </c>
      <c r="K1479" s="62">
        <f>K1374*$A$114</f>
        <v/>
      </c>
      <c r="L1479" s="62">
        <f>L1374*$A$114</f>
        <v/>
      </c>
      <c r="M1479" s="62">
        <f>M1374*$A$114</f>
        <v/>
      </c>
      <c r="N1479" s="62">
        <f>N1374*$A$114</f>
        <v/>
      </c>
      <c r="O1479" s="62">
        <f>O1374*$A$114</f>
        <v/>
      </c>
      <c r="P1479" s="62">
        <f>P1374*$A$114</f>
        <v/>
      </c>
      <c r="Q1479" s="62">
        <f>Q1374*$A$114</f>
        <v/>
      </c>
      <c r="R1479" s="62">
        <f>R1374*$A$114</f>
        <v/>
      </c>
      <c r="S1479" s="62">
        <f>S1374*$A$114</f>
        <v/>
      </c>
      <c r="T1479" s="62">
        <f>T1374*$A$114</f>
        <v/>
      </c>
      <c r="U1479" s="62">
        <f>U1374*$A$114</f>
        <v/>
      </c>
      <c r="V1479" s="62">
        <f>V1374*$A$114</f>
        <v/>
      </c>
    </row>
    <row r="1480">
      <c r="C1480" s="62">
        <f>C1375*$A$115</f>
        <v/>
      </c>
      <c r="D1480" s="62">
        <f>D1375*$A$115</f>
        <v/>
      </c>
      <c r="E1480" s="62">
        <f>E1375*$A$115</f>
        <v/>
      </c>
      <c r="F1480" s="62">
        <f>F1375*$A$115</f>
        <v/>
      </c>
      <c r="G1480" s="62">
        <f>G1375*$A$115</f>
        <v/>
      </c>
      <c r="H1480" s="62">
        <f>H1375*$A$115</f>
        <v/>
      </c>
      <c r="I1480" s="62">
        <f>I1375*$A$115</f>
        <v/>
      </c>
      <c r="J1480" s="62">
        <f>J1375*$A$115</f>
        <v/>
      </c>
      <c r="K1480" s="62">
        <f>K1375*$A$115</f>
        <v/>
      </c>
      <c r="L1480" s="62">
        <f>L1375*$A$115</f>
        <v/>
      </c>
      <c r="M1480" s="62">
        <f>M1375*$A$115</f>
        <v/>
      </c>
      <c r="N1480" s="62">
        <f>N1375*$A$115</f>
        <v/>
      </c>
      <c r="O1480" s="62">
        <f>O1375*$A$115</f>
        <v/>
      </c>
      <c r="P1480" s="62">
        <f>P1375*$A$115</f>
        <v/>
      </c>
      <c r="Q1480" s="62">
        <f>Q1375*$A$115</f>
        <v/>
      </c>
      <c r="R1480" s="62">
        <f>R1375*$A$115</f>
        <v/>
      </c>
      <c r="S1480" s="62">
        <f>S1375*$A$115</f>
        <v/>
      </c>
      <c r="T1480" s="62">
        <f>T1375*$A$115</f>
        <v/>
      </c>
      <c r="U1480" s="62">
        <f>U1375*$A$115</f>
        <v/>
      </c>
      <c r="V1480" s="62">
        <f>V1375*$A$115</f>
        <v/>
      </c>
    </row>
    <row r="1481">
      <c r="C1481" s="62">
        <f>C1376*$A$116</f>
        <v/>
      </c>
      <c r="D1481" s="62">
        <f>D1376*$A$116</f>
        <v/>
      </c>
      <c r="E1481" s="62">
        <f>E1376*$A$116</f>
        <v/>
      </c>
      <c r="F1481" s="62">
        <f>F1376*$A$116</f>
        <v/>
      </c>
      <c r="G1481" s="62">
        <f>G1376*$A$116</f>
        <v/>
      </c>
      <c r="H1481" s="62">
        <f>H1376*$A$116</f>
        <v/>
      </c>
      <c r="I1481" s="62">
        <f>I1376*$A$116</f>
        <v/>
      </c>
      <c r="J1481" s="62">
        <f>J1376*$A$116</f>
        <v/>
      </c>
      <c r="K1481" s="62">
        <f>K1376*$A$116</f>
        <v/>
      </c>
      <c r="L1481" s="62">
        <f>L1376*$A$116</f>
        <v/>
      </c>
      <c r="M1481" s="62">
        <f>M1376*$A$116</f>
        <v/>
      </c>
      <c r="N1481" s="62">
        <f>N1376*$A$116</f>
        <v/>
      </c>
      <c r="O1481" s="62">
        <f>O1376*$A$116</f>
        <v/>
      </c>
      <c r="P1481" s="62">
        <f>P1376*$A$116</f>
        <v/>
      </c>
      <c r="Q1481" s="62">
        <f>Q1376*$A$116</f>
        <v/>
      </c>
      <c r="R1481" s="62">
        <f>R1376*$A$116</f>
        <v/>
      </c>
      <c r="S1481" s="62">
        <f>S1376*$A$116</f>
        <v/>
      </c>
      <c r="T1481" s="62">
        <f>T1376*$A$116</f>
        <v/>
      </c>
      <c r="U1481" s="62">
        <f>U1376*$A$116</f>
        <v/>
      </c>
      <c r="V1481" s="62">
        <f>V1376*$A$116</f>
        <v/>
      </c>
    </row>
    <row r="1482">
      <c r="C1482" s="62">
        <f>C1377*$A$117</f>
        <v/>
      </c>
      <c r="D1482" s="62">
        <f>D1377*$A$117</f>
        <v/>
      </c>
      <c r="E1482" s="62">
        <f>E1377*$A$117</f>
        <v/>
      </c>
      <c r="F1482" s="62">
        <f>F1377*$A$117</f>
        <v/>
      </c>
      <c r="G1482" s="62">
        <f>G1377*$A$117</f>
        <v/>
      </c>
      <c r="H1482" s="62">
        <f>H1377*$A$117</f>
        <v/>
      </c>
      <c r="I1482" s="62">
        <f>I1377*$A$117</f>
        <v/>
      </c>
      <c r="J1482" s="62">
        <f>J1377*$A$117</f>
        <v/>
      </c>
      <c r="K1482" s="62">
        <f>K1377*$A$117</f>
        <v/>
      </c>
      <c r="L1482" s="62">
        <f>L1377*$A$117</f>
        <v/>
      </c>
      <c r="M1482" s="62">
        <f>M1377*$A$117</f>
        <v/>
      </c>
      <c r="N1482" s="62">
        <f>N1377*$A$117</f>
        <v/>
      </c>
      <c r="O1482" s="62">
        <f>O1377*$A$117</f>
        <v/>
      </c>
      <c r="P1482" s="62">
        <f>P1377*$A$117</f>
        <v/>
      </c>
      <c r="Q1482" s="62">
        <f>Q1377*$A$117</f>
        <v/>
      </c>
      <c r="R1482" s="62">
        <f>R1377*$A$117</f>
        <v/>
      </c>
      <c r="S1482" s="62">
        <f>S1377*$A$117</f>
        <v/>
      </c>
      <c r="T1482" s="62">
        <f>T1377*$A$117</f>
        <v/>
      </c>
      <c r="U1482" s="62">
        <f>U1377*$A$117</f>
        <v/>
      </c>
      <c r="V1482" s="62">
        <f>V1377*$A$117</f>
        <v/>
      </c>
    </row>
    <row r="1483">
      <c r="C1483" s="62">
        <f>C1378*$A$118</f>
        <v/>
      </c>
      <c r="D1483" s="62">
        <f>D1378*$A$118</f>
        <v/>
      </c>
      <c r="E1483" s="62">
        <f>E1378*$A$118</f>
        <v/>
      </c>
      <c r="F1483" s="62">
        <f>F1378*$A$118</f>
        <v/>
      </c>
      <c r="G1483" s="62">
        <f>G1378*$A$118</f>
        <v/>
      </c>
      <c r="H1483" s="62">
        <f>H1378*$A$118</f>
        <v/>
      </c>
      <c r="I1483" s="62">
        <f>I1378*$A$118</f>
        <v/>
      </c>
      <c r="J1483" s="62">
        <f>J1378*$A$118</f>
        <v/>
      </c>
      <c r="K1483" s="62">
        <f>K1378*$A$118</f>
        <v/>
      </c>
      <c r="L1483" s="62">
        <f>L1378*$A$118</f>
        <v/>
      </c>
      <c r="M1483" s="62">
        <f>M1378*$A$118</f>
        <v/>
      </c>
      <c r="N1483" s="62">
        <f>N1378*$A$118</f>
        <v/>
      </c>
      <c r="O1483" s="62">
        <f>O1378*$A$118</f>
        <v/>
      </c>
      <c r="P1483" s="62">
        <f>P1378*$A$118</f>
        <v/>
      </c>
      <c r="Q1483" s="62">
        <f>Q1378*$A$118</f>
        <v/>
      </c>
      <c r="R1483" s="62">
        <f>R1378*$A$118</f>
        <v/>
      </c>
      <c r="S1483" s="62">
        <f>S1378*$A$118</f>
        <v/>
      </c>
      <c r="T1483" s="62">
        <f>T1378*$A$118</f>
        <v/>
      </c>
      <c r="U1483" s="62">
        <f>U1378*$A$118</f>
        <v/>
      </c>
      <c r="V1483" s="62">
        <f>V1378*$A$118</f>
        <v/>
      </c>
    </row>
    <row r="1484">
      <c r="C1484" s="62">
        <f>C1379*$A$119</f>
        <v/>
      </c>
      <c r="D1484" s="62">
        <f>D1379*$A$119</f>
        <v/>
      </c>
      <c r="E1484" s="62">
        <f>E1379*$A$119</f>
        <v/>
      </c>
      <c r="F1484" s="62">
        <f>F1379*$A$119</f>
        <v/>
      </c>
      <c r="G1484" s="62">
        <f>G1379*$A$119</f>
        <v/>
      </c>
      <c r="H1484" s="62">
        <f>H1379*$A$119</f>
        <v/>
      </c>
      <c r="I1484" s="62">
        <f>I1379*$A$119</f>
        <v/>
      </c>
      <c r="J1484" s="62">
        <f>J1379*$A$119</f>
        <v/>
      </c>
      <c r="K1484" s="62">
        <f>K1379*$A$119</f>
        <v/>
      </c>
      <c r="L1484" s="62">
        <f>L1379*$A$119</f>
        <v/>
      </c>
      <c r="M1484" s="62">
        <f>M1379*$A$119</f>
        <v/>
      </c>
      <c r="N1484" s="62">
        <f>N1379*$A$119</f>
        <v/>
      </c>
      <c r="O1484" s="62">
        <f>O1379*$A$119</f>
        <v/>
      </c>
      <c r="P1484" s="62">
        <f>P1379*$A$119</f>
        <v/>
      </c>
      <c r="Q1484" s="62">
        <f>Q1379*$A$119</f>
        <v/>
      </c>
      <c r="R1484" s="62">
        <f>R1379*$A$119</f>
        <v/>
      </c>
      <c r="S1484" s="62">
        <f>S1379*$A$119</f>
        <v/>
      </c>
      <c r="T1484" s="62">
        <f>T1379*$A$119</f>
        <v/>
      </c>
      <c r="U1484" s="62">
        <f>U1379*$A$119</f>
        <v/>
      </c>
      <c r="V1484" s="62">
        <f>V1379*$A$119</f>
        <v/>
      </c>
    </row>
    <row r="1489">
      <c r="A1489" s="171" t="inlineStr">
        <is>
          <t>Bemerkung</t>
        </is>
      </c>
    </row>
    <row r="1490">
      <c r="C1490" s="62">
        <f>IF('Übung 01'!E$41="","",'Übung 01'!E$41)</f>
        <v/>
      </c>
      <c r="D1490" s="62">
        <f>IF('Übung 02'!E$41="","",'Übung 02'!E$41)</f>
        <v/>
      </c>
      <c r="E1490" s="62">
        <f>IF('Übung 03'!E$41="","",'Übung 03'!E$41)</f>
        <v/>
      </c>
      <c r="F1490" s="62">
        <f>IF('Übung 04'!E$41="","",'Übung 04'!E$41)</f>
        <v/>
      </c>
      <c r="G1490" s="62">
        <f>IF('Übung 05'!E$41="","",'Übung 05'!E$41)</f>
        <v/>
      </c>
      <c r="H1490" s="62">
        <f>IF('Übung 06'!E$41="","",'Übung 06'!E$41)</f>
        <v/>
      </c>
      <c r="I1490" s="62">
        <f>IF('Übung 07'!E$41="","",'Übung 07'!E$41)</f>
        <v/>
      </c>
      <c r="J1490" s="62">
        <f>IF('Übung 08'!E$41="","",'Übung 08'!E$41)</f>
        <v/>
      </c>
      <c r="K1490" s="62">
        <f>IF('Übung 09'!E$41="","",'Übung 09'!E$41)</f>
        <v/>
      </c>
      <c r="L1490" s="62">
        <f>IF('Übung 10'!E$41="","",'Übung 10'!E$41)</f>
        <v/>
      </c>
      <c r="M1490" s="62">
        <f>IF('Übung 11'!E$41="","",'Übung 11'!E$41)</f>
        <v/>
      </c>
      <c r="N1490" s="62">
        <f>IF('Übung 12'!E$41="","",'Übung 12'!E$41)</f>
        <v/>
      </c>
      <c r="O1490" s="62">
        <f>IF('Übung 13'!E$41="","",'Übung 13'!E$41)</f>
        <v/>
      </c>
      <c r="P1490" s="62">
        <f>IF('Übung 14'!E$41="","",'Übung 14'!E$41)</f>
        <v/>
      </c>
      <c r="Q1490" s="62">
        <f>IF('Übung 15'!E$41="","",'Übung 15'!E$41)</f>
        <v/>
      </c>
      <c r="R1490" s="62">
        <f>IF('Übung 16'!E$41="","",'Übung 16'!E$41)</f>
        <v/>
      </c>
      <c r="S1490" s="62">
        <f>IF('Übung 17'!E$41="","",'Übung 17'!E$41)</f>
        <v/>
      </c>
      <c r="T1490" s="62">
        <f>IF('Übung 18'!E$41="","",'Übung 18'!E$41)</f>
        <v/>
      </c>
      <c r="U1490" s="62">
        <f>IF('Übung 19'!E$41="","",'Übung 19'!E$41)</f>
        <v/>
      </c>
      <c r="V1490" s="62">
        <f>IF('Übung 20'!E$41="","",'Übung 20'!E$41)</f>
        <v/>
      </c>
    </row>
    <row r="1491">
      <c r="C1491" s="62">
        <f>IF('Übung 01'!F$41="","",'Übung 01'!F$41)</f>
        <v/>
      </c>
      <c r="D1491" s="62">
        <f>IF('Übung 02'!F$41="","",'Übung 02'!F$41)</f>
        <v/>
      </c>
      <c r="E1491" s="62">
        <f>IF('Übung 03'!F$41="","",'Übung 03'!F$41)</f>
        <v/>
      </c>
      <c r="F1491" s="62">
        <f>IF('Übung 04'!F$41="","",'Übung 04'!F$41)</f>
        <v/>
      </c>
      <c r="G1491" s="62">
        <f>IF('Übung 05'!F$41="","",'Übung 05'!F$41)</f>
        <v/>
      </c>
      <c r="H1491" s="62">
        <f>IF('Übung 06'!F$41="","",'Übung 06'!F$41)</f>
        <v/>
      </c>
      <c r="I1491" s="62">
        <f>IF('Übung 07'!F$41="","",'Übung 07'!F$41)</f>
        <v/>
      </c>
      <c r="J1491" s="62">
        <f>IF('Übung 08'!F$41="","",'Übung 08'!F$41)</f>
        <v/>
      </c>
      <c r="K1491" s="62">
        <f>IF('Übung 09'!F$41="","",'Übung 09'!F$41)</f>
        <v/>
      </c>
      <c r="L1491" s="62">
        <f>IF('Übung 10'!F$41="","",'Übung 10'!F$41)</f>
        <v/>
      </c>
      <c r="M1491" s="62">
        <f>IF('Übung 11'!F$41="","",'Übung 11'!F$41)</f>
        <v/>
      </c>
      <c r="N1491" s="62">
        <f>IF('Übung 12'!F$41="","",'Übung 12'!F$41)</f>
        <v/>
      </c>
      <c r="O1491" s="62">
        <f>IF('Übung 13'!F$41="","",'Übung 13'!F$41)</f>
        <v/>
      </c>
      <c r="P1491" s="62">
        <f>IF('Übung 14'!F$41="","",'Übung 14'!F$41)</f>
        <v/>
      </c>
      <c r="Q1491" s="62">
        <f>IF('Übung 15'!F$41="","",'Übung 15'!F$41)</f>
        <v/>
      </c>
      <c r="R1491" s="62">
        <f>IF('Übung 16'!F$41="","",'Übung 16'!F$41)</f>
        <v/>
      </c>
      <c r="S1491" s="62">
        <f>IF('Übung 17'!F$41="","",'Übung 17'!F$41)</f>
        <v/>
      </c>
      <c r="T1491" s="62">
        <f>IF('Übung 18'!F$41="","",'Übung 18'!F$41)</f>
        <v/>
      </c>
      <c r="U1491" s="62">
        <f>IF('Übung 19'!F$41="","",'Übung 19'!F$41)</f>
        <v/>
      </c>
      <c r="V1491" s="62">
        <f>IF('Übung 20'!F$41="","",'Übung 20'!F$41)</f>
        <v/>
      </c>
    </row>
    <row r="1492">
      <c r="C1492" s="62">
        <f>IF('Übung 01'!G$41="","",'Übung 01'!G$41)</f>
        <v/>
      </c>
      <c r="D1492" s="62">
        <f>IF('Übung 02'!G$41="","",'Übung 02'!G$41)</f>
        <v/>
      </c>
      <c r="E1492" s="62">
        <f>IF('Übung 03'!G$41="","",'Übung 03'!G$41)</f>
        <v/>
      </c>
      <c r="F1492" s="62">
        <f>IF('Übung 04'!G$41="","",'Übung 04'!G$41)</f>
        <v/>
      </c>
      <c r="G1492" s="62">
        <f>IF('Übung 05'!G$41="","",'Übung 05'!G$41)</f>
        <v/>
      </c>
      <c r="H1492" s="62">
        <f>IF('Übung 06'!G$41="","",'Übung 06'!G$41)</f>
        <v/>
      </c>
      <c r="I1492" s="62">
        <f>IF('Übung 07'!G$41="","",'Übung 07'!G$41)</f>
        <v/>
      </c>
      <c r="J1492" s="62">
        <f>IF('Übung 08'!G$41="","",'Übung 08'!G$41)</f>
        <v/>
      </c>
      <c r="K1492" s="62">
        <f>IF('Übung 09'!G$41="","",'Übung 09'!G$41)</f>
        <v/>
      </c>
      <c r="L1492" s="62">
        <f>IF('Übung 10'!G$41="","",'Übung 10'!G$41)</f>
        <v/>
      </c>
      <c r="M1492" s="62">
        <f>IF('Übung 11'!G$41="","",'Übung 11'!G$41)</f>
        <v/>
      </c>
      <c r="N1492" s="62">
        <f>IF('Übung 12'!G$41="","",'Übung 12'!G$41)</f>
        <v/>
      </c>
      <c r="O1492" s="62">
        <f>IF('Übung 13'!G$41="","",'Übung 13'!G$41)</f>
        <v/>
      </c>
      <c r="P1492" s="62">
        <f>IF('Übung 14'!G$41="","",'Übung 14'!G$41)</f>
        <v/>
      </c>
      <c r="Q1492" s="62">
        <f>IF('Übung 15'!G$41="","",'Übung 15'!G$41)</f>
        <v/>
      </c>
      <c r="R1492" s="62">
        <f>IF('Übung 16'!G$41="","",'Übung 16'!G$41)</f>
        <v/>
      </c>
      <c r="S1492" s="62">
        <f>IF('Übung 17'!G$41="","",'Übung 17'!G$41)</f>
        <v/>
      </c>
      <c r="T1492" s="62">
        <f>IF('Übung 18'!G$41="","",'Übung 18'!G$41)</f>
        <v/>
      </c>
      <c r="U1492" s="62">
        <f>IF('Übung 19'!G$41="","",'Übung 19'!G$41)</f>
        <v/>
      </c>
      <c r="V1492" s="62">
        <f>IF('Übung 20'!G$41="","",'Übung 20'!G$41)</f>
        <v/>
      </c>
    </row>
    <row r="1493">
      <c r="C1493" s="62">
        <f>IF('Übung 01'!H$41="","",'Übung 01'!H$41)</f>
        <v/>
      </c>
      <c r="D1493" s="62">
        <f>IF('Übung 02'!H$41="","",'Übung 02'!H$41)</f>
        <v/>
      </c>
      <c r="E1493" s="62">
        <f>IF('Übung 03'!H$41="","",'Übung 03'!H$41)</f>
        <v/>
      </c>
      <c r="F1493" s="62">
        <f>IF('Übung 04'!H$41="","",'Übung 04'!H$41)</f>
        <v/>
      </c>
      <c r="G1493" s="62">
        <f>IF('Übung 05'!H$41="","",'Übung 05'!H$41)</f>
        <v/>
      </c>
      <c r="H1493" s="62">
        <f>IF('Übung 06'!H$41="","",'Übung 06'!H$41)</f>
        <v/>
      </c>
      <c r="I1493" s="62">
        <f>IF('Übung 07'!H$41="","",'Übung 07'!H$41)</f>
        <v/>
      </c>
      <c r="J1493" s="62">
        <f>IF('Übung 08'!H$41="","",'Übung 08'!H$41)</f>
        <v/>
      </c>
      <c r="K1493" s="62">
        <f>IF('Übung 09'!H$41="","",'Übung 09'!H$41)</f>
        <v/>
      </c>
      <c r="L1493" s="62">
        <f>IF('Übung 10'!H$41="","",'Übung 10'!H$41)</f>
        <v/>
      </c>
      <c r="M1493" s="62">
        <f>IF('Übung 11'!H$41="","",'Übung 11'!H$41)</f>
        <v/>
      </c>
      <c r="N1493" s="62">
        <f>IF('Übung 12'!H$41="","",'Übung 12'!H$41)</f>
        <v/>
      </c>
      <c r="O1493" s="62">
        <f>IF('Übung 13'!H$41="","",'Übung 13'!H$41)</f>
        <v/>
      </c>
      <c r="P1493" s="62">
        <f>IF('Übung 14'!H$41="","",'Übung 14'!H$41)</f>
        <v/>
      </c>
      <c r="Q1493" s="62">
        <f>IF('Übung 15'!H$41="","",'Übung 15'!H$41)</f>
        <v/>
      </c>
      <c r="R1493" s="62">
        <f>IF('Übung 16'!H$41="","",'Übung 16'!H$41)</f>
        <v/>
      </c>
      <c r="S1493" s="62">
        <f>IF('Übung 17'!H$41="","",'Übung 17'!H$41)</f>
        <v/>
      </c>
      <c r="T1493" s="62">
        <f>IF('Übung 18'!H$41="","",'Übung 18'!H$41)</f>
        <v/>
      </c>
      <c r="U1493" s="62">
        <f>IF('Übung 19'!H$41="","",'Übung 19'!H$41)</f>
        <v/>
      </c>
      <c r="V1493" s="62">
        <f>IF('Übung 20'!H$41="","",'Übung 20'!H$41)</f>
        <v/>
      </c>
    </row>
    <row r="1494">
      <c r="C1494" s="62">
        <f>IF('Übung 01'!I$41="","",'Übung 01'!I$41)</f>
        <v/>
      </c>
      <c r="D1494" s="62">
        <f>IF('Übung 02'!I$41="","",'Übung 02'!I$41)</f>
        <v/>
      </c>
      <c r="E1494" s="62">
        <f>IF('Übung 03'!I$41="","",'Übung 03'!I$41)</f>
        <v/>
      </c>
      <c r="F1494" s="62">
        <f>IF('Übung 04'!I$41="","",'Übung 04'!I$41)</f>
        <v/>
      </c>
      <c r="G1494" s="62">
        <f>IF('Übung 05'!I$41="","",'Übung 05'!I$41)</f>
        <v/>
      </c>
      <c r="H1494" s="62">
        <f>IF('Übung 06'!I$41="","",'Übung 06'!I$41)</f>
        <v/>
      </c>
      <c r="I1494" s="62">
        <f>IF('Übung 07'!I$41="","",'Übung 07'!I$41)</f>
        <v/>
      </c>
      <c r="J1494" s="62">
        <f>IF('Übung 08'!I$41="","",'Übung 08'!I$41)</f>
        <v/>
      </c>
      <c r="K1494" s="62">
        <f>IF('Übung 09'!I$41="","",'Übung 09'!I$41)</f>
        <v/>
      </c>
      <c r="L1494" s="62">
        <f>IF('Übung 10'!I$41="","",'Übung 10'!I$41)</f>
        <v/>
      </c>
      <c r="M1494" s="62">
        <f>IF('Übung 11'!I$41="","",'Übung 11'!I$41)</f>
        <v/>
      </c>
      <c r="N1494" s="62">
        <f>IF('Übung 12'!I$41="","",'Übung 12'!I$41)</f>
        <v/>
      </c>
      <c r="O1494" s="62">
        <f>IF('Übung 13'!I$41="","",'Übung 13'!I$41)</f>
        <v/>
      </c>
      <c r="P1494" s="62">
        <f>IF('Übung 14'!I$41="","",'Übung 14'!I$41)</f>
        <v/>
      </c>
      <c r="Q1494" s="62">
        <f>IF('Übung 15'!I$41="","",'Übung 15'!I$41)</f>
        <v/>
      </c>
      <c r="R1494" s="62">
        <f>IF('Übung 16'!I$41="","",'Übung 16'!I$41)</f>
        <v/>
      </c>
      <c r="S1494" s="62">
        <f>IF('Übung 17'!I$41="","",'Übung 17'!I$41)</f>
        <v/>
      </c>
      <c r="T1494" s="62">
        <f>IF('Übung 18'!I$41="","",'Übung 18'!I$41)</f>
        <v/>
      </c>
      <c r="U1494" s="62">
        <f>IF('Übung 19'!I$41="","",'Übung 19'!I$41)</f>
        <v/>
      </c>
      <c r="V1494" s="62">
        <f>IF('Übung 20'!I$41="","",'Übung 20'!I$41)</f>
        <v/>
      </c>
    </row>
    <row r="1495">
      <c r="C1495" s="62">
        <f>IF('Übung 01'!J$41="","",'Übung 01'!J$41)</f>
        <v/>
      </c>
      <c r="D1495" s="62">
        <f>IF('Übung 02'!J$41="","",'Übung 02'!J$41)</f>
        <v/>
      </c>
      <c r="E1495" s="62">
        <f>IF('Übung 03'!J$41="","",'Übung 03'!J$41)</f>
        <v/>
      </c>
      <c r="F1495" s="62">
        <f>IF('Übung 04'!J$41="","",'Übung 04'!J$41)</f>
        <v/>
      </c>
      <c r="G1495" s="62">
        <f>IF('Übung 05'!J$41="","",'Übung 05'!J$41)</f>
        <v/>
      </c>
      <c r="H1495" s="62">
        <f>IF('Übung 06'!J$41="","",'Übung 06'!J$41)</f>
        <v/>
      </c>
      <c r="I1495" s="62">
        <f>IF('Übung 07'!J$41="","",'Übung 07'!J$41)</f>
        <v/>
      </c>
      <c r="J1495" s="62">
        <f>IF('Übung 08'!J$41="","",'Übung 08'!J$41)</f>
        <v/>
      </c>
      <c r="K1495" s="62">
        <f>IF('Übung 09'!J$41="","",'Übung 09'!J$41)</f>
        <v/>
      </c>
      <c r="L1495" s="62">
        <f>IF('Übung 10'!J$41="","",'Übung 10'!J$41)</f>
        <v/>
      </c>
      <c r="M1495" s="62">
        <f>IF('Übung 11'!J$41="","",'Übung 11'!J$41)</f>
        <v/>
      </c>
      <c r="N1495" s="62">
        <f>IF('Übung 12'!J$41="","",'Übung 12'!J$41)</f>
        <v/>
      </c>
      <c r="O1495" s="62">
        <f>IF('Übung 13'!J$41="","",'Übung 13'!J$41)</f>
        <v/>
      </c>
      <c r="P1495" s="62">
        <f>IF('Übung 14'!J$41="","",'Übung 14'!J$41)</f>
        <v/>
      </c>
      <c r="Q1495" s="62">
        <f>IF('Übung 15'!J$41="","",'Übung 15'!J$41)</f>
        <v/>
      </c>
      <c r="R1495" s="62">
        <f>IF('Übung 16'!J$41="","",'Übung 16'!J$41)</f>
        <v/>
      </c>
      <c r="S1495" s="62">
        <f>IF('Übung 17'!J$41="","",'Übung 17'!J$41)</f>
        <v/>
      </c>
      <c r="T1495" s="62">
        <f>IF('Übung 18'!J$41="","",'Übung 18'!J$41)</f>
        <v/>
      </c>
      <c r="U1495" s="62">
        <f>IF('Übung 19'!J$41="","",'Übung 19'!J$41)</f>
        <v/>
      </c>
      <c r="V1495" s="62">
        <f>IF('Übung 20'!J$41="","",'Übung 20'!J$41)</f>
        <v/>
      </c>
    </row>
    <row r="1496">
      <c r="C1496" s="62">
        <f>IF('Übung 01'!K$41="","",'Übung 01'!K$41)</f>
        <v/>
      </c>
      <c r="D1496" s="62">
        <f>IF('Übung 02'!K$41="","",'Übung 02'!K$41)</f>
        <v/>
      </c>
      <c r="E1496" s="62">
        <f>IF('Übung 03'!K$41="","",'Übung 03'!K$41)</f>
        <v/>
      </c>
      <c r="F1496" s="62">
        <f>IF('Übung 04'!K$41="","",'Übung 04'!K$41)</f>
        <v/>
      </c>
      <c r="G1496" s="62">
        <f>IF('Übung 05'!K$41="","",'Übung 05'!K$41)</f>
        <v/>
      </c>
      <c r="H1496" s="62">
        <f>IF('Übung 06'!K$41="","",'Übung 06'!K$41)</f>
        <v/>
      </c>
      <c r="I1496" s="62">
        <f>IF('Übung 07'!K$41="","",'Übung 07'!K$41)</f>
        <v/>
      </c>
      <c r="J1496" s="62">
        <f>IF('Übung 08'!K$41="","",'Übung 08'!K$41)</f>
        <v/>
      </c>
      <c r="K1496" s="62">
        <f>IF('Übung 09'!K$41="","",'Übung 09'!K$41)</f>
        <v/>
      </c>
      <c r="L1496" s="62">
        <f>IF('Übung 10'!K$41="","",'Übung 10'!K$41)</f>
        <v/>
      </c>
      <c r="M1496" s="62">
        <f>IF('Übung 11'!K$41="","",'Übung 11'!K$41)</f>
        <v/>
      </c>
      <c r="N1496" s="62">
        <f>IF('Übung 12'!K$41="","",'Übung 12'!K$41)</f>
        <v/>
      </c>
      <c r="O1496" s="62">
        <f>IF('Übung 13'!K$41="","",'Übung 13'!K$41)</f>
        <v/>
      </c>
      <c r="P1496" s="62">
        <f>IF('Übung 14'!K$41="","",'Übung 14'!K$41)</f>
        <v/>
      </c>
      <c r="Q1496" s="62">
        <f>IF('Übung 15'!K$41="","",'Übung 15'!K$41)</f>
        <v/>
      </c>
      <c r="R1496" s="62">
        <f>IF('Übung 16'!K$41="","",'Übung 16'!K$41)</f>
        <v/>
      </c>
      <c r="S1496" s="62">
        <f>IF('Übung 17'!K$41="","",'Übung 17'!K$41)</f>
        <v/>
      </c>
      <c r="T1496" s="62">
        <f>IF('Übung 18'!K$41="","",'Übung 18'!K$41)</f>
        <v/>
      </c>
      <c r="U1496" s="62">
        <f>IF('Übung 19'!K$41="","",'Übung 19'!K$41)</f>
        <v/>
      </c>
      <c r="V1496" s="62">
        <f>IF('Übung 20'!K$41="","",'Übung 20'!K$41)</f>
        <v/>
      </c>
    </row>
    <row r="1497">
      <c r="C1497" s="62">
        <f>IF('Übung 01'!L$41="","",'Übung 01'!L$41)</f>
        <v/>
      </c>
      <c r="D1497" s="62">
        <f>IF('Übung 02'!L$41="","",'Übung 02'!L$41)</f>
        <v/>
      </c>
      <c r="E1497" s="62">
        <f>IF('Übung 03'!L$41="","",'Übung 03'!L$41)</f>
        <v/>
      </c>
      <c r="F1497" s="62">
        <f>IF('Übung 04'!L$41="","",'Übung 04'!L$41)</f>
        <v/>
      </c>
      <c r="G1497" s="62">
        <f>IF('Übung 05'!L$41="","",'Übung 05'!L$41)</f>
        <v/>
      </c>
      <c r="H1497" s="62">
        <f>IF('Übung 06'!L$41="","",'Übung 06'!L$41)</f>
        <v/>
      </c>
      <c r="I1497" s="62">
        <f>IF('Übung 07'!L$41="","",'Übung 07'!L$41)</f>
        <v/>
      </c>
      <c r="J1497" s="62">
        <f>IF('Übung 08'!L$41="","",'Übung 08'!L$41)</f>
        <v/>
      </c>
      <c r="K1497" s="62">
        <f>IF('Übung 09'!L$41="","",'Übung 09'!L$41)</f>
        <v/>
      </c>
      <c r="L1497" s="62">
        <f>IF('Übung 10'!L$41="","",'Übung 10'!L$41)</f>
        <v/>
      </c>
      <c r="M1497" s="62">
        <f>IF('Übung 11'!L$41="","",'Übung 11'!L$41)</f>
        <v/>
      </c>
      <c r="N1497" s="62">
        <f>IF('Übung 12'!L$41="","",'Übung 12'!L$41)</f>
        <v/>
      </c>
      <c r="O1497" s="62">
        <f>IF('Übung 13'!L$41="","",'Übung 13'!L$41)</f>
        <v/>
      </c>
      <c r="P1497" s="62">
        <f>IF('Übung 14'!L$41="","",'Übung 14'!L$41)</f>
        <v/>
      </c>
      <c r="Q1497" s="62">
        <f>IF('Übung 15'!L$41="","",'Übung 15'!L$41)</f>
        <v/>
      </c>
      <c r="R1497" s="62">
        <f>IF('Übung 16'!L$41="","",'Übung 16'!L$41)</f>
        <v/>
      </c>
      <c r="S1497" s="62">
        <f>IF('Übung 17'!L$41="","",'Übung 17'!L$41)</f>
        <v/>
      </c>
      <c r="T1497" s="62">
        <f>IF('Übung 18'!L$41="","",'Übung 18'!L$41)</f>
        <v/>
      </c>
      <c r="U1497" s="62">
        <f>IF('Übung 19'!L$41="","",'Übung 19'!L$41)</f>
        <v/>
      </c>
      <c r="V1497" s="62">
        <f>IF('Übung 20'!L$41="","",'Übung 20'!L$41)</f>
        <v/>
      </c>
    </row>
    <row r="1498">
      <c r="C1498" s="62">
        <f>IF('Übung 01'!M$41="","",'Übung 01'!M$41)</f>
        <v/>
      </c>
      <c r="D1498" s="62">
        <f>IF('Übung 02'!M$41="","",'Übung 02'!M$41)</f>
        <v/>
      </c>
      <c r="E1498" s="62">
        <f>IF('Übung 03'!M$41="","",'Übung 03'!M$41)</f>
        <v/>
      </c>
      <c r="F1498" s="62">
        <f>IF('Übung 04'!M$41="","",'Übung 04'!M$41)</f>
        <v/>
      </c>
      <c r="G1498" s="62">
        <f>IF('Übung 05'!M$41="","",'Übung 05'!M$41)</f>
        <v/>
      </c>
      <c r="H1498" s="62">
        <f>IF('Übung 06'!M$41="","",'Übung 06'!M$41)</f>
        <v/>
      </c>
      <c r="I1498" s="62">
        <f>IF('Übung 07'!M$41="","",'Übung 07'!M$41)</f>
        <v/>
      </c>
      <c r="J1498" s="62">
        <f>IF('Übung 08'!M$41="","",'Übung 08'!M$41)</f>
        <v/>
      </c>
      <c r="K1498" s="62">
        <f>IF('Übung 09'!M$41="","",'Übung 09'!M$41)</f>
        <v/>
      </c>
      <c r="L1498" s="62">
        <f>IF('Übung 10'!M$41="","",'Übung 10'!M$41)</f>
        <v/>
      </c>
      <c r="M1498" s="62">
        <f>IF('Übung 11'!M$41="","",'Übung 11'!M$41)</f>
        <v/>
      </c>
      <c r="N1498" s="62">
        <f>IF('Übung 12'!M$41="","",'Übung 12'!M$41)</f>
        <v/>
      </c>
      <c r="O1498" s="62">
        <f>IF('Übung 13'!M$41="","",'Übung 13'!M$41)</f>
        <v/>
      </c>
      <c r="P1498" s="62">
        <f>IF('Übung 14'!M$41="","",'Übung 14'!M$41)</f>
        <v/>
      </c>
      <c r="Q1498" s="62">
        <f>IF('Übung 15'!M$41="","",'Übung 15'!M$41)</f>
        <v/>
      </c>
      <c r="R1498" s="62">
        <f>IF('Übung 16'!M$41="","",'Übung 16'!M$41)</f>
        <v/>
      </c>
      <c r="S1498" s="62">
        <f>IF('Übung 17'!M$41="","",'Übung 17'!M$41)</f>
        <v/>
      </c>
      <c r="T1498" s="62">
        <f>IF('Übung 18'!M$41="","",'Übung 18'!M$41)</f>
        <v/>
      </c>
      <c r="U1498" s="62">
        <f>IF('Übung 19'!M$41="","",'Übung 19'!M$41)</f>
        <v/>
      </c>
      <c r="V1498" s="62">
        <f>IF('Übung 20'!M$41="","",'Übung 20'!M$41)</f>
        <v/>
      </c>
    </row>
    <row r="1499">
      <c r="C1499" s="62">
        <f>IF('Übung 01'!N$41="","",'Übung 01'!N$41)</f>
        <v/>
      </c>
      <c r="D1499" s="62">
        <f>IF('Übung 02'!N$41="","",'Übung 02'!N$41)</f>
        <v/>
      </c>
      <c r="E1499" s="62">
        <f>IF('Übung 03'!N$41="","",'Übung 03'!N$41)</f>
        <v/>
      </c>
      <c r="F1499" s="62">
        <f>IF('Übung 04'!N$41="","",'Übung 04'!N$41)</f>
        <v/>
      </c>
      <c r="G1499" s="62">
        <f>IF('Übung 05'!N$41="","",'Übung 05'!N$41)</f>
        <v/>
      </c>
      <c r="H1499" s="62">
        <f>IF('Übung 06'!N$41="","",'Übung 06'!N$41)</f>
        <v/>
      </c>
      <c r="I1499" s="62">
        <f>IF('Übung 07'!N$41="","",'Übung 07'!N$41)</f>
        <v/>
      </c>
      <c r="J1499" s="62">
        <f>IF('Übung 08'!N$41="","",'Übung 08'!N$41)</f>
        <v/>
      </c>
      <c r="K1499" s="62">
        <f>IF('Übung 09'!N$41="","",'Übung 09'!N$41)</f>
        <v/>
      </c>
      <c r="L1499" s="62">
        <f>IF('Übung 10'!N$41="","",'Übung 10'!N$41)</f>
        <v/>
      </c>
      <c r="M1499" s="62">
        <f>IF('Übung 11'!N$41="","",'Übung 11'!N$41)</f>
        <v/>
      </c>
      <c r="N1499" s="62">
        <f>IF('Übung 12'!N$41="","",'Übung 12'!N$41)</f>
        <v/>
      </c>
      <c r="O1499" s="62">
        <f>IF('Übung 13'!N$41="","",'Übung 13'!N$41)</f>
        <v/>
      </c>
      <c r="P1499" s="62">
        <f>IF('Übung 14'!N$41="","",'Übung 14'!N$41)</f>
        <v/>
      </c>
      <c r="Q1499" s="62">
        <f>IF('Übung 15'!N$41="","",'Übung 15'!N$41)</f>
        <v/>
      </c>
      <c r="R1499" s="62">
        <f>IF('Übung 16'!N$41="","",'Übung 16'!N$41)</f>
        <v/>
      </c>
      <c r="S1499" s="62">
        <f>IF('Übung 17'!N$41="","",'Übung 17'!N$41)</f>
        <v/>
      </c>
      <c r="T1499" s="62">
        <f>IF('Übung 18'!N$41="","",'Übung 18'!N$41)</f>
        <v/>
      </c>
      <c r="U1499" s="62">
        <f>IF('Übung 19'!N$41="","",'Übung 19'!N$41)</f>
        <v/>
      </c>
      <c r="V1499" s="62">
        <f>IF('Übung 20'!N$41="","",'Übung 20'!N$41)</f>
        <v/>
      </c>
    </row>
    <row r="1500">
      <c r="C1500" s="62">
        <f>IF('Übung 01'!O$41="","",'Übung 01'!O$41)</f>
        <v/>
      </c>
      <c r="D1500" s="62">
        <f>IF('Übung 02'!O$41="","",'Übung 02'!O$41)</f>
        <v/>
      </c>
      <c r="E1500" s="62">
        <f>IF('Übung 03'!O$41="","",'Übung 03'!O$41)</f>
        <v/>
      </c>
      <c r="F1500" s="62">
        <f>IF('Übung 04'!O$41="","",'Übung 04'!O$41)</f>
        <v/>
      </c>
      <c r="G1500" s="62">
        <f>IF('Übung 05'!O$41="","",'Übung 05'!O$41)</f>
        <v/>
      </c>
      <c r="H1500" s="62">
        <f>IF('Übung 06'!O$41="","",'Übung 06'!O$41)</f>
        <v/>
      </c>
      <c r="I1500" s="62">
        <f>IF('Übung 07'!O$41="","",'Übung 07'!O$41)</f>
        <v/>
      </c>
      <c r="J1500" s="62">
        <f>IF('Übung 08'!O$41="","",'Übung 08'!O$41)</f>
        <v/>
      </c>
      <c r="K1500" s="62">
        <f>IF('Übung 09'!O$41="","",'Übung 09'!O$41)</f>
        <v/>
      </c>
      <c r="L1500" s="62">
        <f>IF('Übung 10'!O$41="","",'Übung 10'!O$41)</f>
        <v/>
      </c>
      <c r="M1500" s="62">
        <f>IF('Übung 11'!O$41="","",'Übung 11'!O$41)</f>
        <v/>
      </c>
      <c r="N1500" s="62">
        <f>IF('Übung 12'!O$41="","",'Übung 12'!O$41)</f>
        <v/>
      </c>
      <c r="O1500" s="62">
        <f>IF('Übung 13'!O$41="","",'Übung 13'!O$41)</f>
        <v/>
      </c>
      <c r="P1500" s="62">
        <f>IF('Übung 14'!O$41="","",'Übung 14'!O$41)</f>
        <v/>
      </c>
      <c r="Q1500" s="62">
        <f>IF('Übung 15'!O$41="","",'Übung 15'!O$41)</f>
        <v/>
      </c>
      <c r="R1500" s="62">
        <f>IF('Übung 16'!O$41="","",'Übung 16'!O$41)</f>
        <v/>
      </c>
      <c r="S1500" s="62">
        <f>IF('Übung 17'!O$41="","",'Übung 17'!O$41)</f>
        <v/>
      </c>
      <c r="T1500" s="62">
        <f>IF('Übung 18'!O$41="","",'Übung 18'!O$41)</f>
        <v/>
      </c>
      <c r="U1500" s="62">
        <f>IF('Übung 19'!O$41="","",'Übung 19'!O$41)</f>
        <v/>
      </c>
      <c r="V1500" s="62">
        <f>IF('Übung 20'!O$41="","",'Übung 20'!O$41)</f>
        <v/>
      </c>
    </row>
    <row r="1501">
      <c r="C1501" s="62">
        <f>IF('Übung 01'!P$41="","",'Übung 01'!P$41)</f>
        <v/>
      </c>
      <c r="D1501" s="62">
        <f>IF('Übung 02'!P$41="","",'Übung 02'!P$41)</f>
        <v/>
      </c>
      <c r="E1501" s="62">
        <f>IF('Übung 03'!P$41="","",'Übung 03'!P$41)</f>
        <v/>
      </c>
      <c r="F1501" s="62">
        <f>IF('Übung 04'!P$41="","",'Übung 04'!P$41)</f>
        <v/>
      </c>
      <c r="G1501" s="62">
        <f>IF('Übung 05'!P$41="","",'Übung 05'!P$41)</f>
        <v/>
      </c>
      <c r="H1501" s="62">
        <f>IF('Übung 06'!P$41="","",'Übung 06'!P$41)</f>
        <v/>
      </c>
      <c r="I1501" s="62">
        <f>IF('Übung 07'!P$41="","",'Übung 07'!P$41)</f>
        <v/>
      </c>
      <c r="J1501" s="62">
        <f>IF('Übung 08'!P$41="","",'Übung 08'!P$41)</f>
        <v/>
      </c>
      <c r="K1501" s="62">
        <f>IF('Übung 09'!P$41="","",'Übung 09'!P$41)</f>
        <v/>
      </c>
      <c r="L1501" s="62">
        <f>IF('Übung 10'!P$41="","",'Übung 10'!P$41)</f>
        <v/>
      </c>
      <c r="M1501" s="62">
        <f>IF('Übung 11'!P$41="","",'Übung 11'!P$41)</f>
        <v/>
      </c>
      <c r="N1501" s="62">
        <f>IF('Übung 12'!P$41="","",'Übung 12'!P$41)</f>
        <v/>
      </c>
      <c r="O1501" s="62">
        <f>IF('Übung 13'!P$41="","",'Übung 13'!P$41)</f>
        <v/>
      </c>
      <c r="P1501" s="62">
        <f>IF('Übung 14'!P$41="","",'Übung 14'!P$41)</f>
        <v/>
      </c>
      <c r="Q1501" s="62">
        <f>IF('Übung 15'!P$41="","",'Übung 15'!P$41)</f>
        <v/>
      </c>
      <c r="R1501" s="62">
        <f>IF('Übung 16'!P$41="","",'Übung 16'!P$41)</f>
        <v/>
      </c>
      <c r="S1501" s="62">
        <f>IF('Übung 17'!P$41="","",'Übung 17'!P$41)</f>
        <v/>
      </c>
      <c r="T1501" s="62">
        <f>IF('Übung 18'!P$41="","",'Übung 18'!P$41)</f>
        <v/>
      </c>
      <c r="U1501" s="62">
        <f>IF('Übung 19'!P$41="","",'Übung 19'!P$41)</f>
        <v/>
      </c>
      <c r="V1501" s="62">
        <f>IF('Übung 20'!P$41="","",'Übung 20'!P$41)</f>
        <v/>
      </c>
    </row>
    <row r="1502">
      <c r="C1502" s="62">
        <f>IF('Übung 01'!Q$41="","",'Übung 01'!Q$41)</f>
        <v/>
      </c>
      <c r="D1502" s="62">
        <f>IF('Übung 02'!Q$41="","",'Übung 02'!Q$41)</f>
        <v/>
      </c>
      <c r="E1502" s="62">
        <f>IF('Übung 03'!Q$41="","",'Übung 03'!Q$41)</f>
        <v/>
      </c>
      <c r="F1502" s="62">
        <f>IF('Übung 04'!Q$41="","",'Übung 04'!Q$41)</f>
        <v/>
      </c>
      <c r="G1502" s="62">
        <f>IF('Übung 05'!Q$41="","",'Übung 05'!Q$41)</f>
        <v/>
      </c>
      <c r="H1502" s="62">
        <f>IF('Übung 06'!Q$41="","",'Übung 06'!Q$41)</f>
        <v/>
      </c>
      <c r="I1502" s="62">
        <f>IF('Übung 07'!Q$41="","",'Übung 07'!Q$41)</f>
        <v/>
      </c>
      <c r="J1502" s="62">
        <f>IF('Übung 08'!Q$41="","",'Übung 08'!Q$41)</f>
        <v/>
      </c>
      <c r="K1502" s="62">
        <f>IF('Übung 09'!Q$41="","",'Übung 09'!Q$41)</f>
        <v/>
      </c>
      <c r="L1502" s="62">
        <f>IF('Übung 10'!Q$41="","",'Übung 10'!Q$41)</f>
        <v/>
      </c>
      <c r="M1502" s="62">
        <f>IF('Übung 11'!Q$41="","",'Übung 11'!Q$41)</f>
        <v/>
      </c>
      <c r="N1502" s="62">
        <f>IF('Übung 12'!Q$41="","",'Übung 12'!Q$41)</f>
        <v/>
      </c>
      <c r="O1502" s="62">
        <f>IF('Übung 13'!Q$41="","",'Übung 13'!Q$41)</f>
        <v/>
      </c>
      <c r="P1502" s="62">
        <f>IF('Übung 14'!Q$41="","",'Übung 14'!Q$41)</f>
        <v/>
      </c>
      <c r="Q1502" s="62">
        <f>IF('Übung 15'!Q$41="","",'Übung 15'!Q$41)</f>
        <v/>
      </c>
      <c r="R1502" s="62">
        <f>IF('Übung 16'!Q$41="","",'Übung 16'!Q$41)</f>
        <v/>
      </c>
      <c r="S1502" s="62">
        <f>IF('Übung 17'!Q$41="","",'Übung 17'!Q$41)</f>
        <v/>
      </c>
      <c r="T1502" s="62">
        <f>IF('Übung 18'!Q$41="","",'Übung 18'!Q$41)</f>
        <v/>
      </c>
      <c r="U1502" s="62">
        <f>IF('Übung 19'!Q$41="","",'Übung 19'!Q$41)</f>
        <v/>
      </c>
      <c r="V1502" s="62">
        <f>IF('Übung 20'!Q$41="","",'Übung 20'!Q$41)</f>
        <v/>
      </c>
    </row>
    <row r="1503">
      <c r="C1503" s="62">
        <f>IF('Übung 01'!R$41="","",'Übung 01'!R$41)</f>
        <v/>
      </c>
      <c r="D1503" s="62">
        <f>IF('Übung 02'!R$41="","",'Übung 02'!R$41)</f>
        <v/>
      </c>
      <c r="E1503" s="62">
        <f>IF('Übung 03'!R$41="","",'Übung 03'!R$41)</f>
        <v/>
      </c>
      <c r="F1503" s="62">
        <f>IF('Übung 04'!R$41="","",'Übung 04'!R$41)</f>
        <v/>
      </c>
      <c r="G1503" s="62">
        <f>IF('Übung 05'!R$41="","",'Übung 05'!R$41)</f>
        <v/>
      </c>
      <c r="H1503" s="62">
        <f>IF('Übung 06'!R$41="","",'Übung 06'!R$41)</f>
        <v/>
      </c>
      <c r="I1503" s="62">
        <f>IF('Übung 07'!R$41="","",'Übung 07'!R$41)</f>
        <v/>
      </c>
      <c r="J1503" s="62">
        <f>IF('Übung 08'!R$41="","",'Übung 08'!R$41)</f>
        <v/>
      </c>
      <c r="K1503" s="62">
        <f>IF('Übung 09'!R$41="","",'Übung 09'!R$41)</f>
        <v/>
      </c>
      <c r="L1503" s="62">
        <f>IF('Übung 10'!R$41="","",'Übung 10'!R$41)</f>
        <v/>
      </c>
      <c r="M1503" s="62">
        <f>IF('Übung 11'!R$41="","",'Übung 11'!R$41)</f>
        <v/>
      </c>
      <c r="N1503" s="62">
        <f>IF('Übung 12'!R$41="","",'Übung 12'!R$41)</f>
        <v/>
      </c>
      <c r="O1503" s="62">
        <f>IF('Übung 13'!R$41="","",'Übung 13'!R$41)</f>
        <v/>
      </c>
      <c r="P1503" s="62">
        <f>IF('Übung 14'!R$41="","",'Übung 14'!R$41)</f>
        <v/>
      </c>
      <c r="Q1503" s="62">
        <f>IF('Übung 15'!R$41="","",'Übung 15'!R$41)</f>
        <v/>
      </c>
      <c r="R1503" s="62">
        <f>IF('Übung 16'!R$41="","",'Übung 16'!R$41)</f>
        <v/>
      </c>
      <c r="S1503" s="62">
        <f>IF('Übung 17'!R$41="","",'Übung 17'!R$41)</f>
        <v/>
      </c>
      <c r="T1503" s="62">
        <f>IF('Übung 18'!R$41="","",'Übung 18'!R$41)</f>
        <v/>
      </c>
      <c r="U1503" s="62">
        <f>IF('Übung 19'!R$41="","",'Übung 19'!R$41)</f>
        <v/>
      </c>
      <c r="V1503" s="62">
        <f>IF('Übung 20'!R$41="","",'Übung 20'!R$41)</f>
        <v/>
      </c>
    </row>
    <row r="1504">
      <c r="C1504" s="62">
        <f>IF('Übung 01'!S$41="","",'Übung 01'!S$41)</f>
        <v/>
      </c>
      <c r="D1504" s="62">
        <f>IF('Übung 02'!S$41="","",'Übung 02'!S$41)</f>
        <v/>
      </c>
      <c r="E1504" s="62">
        <f>IF('Übung 03'!S$41="","",'Übung 03'!S$41)</f>
        <v/>
      </c>
      <c r="F1504" s="62">
        <f>IF('Übung 04'!S$41="","",'Übung 04'!S$41)</f>
        <v/>
      </c>
      <c r="G1504" s="62">
        <f>IF('Übung 05'!S$41="","",'Übung 05'!S$41)</f>
        <v/>
      </c>
      <c r="H1504" s="62">
        <f>IF('Übung 06'!S$41="","",'Übung 06'!S$41)</f>
        <v/>
      </c>
      <c r="I1504" s="62">
        <f>IF('Übung 07'!S$41="","",'Übung 07'!S$41)</f>
        <v/>
      </c>
      <c r="J1504" s="62">
        <f>IF('Übung 08'!S$41="","",'Übung 08'!S$41)</f>
        <v/>
      </c>
      <c r="K1504" s="62">
        <f>IF('Übung 09'!S$41="","",'Übung 09'!S$41)</f>
        <v/>
      </c>
      <c r="L1504" s="62">
        <f>IF('Übung 10'!S$41="","",'Übung 10'!S$41)</f>
        <v/>
      </c>
      <c r="M1504" s="62">
        <f>IF('Übung 11'!S$41="","",'Übung 11'!S$41)</f>
        <v/>
      </c>
      <c r="N1504" s="62">
        <f>IF('Übung 12'!S$41="","",'Übung 12'!S$41)</f>
        <v/>
      </c>
      <c r="O1504" s="62">
        <f>IF('Übung 13'!S$41="","",'Übung 13'!S$41)</f>
        <v/>
      </c>
      <c r="P1504" s="62">
        <f>IF('Übung 14'!S$41="","",'Übung 14'!S$41)</f>
        <v/>
      </c>
      <c r="Q1504" s="62">
        <f>IF('Übung 15'!S$41="","",'Übung 15'!S$41)</f>
        <v/>
      </c>
      <c r="R1504" s="62">
        <f>IF('Übung 16'!S$41="","",'Übung 16'!S$41)</f>
        <v/>
      </c>
      <c r="S1504" s="62">
        <f>IF('Übung 17'!S$41="","",'Übung 17'!S$41)</f>
        <v/>
      </c>
      <c r="T1504" s="62">
        <f>IF('Übung 18'!S$41="","",'Übung 18'!S$41)</f>
        <v/>
      </c>
      <c r="U1504" s="62">
        <f>IF('Übung 19'!S$41="","",'Übung 19'!S$41)</f>
        <v/>
      </c>
      <c r="V1504" s="62">
        <f>IF('Übung 20'!S$41="","",'Übung 20'!S$41)</f>
        <v/>
      </c>
    </row>
    <row r="1505">
      <c r="C1505" s="62">
        <f>IF('Übung 01'!T$41="","",'Übung 01'!T$41)</f>
        <v/>
      </c>
      <c r="D1505" s="62">
        <f>IF('Übung 02'!T$41="","",'Übung 02'!T$41)</f>
        <v/>
      </c>
      <c r="E1505" s="62">
        <f>IF('Übung 03'!T$41="","",'Übung 03'!T$41)</f>
        <v/>
      </c>
      <c r="F1505" s="62">
        <f>IF('Übung 04'!T$41="","",'Übung 04'!T$41)</f>
        <v/>
      </c>
      <c r="G1505" s="62">
        <f>IF('Übung 05'!T$41="","",'Übung 05'!T$41)</f>
        <v/>
      </c>
      <c r="H1505" s="62">
        <f>IF('Übung 06'!T$41="","",'Übung 06'!T$41)</f>
        <v/>
      </c>
      <c r="I1505" s="62">
        <f>IF('Übung 07'!T$41="","",'Übung 07'!T$41)</f>
        <v/>
      </c>
      <c r="J1505" s="62">
        <f>IF('Übung 08'!T$41="","",'Übung 08'!T$41)</f>
        <v/>
      </c>
      <c r="K1505" s="62">
        <f>IF('Übung 09'!T$41="","",'Übung 09'!T$41)</f>
        <v/>
      </c>
      <c r="L1505" s="62">
        <f>IF('Übung 10'!T$41="","",'Übung 10'!T$41)</f>
        <v/>
      </c>
      <c r="M1505" s="62">
        <f>IF('Übung 11'!T$41="","",'Übung 11'!T$41)</f>
        <v/>
      </c>
      <c r="N1505" s="62">
        <f>IF('Übung 12'!T$41="","",'Übung 12'!T$41)</f>
        <v/>
      </c>
      <c r="O1505" s="62">
        <f>IF('Übung 13'!T$41="","",'Übung 13'!T$41)</f>
        <v/>
      </c>
      <c r="P1505" s="62">
        <f>IF('Übung 14'!T$41="","",'Übung 14'!T$41)</f>
        <v/>
      </c>
      <c r="Q1505" s="62">
        <f>IF('Übung 15'!T$41="","",'Übung 15'!T$41)</f>
        <v/>
      </c>
      <c r="R1505" s="62">
        <f>IF('Übung 16'!T$41="","",'Übung 16'!T$41)</f>
        <v/>
      </c>
      <c r="S1505" s="62">
        <f>IF('Übung 17'!T$41="","",'Übung 17'!T$41)</f>
        <v/>
      </c>
      <c r="T1505" s="62">
        <f>IF('Übung 18'!T$41="","",'Übung 18'!T$41)</f>
        <v/>
      </c>
      <c r="U1505" s="62">
        <f>IF('Übung 19'!T$41="","",'Übung 19'!T$41)</f>
        <v/>
      </c>
      <c r="V1505" s="62">
        <f>IF('Übung 20'!T$41="","",'Übung 20'!T$41)</f>
        <v/>
      </c>
    </row>
    <row r="1506">
      <c r="C1506" s="62">
        <f>IF('Übung 01'!U$41="","",'Übung 01'!U$41)</f>
        <v/>
      </c>
      <c r="D1506" s="62">
        <f>IF('Übung 02'!U$41="","",'Übung 02'!U$41)</f>
        <v/>
      </c>
      <c r="E1506" s="62">
        <f>IF('Übung 03'!U$41="","",'Übung 03'!U$41)</f>
        <v/>
      </c>
      <c r="F1506" s="62">
        <f>IF('Übung 04'!U$41="","",'Übung 04'!U$41)</f>
        <v/>
      </c>
      <c r="G1506" s="62">
        <f>IF('Übung 05'!U$41="","",'Übung 05'!U$41)</f>
        <v/>
      </c>
      <c r="H1506" s="62">
        <f>IF('Übung 06'!U$41="","",'Übung 06'!U$41)</f>
        <v/>
      </c>
      <c r="I1506" s="62">
        <f>IF('Übung 07'!U$41="","",'Übung 07'!U$41)</f>
        <v/>
      </c>
      <c r="J1506" s="62">
        <f>IF('Übung 08'!U$41="","",'Übung 08'!U$41)</f>
        <v/>
      </c>
      <c r="K1506" s="62">
        <f>IF('Übung 09'!U$41="","",'Übung 09'!U$41)</f>
        <v/>
      </c>
      <c r="L1506" s="62">
        <f>IF('Übung 10'!U$41="","",'Übung 10'!U$41)</f>
        <v/>
      </c>
      <c r="M1506" s="62">
        <f>IF('Übung 11'!U$41="","",'Übung 11'!U$41)</f>
        <v/>
      </c>
      <c r="N1506" s="62">
        <f>IF('Übung 12'!U$41="","",'Übung 12'!U$41)</f>
        <v/>
      </c>
      <c r="O1506" s="62">
        <f>IF('Übung 13'!U$41="","",'Übung 13'!U$41)</f>
        <v/>
      </c>
      <c r="P1506" s="62">
        <f>IF('Übung 14'!U$41="","",'Übung 14'!U$41)</f>
        <v/>
      </c>
      <c r="Q1506" s="62">
        <f>IF('Übung 15'!U$41="","",'Übung 15'!U$41)</f>
        <v/>
      </c>
      <c r="R1506" s="62">
        <f>IF('Übung 16'!U$41="","",'Übung 16'!U$41)</f>
        <v/>
      </c>
      <c r="S1506" s="62">
        <f>IF('Übung 17'!U$41="","",'Übung 17'!U$41)</f>
        <v/>
      </c>
      <c r="T1506" s="62">
        <f>IF('Übung 18'!U$41="","",'Übung 18'!U$41)</f>
        <v/>
      </c>
      <c r="U1506" s="62">
        <f>IF('Übung 19'!U$41="","",'Übung 19'!U$41)</f>
        <v/>
      </c>
      <c r="V1506" s="62">
        <f>IF('Übung 20'!U$41="","",'Übung 20'!U$41)</f>
        <v/>
      </c>
    </row>
    <row r="1507">
      <c r="C1507" s="62">
        <f>IF('Übung 01'!V$41="","",'Übung 01'!V$41)</f>
        <v/>
      </c>
      <c r="D1507" s="62">
        <f>IF('Übung 02'!V$41="","",'Übung 02'!V$41)</f>
        <v/>
      </c>
      <c r="E1507" s="62">
        <f>IF('Übung 03'!V$41="","",'Übung 03'!V$41)</f>
        <v/>
      </c>
      <c r="F1507" s="62">
        <f>IF('Übung 04'!V$41="","",'Übung 04'!V$41)</f>
        <v/>
      </c>
      <c r="G1507" s="62">
        <f>IF('Übung 05'!V$41="","",'Übung 05'!V$41)</f>
        <v/>
      </c>
      <c r="H1507" s="62">
        <f>IF('Übung 06'!V$41="","",'Übung 06'!V$41)</f>
        <v/>
      </c>
      <c r="I1507" s="62">
        <f>IF('Übung 07'!V$41="","",'Übung 07'!V$41)</f>
        <v/>
      </c>
      <c r="J1507" s="62">
        <f>IF('Übung 08'!V$41="","",'Übung 08'!V$41)</f>
        <v/>
      </c>
      <c r="K1507" s="62">
        <f>IF('Übung 09'!V$41="","",'Übung 09'!V$41)</f>
        <v/>
      </c>
      <c r="L1507" s="62">
        <f>IF('Übung 10'!V$41="","",'Übung 10'!V$41)</f>
        <v/>
      </c>
      <c r="M1507" s="62">
        <f>IF('Übung 11'!V$41="","",'Übung 11'!V$41)</f>
        <v/>
      </c>
      <c r="N1507" s="62">
        <f>IF('Übung 12'!V$41="","",'Übung 12'!V$41)</f>
        <v/>
      </c>
      <c r="O1507" s="62">
        <f>IF('Übung 13'!V$41="","",'Übung 13'!V$41)</f>
        <v/>
      </c>
      <c r="P1507" s="62">
        <f>IF('Übung 14'!V$41="","",'Übung 14'!V$41)</f>
        <v/>
      </c>
      <c r="Q1507" s="62">
        <f>IF('Übung 15'!V$41="","",'Übung 15'!V$41)</f>
        <v/>
      </c>
      <c r="R1507" s="62">
        <f>IF('Übung 16'!V$41="","",'Übung 16'!V$41)</f>
        <v/>
      </c>
      <c r="S1507" s="62">
        <f>IF('Übung 17'!V$41="","",'Übung 17'!V$41)</f>
        <v/>
      </c>
      <c r="T1507" s="62">
        <f>IF('Übung 18'!V$41="","",'Übung 18'!V$41)</f>
        <v/>
      </c>
      <c r="U1507" s="62">
        <f>IF('Übung 19'!V$41="","",'Übung 19'!V$41)</f>
        <v/>
      </c>
      <c r="V1507" s="62">
        <f>IF('Übung 20'!V$41="","",'Übung 20'!V$41)</f>
        <v/>
      </c>
    </row>
    <row r="1508">
      <c r="C1508" s="62">
        <f>IF('Übung 01'!W$41="","",'Übung 01'!W$41)</f>
        <v/>
      </c>
      <c r="D1508" s="62">
        <f>IF('Übung 02'!W$41="","",'Übung 02'!W$41)</f>
        <v/>
      </c>
      <c r="E1508" s="62">
        <f>IF('Übung 03'!W$41="","",'Übung 03'!W$41)</f>
        <v/>
      </c>
      <c r="F1508" s="62">
        <f>IF('Übung 04'!W$41="","",'Übung 04'!W$41)</f>
        <v/>
      </c>
      <c r="G1508" s="62">
        <f>IF('Übung 05'!W$41="","",'Übung 05'!W$41)</f>
        <v/>
      </c>
      <c r="H1508" s="62">
        <f>IF('Übung 06'!W$41="","",'Übung 06'!W$41)</f>
        <v/>
      </c>
      <c r="I1508" s="62">
        <f>IF('Übung 07'!W$41="","",'Übung 07'!W$41)</f>
        <v/>
      </c>
      <c r="J1508" s="62">
        <f>IF('Übung 08'!W$41="","",'Übung 08'!W$41)</f>
        <v/>
      </c>
      <c r="K1508" s="62">
        <f>IF('Übung 09'!W$41="","",'Übung 09'!W$41)</f>
        <v/>
      </c>
      <c r="L1508" s="62">
        <f>IF('Übung 10'!W$41="","",'Übung 10'!W$41)</f>
        <v/>
      </c>
      <c r="M1508" s="62">
        <f>IF('Übung 11'!W$41="","",'Übung 11'!W$41)</f>
        <v/>
      </c>
      <c r="N1508" s="62">
        <f>IF('Übung 12'!W$41="","",'Übung 12'!W$41)</f>
        <v/>
      </c>
      <c r="O1508" s="62">
        <f>IF('Übung 13'!W$41="","",'Übung 13'!W$41)</f>
        <v/>
      </c>
      <c r="P1508" s="62">
        <f>IF('Übung 14'!W$41="","",'Übung 14'!W$41)</f>
        <v/>
      </c>
      <c r="Q1508" s="62">
        <f>IF('Übung 15'!W$41="","",'Übung 15'!W$41)</f>
        <v/>
      </c>
      <c r="R1508" s="62">
        <f>IF('Übung 16'!W$41="","",'Übung 16'!W$41)</f>
        <v/>
      </c>
      <c r="S1508" s="62">
        <f>IF('Übung 17'!W$41="","",'Übung 17'!W$41)</f>
        <v/>
      </c>
      <c r="T1508" s="62">
        <f>IF('Übung 18'!W$41="","",'Übung 18'!W$41)</f>
        <v/>
      </c>
      <c r="U1508" s="62">
        <f>IF('Übung 19'!W$41="","",'Übung 19'!W$41)</f>
        <v/>
      </c>
      <c r="V1508" s="62">
        <f>IF('Übung 20'!W$41="","",'Übung 20'!W$41)</f>
        <v/>
      </c>
    </row>
    <row r="1509">
      <c r="C1509" s="62">
        <f>IF('Übung 01'!X$41="","",'Übung 01'!X$41)</f>
        <v/>
      </c>
      <c r="D1509" s="62">
        <f>IF('Übung 02'!X$41="","",'Übung 02'!X$41)</f>
        <v/>
      </c>
      <c r="E1509" s="62">
        <f>IF('Übung 03'!X$41="","",'Übung 03'!X$41)</f>
        <v/>
      </c>
      <c r="F1509" s="62">
        <f>IF('Übung 04'!X$41="","",'Übung 04'!X$41)</f>
        <v/>
      </c>
      <c r="G1509" s="62">
        <f>IF('Übung 05'!X$41="","",'Übung 05'!X$41)</f>
        <v/>
      </c>
      <c r="H1509" s="62">
        <f>IF('Übung 06'!X$41="","",'Übung 06'!X$41)</f>
        <v/>
      </c>
      <c r="I1509" s="62">
        <f>IF('Übung 07'!X$41="","",'Übung 07'!X$41)</f>
        <v/>
      </c>
      <c r="J1509" s="62">
        <f>IF('Übung 08'!X$41="","",'Übung 08'!X$41)</f>
        <v/>
      </c>
      <c r="K1509" s="62">
        <f>IF('Übung 09'!X$41="","",'Übung 09'!X$41)</f>
        <v/>
      </c>
      <c r="L1509" s="62">
        <f>IF('Übung 10'!X$41="","",'Übung 10'!X$41)</f>
        <v/>
      </c>
      <c r="M1509" s="62">
        <f>IF('Übung 11'!X$41="","",'Übung 11'!X$41)</f>
        <v/>
      </c>
      <c r="N1509" s="62">
        <f>IF('Übung 12'!X$41="","",'Übung 12'!X$41)</f>
        <v/>
      </c>
      <c r="O1509" s="62">
        <f>IF('Übung 13'!X$41="","",'Übung 13'!X$41)</f>
        <v/>
      </c>
      <c r="P1509" s="62">
        <f>IF('Übung 14'!X$41="","",'Übung 14'!X$41)</f>
        <v/>
      </c>
      <c r="Q1509" s="62">
        <f>IF('Übung 15'!X$41="","",'Übung 15'!X$41)</f>
        <v/>
      </c>
      <c r="R1509" s="62">
        <f>IF('Übung 16'!X$41="","",'Übung 16'!X$41)</f>
        <v/>
      </c>
      <c r="S1509" s="62">
        <f>IF('Übung 17'!X$41="","",'Übung 17'!X$41)</f>
        <v/>
      </c>
      <c r="T1509" s="62">
        <f>IF('Übung 18'!X$41="","",'Übung 18'!X$41)</f>
        <v/>
      </c>
      <c r="U1509" s="62">
        <f>IF('Übung 19'!X$41="","",'Übung 19'!X$41)</f>
        <v/>
      </c>
      <c r="V1509" s="62">
        <f>IF('Übung 20'!X$41="","",'Übung 20'!X$41)</f>
        <v/>
      </c>
    </row>
    <row r="1510">
      <c r="C1510" s="62">
        <f>IF('Übung 01'!Y$41="","",'Übung 01'!Y$41)</f>
        <v/>
      </c>
      <c r="D1510" s="62">
        <f>IF('Übung 02'!Y$41="","",'Übung 02'!Y$41)</f>
        <v/>
      </c>
      <c r="E1510" s="62">
        <f>IF('Übung 03'!Y$41="","",'Übung 03'!Y$41)</f>
        <v/>
      </c>
      <c r="F1510" s="62">
        <f>IF('Übung 04'!Y$41="","",'Übung 04'!Y$41)</f>
        <v/>
      </c>
      <c r="G1510" s="62">
        <f>IF('Übung 05'!Y$41="","",'Übung 05'!Y$41)</f>
        <v/>
      </c>
      <c r="H1510" s="62">
        <f>IF('Übung 06'!Y$41="","",'Übung 06'!Y$41)</f>
        <v/>
      </c>
      <c r="I1510" s="62">
        <f>IF('Übung 07'!Y$41="","",'Übung 07'!Y$41)</f>
        <v/>
      </c>
      <c r="J1510" s="62">
        <f>IF('Übung 08'!Y$41="","",'Übung 08'!Y$41)</f>
        <v/>
      </c>
      <c r="K1510" s="62">
        <f>IF('Übung 09'!Y$41="","",'Übung 09'!Y$41)</f>
        <v/>
      </c>
      <c r="L1510" s="62">
        <f>IF('Übung 10'!Y$41="","",'Übung 10'!Y$41)</f>
        <v/>
      </c>
      <c r="M1510" s="62">
        <f>IF('Übung 11'!Y$41="","",'Übung 11'!Y$41)</f>
        <v/>
      </c>
      <c r="N1510" s="62">
        <f>IF('Übung 12'!Y$41="","",'Übung 12'!Y$41)</f>
        <v/>
      </c>
      <c r="O1510" s="62">
        <f>IF('Übung 13'!Y$41="","",'Übung 13'!Y$41)</f>
        <v/>
      </c>
      <c r="P1510" s="62">
        <f>IF('Übung 14'!Y$41="","",'Übung 14'!Y$41)</f>
        <v/>
      </c>
      <c r="Q1510" s="62">
        <f>IF('Übung 15'!Y$41="","",'Übung 15'!Y$41)</f>
        <v/>
      </c>
      <c r="R1510" s="62">
        <f>IF('Übung 16'!Y$41="","",'Übung 16'!Y$41)</f>
        <v/>
      </c>
      <c r="S1510" s="62">
        <f>IF('Übung 17'!Y$41="","",'Übung 17'!Y$41)</f>
        <v/>
      </c>
      <c r="T1510" s="62">
        <f>IF('Übung 18'!Y$41="","",'Übung 18'!Y$41)</f>
        <v/>
      </c>
      <c r="U1510" s="62">
        <f>IF('Übung 19'!Y$41="","",'Übung 19'!Y$41)</f>
        <v/>
      </c>
      <c r="V1510" s="62">
        <f>IF('Übung 20'!Y$41="","",'Übung 20'!Y$41)</f>
        <v/>
      </c>
    </row>
    <row r="1511">
      <c r="C1511" s="62">
        <f>IF('Übung 01'!Z$41="","",'Übung 01'!Z$41)</f>
        <v/>
      </c>
      <c r="D1511" s="62">
        <f>IF('Übung 02'!Z$41="","",'Übung 02'!Z$41)</f>
        <v/>
      </c>
      <c r="E1511" s="62">
        <f>IF('Übung 03'!Z$41="","",'Übung 03'!Z$41)</f>
        <v/>
      </c>
      <c r="F1511" s="62">
        <f>IF('Übung 04'!Z$41="","",'Übung 04'!Z$41)</f>
        <v/>
      </c>
      <c r="G1511" s="62">
        <f>IF('Übung 05'!Z$41="","",'Übung 05'!Z$41)</f>
        <v/>
      </c>
      <c r="H1511" s="62">
        <f>IF('Übung 06'!Z$41="","",'Übung 06'!Z$41)</f>
        <v/>
      </c>
      <c r="I1511" s="62">
        <f>IF('Übung 07'!Z$41="","",'Übung 07'!Z$41)</f>
        <v/>
      </c>
      <c r="J1511" s="62">
        <f>IF('Übung 08'!Z$41="","",'Übung 08'!Z$41)</f>
        <v/>
      </c>
      <c r="K1511" s="62">
        <f>IF('Übung 09'!Z$41="","",'Übung 09'!Z$41)</f>
        <v/>
      </c>
      <c r="L1511" s="62">
        <f>IF('Übung 10'!Z$41="","",'Übung 10'!Z$41)</f>
        <v/>
      </c>
      <c r="M1511" s="62">
        <f>IF('Übung 11'!Z$41="","",'Übung 11'!Z$41)</f>
        <v/>
      </c>
      <c r="N1511" s="62">
        <f>IF('Übung 12'!Z$41="","",'Übung 12'!Z$41)</f>
        <v/>
      </c>
      <c r="O1511" s="62">
        <f>IF('Übung 13'!Z$41="","",'Übung 13'!Z$41)</f>
        <v/>
      </c>
      <c r="P1511" s="62">
        <f>IF('Übung 14'!Z$41="","",'Übung 14'!Z$41)</f>
        <v/>
      </c>
      <c r="Q1511" s="62">
        <f>IF('Übung 15'!Z$41="","",'Übung 15'!Z$41)</f>
        <v/>
      </c>
      <c r="R1511" s="62">
        <f>IF('Übung 16'!Z$41="","",'Übung 16'!Z$41)</f>
        <v/>
      </c>
      <c r="S1511" s="62">
        <f>IF('Übung 17'!Z$41="","",'Übung 17'!Z$41)</f>
        <v/>
      </c>
      <c r="T1511" s="62">
        <f>IF('Übung 18'!Z$41="","",'Übung 18'!Z$41)</f>
        <v/>
      </c>
      <c r="U1511" s="62">
        <f>IF('Übung 19'!Z$41="","",'Übung 19'!Z$41)</f>
        <v/>
      </c>
      <c r="V1511" s="62">
        <f>IF('Übung 20'!Z$41="","",'Übung 20'!Z$41)</f>
        <v/>
      </c>
    </row>
    <row r="1512">
      <c r="C1512" s="62">
        <f>IF('Übung 01'!AA$41="","",'Übung 01'!AA$41)</f>
        <v/>
      </c>
      <c r="D1512" s="62">
        <f>IF('Übung 02'!AA$41="","",'Übung 02'!AA$41)</f>
        <v/>
      </c>
      <c r="E1512" s="62">
        <f>IF('Übung 03'!AA$41="","",'Übung 03'!AA$41)</f>
        <v/>
      </c>
      <c r="F1512" s="62">
        <f>IF('Übung 04'!AA$41="","",'Übung 04'!AA$41)</f>
        <v/>
      </c>
      <c r="G1512" s="62">
        <f>IF('Übung 05'!AA$41="","",'Übung 05'!AA$41)</f>
        <v/>
      </c>
      <c r="H1512" s="62">
        <f>IF('Übung 06'!AA$41="","",'Übung 06'!AA$41)</f>
        <v/>
      </c>
      <c r="I1512" s="62">
        <f>IF('Übung 07'!AA$41="","",'Übung 07'!AA$41)</f>
        <v/>
      </c>
      <c r="J1512" s="62">
        <f>IF('Übung 08'!AA$41="","",'Übung 08'!AA$41)</f>
        <v/>
      </c>
      <c r="K1512" s="62">
        <f>IF('Übung 09'!AA$41="","",'Übung 09'!AA$41)</f>
        <v/>
      </c>
      <c r="L1512" s="62">
        <f>IF('Übung 10'!AA$41="","",'Übung 10'!AA$41)</f>
        <v/>
      </c>
      <c r="M1512" s="62">
        <f>IF('Übung 11'!AA$41="","",'Übung 11'!AA$41)</f>
        <v/>
      </c>
      <c r="N1512" s="62">
        <f>IF('Übung 12'!AA$41="","",'Übung 12'!AA$41)</f>
        <v/>
      </c>
      <c r="O1512" s="62">
        <f>IF('Übung 13'!AA$41="","",'Übung 13'!AA$41)</f>
        <v/>
      </c>
      <c r="P1512" s="62">
        <f>IF('Übung 14'!AA$41="","",'Übung 14'!AA$41)</f>
        <v/>
      </c>
      <c r="Q1512" s="62">
        <f>IF('Übung 15'!AA$41="","",'Übung 15'!AA$41)</f>
        <v/>
      </c>
      <c r="R1512" s="62">
        <f>IF('Übung 16'!AA$41="","",'Übung 16'!AA$41)</f>
        <v/>
      </c>
      <c r="S1512" s="62">
        <f>IF('Übung 17'!AA$41="","",'Übung 17'!AA$41)</f>
        <v/>
      </c>
      <c r="T1512" s="62">
        <f>IF('Übung 18'!AA$41="","",'Übung 18'!AA$41)</f>
        <v/>
      </c>
      <c r="U1512" s="62">
        <f>IF('Übung 19'!AA$41="","",'Übung 19'!AA$41)</f>
        <v/>
      </c>
      <c r="V1512" s="62">
        <f>IF('Übung 20'!AA$41="","",'Übung 20'!AA$41)</f>
        <v/>
      </c>
    </row>
    <row r="1513">
      <c r="C1513" s="62">
        <f>IF('Übung 01'!AB$41="","",'Übung 01'!AB$41)</f>
        <v/>
      </c>
      <c r="D1513" s="62">
        <f>IF('Übung 02'!AB$41="","",'Übung 02'!AB$41)</f>
        <v/>
      </c>
      <c r="E1513" s="62">
        <f>IF('Übung 03'!AB$41="","",'Übung 03'!AB$41)</f>
        <v/>
      </c>
      <c r="F1513" s="62">
        <f>IF('Übung 04'!AB$41="","",'Übung 04'!AB$41)</f>
        <v/>
      </c>
      <c r="G1513" s="62">
        <f>IF('Übung 05'!AB$41="","",'Übung 05'!AB$41)</f>
        <v/>
      </c>
      <c r="H1513" s="62">
        <f>IF('Übung 06'!AB$41="","",'Übung 06'!AB$41)</f>
        <v/>
      </c>
      <c r="I1513" s="62">
        <f>IF('Übung 07'!AB$41="","",'Übung 07'!AB$41)</f>
        <v/>
      </c>
      <c r="J1513" s="62">
        <f>IF('Übung 08'!AB$41="","",'Übung 08'!AB$41)</f>
        <v/>
      </c>
      <c r="K1513" s="62">
        <f>IF('Übung 09'!AB$41="","",'Übung 09'!AB$41)</f>
        <v/>
      </c>
      <c r="L1513" s="62">
        <f>IF('Übung 10'!AB$41="","",'Übung 10'!AB$41)</f>
        <v/>
      </c>
      <c r="M1513" s="62">
        <f>IF('Übung 11'!AB$41="","",'Übung 11'!AB$41)</f>
        <v/>
      </c>
      <c r="N1513" s="62">
        <f>IF('Übung 12'!AB$41="","",'Übung 12'!AB$41)</f>
        <v/>
      </c>
      <c r="O1513" s="62">
        <f>IF('Übung 13'!AB$41="","",'Übung 13'!AB$41)</f>
        <v/>
      </c>
      <c r="P1513" s="62">
        <f>IF('Übung 14'!AB$41="","",'Übung 14'!AB$41)</f>
        <v/>
      </c>
      <c r="Q1513" s="62">
        <f>IF('Übung 15'!AB$41="","",'Übung 15'!AB$41)</f>
        <v/>
      </c>
      <c r="R1513" s="62">
        <f>IF('Übung 16'!AB$41="","",'Übung 16'!AB$41)</f>
        <v/>
      </c>
      <c r="S1513" s="62">
        <f>IF('Übung 17'!AB$41="","",'Übung 17'!AB$41)</f>
        <v/>
      </c>
      <c r="T1513" s="62">
        <f>IF('Übung 18'!AB$41="","",'Übung 18'!AB$41)</f>
        <v/>
      </c>
      <c r="U1513" s="62">
        <f>IF('Übung 19'!AB$41="","",'Übung 19'!AB$41)</f>
        <v/>
      </c>
      <c r="V1513" s="62">
        <f>IF('Übung 20'!AB$41="","",'Übung 20'!AB$41)</f>
        <v/>
      </c>
    </row>
    <row r="1514">
      <c r="C1514" s="62">
        <f>IF('Übung 01'!AC$41="","",'Übung 01'!AC$41)</f>
        <v/>
      </c>
      <c r="D1514" s="62">
        <f>IF('Übung 02'!AC$41="","",'Übung 02'!AC$41)</f>
        <v/>
      </c>
      <c r="E1514" s="62">
        <f>IF('Übung 03'!AC$41="","",'Übung 03'!AC$41)</f>
        <v/>
      </c>
      <c r="F1514" s="62">
        <f>IF('Übung 04'!AC$41="","",'Übung 04'!AC$41)</f>
        <v/>
      </c>
      <c r="G1514" s="62">
        <f>IF('Übung 05'!AC$41="","",'Übung 05'!AC$41)</f>
        <v/>
      </c>
      <c r="H1514" s="62">
        <f>IF('Übung 06'!AC$41="","",'Übung 06'!AC$41)</f>
        <v/>
      </c>
      <c r="I1514" s="62">
        <f>IF('Übung 07'!AC$41="","",'Übung 07'!AC$41)</f>
        <v/>
      </c>
      <c r="J1514" s="62">
        <f>IF('Übung 08'!AC$41="","",'Übung 08'!AC$41)</f>
        <v/>
      </c>
      <c r="K1514" s="62">
        <f>IF('Übung 09'!AC$41="","",'Übung 09'!AC$41)</f>
        <v/>
      </c>
      <c r="L1514" s="62">
        <f>IF('Übung 10'!AC$41="","",'Übung 10'!AC$41)</f>
        <v/>
      </c>
      <c r="M1514" s="62">
        <f>IF('Übung 11'!AC$41="","",'Übung 11'!AC$41)</f>
        <v/>
      </c>
      <c r="N1514" s="62">
        <f>IF('Übung 12'!AC$41="","",'Übung 12'!AC$41)</f>
        <v/>
      </c>
      <c r="O1514" s="62">
        <f>IF('Übung 13'!AC$41="","",'Übung 13'!AC$41)</f>
        <v/>
      </c>
      <c r="P1514" s="62">
        <f>IF('Übung 14'!AC$41="","",'Übung 14'!AC$41)</f>
        <v/>
      </c>
      <c r="Q1514" s="62">
        <f>IF('Übung 15'!AC$41="","",'Übung 15'!AC$41)</f>
        <v/>
      </c>
      <c r="R1514" s="62">
        <f>IF('Übung 16'!AC$41="","",'Übung 16'!AC$41)</f>
        <v/>
      </c>
      <c r="S1514" s="62">
        <f>IF('Übung 17'!AC$41="","",'Übung 17'!AC$41)</f>
        <v/>
      </c>
      <c r="T1514" s="62">
        <f>IF('Übung 18'!AC$41="","",'Übung 18'!AC$41)</f>
        <v/>
      </c>
      <c r="U1514" s="62">
        <f>IF('Übung 19'!AC$41="","",'Übung 19'!AC$41)</f>
        <v/>
      </c>
      <c r="V1514" s="62">
        <f>IF('Übung 20'!AC$41="","",'Übung 20'!AC$41)</f>
        <v/>
      </c>
    </row>
    <row r="1515">
      <c r="C1515" s="62">
        <f>IF('Übung 01'!AE$41="","",'Übung 01'!AE$41)</f>
        <v/>
      </c>
      <c r="D1515" s="62">
        <f>IF('Übung 02'!AE$41="","",'Übung 02'!AE$41)</f>
        <v/>
      </c>
      <c r="E1515" s="62">
        <f>IF('Übung 03'!AE$41="","",'Übung 03'!AE$41)</f>
        <v/>
      </c>
      <c r="F1515" s="62">
        <f>IF('Übung 04'!AE$41="","",'Übung 04'!AE$41)</f>
        <v/>
      </c>
      <c r="G1515" s="62">
        <f>IF('Übung 05'!AE$41="","",'Übung 05'!AE$41)</f>
        <v/>
      </c>
      <c r="H1515" s="62">
        <f>IF('Übung 06'!AE$41="","",'Übung 06'!AE$41)</f>
        <v/>
      </c>
      <c r="I1515" s="62">
        <f>IF('Übung 07'!AE$41="","",'Übung 07'!AE$41)</f>
        <v/>
      </c>
      <c r="J1515" s="62">
        <f>IF('Übung 08'!AE$41="","",'Übung 08'!AE$41)</f>
        <v/>
      </c>
      <c r="K1515" s="62">
        <f>IF('Übung 09'!AE$41="","",'Übung 09'!AE$41)</f>
        <v/>
      </c>
      <c r="L1515" s="62">
        <f>IF('Übung 10'!AE$41="","",'Übung 10'!AE$41)</f>
        <v/>
      </c>
      <c r="M1515" s="62">
        <f>IF('Übung 11'!AE$41="","",'Übung 11'!AE$41)</f>
        <v/>
      </c>
      <c r="N1515" s="62">
        <f>IF('Übung 12'!AE$41="","",'Übung 12'!AE$41)</f>
        <v/>
      </c>
      <c r="O1515" s="62">
        <f>IF('Übung 13'!AE$41="","",'Übung 13'!AE$41)</f>
        <v/>
      </c>
      <c r="P1515" s="62">
        <f>IF('Übung 14'!AE$41="","",'Übung 14'!AE$41)</f>
        <v/>
      </c>
      <c r="Q1515" s="62">
        <f>IF('Übung 15'!AE$41="","",'Übung 15'!AE$41)</f>
        <v/>
      </c>
      <c r="R1515" s="62">
        <f>IF('Übung 16'!AE$41="","",'Übung 16'!AE$41)</f>
        <v/>
      </c>
      <c r="S1515" s="62">
        <f>IF('Übung 17'!AE$41="","",'Übung 17'!AE$41)</f>
        <v/>
      </c>
      <c r="T1515" s="62">
        <f>IF('Übung 18'!AE$41="","",'Übung 18'!AE$41)</f>
        <v/>
      </c>
      <c r="U1515" s="62">
        <f>IF('Übung 19'!AE$41="","",'Übung 19'!AE$41)</f>
        <v/>
      </c>
      <c r="V1515" s="62">
        <f>IF('Übung 20'!AE$41="","",'Übung 20'!AE$41)</f>
        <v/>
      </c>
    </row>
    <row r="1516">
      <c r="C1516" s="62">
        <f>IF('Übung 01'!AF$41="","",'Übung 01'!AF$41)</f>
        <v/>
      </c>
      <c r="D1516" s="62">
        <f>IF('Übung 02'!AF$41="","",'Übung 02'!AF$41)</f>
        <v/>
      </c>
      <c r="E1516" s="62">
        <f>IF('Übung 03'!AF$41="","",'Übung 03'!AF$41)</f>
        <v/>
      </c>
      <c r="F1516" s="62">
        <f>IF('Übung 04'!AF$41="","",'Übung 04'!AF$41)</f>
        <v/>
      </c>
      <c r="G1516" s="62">
        <f>IF('Übung 05'!AF$41="","",'Übung 05'!AF$41)</f>
        <v/>
      </c>
      <c r="H1516" s="62">
        <f>IF('Übung 06'!AF$41="","",'Übung 06'!AF$41)</f>
        <v/>
      </c>
      <c r="I1516" s="62">
        <f>IF('Übung 07'!AF$41="","",'Übung 07'!AF$41)</f>
        <v/>
      </c>
      <c r="J1516" s="62">
        <f>IF('Übung 08'!AF$41="","",'Übung 08'!AF$41)</f>
        <v/>
      </c>
      <c r="K1516" s="62">
        <f>IF('Übung 09'!AF$41="","",'Übung 09'!AF$41)</f>
        <v/>
      </c>
      <c r="L1516" s="62">
        <f>IF('Übung 10'!AF$41="","",'Übung 10'!AF$41)</f>
        <v/>
      </c>
      <c r="M1516" s="62">
        <f>IF('Übung 11'!AF$41="","",'Übung 11'!AF$41)</f>
        <v/>
      </c>
      <c r="N1516" s="62">
        <f>IF('Übung 12'!AF$41="","",'Übung 12'!AF$41)</f>
        <v/>
      </c>
      <c r="O1516" s="62">
        <f>IF('Übung 13'!AF$41="","",'Übung 13'!AF$41)</f>
        <v/>
      </c>
      <c r="P1516" s="62">
        <f>IF('Übung 14'!AF$41="","",'Übung 14'!AF$41)</f>
        <v/>
      </c>
      <c r="Q1516" s="62">
        <f>IF('Übung 15'!AF$41="","",'Übung 15'!AF$41)</f>
        <v/>
      </c>
      <c r="R1516" s="62">
        <f>IF('Übung 16'!AF$41="","",'Übung 16'!AF$41)</f>
        <v/>
      </c>
      <c r="S1516" s="62">
        <f>IF('Übung 17'!AF$41="","",'Übung 17'!AF$41)</f>
        <v/>
      </c>
      <c r="T1516" s="62">
        <f>IF('Übung 18'!AF$41="","",'Übung 18'!AF$41)</f>
        <v/>
      </c>
      <c r="U1516" s="62">
        <f>IF('Übung 19'!AF$41="","",'Übung 19'!AF$41)</f>
        <v/>
      </c>
      <c r="V1516" s="62">
        <f>IF('Übung 20'!AF$41="","",'Übung 20'!AF$41)</f>
        <v/>
      </c>
    </row>
    <row r="1517">
      <c r="C1517" s="62">
        <f>IF('Übung 01'!AG$41="","",'Übung 01'!AG$41)</f>
        <v/>
      </c>
      <c r="D1517" s="62">
        <f>IF('Übung 02'!AG$41="","",'Übung 02'!AG$41)</f>
        <v/>
      </c>
      <c r="E1517" s="62">
        <f>IF('Übung 03'!AG$41="","",'Übung 03'!AG$41)</f>
        <v/>
      </c>
      <c r="F1517" s="62">
        <f>IF('Übung 04'!AG$41="","",'Übung 04'!AG$41)</f>
        <v/>
      </c>
      <c r="G1517" s="62">
        <f>IF('Übung 05'!AG$41="","",'Übung 05'!AG$41)</f>
        <v/>
      </c>
      <c r="H1517" s="62">
        <f>IF('Übung 06'!AG$41="","",'Übung 06'!AG$41)</f>
        <v/>
      </c>
      <c r="I1517" s="62">
        <f>IF('Übung 07'!AG$41="","",'Übung 07'!AG$41)</f>
        <v/>
      </c>
      <c r="J1517" s="62">
        <f>IF('Übung 08'!AG$41="","",'Übung 08'!AG$41)</f>
        <v/>
      </c>
      <c r="K1517" s="62">
        <f>IF('Übung 09'!AG$41="","",'Übung 09'!AG$41)</f>
        <v/>
      </c>
      <c r="L1517" s="62">
        <f>IF('Übung 10'!AG$41="","",'Übung 10'!AG$41)</f>
        <v/>
      </c>
      <c r="M1517" s="62">
        <f>IF('Übung 11'!AG$41="","",'Übung 11'!AG$41)</f>
        <v/>
      </c>
      <c r="N1517" s="62">
        <f>IF('Übung 12'!AG$41="","",'Übung 12'!AG$41)</f>
        <v/>
      </c>
      <c r="O1517" s="62">
        <f>IF('Übung 13'!AG$41="","",'Übung 13'!AG$41)</f>
        <v/>
      </c>
      <c r="P1517" s="62">
        <f>IF('Übung 14'!AG$41="","",'Übung 14'!AG$41)</f>
        <v/>
      </c>
      <c r="Q1517" s="62">
        <f>IF('Übung 15'!AG$41="","",'Übung 15'!AG$41)</f>
        <v/>
      </c>
      <c r="R1517" s="62">
        <f>IF('Übung 16'!AG$41="","",'Übung 16'!AG$41)</f>
        <v/>
      </c>
      <c r="S1517" s="62">
        <f>IF('Übung 17'!AG$41="","",'Übung 17'!AG$41)</f>
        <v/>
      </c>
      <c r="T1517" s="62">
        <f>IF('Übung 18'!AG$41="","",'Übung 18'!AG$41)</f>
        <v/>
      </c>
      <c r="U1517" s="62">
        <f>IF('Übung 19'!AG$41="","",'Übung 19'!AG$41)</f>
        <v/>
      </c>
      <c r="V1517" s="62">
        <f>IF('Übung 20'!AG$41="","",'Übung 20'!AG$41)</f>
        <v/>
      </c>
    </row>
    <row r="1518">
      <c r="C1518" s="62">
        <f>IF('Übung 01'!AH$41="","",'Übung 01'!AH$41)</f>
        <v/>
      </c>
      <c r="D1518" s="62">
        <f>IF('Übung 02'!AH$41="","",'Übung 02'!AH$41)</f>
        <v/>
      </c>
      <c r="E1518" s="62">
        <f>IF('Übung 03'!AH$41="","",'Übung 03'!AH$41)</f>
        <v/>
      </c>
      <c r="F1518" s="62">
        <f>IF('Übung 04'!AH$41="","",'Übung 04'!AH$41)</f>
        <v/>
      </c>
      <c r="G1518" s="62">
        <f>IF('Übung 05'!AH$41="","",'Übung 05'!AH$41)</f>
        <v/>
      </c>
      <c r="H1518" s="62">
        <f>IF('Übung 06'!AH$41="","",'Übung 06'!AH$41)</f>
        <v/>
      </c>
      <c r="I1518" s="62">
        <f>IF('Übung 07'!AH$41="","",'Übung 07'!AH$41)</f>
        <v/>
      </c>
      <c r="J1518" s="62">
        <f>IF('Übung 08'!AH$41="","",'Übung 08'!AH$41)</f>
        <v/>
      </c>
      <c r="K1518" s="62">
        <f>IF('Übung 09'!AH$41="","",'Übung 09'!AH$41)</f>
        <v/>
      </c>
      <c r="L1518" s="62">
        <f>IF('Übung 10'!AH$41="","",'Übung 10'!AH$41)</f>
        <v/>
      </c>
      <c r="M1518" s="62">
        <f>IF('Übung 11'!AH$41="","",'Übung 11'!AH$41)</f>
        <v/>
      </c>
      <c r="N1518" s="62">
        <f>IF('Übung 12'!AH$41="","",'Übung 12'!AH$41)</f>
        <v/>
      </c>
      <c r="O1518" s="62">
        <f>IF('Übung 13'!AH$41="","",'Übung 13'!AH$41)</f>
        <v/>
      </c>
      <c r="P1518" s="62">
        <f>IF('Übung 14'!AH$41="","",'Übung 14'!AH$41)</f>
        <v/>
      </c>
      <c r="Q1518" s="62">
        <f>IF('Übung 15'!AH$41="","",'Übung 15'!AH$41)</f>
        <v/>
      </c>
      <c r="R1518" s="62">
        <f>IF('Übung 16'!AH$41="","",'Übung 16'!AH$41)</f>
        <v/>
      </c>
      <c r="S1518" s="62">
        <f>IF('Übung 17'!AH$41="","",'Übung 17'!AH$41)</f>
        <v/>
      </c>
      <c r="T1518" s="62">
        <f>IF('Übung 18'!AH$41="","",'Übung 18'!AH$41)</f>
        <v/>
      </c>
      <c r="U1518" s="62">
        <f>IF('Übung 19'!AH$41="","",'Übung 19'!AH$41)</f>
        <v/>
      </c>
      <c r="V1518" s="62">
        <f>IF('Übung 20'!AH$41="","",'Übung 20'!AH$41)</f>
        <v/>
      </c>
    </row>
    <row r="1519">
      <c r="C1519" s="62">
        <f>IF('Übung 01'!AI$41="","",'Übung 01'!AI$41)</f>
        <v/>
      </c>
      <c r="D1519" s="62">
        <f>IF('Übung 02'!AI$41="","",'Übung 02'!AI$41)</f>
        <v/>
      </c>
      <c r="E1519" s="62">
        <f>IF('Übung 03'!AI$41="","",'Übung 03'!AI$41)</f>
        <v/>
      </c>
      <c r="F1519" s="62">
        <f>IF('Übung 04'!AI$41="","",'Übung 04'!AI$41)</f>
        <v/>
      </c>
      <c r="G1519" s="62">
        <f>IF('Übung 05'!AI$41="","",'Übung 05'!AI$41)</f>
        <v/>
      </c>
      <c r="H1519" s="62">
        <f>IF('Übung 06'!AI$41="","",'Übung 06'!AI$41)</f>
        <v/>
      </c>
      <c r="I1519" s="62">
        <f>IF('Übung 07'!AI$41="","",'Übung 07'!AI$41)</f>
        <v/>
      </c>
      <c r="J1519" s="62">
        <f>IF('Übung 08'!AI$41="","",'Übung 08'!AI$41)</f>
        <v/>
      </c>
      <c r="K1519" s="62">
        <f>IF('Übung 09'!AI$41="","",'Übung 09'!AI$41)</f>
        <v/>
      </c>
      <c r="L1519" s="62">
        <f>IF('Übung 10'!AI$41="","",'Übung 10'!AI$41)</f>
        <v/>
      </c>
      <c r="M1519" s="62">
        <f>IF('Übung 11'!AI$41="","",'Übung 11'!AI$41)</f>
        <v/>
      </c>
      <c r="N1519" s="62">
        <f>IF('Übung 12'!AI$41="","",'Übung 12'!AI$41)</f>
        <v/>
      </c>
      <c r="O1519" s="62">
        <f>IF('Übung 13'!AI$41="","",'Übung 13'!AI$41)</f>
        <v/>
      </c>
      <c r="P1519" s="62">
        <f>IF('Übung 14'!AI$41="","",'Übung 14'!AI$41)</f>
        <v/>
      </c>
      <c r="Q1519" s="62">
        <f>IF('Übung 15'!AI$41="","",'Übung 15'!AI$41)</f>
        <v/>
      </c>
      <c r="R1519" s="62">
        <f>IF('Übung 16'!AI$41="","",'Übung 16'!AI$41)</f>
        <v/>
      </c>
      <c r="S1519" s="62">
        <f>IF('Übung 17'!AI$41="","",'Übung 17'!AI$41)</f>
        <v/>
      </c>
      <c r="T1519" s="62">
        <f>IF('Übung 18'!AI$41="","",'Übung 18'!AI$41)</f>
        <v/>
      </c>
      <c r="U1519" s="62">
        <f>IF('Übung 19'!AI$41="","",'Übung 19'!AI$41)</f>
        <v/>
      </c>
      <c r="V1519" s="62">
        <f>IF('Übung 20'!AI$41="","",'Übung 20'!AI$41)</f>
        <v/>
      </c>
    </row>
    <row r="1520">
      <c r="C1520" s="62">
        <f>IF('Übung 01'!AJ$41="","",'Übung 01'!AJ$41)</f>
        <v/>
      </c>
      <c r="D1520" s="62">
        <f>IF('Übung 02'!AJ$41="","",'Übung 02'!AJ$41)</f>
        <v/>
      </c>
      <c r="E1520" s="62">
        <f>IF('Übung 03'!AJ$41="","",'Übung 03'!AJ$41)</f>
        <v/>
      </c>
      <c r="F1520" s="62">
        <f>IF('Übung 04'!AJ$41="","",'Übung 04'!AJ$41)</f>
        <v/>
      </c>
      <c r="G1520" s="62">
        <f>IF('Übung 05'!AJ$41="","",'Übung 05'!AJ$41)</f>
        <v/>
      </c>
      <c r="H1520" s="62">
        <f>IF('Übung 06'!AJ$41="","",'Übung 06'!AJ$41)</f>
        <v/>
      </c>
      <c r="I1520" s="62">
        <f>IF('Übung 07'!AJ$41="","",'Übung 07'!AJ$41)</f>
        <v/>
      </c>
      <c r="J1520" s="62">
        <f>IF('Übung 08'!AJ$41="","",'Übung 08'!AJ$41)</f>
        <v/>
      </c>
      <c r="K1520" s="62">
        <f>IF('Übung 09'!AJ$41="","",'Übung 09'!AJ$41)</f>
        <v/>
      </c>
      <c r="L1520" s="62">
        <f>IF('Übung 10'!AJ$41="","",'Übung 10'!AJ$41)</f>
        <v/>
      </c>
      <c r="M1520" s="62">
        <f>IF('Übung 11'!AJ$41="","",'Übung 11'!AJ$41)</f>
        <v/>
      </c>
      <c r="N1520" s="62">
        <f>IF('Übung 12'!AJ$41="","",'Übung 12'!AJ$41)</f>
        <v/>
      </c>
      <c r="O1520" s="62">
        <f>IF('Übung 13'!AJ$41="","",'Übung 13'!AJ$41)</f>
        <v/>
      </c>
      <c r="P1520" s="62">
        <f>IF('Übung 14'!AJ$41="","",'Übung 14'!AJ$41)</f>
        <v/>
      </c>
      <c r="Q1520" s="62">
        <f>IF('Übung 15'!AJ$41="","",'Übung 15'!AJ$41)</f>
        <v/>
      </c>
      <c r="R1520" s="62">
        <f>IF('Übung 16'!AJ$41="","",'Übung 16'!AJ$41)</f>
        <v/>
      </c>
      <c r="S1520" s="62">
        <f>IF('Übung 17'!AJ$41="","",'Übung 17'!AJ$41)</f>
        <v/>
      </c>
      <c r="T1520" s="62">
        <f>IF('Übung 18'!AJ$41="","",'Übung 18'!AJ$41)</f>
        <v/>
      </c>
      <c r="U1520" s="62">
        <f>IF('Übung 19'!AJ$41="","",'Übung 19'!AJ$41)</f>
        <v/>
      </c>
      <c r="V1520" s="62">
        <f>IF('Übung 20'!AJ$41="","",'Übung 20'!AJ$41)</f>
        <v/>
      </c>
    </row>
    <row r="1521">
      <c r="C1521" s="62">
        <f>IF('Übung 01'!AK$41="","",'Übung 01'!AK$41)</f>
        <v/>
      </c>
      <c r="D1521" s="62">
        <f>IF('Übung 02'!AK$41="","",'Übung 02'!AK$41)</f>
        <v/>
      </c>
      <c r="E1521" s="62">
        <f>IF('Übung 03'!AK$41="","",'Übung 03'!AK$41)</f>
        <v/>
      </c>
      <c r="F1521" s="62">
        <f>IF('Übung 04'!AK$41="","",'Übung 04'!AK$41)</f>
        <v/>
      </c>
      <c r="G1521" s="62">
        <f>IF('Übung 05'!AK$41="","",'Übung 05'!AK$41)</f>
        <v/>
      </c>
      <c r="H1521" s="62">
        <f>IF('Übung 06'!AK$41="","",'Übung 06'!AK$41)</f>
        <v/>
      </c>
      <c r="I1521" s="62">
        <f>IF('Übung 07'!AK$41="","",'Übung 07'!AK$41)</f>
        <v/>
      </c>
      <c r="J1521" s="62">
        <f>IF('Übung 08'!AK$41="","",'Übung 08'!AK$41)</f>
        <v/>
      </c>
      <c r="K1521" s="62">
        <f>IF('Übung 09'!AK$41="","",'Übung 09'!AK$41)</f>
        <v/>
      </c>
      <c r="L1521" s="62">
        <f>IF('Übung 10'!AK$41="","",'Übung 10'!AK$41)</f>
        <v/>
      </c>
      <c r="M1521" s="62">
        <f>IF('Übung 11'!AK$41="","",'Übung 11'!AK$41)</f>
        <v/>
      </c>
      <c r="N1521" s="62">
        <f>IF('Übung 12'!AK$41="","",'Übung 12'!AK$41)</f>
        <v/>
      </c>
      <c r="O1521" s="62">
        <f>IF('Übung 13'!AK$41="","",'Übung 13'!AK$41)</f>
        <v/>
      </c>
      <c r="P1521" s="62">
        <f>IF('Übung 14'!AK$41="","",'Übung 14'!AK$41)</f>
        <v/>
      </c>
      <c r="Q1521" s="62">
        <f>IF('Übung 15'!AK$41="","",'Übung 15'!AK$41)</f>
        <v/>
      </c>
      <c r="R1521" s="62">
        <f>IF('Übung 16'!AK$41="","",'Übung 16'!AK$41)</f>
        <v/>
      </c>
      <c r="S1521" s="62">
        <f>IF('Übung 17'!AK$41="","",'Übung 17'!AK$41)</f>
        <v/>
      </c>
      <c r="T1521" s="62">
        <f>IF('Übung 18'!AK$41="","",'Übung 18'!AK$41)</f>
        <v/>
      </c>
      <c r="U1521" s="62">
        <f>IF('Übung 19'!AK$41="","",'Übung 19'!AK$41)</f>
        <v/>
      </c>
      <c r="V1521" s="62">
        <f>IF('Übung 20'!AK$41="","",'Übung 20'!AK$41)</f>
        <v/>
      </c>
    </row>
    <row r="1522">
      <c r="C1522" s="62">
        <f>IF('Übung 01'!AL$41="","",'Übung 01'!AL$41)</f>
        <v/>
      </c>
      <c r="D1522" s="62">
        <f>IF('Übung 02'!AL$41="","",'Übung 02'!AL$41)</f>
        <v/>
      </c>
      <c r="E1522" s="62">
        <f>IF('Übung 03'!AL$41="","",'Übung 03'!AL$41)</f>
        <v/>
      </c>
      <c r="F1522" s="62">
        <f>IF('Übung 04'!AL$41="","",'Übung 04'!AL$41)</f>
        <v/>
      </c>
      <c r="G1522" s="62">
        <f>IF('Übung 05'!AL$41="","",'Übung 05'!AL$41)</f>
        <v/>
      </c>
      <c r="H1522" s="62">
        <f>IF('Übung 06'!AL$41="","",'Übung 06'!AL$41)</f>
        <v/>
      </c>
      <c r="I1522" s="62">
        <f>IF('Übung 07'!AL$41="","",'Übung 07'!AL$41)</f>
        <v/>
      </c>
      <c r="J1522" s="62">
        <f>IF('Übung 08'!AL$41="","",'Übung 08'!AL$41)</f>
        <v/>
      </c>
      <c r="K1522" s="62">
        <f>IF('Übung 09'!AL$41="","",'Übung 09'!AL$41)</f>
        <v/>
      </c>
      <c r="L1522" s="62">
        <f>IF('Übung 10'!AL$41="","",'Übung 10'!AL$41)</f>
        <v/>
      </c>
      <c r="M1522" s="62">
        <f>IF('Übung 11'!AL$41="","",'Übung 11'!AL$41)</f>
        <v/>
      </c>
      <c r="N1522" s="62">
        <f>IF('Übung 12'!AL$41="","",'Übung 12'!AL$41)</f>
        <v/>
      </c>
      <c r="O1522" s="62">
        <f>IF('Übung 13'!AL$41="","",'Übung 13'!AL$41)</f>
        <v/>
      </c>
      <c r="P1522" s="62">
        <f>IF('Übung 14'!AL$41="","",'Übung 14'!AL$41)</f>
        <v/>
      </c>
      <c r="Q1522" s="62">
        <f>IF('Übung 15'!AL$41="","",'Übung 15'!AL$41)</f>
        <v/>
      </c>
      <c r="R1522" s="62">
        <f>IF('Übung 16'!AL$41="","",'Übung 16'!AL$41)</f>
        <v/>
      </c>
      <c r="S1522" s="62">
        <f>IF('Übung 17'!AL$41="","",'Übung 17'!AL$41)</f>
        <v/>
      </c>
      <c r="T1522" s="62">
        <f>IF('Übung 18'!AL$41="","",'Übung 18'!AL$41)</f>
        <v/>
      </c>
      <c r="U1522" s="62">
        <f>IF('Übung 19'!AL$41="","",'Übung 19'!AL$41)</f>
        <v/>
      </c>
      <c r="V1522" s="62">
        <f>IF('Übung 20'!AL$41="","",'Übung 20'!AL$41)</f>
        <v/>
      </c>
    </row>
    <row r="1523">
      <c r="C1523" s="62">
        <f>IF('Übung 01'!AM$41="","",'Übung 01'!AM$41)</f>
        <v/>
      </c>
      <c r="D1523" s="62">
        <f>IF('Übung 02'!AM$41="","",'Übung 02'!AM$41)</f>
        <v/>
      </c>
      <c r="E1523" s="62">
        <f>IF('Übung 03'!AM$41="","",'Übung 03'!AM$41)</f>
        <v/>
      </c>
      <c r="F1523" s="62">
        <f>IF('Übung 04'!AM$41="","",'Übung 04'!AM$41)</f>
        <v/>
      </c>
      <c r="G1523" s="62">
        <f>IF('Übung 05'!AM$41="","",'Übung 05'!AM$41)</f>
        <v/>
      </c>
      <c r="H1523" s="62">
        <f>IF('Übung 06'!AM$41="","",'Übung 06'!AM$41)</f>
        <v/>
      </c>
      <c r="I1523" s="62">
        <f>IF('Übung 07'!AM$41="","",'Übung 07'!AM$41)</f>
        <v/>
      </c>
      <c r="J1523" s="62">
        <f>IF('Übung 08'!AM$41="","",'Übung 08'!AM$41)</f>
        <v/>
      </c>
      <c r="K1523" s="62">
        <f>IF('Übung 09'!AM$41="","",'Übung 09'!AM$41)</f>
        <v/>
      </c>
      <c r="L1523" s="62">
        <f>IF('Übung 10'!AM$41="","",'Übung 10'!AM$41)</f>
        <v/>
      </c>
      <c r="M1523" s="62">
        <f>IF('Übung 11'!AM$41="","",'Übung 11'!AM$41)</f>
        <v/>
      </c>
      <c r="N1523" s="62">
        <f>IF('Übung 12'!AM$41="","",'Übung 12'!AM$41)</f>
        <v/>
      </c>
      <c r="O1523" s="62">
        <f>IF('Übung 13'!AM$41="","",'Übung 13'!AM$41)</f>
        <v/>
      </c>
      <c r="P1523" s="62">
        <f>IF('Übung 14'!AM$41="","",'Übung 14'!AM$41)</f>
        <v/>
      </c>
      <c r="Q1523" s="62">
        <f>IF('Übung 15'!AM$41="","",'Übung 15'!AM$41)</f>
        <v/>
      </c>
      <c r="R1523" s="62">
        <f>IF('Übung 16'!AM$41="","",'Übung 16'!AM$41)</f>
        <v/>
      </c>
      <c r="S1523" s="62">
        <f>IF('Übung 17'!AM$41="","",'Übung 17'!AM$41)</f>
        <v/>
      </c>
      <c r="T1523" s="62">
        <f>IF('Übung 18'!AM$41="","",'Übung 18'!AM$41)</f>
        <v/>
      </c>
      <c r="U1523" s="62">
        <f>IF('Übung 19'!AM$41="","",'Übung 19'!AM$41)</f>
        <v/>
      </c>
      <c r="V1523" s="62">
        <f>IF('Übung 20'!AM$41="","",'Übung 20'!AM$41)</f>
        <v/>
      </c>
    </row>
    <row r="1524">
      <c r="C1524" s="62">
        <f>IF('Übung 01'!AN$41="","",'Übung 01'!AN$41)</f>
        <v/>
      </c>
      <c r="D1524" s="62">
        <f>IF('Übung 02'!AN$41="","",'Übung 02'!AN$41)</f>
        <v/>
      </c>
      <c r="E1524" s="62">
        <f>IF('Übung 03'!AN$41="","",'Übung 03'!AN$41)</f>
        <v/>
      </c>
      <c r="F1524" s="62">
        <f>IF('Übung 04'!AN$41="","",'Übung 04'!AN$41)</f>
        <v/>
      </c>
      <c r="G1524" s="62">
        <f>IF('Übung 05'!AN$41="","",'Übung 05'!AN$41)</f>
        <v/>
      </c>
      <c r="H1524" s="62">
        <f>IF('Übung 06'!AN$41="","",'Übung 06'!AN$41)</f>
        <v/>
      </c>
      <c r="I1524" s="62">
        <f>IF('Übung 07'!AN$41="","",'Übung 07'!AN$41)</f>
        <v/>
      </c>
      <c r="J1524" s="62">
        <f>IF('Übung 08'!AN$41="","",'Übung 08'!AN$41)</f>
        <v/>
      </c>
      <c r="K1524" s="62">
        <f>IF('Übung 09'!AN$41="","",'Übung 09'!AN$41)</f>
        <v/>
      </c>
      <c r="L1524" s="62">
        <f>IF('Übung 10'!AN$41="","",'Übung 10'!AN$41)</f>
        <v/>
      </c>
      <c r="M1524" s="62">
        <f>IF('Übung 11'!AN$41="","",'Übung 11'!AN$41)</f>
        <v/>
      </c>
      <c r="N1524" s="62">
        <f>IF('Übung 12'!AN$41="","",'Übung 12'!AN$41)</f>
        <v/>
      </c>
      <c r="O1524" s="62">
        <f>IF('Übung 13'!AN$41="","",'Übung 13'!AN$41)</f>
        <v/>
      </c>
      <c r="P1524" s="62">
        <f>IF('Übung 14'!AN$41="","",'Übung 14'!AN$41)</f>
        <v/>
      </c>
      <c r="Q1524" s="62">
        <f>IF('Übung 15'!AN$41="","",'Übung 15'!AN$41)</f>
        <v/>
      </c>
      <c r="R1524" s="62">
        <f>IF('Übung 16'!AN$41="","",'Übung 16'!AN$41)</f>
        <v/>
      </c>
      <c r="S1524" s="62">
        <f>IF('Übung 17'!AN$41="","",'Übung 17'!AN$41)</f>
        <v/>
      </c>
      <c r="T1524" s="62">
        <f>IF('Übung 18'!AN$41="","",'Übung 18'!AN$41)</f>
        <v/>
      </c>
      <c r="U1524" s="62">
        <f>IF('Übung 19'!AN$41="","",'Übung 19'!AN$41)</f>
        <v/>
      </c>
      <c r="V1524" s="62">
        <f>IF('Übung 20'!AN$41="","",'Übung 20'!AN$41)</f>
        <v/>
      </c>
    </row>
    <row r="1525">
      <c r="C1525" s="62">
        <f>IF('Übung 01'!AO$41="","",'Übung 01'!AO$41)</f>
        <v/>
      </c>
      <c r="D1525" s="62">
        <f>IF('Übung 02'!AO$41="","",'Übung 02'!AO$41)</f>
        <v/>
      </c>
      <c r="E1525" s="62">
        <f>IF('Übung 03'!AO$41="","",'Übung 03'!AO$41)</f>
        <v/>
      </c>
      <c r="F1525" s="62">
        <f>IF('Übung 04'!AO$41="","",'Übung 04'!AO$41)</f>
        <v/>
      </c>
      <c r="G1525" s="62">
        <f>IF('Übung 05'!AO$41="","",'Übung 05'!AO$41)</f>
        <v/>
      </c>
      <c r="H1525" s="62">
        <f>IF('Übung 06'!AO$41="","",'Übung 06'!AO$41)</f>
        <v/>
      </c>
      <c r="I1525" s="62">
        <f>IF('Übung 07'!AO$41="","",'Übung 07'!AO$41)</f>
        <v/>
      </c>
      <c r="J1525" s="62">
        <f>IF('Übung 08'!AO$41="","",'Übung 08'!AO$41)</f>
        <v/>
      </c>
      <c r="K1525" s="62">
        <f>IF('Übung 09'!AO$41="","",'Übung 09'!AO$41)</f>
        <v/>
      </c>
      <c r="L1525" s="62">
        <f>IF('Übung 10'!AO$41="","",'Übung 10'!AO$41)</f>
        <v/>
      </c>
      <c r="M1525" s="62">
        <f>IF('Übung 11'!AO$41="","",'Übung 11'!AO$41)</f>
        <v/>
      </c>
      <c r="N1525" s="62">
        <f>IF('Übung 12'!AO$41="","",'Übung 12'!AO$41)</f>
        <v/>
      </c>
      <c r="O1525" s="62">
        <f>IF('Übung 13'!AO$41="","",'Übung 13'!AO$41)</f>
        <v/>
      </c>
      <c r="P1525" s="62">
        <f>IF('Übung 14'!AO$41="","",'Übung 14'!AO$41)</f>
        <v/>
      </c>
      <c r="Q1525" s="62">
        <f>IF('Übung 15'!AO$41="","",'Übung 15'!AO$41)</f>
        <v/>
      </c>
      <c r="R1525" s="62">
        <f>IF('Übung 16'!AO$41="","",'Übung 16'!AO$41)</f>
        <v/>
      </c>
      <c r="S1525" s="62">
        <f>IF('Übung 17'!AO$41="","",'Übung 17'!AO$41)</f>
        <v/>
      </c>
      <c r="T1525" s="62">
        <f>IF('Übung 18'!AO$41="","",'Übung 18'!AO$41)</f>
        <v/>
      </c>
      <c r="U1525" s="62">
        <f>IF('Übung 19'!AO$41="","",'Übung 19'!AO$41)</f>
        <v/>
      </c>
      <c r="V1525" s="62">
        <f>IF('Übung 20'!AO$41="","",'Übung 20'!AO$41)</f>
        <v/>
      </c>
    </row>
    <row r="1526">
      <c r="C1526" s="62">
        <f>IF('Übung 01'!AP$41="","",'Übung 01'!AP$41)</f>
        <v/>
      </c>
      <c r="D1526" s="62">
        <f>IF('Übung 02'!AP$41="","",'Übung 02'!AP$41)</f>
        <v/>
      </c>
      <c r="E1526" s="62">
        <f>IF('Übung 03'!AP$41="","",'Übung 03'!AP$41)</f>
        <v/>
      </c>
      <c r="F1526" s="62">
        <f>IF('Übung 04'!AP$41="","",'Übung 04'!AP$41)</f>
        <v/>
      </c>
      <c r="G1526" s="62">
        <f>IF('Übung 05'!AP$41="","",'Übung 05'!AP$41)</f>
        <v/>
      </c>
      <c r="H1526" s="62">
        <f>IF('Übung 06'!AP$41="","",'Übung 06'!AP$41)</f>
        <v/>
      </c>
      <c r="I1526" s="62">
        <f>IF('Übung 07'!AP$41="","",'Übung 07'!AP$41)</f>
        <v/>
      </c>
      <c r="J1526" s="62">
        <f>IF('Übung 08'!AP$41="","",'Übung 08'!AP$41)</f>
        <v/>
      </c>
      <c r="K1526" s="62">
        <f>IF('Übung 09'!AP$41="","",'Übung 09'!AP$41)</f>
        <v/>
      </c>
      <c r="L1526" s="62">
        <f>IF('Übung 10'!AP$41="","",'Übung 10'!AP$41)</f>
        <v/>
      </c>
      <c r="M1526" s="62">
        <f>IF('Übung 11'!AP$41="","",'Übung 11'!AP$41)</f>
        <v/>
      </c>
      <c r="N1526" s="62">
        <f>IF('Übung 12'!AP$41="","",'Übung 12'!AP$41)</f>
        <v/>
      </c>
      <c r="O1526" s="62">
        <f>IF('Übung 13'!AP$41="","",'Übung 13'!AP$41)</f>
        <v/>
      </c>
      <c r="P1526" s="62">
        <f>IF('Übung 14'!AP$41="","",'Übung 14'!AP$41)</f>
        <v/>
      </c>
      <c r="Q1526" s="62">
        <f>IF('Übung 15'!AP$41="","",'Übung 15'!AP$41)</f>
        <v/>
      </c>
      <c r="R1526" s="62">
        <f>IF('Übung 16'!AP$41="","",'Übung 16'!AP$41)</f>
        <v/>
      </c>
      <c r="S1526" s="62">
        <f>IF('Übung 17'!AP$41="","",'Übung 17'!AP$41)</f>
        <v/>
      </c>
      <c r="T1526" s="62">
        <f>IF('Übung 18'!AP$41="","",'Übung 18'!AP$41)</f>
        <v/>
      </c>
      <c r="U1526" s="62">
        <f>IF('Übung 19'!AP$41="","",'Übung 19'!AP$41)</f>
        <v/>
      </c>
      <c r="V1526" s="62">
        <f>IF('Übung 20'!AP$41="","",'Übung 20'!AP$41)</f>
        <v/>
      </c>
    </row>
    <row r="1527">
      <c r="C1527" s="62">
        <f>IF('Übung 01'!AQ$41="","",'Übung 01'!AQ$41)</f>
        <v/>
      </c>
      <c r="D1527" s="62">
        <f>IF('Übung 02'!AQ$41="","",'Übung 02'!AQ$41)</f>
        <v/>
      </c>
      <c r="E1527" s="62">
        <f>IF('Übung 03'!AQ$41="","",'Übung 03'!AQ$41)</f>
        <v/>
      </c>
      <c r="F1527" s="62">
        <f>IF('Übung 04'!AQ$41="","",'Übung 04'!AQ$41)</f>
        <v/>
      </c>
      <c r="G1527" s="62">
        <f>IF('Übung 05'!AQ$41="","",'Übung 05'!AQ$41)</f>
        <v/>
      </c>
      <c r="H1527" s="62">
        <f>IF('Übung 06'!AQ$41="","",'Übung 06'!AQ$41)</f>
        <v/>
      </c>
      <c r="I1527" s="62">
        <f>IF('Übung 07'!AQ$41="","",'Übung 07'!AQ$41)</f>
        <v/>
      </c>
      <c r="J1527" s="62">
        <f>IF('Übung 08'!AQ$41="","",'Übung 08'!AQ$41)</f>
        <v/>
      </c>
      <c r="K1527" s="62">
        <f>IF('Übung 09'!AQ$41="","",'Übung 09'!AQ$41)</f>
        <v/>
      </c>
      <c r="L1527" s="62">
        <f>IF('Übung 10'!AQ$41="","",'Übung 10'!AQ$41)</f>
        <v/>
      </c>
      <c r="M1527" s="62">
        <f>IF('Übung 11'!AQ$41="","",'Übung 11'!AQ$41)</f>
        <v/>
      </c>
      <c r="N1527" s="62">
        <f>IF('Übung 12'!AQ$41="","",'Übung 12'!AQ$41)</f>
        <v/>
      </c>
      <c r="O1527" s="62">
        <f>IF('Übung 13'!AQ$41="","",'Übung 13'!AQ$41)</f>
        <v/>
      </c>
      <c r="P1527" s="62">
        <f>IF('Übung 14'!AQ$41="","",'Übung 14'!AQ$41)</f>
        <v/>
      </c>
      <c r="Q1527" s="62">
        <f>IF('Übung 15'!AQ$41="","",'Übung 15'!AQ$41)</f>
        <v/>
      </c>
      <c r="R1527" s="62">
        <f>IF('Übung 16'!AQ$41="","",'Übung 16'!AQ$41)</f>
        <v/>
      </c>
      <c r="S1527" s="62">
        <f>IF('Übung 17'!AQ$41="","",'Übung 17'!AQ$41)</f>
        <v/>
      </c>
      <c r="T1527" s="62">
        <f>IF('Übung 18'!AQ$41="","",'Übung 18'!AQ$41)</f>
        <v/>
      </c>
      <c r="U1527" s="62">
        <f>IF('Übung 19'!AQ$41="","",'Übung 19'!AQ$41)</f>
        <v/>
      </c>
      <c r="V1527" s="62">
        <f>IF('Übung 20'!AQ$41="","",'Übung 20'!AQ$41)</f>
        <v/>
      </c>
    </row>
    <row r="1528">
      <c r="C1528" s="62">
        <f>IF('Übung 01'!AR$41="","",'Übung 01'!AR$41)</f>
        <v/>
      </c>
      <c r="D1528" s="62">
        <f>IF('Übung 02'!AR$41="","",'Übung 02'!AR$41)</f>
        <v/>
      </c>
      <c r="E1528" s="62">
        <f>IF('Übung 03'!AR$41="","",'Übung 03'!AR$41)</f>
        <v/>
      </c>
      <c r="F1528" s="62">
        <f>IF('Übung 04'!AR$41="","",'Übung 04'!AR$41)</f>
        <v/>
      </c>
      <c r="G1528" s="62">
        <f>IF('Übung 05'!AR$41="","",'Übung 05'!AR$41)</f>
        <v/>
      </c>
      <c r="H1528" s="62">
        <f>IF('Übung 06'!AR$41="","",'Übung 06'!AR$41)</f>
        <v/>
      </c>
      <c r="I1528" s="62">
        <f>IF('Übung 07'!AR$41="","",'Übung 07'!AR$41)</f>
        <v/>
      </c>
      <c r="J1528" s="62">
        <f>IF('Übung 08'!AR$41="","",'Übung 08'!AR$41)</f>
        <v/>
      </c>
      <c r="K1528" s="62">
        <f>IF('Übung 09'!AR$41="","",'Übung 09'!AR$41)</f>
        <v/>
      </c>
      <c r="L1528" s="62">
        <f>IF('Übung 10'!AR$41="","",'Übung 10'!AR$41)</f>
        <v/>
      </c>
      <c r="M1528" s="62">
        <f>IF('Übung 11'!AR$41="","",'Übung 11'!AR$41)</f>
        <v/>
      </c>
      <c r="N1528" s="62">
        <f>IF('Übung 12'!AR$41="","",'Übung 12'!AR$41)</f>
        <v/>
      </c>
      <c r="O1528" s="62">
        <f>IF('Übung 13'!AR$41="","",'Übung 13'!AR$41)</f>
        <v/>
      </c>
      <c r="P1528" s="62">
        <f>IF('Übung 14'!AR$41="","",'Übung 14'!AR$41)</f>
        <v/>
      </c>
      <c r="Q1528" s="62">
        <f>IF('Übung 15'!AR$41="","",'Übung 15'!AR$41)</f>
        <v/>
      </c>
      <c r="R1528" s="62">
        <f>IF('Übung 16'!AR$41="","",'Übung 16'!AR$41)</f>
        <v/>
      </c>
      <c r="S1528" s="62">
        <f>IF('Übung 17'!AR$41="","",'Übung 17'!AR$41)</f>
        <v/>
      </c>
      <c r="T1528" s="62">
        <f>IF('Übung 18'!AR$41="","",'Übung 18'!AR$41)</f>
        <v/>
      </c>
      <c r="U1528" s="62">
        <f>IF('Übung 19'!AR$41="","",'Übung 19'!AR$41)</f>
        <v/>
      </c>
      <c r="V1528" s="62">
        <f>IF('Übung 20'!AR$41="","",'Übung 20'!AR$41)</f>
        <v/>
      </c>
    </row>
    <row r="1529">
      <c r="C1529" s="62">
        <f>IF('Übung 01'!AS$41="","",'Übung 01'!AS$41)</f>
        <v/>
      </c>
      <c r="D1529" s="62">
        <f>IF('Übung 02'!AS$41="","",'Übung 02'!AS$41)</f>
        <v/>
      </c>
      <c r="E1529" s="62">
        <f>IF('Übung 03'!AS$41="","",'Übung 03'!AS$41)</f>
        <v/>
      </c>
      <c r="F1529" s="62">
        <f>IF('Übung 04'!AS$41="","",'Übung 04'!AS$41)</f>
        <v/>
      </c>
      <c r="G1529" s="62">
        <f>IF('Übung 05'!AS$41="","",'Übung 05'!AS$41)</f>
        <v/>
      </c>
      <c r="H1529" s="62">
        <f>IF('Übung 06'!AS$41="","",'Übung 06'!AS$41)</f>
        <v/>
      </c>
      <c r="I1529" s="62">
        <f>IF('Übung 07'!AS$41="","",'Übung 07'!AS$41)</f>
        <v/>
      </c>
      <c r="J1529" s="62">
        <f>IF('Übung 08'!AS$41="","",'Übung 08'!AS$41)</f>
        <v/>
      </c>
      <c r="K1529" s="62">
        <f>IF('Übung 09'!AS$41="","",'Übung 09'!AS$41)</f>
        <v/>
      </c>
      <c r="L1529" s="62">
        <f>IF('Übung 10'!AS$41="","",'Übung 10'!AS$41)</f>
        <v/>
      </c>
      <c r="M1529" s="62">
        <f>IF('Übung 11'!AS$41="","",'Übung 11'!AS$41)</f>
        <v/>
      </c>
      <c r="N1529" s="62">
        <f>IF('Übung 12'!AS$41="","",'Übung 12'!AS$41)</f>
        <v/>
      </c>
      <c r="O1529" s="62">
        <f>IF('Übung 13'!AS$41="","",'Übung 13'!AS$41)</f>
        <v/>
      </c>
      <c r="P1529" s="62">
        <f>IF('Übung 14'!AS$41="","",'Übung 14'!AS$41)</f>
        <v/>
      </c>
      <c r="Q1529" s="62">
        <f>IF('Übung 15'!AS$41="","",'Übung 15'!AS$41)</f>
        <v/>
      </c>
      <c r="R1529" s="62">
        <f>IF('Übung 16'!AS$41="","",'Übung 16'!AS$41)</f>
        <v/>
      </c>
      <c r="S1529" s="62">
        <f>IF('Übung 17'!AS$41="","",'Übung 17'!AS$41)</f>
        <v/>
      </c>
      <c r="T1529" s="62">
        <f>IF('Übung 18'!AS$41="","",'Übung 18'!AS$41)</f>
        <v/>
      </c>
      <c r="U1529" s="62">
        <f>IF('Übung 19'!AS$41="","",'Übung 19'!AS$41)</f>
        <v/>
      </c>
      <c r="V1529" s="62">
        <f>IF('Übung 20'!AS$41="","",'Übung 20'!AS$41)</f>
        <v/>
      </c>
    </row>
    <row r="1530">
      <c r="C1530" s="62">
        <f>IF('Übung 01'!AT$41="","",'Übung 01'!AT$41)</f>
        <v/>
      </c>
      <c r="D1530" s="62">
        <f>IF('Übung 02'!AT$41="","",'Übung 02'!AT$41)</f>
        <v/>
      </c>
      <c r="E1530" s="62">
        <f>IF('Übung 03'!AT$41="","",'Übung 03'!AT$41)</f>
        <v/>
      </c>
      <c r="F1530" s="62">
        <f>IF('Übung 04'!AT$41="","",'Übung 04'!AT$41)</f>
        <v/>
      </c>
      <c r="G1530" s="62">
        <f>IF('Übung 05'!AT$41="","",'Übung 05'!AT$41)</f>
        <v/>
      </c>
      <c r="H1530" s="62">
        <f>IF('Übung 06'!AT$41="","",'Übung 06'!AT$41)</f>
        <v/>
      </c>
      <c r="I1530" s="62">
        <f>IF('Übung 07'!AT$41="","",'Übung 07'!AT$41)</f>
        <v/>
      </c>
      <c r="J1530" s="62">
        <f>IF('Übung 08'!AT$41="","",'Übung 08'!AT$41)</f>
        <v/>
      </c>
      <c r="K1530" s="62">
        <f>IF('Übung 09'!AT$41="","",'Übung 09'!AT$41)</f>
        <v/>
      </c>
      <c r="L1530" s="62">
        <f>IF('Übung 10'!AT$41="","",'Übung 10'!AT$41)</f>
        <v/>
      </c>
      <c r="M1530" s="62">
        <f>IF('Übung 11'!AT$41="","",'Übung 11'!AT$41)</f>
        <v/>
      </c>
      <c r="N1530" s="62">
        <f>IF('Übung 12'!AT$41="","",'Übung 12'!AT$41)</f>
        <v/>
      </c>
      <c r="O1530" s="62">
        <f>IF('Übung 13'!AT$41="","",'Übung 13'!AT$41)</f>
        <v/>
      </c>
      <c r="P1530" s="62">
        <f>IF('Übung 14'!AT$41="","",'Übung 14'!AT$41)</f>
        <v/>
      </c>
      <c r="Q1530" s="62">
        <f>IF('Übung 15'!AT$41="","",'Übung 15'!AT$41)</f>
        <v/>
      </c>
      <c r="R1530" s="62">
        <f>IF('Übung 16'!AT$41="","",'Übung 16'!AT$41)</f>
        <v/>
      </c>
      <c r="S1530" s="62">
        <f>IF('Übung 17'!AT$41="","",'Übung 17'!AT$41)</f>
        <v/>
      </c>
      <c r="T1530" s="62">
        <f>IF('Übung 18'!AT$41="","",'Übung 18'!AT$41)</f>
        <v/>
      </c>
      <c r="U1530" s="62">
        <f>IF('Übung 19'!AT$41="","",'Übung 19'!AT$41)</f>
        <v/>
      </c>
      <c r="V1530" s="62">
        <f>IF('Übung 20'!AT$41="","",'Übung 20'!AT$41)</f>
        <v/>
      </c>
    </row>
    <row r="1531">
      <c r="C1531" s="62">
        <f>IF('Übung 01'!AU$41="","",'Übung 01'!AU$41)</f>
        <v/>
      </c>
      <c r="D1531" s="62">
        <f>IF('Übung 02'!AU$41="","",'Übung 02'!AU$41)</f>
        <v/>
      </c>
      <c r="E1531" s="62">
        <f>IF('Übung 03'!AU$41="","",'Übung 03'!AU$41)</f>
        <v/>
      </c>
      <c r="F1531" s="62">
        <f>IF('Übung 04'!AU$41="","",'Übung 04'!AU$41)</f>
        <v/>
      </c>
      <c r="G1531" s="62">
        <f>IF('Übung 05'!AU$41="","",'Übung 05'!AU$41)</f>
        <v/>
      </c>
      <c r="H1531" s="62">
        <f>IF('Übung 06'!AU$41="","",'Übung 06'!AU$41)</f>
        <v/>
      </c>
      <c r="I1531" s="62">
        <f>IF('Übung 07'!AU$41="","",'Übung 07'!AU$41)</f>
        <v/>
      </c>
      <c r="J1531" s="62">
        <f>IF('Übung 08'!AU$41="","",'Übung 08'!AU$41)</f>
        <v/>
      </c>
      <c r="K1531" s="62">
        <f>IF('Übung 09'!AU$41="","",'Übung 09'!AU$41)</f>
        <v/>
      </c>
      <c r="L1531" s="62">
        <f>IF('Übung 10'!AU$41="","",'Übung 10'!AU$41)</f>
        <v/>
      </c>
      <c r="M1531" s="62">
        <f>IF('Übung 11'!AU$41="","",'Übung 11'!AU$41)</f>
        <v/>
      </c>
      <c r="N1531" s="62">
        <f>IF('Übung 12'!AU$41="","",'Übung 12'!AU$41)</f>
        <v/>
      </c>
      <c r="O1531" s="62">
        <f>IF('Übung 13'!AU$41="","",'Übung 13'!AU$41)</f>
        <v/>
      </c>
      <c r="P1531" s="62">
        <f>IF('Übung 14'!AU$41="","",'Übung 14'!AU$41)</f>
        <v/>
      </c>
      <c r="Q1531" s="62">
        <f>IF('Übung 15'!AU$41="","",'Übung 15'!AU$41)</f>
        <v/>
      </c>
      <c r="R1531" s="62">
        <f>IF('Übung 16'!AU$41="","",'Übung 16'!AU$41)</f>
        <v/>
      </c>
      <c r="S1531" s="62">
        <f>IF('Übung 17'!AU$41="","",'Übung 17'!AU$41)</f>
        <v/>
      </c>
      <c r="T1531" s="62">
        <f>IF('Übung 18'!AU$41="","",'Übung 18'!AU$41)</f>
        <v/>
      </c>
      <c r="U1531" s="62">
        <f>IF('Übung 19'!AU$41="","",'Übung 19'!AU$41)</f>
        <v/>
      </c>
      <c r="V1531" s="62">
        <f>IF('Übung 20'!AU$41="","",'Übung 20'!AU$41)</f>
        <v/>
      </c>
    </row>
    <row r="1532">
      <c r="C1532" s="62">
        <f>IF('Übung 01'!AV$41="","",'Übung 01'!AV$41)</f>
        <v/>
      </c>
      <c r="D1532" s="62">
        <f>IF('Übung 02'!AV$41="","",'Übung 02'!AV$41)</f>
        <v/>
      </c>
      <c r="E1532" s="62">
        <f>IF('Übung 03'!AV$41="","",'Übung 03'!AV$41)</f>
        <v/>
      </c>
      <c r="F1532" s="62">
        <f>IF('Übung 04'!AV$41="","",'Übung 04'!AV$41)</f>
        <v/>
      </c>
      <c r="G1532" s="62">
        <f>IF('Übung 05'!AV$41="","",'Übung 05'!AV$41)</f>
        <v/>
      </c>
      <c r="H1532" s="62">
        <f>IF('Übung 06'!AV$41="","",'Übung 06'!AV$41)</f>
        <v/>
      </c>
      <c r="I1532" s="62">
        <f>IF('Übung 07'!AV$41="","",'Übung 07'!AV$41)</f>
        <v/>
      </c>
      <c r="J1532" s="62">
        <f>IF('Übung 08'!AV$41="","",'Übung 08'!AV$41)</f>
        <v/>
      </c>
      <c r="K1532" s="62">
        <f>IF('Übung 09'!AV$41="","",'Übung 09'!AV$41)</f>
        <v/>
      </c>
      <c r="L1532" s="62">
        <f>IF('Übung 10'!AV$41="","",'Übung 10'!AV$41)</f>
        <v/>
      </c>
      <c r="M1532" s="62">
        <f>IF('Übung 11'!AV$41="","",'Übung 11'!AV$41)</f>
        <v/>
      </c>
      <c r="N1532" s="62">
        <f>IF('Übung 12'!AV$41="","",'Übung 12'!AV$41)</f>
        <v/>
      </c>
      <c r="O1532" s="62">
        <f>IF('Übung 13'!AV$41="","",'Übung 13'!AV$41)</f>
        <v/>
      </c>
      <c r="P1532" s="62">
        <f>IF('Übung 14'!AV$41="","",'Übung 14'!AV$41)</f>
        <v/>
      </c>
      <c r="Q1532" s="62">
        <f>IF('Übung 15'!AV$41="","",'Übung 15'!AV$41)</f>
        <v/>
      </c>
      <c r="R1532" s="62">
        <f>IF('Übung 16'!AV$41="","",'Übung 16'!AV$41)</f>
        <v/>
      </c>
      <c r="S1532" s="62">
        <f>IF('Übung 17'!AV$41="","",'Übung 17'!AV$41)</f>
        <v/>
      </c>
      <c r="T1532" s="62">
        <f>IF('Übung 18'!AV$41="","",'Übung 18'!AV$41)</f>
        <v/>
      </c>
      <c r="U1532" s="62">
        <f>IF('Übung 19'!AV$41="","",'Übung 19'!AV$41)</f>
        <v/>
      </c>
      <c r="V1532" s="62">
        <f>IF('Übung 20'!AV$41="","",'Übung 20'!AV$41)</f>
        <v/>
      </c>
    </row>
    <row r="1533">
      <c r="C1533" s="62">
        <f>IF('Übung 01'!AW$41="","",'Übung 01'!AW$41)</f>
        <v/>
      </c>
      <c r="D1533" s="62">
        <f>IF('Übung 02'!AW$41="","",'Übung 02'!AW$41)</f>
        <v/>
      </c>
      <c r="E1533" s="62">
        <f>IF('Übung 03'!AW$41="","",'Übung 03'!AW$41)</f>
        <v/>
      </c>
      <c r="F1533" s="62">
        <f>IF('Übung 04'!AW$41="","",'Übung 04'!AW$41)</f>
        <v/>
      </c>
      <c r="G1533" s="62">
        <f>IF('Übung 05'!AW$41="","",'Übung 05'!AW$41)</f>
        <v/>
      </c>
      <c r="H1533" s="62">
        <f>IF('Übung 06'!AW$41="","",'Übung 06'!AW$41)</f>
        <v/>
      </c>
      <c r="I1533" s="62">
        <f>IF('Übung 07'!AW$41="","",'Übung 07'!AW$41)</f>
        <v/>
      </c>
      <c r="J1533" s="62">
        <f>IF('Übung 08'!AW$41="","",'Übung 08'!AW$41)</f>
        <v/>
      </c>
      <c r="K1533" s="62">
        <f>IF('Übung 09'!AW$41="","",'Übung 09'!AW$41)</f>
        <v/>
      </c>
      <c r="L1533" s="62">
        <f>IF('Übung 10'!AW$41="","",'Übung 10'!AW$41)</f>
        <v/>
      </c>
      <c r="M1533" s="62">
        <f>IF('Übung 11'!AW$41="","",'Übung 11'!AW$41)</f>
        <v/>
      </c>
      <c r="N1533" s="62">
        <f>IF('Übung 12'!AW$41="","",'Übung 12'!AW$41)</f>
        <v/>
      </c>
      <c r="O1533" s="62">
        <f>IF('Übung 13'!AW$41="","",'Übung 13'!AW$41)</f>
        <v/>
      </c>
      <c r="P1533" s="62">
        <f>IF('Übung 14'!AW$41="","",'Übung 14'!AW$41)</f>
        <v/>
      </c>
      <c r="Q1533" s="62">
        <f>IF('Übung 15'!AW$41="","",'Übung 15'!AW$41)</f>
        <v/>
      </c>
      <c r="R1533" s="62">
        <f>IF('Übung 16'!AW$41="","",'Übung 16'!AW$41)</f>
        <v/>
      </c>
      <c r="S1533" s="62">
        <f>IF('Übung 17'!AW$41="","",'Übung 17'!AW$41)</f>
        <v/>
      </c>
      <c r="T1533" s="62">
        <f>IF('Übung 18'!AW$41="","",'Übung 18'!AW$41)</f>
        <v/>
      </c>
      <c r="U1533" s="62">
        <f>IF('Übung 19'!AW$41="","",'Übung 19'!AW$41)</f>
        <v/>
      </c>
      <c r="V1533" s="62">
        <f>IF('Übung 20'!AW$41="","",'Übung 20'!AW$41)</f>
        <v/>
      </c>
    </row>
    <row r="1534">
      <c r="C1534" s="62">
        <f>IF('Übung 01'!AX$41="","",'Übung 01'!AX$41)</f>
        <v/>
      </c>
      <c r="D1534" s="62">
        <f>IF('Übung 02'!AX$41="","",'Übung 02'!AX$41)</f>
        <v/>
      </c>
      <c r="E1534" s="62">
        <f>IF('Übung 03'!AX$41="","",'Übung 03'!AX$41)</f>
        <v/>
      </c>
      <c r="F1534" s="62">
        <f>IF('Übung 04'!AX$41="","",'Übung 04'!AX$41)</f>
        <v/>
      </c>
      <c r="G1534" s="62">
        <f>IF('Übung 05'!AX$41="","",'Übung 05'!AX$41)</f>
        <v/>
      </c>
      <c r="H1534" s="62">
        <f>IF('Übung 06'!AX$41="","",'Übung 06'!AX$41)</f>
        <v/>
      </c>
      <c r="I1534" s="62">
        <f>IF('Übung 07'!AX$41="","",'Übung 07'!AX$41)</f>
        <v/>
      </c>
      <c r="J1534" s="62">
        <f>IF('Übung 08'!AX$41="","",'Übung 08'!AX$41)</f>
        <v/>
      </c>
      <c r="K1534" s="62">
        <f>IF('Übung 09'!AX$41="","",'Übung 09'!AX$41)</f>
        <v/>
      </c>
      <c r="L1534" s="62">
        <f>IF('Übung 10'!AX$41="","",'Übung 10'!AX$41)</f>
        <v/>
      </c>
      <c r="M1534" s="62">
        <f>IF('Übung 11'!AX$41="","",'Übung 11'!AX$41)</f>
        <v/>
      </c>
      <c r="N1534" s="62">
        <f>IF('Übung 12'!AX$41="","",'Übung 12'!AX$41)</f>
        <v/>
      </c>
      <c r="O1534" s="62">
        <f>IF('Übung 13'!AX$41="","",'Übung 13'!AX$41)</f>
        <v/>
      </c>
      <c r="P1534" s="62">
        <f>IF('Übung 14'!AX$41="","",'Übung 14'!AX$41)</f>
        <v/>
      </c>
      <c r="Q1534" s="62">
        <f>IF('Übung 15'!AX$41="","",'Übung 15'!AX$41)</f>
        <v/>
      </c>
      <c r="R1534" s="62">
        <f>IF('Übung 16'!AX$41="","",'Übung 16'!AX$41)</f>
        <v/>
      </c>
      <c r="S1534" s="62">
        <f>IF('Übung 17'!AX$41="","",'Übung 17'!AX$41)</f>
        <v/>
      </c>
      <c r="T1534" s="62">
        <f>IF('Übung 18'!AX$41="","",'Übung 18'!AX$41)</f>
        <v/>
      </c>
      <c r="U1534" s="62">
        <f>IF('Übung 19'!AX$41="","",'Übung 19'!AX$41)</f>
        <v/>
      </c>
      <c r="V1534" s="62">
        <f>IF('Übung 20'!AX$41="","",'Übung 20'!AX$41)</f>
        <v/>
      </c>
    </row>
    <row r="1535">
      <c r="C1535" s="62">
        <f>IF('Übung 01'!AY$41="","",'Übung 01'!AY$41)</f>
        <v/>
      </c>
      <c r="D1535" s="62">
        <f>IF('Übung 02'!AY$41="","",'Übung 02'!AY$41)</f>
        <v/>
      </c>
      <c r="E1535" s="62">
        <f>IF('Übung 03'!AY$41="","",'Übung 03'!AY$41)</f>
        <v/>
      </c>
      <c r="F1535" s="62">
        <f>IF('Übung 04'!AY$41="","",'Übung 04'!AY$41)</f>
        <v/>
      </c>
      <c r="G1535" s="62">
        <f>IF('Übung 05'!AY$41="","",'Übung 05'!AY$41)</f>
        <v/>
      </c>
      <c r="H1535" s="62">
        <f>IF('Übung 06'!AY$41="","",'Übung 06'!AY$41)</f>
        <v/>
      </c>
      <c r="I1535" s="62">
        <f>IF('Übung 07'!AY$41="","",'Übung 07'!AY$41)</f>
        <v/>
      </c>
      <c r="J1535" s="62">
        <f>IF('Übung 08'!AY$41="","",'Übung 08'!AY$41)</f>
        <v/>
      </c>
      <c r="K1535" s="62">
        <f>IF('Übung 09'!AY$41="","",'Übung 09'!AY$41)</f>
        <v/>
      </c>
      <c r="L1535" s="62">
        <f>IF('Übung 10'!AY$41="","",'Übung 10'!AY$41)</f>
        <v/>
      </c>
      <c r="M1535" s="62">
        <f>IF('Übung 11'!AY$41="","",'Übung 11'!AY$41)</f>
        <v/>
      </c>
      <c r="N1535" s="62">
        <f>IF('Übung 12'!AY$41="","",'Übung 12'!AY$41)</f>
        <v/>
      </c>
      <c r="O1535" s="62">
        <f>IF('Übung 13'!AY$41="","",'Übung 13'!AY$41)</f>
        <v/>
      </c>
      <c r="P1535" s="62">
        <f>IF('Übung 14'!AY$41="","",'Übung 14'!AY$41)</f>
        <v/>
      </c>
      <c r="Q1535" s="62">
        <f>IF('Übung 15'!AY$41="","",'Übung 15'!AY$41)</f>
        <v/>
      </c>
      <c r="R1535" s="62">
        <f>IF('Übung 16'!AY$41="","",'Übung 16'!AY$41)</f>
        <v/>
      </c>
      <c r="S1535" s="62">
        <f>IF('Übung 17'!AY$41="","",'Übung 17'!AY$41)</f>
        <v/>
      </c>
      <c r="T1535" s="62">
        <f>IF('Übung 18'!AY$41="","",'Übung 18'!AY$41)</f>
        <v/>
      </c>
      <c r="U1535" s="62">
        <f>IF('Übung 19'!AY$41="","",'Übung 19'!AY$41)</f>
        <v/>
      </c>
      <c r="V1535" s="62">
        <f>IF('Übung 20'!AY$41="","",'Übung 20'!AY$41)</f>
        <v/>
      </c>
    </row>
    <row r="1536">
      <c r="C1536" s="62">
        <f>IF('Übung 01'!AZ$41="","",'Übung 01'!AZ$41)</f>
        <v/>
      </c>
      <c r="D1536" s="62">
        <f>IF('Übung 02'!AZ$41="","",'Übung 02'!AZ$41)</f>
        <v/>
      </c>
      <c r="E1536" s="62">
        <f>IF('Übung 03'!AZ$41="","",'Übung 03'!AZ$41)</f>
        <v/>
      </c>
      <c r="F1536" s="62">
        <f>IF('Übung 04'!AZ$41="","",'Übung 04'!AZ$41)</f>
        <v/>
      </c>
      <c r="G1536" s="62">
        <f>IF('Übung 05'!AZ$41="","",'Übung 05'!AZ$41)</f>
        <v/>
      </c>
      <c r="H1536" s="62">
        <f>IF('Übung 06'!AZ$41="","",'Übung 06'!AZ$41)</f>
        <v/>
      </c>
      <c r="I1536" s="62">
        <f>IF('Übung 07'!AZ$41="","",'Übung 07'!AZ$41)</f>
        <v/>
      </c>
      <c r="J1536" s="62">
        <f>IF('Übung 08'!AZ$41="","",'Übung 08'!AZ$41)</f>
        <v/>
      </c>
      <c r="K1536" s="62">
        <f>IF('Übung 09'!AZ$41="","",'Übung 09'!AZ$41)</f>
        <v/>
      </c>
      <c r="L1536" s="62">
        <f>IF('Übung 10'!AZ$41="","",'Übung 10'!AZ$41)</f>
        <v/>
      </c>
      <c r="M1536" s="62">
        <f>IF('Übung 11'!AZ$41="","",'Übung 11'!AZ$41)</f>
        <v/>
      </c>
      <c r="N1536" s="62">
        <f>IF('Übung 12'!AZ$41="","",'Übung 12'!AZ$41)</f>
        <v/>
      </c>
      <c r="O1536" s="62">
        <f>IF('Übung 13'!AZ$41="","",'Übung 13'!AZ$41)</f>
        <v/>
      </c>
      <c r="P1536" s="62">
        <f>IF('Übung 14'!AZ$41="","",'Übung 14'!AZ$41)</f>
        <v/>
      </c>
      <c r="Q1536" s="62">
        <f>IF('Übung 15'!AZ$41="","",'Übung 15'!AZ$41)</f>
        <v/>
      </c>
      <c r="R1536" s="62">
        <f>IF('Übung 16'!AZ$41="","",'Übung 16'!AZ$41)</f>
        <v/>
      </c>
      <c r="S1536" s="62">
        <f>IF('Übung 17'!AZ$41="","",'Übung 17'!AZ$41)</f>
        <v/>
      </c>
      <c r="T1536" s="62">
        <f>IF('Übung 18'!AZ$41="","",'Übung 18'!AZ$41)</f>
        <v/>
      </c>
      <c r="U1536" s="62">
        <f>IF('Übung 19'!AZ$41="","",'Übung 19'!AZ$41)</f>
        <v/>
      </c>
      <c r="V1536" s="62">
        <f>IF('Übung 20'!AZ$41="","",'Übung 20'!AZ$41)</f>
        <v/>
      </c>
    </row>
    <row r="1537">
      <c r="C1537" s="62">
        <f>IF('Übung 01'!BA$41="","",'Übung 01'!BA$41)</f>
        <v/>
      </c>
      <c r="D1537" s="62">
        <f>IF('Übung 02'!BA$41="","",'Übung 02'!BA$41)</f>
        <v/>
      </c>
      <c r="E1537" s="62">
        <f>IF('Übung 03'!BA$41="","",'Übung 03'!BA$41)</f>
        <v/>
      </c>
      <c r="F1537" s="62">
        <f>IF('Übung 04'!BA$41="","",'Übung 04'!BA$41)</f>
        <v/>
      </c>
      <c r="G1537" s="62">
        <f>IF('Übung 05'!BA$41="","",'Übung 05'!BA$41)</f>
        <v/>
      </c>
      <c r="H1537" s="62">
        <f>IF('Übung 06'!BA$41="","",'Übung 06'!BA$41)</f>
        <v/>
      </c>
      <c r="I1537" s="62">
        <f>IF('Übung 07'!BA$41="","",'Übung 07'!BA$41)</f>
        <v/>
      </c>
      <c r="J1537" s="62">
        <f>IF('Übung 08'!BA$41="","",'Übung 08'!BA$41)</f>
        <v/>
      </c>
      <c r="K1537" s="62">
        <f>IF('Übung 09'!BA$41="","",'Übung 09'!BA$41)</f>
        <v/>
      </c>
      <c r="L1537" s="62">
        <f>IF('Übung 10'!BA$41="","",'Übung 10'!BA$41)</f>
        <v/>
      </c>
      <c r="M1537" s="62">
        <f>IF('Übung 11'!BA$41="","",'Übung 11'!BA$41)</f>
        <v/>
      </c>
      <c r="N1537" s="62">
        <f>IF('Übung 12'!BA$41="","",'Übung 12'!BA$41)</f>
        <v/>
      </c>
      <c r="O1537" s="62">
        <f>IF('Übung 13'!BA$41="","",'Übung 13'!BA$41)</f>
        <v/>
      </c>
      <c r="P1537" s="62">
        <f>IF('Übung 14'!BA$41="","",'Übung 14'!BA$41)</f>
        <v/>
      </c>
      <c r="Q1537" s="62">
        <f>IF('Übung 15'!BA$41="","",'Übung 15'!BA$41)</f>
        <v/>
      </c>
      <c r="R1537" s="62">
        <f>IF('Übung 16'!BA$41="","",'Übung 16'!BA$41)</f>
        <v/>
      </c>
      <c r="S1537" s="62">
        <f>IF('Übung 17'!BA$41="","",'Übung 17'!BA$41)</f>
        <v/>
      </c>
      <c r="T1537" s="62">
        <f>IF('Übung 18'!BA$41="","",'Übung 18'!BA$41)</f>
        <v/>
      </c>
      <c r="U1537" s="62">
        <f>IF('Übung 19'!BA$41="","",'Übung 19'!BA$41)</f>
        <v/>
      </c>
      <c r="V1537" s="62">
        <f>IF('Übung 20'!BA$41="","",'Übung 20'!BA$41)</f>
        <v/>
      </c>
    </row>
    <row r="1538">
      <c r="C1538" s="62">
        <f>IF('Übung 01'!BB$41="","",'Übung 01'!BB$41)</f>
        <v/>
      </c>
      <c r="D1538" s="62">
        <f>IF('Übung 02'!BB$41="","",'Übung 02'!BB$41)</f>
        <v/>
      </c>
      <c r="E1538" s="62">
        <f>IF('Übung 03'!BB$41="","",'Übung 03'!BB$41)</f>
        <v/>
      </c>
      <c r="F1538" s="62">
        <f>IF('Übung 04'!BB$41="","",'Übung 04'!BB$41)</f>
        <v/>
      </c>
      <c r="G1538" s="62">
        <f>IF('Übung 05'!BB$41="","",'Übung 05'!BB$41)</f>
        <v/>
      </c>
      <c r="H1538" s="62">
        <f>IF('Übung 06'!BB$41="","",'Übung 06'!BB$41)</f>
        <v/>
      </c>
      <c r="I1538" s="62">
        <f>IF('Übung 07'!BB$41="","",'Übung 07'!BB$41)</f>
        <v/>
      </c>
      <c r="J1538" s="62">
        <f>IF('Übung 08'!BB$41="","",'Übung 08'!BB$41)</f>
        <v/>
      </c>
      <c r="K1538" s="62">
        <f>IF('Übung 09'!BB$41="","",'Übung 09'!BB$41)</f>
        <v/>
      </c>
      <c r="L1538" s="62">
        <f>IF('Übung 10'!BB$41="","",'Übung 10'!BB$41)</f>
        <v/>
      </c>
      <c r="M1538" s="62">
        <f>IF('Übung 11'!BB$41="","",'Übung 11'!BB$41)</f>
        <v/>
      </c>
      <c r="N1538" s="62">
        <f>IF('Übung 12'!BB$41="","",'Übung 12'!BB$41)</f>
        <v/>
      </c>
      <c r="O1538" s="62">
        <f>IF('Übung 13'!BB$41="","",'Übung 13'!BB$41)</f>
        <v/>
      </c>
      <c r="P1538" s="62">
        <f>IF('Übung 14'!BB$41="","",'Übung 14'!BB$41)</f>
        <v/>
      </c>
      <c r="Q1538" s="62">
        <f>IF('Übung 15'!BB$41="","",'Übung 15'!BB$41)</f>
        <v/>
      </c>
      <c r="R1538" s="62">
        <f>IF('Übung 16'!BB$41="","",'Übung 16'!BB$41)</f>
        <v/>
      </c>
      <c r="S1538" s="62">
        <f>IF('Übung 17'!BB$41="","",'Übung 17'!BB$41)</f>
        <v/>
      </c>
      <c r="T1538" s="62">
        <f>IF('Übung 18'!BB$41="","",'Übung 18'!BB$41)</f>
        <v/>
      </c>
      <c r="U1538" s="62">
        <f>IF('Übung 19'!BB$41="","",'Übung 19'!BB$41)</f>
        <v/>
      </c>
      <c r="V1538" s="62">
        <f>IF('Übung 20'!BB$41="","",'Übung 20'!BB$41)</f>
        <v/>
      </c>
    </row>
    <row r="1539">
      <c r="C1539" s="62">
        <f>IF('Übung 01'!BC$41="","",'Übung 01'!BC$41)</f>
        <v/>
      </c>
      <c r="D1539" s="62">
        <f>IF('Übung 02'!BC$41="","",'Übung 02'!BC$41)</f>
        <v/>
      </c>
      <c r="E1539" s="62">
        <f>IF('Übung 03'!BC$41="","",'Übung 03'!BC$41)</f>
        <v/>
      </c>
      <c r="F1539" s="62">
        <f>IF('Übung 04'!BC$41="","",'Übung 04'!BC$41)</f>
        <v/>
      </c>
      <c r="G1539" s="62">
        <f>IF('Übung 05'!BC$41="","",'Übung 05'!BC$41)</f>
        <v/>
      </c>
      <c r="H1539" s="62">
        <f>IF('Übung 06'!BC$41="","",'Übung 06'!BC$41)</f>
        <v/>
      </c>
      <c r="I1539" s="62">
        <f>IF('Übung 07'!BC$41="","",'Übung 07'!BC$41)</f>
        <v/>
      </c>
      <c r="J1539" s="62">
        <f>IF('Übung 08'!BC$41="","",'Übung 08'!BC$41)</f>
        <v/>
      </c>
      <c r="K1539" s="62">
        <f>IF('Übung 09'!BC$41="","",'Übung 09'!BC$41)</f>
        <v/>
      </c>
      <c r="L1539" s="62">
        <f>IF('Übung 10'!BC$41="","",'Übung 10'!BC$41)</f>
        <v/>
      </c>
      <c r="M1539" s="62">
        <f>IF('Übung 11'!BC$41="","",'Übung 11'!BC$41)</f>
        <v/>
      </c>
      <c r="N1539" s="62">
        <f>IF('Übung 12'!BC$41="","",'Übung 12'!BC$41)</f>
        <v/>
      </c>
      <c r="O1539" s="62">
        <f>IF('Übung 13'!BC$41="","",'Übung 13'!BC$41)</f>
        <v/>
      </c>
      <c r="P1539" s="62">
        <f>IF('Übung 14'!BC$41="","",'Übung 14'!BC$41)</f>
        <v/>
      </c>
      <c r="Q1539" s="62">
        <f>IF('Übung 15'!BC$41="","",'Übung 15'!BC$41)</f>
        <v/>
      </c>
      <c r="R1539" s="62">
        <f>IF('Übung 16'!BC$41="","",'Übung 16'!BC$41)</f>
        <v/>
      </c>
      <c r="S1539" s="62">
        <f>IF('Übung 17'!BC$41="","",'Übung 17'!BC$41)</f>
        <v/>
      </c>
      <c r="T1539" s="62">
        <f>IF('Übung 18'!BC$41="","",'Übung 18'!BC$41)</f>
        <v/>
      </c>
      <c r="U1539" s="62">
        <f>IF('Übung 19'!BC$41="","",'Übung 19'!BC$41)</f>
        <v/>
      </c>
      <c r="V1539" s="62">
        <f>IF('Übung 20'!BC$41="","",'Übung 20'!BC$41)</f>
        <v/>
      </c>
    </row>
    <row r="1540">
      <c r="C1540" s="62">
        <f>IF('Übung 01'!BE$41="","",'Übung 01'!BE$41)</f>
        <v/>
      </c>
      <c r="D1540" s="62">
        <f>IF('Übung 02'!BE$41="","",'Übung 02'!BE$41)</f>
        <v/>
      </c>
      <c r="E1540" s="62">
        <f>IF('Übung 03'!BE$41="","",'Übung 03'!BE$41)</f>
        <v/>
      </c>
      <c r="F1540" s="62">
        <f>IF('Übung 04'!BE$41="","",'Übung 04'!BE$41)</f>
        <v/>
      </c>
      <c r="G1540" s="62">
        <f>IF('Übung 05'!BE$41="","",'Übung 05'!BE$41)</f>
        <v/>
      </c>
      <c r="H1540" s="62">
        <f>IF('Übung 06'!BE$41="","",'Übung 06'!BE$41)</f>
        <v/>
      </c>
      <c r="I1540" s="62">
        <f>IF('Übung 07'!BE$41="","",'Übung 07'!BE$41)</f>
        <v/>
      </c>
      <c r="J1540" s="62">
        <f>IF('Übung 08'!BE$41="","",'Übung 08'!BE$41)</f>
        <v/>
      </c>
      <c r="K1540" s="62">
        <f>IF('Übung 09'!BE$41="","",'Übung 09'!BE$41)</f>
        <v/>
      </c>
      <c r="L1540" s="62">
        <f>IF('Übung 10'!BE$41="","",'Übung 10'!BE$41)</f>
        <v/>
      </c>
      <c r="M1540" s="62">
        <f>IF('Übung 11'!BE$41="","",'Übung 11'!BE$41)</f>
        <v/>
      </c>
      <c r="N1540" s="62">
        <f>IF('Übung 12'!BE$41="","",'Übung 12'!BE$41)</f>
        <v/>
      </c>
      <c r="O1540" s="62">
        <f>IF('Übung 13'!BE$41="","",'Übung 13'!BE$41)</f>
        <v/>
      </c>
      <c r="P1540" s="62">
        <f>IF('Übung 14'!BE$41="","",'Übung 14'!BE$41)</f>
        <v/>
      </c>
      <c r="Q1540" s="62">
        <f>IF('Übung 15'!BE$41="","",'Übung 15'!BE$41)</f>
        <v/>
      </c>
      <c r="R1540" s="62">
        <f>IF('Übung 16'!BE$41="","",'Übung 16'!BE$41)</f>
        <v/>
      </c>
      <c r="S1540" s="62">
        <f>IF('Übung 17'!BE$41="","",'Übung 17'!BE$41)</f>
        <v/>
      </c>
      <c r="T1540" s="62">
        <f>IF('Übung 18'!BE$41="","",'Übung 18'!BE$41)</f>
        <v/>
      </c>
      <c r="U1540" s="62">
        <f>IF('Übung 19'!BE$41="","",'Übung 19'!BE$41)</f>
        <v/>
      </c>
      <c r="V1540" s="62">
        <f>IF('Übung 20'!BE$41="","",'Übung 20'!BE$41)</f>
        <v/>
      </c>
    </row>
    <row r="1541">
      <c r="C1541" s="62">
        <f>IF('Übung 01'!BF$41="","",'Übung 01'!BF$41)</f>
        <v/>
      </c>
      <c r="D1541" s="62">
        <f>IF('Übung 02'!BF$41="","",'Übung 02'!BF$41)</f>
        <v/>
      </c>
      <c r="E1541" s="62">
        <f>IF('Übung 03'!BF$41="","",'Übung 03'!BF$41)</f>
        <v/>
      </c>
      <c r="F1541" s="62">
        <f>IF('Übung 04'!BF$41="","",'Übung 04'!BF$41)</f>
        <v/>
      </c>
      <c r="G1541" s="62">
        <f>IF('Übung 05'!BF$41="","",'Übung 05'!BF$41)</f>
        <v/>
      </c>
      <c r="H1541" s="62">
        <f>IF('Übung 06'!BF$41="","",'Übung 06'!BF$41)</f>
        <v/>
      </c>
      <c r="I1541" s="62">
        <f>IF('Übung 07'!BF$41="","",'Übung 07'!BF$41)</f>
        <v/>
      </c>
      <c r="J1541" s="62">
        <f>IF('Übung 08'!BF$41="","",'Übung 08'!BF$41)</f>
        <v/>
      </c>
      <c r="K1541" s="62">
        <f>IF('Übung 09'!BF$41="","",'Übung 09'!BF$41)</f>
        <v/>
      </c>
      <c r="L1541" s="62">
        <f>IF('Übung 10'!BF$41="","",'Übung 10'!BF$41)</f>
        <v/>
      </c>
      <c r="M1541" s="62">
        <f>IF('Übung 11'!BF$41="","",'Übung 11'!BF$41)</f>
        <v/>
      </c>
      <c r="N1541" s="62">
        <f>IF('Übung 12'!BF$41="","",'Übung 12'!BF$41)</f>
        <v/>
      </c>
      <c r="O1541" s="62">
        <f>IF('Übung 13'!BF$41="","",'Übung 13'!BF$41)</f>
        <v/>
      </c>
      <c r="P1541" s="62">
        <f>IF('Übung 14'!BF$41="","",'Übung 14'!BF$41)</f>
        <v/>
      </c>
      <c r="Q1541" s="62">
        <f>IF('Übung 15'!BF$41="","",'Übung 15'!BF$41)</f>
        <v/>
      </c>
      <c r="R1541" s="62">
        <f>IF('Übung 16'!BF$41="","",'Übung 16'!BF$41)</f>
        <v/>
      </c>
      <c r="S1541" s="62">
        <f>IF('Übung 17'!BF$41="","",'Übung 17'!BF$41)</f>
        <v/>
      </c>
      <c r="T1541" s="62">
        <f>IF('Übung 18'!BF$41="","",'Übung 18'!BF$41)</f>
        <v/>
      </c>
      <c r="U1541" s="62">
        <f>IF('Übung 19'!BF$41="","",'Übung 19'!BF$41)</f>
        <v/>
      </c>
      <c r="V1541" s="62">
        <f>IF('Übung 20'!BF$41="","",'Übung 20'!BF$41)</f>
        <v/>
      </c>
    </row>
    <row r="1542">
      <c r="C1542" s="62">
        <f>IF('Übung 01'!BG$41="","",'Übung 01'!BG$41)</f>
        <v/>
      </c>
      <c r="D1542" s="62">
        <f>IF('Übung 02'!BG$41="","",'Übung 02'!BG$41)</f>
        <v/>
      </c>
      <c r="E1542" s="62">
        <f>IF('Übung 03'!BG$41="","",'Übung 03'!BG$41)</f>
        <v/>
      </c>
      <c r="F1542" s="62">
        <f>IF('Übung 04'!BG$41="","",'Übung 04'!BG$41)</f>
        <v/>
      </c>
      <c r="G1542" s="62">
        <f>IF('Übung 05'!BG$41="","",'Übung 05'!BG$41)</f>
        <v/>
      </c>
      <c r="H1542" s="62">
        <f>IF('Übung 06'!BG$41="","",'Übung 06'!BG$41)</f>
        <v/>
      </c>
      <c r="I1542" s="62">
        <f>IF('Übung 07'!BG$41="","",'Übung 07'!BG$41)</f>
        <v/>
      </c>
      <c r="J1542" s="62">
        <f>IF('Übung 08'!BG$41="","",'Übung 08'!BG$41)</f>
        <v/>
      </c>
      <c r="K1542" s="62">
        <f>IF('Übung 09'!BG$41="","",'Übung 09'!BG$41)</f>
        <v/>
      </c>
      <c r="L1542" s="62">
        <f>IF('Übung 10'!BG$41="","",'Übung 10'!BG$41)</f>
        <v/>
      </c>
      <c r="M1542" s="62">
        <f>IF('Übung 11'!BG$41="","",'Übung 11'!BG$41)</f>
        <v/>
      </c>
      <c r="N1542" s="62">
        <f>IF('Übung 12'!BG$41="","",'Übung 12'!BG$41)</f>
        <v/>
      </c>
      <c r="O1542" s="62">
        <f>IF('Übung 13'!BG$41="","",'Übung 13'!BG$41)</f>
        <v/>
      </c>
      <c r="P1542" s="62">
        <f>IF('Übung 14'!BG$41="","",'Übung 14'!BG$41)</f>
        <v/>
      </c>
      <c r="Q1542" s="62">
        <f>IF('Übung 15'!BG$41="","",'Übung 15'!BG$41)</f>
        <v/>
      </c>
      <c r="R1542" s="62">
        <f>IF('Übung 16'!BG$41="","",'Übung 16'!BG$41)</f>
        <v/>
      </c>
      <c r="S1542" s="62">
        <f>IF('Übung 17'!BG$41="","",'Übung 17'!BG$41)</f>
        <v/>
      </c>
      <c r="T1542" s="62">
        <f>IF('Übung 18'!BG$41="","",'Übung 18'!BG$41)</f>
        <v/>
      </c>
      <c r="U1542" s="62">
        <f>IF('Übung 19'!BG$41="","",'Übung 19'!BG$41)</f>
        <v/>
      </c>
      <c r="V1542" s="62">
        <f>IF('Übung 20'!BG$41="","",'Übung 20'!BG$41)</f>
        <v/>
      </c>
    </row>
    <row r="1543">
      <c r="C1543" s="62">
        <f>IF('Übung 01'!BH$41="","",'Übung 01'!BH$41)</f>
        <v/>
      </c>
      <c r="D1543" s="62">
        <f>IF('Übung 02'!BH$41="","",'Übung 02'!BH$41)</f>
        <v/>
      </c>
      <c r="E1543" s="62">
        <f>IF('Übung 03'!BH$41="","",'Übung 03'!BH$41)</f>
        <v/>
      </c>
      <c r="F1543" s="62">
        <f>IF('Übung 04'!BH$41="","",'Übung 04'!BH$41)</f>
        <v/>
      </c>
      <c r="G1543" s="62">
        <f>IF('Übung 05'!BH$41="","",'Übung 05'!BH$41)</f>
        <v/>
      </c>
      <c r="H1543" s="62">
        <f>IF('Übung 06'!BH$41="","",'Übung 06'!BH$41)</f>
        <v/>
      </c>
      <c r="I1543" s="62">
        <f>IF('Übung 07'!BH$41="","",'Übung 07'!BH$41)</f>
        <v/>
      </c>
      <c r="J1543" s="62">
        <f>IF('Übung 08'!BH$41="","",'Übung 08'!BH$41)</f>
        <v/>
      </c>
      <c r="K1543" s="62">
        <f>IF('Übung 09'!BH$41="","",'Übung 09'!BH$41)</f>
        <v/>
      </c>
      <c r="L1543" s="62">
        <f>IF('Übung 10'!BH$41="","",'Übung 10'!BH$41)</f>
        <v/>
      </c>
      <c r="M1543" s="62">
        <f>IF('Übung 11'!BH$41="","",'Übung 11'!BH$41)</f>
        <v/>
      </c>
      <c r="N1543" s="62">
        <f>IF('Übung 12'!BH$41="","",'Übung 12'!BH$41)</f>
        <v/>
      </c>
      <c r="O1543" s="62">
        <f>IF('Übung 13'!BH$41="","",'Übung 13'!BH$41)</f>
        <v/>
      </c>
      <c r="P1543" s="62">
        <f>IF('Übung 14'!BH$41="","",'Übung 14'!BH$41)</f>
        <v/>
      </c>
      <c r="Q1543" s="62">
        <f>IF('Übung 15'!BH$41="","",'Übung 15'!BH$41)</f>
        <v/>
      </c>
      <c r="R1543" s="62">
        <f>IF('Übung 16'!BH$41="","",'Übung 16'!BH$41)</f>
        <v/>
      </c>
      <c r="S1543" s="62">
        <f>IF('Übung 17'!BH$41="","",'Übung 17'!BH$41)</f>
        <v/>
      </c>
      <c r="T1543" s="62">
        <f>IF('Übung 18'!BH$41="","",'Übung 18'!BH$41)</f>
        <v/>
      </c>
      <c r="U1543" s="62">
        <f>IF('Übung 19'!BH$41="","",'Übung 19'!BH$41)</f>
        <v/>
      </c>
      <c r="V1543" s="62">
        <f>IF('Übung 20'!BH$41="","",'Übung 20'!BH$41)</f>
        <v/>
      </c>
    </row>
    <row r="1544">
      <c r="C1544" s="62">
        <f>IF('Übung 01'!BI$41="","",'Übung 01'!BI$41)</f>
        <v/>
      </c>
      <c r="D1544" s="62">
        <f>IF('Übung 02'!BI$41="","",'Übung 02'!BI$41)</f>
        <v/>
      </c>
      <c r="E1544" s="62">
        <f>IF('Übung 03'!BI$41="","",'Übung 03'!BI$41)</f>
        <v/>
      </c>
      <c r="F1544" s="62">
        <f>IF('Übung 04'!BI$41="","",'Übung 04'!BI$41)</f>
        <v/>
      </c>
      <c r="G1544" s="62">
        <f>IF('Übung 05'!BI$41="","",'Übung 05'!BI$41)</f>
        <v/>
      </c>
      <c r="H1544" s="62">
        <f>IF('Übung 06'!BI$41="","",'Übung 06'!BI$41)</f>
        <v/>
      </c>
      <c r="I1544" s="62">
        <f>IF('Übung 07'!BI$41="","",'Übung 07'!BI$41)</f>
        <v/>
      </c>
      <c r="J1544" s="62">
        <f>IF('Übung 08'!BI$41="","",'Übung 08'!BI$41)</f>
        <v/>
      </c>
      <c r="K1544" s="62">
        <f>IF('Übung 09'!BI$41="","",'Übung 09'!BI$41)</f>
        <v/>
      </c>
      <c r="L1544" s="62">
        <f>IF('Übung 10'!BI$41="","",'Übung 10'!BI$41)</f>
        <v/>
      </c>
      <c r="M1544" s="62">
        <f>IF('Übung 11'!BI$41="","",'Übung 11'!BI$41)</f>
        <v/>
      </c>
      <c r="N1544" s="62">
        <f>IF('Übung 12'!BI$41="","",'Übung 12'!BI$41)</f>
        <v/>
      </c>
      <c r="O1544" s="62">
        <f>IF('Übung 13'!BI$41="","",'Übung 13'!BI$41)</f>
        <v/>
      </c>
      <c r="P1544" s="62">
        <f>IF('Übung 14'!BI$41="","",'Übung 14'!BI$41)</f>
        <v/>
      </c>
      <c r="Q1544" s="62">
        <f>IF('Übung 15'!BI$41="","",'Übung 15'!BI$41)</f>
        <v/>
      </c>
      <c r="R1544" s="62">
        <f>IF('Übung 16'!BI$41="","",'Übung 16'!BI$41)</f>
        <v/>
      </c>
      <c r="S1544" s="62">
        <f>IF('Übung 17'!BI$41="","",'Übung 17'!BI$41)</f>
        <v/>
      </c>
      <c r="T1544" s="62">
        <f>IF('Übung 18'!BI$41="","",'Übung 18'!BI$41)</f>
        <v/>
      </c>
      <c r="U1544" s="62">
        <f>IF('Übung 19'!BI$41="","",'Übung 19'!BI$41)</f>
        <v/>
      </c>
      <c r="V1544" s="62">
        <f>IF('Übung 20'!BI$41="","",'Übung 20'!BI$41)</f>
        <v/>
      </c>
    </row>
    <row r="1545">
      <c r="C1545" s="62">
        <f>IF('Übung 01'!BJ$41="","",'Übung 01'!BJ$41)</f>
        <v/>
      </c>
      <c r="D1545" s="62">
        <f>IF('Übung 02'!BJ$41="","",'Übung 02'!BJ$41)</f>
        <v/>
      </c>
      <c r="E1545" s="62">
        <f>IF('Übung 03'!BJ$41="","",'Übung 03'!BJ$41)</f>
        <v/>
      </c>
      <c r="F1545" s="62">
        <f>IF('Übung 04'!BJ$41="","",'Übung 04'!BJ$41)</f>
        <v/>
      </c>
      <c r="G1545" s="62">
        <f>IF('Übung 05'!BJ$41="","",'Übung 05'!BJ$41)</f>
        <v/>
      </c>
      <c r="H1545" s="62">
        <f>IF('Übung 06'!BJ$41="","",'Übung 06'!BJ$41)</f>
        <v/>
      </c>
      <c r="I1545" s="62">
        <f>IF('Übung 07'!BJ$41="","",'Übung 07'!BJ$41)</f>
        <v/>
      </c>
      <c r="J1545" s="62">
        <f>IF('Übung 08'!BJ$41="","",'Übung 08'!BJ$41)</f>
        <v/>
      </c>
      <c r="K1545" s="62">
        <f>IF('Übung 09'!BJ$41="","",'Übung 09'!BJ$41)</f>
        <v/>
      </c>
      <c r="L1545" s="62">
        <f>IF('Übung 10'!BJ$41="","",'Übung 10'!BJ$41)</f>
        <v/>
      </c>
      <c r="M1545" s="62">
        <f>IF('Übung 11'!BJ$41="","",'Übung 11'!BJ$41)</f>
        <v/>
      </c>
      <c r="N1545" s="62">
        <f>IF('Übung 12'!BJ$41="","",'Übung 12'!BJ$41)</f>
        <v/>
      </c>
      <c r="O1545" s="62">
        <f>IF('Übung 13'!BJ$41="","",'Übung 13'!BJ$41)</f>
        <v/>
      </c>
      <c r="P1545" s="62">
        <f>IF('Übung 14'!BJ$41="","",'Übung 14'!BJ$41)</f>
        <v/>
      </c>
      <c r="Q1545" s="62">
        <f>IF('Übung 15'!BJ$41="","",'Übung 15'!BJ$41)</f>
        <v/>
      </c>
      <c r="R1545" s="62">
        <f>IF('Übung 16'!BJ$41="","",'Übung 16'!BJ$41)</f>
        <v/>
      </c>
      <c r="S1545" s="62">
        <f>IF('Übung 17'!BJ$41="","",'Übung 17'!BJ$41)</f>
        <v/>
      </c>
      <c r="T1545" s="62">
        <f>IF('Übung 18'!BJ$41="","",'Übung 18'!BJ$41)</f>
        <v/>
      </c>
      <c r="U1545" s="62">
        <f>IF('Übung 19'!BJ$41="","",'Übung 19'!BJ$41)</f>
        <v/>
      </c>
      <c r="V1545" s="62">
        <f>IF('Übung 20'!BJ$41="","",'Übung 20'!BJ$41)</f>
        <v/>
      </c>
    </row>
    <row r="1546">
      <c r="C1546" s="62">
        <f>IF('Übung 01'!BK$41="","",'Übung 01'!BK$41)</f>
        <v/>
      </c>
      <c r="D1546" s="62">
        <f>IF('Übung 02'!BK$41="","",'Übung 02'!BK$41)</f>
        <v/>
      </c>
      <c r="E1546" s="62">
        <f>IF('Übung 03'!BK$41="","",'Übung 03'!BK$41)</f>
        <v/>
      </c>
      <c r="F1546" s="62">
        <f>IF('Übung 04'!BK$41="","",'Übung 04'!BK$41)</f>
        <v/>
      </c>
      <c r="G1546" s="62">
        <f>IF('Übung 05'!BK$41="","",'Übung 05'!BK$41)</f>
        <v/>
      </c>
      <c r="H1546" s="62">
        <f>IF('Übung 06'!BK$41="","",'Übung 06'!BK$41)</f>
        <v/>
      </c>
      <c r="I1546" s="62">
        <f>IF('Übung 07'!BK$41="","",'Übung 07'!BK$41)</f>
        <v/>
      </c>
      <c r="J1546" s="62">
        <f>IF('Übung 08'!BK$41="","",'Übung 08'!BK$41)</f>
        <v/>
      </c>
      <c r="K1546" s="62">
        <f>IF('Übung 09'!BK$41="","",'Übung 09'!BK$41)</f>
        <v/>
      </c>
      <c r="L1546" s="62">
        <f>IF('Übung 10'!BK$41="","",'Übung 10'!BK$41)</f>
        <v/>
      </c>
      <c r="M1546" s="62">
        <f>IF('Übung 11'!BK$41="","",'Übung 11'!BK$41)</f>
        <v/>
      </c>
      <c r="N1546" s="62">
        <f>IF('Übung 12'!BK$41="","",'Übung 12'!BK$41)</f>
        <v/>
      </c>
      <c r="O1546" s="62">
        <f>IF('Übung 13'!BK$41="","",'Übung 13'!BK$41)</f>
        <v/>
      </c>
      <c r="P1546" s="62">
        <f>IF('Übung 14'!BK$41="","",'Übung 14'!BK$41)</f>
        <v/>
      </c>
      <c r="Q1546" s="62">
        <f>IF('Übung 15'!BK$41="","",'Übung 15'!BK$41)</f>
        <v/>
      </c>
      <c r="R1546" s="62">
        <f>IF('Übung 16'!BK$41="","",'Übung 16'!BK$41)</f>
        <v/>
      </c>
      <c r="S1546" s="62">
        <f>IF('Übung 17'!BK$41="","",'Übung 17'!BK$41)</f>
        <v/>
      </c>
      <c r="T1546" s="62">
        <f>IF('Übung 18'!BK$41="","",'Übung 18'!BK$41)</f>
        <v/>
      </c>
      <c r="U1546" s="62">
        <f>IF('Übung 19'!BK$41="","",'Übung 19'!BK$41)</f>
        <v/>
      </c>
      <c r="V1546" s="62">
        <f>IF('Übung 20'!BK$41="","",'Übung 20'!BK$41)</f>
        <v/>
      </c>
    </row>
    <row r="1547">
      <c r="C1547" s="62">
        <f>IF('Übung 01'!BL$41="","",'Übung 01'!BL$41)</f>
        <v/>
      </c>
      <c r="D1547" s="62">
        <f>IF('Übung 02'!BL$41="","",'Übung 02'!BL$41)</f>
        <v/>
      </c>
      <c r="E1547" s="62">
        <f>IF('Übung 03'!BL$41="","",'Übung 03'!BL$41)</f>
        <v/>
      </c>
      <c r="F1547" s="62">
        <f>IF('Übung 04'!BL$41="","",'Übung 04'!BL$41)</f>
        <v/>
      </c>
      <c r="G1547" s="62">
        <f>IF('Übung 05'!BL$41="","",'Übung 05'!BL$41)</f>
        <v/>
      </c>
      <c r="H1547" s="62">
        <f>IF('Übung 06'!BL$41="","",'Übung 06'!BL$41)</f>
        <v/>
      </c>
      <c r="I1547" s="62">
        <f>IF('Übung 07'!BL$41="","",'Übung 07'!BL$41)</f>
        <v/>
      </c>
      <c r="J1547" s="62">
        <f>IF('Übung 08'!BL$41="","",'Übung 08'!BL$41)</f>
        <v/>
      </c>
      <c r="K1547" s="62">
        <f>IF('Übung 09'!BL$41="","",'Übung 09'!BL$41)</f>
        <v/>
      </c>
      <c r="L1547" s="62">
        <f>IF('Übung 10'!BL$41="","",'Übung 10'!BL$41)</f>
        <v/>
      </c>
      <c r="M1547" s="62">
        <f>IF('Übung 11'!BL$41="","",'Übung 11'!BL$41)</f>
        <v/>
      </c>
      <c r="N1547" s="62">
        <f>IF('Übung 12'!BL$41="","",'Übung 12'!BL$41)</f>
        <v/>
      </c>
      <c r="O1547" s="62">
        <f>IF('Übung 13'!BL$41="","",'Übung 13'!BL$41)</f>
        <v/>
      </c>
      <c r="P1547" s="62">
        <f>IF('Übung 14'!BL$41="","",'Übung 14'!BL$41)</f>
        <v/>
      </c>
      <c r="Q1547" s="62">
        <f>IF('Übung 15'!BL$41="","",'Übung 15'!BL$41)</f>
        <v/>
      </c>
      <c r="R1547" s="62">
        <f>IF('Übung 16'!BL$41="","",'Übung 16'!BL$41)</f>
        <v/>
      </c>
      <c r="S1547" s="62">
        <f>IF('Übung 17'!BL$41="","",'Übung 17'!BL$41)</f>
        <v/>
      </c>
      <c r="T1547" s="62">
        <f>IF('Übung 18'!BL$41="","",'Übung 18'!BL$41)</f>
        <v/>
      </c>
      <c r="U1547" s="62">
        <f>IF('Übung 19'!BL$41="","",'Übung 19'!BL$41)</f>
        <v/>
      </c>
      <c r="V1547" s="62">
        <f>IF('Übung 20'!BL$41="","",'Übung 20'!BL$41)</f>
        <v/>
      </c>
    </row>
    <row r="1548">
      <c r="C1548" s="62">
        <f>IF('Übung 01'!BM$41="","",'Übung 01'!BM$41)</f>
        <v/>
      </c>
      <c r="D1548" s="62">
        <f>IF('Übung 02'!BM$41="","",'Übung 02'!BM$41)</f>
        <v/>
      </c>
      <c r="E1548" s="62">
        <f>IF('Übung 03'!BM$41="","",'Übung 03'!BM$41)</f>
        <v/>
      </c>
      <c r="F1548" s="62">
        <f>IF('Übung 04'!BM$41="","",'Übung 04'!BM$41)</f>
        <v/>
      </c>
      <c r="G1548" s="62">
        <f>IF('Übung 05'!BM$41="","",'Übung 05'!BM$41)</f>
        <v/>
      </c>
      <c r="H1548" s="62">
        <f>IF('Übung 06'!BM$41="","",'Übung 06'!BM$41)</f>
        <v/>
      </c>
      <c r="I1548" s="62">
        <f>IF('Übung 07'!BM$41="","",'Übung 07'!BM$41)</f>
        <v/>
      </c>
      <c r="J1548" s="62">
        <f>IF('Übung 08'!BM$41="","",'Übung 08'!BM$41)</f>
        <v/>
      </c>
      <c r="K1548" s="62">
        <f>IF('Übung 09'!BM$41="","",'Übung 09'!BM$41)</f>
        <v/>
      </c>
      <c r="L1548" s="62">
        <f>IF('Übung 10'!BM$41="","",'Übung 10'!BM$41)</f>
        <v/>
      </c>
      <c r="M1548" s="62">
        <f>IF('Übung 11'!BM$41="","",'Übung 11'!BM$41)</f>
        <v/>
      </c>
      <c r="N1548" s="62">
        <f>IF('Übung 12'!BM$41="","",'Übung 12'!BM$41)</f>
        <v/>
      </c>
      <c r="O1548" s="62">
        <f>IF('Übung 13'!BM$41="","",'Übung 13'!BM$41)</f>
        <v/>
      </c>
      <c r="P1548" s="62">
        <f>IF('Übung 14'!BM$41="","",'Übung 14'!BM$41)</f>
        <v/>
      </c>
      <c r="Q1548" s="62">
        <f>IF('Übung 15'!BM$41="","",'Übung 15'!BM$41)</f>
        <v/>
      </c>
      <c r="R1548" s="62">
        <f>IF('Übung 16'!BM$41="","",'Übung 16'!BM$41)</f>
        <v/>
      </c>
      <c r="S1548" s="62">
        <f>IF('Übung 17'!BM$41="","",'Übung 17'!BM$41)</f>
        <v/>
      </c>
      <c r="T1548" s="62">
        <f>IF('Übung 18'!BM$41="","",'Übung 18'!BM$41)</f>
        <v/>
      </c>
      <c r="U1548" s="62">
        <f>IF('Übung 19'!BM$41="","",'Übung 19'!BM$41)</f>
        <v/>
      </c>
      <c r="V1548" s="62">
        <f>IF('Übung 20'!BM$41="","",'Übung 20'!BM$41)</f>
        <v/>
      </c>
    </row>
    <row r="1549">
      <c r="C1549" s="62">
        <f>IF('Übung 01'!BN$41="","",'Übung 01'!BN$41)</f>
        <v/>
      </c>
      <c r="D1549" s="62">
        <f>IF('Übung 02'!BN$41="","",'Übung 02'!BN$41)</f>
        <v/>
      </c>
      <c r="E1549" s="62">
        <f>IF('Übung 03'!BN$41="","",'Übung 03'!BN$41)</f>
        <v/>
      </c>
      <c r="F1549" s="62">
        <f>IF('Übung 04'!BN$41="","",'Übung 04'!BN$41)</f>
        <v/>
      </c>
      <c r="G1549" s="62">
        <f>IF('Übung 05'!BN$41="","",'Übung 05'!BN$41)</f>
        <v/>
      </c>
      <c r="H1549" s="62">
        <f>IF('Übung 06'!BN$41="","",'Übung 06'!BN$41)</f>
        <v/>
      </c>
      <c r="I1549" s="62">
        <f>IF('Übung 07'!BN$41="","",'Übung 07'!BN$41)</f>
        <v/>
      </c>
      <c r="J1549" s="62">
        <f>IF('Übung 08'!BN$41="","",'Übung 08'!BN$41)</f>
        <v/>
      </c>
      <c r="K1549" s="62">
        <f>IF('Übung 09'!BN$41="","",'Übung 09'!BN$41)</f>
        <v/>
      </c>
      <c r="L1549" s="62">
        <f>IF('Übung 10'!BN$41="","",'Übung 10'!BN$41)</f>
        <v/>
      </c>
      <c r="M1549" s="62">
        <f>IF('Übung 11'!BN$41="","",'Übung 11'!BN$41)</f>
        <v/>
      </c>
      <c r="N1549" s="62">
        <f>IF('Übung 12'!BN$41="","",'Übung 12'!BN$41)</f>
        <v/>
      </c>
      <c r="O1549" s="62">
        <f>IF('Übung 13'!BN$41="","",'Übung 13'!BN$41)</f>
        <v/>
      </c>
      <c r="P1549" s="62">
        <f>IF('Übung 14'!BN$41="","",'Übung 14'!BN$41)</f>
        <v/>
      </c>
      <c r="Q1549" s="62">
        <f>IF('Übung 15'!BN$41="","",'Übung 15'!BN$41)</f>
        <v/>
      </c>
      <c r="R1549" s="62">
        <f>IF('Übung 16'!BN$41="","",'Übung 16'!BN$41)</f>
        <v/>
      </c>
      <c r="S1549" s="62">
        <f>IF('Übung 17'!BN$41="","",'Übung 17'!BN$41)</f>
        <v/>
      </c>
      <c r="T1549" s="62">
        <f>IF('Übung 18'!BN$41="","",'Übung 18'!BN$41)</f>
        <v/>
      </c>
      <c r="U1549" s="62">
        <f>IF('Übung 19'!BN$41="","",'Übung 19'!BN$41)</f>
        <v/>
      </c>
      <c r="V1549" s="62">
        <f>IF('Übung 20'!BN$41="","",'Übung 20'!BN$41)</f>
        <v/>
      </c>
    </row>
    <row r="1550">
      <c r="C1550" s="62">
        <f>IF('Übung 01'!BO$41="","",'Übung 01'!BO$41)</f>
        <v/>
      </c>
      <c r="D1550" s="62">
        <f>IF('Übung 02'!BO$41="","",'Übung 02'!BO$41)</f>
        <v/>
      </c>
      <c r="E1550" s="62">
        <f>IF('Übung 03'!BO$41="","",'Übung 03'!BO$41)</f>
        <v/>
      </c>
      <c r="F1550" s="62">
        <f>IF('Übung 04'!BO$41="","",'Übung 04'!BO$41)</f>
        <v/>
      </c>
      <c r="G1550" s="62">
        <f>IF('Übung 05'!BO$41="","",'Übung 05'!BO$41)</f>
        <v/>
      </c>
      <c r="H1550" s="62">
        <f>IF('Übung 06'!BO$41="","",'Übung 06'!BO$41)</f>
        <v/>
      </c>
      <c r="I1550" s="62">
        <f>IF('Übung 07'!BO$41="","",'Übung 07'!BO$41)</f>
        <v/>
      </c>
      <c r="J1550" s="62">
        <f>IF('Übung 08'!BO$41="","",'Übung 08'!BO$41)</f>
        <v/>
      </c>
      <c r="K1550" s="62">
        <f>IF('Übung 09'!BO$41="","",'Übung 09'!BO$41)</f>
        <v/>
      </c>
      <c r="L1550" s="62">
        <f>IF('Übung 10'!BO$41="","",'Übung 10'!BO$41)</f>
        <v/>
      </c>
      <c r="M1550" s="62">
        <f>IF('Übung 11'!BO$41="","",'Übung 11'!BO$41)</f>
        <v/>
      </c>
      <c r="N1550" s="62">
        <f>IF('Übung 12'!BO$41="","",'Übung 12'!BO$41)</f>
        <v/>
      </c>
      <c r="O1550" s="62">
        <f>IF('Übung 13'!BO$41="","",'Übung 13'!BO$41)</f>
        <v/>
      </c>
      <c r="P1550" s="62">
        <f>IF('Übung 14'!BO$41="","",'Übung 14'!BO$41)</f>
        <v/>
      </c>
      <c r="Q1550" s="62">
        <f>IF('Übung 15'!BO$41="","",'Übung 15'!BO$41)</f>
        <v/>
      </c>
      <c r="R1550" s="62">
        <f>IF('Übung 16'!BO$41="","",'Übung 16'!BO$41)</f>
        <v/>
      </c>
      <c r="S1550" s="62">
        <f>IF('Übung 17'!BO$41="","",'Übung 17'!BO$41)</f>
        <v/>
      </c>
      <c r="T1550" s="62">
        <f>IF('Übung 18'!BO$41="","",'Übung 18'!BO$41)</f>
        <v/>
      </c>
      <c r="U1550" s="62">
        <f>IF('Übung 19'!BO$41="","",'Übung 19'!BO$41)</f>
        <v/>
      </c>
      <c r="V1550" s="62">
        <f>IF('Übung 20'!BO$41="","",'Übung 20'!BO$41)</f>
        <v/>
      </c>
    </row>
    <row r="1551">
      <c r="C1551" s="62">
        <f>IF('Übung 01'!BP$41="","",'Übung 01'!BP$41)</f>
        <v/>
      </c>
      <c r="D1551" s="62">
        <f>IF('Übung 02'!BP$41="","",'Übung 02'!BP$41)</f>
        <v/>
      </c>
      <c r="E1551" s="62">
        <f>IF('Übung 03'!BP$41="","",'Übung 03'!BP$41)</f>
        <v/>
      </c>
      <c r="F1551" s="62">
        <f>IF('Übung 04'!BP$41="","",'Übung 04'!BP$41)</f>
        <v/>
      </c>
      <c r="G1551" s="62">
        <f>IF('Übung 05'!BP$41="","",'Übung 05'!BP$41)</f>
        <v/>
      </c>
      <c r="H1551" s="62">
        <f>IF('Übung 06'!BP$41="","",'Übung 06'!BP$41)</f>
        <v/>
      </c>
      <c r="I1551" s="62">
        <f>IF('Übung 07'!BP$41="","",'Übung 07'!BP$41)</f>
        <v/>
      </c>
      <c r="J1551" s="62">
        <f>IF('Übung 08'!BP$41="","",'Übung 08'!BP$41)</f>
        <v/>
      </c>
      <c r="K1551" s="62">
        <f>IF('Übung 09'!BP$41="","",'Übung 09'!BP$41)</f>
        <v/>
      </c>
      <c r="L1551" s="62">
        <f>IF('Übung 10'!BP$41="","",'Übung 10'!BP$41)</f>
        <v/>
      </c>
      <c r="M1551" s="62">
        <f>IF('Übung 11'!BP$41="","",'Übung 11'!BP$41)</f>
        <v/>
      </c>
      <c r="N1551" s="62">
        <f>IF('Übung 12'!BP$41="","",'Übung 12'!BP$41)</f>
        <v/>
      </c>
      <c r="O1551" s="62">
        <f>IF('Übung 13'!BP$41="","",'Übung 13'!BP$41)</f>
        <v/>
      </c>
      <c r="P1551" s="62">
        <f>IF('Übung 14'!BP$41="","",'Übung 14'!BP$41)</f>
        <v/>
      </c>
      <c r="Q1551" s="62">
        <f>IF('Übung 15'!BP$41="","",'Übung 15'!BP$41)</f>
        <v/>
      </c>
      <c r="R1551" s="62">
        <f>IF('Übung 16'!BP$41="","",'Übung 16'!BP$41)</f>
        <v/>
      </c>
      <c r="S1551" s="62">
        <f>IF('Übung 17'!BP$41="","",'Übung 17'!BP$41)</f>
        <v/>
      </c>
      <c r="T1551" s="62">
        <f>IF('Übung 18'!BP$41="","",'Übung 18'!BP$41)</f>
        <v/>
      </c>
      <c r="U1551" s="62">
        <f>IF('Übung 19'!BP$41="","",'Übung 19'!BP$41)</f>
        <v/>
      </c>
      <c r="V1551" s="62">
        <f>IF('Übung 20'!BP$41="","",'Übung 20'!BP$41)</f>
        <v/>
      </c>
    </row>
    <row r="1552">
      <c r="C1552" s="62">
        <f>IF('Übung 01'!BQ$41="","",'Übung 01'!BQ$41)</f>
        <v/>
      </c>
      <c r="D1552" s="62">
        <f>IF('Übung 02'!BQ$41="","",'Übung 02'!BQ$41)</f>
        <v/>
      </c>
      <c r="E1552" s="62">
        <f>IF('Übung 03'!BQ$41="","",'Übung 03'!BQ$41)</f>
        <v/>
      </c>
      <c r="F1552" s="62">
        <f>IF('Übung 04'!BQ$41="","",'Übung 04'!BQ$41)</f>
        <v/>
      </c>
      <c r="G1552" s="62">
        <f>IF('Übung 05'!BQ$41="","",'Übung 05'!BQ$41)</f>
        <v/>
      </c>
      <c r="H1552" s="62">
        <f>IF('Übung 06'!BQ$41="","",'Übung 06'!BQ$41)</f>
        <v/>
      </c>
      <c r="I1552" s="62">
        <f>IF('Übung 07'!BQ$41="","",'Übung 07'!BQ$41)</f>
        <v/>
      </c>
      <c r="J1552" s="62">
        <f>IF('Übung 08'!BQ$41="","",'Übung 08'!BQ$41)</f>
        <v/>
      </c>
      <c r="K1552" s="62">
        <f>IF('Übung 09'!BQ$41="","",'Übung 09'!BQ$41)</f>
        <v/>
      </c>
      <c r="L1552" s="62">
        <f>IF('Übung 10'!BQ$41="","",'Übung 10'!BQ$41)</f>
        <v/>
      </c>
      <c r="M1552" s="62">
        <f>IF('Übung 11'!BQ$41="","",'Übung 11'!BQ$41)</f>
        <v/>
      </c>
      <c r="N1552" s="62">
        <f>IF('Übung 12'!BQ$41="","",'Übung 12'!BQ$41)</f>
        <v/>
      </c>
      <c r="O1552" s="62">
        <f>IF('Übung 13'!BQ$41="","",'Übung 13'!BQ$41)</f>
        <v/>
      </c>
      <c r="P1552" s="62">
        <f>IF('Übung 14'!BQ$41="","",'Übung 14'!BQ$41)</f>
        <v/>
      </c>
      <c r="Q1552" s="62">
        <f>IF('Übung 15'!BQ$41="","",'Übung 15'!BQ$41)</f>
        <v/>
      </c>
      <c r="R1552" s="62">
        <f>IF('Übung 16'!BQ$41="","",'Übung 16'!BQ$41)</f>
        <v/>
      </c>
      <c r="S1552" s="62">
        <f>IF('Übung 17'!BQ$41="","",'Übung 17'!BQ$41)</f>
        <v/>
      </c>
      <c r="T1552" s="62">
        <f>IF('Übung 18'!BQ$41="","",'Übung 18'!BQ$41)</f>
        <v/>
      </c>
      <c r="U1552" s="62">
        <f>IF('Übung 19'!BQ$41="","",'Übung 19'!BQ$41)</f>
        <v/>
      </c>
      <c r="V1552" s="62">
        <f>IF('Übung 20'!BQ$41="","",'Übung 20'!BQ$41)</f>
        <v/>
      </c>
    </row>
    <row r="1553">
      <c r="C1553" s="62">
        <f>IF('Übung 01'!BR$41="","",'Übung 01'!BR$41)</f>
        <v/>
      </c>
      <c r="D1553" s="62">
        <f>IF('Übung 02'!BR$41="","",'Übung 02'!BR$41)</f>
        <v/>
      </c>
      <c r="E1553" s="62">
        <f>IF('Übung 03'!BR$41="","",'Übung 03'!BR$41)</f>
        <v/>
      </c>
      <c r="F1553" s="62">
        <f>IF('Übung 04'!BR$41="","",'Übung 04'!BR$41)</f>
        <v/>
      </c>
      <c r="G1553" s="62">
        <f>IF('Übung 05'!BR$41="","",'Übung 05'!BR$41)</f>
        <v/>
      </c>
      <c r="H1553" s="62">
        <f>IF('Übung 06'!BR$41="","",'Übung 06'!BR$41)</f>
        <v/>
      </c>
      <c r="I1553" s="62">
        <f>IF('Übung 07'!BR$41="","",'Übung 07'!BR$41)</f>
        <v/>
      </c>
      <c r="J1553" s="62">
        <f>IF('Übung 08'!BR$41="","",'Übung 08'!BR$41)</f>
        <v/>
      </c>
      <c r="K1553" s="62">
        <f>IF('Übung 09'!BR$41="","",'Übung 09'!BR$41)</f>
        <v/>
      </c>
      <c r="L1553" s="62">
        <f>IF('Übung 10'!BR$41="","",'Übung 10'!BR$41)</f>
        <v/>
      </c>
      <c r="M1553" s="62">
        <f>IF('Übung 11'!BR$41="","",'Übung 11'!BR$41)</f>
        <v/>
      </c>
      <c r="N1553" s="62">
        <f>IF('Übung 12'!BR$41="","",'Übung 12'!BR$41)</f>
        <v/>
      </c>
      <c r="O1553" s="62">
        <f>IF('Übung 13'!BR$41="","",'Übung 13'!BR$41)</f>
        <v/>
      </c>
      <c r="P1553" s="62">
        <f>IF('Übung 14'!BR$41="","",'Übung 14'!BR$41)</f>
        <v/>
      </c>
      <c r="Q1553" s="62">
        <f>IF('Übung 15'!BR$41="","",'Übung 15'!BR$41)</f>
        <v/>
      </c>
      <c r="R1553" s="62">
        <f>IF('Übung 16'!BR$41="","",'Übung 16'!BR$41)</f>
        <v/>
      </c>
      <c r="S1553" s="62">
        <f>IF('Übung 17'!BR$41="","",'Übung 17'!BR$41)</f>
        <v/>
      </c>
      <c r="T1553" s="62">
        <f>IF('Übung 18'!BR$41="","",'Übung 18'!BR$41)</f>
        <v/>
      </c>
      <c r="U1553" s="62">
        <f>IF('Übung 19'!BR$41="","",'Übung 19'!BR$41)</f>
        <v/>
      </c>
      <c r="V1553" s="62">
        <f>IF('Übung 20'!BR$41="","",'Übung 20'!BR$41)</f>
        <v/>
      </c>
    </row>
    <row r="1554">
      <c r="C1554" s="62">
        <f>IF('Übung 01'!BS$41="","",'Übung 01'!BS$41)</f>
        <v/>
      </c>
      <c r="D1554" s="62">
        <f>IF('Übung 02'!BS$41="","",'Übung 02'!BS$41)</f>
        <v/>
      </c>
      <c r="E1554" s="62">
        <f>IF('Übung 03'!BS$41="","",'Übung 03'!BS$41)</f>
        <v/>
      </c>
      <c r="F1554" s="62">
        <f>IF('Übung 04'!BS$41="","",'Übung 04'!BS$41)</f>
        <v/>
      </c>
      <c r="G1554" s="62">
        <f>IF('Übung 05'!BS$41="","",'Übung 05'!BS$41)</f>
        <v/>
      </c>
      <c r="H1554" s="62">
        <f>IF('Übung 06'!BS$41="","",'Übung 06'!BS$41)</f>
        <v/>
      </c>
      <c r="I1554" s="62">
        <f>IF('Übung 07'!BS$41="","",'Übung 07'!BS$41)</f>
        <v/>
      </c>
      <c r="J1554" s="62">
        <f>IF('Übung 08'!BS$41="","",'Übung 08'!BS$41)</f>
        <v/>
      </c>
      <c r="K1554" s="62">
        <f>IF('Übung 09'!BS$41="","",'Übung 09'!BS$41)</f>
        <v/>
      </c>
      <c r="L1554" s="62">
        <f>IF('Übung 10'!BS$41="","",'Übung 10'!BS$41)</f>
        <v/>
      </c>
      <c r="M1554" s="62">
        <f>IF('Übung 11'!BS$41="","",'Übung 11'!BS$41)</f>
        <v/>
      </c>
      <c r="N1554" s="62">
        <f>IF('Übung 12'!BS$41="","",'Übung 12'!BS$41)</f>
        <v/>
      </c>
      <c r="O1554" s="62">
        <f>IF('Übung 13'!BS$41="","",'Übung 13'!BS$41)</f>
        <v/>
      </c>
      <c r="P1554" s="62">
        <f>IF('Übung 14'!BS$41="","",'Übung 14'!BS$41)</f>
        <v/>
      </c>
      <c r="Q1554" s="62">
        <f>IF('Übung 15'!BS$41="","",'Übung 15'!BS$41)</f>
        <v/>
      </c>
      <c r="R1554" s="62">
        <f>IF('Übung 16'!BS$41="","",'Übung 16'!BS$41)</f>
        <v/>
      </c>
      <c r="S1554" s="62">
        <f>IF('Übung 17'!BS$41="","",'Übung 17'!BS$41)</f>
        <v/>
      </c>
      <c r="T1554" s="62">
        <f>IF('Übung 18'!BS$41="","",'Übung 18'!BS$41)</f>
        <v/>
      </c>
      <c r="U1554" s="62">
        <f>IF('Übung 19'!BS$41="","",'Übung 19'!BS$41)</f>
        <v/>
      </c>
      <c r="V1554" s="62">
        <f>IF('Übung 20'!BS$41="","",'Übung 20'!BS$41)</f>
        <v/>
      </c>
    </row>
    <row r="1555">
      <c r="C1555" s="62">
        <f>IF('Übung 01'!BT$41="","",'Übung 01'!BT$41)</f>
        <v/>
      </c>
      <c r="D1555" s="62">
        <f>IF('Übung 02'!BT$41="","",'Übung 02'!BT$41)</f>
        <v/>
      </c>
      <c r="E1555" s="62">
        <f>IF('Übung 03'!BT$41="","",'Übung 03'!BT$41)</f>
        <v/>
      </c>
      <c r="F1555" s="62">
        <f>IF('Übung 04'!BT$41="","",'Übung 04'!BT$41)</f>
        <v/>
      </c>
      <c r="G1555" s="62">
        <f>IF('Übung 05'!BT$41="","",'Übung 05'!BT$41)</f>
        <v/>
      </c>
      <c r="H1555" s="62">
        <f>IF('Übung 06'!BT$41="","",'Übung 06'!BT$41)</f>
        <v/>
      </c>
      <c r="I1555" s="62">
        <f>IF('Übung 07'!BT$41="","",'Übung 07'!BT$41)</f>
        <v/>
      </c>
      <c r="J1555" s="62">
        <f>IF('Übung 08'!BT$41="","",'Übung 08'!BT$41)</f>
        <v/>
      </c>
      <c r="K1555" s="62">
        <f>IF('Übung 09'!BT$41="","",'Übung 09'!BT$41)</f>
        <v/>
      </c>
      <c r="L1555" s="62">
        <f>IF('Übung 10'!BT$41="","",'Übung 10'!BT$41)</f>
        <v/>
      </c>
      <c r="M1555" s="62">
        <f>IF('Übung 11'!BT$41="","",'Übung 11'!BT$41)</f>
        <v/>
      </c>
      <c r="N1555" s="62">
        <f>IF('Übung 12'!BT$41="","",'Übung 12'!BT$41)</f>
        <v/>
      </c>
      <c r="O1555" s="62">
        <f>IF('Übung 13'!BT$41="","",'Übung 13'!BT$41)</f>
        <v/>
      </c>
      <c r="P1555" s="62">
        <f>IF('Übung 14'!BT$41="","",'Übung 14'!BT$41)</f>
        <v/>
      </c>
      <c r="Q1555" s="62">
        <f>IF('Übung 15'!BT$41="","",'Übung 15'!BT$41)</f>
        <v/>
      </c>
      <c r="R1555" s="62">
        <f>IF('Übung 16'!BT$41="","",'Übung 16'!BT$41)</f>
        <v/>
      </c>
      <c r="S1555" s="62">
        <f>IF('Übung 17'!BT$41="","",'Übung 17'!BT$41)</f>
        <v/>
      </c>
      <c r="T1555" s="62">
        <f>IF('Übung 18'!BT$41="","",'Übung 18'!BT$41)</f>
        <v/>
      </c>
      <c r="U1555" s="62">
        <f>IF('Übung 19'!BT$41="","",'Übung 19'!BT$41)</f>
        <v/>
      </c>
      <c r="V1555" s="62">
        <f>IF('Übung 20'!BT$41="","",'Übung 20'!BT$41)</f>
        <v/>
      </c>
    </row>
    <row r="1556">
      <c r="C1556" s="62">
        <f>IF('Übung 01'!BU$41="","",'Übung 01'!BU$41)</f>
        <v/>
      </c>
      <c r="D1556" s="62">
        <f>IF('Übung 02'!BU$41="","",'Übung 02'!BU$41)</f>
        <v/>
      </c>
      <c r="E1556" s="62">
        <f>IF('Übung 03'!BU$41="","",'Übung 03'!BU$41)</f>
        <v/>
      </c>
      <c r="F1556" s="62">
        <f>IF('Übung 04'!BU$41="","",'Übung 04'!BU$41)</f>
        <v/>
      </c>
      <c r="G1556" s="62">
        <f>IF('Übung 05'!BU$41="","",'Übung 05'!BU$41)</f>
        <v/>
      </c>
      <c r="H1556" s="62">
        <f>IF('Übung 06'!BU$41="","",'Übung 06'!BU$41)</f>
        <v/>
      </c>
      <c r="I1556" s="62">
        <f>IF('Übung 07'!BU$41="","",'Übung 07'!BU$41)</f>
        <v/>
      </c>
      <c r="J1556" s="62">
        <f>IF('Übung 08'!BU$41="","",'Übung 08'!BU$41)</f>
        <v/>
      </c>
      <c r="K1556" s="62">
        <f>IF('Übung 09'!BU$41="","",'Übung 09'!BU$41)</f>
        <v/>
      </c>
      <c r="L1556" s="62">
        <f>IF('Übung 10'!BU$41="","",'Übung 10'!BU$41)</f>
        <v/>
      </c>
      <c r="M1556" s="62">
        <f>IF('Übung 11'!BU$41="","",'Übung 11'!BU$41)</f>
        <v/>
      </c>
      <c r="N1556" s="62">
        <f>IF('Übung 12'!BU$41="","",'Übung 12'!BU$41)</f>
        <v/>
      </c>
      <c r="O1556" s="62">
        <f>IF('Übung 13'!BU$41="","",'Übung 13'!BU$41)</f>
        <v/>
      </c>
      <c r="P1556" s="62">
        <f>IF('Übung 14'!BU$41="","",'Übung 14'!BU$41)</f>
        <v/>
      </c>
      <c r="Q1556" s="62">
        <f>IF('Übung 15'!BU$41="","",'Übung 15'!BU$41)</f>
        <v/>
      </c>
      <c r="R1556" s="62">
        <f>IF('Übung 16'!BU$41="","",'Übung 16'!BU$41)</f>
        <v/>
      </c>
      <c r="S1556" s="62">
        <f>IF('Übung 17'!BU$41="","",'Übung 17'!BU$41)</f>
        <v/>
      </c>
      <c r="T1556" s="62">
        <f>IF('Übung 18'!BU$41="","",'Übung 18'!BU$41)</f>
        <v/>
      </c>
      <c r="U1556" s="62">
        <f>IF('Übung 19'!BU$41="","",'Übung 19'!BU$41)</f>
        <v/>
      </c>
      <c r="V1556" s="62">
        <f>IF('Übung 20'!BU$41="","",'Übung 20'!BU$41)</f>
        <v/>
      </c>
    </row>
    <row r="1557">
      <c r="C1557" s="62">
        <f>IF('Übung 01'!BV$41="","",'Übung 01'!BV$41)</f>
        <v/>
      </c>
      <c r="D1557" s="62">
        <f>IF('Übung 02'!BV$41="","",'Übung 02'!BV$41)</f>
        <v/>
      </c>
      <c r="E1557" s="62">
        <f>IF('Übung 03'!BV$41="","",'Übung 03'!BV$41)</f>
        <v/>
      </c>
      <c r="F1557" s="62">
        <f>IF('Übung 04'!BV$41="","",'Übung 04'!BV$41)</f>
        <v/>
      </c>
      <c r="G1557" s="62">
        <f>IF('Übung 05'!BV$41="","",'Übung 05'!BV$41)</f>
        <v/>
      </c>
      <c r="H1557" s="62">
        <f>IF('Übung 06'!BV$41="","",'Übung 06'!BV$41)</f>
        <v/>
      </c>
      <c r="I1557" s="62">
        <f>IF('Übung 07'!BV$41="","",'Übung 07'!BV$41)</f>
        <v/>
      </c>
      <c r="J1557" s="62">
        <f>IF('Übung 08'!BV$41="","",'Übung 08'!BV$41)</f>
        <v/>
      </c>
      <c r="K1557" s="62">
        <f>IF('Übung 09'!BV$41="","",'Übung 09'!BV$41)</f>
        <v/>
      </c>
      <c r="L1557" s="62">
        <f>IF('Übung 10'!BV$41="","",'Übung 10'!BV$41)</f>
        <v/>
      </c>
      <c r="M1557" s="62">
        <f>IF('Übung 11'!BV$41="","",'Übung 11'!BV$41)</f>
        <v/>
      </c>
      <c r="N1557" s="62">
        <f>IF('Übung 12'!BV$41="","",'Übung 12'!BV$41)</f>
        <v/>
      </c>
      <c r="O1557" s="62">
        <f>IF('Übung 13'!BV$41="","",'Übung 13'!BV$41)</f>
        <v/>
      </c>
      <c r="P1557" s="62">
        <f>IF('Übung 14'!BV$41="","",'Übung 14'!BV$41)</f>
        <v/>
      </c>
      <c r="Q1557" s="62">
        <f>IF('Übung 15'!BV$41="","",'Übung 15'!BV$41)</f>
        <v/>
      </c>
      <c r="R1557" s="62">
        <f>IF('Übung 16'!BV$41="","",'Übung 16'!BV$41)</f>
        <v/>
      </c>
      <c r="S1557" s="62">
        <f>IF('Übung 17'!BV$41="","",'Übung 17'!BV$41)</f>
        <v/>
      </c>
      <c r="T1557" s="62">
        <f>IF('Übung 18'!BV$41="","",'Übung 18'!BV$41)</f>
        <v/>
      </c>
      <c r="U1557" s="62">
        <f>IF('Übung 19'!BV$41="","",'Übung 19'!BV$41)</f>
        <v/>
      </c>
      <c r="V1557" s="62">
        <f>IF('Übung 20'!BV$41="","",'Übung 20'!BV$41)</f>
        <v/>
      </c>
    </row>
    <row r="1558">
      <c r="C1558" s="62">
        <f>IF('Übung 01'!BW$41="","",'Übung 01'!BW$41)</f>
        <v/>
      </c>
      <c r="D1558" s="62">
        <f>IF('Übung 02'!BW$41="","",'Übung 02'!BW$41)</f>
        <v/>
      </c>
      <c r="E1558" s="62">
        <f>IF('Übung 03'!BW$41="","",'Übung 03'!BW$41)</f>
        <v/>
      </c>
      <c r="F1558" s="62">
        <f>IF('Übung 04'!BW$41="","",'Übung 04'!BW$41)</f>
        <v/>
      </c>
      <c r="G1558" s="62">
        <f>IF('Übung 05'!BW$41="","",'Übung 05'!BW$41)</f>
        <v/>
      </c>
      <c r="H1558" s="62">
        <f>IF('Übung 06'!BW$41="","",'Übung 06'!BW$41)</f>
        <v/>
      </c>
      <c r="I1558" s="62">
        <f>IF('Übung 07'!BW$41="","",'Übung 07'!BW$41)</f>
        <v/>
      </c>
      <c r="J1558" s="62">
        <f>IF('Übung 08'!BW$41="","",'Übung 08'!BW$41)</f>
        <v/>
      </c>
      <c r="K1558" s="62">
        <f>IF('Übung 09'!BW$41="","",'Übung 09'!BW$41)</f>
        <v/>
      </c>
      <c r="L1558" s="62">
        <f>IF('Übung 10'!BW$41="","",'Übung 10'!BW$41)</f>
        <v/>
      </c>
      <c r="M1558" s="62">
        <f>IF('Übung 11'!BW$41="","",'Übung 11'!BW$41)</f>
        <v/>
      </c>
      <c r="N1558" s="62">
        <f>IF('Übung 12'!BW$41="","",'Übung 12'!BW$41)</f>
        <v/>
      </c>
      <c r="O1558" s="62">
        <f>IF('Übung 13'!BW$41="","",'Übung 13'!BW$41)</f>
        <v/>
      </c>
      <c r="P1558" s="62">
        <f>IF('Übung 14'!BW$41="","",'Übung 14'!BW$41)</f>
        <v/>
      </c>
      <c r="Q1558" s="62">
        <f>IF('Übung 15'!BW$41="","",'Übung 15'!BW$41)</f>
        <v/>
      </c>
      <c r="R1558" s="62">
        <f>IF('Übung 16'!BW$41="","",'Übung 16'!BW$41)</f>
        <v/>
      </c>
      <c r="S1558" s="62">
        <f>IF('Übung 17'!BW$41="","",'Übung 17'!BW$41)</f>
        <v/>
      </c>
      <c r="T1558" s="62">
        <f>IF('Übung 18'!BW$41="","",'Übung 18'!BW$41)</f>
        <v/>
      </c>
      <c r="U1558" s="62">
        <f>IF('Übung 19'!BW$41="","",'Übung 19'!BW$41)</f>
        <v/>
      </c>
      <c r="V1558" s="62">
        <f>IF('Übung 20'!BW$41="","",'Übung 20'!BW$41)</f>
        <v/>
      </c>
    </row>
    <row r="1559">
      <c r="C1559" s="62">
        <f>IF('Übung 01'!BX$41="","",'Übung 01'!BX$41)</f>
        <v/>
      </c>
      <c r="D1559" s="62">
        <f>IF('Übung 02'!BX$41="","",'Übung 02'!BX$41)</f>
        <v/>
      </c>
      <c r="E1559" s="62">
        <f>IF('Übung 03'!BX$41="","",'Übung 03'!BX$41)</f>
        <v/>
      </c>
      <c r="F1559" s="62">
        <f>IF('Übung 04'!BX$41="","",'Übung 04'!BX$41)</f>
        <v/>
      </c>
      <c r="G1559" s="62">
        <f>IF('Übung 05'!BX$41="","",'Übung 05'!BX$41)</f>
        <v/>
      </c>
      <c r="H1559" s="62">
        <f>IF('Übung 06'!BX$41="","",'Übung 06'!BX$41)</f>
        <v/>
      </c>
      <c r="I1559" s="62">
        <f>IF('Übung 07'!BX$41="","",'Übung 07'!BX$41)</f>
        <v/>
      </c>
      <c r="J1559" s="62">
        <f>IF('Übung 08'!BX$41="","",'Übung 08'!BX$41)</f>
        <v/>
      </c>
      <c r="K1559" s="62">
        <f>IF('Übung 09'!BX$41="","",'Übung 09'!BX$41)</f>
        <v/>
      </c>
      <c r="L1559" s="62">
        <f>IF('Übung 10'!BX$41="","",'Übung 10'!BX$41)</f>
        <v/>
      </c>
      <c r="M1559" s="62">
        <f>IF('Übung 11'!BX$41="","",'Übung 11'!BX$41)</f>
        <v/>
      </c>
      <c r="N1559" s="62">
        <f>IF('Übung 12'!BX$41="","",'Übung 12'!BX$41)</f>
        <v/>
      </c>
      <c r="O1559" s="62">
        <f>IF('Übung 13'!BX$41="","",'Übung 13'!BX$41)</f>
        <v/>
      </c>
      <c r="P1559" s="62">
        <f>IF('Übung 14'!BX$41="","",'Übung 14'!BX$41)</f>
        <v/>
      </c>
      <c r="Q1559" s="62">
        <f>IF('Übung 15'!BX$41="","",'Übung 15'!BX$41)</f>
        <v/>
      </c>
      <c r="R1559" s="62">
        <f>IF('Übung 16'!BX$41="","",'Übung 16'!BX$41)</f>
        <v/>
      </c>
      <c r="S1559" s="62">
        <f>IF('Übung 17'!BX$41="","",'Übung 17'!BX$41)</f>
        <v/>
      </c>
      <c r="T1559" s="62">
        <f>IF('Übung 18'!BX$41="","",'Übung 18'!BX$41)</f>
        <v/>
      </c>
      <c r="U1559" s="62">
        <f>IF('Übung 19'!BX$41="","",'Übung 19'!BX$41)</f>
        <v/>
      </c>
      <c r="V1559" s="62">
        <f>IF('Übung 20'!BX$41="","",'Übung 20'!BX$41)</f>
        <v/>
      </c>
    </row>
    <row r="1560">
      <c r="C1560" s="62">
        <f>IF('Übung 01'!BY$41="","",'Übung 01'!BY$41)</f>
        <v/>
      </c>
      <c r="D1560" s="62">
        <f>IF('Übung 02'!BY$41="","",'Übung 02'!BY$41)</f>
        <v/>
      </c>
      <c r="E1560" s="62">
        <f>IF('Übung 03'!BY$41="","",'Übung 03'!BY$41)</f>
        <v/>
      </c>
      <c r="F1560" s="62">
        <f>IF('Übung 04'!BY$41="","",'Übung 04'!BY$41)</f>
        <v/>
      </c>
      <c r="G1560" s="62">
        <f>IF('Übung 05'!BY$41="","",'Übung 05'!BY$41)</f>
        <v/>
      </c>
      <c r="H1560" s="62">
        <f>IF('Übung 06'!BY$41="","",'Übung 06'!BY$41)</f>
        <v/>
      </c>
      <c r="I1560" s="62">
        <f>IF('Übung 07'!BY$41="","",'Übung 07'!BY$41)</f>
        <v/>
      </c>
      <c r="J1560" s="62">
        <f>IF('Übung 08'!BY$41="","",'Übung 08'!BY$41)</f>
        <v/>
      </c>
      <c r="K1560" s="62">
        <f>IF('Übung 09'!BY$41="","",'Übung 09'!BY$41)</f>
        <v/>
      </c>
      <c r="L1560" s="62">
        <f>IF('Übung 10'!BY$41="","",'Übung 10'!BY$41)</f>
        <v/>
      </c>
      <c r="M1560" s="62">
        <f>IF('Übung 11'!BY$41="","",'Übung 11'!BY$41)</f>
        <v/>
      </c>
      <c r="N1560" s="62">
        <f>IF('Übung 12'!BY$41="","",'Übung 12'!BY$41)</f>
        <v/>
      </c>
      <c r="O1560" s="62">
        <f>IF('Übung 13'!BY$41="","",'Übung 13'!BY$41)</f>
        <v/>
      </c>
      <c r="P1560" s="62">
        <f>IF('Übung 14'!BY$41="","",'Übung 14'!BY$41)</f>
        <v/>
      </c>
      <c r="Q1560" s="62">
        <f>IF('Übung 15'!BY$41="","",'Übung 15'!BY$41)</f>
        <v/>
      </c>
      <c r="R1560" s="62">
        <f>IF('Übung 16'!BY$41="","",'Übung 16'!BY$41)</f>
        <v/>
      </c>
      <c r="S1560" s="62">
        <f>IF('Übung 17'!BY$41="","",'Übung 17'!BY$41)</f>
        <v/>
      </c>
      <c r="T1560" s="62">
        <f>IF('Übung 18'!BY$41="","",'Übung 18'!BY$41)</f>
        <v/>
      </c>
      <c r="U1560" s="62">
        <f>IF('Übung 19'!BY$41="","",'Übung 19'!BY$41)</f>
        <v/>
      </c>
      <c r="V1560" s="62">
        <f>IF('Übung 20'!BY$41="","",'Übung 20'!BY$41)</f>
        <v/>
      </c>
    </row>
    <row r="1561">
      <c r="C1561" s="62">
        <f>IF('Übung 01'!BZ$41="","",'Übung 01'!BZ$41)</f>
        <v/>
      </c>
      <c r="D1561" s="62">
        <f>IF('Übung 02'!BZ$41="","",'Übung 02'!BZ$41)</f>
        <v/>
      </c>
      <c r="E1561" s="62">
        <f>IF('Übung 03'!BZ$41="","",'Übung 03'!BZ$41)</f>
        <v/>
      </c>
      <c r="F1561" s="62">
        <f>IF('Übung 04'!BZ$41="","",'Übung 04'!BZ$41)</f>
        <v/>
      </c>
      <c r="G1561" s="62">
        <f>IF('Übung 05'!BZ$41="","",'Übung 05'!BZ$41)</f>
        <v/>
      </c>
      <c r="H1561" s="62">
        <f>IF('Übung 06'!BZ$41="","",'Übung 06'!BZ$41)</f>
        <v/>
      </c>
      <c r="I1561" s="62">
        <f>IF('Übung 07'!BZ$41="","",'Übung 07'!BZ$41)</f>
        <v/>
      </c>
      <c r="J1561" s="62">
        <f>IF('Übung 08'!BZ$41="","",'Übung 08'!BZ$41)</f>
        <v/>
      </c>
      <c r="K1561" s="62">
        <f>IF('Übung 09'!BZ$41="","",'Übung 09'!BZ$41)</f>
        <v/>
      </c>
      <c r="L1561" s="62">
        <f>IF('Übung 10'!BZ$41="","",'Übung 10'!BZ$41)</f>
        <v/>
      </c>
      <c r="M1561" s="62">
        <f>IF('Übung 11'!BZ$41="","",'Übung 11'!BZ$41)</f>
        <v/>
      </c>
      <c r="N1561" s="62">
        <f>IF('Übung 12'!BZ$41="","",'Übung 12'!BZ$41)</f>
        <v/>
      </c>
      <c r="O1561" s="62">
        <f>IF('Übung 13'!BZ$41="","",'Übung 13'!BZ$41)</f>
        <v/>
      </c>
      <c r="P1561" s="62">
        <f>IF('Übung 14'!BZ$41="","",'Übung 14'!BZ$41)</f>
        <v/>
      </c>
      <c r="Q1561" s="62">
        <f>IF('Übung 15'!BZ$41="","",'Übung 15'!BZ$41)</f>
        <v/>
      </c>
      <c r="R1561" s="62">
        <f>IF('Übung 16'!BZ$41="","",'Übung 16'!BZ$41)</f>
        <v/>
      </c>
      <c r="S1561" s="62">
        <f>IF('Übung 17'!BZ$41="","",'Übung 17'!BZ$41)</f>
        <v/>
      </c>
      <c r="T1561" s="62">
        <f>IF('Übung 18'!BZ$41="","",'Übung 18'!BZ$41)</f>
        <v/>
      </c>
      <c r="U1561" s="62">
        <f>IF('Übung 19'!BZ$41="","",'Übung 19'!BZ$41)</f>
        <v/>
      </c>
      <c r="V1561" s="62">
        <f>IF('Übung 20'!BZ$41="","",'Übung 20'!BZ$41)</f>
        <v/>
      </c>
    </row>
    <row r="1562">
      <c r="C1562" s="62">
        <f>IF('Übung 01'!CA$41="","",'Übung 01'!CA$41)</f>
        <v/>
      </c>
      <c r="D1562" s="62">
        <f>IF('Übung 02'!CA$41="","",'Übung 02'!CA$41)</f>
        <v/>
      </c>
      <c r="E1562" s="62">
        <f>IF('Übung 03'!CA$41="","",'Übung 03'!CA$41)</f>
        <v/>
      </c>
      <c r="F1562" s="62">
        <f>IF('Übung 04'!CA$41="","",'Übung 04'!CA$41)</f>
        <v/>
      </c>
      <c r="G1562" s="62">
        <f>IF('Übung 05'!CA$41="","",'Übung 05'!CA$41)</f>
        <v/>
      </c>
      <c r="H1562" s="62">
        <f>IF('Übung 06'!CA$41="","",'Übung 06'!CA$41)</f>
        <v/>
      </c>
      <c r="I1562" s="62">
        <f>IF('Übung 07'!CA$41="","",'Übung 07'!CA$41)</f>
        <v/>
      </c>
      <c r="J1562" s="62">
        <f>IF('Übung 08'!CA$41="","",'Übung 08'!CA$41)</f>
        <v/>
      </c>
      <c r="K1562" s="62">
        <f>IF('Übung 09'!CA$41="","",'Übung 09'!CA$41)</f>
        <v/>
      </c>
      <c r="L1562" s="62">
        <f>IF('Übung 10'!CA$41="","",'Übung 10'!CA$41)</f>
        <v/>
      </c>
      <c r="M1562" s="62">
        <f>IF('Übung 11'!CA$41="","",'Übung 11'!CA$41)</f>
        <v/>
      </c>
      <c r="N1562" s="62">
        <f>IF('Übung 12'!CA$41="","",'Übung 12'!CA$41)</f>
        <v/>
      </c>
      <c r="O1562" s="62">
        <f>IF('Übung 13'!CA$41="","",'Übung 13'!CA$41)</f>
        <v/>
      </c>
      <c r="P1562" s="62">
        <f>IF('Übung 14'!CA$41="","",'Übung 14'!CA$41)</f>
        <v/>
      </c>
      <c r="Q1562" s="62">
        <f>IF('Übung 15'!CA$41="","",'Übung 15'!CA$41)</f>
        <v/>
      </c>
      <c r="R1562" s="62">
        <f>IF('Übung 16'!CA$41="","",'Übung 16'!CA$41)</f>
        <v/>
      </c>
      <c r="S1562" s="62">
        <f>IF('Übung 17'!CA$41="","",'Übung 17'!CA$41)</f>
        <v/>
      </c>
      <c r="T1562" s="62">
        <f>IF('Übung 18'!CA$41="","",'Übung 18'!CA$41)</f>
        <v/>
      </c>
      <c r="U1562" s="62">
        <f>IF('Übung 19'!CA$41="","",'Übung 19'!CA$41)</f>
        <v/>
      </c>
      <c r="V1562" s="62">
        <f>IF('Übung 20'!CA$41="","",'Übung 20'!CA$41)</f>
        <v/>
      </c>
    </row>
    <row r="1563">
      <c r="C1563" s="62">
        <f>IF('Übung 01'!CB$41="","",'Übung 01'!CB$41)</f>
        <v/>
      </c>
      <c r="D1563" s="62">
        <f>IF('Übung 02'!CB$41="","",'Übung 02'!CB$41)</f>
        <v/>
      </c>
      <c r="E1563" s="62">
        <f>IF('Übung 03'!CB$41="","",'Übung 03'!CB$41)</f>
        <v/>
      </c>
      <c r="F1563" s="62">
        <f>IF('Übung 04'!CB$41="","",'Übung 04'!CB$41)</f>
        <v/>
      </c>
      <c r="G1563" s="62">
        <f>IF('Übung 05'!CB$41="","",'Übung 05'!CB$41)</f>
        <v/>
      </c>
      <c r="H1563" s="62">
        <f>IF('Übung 06'!CB$41="","",'Übung 06'!CB$41)</f>
        <v/>
      </c>
      <c r="I1563" s="62">
        <f>IF('Übung 07'!CB$41="","",'Übung 07'!CB$41)</f>
        <v/>
      </c>
      <c r="J1563" s="62">
        <f>IF('Übung 08'!CB$41="","",'Übung 08'!CB$41)</f>
        <v/>
      </c>
      <c r="K1563" s="62">
        <f>IF('Übung 09'!CB$41="","",'Übung 09'!CB$41)</f>
        <v/>
      </c>
      <c r="L1563" s="62">
        <f>IF('Übung 10'!CB$41="","",'Übung 10'!CB$41)</f>
        <v/>
      </c>
      <c r="M1563" s="62">
        <f>IF('Übung 11'!CB$41="","",'Übung 11'!CB$41)</f>
        <v/>
      </c>
      <c r="N1563" s="62">
        <f>IF('Übung 12'!CB$41="","",'Übung 12'!CB$41)</f>
        <v/>
      </c>
      <c r="O1563" s="62">
        <f>IF('Übung 13'!CB$41="","",'Übung 13'!CB$41)</f>
        <v/>
      </c>
      <c r="P1563" s="62">
        <f>IF('Übung 14'!CB$41="","",'Übung 14'!CB$41)</f>
        <v/>
      </c>
      <c r="Q1563" s="62">
        <f>IF('Übung 15'!CB$41="","",'Übung 15'!CB$41)</f>
        <v/>
      </c>
      <c r="R1563" s="62">
        <f>IF('Übung 16'!CB$41="","",'Übung 16'!CB$41)</f>
        <v/>
      </c>
      <c r="S1563" s="62">
        <f>IF('Übung 17'!CB$41="","",'Übung 17'!CB$41)</f>
        <v/>
      </c>
      <c r="T1563" s="62">
        <f>IF('Übung 18'!CB$41="","",'Übung 18'!CB$41)</f>
        <v/>
      </c>
      <c r="U1563" s="62">
        <f>IF('Übung 19'!CB$41="","",'Übung 19'!CB$41)</f>
        <v/>
      </c>
      <c r="V1563" s="62">
        <f>IF('Übung 20'!CB$41="","",'Übung 20'!CB$41)</f>
        <v/>
      </c>
    </row>
    <row r="1564">
      <c r="C1564" s="62">
        <f>IF('Übung 01'!CC$41="","",'Übung 01'!CC$41)</f>
        <v/>
      </c>
      <c r="D1564" s="62">
        <f>IF('Übung 02'!CC$41="","",'Übung 02'!CC$41)</f>
        <v/>
      </c>
      <c r="E1564" s="62">
        <f>IF('Übung 03'!CC$41="","",'Übung 03'!CC$41)</f>
        <v/>
      </c>
      <c r="F1564" s="62">
        <f>IF('Übung 04'!CC$41="","",'Übung 04'!CC$41)</f>
        <v/>
      </c>
      <c r="G1564" s="62">
        <f>IF('Übung 05'!CC$41="","",'Übung 05'!CC$41)</f>
        <v/>
      </c>
      <c r="H1564" s="62">
        <f>IF('Übung 06'!CC$41="","",'Übung 06'!CC$41)</f>
        <v/>
      </c>
      <c r="I1564" s="62">
        <f>IF('Übung 07'!CC$41="","",'Übung 07'!CC$41)</f>
        <v/>
      </c>
      <c r="J1564" s="62">
        <f>IF('Übung 08'!CC$41="","",'Übung 08'!CC$41)</f>
        <v/>
      </c>
      <c r="K1564" s="62">
        <f>IF('Übung 09'!CC$41="","",'Übung 09'!CC$41)</f>
        <v/>
      </c>
      <c r="L1564" s="62">
        <f>IF('Übung 10'!CC$41="","",'Übung 10'!CC$41)</f>
        <v/>
      </c>
      <c r="M1564" s="62">
        <f>IF('Übung 11'!CC$41="","",'Übung 11'!CC$41)</f>
        <v/>
      </c>
      <c r="N1564" s="62">
        <f>IF('Übung 12'!CC$41="","",'Übung 12'!CC$41)</f>
        <v/>
      </c>
      <c r="O1564" s="62">
        <f>IF('Übung 13'!CC$41="","",'Übung 13'!CC$41)</f>
        <v/>
      </c>
      <c r="P1564" s="62">
        <f>IF('Übung 14'!CC$41="","",'Übung 14'!CC$41)</f>
        <v/>
      </c>
      <c r="Q1564" s="62">
        <f>IF('Übung 15'!CC$41="","",'Übung 15'!CC$41)</f>
        <v/>
      </c>
      <c r="R1564" s="62">
        <f>IF('Übung 16'!CC$41="","",'Übung 16'!CC$41)</f>
        <v/>
      </c>
      <c r="S1564" s="62">
        <f>IF('Übung 17'!CC$41="","",'Übung 17'!CC$41)</f>
        <v/>
      </c>
      <c r="T1564" s="62">
        <f>IF('Übung 18'!CC$41="","",'Übung 18'!CC$41)</f>
        <v/>
      </c>
      <c r="U1564" s="62">
        <f>IF('Übung 19'!CC$41="","",'Übung 19'!CC$41)</f>
        <v/>
      </c>
      <c r="V1564" s="62">
        <f>IF('Übung 20'!CC$41="","",'Übung 20'!CC$41)</f>
        <v/>
      </c>
    </row>
    <row r="1565">
      <c r="C1565" s="62">
        <f>IF('Übung 01'!CE$41="","",'Übung 01'!CE$41)</f>
        <v/>
      </c>
      <c r="D1565" s="62">
        <f>IF('Übung 02'!CE$41="","",'Übung 02'!CE$41)</f>
        <v/>
      </c>
      <c r="E1565" s="62">
        <f>IF('Übung 03'!CE$41="","",'Übung 03'!CE$41)</f>
        <v/>
      </c>
      <c r="F1565" s="62">
        <f>IF('Übung 04'!CE$41="","",'Übung 04'!CE$41)</f>
        <v/>
      </c>
      <c r="G1565" s="62">
        <f>IF('Übung 05'!CE$41="","",'Übung 05'!CE$41)</f>
        <v/>
      </c>
      <c r="H1565" s="62">
        <f>IF('Übung 06'!CE$41="","",'Übung 06'!CE$41)</f>
        <v/>
      </c>
      <c r="I1565" s="62">
        <f>IF('Übung 07'!CE$41="","",'Übung 07'!CE$41)</f>
        <v/>
      </c>
      <c r="J1565" s="62">
        <f>IF('Übung 08'!CE$41="","",'Übung 08'!CE$41)</f>
        <v/>
      </c>
      <c r="K1565" s="62">
        <f>IF('Übung 09'!CE$41="","",'Übung 09'!CE$41)</f>
        <v/>
      </c>
      <c r="L1565" s="62">
        <f>IF('Übung 10'!CE$41="","",'Übung 10'!CE$41)</f>
        <v/>
      </c>
      <c r="M1565" s="62">
        <f>IF('Übung 11'!CE$41="","",'Übung 11'!CE$41)</f>
        <v/>
      </c>
      <c r="N1565" s="62">
        <f>IF('Übung 12'!CE$41="","",'Übung 12'!CE$41)</f>
        <v/>
      </c>
      <c r="O1565" s="62">
        <f>IF('Übung 13'!CE$41="","",'Übung 13'!CE$41)</f>
        <v/>
      </c>
      <c r="P1565" s="62">
        <f>IF('Übung 14'!CE$41="","",'Übung 14'!CE$41)</f>
        <v/>
      </c>
      <c r="Q1565" s="62">
        <f>IF('Übung 15'!CE$41="","",'Übung 15'!CE$41)</f>
        <v/>
      </c>
      <c r="R1565" s="62">
        <f>IF('Übung 16'!CE$41="","",'Übung 16'!CE$41)</f>
        <v/>
      </c>
      <c r="S1565" s="62">
        <f>IF('Übung 17'!CE$41="","",'Übung 17'!CE$41)</f>
        <v/>
      </c>
      <c r="T1565" s="62">
        <f>IF('Übung 18'!CE$41="","",'Übung 18'!CE$41)</f>
        <v/>
      </c>
      <c r="U1565" s="62">
        <f>IF('Übung 19'!CE$41="","",'Übung 19'!CE$41)</f>
        <v/>
      </c>
      <c r="V1565" s="62">
        <f>IF('Übung 20'!CE$41="","",'Übung 20'!CE$41)</f>
        <v/>
      </c>
    </row>
    <row r="1566">
      <c r="C1566" s="62">
        <f>IF('Übung 01'!CF$41="","",'Übung 01'!CF$41)</f>
        <v/>
      </c>
      <c r="D1566" s="62">
        <f>IF('Übung 02'!CF$41="","",'Übung 02'!CF$41)</f>
        <v/>
      </c>
      <c r="E1566" s="62">
        <f>IF('Übung 03'!CF$41="","",'Übung 03'!CF$41)</f>
        <v/>
      </c>
      <c r="F1566" s="62">
        <f>IF('Übung 04'!CF$41="","",'Übung 04'!CF$41)</f>
        <v/>
      </c>
      <c r="G1566" s="62">
        <f>IF('Übung 05'!CF$41="","",'Übung 05'!CF$41)</f>
        <v/>
      </c>
      <c r="H1566" s="62">
        <f>IF('Übung 06'!CF$41="","",'Übung 06'!CF$41)</f>
        <v/>
      </c>
      <c r="I1566" s="62">
        <f>IF('Übung 07'!CF$41="","",'Übung 07'!CF$41)</f>
        <v/>
      </c>
      <c r="J1566" s="62">
        <f>IF('Übung 08'!CF$41="","",'Übung 08'!CF$41)</f>
        <v/>
      </c>
      <c r="K1566" s="62">
        <f>IF('Übung 09'!CF$41="","",'Übung 09'!CF$41)</f>
        <v/>
      </c>
      <c r="L1566" s="62">
        <f>IF('Übung 10'!CF$41="","",'Übung 10'!CF$41)</f>
        <v/>
      </c>
      <c r="M1566" s="62">
        <f>IF('Übung 11'!CF$41="","",'Übung 11'!CF$41)</f>
        <v/>
      </c>
      <c r="N1566" s="62">
        <f>IF('Übung 12'!CF$41="","",'Übung 12'!CF$41)</f>
        <v/>
      </c>
      <c r="O1566" s="62">
        <f>IF('Übung 13'!CF$41="","",'Übung 13'!CF$41)</f>
        <v/>
      </c>
      <c r="P1566" s="62">
        <f>IF('Übung 14'!CF$41="","",'Übung 14'!CF$41)</f>
        <v/>
      </c>
      <c r="Q1566" s="62">
        <f>IF('Übung 15'!CF$41="","",'Übung 15'!CF$41)</f>
        <v/>
      </c>
      <c r="R1566" s="62">
        <f>IF('Übung 16'!CF$41="","",'Übung 16'!CF$41)</f>
        <v/>
      </c>
      <c r="S1566" s="62">
        <f>IF('Übung 17'!CF$41="","",'Übung 17'!CF$41)</f>
        <v/>
      </c>
      <c r="T1566" s="62">
        <f>IF('Übung 18'!CF$41="","",'Übung 18'!CF$41)</f>
        <v/>
      </c>
      <c r="U1566" s="62">
        <f>IF('Übung 19'!CF$41="","",'Übung 19'!CF$41)</f>
        <v/>
      </c>
      <c r="V1566" s="62">
        <f>IF('Übung 20'!CF$41="","",'Übung 20'!CF$41)</f>
        <v/>
      </c>
    </row>
    <row r="1567">
      <c r="C1567" s="62">
        <f>IF('Übung 01'!CG$41="","",'Übung 01'!CG$41)</f>
        <v/>
      </c>
      <c r="D1567" s="62">
        <f>IF('Übung 02'!CG$41="","",'Übung 02'!CG$41)</f>
        <v/>
      </c>
      <c r="E1567" s="62">
        <f>IF('Übung 03'!CG$41="","",'Übung 03'!CG$41)</f>
        <v/>
      </c>
      <c r="F1567" s="62">
        <f>IF('Übung 04'!CG$41="","",'Übung 04'!CG$41)</f>
        <v/>
      </c>
      <c r="G1567" s="62">
        <f>IF('Übung 05'!CG$41="","",'Übung 05'!CG$41)</f>
        <v/>
      </c>
      <c r="H1567" s="62">
        <f>IF('Übung 06'!CG$41="","",'Übung 06'!CG$41)</f>
        <v/>
      </c>
      <c r="I1567" s="62">
        <f>IF('Übung 07'!CG$41="","",'Übung 07'!CG$41)</f>
        <v/>
      </c>
      <c r="J1567" s="62">
        <f>IF('Übung 08'!CG$41="","",'Übung 08'!CG$41)</f>
        <v/>
      </c>
      <c r="K1567" s="62">
        <f>IF('Übung 09'!CG$41="","",'Übung 09'!CG$41)</f>
        <v/>
      </c>
      <c r="L1567" s="62">
        <f>IF('Übung 10'!CG$41="","",'Übung 10'!CG$41)</f>
        <v/>
      </c>
      <c r="M1567" s="62">
        <f>IF('Übung 11'!CG$41="","",'Übung 11'!CG$41)</f>
        <v/>
      </c>
      <c r="N1567" s="62">
        <f>IF('Übung 12'!CG$41="","",'Übung 12'!CG$41)</f>
        <v/>
      </c>
      <c r="O1567" s="62">
        <f>IF('Übung 13'!CG$41="","",'Übung 13'!CG$41)</f>
        <v/>
      </c>
      <c r="P1567" s="62">
        <f>IF('Übung 14'!CG$41="","",'Übung 14'!CG$41)</f>
        <v/>
      </c>
      <c r="Q1567" s="62">
        <f>IF('Übung 15'!CG$41="","",'Übung 15'!CG$41)</f>
        <v/>
      </c>
      <c r="R1567" s="62">
        <f>IF('Übung 16'!CG$41="","",'Übung 16'!CG$41)</f>
        <v/>
      </c>
      <c r="S1567" s="62">
        <f>IF('Übung 17'!CG$41="","",'Übung 17'!CG$41)</f>
        <v/>
      </c>
      <c r="T1567" s="62">
        <f>IF('Übung 18'!CG$41="","",'Übung 18'!CG$41)</f>
        <v/>
      </c>
      <c r="U1567" s="62">
        <f>IF('Übung 19'!CG$41="","",'Übung 19'!CG$41)</f>
        <v/>
      </c>
      <c r="V1567" s="62">
        <f>IF('Übung 20'!CG$41="","",'Übung 20'!CG$41)</f>
        <v/>
      </c>
    </row>
    <row r="1568">
      <c r="C1568" s="62">
        <f>IF('Übung 01'!CH$41="","",'Übung 01'!CH$41)</f>
        <v/>
      </c>
      <c r="D1568" s="62">
        <f>IF('Übung 02'!CH$41="","",'Übung 02'!CH$41)</f>
        <v/>
      </c>
      <c r="E1568" s="62">
        <f>IF('Übung 03'!CH$41="","",'Übung 03'!CH$41)</f>
        <v/>
      </c>
      <c r="F1568" s="62">
        <f>IF('Übung 04'!CH$41="","",'Übung 04'!CH$41)</f>
        <v/>
      </c>
      <c r="G1568" s="62">
        <f>IF('Übung 05'!CH$41="","",'Übung 05'!CH$41)</f>
        <v/>
      </c>
      <c r="H1568" s="62">
        <f>IF('Übung 06'!CH$41="","",'Übung 06'!CH$41)</f>
        <v/>
      </c>
      <c r="I1568" s="62">
        <f>IF('Übung 07'!CH$41="","",'Übung 07'!CH$41)</f>
        <v/>
      </c>
      <c r="J1568" s="62">
        <f>IF('Übung 08'!CH$41="","",'Übung 08'!CH$41)</f>
        <v/>
      </c>
      <c r="K1568" s="62">
        <f>IF('Übung 09'!CH$41="","",'Übung 09'!CH$41)</f>
        <v/>
      </c>
      <c r="L1568" s="62">
        <f>IF('Übung 10'!CH$41="","",'Übung 10'!CH$41)</f>
        <v/>
      </c>
      <c r="M1568" s="62">
        <f>IF('Übung 11'!CH$41="","",'Übung 11'!CH$41)</f>
        <v/>
      </c>
      <c r="N1568" s="62">
        <f>IF('Übung 12'!CH$41="","",'Übung 12'!CH$41)</f>
        <v/>
      </c>
      <c r="O1568" s="62">
        <f>IF('Übung 13'!CH$41="","",'Übung 13'!CH$41)</f>
        <v/>
      </c>
      <c r="P1568" s="62">
        <f>IF('Übung 14'!CH$41="","",'Übung 14'!CH$41)</f>
        <v/>
      </c>
      <c r="Q1568" s="62">
        <f>IF('Übung 15'!CH$41="","",'Übung 15'!CH$41)</f>
        <v/>
      </c>
      <c r="R1568" s="62">
        <f>IF('Übung 16'!CH$41="","",'Übung 16'!CH$41)</f>
        <v/>
      </c>
      <c r="S1568" s="62">
        <f>IF('Übung 17'!CH$41="","",'Übung 17'!CH$41)</f>
        <v/>
      </c>
      <c r="T1568" s="62">
        <f>IF('Übung 18'!CH$41="","",'Übung 18'!CH$41)</f>
        <v/>
      </c>
      <c r="U1568" s="62">
        <f>IF('Übung 19'!CH$41="","",'Übung 19'!CH$41)</f>
        <v/>
      </c>
      <c r="V1568" s="62">
        <f>IF('Übung 20'!CH$41="","",'Übung 20'!CH$41)</f>
        <v/>
      </c>
    </row>
    <row r="1569">
      <c r="C1569" s="62">
        <f>IF('Übung 01'!CI$41="","",'Übung 01'!CI$41)</f>
        <v/>
      </c>
      <c r="D1569" s="62">
        <f>IF('Übung 02'!CI$41="","",'Übung 02'!CI$41)</f>
        <v/>
      </c>
      <c r="E1569" s="62">
        <f>IF('Übung 03'!CI$41="","",'Übung 03'!CI$41)</f>
        <v/>
      </c>
      <c r="F1569" s="62">
        <f>IF('Übung 04'!CI$41="","",'Übung 04'!CI$41)</f>
        <v/>
      </c>
      <c r="G1569" s="62">
        <f>IF('Übung 05'!CI$41="","",'Übung 05'!CI$41)</f>
        <v/>
      </c>
      <c r="H1569" s="62">
        <f>IF('Übung 06'!CI$41="","",'Übung 06'!CI$41)</f>
        <v/>
      </c>
      <c r="I1569" s="62">
        <f>IF('Übung 07'!CI$41="","",'Übung 07'!CI$41)</f>
        <v/>
      </c>
      <c r="J1569" s="62">
        <f>IF('Übung 08'!CI$41="","",'Übung 08'!CI$41)</f>
        <v/>
      </c>
      <c r="K1569" s="62">
        <f>IF('Übung 09'!CI$41="","",'Übung 09'!CI$41)</f>
        <v/>
      </c>
      <c r="L1569" s="62">
        <f>IF('Übung 10'!CI$41="","",'Übung 10'!CI$41)</f>
        <v/>
      </c>
      <c r="M1569" s="62">
        <f>IF('Übung 11'!CI$41="","",'Übung 11'!CI$41)</f>
        <v/>
      </c>
      <c r="N1569" s="62">
        <f>IF('Übung 12'!CI$41="","",'Übung 12'!CI$41)</f>
        <v/>
      </c>
      <c r="O1569" s="62">
        <f>IF('Übung 13'!CI$41="","",'Übung 13'!CI$41)</f>
        <v/>
      </c>
      <c r="P1569" s="62">
        <f>IF('Übung 14'!CI$41="","",'Übung 14'!CI$41)</f>
        <v/>
      </c>
      <c r="Q1569" s="62">
        <f>IF('Übung 15'!CI$41="","",'Übung 15'!CI$41)</f>
        <v/>
      </c>
      <c r="R1569" s="62">
        <f>IF('Übung 16'!CI$41="","",'Übung 16'!CI$41)</f>
        <v/>
      </c>
      <c r="S1569" s="62">
        <f>IF('Übung 17'!CI$41="","",'Übung 17'!CI$41)</f>
        <v/>
      </c>
      <c r="T1569" s="62">
        <f>IF('Übung 18'!CI$41="","",'Übung 18'!CI$41)</f>
        <v/>
      </c>
      <c r="U1569" s="62">
        <f>IF('Übung 19'!CI$41="","",'Übung 19'!CI$41)</f>
        <v/>
      </c>
      <c r="V1569" s="62">
        <f>IF('Übung 20'!CI$41="","",'Übung 20'!CI$41)</f>
        <v/>
      </c>
    </row>
    <row r="1570">
      <c r="C1570" s="62">
        <f>IF('Übung 01'!CJ$41="","",'Übung 01'!CJ$41)</f>
        <v/>
      </c>
      <c r="D1570" s="62">
        <f>IF('Übung 02'!CJ$41="","",'Übung 02'!CJ$41)</f>
        <v/>
      </c>
      <c r="E1570" s="62">
        <f>IF('Übung 03'!CJ$41="","",'Übung 03'!CJ$41)</f>
        <v/>
      </c>
      <c r="F1570" s="62">
        <f>IF('Übung 04'!CJ$41="","",'Übung 04'!CJ$41)</f>
        <v/>
      </c>
      <c r="G1570" s="62">
        <f>IF('Übung 05'!CJ$41="","",'Übung 05'!CJ$41)</f>
        <v/>
      </c>
      <c r="H1570" s="62">
        <f>IF('Übung 06'!CJ$41="","",'Übung 06'!CJ$41)</f>
        <v/>
      </c>
      <c r="I1570" s="62">
        <f>IF('Übung 07'!CJ$41="","",'Übung 07'!CJ$41)</f>
        <v/>
      </c>
      <c r="J1570" s="62">
        <f>IF('Übung 08'!CJ$41="","",'Übung 08'!CJ$41)</f>
        <v/>
      </c>
      <c r="K1570" s="62">
        <f>IF('Übung 09'!CJ$41="","",'Übung 09'!CJ$41)</f>
        <v/>
      </c>
      <c r="L1570" s="62">
        <f>IF('Übung 10'!CJ$41="","",'Übung 10'!CJ$41)</f>
        <v/>
      </c>
      <c r="M1570" s="62">
        <f>IF('Übung 11'!CJ$41="","",'Übung 11'!CJ$41)</f>
        <v/>
      </c>
      <c r="N1570" s="62">
        <f>IF('Übung 12'!CJ$41="","",'Übung 12'!CJ$41)</f>
        <v/>
      </c>
      <c r="O1570" s="62">
        <f>IF('Übung 13'!CJ$41="","",'Übung 13'!CJ$41)</f>
        <v/>
      </c>
      <c r="P1570" s="62">
        <f>IF('Übung 14'!CJ$41="","",'Übung 14'!CJ$41)</f>
        <v/>
      </c>
      <c r="Q1570" s="62">
        <f>IF('Übung 15'!CJ$41="","",'Übung 15'!CJ$41)</f>
        <v/>
      </c>
      <c r="R1570" s="62">
        <f>IF('Übung 16'!CJ$41="","",'Übung 16'!CJ$41)</f>
        <v/>
      </c>
      <c r="S1570" s="62">
        <f>IF('Übung 17'!CJ$41="","",'Übung 17'!CJ$41)</f>
        <v/>
      </c>
      <c r="T1570" s="62">
        <f>IF('Übung 18'!CJ$41="","",'Übung 18'!CJ$41)</f>
        <v/>
      </c>
      <c r="U1570" s="62">
        <f>IF('Übung 19'!CJ$41="","",'Übung 19'!CJ$41)</f>
        <v/>
      </c>
      <c r="V1570" s="62">
        <f>IF('Übung 20'!CJ$41="","",'Übung 20'!CJ$41)</f>
        <v/>
      </c>
    </row>
    <row r="1571">
      <c r="C1571" s="62">
        <f>IF('Übung 01'!CK$41="","",'Übung 01'!CK$41)</f>
        <v/>
      </c>
      <c r="D1571" s="62">
        <f>IF('Übung 02'!CK$41="","",'Übung 02'!CK$41)</f>
        <v/>
      </c>
      <c r="E1571" s="62">
        <f>IF('Übung 03'!CK$41="","",'Übung 03'!CK$41)</f>
        <v/>
      </c>
      <c r="F1571" s="62">
        <f>IF('Übung 04'!CK$41="","",'Übung 04'!CK$41)</f>
        <v/>
      </c>
      <c r="G1571" s="62">
        <f>IF('Übung 05'!CK$41="","",'Übung 05'!CK$41)</f>
        <v/>
      </c>
      <c r="H1571" s="62">
        <f>IF('Übung 06'!CK$41="","",'Übung 06'!CK$41)</f>
        <v/>
      </c>
      <c r="I1571" s="62">
        <f>IF('Übung 07'!CK$41="","",'Übung 07'!CK$41)</f>
        <v/>
      </c>
      <c r="J1571" s="62">
        <f>IF('Übung 08'!CK$41="","",'Übung 08'!CK$41)</f>
        <v/>
      </c>
      <c r="K1571" s="62">
        <f>IF('Übung 09'!CK$41="","",'Übung 09'!CK$41)</f>
        <v/>
      </c>
      <c r="L1571" s="62">
        <f>IF('Übung 10'!CK$41="","",'Übung 10'!CK$41)</f>
        <v/>
      </c>
      <c r="M1571" s="62">
        <f>IF('Übung 11'!CK$41="","",'Übung 11'!CK$41)</f>
        <v/>
      </c>
      <c r="N1571" s="62">
        <f>IF('Übung 12'!CK$41="","",'Übung 12'!CK$41)</f>
        <v/>
      </c>
      <c r="O1571" s="62">
        <f>IF('Übung 13'!CK$41="","",'Übung 13'!CK$41)</f>
        <v/>
      </c>
      <c r="P1571" s="62">
        <f>IF('Übung 14'!CK$41="","",'Übung 14'!CK$41)</f>
        <v/>
      </c>
      <c r="Q1571" s="62">
        <f>IF('Übung 15'!CK$41="","",'Übung 15'!CK$41)</f>
        <v/>
      </c>
      <c r="R1571" s="62">
        <f>IF('Übung 16'!CK$41="","",'Übung 16'!CK$41)</f>
        <v/>
      </c>
      <c r="S1571" s="62">
        <f>IF('Übung 17'!CK$41="","",'Übung 17'!CK$41)</f>
        <v/>
      </c>
      <c r="T1571" s="62">
        <f>IF('Übung 18'!CK$41="","",'Übung 18'!CK$41)</f>
        <v/>
      </c>
      <c r="U1571" s="62">
        <f>IF('Übung 19'!CK$41="","",'Übung 19'!CK$41)</f>
        <v/>
      </c>
      <c r="V1571" s="62">
        <f>IF('Übung 20'!CK$41="","",'Übung 20'!CK$41)</f>
        <v/>
      </c>
    </row>
    <row r="1572">
      <c r="C1572" s="62">
        <f>IF('Übung 01'!CL$41="","",'Übung 01'!CL$41)</f>
        <v/>
      </c>
      <c r="D1572" s="62">
        <f>IF('Übung 02'!CL$41="","",'Übung 02'!CL$41)</f>
        <v/>
      </c>
      <c r="E1572" s="62">
        <f>IF('Übung 03'!CL$41="","",'Übung 03'!CL$41)</f>
        <v/>
      </c>
      <c r="F1572" s="62">
        <f>IF('Übung 04'!CL$41="","",'Übung 04'!CL$41)</f>
        <v/>
      </c>
      <c r="G1572" s="62">
        <f>IF('Übung 05'!CL$41="","",'Übung 05'!CL$41)</f>
        <v/>
      </c>
      <c r="H1572" s="62">
        <f>IF('Übung 06'!CL$41="","",'Übung 06'!CL$41)</f>
        <v/>
      </c>
      <c r="I1572" s="62">
        <f>IF('Übung 07'!CL$41="","",'Übung 07'!CL$41)</f>
        <v/>
      </c>
      <c r="J1572" s="62">
        <f>IF('Übung 08'!CL$41="","",'Übung 08'!CL$41)</f>
        <v/>
      </c>
      <c r="K1572" s="62">
        <f>IF('Übung 09'!CL$41="","",'Übung 09'!CL$41)</f>
        <v/>
      </c>
      <c r="L1572" s="62">
        <f>IF('Übung 10'!CL$41="","",'Übung 10'!CL$41)</f>
        <v/>
      </c>
      <c r="M1572" s="62">
        <f>IF('Übung 11'!CL$41="","",'Übung 11'!CL$41)</f>
        <v/>
      </c>
      <c r="N1572" s="62">
        <f>IF('Übung 12'!CL$41="","",'Übung 12'!CL$41)</f>
        <v/>
      </c>
      <c r="O1572" s="62">
        <f>IF('Übung 13'!CL$41="","",'Übung 13'!CL$41)</f>
        <v/>
      </c>
      <c r="P1572" s="62">
        <f>IF('Übung 14'!CL$41="","",'Übung 14'!CL$41)</f>
        <v/>
      </c>
      <c r="Q1572" s="62">
        <f>IF('Übung 15'!CL$41="","",'Übung 15'!CL$41)</f>
        <v/>
      </c>
      <c r="R1572" s="62">
        <f>IF('Übung 16'!CL$41="","",'Übung 16'!CL$41)</f>
        <v/>
      </c>
      <c r="S1572" s="62">
        <f>IF('Übung 17'!CL$41="","",'Übung 17'!CL$41)</f>
        <v/>
      </c>
      <c r="T1572" s="62">
        <f>IF('Übung 18'!CL$41="","",'Übung 18'!CL$41)</f>
        <v/>
      </c>
      <c r="U1572" s="62">
        <f>IF('Übung 19'!CL$41="","",'Übung 19'!CL$41)</f>
        <v/>
      </c>
      <c r="V1572" s="62">
        <f>IF('Übung 20'!CL$41="","",'Übung 20'!CL$41)</f>
        <v/>
      </c>
    </row>
    <row r="1573">
      <c r="C1573" s="62">
        <f>IF('Übung 01'!CM$41="","",'Übung 01'!CM$41)</f>
        <v/>
      </c>
      <c r="D1573" s="62">
        <f>IF('Übung 02'!CM$41="","",'Übung 02'!CM$41)</f>
        <v/>
      </c>
      <c r="E1573" s="62">
        <f>IF('Übung 03'!CM$41="","",'Übung 03'!CM$41)</f>
        <v/>
      </c>
      <c r="F1573" s="62">
        <f>IF('Übung 04'!CM$41="","",'Übung 04'!CM$41)</f>
        <v/>
      </c>
      <c r="G1573" s="62">
        <f>IF('Übung 05'!CM$41="","",'Übung 05'!CM$41)</f>
        <v/>
      </c>
      <c r="H1573" s="62">
        <f>IF('Übung 06'!CM$41="","",'Übung 06'!CM$41)</f>
        <v/>
      </c>
      <c r="I1573" s="62">
        <f>IF('Übung 07'!CM$41="","",'Übung 07'!CM$41)</f>
        <v/>
      </c>
      <c r="J1573" s="62">
        <f>IF('Übung 08'!CM$41="","",'Übung 08'!CM$41)</f>
        <v/>
      </c>
      <c r="K1573" s="62">
        <f>IF('Übung 09'!CM$41="","",'Übung 09'!CM$41)</f>
        <v/>
      </c>
      <c r="L1573" s="62">
        <f>IF('Übung 10'!CM$41="","",'Übung 10'!CM$41)</f>
        <v/>
      </c>
      <c r="M1573" s="62">
        <f>IF('Übung 11'!CM$41="","",'Übung 11'!CM$41)</f>
        <v/>
      </c>
      <c r="N1573" s="62">
        <f>IF('Übung 12'!CM$41="","",'Übung 12'!CM$41)</f>
        <v/>
      </c>
      <c r="O1573" s="62">
        <f>IF('Übung 13'!CM$41="","",'Übung 13'!CM$41)</f>
        <v/>
      </c>
      <c r="P1573" s="62">
        <f>IF('Übung 14'!CM$41="","",'Übung 14'!CM$41)</f>
        <v/>
      </c>
      <c r="Q1573" s="62">
        <f>IF('Übung 15'!CM$41="","",'Übung 15'!CM$41)</f>
        <v/>
      </c>
      <c r="R1573" s="62">
        <f>IF('Übung 16'!CM$41="","",'Übung 16'!CM$41)</f>
        <v/>
      </c>
      <c r="S1573" s="62">
        <f>IF('Übung 17'!CM$41="","",'Übung 17'!CM$41)</f>
        <v/>
      </c>
      <c r="T1573" s="62">
        <f>IF('Übung 18'!CM$41="","",'Übung 18'!CM$41)</f>
        <v/>
      </c>
      <c r="U1573" s="62">
        <f>IF('Übung 19'!CM$41="","",'Übung 19'!CM$41)</f>
        <v/>
      </c>
      <c r="V1573" s="62">
        <f>IF('Übung 20'!CM$41="","",'Übung 20'!CM$41)</f>
        <v/>
      </c>
    </row>
    <row r="1574">
      <c r="C1574" s="62">
        <f>IF('Übung 01'!CN$41="","",'Übung 01'!CN$41)</f>
        <v/>
      </c>
      <c r="D1574" s="62">
        <f>IF('Übung 02'!CN$41="","",'Übung 02'!CN$41)</f>
        <v/>
      </c>
      <c r="E1574" s="62">
        <f>IF('Übung 03'!CN$41="","",'Übung 03'!CN$41)</f>
        <v/>
      </c>
      <c r="F1574" s="62">
        <f>IF('Übung 04'!CN$41="","",'Übung 04'!CN$41)</f>
        <v/>
      </c>
      <c r="G1574" s="62">
        <f>IF('Übung 05'!CN$41="","",'Übung 05'!CN$41)</f>
        <v/>
      </c>
      <c r="H1574" s="62">
        <f>IF('Übung 06'!CN$41="","",'Übung 06'!CN$41)</f>
        <v/>
      </c>
      <c r="I1574" s="62">
        <f>IF('Übung 07'!CN$41="","",'Übung 07'!CN$41)</f>
        <v/>
      </c>
      <c r="J1574" s="62">
        <f>IF('Übung 08'!CN$41="","",'Übung 08'!CN$41)</f>
        <v/>
      </c>
      <c r="K1574" s="62">
        <f>IF('Übung 09'!CN$41="","",'Übung 09'!CN$41)</f>
        <v/>
      </c>
      <c r="L1574" s="62">
        <f>IF('Übung 10'!CN$41="","",'Übung 10'!CN$41)</f>
        <v/>
      </c>
      <c r="M1574" s="62">
        <f>IF('Übung 11'!CN$41="","",'Übung 11'!CN$41)</f>
        <v/>
      </c>
      <c r="N1574" s="62">
        <f>IF('Übung 12'!CN$41="","",'Übung 12'!CN$41)</f>
        <v/>
      </c>
      <c r="O1574" s="62">
        <f>IF('Übung 13'!CN$41="","",'Übung 13'!CN$41)</f>
        <v/>
      </c>
      <c r="P1574" s="62">
        <f>IF('Übung 14'!CN$41="","",'Übung 14'!CN$41)</f>
        <v/>
      </c>
      <c r="Q1574" s="62">
        <f>IF('Übung 15'!CN$41="","",'Übung 15'!CN$41)</f>
        <v/>
      </c>
      <c r="R1574" s="62">
        <f>IF('Übung 16'!CN$41="","",'Übung 16'!CN$41)</f>
        <v/>
      </c>
      <c r="S1574" s="62">
        <f>IF('Übung 17'!CN$41="","",'Übung 17'!CN$41)</f>
        <v/>
      </c>
      <c r="T1574" s="62">
        <f>IF('Übung 18'!CN$41="","",'Übung 18'!CN$41)</f>
        <v/>
      </c>
      <c r="U1574" s="62">
        <f>IF('Übung 19'!CN$41="","",'Übung 19'!CN$41)</f>
        <v/>
      </c>
      <c r="V1574" s="62">
        <f>IF('Übung 20'!CN$41="","",'Übung 20'!CN$41)</f>
        <v/>
      </c>
    </row>
    <row r="1575">
      <c r="C1575" s="62">
        <f>IF('Übung 01'!CO$41="","",'Übung 01'!CO$41)</f>
        <v/>
      </c>
      <c r="D1575" s="62">
        <f>IF('Übung 02'!CO$41="","",'Übung 02'!CO$41)</f>
        <v/>
      </c>
      <c r="E1575" s="62">
        <f>IF('Übung 03'!CO$41="","",'Übung 03'!CO$41)</f>
        <v/>
      </c>
      <c r="F1575" s="62">
        <f>IF('Übung 04'!CO$41="","",'Übung 04'!CO$41)</f>
        <v/>
      </c>
      <c r="G1575" s="62">
        <f>IF('Übung 05'!CO$41="","",'Übung 05'!CO$41)</f>
        <v/>
      </c>
      <c r="H1575" s="62">
        <f>IF('Übung 06'!CO$41="","",'Übung 06'!CO$41)</f>
        <v/>
      </c>
      <c r="I1575" s="62">
        <f>IF('Übung 07'!CO$41="","",'Übung 07'!CO$41)</f>
        <v/>
      </c>
      <c r="J1575" s="62">
        <f>IF('Übung 08'!CO$41="","",'Übung 08'!CO$41)</f>
        <v/>
      </c>
      <c r="K1575" s="62">
        <f>IF('Übung 09'!CO$41="","",'Übung 09'!CO$41)</f>
        <v/>
      </c>
      <c r="L1575" s="62">
        <f>IF('Übung 10'!CO$41="","",'Übung 10'!CO$41)</f>
        <v/>
      </c>
      <c r="M1575" s="62">
        <f>IF('Übung 11'!CO$41="","",'Übung 11'!CO$41)</f>
        <v/>
      </c>
      <c r="N1575" s="62">
        <f>IF('Übung 12'!CO$41="","",'Übung 12'!CO$41)</f>
        <v/>
      </c>
      <c r="O1575" s="62">
        <f>IF('Übung 13'!CO$41="","",'Übung 13'!CO$41)</f>
        <v/>
      </c>
      <c r="P1575" s="62">
        <f>IF('Übung 14'!CO$41="","",'Übung 14'!CO$41)</f>
        <v/>
      </c>
      <c r="Q1575" s="62">
        <f>IF('Übung 15'!CO$41="","",'Übung 15'!CO$41)</f>
        <v/>
      </c>
      <c r="R1575" s="62">
        <f>IF('Übung 16'!CO$41="","",'Übung 16'!CO$41)</f>
        <v/>
      </c>
      <c r="S1575" s="62">
        <f>IF('Übung 17'!CO$41="","",'Übung 17'!CO$41)</f>
        <v/>
      </c>
      <c r="T1575" s="62">
        <f>IF('Übung 18'!CO$41="","",'Übung 18'!CO$41)</f>
        <v/>
      </c>
      <c r="U1575" s="62">
        <f>IF('Übung 19'!CO$41="","",'Übung 19'!CO$41)</f>
        <v/>
      </c>
      <c r="V1575" s="62">
        <f>IF('Übung 20'!CO$41="","",'Übung 20'!CO$41)</f>
        <v/>
      </c>
    </row>
    <row r="1576">
      <c r="C1576" s="62">
        <f>IF('Übung 01'!CP$41="","",'Übung 01'!CP$41)</f>
        <v/>
      </c>
      <c r="D1576" s="62">
        <f>IF('Übung 02'!CP$41="","",'Übung 02'!CP$41)</f>
        <v/>
      </c>
      <c r="E1576" s="62">
        <f>IF('Übung 03'!CP$41="","",'Übung 03'!CP$41)</f>
        <v/>
      </c>
      <c r="F1576" s="62">
        <f>IF('Übung 04'!CP$41="","",'Übung 04'!CP$41)</f>
        <v/>
      </c>
      <c r="G1576" s="62">
        <f>IF('Übung 05'!CP$41="","",'Übung 05'!CP$41)</f>
        <v/>
      </c>
      <c r="H1576" s="62">
        <f>IF('Übung 06'!CP$41="","",'Übung 06'!CP$41)</f>
        <v/>
      </c>
      <c r="I1576" s="62">
        <f>IF('Übung 07'!CP$41="","",'Übung 07'!CP$41)</f>
        <v/>
      </c>
      <c r="J1576" s="62">
        <f>IF('Übung 08'!CP$41="","",'Übung 08'!CP$41)</f>
        <v/>
      </c>
      <c r="K1576" s="62">
        <f>IF('Übung 09'!CP$41="","",'Übung 09'!CP$41)</f>
        <v/>
      </c>
      <c r="L1576" s="62">
        <f>IF('Übung 10'!CP$41="","",'Übung 10'!CP$41)</f>
        <v/>
      </c>
      <c r="M1576" s="62">
        <f>IF('Übung 11'!CP$41="","",'Übung 11'!CP$41)</f>
        <v/>
      </c>
      <c r="N1576" s="62">
        <f>IF('Übung 12'!CP$41="","",'Übung 12'!CP$41)</f>
        <v/>
      </c>
      <c r="O1576" s="62">
        <f>IF('Übung 13'!CP$41="","",'Übung 13'!CP$41)</f>
        <v/>
      </c>
      <c r="P1576" s="62">
        <f>IF('Übung 14'!CP$41="","",'Übung 14'!CP$41)</f>
        <v/>
      </c>
      <c r="Q1576" s="62">
        <f>IF('Übung 15'!CP$41="","",'Übung 15'!CP$41)</f>
        <v/>
      </c>
      <c r="R1576" s="62">
        <f>IF('Übung 16'!CP$41="","",'Übung 16'!CP$41)</f>
        <v/>
      </c>
      <c r="S1576" s="62">
        <f>IF('Übung 17'!CP$41="","",'Übung 17'!CP$41)</f>
        <v/>
      </c>
      <c r="T1576" s="62">
        <f>IF('Übung 18'!CP$41="","",'Übung 18'!CP$41)</f>
        <v/>
      </c>
      <c r="U1576" s="62">
        <f>IF('Übung 19'!CP$41="","",'Übung 19'!CP$41)</f>
        <v/>
      </c>
      <c r="V1576" s="62">
        <f>IF('Übung 20'!CP$41="","",'Übung 20'!CP$41)</f>
        <v/>
      </c>
    </row>
    <row r="1577">
      <c r="C1577" s="62">
        <f>IF('Übung 01'!CQ$41="","",'Übung 01'!CQ$41)</f>
        <v/>
      </c>
      <c r="D1577" s="62">
        <f>IF('Übung 02'!CQ$41="","",'Übung 02'!CQ$41)</f>
        <v/>
      </c>
      <c r="E1577" s="62">
        <f>IF('Übung 03'!CQ$41="","",'Übung 03'!CQ$41)</f>
        <v/>
      </c>
      <c r="F1577" s="62">
        <f>IF('Übung 04'!CQ$41="","",'Übung 04'!CQ$41)</f>
        <v/>
      </c>
      <c r="G1577" s="62">
        <f>IF('Übung 05'!CQ$41="","",'Übung 05'!CQ$41)</f>
        <v/>
      </c>
      <c r="H1577" s="62">
        <f>IF('Übung 06'!CQ$41="","",'Übung 06'!CQ$41)</f>
        <v/>
      </c>
      <c r="I1577" s="62">
        <f>IF('Übung 07'!CQ$41="","",'Übung 07'!CQ$41)</f>
        <v/>
      </c>
      <c r="J1577" s="62">
        <f>IF('Übung 08'!CQ$41="","",'Übung 08'!CQ$41)</f>
        <v/>
      </c>
      <c r="K1577" s="62">
        <f>IF('Übung 09'!CQ$41="","",'Übung 09'!CQ$41)</f>
        <v/>
      </c>
      <c r="L1577" s="62">
        <f>IF('Übung 10'!CQ$41="","",'Übung 10'!CQ$41)</f>
        <v/>
      </c>
      <c r="M1577" s="62">
        <f>IF('Übung 11'!CQ$41="","",'Übung 11'!CQ$41)</f>
        <v/>
      </c>
      <c r="N1577" s="62">
        <f>IF('Übung 12'!CQ$41="","",'Übung 12'!CQ$41)</f>
        <v/>
      </c>
      <c r="O1577" s="62">
        <f>IF('Übung 13'!CQ$41="","",'Übung 13'!CQ$41)</f>
        <v/>
      </c>
      <c r="P1577" s="62">
        <f>IF('Übung 14'!CQ$41="","",'Übung 14'!CQ$41)</f>
        <v/>
      </c>
      <c r="Q1577" s="62">
        <f>IF('Übung 15'!CQ$41="","",'Übung 15'!CQ$41)</f>
        <v/>
      </c>
      <c r="R1577" s="62">
        <f>IF('Übung 16'!CQ$41="","",'Übung 16'!CQ$41)</f>
        <v/>
      </c>
      <c r="S1577" s="62">
        <f>IF('Übung 17'!CQ$41="","",'Übung 17'!CQ$41)</f>
        <v/>
      </c>
      <c r="T1577" s="62">
        <f>IF('Übung 18'!CQ$41="","",'Übung 18'!CQ$41)</f>
        <v/>
      </c>
      <c r="U1577" s="62">
        <f>IF('Übung 19'!CQ$41="","",'Übung 19'!CQ$41)</f>
        <v/>
      </c>
      <c r="V1577" s="62">
        <f>IF('Übung 20'!CQ$41="","",'Übung 20'!CQ$41)</f>
        <v/>
      </c>
    </row>
    <row r="1578">
      <c r="C1578" s="62">
        <f>IF('Übung 01'!CR$41="","",'Übung 01'!CR$41)</f>
        <v/>
      </c>
      <c r="D1578" s="62">
        <f>IF('Übung 02'!CR$41="","",'Übung 02'!CR$41)</f>
        <v/>
      </c>
      <c r="E1578" s="62">
        <f>IF('Übung 03'!CR$41="","",'Übung 03'!CR$41)</f>
        <v/>
      </c>
      <c r="F1578" s="62">
        <f>IF('Übung 04'!CR$41="","",'Übung 04'!CR$41)</f>
        <v/>
      </c>
      <c r="G1578" s="62">
        <f>IF('Übung 05'!CR$41="","",'Übung 05'!CR$41)</f>
        <v/>
      </c>
      <c r="H1578" s="62">
        <f>IF('Übung 06'!CR$41="","",'Übung 06'!CR$41)</f>
        <v/>
      </c>
      <c r="I1578" s="62">
        <f>IF('Übung 07'!CR$41="","",'Übung 07'!CR$41)</f>
        <v/>
      </c>
      <c r="J1578" s="62">
        <f>IF('Übung 08'!CR$41="","",'Übung 08'!CR$41)</f>
        <v/>
      </c>
      <c r="K1578" s="62">
        <f>IF('Übung 09'!CR$41="","",'Übung 09'!CR$41)</f>
        <v/>
      </c>
      <c r="L1578" s="62">
        <f>IF('Übung 10'!CR$41="","",'Übung 10'!CR$41)</f>
        <v/>
      </c>
      <c r="M1578" s="62">
        <f>IF('Übung 11'!CR$41="","",'Übung 11'!CR$41)</f>
        <v/>
      </c>
      <c r="N1578" s="62">
        <f>IF('Übung 12'!CR$41="","",'Übung 12'!CR$41)</f>
        <v/>
      </c>
      <c r="O1578" s="62">
        <f>IF('Übung 13'!CR$41="","",'Übung 13'!CR$41)</f>
        <v/>
      </c>
      <c r="P1578" s="62">
        <f>IF('Übung 14'!CR$41="","",'Übung 14'!CR$41)</f>
        <v/>
      </c>
      <c r="Q1578" s="62">
        <f>IF('Übung 15'!CR$41="","",'Übung 15'!CR$41)</f>
        <v/>
      </c>
      <c r="R1578" s="62">
        <f>IF('Übung 16'!CR$41="","",'Übung 16'!CR$41)</f>
        <v/>
      </c>
      <c r="S1578" s="62">
        <f>IF('Übung 17'!CR$41="","",'Übung 17'!CR$41)</f>
        <v/>
      </c>
      <c r="T1578" s="62">
        <f>IF('Übung 18'!CR$41="","",'Übung 18'!CR$41)</f>
        <v/>
      </c>
      <c r="U1578" s="62">
        <f>IF('Übung 19'!CR$41="","",'Übung 19'!CR$41)</f>
        <v/>
      </c>
      <c r="V1578" s="62">
        <f>IF('Übung 20'!CR$41="","",'Übung 20'!CR$41)</f>
        <v/>
      </c>
    </row>
    <row r="1579">
      <c r="C1579" s="62">
        <f>IF('Übung 01'!CS$41="","",'Übung 01'!CS$41)</f>
        <v/>
      </c>
      <c r="D1579" s="62">
        <f>IF('Übung 02'!CS$41="","",'Übung 02'!CS$41)</f>
        <v/>
      </c>
      <c r="E1579" s="62">
        <f>IF('Übung 03'!CS$41="","",'Übung 03'!CS$41)</f>
        <v/>
      </c>
      <c r="F1579" s="62">
        <f>IF('Übung 04'!CS$41="","",'Übung 04'!CS$41)</f>
        <v/>
      </c>
      <c r="G1579" s="62">
        <f>IF('Übung 05'!CS$41="","",'Übung 05'!CS$41)</f>
        <v/>
      </c>
      <c r="H1579" s="62">
        <f>IF('Übung 06'!CS$41="","",'Übung 06'!CS$41)</f>
        <v/>
      </c>
      <c r="I1579" s="62">
        <f>IF('Übung 07'!CS$41="","",'Übung 07'!CS$41)</f>
        <v/>
      </c>
      <c r="J1579" s="62">
        <f>IF('Übung 08'!CS$41="","",'Übung 08'!CS$41)</f>
        <v/>
      </c>
      <c r="K1579" s="62">
        <f>IF('Übung 09'!CS$41="","",'Übung 09'!CS$41)</f>
        <v/>
      </c>
      <c r="L1579" s="62">
        <f>IF('Übung 10'!CS$41="","",'Übung 10'!CS$41)</f>
        <v/>
      </c>
      <c r="M1579" s="62">
        <f>IF('Übung 11'!CS$41="","",'Übung 11'!CS$41)</f>
        <v/>
      </c>
      <c r="N1579" s="62">
        <f>IF('Übung 12'!CS$41="","",'Übung 12'!CS$41)</f>
        <v/>
      </c>
      <c r="O1579" s="62">
        <f>IF('Übung 13'!CS$41="","",'Übung 13'!CS$41)</f>
        <v/>
      </c>
      <c r="P1579" s="62">
        <f>IF('Übung 14'!CS$41="","",'Übung 14'!CS$41)</f>
        <v/>
      </c>
      <c r="Q1579" s="62">
        <f>IF('Übung 15'!CS$41="","",'Übung 15'!CS$41)</f>
        <v/>
      </c>
      <c r="R1579" s="62">
        <f>IF('Übung 16'!CS$41="","",'Übung 16'!CS$41)</f>
        <v/>
      </c>
      <c r="S1579" s="62">
        <f>IF('Übung 17'!CS$41="","",'Übung 17'!CS$41)</f>
        <v/>
      </c>
      <c r="T1579" s="62">
        <f>IF('Übung 18'!CS$41="","",'Übung 18'!CS$41)</f>
        <v/>
      </c>
      <c r="U1579" s="62">
        <f>IF('Übung 19'!CS$41="","",'Übung 19'!CS$41)</f>
        <v/>
      </c>
      <c r="V1579" s="62">
        <f>IF('Übung 20'!CS$41="","",'Übung 20'!CS$41)</f>
        <v/>
      </c>
    </row>
    <row r="1580">
      <c r="C1580" s="62">
        <f>IF('Übung 01'!CT$41="","",'Übung 01'!CT$41)</f>
        <v/>
      </c>
      <c r="D1580" s="62">
        <f>IF('Übung 02'!CT$41="","",'Übung 02'!CT$41)</f>
        <v/>
      </c>
      <c r="E1580" s="62">
        <f>IF('Übung 03'!CT$41="","",'Übung 03'!CT$41)</f>
        <v/>
      </c>
      <c r="F1580" s="62">
        <f>IF('Übung 04'!CT$41="","",'Übung 04'!CT$41)</f>
        <v/>
      </c>
      <c r="G1580" s="62">
        <f>IF('Übung 05'!CT$41="","",'Übung 05'!CT$41)</f>
        <v/>
      </c>
      <c r="H1580" s="62">
        <f>IF('Übung 06'!CT$41="","",'Übung 06'!CT$41)</f>
        <v/>
      </c>
      <c r="I1580" s="62">
        <f>IF('Übung 07'!CT$41="","",'Übung 07'!CT$41)</f>
        <v/>
      </c>
      <c r="J1580" s="62">
        <f>IF('Übung 08'!CT$41="","",'Übung 08'!CT$41)</f>
        <v/>
      </c>
      <c r="K1580" s="62">
        <f>IF('Übung 09'!CT$41="","",'Übung 09'!CT$41)</f>
        <v/>
      </c>
      <c r="L1580" s="62">
        <f>IF('Übung 10'!CT$41="","",'Übung 10'!CT$41)</f>
        <v/>
      </c>
      <c r="M1580" s="62">
        <f>IF('Übung 11'!CT$41="","",'Übung 11'!CT$41)</f>
        <v/>
      </c>
      <c r="N1580" s="62">
        <f>IF('Übung 12'!CT$41="","",'Übung 12'!CT$41)</f>
        <v/>
      </c>
      <c r="O1580" s="62">
        <f>IF('Übung 13'!CT$41="","",'Übung 13'!CT$41)</f>
        <v/>
      </c>
      <c r="P1580" s="62">
        <f>IF('Übung 14'!CT$41="","",'Übung 14'!CT$41)</f>
        <v/>
      </c>
      <c r="Q1580" s="62">
        <f>IF('Übung 15'!CT$41="","",'Übung 15'!CT$41)</f>
        <v/>
      </c>
      <c r="R1580" s="62">
        <f>IF('Übung 16'!CT$41="","",'Übung 16'!CT$41)</f>
        <v/>
      </c>
      <c r="S1580" s="62">
        <f>IF('Übung 17'!CT$41="","",'Übung 17'!CT$41)</f>
        <v/>
      </c>
      <c r="T1580" s="62">
        <f>IF('Übung 18'!CT$41="","",'Übung 18'!CT$41)</f>
        <v/>
      </c>
      <c r="U1580" s="62">
        <f>IF('Übung 19'!CT$41="","",'Übung 19'!CT$41)</f>
        <v/>
      </c>
      <c r="V1580" s="62">
        <f>IF('Übung 20'!CT$41="","",'Übung 20'!CT$41)</f>
        <v/>
      </c>
    </row>
    <row r="1581">
      <c r="C1581" s="62">
        <f>IF('Übung 01'!CU$41="","",'Übung 01'!CU$41)</f>
        <v/>
      </c>
      <c r="D1581" s="62">
        <f>IF('Übung 02'!CU$41="","",'Übung 02'!CU$41)</f>
        <v/>
      </c>
      <c r="E1581" s="62">
        <f>IF('Übung 03'!CU$41="","",'Übung 03'!CU$41)</f>
        <v/>
      </c>
      <c r="F1581" s="62">
        <f>IF('Übung 04'!CU$41="","",'Übung 04'!CU$41)</f>
        <v/>
      </c>
      <c r="G1581" s="62">
        <f>IF('Übung 05'!CU$41="","",'Übung 05'!CU$41)</f>
        <v/>
      </c>
      <c r="H1581" s="62">
        <f>IF('Übung 06'!CU$41="","",'Übung 06'!CU$41)</f>
        <v/>
      </c>
      <c r="I1581" s="62">
        <f>IF('Übung 07'!CU$41="","",'Übung 07'!CU$41)</f>
        <v/>
      </c>
      <c r="J1581" s="62">
        <f>IF('Übung 08'!CU$41="","",'Übung 08'!CU$41)</f>
        <v/>
      </c>
      <c r="K1581" s="62">
        <f>IF('Übung 09'!CU$41="","",'Übung 09'!CU$41)</f>
        <v/>
      </c>
      <c r="L1581" s="62">
        <f>IF('Übung 10'!CU$41="","",'Übung 10'!CU$41)</f>
        <v/>
      </c>
      <c r="M1581" s="62">
        <f>IF('Übung 11'!CU$41="","",'Übung 11'!CU$41)</f>
        <v/>
      </c>
      <c r="N1581" s="62">
        <f>IF('Übung 12'!CU$41="","",'Übung 12'!CU$41)</f>
        <v/>
      </c>
      <c r="O1581" s="62">
        <f>IF('Übung 13'!CU$41="","",'Übung 13'!CU$41)</f>
        <v/>
      </c>
      <c r="P1581" s="62">
        <f>IF('Übung 14'!CU$41="","",'Übung 14'!CU$41)</f>
        <v/>
      </c>
      <c r="Q1581" s="62">
        <f>IF('Übung 15'!CU$41="","",'Übung 15'!CU$41)</f>
        <v/>
      </c>
      <c r="R1581" s="62">
        <f>IF('Übung 16'!CU$41="","",'Übung 16'!CU$41)</f>
        <v/>
      </c>
      <c r="S1581" s="62">
        <f>IF('Übung 17'!CU$41="","",'Übung 17'!CU$41)</f>
        <v/>
      </c>
      <c r="T1581" s="62">
        <f>IF('Übung 18'!CU$41="","",'Übung 18'!CU$41)</f>
        <v/>
      </c>
      <c r="U1581" s="62">
        <f>IF('Übung 19'!CU$41="","",'Übung 19'!CU$41)</f>
        <v/>
      </c>
      <c r="V1581" s="62">
        <f>IF('Übung 20'!CU$41="","",'Übung 20'!CU$41)</f>
        <v/>
      </c>
    </row>
    <row r="1582">
      <c r="C1582" s="62">
        <f>IF('Übung 01'!CV$41="","",'Übung 01'!CV$41)</f>
        <v/>
      </c>
      <c r="D1582" s="62">
        <f>IF('Übung 02'!CV$41="","",'Übung 02'!CV$41)</f>
        <v/>
      </c>
      <c r="E1582" s="62">
        <f>IF('Übung 03'!CV$41="","",'Übung 03'!CV$41)</f>
        <v/>
      </c>
      <c r="F1582" s="62">
        <f>IF('Übung 04'!CV$41="","",'Übung 04'!CV$41)</f>
        <v/>
      </c>
      <c r="G1582" s="62">
        <f>IF('Übung 05'!CV$41="","",'Übung 05'!CV$41)</f>
        <v/>
      </c>
      <c r="H1582" s="62">
        <f>IF('Übung 06'!CV$41="","",'Übung 06'!CV$41)</f>
        <v/>
      </c>
      <c r="I1582" s="62">
        <f>IF('Übung 07'!CV$41="","",'Übung 07'!CV$41)</f>
        <v/>
      </c>
      <c r="J1582" s="62">
        <f>IF('Übung 08'!CV$41="","",'Übung 08'!CV$41)</f>
        <v/>
      </c>
      <c r="K1582" s="62">
        <f>IF('Übung 09'!CV$41="","",'Übung 09'!CV$41)</f>
        <v/>
      </c>
      <c r="L1582" s="62">
        <f>IF('Übung 10'!CV$41="","",'Übung 10'!CV$41)</f>
        <v/>
      </c>
      <c r="M1582" s="62">
        <f>IF('Übung 11'!CV$41="","",'Übung 11'!CV$41)</f>
        <v/>
      </c>
      <c r="N1582" s="62">
        <f>IF('Übung 12'!CV$41="","",'Übung 12'!CV$41)</f>
        <v/>
      </c>
      <c r="O1582" s="62">
        <f>IF('Übung 13'!CV$41="","",'Übung 13'!CV$41)</f>
        <v/>
      </c>
      <c r="P1582" s="62">
        <f>IF('Übung 14'!CV$41="","",'Übung 14'!CV$41)</f>
        <v/>
      </c>
      <c r="Q1582" s="62">
        <f>IF('Übung 15'!CV$41="","",'Übung 15'!CV$41)</f>
        <v/>
      </c>
      <c r="R1582" s="62">
        <f>IF('Übung 16'!CV$41="","",'Übung 16'!CV$41)</f>
        <v/>
      </c>
      <c r="S1582" s="62">
        <f>IF('Übung 17'!CV$41="","",'Übung 17'!CV$41)</f>
        <v/>
      </c>
      <c r="T1582" s="62">
        <f>IF('Übung 18'!CV$41="","",'Übung 18'!CV$41)</f>
        <v/>
      </c>
      <c r="U1582" s="62">
        <f>IF('Übung 19'!CV$41="","",'Übung 19'!CV$41)</f>
        <v/>
      </c>
      <c r="V1582" s="62">
        <f>IF('Übung 20'!CV$41="","",'Übung 20'!CV$41)</f>
        <v/>
      </c>
    </row>
    <row r="1583">
      <c r="C1583" s="62">
        <f>IF('Übung 01'!CW$41="","",'Übung 01'!CW$41)</f>
        <v/>
      </c>
      <c r="D1583" s="62">
        <f>IF('Übung 02'!CW$41="","",'Übung 02'!CW$41)</f>
        <v/>
      </c>
      <c r="E1583" s="62">
        <f>IF('Übung 03'!CW$41="","",'Übung 03'!CW$41)</f>
        <v/>
      </c>
      <c r="F1583" s="62">
        <f>IF('Übung 04'!CW$41="","",'Übung 04'!CW$41)</f>
        <v/>
      </c>
      <c r="G1583" s="62">
        <f>IF('Übung 05'!CW$41="","",'Übung 05'!CW$41)</f>
        <v/>
      </c>
      <c r="H1583" s="62">
        <f>IF('Übung 06'!CW$41="","",'Übung 06'!CW$41)</f>
        <v/>
      </c>
      <c r="I1583" s="62">
        <f>IF('Übung 07'!CW$41="","",'Übung 07'!CW$41)</f>
        <v/>
      </c>
      <c r="J1583" s="62">
        <f>IF('Übung 08'!CW$41="","",'Übung 08'!CW$41)</f>
        <v/>
      </c>
      <c r="K1583" s="62">
        <f>IF('Übung 09'!CW$41="","",'Übung 09'!CW$41)</f>
        <v/>
      </c>
      <c r="L1583" s="62">
        <f>IF('Übung 10'!CW$41="","",'Übung 10'!CW$41)</f>
        <v/>
      </c>
      <c r="M1583" s="62">
        <f>IF('Übung 11'!CW$41="","",'Übung 11'!CW$41)</f>
        <v/>
      </c>
      <c r="N1583" s="62">
        <f>IF('Übung 12'!CW$41="","",'Übung 12'!CW$41)</f>
        <v/>
      </c>
      <c r="O1583" s="62">
        <f>IF('Übung 13'!CW$41="","",'Übung 13'!CW$41)</f>
        <v/>
      </c>
      <c r="P1583" s="62">
        <f>IF('Übung 14'!CW$41="","",'Übung 14'!CW$41)</f>
        <v/>
      </c>
      <c r="Q1583" s="62">
        <f>IF('Übung 15'!CW$41="","",'Übung 15'!CW$41)</f>
        <v/>
      </c>
      <c r="R1583" s="62">
        <f>IF('Übung 16'!CW$41="","",'Übung 16'!CW$41)</f>
        <v/>
      </c>
      <c r="S1583" s="62">
        <f>IF('Übung 17'!CW$41="","",'Übung 17'!CW$41)</f>
        <v/>
      </c>
      <c r="T1583" s="62">
        <f>IF('Übung 18'!CW$41="","",'Übung 18'!CW$41)</f>
        <v/>
      </c>
      <c r="U1583" s="62">
        <f>IF('Übung 19'!CW$41="","",'Übung 19'!CW$41)</f>
        <v/>
      </c>
      <c r="V1583" s="62">
        <f>IF('Übung 20'!CW$41="","",'Übung 20'!CW$41)</f>
        <v/>
      </c>
    </row>
    <row r="1584">
      <c r="C1584" s="62">
        <f>IF('Übung 01'!CX$41="","",'Übung 01'!CX$41)</f>
        <v/>
      </c>
      <c r="D1584" s="62">
        <f>IF('Übung 02'!CX$41="","",'Übung 02'!CX$41)</f>
        <v/>
      </c>
      <c r="E1584" s="62">
        <f>IF('Übung 03'!CX$41="","",'Übung 03'!CX$41)</f>
        <v/>
      </c>
      <c r="F1584" s="62">
        <f>IF('Übung 04'!CX$41="","",'Übung 04'!CX$41)</f>
        <v/>
      </c>
      <c r="G1584" s="62">
        <f>IF('Übung 05'!CX$41="","",'Übung 05'!CX$41)</f>
        <v/>
      </c>
      <c r="H1584" s="62">
        <f>IF('Übung 06'!CX$41="","",'Übung 06'!CX$41)</f>
        <v/>
      </c>
      <c r="I1584" s="62">
        <f>IF('Übung 07'!CX$41="","",'Übung 07'!CX$41)</f>
        <v/>
      </c>
      <c r="J1584" s="62">
        <f>IF('Übung 08'!CX$41="","",'Übung 08'!CX$41)</f>
        <v/>
      </c>
      <c r="K1584" s="62">
        <f>IF('Übung 09'!CX$41="","",'Übung 09'!CX$41)</f>
        <v/>
      </c>
      <c r="L1584" s="62">
        <f>IF('Übung 10'!CX$41="","",'Übung 10'!CX$41)</f>
        <v/>
      </c>
      <c r="M1584" s="62">
        <f>IF('Übung 11'!CX$41="","",'Übung 11'!CX$41)</f>
        <v/>
      </c>
      <c r="N1584" s="62">
        <f>IF('Übung 12'!CX$41="","",'Übung 12'!CX$41)</f>
        <v/>
      </c>
      <c r="O1584" s="62">
        <f>IF('Übung 13'!CX$41="","",'Übung 13'!CX$41)</f>
        <v/>
      </c>
      <c r="P1584" s="62">
        <f>IF('Übung 14'!CX$41="","",'Übung 14'!CX$41)</f>
        <v/>
      </c>
      <c r="Q1584" s="62">
        <f>IF('Übung 15'!CX$41="","",'Übung 15'!CX$41)</f>
        <v/>
      </c>
      <c r="R1584" s="62">
        <f>IF('Übung 16'!CX$41="","",'Übung 16'!CX$41)</f>
        <v/>
      </c>
      <c r="S1584" s="62">
        <f>IF('Übung 17'!CX$41="","",'Übung 17'!CX$41)</f>
        <v/>
      </c>
      <c r="T1584" s="62">
        <f>IF('Übung 18'!CX$41="","",'Übung 18'!CX$41)</f>
        <v/>
      </c>
      <c r="U1584" s="62">
        <f>IF('Übung 19'!CX$41="","",'Übung 19'!CX$41)</f>
        <v/>
      </c>
      <c r="V1584" s="62">
        <f>IF('Übung 20'!CX$41="","",'Übung 20'!CX$41)</f>
        <v/>
      </c>
    </row>
    <row r="1585">
      <c r="C1585" s="62">
        <f>IF('Übung 01'!CY$41="","",'Übung 01'!CY$41)</f>
        <v/>
      </c>
      <c r="D1585" s="62">
        <f>IF('Übung 02'!CY$41="","",'Übung 02'!CY$41)</f>
        <v/>
      </c>
      <c r="E1585" s="62">
        <f>IF('Übung 03'!CY$41="","",'Übung 03'!CY$41)</f>
        <v/>
      </c>
      <c r="F1585" s="62">
        <f>IF('Übung 04'!CY$41="","",'Übung 04'!CY$41)</f>
        <v/>
      </c>
      <c r="G1585" s="62">
        <f>IF('Übung 05'!CY$41="","",'Übung 05'!CY$41)</f>
        <v/>
      </c>
      <c r="H1585" s="62">
        <f>IF('Übung 06'!CY$41="","",'Übung 06'!CY$41)</f>
        <v/>
      </c>
      <c r="I1585" s="62">
        <f>IF('Übung 07'!CY$41="","",'Übung 07'!CY$41)</f>
        <v/>
      </c>
      <c r="J1585" s="62">
        <f>IF('Übung 08'!CY$41="","",'Übung 08'!CY$41)</f>
        <v/>
      </c>
      <c r="K1585" s="62">
        <f>IF('Übung 09'!CY$41="","",'Übung 09'!CY$41)</f>
        <v/>
      </c>
      <c r="L1585" s="62">
        <f>IF('Übung 10'!CY$41="","",'Übung 10'!CY$41)</f>
        <v/>
      </c>
      <c r="M1585" s="62">
        <f>IF('Übung 11'!CY$41="","",'Übung 11'!CY$41)</f>
        <v/>
      </c>
      <c r="N1585" s="62">
        <f>IF('Übung 12'!CY$41="","",'Übung 12'!CY$41)</f>
        <v/>
      </c>
      <c r="O1585" s="62">
        <f>IF('Übung 13'!CY$41="","",'Übung 13'!CY$41)</f>
        <v/>
      </c>
      <c r="P1585" s="62">
        <f>IF('Übung 14'!CY$41="","",'Übung 14'!CY$41)</f>
        <v/>
      </c>
      <c r="Q1585" s="62">
        <f>IF('Übung 15'!CY$41="","",'Übung 15'!CY$41)</f>
        <v/>
      </c>
      <c r="R1585" s="62">
        <f>IF('Übung 16'!CY$41="","",'Übung 16'!CY$41)</f>
        <v/>
      </c>
      <c r="S1585" s="62">
        <f>IF('Übung 17'!CY$41="","",'Übung 17'!CY$41)</f>
        <v/>
      </c>
      <c r="T1585" s="62">
        <f>IF('Übung 18'!CY$41="","",'Übung 18'!CY$41)</f>
        <v/>
      </c>
      <c r="U1585" s="62">
        <f>IF('Übung 19'!CY$41="","",'Übung 19'!CY$41)</f>
        <v/>
      </c>
      <c r="V1585" s="62">
        <f>IF('Übung 20'!CY$41="","",'Übung 20'!CY$41)</f>
        <v/>
      </c>
    </row>
    <row r="1586">
      <c r="C1586" s="62">
        <f>IF('Übung 01'!CZ$41="","",'Übung 01'!CZ$41)</f>
        <v/>
      </c>
      <c r="D1586" s="62">
        <f>IF('Übung 02'!CZ$41="","",'Übung 02'!CZ$41)</f>
        <v/>
      </c>
      <c r="E1586" s="62">
        <f>IF('Übung 03'!CZ$41="","",'Übung 03'!CZ$41)</f>
        <v/>
      </c>
      <c r="F1586" s="62">
        <f>IF('Übung 04'!CZ$41="","",'Übung 04'!CZ$41)</f>
        <v/>
      </c>
      <c r="G1586" s="62">
        <f>IF('Übung 05'!CZ$41="","",'Übung 05'!CZ$41)</f>
        <v/>
      </c>
      <c r="H1586" s="62">
        <f>IF('Übung 06'!CZ$41="","",'Übung 06'!CZ$41)</f>
        <v/>
      </c>
      <c r="I1586" s="62">
        <f>IF('Übung 07'!CZ$41="","",'Übung 07'!CZ$41)</f>
        <v/>
      </c>
      <c r="J1586" s="62">
        <f>IF('Übung 08'!CZ$41="","",'Übung 08'!CZ$41)</f>
        <v/>
      </c>
      <c r="K1586" s="62">
        <f>IF('Übung 09'!CZ$41="","",'Übung 09'!CZ$41)</f>
        <v/>
      </c>
      <c r="L1586" s="62">
        <f>IF('Übung 10'!CZ$41="","",'Übung 10'!CZ$41)</f>
        <v/>
      </c>
      <c r="M1586" s="62">
        <f>IF('Übung 11'!CZ$41="","",'Übung 11'!CZ$41)</f>
        <v/>
      </c>
      <c r="N1586" s="62">
        <f>IF('Übung 12'!CZ$41="","",'Übung 12'!CZ$41)</f>
        <v/>
      </c>
      <c r="O1586" s="62">
        <f>IF('Übung 13'!CZ$41="","",'Übung 13'!CZ$41)</f>
        <v/>
      </c>
      <c r="P1586" s="62">
        <f>IF('Übung 14'!CZ$41="","",'Übung 14'!CZ$41)</f>
        <v/>
      </c>
      <c r="Q1586" s="62">
        <f>IF('Übung 15'!CZ$41="","",'Übung 15'!CZ$41)</f>
        <v/>
      </c>
      <c r="R1586" s="62">
        <f>IF('Übung 16'!CZ$41="","",'Übung 16'!CZ$41)</f>
        <v/>
      </c>
      <c r="S1586" s="62">
        <f>IF('Übung 17'!CZ$41="","",'Übung 17'!CZ$41)</f>
        <v/>
      </c>
      <c r="T1586" s="62">
        <f>IF('Übung 18'!CZ$41="","",'Übung 18'!CZ$41)</f>
        <v/>
      </c>
      <c r="U1586" s="62">
        <f>IF('Übung 19'!CZ$41="","",'Übung 19'!CZ$41)</f>
        <v/>
      </c>
      <c r="V1586" s="62">
        <f>IF('Übung 20'!CZ$41="","",'Übung 20'!CZ$41)</f>
        <v/>
      </c>
    </row>
    <row r="1587">
      <c r="C1587" s="62">
        <f>IF('Übung 01'!DA$41="","",'Übung 01'!DA$41)</f>
        <v/>
      </c>
      <c r="D1587" s="62">
        <f>IF('Übung 02'!DA$41="","",'Übung 02'!DA$41)</f>
        <v/>
      </c>
      <c r="E1587" s="62">
        <f>IF('Übung 03'!DA$41="","",'Übung 03'!DA$41)</f>
        <v/>
      </c>
      <c r="F1587" s="62">
        <f>IF('Übung 04'!DA$41="","",'Übung 04'!DA$41)</f>
        <v/>
      </c>
      <c r="G1587" s="62">
        <f>IF('Übung 05'!DA$41="","",'Übung 05'!DA$41)</f>
        <v/>
      </c>
      <c r="H1587" s="62">
        <f>IF('Übung 06'!DA$41="","",'Übung 06'!DA$41)</f>
        <v/>
      </c>
      <c r="I1587" s="62">
        <f>IF('Übung 07'!DA$41="","",'Übung 07'!DA$41)</f>
        <v/>
      </c>
      <c r="J1587" s="62">
        <f>IF('Übung 08'!DA$41="","",'Übung 08'!DA$41)</f>
        <v/>
      </c>
      <c r="K1587" s="62">
        <f>IF('Übung 09'!DA$41="","",'Übung 09'!DA$41)</f>
        <v/>
      </c>
      <c r="L1587" s="62">
        <f>IF('Übung 10'!DA$41="","",'Übung 10'!DA$41)</f>
        <v/>
      </c>
      <c r="M1587" s="62">
        <f>IF('Übung 11'!DA$41="","",'Übung 11'!DA$41)</f>
        <v/>
      </c>
      <c r="N1587" s="62">
        <f>IF('Übung 12'!DA$41="","",'Übung 12'!DA$41)</f>
        <v/>
      </c>
      <c r="O1587" s="62">
        <f>IF('Übung 13'!DA$41="","",'Übung 13'!DA$41)</f>
        <v/>
      </c>
      <c r="P1587" s="62">
        <f>IF('Übung 14'!DA$41="","",'Übung 14'!DA$41)</f>
        <v/>
      </c>
      <c r="Q1587" s="62">
        <f>IF('Übung 15'!DA$41="","",'Übung 15'!DA$41)</f>
        <v/>
      </c>
      <c r="R1587" s="62">
        <f>IF('Übung 16'!DA$41="","",'Übung 16'!DA$41)</f>
        <v/>
      </c>
      <c r="S1587" s="62">
        <f>IF('Übung 17'!DA$41="","",'Übung 17'!DA$41)</f>
        <v/>
      </c>
      <c r="T1587" s="62">
        <f>IF('Übung 18'!DA$41="","",'Übung 18'!DA$41)</f>
        <v/>
      </c>
      <c r="U1587" s="62">
        <f>IF('Übung 19'!DA$41="","",'Übung 19'!DA$41)</f>
        <v/>
      </c>
      <c r="V1587" s="62">
        <f>IF('Übung 20'!DA$41="","",'Übung 20'!DA$41)</f>
        <v/>
      </c>
    </row>
    <row r="1588">
      <c r="C1588" s="62">
        <f>IF('Übung 01'!DB$41="","",'Übung 01'!DB$41)</f>
        <v/>
      </c>
      <c r="D1588" s="62">
        <f>IF('Übung 02'!DB$41="","",'Übung 02'!DB$41)</f>
        <v/>
      </c>
      <c r="E1588" s="62">
        <f>IF('Übung 03'!DB$41="","",'Übung 03'!DB$41)</f>
        <v/>
      </c>
      <c r="F1588" s="62">
        <f>IF('Übung 04'!DB$41="","",'Übung 04'!DB$41)</f>
        <v/>
      </c>
      <c r="G1588" s="62">
        <f>IF('Übung 05'!DB$41="","",'Übung 05'!DB$41)</f>
        <v/>
      </c>
      <c r="H1588" s="62">
        <f>IF('Übung 06'!DB$41="","",'Übung 06'!DB$41)</f>
        <v/>
      </c>
      <c r="I1588" s="62">
        <f>IF('Übung 07'!DB$41="","",'Übung 07'!DB$41)</f>
        <v/>
      </c>
      <c r="J1588" s="62">
        <f>IF('Übung 08'!DB$41="","",'Übung 08'!DB$41)</f>
        <v/>
      </c>
      <c r="K1588" s="62">
        <f>IF('Übung 09'!DB$41="","",'Übung 09'!DB$41)</f>
        <v/>
      </c>
      <c r="L1588" s="62">
        <f>IF('Übung 10'!DB$41="","",'Übung 10'!DB$41)</f>
        <v/>
      </c>
      <c r="M1588" s="62">
        <f>IF('Übung 11'!DB$41="","",'Übung 11'!DB$41)</f>
        <v/>
      </c>
      <c r="N1588" s="62">
        <f>IF('Übung 12'!DB$41="","",'Übung 12'!DB$41)</f>
        <v/>
      </c>
      <c r="O1588" s="62">
        <f>IF('Übung 13'!DB$41="","",'Übung 13'!DB$41)</f>
        <v/>
      </c>
      <c r="P1588" s="62">
        <f>IF('Übung 14'!DB$41="","",'Übung 14'!DB$41)</f>
        <v/>
      </c>
      <c r="Q1588" s="62">
        <f>IF('Übung 15'!DB$41="","",'Übung 15'!DB$41)</f>
        <v/>
      </c>
      <c r="R1588" s="62">
        <f>IF('Übung 16'!DB$41="","",'Übung 16'!DB$41)</f>
        <v/>
      </c>
      <c r="S1588" s="62">
        <f>IF('Übung 17'!DB$41="","",'Übung 17'!DB$41)</f>
        <v/>
      </c>
      <c r="T1588" s="62">
        <f>IF('Übung 18'!DB$41="","",'Übung 18'!DB$41)</f>
        <v/>
      </c>
      <c r="U1588" s="62">
        <f>IF('Übung 19'!DB$41="","",'Übung 19'!DB$41)</f>
        <v/>
      </c>
      <c r="V1588" s="62">
        <f>IF('Übung 20'!DB$41="","",'Übung 20'!DB$41)</f>
        <v/>
      </c>
    </row>
    <row r="1589">
      <c r="C1589" s="62">
        <f>IF('Übung 01'!DC$41="","",'Übung 01'!DC$41)</f>
        <v/>
      </c>
      <c r="D1589" s="62">
        <f>IF('Übung 02'!DC$41="","",'Übung 02'!DC$41)</f>
        <v/>
      </c>
      <c r="E1589" s="62">
        <f>IF('Übung 03'!DC$41="","",'Übung 03'!DC$41)</f>
        <v/>
      </c>
      <c r="F1589" s="62">
        <f>IF('Übung 04'!DC$41="","",'Übung 04'!DC$41)</f>
        <v/>
      </c>
      <c r="G1589" s="62">
        <f>IF('Übung 05'!DC$41="","",'Übung 05'!DC$41)</f>
        <v/>
      </c>
      <c r="H1589" s="62">
        <f>IF('Übung 06'!DC$41="","",'Übung 06'!DC$41)</f>
        <v/>
      </c>
      <c r="I1589" s="62">
        <f>IF('Übung 07'!DC$41="","",'Übung 07'!DC$41)</f>
        <v/>
      </c>
      <c r="J1589" s="62">
        <f>IF('Übung 08'!DC$41="","",'Übung 08'!DC$41)</f>
        <v/>
      </c>
      <c r="K1589" s="62">
        <f>IF('Übung 09'!DC$41="","",'Übung 09'!DC$41)</f>
        <v/>
      </c>
      <c r="L1589" s="62">
        <f>IF('Übung 10'!DC$41="","",'Übung 10'!DC$41)</f>
        <v/>
      </c>
      <c r="M1589" s="62">
        <f>IF('Übung 11'!DC$41="","",'Übung 11'!DC$41)</f>
        <v/>
      </c>
      <c r="N1589" s="62">
        <f>IF('Übung 12'!DC$41="","",'Übung 12'!DC$41)</f>
        <v/>
      </c>
      <c r="O1589" s="62">
        <f>IF('Übung 13'!DC$41="","",'Übung 13'!DC$41)</f>
        <v/>
      </c>
      <c r="P1589" s="62">
        <f>IF('Übung 14'!DC$41="","",'Übung 14'!DC$41)</f>
        <v/>
      </c>
      <c r="Q1589" s="62">
        <f>IF('Übung 15'!DC$41="","",'Übung 15'!DC$41)</f>
        <v/>
      </c>
      <c r="R1589" s="62">
        <f>IF('Übung 16'!DC$41="","",'Übung 16'!DC$41)</f>
        <v/>
      </c>
      <c r="S1589" s="62">
        <f>IF('Übung 17'!DC$41="","",'Übung 17'!DC$41)</f>
        <v/>
      </c>
      <c r="T1589" s="62">
        <f>IF('Übung 18'!DC$41="","",'Übung 18'!DC$41)</f>
        <v/>
      </c>
      <c r="U1589" s="62">
        <f>IF('Übung 19'!DC$41="","",'Übung 19'!DC$41)</f>
        <v/>
      </c>
      <c r="V1589" s="62">
        <f>IF('Übung 20'!DC$41="","",'Übung 20'!DC$41)</f>
        <v/>
      </c>
    </row>
    <row r="1594">
      <c r="A1594" s="171" t="inlineStr">
        <is>
          <t>zählt fürs Halbjahr</t>
        </is>
      </c>
    </row>
    <row r="1595">
      <c r="C1595" s="62">
        <f>C1280*IF(EXACT(C$8,"abgeschlossen"),1,0)</f>
        <v/>
      </c>
      <c r="D1595" s="62">
        <f>D1280*IF(EXACT(D$8,"abgeschlossen"),1,0)</f>
        <v/>
      </c>
      <c r="E1595" s="62">
        <f>E1280*IF(EXACT(E$8,"abgeschlossen"),1,0)</f>
        <v/>
      </c>
      <c r="F1595" s="62">
        <f>F1280*IF(EXACT(F$8,"abgeschlossen"),1,0)</f>
        <v/>
      </c>
      <c r="G1595" s="62">
        <f>G1280*IF(EXACT(G$8,"abgeschlossen"),1,0)</f>
        <v/>
      </c>
      <c r="H1595" s="62">
        <f>H1280*IF(EXACT(H$8,"abgeschlossen"),1,0)</f>
        <v/>
      </c>
      <c r="I1595" s="62">
        <f>I1280*IF(EXACT(I$8,"abgeschlossen"),1,0)</f>
        <v/>
      </c>
      <c r="J1595" s="62">
        <f>J1280*IF(EXACT(J$8,"abgeschlossen"),1,0)</f>
        <v/>
      </c>
      <c r="K1595" s="62">
        <f>K1280*IF(EXACT(K$8,"abgeschlossen"),1,0)</f>
        <v/>
      </c>
      <c r="L1595" s="62">
        <f>L1280*IF(EXACT(L$8,"abgeschlossen"),1,0)</f>
        <v/>
      </c>
      <c r="M1595" s="62">
        <f>M1280*IF(EXACT(M$8,"abgeschlossen"),1,0)</f>
        <v/>
      </c>
      <c r="N1595" s="62">
        <f>N1280*IF(EXACT(N$8,"abgeschlossen"),1,0)</f>
        <v/>
      </c>
      <c r="O1595" s="62">
        <f>O1280*IF(EXACT(O$8,"abgeschlossen"),1,0)</f>
        <v/>
      </c>
      <c r="P1595" s="62">
        <f>P1280*IF(EXACT(P$8,"abgeschlossen"),1,0)</f>
        <v/>
      </c>
      <c r="Q1595" s="62">
        <f>Q1280*IF(EXACT(Q$8,"abgeschlossen"),1,0)</f>
        <v/>
      </c>
      <c r="R1595" s="62">
        <f>R1280*IF(EXACT(R$8,"abgeschlossen"),1,0)</f>
        <v/>
      </c>
      <c r="S1595" s="62">
        <f>S1280*IF(EXACT(S$8,"abgeschlossen"),1,0)</f>
        <v/>
      </c>
      <c r="T1595" s="62">
        <f>T1280*IF(EXACT(T$8,"abgeschlossen"),1,0)</f>
        <v/>
      </c>
      <c r="U1595" s="62">
        <f>U1280*IF(EXACT(U$8,"abgeschlossen"),1,0)</f>
        <v/>
      </c>
      <c r="V1595" s="62">
        <f>V1280*IF(EXACT(V$8,"abgeschlossen"),1,0)</f>
        <v/>
      </c>
    </row>
    <row r="1596">
      <c r="C1596" s="62">
        <f>C1281*IF(EXACT(C$8,"abgeschlossen"),1,0)</f>
        <v/>
      </c>
      <c r="D1596" s="62">
        <f>D1281*IF(EXACT(D$8,"abgeschlossen"),1,0)</f>
        <v/>
      </c>
      <c r="E1596" s="62">
        <f>E1281*IF(EXACT(E$8,"abgeschlossen"),1,0)</f>
        <v/>
      </c>
      <c r="F1596" s="62">
        <f>F1281*IF(EXACT(F$8,"abgeschlossen"),1,0)</f>
        <v/>
      </c>
      <c r="G1596" s="62">
        <f>G1281*IF(EXACT(G$8,"abgeschlossen"),1,0)</f>
        <v/>
      </c>
      <c r="H1596" s="62">
        <f>H1281*IF(EXACT(H$8,"abgeschlossen"),1,0)</f>
        <v/>
      </c>
      <c r="I1596" s="62">
        <f>I1281*IF(EXACT(I$8,"abgeschlossen"),1,0)</f>
        <v/>
      </c>
      <c r="J1596" s="62">
        <f>J1281*IF(EXACT(J$8,"abgeschlossen"),1,0)</f>
        <v/>
      </c>
      <c r="K1596" s="62">
        <f>K1281*IF(EXACT(K$8,"abgeschlossen"),1,0)</f>
        <v/>
      </c>
      <c r="L1596" s="62">
        <f>L1281*IF(EXACT(L$8,"abgeschlossen"),1,0)</f>
        <v/>
      </c>
      <c r="M1596" s="62">
        <f>M1281*IF(EXACT(M$8,"abgeschlossen"),1,0)</f>
        <v/>
      </c>
      <c r="N1596" s="62">
        <f>N1281*IF(EXACT(N$8,"abgeschlossen"),1,0)</f>
        <v/>
      </c>
      <c r="O1596" s="62">
        <f>O1281*IF(EXACT(O$8,"abgeschlossen"),1,0)</f>
        <v/>
      </c>
      <c r="P1596" s="62">
        <f>P1281*IF(EXACT(P$8,"abgeschlossen"),1,0)</f>
        <v/>
      </c>
      <c r="Q1596" s="62">
        <f>Q1281*IF(EXACT(Q$8,"abgeschlossen"),1,0)</f>
        <v/>
      </c>
      <c r="R1596" s="62">
        <f>R1281*IF(EXACT(R$8,"abgeschlossen"),1,0)</f>
        <v/>
      </c>
      <c r="S1596" s="62">
        <f>S1281*IF(EXACT(S$8,"abgeschlossen"),1,0)</f>
        <v/>
      </c>
      <c r="T1596" s="62">
        <f>T1281*IF(EXACT(T$8,"abgeschlossen"),1,0)</f>
        <v/>
      </c>
      <c r="U1596" s="62">
        <f>U1281*IF(EXACT(U$8,"abgeschlossen"),1,0)</f>
        <v/>
      </c>
      <c r="V1596" s="62">
        <f>V1281*IF(EXACT(V$8,"abgeschlossen"),1,0)</f>
        <v/>
      </c>
    </row>
    <row r="1597">
      <c r="C1597" s="62">
        <f>C1282*IF(EXACT(C$8,"abgeschlossen"),1,0)</f>
        <v/>
      </c>
      <c r="D1597" s="62">
        <f>D1282*IF(EXACT(D$8,"abgeschlossen"),1,0)</f>
        <v/>
      </c>
      <c r="E1597" s="62">
        <f>E1282*IF(EXACT(E$8,"abgeschlossen"),1,0)</f>
        <v/>
      </c>
      <c r="F1597" s="62">
        <f>F1282*IF(EXACT(F$8,"abgeschlossen"),1,0)</f>
        <v/>
      </c>
      <c r="G1597" s="62">
        <f>G1282*IF(EXACT(G$8,"abgeschlossen"),1,0)</f>
        <v/>
      </c>
      <c r="H1597" s="62">
        <f>H1282*IF(EXACT(H$8,"abgeschlossen"),1,0)</f>
        <v/>
      </c>
      <c r="I1597" s="62">
        <f>I1282*IF(EXACT(I$8,"abgeschlossen"),1,0)</f>
        <v/>
      </c>
      <c r="J1597" s="62">
        <f>J1282*IF(EXACT(J$8,"abgeschlossen"),1,0)</f>
        <v/>
      </c>
      <c r="K1597" s="62">
        <f>K1282*IF(EXACT(K$8,"abgeschlossen"),1,0)</f>
        <v/>
      </c>
      <c r="L1597" s="62">
        <f>L1282*IF(EXACT(L$8,"abgeschlossen"),1,0)</f>
        <v/>
      </c>
      <c r="M1597" s="62">
        <f>M1282*IF(EXACT(M$8,"abgeschlossen"),1,0)</f>
        <v/>
      </c>
      <c r="N1597" s="62">
        <f>N1282*IF(EXACT(N$8,"abgeschlossen"),1,0)</f>
        <v/>
      </c>
      <c r="O1597" s="62">
        <f>O1282*IF(EXACT(O$8,"abgeschlossen"),1,0)</f>
        <v/>
      </c>
      <c r="P1597" s="62">
        <f>P1282*IF(EXACT(P$8,"abgeschlossen"),1,0)</f>
        <v/>
      </c>
      <c r="Q1597" s="62">
        <f>Q1282*IF(EXACT(Q$8,"abgeschlossen"),1,0)</f>
        <v/>
      </c>
      <c r="R1597" s="62">
        <f>R1282*IF(EXACT(R$8,"abgeschlossen"),1,0)</f>
        <v/>
      </c>
      <c r="S1597" s="62">
        <f>S1282*IF(EXACT(S$8,"abgeschlossen"),1,0)</f>
        <v/>
      </c>
      <c r="T1597" s="62">
        <f>T1282*IF(EXACT(T$8,"abgeschlossen"),1,0)</f>
        <v/>
      </c>
      <c r="U1597" s="62">
        <f>U1282*IF(EXACT(U$8,"abgeschlossen"),1,0)</f>
        <v/>
      </c>
      <c r="V1597" s="62">
        <f>V1282*IF(EXACT(V$8,"abgeschlossen"),1,0)</f>
        <v/>
      </c>
    </row>
    <row r="1598">
      <c r="C1598" s="62">
        <f>C1283*IF(EXACT(C$8,"abgeschlossen"),1,0)</f>
        <v/>
      </c>
      <c r="D1598" s="62">
        <f>D1283*IF(EXACT(D$8,"abgeschlossen"),1,0)</f>
        <v/>
      </c>
      <c r="E1598" s="62">
        <f>E1283*IF(EXACT(E$8,"abgeschlossen"),1,0)</f>
        <v/>
      </c>
      <c r="F1598" s="62">
        <f>F1283*IF(EXACT(F$8,"abgeschlossen"),1,0)</f>
        <v/>
      </c>
      <c r="G1598" s="62">
        <f>G1283*IF(EXACT(G$8,"abgeschlossen"),1,0)</f>
        <v/>
      </c>
      <c r="H1598" s="62">
        <f>H1283*IF(EXACT(H$8,"abgeschlossen"),1,0)</f>
        <v/>
      </c>
      <c r="I1598" s="62">
        <f>I1283*IF(EXACT(I$8,"abgeschlossen"),1,0)</f>
        <v/>
      </c>
      <c r="J1598" s="62">
        <f>J1283*IF(EXACT(J$8,"abgeschlossen"),1,0)</f>
        <v/>
      </c>
      <c r="K1598" s="62">
        <f>K1283*IF(EXACT(K$8,"abgeschlossen"),1,0)</f>
        <v/>
      </c>
      <c r="L1598" s="62">
        <f>L1283*IF(EXACT(L$8,"abgeschlossen"),1,0)</f>
        <v/>
      </c>
      <c r="M1598" s="62">
        <f>M1283*IF(EXACT(M$8,"abgeschlossen"),1,0)</f>
        <v/>
      </c>
      <c r="N1598" s="62">
        <f>N1283*IF(EXACT(N$8,"abgeschlossen"),1,0)</f>
        <v/>
      </c>
      <c r="O1598" s="62">
        <f>O1283*IF(EXACT(O$8,"abgeschlossen"),1,0)</f>
        <v/>
      </c>
      <c r="P1598" s="62">
        <f>P1283*IF(EXACT(P$8,"abgeschlossen"),1,0)</f>
        <v/>
      </c>
      <c r="Q1598" s="62">
        <f>Q1283*IF(EXACT(Q$8,"abgeschlossen"),1,0)</f>
        <v/>
      </c>
      <c r="R1598" s="62">
        <f>R1283*IF(EXACT(R$8,"abgeschlossen"),1,0)</f>
        <v/>
      </c>
      <c r="S1598" s="62">
        <f>S1283*IF(EXACT(S$8,"abgeschlossen"),1,0)</f>
        <v/>
      </c>
      <c r="T1598" s="62">
        <f>T1283*IF(EXACT(T$8,"abgeschlossen"),1,0)</f>
        <v/>
      </c>
      <c r="U1598" s="62">
        <f>U1283*IF(EXACT(U$8,"abgeschlossen"),1,0)</f>
        <v/>
      </c>
      <c r="V1598" s="62">
        <f>V1283*IF(EXACT(V$8,"abgeschlossen"),1,0)</f>
        <v/>
      </c>
    </row>
    <row r="1599">
      <c r="C1599" s="62">
        <f>C1284*IF(EXACT(C$8,"abgeschlossen"),1,0)</f>
        <v/>
      </c>
      <c r="D1599" s="62">
        <f>D1284*IF(EXACT(D$8,"abgeschlossen"),1,0)</f>
        <v/>
      </c>
      <c r="E1599" s="62">
        <f>E1284*IF(EXACT(E$8,"abgeschlossen"),1,0)</f>
        <v/>
      </c>
      <c r="F1599" s="62">
        <f>F1284*IF(EXACT(F$8,"abgeschlossen"),1,0)</f>
        <v/>
      </c>
      <c r="G1599" s="62">
        <f>G1284*IF(EXACT(G$8,"abgeschlossen"),1,0)</f>
        <v/>
      </c>
      <c r="H1599" s="62">
        <f>H1284*IF(EXACT(H$8,"abgeschlossen"),1,0)</f>
        <v/>
      </c>
      <c r="I1599" s="62">
        <f>I1284*IF(EXACT(I$8,"abgeschlossen"),1,0)</f>
        <v/>
      </c>
      <c r="J1599" s="62">
        <f>J1284*IF(EXACT(J$8,"abgeschlossen"),1,0)</f>
        <v/>
      </c>
      <c r="K1599" s="62">
        <f>K1284*IF(EXACT(K$8,"abgeschlossen"),1,0)</f>
        <v/>
      </c>
      <c r="L1599" s="62">
        <f>L1284*IF(EXACT(L$8,"abgeschlossen"),1,0)</f>
        <v/>
      </c>
      <c r="M1599" s="62">
        <f>M1284*IF(EXACT(M$8,"abgeschlossen"),1,0)</f>
        <v/>
      </c>
      <c r="N1599" s="62">
        <f>N1284*IF(EXACT(N$8,"abgeschlossen"),1,0)</f>
        <v/>
      </c>
      <c r="O1599" s="62">
        <f>O1284*IF(EXACT(O$8,"abgeschlossen"),1,0)</f>
        <v/>
      </c>
      <c r="P1599" s="62">
        <f>P1284*IF(EXACT(P$8,"abgeschlossen"),1,0)</f>
        <v/>
      </c>
      <c r="Q1599" s="62">
        <f>Q1284*IF(EXACT(Q$8,"abgeschlossen"),1,0)</f>
        <v/>
      </c>
      <c r="R1599" s="62">
        <f>R1284*IF(EXACT(R$8,"abgeschlossen"),1,0)</f>
        <v/>
      </c>
      <c r="S1599" s="62">
        <f>S1284*IF(EXACT(S$8,"abgeschlossen"),1,0)</f>
        <v/>
      </c>
      <c r="T1599" s="62">
        <f>T1284*IF(EXACT(T$8,"abgeschlossen"),1,0)</f>
        <v/>
      </c>
      <c r="U1599" s="62">
        <f>U1284*IF(EXACT(U$8,"abgeschlossen"),1,0)</f>
        <v/>
      </c>
      <c r="V1599" s="62">
        <f>V1284*IF(EXACT(V$8,"abgeschlossen"),1,0)</f>
        <v/>
      </c>
    </row>
    <row r="1600">
      <c r="C1600" s="62">
        <f>C1285*IF(EXACT(C$8,"abgeschlossen"),1,0)</f>
        <v/>
      </c>
      <c r="D1600" s="62">
        <f>D1285*IF(EXACT(D$8,"abgeschlossen"),1,0)</f>
        <v/>
      </c>
      <c r="E1600" s="62">
        <f>E1285*IF(EXACT(E$8,"abgeschlossen"),1,0)</f>
        <v/>
      </c>
      <c r="F1600" s="62">
        <f>F1285*IF(EXACT(F$8,"abgeschlossen"),1,0)</f>
        <v/>
      </c>
      <c r="G1600" s="62">
        <f>G1285*IF(EXACT(G$8,"abgeschlossen"),1,0)</f>
        <v/>
      </c>
      <c r="H1600" s="62">
        <f>H1285*IF(EXACT(H$8,"abgeschlossen"),1,0)</f>
        <v/>
      </c>
      <c r="I1600" s="62">
        <f>I1285*IF(EXACT(I$8,"abgeschlossen"),1,0)</f>
        <v/>
      </c>
      <c r="J1600" s="62">
        <f>J1285*IF(EXACT(J$8,"abgeschlossen"),1,0)</f>
        <v/>
      </c>
      <c r="K1600" s="62">
        <f>K1285*IF(EXACT(K$8,"abgeschlossen"),1,0)</f>
        <v/>
      </c>
      <c r="L1600" s="62">
        <f>L1285*IF(EXACT(L$8,"abgeschlossen"),1,0)</f>
        <v/>
      </c>
      <c r="M1600" s="62">
        <f>M1285*IF(EXACT(M$8,"abgeschlossen"),1,0)</f>
        <v/>
      </c>
      <c r="N1600" s="62">
        <f>N1285*IF(EXACT(N$8,"abgeschlossen"),1,0)</f>
        <v/>
      </c>
      <c r="O1600" s="62">
        <f>O1285*IF(EXACT(O$8,"abgeschlossen"),1,0)</f>
        <v/>
      </c>
      <c r="P1600" s="62">
        <f>P1285*IF(EXACT(P$8,"abgeschlossen"),1,0)</f>
        <v/>
      </c>
      <c r="Q1600" s="62">
        <f>Q1285*IF(EXACT(Q$8,"abgeschlossen"),1,0)</f>
        <v/>
      </c>
      <c r="R1600" s="62">
        <f>R1285*IF(EXACT(R$8,"abgeschlossen"),1,0)</f>
        <v/>
      </c>
      <c r="S1600" s="62">
        <f>S1285*IF(EXACT(S$8,"abgeschlossen"),1,0)</f>
        <v/>
      </c>
      <c r="T1600" s="62">
        <f>T1285*IF(EXACT(T$8,"abgeschlossen"),1,0)</f>
        <v/>
      </c>
      <c r="U1600" s="62">
        <f>U1285*IF(EXACT(U$8,"abgeschlossen"),1,0)</f>
        <v/>
      </c>
      <c r="V1600" s="62">
        <f>V1285*IF(EXACT(V$8,"abgeschlossen"),1,0)</f>
        <v/>
      </c>
    </row>
    <row r="1601">
      <c r="C1601" s="62">
        <f>C1286*IF(EXACT(C$8,"abgeschlossen"),1,0)</f>
        <v/>
      </c>
      <c r="D1601" s="62">
        <f>D1286*IF(EXACT(D$8,"abgeschlossen"),1,0)</f>
        <v/>
      </c>
      <c r="E1601" s="62">
        <f>E1286*IF(EXACT(E$8,"abgeschlossen"),1,0)</f>
        <v/>
      </c>
      <c r="F1601" s="62">
        <f>F1286*IF(EXACT(F$8,"abgeschlossen"),1,0)</f>
        <v/>
      </c>
      <c r="G1601" s="62">
        <f>G1286*IF(EXACT(G$8,"abgeschlossen"),1,0)</f>
        <v/>
      </c>
      <c r="H1601" s="62">
        <f>H1286*IF(EXACT(H$8,"abgeschlossen"),1,0)</f>
        <v/>
      </c>
      <c r="I1601" s="62">
        <f>I1286*IF(EXACT(I$8,"abgeschlossen"),1,0)</f>
        <v/>
      </c>
      <c r="J1601" s="62">
        <f>J1286*IF(EXACT(J$8,"abgeschlossen"),1,0)</f>
        <v/>
      </c>
      <c r="K1601" s="62">
        <f>K1286*IF(EXACT(K$8,"abgeschlossen"),1,0)</f>
        <v/>
      </c>
      <c r="L1601" s="62">
        <f>L1286*IF(EXACT(L$8,"abgeschlossen"),1,0)</f>
        <v/>
      </c>
      <c r="M1601" s="62">
        <f>M1286*IF(EXACT(M$8,"abgeschlossen"),1,0)</f>
        <v/>
      </c>
      <c r="N1601" s="62">
        <f>N1286*IF(EXACT(N$8,"abgeschlossen"),1,0)</f>
        <v/>
      </c>
      <c r="O1601" s="62">
        <f>O1286*IF(EXACT(O$8,"abgeschlossen"),1,0)</f>
        <v/>
      </c>
      <c r="P1601" s="62">
        <f>P1286*IF(EXACT(P$8,"abgeschlossen"),1,0)</f>
        <v/>
      </c>
      <c r="Q1601" s="62">
        <f>Q1286*IF(EXACT(Q$8,"abgeschlossen"),1,0)</f>
        <v/>
      </c>
      <c r="R1601" s="62">
        <f>R1286*IF(EXACT(R$8,"abgeschlossen"),1,0)</f>
        <v/>
      </c>
      <c r="S1601" s="62">
        <f>S1286*IF(EXACT(S$8,"abgeschlossen"),1,0)</f>
        <v/>
      </c>
      <c r="T1601" s="62">
        <f>T1286*IF(EXACT(T$8,"abgeschlossen"),1,0)</f>
        <v/>
      </c>
      <c r="U1601" s="62">
        <f>U1286*IF(EXACT(U$8,"abgeschlossen"),1,0)</f>
        <v/>
      </c>
      <c r="V1601" s="62">
        <f>V1286*IF(EXACT(V$8,"abgeschlossen"),1,0)</f>
        <v/>
      </c>
    </row>
    <row r="1602">
      <c r="C1602" s="62">
        <f>C1287*IF(EXACT(C$8,"abgeschlossen"),1,0)</f>
        <v/>
      </c>
      <c r="D1602" s="62">
        <f>D1287*IF(EXACT(D$8,"abgeschlossen"),1,0)</f>
        <v/>
      </c>
      <c r="E1602" s="62">
        <f>E1287*IF(EXACT(E$8,"abgeschlossen"),1,0)</f>
        <v/>
      </c>
      <c r="F1602" s="62">
        <f>F1287*IF(EXACT(F$8,"abgeschlossen"),1,0)</f>
        <v/>
      </c>
      <c r="G1602" s="62">
        <f>G1287*IF(EXACT(G$8,"abgeschlossen"),1,0)</f>
        <v/>
      </c>
      <c r="H1602" s="62">
        <f>H1287*IF(EXACT(H$8,"abgeschlossen"),1,0)</f>
        <v/>
      </c>
      <c r="I1602" s="62">
        <f>I1287*IF(EXACT(I$8,"abgeschlossen"),1,0)</f>
        <v/>
      </c>
      <c r="J1602" s="62">
        <f>J1287*IF(EXACT(J$8,"abgeschlossen"),1,0)</f>
        <v/>
      </c>
      <c r="K1602" s="62">
        <f>K1287*IF(EXACT(K$8,"abgeschlossen"),1,0)</f>
        <v/>
      </c>
      <c r="L1602" s="62">
        <f>L1287*IF(EXACT(L$8,"abgeschlossen"),1,0)</f>
        <v/>
      </c>
      <c r="M1602" s="62">
        <f>M1287*IF(EXACT(M$8,"abgeschlossen"),1,0)</f>
        <v/>
      </c>
      <c r="N1602" s="62">
        <f>N1287*IF(EXACT(N$8,"abgeschlossen"),1,0)</f>
        <v/>
      </c>
      <c r="O1602" s="62">
        <f>O1287*IF(EXACT(O$8,"abgeschlossen"),1,0)</f>
        <v/>
      </c>
      <c r="P1602" s="62">
        <f>P1287*IF(EXACT(P$8,"abgeschlossen"),1,0)</f>
        <v/>
      </c>
      <c r="Q1602" s="62">
        <f>Q1287*IF(EXACT(Q$8,"abgeschlossen"),1,0)</f>
        <v/>
      </c>
      <c r="R1602" s="62">
        <f>R1287*IF(EXACT(R$8,"abgeschlossen"),1,0)</f>
        <v/>
      </c>
      <c r="S1602" s="62">
        <f>S1287*IF(EXACT(S$8,"abgeschlossen"),1,0)</f>
        <v/>
      </c>
      <c r="T1602" s="62">
        <f>T1287*IF(EXACT(T$8,"abgeschlossen"),1,0)</f>
        <v/>
      </c>
      <c r="U1602" s="62">
        <f>U1287*IF(EXACT(U$8,"abgeschlossen"),1,0)</f>
        <v/>
      </c>
      <c r="V1602" s="62">
        <f>V1287*IF(EXACT(V$8,"abgeschlossen"),1,0)</f>
        <v/>
      </c>
    </row>
    <row r="1603">
      <c r="C1603" s="62">
        <f>C1288*IF(EXACT(C$8,"abgeschlossen"),1,0)</f>
        <v/>
      </c>
      <c r="D1603" s="62">
        <f>D1288*IF(EXACT(D$8,"abgeschlossen"),1,0)</f>
        <v/>
      </c>
      <c r="E1603" s="62">
        <f>E1288*IF(EXACT(E$8,"abgeschlossen"),1,0)</f>
        <v/>
      </c>
      <c r="F1603" s="62">
        <f>F1288*IF(EXACT(F$8,"abgeschlossen"),1,0)</f>
        <v/>
      </c>
      <c r="G1603" s="62">
        <f>G1288*IF(EXACT(G$8,"abgeschlossen"),1,0)</f>
        <v/>
      </c>
      <c r="H1603" s="62">
        <f>H1288*IF(EXACT(H$8,"abgeschlossen"),1,0)</f>
        <v/>
      </c>
      <c r="I1603" s="62">
        <f>I1288*IF(EXACT(I$8,"abgeschlossen"),1,0)</f>
        <v/>
      </c>
      <c r="J1603" s="62">
        <f>J1288*IF(EXACT(J$8,"abgeschlossen"),1,0)</f>
        <v/>
      </c>
      <c r="K1603" s="62">
        <f>K1288*IF(EXACT(K$8,"abgeschlossen"),1,0)</f>
        <v/>
      </c>
      <c r="L1603" s="62">
        <f>L1288*IF(EXACT(L$8,"abgeschlossen"),1,0)</f>
        <v/>
      </c>
      <c r="M1603" s="62">
        <f>M1288*IF(EXACT(M$8,"abgeschlossen"),1,0)</f>
        <v/>
      </c>
      <c r="N1603" s="62">
        <f>N1288*IF(EXACT(N$8,"abgeschlossen"),1,0)</f>
        <v/>
      </c>
      <c r="O1603" s="62">
        <f>O1288*IF(EXACT(O$8,"abgeschlossen"),1,0)</f>
        <v/>
      </c>
      <c r="P1603" s="62">
        <f>P1288*IF(EXACT(P$8,"abgeschlossen"),1,0)</f>
        <v/>
      </c>
      <c r="Q1603" s="62">
        <f>Q1288*IF(EXACT(Q$8,"abgeschlossen"),1,0)</f>
        <v/>
      </c>
      <c r="R1603" s="62">
        <f>R1288*IF(EXACT(R$8,"abgeschlossen"),1,0)</f>
        <v/>
      </c>
      <c r="S1603" s="62">
        <f>S1288*IF(EXACT(S$8,"abgeschlossen"),1,0)</f>
        <v/>
      </c>
      <c r="T1603" s="62">
        <f>T1288*IF(EXACT(T$8,"abgeschlossen"),1,0)</f>
        <v/>
      </c>
      <c r="U1603" s="62">
        <f>U1288*IF(EXACT(U$8,"abgeschlossen"),1,0)</f>
        <v/>
      </c>
      <c r="V1603" s="62">
        <f>V1288*IF(EXACT(V$8,"abgeschlossen"),1,0)</f>
        <v/>
      </c>
    </row>
    <row r="1604">
      <c r="C1604" s="62">
        <f>C1289*IF(EXACT(C$8,"abgeschlossen"),1,0)</f>
        <v/>
      </c>
      <c r="D1604" s="62">
        <f>D1289*IF(EXACT(D$8,"abgeschlossen"),1,0)</f>
        <v/>
      </c>
      <c r="E1604" s="62">
        <f>E1289*IF(EXACT(E$8,"abgeschlossen"),1,0)</f>
        <v/>
      </c>
      <c r="F1604" s="62">
        <f>F1289*IF(EXACT(F$8,"abgeschlossen"),1,0)</f>
        <v/>
      </c>
      <c r="G1604" s="62">
        <f>G1289*IF(EXACT(G$8,"abgeschlossen"),1,0)</f>
        <v/>
      </c>
      <c r="H1604" s="62">
        <f>H1289*IF(EXACT(H$8,"abgeschlossen"),1,0)</f>
        <v/>
      </c>
      <c r="I1604" s="62">
        <f>I1289*IF(EXACT(I$8,"abgeschlossen"),1,0)</f>
        <v/>
      </c>
      <c r="J1604" s="62">
        <f>J1289*IF(EXACT(J$8,"abgeschlossen"),1,0)</f>
        <v/>
      </c>
      <c r="K1604" s="62">
        <f>K1289*IF(EXACT(K$8,"abgeschlossen"),1,0)</f>
        <v/>
      </c>
      <c r="L1604" s="62">
        <f>L1289*IF(EXACT(L$8,"abgeschlossen"),1,0)</f>
        <v/>
      </c>
      <c r="M1604" s="62">
        <f>M1289*IF(EXACT(M$8,"abgeschlossen"),1,0)</f>
        <v/>
      </c>
      <c r="N1604" s="62">
        <f>N1289*IF(EXACT(N$8,"abgeschlossen"),1,0)</f>
        <v/>
      </c>
      <c r="O1604" s="62">
        <f>O1289*IF(EXACT(O$8,"abgeschlossen"),1,0)</f>
        <v/>
      </c>
      <c r="P1604" s="62">
        <f>P1289*IF(EXACT(P$8,"abgeschlossen"),1,0)</f>
        <v/>
      </c>
      <c r="Q1604" s="62">
        <f>Q1289*IF(EXACT(Q$8,"abgeschlossen"),1,0)</f>
        <v/>
      </c>
      <c r="R1604" s="62">
        <f>R1289*IF(EXACT(R$8,"abgeschlossen"),1,0)</f>
        <v/>
      </c>
      <c r="S1604" s="62">
        <f>S1289*IF(EXACT(S$8,"abgeschlossen"),1,0)</f>
        <v/>
      </c>
      <c r="T1604" s="62">
        <f>T1289*IF(EXACT(T$8,"abgeschlossen"),1,0)</f>
        <v/>
      </c>
      <c r="U1604" s="62">
        <f>U1289*IF(EXACT(U$8,"abgeschlossen"),1,0)</f>
        <v/>
      </c>
      <c r="V1604" s="62">
        <f>V1289*IF(EXACT(V$8,"abgeschlossen"),1,0)</f>
        <v/>
      </c>
    </row>
    <row r="1605">
      <c r="C1605" s="62">
        <f>C1290*IF(EXACT(C$8,"abgeschlossen"),1,0)</f>
        <v/>
      </c>
      <c r="D1605" s="62">
        <f>D1290*IF(EXACT(D$8,"abgeschlossen"),1,0)</f>
        <v/>
      </c>
      <c r="E1605" s="62">
        <f>E1290*IF(EXACT(E$8,"abgeschlossen"),1,0)</f>
        <v/>
      </c>
      <c r="F1605" s="62">
        <f>F1290*IF(EXACT(F$8,"abgeschlossen"),1,0)</f>
        <v/>
      </c>
      <c r="G1605" s="62">
        <f>G1290*IF(EXACT(G$8,"abgeschlossen"),1,0)</f>
        <v/>
      </c>
      <c r="H1605" s="62">
        <f>H1290*IF(EXACT(H$8,"abgeschlossen"),1,0)</f>
        <v/>
      </c>
      <c r="I1605" s="62">
        <f>I1290*IF(EXACT(I$8,"abgeschlossen"),1,0)</f>
        <v/>
      </c>
      <c r="J1605" s="62">
        <f>J1290*IF(EXACT(J$8,"abgeschlossen"),1,0)</f>
        <v/>
      </c>
      <c r="K1605" s="62">
        <f>K1290*IF(EXACT(K$8,"abgeschlossen"),1,0)</f>
        <v/>
      </c>
      <c r="L1605" s="62">
        <f>L1290*IF(EXACT(L$8,"abgeschlossen"),1,0)</f>
        <v/>
      </c>
      <c r="M1605" s="62">
        <f>M1290*IF(EXACT(M$8,"abgeschlossen"),1,0)</f>
        <v/>
      </c>
      <c r="N1605" s="62">
        <f>N1290*IF(EXACT(N$8,"abgeschlossen"),1,0)</f>
        <v/>
      </c>
      <c r="O1605" s="62">
        <f>O1290*IF(EXACT(O$8,"abgeschlossen"),1,0)</f>
        <v/>
      </c>
      <c r="P1605" s="62">
        <f>P1290*IF(EXACT(P$8,"abgeschlossen"),1,0)</f>
        <v/>
      </c>
      <c r="Q1605" s="62">
        <f>Q1290*IF(EXACT(Q$8,"abgeschlossen"),1,0)</f>
        <v/>
      </c>
      <c r="R1605" s="62">
        <f>R1290*IF(EXACT(R$8,"abgeschlossen"),1,0)</f>
        <v/>
      </c>
      <c r="S1605" s="62">
        <f>S1290*IF(EXACT(S$8,"abgeschlossen"),1,0)</f>
        <v/>
      </c>
      <c r="T1605" s="62">
        <f>T1290*IF(EXACT(T$8,"abgeschlossen"),1,0)</f>
        <v/>
      </c>
      <c r="U1605" s="62">
        <f>U1290*IF(EXACT(U$8,"abgeschlossen"),1,0)</f>
        <v/>
      </c>
      <c r="V1605" s="62">
        <f>V1290*IF(EXACT(V$8,"abgeschlossen"),1,0)</f>
        <v/>
      </c>
    </row>
    <row r="1606">
      <c r="C1606" s="62">
        <f>C1291*IF(EXACT(C$8,"abgeschlossen"),1,0)</f>
        <v/>
      </c>
      <c r="D1606" s="62">
        <f>D1291*IF(EXACT(D$8,"abgeschlossen"),1,0)</f>
        <v/>
      </c>
      <c r="E1606" s="62">
        <f>E1291*IF(EXACT(E$8,"abgeschlossen"),1,0)</f>
        <v/>
      </c>
      <c r="F1606" s="62">
        <f>F1291*IF(EXACT(F$8,"abgeschlossen"),1,0)</f>
        <v/>
      </c>
      <c r="G1606" s="62">
        <f>G1291*IF(EXACT(G$8,"abgeschlossen"),1,0)</f>
        <v/>
      </c>
      <c r="H1606" s="62">
        <f>H1291*IF(EXACT(H$8,"abgeschlossen"),1,0)</f>
        <v/>
      </c>
      <c r="I1606" s="62">
        <f>I1291*IF(EXACT(I$8,"abgeschlossen"),1,0)</f>
        <v/>
      </c>
      <c r="J1606" s="62">
        <f>J1291*IF(EXACT(J$8,"abgeschlossen"),1,0)</f>
        <v/>
      </c>
      <c r="K1606" s="62">
        <f>K1291*IF(EXACT(K$8,"abgeschlossen"),1,0)</f>
        <v/>
      </c>
      <c r="L1606" s="62">
        <f>L1291*IF(EXACT(L$8,"abgeschlossen"),1,0)</f>
        <v/>
      </c>
      <c r="M1606" s="62">
        <f>M1291*IF(EXACT(M$8,"abgeschlossen"),1,0)</f>
        <v/>
      </c>
      <c r="N1606" s="62">
        <f>N1291*IF(EXACT(N$8,"abgeschlossen"),1,0)</f>
        <v/>
      </c>
      <c r="O1606" s="62">
        <f>O1291*IF(EXACT(O$8,"abgeschlossen"),1,0)</f>
        <v/>
      </c>
      <c r="P1606" s="62">
        <f>P1291*IF(EXACT(P$8,"abgeschlossen"),1,0)</f>
        <v/>
      </c>
      <c r="Q1606" s="62">
        <f>Q1291*IF(EXACT(Q$8,"abgeschlossen"),1,0)</f>
        <v/>
      </c>
      <c r="R1606" s="62">
        <f>R1291*IF(EXACT(R$8,"abgeschlossen"),1,0)</f>
        <v/>
      </c>
      <c r="S1606" s="62">
        <f>S1291*IF(EXACT(S$8,"abgeschlossen"),1,0)</f>
        <v/>
      </c>
      <c r="T1606" s="62">
        <f>T1291*IF(EXACT(T$8,"abgeschlossen"),1,0)</f>
        <v/>
      </c>
      <c r="U1606" s="62">
        <f>U1291*IF(EXACT(U$8,"abgeschlossen"),1,0)</f>
        <v/>
      </c>
      <c r="V1606" s="62">
        <f>V1291*IF(EXACT(V$8,"abgeschlossen"),1,0)</f>
        <v/>
      </c>
    </row>
    <row r="1607">
      <c r="C1607" s="62">
        <f>C1292*IF(EXACT(C$8,"abgeschlossen"),1,0)</f>
        <v/>
      </c>
      <c r="D1607" s="62">
        <f>D1292*IF(EXACT(D$8,"abgeschlossen"),1,0)</f>
        <v/>
      </c>
      <c r="E1607" s="62">
        <f>E1292*IF(EXACT(E$8,"abgeschlossen"),1,0)</f>
        <v/>
      </c>
      <c r="F1607" s="62">
        <f>F1292*IF(EXACT(F$8,"abgeschlossen"),1,0)</f>
        <v/>
      </c>
      <c r="G1607" s="62">
        <f>G1292*IF(EXACT(G$8,"abgeschlossen"),1,0)</f>
        <v/>
      </c>
      <c r="H1607" s="62">
        <f>H1292*IF(EXACT(H$8,"abgeschlossen"),1,0)</f>
        <v/>
      </c>
      <c r="I1607" s="62">
        <f>I1292*IF(EXACT(I$8,"abgeschlossen"),1,0)</f>
        <v/>
      </c>
      <c r="J1607" s="62">
        <f>J1292*IF(EXACT(J$8,"abgeschlossen"),1,0)</f>
        <v/>
      </c>
      <c r="K1607" s="62">
        <f>K1292*IF(EXACT(K$8,"abgeschlossen"),1,0)</f>
        <v/>
      </c>
      <c r="L1607" s="62">
        <f>L1292*IF(EXACT(L$8,"abgeschlossen"),1,0)</f>
        <v/>
      </c>
      <c r="M1607" s="62">
        <f>M1292*IF(EXACT(M$8,"abgeschlossen"),1,0)</f>
        <v/>
      </c>
      <c r="N1607" s="62">
        <f>N1292*IF(EXACT(N$8,"abgeschlossen"),1,0)</f>
        <v/>
      </c>
      <c r="O1607" s="62">
        <f>O1292*IF(EXACT(O$8,"abgeschlossen"),1,0)</f>
        <v/>
      </c>
      <c r="P1607" s="62">
        <f>P1292*IF(EXACT(P$8,"abgeschlossen"),1,0)</f>
        <v/>
      </c>
      <c r="Q1607" s="62">
        <f>Q1292*IF(EXACT(Q$8,"abgeschlossen"),1,0)</f>
        <v/>
      </c>
      <c r="R1607" s="62">
        <f>R1292*IF(EXACT(R$8,"abgeschlossen"),1,0)</f>
        <v/>
      </c>
      <c r="S1607" s="62">
        <f>S1292*IF(EXACT(S$8,"abgeschlossen"),1,0)</f>
        <v/>
      </c>
      <c r="T1607" s="62">
        <f>T1292*IF(EXACT(T$8,"abgeschlossen"),1,0)</f>
        <v/>
      </c>
      <c r="U1607" s="62">
        <f>U1292*IF(EXACT(U$8,"abgeschlossen"),1,0)</f>
        <v/>
      </c>
      <c r="V1607" s="62">
        <f>V1292*IF(EXACT(V$8,"abgeschlossen"),1,0)</f>
        <v/>
      </c>
    </row>
    <row r="1608">
      <c r="C1608" s="62">
        <f>C1293*IF(EXACT(C$8,"abgeschlossen"),1,0)</f>
        <v/>
      </c>
      <c r="D1608" s="62">
        <f>D1293*IF(EXACT(D$8,"abgeschlossen"),1,0)</f>
        <v/>
      </c>
      <c r="E1608" s="62">
        <f>E1293*IF(EXACT(E$8,"abgeschlossen"),1,0)</f>
        <v/>
      </c>
      <c r="F1608" s="62">
        <f>F1293*IF(EXACT(F$8,"abgeschlossen"),1,0)</f>
        <v/>
      </c>
      <c r="G1608" s="62">
        <f>G1293*IF(EXACT(G$8,"abgeschlossen"),1,0)</f>
        <v/>
      </c>
      <c r="H1608" s="62">
        <f>H1293*IF(EXACT(H$8,"abgeschlossen"),1,0)</f>
        <v/>
      </c>
      <c r="I1608" s="62">
        <f>I1293*IF(EXACT(I$8,"abgeschlossen"),1,0)</f>
        <v/>
      </c>
      <c r="J1608" s="62">
        <f>J1293*IF(EXACT(J$8,"abgeschlossen"),1,0)</f>
        <v/>
      </c>
      <c r="K1608" s="62">
        <f>K1293*IF(EXACT(K$8,"abgeschlossen"),1,0)</f>
        <v/>
      </c>
      <c r="L1608" s="62">
        <f>L1293*IF(EXACT(L$8,"abgeschlossen"),1,0)</f>
        <v/>
      </c>
      <c r="M1608" s="62">
        <f>M1293*IF(EXACT(M$8,"abgeschlossen"),1,0)</f>
        <v/>
      </c>
      <c r="N1608" s="62">
        <f>N1293*IF(EXACT(N$8,"abgeschlossen"),1,0)</f>
        <v/>
      </c>
      <c r="O1608" s="62">
        <f>O1293*IF(EXACT(O$8,"abgeschlossen"),1,0)</f>
        <v/>
      </c>
      <c r="P1608" s="62">
        <f>P1293*IF(EXACT(P$8,"abgeschlossen"),1,0)</f>
        <v/>
      </c>
      <c r="Q1608" s="62">
        <f>Q1293*IF(EXACT(Q$8,"abgeschlossen"),1,0)</f>
        <v/>
      </c>
      <c r="R1608" s="62">
        <f>R1293*IF(EXACT(R$8,"abgeschlossen"),1,0)</f>
        <v/>
      </c>
      <c r="S1608" s="62">
        <f>S1293*IF(EXACT(S$8,"abgeschlossen"),1,0)</f>
        <v/>
      </c>
      <c r="T1608" s="62">
        <f>T1293*IF(EXACT(T$8,"abgeschlossen"),1,0)</f>
        <v/>
      </c>
      <c r="U1608" s="62">
        <f>U1293*IF(EXACT(U$8,"abgeschlossen"),1,0)</f>
        <v/>
      </c>
      <c r="V1608" s="62">
        <f>V1293*IF(EXACT(V$8,"abgeschlossen"),1,0)</f>
        <v/>
      </c>
    </row>
    <row r="1609">
      <c r="C1609" s="62">
        <f>C1294*IF(EXACT(C$8,"abgeschlossen"),1,0)</f>
        <v/>
      </c>
      <c r="D1609" s="62">
        <f>D1294*IF(EXACT(D$8,"abgeschlossen"),1,0)</f>
        <v/>
      </c>
      <c r="E1609" s="62">
        <f>E1294*IF(EXACT(E$8,"abgeschlossen"),1,0)</f>
        <v/>
      </c>
      <c r="F1609" s="62">
        <f>F1294*IF(EXACT(F$8,"abgeschlossen"),1,0)</f>
        <v/>
      </c>
      <c r="G1609" s="62">
        <f>G1294*IF(EXACT(G$8,"abgeschlossen"),1,0)</f>
        <v/>
      </c>
      <c r="H1609" s="62">
        <f>H1294*IF(EXACT(H$8,"abgeschlossen"),1,0)</f>
        <v/>
      </c>
      <c r="I1609" s="62">
        <f>I1294*IF(EXACT(I$8,"abgeschlossen"),1,0)</f>
        <v/>
      </c>
      <c r="J1609" s="62">
        <f>J1294*IF(EXACT(J$8,"abgeschlossen"),1,0)</f>
        <v/>
      </c>
      <c r="K1609" s="62">
        <f>K1294*IF(EXACT(K$8,"abgeschlossen"),1,0)</f>
        <v/>
      </c>
      <c r="L1609" s="62">
        <f>L1294*IF(EXACT(L$8,"abgeschlossen"),1,0)</f>
        <v/>
      </c>
      <c r="M1609" s="62">
        <f>M1294*IF(EXACT(M$8,"abgeschlossen"),1,0)</f>
        <v/>
      </c>
      <c r="N1609" s="62">
        <f>N1294*IF(EXACT(N$8,"abgeschlossen"),1,0)</f>
        <v/>
      </c>
      <c r="O1609" s="62">
        <f>O1294*IF(EXACT(O$8,"abgeschlossen"),1,0)</f>
        <v/>
      </c>
      <c r="P1609" s="62">
        <f>P1294*IF(EXACT(P$8,"abgeschlossen"),1,0)</f>
        <v/>
      </c>
      <c r="Q1609" s="62">
        <f>Q1294*IF(EXACT(Q$8,"abgeschlossen"),1,0)</f>
        <v/>
      </c>
      <c r="R1609" s="62">
        <f>R1294*IF(EXACT(R$8,"abgeschlossen"),1,0)</f>
        <v/>
      </c>
      <c r="S1609" s="62">
        <f>S1294*IF(EXACT(S$8,"abgeschlossen"),1,0)</f>
        <v/>
      </c>
      <c r="T1609" s="62">
        <f>T1294*IF(EXACT(T$8,"abgeschlossen"),1,0)</f>
        <v/>
      </c>
      <c r="U1609" s="62">
        <f>U1294*IF(EXACT(U$8,"abgeschlossen"),1,0)</f>
        <v/>
      </c>
      <c r="V1609" s="62">
        <f>V1294*IF(EXACT(V$8,"abgeschlossen"),1,0)</f>
        <v/>
      </c>
    </row>
    <row r="1610">
      <c r="C1610" s="62">
        <f>C1295*IF(EXACT(C$8,"abgeschlossen"),1,0)</f>
        <v/>
      </c>
      <c r="D1610" s="62">
        <f>D1295*IF(EXACT(D$8,"abgeschlossen"),1,0)</f>
        <v/>
      </c>
      <c r="E1610" s="62">
        <f>E1295*IF(EXACT(E$8,"abgeschlossen"),1,0)</f>
        <v/>
      </c>
      <c r="F1610" s="62">
        <f>F1295*IF(EXACT(F$8,"abgeschlossen"),1,0)</f>
        <v/>
      </c>
      <c r="G1610" s="62">
        <f>G1295*IF(EXACT(G$8,"abgeschlossen"),1,0)</f>
        <v/>
      </c>
      <c r="H1610" s="62">
        <f>H1295*IF(EXACT(H$8,"abgeschlossen"),1,0)</f>
        <v/>
      </c>
      <c r="I1610" s="62">
        <f>I1295*IF(EXACT(I$8,"abgeschlossen"),1,0)</f>
        <v/>
      </c>
      <c r="J1610" s="62">
        <f>J1295*IF(EXACT(J$8,"abgeschlossen"),1,0)</f>
        <v/>
      </c>
      <c r="K1610" s="62">
        <f>K1295*IF(EXACT(K$8,"abgeschlossen"),1,0)</f>
        <v/>
      </c>
      <c r="L1610" s="62">
        <f>L1295*IF(EXACT(L$8,"abgeschlossen"),1,0)</f>
        <v/>
      </c>
      <c r="M1610" s="62">
        <f>M1295*IF(EXACT(M$8,"abgeschlossen"),1,0)</f>
        <v/>
      </c>
      <c r="N1610" s="62">
        <f>N1295*IF(EXACT(N$8,"abgeschlossen"),1,0)</f>
        <v/>
      </c>
      <c r="O1610" s="62">
        <f>O1295*IF(EXACT(O$8,"abgeschlossen"),1,0)</f>
        <v/>
      </c>
      <c r="P1610" s="62">
        <f>P1295*IF(EXACT(P$8,"abgeschlossen"),1,0)</f>
        <v/>
      </c>
      <c r="Q1610" s="62">
        <f>Q1295*IF(EXACT(Q$8,"abgeschlossen"),1,0)</f>
        <v/>
      </c>
      <c r="R1610" s="62">
        <f>R1295*IF(EXACT(R$8,"abgeschlossen"),1,0)</f>
        <v/>
      </c>
      <c r="S1610" s="62">
        <f>S1295*IF(EXACT(S$8,"abgeschlossen"),1,0)</f>
        <v/>
      </c>
      <c r="T1610" s="62">
        <f>T1295*IF(EXACT(T$8,"abgeschlossen"),1,0)</f>
        <v/>
      </c>
      <c r="U1610" s="62">
        <f>U1295*IF(EXACT(U$8,"abgeschlossen"),1,0)</f>
        <v/>
      </c>
      <c r="V1610" s="62">
        <f>V1295*IF(EXACT(V$8,"abgeschlossen"),1,0)</f>
        <v/>
      </c>
    </row>
    <row r="1611">
      <c r="C1611" s="62">
        <f>C1296*IF(EXACT(C$8,"abgeschlossen"),1,0)</f>
        <v/>
      </c>
      <c r="D1611" s="62">
        <f>D1296*IF(EXACT(D$8,"abgeschlossen"),1,0)</f>
        <v/>
      </c>
      <c r="E1611" s="62">
        <f>E1296*IF(EXACT(E$8,"abgeschlossen"),1,0)</f>
        <v/>
      </c>
      <c r="F1611" s="62">
        <f>F1296*IF(EXACT(F$8,"abgeschlossen"),1,0)</f>
        <v/>
      </c>
      <c r="G1611" s="62">
        <f>G1296*IF(EXACT(G$8,"abgeschlossen"),1,0)</f>
        <v/>
      </c>
      <c r="H1611" s="62">
        <f>H1296*IF(EXACT(H$8,"abgeschlossen"),1,0)</f>
        <v/>
      </c>
      <c r="I1611" s="62">
        <f>I1296*IF(EXACT(I$8,"abgeschlossen"),1,0)</f>
        <v/>
      </c>
      <c r="J1611" s="62">
        <f>J1296*IF(EXACT(J$8,"abgeschlossen"),1,0)</f>
        <v/>
      </c>
      <c r="K1611" s="62">
        <f>K1296*IF(EXACT(K$8,"abgeschlossen"),1,0)</f>
        <v/>
      </c>
      <c r="L1611" s="62">
        <f>L1296*IF(EXACT(L$8,"abgeschlossen"),1,0)</f>
        <v/>
      </c>
      <c r="M1611" s="62">
        <f>M1296*IF(EXACT(M$8,"abgeschlossen"),1,0)</f>
        <v/>
      </c>
      <c r="N1611" s="62">
        <f>N1296*IF(EXACT(N$8,"abgeschlossen"),1,0)</f>
        <v/>
      </c>
      <c r="O1611" s="62">
        <f>O1296*IF(EXACT(O$8,"abgeschlossen"),1,0)</f>
        <v/>
      </c>
      <c r="P1611" s="62">
        <f>P1296*IF(EXACT(P$8,"abgeschlossen"),1,0)</f>
        <v/>
      </c>
      <c r="Q1611" s="62">
        <f>Q1296*IF(EXACT(Q$8,"abgeschlossen"),1,0)</f>
        <v/>
      </c>
      <c r="R1611" s="62">
        <f>R1296*IF(EXACT(R$8,"abgeschlossen"),1,0)</f>
        <v/>
      </c>
      <c r="S1611" s="62">
        <f>S1296*IF(EXACT(S$8,"abgeschlossen"),1,0)</f>
        <v/>
      </c>
      <c r="T1611" s="62">
        <f>T1296*IF(EXACT(T$8,"abgeschlossen"),1,0)</f>
        <v/>
      </c>
      <c r="U1611" s="62">
        <f>U1296*IF(EXACT(U$8,"abgeschlossen"),1,0)</f>
        <v/>
      </c>
      <c r="V1611" s="62">
        <f>V1296*IF(EXACT(V$8,"abgeschlossen"),1,0)</f>
        <v/>
      </c>
    </row>
    <row r="1612">
      <c r="C1612" s="62">
        <f>C1297*IF(EXACT(C$8,"abgeschlossen"),1,0)</f>
        <v/>
      </c>
      <c r="D1612" s="62">
        <f>D1297*IF(EXACT(D$8,"abgeschlossen"),1,0)</f>
        <v/>
      </c>
      <c r="E1612" s="62">
        <f>E1297*IF(EXACT(E$8,"abgeschlossen"),1,0)</f>
        <v/>
      </c>
      <c r="F1612" s="62">
        <f>F1297*IF(EXACT(F$8,"abgeschlossen"),1,0)</f>
        <v/>
      </c>
      <c r="G1612" s="62">
        <f>G1297*IF(EXACT(G$8,"abgeschlossen"),1,0)</f>
        <v/>
      </c>
      <c r="H1612" s="62">
        <f>H1297*IF(EXACT(H$8,"abgeschlossen"),1,0)</f>
        <v/>
      </c>
      <c r="I1612" s="62">
        <f>I1297*IF(EXACT(I$8,"abgeschlossen"),1,0)</f>
        <v/>
      </c>
      <c r="J1612" s="62">
        <f>J1297*IF(EXACT(J$8,"abgeschlossen"),1,0)</f>
        <v/>
      </c>
      <c r="K1612" s="62">
        <f>K1297*IF(EXACT(K$8,"abgeschlossen"),1,0)</f>
        <v/>
      </c>
      <c r="L1612" s="62">
        <f>L1297*IF(EXACT(L$8,"abgeschlossen"),1,0)</f>
        <v/>
      </c>
      <c r="M1612" s="62">
        <f>M1297*IF(EXACT(M$8,"abgeschlossen"),1,0)</f>
        <v/>
      </c>
      <c r="N1612" s="62">
        <f>N1297*IF(EXACT(N$8,"abgeschlossen"),1,0)</f>
        <v/>
      </c>
      <c r="O1612" s="62">
        <f>O1297*IF(EXACT(O$8,"abgeschlossen"),1,0)</f>
        <v/>
      </c>
      <c r="P1612" s="62">
        <f>P1297*IF(EXACT(P$8,"abgeschlossen"),1,0)</f>
        <v/>
      </c>
      <c r="Q1612" s="62">
        <f>Q1297*IF(EXACT(Q$8,"abgeschlossen"),1,0)</f>
        <v/>
      </c>
      <c r="R1612" s="62">
        <f>R1297*IF(EXACT(R$8,"abgeschlossen"),1,0)</f>
        <v/>
      </c>
      <c r="S1612" s="62">
        <f>S1297*IF(EXACT(S$8,"abgeschlossen"),1,0)</f>
        <v/>
      </c>
      <c r="T1612" s="62">
        <f>T1297*IF(EXACT(T$8,"abgeschlossen"),1,0)</f>
        <v/>
      </c>
      <c r="U1612" s="62">
        <f>U1297*IF(EXACT(U$8,"abgeschlossen"),1,0)</f>
        <v/>
      </c>
      <c r="V1612" s="62">
        <f>V1297*IF(EXACT(V$8,"abgeschlossen"),1,0)</f>
        <v/>
      </c>
    </row>
    <row r="1613">
      <c r="C1613" s="62">
        <f>C1298*IF(EXACT(C$8,"abgeschlossen"),1,0)</f>
        <v/>
      </c>
      <c r="D1613" s="62">
        <f>D1298*IF(EXACT(D$8,"abgeschlossen"),1,0)</f>
        <v/>
      </c>
      <c r="E1613" s="62">
        <f>E1298*IF(EXACT(E$8,"abgeschlossen"),1,0)</f>
        <v/>
      </c>
      <c r="F1613" s="62">
        <f>F1298*IF(EXACT(F$8,"abgeschlossen"),1,0)</f>
        <v/>
      </c>
      <c r="G1613" s="62">
        <f>G1298*IF(EXACT(G$8,"abgeschlossen"),1,0)</f>
        <v/>
      </c>
      <c r="H1613" s="62">
        <f>H1298*IF(EXACT(H$8,"abgeschlossen"),1,0)</f>
        <v/>
      </c>
      <c r="I1613" s="62">
        <f>I1298*IF(EXACT(I$8,"abgeschlossen"),1,0)</f>
        <v/>
      </c>
      <c r="J1613" s="62">
        <f>J1298*IF(EXACT(J$8,"abgeschlossen"),1,0)</f>
        <v/>
      </c>
      <c r="K1613" s="62">
        <f>K1298*IF(EXACT(K$8,"abgeschlossen"),1,0)</f>
        <v/>
      </c>
      <c r="L1613" s="62">
        <f>L1298*IF(EXACT(L$8,"abgeschlossen"),1,0)</f>
        <v/>
      </c>
      <c r="M1613" s="62">
        <f>M1298*IF(EXACT(M$8,"abgeschlossen"),1,0)</f>
        <v/>
      </c>
      <c r="N1613" s="62">
        <f>N1298*IF(EXACT(N$8,"abgeschlossen"),1,0)</f>
        <v/>
      </c>
      <c r="O1613" s="62">
        <f>O1298*IF(EXACT(O$8,"abgeschlossen"),1,0)</f>
        <v/>
      </c>
      <c r="P1613" s="62">
        <f>P1298*IF(EXACT(P$8,"abgeschlossen"),1,0)</f>
        <v/>
      </c>
      <c r="Q1613" s="62">
        <f>Q1298*IF(EXACT(Q$8,"abgeschlossen"),1,0)</f>
        <v/>
      </c>
      <c r="R1613" s="62">
        <f>R1298*IF(EXACT(R$8,"abgeschlossen"),1,0)</f>
        <v/>
      </c>
      <c r="S1613" s="62">
        <f>S1298*IF(EXACT(S$8,"abgeschlossen"),1,0)</f>
        <v/>
      </c>
      <c r="T1613" s="62">
        <f>T1298*IF(EXACT(T$8,"abgeschlossen"),1,0)</f>
        <v/>
      </c>
      <c r="U1613" s="62">
        <f>U1298*IF(EXACT(U$8,"abgeschlossen"),1,0)</f>
        <v/>
      </c>
      <c r="V1613" s="62">
        <f>V1298*IF(EXACT(V$8,"abgeschlossen"),1,0)</f>
        <v/>
      </c>
    </row>
    <row r="1614">
      <c r="C1614" s="62">
        <f>C1299*IF(EXACT(C$8,"abgeschlossen"),1,0)</f>
        <v/>
      </c>
      <c r="D1614" s="62">
        <f>D1299*IF(EXACT(D$8,"abgeschlossen"),1,0)</f>
        <v/>
      </c>
      <c r="E1614" s="62">
        <f>E1299*IF(EXACT(E$8,"abgeschlossen"),1,0)</f>
        <v/>
      </c>
      <c r="F1614" s="62">
        <f>F1299*IF(EXACT(F$8,"abgeschlossen"),1,0)</f>
        <v/>
      </c>
      <c r="G1614" s="62">
        <f>G1299*IF(EXACT(G$8,"abgeschlossen"),1,0)</f>
        <v/>
      </c>
      <c r="H1614" s="62">
        <f>H1299*IF(EXACT(H$8,"abgeschlossen"),1,0)</f>
        <v/>
      </c>
      <c r="I1614" s="62">
        <f>I1299*IF(EXACT(I$8,"abgeschlossen"),1,0)</f>
        <v/>
      </c>
      <c r="J1614" s="62">
        <f>J1299*IF(EXACT(J$8,"abgeschlossen"),1,0)</f>
        <v/>
      </c>
      <c r="K1614" s="62">
        <f>K1299*IF(EXACT(K$8,"abgeschlossen"),1,0)</f>
        <v/>
      </c>
      <c r="L1614" s="62">
        <f>L1299*IF(EXACT(L$8,"abgeschlossen"),1,0)</f>
        <v/>
      </c>
      <c r="M1614" s="62">
        <f>M1299*IF(EXACT(M$8,"abgeschlossen"),1,0)</f>
        <v/>
      </c>
      <c r="N1614" s="62">
        <f>N1299*IF(EXACT(N$8,"abgeschlossen"),1,0)</f>
        <v/>
      </c>
      <c r="O1614" s="62">
        <f>O1299*IF(EXACT(O$8,"abgeschlossen"),1,0)</f>
        <v/>
      </c>
      <c r="P1614" s="62">
        <f>P1299*IF(EXACT(P$8,"abgeschlossen"),1,0)</f>
        <v/>
      </c>
      <c r="Q1614" s="62">
        <f>Q1299*IF(EXACT(Q$8,"abgeschlossen"),1,0)</f>
        <v/>
      </c>
      <c r="R1614" s="62">
        <f>R1299*IF(EXACT(R$8,"abgeschlossen"),1,0)</f>
        <v/>
      </c>
      <c r="S1614" s="62">
        <f>S1299*IF(EXACT(S$8,"abgeschlossen"),1,0)</f>
        <v/>
      </c>
      <c r="T1614" s="62">
        <f>T1299*IF(EXACT(T$8,"abgeschlossen"),1,0)</f>
        <v/>
      </c>
      <c r="U1614" s="62">
        <f>U1299*IF(EXACT(U$8,"abgeschlossen"),1,0)</f>
        <v/>
      </c>
      <c r="V1614" s="62">
        <f>V1299*IF(EXACT(V$8,"abgeschlossen"),1,0)</f>
        <v/>
      </c>
    </row>
    <row r="1615">
      <c r="C1615" s="62">
        <f>C1300*IF(EXACT(C$8,"abgeschlossen"),1,0)</f>
        <v/>
      </c>
      <c r="D1615" s="62">
        <f>D1300*IF(EXACT(D$8,"abgeschlossen"),1,0)</f>
        <v/>
      </c>
      <c r="E1615" s="62">
        <f>E1300*IF(EXACT(E$8,"abgeschlossen"),1,0)</f>
        <v/>
      </c>
      <c r="F1615" s="62">
        <f>F1300*IF(EXACT(F$8,"abgeschlossen"),1,0)</f>
        <v/>
      </c>
      <c r="G1615" s="62">
        <f>G1300*IF(EXACT(G$8,"abgeschlossen"),1,0)</f>
        <v/>
      </c>
      <c r="H1615" s="62">
        <f>H1300*IF(EXACT(H$8,"abgeschlossen"),1,0)</f>
        <v/>
      </c>
      <c r="I1615" s="62">
        <f>I1300*IF(EXACT(I$8,"abgeschlossen"),1,0)</f>
        <v/>
      </c>
      <c r="J1615" s="62">
        <f>J1300*IF(EXACT(J$8,"abgeschlossen"),1,0)</f>
        <v/>
      </c>
      <c r="K1615" s="62">
        <f>K1300*IF(EXACT(K$8,"abgeschlossen"),1,0)</f>
        <v/>
      </c>
      <c r="L1615" s="62">
        <f>L1300*IF(EXACT(L$8,"abgeschlossen"),1,0)</f>
        <v/>
      </c>
      <c r="M1615" s="62">
        <f>M1300*IF(EXACT(M$8,"abgeschlossen"),1,0)</f>
        <v/>
      </c>
      <c r="N1615" s="62">
        <f>N1300*IF(EXACT(N$8,"abgeschlossen"),1,0)</f>
        <v/>
      </c>
      <c r="O1615" s="62">
        <f>O1300*IF(EXACT(O$8,"abgeschlossen"),1,0)</f>
        <v/>
      </c>
      <c r="P1615" s="62">
        <f>P1300*IF(EXACT(P$8,"abgeschlossen"),1,0)</f>
        <v/>
      </c>
      <c r="Q1615" s="62">
        <f>Q1300*IF(EXACT(Q$8,"abgeschlossen"),1,0)</f>
        <v/>
      </c>
      <c r="R1615" s="62">
        <f>R1300*IF(EXACT(R$8,"abgeschlossen"),1,0)</f>
        <v/>
      </c>
      <c r="S1615" s="62">
        <f>S1300*IF(EXACT(S$8,"abgeschlossen"),1,0)</f>
        <v/>
      </c>
      <c r="T1615" s="62">
        <f>T1300*IF(EXACT(T$8,"abgeschlossen"),1,0)</f>
        <v/>
      </c>
      <c r="U1615" s="62">
        <f>U1300*IF(EXACT(U$8,"abgeschlossen"),1,0)</f>
        <v/>
      </c>
      <c r="V1615" s="62">
        <f>V1300*IF(EXACT(V$8,"abgeschlossen"),1,0)</f>
        <v/>
      </c>
    </row>
    <row r="1616">
      <c r="C1616" s="62">
        <f>C1301*IF(EXACT(C$8,"abgeschlossen"),1,0)</f>
        <v/>
      </c>
      <c r="D1616" s="62">
        <f>D1301*IF(EXACT(D$8,"abgeschlossen"),1,0)</f>
        <v/>
      </c>
      <c r="E1616" s="62">
        <f>E1301*IF(EXACT(E$8,"abgeschlossen"),1,0)</f>
        <v/>
      </c>
      <c r="F1616" s="62">
        <f>F1301*IF(EXACT(F$8,"abgeschlossen"),1,0)</f>
        <v/>
      </c>
      <c r="G1616" s="62">
        <f>G1301*IF(EXACT(G$8,"abgeschlossen"),1,0)</f>
        <v/>
      </c>
      <c r="H1616" s="62">
        <f>H1301*IF(EXACT(H$8,"abgeschlossen"),1,0)</f>
        <v/>
      </c>
      <c r="I1616" s="62">
        <f>I1301*IF(EXACT(I$8,"abgeschlossen"),1,0)</f>
        <v/>
      </c>
      <c r="J1616" s="62">
        <f>J1301*IF(EXACT(J$8,"abgeschlossen"),1,0)</f>
        <v/>
      </c>
      <c r="K1616" s="62">
        <f>K1301*IF(EXACT(K$8,"abgeschlossen"),1,0)</f>
        <v/>
      </c>
      <c r="L1616" s="62">
        <f>L1301*IF(EXACT(L$8,"abgeschlossen"),1,0)</f>
        <v/>
      </c>
      <c r="M1616" s="62">
        <f>M1301*IF(EXACT(M$8,"abgeschlossen"),1,0)</f>
        <v/>
      </c>
      <c r="N1616" s="62">
        <f>N1301*IF(EXACT(N$8,"abgeschlossen"),1,0)</f>
        <v/>
      </c>
      <c r="O1616" s="62">
        <f>O1301*IF(EXACT(O$8,"abgeschlossen"),1,0)</f>
        <v/>
      </c>
      <c r="P1616" s="62">
        <f>P1301*IF(EXACT(P$8,"abgeschlossen"),1,0)</f>
        <v/>
      </c>
      <c r="Q1616" s="62">
        <f>Q1301*IF(EXACT(Q$8,"abgeschlossen"),1,0)</f>
        <v/>
      </c>
      <c r="R1616" s="62">
        <f>R1301*IF(EXACT(R$8,"abgeschlossen"),1,0)</f>
        <v/>
      </c>
      <c r="S1616" s="62">
        <f>S1301*IF(EXACT(S$8,"abgeschlossen"),1,0)</f>
        <v/>
      </c>
      <c r="T1616" s="62">
        <f>T1301*IF(EXACT(T$8,"abgeschlossen"),1,0)</f>
        <v/>
      </c>
      <c r="U1616" s="62">
        <f>U1301*IF(EXACT(U$8,"abgeschlossen"),1,0)</f>
        <v/>
      </c>
      <c r="V1616" s="62">
        <f>V1301*IF(EXACT(V$8,"abgeschlossen"),1,0)</f>
        <v/>
      </c>
    </row>
    <row r="1617">
      <c r="C1617" s="62">
        <f>C1302*IF(EXACT(C$8,"abgeschlossen"),1,0)</f>
        <v/>
      </c>
      <c r="D1617" s="62">
        <f>D1302*IF(EXACT(D$8,"abgeschlossen"),1,0)</f>
        <v/>
      </c>
      <c r="E1617" s="62">
        <f>E1302*IF(EXACT(E$8,"abgeschlossen"),1,0)</f>
        <v/>
      </c>
      <c r="F1617" s="62">
        <f>F1302*IF(EXACT(F$8,"abgeschlossen"),1,0)</f>
        <v/>
      </c>
      <c r="G1617" s="62">
        <f>G1302*IF(EXACT(G$8,"abgeschlossen"),1,0)</f>
        <v/>
      </c>
      <c r="H1617" s="62">
        <f>H1302*IF(EXACT(H$8,"abgeschlossen"),1,0)</f>
        <v/>
      </c>
      <c r="I1617" s="62">
        <f>I1302*IF(EXACT(I$8,"abgeschlossen"),1,0)</f>
        <v/>
      </c>
      <c r="J1617" s="62">
        <f>J1302*IF(EXACT(J$8,"abgeschlossen"),1,0)</f>
        <v/>
      </c>
      <c r="K1617" s="62">
        <f>K1302*IF(EXACT(K$8,"abgeschlossen"),1,0)</f>
        <v/>
      </c>
      <c r="L1617" s="62">
        <f>L1302*IF(EXACT(L$8,"abgeschlossen"),1,0)</f>
        <v/>
      </c>
      <c r="M1617" s="62">
        <f>M1302*IF(EXACT(M$8,"abgeschlossen"),1,0)</f>
        <v/>
      </c>
      <c r="N1617" s="62">
        <f>N1302*IF(EXACT(N$8,"abgeschlossen"),1,0)</f>
        <v/>
      </c>
      <c r="O1617" s="62">
        <f>O1302*IF(EXACT(O$8,"abgeschlossen"),1,0)</f>
        <v/>
      </c>
      <c r="P1617" s="62">
        <f>P1302*IF(EXACT(P$8,"abgeschlossen"),1,0)</f>
        <v/>
      </c>
      <c r="Q1617" s="62">
        <f>Q1302*IF(EXACT(Q$8,"abgeschlossen"),1,0)</f>
        <v/>
      </c>
      <c r="R1617" s="62">
        <f>R1302*IF(EXACT(R$8,"abgeschlossen"),1,0)</f>
        <v/>
      </c>
      <c r="S1617" s="62">
        <f>S1302*IF(EXACT(S$8,"abgeschlossen"),1,0)</f>
        <v/>
      </c>
      <c r="T1617" s="62">
        <f>T1302*IF(EXACT(T$8,"abgeschlossen"),1,0)</f>
        <v/>
      </c>
      <c r="U1617" s="62">
        <f>U1302*IF(EXACT(U$8,"abgeschlossen"),1,0)</f>
        <v/>
      </c>
      <c r="V1617" s="62">
        <f>V1302*IF(EXACT(V$8,"abgeschlossen"),1,0)</f>
        <v/>
      </c>
    </row>
    <row r="1618">
      <c r="C1618" s="62">
        <f>C1303*IF(EXACT(C$8,"abgeschlossen"),1,0)</f>
        <v/>
      </c>
      <c r="D1618" s="62">
        <f>D1303*IF(EXACT(D$8,"abgeschlossen"),1,0)</f>
        <v/>
      </c>
      <c r="E1618" s="62">
        <f>E1303*IF(EXACT(E$8,"abgeschlossen"),1,0)</f>
        <v/>
      </c>
      <c r="F1618" s="62">
        <f>F1303*IF(EXACT(F$8,"abgeschlossen"),1,0)</f>
        <v/>
      </c>
      <c r="G1618" s="62">
        <f>G1303*IF(EXACT(G$8,"abgeschlossen"),1,0)</f>
        <v/>
      </c>
      <c r="H1618" s="62">
        <f>H1303*IF(EXACT(H$8,"abgeschlossen"),1,0)</f>
        <v/>
      </c>
      <c r="I1618" s="62">
        <f>I1303*IF(EXACT(I$8,"abgeschlossen"),1,0)</f>
        <v/>
      </c>
      <c r="J1618" s="62">
        <f>J1303*IF(EXACT(J$8,"abgeschlossen"),1,0)</f>
        <v/>
      </c>
      <c r="K1618" s="62">
        <f>K1303*IF(EXACT(K$8,"abgeschlossen"),1,0)</f>
        <v/>
      </c>
      <c r="L1618" s="62">
        <f>L1303*IF(EXACT(L$8,"abgeschlossen"),1,0)</f>
        <v/>
      </c>
      <c r="M1618" s="62">
        <f>M1303*IF(EXACT(M$8,"abgeschlossen"),1,0)</f>
        <v/>
      </c>
      <c r="N1618" s="62">
        <f>N1303*IF(EXACT(N$8,"abgeschlossen"),1,0)</f>
        <v/>
      </c>
      <c r="O1618" s="62">
        <f>O1303*IF(EXACT(O$8,"abgeschlossen"),1,0)</f>
        <v/>
      </c>
      <c r="P1618" s="62">
        <f>P1303*IF(EXACT(P$8,"abgeschlossen"),1,0)</f>
        <v/>
      </c>
      <c r="Q1618" s="62">
        <f>Q1303*IF(EXACT(Q$8,"abgeschlossen"),1,0)</f>
        <v/>
      </c>
      <c r="R1618" s="62">
        <f>R1303*IF(EXACT(R$8,"abgeschlossen"),1,0)</f>
        <v/>
      </c>
      <c r="S1618" s="62">
        <f>S1303*IF(EXACT(S$8,"abgeschlossen"),1,0)</f>
        <v/>
      </c>
      <c r="T1618" s="62">
        <f>T1303*IF(EXACT(T$8,"abgeschlossen"),1,0)</f>
        <v/>
      </c>
      <c r="U1618" s="62">
        <f>U1303*IF(EXACT(U$8,"abgeschlossen"),1,0)</f>
        <v/>
      </c>
      <c r="V1618" s="62">
        <f>V1303*IF(EXACT(V$8,"abgeschlossen"),1,0)</f>
        <v/>
      </c>
    </row>
    <row r="1619">
      <c r="C1619" s="62">
        <f>C1304*IF(EXACT(C$8,"abgeschlossen"),1,0)</f>
        <v/>
      </c>
      <c r="D1619" s="62">
        <f>D1304*IF(EXACT(D$8,"abgeschlossen"),1,0)</f>
        <v/>
      </c>
      <c r="E1619" s="62">
        <f>E1304*IF(EXACT(E$8,"abgeschlossen"),1,0)</f>
        <v/>
      </c>
      <c r="F1619" s="62">
        <f>F1304*IF(EXACT(F$8,"abgeschlossen"),1,0)</f>
        <v/>
      </c>
      <c r="G1619" s="62">
        <f>G1304*IF(EXACT(G$8,"abgeschlossen"),1,0)</f>
        <v/>
      </c>
      <c r="H1619" s="62">
        <f>H1304*IF(EXACT(H$8,"abgeschlossen"),1,0)</f>
        <v/>
      </c>
      <c r="I1619" s="62">
        <f>I1304*IF(EXACT(I$8,"abgeschlossen"),1,0)</f>
        <v/>
      </c>
      <c r="J1619" s="62">
        <f>J1304*IF(EXACT(J$8,"abgeschlossen"),1,0)</f>
        <v/>
      </c>
      <c r="K1619" s="62">
        <f>K1304*IF(EXACT(K$8,"abgeschlossen"),1,0)</f>
        <v/>
      </c>
      <c r="L1619" s="62">
        <f>L1304*IF(EXACT(L$8,"abgeschlossen"),1,0)</f>
        <v/>
      </c>
      <c r="M1619" s="62">
        <f>M1304*IF(EXACT(M$8,"abgeschlossen"),1,0)</f>
        <v/>
      </c>
      <c r="N1619" s="62">
        <f>N1304*IF(EXACT(N$8,"abgeschlossen"),1,0)</f>
        <v/>
      </c>
      <c r="O1619" s="62">
        <f>O1304*IF(EXACT(O$8,"abgeschlossen"),1,0)</f>
        <v/>
      </c>
      <c r="P1619" s="62">
        <f>P1304*IF(EXACT(P$8,"abgeschlossen"),1,0)</f>
        <v/>
      </c>
      <c r="Q1619" s="62">
        <f>Q1304*IF(EXACT(Q$8,"abgeschlossen"),1,0)</f>
        <v/>
      </c>
      <c r="R1619" s="62">
        <f>R1304*IF(EXACT(R$8,"abgeschlossen"),1,0)</f>
        <v/>
      </c>
      <c r="S1619" s="62">
        <f>S1304*IF(EXACT(S$8,"abgeschlossen"),1,0)</f>
        <v/>
      </c>
      <c r="T1619" s="62">
        <f>T1304*IF(EXACT(T$8,"abgeschlossen"),1,0)</f>
        <v/>
      </c>
      <c r="U1619" s="62">
        <f>U1304*IF(EXACT(U$8,"abgeschlossen"),1,0)</f>
        <v/>
      </c>
      <c r="V1619" s="62">
        <f>V1304*IF(EXACT(V$8,"abgeschlossen"),1,0)</f>
        <v/>
      </c>
    </row>
    <row r="1620">
      <c r="C1620" s="62">
        <f>C1305*IF(EXACT(C$8,"abgeschlossen"),1,0)</f>
        <v/>
      </c>
      <c r="D1620" s="62">
        <f>D1305*IF(EXACT(D$8,"abgeschlossen"),1,0)</f>
        <v/>
      </c>
      <c r="E1620" s="62">
        <f>E1305*IF(EXACT(E$8,"abgeschlossen"),1,0)</f>
        <v/>
      </c>
      <c r="F1620" s="62">
        <f>F1305*IF(EXACT(F$8,"abgeschlossen"),1,0)</f>
        <v/>
      </c>
      <c r="G1620" s="62">
        <f>G1305*IF(EXACT(G$8,"abgeschlossen"),1,0)</f>
        <v/>
      </c>
      <c r="H1620" s="62">
        <f>H1305*IF(EXACT(H$8,"abgeschlossen"),1,0)</f>
        <v/>
      </c>
      <c r="I1620" s="62">
        <f>I1305*IF(EXACT(I$8,"abgeschlossen"),1,0)</f>
        <v/>
      </c>
      <c r="J1620" s="62">
        <f>J1305*IF(EXACT(J$8,"abgeschlossen"),1,0)</f>
        <v/>
      </c>
      <c r="K1620" s="62">
        <f>K1305*IF(EXACT(K$8,"abgeschlossen"),1,0)</f>
        <v/>
      </c>
      <c r="L1620" s="62">
        <f>L1305*IF(EXACT(L$8,"abgeschlossen"),1,0)</f>
        <v/>
      </c>
      <c r="M1620" s="62">
        <f>M1305*IF(EXACT(M$8,"abgeschlossen"),1,0)</f>
        <v/>
      </c>
      <c r="N1620" s="62">
        <f>N1305*IF(EXACT(N$8,"abgeschlossen"),1,0)</f>
        <v/>
      </c>
      <c r="O1620" s="62">
        <f>O1305*IF(EXACT(O$8,"abgeschlossen"),1,0)</f>
        <v/>
      </c>
      <c r="P1620" s="62">
        <f>P1305*IF(EXACT(P$8,"abgeschlossen"),1,0)</f>
        <v/>
      </c>
      <c r="Q1620" s="62">
        <f>Q1305*IF(EXACT(Q$8,"abgeschlossen"),1,0)</f>
        <v/>
      </c>
      <c r="R1620" s="62">
        <f>R1305*IF(EXACT(R$8,"abgeschlossen"),1,0)</f>
        <v/>
      </c>
      <c r="S1620" s="62">
        <f>S1305*IF(EXACT(S$8,"abgeschlossen"),1,0)</f>
        <v/>
      </c>
      <c r="T1620" s="62">
        <f>T1305*IF(EXACT(T$8,"abgeschlossen"),1,0)</f>
        <v/>
      </c>
      <c r="U1620" s="62">
        <f>U1305*IF(EXACT(U$8,"abgeschlossen"),1,0)</f>
        <v/>
      </c>
      <c r="V1620" s="62">
        <f>V1305*IF(EXACT(V$8,"abgeschlossen"),1,0)</f>
        <v/>
      </c>
    </row>
    <row r="1621">
      <c r="C1621" s="62">
        <f>C1306*IF(EXACT(C$8,"abgeschlossen"),1,0)</f>
        <v/>
      </c>
      <c r="D1621" s="62">
        <f>D1306*IF(EXACT(D$8,"abgeschlossen"),1,0)</f>
        <v/>
      </c>
      <c r="E1621" s="62">
        <f>E1306*IF(EXACT(E$8,"abgeschlossen"),1,0)</f>
        <v/>
      </c>
      <c r="F1621" s="62">
        <f>F1306*IF(EXACT(F$8,"abgeschlossen"),1,0)</f>
        <v/>
      </c>
      <c r="G1621" s="62">
        <f>G1306*IF(EXACT(G$8,"abgeschlossen"),1,0)</f>
        <v/>
      </c>
      <c r="H1621" s="62">
        <f>H1306*IF(EXACT(H$8,"abgeschlossen"),1,0)</f>
        <v/>
      </c>
      <c r="I1621" s="62">
        <f>I1306*IF(EXACT(I$8,"abgeschlossen"),1,0)</f>
        <v/>
      </c>
      <c r="J1621" s="62">
        <f>J1306*IF(EXACT(J$8,"abgeschlossen"),1,0)</f>
        <v/>
      </c>
      <c r="K1621" s="62">
        <f>K1306*IF(EXACT(K$8,"abgeschlossen"),1,0)</f>
        <v/>
      </c>
      <c r="L1621" s="62">
        <f>L1306*IF(EXACT(L$8,"abgeschlossen"),1,0)</f>
        <v/>
      </c>
      <c r="M1621" s="62">
        <f>M1306*IF(EXACT(M$8,"abgeschlossen"),1,0)</f>
        <v/>
      </c>
      <c r="N1621" s="62">
        <f>N1306*IF(EXACT(N$8,"abgeschlossen"),1,0)</f>
        <v/>
      </c>
      <c r="O1621" s="62">
        <f>O1306*IF(EXACT(O$8,"abgeschlossen"),1,0)</f>
        <v/>
      </c>
      <c r="P1621" s="62">
        <f>P1306*IF(EXACT(P$8,"abgeschlossen"),1,0)</f>
        <v/>
      </c>
      <c r="Q1621" s="62">
        <f>Q1306*IF(EXACT(Q$8,"abgeschlossen"),1,0)</f>
        <v/>
      </c>
      <c r="R1621" s="62">
        <f>R1306*IF(EXACT(R$8,"abgeschlossen"),1,0)</f>
        <v/>
      </c>
      <c r="S1621" s="62">
        <f>S1306*IF(EXACT(S$8,"abgeschlossen"),1,0)</f>
        <v/>
      </c>
      <c r="T1621" s="62">
        <f>T1306*IF(EXACT(T$8,"abgeschlossen"),1,0)</f>
        <v/>
      </c>
      <c r="U1621" s="62">
        <f>U1306*IF(EXACT(U$8,"abgeschlossen"),1,0)</f>
        <v/>
      </c>
      <c r="V1621" s="62">
        <f>V1306*IF(EXACT(V$8,"abgeschlossen"),1,0)</f>
        <v/>
      </c>
    </row>
    <row r="1622">
      <c r="C1622" s="62">
        <f>C1307*IF(EXACT(C$8,"abgeschlossen"),1,0)</f>
        <v/>
      </c>
      <c r="D1622" s="62">
        <f>D1307*IF(EXACT(D$8,"abgeschlossen"),1,0)</f>
        <v/>
      </c>
      <c r="E1622" s="62">
        <f>E1307*IF(EXACT(E$8,"abgeschlossen"),1,0)</f>
        <v/>
      </c>
      <c r="F1622" s="62">
        <f>F1307*IF(EXACT(F$8,"abgeschlossen"),1,0)</f>
        <v/>
      </c>
      <c r="G1622" s="62">
        <f>G1307*IF(EXACT(G$8,"abgeschlossen"),1,0)</f>
        <v/>
      </c>
      <c r="H1622" s="62">
        <f>H1307*IF(EXACT(H$8,"abgeschlossen"),1,0)</f>
        <v/>
      </c>
      <c r="I1622" s="62">
        <f>I1307*IF(EXACT(I$8,"abgeschlossen"),1,0)</f>
        <v/>
      </c>
      <c r="J1622" s="62">
        <f>J1307*IF(EXACT(J$8,"abgeschlossen"),1,0)</f>
        <v/>
      </c>
      <c r="K1622" s="62">
        <f>K1307*IF(EXACT(K$8,"abgeschlossen"),1,0)</f>
        <v/>
      </c>
      <c r="L1622" s="62">
        <f>L1307*IF(EXACT(L$8,"abgeschlossen"),1,0)</f>
        <v/>
      </c>
      <c r="M1622" s="62">
        <f>M1307*IF(EXACT(M$8,"abgeschlossen"),1,0)</f>
        <v/>
      </c>
      <c r="N1622" s="62">
        <f>N1307*IF(EXACT(N$8,"abgeschlossen"),1,0)</f>
        <v/>
      </c>
      <c r="O1622" s="62">
        <f>O1307*IF(EXACT(O$8,"abgeschlossen"),1,0)</f>
        <v/>
      </c>
      <c r="P1622" s="62">
        <f>P1307*IF(EXACT(P$8,"abgeschlossen"),1,0)</f>
        <v/>
      </c>
      <c r="Q1622" s="62">
        <f>Q1307*IF(EXACT(Q$8,"abgeschlossen"),1,0)</f>
        <v/>
      </c>
      <c r="R1622" s="62">
        <f>R1307*IF(EXACT(R$8,"abgeschlossen"),1,0)</f>
        <v/>
      </c>
      <c r="S1622" s="62">
        <f>S1307*IF(EXACT(S$8,"abgeschlossen"),1,0)</f>
        <v/>
      </c>
      <c r="T1622" s="62">
        <f>T1307*IF(EXACT(T$8,"abgeschlossen"),1,0)</f>
        <v/>
      </c>
      <c r="U1622" s="62">
        <f>U1307*IF(EXACT(U$8,"abgeschlossen"),1,0)</f>
        <v/>
      </c>
      <c r="V1622" s="62">
        <f>V1307*IF(EXACT(V$8,"abgeschlossen"),1,0)</f>
        <v/>
      </c>
    </row>
    <row r="1623">
      <c r="C1623" s="62">
        <f>C1308*IF(EXACT(C$8,"abgeschlossen"),1,0)</f>
        <v/>
      </c>
      <c r="D1623" s="62">
        <f>D1308*IF(EXACT(D$8,"abgeschlossen"),1,0)</f>
        <v/>
      </c>
      <c r="E1623" s="62">
        <f>E1308*IF(EXACT(E$8,"abgeschlossen"),1,0)</f>
        <v/>
      </c>
      <c r="F1623" s="62">
        <f>F1308*IF(EXACT(F$8,"abgeschlossen"),1,0)</f>
        <v/>
      </c>
      <c r="G1623" s="62">
        <f>G1308*IF(EXACT(G$8,"abgeschlossen"),1,0)</f>
        <v/>
      </c>
      <c r="H1623" s="62">
        <f>H1308*IF(EXACT(H$8,"abgeschlossen"),1,0)</f>
        <v/>
      </c>
      <c r="I1623" s="62">
        <f>I1308*IF(EXACT(I$8,"abgeschlossen"),1,0)</f>
        <v/>
      </c>
      <c r="J1623" s="62">
        <f>J1308*IF(EXACT(J$8,"abgeschlossen"),1,0)</f>
        <v/>
      </c>
      <c r="K1623" s="62">
        <f>K1308*IF(EXACT(K$8,"abgeschlossen"),1,0)</f>
        <v/>
      </c>
      <c r="L1623" s="62">
        <f>L1308*IF(EXACT(L$8,"abgeschlossen"),1,0)</f>
        <v/>
      </c>
      <c r="M1623" s="62">
        <f>M1308*IF(EXACT(M$8,"abgeschlossen"),1,0)</f>
        <v/>
      </c>
      <c r="N1623" s="62">
        <f>N1308*IF(EXACT(N$8,"abgeschlossen"),1,0)</f>
        <v/>
      </c>
      <c r="O1623" s="62">
        <f>O1308*IF(EXACT(O$8,"abgeschlossen"),1,0)</f>
        <v/>
      </c>
      <c r="P1623" s="62">
        <f>P1308*IF(EXACT(P$8,"abgeschlossen"),1,0)</f>
        <v/>
      </c>
      <c r="Q1623" s="62">
        <f>Q1308*IF(EXACT(Q$8,"abgeschlossen"),1,0)</f>
        <v/>
      </c>
      <c r="R1623" s="62">
        <f>R1308*IF(EXACT(R$8,"abgeschlossen"),1,0)</f>
        <v/>
      </c>
      <c r="S1623" s="62">
        <f>S1308*IF(EXACT(S$8,"abgeschlossen"),1,0)</f>
        <v/>
      </c>
      <c r="T1623" s="62">
        <f>T1308*IF(EXACT(T$8,"abgeschlossen"),1,0)</f>
        <v/>
      </c>
      <c r="U1623" s="62">
        <f>U1308*IF(EXACT(U$8,"abgeschlossen"),1,0)</f>
        <v/>
      </c>
      <c r="V1623" s="62">
        <f>V1308*IF(EXACT(V$8,"abgeschlossen"),1,0)</f>
        <v/>
      </c>
    </row>
    <row r="1624">
      <c r="C1624" s="62">
        <f>C1309*IF(EXACT(C$8,"abgeschlossen"),1,0)</f>
        <v/>
      </c>
      <c r="D1624" s="62">
        <f>D1309*IF(EXACT(D$8,"abgeschlossen"),1,0)</f>
        <v/>
      </c>
      <c r="E1624" s="62">
        <f>E1309*IF(EXACT(E$8,"abgeschlossen"),1,0)</f>
        <v/>
      </c>
      <c r="F1624" s="62">
        <f>F1309*IF(EXACT(F$8,"abgeschlossen"),1,0)</f>
        <v/>
      </c>
      <c r="G1624" s="62">
        <f>G1309*IF(EXACT(G$8,"abgeschlossen"),1,0)</f>
        <v/>
      </c>
      <c r="H1624" s="62">
        <f>H1309*IF(EXACT(H$8,"abgeschlossen"),1,0)</f>
        <v/>
      </c>
      <c r="I1624" s="62">
        <f>I1309*IF(EXACT(I$8,"abgeschlossen"),1,0)</f>
        <v/>
      </c>
      <c r="J1624" s="62">
        <f>J1309*IF(EXACT(J$8,"abgeschlossen"),1,0)</f>
        <v/>
      </c>
      <c r="K1624" s="62">
        <f>K1309*IF(EXACT(K$8,"abgeschlossen"),1,0)</f>
        <v/>
      </c>
      <c r="L1624" s="62">
        <f>L1309*IF(EXACT(L$8,"abgeschlossen"),1,0)</f>
        <v/>
      </c>
      <c r="M1624" s="62">
        <f>M1309*IF(EXACT(M$8,"abgeschlossen"),1,0)</f>
        <v/>
      </c>
      <c r="N1624" s="62">
        <f>N1309*IF(EXACT(N$8,"abgeschlossen"),1,0)</f>
        <v/>
      </c>
      <c r="O1624" s="62">
        <f>O1309*IF(EXACT(O$8,"abgeschlossen"),1,0)</f>
        <v/>
      </c>
      <c r="P1624" s="62">
        <f>P1309*IF(EXACT(P$8,"abgeschlossen"),1,0)</f>
        <v/>
      </c>
      <c r="Q1624" s="62">
        <f>Q1309*IF(EXACT(Q$8,"abgeschlossen"),1,0)</f>
        <v/>
      </c>
      <c r="R1624" s="62">
        <f>R1309*IF(EXACT(R$8,"abgeschlossen"),1,0)</f>
        <v/>
      </c>
      <c r="S1624" s="62">
        <f>S1309*IF(EXACT(S$8,"abgeschlossen"),1,0)</f>
        <v/>
      </c>
      <c r="T1624" s="62">
        <f>T1309*IF(EXACT(T$8,"abgeschlossen"),1,0)</f>
        <v/>
      </c>
      <c r="U1624" s="62">
        <f>U1309*IF(EXACT(U$8,"abgeschlossen"),1,0)</f>
        <v/>
      </c>
      <c r="V1624" s="62">
        <f>V1309*IF(EXACT(V$8,"abgeschlossen"),1,0)</f>
        <v/>
      </c>
    </row>
    <row r="1625">
      <c r="C1625" s="62">
        <f>C1310*IF(EXACT(C$8,"abgeschlossen"),1,0)</f>
        <v/>
      </c>
      <c r="D1625" s="62">
        <f>D1310*IF(EXACT(D$8,"abgeschlossen"),1,0)</f>
        <v/>
      </c>
      <c r="E1625" s="62">
        <f>E1310*IF(EXACT(E$8,"abgeschlossen"),1,0)</f>
        <v/>
      </c>
      <c r="F1625" s="62">
        <f>F1310*IF(EXACT(F$8,"abgeschlossen"),1,0)</f>
        <v/>
      </c>
      <c r="G1625" s="62">
        <f>G1310*IF(EXACT(G$8,"abgeschlossen"),1,0)</f>
        <v/>
      </c>
      <c r="H1625" s="62">
        <f>H1310*IF(EXACT(H$8,"abgeschlossen"),1,0)</f>
        <v/>
      </c>
      <c r="I1625" s="62">
        <f>I1310*IF(EXACT(I$8,"abgeschlossen"),1,0)</f>
        <v/>
      </c>
      <c r="J1625" s="62">
        <f>J1310*IF(EXACT(J$8,"abgeschlossen"),1,0)</f>
        <v/>
      </c>
      <c r="K1625" s="62">
        <f>K1310*IF(EXACT(K$8,"abgeschlossen"),1,0)</f>
        <v/>
      </c>
      <c r="L1625" s="62">
        <f>L1310*IF(EXACT(L$8,"abgeschlossen"),1,0)</f>
        <v/>
      </c>
      <c r="M1625" s="62">
        <f>M1310*IF(EXACT(M$8,"abgeschlossen"),1,0)</f>
        <v/>
      </c>
      <c r="N1625" s="62">
        <f>N1310*IF(EXACT(N$8,"abgeschlossen"),1,0)</f>
        <v/>
      </c>
      <c r="O1625" s="62">
        <f>O1310*IF(EXACT(O$8,"abgeschlossen"),1,0)</f>
        <v/>
      </c>
      <c r="P1625" s="62">
        <f>P1310*IF(EXACT(P$8,"abgeschlossen"),1,0)</f>
        <v/>
      </c>
      <c r="Q1625" s="62">
        <f>Q1310*IF(EXACT(Q$8,"abgeschlossen"),1,0)</f>
        <v/>
      </c>
      <c r="R1625" s="62">
        <f>R1310*IF(EXACT(R$8,"abgeschlossen"),1,0)</f>
        <v/>
      </c>
      <c r="S1625" s="62">
        <f>S1310*IF(EXACT(S$8,"abgeschlossen"),1,0)</f>
        <v/>
      </c>
      <c r="T1625" s="62">
        <f>T1310*IF(EXACT(T$8,"abgeschlossen"),1,0)</f>
        <v/>
      </c>
      <c r="U1625" s="62">
        <f>U1310*IF(EXACT(U$8,"abgeschlossen"),1,0)</f>
        <v/>
      </c>
      <c r="V1625" s="62">
        <f>V1310*IF(EXACT(V$8,"abgeschlossen"),1,0)</f>
        <v/>
      </c>
    </row>
    <row r="1626">
      <c r="C1626" s="62">
        <f>C1311*IF(EXACT(C$8,"abgeschlossen"),1,0)</f>
        <v/>
      </c>
      <c r="D1626" s="62">
        <f>D1311*IF(EXACT(D$8,"abgeschlossen"),1,0)</f>
        <v/>
      </c>
      <c r="E1626" s="62">
        <f>E1311*IF(EXACT(E$8,"abgeschlossen"),1,0)</f>
        <v/>
      </c>
      <c r="F1626" s="62">
        <f>F1311*IF(EXACT(F$8,"abgeschlossen"),1,0)</f>
        <v/>
      </c>
      <c r="G1626" s="62">
        <f>G1311*IF(EXACT(G$8,"abgeschlossen"),1,0)</f>
        <v/>
      </c>
      <c r="H1626" s="62">
        <f>H1311*IF(EXACT(H$8,"abgeschlossen"),1,0)</f>
        <v/>
      </c>
      <c r="I1626" s="62">
        <f>I1311*IF(EXACT(I$8,"abgeschlossen"),1,0)</f>
        <v/>
      </c>
      <c r="J1626" s="62">
        <f>J1311*IF(EXACT(J$8,"abgeschlossen"),1,0)</f>
        <v/>
      </c>
      <c r="K1626" s="62">
        <f>K1311*IF(EXACT(K$8,"abgeschlossen"),1,0)</f>
        <v/>
      </c>
      <c r="L1626" s="62">
        <f>L1311*IF(EXACT(L$8,"abgeschlossen"),1,0)</f>
        <v/>
      </c>
      <c r="M1626" s="62">
        <f>M1311*IF(EXACT(M$8,"abgeschlossen"),1,0)</f>
        <v/>
      </c>
      <c r="N1626" s="62">
        <f>N1311*IF(EXACT(N$8,"abgeschlossen"),1,0)</f>
        <v/>
      </c>
      <c r="O1626" s="62">
        <f>O1311*IF(EXACT(O$8,"abgeschlossen"),1,0)</f>
        <v/>
      </c>
      <c r="P1626" s="62">
        <f>P1311*IF(EXACT(P$8,"abgeschlossen"),1,0)</f>
        <v/>
      </c>
      <c r="Q1626" s="62">
        <f>Q1311*IF(EXACT(Q$8,"abgeschlossen"),1,0)</f>
        <v/>
      </c>
      <c r="R1626" s="62">
        <f>R1311*IF(EXACT(R$8,"abgeschlossen"),1,0)</f>
        <v/>
      </c>
      <c r="S1626" s="62">
        <f>S1311*IF(EXACT(S$8,"abgeschlossen"),1,0)</f>
        <v/>
      </c>
      <c r="T1626" s="62">
        <f>T1311*IF(EXACT(T$8,"abgeschlossen"),1,0)</f>
        <v/>
      </c>
      <c r="U1626" s="62">
        <f>U1311*IF(EXACT(U$8,"abgeschlossen"),1,0)</f>
        <v/>
      </c>
      <c r="V1626" s="62">
        <f>V1311*IF(EXACT(V$8,"abgeschlossen"),1,0)</f>
        <v/>
      </c>
    </row>
    <row r="1627">
      <c r="C1627" s="62">
        <f>C1312*IF(EXACT(C$8,"abgeschlossen"),1,0)</f>
        <v/>
      </c>
      <c r="D1627" s="62">
        <f>D1312*IF(EXACT(D$8,"abgeschlossen"),1,0)</f>
        <v/>
      </c>
      <c r="E1627" s="62">
        <f>E1312*IF(EXACT(E$8,"abgeschlossen"),1,0)</f>
        <v/>
      </c>
      <c r="F1627" s="62">
        <f>F1312*IF(EXACT(F$8,"abgeschlossen"),1,0)</f>
        <v/>
      </c>
      <c r="G1627" s="62">
        <f>G1312*IF(EXACT(G$8,"abgeschlossen"),1,0)</f>
        <v/>
      </c>
      <c r="H1627" s="62">
        <f>H1312*IF(EXACT(H$8,"abgeschlossen"),1,0)</f>
        <v/>
      </c>
      <c r="I1627" s="62">
        <f>I1312*IF(EXACT(I$8,"abgeschlossen"),1,0)</f>
        <v/>
      </c>
      <c r="J1627" s="62">
        <f>J1312*IF(EXACT(J$8,"abgeschlossen"),1,0)</f>
        <v/>
      </c>
      <c r="K1627" s="62">
        <f>K1312*IF(EXACT(K$8,"abgeschlossen"),1,0)</f>
        <v/>
      </c>
      <c r="L1627" s="62">
        <f>L1312*IF(EXACT(L$8,"abgeschlossen"),1,0)</f>
        <v/>
      </c>
      <c r="M1627" s="62">
        <f>M1312*IF(EXACT(M$8,"abgeschlossen"),1,0)</f>
        <v/>
      </c>
      <c r="N1627" s="62">
        <f>N1312*IF(EXACT(N$8,"abgeschlossen"),1,0)</f>
        <v/>
      </c>
      <c r="O1627" s="62">
        <f>O1312*IF(EXACT(O$8,"abgeschlossen"),1,0)</f>
        <v/>
      </c>
      <c r="P1627" s="62">
        <f>P1312*IF(EXACT(P$8,"abgeschlossen"),1,0)</f>
        <v/>
      </c>
      <c r="Q1627" s="62">
        <f>Q1312*IF(EXACT(Q$8,"abgeschlossen"),1,0)</f>
        <v/>
      </c>
      <c r="R1627" s="62">
        <f>R1312*IF(EXACT(R$8,"abgeschlossen"),1,0)</f>
        <v/>
      </c>
      <c r="S1627" s="62">
        <f>S1312*IF(EXACT(S$8,"abgeschlossen"),1,0)</f>
        <v/>
      </c>
      <c r="T1627" s="62">
        <f>T1312*IF(EXACT(T$8,"abgeschlossen"),1,0)</f>
        <v/>
      </c>
      <c r="U1627" s="62">
        <f>U1312*IF(EXACT(U$8,"abgeschlossen"),1,0)</f>
        <v/>
      </c>
      <c r="V1627" s="62">
        <f>V1312*IF(EXACT(V$8,"abgeschlossen"),1,0)</f>
        <v/>
      </c>
    </row>
    <row r="1628">
      <c r="C1628" s="62">
        <f>C1313*IF(EXACT(C$8,"abgeschlossen"),1,0)</f>
        <v/>
      </c>
      <c r="D1628" s="62">
        <f>D1313*IF(EXACT(D$8,"abgeschlossen"),1,0)</f>
        <v/>
      </c>
      <c r="E1628" s="62">
        <f>E1313*IF(EXACT(E$8,"abgeschlossen"),1,0)</f>
        <v/>
      </c>
      <c r="F1628" s="62">
        <f>F1313*IF(EXACT(F$8,"abgeschlossen"),1,0)</f>
        <v/>
      </c>
      <c r="G1628" s="62">
        <f>G1313*IF(EXACT(G$8,"abgeschlossen"),1,0)</f>
        <v/>
      </c>
      <c r="H1628" s="62">
        <f>H1313*IF(EXACT(H$8,"abgeschlossen"),1,0)</f>
        <v/>
      </c>
      <c r="I1628" s="62">
        <f>I1313*IF(EXACT(I$8,"abgeschlossen"),1,0)</f>
        <v/>
      </c>
      <c r="J1628" s="62">
        <f>J1313*IF(EXACT(J$8,"abgeschlossen"),1,0)</f>
        <v/>
      </c>
      <c r="K1628" s="62">
        <f>K1313*IF(EXACT(K$8,"abgeschlossen"),1,0)</f>
        <v/>
      </c>
      <c r="L1628" s="62">
        <f>L1313*IF(EXACT(L$8,"abgeschlossen"),1,0)</f>
        <v/>
      </c>
      <c r="M1628" s="62">
        <f>M1313*IF(EXACT(M$8,"abgeschlossen"),1,0)</f>
        <v/>
      </c>
      <c r="N1628" s="62">
        <f>N1313*IF(EXACT(N$8,"abgeschlossen"),1,0)</f>
        <v/>
      </c>
      <c r="O1628" s="62">
        <f>O1313*IF(EXACT(O$8,"abgeschlossen"),1,0)</f>
        <v/>
      </c>
      <c r="P1628" s="62">
        <f>P1313*IF(EXACT(P$8,"abgeschlossen"),1,0)</f>
        <v/>
      </c>
      <c r="Q1628" s="62">
        <f>Q1313*IF(EXACT(Q$8,"abgeschlossen"),1,0)</f>
        <v/>
      </c>
      <c r="R1628" s="62">
        <f>R1313*IF(EXACT(R$8,"abgeschlossen"),1,0)</f>
        <v/>
      </c>
      <c r="S1628" s="62">
        <f>S1313*IF(EXACT(S$8,"abgeschlossen"),1,0)</f>
        <v/>
      </c>
      <c r="T1628" s="62">
        <f>T1313*IF(EXACT(T$8,"abgeschlossen"),1,0)</f>
        <v/>
      </c>
      <c r="U1628" s="62">
        <f>U1313*IF(EXACT(U$8,"abgeschlossen"),1,0)</f>
        <v/>
      </c>
      <c r="V1628" s="62">
        <f>V1313*IF(EXACT(V$8,"abgeschlossen"),1,0)</f>
        <v/>
      </c>
    </row>
    <row r="1629">
      <c r="C1629" s="62">
        <f>C1314*IF(EXACT(C$8,"abgeschlossen"),1,0)</f>
        <v/>
      </c>
      <c r="D1629" s="62">
        <f>D1314*IF(EXACT(D$8,"abgeschlossen"),1,0)</f>
        <v/>
      </c>
      <c r="E1629" s="62">
        <f>E1314*IF(EXACT(E$8,"abgeschlossen"),1,0)</f>
        <v/>
      </c>
      <c r="F1629" s="62">
        <f>F1314*IF(EXACT(F$8,"abgeschlossen"),1,0)</f>
        <v/>
      </c>
      <c r="G1629" s="62">
        <f>G1314*IF(EXACT(G$8,"abgeschlossen"),1,0)</f>
        <v/>
      </c>
      <c r="H1629" s="62">
        <f>H1314*IF(EXACT(H$8,"abgeschlossen"),1,0)</f>
        <v/>
      </c>
      <c r="I1629" s="62">
        <f>I1314*IF(EXACT(I$8,"abgeschlossen"),1,0)</f>
        <v/>
      </c>
      <c r="J1629" s="62">
        <f>J1314*IF(EXACT(J$8,"abgeschlossen"),1,0)</f>
        <v/>
      </c>
      <c r="K1629" s="62">
        <f>K1314*IF(EXACT(K$8,"abgeschlossen"),1,0)</f>
        <v/>
      </c>
      <c r="L1629" s="62">
        <f>L1314*IF(EXACT(L$8,"abgeschlossen"),1,0)</f>
        <v/>
      </c>
      <c r="M1629" s="62">
        <f>M1314*IF(EXACT(M$8,"abgeschlossen"),1,0)</f>
        <v/>
      </c>
      <c r="N1629" s="62">
        <f>N1314*IF(EXACT(N$8,"abgeschlossen"),1,0)</f>
        <v/>
      </c>
      <c r="O1629" s="62">
        <f>O1314*IF(EXACT(O$8,"abgeschlossen"),1,0)</f>
        <v/>
      </c>
      <c r="P1629" s="62">
        <f>P1314*IF(EXACT(P$8,"abgeschlossen"),1,0)</f>
        <v/>
      </c>
      <c r="Q1629" s="62">
        <f>Q1314*IF(EXACT(Q$8,"abgeschlossen"),1,0)</f>
        <v/>
      </c>
      <c r="R1629" s="62">
        <f>R1314*IF(EXACT(R$8,"abgeschlossen"),1,0)</f>
        <v/>
      </c>
      <c r="S1629" s="62">
        <f>S1314*IF(EXACT(S$8,"abgeschlossen"),1,0)</f>
        <v/>
      </c>
      <c r="T1629" s="62">
        <f>T1314*IF(EXACT(T$8,"abgeschlossen"),1,0)</f>
        <v/>
      </c>
      <c r="U1629" s="62">
        <f>U1314*IF(EXACT(U$8,"abgeschlossen"),1,0)</f>
        <v/>
      </c>
      <c r="V1629" s="62">
        <f>V1314*IF(EXACT(V$8,"abgeschlossen"),1,0)</f>
        <v/>
      </c>
    </row>
    <row r="1630">
      <c r="C1630" s="62">
        <f>C1315*IF(EXACT(C$8,"abgeschlossen"),1,0)</f>
        <v/>
      </c>
      <c r="D1630" s="62">
        <f>D1315*IF(EXACT(D$8,"abgeschlossen"),1,0)</f>
        <v/>
      </c>
      <c r="E1630" s="62">
        <f>E1315*IF(EXACT(E$8,"abgeschlossen"),1,0)</f>
        <v/>
      </c>
      <c r="F1630" s="62">
        <f>F1315*IF(EXACT(F$8,"abgeschlossen"),1,0)</f>
        <v/>
      </c>
      <c r="G1630" s="62">
        <f>G1315*IF(EXACT(G$8,"abgeschlossen"),1,0)</f>
        <v/>
      </c>
      <c r="H1630" s="62">
        <f>H1315*IF(EXACT(H$8,"abgeschlossen"),1,0)</f>
        <v/>
      </c>
      <c r="I1630" s="62">
        <f>I1315*IF(EXACT(I$8,"abgeschlossen"),1,0)</f>
        <v/>
      </c>
      <c r="J1630" s="62">
        <f>J1315*IF(EXACT(J$8,"abgeschlossen"),1,0)</f>
        <v/>
      </c>
      <c r="K1630" s="62">
        <f>K1315*IF(EXACT(K$8,"abgeschlossen"),1,0)</f>
        <v/>
      </c>
      <c r="L1630" s="62">
        <f>L1315*IF(EXACT(L$8,"abgeschlossen"),1,0)</f>
        <v/>
      </c>
      <c r="M1630" s="62">
        <f>M1315*IF(EXACT(M$8,"abgeschlossen"),1,0)</f>
        <v/>
      </c>
      <c r="N1630" s="62">
        <f>N1315*IF(EXACT(N$8,"abgeschlossen"),1,0)</f>
        <v/>
      </c>
      <c r="O1630" s="62">
        <f>O1315*IF(EXACT(O$8,"abgeschlossen"),1,0)</f>
        <v/>
      </c>
      <c r="P1630" s="62">
        <f>P1315*IF(EXACT(P$8,"abgeschlossen"),1,0)</f>
        <v/>
      </c>
      <c r="Q1630" s="62">
        <f>Q1315*IF(EXACT(Q$8,"abgeschlossen"),1,0)</f>
        <v/>
      </c>
      <c r="R1630" s="62">
        <f>R1315*IF(EXACT(R$8,"abgeschlossen"),1,0)</f>
        <v/>
      </c>
      <c r="S1630" s="62">
        <f>S1315*IF(EXACT(S$8,"abgeschlossen"),1,0)</f>
        <v/>
      </c>
      <c r="T1630" s="62">
        <f>T1315*IF(EXACT(T$8,"abgeschlossen"),1,0)</f>
        <v/>
      </c>
      <c r="U1630" s="62">
        <f>U1315*IF(EXACT(U$8,"abgeschlossen"),1,0)</f>
        <v/>
      </c>
      <c r="V1630" s="62">
        <f>V1315*IF(EXACT(V$8,"abgeschlossen"),1,0)</f>
        <v/>
      </c>
    </row>
    <row r="1631">
      <c r="C1631" s="62">
        <f>C1316*IF(EXACT(C$8,"abgeschlossen"),1,0)</f>
        <v/>
      </c>
      <c r="D1631" s="62">
        <f>D1316*IF(EXACT(D$8,"abgeschlossen"),1,0)</f>
        <v/>
      </c>
      <c r="E1631" s="62">
        <f>E1316*IF(EXACT(E$8,"abgeschlossen"),1,0)</f>
        <v/>
      </c>
      <c r="F1631" s="62">
        <f>F1316*IF(EXACT(F$8,"abgeschlossen"),1,0)</f>
        <v/>
      </c>
      <c r="G1631" s="62">
        <f>G1316*IF(EXACT(G$8,"abgeschlossen"),1,0)</f>
        <v/>
      </c>
      <c r="H1631" s="62">
        <f>H1316*IF(EXACT(H$8,"abgeschlossen"),1,0)</f>
        <v/>
      </c>
      <c r="I1631" s="62">
        <f>I1316*IF(EXACT(I$8,"abgeschlossen"),1,0)</f>
        <v/>
      </c>
      <c r="J1631" s="62">
        <f>J1316*IF(EXACT(J$8,"abgeschlossen"),1,0)</f>
        <v/>
      </c>
      <c r="K1631" s="62">
        <f>K1316*IF(EXACT(K$8,"abgeschlossen"),1,0)</f>
        <v/>
      </c>
      <c r="L1631" s="62">
        <f>L1316*IF(EXACT(L$8,"abgeschlossen"),1,0)</f>
        <v/>
      </c>
      <c r="M1631" s="62">
        <f>M1316*IF(EXACT(M$8,"abgeschlossen"),1,0)</f>
        <v/>
      </c>
      <c r="N1631" s="62">
        <f>N1316*IF(EXACT(N$8,"abgeschlossen"),1,0)</f>
        <v/>
      </c>
      <c r="O1631" s="62">
        <f>O1316*IF(EXACT(O$8,"abgeschlossen"),1,0)</f>
        <v/>
      </c>
      <c r="P1631" s="62">
        <f>P1316*IF(EXACT(P$8,"abgeschlossen"),1,0)</f>
        <v/>
      </c>
      <c r="Q1631" s="62">
        <f>Q1316*IF(EXACT(Q$8,"abgeschlossen"),1,0)</f>
        <v/>
      </c>
      <c r="R1631" s="62">
        <f>R1316*IF(EXACT(R$8,"abgeschlossen"),1,0)</f>
        <v/>
      </c>
      <c r="S1631" s="62">
        <f>S1316*IF(EXACT(S$8,"abgeschlossen"),1,0)</f>
        <v/>
      </c>
      <c r="T1631" s="62">
        <f>T1316*IF(EXACT(T$8,"abgeschlossen"),1,0)</f>
        <v/>
      </c>
      <c r="U1631" s="62">
        <f>U1316*IF(EXACT(U$8,"abgeschlossen"),1,0)</f>
        <v/>
      </c>
      <c r="V1631" s="62">
        <f>V1316*IF(EXACT(V$8,"abgeschlossen"),1,0)</f>
        <v/>
      </c>
    </row>
    <row r="1632">
      <c r="C1632" s="62">
        <f>C1317*IF(EXACT(C$8,"abgeschlossen"),1,0)</f>
        <v/>
      </c>
      <c r="D1632" s="62">
        <f>D1317*IF(EXACT(D$8,"abgeschlossen"),1,0)</f>
        <v/>
      </c>
      <c r="E1632" s="62">
        <f>E1317*IF(EXACT(E$8,"abgeschlossen"),1,0)</f>
        <v/>
      </c>
      <c r="F1632" s="62">
        <f>F1317*IF(EXACT(F$8,"abgeschlossen"),1,0)</f>
        <v/>
      </c>
      <c r="G1632" s="62">
        <f>G1317*IF(EXACT(G$8,"abgeschlossen"),1,0)</f>
        <v/>
      </c>
      <c r="H1632" s="62">
        <f>H1317*IF(EXACT(H$8,"abgeschlossen"),1,0)</f>
        <v/>
      </c>
      <c r="I1632" s="62">
        <f>I1317*IF(EXACT(I$8,"abgeschlossen"),1,0)</f>
        <v/>
      </c>
      <c r="J1632" s="62">
        <f>J1317*IF(EXACT(J$8,"abgeschlossen"),1,0)</f>
        <v/>
      </c>
      <c r="K1632" s="62">
        <f>K1317*IF(EXACT(K$8,"abgeschlossen"),1,0)</f>
        <v/>
      </c>
      <c r="L1632" s="62">
        <f>L1317*IF(EXACT(L$8,"abgeschlossen"),1,0)</f>
        <v/>
      </c>
      <c r="M1632" s="62">
        <f>M1317*IF(EXACT(M$8,"abgeschlossen"),1,0)</f>
        <v/>
      </c>
      <c r="N1632" s="62">
        <f>N1317*IF(EXACT(N$8,"abgeschlossen"),1,0)</f>
        <v/>
      </c>
      <c r="O1632" s="62">
        <f>O1317*IF(EXACT(O$8,"abgeschlossen"),1,0)</f>
        <v/>
      </c>
      <c r="P1632" s="62">
        <f>P1317*IF(EXACT(P$8,"abgeschlossen"),1,0)</f>
        <v/>
      </c>
      <c r="Q1632" s="62">
        <f>Q1317*IF(EXACT(Q$8,"abgeschlossen"),1,0)</f>
        <v/>
      </c>
      <c r="R1632" s="62">
        <f>R1317*IF(EXACT(R$8,"abgeschlossen"),1,0)</f>
        <v/>
      </c>
      <c r="S1632" s="62">
        <f>S1317*IF(EXACT(S$8,"abgeschlossen"),1,0)</f>
        <v/>
      </c>
      <c r="T1632" s="62">
        <f>T1317*IF(EXACT(T$8,"abgeschlossen"),1,0)</f>
        <v/>
      </c>
      <c r="U1632" s="62">
        <f>U1317*IF(EXACT(U$8,"abgeschlossen"),1,0)</f>
        <v/>
      </c>
      <c r="V1632" s="62">
        <f>V1317*IF(EXACT(V$8,"abgeschlossen"),1,0)</f>
        <v/>
      </c>
    </row>
    <row r="1633">
      <c r="C1633" s="62">
        <f>C1318*IF(EXACT(C$8,"abgeschlossen"),1,0)</f>
        <v/>
      </c>
      <c r="D1633" s="62">
        <f>D1318*IF(EXACT(D$8,"abgeschlossen"),1,0)</f>
        <v/>
      </c>
      <c r="E1633" s="62">
        <f>E1318*IF(EXACT(E$8,"abgeschlossen"),1,0)</f>
        <v/>
      </c>
      <c r="F1633" s="62">
        <f>F1318*IF(EXACT(F$8,"abgeschlossen"),1,0)</f>
        <v/>
      </c>
      <c r="G1633" s="62">
        <f>G1318*IF(EXACT(G$8,"abgeschlossen"),1,0)</f>
        <v/>
      </c>
      <c r="H1633" s="62">
        <f>H1318*IF(EXACT(H$8,"abgeschlossen"),1,0)</f>
        <v/>
      </c>
      <c r="I1633" s="62">
        <f>I1318*IF(EXACT(I$8,"abgeschlossen"),1,0)</f>
        <v/>
      </c>
      <c r="J1633" s="62">
        <f>J1318*IF(EXACT(J$8,"abgeschlossen"),1,0)</f>
        <v/>
      </c>
      <c r="K1633" s="62">
        <f>K1318*IF(EXACT(K$8,"abgeschlossen"),1,0)</f>
        <v/>
      </c>
      <c r="L1633" s="62">
        <f>L1318*IF(EXACT(L$8,"abgeschlossen"),1,0)</f>
        <v/>
      </c>
      <c r="M1633" s="62">
        <f>M1318*IF(EXACT(M$8,"abgeschlossen"),1,0)</f>
        <v/>
      </c>
      <c r="N1633" s="62">
        <f>N1318*IF(EXACT(N$8,"abgeschlossen"),1,0)</f>
        <v/>
      </c>
      <c r="O1633" s="62">
        <f>O1318*IF(EXACT(O$8,"abgeschlossen"),1,0)</f>
        <v/>
      </c>
      <c r="P1633" s="62">
        <f>P1318*IF(EXACT(P$8,"abgeschlossen"),1,0)</f>
        <v/>
      </c>
      <c r="Q1633" s="62">
        <f>Q1318*IF(EXACT(Q$8,"abgeschlossen"),1,0)</f>
        <v/>
      </c>
      <c r="R1633" s="62">
        <f>R1318*IF(EXACT(R$8,"abgeschlossen"),1,0)</f>
        <v/>
      </c>
      <c r="S1633" s="62">
        <f>S1318*IF(EXACT(S$8,"abgeschlossen"),1,0)</f>
        <v/>
      </c>
      <c r="T1633" s="62">
        <f>T1318*IF(EXACT(T$8,"abgeschlossen"),1,0)</f>
        <v/>
      </c>
      <c r="U1633" s="62">
        <f>U1318*IF(EXACT(U$8,"abgeschlossen"),1,0)</f>
        <v/>
      </c>
      <c r="V1633" s="62">
        <f>V1318*IF(EXACT(V$8,"abgeschlossen"),1,0)</f>
        <v/>
      </c>
    </row>
    <row r="1634">
      <c r="C1634" s="62">
        <f>C1319*IF(EXACT(C$8,"abgeschlossen"),1,0)</f>
        <v/>
      </c>
      <c r="D1634" s="62">
        <f>D1319*IF(EXACT(D$8,"abgeschlossen"),1,0)</f>
        <v/>
      </c>
      <c r="E1634" s="62">
        <f>E1319*IF(EXACT(E$8,"abgeschlossen"),1,0)</f>
        <v/>
      </c>
      <c r="F1634" s="62">
        <f>F1319*IF(EXACT(F$8,"abgeschlossen"),1,0)</f>
        <v/>
      </c>
      <c r="G1634" s="62">
        <f>G1319*IF(EXACT(G$8,"abgeschlossen"),1,0)</f>
        <v/>
      </c>
      <c r="H1634" s="62">
        <f>H1319*IF(EXACT(H$8,"abgeschlossen"),1,0)</f>
        <v/>
      </c>
      <c r="I1634" s="62">
        <f>I1319*IF(EXACT(I$8,"abgeschlossen"),1,0)</f>
        <v/>
      </c>
      <c r="J1634" s="62">
        <f>J1319*IF(EXACT(J$8,"abgeschlossen"),1,0)</f>
        <v/>
      </c>
      <c r="K1634" s="62">
        <f>K1319*IF(EXACT(K$8,"abgeschlossen"),1,0)</f>
        <v/>
      </c>
      <c r="L1634" s="62">
        <f>L1319*IF(EXACT(L$8,"abgeschlossen"),1,0)</f>
        <v/>
      </c>
      <c r="M1634" s="62">
        <f>M1319*IF(EXACT(M$8,"abgeschlossen"),1,0)</f>
        <v/>
      </c>
      <c r="N1634" s="62">
        <f>N1319*IF(EXACT(N$8,"abgeschlossen"),1,0)</f>
        <v/>
      </c>
      <c r="O1634" s="62">
        <f>O1319*IF(EXACT(O$8,"abgeschlossen"),1,0)</f>
        <v/>
      </c>
      <c r="P1634" s="62">
        <f>P1319*IF(EXACT(P$8,"abgeschlossen"),1,0)</f>
        <v/>
      </c>
      <c r="Q1634" s="62">
        <f>Q1319*IF(EXACT(Q$8,"abgeschlossen"),1,0)</f>
        <v/>
      </c>
      <c r="R1634" s="62">
        <f>R1319*IF(EXACT(R$8,"abgeschlossen"),1,0)</f>
        <v/>
      </c>
      <c r="S1634" s="62">
        <f>S1319*IF(EXACT(S$8,"abgeschlossen"),1,0)</f>
        <v/>
      </c>
      <c r="T1634" s="62">
        <f>T1319*IF(EXACT(T$8,"abgeschlossen"),1,0)</f>
        <v/>
      </c>
      <c r="U1634" s="62">
        <f>U1319*IF(EXACT(U$8,"abgeschlossen"),1,0)</f>
        <v/>
      </c>
      <c r="V1634" s="62">
        <f>V1319*IF(EXACT(V$8,"abgeschlossen"),1,0)</f>
        <v/>
      </c>
    </row>
    <row r="1635">
      <c r="C1635" s="62">
        <f>C1320*IF(EXACT(C$8,"abgeschlossen"),1,0)</f>
        <v/>
      </c>
      <c r="D1635" s="62">
        <f>D1320*IF(EXACT(D$8,"abgeschlossen"),1,0)</f>
        <v/>
      </c>
      <c r="E1635" s="62">
        <f>E1320*IF(EXACT(E$8,"abgeschlossen"),1,0)</f>
        <v/>
      </c>
      <c r="F1635" s="62">
        <f>F1320*IF(EXACT(F$8,"abgeschlossen"),1,0)</f>
        <v/>
      </c>
      <c r="G1635" s="62">
        <f>G1320*IF(EXACT(G$8,"abgeschlossen"),1,0)</f>
        <v/>
      </c>
      <c r="H1635" s="62">
        <f>H1320*IF(EXACT(H$8,"abgeschlossen"),1,0)</f>
        <v/>
      </c>
      <c r="I1635" s="62">
        <f>I1320*IF(EXACT(I$8,"abgeschlossen"),1,0)</f>
        <v/>
      </c>
      <c r="J1635" s="62">
        <f>J1320*IF(EXACT(J$8,"abgeschlossen"),1,0)</f>
        <v/>
      </c>
      <c r="K1635" s="62">
        <f>K1320*IF(EXACT(K$8,"abgeschlossen"),1,0)</f>
        <v/>
      </c>
      <c r="L1635" s="62">
        <f>L1320*IF(EXACT(L$8,"abgeschlossen"),1,0)</f>
        <v/>
      </c>
      <c r="M1635" s="62">
        <f>M1320*IF(EXACT(M$8,"abgeschlossen"),1,0)</f>
        <v/>
      </c>
      <c r="N1635" s="62">
        <f>N1320*IF(EXACT(N$8,"abgeschlossen"),1,0)</f>
        <v/>
      </c>
      <c r="O1635" s="62">
        <f>O1320*IF(EXACT(O$8,"abgeschlossen"),1,0)</f>
        <v/>
      </c>
      <c r="P1635" s="62">
        <f>P1320*IF(EXACT(P$8,"abgeschlossen"),1,0)</f>
        <v/>
      </c>
      <c r="Q1635" s="62">
        <f>Q1320*IF(EXACT(Q$8,"abgeschlossen"),1,0)</f>
        <v/>
      </c>
      <c r="R1635" s="62">
        <f>R1320*IF(EXACT(R$8,"abgeschlossen"),1,0)</f>
        <v/>
      </c>
      <c r="S1635" s="62">
        <f>S1320*IF(EXACT(S$8,"abgeschlossen"),1,0)</f>
        <v/>
      </c>
      <c r="T1635" s="62">
        <f>T1320*IF(EXACT(T$8,"abgeschlossen"),1,0)</f>
        <v/>
      </c>
      <c r="U1635" s="62">
        <f>U1320*IF(EXACT(U$8,"abgeschlossen"),1,0)</f>
        <v/>
      </c>
      <c r="V1635" s="62">
        <f>V1320*IF(EXACT(V$8,"abgeschlossen"),1,0)</f>
        <v/>
      </c>
    </row>
    <row r="1636">
      <c r="C1636" s="62">
        <f>C1321*IF(EXACT(C$8,"abgeschlossen"),1,0)</f>
        <v/>
      </c>
      <c r="D1636" s="62">
        <f>D1321*IF(EXACT(D$8,"abgeschlossen"),1,0)</f>
        <v/>
      </c>
      <c r="E1636" s="62">
        <f>E1321*IF(EXACT(E$8,"abgeschlossen"),1,0)</f>
        <v/>
      </c>
      <c r="F1636" s="62">
        <f>F1321*IF(EXACT(F$8,"abgeschlossen"),1,0)</f>
        <v/>
      </c>
      <c r="G1636" s="62">
        <f>G1321*IF(EXACT(G$8,"abgeschlossen"),1,0)</f>
        <v/>
      </c>
      <c r="H1636" s="62">
        <f>H1321*IF(EXACT(H$8,"abgeschlossen"),1,0)</f>
        <v/>
      </c>
      <c r="I1636" s="62">
        <f>I1321*IF(EXACT(I$8,"abgeschlossen"),1,0)</f>
        <v/>
      </c>
      <c r="J1636" s="62">
        <f>J1321*IF(EXACT(J$8,"abgeschlossen"),1,0)</f>
        <v/>
      </c>
      <c r="K1636" s="62">
        <f>K1321*IF(EXACT(K$8,"abgeschlossen"),1,0)</f>
        <v/>
      </c>
      <c r="L1636" s="62">
        <f>L1321*IF(EXACT(L$8,"abgeschlossen"),1,0)</f>
        <v/>
      </c>
      <c r="M1636" s="62">
        <f>M1321*IF(EXACT(M$8,"abgeschlossen"),1,0)</f>
        <v/>
      </c>
      <c r="N1636" s="62">
        <f>N1321*IF(EXACT(N$8,"abgeschlossen"),1,0)</f>
        <v/>
      </c>
      <c r="O1636" s="62">
        <f>O1321*IF(EXACT(O$8,"abgeschlossen"),1,0)</f>
        <v/>
      </c>
      <c r="P1636" s="62">
        <f>P1321*IF(EXACT(P$8,"abgeschlossen"),1,0)</f>
        <v/>
      </c>
      <c r="Q1636" s="62">
        <f>Q1321*IF(EXACT(Q$8,"abgeschlossen"),1,0)</f>
        <v/>
      </c>
      <c r="R1636" s="62">
        <f>R1321*IF(EXACT(R$8,"abgeschlossen"),1,0)</f>
        <v/>
      </c>
      <c r="S1636" s="62">
        <f>S1321*IF(EXACT(S$8,"abgeschlossen"),1,0)</f>
        <v/>
      </c>
      <c r="T1636" s="62">
        <f>T1321*IF(EXACT(T$8,"abgeschlossen"),1,0)</f>
        <v/>
      </c>
      <c r="U1636" s="62">
        <f>U1321*IF(EXACT(U$8,"abgeschlossen"),1,0)</f>
        <v/>
      </c>
      <c r="V1636" s="62">
        <f>V1321*IF(EXACT(V$8,"abgeschlossen"),1,0)</f>
        <v/>
      </c>
    </row>
    <row r="1637">
      <c r="C1637" s="62">
        <f>C1322*IF(EXACT(C$8,"abgeschlossen"),1,0)</f>
        <v/>
      </c>
      <c r="D1637" s="62">
        <f>D1322*IF(EXACT(D$8,"abgeschlossen"),1,0)</f>
        <v/>
      </c>
      <c r="E1637" s="62">
        <f>E1322*IF(EXACT(E$8,"abgeschlossen"),1,0)</f>
        <v/>
      </c>
      <c r="F1637" s="62">
        <f>F1322*IF(EXACT(F$8,"abgeschlossen"),1,0)</f>
        <v/>
      </c>
      <c r="G1637" s="62">
        <f>G1322*IF(EXACT(G$8,"abgeschlossen"),1,0)</f>
        <v/>
      </c>
      <c r="H1637" s="62">
        <f>H1322*IF(EXACT(H$8,"abgeschlossen"),1,0)</f>
        <v/>
      </c>
      <c r="I1637" s="62">
        <f>I1322*IF(EXACT(I$8,"abgeschlossen"),1,0)</f>
        <v/>
      </c>
      <c r="J1637" s="62">
        <f>J1322*IF(EXACT(J$8,"abgeschlossen"),1,0)</f>
        <v/>
      </c>
      <c r="K1637" s="62">
        <f>K1322*IF(EXACT(K$8,"abgeschlossen"),1,0)</f>
        <v/>
      </c>
      <c r="L1637" s="62">
        <f>L1322*IF(EXACT(L$8,"abgeschlossen"),1,0)</f>
        <v/>
      </c>
      <c r="M1637" s="62">
        <f>M1322*IF(EXACT(M$8,"abgeschlossen"),1,0)</f>
        <v/>
      </c>
      <c r="N1637" s="62">
        <f>N1322*IF(EXACT(N$8,"abgeschlossen"),1,0)</f>
        <v/>
      </c>
      <c r="O1637" s="62">
        <f>O1322*IF(EXACT(O$8,"abgeschlossen"),1,0)</f>
        <v/>
      </c>
      <c r="P1637" s="62">
        <f>P1322*IF(EXACT(P$8,"abgeschlossen"),1,0)</f>
        <v/>
      </c>
      <c r="Q1637" s="62">
        <f>Q1322*IF(EXACT(Q$8,"abgeschlossen"),1,0)</f>
        <v/>
      </c>
      <c r="R1637" s="62">
        <f>R1322*IF(EXACT(R$8,"abgeschlossen"),1,0)</f>
        <v/>
      </c>
      <c r="S1637" s="62">
        <f>S1322*IF(EXACT(S$8,"abgeschlossen"),1,0)</f>
        <v/>
      </c>
      <c r="T1637" s="62">
        <f>T1322*IF(EXACT(T$8,"abgeschlossen"),1,0)</f>
        <v/>
      </c>
      <c r="U1637" s="62">
        <f>U1322*IF(EXACT(U$8,"abgeschlossen"),1,0)</f>
        <v/>
      </c>
      <c r="V1637" s="62">
        <f>V1322*IF(EXACT(V$8,"abgeschlossen"),1,0)</f>
        <v/>
      </c>
    </row>
    <row r="1638">
      <c r="C1638" s="62">
        <f>C1323*IF(EXACT(C$8,"abgeschlossen"),1,0)</f>
        <v/>
      </c>
      <c r="D1638" s="62">
        <f>D1323*IF(EXACT(D$8,"abgeschlossen"),1,0)</f>
        <v/>
      </c>
      <c r="E1638" s="62">
        <f>E1323*IF(EXACT(E$8,"abgeschlossen"),1,0)</f>
        <v/>
      </c>
      <c r="F1638" s="62">
        <f>F1323*IF(EXACT(F$8,"abgeschlossen"),1,0)</f>
        <v/>
      </c>
      <c r="G1638" s="62">
        <f>G1323*IF(EXACT(G$8,"abgeschlossen"),1,0)</f>
        <v/>
      </c>
      <c r="H1638" s="62">
        <f>H1323*IF(EXACT(H$8,"abgeschlossen"),1,0)</f>
        <v/>
      </c>
      <c r="I1638" s="62">
        <f>I1323*IF(EXACT(I$8,"abgeschlossen"),1,0)</f>
        <v/>
      </c>
      <c r="J1638" s="62">
        <f>J1323*IF(EXACT(J$8,"abgeschlossen"),1,0)</f>
        <v/>
      </c>
      <c r="K1638" s="62">
        <f>K1323*IF(EXACT(K$8,"abgeschlossen"),1,0)</f>
        <v/>
      </c>
      <c r="L1638" s="62">
        <f>L1323*IF(EXACT(L$8,"abgeschlossen"),1,0)</f>
        <v/>
      </c>
      <c r="M1638" s="62">
        <f>M1323*IF(EXACT(M$8,"abgeschlossen"),1,0)</f>
        <v/>
      </c>
      <c r="N1638" s="62">
        <f>N1323*IF(EXACT(N$8,"abgeschlossen"),1,0)</f>
        <v/>
      </c>
      <c r="O1638" s="62">
        <f>O1323*IF(EXACT(O$8,"abgeschlossen"),1,0)</f>
        <v/>
      </c>
      <c r="P1638" s="62">
        <f>P1323*IF(EXACT(P$8,"abgeschlossen"),1,0)</f>
        <v/>
      </c>
      <c r="Q1638" s="62">
        <f>Q1323*IF(EXACT(Q$8,"abgeschlossen"),1,0)</f>
        <v/>
      </c>
      <c r="R1638" s="62">
        <f>R1323*IF(EXACT(R$8,"abgeschlossen"),1,0)</f>
        <v/>
      </c>
      <c r="S1638" s="62">
        <f>S1323*IF(EXACT(S$8,"abgeschlossen"),1,0)</f>
        <v/>
      </c>
      <c r="T1638" s="62">
        <f>T1323*IF(EXACT(T$8,"abgeschlossen"),1,0)</f>
        <v/>
      </c>
      <c r="U1638" s="62">
        <f>U1323*IF(EXACT(U$8,"abgeschlossen"),1,0)</f>
        <v/>
      </c>
      <c r="V1638" s="62">
        <f>V1323*IF(EXACT(V$8,"abgeschlossen"),1,0)</f>
        <v/>
      </c>
    </row>
    <row r="1639">
      <c r="C1639" s="62">
        <f>C1324*IF(EXACT(C$8,"abgeschlossen"),1,0)</f>
        <v/>
      </c>
      <c r="D1639" s="62">
        <f>D1324*IF(EXACT(D$8,"abgeschlossen"),1,0)</f>
        <v/>
      </c>
      <c r="E1639" s="62">
        <f>E1324*IF(EXACT(E$8,"abgeschlossen"),1,0)</f>
        <v/>
      </c>
      <c r="F1639" s="62">
        <f>F1324*IF(EXACT(F$8,"abgeschlossen"),1,0)</f>
        <v/>
      </c>
      <c r="G1639" s="62">
        <f>G1324*IF(EXACT(G$8,"abgeschlossen"),1,0)</f>
        <v/>
      </c>
      <c r="H1639" s="62">
        <f>H1324*IF(EXACT(H$8,"abgeschlossen"),1,0)</f>
        <v/>
      </c>
      <c r="I1639" s="62">
        <f>I1324*IF(EXACT(I$8,"abgeschlossen"),1,0)</f>
        <v/>
      </c>
      <c r="J1639" s="62">
        <f>J1324*IF(EXACT(J$8,"abgeschlossen"),1,0)</f>
        <v/>
      </c>
      <c r="K1639" s="62">
        <f>K1324*IF(EXACT(K$8,"abgeschlossen"),1,0)</f>
        <v/>
      </c>
      <c r="L1639" s="62">
        <f>L1324*IF(EXACT(L$8,"abgeschlossen"),1,0)</f>
        <v/>
      </c>
      <c r="M1639" s="62">
        <f>M1324*IF(EXACT(M$8,"abgeschlossen"),1,0)</f>
        <v/>
      </c>
      <c r="N1639" s="62">
        <f>N1324*IF(EXACT(N$8,"abgeschlossen"),1,0)</f>
        <v/>
      </c>
      <c r="O1639" s="62">
        <f>O1324*IF(EXACT(O$8,"abgeschlossen"),1,0)</f>
        <v/>
      </c>
      <c r="P1639" s="62">
        <f>P1324*IF(EXACT(P$8,"abgeschlossen"),1,0)</f>
        <v/>
      </c>
      <c r="Q1639" s="62">
        <f>Q1324*IF(EXACT(Q$8,"abgeschlossen"),1,0)</f>
        <v/>
      </c>
      <c r="R1639" s="62">
        <f>R1324*IF(EXACT(R$8,"abgeschlossen"),1,0)</f>
        <v/>
      </c>
      <c r="S1639" s="62">
        <f>S1324*IF(EXACT(S$8,"abgeschlossen"),1,0)</f>
        <v/>
      </c>
      <c r="T1639" s="62">
        <f>T1324*IF(EXACT(T$8,"abgeschlossen"),1,0)</f>
        <v/>
      </c>
      <c r="U1639" s="62">
        <f>U1324*IF(EXACT(U$8,"abgeschlossen"),1,0)</f>
        <v/>
      </c>
      <c r="V1639" s="62">
        <f>V1324*IF(EXACT(V$8,"abgeschlossen"),1,0)</f>
        <v/>
      </c>
    </row>
    <row r="1640">
      <c r="C1640" s="62">
        <f>C1325*IF(EXACT(C$8,"abgeschlossen"),1,0)</f>
        <v/>
      </c>
      <c r="D1640" s="62">
        <f>D1325*IF(EXACT(D$8,"abgeschlossen"),1,0)</f>
        <v/>
      </c>
      <c r="E1640" s="62">
        <f>E1325*IF(EXACT(E$8,"abgeschlossen"),1,0)</f>
        <v/>
      </c>
      <c r="F1640" s="62">
        <f>F1325*IF(EXACT(F$8,"abgeschlossen"),1,0)</f>
        <v/>
      </c>
      <c r="G1640" s="62">
        <f>G1325*IF(EXACT(G$8,"abgeschlossen"),1,0)</f>
        <v/>
      </c>
      <c r="H1640" s="62">
        <f>H1325*IF(EXACT(H$8,"abgeschlossen"),1,0)</f>
        <v/>
      </c>
      <c r="I1640" s="62">
        <f>I1325*IF(EXACT(I$8,"abgeschlossen"),1,0)</f>
        <v/>
      </c>
      <c r="J1640" s="62">
        <f>J1325*IF(EXACT(J$8,"abgeschlossen"),1,0)</f>
        <v/>
      </c>
      <c r="K1640" s="62">
        <f>K1325*IF(EXACT(K$8,"abgeschlossen"),1,0)</f>
        <v/>
      </c>
      <c r="L1640" s="62">
        <f>L1325*IF(EXACT(L$8,"abgeschlossen"),1,0)</f>
        <v/>
      </c>
      <c r="M1640" s="62">
        <f>M1325*IF(EXACT(M$8,"abgeschlossen"),1,0)</f>
        <v/>
      </c>
      <c r="N1640" s="62">
        <f>N1325*IF(EXACT(N$8,"abgeschlossen"),1,0)</f>
        <v/>
      </c>
      <c r="O1640" s="62">
        <f>O1325*IF(EXACT(O$8,"abgeschlossen"),1,0)</f>
        <v/>
      </c>
      <c r="P1640" s="62">
        <f>P1325*IF(EXACT(P$8,"abgeschlossen"),1,0)</f>
        <v/>
      </c>
      <c r="Q1640" s="62">
        <f>Q1325*IF(EXACT(Q$8,"abgeschlossen"),1,0)</f>
        <v/>
      </c>
      <c r="R1640" s="62">
        <f>R1325*IF(EXACT(R$8,"abgeschlossen"),1,0)</f>
        <v/>
      </c>
      <c r="S1640" s="62">
        <f>S1325*IF(EXACT(S$8,"abgeschlossen"),1,0)</f>
        <v/>
      </c>
      <c r="T1640" s="62">
        <f>T1325*IF(EXACT(T$8,"abgeschlossen"),1,0)</f>
        <v/>
      </c>
      <c r="U1640" s="62">
        <f>U1325*IF(EXACT(U$8,"abgeschlossen"),1,0)</f>
        <v/>
      </c>
      <c r="V1640" s="62">
        <f>V1325*IF(EXACT(V$8,"abgeschlossen"),1,0)</f>
        <v/>
      </c>
    </row>
    <row r="1641">
      <c r="C1641" s="62">
        <f>C1326*IF(EXACT(C$8,"abgeschlossen"),1,0)</f>
        <v/>
      </c>
      <c r="D1641" s="62">
        <f>D1326*IF(EXACT(D$8,"abgeschlossen"),1,0)</f>
        <v/>
      </c>
      <c r="E1641" s="62">
        <f>E1326*IF(EXACT(E$8,"abgeschlossen"),1,0)</f>
        <v/>
      </c>
      <c r="F1641" s="62">
        <f>F1326*IF(EXACT(F$8,"abgeschlossen"),1,0)</f>
        <v/>
      </c>
      <c r="G1641" s="62">
        <f>G1326*IF(EXACT(G$8,"abgeschlossen"),1,0)</f>
        <v/>
      </c>
      <c r="H1641" s="62">
        <f>H1326*IF(EXACT(H$8,"abgeschlossen"),1,0)</f>
        <v/>
      </c>
      <c r="I1641" s="62">
        <f>I1326*IF(EXACT(I$8,"abgeschlossen"),1,0)</f>
        <v/>
      </c>
      <c r="J1641" s="62">
        <f>J1326*IF(EXACT(J$8,"abgeschlossen"),1,0)</f>
        <v/>
      </c>
      <c r="K1641" s="62">
        <f>K1326*IF(EXACT(K$8,"abgeschlossen"),1,0)</f>
        <v/>
      </c>
      <c r="L1641" s="62">
        <f>L1326*IF(EXACT(L$8,"abgeschlossen"),1,0)</f>
        <v/>
      </c>
      <c r="M1641" s="62">
        <f>M1326*IF(EXACT(M$8,"abgeschlossen"),1,0)</f>
        <v/>
      </c>
      <c r="N1641" s="62">
        <f>N1326*IF(EXACT(N$8,"abgeschlossen"),1,0)</f>
        <v/>
      </c>
      <c r="O1641" s="62">
        <f>O1326*IF(EXACT(O$8,"abgeschlossen"),1,0)</f>
        <v/>
      </c>
      <c r="P1641" s="62">
        <f>P1326*IF(EXACT(P$8,"abgeschlossen"),1,0)</f>
        <v/>
      </c>
      <c r="Q1641" s="62">
        <f>Q1326*IF(EXACT(Q$8,"abgeschlossen"),1,0)</f>
        <v/>
      </c>
      <c r="R1641" s="62">
        <f>R1326*IF(EXACT(R$8,"abgeschlossen"),1,0)</f>
        <v/>
      </c>
      <c r="S1641" s="62">
        <f>S1326*IF(EXACT(S$8,"abgeschlossen"),1,0)</f>
        <v/>
      </c>
      <c r="T1641" s="62">
        <f>T1326*IF(EXACT(T$8,"abgeschlossen"),1,0)</f>
        <v/>
      </c>
      <c r="U1641" s="62">
        <f>U1326*IF(EXACT(U$8,"abgeschlossen"),1,0)</f>
        <v/>
      </c>
      <c r="V1641" s="62">
        <f>V1326*IF(EXACT(V$8,"abgeschlossen"),1,0)</f>
        <v/>
      </c>
    </row>
    <row r="1642">
      <c r="C1642" s="62">
        <f>C1327*IF(EXACT(C$8,"abgeschlossen"),1,0)</f>
        <v/>
      </c>
      <c r="D1642" s="62">
        <f>D1327*IF(EXACT(D$8,"abgeschlossen"),1,0)</f>
        <v/>
      </c>
      <c r="E1642" s="62">
        <f>E1327*IF(EXACT(E$8,"abgeschlossen"),1,0)</f>
        <v/>
      </c>
      <c r="F1642" s="62">
        <f>F1327*IF(EXACT(F$8,"abgeschlossen"),1,0)</f>
        <v/>
      </c>
      <c r="G1642" s="62">
        <f>G1327*IF(EXACT(G$8,"abgeschlossen"),1,0)</f>
        <v/>
      </c>
      <c r="H1642" s="62">
        <f>H1327*IF(EXACT(H$8,"abgeschlossen"),1,0)</f>
        <v/>
      </c>
      <c r="I1642" s="62">
        <f>I1327*IF(EXACT(I$8,"abgeschlossen"),1,0)</f>
        <v/>
      </c>
      <c r="J1642" s="62">
        <f>J1327*IF(EXACT(J$8,"abgeschlossen"),1,0)</f>
        <v/>
      </c>
      <c r="K1642" s="62">
        <f>K1327*IF(EXACT(K$8,"abgeschlossen"),1,0)</f>
        <v/>
      </c>
      <c r="L1642" s="62">
        <f>L1327*IF(EXACT(L$8,"abgeschlossen"),1,0)</f>
        <v/>
      </c>
      <c r="M1642" s="62">
        <f>M1327*IF(EXACT(M$8,"abgeschlossen"),1,0)</f>
        <v/>
      </c>
      <c r="N1642" s="62">
        <f>N1327*IF(EXACT(N$8,"abgeschlossen"),1,0)</f>
        <v/>
      </c>
      <c r="O1642" s="62">
        <f>O1327*IF(EXACT(O$8,"abgeschlossen"),1,0)</f>
        <v/>
      </c>
      <c r="P1642" s="62">
        <f>P1327*IF(EXACT(P$8,"abgeschlossen"),1,0)</f>
        <v/>
      </c>
      <c r="Q1642" s="62">
        <f>Q1327*IF(EXACT(Q$8,"abgeschlossen"),1,0)</f>
        <v/>
      </c>
      <c r="R1642" s="62">
        <f>R1327*IF(EXACT(R$8,"abgeschlossen"),1,0)</f>
        <v/>
      </c>
      <c r="S1642" s="62">
        <f>S1327*IF(EXACT(S$8,"abgeschlossen"),1,0)</f>
        <v/>
      </c>
      <c r="T1642" s="62">
        <f>T1327*IF(EXACT(T$8,"abgeschlossen"),1,0)</f>
        <v/>
      </c>
      <c r="U1642" s="62">
        <f>U1327*IF(EXACT(U$8,"abgeschlossen"),1,0)</f>
        <v/>
      </c>
      <c r="V1642" s="62">
        <f>V1327*IF(EXACT(V$8,"abgeschlossen"),1,0)</f>
        <v/>
      </c>
    </row>
    <row r="1643">
      <c r="C1643" s="62">
        <f>C1328*IF(EXACT(C$8,"abgeschlossen"),1,0)</f>
        <v/>
      </c>
      <c r="D1643" s="62">
        <f>D1328*IF(EXACT(D$8,"abgeschlossen"),1,0)</f>
        <v/>
      </c>
      <c r="E1643" s="62">
        <f>E1328*IF(EXACT(E$8,"abgeschlossen"),1,0)</f>
        <v/>
      </c>
      <c r="F1643" s="62">
        <f>F1328*IF(EXACT(F$8,"abgeschlossen"),1,0)</f>
        <v/>
      </c>
      <c r="G1643" s="62">
        <f>G1328*IF(EXACT(G$8,"abgeschlossen"),1,0)</f>
        <v/>
      </c>
      <c r="H1643" s="62">
        <f>H1328*IF(EXACT(H$8,"abgeschlossen"),1,0)</f>
        <v/>
      </c>
      <c r="I1643" s="62">
        <f>I1328*IF(EXACT(I$8,"abgeschlossen"),1,0)</f>
        <v/>
      </c>
      <c r="J1643" s="62">
        <f>J1328*IF(EXACT(J$8,"abgeschlossen"),1,0)</f>
        <v/>
      </c>
      <c r="K1643" s="62">
        <f>K1328*IF(EXACT(K$8,"abgeschlossen"),1,0)</f>
        <v/>
      </c>
      <c r="L1643" s="62">
        <f>L1328*IF(EXACT(L$8,"abgeschlossen"),1,0)</f>
        <v/>
      </c>
      <c r="M1643" s="62">
        <f>M1328*IF(EXACT(M$8,"abgeschlossen"),1,0)</f>
        <v/>
      </c>
      <c r="N1643" s="62">
        <f>N1328*IF(EXACT(N$8,"abgeschlossen"),1,0)</f>
        <v/>
      </c>
      <c r="O1643" s="62">
        <f>O1328*IF(EXACT(O$8,"abgeschlossen"),1,0)</f>
        <v/>
      </c>
      <c r="P1643" s="62">
        <f>P1328*IF(EXACT(P$8,"abgeschlossen"),1,0)</f>
        <v/>
      </c>
      <c r="Q1643" s="62">
        <f>Q1328*IF(EXACT(Q$8,"abgeschlossen"),1,0)</f>
        <v/>
      </c>
      <c r="R1643" s="62">
        <f>R1328*IF(EXACT(R$8,"abgeschlossen"),1,0)</f>
        <v/>
      </c>
      <c r="S1643" s="62">
        <f>S1328*IF(EXACT(S$8,"abgeschlossen"),1,0)</f>
        <v/>
      </c>
      <c r="T1643" s="62">
        <f>T1328*IF(EXACT(T$8,"abgeschlossen"),1,0)</f>
        <v/>
      </c>
      <c r="U1643" s="62">
        <f>U1328*IF(EXACT(U$8,"abgeschlossen"),1,0)</f>
        <v/>
      </c>
      <c r="V1643" s="62">
        <f>V1328*IF(EXACT(V$8,"abgeschlossen"),1,0)</f>
        <v/>
      </c>
    </row>
    <row r="1644">
      <c r="C1644" s="62">
        <f>C1329*IF(EXACT(C$8,"abgeschlossen"),1,0)</f>
        <v/>
      </c>
      <c r="D1644" s="62">
        <f>D1329*IF(EXACT(D$8,"abgeschlossen"),1,0)</f>
        <v/>
      </c>
      <c r="E1644" s="62">
        <f>E1329*IF(EXACT(E$8,"abgeschlossen"),1,0)</f>
        <v/>
      </c>
      <c r="F1644" s="62">
        <f>F1329*IF(EXACT(F$8,"abgeschlossen"),1,0)</f>
        <v/>
      </c>
      <c r="G1644" s="62">
        <f>G1329*IF(EXACT(G$8,"abgeschlossen"),1,0)</f>
        <v/>
      </c>
      <c r="H1644" s="62">
        <f>H1329*IF(EXACT(H$8,"abgeschlossen"),1,0)</f>
        <v/>
      </c>
      <c r="I1644" s="62">
        <f>I1329*IF(EXACT(I$8,"abgeschlossen"),1,0)</f>
        <v/>
      </c>
      <c r="J1644" s="62">
        <f>J1329*IF(EXACT(J$8,"abgeschlossen"),1,0)</f>
        <v/>
      </c>
      <c r="K1644" s="62">
        <f>K1329*IF(EXACT(K$8,"abgeschlossen"),1,0)</f>
        <v/>
      </c>
      <c r="L1644" s="62">
        <f>L1329*IF(EXACT(L$8,"abgeschlossen"),1,0)</f>
        <v/>
      </c>
      <c r="M1644" s="62">
        <f>M1329*IF(EXACT(M$8,"abgeschlossen"),1,0)</f>
        <v/>
      </c>
      <c r="N1644" s="62">
        <f>N1329*IF(EXACT(N$8,"abgeschlossen"),1,0)</f>
        <v/>
      </c>
      <c r="O1644" s="62">
        <f>O1329*IF(EXACT(O$8,"abgeschlossen"),1,0)</f>
        <v/>
      </c>
      <c r="P1644" s="62">
        <f>P1329*IF(EXACT(P$8,"abgeschlossen"),1,0)</f>
        <v/>
      </c>
      <c r="Q1644" s="62">
        <f>Q1329*IF(EXACT(Q$8,"abgeschlossen"),1,0)</f>
        <v/>
      </c>
      <c r="R1644" s="62">
        <f>R1329*IF(EXACT(R$8,"abgeschlossen"),1,0)</f>
        <v/>
      </c>
      <c r="S1644" s="62">
        <f>S1329*IF(EXACT(S$8,"abgeschlossen"),1,0)</f>
        <v/>
      </c>
      <c r="T1644" s="62">
        <f>T1329*IF(EXACT(T$8,"abgeschlossen"),1,0)</f>
        <v/>
      </c>
      <c r="U1644" s="62">
        <f>U1329*IF(EXACT(U$8,"abgeschlossen"),1,0)</f>
        <v/>
      </c>
      <c r="V1644" s="62">
        <f>V1329*IF(EXACT(V$8,"abgeschlossen"),1,0)</f>
        <v/>
      </c>
    </row>
    <row r="1645">
      <c r="C1645" s="62">
        <f>C1330*IF(EXACT(C$8,"abgeschlossen"),1,0)</f>
        <v/>
      </c>
      <c r="D1645" s="62">
        <f>D1330*IF(EXACT(D$8,"abgeschlossen"),1,0)</f>
        <v/>
      </c>
      <c r="E1645" s="62">
        <f>E1330*IF(EXACT(E$8,"abgeschlossen"),1,0)</f>
        <v/>
      </c>
      <c r="F1645" s="62">
        <f>F1330*IF(EXACT(F$8,"abgeschlossen"),1,0)</f>
        <v/>
      </c>
      <c r="G1645" s="62">
        <f>G1330*IF(EXACT(G$8,"abgeschlossen"),1,0)</f>
        <v/>
      </c>
      <c r="H1645" s="62">
        <f>H1330*IF(EXACT(H$8,"abgeschlossen"),1,0)</f>
        <v/>
      </c>
      <c r="I1645" s="62">
        <f>I1330*IF(EXACT(I$8,"abgeschlossen"),1,0)</f>
        <v/>
      </c>
      <c r="J1645" s="62">
        <f>J1330*IF(EXACT(J$8,"abgeschlossen"),1,0)</f>
        <v/>
      </c>
      <c r="K1645" s="62">
        <f>K1330*IF(EXACT(K$8,"abgeschlossen"),1,0)</f>
        <v/>
      </c>
      <c r="L1645" s="62">
        <f>L1330*IF(EXACT(L$8,"abgeschlossen"),1,0)</f>
        <v/>
      </c>
      <c r="M1645" s="62">
        <f>M1330*IF(EXACT(M$8,"abgeschlossen"),1,0)</f>
        <v/>
      </c>
      <c r="N1645" s="62">
        <f>N1330*IF(EXACT(N$8,"abgeschlossen"),1,0)</f>
        <v/>
      </c>
      <c r="O1645" s="62">
        <f>O1330*IF(EXACT(O$8,"abgeschlossen"),1,0)</f>
        <v/>
      </c>
      <c r="P1645" s="62">
        <f>P1330*IF(EXACT(P$8,"abgeschlossen"),1,0)</f>
        <v/>
      </c>
      <c r="Q1645" s="62">
        <f>Q1330*IF(EXACT(Q$8,"abgeschlossen"),1,0)</f>
        <v/>
      </c>
      <c r="R1645" s="62">
        <f>R1330*IF(EXACT(R$8,"abgeschlossen"),1,0)</f>
        <v/>
      </c>
      <c r="S1645" s="62">
        <f>S1330*IF(EXACT(S$8,"abgeschlossen"),1,0)</f>
        <v/>
      </c>
      <c r="T1645" s="62">
        <f>T1330*IF(EXACT(T$8,"abgeschlossen"),1,0)</f>
        <v/>
      </c>
      <c r="U1645" s="62">
        <f>U1330*IF(EXACT(U$8,"abgeschlossen"),1,0)</f>
        <v/>
      </c>
      <c r="V1645" s="62">
        <f>V1330*IF(EXACT(V$8,"abgeschlossen"),1,0)</f>
        <v/>
      </c>
    </row>
    <row r="1646">
      <c r="C1646" s="62">
        <f>C1331*IF(EXACT(C$8,"abgeschlossen"),1,0)</f>
        <v/>
      </c>
      <c r="D1646" s="62">
        <f>D1331*IF(EXACT(D$8,"abgeschlossen"),1,0)</f>
        <v/>
      </c>
      <c r="E1646" s="62">
        <f>E1331*IF(EXACT(E$8,"abgeschlossen"),1,0)</f>
        <v/>
      </c>
      <c r="F1646" s="62">
        <f>F1331*IF(EXACT(F$8,"abgeschlossen"),1,0)</f>
        <v/>
      </c>
      <c r="G1646" s="62">
        <f>G1331*IF(EXACT(G$8,"abgeschlossen"),1,0)</f>
        <v/>
      </c>
      <c r="H1646" s="62">
        <f>H1331*IF(EXACT(H$8,"abgeschlossen"),1,0)</f>
        <v/>
      </c>
      <c r="I1646" s="62">
        <f>I1331*IF(EXACT(I$8,"abgeschlossen"),1,0)</f>
        <v/>
      </c>
      <c r="J1646" s="62">
        <f>J1331*IF(EXACT(J$8,"abgeschlossen"),1,0)</f>
        <v/>
      </c>
      <c r="K1646" s="62">
        <f>K1331*IF(EXACT(K$8,"abgeschlossen"),1,0)</f>
        <v/>
      </c>
      <c r="L1646" s="62">
        <f>L1331*IF(EXACT(L$8,"abgeschlossen"),1,0)</f>
        <v/>
      </c>
      <c r="M1646" s="62">
        <f>M1331*IF(EXACT(M$8,"abgeschlossen"),1,0)</f>
        <v/>
      </c>
      <c r="N1646" s="62">
        <f>N1331*IF(EXACT(N$8,"abgeschlossen"),1,0)</f>
        <v/>
      </c>
      <c r="O1646" s="62">
        <f>O1331*IF(EXACT(O$8,"abgeschlossen"),1,0)</f>
        <v/>
      </c>
      <c r="P1646" s="62">
        <f>P1331*IF(EXACT(P$8,"abgeschlossen"),1,0)</f>
        <v/>
      </c>
      <c r="Q1646" s="62">
        <f>Q1331*IF(EXACT(Q$8,"abgeschlossen"),1,0)</f>
        <v/>
      </c>
      <c r="R1646" s="62">
        <f>R1331*IF(EXACT(R$8,"abgeschlossen"),1,0)</f>
        <v/>
      </c>
      <c r="S1646" s="62">
        <f>S1331*IF(EXACT(S$8,"abgeschlossen"),1,0)</f>
        <v/>
      </c>
      <c r="T1646" s="62">
        <f>T1331*IF(EXACT(T$8,"abgeschlossen"),1,0)</f>
        <v/>
      </c>
      <c r="U1646" s="62">
        <f>U1331*IF(EXACT(U$8,"abgeschlossen"),1,0)</f>
        <v/>
      </c>
      <c r="V1646" s="62">
        <f>V1331*IF(EXACT(V$8,"abgeschlossen"),1,0)</f>
        <v/>
      </c>
    </row>
    <row r="1647">
      <c r="C1647" s="62">
        <f>C1332*IF(EXACT(C$8,"abgeschlossen"),1,0)</f>
        <v/>
      </c>
      <c r="D1647" s="62">
        <f>D1332*IF(EXACT(D$8,"abgeschlossen"),1,0)</f>
        <v/>
      </c>
      <c r="E1647" s="62">
        <f>E1332*IF(EXACT(E$8,"abgeschlossen"),1,0)</f>
        <v/>
      </c>
      <c r="F1647" s="62">
        <f>F1332*IF(EXACT(F$8,"abgeschlossen"),1,0)</f>
        <v/>
      </c>
      <c r="G1647" s="62">
        <f>G1332*IF(EXACT(G$8,"abgeschlossen"),1,0)</f>
        <v/>
      </c>
      <c r="H1647" s="62">
        <f>H1332*IF(EXACT(H$8,"abgeschlossen"),1,0)</f>
        <v/>
      </c>
      <c r="I1647" s="62">
        <f>I1332*IF(EXACT(I$8,"abgeschlossen"),1,0)</f>
        <v/>
      </c>
      <c r="J1647" s="62">
        <f>J1332*IF(EXACT(J$8,"abgeschlossen"),1,0)</f>
        <v/>
      </c>
      <c r="K1647" s="62">
        <f>K1332*IF(EXACT(K$8,"abgeschlossen"),1,0)</f>
        <v/>
      </c>
      <c r="L1647" s="62">
        <f>L1332*IF(EXACT(L$8,"abgeschlossen"),1,0)</f>
        <v/>
      </c>
      <c r="M1647" s="62">
        <f>M1332*IF(EXACT(M$8,"abgeschlossen"),1,0)</f>
        <v/>
      </c>
      <c r="N1647" s="62">
        <f>N1332*IF(EXACT(N$8,"abgeschlossen"),1,0)</f>
        <v/>
      </c>
      <c r="O1647" s="62">
        <f>O1332*IF(EXACT(O$8,"abgeschlossen"),1,0)</f>
        <v/>
      </c>
      <c r="P1647" s="62">
        <f>P1332*IF(EXACT(P$8,"abgeschlossen"),1,0)</f>
        <v/>
      </c>
      <c r="Q1647" s="62">
        <f>Q1332*IF(EXACT(Q$8,"abgeschlossen"),1,0)</f>
        <v/>
      </c>
      <c r="R1647" s="62">
        <f>R1332*IF(EXACT(R$8,"abgeschlossen"),1,0)</f>
        <v/>
      </c>
      <c r="S1647" s="62">
        <f>S1332*IF(EXACT(S$8,"abgeschlossen"),1,0)</f>
        <v/>
      </c>
      <c r="T1647" s="62">
        <f>T1332*IF(EXACT(T$8,"abgeschlossen"),1,0)</f>
        <v/>
      </c>
      <c r="U1647" s="62">
        <f>U1332*IF(EXACT(U$8,"abgeschlossen"),1,0)</f>
        <v/>
      </c>
      <c r="V1647" s="62">
        <f>V1332*IF(EXACT(V$8,"abgeschlossen"),1,0)</f>
        <v/>
      </c>
    </row>
    <row r="1648">
      <c r="C1648" s="62">
        <f>C1333*IF(EXACT(C$8,"abgeschlossen"),1,0)</f>
        <v/>
      </c>
      <c r="D1648" s="62">
        <f>D1333*IF(EXACT(D$8,"abgeschlossen"),1,0)</f>
        <v/>
      </c>
      <c r="E1648" s="62">
        <f>E1333*IF(EXACT(E$8,"abgeschlossen"),1,0)</f>
        <v/>
      </c>
      <c r="F1648" s="62">
        <f>F1333*IF(EXACT(F$8,"abgeschlossen"),1,0)</f>
        <v/>
      </c>
      <c r="G1648" s="62">
        <f>G1333*IF(EXACT(G$8,"abgeschlossen"),1,0)</f>
        <v/>
      </c>
      <c r="H1648" s="62">
        <f>H1333*IF(EXACT(H$8,"abgeschlossen"),1,0)</f>
        <v/>
      </c>
      <c r="I1648" s="62">
        <f>I1333*IF(EXACT(I$8,"abgeschlossen"),1,0)</f>
        <v/>
      </c>
      <c r="J1648" s="62">
        <f>J1333*IF(EXACT(J$8,"abgeschlossen"),1,0)</f>
        <v/>
      </c>
      <c r="K1648" s="62">
        <f>K1333*IF(EXACT(K$8,"abgeschlossen"),1,0)</f>
        <v/>
      </c>
      <c r="L1648" s="62">
        <f>L1333*IF(EXACT(L$8,"abgeschlossen"),1,0)</f>
        <v/>
      </c>
      <c r="M1648" s="62">
        <f>M1333*IF(EXACT(M$8,"abgeschlossen"),1,0)</f>
        <v/>
      </c>
      <c r="N1648" s="62">
        <f>N1333*IF(EXACT(N$8,"abgeschlossen"),1,0)</f>
        <v/>
      </c>
      <c r="O1648" s="62">
        <f>O1333*IF(EXACT(O$8,"abgeschlossen"),1,0)</f>
        <v/>
      </c>
      <c r="P1648" s="62">
        <f>P1333*IF(EXACT(P$8,"abgeschlossen"),1,0)</f>
        <v/>
      </c>
      <c r="Q1648" s="62">
        <f>Q1333*IF(EXACT(Q$8,"abgeschlossen"),1,0)</f>
        <v/>
      </c>
      <c r="R1648" s="62">
        <f>R1333*IF(EXACT(R$8,"abgeschlossen"),1,0)</f>
        <v/>
      </c>
      <c r="S1648" s="62">
        <f>S1333*IF(EXACT(S$8,"abgeschlossen"),1,0)</f>
        <v/>
      </c>
      <c r="T1648" s="62">
        <f>T1333*IF(EXACT(T$8,"abgeschlossen"),1,0)</f>
        <v/>
      </c>
      <c r="U1648" s="62">
        <f>U1333*IF(EXACT(U$8,"abgeschlossen"),1,0)</f>
        <v/>
      </c>
      <c r="V1648" s="62">
        <f>V1333*IF(EXACT(V$8,"abgeschlossen"),1,0)</f>
        <v/>
      </c>
    </row>
    <row r="1649">
      <c r="C1649" s="62">
        <f>C1334*IF(EXACT(C$8,"abgeschlossen"),1,0)</f>
        <v/>
      </c>
      <c r="D1649" s="62">
        <f>D1334*IF(EXACT(D$8,"abgeschlossen"),1,0)</f>
        <v/>
      </c>
      <c r="E1649" s="62">
        <f>E1334*IF(EXACT(E$8,"abgeschlossen"),1,0)</f>
        <v/>
      </c>
      <c r="F1649" s="62">
        <f>F1334*IF(EXACT(F$8,"abgeschlossen"),1,0)</f>
        <v/>
      </c>
      <c r="G1649" s="62">
        <f>G1334*IF(EXACT(G$8,"abgeschlossen"),1,0)</f>
        <v/>
      </c>
      <c r="H1649" s="62">
        <f>H1334*IF(EXACT(H$8,"abgeschlossen"),1,0)</f>
        <v/>
      </c>
      <c r="I1649" s="62">
        <f>I1334*IF(EXACT(I$8,"abgeschlossen"),1,0)</f>
        <v/>
      </c>
      <c r="J1649" s="62">
        <f>J1334*IF(EXACT(J$8,"abgeschlossen"),1,0)</f>
        <v/>
      </c>
      <c r="K1649" s="62">
        <f>K1334*IF(EXACT(K$8,"abgeschlossen"),1,0)</f>
        <v/>
      </c>
      <c r="L1649" s="62">
        <f>L1334*IF(EXACT(L$8,"abgeschlossen"),1,0)</f>
        <v/>
      </c>
      <c r="M1649" s="62">
        <f>M1334*IF(EXACT(M$8,"abgeschlossen"),1,0)</f>
        <v/>
      </c>
      <c r="N1649" s="62">
        <f>N1334*IF(EXACT(N$8,"abgeschlossen"),1,0)</f>
        <v/>
      </c>
      <c r="O1649" s="62">
        <f>O1334*IF(EXACT(O$8,"abgeschlossen"),1,0)</f>
        <v/>
      </c>
      <c r="P1649" s="62">
        <f>P1334*IF(EXACT(P$8,"abgeschlossen"),1,0)</f>
        <v/>
      </c>
      <c r="Q1649" s="62">
        <f>Q1334*IF(EXACT(Q$8,"abgeschlossen"),1,0)</f>
        <v/>
      </c>
      <c r="R1649" s="62">
        <f>R1334*IF(EXACT(R$8,"abgeschlossen"),1,0)</f>
        <v/>
      </c>
      <c r="S1649" s="62">
        <f>S1334*IF(EXACT(S$8,"abgeschlossen"),1,0)</f>
        <v/>
      </c>
      <c r="T1649" s="62">
        <f>T1334*IF(EXACT(T$8,"abgeschlossen"),1,0)</f>
        <v/>
      </c>
      <c r="U1649" s="62">
        <f>U1334*IF(EXACT(U$8,"abgeschlossen"),1,0)</f>
        <v/>
      </c>
      <c r="V1649" s="62">
        <f>V1334*IF(EXACT(V$8,"abgeschlossen"),1,0)</f>
        <v/>
      </c>
    </row>
    <row r="1650">
      <c r="C1650" s="62">
        <f>C1335*IF(EXACT(C$8,"abgeschlossen"),1,0)</f>
        <v/>
      </c>
      <c r="D1650" s="62">
        <f>D1335*IF(EXACT(D$8,"abgeschlossen"),1,0)</f>
        <v/>
      </c>
      <c r="E1650" s="62">
        <f>E1335*IF(EXACT(E$8,"abgeschlossen"),1,0)</f>
        <v/>
      </c>
      <c r="F1650" s="62">
        <f>F1335*IF(EXACT(F$8,"abgeschlossen"),1,0)</f>
        <v/>
      </c>
      <c r="G1650" s="62">
        <f>G1335*IF(EXACT(G$8,"abgeschlossen"),1,0)</f>
        <v/>
      </c>
      <c r="H1650" s="62">
        <f>H1335*IF(EXACT(H$8,"abgeschlossen"),1,0)</f>
        <v/>
      </c>
      <c r="I1650" s="62">
        <f>I1335*IF(EXACT(I$8,"abgeschlossen"),1,0)</f>
        <v/>
      </c>
      <c r="J1650" s="62">
        <f>J1335*IF(EXACT(J$8,"abgeschlossen"),1,0)</f>
        <v/>
      </c>
      <c r="K1650" s="62">
        <f>K1335*IF(EXACT(K$8,"abgeschlossen"),1,0)</f>
        <v/>
      </c>
      <c r="L1650" s="62">
        <f>L1335*IF(EXACT(L$8,"abgeschlossen"),1,0)</f>
        <v/>
      </c>
      <c r="M1650" s="62">
        <f>M1335*IF(EXACT(M$8,"abgeschlossen"),1,0)</f>
        <v/>
      </c>
      <c r="N1650" s="62">
        <f>N1335*IF(EXACT(N$8,"abgeschlossen"),1,0)</f>
        <v/>
      </c>
      <c r="O1650" s="62">
        <f>O1335*IF(EXACT(O$8,"abgeschlossen"),1,0)</f>
        <v/>
      </c>
      <c r="P1650" s="62">
        <f>P1335*IF(EXACT(P$8,"abgeschlossen"),1,0)</f>
        <v/>
      </c>
      <c r="Q1650" s="62">
        <f>Q1335*IF(EXACT(Q$8,"abgeschlossen"),1,0)</f>
        <v/>
      </c>
      <c r="R1650" s="62">
        <f>R1335*IF(EXACT(R$8,"abgeschlossen"),1,0)</f>
        <v/>
      </c>
      <c r="S1650" s="62">
        <f>S1335*IF(EXACT(S$8,"abgeschlossen"),1,0)</f>
        <v/>
      </c>
      <c r="T1650" s="62">
        <f>T1335*IF(EXACT(T$8,"abgeschlossen"),1,0)</f>
        <v/>
      </c>
      <c r="U1650" s="62">
        <f>U1335*IF(EXACT(U$8,"abgeschlossen"),1,0)</f>
        <v/>
      </c>
      <c r="V1650" s="62">
        <f>V1335*IF(EXACT(V$8,"abgeschlossen"),1,0)</f>
        <v/>
      </c>
    </row>
    <row r="1651">
      <c r="C1651" s="62">
        <f>C1336*IF(EXACT(C$8,"abgeschlossen"),1,0)</f>
        <v/>
      </c>
      <c r="D1651" s="62">
        <f>D1336*IF(EXACT(D$8,"abgeschlossen"),1,0)</f>
        <v/>
      </c>
      <c r="E1651" s="62">
        <f>E1336*IF(EXACT(E$8,"abgeschlossen"),1,0)</f>
        <v/>
      </c>
      <c r="F1651" s="62">
        <f>F1336*IF(EXACT(F$8,"abgeschlossen"),1,0)</f>
        <v/>
      </c>
      <c r="G1651" s="62">
        <f>G1336*IF(EXACT(G$8,"abgeschlossen"),1,0)</f>
        <v/>
      </c>
      <c r="H1651" s="62">
        <f>H1336*IF(EXACT(H$8,"abgeschlossen"),1,0)</f>
        <v/>
      </c>
      <c r="I1651" s="62">
        <f>I1336*IF(EXACT(I$8,"abgeschlossen"),1,0)</f>
        <v/>
      </c>
      <c r="J1651" s="62">
        <f>J1336*IF(EXACT(J$8,"abgeschlossen"),1,0)</f>
        <v/>
      </c>
      <c r="K1651" s="62">
        <f>K1336*IF(EXACT(K$8,"abgeschlossen"),1,0)</f>
        <v/>
      </c>
      <c r="L1651" s="62">
        <f>L1336*IF(EXACT(L$8,"abgeschlossen"),1,0)</f>
        <v/>
      </c>
      <c r="M1651" s="62">
        <f>M1336*IF(EXACT(M$8,"abgeschlossen"),1,0)</f>
        <v/>
      </c>
      <c r="N1651" s="62">
        <f>N1336*IF(EXACT(N$8,"abgeschlossen"),1,0)</f>
        <v/>
      </c>
      <c r="O1651" s="62">
        <f>O1336*IF(EXACT(O$8,"abgeschlossen"),1,0)</f>
        <v/>
      </c>
      <c r="P1651" s="62">
        <f>P1336*IF(EXACT(P$8,"abgeschlossen"),1,0)</f>
        <v/>
      </c>
      <c r="Q1651" s="62">
        <f>Q1336*IF(EXACT(Q$8,"abgeschlossen"),1,0)</f>
        <v/>
      </c>
      <c r="R1651" s="62">
        <f>R1336*IF(EXACT(R$8,"abgeschlossen"),1,0)</f>
        <v/>
      </c>
      <c r="S1651" s="62">
        <f>S1336*IF(EXACT(S$8,"abgeschlossen"),1,0)</f>
        <v/>
      </c>
      <c r="T1651" s="62">
        <f>T1336*IF(EXACT(T$8,"abgeschlossen"),1,0)</f>
        <v/>
      </c>
      <c r="U1651" s="62">
        <f>U1336*IF(EXACT(U$8,"abgeschlossen"),1,0)</f>
        <v/>
      </c>
      <c r="V1651" s="62">
        <f>V1336*IF(EXACT(V$8,"abgeschlossen"),1,0)</f>
        <v/>
      </c>
    </row>
    <row r="1652">
      <c r="C1652" s="62">
        <f>C1337*IF(EXACT(C$8,"abgeschlossen"),1,0)</f>
        <v/>
      </c>
      <c r="D1652" s="62">
        <f>D1337*IF(EXACT(D$8,"abgeschlossen"),1,0)</f>
        <v/>
      </c>
      <c r="E1652" s="62">
        <f>E1337*IF(EXACT(E$8,"abgeschlossen"),1,0)</f>
        <v/>
      </c>
      <c r="F1652" s="62">
        <f>F1337*IF(EXACT(F$8,"abgeschlossen"),1,0)</f>
        <v/>
      </c>
      <c r="G1652" s="62">
        <f>G1337*IF(EXACT(G$8,"abgeschlossen"),1,0)</f>
        <v/>
      </c>
      <c r="H1652" s="62">
        <f>H1337*IF(EXACT(H$8,"abgeschlossen"),1,0)</f>
        <v/>
      </c>
      <c r="I1652" s="62">
        <f>I1337*IF(EXACT(I$8,"abgeschlossen"),1,0)</f>
        <v/>
      </c>
      <c r="J1652" s="62">
        <f>J1337*IF(EXACT(J$8,"abgeschlossen"),1,0)</f>
        <v/>
      </c>
      <c r="K1652" s="62">
        <f>K1337*IF(EXACT(K$8,"abgeschlossen"),1,0)</f>
        <v/>
      </c>
      <c r="L1652" s="62">
        <f>L1337*IF(EXACT(L$8,"abgeschlossen"),1,0)</f>
        <v/>
      </c>
      <c r="M1652" s="62">
        <f>M1337*IF(EXACT(M$8,"abgeschlossen"),1,0)</f>
        <v/>
      </c>
      <c r="N1652" s="62">
        <f>N1337*IF(EXACT(N$8,"abgeschlossen"),1,0)</f>
        <v/>
      </c>
      <c r="O1652" s="62">
        <f>O1337*IF(EXACT(O$8,"abgeschlossen"),1,0)</f>
        <v/>
      </c>
      <c r="P1652" s="62">
        <f>P1337*IF(EXACT(P$8,"abgeschlossen"),1,0)</f>
        <v/>
      </c>
      <c r="Q1652" s="62">
        <f>Q1337*IF(EXACT(Q$8,"abgeschlossen"),1,0)</f>
        <v/>
      </c>
      <c r="R1652" s="62">
        <f>R1337*IF(EXACT(R$8,"abgeschlossen"),1,0)</f>
        <v/>
      </c>
      <c r="S1652" s="62">
        <f>S1337*IF(EXACT(S$8,"abgeschlossen"),1,0)</f>
        <v/>
      </c>
      <c r="T1652" s="62">
        <f>T1337*IF(EXACT(T$8,"abgeschlossen"),1,0)</f>
        <v/>
      </c>
      <c r="U1652" s="62">
        <f>U1337*IF(EXACT(U$8,"abgeschlossen"),1,0)</f>
        <v/>
      </c>
      <c r="V1652" s="62">
        <f>V1337*IF(EXACT(V$8,"abgeschlossen"),1,0)</f>
        <v/>
      </c>
    </row>
    <row r="1653">
      <c r="C1653" s="62">
        <f>C1338*IF(EXACT(C$8,"abgeschlossen"),1,0)</f>
        <v/>
      </c>
      <c r="D1653" s="62">
        <f>D1338*IF(EXACT(D$8,"abgeschlossen"),1,0)</f>
        <v/>
      </c>
      <c r="E1653" s="62">
        <f>E1338*IF(EXACT(E$8,"abgeschlossen"),1,0)</f>
        <v/>
      </c>
      <c r="F1653" s="62">
        <f>F1338*IF(EXACT(F$8,"abgeschlossen"),1,0)</f>
        <v/>
      </c>
      <c r="G1653" s="62">
        <f>G1338*IF(EXACT(G$8,"abgeschlossen"),1,0)</f>
        <v/>
      </c>
      <c r="H1653" s="62">
        <f>H1338*IF(EXACT(H$8,"abgeschlossen"),1,0)</f>
        <v/>
      </c>
      <c r="I1653" s="62">
        <f>I1338*IF(EXACT(I$8,"abgeschlossen"),1,0)</f>
        <v/>
      </c>
      <c r="J1653" s="62">
        <f>J1338*IF(EXACT(J$8,"abgeschlossen"),1,0)</f>
        <v/>
      </c>
      <c r="K1653" s="62">
        <f>K1338*IF(EXACT(K$8,"abgeschlossen"),1,0)</f>
        <v/>
      </c>
      <c r="L1653" s="62">
        <f>L1338*IF(EXACT(L$8,"abgeschlossen"),1,0)</f>
        <v/>
      </c>
      <c r="M1653" s="62">
        <f>M1338*IF(EXACT(M$8,"abgeschlossen"),1,0)</f>
        <v/>
      </c>
      <c r="N1653" s="62">
        <f>N1338*IF(EXACT(N$8,"abgeschlossen"),1,0)</f>
        <v/>
      </c>
      <c r="O1653" s="62">
        <f>O1338*IF(EXACT(O$8,"abgeschlossen"),1,0)</f>
        <v/>
      </c>
      <c r="P1653" s="62">
        <f>P1338*IF(EXACT(P$8,"abgeschlossen"),1,0)</f>
        <v/>
      </c>
      <c r="Q1653" s="62">
        <f>Q1338*IF(EXACT(Q$8,"abgeschlossen"),1,0)</f>
        <v/>
      </c>
      <c r="R1653" s="62">
        <f>R1338*IF(EXACT(R$8,"abgeschlossen"),1,0)</f>
        <v/>
      </c>
      <c r="S1653" s="62">
        <f>S1338*IF(EXACT(S$8,"abgeschlossen"),1,0)</f>
        <v/>
      </c>
      <c r="T1653" s="62">
        <f>T1338*IF(EXACT(T$8,"abgeschlossen"),1,0)</f>
        <v/>
      </c>
      <c r="U1653" s="62">
        <f>U1338*IF(EXACT(U$8,"abgeschlossen"),1,0)</f>
        <v/>
      </c>
      <c r="V1653" s="62">
        <f>V1338*IF(EXACT(V$8,"abgeschlossen"),1,0)</f>
        <v/>
      </c>
    </row>
    <row r="1654">
      <c r="C1654" s="62">
        <f>C1339*IF(EXACT(C$8,"abgeschlossen"),1,0)</f>
        <v/>
      </c>
      <c r="D1654" s="62">
        <f>D1339*IF(EXACT(D$8,"abgeschlossen"),1,0)</f>
        <v/>
      </c>
      <c r="E1654" s="62">
        <f>E1339*IF(EXACT(E$8,"abgeschlossen"),1,0)</f>
        <v/>
      </c>
      <c r="F1654" s="62">
        <f>F1339*IF(EXACT(F$8,"abgeschlossen"),1,0)</f>
        <v/>
      </c>
      <c r="G1654" s="62">
        <f>G1339*IF(EXACT(G$8,"abgeschlossen"),1,0)</f>
        <v/>
      </c>
      <c r="H1654" s="62">
        <f>H1339*IF(EXACT(H$8,"abgeschlossen"),1,0)</f>
        <v/>
      </c>
      <c r="I1654" s="62">
        <f>I1339*IF(EXACT(I$8,"abgeschlossen"),1,0)</f>
        <v/>
      </c>
      <c r="J1654" s="62">
        <f>J1339*IF(EXACT(J$8,"abgeschlossen"),1,0)</f>
        <v/>
      </c>
      <c r="K1654" s="62">
        <f>K1339*IF(EXACT(K$8,"abgeschlossen"),1,0)</f>
        <v/>
      </c>
      <c r="L1654" s="62">
        <f>L1339*IF(EXACT(L$8,"abgeschlossen"),1,0)</f>
        <v/>
      </c>
      <c r="M1654" s="62">
        <f>M1339*IF(EXACT(M$8,"abgeschlossen"),1,0)</f>
        <v/>
      </c>
      <c r="N1654" s="62">
        <f>N1339*IF(EXACT(N$8,"abgeschlossen"),1,0)</f>
        <v/>
      </c>
      <c r="O1654" s="62">
        <f>O1339*IF(EXACT(O$8,"abgeschlossen"),1,0)</f>
        <v/>
      </c>
      <c r="P1654" s="62">
        <f>P1339*IF(EXACT(P$8,"abgeschlossen"),1,0)</f>
        <v/>
      </c>
      <c r="Q1654" s="62">
        <f>Q1339*IF(EXACT(Q$8,"abgeschlossen"),1,0)</f>
        <v/>
      </c>
      <c r="R1654" s="62">
        <f>R1339*IF(EXACT(R$8,"abgeschlossen"),1,0)</f>
        <v/>
      </c>
      <c r="S1654" s="62">
        <f>S1339*IF(EXACT(S$8,"abgeschlossen"),1,0)</f>
        <v/>
      </c>
      <c r="T1654" s="62">
        <f>T1339*IF(EXACT(T$8,"abgeschlossen"),1,0)</f>
        <v/>
      </c>
      <c r="U1654" s="62">
        <f>U1339*IF(EXACT(U$8,"abgeschlossen"),1,0)</f>
        <v/>
      </c>
      <c r="V1654" s="62">
        <f>V1339*IF(EXACT(V$8,"abgeschlossen"),1,0)</f>
        <v/>
      </c>
    </row>
    <row r="1655">
      <c r="C1655" s="62">
        <f>C1340*IF(EXACT(C$8,"abgeschlossen"),1,0)</f>
        <v/>
      </c>
      <c r="D1655" s="62">
        <f>D1340*IF(EXACT(D$8,"abgeschlossen"),1,0)</f>
        <v/>
      </c>
      <c r="E1655" s="62">
        <f>E1340*IF(EXACT(E$8,"abgeschlossen"),1,0)</f>
        <v/>
      </c>
      <c r="F1655" s="62">
        <f>F1340*IF(EXACT(F$8,"abgeschlossen"),1,0)</f>
        <v/>
      </c>
      <c r="G1655" s="62">
        <f>G1340*IF(EXACT(G$8,"abgeschlossen"),1,0)</f>
        <v/>
      </c>
      <c r="H1655" s="62">
        <f>H1340*IF(EXACT(H$8,"abgeschlossen"),1,0)</f>
        <v/>
      </c>
      <c r="I1655" s="62">
        <f>I1340*IF(EXACT(I$8,"abgeschlossen"),1,0)</f>
        <v/>
      </c>
      <c r="J1655" s="62">
        <f>J1340*IF(EXACT(J$8,"abgeschlossen"),1,0)</f>
        <v/>
      </c>
      <c r="K1655" s="62">
        <f>K1340*IF(EXACT(K$8,"abgeschlossen"),1,0)</f>
        <v/>
      </c>
      <c r="L1655" s="62">
        <f>L1340*IF(EXACT(L$8,"abgeschlossen"),1,0)</f>
        <v/>
      </c>
      <c r="M1655" s="62">
        <f>M1340*IF(EXACT(M$8,"abgeschlossen"),1,0)</f>
        <v/>
      </c>
      <c r="N1655" s="62">
        <f>N1340*IF(EXACT(N$8,"abgeschlossen"),1,0)</f>
        <v/>
      </c>
      <c r="O1655" s="62">
        <f>O1340*IF(EXACT(O$8,"abgeschlossen"),1,0)</f>
        <v/>
      </c>
      <c r="P1655" s="62">
        <f>P1340*IF(EXACT(P$8,"abgeschlossen"),1,0)</f>
        <v/>
      </c>
      <c r="Q1655" s="62">
        <f>Q1340*IF(EXACT(Q$8,"abgeschlossen"),1,0)</f>
        <v/>
      </c>
      <c r="R1655" s="62">
        <f>R1340*IF(EXACT(R$8,"abgeschlossen"),1,0)</f>
        <v/>
      </c>
      <c r="S1655" s="62">
        <f>S1340*IF(EXACT(S$8,"abgeschlossen"),1,0)</f>
        <v/>
      </c>
      <c r="T1655" s="62">
        <f>T1340*IF(EXACT(T$8,"abgeschlossen"),1,0)</f>
        <v/>
      </c>
      <c r="U1655" s="62">
        <f>U1340*IF(EXACT(U$8,"abgeschlossen"),1,0)</f>
        <v/>
      </c>
      <c r="V1655" s="62">
        <f>V1340*IF(EXACT(V$8,"abgeschlossen"),1,0)</f>
        <v/>
      </c>
    </row>
    <row r="1656">
      <c r="C1656" s="62">
        <f>C1341*IF(EXACT(C$8,"abgeschlossen"),1,0)</f>
        <v/>
      </c>
      <c r="D1656" s="62">
        <f>D1341*IF(EXACT(D$8,"abgeschlossen"),1,0)</f>
        <v/>
      </c>
      <c r="E1656" s="62">
        <f>E1341*IF(EXACT(E$8,"abgeschlossen"),1,0)</f>
        <v/>
      </c>
      <c r="F1656" s="62">
        <f>F1341*IF(EXACT(F$8,"abgeschlossen"),1,0)</f>
        <v/>
      </c>
      <c r="G1656" s="62">
        <f>G1341*IF(EXACT(G$8,"abgeschlossen"),1,0)</f>
        <v/>
      </c>
      <c r="H1656" s="62">
        <f>H1341*IF(EXACT(H$8,"abgeschlossen"),1,0)</f>
        <v/>
      </c>
      <c r="I1656" s="62">
        <f>I1341*IF(EXACT(I$8,"abgeschlossen"),1,0)</f>
        <v/>
      </c>
      <c r="J1656" s="62">
        <f>J1341*IF(EXACT(J$8,"abgeschlossen"),1,0)</f>
        <v/>
      </c>
      <c r="K1656" s="62">
        <f>K1341*IF(EXACT(K$8,"abgeschlossen"),1,0)</f>
        <v/>
      </c>
      <c r="L1656" s="62">
        <f>L1341*IF(EXACT(L$8,"abgeschlossen"),1,0)</f>
        <v/>
      </c>
      <c r="M1656" s="62">
        <f>M1341*IF(EXACT(M$8,"abgeschlossen"),1,0)</f>
        <v/>
      </c>
      <c r="N1656" s="62">
        <f>N1341*IF(EXACT(N$8,"abgeschlossen"),1,0)</f>
        <v/>
      </c>
      <c r="O1656" s="62">
        <f>O1341*IF(EXACT(O$8,"abgeschlossen"),1,0)</f>
        <v/>
      </c>
      <c r="P1656" s="62">
        <f>P1341*IF(EXACT(P$8,"abgeschlossen"),1,0)</f>
        <v/>
      </c>
      <c r="Q1656" s="62">
        <f>Q1341*IF(EXACT(Q$8,"abgeschlossen"),1,0)</f>
        <v/>
      </c>
      <c r="R1656" s="62">
        <f>R1341*IF(EXACT(R$8,"abgeschlossen"),1,0)</f>
        <v/>
      </c>
      <c r="S1656" s="62">
        <f>S1341*IF(EXACT(S$8,"abgeschlossen"),1,0)</f>
        <v/>
      </c>
      <c r="T1656" s="62">
        <f>T1341*IF(EXACT(T$8,"abgeschlossen"),1,0)</f>
        <v/>
      </c>
      <c r="U1656" s="62">
        <f>U1341*IF(EXACT(U$8,"abgeschlossen"),1,0)</f>
        <v/>
      </c>
      <c r="V1656" s="62">
        <f>V1341*IF(EXACT(V$8,"abgeschlossen"),1,0)</f>
        <v/>
      </c>
    </row>
    <row r="1657">
      <c r="C1657" s="62">
        <f>C1342*IF(EXACT(C$8,"abgeschlossen"),1,0)</f>
        <v/>
      </c>
      <c r="D1657" s="62">
        <f>D1342*IF(EXACT(D$8,"abgeschlossen"),1,0)</f>
        <v/>
      </c>
      <c r="E1657" s="62">
        <f>E1342*IF(EXACT(E$8,"abgeschlossen"),1,0)</f>
        <v/>
      </c>
      <c r="F1657" s="62">
        <f>F1342*IF(EXACT(F$8,"abgeschlossen"),1,0)</f>
        <v/>
      </c>
      <c r="G1657" s="62">
        <f>G1342*IF(EXACT(G$8,"abgeschlossen"),1,0)</f>
        <v/>
      </c>
      <c r="H1657" s="62">
        <f>H1342*IF(EXACT(H$8,"abgeschlossen"),1,0)</f>
        <v/>
      </c>
      <c r="I1657" s="62">
        <f>I1342*IF(EXACT(I$8,"abgeschlossen"),1,0)</f>
        <v/>
      </c>
      <c r="J1657" s="62">
        <f>J1342*IF(EXACT(J$8,"abgeschlossen"),1,0)</f>
        <v/>
      </c>
      <c r="K1657" s="62">
        <f>K1342*IF(EXACT(K$8,"abgeschlossen"),1,0)</f>
        <v/>
      </c>
      <c r="L1657" s="62">
        <f>L1342*IF(EXACT(L$8,"abgeschlossen"),1,0)</f>
        <v/>
      </c>
      <c r="M1657" s="62">
        <f>M1342*IF(EXACT(M$8,"abgeschlossen"),1,0)</f>
        <v/>
      </c>
      <c r="N1657" s="62">
        <f>N1342*IF(EXACT(N$8,"abgeschlossen"),1,0)</f>
        <v/>
      </c>
      <c r="O1657" s="62">
        <f>O1342*IF(EXACT(O$8,"abgeschlossen"),1,0)</f>
        <v/>
      </c>
      <c r="P1657" s="62">
        <f>P1342*IF(EXACT(P$8,"abgeschlossen"),1,0)</f>
        <v/>
      </c>
      <c r="Q1657" s="62">
        <f>Q1342*IF(EXACT(Q$8,"abgeschlossen"),1,0)</f>
        <v/>
      </c>
      <c r="R1657" s="62">
        <f>R1342*IF(EXACT(R$8,"abgeschlossen"),1,0)</f>
        <v/>
      </c>
      <c r="S1657" s="62">
        <f>S1342*IF(EXACT(S$8,"abgeschlossen"),1,0)</f>
        <v/>
      </c>
      <c r="T1657" s="62">
        <f>T1342*IF(EXACT(T$8,"abgeschlossen"),1,0)</f>
        <v/>
      </c>
      <c r="U1657" s="62">
        <f>U1342*IF(EXACT(U$8,"abgeschlossen"),1,0)</f>
        <v/>
      </c>
      <c r="V1657" s="62">
        <f>V1342*IF(EXACT(V$8,"abgeschlossen"),1,0)</f>
        <v/>
      </c>
    </row>
    <row r="1658">
      <c r="C1658" s="62">
        <f>C1343*IF(EXACT(C$8,"abgeschlossen"),1,0)</f>
        <v/>
      </c>
      <c r="D1658" s="62">
        <f>D1343*IF(EXACT(D$8,"abgeschlossen"),1,0)</f>
        <v/>
      </c>
      <c r="E1658" s="62">
        <f>E1343*IF(EXACT(E$8,"abgeschlossen"),1,0)</f>
        <v/>
      </c>
      <c r="F1658" s="62">
        <f>F1343*IF(EXACT(F$8,"abgeschlossen"),1,0)</f>
        <v/>
      </c>
      <c r="G1658" s="62">
        <f>G1343*IF(EXACT(G$8,"abgeschlossen"),1,0)</f>
        <v/>
      </c>
      <c r="H1658" s="62">
        <f>H1343*IF(EXACT(H$8,"abgeschlossen"),1,0)</f>
        <v/>
      </c>
      <c r="I1658" s="62">
        <f>I1343*IF(EXACT(I$8,"abgeschlossen"),1,0)</f>
        <v/>
      </c>
      <c r="J1658" s="62">
        <f>J1343*IF(EXACT(J$8,"abgeschlossen"),1,0)</f>
        <v/>
      </c>
      <c r="K1658" s="62">
        <f>K1343*IF(EXACT(K$8,"abgeschlossen"),1,0)</f>
        <v/>
      </c>
      <c r="L1658" s="62">
        <f>L1343*IF(EXACT(L$8,"abgeschlossen"),1,0)</f>
        <v/>
      </c>
      <c r="M1658" s="62">
        <f>M1343*IF(EXACT(M$8,"abgeschlossen"),1,0)</f>
        <v/>
      </c>
      <c r="N1658" s="62">
        <f>N1343*IF(EXACT(N$8,"abgeschlossen"),1,0)</f>
        <v/>
      </c>
      <c r="O1658" s="62">
        <f>O1343*IF(EXACT(O$8,"abgeschlossen"),1,0)</f>
        <v/>
      </c>
      <c r="P1658" s="62">
        <f>P1343*IF(EXACT(P$8,"abgeschlossen"),1,0)</f>
        <v/>
      </c>
      <c r="Q1658" s="62">
        <f>Q1343*IF(EXACT(Q$8,"abgeschlossen"),1,0)</f>
        <v/>
      </c>
      <c r="R1658" s="62">
        <f>R1343*IF(EXACT(R$8,"abgeschlossen"),1,0)</f>
        <v/>
      </c>
      <c r="S1658" s="62">
        <f>S1343*IF(EXACT(S$8,"abgeschlossen"),1,0)</f>
        <v/>
      </c>
      <c r="T1658" s="62">
        <f>T1343*IF(EXACT(T$8,"abgeschlossen"),1,0)</f>
        <v/>
      </c>
      <c r="U1658" s="62">
        <f>U1343*IF(EXACT(U$8,"abgeschlossen"),1,0)</f>
        <v/>
      </c>
      <c r="V1658" s="62">
        <f>V1343*IF(EXACT(V$8,"abgeschlossen"),1,0)</f>
        <v/>
      </c>
    </row>
    <row r="1659">
      <c r="C1659" s="62">
        <f>C1344*IF(EXACT(C$8,"abgeschlossen"),1,0)</f>
        <v/>
      </c>
      <c r="D1659" s="62">
        <f>D1344*IF(EXACT(D$8,"abgeschlossen"),1,0)</f>
        <v/>
      </c>
      <c r="E1659" s="62">
        <f>E1344*IF(EXACT(E$8,"abgeschlossen"),1,0)</f>
        <v/>
      </c>
      <c r="F1659" s="62">
        <f>F1344*IF(EXACT(F$8,"abgeschlossen"),1,0)</f>
        <v/>
      </c>
      <c r="G1659" s="62">
        <f>G1344*IF(EXACT(G$8,"abgeschlossen"),1,0)</f>
        <v/>
      </c>
      <c r="H1659" s="62">
        <f>H1344*IF(EXACT(H$8,"abgeschlossen"),1,0)</f>
        <v/>
      </c>
      <c r="I1659" s="62">
        <f>I1344*IF(EXACT(I$8,"abgeschlossen"),1,0)</f>
        <v/>
      </c>
      <c r="J1659" s="62">
        <f>J1344*IF(EXACT(J$8,"abgeschlossen"),1,0)</f>
        <v/>
      </c>
      <c r="K1659" s="62">
        <f>K1344*IF(EXACT(K$8,"abgeschlossen"),1,0)</f>
        <v/>
      </c>
      <c r="L1659" s="62">
        <f>L1344*IF(EXACT(L$8,"abgeschlossen"),1,0)</f>
        <v/>
      </c>
      <c r="M1659" s="62">
        <f>M1344*IF(EXACT(M$8,"abgeschlossen"),1,0)</f>
        <v/>
      </c>
      <c r="N1659" s="62">
        <f>N1344*IF(EXACT(N$8,"abgeschlossen"),1,0)</f>
        <v/>
      </c>
      <c r="O1659" s="62">
        <f>O1344*IF(EXACT(O$8,"abgeschlossen"),1,0)</f>
        <v/>
      </c>
      <c r="P1659" s="62">
        <f>P1344*IF(EXACT(P$8,"abgeschlossen"),1,0)</f>
        <v/>
      </c>
      <c r="Q1659" s="62">
        <f>Q1344*IF(EXACT(Q$8,"abgeschlossen"),1,0)</f>
        <v/>
      </c>
      <c r="R1659" s="62">
        <f>R1344*IF(EXACT(R$8,"abgeschlossen"),1,0)</f>
        <v/>
      </c>
      <c r="S1659" s="62">
        <f>S1344*IF(EXACT(S$8,"abgeschlossen"),1,0)</f>
        <v/>
      </c>
      <c r="T1659" s="62">
        <f>T1344*IF(EXACT(T$8,"abgeschlossen"),1,0)</f>
        <v/>
      </c>
      <c r="U1659" s="62">
        <f>U1344*IF(EXACT(U$8,"abgeschlossen"),1,0)</f>
        <v/>
      </c>
      <c r="V1659" s="62">
        <f>V1344*IF(EXACT(V$8,"abgeschlossen"),1,0)</f>
        <v/>
      </c>
    </row>
    <row r="1660">
      <c r="C1660" s="62">
        <f>C1345*IF(EXACT(C$8,"abgeschlossen"),1,0)</f>
        <v/>
      </c>
      <c r="D1660" s="62">
        <f>D1345*IF(EXACT(D$8,"abgeschlossen"),1,0)</f>
        <v/>
      </c>
      <c r="E1660" s="62">
        <f>E1345*IF(EXACT(E$8,"abgeschlossen"),1,0)</f>
        <v/>
      </c>
      <c r="F1660" s="62">
        <f>F1345*IF(EXACT(F$8,"abgeschlossen"),1,0)</f>
        <v/>
      </c>
      <c r="G1660" s="62">
        <f>G1345*IF(EXACT(G$8,"abgeschlossen"),1,0)</f>
        <v/>
      </c>
      <c r="H1660" s="62">
        <f>H1345*IF(EXACT(H$8,"abgeschlossen"),1,0)</f>
        <v/>
      </c>
      <c r="I1660" s="62">
        <f>I1345*IF(EXACT(I$8,"abgeschlossen"),1,0)</f>
        <v/>
      </c>
      <c r="J1660" s="62">
        <f>J1345*IF(EXACT(J$8,"abgeschlossen"),1,0)</f>
        <v/>
      </c>
      <c r="K1660" s="62">
        <f>K1345*IF(EXACT(K$8,"abgeschlossen"),1,0)</f>
        <v/>
      </c>
      <c r="L1660" s="62">
        <f>L1345*IF(EXACT(L$8,"abgeschlossen"),1,0)</f>
        <v/>
      </c>
      <c r="M1660" s="62">
        <f>M1345*IF(EXACT(M$8,"abgeschlossen"),1,0)</f>
        <v/>
      </c>
      <c r="N1660" s="62">
        <f>N1345*IF(EXACT(N$8,"abgeschlossen"),1,0)</f>
        <v/>
      </c>
      <c r="O1660" s="62">
        <f>O1345*IF(EXACT(O$8,"abgeschlossen"),1,0)</f>
        <v/>
      </c>
      <c r="P1660" s="62">
        <f>P1345*IF(EXACT(P$8,"abgeschlossen"),1,0)</f>
        <v/>
      </c>
      <c r="Q1660" s="62">
        <f>Q1345*IF(EXACT(Q$8,"abgeschlossen"),1,0)</f>
        <v/>
      </c>
      <c r="R1660" s="62">
        <f>R1345*IF(EXACT(R$8,"abgeschlossen"),1,0)</f>
        <v/>
      </c>
      <c r="S1660" s="62">
        <f>S1345*IF(EXACT(S$8,"abgeschlossen"),1,0)</f>
        <v/>
      </c>
      <c r="T1660" s="62">
        <f>T1345*IF(EXACT(T$8,"abgeschlossen"),1,0)</f>
        <v/>
      </c>
      <c r="U1660" s="62">
        <f>U1345*IF(EXACT(U$8,"abgeschlossen"),1,0)</f>
        <v/>
      </c>
      <c r="V1660" s="62">
        <f>V1345*IF(EXACT(V$8,"abgeschlossen"),1,0)</f>
        <v/>
      </c>
    </row>
    <row r="1661">
      <c r="C1661" s="62">
        <f>C1346*IF(EXACT(C$8,"abgeschlossen"),1,0)</f>
        <v/>
      </c>
      <c r="D1661" s="62">
        <f>D1346*IF(EXACT(D$8,"abgeschlossen"),1,0)</f>
        <v/>
      </c>
      <c r="E1661" s="62">
        <f>E1346*IF(EXACT(E$8,"abgeschlossen"),1,0)</f>
        <v/>
      </c>
      <c r="F1661" s="62">
        <f>F1346*IF(EXACT(F$8,"abgeschlossen"),1,0)</f>
        <v/>
      </c>
      <c r="G1661" s="62">
        <f>G1346*IF(EXACT(G$8,"abgeschlossen"),1,0)</f>
        <v/>
      </c>
      <c r="H1661" s="62">
        <f>H1346*IF(EXACT(H$8,"abgeschlossen"),1,0)</f>
        <v/>
      </c>
      <c r="I1661" s="62">
        <f>I1346*IF(EXACT(I$8,"abgeschlossen"),1,0)</f>
        <v/>
      </c>
      <c r="J1661" s="62">
        <f>J1346*IF(EXACT(J$8,"abgeschlossen"),1,0)</f>
        <v/>
      </c>
      <c r="K1661" s="62">
        <f>K1346*IF(EXACT(K$8,"abgeschlossen"),1,0)</f>
        <v/>
      </c>
      <c r="L1661" s="62">
        <f>L1346*IF(EXACT(L$8,"abgeschlossen"),1,0)</f>
        <v/>
      </c>
      <c r="M1661" s="62">
        <f>M1346*IF(EXACT(M$8,"abgeschlossen"),1,0)</f>
        <v/>
      </c>
      <c r="N1661" s="62">
        <f>N1346*IF(EXACT(N$8,"abgeschlossen"),1,0)</f>
        <v/>
      </c>
      <c r="O1661" s="62">
        <f>O1346*IF(EXACT(O$8,"abgeschlossen"),1,0)</f>
        <v/>
      </c>
      <c r="P1661" s="62">
        <f>P1346*IF(EXACT(P$8,"abgeschlossen"),1,0)</f>
        <v/>
      </c>
      <c r="Q1661" s="62">
        <f>Q1346*IF(EXACT(Q$8,"abgeschlossen"),1,0)</f>
        <v/>
      </c>
      <c r="R1661" s="62">
        <f>R1346*IF(EXACT(R$8,"abgeschlossen"),1,0)</f>
        <v/>
      </c>
      <c r="S1661" s="62">
        <f>S1346*IF(EXACT(S$8,"abgeschlossen"),1,0)</f>
        <v/>
      </c>
      <c r="T1661" s="62">
        <f>T1346*IF(EXACT(T$8,"abgeschlossen"),1,0)</f>
        <v/>
      </c>
      <c r="U1661" s="62">
        <f>U1346*IF(EXACT(U$8,"abgeschlossen"),1,0)</f>
        <v/>
      </c>
      <c r="V1661" s="62">
        <f>V1346*IF(EXACT(V$8,"abgeschlossen"),1,0)</f>
        <v/>
      </c>
    </row>
    <row r="1662">
      <c r="C1662" s="62">
        <f>C1347*IF(EXACT(C$8,"abgeschlossen"),1,0)</f>
        <v/>
      </c>
      <c r="D1662" s="62">
        <f>D1347*IF(EXACT(D$8,"abgeschlossen"),1,0)</f>
        <v/>
      </c>
      <c r="E1662" s="62">
        <f>E1347*IF(EXACT(E$8,"abgeschlossen"),1,0)</f>
        <v/>
      </c>
      <c r="F1662" s="62">
        <f>F1347*IF(EXACT(F$8,"abgeschlossen"),1,0)</f>
        <v/>
      </c>
      <c r="G1662" s="62">
        <f>G1347*IF(EXACT(G$8,"abgeschlossen"),1,0)</f>
        <v/>
      </c>
      <c r="H1662" s="62">
        <f>H1347*IF(EXACT(H$8,"abgeschlossen"),1,0)</f>
        <v/>
      </c>
      <c r="I1662" s="62">
        <f>I1347*IF(EXACT(I$8,"abgeschlossen"),1,0)</f>
        <v/>
      </c>
      <c r="J1662" s="62">
        <f>J1347*IF(EXACT(J$8,"abgeschlossen"),1,0)</f>
        <v/>
      </c>
      <c r="K1662" s="62">
        <f>K1347*IF(EXACT(K$8,"abgeschlossen"),1,0)</f>
        <v/>
      </c>
      <c r="L1662" s="62">
        <f>L1347*IF(EXACT(L$8,"abgeschlossen"),1,0)</f>
        <v/>
      </c>
      <c r="M1662" s="62">
        <f>M1347*IF(EXACT(M$8,"abgeschlossen"),1,0)</f>
        <v/>
      </c>
      <c r="N1662" s="62">
        <f>N1347*IF(EXACT(N$8,"abgeschlossen"),1,0)</f>
        <v/>
      </c>
      <c r="O1662" s="62">
        <f>O1347*IF(EXACT(O$8,"abgeschlossen"),1,0)</f>
        <v/>
      </c>
      <c r="P1662" s="62">
        <f>P1347*IF(EXACT(P$8,"abgeschlossen"),1,0)</f>
        <v/>
      </c>
      <c r="Q1662" s="62">
        <f>Q1347*IF(EXACT(Q$8,"abgeschlossen"),1,0)</f>
        <v/>
      </c>
      <c r="R1662" s="62">
        <f>R1347*IF(EXACT(R$8,"abgeschlossen"),1,0)</f>
        <v/>
      </c>
      <c r="S1662" s="62">
        <f>S1347*IF(EXACT(S$8,"abgeschlossen"),1,0)</f>
        <v/>
      </c>
      <c r="T1662" s="62">
        <f>T1347*IF(EXACT(T$8,"abgeschlossen"),1,0)</f>
        <v/>
      </c>
      <c r="U1662" s="62">
        <f>U1347*IF(EXACT(U$8,"abgeschlossen"),1,0)</f>
        <v/>
      </c>
      <c r="V1662" s="62">
        <f>V1347*IF(EXACT(V$8,"abgeschlossen"),1,0)</f>
        <v/>
      </c>
    </row>
    <row r="1663">
      <c r="C1663" s="62">
        <f>C1348*IF(EXACT(C$8,"abgeschlossen"),1,0)</f>
        <v/>
      </c>
      <c r="D1663" s="62">
        <f>D1348*IF(EXACT(D$8,"abgeschlossen"),1,0)</f>
        <v/>
      </c>
      <c r="E1663" s="62">
        <f>E1348*IF(EXACT(E$8,"abgeschlossen"),1,0)</f>
        <v/>
      </c>
      <c r="F1663" s="62">
        <f>F1348*IF(EXACT(F$8,"abgeschlossen"),1,0)</f>
        <v/>
      </c>
      <c r="G1663" s="62">
        <f>G1348*IF(EXACT(G$8,"abgeschlossen"),1,0)</f>
        <v/>
      </c>
      <c r="H1663" s="62">
        <f>H1348*IF(EXACT(H$8,"abgeschlossen"),1,0)</f>
        <v/>
      </c>
      <c r="I1663" s="62">
        <f>I1348*IF(EXACT(I$8,"abgeschlossen"),1,0)</f>
        <v/>
      </c>
      <c r="J1663" s="62">
        <f>J1348*IF(EXACT(J$8,"abgeschlossen"),1,0)</f>
        <v/>
      </c>
      <c r="K1663" s="62">
        <f>K1348*IF(EXACT(K$8,"abgeschlossen"),1,0)</f>
        <v/>
      </c>
      <c r="L1663" s="62">
        <f>L1348*IF(EXACT(L$8,"abgeschlossen"),1,0)</f>
        <v/>
      </c>
      <c r="M1663" s="62">
        <f>M1348*IF(EXACT(M$8,"abgeschlossen"),1,0)</f>
        <v/>
      </c>
      <c r="N1663" s="62">
        <f>N1348*IF(EXACT(N$8,"abgeschlossen"),1,0)</f>
        <v/>
      </c>
      <c r="O1663" s="62">
        <f>O1348*IF(EXACT(O$8,"abgeschlossen"),1,0)</f>
        <v/>
      </c>
      <c r="P1663" s="62">
        <f>P1348*IF(EXACT(P$8,"abgeschlossen"),1,0)</f>
        <v/>
      </c>
      <c r="Q1663" s="62">
        <f>Q1348*IF(EXACT(Q$8,"abgeschlossen"),1,0)</f>
        <v/>
      </c>
      <c r="R1663" s="62">
        <f>R1348*IF(EXACT(R$8,"abgeschlossen"),1,0)</f>
        <v/>
      </c>
      <c r="S1663" s="62">
        <f>S1348*IF(EXACT(S$8,"abgeschlossen"),1,0)</f>
        <v/>
      </c>
      <c r="T1663" s="62">
        <f>T1348*IF(EXACT(T$8,"abgeschlossen"),1,0)</f>
        <v/>
      </c>
      <c r="U1663" s="62">
        <f>U1348*IF(EXACT(U$8,"abgeschlossen"),1,0)</f>
        <v/>
      </c>
      <c r="V1663" s="62">
        <f>V1348*IF(EXACT(V$8,"abgeschlossen"),1,0)</f>
        <v/>
      </c>
    </row>
    <row r="1664">
      <c r="C1664" s="62">
        <f>C1349*IF(EXACT(C$8,"abgeschlossen"),1,0)</f>
        <v/>
      </c>
      <c r="D1664" s="62">
        <f>D1349*IF(EXACT(D$8,"abgeschlossen"),1,0)</f>
        <v/>
      </c>
      <c r="E1664" s="62">
        <f>E1349*IF(EXACT(E$8,"abgeschlossen"),1,0)</f>
        <v/>
      </c>
      <c r="F1664" s="62">
        <f>F1349*IF(EXACT(F$8,"abgeschlossen"),1,0)</f>
        <v/>
      </c>
      <c r="G1664" s="62">
        <f>G1349*IF(EXACT(G$8,"abgeschlossen"),1,0)</f>
        <v/>
      </c>
      <c r="H1664" s="62">
        <f>H1349*IF(EXACT(H$8,"abgeschlossen"),1,0)</f>
        <v/>
      </c>
      <c r="I1664" s="62">
        <f>I1349*IF(EXACT(I$8,"abgeschlossen"),1,0)</f>
        <v/>
      </c>
      <c r="J1664" s="62">
        <f>J1349*IF(EXACT(J$8,"abgeschlossen"),1,0)</f>
        <v/>
      </c>
      <c r="K1664" s="62">
        <f>K1349*IF(EXACT(K$8,"abgeschlossen"),1,0)</f>
        <v/>
      </c>
      <c r="L1664" s="62">
        <f>L1349*IF(EXACT(L$8,"abgeschlossen"),1,0)</f>
        <v/>
      </c>
      <c r="M1664" s="62">
        <f>M1349*IF(EXACT(M$8,"abgeschlossen"),1,0)</f>
        <v/>
      </c>
      <c r="N1664" s="62">
        <f>N1349*IF(EXACT(N$8,"abgeschlossen"),1,0)</f>
        <v/>
      </c>
      <c r="O1664" s="62">
        <f>O1349*IF(EXACT(O$8,"abgeschlossen"),1,0)</f>
        <v/>
      </c>
      <c r="P1664" s="62">
        <f>P1349*IF(EXACT(P$8,"abgeschlossen"),1,0)</f>
        <v/>
      </c>
      <c r="Q1664" s="62">
        <f>Q1349*IF(EXACT(Q$8,"abgeschlossen"),1,0)</f>
        <v/>
      </c>
      <c r="R1664" s="62">
        <f>R1349*IF(EXACT(R$8,"abgeschlossen"),1,0)</f>
        <v/>
      </c>
      <c r="S1664" s="62">
        <f>S1349*IF(EXACT(S$8,"abgeschlossen"),1,0)</f>
        <v/>
      </c>
      <c r="T1664" s="62">
        <f>T1349*IF(EXACT(T$8,"abgeschlossen"),1,0)</f>
        <v/>
      </c>
      <c r="U1664" s="62">
        <f>U1349*IF(EXACT(U$8,"abgeschlossen"),1,0)</f>
        <v/>
      </c>
      <c r="V1664" s="62">
        <f>V1349*IF(EXACT(V$8,"abgeschlossen"),1,0)</f>
        <v/>
      </c>
    </row>
    <row r="1665">
      <c r="C1665" s="62">
        <f>C1350*IF(EXACT(C$8,"abgeschlossen"),1,0)</f>
        <v/>
      </c>
      <c r="D1665" s="62">
        <f>D1350*IF(EXACT(D$8,"abgeschlossen"),1,0)</f>
        <v/>
      </c>
      <c r="E1665" s="62">
        <f>E1350*IF(EXACT(E$8,"abgeschlossen"),1,0)</f>
        <v/>
      </c>
      <c r="F1665" s="62">
        <f>F1350*IF(EXACT(F$8,"abgeschlossen"),1,0)</f>
        <v/>
      </c>
      <c r="G1665" s="62">
        <f>G1350*IF(EXACT(G$8,"abgeschlossen"),1,0)</f>
        <v/>
      </c>
      <c r="H1665" s="62">
        <f>H1350*IF(EXACT(H$8,"abgeschlossen"),1,0)</f>
        <v/>
      </c>
      <c r="I1665" s="62">
        <f>I1350*IF(EXACT(I$8,"abgeschlossen"),1,0)</f>
        <v/>
      </c>
      <c r="J1665" s="62">
        <f>J1350*IF(EXACT(J$8,"abgeschlossen"),1,0)</f>
        <v/>
      </c>
      <c r="K1665" s="62">
        <f>K1350*IF(EXACT(K$8,"abgeschlossen"),1,0)</f>
        <v/>
      </c>
      <c r="L1665" s="62">
        <f>L1350*IF(EXACT(L$8,"abgeschlossen"),1,0)</f>
        <v/>
      </c>
      <c r="M1665" s="62">
        <f>M1350*IF(EXACT(M$8,"abgeschlossen"),1,0)</f>
        <v/>
      </c>
      <c r="N1665" s="62">
        <f>N1350*IF(EXACT(N$8,"abgeschlossen"),1,0)</f>
        <v/>
      </c>
      <c r="O1665" s="62">
        <f>O1350*IF(EXACT(O$8,"abgeschlossen"),1,0)</f>
        <v/>
      </c>
      <c r="P1665" s="62">
        <f>P1350*IF(EXACT(P$8,"abgeschlossen"),1,0)</f>
        <v/>
      </c>
      <c r="Q1665" s="62">
        <f>Q1350*IF(EXACT(Q$8,"abgeschlossen"),1,0)</f>
        <v/>
      </c>
      <c r="R1665" s="62">
        <f>R1350*IF(EXACT(R$8,"abgeschlossen"),1,0)</f>
        <v/>
      </c>
      <c r="S1665" s="62">
        <f>S1350*IF(EXACT(S$8,"abgeschlossen"),1,0)</f>
        <v/>
      </c>
      <c r="T1665" s="62">
        <f>T1350*IF(EXACT(T$8,"abgeschlossen"),1,0)</f>
        <v/>
      </c>
      <c r="U1665" s="62">
        <f>U1350*IF(EXACT(U$8,"abgeschlossen"),1,0)</f>
        <v/>
      </c>
      <c r="V1665" s="62">
        <f>V1350*IF(EXACT(V$8,"abgeschlossen"),1,0)</f>
        <v/>
      </c>
    </row>
    <row r="1666">
      <c r="C1666" s="62">
        <f>C1351*IF(EXACT(C$8,"abgeschlossen"),1,0)</f>
        <v/>
      </c>
      <c r="D1666" s="62">
        <f>D1351*IF(EXACT(D$8,"abgeschlossen"),1,0)</f>
        <v/>
      </c>
      <c r="E1666" s="62">
        <f>E1351*IF(EXACT(E$8,"abgeschlossen"),1,0)</f>
        <v/>
      </c>
      <c r="F1666" s="62">
        <f>F1351*IF(EXACT(F$8,"abgeschlossen"),1,0)</f>
        <v/>
      </c>
      <c r="G1666" s="62">
        <f>G1351*IF(EXACT(G$8,"abgeschlossen"),1,0)</f>
        <v/>
      </c>
      <c r="H1666" s="62">
        <f>H1351*IF(EXACT(H$8,"abgeschlossen"),1,0)</f>
        <v/>
      </c>
      <c r="I1666" s="62">
        <f>I1351*IF(EXACT(I$8,"abgeschlossen"),1,0)</f>
        <v/>
      </c>
      <c r="J1666" s="62">
        <f>J1351*IF(EXACT(J$8,"abgeschlossen"),1,0)</f>
        <v/>
      </c>
      <c r="K1666" s="62">
        <f>K1351*IF(EXACT(K$8,"abgeschlossen"),1,0)</f>
        <v/>
      </c>
      <c r="L1666" s="62">
        <f>L1351*IF(EXACT(L$8,"abgeschlossen"),1,0)</f>
        <v/>
      </c>
      <c r="M1666" s="62">
        <f>M1351*IF(EXACT(M$8,"abgeschlossen"),1,0)</f>
        <v/>
      </c>
      <c r="N1666" s="62">
        <f>N1351*IF(EXACT(N$8,"abgeschlossen"),1,0)</f>
        <v/>
      </c>
      <c r="O1666" s="62">
        <f>O1351*IF(EXACT(O$8,"abgeschlossen"),1,0)</f>
        <v/>
      </c>
      <c r="P1666" s="62">
        <f>P1351*IF(EXACT(P$8,"abgeschlossen"),1,0)</f>
        <v/>
      </c>
      <c r="Q1666" s="62">
        <f>Q1351*IF(EXACT(Q$8,"abgeschlossen"),1,0)</f>
        <v/>
      </c>
      <c r="R1666" s="62">
        <f>R1351*IF(EXACT(R$8,"abgeschlossen"),1,0)</f>
        <v/>
      </c>
      <c r="S1666" s="62">
        <f>S1351*IF(EXACT(S$8,"abgeschlossen"),1,0)</f>
        <v/>
      </c>
      <c r="T1666" s="62">
        <f>T1351*IF(EXACT(T$8,"abgeschlossen"),1,0)</f>
        <v/>
      </c>
      <c r="U1666" s="62">
        <f>U1351*IF(EXACT(U$8,"abgeschlossen"),1,0)</f>
        <v/>
      </c>
      <c r="V1666" s="62">
        <f>V1351*IF(EXACT(V$8,"abgeschlossen"),1,0)</f>
        <v/>
      </c>
    </row>
    <row r="1667">
      <c r="C1667" s="62">
        <f>C1352*IF(EXACT(C$8,"abgeschlossen"),1,0)</f>
        <v/>
      </c>
      <c r="D1667" s="62">
        <f>D1352*IF(EXACT(D$8,"abgeschlossen"),1,0)</f>
        <v/>
      </c>
      <c r="E1667" s="62">
        <f>E1352*IF(EXACT(E$8,"abgeschlossen"),1,0)</f>
        <v/>
      </c>
      <c r="F1667" s="62">
        <f>F1352*IF(EXACT(F$8,"abgeschlossen"),1,0)</f>
        <v/>
      </c>
      <c r="G1667" s="62">
        <f>G1352*IF(EXACT(G$8,"abgeschlossen"),1,0)</f>
        <v/>
      </c>
      <c r="H1667" s="62">
        <f>H1352*IF(EXACT(H$8,"abgeschlossen"),1,0)</f>
        <v/>
      </c>
      <c r="I1667" s="62">
        <f>I1352*IF(EXACT(I$8,"abgeschlossen"),1,0)</f>
        <v/>
      </c>
      <c r="J1667" s="62">
        <f>J1352*IF(EXACT(J$8,"abgeschlossen"),1,0)</f>
        <v/>
      </c>
      <c r="K1667" s="62">
        <f>K1352*IF(EXACT(K$8,"abgeschlossen"),1,0)</f>
        <v/>
      </c>
      <c r="L1667" s="62">
        <f>L1352*IF(EXACT(L$8,"abgeschlossen"),1,0)</f>
        <v/>
      </c>
      <c r="M1667" s="62">
        <f>M1352*IF(EXACT(M$8,"abgeschlossen"),1,0)</f>
        <v/>
      </c>
      <c r="N1667" s="62">
        <f>N1352*IF(EXACT(N$8,"abgeschlossen"),1,0)</f>
        <v/>
      </c>
      <c r="O1667" s="62">
        <f>O1352*IF(EXACT(O$8,"abgeschlossen"),1,0)</f>
        <v/>
      </c>
      <c r="P1667" s="62">
        <f>P1352*IF(EXACT(P$8,"abgeschlossen"),1,0)</f>
        <v/>
      </c>
      <c r="Q1667" s="62">
        <f>Q1352*IF(EXACT(Q$8,"abgeschlossen"),1,0)</f>
        <v/>
      </c>
      <c r="R1667" s="62">
        <f>R1352*IF(EXACT(R$8,"abgeschlossen"),1,0)</f>
        <v/>
      </c>
      <c r="S1667" s="62">
        <f>S1352*IF(EXACT(S$8,"abgeschlossen"),1,0)</f>
        <v/>
      </c>
      <c r="T1667" s="62">
        <f>T1352*IF(EXACT(T$8,"abgeschlossen"),1,0)</f>
        <v/>
      </c>
      <c r="U1667" s="62">
        <f>U1352*IF(EXACT(U$8,"abgeschlossen"),1,0)</f>
        <v/>
      </c>
      <c r="V1667" s="62">
        <f>V1352*IF(EXACT(V$8,"abgeschlossen"),1,0)</f>
        <v/>
      </c>
    </row>
    <row r="1668">
      <c r="C1668" s="62">
        <f>C1353*IF(EXACT(C$8,"abgeschlossen"),1,0)</f>
        <v/>
      </c>
      <c r="D1668" s="62">
        <f>D1353*IF(EXACT(D$8,"abgeschlossen"),1,0)</f>
        <v/>
      </c>
      <c r="E1668" s="62">
        <f>E1353*IF(EXACT(E$8,"abgeschlossen"),1,0)</f>
        <v/>
      </c>
      <c r="F1668" s="62">
        <f>F1353*IF(EXACT(F$8,"abgeschlossen"),1,0)</f>
        <v/>
      </c>
      <c r="G1668" s="62">
        <f>G1353*IF(EXACT(G$8,"abgeschlossen"),1,0)</f>
        <v/>
      </c>
      <c r="H1668" s="62">
        <f>H1353*IF(EXACT(H$8,"abgeschlossen"),1,0)</f>
        <v/>
      </c>
      <c r="I1668" s="62">
        <f>I1353*IF(EXACT(I$8,"abgeschlossen"),1,0)</f>
        <v/>
      </c>
      <c r="J1668" s="62">
        <f>J1353*IF(EXACT(J$8,"abgeschlossen"),1,0)</f>
        <v/>
      </c>
      <c r="K1668" s="62">
        <f>K1353*IF(EXACT(K$8,"abgeschlossen"),1,0)</f>
        <v/>
      </c>
      <c r="L1668" s="62">
        <f>L1353*IF(EXACT(L$8,"abgeschlossen"),1,0)</f>
        <v/>
      </c>
      <c r="M1668" s="62">
        <f>M1353*IF(EXACT(M$8,"abgeschlossen"),1,0)</f>
        <v/>
      </c>
      <c r="N1668" s="62">
        <f>N1353*IF(EXACT(N$8,"abgeschlossen"),1,0)</f>
        <v/>
      </c>
      <c r="O1668" s="62">
        <f>O1353*IF(EXACT(O$8,"abgeschlossen"),1,0)</f>
        <v/>
      </c>
      <c r="P1668" s="62">
        <f>P1353*IF(EXACT(P$8,"abgeschlossen"),1,0)</f>
        <v/>
      </c>
      <c r="Q1668" s="62">
        <f>Q1353*IF(EXACT(Q$8,"abgeschlossen"),1,0)</f>
        <v/>
      </c>
      <c r="R1668" s="62">
        <f>R1353*IF(EXACT(R$8,"abgeschlossen"),1,0)</f>
        <v/>
      </c>
      <c r="S1668" s="62">
        <f>S1353*IF(EXACT(S$8,"abgeschlossen"),1,0)</f>
        <v/>
      </c>
      <c r="T1668" s="62">
        <f>T1353*IF(EXACT(T$8,"abgeschlossen"),1,0)</f>
        <v/>
      </c>
      <c r="U1668" s="62">
        <f>U1353*IF(EXACT(U$8,"abgeschlossen"),1,0)</f>
        <v/>
      </c>
      <c r="V1668" s="62">
        <f>V1353*IF(EXACT(V$8,"abgeschlossen"),1,0)</f>
        <v/>
      </c>
    </row>
    <row r="1669">
      <c r="C1669" s="62">
        <f>C1354*IF(EXACT(C$8,"abgeschlossen"),1,0)</f>
        <v/>
      </c>
      <c r="D1669" s="62">
        <f>D1354*IF(EXACT(D$8,"abgeschlossen"),1,0)</f>
        <v/>
      </c>
      <c r="E1669" s="62">
        <f>E1354*IF(EXACT(E$8,"abgeschlossen"),1,0)</f>
        <v/>
      </c>
      <c r="F1669" s="62">
        <f>F1354*IF(EXACT(F$8,"abgeschlossen"),1,0)</f>
        <v/>
      </c>
      <c r="G1669" s="62">
        <f>G1354*IF(EXACT(G$8,"abgeschlossen"),1,0)</f>
        <v/>
      </c>
      <c r="H1669" s="62">
        <f>H1354*IF(EXACT(H$8,"abgeschlossen"),1,0)</f>
        <v/>
      </c>
      <c r="I1669" s="62">
        <f>I1354*IF(EXACT(I$8,"abgeschlossen"),1,0)</f>
        <v/>
      </c>
      <c r="J1669" s="62">
        <f>J1354*IF(EXACT(J$8,"abgeschlossen"),1,0)</f>
        <v/>
      </c>
      <c r="K1669" s="62">
        <f>K1354*IF(EXACT(K$8,"abgeschlossen"),1,0)</f>
        <v/>
      </c>
      <c r="L1669" s="62">
        <f>L1354*IF(EXACT(L$8,"abgeschlossen"),1,0)</f>
        <v/>
      </c>
      <c r="M1669" s="62">
        <f>M1354*IF(EXACT(M$8,"abgeschlossen"),1,0)</f>
        <v/>
      </c>
      <c r="N1669" s="62">
        <f>N1354*IF(EXACT(N$8,"abgeschlossen"),1,0)</f>
        <v/>
      </c>
      <c r="O1669" s="62">
        <f>O1354*IF(EXACT(O$8,"abgeschlossen"),1,0)</f>
        <v/>
      </c>
      <c r="P1669" s="62">
        <f>P1354*IF(EXACT(P$8,"abgeschlossen"),1,0)</f>
        <v/>
      </c>
      <c r="Q1669" s="62">
        <f>Q1354*IF(EXACT(Q$8,"abgeschlossen"),1,0)</f>
        <v/>
      </c>
      <c r="R1669" s="62">
        <f>R1354*IF(EXACT(R$8,"abgeschlossen"),1,0)</f>
        <v/>
      </c>
      <c r="S1669" s="62">
        <f>S1354*IF(EXACT(S$8,"abgeschlossen"),1,0)</f>
        <v/>
      </c>
      <c r="T1669" s="62">
        <f>T1354*IF(EXACT(T$8,"abgeschlossen"),1,0)</f>
        <v/>
      </c>
      <c r="U1669" s="62">
        <f>U1354*IF(EXACT(U$8,"abgeschlossen"),1,0)</f>
        <v/>
      </c>
      <c r="V1669" s="62">
        <f>V1354*IF(EXACT(V$8,"abgeschlossen"),1,0)</f>
        <v/>
      </c>
    </row>
    <row r="1670">
      <c r="C1670" s="62">
        <f>C1355*IF(EXACT(C$8,"abgeschlossen"),1,0)</f>
        <v/>
      </c>
      <c r="D1670" s="62">
        <f>D1355*IF(EXACT(D$8,"abgeschlossen"),1,0)</f>
        <v/>
      </c>
      <c r="E1670" s="62">
        <f>E1355*IF(EXACT(E$8,"abgeschlossen"),1,0)</f>
        <v/>
      </c>
      <c r="F1670" s="62">
        <f>F1355*IF(EXACT(F$8,"abgeschlossen"),1,0)</f>
        <v/>
      </c>
      <c r="G1670" s="62">
        <f>G1355*IF(EXACT(G$8,"abgeschlossen"),1,0)</f>
        <v/>
      </c>
      <c r="H1670" s="62">
        <f>H1355*IF(EXACT(H$8,"abgeschlossen"),1,0)</f>
        <v/>
      </c>
      <c r="I1670" s="62">
        <f>I1355*IF(EXACT(I$8,"abgeschlossen"),1,0)</f>
        <v/>
      </c>
      <c r="J1670" s="62">
        <f>J1355*IF(EXACT(J$8,"abgeschlossen"),1,0)</f>
        <v/>
      </c>
      <c r="K1670" s="62">
        <f>K1355*IF(EXACT(K$8,"abgeschlossen"),1,0)</f>
        <v/>
      </c>
      <c r="L1670" s="62">
        <f>L1355*IF(EXACT(L$8,"abgeschlossen"),1,0)</f>
        <v/>
      </c>
      <c r="M1670" s="62">
        <f>M1355*IF(EXACT(M$8,"abgeschlossen"),1,0)</f>
        <v/>
      </c>
      <c r="N1670" s="62">
        <f>N1355*IF(EXACT(N$8,"abgeschlossen"),1,0)</f>
        <v/>
      </c>
      <c r="O1670" s="62">
        <f>O1355*IF(EXACT(O$8,"abgeschlossen"),1,0)</f>
        <v/>
      </c>
      <c r="P1670" s="62">
        <f>P1355*IF(EXACT(P$8,"abgeschlossen"),1,0)</f>
        <v/>
      </c>
      <c r="Q1670" s="62">
        <f>Q1355*IF(EXACT(Q$8,"abgeschlossen"),1,0)</f>
        <v/>
      </c>
      <c r="R1670" s="62">
        <f>R1355*IF(EXACT(R$8,"abgeschlossen"),1,0)</f>
        <v/>
      </c>
      <c r="S1670" s="62">
        <f>S1355*IF(EXACT(S$8,"abgeschlossen"),1,0)</f>
        <v/>
      </c>
      <c r="T1670" s="62">
        <f>T1355*IF(EXACT(T$8,"abgeschlossen"),1,0)</f>
        <v/>
      </c>
      <c r="U1670" s="62">
        <f>U1355*IF(EXACT(U$8,"abgeschlossen"),1,0)</f>
        <v/>
      </c>
      <c r="V1670" s="62">
        <f>V1355*IF(EXACT(V$8,"abgeschlossen"),1,0)</f>
        <v/>
      </c>
    </row>
    <row r="1671">
      <c r="C1671" s="62">
        <f>C1356*IF(EXACT(C$8,"abgeschlossen"),1,0)</f>
        <v/>
      </c>
      <c r="D1671" s="62">
        <f>D1356*IF(EXACT(D$8,"abgeschlossen"),1,0)</f>
        <v/>
      </c>
      <c r="E1671" s="62">
        <f>E1356*IF(EXACT(E$8,"abgeschlossen"),1,0)</f>
        <v/>
      </c>
      <c r="F1671" s="62">
        <f>F1356*IF(EXACT(F$8,"abgeschlossen"),1,0)</f>
        <v/>
      </c>
      <c r="G1671" s="62">
        <f>G1356*IF(EXACT(G$8,"abgeschlossen"),1,0)</f>
        <v/>
      </c>
      <c r="H1671" s="62">
        <f>H1356*IF(EXACT(H$8,"abgeschlossen"),1,0)</f>
        <v/>
      </c>
      <c r="I1671" s="62">
        <f>I1356*IF(EXACT(I$8,"abgeschlossen"),1,0)</f>
        <v/>
      </c>
      <c r="J1671" s="62">
        <f>J1356*IF(EXACT(J$8,"abgeschlossen"),1,0)</f>
        <v/>
      </c>
      <c r="K1671" s="62">
        <f>K1356*IF(EXACT(K$8,"abgeschlossen"),1,0)</f>
        <v/>
      </c>
      <c r="L1671" s="62">
        <f>L1356*IF(EXACT(L$8,"abgeschlossen"),1,0)</f>
        <v/>
      </c>
      <c r="M1671" s="62">
        <f>M1356*IF(EXACT(M$8,"abgeschlossen"),1,0)</f>
        <v/>
      </c>
      <c r="N1671" s="62">
        <f>N1356*IF(EXACT(N$8,"abgeschlossen"),1,0)</f>
        <v/>
      </c>
      <c r="O1671" s="62">
        <f>O1356*IF(EXACT(O$8,"abgeschlossen"),1,0)</f>
        <v/>
      </c>
      <c r="P1671" s="62">
        <f>P1356*IF(EXACT(P$8,"abgeschlossen"),1,0)</f>
        <v/>
      </c>
      <c r="Q1671" s="62">
        <f>Q1356*IF(EXACT(Q$8,"abgeschlossen"),1,0)</f>
        <v/>
      </c>
      <c r="R1671" s="62">
        <f>R1356*IF(EXACT(R$8,"abgeschlossen"),1,0)</f>
        <v/>
      </c>
      <c r="S1671" s="62">
        <f>S1356*IF(EXACT(S$8,"abgeschlossen"),1,0)</f>
        <v/>
      </c>
      <c r="T1671" s="62">
        <f>T1356*IF(EXACT(T$8,"abgeschlossen"),1,0)</f>
        <v/>
      </c>
      <c r="U1671" s="62">
        <f>U1356*IF(EXACT(U$8,"abgeschlossen"),1,0)</f>
        <v/>
      </c>
      <c r="V1671" s="62">
        <f>V1356*IF(EXACT(V$8,"abgeschlossen"),1,0)</f>
        <v/>
      </c>
    </row>
    <row r="1672">
      <c r="C1672" s="62">
        <f>C1357*IF(EXACT(C$8,"abgeschlossen"),1,0)</f>
        <v/>
      </c>
      <c r="D1672" s="62">
        <f>D1357*IF(EXACT(D$8,"abgeschlossen"),1,0)</f>
        <v/>
      </c>
      <c r="E1672" s="62">
        <f>E1357*IF(EXACT(E$8,"abgeschlossen"),1,0)</f>
        <v/>
      </c>
      <c r="F1672" s="62">
        <f>F1357*IF(EXACT(F$8,"abgeschlossen"),1,0)</f>
        <v/>
      </c>
      <c r="G1672" s="62">
        <f>G1357*IF(EXACT(G$8,"abgeschlossen"),1,0)</f>
        <v/>
      </c>
      <c r="H1672" s="62">
        <f>H1357*IF(EXACT(H$8,"abgeschlossen"),1,0)</f>
        <v/>
      </c>
      <c r="I1672" s="62">
        <f>I1357*IF(EXACT(I$8,"abgeschlossen"),1,0)</f>
        <v/>
      </c>
      <c r="J1672" s="62">
        <f>J1357*IF(EXACT(J$8,"abgeschlossen"),1,0)</f>
        <v/>
      </c>
      <c r="K1672" s="62">
        <f>K1357*IF(EXACT(K$8,"abgeschlossen"),1,0)</f>
        <v/>
      </c>
      <c r="L1672" s="62">
        <f>L1357*IF(EXACT(L$8,"abgeschlossen"),1,0)</f>
        <v/>
      </c>
      <c r="M1672" s="62">
        <f>M1357*IF(EXACT(M$8,"abgeschlossen"),1,0)</f>
        <v/>
      </c>
      <c r="N1672" s="62">
        <f>N1357*IF(EXACT(N$8,"abgeschlossen"),1,0)</f>
        <v/>
      </c>
      <c r="O1672" s="62">
        <f>O1357*IF(EXACT(O$8,"abgeschlossen"),1,0)</f>
        <v/>
      </c>
      <c r="P1672" s="62">
        <f>P1357*IF(EXACT(P$8,"abgeschlossen"),1,0)</f>
        <v/>
      </c>
      <c r="Q1672" s="62">
        <f>Q1357*IF(EXACT(Q$8,"abgeschlossen"),1,0)</f>
        <v/>
      </c>
      <c r="R1672" s="62">
        <f>R1357*IF(EXACT(R$8,"abgeschlossen"),1,0)</f>
        <v/>
      </c>
      <c r="S1672" s="62">
        <f>S1357*IF(EXACT(S$8,"abgeschlossen"),1,0)</f>
        <v/>
      </c>
      <c r="T1672" s="62">
        <f>T1357*IF(EXACT(T$8,"abgeschlossen"),1,0)</f>
        <v/>
      </c>
      <c r="U1672" s="62">
        <f>U1357*IF(EXACT(U$8,"abgeschlossen"),1,0)</f>
        <v/>
      </c>
      <c r="V1672" s="62">
        <f>V1357*IF(EXACT(V$8,"abgeschlossen"),1,0)</f>
        <v/>
      </c>
    </row>
    <row r="1673">
      <c r="C1673" s="62">
        <f>C1358*IF(EXACT(C$8,"abgeschlossen"),1,0)</f>
        <v/>
      </c>
      <c r="D1673" s="62">
        <f>D1358*IF(EXACT(D$8,"abgeschlossen"),1,0)</f>
        <v/>
      </c>
      <c r="E1673" s="62">
        <f>E1358*IF(EXACT(E$8,"abgeschlossen"),1,0)</f>
        <v/>
      </c>
      <c r="F1673" s="62">
        <f>F1358*IF(EXACT(F$8,"abgeschlossen"),1,0)</f>
        <v/>
      </c>
      <c r="G1673" s="62">
        <f>G1358*IF(EXACT(G$8,"abgeschlossen"),1,0)</f>
        <v/>
      </c>
      <c r="H1673" s="62">
        <f>H1358*IF(EXACT(H$8,"abgeschlossen"),1,0)</f>
        <v/>
      </c>
      <c r="I1673" s="62">
        <f>I1358*IF(EXACT(I$8,"abgeschlossen"),1,0)</f>
        <v/>
      </c>
      <c r="J1673" s="62">
        <f>J1358*IF(EXACT(J$8,"abgeschlossen"),1,0)</f>
        <v/>
      </c>
      <c r="K1673" s="62">
        <f>K1358*IF(EXACT(K$8,"abgeschlossen"),1,0)</f>
        <v/>
      </c>
      <c r="L1673" s="62">
        <f>L1358*IF(EXACT(L$8,"abgeschlossen"),1,0)</f>
        <v/>
      </c>
      <c r="M1673" s="62">
        <f>M1358*IF(EXACT(M$8,"abgeschlossen"),1,0)</f>
        <v/>
      </c>
      <c r="N1673" s="62">
        <f>N1358*IF(EXACT(N$8,"abgeschlossen"),1,0)</f>
        <v/>
      </c>
      <c r="O1673" s="62">
        <f>O1358*IF(EXACT(O$8,"abgeschlossen"),1,0)</f>
        <v/>
      </c>
      <c r="P1673" s="62">
        <f>P1358*IF(EXACT(P$8,"abgeschlossen"),1,0)</f>
        <v/>
      </c>
      <c r="Q1673" s="62">
        <f>Q1358*IF(EXACT(Q$8,"abgeschlossen"),1,0)</f>
        <v/>
      </c>
      <c r="R1673" s="62">
        <f>R1358*IF(EXACT(R$8,"abgeschlossen"),1,0)</f>
        <v/>
      </c>
      <c r="S1673" s="62">
        <f>S1358*IF(EXACT(S$8,"abgeschlossen"),1,0)</f>
        <v/>
      </c>
      <c r="T1673" s="62">
        <f>T1358*IF(EXACT(T$8,"abgeschlossen"),1,0)</f>
        <v/>
      </c>
      <c r="U1673" s="62">
        <f>U1358*IF(EXACT(U$8,"abgeschlossen"),1,0)</f>
        <v/>
      </c>
      <c r="V1673" s="62">
        <f>V1358*IF(EXACT(V$8,"abgeschlossen"),1,0)</f>
        <v/>
      </c>
    </row>
    <row r="1674">
      <c r="C1674" s="62">
        <f>C1359*IF(EXACT(C$8,"abgeschlossen"),1,0)</f>
        <v/>
      </c>
      <c r="D1674" s="62">
        <f>D1359*IF(EXACT(D$8,"abgeschlossen"),1,0)</f>
        <v/>
      </c>
      <c r="E1674" s="62">
        <f>E1359*IF(EXACT(E$8,"abgeschlossen"),1,0)</f>
        <v/>
      </c>
      <c r="F1674" s="62">
        <f>F1359*IF(EXACT(F$8,"abgeschlossen"),1,0)</f>
        <v/>
      </c>
      <c r="G1674" s="62">
        <f>G1359*IF(EXACT(G$8,"abgeschlossen"),1,0)</f>
        <v/>
      </c>
      <c r="H1674" s="62">
        <f>H1359*IF(EXACT(H$8,"abgeschlossen"),1,0)</f>
        <v/>
      </c>
      <c r="I1674" s="62">
        <f>I1359*IF(EXACT(I$8,"abgeschlossen"),1,0)</f>
        <v/>
      </c>
      <c r="J1674" s="62">
        <f>J1359*IF(EXACT(J$8,"abgeschlossen"),1,0)</f>
        <v/>
      </c>
      <c r="K1674" s="62">
        <f>K1359*IF(EXACT(K$8,"abgeschlossen"),1,0)</f>
        <v/>
      </c>
      <c r="L1674" s="62">
        <f>L1359*IF(EXACT(L$8,"abgeschlossen"),1,0)</f>
        <v/>
      </c>
      <c r="M1674" s="62">
        <f>M1359*IF(EXACT(M$8,"abgeschlossen"),1,0)</f>
        <v/>
      </c>
      <c r="N1674" s="62">
        <f>N1359*IF(EXACT(N$8,"abgeschlossen"),1,0)</f>
        <v/>
      </c>
      <c r="O1674" s="62">
        <f>O1359*IF(EXACT(O$8,"abgeschlossen"),1,0)</f>
        <v/>
      </c>
      <c r="P1674" s="62">
        <f>P1359*IF(EXACT(P$8,"abgeschlossen"),1,0)</f>
        <v/>
      </c>
      <c r="Q1674" s="62">
        <f>Q1359*IF(EXACT(Q$8,"abgeschlossen"),1,0)</f>
        <v/>
      </c>
      <c r="R1674" s="62">
        <f>R1359*IF(EXACT(R$8,"abgeschlossen"),1,0)</f>
        <v/>
      </c>
      <c r="S1674" s="62">
        <f>S1359*IF(EXACT(S$8,"abgeschlossen"),1,0)</f>
        <v/>
      </c>
      <c r="T1674" s="62">
        <f>T1359*IF(EXACT(T$8,"abgeschlossen"),1,0)</f>
        <v/>
      </c>
      <c r="U1674" s="62">
        <f>U1359*IF(EXACT(U$8,"abgeschlossen"),1,0)</f>
        <v/>
      </c>
      <c r="V1674" s="62">
        <f>V1359*IF(EXACT(V$8,"abgeschlossen"),1,0)</f>
        <v/>
      </c>
    </row>
    <row r="1675">
      <c r="C1675" s="62">
        <f>C1360*IF(EXACT(C$8,"abgeschlossen"),1,0)</f>
        <v/>
      </c>
      <c r="D1675" s="62">
        <f>D1360*IF(EXACT(D$8,"abgeschlossen"),1,0)</f>
        <v/>
      </c>
      <c r="E1675" s="62">
        <f>E1360*IF(EXACT(E$8,"abgeschlossen"),1,0)</f>
        <v/>
      </c>
      <c r="F1675" s="62">
        <f>F1360*IF(EXACT(F$8,"abgeschlossen"),1,0)</f>
        <v/>
      </c>
      <c r="G1675" s="62">
        <f>G1360*IF(EXACT(G$8,"abgeschlossen"),1,0)</f>
        <v/>
      </c>
      <c r="H1675" s="62">
        <f>H1360*IF(EXACT(H$8,"abgeschlossen"),1,0)</f>
        <v/>
      </c>
      <c r="I1675" s="62">
        <f>I1360*IF(EXACT(I$8,"abgeschlossen"),1,0)</f>
        <v/>
      </c>
      <c r="J1675" s="62">
        <f>J1360*IF(EXACT(J$8,"abgeschlossen"),1,0)</f>
        <v/>
      </c>
      <c r="K1675" s="62">
        <f>K1360*IF(EXACT(K$8,"abgeschlossen"),1,0)</f>
        <v/>
      </c>
      <c r="L1675" s="62">
        <f>L1360*IF(EXACT(L$8,"abgeschlossen"),1,0)</f>
        <v/>
      </c>
      <c r="M1675" s="62">
        <f>M1360*IF(EXACT(M$8,"abgeschlossen"),1,0)</f>
        <v/>
      </c>
      <c r="N1675" s="62">
        <f>N1360*IF(EXACT(N$8,"abgeschlossen"),1,0)</f>
        <v/>
      </c>
      <c r="O1675" s="62">
        <f>O1360*IF(EXACT(O$8,"abgeschlossen"),1,0)</f>
        <v/>
      </c>
      <c r="P1675" s="62">
        <f>P1360*IF(EXACT(P$8,"abgeschlossen"),1,0)</f>
        <v/>
      </c>
      <c r="Q1675" s="62">
        <f>Q1360*IF(EXACT(Q$8,"abgeschlossen"),1,0)</f>
        <v/>
      </c>
      <c r="R1675" s="62">
        <f>R1360*IF(EXACT(R$8,"abgeschlossen"),1,0)</f>
        <v/>
      </c>
      <c r="S1675" s="62">
        <f>S1360*IF(EXACT(S$8,"abgeschlossen"),1,0)</f>
        <v/>
      </c>
      <c r="T1675" s="62">
        <f>T1360*IF(EXACT(T$8,"abgeschlossen"),1,0)</f>
        <v/>
      </c>
      <c r="U1675" s="62">
        <f>U1360*IF(EXACT(U$8,"abgeschlossen"),1,0)</f>
        <v/>
      </c>
      <c r="V1675" s="62">
        <f>V1360*IF(EXACT(V$8,"abgeschlossen"),1,0)</f>
        <v/>
      </c>
    </row>
    <row r="1676">
      <c r="C1676" s="62">
        <f>C1361*IF(EXACT(C$8,"abgeschlossen"),1,0)</f>
        <v/>
      </c>
      <c r="D1676" s="62">
        <f>D1361*IF(EXACT(D$8,"abgeschlossen"),1,0)</f>
        <v/>
      </c>
      <c r="E1676" s="62">
        <f>E1361*IF(EXACT(E$8,"abgeschlossen"),1,0)</f>
        <v/>
      </c>
      <c r="F1676" s="62">
        <f>F1361*IF(EXACT(F$8,"abgeschlossen"),1,0)</f>
        <v/>
      </c>
      <c r="G1676" s="62">
        <f>G1361*IF(EXACT(G$8,"abgeschlossen"),1,0)</f>
        <v/>
      </c>
      <c r="H1676" s="62">
        <f>H1361*IF(EXACT(H$8,"abgeschlossen"),1,0)</f>
        <v/>
      </c>
      <c r="I1676" s="62">
        <f>I1361*IF(EXACT(I$8,"abgeschlossen"),1,0)</f>
        <v/>
      </c>
      <c r="J1676" s="62">
        <f>J1361*IF(EXACT(J$8,"abgeschlossen"),1,0)</f>
        <v/>
      </c>
      <c r="K1676" s="62">
        <f>K1361*IF(EXACT(K$8,"abgeschlossen"),1,0)</f>
        <v/>
      </c>
      <c r="L1676" s="62">
        <f>L1361*IF(EXACT(L$8,"abgeschlossen"),1,0)</f>
        <v/>
      </c>
      <c r="M1676" s="62">
        <f>M1361*IF(EXACT(M$8,"abgeschlossen"),1,0)</f>
        <v/>
      </c>
      <c r="N1676" s="62">
        <f>N1361*IF(EXACT(N$8,"abgeschlossen"),1,0)</f>
        <v/>
      </c>
      <c r="O1676" s="62">
        <f>O1361*IF(EXACT(O$8,"abgeschlossen"),1,0)</f>
        <v/>
      </c>
      <c r="P1676" s="62">
        <f>P1361*IF(EXACT(P$8,"abgeschlossen"),1,0)</f>
        <v/>
      </c>
      <c r="Q1676" s="62">
        <f>Q1361*IF(EXACT(Q$8,"abgeschlossen"),1,0)</f>
        <v/>
      </c>
      <c r="R1676" s="62">
        <f>R1361*IF(EXACT(R$8,"abgeschlossen"),1,0)</f>
        <v/>
      </c>
      <c r="S1676" s="62">
        <f>S1361*IF(EXACT(S$8,"abgeschlossen"),1,0)</f>
        <v/>
      </c>
      <c r="T1676" s="62">
        <f>T1361*IF(EXACT(T$8,"abgeschlossen"),1,0)</f>
        <v/>
      </c>
      <c r="U1676" s="62">
        <f>U1361*IF(EXACT(U$8,"abgeschlossen"),1,0)</f>
        <v/>
      </c>
      <c r="V1676" s="62">
        <f>V1361*IF(EXACT(V$8,"abgeschlossen"),1,0)</f>
        <v/>
      </c>
    </row>
    <row r="1677">
      <c r="C1677" s="62">
        <f>C1362*IF(EXACT(C$8,"abgeschlossen"),1,0)</f>
        <v/>
      </c>
      <c r="D1677" s="62">
        <f>D1362*IF(EXACT(D$8,"abgeschlossen"),1,0)</f>
        <v/>
      </c>
      <c r="E1677" s="62">
        <f>E1362*IF(EXACT(E$8,"abgeschlossen"),1,0)</f>
        <v/>
      </c>
      <c r="F1677" s="62">
        <f>F1362*IF(EXACT(F$8,"abgeschlossen"),1,0)</f>
        <v/>
      </c>
      <c r="G1677" s="62">
        <f>G1362*IF(EXACT(G$8,"abgeschlossen"),1,0)</f>
        <v/>
      </c>
      <c r="H1677" s="62">
        <f>H1362*IF(EXACT(H$8,"abgeschlossen"),1,0)</f>
        <v/>
      </c>
      <c r="I1677" s="62">
        <f>I1362*IF(EXACT(I$8,"abgeschlossen"),1,0)</f>
        <v/>
      </c>
      <c r="J1677" s="62">
        <f>J1362*IF(EXACT(J$8,"abgeschlossen"),1,0)</f>
        <v/>
      </c>
      <c r="K1677" s="62">
        <f>K1362*IF(EXACT(K$8,"abgeschlossen"),1,0)</f>
        <v/>
      </c>
      <c r="L1677" s="62">
        <f>L1362*IF(EXACT(L$8,"abgeschlossen"),1,0)</f>
        <v/>
      </c>
      <c r="M1677" s="62">
        <f>M1362*IF(EXACT(M$8,"abgeschlossen"),1,0)</f>
        <v/>
      </c>
      <c r="N1677" s="62">
        <f>N1362*IF(EXACT(N$8,"abgeschlossen"),1,0)</f>
        <v/>
      </c>
      <c r="O1677" s="62">
        <f>O1362*IF(EXACT(O$8,"abgeschlossen"),1,0)</f>
        <v/>
      </c>
      <c r="P1677" s="62">
        <f>P1362*IF(EXACT(P$8,"abgeschlossen"),1,0)</f>
        <v/>
      </c>
      <c r="Q1677" s="62">
        <f>Q1362*IF(EXACT(Q$8,"abgeschlossen"),1,0)</f>
        <v/>
      </c>
      <c r="R1677" s="62">
        <f>R1362*IF(EXACT(R$8,"abgeschlossen"),1,0)</f>
        <v/>
      </c>
      <c r="S1677" s="62">
        <f>S1362*IF(EXACT(S$8,"abgeschlossen"),1,0)</f>
        <v/>
      </c>
      <c r="T1677" s="62">
        <f>T1362*IF(EXACT(T$8,"abgeschlossen"),1,0)</f>
        <v/>
      </c>
      <c r="U1677" s="62">
        <f>U1362*IF(EXACT(U$8,"abgeschlossen"),1,0)</f>
        <v/>
      </c>
      <c r="V1677" s="62">
        <f>V1362*IF(EXACT(V$8,"abgeschlossen"),1,0)</f>
        <v/>
      </c>
    </row>
    <row r="1678">
      <c r="C1678" s="62">
        <f>C1363*IF(EXACT(C$8,"abgeschlossen"),1,0)</f>
        <v/>
      </c>
      <c r="D1678" s="62">
        <f>D1363*IF(EXACT(D$8,"abgeschlossen"),1,0)</f>
        <v/>
      </c>
      <c r="E1678" s="62">
        <f>E1363*IF(EXACT(E$8,"abgeschlossen"),1,0)</f>
        <v/>
      </c>
      <c r="F1678" s="62">
        <f>F1363*IF(EXACT(F$8,"abgeschlossen"),1,0)</f>
        <v/>
      </c>
      <c r="G1678" s="62">
        <f>G1363*IF(EXACT(G$8,"abgeschlossen"),1,0)</f>
        <v/>
      </c>
      <c r="H1678" s="62">
        <f>H1363*IF(EXACT(H$8,"abgeschlossen"),1,0)</f>
        <v/>
      </c>
      <c r="I1678" s="62">
        <f>I1363*IF(EXACT(I$8,"abgeschlossen"),1,0)</f>
        <v/>
      </c>
      <c r="J1678" s="62">
        <f>J1363*IF(EXACT(J$8,"abgeschlossen"),1,0)</f>
        <v/>
      </c>
      <c r="K1678" s="62">
        <f>K1363*IF(EXACT(K$8,"abgeschlossen"),1,0)</f>
        <v/>
      </c>
      <c r="L1678" s="62">
        <f>L1363*IF(EXACT(L$8,"abgeschlossen"),1,0)</f>
        <v/>
      </c>
      <c r="M1678" s="62">
        <f>M1363*IF(EXACT(M$8,"abgeschlossen"),1,0)</f>
        <v/>
      </c>
      <c r="N1678" s="62">
        <f>N1363*IF(EXACT(N$8,"abgeschlossen"),1,0)</f>
        <v/>
      </c>
      <c r="O1678" s="62">
        <f>O1363*IF(EXACT(O$8,"abgeschlossen"),1,0)</f>
        <v/>
      </c>
      <c r="P1678" s="62">
        <f>P1363*IF(EXACT(P$8,"abgeschlossen"),1,0)</f>
        <v/>
      </c>
      <c r="Q1678" s="62">
        <f>Q1363*IF(EXACT(Q$8,"abgeschlossen"),1,0)</f>
        <v/>
      </c>
      <c r="R1678" s="62">
        <f>R1363*IF(EXACT(R$8,"abgeschlossen"),1,0)</f>
        <v/>
      </c>
      <c r="S1678" s="62">
        <f>S1363*IF(EXACT(S$8,"abgeschlossen"),1,0)</f>
        <v/>
      </c>
      <c r="T1678" s="62">
        <f>T1363*IF(EXACT(T$8,"abgeschlossen"),1,0)</f>
        <v/>
      </c>
      <c r="U1678" s="62">
        <f>U1363*IF(EXACT(U$8,"abgeschlossen"),1,0)</f>
        <v/>
      </c>
      <c r="V1678" s="62">
        <f>V1363*IF(EXACT(V$8,"abgeschlossen"),1,0)</f>
        <v/>
      </c>
    </row>
    <row r="1679">
      <c r="C1679" s="62">
        <f>C1364*IF(EXACT(C$8,"abgeschlossen"),1,0)</f>
        <v/>
      </c>
      <c r="D1679" s="62">
        <f>D1364*IF(EXACT(D$8,"abgeschlossen"),1,0)</f>
        <v/>
      </c>
      <c r="E1679" s="62">
        <f>E1364*IF(EXACT(E$8,"abgeschlossen"),1,0)</f>
        <v/>
      </c>
      <c r="F1679" s="62">
        <f>F1364*IF(EXACT(F$8,"abgeschlossen"),1,0)</f>
        <v/>
      </c>
      <c r="G1679" s="62">
        <f>G1364*IF(EXACT(G$8,"abgeschlossen"),1,0)</f>
        <v/>
      </c>
      <c r="H1679" s="62">
        <f>H1364*IF(EXACT(H$8,"abgeschlossen"),1,0)</f>
        <v/>
      </c>
      <c r="I1679" s="62">
        <f>I1364*IF(EXACT(I$8,"abgeschlossen"),1,0)</f>
        <v/>
      </c>
      <c r="J1679" s="62">
        <f>J1364*IF(EXACT(J$8,"abgeschlossen"),1,0)</f>
        <v/>
      </c>
      <c r="K1679" s="62">
        <f>K1364*IF(EXACT(K$8,"abgeschlossen"),1,0)</f>
        <v/>
      </c>
      <c r="L1679" s="62">
        <f>L1364*IF(EXACT(L$8,"abgeschlossen"),1,0)</f>
        <v/>
      </c>
      <c r="M1679" s="62">
        <f>M1364*IF(EXACT(M$8,"abgeschlossen"),1,0)</f>
        <v/>
      </c>
      <c r="N1679" s="62">
        <f>N1364*IF(EXACT(N$8,"abgeschlossen"),1,0)</f>
        <v/>
      </c>
      <c r="O1679" s="62">
        <f>O1364*IF(EXACT(O$8,"abgeschlossen"),1,0)</f>
        <v/>
      </c>
      <c r="P1679" s="62">
        <f>P1364*IF(EXACT(P$8,"abgeschlossen"),1,0)</f>
        <v/>
      </c>
      <c r="Q1679" s="62">
        <f>Q1364*IF(EXACT(Q$8,"abgeschlossen"),1,0)</f>
        <v/>
      </c>
      <c r="R1679" s="62">
        <f>R1364*IF(EXACT(R$8,"abgeschlossen"),1,0)</f>
        <v/>
      </c>
      <c r="S1679" s="62">
        <f>S1364*IF(EXACT(S$8,"abgeschlossen"),1,0)</f>
        <v/>
      </c>
      <c r="T1679" s="62">
        <f>T1364*IF(EXACT(T$8,"abgeschlossen"),1,0)</f>
        <v/>
      </c>
      <c r="U1679" s="62">
        <f>U1364*IF(EXACT(U$8,"abgeschlossen"),1,0)</f>
        <v/>
      </c>
      <c r="V1679" s="62">
        <f>V1364*IF(EXACT(V$8,"abgeschlossen"),1,0)</f>
        <v/>
      </c>
    </row>
    <row r="1680">
      <c r="C1680" s="62">
        <f>C1365*IF(EXACT(C$8,"abgeschlossen"),1,0)</f>
        <v/>
      </c>
      <c r="D1680" s="62">
        <f>D1365*IF(EXACT(D$8,"abgeschlossen"),1,0)</f>
        <v/>
      </c>
      <c r="E1680" s="62">
        <f>E1365*IF(EXACT(E$8,"abgeschlossen"),1,0)</f>
        <v/>
      </c>
      <c r="F1680" s="62">
        <f>F1365*IF(EXACT(F$8,"abgeschlossen"),1,0)</f>
        <v/>
      </c>
      <c r="G1680" s="62">
        <f>G1365*IF(EXACT(G$8,"abgeschlossen"),1,0)</f>
        <v/>
      </c>
      <c r="H1680" s="62">
        <f>H1365*IF(EXACT(H$8,"abgeschlossen"),1,0)</f>
        <v/>
      </c>
      <c r="I1680" s="62">
        <f>I1365*IF(EXACT(I$8,"abgeschlossen"),1,0)</f>
        <v/>
      </c>
      <c r="J1680" s="62">
        <f>J1365*IF(EXACT(J$8,"abgeschlossen"),1,0)</f>
        <v/>
      </c>
      <c r="K1680" s="62">
        <f>K1365*IF(EXACT(K$8,"abgeschlossen"),1,0)</f>
        <v/>
      </c>
      <c r="L1680" s="62">
        <f>L1365*IF(EXACT(L$8,"abgeschlossen"),1,0)</f>
        <v/>
      </c>
      <c r="M1680" s="62">
        <f>M1365*IF(EXACT(M$8,"abgeschlossen"),1,0)</f>
        <v/>
      </c>
      <c r="N1680" s="62">
        <f>N1365*IF(EXACT(N$8,"abgeschlossen"),1,0)</f>
        <v/>
      </c>
      <c r="O1680" s="62">
        <f>O1365*IF(EXACT(O$8,"abgeschlossen"),1,0)</f>
        <v/>
      </c>
      <c r="P1680" s="62">
        <f>P1365*IF(EXACT(P$8,"abgeschlossen"),1,0)</f>
        <v/>
      </c>
      <c r="Q1680" s="62">
        <f>Q1365*IF(EXACT(Q$8,"abgeschlossen"),1,0)</f>
        <v/>
      </c>
      <c r="R1680" s="62">
        <f>R1365*IF(EXACT(R$8,"abgeschlossen"),1,0)</f>
        <v/>
      </c>
      <c r="S1680" s="62">
        <f>S1365*IF(EXACT(S$8,"abgeschlossen"),1,0)</f>
        <v/>
      </c>
      <c r="T1680" s="62">
        <f>T1365*IF(EXACT(T$8,"abgeschlossen"),1,0)</f>
        <v/>
      </c>
      <c r="U1680" s="62">
        <f>U1365*IF(EXACT(U$8,"abgeschlossen"),1,0)</f>
        <v/>
      </c>
      <c r="V1680" s="62">
        <f>V1365*IF(EXACT(V$8,"abgeschlossen"),1,0)</f>
        <v/>
      </c>
    </row>
    <row r="1681">
      <c r="C1681" s="62">
        <f>C1366*IF(EXACT(C$8,"abgeschlossen"),1,0)</f>
        <v/>
      </c>
      <c r="D1681" s="62">
        <f>D1366*IF(EXACT(D$8,"abgeschlossen"),1,0)</f>
        <v/>
      </c>
      <c r="E1681" s="62">
        <f>E1366*IF(EXACT(E$8,"abgeschlossen"),1,0)</f>
        <v/>
      </c>
      <c r="F1681" s="62">
        <f>F1366*IF(EXACT(F$8,"abgeschlossen"),1,0)</f>
        <v/>
      </c>
      <c r="G1681" s="62">
        <f>G1366*IF(EXACT(G$8,"abgeschlossen"),1,0)</f>
        <v/>
      </c>
      <c r="H1681" s="62">
        <f>H1366*IF(EXACT(H$8,"abgeschlossen"),1,0)</f>
        <v/>
      </c>
      <c r="I1681" s="62">
        <f>I1366*IF(EXACT(I$8,"abgeschlossen"),1,0)</f>
        <v/>
      </c>
      <c r="J1681" s="62">
        <f>J1366*IF(EXACT(J$8,"abgeschlossen"),1,0)</f>
        <v/>
      </c>
      <c r="K1681" s="62">
        <f>K1366*IF(EXACT(K$8,"abgeschlossen"),1,0)</f>
        <v/>
      </c>
      <c r="L1681" s="62">
        <f>L1366*IF(EXACT(L$8,"abgeschlossen"),1,0)</f>
        <v/>
      </c>
      <c r="M1681" s="62">
        <f>M1366*IF(EXACT(M$8,"abgeschlossen"),1,0)</f>
        <v/>
      </c>
      <c r="N1681" s="62">
        <f>N1366*IF(EXACT(N$8,"abgeschlossen"),1,0)</f>
        <v/>
      </c>
      <c r="O1681" s="62">
        <f>O1366*IF(EXACT(O$8,"abgeschlossen"),1,0)</f>
        <v/>
      </c>
      <c r="P1681" s="62">
        <f>P1366*IF(EXACT(P$8,"abgeschlossen"),1,0)</f>
        <v/>
      </c>
      <c r="Q1681" s="62">
        <f>Q1366*IF(EXACT(Q$8,"abgeschlossen"),1,0)</f>
        <v/>
      </c>
      <c r="R1681" s="62">
        <f>R1366*IF(EXACT(R$8,"abgeschlossen"),1,0)</f>
        <v/>
      </c>
      <c r="S1681" s="62">
        <f>S1366*IF(EXACT(S$8,"abgeschlossen"),1,0)</f>
        <v/>
      </c>
      <c r="T1681" s="62">
        <f>T1366*IF(EXACT(T$8,"abgeschlossen"),1,0)</f>
        <v/>
      </c>
      <c r="U1681" s="62">
        <f>U1366*IF(EXACT(U$8,"abgeschlossen"),1,0)</f>
        <v/>
      </c>
      <c r="V1681" s="62">
        <f>V1366*IF(EXACT(V$8,"abgeschlossen"),1,0)</f>
        <v/>
      </c>
    </row>
    <row r="1682">
      <c r="C1682" s="62">
        <f>C1367*IF(EXACT(C$8,"abgeschlossen"),1,0)</f>
        <v/>
      </c>
      <c r="D1682" s="62">
        <f>D1367*IF(EXACT(D$8,"abgeschlossen"),1,0)</f>
        <v/>
      </c>
      <c r="E1682" s="62">
        <f>E1367*IF(EXACT(E$8,"abgeschlossen"),1,0)</f>
        <v/>
      </c>
      <c r="F1682" s="62">
        <f>F1367*IF(EXACT(F$8,"abgeschlossen"),1,0)</f>
        <v/>
      </c>
      <c r="G1682" s="62">
        <f>G1367*IF(EXACT(G$8,"abgeschlossen"),1,0)</f>
        <v/>
      </c>
      <c r="H1682" s="62">
        <f>H1367*IF(EXACT(H$8,"abgeschlossen"),1,0)</f>
        <v/>
      </c>
      <c r="I1682" s="62">
        <f>I1367*IF(EXACT(I$8,"abgeschlossen"),1,0)</f>
        <v/>
      </c>
      <c r="J1682" s="62">
        <f>J1367*IF(EXACT(J$8,"abgeschlossen"),1,0)</f>
        <v/>
      </c>
      <c r="K1682" s="62">
        <f>K1367*IF(EXACT(K$8,"abgeschlossen"),1,0)</f>
        <v/>
      </c>
      <c r="L1682" s="62">
        <f>L1367*IF(EXACT(L$8,"abgeschlossen"),1,0)</f>
        <v/>
      </c>
      <c r="M1682" s="62">
        <f>M1367*IF(EXACT(M$8,"abgeschlossen"),1,0)</f>
        <v/>
      </c>
      <c r="N1682" s="62">
        <f>N1367*IF(EXACT(N$8,"abgeschlossen"),1,0)</f>
        <v/>
      </c>
      <c r="O1682" s="62">
        <f>O1367*IF(EXACT(O$8,"abgeschlossen"),1,0)</f>
        <v/>
      </c>
      <c r="P1682" s="62">
        <f>P1367*IF(EXACT(P$8,"abgeschlossen"),1,0)</f>
        <v/>
      </c>
      <c r="Q1682" s="62">
        <f>Q1367*IF(EXACT(Q$8,"abgeschlossen"),1,0)</f>
        <v/>
      </c>
      <c r="R1682" s="62">
        <f>R1367*IF(EXACT(R$8,"abgeschlossen"),1,0)</f>
        <v/>
      </c>
      <c r="S1682" s="62">
        <f>S1367*IF(EXACT(S$8,"abgeschlossen"),1,0)</f>
        <v/>
      </c>
      <c r="T1682" s="62">
        <f>T1367*IF(EXACT(T$8,"abgeschlossen"),1,0)</f>
        <v/>
      </c>
      <c r="U1682" s="62">
        <f>U1367*IF(EXACT(U$8,"abgeschlossen"),1,0)</f>
        <v/>
      </c>
      <c r="V1682" s="62">
        <f>V1367*IF(EXACT(V$8,"abgeschlossen"),1,0)</f>
        <v/>
      </c>
    </row>
    <row r="1683">
      <c r="C1683" s="62">
        <f>C1368*IF(EXACT(C$8,"abgeschlossen"),1,0)</f>
        <v/>
      </c>
      <c r="D1683" s="62">
        <f>D1368*IF(EXACT(D$8,"abgeschlossen"),1,0)</f>
        <v/>
      </c>
      <c r="E1683" s="62">
        <f>E1368*IF(EXACT(E$8,"abgeschlossen"),1,0)</f>
        <v/>
      </c>
      <c r="F1683" s="62">
        <f>F1368*IF(EXACT(F$8,"abgeschlossen"),1,0)</f>
        <v/>
      </c>
      <c r="G1683" s="62">
        <f>G1368*IF(EXACT(G$8,"abgeschlossen"),1,0)</f>
        <v/>
      </c>
      <c r="H1683" s="62">
        <f>H1368*IF(EXACT(H$8,"abgeschlossen"),1,0)</f>
        <v/>
      </c>
      <c r="I1683" s="62">
        <f>I1368*IF(EXACT(I$8,"abgeschlossen"),1,0)</f>
        <v/>
      </c>
      <c r="J1683" s="62">
        <f>J1368*IF(EXACT(J$8,"abgeschlossen"),1,0)</f>
        <v/>
      </c>
      <c r="K1683" s="62">
        <f>K1368*IF(EXACT(K$8,"abgeschlossen"),1,0)</f>
        <v/>
      </c>
      <c r="L1683" s="62">
        <f>L1368*IF(EXACT(L$8,"abgeschlossen"),1,0)</f>
        <v/>
      </c>
      <c r="M1683" s="62">
        <f>M1368*IF(EXACT(M$8,"abgeschlossen"),1,0)</f>
        <v/>
      </c>
      <c r="N1683" s="62">
        <f>N1368*IF(EXACT(N$8,"abgeschlossen"),1,0)</f>
        <v/>
      </c>
      <c r="O1683" s="62">
        <f>O1368*IF(EXACT(O$8,"abgeschlossen"),1,0)</f>
        <v/>
      </c>
      <c r="P1683" s="62">
        <f>P1368*IF(EXACT(P$8,"abgeschlossen"),1,0)</f>
        <v/>
      </c>
      <c r="Q1683" s="62">
        <f>Q1368*IF(EXACT(Q$8,"abgeschlossen"),1,0)</f>
        <v/>
      </c>
      <c r="R1683" s="62">
        <f>R1368*IF(EXACT(R$8,"abgeschlossen"),1,0)</f>
        <v/>
      </c>
      <c r="S1683" s="62">
        <f>S1368*IF(EXACT(S$8,"abgeschlossen"),1,0)</f>
        <v/>
      </c>
      <c r="T1683" s="62">
        <f>T1368*IF(EXACT(T$8,"abgeschlossen"),1,0)</f>
        <v/>
      </c>
      <c r="U1683" s="62">
        <f>U1368*IF(EXACT(U$8,"abgeschlossen"),1,0)</f>
        <v/>
      </c>
      <c r="V1683" s="62">
        <f>V1368*IF(EXACT(V$8,"abgeschlossen"),1,0)</f>
        <v/>
      </c>
    </row>
    <row r="1684">
      <c r="C1684" s="62">
        <f>C1369*IF(EXACT(C$8,"abgeschlossen"),1,0)</f>
        <v/>
      </c>
      <c r="D1684" s="62">
        <f>D1369*IF(EXACT(D$8,"abgeschlossen"),1,0)</f>
        <v/>
      </c>
      <c r="E1684" s="62">
        <f>E1369*IF(EXACT(E$8,"abgeschlossen"),1,0)</f>
        <v/>
      </c>
      <c r="F1684" s="62">
        <f>F1369*IF(EXACT(F$8,"abgeschlossen"),1,0)</f>
        <v/>
      </c>
      <c r="G1684" s="62">
        <f>G1369*IF(EXACT(G$8,"abgeschlossen"),1,0)</f>
        <v/>
      </c>
      <c r="H1684" s="62">
        <f>H1369*IF(EXACT(H$8,"abgeschlossen"),1,0)</f>
        <v/>
      </c>
      <c r="I1684" s="62">
        <f>I1369*IF(EXACT(I$8,"abgeschlossen"),1,0)</f>
        <v/>
      </c>
      <c r="J1684" s="62">
        <f>J1369*IF(EXACT(J$8,"abgeschlossen"),1,0)</f>
        <v/>
      </c>
      <c r="K1684" s="62">
        <f>K1369*IF(EXACT(K$8,"abgeschlossen"),1,0)</f>
        <v/>
      </c>
      <c r="L1684" s="62">
        <f>L1369*IF(EXACT(L$8,"abgeschlossen"),1,0)</f>
        <v/>
      </c>
      <c r="M1684" s="62">
        <f>M1369*IF(EXACT(M$8,"abgeschlossen"),1,0)</f>
        <v/>
      </c>
      <c r="N1684" s="62">
        <f>N1369*IF(EXACT(N$8,"abgeschlossen"),1,0)</f>
        <v/>
      </c>
      <c r="O1684" s="62">
        <f>O1369*IF(EXACT(O$8,"abgeschlossen"),1,0)</f>
        <v/>
      </c>
      <c r="P1684" s="62">
        <f>P1369*IF(EXACT(P$8,"abgeschlossen"),1,0)</f>
        <v/>
      </c>
      <c r="Q1684" s="62">
        <f>Q1369*IF(EXACT(Q$8,"abgeschlossen"),1,0)</f>
        <v/>
      </c>
      <c r="R1684" s="62">
        <f>R1369*IF(EXACT(R$8,"abgeschlossen"),1,0)</f>
        <v/>
      </c>
      <c r="S1684" s="62">
        <f>S1369*IF(EXACT(S$8,"abgeschlossen"),1,0)</f>
        <v/>
      </c>
      <c r="T1684" s="62">
        <f>T1369*IF(EXACT(T$8,"abgeschlossen"),1,0)</f>
        <v/>
      </c>
      <c r="U1684" s="62">
        <f>U1369*IF(EXACT(U$8,"abgeschlossen"),1,0)</f>
        <v/>
      </c>
      <c r="V1684" s="62">
        <f>V1369*IF(EXACT(V$8,"abgeschlossen"),1,0)</f>
        <v/>
      </c>
    </row>
    <row r="1685">
      <c r="C1685" s="62">
        <f>C1370*IF(EXACT(C$8,"abgeschlossen"),1,0)</f>
        <v/>
      </c>
      <c r="D1685" s="62">
        <f>D1370*IF(EXACT(D$8,"abgeschlossen"),1,0)</f>
        <v/>
      </c>
      <c r="E1685" s="62">
        <f>E1370*IF(EXACT(E$8,"abgeschlossen"),1,0)</f>
        <v/>
      </c>
      <c r="F1685" s="62">
        <f>F1370*IF(EXACT(F$8,"abgeschlossen"),1,0)</f>
        <v/>
      </c>
      <c r="G1685" s="62">
        <f>G1370*IF(EXACT(G$8,"abgeschlossen"),1,0)</f>
        <v/>
      </c>
      <c r="H1685" s="62">
        <f>H1370*IF(EXACT(H$8,"abgeschlossen"),1,0)</f>
        <v/>
      </c>
      <c r="I1685" s="62">
        <f>I1370*IF(EXACT(I$8,"abgeschlossen"),1,0)</f>
        <v/>
      </c>
      <c r="J1685" s="62">
        <f>J1370*IF(EXACT(J$8,"abgeschlossen"),1,0)</f>
        <v/>
      </c>
      <c r="K1685" s="62">
        <f>K1370*IF(EXACT(K$8,"abgeschlossen"),1,0)</f>
        <v/>
      </c>
      <c r="L1685" s="62">
        <f>L1370*IF(EXACT(L$8,"abgeschlossen"),1,0)</f>
        <v/>
      </c>
      <c r="M1685" s="62">
        <f>M1370*IF(EXACT(M$8,"abgeschlossen"),1,0)</f>
        <v/>
      </c>
      <c r="N1685" s="62">
        <f>N1370*IF(EXACT(N$8,"abgeschlossen"),1,0)</f>
        <v/>
      </c>
      <c r="O1685" s="62">
        <f>O1370*IF(EXACT(O$8,"abgeschlossen"),1,0)</f>
        <v/>
      </c>
      <c r="P1685" s="62">
        <f>P1370*IF(EXACT(P$8,"abgeschlossen"),1,0)</f>
        <v/>
      </c>
      <c r="Q1685" s="62">
        <f>Q1370*IF(EXACT(Q$8,"abgeschlossen"),1,0)</f>
        <v/>
      </c>
      <c r="R1685" s="62">
        <f>R1370*IF(EXACT(R$8,"abgeschlossen"),1,0)</f>
        <v/>
      </c>
      <c r="S1685" s="62">
        <f>S1370*IF(EXACT(S$8,"abgeschlossen"),1,0)</f>
        <v/>
      </c>
      <c r="T1685" s="62">
        <f>T1370*IF(EXACT(T$8,"abgeschlossen"),1,0)</f>
        <v/>
      </c>
      <c r="U1685" s="62">
        <f>U1370*IF(EXACT(U$8,"abgeschlossen"),1,0)</f>
        <v/>
      </c>
      <c r="V1685" s="62">
        <f>V1370*IF(EXACT(V$8,"abgeschlossen"),1,0)</f>
        <v/>
      </c>
    </row>
    <row r="1686">
      <c r="C1686" s="62">
        <f>C1371*IF(EXACT(C$8,"abgeschlossen"),1,0)</f>
        <v/>
      </c>
      <c r="D1686" s="62">
        <f>D1371*IF(EXACT(D$8,"abgeschlossen"),1,0)</f>
        <v/>
      </c>
      <c r="E1686" s="62">
        <f>E1371*IF(EXACT(E$8,"abgeschlossen"),1,0)</f>
        <v/>
      </c>
      <c r="F1686" s="62">
        <f>F1371*IF(EXACT(F$8,"abgeschlossen"),1,0)</f>
        <v/>
      </c>
      <c r="G1686" s="62">
        <f>G1371*IF(EXACT(G$8,"abgeschlossen"),1,0)</f>
        <v/>
      </c>
      <c r="H1686" s="62">
        <f>H1371*IF(EXACT(H$8,"abgeschlossen"),1,0)</f>
        <v/>
      </c>
      <c r="I1686" s="62">
        <f>I1371*IF(EXACT(I$8,"abgeschlossen"),1,0)</f>
        <v/>
      </c>
      <c r="J1686" s="62">
        <f>J1371*IF(EXACT(J$8,"abgeschlossen"),1,0)</f>
        <v/>
      </c>
      <c r="K1686" s="62">
        <f>K1371*IF(EXACT(K$8,"abgeschlossen"),1,0)</f>
        <v/>
      </c>
      <c r="L1686" s="62">
        <f>L1371*IF(EXACT(L$8,"abgeschlossen"),1,0)</f>
        <v/>
      </c>
      <c r="M1686" s="62">
        <f>M1371*IF(EXACT(M$8,"abgeschlossen"),1,0)</f>
        <v/>
      </c>
      <c r="N1686" s="62">
        <f>N1371*IF(EXACT(N$8,"abgeschlossen"),1,0)</f>
        <v/>
      </c>
      <c r="O1686" s="62">
        <f>O1371*IF(EXACT(O$8,"abgeschlossen"),1,0)</f>
        <v/>
      </c>
      <c r="P1686" s="62">
        <f>P1371*IF(EXACT(P$8,"abgeschlossen"),1,0)</f>
        <v/>
      </c>
      <c r="Q1686" s="62">
        <f>Q1371*IF(EXACT(Q$8,"abgeschlossen"),1,0)</f>
        <v/>
      </c>
      <c r="R1686" s="62">
        <f>R1371*IF(EXACT(R$8,"abgeschlossen"),1,0)</f>
        <v/>
      </c>
      <c r="S1686" s="62">
        <f>S1371*IF(EXACT(S$8,"abgeschlossen"),1,0)</f>
        <v/>
      </c>
      <c r="T1686" s="62">
        <f>T1371*IF(EXACT(T$8,"abgeschlossen"),1,0)</f>
        <v/>
      </c>
      <c r="U1686" s="62">
        <f>U1371*IF(EXACT(U$8,"abgeschlossen"),1,0)</f>
        <v/>
      </c>
      <c r="V1686" s="62">
        <f>V1371*IF(EXACT(V$8,"abgeschlossen"),1,0)</f>
        <v/>
      </c>
    </row>
    <row r="1687">
      <c r="C1687" s="62">
        <f>C1372*IF(EXACT(C$8,"abgeschlossen"),1,0)</f>
        <v/>
      </c>
      <c r="D1687" s="62">
        <f>D1372*IF(EXACT(D$8,"abgeschlossen"),1,0)</f>
        <v/>
      </c>
      <c r="E1687" s="62">
        <f>E1372*IF(EXACT(E$8,"abgeschlossen"),1,0)</f>
        <v/>
      </c>
      <c r="F1687" s="62">
        <f>F1372*IF(EXACT(F$8,"abgeschlossen"),1,0)</f>
        <v/>
      </c>
      <c r="G1687" s="62">
        <f>G1372*IF(EXACT(G$8,"abgeschlossen"),1,0)</f>
        <v/>
      </c>
      <c r="H1687" s="62">
        <f>H1372*IF(EXACT(H$8,"abgeschlossen"),1,0)</f>
        <v/>
      </c>
      <c r="I1687" s="62">
        <f>I1372*IF(EXACT(I$8,"abgeschlossen"),1,0)</f>
        <v/>
      </c>
      <c r="J1687" s="62">
        <f>J1372*IF(EXACT(J$8,"abgeschlossen"),1,0)</f>
        <v/>
      </c>
      <c r="K1687" s="62">
        <f>K1372*IF(EXACT(K$8,"abgeschlossen"),1,0)</f>
        <v/>
      </c>
      <c r="L1687" s="62">
        <f>L1372*IF(EXACT(L$8,"abgeschlossen"),1,0)</f>
        <v/>
      </c>
      <c r="M1687" s="62">
        <f>M1372*IF(EXACT(M$8,"abgeschlossen"),1,0)</f>
        <v/>
      </c>
      <c r="N1687" s="62">
        <f>N1372*IF(EXACT(N$8,"abgeschlossen"),1,0)</f>
        <v/>
      </c>
      <c r="O1687" s="62">
        <f>O1372*IF(EXACT(O$8,"abgeschlossen"),1,0)</f>
        <v/>
      </c>
      <c r="P1687" s="62">
        <f>P1372*IF(EXACT(P$8,"abgeschlossen"),1,0)</f>
        <v/>
      </c>
      <c r="Q1687" s="62">
        <f>Q1372*IF(EXACT(Q$8,"abgeschlossen"),1,0)</f>
        <v/>
      </c>
      <c r="R1687" s="62">
        <f>R1372*IF(EXACT(R$8,"abgeschlossen"),1,0)</f>
        <v/>
      </c>
      <c r="S1687" s="62">
        <f>S1372*IF(EXACT(S$8,"abgeschlossen"),1,0)</f>
        <v/>
      </c>
      <c r="T1687" s="62">
        <f>T1372*IF(EXACT(T$8,"abgeschlossen"),1,0)</f>
        <v/>
      </c>
      <c r="U1687" s="62">
        <f>U1372*IF(EXACT(U$8,"abgeschlossen"),1,0)</f>
        <v/>
      </c>
      <c r="V1687" s="62">
        <f>V1372*IF(EXACT(V$8,"abgeschlossen"),1,0)</f>
        <v/>
      </c>
    </row>
    <row r="1688">
      <c r="C1688" s="62">
        <f>C1373*IF(EXACT(C$8,"abgeschlossen"),1,0)</f>
        <v/>
      </c>
      <c r="D1688" s="62">
        <f>D1373*IF(EXACT(D$8,"abgeschlossen"),1,0)</f>
        <v/>
      </c>
      <c r="E1688" s="62">
        <f>E1373*IF(EXACT(E$8,"abgeschlossen"),1,0)</f>
        <v/>
      </c>
      <c r="F1688" s="62">
        <f>F1373*IF(EXACT(F$8,"abgeschlossen"),1,0)</f>
        <v/>
      </c>
      <c r="G1688" s="62">
        <f>G1373*IF(EXACT(G$8,"abgeschlossen"),1,0)</f>
        <v/>
      </c>
      <c r="H1688" s="62">
        <f>H1373*IF(EXACT(H$8,"abgeschlossen"),1,0)</f>
        <v/>
      </c>
      <c r="I1688" s="62">
        <f>I1373*IF(EXACT(I$8,"abgeschlossen"),1,0)</f>
        <v/>
      </c>
      <c r="J1688" s="62">
        <f>J1373*IF(EXACT(J$8,"abgeschlossen"),1,0)</f>
        <v/>
      </c>
      <c r="K1688" s="62">
        <f>K1373*IF(EXACT(K$8,"abgeschlossen"),1,0)</f>
        <v/>
      </c>
      <c r="L1688" s="62">
        <f>L1373*IF(EXACT(L$8,"abgeschlossen"),1,0)</f>
        <v/>
      </c>
      <c r="M1688" s="62">
        <f>M1373*IF(EXACT(M$8,"abgeschlossen"),1,0)</f>
        <v/>
      </c>
      <c r="N1688" s="62">
        <f>N1373*IF(EXACT(N$8,"abgeschlossen"),1,0)</f>
        <v/>
      </c>
      <c r="O1688" s="62">
        <f>O1373*IF(EXACT(O$8,"abgeschlossen"),1,0)</f>
        <v/>
      </c>
      <c r="P1688" s="62">
        <f>P1373*IF(EXACT(P$8,"abgeschlossen"),1,0)</f>
        <v/>
      </c>
      <c r="Q1688" s="62">
        <f>Q1373*IF(EXACT(Q$8,"abgeschlossen"),1,0)</f>
        <v/>
      </c>
      <c r="R1688" s="62">
        <f>R1373*IF(EXACT(R$8,"abgeschlossen"),1,0)</f>
        <v/>
      </c>
      <c r="S1688" s="62">
        <f>S1373*IF(EXACT(S$8,"abgeschlossen"),1,0)</f>
        <v/>
      </c>
      <c r="T1688" s="62">
        <f>T1373*IF(EXACT(T$8,"abgeschlossen"),1,0)</f>
        <v/>
      </c>
      <c r="U1688" s="62">
        <f>U1373*IF(EXACT(U$8,"abgeschlossen"),1,0)</f>
        <v/>
      </c>
      <c r="V1688" s="62">
        <f>V1373*IF(EXACT(V$8,"abgeschlossen"),1,0)</f>
        <v/>
      </c>
    </row>
    <row r="1689">
      <c r="C1689" s="62">
        <f>C1374*IF(EXACT(C$8,"abgeschlossen"),1,0)</f>
        <v/>
      </c>
      <c r="D1689" s="62">
        <f>D1374*IF(EXACT(D$8,"abgeschlossen"),1,0)</f>
        <v/>
      </c>
      <c r="E1689" s="62">
        <f>E1374*IF(EXACT(E$8,"abgeschlossen"),1,0)</f>
        <v/>
      </c>
      <c r="F1689" s="62">
        <f>F1374*IF(EXACT(F$8,"abgeschlossen"),1,0)</f>
        <v/>
      </c>
      <c r="G1689" s="62">
        <f>G1374*IF(EXACT(G$8,"abgeschlossen"),1,0)</f>
        <v/>
      </c>
      <c r="H1689" s="62">
        <f>H1374*IF(EXACT(H$8,"abgeschlossen"),1,0)</f>
        <v/>
      </c>
      <c r="I1689" s="62">
        <f>I1374*IF(EXACT(I$8,"abgeschlossen"),1,0)</f>
        <v/>
      </c>
      <c r="J1689" s="62">
        <f>J1374*IF(EXACT(J$8,"abgeschlossen"),1,0)</f>
        <v/>
      </c>
      <c r="K1689" s="62">
        <f>K1374*IF(EXACT(K$8,"abgeschlossen"),1,0)</f>
        <v/>
      </c>
      <c r="L1689" s="62">
        <f>L1374*IF(EXACT(L$8,"abgeschlossen"),1,0)</f>
        <v/>
      </c>
      <c r="M1689" s="62">
        <f>M1374*IF(EXACT(M$8,"abgeschlossen"),1,0)</f>
        <v/>
      </c>
      <c r="N1689" s="62">
        <f>N1374*IF(EXACT(N$8,"abgeschlossen"),1,0)</f>
        <v/>
      </c>
      <c r="O1689" s="62">
        <f>O1374*IF(EXACT(O$8,"abgeschlossen"),1,0)</f>
        <v/>
      </c>
      <c r="P1689" s="62">
        <f>P1374*IF(EXACT(P$8,"abgeschlossen"),1,0)</f>
        <v/>
      </c>
      <c r="Q1689" s="62">
        <f>Q1374*IF(EXACT(Q$8,"abgeschlossen"),1,0)</f>
        <v/>
      </c>
      <c r="R1689" s="62">
        <f>R1374*IF(EXACT(R$8,"abgeschlossen"),1,0)</f>
        <v/>
      </c>
      <c r="S1689" s="62">
        <f>S1374*IF(EXACT(S$8,"abgeschlossen"),1,0)</f>
        <v/>
      </c>
      <c r="T1689" s="62">
        <f>T1374*IF(EXACT(T$8,"abgeschlossen"),1,0)</f>
        <v/>
      </c>
      <c r="U1689" s="62">
        <f>U1374*IF(EXACT(U$8,"abgeschlossen"),1,0)</f>
        <v/>
      </c>
      <c r="V1689" s="62">
        <f>V1374*IF(EXACT(V$8,"abgeschlossen"),1,0)</f>
        <v/>
      </c>
    </row>
    <row r="1690">
      <c r="C1690" s="62">
        <f>C1375*IF(EXACT(C$8,"abgeschlossen"),1,0)</f>
        <v/>
      </c>
      <c r="D1690" s="62">
        <f>D1375*IF(EXACT(D$8,"abgeschlossen"),1,0)</f>
        <v/>
      </c>
      <c r="E1690" s="62">
        <f>E1375*IF(EXACT(E$8,"abgeschlossen"),1,0)</f>
        <v/>
      </c>
      <c r="F1690" s="62">
        <f>F1375*IF(EXACT(F$8,"abgeschlossen"),1,0)</f>
        <v/>
      </c>
      <c r="G1690" s="62">
        <f>G1375*IF(EXACT(G$8,"abgeschlossen"),1,0)</f>
        <v/>
      </c>
      <c r="H1690" s="62">
        <f>H1375*IF(EXACT(H$8,"abgeschlossen"),1,0)</f>
        <v/>
      </c>
      <c r="I1690" s="62">
        <f>I1375*IF(EXACT(I$8,"abgeschlossen"),1,0)</f>
        <v/>
      </c>
      <c r="J1690" s="62">
        <f>J1375*IF(EXACT(J$8,"abgeschlossen"),1,0)</f>
        <v/>
      </c>
      <c r="K1690" s="62">
        <f>K1375*IF(EXACT(K$8,"abgeschlossen"),1,0)</f>
        <v/>
      </c>
      <c r="L1690" s="62">
        <f>L1375*IF(EXACT(L$8,"abgeschlossen"),1,0)</f>
        <v/>
      </c>
      <c r="M1690" s="62">
        <f>M1375*IF(EXACT(M$8,"abgeschlossen"),1,0)</f>
        <v/>
      </c>
      <c r="N1690" s="62">
        <f>N1375*IF(EXACT(N$8,"abgeschlossen"),1,0)</f>
        <v/>
      </c>
      <c r="O1690" s="62">
        <f>O1375*IF(EXACT(O$8,"abgeschlossen"),1,0)</f>
        <v/>
      </c>
      <c r="P1690" s="62">
        <f>P1375*IF(EXACT(P$8,"abgeschlossen"),1,0)</f>
        <v/>
      </c>
      <c r="Q1690" s="62">
        <f>Q1375*IF(EXACT(Q$8,"abgeschlossen"),1,0)</f>
        <v/>
      </c>
      <c r="R1690" s="62">
        <f>R1375*IF(EXACT(R$8,"abgeschlossen"),1,0)</f>
        <v/>
      </c>
      <c r="S1690" s="62">
        <f>S1375*IF(EXACT(S$8,"abgeschlossen"),1,0)</f>
        <v/>
      </c>
      <c r="T1690" s="62">
        <f>T1375*IF(EXACT(T$8,"abgeschlossen"),1,0)</f>
        <v/>
      </c>
      <c r="U1690" s="62">
        <f>U1375*IF(EXACT(U$8,"abgeschlossen"),1,0)</f>
        <v/>
      </c>
      <c r="V1690" s="62">
        <f>V1375*IF(EXACT(V$8,"abgeschlossen"),1,0)</f>
        <v/>
      </c>
    </row>
    <row r="1691">
      <c r="C1691" s="62">
        <f>C1376*IF(EXACT(C$8,"abgeschlossen"),1,0)</f>
        <v/>
      </c>
      <c r="D1691" s="62">
        <f>D1376*IF(EXACT(D$8,"abgeschlossen"),1,0)</f>
        <v/>
      </c>
      <c r="E1691" s="62">
        <f>E1376*IF(EXACT(E$8,"abgeschlossen"),1,0)</f>
        <v/>
      </c>
      <c r="F1691" s="62">
        <f>F1376*IF(EXACT(F$8,"abgeschlossen"),1,0)</f>
        <v/>
      </c>
      <c r="G1691" s="62">
        <f>G1376*IF(EXACT(G$8,"abgeschlossen"),1,0)</f>
        <v/>
      </c>
      <c r="H1691" s="62">
        <f>H1376*IF(EXACT(H$8,"abgeschlossen"),1,0)</f>
        <v/>
      </c>
      <c r="I1691" s="62">
        <f>I1376*IF(EXACT(I$8,"abgeschlossen"),1,0)</f>
        <v/>
      </c>
      <c r="J1691" s="62">
        <f>J1376*IF(EXACT(J$8,"abgeschlossen"),1,0)</f>
        <v/>
      </c>
      <c r="K1691" s="62">
        <f>K1376*IF(EXACT(K$8,"abgeschlossen"),1,0)</f>
        <v/>
      </c>
      <c r="L1691" s="62">
        <f>L1376*IF(EXACT(L$8,"abgeschlossen"),1,0)</f>
        <v/>
      </c>
      <c r="M1691" s="62">
        <f>M1376*IF(EXACT(M$8,"abgeschlossen"),1,0)</f>
        <v/>
      </c>
      <c r="N1691" s="62">
        <f>N1376*IF(EXACT(N$8,"abgeschlossen"),1,0)</f>
        <v/>
      </c>
      <c r="O1691" s="62">
        <f>O1376*IF(EXACT(O$8,"abgeschlossen"),1,0)</f>
        <v/>
      </c>
      <c r="P1691" s="62">
        <f>P1376*IF(EXACT(P$8,"abgeschlossen"),1,0)</f>
        <v/>
      </c>
      <c r="Q1691" s="62">
        <f>Q1376*IF(EXACT(Q$8,"abgeschlossen"),1,0)</f>
        <v/>
      </c>
      <c r="R1691" s="62">
        <f>R1376*IF(EXACT(R$8,"abgeschlossen"),1,0)</f>
        <v/>
      </c>
      <c r="S1691" s="62">
        <f>S1376*IF(EXACT(S$8,"abgeschlossen"),1,0)</f>
        <v/>
      </c>
      <c r="T1691" s="62">
        <f>T1376*IF(EXACT(T$8,"abgeschlossen"),1,0)</f>
        <v/>
      </c>
      <c r="U1691" s="62">
        <f>U1376*IF(EXACT(U$8,"abgeschlossen"),1,0)</f>
        <v/>
      </c>
      <c r="V1691" s="62">
        <f>V1376*IF(EXACT(V$8,"abgeschlossen"),1,0)</f>
        <v/>
      </c>
    </row>
    <row r="1692">
      <c r="C1692" s="62">
        <f>C1377*IF(EXACT(C$8,"abgeschlossen"),1,0)</f>
        <v/>
      </c>
      <c r="D1692" s="62">
        <f>D1377*IF(EXACT(D$8,"abgeschlossen"),1,0)</f>
        <v/>
      </c>
      <c r="E1692" s="62">
        <f>E1377*IF(EXACT(E$8,"abgeschlossen"),1,0)</f>
        <v/>
      </c>
      <c r="F1692" s="62">
        <f>F1377*IF(EXACT(F$8,"abgeschlossen"),1,0)</f>
        <v/>
      </c>
      <c r="G1692" s="62">
        <f>G1377*IF(EXACT(G$8,"abgeschlossen"),1,0)</f>
        <v/>
      </c>
      <c r="H1692" s="62">
        <f>H1377*IF(EXACT(H$8,"abgeschlossen"),1,0)</f>
        <v/>
      </c>
      <c r="I1692" s="62">
        <f>I1377*IF(EXACT(I$8,"abgeschlossen"),1,0)</f>
        <v/>
      </c>
      <c r="J1692" s="62">
        <f>J1377*IF(EXACT(J$8,"abgeschlossen"),1,0)</f>
        <v/>
      </c>
      <c r="K1692" s="62">
        <f>K1377*IF(EXACT(K$8,"abgeschlossen"),1,0)</f>
        <v/>
      </c>
      <c r="L1692" s="62">
        <f>L1377*IF(EXACT(L$8,"abgeschlossen"),1,0)</f>
        <v/>
      </c>
      <c r="M1692" s="62">
        <f>M1377*IF(EXACT(M$8,"abgeschlossen"),1,0)</f>
        <v/>
      </c>
      <c r="N1692" s="62">
        <f>N1377*IF(EXACT(N$8,"abgeschlossen"),1,0)</f>
        <v/>
      </c>
      <c r="O1692" s="62">
        <f>O1377*IF(EXACT(O$8,"abgeschlossen"),1,0)</f>
        <v/>
      </c>
      <c r="P1692" s="62">
        <f>P1377*IF(EXACT(P$8,"abgeschlossen"),1,0)</f>
        <v/>
      </c>
      <c r="Q1692" s="62">
        <f>Q1377*IF(EXACT(Q$8,"abgeschlossen"),1,0)</f>
        <v/>
      </c>
      <c r="R1692" s="62">
        <f>R1377*IF(EXACT(R$8,"abgeschlossen"),1,0)</f>
        <v/>
      </c>
      <c r="S1692" s="62">
        <f>S1377*IF(EXACT(S$8,"abgeschlossen"),1,0)</f>
        <v/>
      </c>
      <c r="T1692" s="62">
        <f>T1377*IF(EXACT(T$8,"abgeschlossen"),1,0)</f>
        <v/>
      </c>
      <c r="U1692" s="62">
        <f>U1377*IF(EXACT(U$8,"abgeschlossen"),1,0)</f>
        <v/>
      </c>
      <c r="V1692" s="62">
        <f>V1377*IF(EXACT(V$8,"abgeschlossen"),1,0)</f>
        <v/>
      </c>
    </row>
    <row r="1693">
      <c r="C1693" s="62">
        <f>C1378*IF(EXACT(C$8,"abgeschlossen"),1,0)</f>
        <v/>
      </c>
      <c r="D1693" s="62">
        <f>D1378*IF(EXACT(D$8,"abgeschlossen"),1,0)</f>
        <v/>
      </c>
      <c r="E1693" s="62">
        <f>E1378*IF(EXACT(E$8,"abgeschlossen"),1,0)</f>
        <v/>
      </c>
      <c r="F1693" s="62">
        <f>F1378*IF(EXACT(F$8,"abgeschlossen"),1,0)</f>
        <v/>
      </c>
      <c r="G1693" s="62">
        <f>G1378*IF(EXACT(G$8,"abgeschlossen"),1,0)</f>
        <v/>
      </c>
      <c r="H1693" s="62">
        <f>H1378*IF(EXACT(H$8,"abgeschlossen"),1,0)</f>
        <v/>
      </c>
      <c r="I1693" s="62">
        <f>I1378*IF(EXACT(I$8,"abgeschlossen"),1,0)</f>
        <v/>
      </c>
      <c r="J1693" s="62">
        <f>J1378*IF(EXACT(J$8,"abgeschlossen"),1,0)</f>
        <v/>
      </c>
      <c r="K1693" s="62">
        <f>K1378*IF(EXACT(K$8,"abgeschlossen"),1,0)</f>
        <v/>
      </c>
      <c r="L1693" s="62">
        <f>L1378*IF(EXACT(L$8,"abgeschlossen"),1,0)</f>
        <v/>
      </c>
      <c r="M1693" s="62">
        <f>M1378*IF(EXACT(M$8,"abgeschlossen"),1,0)</f>
        <v/>
      </c>
      <c r="N1693" s="62">
        <f>N1378*IF(EXACT(N$8,"abgeschlossen"),1,0)</f>
        <v/>
      </c>
      <c r="O1693" s="62">
        <f>O1378*IF(EXACT(O$8,"abgeschlossen"),1,0)</f>
        <v/>
      </c>
      <c r="P1693" s="62">
        <f>P1378*IF(EXACT(P$8,"abgeschlossen"),1,0)</f>
        <v/>
      </c>
      <c r="Q1693" s="62">
        <f>Q1378*IF(EXACT(Q$8,"abgeschlossen"),1,0)</f>
        <v/>
      </c>
      <c r="R1693" s="62">
        <f>R1378*IF(EXACT(R$8,"abgeschlossen"),1,0)</f>
        <v/>
      </c>
      <c r="S1693" s="62">
        <f>S1378*IF(EXACT(S$8,"abgeschlossen"),1,0)</f>
        <v/>
      </c>
      <c r="T1693" s="62">
        <f>T1378*IF(EXACT(T$8,"abgeschlossen"),1,0)</f>
        <v/>
      </c>
      <c r="U1693" s="62">
        <f>U1378*IF(EXACT(U$8,"abgeschlossen"),1,0)</f>
        <v/>
      </c>
      <c r="V1693" s="62">
        <f>V1378*IF(EXACT(V$8,"abgeschlossen"),1,0)</f>
        <v/>
      </c>
    </row>
    <row r="1694">
      <c r="C1694" s="62">
        <f>C1379*IF(EXACT(C$8,"abgeschlossen"),1,0)</f>
        <v/>
      </c>
      <c r="D1694" s="62">
        <f>D1379*IF(EXACT(D$8,"abgeschlossen"),1,0)</f>
        <v/>
      </c>
      <c r="E1694" s="62">
        <f>E1379*IF(EXACT(E$8,"abgeschlossen"),1,0)</f>
        <v/>
      </c>
      <c r="F1694" s="62">
        <f>F1379*IF(EXACT(F$8,"abgeschlossen"),1,0)</f>
        <v/>
      </c>
      <c r="G1694" s="62">
        <f>G1379*IF(EXACT(G$8,"abgeschlossen"),1,0)</f>
        <v/>
      </c>
      <c r="H1694" s="62">
        <f>H1379*IF(EXACT(H$8,"abgeschlossen"),1,0)</f>
        <v/>
      </c>
      <c r="I1694" s="62">
        <f>I1379*IF(EXACT(I$8,"abgeschlossen"),1,0)</f>
        <v/>
      </c>
      <c r="J1694" s="62">
        <f>J1379*IF(EXACT(J$8,"abgeschlossen"),1,0)</f>
        <v/>
      </c>
      <c r="K1694" s="62">
        <f>K1379*IF(EXACT(K$8,"abgeschlossen"),1,0)</f>
        <v/>
      </c>
      <c r="L1694" s="62">
        <f>L1379*IF(EXACT(L$8,"abgeschlossen"),1,0)</f>
        <v/>
      </c>
      <c r="M1694" s="62">
        <f>M1379*IF(EXACT(M$8,"abgeschlossen"),1,0)</f>
        <v/>
      </c>
      <c r="N1694" s="62">
        <f>N1379*IF(EXACT(N$8,"abgeschlossen"),1,0)</f>
        <v/>
      </c>
      <c r="O1694" s="62">
        <f>O1379*IF(EXACT(O$8,"abgeschlossen"),1,0)</f>
        <v/>
      </c>
      <c r="P1694" s="62">
        <f>P1379*IF(EXACT(P$8,"abgeschlossen"),1,0)</f>
        <v/>
      </c>
      <c r="Q1694" s="62">
        <f>Q1379*IF(EXACT(Q$8,"abgeschlossen"),1,0)</f>
        <v/>
      </c>
      <c r="R1694" s="62">
        <f>R1379*IF(EXACT(R$8,"abgeschlossen"),1,0)</f>
        <v/>
      </c>
      <c r="S1694" s="62">
        <f>S1379*IF(EXACT(S$8,"abgeschlossen"),1,0)</f>
        <v/>
      </c>
      <c r="T1694" s="62">
        <f>T1379*IF(EXACT(T$8,"abgeschlossen"),1,0)</f>
        <v/>
      </c>
      <c r="U1694" s="62">
        <f>U1379*IF(EXACT(U$8,"abgeschlossen"),1,0)</f>
        <v/>
      </c>
      <c r="V1694" s="62">
        <f>V1379*IF(EXACT(V$8,"abgeschlossen"),1,0)</f>
        <v/>
      </c>
    </row>
    <row r="1703">
      <c r="A1703" s="171" t="inlineStr">
        <is>
          <t>HJ anz</t>
        </is>
      </c>
      <c r="C1703" s="169" t="n">
        <v>1</v>
      </c>
      <c r="D1703" s="169" t="n">
        <v>2</v>
      </c>
      <c r="E1703" s="169" t="n">
        <v>3</v>
      </c>
      <c r="F1703" s="169" t="n">
        <v>4</v>
      </c>
      <c r="G1703" s="169" t="n">
        <v>5</v>
      </c>
      <c r="H1703" s="169" t="n">
        <v>6</v>
      </c>
      <c r="I1703" s="169" t="n">
        <v>7</v>
      </c>
      <c r="J1703" s="169" t="n">
        <v>8</v>
      </c>
    </row>
    <row r="1704">
      <c r="C1704" s="62">
        <f>SUMPRODUCT($C$1595:$V$1595,($C$230:$V$230=C$1703)*1)</f>
        <v/>
      </c>
      <c r="D1704" s="62">
        <f>SUMPRODUCT($C$1595:$V$1595,($C$230:$V$230=D$1703)*1)</f>
        <v/>
      </c>
      <c r="E1704" s="62">
        <f>SUMPRODUCT($C$1595:$V$1595,($C$230:$V$230=E$1703)*1)</f>
        <v/>
      </c>
      <c r="F1704" s="62">
        <f>SUMPRODUCT($C$1595:$V$1595,($C$230:$V$230=F$1703)*1)</f>
        <v/>
      </c>
      <c r="G1704" s="62">
        <f>SUMPRODUCT($C$1595:$V$1595,($C$230:$V$230=G$1703)*1)</f>
        <v/>
      </c>
      <c r="H1704" s="62">
        <f>SUMPRODUCT($C$1595:$V$1595,($C$230:$V$230=H$1703)*1)</f>
        <v/>
      </c>
      <c r="I1704" s="62">
        <f>SUMPRODUCT($C$1595:$V$1595,($C$230:$V$230=I$1703)*1)</f>
        <v/>
      </c>
      <c r="J1704" s="62">
        <f>SUMPRODUCT($C$1595:$V$1595,($C$230:$V$230=J$1703)*1)</f>
        <v/>
      </c>
    </row>
    <row r="1705">
      <c r="C1705" s="62">
        <f>SUMPRODUCT($C$1596:$V$1596,($C$231:$V$231=C$1703)*1)</f>
        <v/>
      </c>
      <c r="D1705" s="62">
        <f>SUMPRODUCT($C$1596:$V$1596,($C$231:$V$231=D$1703)*1)</f>
        <v/>
      </c>
      <c r="E1705" s="62">
        <f>SUMPRODUCT($C$1596:$V$1596,($C$231:$V$231=E$1703)*1)</f>
        <v/>
      </c>
      <c r="F1705" s="62">
        <f>SUMPRODUCT($C$1596:$V$1596,($C$231:$V$231=F$1703)*1)</f>
        <v/>
      </c>
      <c r="G1705" s="62">
        <f>SUMPRODUCT($C$1596:$V$1596,($C$231:$V$231=G$1703)*1)</f>
        <v/>
      </c>
      <c r="H1705" s="62">
        <f>SUMPRODUCT($C$1596:$V$1596,($C$231:$V$231=H$1703)*1)</f>
        <v/>
      </c>
      <c r="I1705" s="62">
        <f>SUMPRODUCT($C$1596:$V$1596,($C$231:$V$231=I$1703)*1)</f>
        <v/>
      </c>
      <c r="J1705" s="62">
        <f>SUMPRODUCT($C$1596:$V$1596,($C$231:$V$231=J$1703)*1)</f>
        <v/>
      </c>
    </row>
    <row r="1706">
      <c r="C1706" s="62">
        <f>SUMPRODUCT($C$1597:$V$1597,($C$232:$V$232=C$1703)*1)</f>
        <v/>
      </c>
      <c r="D1706" s="62">
        <f>SUMPRODUCT($C$1597:$V$1597,($C$232:$V$232=D$1703)*1)</f>
        <v/>
      </c>
      <c r="E1706" s="62">
        <f>SUMPRODUCT($C$1597:$V$1597,($C$232:$V$232=E$1703)*1)</f>
        <v/>
      </c>
      <c r="F1706" s="62">
        <f>SUMPRODUCT($C$1597:$V$1597,($C$232:$V$232=F$1703)*1)</f>
        <v/>
      </c>
      <c r="G1706" s="62">
        <f>SUMPRODUCT($C$1597:$V$1597,($C$232:$V$232=G$1703)*1)</f>
        <v/>
      </c>
      <c r="H1706" s="62">
        <f>SUMPRODUCT($C$1597:$V$1597,($C$232:$V$232=H$1703)*1)</f>
        <v/>
      </c>
      <c r="I1706" s="62">
        <f>SUMPRODUCT($C$1597:$V$1597,($C$232:$V$232=I$1703)*1)</f>
        <v/>
      </c>
      <c r="J1706" s="62">
        <f>SUMPRODUCT($C$1597:$V$1597,($C$232:$V$232=J$1703)*1)</f>
        <v/>
      </c>
    </row>
    <row r="1707">
      <c r="C1707" s="62">
        <f>SUMPRODUCT($C$1598:$V$1598,($C$233:$V$233=C$1703)*1)</f>
        <v/>
      </c>
      <c r="D1707" s="62">
        <f>SUMPRODUCT($C$1598:$V$1598,($C$233:$V$233=D$1703)*1)</f>
        <v/>
      </c>
      <c r="E1707" s="62">
        <f>SUMPRODUCT($C$1598:$V$1598,($C$233:$V$233=E$1703)*1)</f>
        <v/>
      </c>
      <c r="F1707" s="62">
        <f>SUMPRODUCT($C$1598:$V$1598,($C$233:$V$233=F$1703)*1)</f>
        <v/>
      </c>
      <c r="G1707" s="62">
        <f>SUMPRODUCT($C$1598:$V$1598,($C$233:$V$233=G$1703)*1)</f>
        <v/>
      </c>
      <c r="H1707" s="62">
        <f>SUMPRODUCT($C$1598:$V$1598,($C$233:$V$233=H$1703)*1)</f>
        <v/>
      </c>
      <c r="I1707" s="62">
        <f>SUMPRODUCT($C$1598:$V$1598,($C$233:$V$233=I$1703)*1)</f>
        <v/>
      </c>
      <c r="J1707" s="62">
        <f>SUMPRODUCT($C$1598:$V$1598,($C$233:$V$233=J$1703)*1)</f>
        <v/>
      </c>
    </row>
    <row r="1708">
      <c r="C1708" s="62">
        <f>SUMPRODUCT($C$1599:$V$1599,($C$234:$V$234=C$1703)*1)</f>
        <v/>
      </c>
      <c r="D1708" s="62">
        <f>SUMPRODUCT($C$1599:$V$1599,($C$234:$V$234=D$1703)*1)</f>
        <v/>
      </c>
      <c r="E1708" s="62">
        <f>SUMPRODUCT($C$1599:$V$1599,($C$234:$V$234=E$1703)*1)</f>
        <v/>
      </c>
      <c r="F1708" s="62">
        <f>SUMPRODUCT($C$1599:$V$1599,($C$234:$V$234=F$1703)*1)</f>
        <v/>
      </c>
      <c r="G1708" s="62">
        <f>SUMPRODUCT($C$1599:$V$1599,($C$234:$V$234=G$1703)*1)</f>
        <v/>
      </c>
      <c r="H1708" s="62">
        <f>SUMPRODUCT($C$1599:$V$1599,($C$234:$V$234=H$1703)*1)</f>
        <v/>
      </c>
      <c r="I1708" s="62">
        <f>SUMPRODUCT($C$1599:$V$1599,($C$234:$V$234=I$1703)*1)</f>
        <v/>
      </c>
      <c r="J1708" s="62">
        <f>SUMPRODUCT($C$1599:$V$1599,($C$234:$V$234=J$1703)*1)</f>
        <v/>
      </c>
    </row>
    <row r="1709">
      <c r="C1709" s="62">
        <f>SUMPRODUCT($C$1600:$V$1600,($C$235:$V$235=C$1703)*1)</f>
        <v/>
      </c>
      <c r="D1709" s="62">
        <f>SUMPRODUCT($C$1600:$V$1600,($C$235:$V$235=D$1703)*1)</f>
        <v/>
      </c>
      <c r="E1709" s="62">
        <f>SUMPRODUCT($C$1600:$V$1600,($C$235:$V$235=E$1703)*1)</f>
        <v/>
      </c>
      <c r="F1709" s="62">
        <f>SUMPRODUCT($C$1600:$V$1600,($C$235:$V$235=F$1703)*1)</f>
        <v/>
      </c>
      <c r="G1709" s="62">
        <f>SUMPRODUCT($C$1600:$V$1600,($C$235:$V$235=G$1703)*1)</f>
        <v/>
      </c>
      <c r="H1709" s="62">
        <f>SUMPRODUCT($C$1600:$V$1600,($C$235:$V$235=H$1703)*1)</f>
        <v/>
      </c>
      <c r="I1709" s="62">
        <f>SUMPRODUCT($C$1600:$V$1600,($C$235:$V$235=I$1703)*1)</f>
        <v/>
      </c>
      <c r="J1709" s="62">
        <f>SUMPRODUCT($C$1600:$V$1600,($C$235:$V$235=J$1703)*1)</f>
        <v/>
      </c>
    </row>
    <row r="1710">
      <c r="C1710" s="62">
        <f>SUMPRODUCT($C$1601:$V$1601,($C$236:$V$236=C$1703)*1)</f>
        <v/>
      </c>
      <c r="D1710" s="62">
        <f>SUMPRODUCT($C$1601:$V$1601,($C$236:$V$236=D$1703)*1)</f>
        <v/>
      </c>
      <c r="E1710" s="62">
        <f>SUMPRODUCT($C$1601:$V$1601,($C$236:$V$236=E$1703)*1)</f>
        <v/>
      </c>
      <c r="F1710" s="62">
        <f>SUMPRODUCT($C$1601:$V$1601,($C$236:$V$236=F$1703)*1)</f>
        <v/>
      </c>
      <c r="G1710" s="62">
        <f>SUMPRODUCT($C$1601:$V$1601,($C$236:$V$236=G$1703)*1)</f>
        <v/>
      </c>
      <c r="H1710" s="62">
        <f>SUMPRODUCT($C$1601:$V$1601,($C$236:$V$236=H$1703)*1)</f>
        <v/>
      </c>
      <c r="I1710" s="62">
        <f>SUMPRODUCT($C$1601:$V$1601,($C$236:$V$236=I$1703)*1)</f>
        <v/>
      </c>
      <c r="J1710" s="62">
        <f>SUMPRODUCT($C$1601:$V$1601,($C$236:$V$236=J$1703)*1)</f>
        <v/>
      </c>
    </row>
    <row r="1711">
      <c r="C1711" s="62">
        <f>SUMPRODUCT($C$1602:$V$1602,($C$237:$V$237=C$1703)*1)</f>
        <v/>
      </c>
      <c r="D1711" s="62">
        <f>SUMPRODUCT($C$1602:$V$1602,($C$237:$V$237=D$1703)*1)</f>
        <v/>
      </c>
      <c r="E1711" s="62">
        <f>SUMPRODUCT($C$1602:$V$1602,($C$237:$V$237=E$1703)*1)</f>
        <v/>
      </c>
      <c r="F1711" s="62">
        <f>SUMPRODUCT($C$1602:$V$1602,($C$237:$V$237=F$1703)*1)</f>
        <v/>
      </c>
      <c r="G1711" s="62">
        <f>SUMPRODUCT($C$1602:$V$1602,($C$237:$V$237=G$1703)*1)</f>
        <v/>
      </c>
      <c r="H1711" s="62">
        <f>SUMPRODUCT($C$1602:$V$1602,($C$237:$V$237=H$1703)*1)</f>
        <v/>
      </c>
      <c r="I1711" s="62">
        <f>SUMPRODUCT($C$1602:$V$1602,($C$237:$V$237=I$1703)*1)</f>
        <v/>
      </c>
      <c r="J1711" s="62">
        <f>SUMPRODUCT($C$1602:$V$1602,($C$237:$V$237=J$1703)*1)</f>
        <v/>
      </c>
    </row>
    <row r="1712">
      <c r="C1712" s="62">
        <f>SUMPRODUCT($C$1603:$V$1603,($C$238:$V$238=C$1703)*1)</f>
        <v/>
      </c>
      <c r="D1712" s="62">
        <f>SUMPRODUCT($C$1603:$V$1603,($C$238:$V$238=D$1703)*1)</f>
        <v/>
      </c>
      <c r="E1712" s="62">
        <f>SUMPRODUCT($C$1603:$V$1603,($C$238:$V$238=E$1703)*1)</f>
        <v/>
      </c>
      <c r="F1712" s="62">
        <f>SUMPRODUCT($C$1603:$V$1603,($C$238:$V$238=F$1703)*1)</f>
        <v/>
      </c>
      <c r="G1712" s="62">
        <f>SUMPRODUCT($C$1603:$V$1603,($C$238:$V$238=G$1703)*1)</f>
        <v/>
      </c>
      <c r="H1712" s="62">
        <f>SUMPRODUCT($C$1603:$V$1603,($C$238:$V$238=H$1703)*1)</f>
        <v/>
      </c>
      <c r="I1712" s="62">
        <f>SUMPRODUCT($C$1603:$V$1603,($C$238:$V$238=I$1703)*1)</f>
        <v/>
      </c>
      <c r="J1712" s="62">
        <f>SUMPRODUCT($C$1603:$V$1603,($C$238:$V$238=J$1703)*1)</f>
        <v/>
      </c>
    </row>
    <row r="1713">
      <c r="C1713" s="62">
        <f>SUMPRODUCT($C$1604:$V$1604,($C$239:$V$239=C$1703)*1)</f>
        <v/>
      </c>
      <c r="D1713" s="62">
        <f>SUMPRODUCT($C$1604:$V$1604,($C$239:$V$239=D$1703)*1)</f>
        <v/>
      </c>
      <c r="E1713" s="62">
        <f>SUMPRODUCT($C$1604:$V$1604,($C$239:$V$239=E$1703)*1)</f>
        <v/>
      </c>
      <c r="F1713" s="62">
        <f>SUMPRODUCT($C$1604:$V$1604,($C$239:$V$239=F$1703)*1)</f>
        <v/>
      </c>
      <c r="G1713" s="62">
        <f>SUMPRODUCT($C$1604:$V$1604,($C$239:$V$239=G$1703)*1)</f>
        <v/>
      </c>
      <c r="H1713" s="62">
        <f>SUMPRODUCT($C$1604:$V$1604,($C$239:$V$239=H$1703)*1)</f>
        <v/>
      </c>
      <c r="I1713" s="62">
        <f>SUMPRODUCT($C$1604:$V$1604,($C$239:$V$239=I$1703)*1)</f>
        <v/>
      </c>
      <c r="J1713" s="62">
        <f>SUMPRODUCT($C$1604:$V$1604,($C$239:$V$239=J$1703)*1)</f>
        <v/>
      </c>
    </row>
    <row r="1714">
      <c r="C1714" s="62">
        <f>SUMPRODUCT($C$1605:$V$1605,($C$240:$V$240=C$1703)*1)</f>
        <v/>
      </c>
      <c r="D1714" s="62">
        <f>SUMPRODUCT($C$1605:$V$1605,($C$240:$V$240=D$1703)*1)</f>
        <v/>
      </c>
      <c r="E1714" s="62">
        <f>SUMPRODUCT($C$1605:$V$1605,($C$240:$V$240=E$1703)*1)</f>
        <v/>
      </c>
      <c r="F1714" s="62">
        <f>SUMPRODUCT($C$1605:$V$1605,($C$240:$V$240=F$1703)*1)</f>
        <v/>
      </c>
      <c r="G1714" s="62">
        <f>SUMPRODUCT($C$1605:$V$1605,($C$240:$V$240=G$1703)*1)</f>
        <v/>
      </c>
      <c r="H1714" s="62">
        <f>SUMPRODUCT($C$1605:$V$1605,($C$240:$V$240=H$1703)*1)</f>
        <v/>
      </c>
      <c r="I1714" s="62">
        <f>SUMPRODUCT($C$1605:$V$1605,($C$240:$V$240=I$1703)*1)</f>
        <v/>
      </c>
      <c r="J1714" s="62">
        <f>SUMPRODUCT($C$1605:$V$1605,($C$240:$V$240=J$1703)*1)</f>
        <v/>
      </c>
    </row>
    <row r="1715">
      <c r="C1715" s="62">
        <f>SUMPRODUCT($C$1606:$V$1606,($C$241:$V$241=C$1703)*1)</f>
        <v/>
      </c>
      <c r="D1715" s="62">
        <f>SUMPRODUCT($C$1606:$V$1606,($C$241:$V$241=D$1703)*1)</f>
        <v/>
      </c>
      <c r="E1715" s="62">
        <f>SUMPRODUCT($C$1606:$V$1606,($C$241:$V$241=E$1703)*1)</f>
        <v/>
      </c>
      <c r="F1715" s="62">
        <f>SUMPRODUCT($C$1606:$V$1606,($C$241:$V$241=F$1703)*1)</f>
        <v/>
      </c>
      <c r="G1715" s="62">
        <f>SUMPRODUCT($C$1606:$V$1606,($C$241:$V$241=G$1703)*1)</f>
        <v/>
      </c>
      <c r="H1715" s="62">
        <f>SUMPRODUCT($C$1606:$V$1606,($C$241:$V$241=H$1703)*1)</f>
        <v/>
      </c>
      <c r="I1715" s="62">
        <f>SUMPRODUCT($C$1606:$V$1606,($C$241:$V$241=I$1703)*1)</f>
        <v/>
      </c>
      <c r="J1715" s="62">
        <f>SUMPRODUCT($C$1606:$V$1606,($C$241:$V$241=J$1703)*1)</f>
        <v/>
      </c>
    </row>
    <row r="1716">
      <c r="C1716" s="62">
        <f>SUMPRODUCT($C$1607:$V$1607,($C$242:$V$242=C$1703)*1)</f>
        <v/>
      </c>
      <c r="D1716" s="62">
        <f>SUMPRODUCT($C$1607:$V$1607,($C$242:$V$242=D$1703)*1)</f>
        <v/>
      </c>
      <c r="E1716" s="62">
        <f>SUMPRODUCT($C$1607:$V$1607,($C$242:$V$242=E$1703)*1)</f>
        <v/>
      </c>
      <c r="F1716" s="62">
        <f>SUMPRODUCT($C$1607:$V$1607,($C$242:$V$242=F$1703)*1)</f>
        <v/>
      </c>
      <c r="G1716" s="62">
        <f>SUMPRODUCT($C$1607:$V$1607,($C$242:$V$242=G$1703)*1)</f>
        <v/>
      </c>
      <c r="H1716" s="62">
        <f>SUMPRODUCT($C$1607:$V$1607,($C$242:$V$242=H$1703)*1)</f>
        <v/>
      </c>
      <c r="I1716" s="62">
        <f>SUMPRODUCT($C$1607:$V$1607,($C$242:$V$242=I$1703)*1)</f>
        <v/>
      </c>
      <c r="J1716" s="62">
        <f>SUMPRODUCT($C$1607:$V$1607,($C$242:$V$242=J$1703)*1)</f>
        <v/>
      </c>
    </row>
    <row r="1717">
      <c r="C1717" s="62">
        <f>SUMPRODUCT($C$1608:$V$1608,($C$243:$V$243=C$1703)*1)</f>
        <v/>
      </c>
      <c r="D1717" s="62">
        <f>SUMPRODUCT($C$1608:$V$1608,($C$243:$V$243=D$1703)*1)</f>
        <v/>
      </c>
      <c r="E1717" s="62">
        <f>SUMPRODUCT($C$1608:$V$1608,($C$243:$V$243=E$1703)*1)</f>
        <v/>
      </c>
      <c r="F1717" s="62">
        <f>SUMPRODUCT($C$1608:$V$1608,($C$243:$V$243=F$1703)*1)</f>
        <v/>
      </c>
      <c r="G1717" s="62">
        <f>SUMPRODUCT($C$1608:$V$1608,($C$243:$V$243=G$1703)*1)</f>
        <v/>
      </c>
      <c r="H1717" s="62">
        <f>SUMPRODUCT($C$1608:$V$1608,($C$243:$V$243=H$1703)*1)</f>
        <v/>
      </c>
      <c r="I1717" s="62">
        <f>SUMPRODUCT($C$1608:$V$1608,($C$243:$V$243=I$1703)*1)</f>
        <v/>
      </c>
      <c r="J1717" s="62">
        <f>SUMPRODUCT($C$1608:$V$1608,($C$243:$V$243=J$1703)*1)</f>
        <v/>
      </c>
    </row>
    <row r="1718">
      <c r="C1718" s="62">
        <f>SUMPRODUCT($C$1609:$V$1609,($C$244:$V$244=C$1703)*1)</f>
        <v/>
      </c>
      <c r="D1718" s="62">
        <f>SUMPRODUCT($C$1609:$V$1609,($C$244:$V$244=D$1703)*1)</f>
        <v/>
      </c>
      <c r="E1718" s="62">
        <f>SUMPRODUCT($C$1609:$V$1609,($C$244:$V$244=E$1703)*1)</f>
        <v/>
      </c>
      <c r="F1718" s="62">
        <f>SUMPRODUCT($C$1609:$V$1609,($C$244:$V$244=F$1703)*1)</f>
        <v/>
      </c>
      <c r="G1718" s="62">
        <f>SUMPRODUCT($C$1609:$V$1609,($C$244:$V$244=G$1703)*1)</f>
        <v/>
      </c>
      <c r="H1718" s="62">
        <f>SUMPRODUCT($C$1609:$V$1609,($C$244:$V$244=H$1703)*1)</f>
        <v/>
      </c>
      <c r="I1718" s="62">
        <f>SUMPRODUCT($C$1609:$V$1609,($C$244:$V$244=I$1703)*1)</f>
        <v/>
      </c>
      <c r="J1718" s="62">
        <f>SUMPRODUCT($C$1609:$V$1609,($C$244:$V$244=J$1703)*1)</f>
        <v/>
      </c>
    </row>
    <row r="1719">
      <c r="C1719" s="62">
        <f>SUMPRODUCT($C$1610:$V$1610,($C$245:$V$245=C$1703)*1)</f>
        <v/>
      </c>
      <c r="D1719" s="62">
        <f>SUMPRODUCT($C$1610:$V$1610,($C$245:$V$245=D$1703)*1)</f>
        <v/>
      </c>
      <c r="E1719" s="62">
        <f>SUMPRODUCT($C$1610:$V$1610,($C$245:$V$245=E$1703)*1)</f>
        <v/>
      </c>
      <c r="F1719" s="62">
        <f>SUMPRODUCT($C$1610:$V$1610,($C$245:$V$245=F$1703)*1)</f>
        <v/>
      </c>
      <c r="G1719" s="62">
        <f>SUMPRODUCT($C$1610:$V$1610,($C$245:$V$245=G$1703)*1)</f>
        <v/>
      </c>
      <c r="H1719" s="62">
        <f>SUMPRODUCT($C$1610:$V$1610,($C$245:$V$245=H$1703)*1)</f>
        <v/>
      </c>
      <c r="I1719" s="62">
        <f>SUMPRODUCT($C$1610:$V$1610,($C$245:$V$245=I$1703)*1)</f>
        <v/>
      </c>
      <c r="J1719" s="62">
        <f>SUMPRODUCT($C$1610:$V$1610,($C$245:$V$245=J$1703)*1)</f>
        <v/>
      </c>
    </row>
    <row r="1720">
      <c r="C1720" s="62">
        <f>SUMPRODUCT($C$1611:$V$1611,($C$246:$V$246=C$1703)*1)</f>
        <v/>
      </c>
      <c r="D1720" s="62">
        <f>SUMPRODUCT($C$1611:$V$1611,($C$246:$V$246=D$1703)*1)</f>
        <v/>
      </c>
      <c r="E1720" s="62">
        <f>SUMPRODUCT($C$1611:$V$1611,($C$246:$V$246=E$1703)*1)</f>
        <v/>
      </c>
      <c r="F1720" s="62">
        <f>SUMPRODUCT($C$1611:$V$1611,($C$246:$V$246=F$1703)*1)</f>
        <v/>
      </c>
      <c r="G1720" s="62">
        <f>SUMPRODUCT($C$1611:$V$1611,($C$246:$V$246=G$1703)*1)</f>
        <v/>
      </c>
      <c r="H1720" s="62">
        <f>SUMPRODUCT($C$1611:$V$1611,($C$246:$V$246=H$1703)*1)</f>
        <v/>
      </c>
      <c r="I1720" s="62">
        <f>SUMPRODUCT($C$1611:$V$1611,($C$246:$V$246=I$1703)*1)</f>
        <v/>
      </c>
      <c r="J1720" s="62">
        <f>SUMPRODUCT($C$1611:$V$1611,($C$246:$V$246=J$1703)*1)</f>
        <v/>
      </c>
    </row>
    <row r="1721">
      <c r="C1721" s="62">
        <f>SUMPRODUCT($C$1612:$V$1612,($C$247:$V$247=C$1703)*1)</f>
        <v/>
      </c>
      <c r="D1721" s="62">
        <f>SUMPRODUCT($C$1612:$V$1612,($C$247:$V$247=D$1703)*1)</f>
        <v/>
      </c>
      <c r="E1721" s="62">
        <f>SUMPRODUCT($C$1612:$V$1612,($C$247:$V$247=E$1703)*1)</f>
        <v/>
      </c>
      <c r="F1721" s="62">
        <f>SUMPRODUCT($C$1612:$V$1612,($C$247:$V$247=F$1703)*1)</f>
        <v/>
      </c>
      <c r="G1721" s="62">
        <f>SUMPRODUCT($C$1612:$V$1612,($C$247:$V$247=G$1703)*1)</f>
        <v/>
      </c>
      <c r="H1721" s="62">
        <f>SUMPRODUCT($C$1612:$V$1612,($C$247:$V$247=H$1703)*1)</f>
        <v/>
      </c>
      <c r="I1721" s="62">
        <f>SUMPRODUCT($C$1612:$V$1612,($C$247:$V$247=I$1703)*1)</f>
        <v/>
      </c>
      <c r="J1721" s="62">
        <f>SUMPRODUCT($C$1612:$V$1612,($C$247:$V$247=J$1703)*1)</f>
        <v/>
      </c>
    </row>
    <row r="1722">
      <c r="C1722" s="62">
        <f>SUMPRODUCT($C$1613:$V$1613,($C$248:$V$248=C$1703)*1)</f>
        <v/>
      </c>
      <c r="D1722" s="62">
        <f>SUMPRODUCT($C$1613:$V$1613,($C$248:$V$248=D$1703)*1)</f>
        <v/>
      </c>
      <c r="E1722" s="62">
        <f>SUMPRODUCT($C$1613:$V$1613,($C$248:$V$248=E$1703)*1)</f>
        <v/>
      </c>
      <c r="F1722" s="62">
        <f>SUMPRODUCT($C$1613:$V$1613,($C$248:$V$248=F$1703)*1)</f>
        <v/>
      </c>
      <c r="G1722" s="62">
        <f>SUMPRODUCT($C$1613:$V$1613,($C$248:$V$248=G$1703)*1)</f>
        <v/>
      </c>
      <c r="H1722" s="62">
        <f>SUMPRODUCT($C$1613:$V$1613,($C$248:$V$248=H$1703)*1)</f>
        <v/>
      </c>
      <c r="I1722" s="62">
        <f>SUMPRODUCT($C$1613:$V$1613,($C$248:$V$248=I$1703)*1)</f>
        <v/>
      </c>
      <c r="J1722" s="62">
        <f>SUMPRODUCT($C$1613:$V$1613,($C$248:$V$248=J$1703)*1)</f>
        <v/>
      </c>
    </row>
    <row r="1723">
      <c r="C1723" s="62">
        <f>SUMPRODUCT($C$1614:$V$1614,($C$249:$V$249=C$1703)*1)</f>
        <v/>
      </c>
      <c r="D1723" s="62">
        <f>SUMPRODUCT($C$1614:$V$1614,($C$249:$V$249=D$1703)*1)</f>
        <v/>
      </c>
      <c r="E1723" s="62">
        <f>SUMPRODUCT($C$1614:$V$1614,($C$249:$V$249=E$1703)*1)</f>
        <v/>
      </c>
      <c r="F1723" s="62">
        <f>SUMPRODUCT($C$1614:$V$1614,($C$249:$V$249=F$1703)*1)</f>
        <v/>
      </c>
      <c r="G1723" s="62">
        <f>SUMPRODUCT($C$1614:$V$1614,($C$249:$V$249=G$1703)*1)</f>
        <v/>
      </c>
      <c r="H1723" s="62">
        <f>SUMPRODUCT($C$1614:$V$1614,($C$249:$V$249=H$1703)*1)</f>
        <v/>
      </c>
      <c r="I1723" s="62">
        <f>SUMPRODUCT($C$1614:$V$1614,($C$249:$V$249=I$1703)*1)</f>
        <v/>
      </c>
      <c r="J1723" s="62">
        <f>SUMPRODUCT($C$1614:$V$1614,($C$249:$V$249=J$1703)*1)</f>
        <v/>
      </c>
    </row>
    <row r="1724">
      <c r="C1724" s="62">
        <f>SUMPRODUCT($C$1615:$V$1615,($C$250:$V$250=C$1703)*1)</f>
        <v/>
      </c>
      <c r="D1724" s="62">
        <f>SUMPRODUCT($C$1615:$V$1615,($C$250:$V$250=D$1703)*1)</f>
        <v/>
      </c>
      <c r="E1724" s="62">
        <f>SUMPRODUCT($C$1615:$V$1615,($C$250:$V$250=E$1703)*1)</f>
        <v/>
      </c>
      <c r="F1724" s="62">
        <f>SUMPRODUCT($C$1615:$V$1615,($C$250:$V$250=F$1703)*1)</f>
        <v/>
      </c>
      <c r="G1724" s="62">
        <f>SUMPRODUCT($C$1615:$V$1615,($C$250:$V$250=G$1703)*1)</f>
        <v/>
      </c>
      <c r="H1724" s="62">
        <f>SUMPRODUCT($C$1615:$V$1615,($C$250:$V$250=H$1703)*1)</f>
        <v/>
      </c>
      <c r="I1724" s="62">
        <f>SUMPRODUCT($C$1615:$V$1615,($C$250:$V$250=I$1703)*1)</f>
        <v/>
      </c>
      <c r="J1724" s="62">
        <f>SUMPRODUCT($C$1615:$V$1615,($C$250:$V$250=J$1703)*1)</f>
        <v/>
      </c>
    </row>
    <row r="1725">
      <c r="C1725" s="62">
        <f>SUMPRODUCT($C$1616:$V$1616,($C$251:$V$251=C$1703)*1)</f>
        <v/>
      </c>
      <c r="D1725" s="62">
        <f>SUMPRODUCT($C$1616:$V$1616,($C$251:$V$251=D$1703)*1)</f>
        <v/>
      </c>
      <c r="E1725" s="62">
        <f>SUMPRODUCT($C$1616:$V$1616,($C$251:$V$251=E$1703)*1)</f>
        <v/>
      </c>
      <c r="F1725" s="62">
        <f>SUMPRODUCT($C$1616:$V$1616,($C$251:$V$251=F$1703)*1)</f>
        <v/>
      </c>
      <c r="G1725" s="62">
        <f>SUMPRODUCT($C$1616:$V$1616,($C$251:$V$251=G$1703)*1)</f>
        <v/>
      </c>
      <c r="H1725" s="62">
        <f>SUMPRODUCT($C$1616:$V$1616,($C$251:$V$251=H$1703)*1)</f>
        <v/>
      </c>
      <c r="I1725" s="62">
        <f>SUMPRODUCT($C$1616:$V$1616,($C$251:$V$251=I$1703)*1)</f>
        <v/>
      </c>
      <c r="J1725" s="62">
        <f>SUMPRODUCT($C$1616:$V$1616,($C$251:$V$251=J$1703)*1)</f>
        <v/>
      </c>
    </row>
    <row r="1726">
      <c r="C1726" s="62">
        <f>SUMPRODUCT($C$1617:$V$1617,($C$252:$V$252=C$1703)*1)</f>
        <v/>
      </c>
      <c r="D1726" s="62">
        <f>SUMPRODUCT($C$1617:$V$1617,($C$252:$V$252=D$1703)*1)</f>
        <v/>
      </c>
      <c r="E1726" s="62">
        <f>SUMPRODUCT($C$1617:$V$1617,($C$252:$V$252=E$1703)*1)</f>
        <v/>
      </c>
      <c r="F1726" s="62">
        <f>SUMPRODUCT($C$1617:$V$1617,($C$252:$V$252=F$1703)*1)</f>
        <v/>
      </c>
      <c r="G1726" s="62">
        <f>SUMPRODUCT($C$1617:$V$1617,($C$252:$V$252=G$1703)*1)</f>
        <v/>
      </c>
      <c r="H1726" s="62">
        <f>SUMPRODUCT($C$1617:$V$1617,($C$252:$V$252=H$1703)*1)</f>
        <v/>
      </c>
      <c r="I1726" s="62">
        <f>SUMPRODUCT($C$1617:$V$1617,($C$252:$V$252=I$1703)*1)</f>
        <v/>
      </c>
      <c r="J1726" s="62">
        <f>SUMPRODUCT($C$1617:$V$1617,($C$252:$V$252=J$1703)*1)</f>
        <v/>
      </c>
    </row>
    <row r="1727">
      <c r="C1727" s="62">
        <f>SUMPRODUCT($C$1618:$V$1618,($C$253:$V$253=C$1703)*1)</f>
        <v/>
      </c>
      <c r="D1727" s="62">
        <f>SUMPRODUCT($C$1618:$V$1618,($C$253:$V$253=D$1703)*1)</f>
        <v/>
      </c>
      <c r="E1727" s="62">
        <f>SUMPRODUCT($C$1618:$V$1618,($C$253:$V$253=E$1703)*1)</f>
        <v/>
      </c>
      <c r="F1727" s="62">
        <f>SUMPRODUCT($C$1618:$V$1618,($C$253:$V$253=F$1703)*1)</f>
        <v/>
      </c>
      <c r="G1727" s="62">
        <f>SUMPRODUCT($C$1618:$V$1618,($C$253:$V$253=G$1703)*1)</f>
        <v/>
      </c>
      <c r="H1727" s="62">
        <f>SUMPRODUCT($C$1618:$V$1618,($C$253:$V$253=H$1703)*1)</f>
        <v/>
      </c>
      <c r="I1727" s="62">
        <f>SUMPRODUCT($C$1618:$V$1618,($C$253:$V$253=I$1703)*1)</f>
        <v/>
      </c>
      <c r="J1727" s="62">
        <f>SUMPRODUCT($C$1618:$V$1618,($C$253:$V$253=J$1703)*1)</f>
        <v/>
      </c>
    </row>
    <row r="1728">
      <c r="C1728" s="62">
        <f>SUMPRODUCT($C$1619:$V$1619,($C$254:$V$254=C$1703)*1)</f>
        <v/>
      </c>
      <c r="D1728" s="62">
        <f>SUMPRODUCT($C$1619:$V$1619,($C$254:$V$254=D$1703)*1)</f>
        <v/>
      </c>
      <c r="E1728" s="62">
        <f>SUMPRODUCT($C$1619:$V$1619,($C$254:$V$254=E$1703)*1)</f>
        <v/>
      </c>
      <c r="F1728" s="62">
        <f>SUMPRODUCT($C$1619:$V$1619,($C$254:$V$254=F$1703)*1)</f>
        <v/>
      </c>
      <c r="G1728" s="62">
        <f>SUMPRODUCT($C$1619:$V$1619,($C$254:$V$254=G$1703)*1)</f>
        <v/>
      </c>
      <c r="H1728" s="62">
        <f>SUMPRODUCT($C$1619:$V$1619,($C$254:$V$254=H$1703)*1)</f>
        <v/>
      </c>
      <c r="I1728" s="62">
        <f>SUMPRODUCT($C$1619:$V$1619,($C$254:$V$254=I$1703)*1)</f>
        <v/>
      </c>
      <c r="J1728" s="62">
        <f>SUMPRODUCT($C$1619:$V$1619,($C$254:$V$254=J$1703)*1)</f>
        <v/>
      </c>
    </row>
    <row r="1729">
      <c r="C1729" s="62">
        <f>SUMPRODUCT($C$1620:$V$1620,($C$255:$V$255=C$1703)*1)</f>
        <v/>
      </c>
      <c r="D1729" s="62">
        <f>SUMPRODUCT($C$1620:$V$1620,($C$255:$V$255=D$1703)*1)</f>
        <v/>
      </c>
      <c r="E1729" s="62">
        <f>SUMPRODUCT($C$1620:$V$1620,($C$255:$V$255=E$1703)*1)</f>
        <v/>
      </c>
      <c r="F1729" s="62">
        <f>SUMPRODUCT($C$1620:$V$1620,($C$255:$V$255=F$1703)*1)</f>
        <v/>
      </c>
      <c r="G1729" s="62">
        <f>SUMPRODUCT($C$1620:$V$1620,($C$255:$V$255=G$1703)*1)</f>
        <v/>
      </c>
      <c r="H1729" s="62">
        <f>SUMPRODUCT($C$1620:$V$1620,($C$255:$V$255=H$1703)*1)</f>
        <v/>
      </c>
      <c r="I1729" s="62">
        <f>SUMPRODUCT($C$1620:$V$1620,($C$255:$V$255=I$1703)*1)</f>
        <v/>
      </c>
      <c r="J1729" s="62">
        <f>SUMPRODUCT($C$1620:$V$1620,($C$255:$V$255=J$1703)*1)</f>
        <v/>
      </c>
    </row>
    <row r="1730">
      <c r="C1730" s="62">
        <f>SUMPRODUCT($C$1621:$V$1621,($C$256:$V$256=C$1703)*1)</f>
        <v/>
      </c>
      <c r="D1730" s="62">
        <f>SUMPRODUCT($C$1621:$V$1621,($C$256:$V$256=D$1703)*1)</f>
        <v/>
      </c>
      <c r="E1730" s="62">
        <f>SUMPRODUCT($C$1621:$V$1621,($C$256:$V$256=E$1703)*1)</f>
        <v/>
      </c>
      <c r="F1730" s="62">
        <f>SUMPRODUCT($C$1621:$V$1621,($C$256:$V$256=F$1703)*1)</f>
        <v/>
      </c>
      <c r="G1730" s="62">
        <f>SUMPRODUCT($C$1621:$V$1621,($C$256:$V$256=G$1703)*1)</f>
        <v/>
      </c>
      <c r="H1730" s="62">
        <f>SUMPRODUCT($C$1621:$V$1621,($C$256:$V$256=H$1703)*1)</f>
        <v/>
      </c>
      <c r="I1730" s="62">
        <f>SUMPRODUCT($C$1621:$V$1621,($C$256:$V$256=I$1703)*1)</f>
        <v/>
      </c>
      <c r="J1730" s="62">
        <f>SUMPRODUCT($C$1621:$V$1621,($C$256:$V$256=J$1703)*1)</f>
        <v/>
      </c>
    </row>
    <row r="1731">
      <c r="C1731" s="62">
        <f>SUMPRODUCT($C$1622:$V$1622,($C$257:$V$257=C$1703)*1)</f>
        <v/>
      </c>
      <c r="D1731" s="62">
        <f>SUMPRODUCT($C$1622:$V$1622,($C$257:$V$257=D$1703)*1)</f>
        <v/>
      </c>
      <c r="E1731" s="62">
        <f>SUMPRODUCT($C$1622:$V$1622,($C$257:$V$257=E$1703)*1)</f>
        <v/>
      </c>
      <c r="F1731" s="62">
        <f>SUMPRODUCT($C$1622:$V$1622,($C$257:$V$257=F$1703)*1)</f>
        <v/>
      </c>
      <c r="G1731" s="62">
        <f>SUMPRODUCT($C$1622:$V$1622,($C$257:$V$257=G$1703)*1)</f>
        <v/>
      </c>
      <c r="H1731" s="62">
        <f>SUMPRODUCT($C$1622:$V$1622,($C$257:$V$257=H$1703)*1)</f>
        <v/>
      </c>
      <c r="I1731" s="62">
        <f>SUMPRODUCT($C$1622:$V$1622,($C$257:$V$257=I$1703)*1)</f>
        <v/>
      </c>
      <c r="J1731" s="62">
        <f>SUMPRODUCT($C$1622:$V$1622,($C$257:$V$257=J$1703)*1)</f>
        <v/>
      </c>
    </row>
    <row r="1732">
      <c r="C1732" s="62">
        <f>SUMPRODUCT($C$1623:$V$1623,($C$258:$V$258=C$1703)*1)</f>
        <v/>
      </c>
      <c r="D1732" s="62">
        <f>SUMPRODUCT($C$1623:$V$1623,($C$258:$V$258=D$1703)*1)</f>
        <v/>
      </c>
      <c r="E1732" s="62">
        <f>SUMPRODUCT($C$1623:$V$1623,($C$258:$V$258=E$1703)*1)</f>
        <v/>
      </c>
      <c r="F1732" s="62">
        <f>SUMPRODUCT($C$1623:$V$1623,($C$258:$V$258=F$1703)*1)</f>
        <v/>
      </c>
      <c r="G1732" s="62">
        <f>SUMPRODUCT($C$1623:$V$1623,($C$258:$V$258=G$1703)*1)</f>
        <v/>
      </c>
      <c r="H1732" s="62">
        <f>SUMPRODUCT($C$1623:$V$1623,($C$258:$V$258=H$1703)*1)</f>
        <v/>
      </c>
      <c r="I1732" s="62">
        <f>SUMPRODUCT($C$1623:$V$1623,($C$258:$V$258=I$1703)*1)</f>
        <v/>
      </c>
      <c r="J1732" s="62">
        <f>SUMPRODUCT($C$1623:$V$1623,($C$258:$V$258=J$1703)*1)</f>
        <v/>
      </c>
    </row>
    <row r="1733">
      <c r="C1733" s="62">
        <f>SUMPRODUCT($C$1624:$V$1624,($C$259:$V$259=C$1703)*1)</f>
        <v/>
      </c>
      <c r="D1733" s="62">
        <f>SUMPRODUCT($C$1624:$V$1624,($C$259:$V$259=D$1703)*1)</f>
        <v/>
      </c>
      <c r="E1733" s="62">
        <f>SUMPRODUCT($C$1624:$V$1624,($C$259:$V$259=E$1703)*1)</f>
        <v/>
      </c>
      <c r="F1733" s="62">
        <f>SUMPRODUCT($C$1624:$V$1624,($C$259:$V$259=F$1703)*1)</f>
        <v/>
      </c>
      <c r="G1733" s="62">
        <f>SUMPRODUCT($C$1624:$V$1624,($C$259:$V$259=G$1703)*1)</f>
        <v/>
      </c>
      <c r="H1733" s="62">
        <f>SUMPRODUCT($C$1624:$V$1624,($C$259:$V$259=H$1703)*1)</f>
        <v/>
      </c>
      <c r="I1733" s="62">
        <f>SUMPRODUCT($C$1624:$V$1624,($C$259:$V$259=I$1703)*1)</f>
        <v/>
      </c>
      <c r="J1733" s="62">
        <f>SUMPRODUCT($C$1624:$V$1624,($C$259:$V$259=J$1703)*1)</f>
        <v/>
      </c>
    </row>
    <row r="1734">
      <c r="C1734" s="62">
        <f>SUMPRODUCT($C$1625:$V$1625,($C$260:$V$260=C$1703)*1)</f>
        <v/>
      </c>
      <c r="D1734" s="62">
        <f>SUMPRODUCT($C$1625:$V$1625,($C$260:$V$260=D$1703)*1)</f>
        <v/>
      </c>
      <c r="E1734" s="62">
        <f>SUMPRODUCT($C$1625:$V$1625,($C$260:$V$260=E$1703)*1)</f>
        <v/>
      </c>
      <c r="F1734" s="62">
        <f>SUMPRODUCT($C$1625:$V$1625,($C$260:$V$260=F$1703)*1)</f>
        <v/>
      </c>
      <c r="G1734" s="62">
        <f>SUMPRODUCT($C$1625:$V$1625,($C$260:$V$260=G$1703)*1)</f>
        <v/>
      </c>
      <c r="H1734" s="62">
        <f>SUMPRODUCT($C$1625:$V$1625,($C$260:$V$260=H$1703)*1)</f>
        <v/>
      </c>
      <c r="I1734" s="62">
        <f>SUMPRODUCT($C$1625:$V$1625,($C$260:$V$260=I$1703)*1)</f>
        <v/>
      </c>
      <c r="J1734" s="62">
        <f>SUMPRODUCT($C$1625:$V$1625,($C$260:$V$260=J$1703)*1)</f>
        <v/>
      </c>
    </row>
    <row r="1735">
      <c r="C1735" s="62">
        <f>SUMPRODUCT($C$1626:$V$1626,($C$261:$V$261=C$1703)*1)</f>
        <v/>
      </c>
      <c r="D1735" s="62">
        <f>SUMPRODUCT($C$1626:$V$1626,($C$261:$V$261=D$1703)*1)</f>
        <v/>
      </c>
      <c r="E1735" s="62">
        <f>SUMPRODUCT($C$1626:$V$1626,($C$261:$V$261=E$1703)*1)</f>
        <v/>
      </c>
      <c r="F1735" s="62">
        <f>SUMPRODUCT($C$1626:$V$1626,($C$261:$V$261=F$1703)*1)</f>
        <v/>
      </c>
      <c r="G1735" s="62">
        <f>SUMPRODUCT($C$1626:$V$1626,($C$261:$V$261=G$1703)*1)</f>
        <v/>
      </c>
      <c r="H1735" s="62">
        <f>SUMPRODUCT($C$1626:$V$1626,($C$261:$V$261=H$1703)*1)</f>
        <v/>
      </c>
      <c r="I1735" s="62">
        <f>SUMPRODUCT($C$1626:$V$1626,($C$261:$V$261=I$1703)*1)</f>
        <v/>
      </c>
      <c r="J1735" s="62">
        <f>SUMPRODUCT($C$1626:$V$1626,($C$261:$V$261=J$1703)*1)</f>
        <v/>
      </c>
    </row>
    <row r="1736">
      <c r="C1736" s="62">
        <f>SUMPRODUCT($C$1627:$V$1627,($C$262:$V$262=C$1703)*1)</f>
        <v/>
      </c>
      <c r="D1736" s="62">
        <f>SUMPRODUCT($C$1627:$V$1627,($C$262:$V$262=D$1703)*1)</f>
        <v/>
      </c>
      <c r="E1736" s="62">
        <f>SUMPRODUCT($C$1627:$V$1627,($C$262:$V$262=E$1703)*1)</f>
        <v/>
      </c>
      <c r="F1736" s="62">
        <f>SUMPRODUCT($C$1627:$V$1627,($C$262:$V$262=F$1703)*1)</f>
        <v/>
      </c>
      <c r="G1736" s="62">
        <f>SUMPRODUCT($C$1627:$V$1627,($C$262:$V$262=G$1703)*1)</f>
        <v/>
      </c>
      <c r="H1736" s="62">
        <f>SUMPRODUCT($C$1627:$V$1627,($C$262:$V$262=H$1703)*1)</f>
        <v/>
      </c>
      <c r="I1736" s="62">
        <f>SUMPRODUCT($C$1627:$V$1627,($C$262:$V$262=I$1703)*1)</f>
        <v/>
      </c>
      <c r="J1736" s="62">
        <f>SUMPRODUCT($C$1627:$V$1627,($C$262:$V$262=J$1703)*1)</f>
        <v/>
      </c>
    </row>
    <row r="1737">
      <c r="C1737" s="62">
        <f>SUMPRODUCT($C$1628:$V$1628,($C$263:$V$263=C$1703)*1)</f>
        <v/>
      </c>
      <c r="D1737" s="62">
        <f>SUMPRODUCT($C$1628:$V$1628,($C$263:$V$263=D$1703)*1)</f>
        <v/>
      </c>
      <c r="E1737" s="62">
        <f>SUMPRODUCT($C$1628:$V$1628,($C$263:$V$263=E$1703)*1)</f>
        <v/>
      </c>
      <c r="F1737" s="62">
        <f>SUMPRODUCT($C$1628:$V$1628,($C$263:$V$263=F$1703)*1)</f>
        <v/>
      </c>
      <c r="G1737" s="62">
        <f>SUMPRODUCT($C$1628:$V$1628,($C$263:$V$263=G$1703)*1)</f>
        <v/>
      </c>
      <c r="H1737" s="62">
        <f>SUMPRODUCT($C$1628:$V$1628,($C$263:$V$263=H$1703)*1)</f>
        <v/>
      </c>
      <c r="I1737" s="62">
        <f>SUMPRODUCT($C$1628:$V$1628,($C$263:$V$263=I$1703)*1)</f>
        <v/>
      </c>
      <c r="J1737" s="62">
        <f>SUMPRODUCT($C$1628:$V$1628,($C$263:$V$263=J$1703)*1)</f>
        <v/>
      </c>
    </row>
    <row r="1738">
      <c r="C1738" s="62">
        <f>SUMPRODUCT($C$1629:$V$1629,($C$264:$V$264=C$1703)*1)</f>
        <v/>
      </c>
      <c r="D1738" s="62">
        <f>SUMPRODUCT($C$1629:$V$1629,($C$264:$V$264=D$1703)*1)</f>
        <v/>
      </c>
      <c r="E1738" s="62">
        <f>SUMPRODUCT($C$1629:$V$1629,($C$264:$V$264=E$1703)*1)</f>
        <v/>
      </c>
      <c r="F1738" s="62">
        <f>SUMPRODUCT($C$1629:$V$1629,($C$264:$V$264=F$1703)*1)</f>
        <v/>
      </c>
      <c r="G1738" s="62">
        <f>SUMPRODUCT($C$1629:$V$1629,($C$264:$V$264=G$1703)*1)</f>
        <v/>
      </c>
      <c r="H1738" s="62">
        <f>SUMPRODUCT($C$1629:$V$1629,($C$264:$V$264=H$1703)*1)</f>
        <v/>
      </c>
      <c r="I1738" s="62">
        <f>SUMPRODUCT($C$1629:$V$1629,($C$264:$V$264=I$1703)*1)</f>
        <v/>
      </c>
      <c r="J1738" s="62">
        <f>SUMPRODUCT($C$1629:$V$1629,($C$264:$V$264=J$1703)*1)</f>
        <v/>
      </c>
    </row>
    <row r="1739">
      <c r="C1739" s="62">
        <f>SUMPRODUCT($C$1630:$V$1630,($C$265:$V$265=C$1703)*1)</f>
        <v/>
      </c>
      <c r="D1739" s="62">
        <f>SUMPRODUCT($C$1630:$V$1630,($C$265:$V$265=D$1703)*1)</f>
        <v/>
      </c>
      <c r="E1739" s="62">
        <f>SUMPRODUCT($C$1630:$V$1630,($C$265:$V$265=E$1703)*1)</f>
        <v/>
      </c>
      <c r="F1739" s="62">
        <f>SUMPRODUCT($C$1630:$V$1630,($C$265:$V$265=F$1703)*1)</f>
        <v/>
      </c>
      <c r="G1739" s="62">
        <f>SUMPRODUCT($C$1630:$V$1630,($C$265:$V$265=G$1703)*1)</f>
        <v/>
      </c>
      <c r="H1739" s="62">
        <f>SUMPRODUCT($C$1630:$V$1630,($C$265:$V$265=H$1703)*1)</f>
        <v/>
      </c>
      <c r="I1739" s="62">
        <f>SUMPRODUCT($C$1630:$V$1630,($C$265:$V$265=I$1703)*1)</f>
        <v/>
      </c>
      <c r="J1739" s="62">
        <f>SUMPRODUCT($C$1630:$V$1630,($C$265:$V$265=J$1703)*1)</f>
        <v/>
      </c>
    </row>
    <row r="1740">
      <c r="C1740" s="62">
        <f>SUMPRODUCT($C$1631:$V$1631,($C$266:$V$266=C$1703)*1)</f>
        <v/>
      </c>
      <c r="D1740" s="62">
        <f>SUMPRODUCT($C$1631:$V$1631,($C$266:$V$266=D$1703)*1)</f>
        <v/>
      </c>
      <c r="E1740" s="62">
        <f>SUMPRODUCT($C$1631:$V$1631,($C$266:$V$266=E$1703)*1)</f>
        <v/>
      </c>
      <c r="F1740" s="62">
        <f>SUMPRODUCT($C$1631:$V$1631,($C$266:$V$266=F$1703)*1)</f>
        <v/>
      </c>
      <c r="G1740" s="62">
        <f>SUMPRODUCT($C$1631:$V$1631,($C$266:$V$266=G$1703)*1)</f>
        <v/>
      </c>
      <c r="H1740" s="62">
        <f>SUMPRODUCT($C$1631:$V$1631,($C$266:$V$266=H$1703)*1)</f>
        <v/>
      </c>
      <c r="I1740" s="62">
        <f>SUMPRODUCT($C$1631:$V$1631,($C$266:$V$266=I$1703)*1)</f>
        <v/>
      </c>
      <c r="J1740" s="62">
        <f>SUMPRODUCT($C$1631:$V$1631,($C$266:$V$266=J$1703)*1)</f>
        <v/>
      </c>
    </row>
    <row r="1741">
      <c r="C1741" s="62">
        <f>SUMPRODUCT($C$1632:$V$1632,($C$267:$V$267=C$1703)*1)</f>
        <v/>
      </c>
      <c r="D1741" s="62">
        <f>SUMPRODUCT($C$1632:$V$1632,($C$267:$V$267=D$1703)*1)</f>
        <v/>
      </c>
      <c r="E1741" s="62">
        <f>SUMPRODUCT($C$1632:$V$1632,($C$267:$V$267=E$1703)*1)</f>
        <v/>
      </c>
      <c r="F1741" s="62">
        <f>SUMPRODUCT($C$1632:$V$1632,($C$267:$V$267=F$1703)*1)</f>
        <v/>
      </c>
      <c r="G1741" s="62">
        <f>SUMPRODUCT($C$1632:$V$1632,($C$267:$V$267=G$1703)*1)</f>
        <v/>
      </c>
      <c r="H1741" s="62">
        <f>SUMPRODUCT($C$1632:$V$1632,($C$267:$V$267=H$1703)*1)</f>
        <v/>
      </c>
      <c r="I1741" s="62">
        <f>SUMPRODUCT($C$1632:$V$1632,($C$267:$V$267=I$1703)*1)</f>
        <v/>
      </c>
      <c r="J1741" s="62">
        <f>SUMPRODUCT($C$1632:$V$1632,($C$267:$V$267=J$1703)*1)</f>
        <v/>
      </c>
    </row>
    <row r="1742">
      <c r="C1742" s="62">
        <f>SUMPRODUCT($C$1633:$V$1633,($C$268:$V$268=C$1703)*1)</f>
        <v/>
      </c>
      <c r="D1742" s="62">
        <f>SUMPRODUCT($C$1633:$V$1633,($C$268:$V$268=D$1703)*1)</f>
        <v/>
      </c>
      <c r="E1742" s="62">
        <f>SUMPRODUCT($C$1633:$V$1633,($C$268:$V$268=E$1703)*1)</f>
        <v/>
      </c>
      <c r="F1742" s="62">
        <f>SUMPRODUCT($C$1633:$V$1633,($C$268:$V$268=F$1703)*1)</f>
        <v/>
      </c>
      <c r="G1742" s="62">
        <f>SUMPRODUCT($C$1633:$V$1633,($C$268:$V$268=G$1703)*1)</f>
        <v/>
      </c>
      <c r="H1742" s="62">
        <f>SUMPRODUCT($C$1633:$V$1633,($C$268:$V$268=H$1703)*1)</f>
        <v/>
      </c>
      <c r="I1742" s="62">
        <f>SUMPRODUCT($C$1633:$V$1633,($C$268:$V$268=I$1703)*1)</f>
        <v/>
      </c>
      <c r="J1742" s="62">
        <f>SUMPRODUCT($C$1633:$V$1633,($C$268:$V$268=J$1703)*1)</f>
        <v/>
      </c>
    </row>
    <row r="1743">
      <c r="C1743" s="62">
        <f>SUMPRODUCT($C$1634:$V$1634,($C$269:$V$269=C$1703)*1)</f>
        <v/>
      </c>
      <c r="D1743" s="62">
        <f>SUMPRODUCT($C$1634:$V$1634,($C$269:$V$269=D$1703)*1)</f>
        <v/>
      </c>
      <c r="E1743" s="62">
        <f>SUMPRODUCT($C$1634:$V$1634,($C$269:$V$269=E$1703)*1)</f>
        <v/>
      </c>
      <c r="F1743" s="62">
        <f>SUMPRODUCT($C$1634:$V$1634,($C$269:$V$269=F$1703)*1)</f>
        <v/>
      </c>
      <c r="G1743" s="62">
        <f>SUMPRODUCT($C$1634:$V$1634,($C$269:$V$269=G$1703)*1)</f>
        <v/>
      </c>
      <c r="H1743" s="62">
        <f>SUMPRODUCT($C$1634:$V$1634,($C$269:$V$269=H$1703)*1)</f>
        <v/>
      </c>
      <c r="I1743" s="62">
        <f>SUMPRODUCT($C$1634:$V$1634,($C$269:$V$269=I$1703)*1)</f>
        <v/>
      </c>
      <c r="J1743" s="62">
        <f>SUMPRODUCT($C$1634:$V$1634,($C$269:$V$269=J$1703)*1)</f>
        <v/>
      </c>
    </row>
    <row r="1744">
      <c r="C1744" s="62">
        <f>SUMPRODUCT($C$1635:$V$1635,($C$270:$V$270=C$1703)*1)</f>
        <v/>
      </c>
      <c r="D1744" s="62">
        <f>SUMPRODUCT($C$1635:$V$1635,($C$270:$V$270=D$1703)*1)</f>
        <v/>
      </c>
      <c r="E1744" s="62">
        <f>SUMPRODUCT($C$1635:$V$1635,($C$270:$V$270=E$1703)*1)</f>
        <v/>
      </c>
      <c r="F1744" s="62">
        <f>SUMPRODUCT($C$1635:$V$1635,($C$270:$V$270=F$1703)*1)</f>
        <v/>
      </c>
      <c r="G1744" s="62">
        <f>SUMPRODUCT($C$1635:$V$1635,($C$270:$V$270=G$1703)*1)</f>
        <v/>
      </c>
      <c r="H1744" s="62">
        <f>SUMPRODUCT($C$1635:$V$1635,($C$270:$V$270=H$1703)*1)</f>
        <v/>
      </c>
      <c r="I1744" s="62">
        <f>SUMPRODUCT($C$1635:$V$1635,($C$270:$V$270=I$1703)*1)</f>
        <v/>
      </c>
      <c r="J1744" s="62">
        <f>SUMPRODUCT($C$1635:$V$1635,($C$270:$V$270=J$1703)*1)</f>
        <v/>
      </c>
    </row>
    <row r="1745">
      <c r="C1745" s="62">
        <f>SUMPRODUCT($C$1636:$V$1636,($C$271:$V$271=C$1703)*1)</f>
        <v/>
      </c>
      <c r="D1745" s="62">
        <f>SUMPRODUCT($C$1636:$V$1636,($C$271:$V$271=D$1703)*1)</f>
        <v/>
      </c>
      <c r="E1745" s="62">
        <f>SUMPRODUCT($C$1636:$V$1636,($C$271:$V$271=E$1703)*1)</f>
        <v/>
      </c>
      <c r="F1745" s="62">
        <f>SUMPRODUCT($C$1636:$V$1636,($C$271:$V$271=F$1703)*1)</f>
        <v/>
      </c>
      <c r="G1745" s="62">
        <f>SUMPRODUCT($C$1636:$V$1636,($C$271:$V$271=G$1703)*1)</f>
        <v/>
      </c>
      <c r="H1745" s="62">
        <f>SUMPRODUCT($C$1636:$V$1636,($C$271:$V$271=H$1703)*1)</f>
        <v/>
      </c>
      <c r="I1745" s="62">
        <f>SUMPRODUCT($C$1636:$V$1636,($C$271:$V$271=I$1703)*1)</f>
        <v/>
      </c>
      <c r="J1745" s="62">
        <f>SUMPRODUCT($C$1636:$V$1636,($C$271:$V$271=J$1703)*1)</f>
        <v/>
      </c>
    </row>
    <row r="1746">
      <c r="C1746" s="62">
        <f>SUMPRODUCT($C$1637:$V$1637,($C$272:$V$272=C$1703)*1)</f>
        <v/>
      </c>
      <c r="D1746" s="62">
        <f>SUMPRODUCT($C$1637:$V$1637,($C$272:$V$272=D$1703)*1)</f>
        <v/>
      </c>
      <c r="E1746" s="62">
        <f>SUMPRODUCT($C$1637:$V$1637,($C$272:$V$272=E$1703)*1)</f>
        <v/>
      </c>
      <c r="F1746" s="62">
        <f>SUMPRODUCT($C$1637:$V$1637,($C$272:$V$272=F$1703)*1)</f>
        <v/>
      </c>
      <c r="G1746" s="62">
        <f>SUMPRODUCT($C$1637:$V$1637,($C$272:$V$272=G$1703)*1)</f>
        <v/>
      </c>
      <c r="H1746" s="62">
        <f>SUMPRODUCT($C$1637:$V$1637,($C$272:$V$272=H$1703)*1)</f>
        <v/>
      </c>
      <c r="I1746" s="62">
        <f>SUMPRODUCT($C$1637:$V$1637,($C$272:$V$272=I$1703)*1)</f>
        <v/>
      </c>
      <c r="J1746" s="62">
        <f>SUMPRODUCT($C$1637:$V$1637,($C$272:$V$272=J$1703)*1)</f>
        <v/>
      </c>
    </row>
    <row r="1747">
      <c r="C1747" s="62">
        <f>SUMPRODUCT($C$1638:$V$1638,($C$273:$V$273=C$1703)*1)</f>
        <v/>
      </c>
      <c r="D1747" s="62">
        <f>SUMPRODUCT($C$1638:$V$1638,($C$273:$V$273=D$1703)*1)</f>
        <v/>
      </c>
      <c r="E1747" s="62">
        <f>SUMPRODUCT($C$1638:$V$1638,($C$273:$V$273=E$1703)*1)</f>
        <v/>
      </c>
      <c r="F1747" s="62">
        <f>SUMPRODUCT($C$1638:$V$1638,($C$273:$V$273=F$1703)*1)</f>
        <v/>
      </c>
      <c r="G1747" s="62">
        <f>SUMPRODUCT($C$1638:$V$1638,($C$273:$V$273=G$1703)*1)</f>
        <v/>
      </c>
      <c r="H1747" s="62">
        <f>SUMPRODUCT($C$1638:$V$1638,($C$273:$V$273=H$1703)*1)</f>
        <v/>
      </c>
      <c r="I1747" s="62">
        <f>SUMPRODUCT($C$1638:$V$1638,($C$273:$V$273=I$1703)*1)</f>
        <v/>
      </c>
      <c r="J1747" s="62">
        <f>SUMPRODUCT($C$1638:$V$1638,($C$273:$V$273=J$1703)*1)</f>
        <v/>
      </c>
    </row>
    <row r="1748">
      <c r="C1748" s="62">
        <f>SUMPRODUCT($C$1639:$V$1639,($C$274:$V$274=C$1703)*1)</f>
        <v/>
      </c>
      <c r="D1748" s="62">
        <f>SUMPRODUCT($C$1639:$V$1639,($C$274:$V$274=D$1703)*1)</f>
        <v/>
      </c>
      <c r="E1748" s="62">
        <f>SUMPRODUCT($C$1639:$V$1639,($C$274:$V$274=E$1703)*1)</f>
        <v/>
      </c>
      <c r="F1748" s="62">
        <f>SUMPRODUCT($C$1639:$V$1639,($C$274:$V$274=F$1703)*1)</f>
        <v/>
      </c>
      <c r="G1748" s="62">
        <f>SUMPRODUCT($C$1639:$V$1639,($C$274:$V$274=G$1703)*1)</f>
        <v/>
      </c>
      <c r="H1748" s="62">
        <f>SUMPRODUCT($C$1639:$V$1639,($C$274:$V$274=H$1703)*1)</f>
        <v/>
      </c>
      <c r="I1748" s="62">
        <f>SUMPRODUCT($C$1639:$V$1639,($C$274:$V$274=I$1703)*1)</f>
        <v/>
      </c>
      <c r="J1748" s="62">
        <f>SUMPRODUCT($C$1639:$V$1639,($C$274:$V$274=J$1703)*1)</f>
        <v/>
      </c>
    </row>
    <row r="1749">
      <c r="C1749" s="62">
        <f>SUMPRODUCT($C$1640:$V$1640,($C$275:$V$275=C$1703)*1)</f>
        <v/>
      </c>
      <c r="D1749" s="62">
        <f>SUMPRODUCT($C$1640:$V$1640,($C$275:$V$275=D$1703)*1)</f>
        <v/>
      </c>
      <c r="E1749" s="62">
        <f>SUMPRODUCT($C$1640:$V$1640,($C$275:$V$275=E$1703)*1)</f>
        <v/>
      </c>
      <c r="F1749" s="62">
        <f>SUMPRODUCT($C$1640:$V$1640,($C$275:$V$275=F$1703)*1)</f>
        <v/>
      </c>
      <c r="G1749" s="62">
        <f>SUMPRODUCT($C$1640:$V$1640,($C$275:$V$275=G$1703)*1)</f>
        <v/>
      </c>
      <c r="H1749" s="62">
        <f>SUMPRODUCT($C$1640:$V$1640,($C$275:$V$275=H$1703)*1)</f>
        <v/>
      </c>
      <c r="I1749" s="62">
        <f>SUMPRODUCT($C$1640:$V$1640,($C$275:$V$275=I$1703)*1)</f>
        <v/>
      </c>
      <c r="J1749" s="62">
        <f>SUMPRODUCT($C$1640:$V$1640,($C$275:$V$275=J$1703)*1)</f>
        <v/>
      </c>
    </row>
    <row r="1750">
      <c r="C1750" s="62">
        <f>SUMPRODUCT($C$1641:$V$1641,($C$276:$V$276=C$1703)*1)</f>
        <v/>
      </c>
      <c r="D1750" s="62">
        <f>SUMPRODUCT($C$1641:$V$1641,($C$276:$V$276=D$1703)*1)</f>
        <v/>
      </c>
      <c r="E1750" s="62">
        <f>SUMPRODUCT($C$1641:$V$1641,($C$276:$V$276=E$1703)*1)</f>
        <v/>
      </c>
      <c r="F1750" s="62">
        <f>SUMPRODUCT($C$1641:$V$1641,($C$276:$V$276=F$1703)*1)</f>
        <v/>
      </c>
      <c r="G1750" s="62">
        <f>SUMPRODUCT($C$1641:$V$1641,($C$276:$V$276=G$1703)*1)</f>
        <v/>
      </c>
      <c r="H1750" s="62">
        <f>SUMPRODUCT($C$1641:$V$1641,($C$276:$V$276=H$1703)*1)</f>
        <v/>
      </c>
      <c r="I1750" s="62">
        <f>SUMPRODUCT($C$1641:$V$1641,($C$276:$V$276=I$1703)*1)</f>
        <v/>
      </c>
      <c r="J1750" s="62">
        <f>SUMPRODUCT($C$1641:$V$1641,($C$276:$V$276=J$1703)*1)</f>
        <v/>
      </c>
    </row>
    <row r="1751">
      <c r="C1751" s="62">
        <f>SUMPRODUCT($C$1642:$V$1642,($C$277:$V$277=C$1703)*1)</f>
        <v/>
      </c>
      <c r="D1751" s="62">
        <f>SUMPRODUCT($C$1642:$V$1642,($C$277:$V$277=D$1703)*1)</f>
        <v/>
      </c>
      <c r="E1751" s="62">
        <f>SUMPRODUCT($C$1642:$V$1642,($C$277:$V$277=E$1703)*1)</f>
        <v/>
      </c>
      <c r="F1751" s="62">
        <f>SUMPRODUCT($C$1642:$V$1642,($C$277:$V$277=F$1703)*1)</f>
        <v/>
      </c>
      <c r="G1751" s="62">
        <f>SUMPRODUCT($C$1642:$V$1642,($C$277:$V$277=G$1703)*1)</f>
        <v/>
      </c>
      <c r="H1751" s="62">
        <f>SUMPRODUCT($C$1642:$V$1642,($C$277:$V$277=H$1703)*1)</f>
        <v/>
      </c>
      <c r="I1751" s="62">
        <f>SUMPRODUCT($C$1642:$V$1642,($C$277:$V$277=I$1703)*1)</f>
        <v/>
      </c>
      <c r="J1751" s="62">
        <f>SUMPRODUCT($C$1642:$V$1642,($C$277:$V$277=J$1703)*1)</f>
        <v/>
      </c>
    </row>
    <row r="1752">
      <c r="C1752" s="62">
        <f>SUMPRODUCT($C$1643:$V$1643,($C$278:$V$278=C$1703)*1)</f>
        <v/>
      </c>
      <c r="D1752" s="62">
        <f>SUMPRODUCT($C$1643:$V$1643,($C$278:$V$278=D$1703)*1)</f>
        <v/>
      </c>
      <c r="E1752" s="62">
        <f>SUMPRODUCT($C$1643:$V$1643,($C$278:$V$278=E$1703)*1)</f>
        <v/>
      </c>
      <c r="F1752" s="62">
        <f>SUMPRODUCT($C$1643:$V$1643,($C$278:$V$278=F$1703)*1)</f>
        <v/>
      </c>
      <c r="G1752" s="62">
        <f>SUMPRODUCT($C$1643:$V$1643,($C$278:$V$278=G$1703)*1)</f>
        <v/>
      </c>
      <c r="H1752" s="62">
        <f>SUMPRODUCT($C$1643:$V$1643,($C$278:$V$278=H$1703)*1)</f>
        <v/>
      </c>
      <c r="I1752" s="62">
        <f>SUMPRODUCT($C$1643:$V$1643,($C$278:$V$278=I$1703)*1)</f>
        <v/>
      </c>
      <c r="J1752" s="62">
        <f>SUMPRODUCT($C$1643:$V$1643,($C$278:$V$278=J$1703)*1)</f>
        <v/>
      </c>
    </row>
    <row r="1753">
      <c r="C1753" s="62">
        <f>SUMPRODUCT($C$1644:$V$1644,($C$279:$V$279=C$1703)*1)</f>
        <v/>
      </c>
      <c r="D1753" s="62">
        <f>SUMPRODUCT($C$1644:$V$1644,($C$279:$V$279=D$1703)*1)</f>
        <v/>
      </c>
      <c r="E1753" s="62">
        <f>SUMPRODUCT($C$1644:$V$1644,($C$279:$V$279=E$1703)*1)</f>
        <v/>
      </c>
      <c r="F1753" s="62">
        <f>SUMPRODUCT($C$1644:$V$1644,($C$279:$V$279=F$1703)*1)</f>
        <v/>
      </c>
      <c r="G1753" s="62">
        <f>SUMPRODUCT($C$1644:$V$1644,($C$279:$V$279=G$1703)*1)</f>
        <v/>
      </c>
      <c r="H1753" s="62">
        <f>SUMPRODUCT($C$1644:$V$1644,($C$279:$V$279=H$1703)*1)</f>
        <v/>
      </c>
      <c r="I1753" s="62">
        <f>SUMPRODUCT($C$1644:$V$1644,($C$279:$V$279=I$1703)*1)</f>
        <v/>
      </c>
      <c r="J1753" s="62">
        <f>SUMPRODUCT($C$1644:$V$1644,($C$279:$V$279=J$1703)*1)</f>
        <v/>
      </c>
    </row>
    <row r="1754">
      <c r="C1754" s="62">
        <f>SUMPRODUCT($C$1645:$V$1645,($C$280:$V$280=C$1703)*1)</f>
        <v/>
      </c>
      <c r="D1754" s="62">
        <f>SUMPRODUCT($C$1645:$V$1645,($C$280:$V$280=D$1703)*1)</f>
        <v/>
      </c>
      <c r="E1754" s="62">
        <f>SUMPRODUCT($C$1645:$V$1645,($C$280:$V$280=E$1703)*1)</f>
        <v/>
      </c>
      <c r="F1754" s="62">
        <f>SUMPRODUCT($C$1645:$V$1645,($C$280:$V$280=F$1703)*1)</f>
        <v/>
      </c>
      <c r="G1754" s="62">
        <f>SUMPRODUCT($C$1645:$V$1645,($C$280:$V$280=G$1703)*1)</f>
        <v/>
      </c>
      <c r="H1754" s="62">
        <f>SUMPRODUCT($C$1645:$V$1645,($C$280:$V$280=H$1703)*1)</f>
        <v/>
      </c>
      <c r="I1754" s="62">
        <f>SUMPRODUCT($C$1645:$V$1645,($C$280:$V$280=I$1703)*1)</f>
        <v/>
      </c>
      <c r="J1754" s="62">
        <f>SUMPRODUCT($C$1645:$V$1645,($C$280:$V$280=J$1703)*1)</f>
        <v/>
      </c>
    </row>
    <row r="1755">
      <c r="C1755" s="62">
        <f>SUMPRODUCT($C$1646:$V$1646,($C$281:$V$281=C$1703)*1)</f>
        <v/>
      </c>
      <c r="D1755" s="62">
        <f>SUMPRODUCT($C$1646:$V$1646,($C$281:$V$281=D$1703)*1)</f>
        <v/>
      </c>
      <c r="E1755" s="62">
        <f>SUMPRODUCT($C$1646:$V$1646,($C$281:$V$281=E$1703)*1)</f>
        <v/>
      </c>
      <c r="F1755" s="62">
        <f>SUMPRODUCT($C$1646:$V$1646,($C$281:$V$281=F$1703)*1)</f>
        <v/>
      </c>
      <c r="G1755" s="62">
        <f>SUMPRODUCT($C$1646:$V$1646,($C$281:$V$281=G$1703)*1)</f>
        <v/>
      </c>
      <c r="H1755" s="62">
        <f>SUMPRODUCT($C$1646:$V$1646,($C$281:$V$281=H$1703)*1)</f>
        <v/>
      </c>
      <c r="I1755" s="62">
        <f>SUMPRODUCT($C$1646:$V$1646,($C$281:$V$281=I$1703)*1)</f>
        <v/>
      </c>
      <c r="J1755" s="62">
        <f>SUMPRODUCT($C$1646:$V$1646,($C$281:$V$281=J$1703)*1)</f>
        <v/>
      </c>
    </row>
    <row r="1756">
      <c r="C1756" s="62">
        <f>SUMPRODUCT($C$1647:$V$1647,($C$282:$V$282=C$1703)*1)</f>
        <v/>
      </c>
      <c r="D1756" s="62">
        <f>SUMPRODUCT($C$1647:$V$1647,($C$282:$V$282=D$1703)*1)</f>
        <v/>
      </c>
      <c r="E1756" s="62">
        <f>SUMPRODUCT($C$1647:$V$1647,($C$282:$V$282=E$1703)*1)</f>
        <v/>
      </c>
      <c r="F1756" s="62">
        <f>SUMPRODUCT($C$1647:$V$1647,($C$282:$V$282=F$1703)*1)</f>
        <v/>
      </c>
      <c r="G1756" s="62">
        <f>SUMPRODUCT($C$1647:$V$1647,($C$282:$V$282=G$1703)*1)</f>
        <v/>
      </c>
      <c r="H1756" s="62">
        <f>SUMPRODUCT($C$1647:$V$1647,($C$282:$V$282=H$1703)*1)</f>
        <v/>
      </c>
      <c r="I1756" s="62">
        <f>SUMPRODUCT($C$1647:$V$1647,($C$282:$V$282=I$1703)*1)</f>
        <v/>
      </c>
      <c r="J1756" s="62">
        <f>SUMPRODUCT($C$1647:$V$1647,($C$282:$V$282=J$1703)*1)</f>
        <v/>
      </c>
    </row>
    <row r="1757">
      <c r="C1757" s="62">
        <f>SUMPRODUCT($C$1648:$V$1648,($C$283:$V$283=C$1703)*1)</f>
        <v/>
      </c>
      <c r="D1757" s="62">
        <f>SUMPRODUCT($C$1648:$V$1648,($C$283:$V$283=D$1703)*1)</f>
        <v/>
      </c>
      <c r="E1757" s="62">
        <f>SUMPRODUCT($C$1648:$V$1648,($C$283:$V$283=E$1703)*1)</f>
        <v/>
      </c>
      <c r="F1757" s="62">
        <f>SUMPRODUCT($C$1648:$V$1648,($C$283:$V$283=F$1703)*1)</f>
        <v/>
      </c>
      <c r="G1757" s="62">
        <f>SUMPRODUCT($C$1648:$V$1648,($C$283:$V$283=G$1703)*1)</f>
        <v/>
      </c>
      <c r="H1757" s="62">
        <f>SUMPRODUCT($C$1648:$V$1648,($C$283:$V$283=H$1703)*1)</f>
        <v/>
      </c>
      <c r="I1757" s="62">
        <f>SUMPRODUCT($C$1648:$V$1648,($C$283:$V$283=I$1703)*1)</f>
        <v/>
      </c>
      <c r="J1757" s="62">
        <f>SUMPRODUCT($C$1648:$V$1648,($C$283:$V$283=J$1703)*1)</f>
        <v/>
      </c>
    </row>
    <row r="1758">
      <c r="C1758" s="62">
        <f>SUMPRODUCT($C$1649:$V$1649,($C$284:$V$284=C$1703)*1)</f>
        <v/>
      </c>
      <c r="D1758" s="62">
        <f>SUMPRODUCT($C$1649:$V$1649,($C$284:$V$284=D$1703)*1)</f>
        <v/>
      </c>
      <c r="E1758" s="62">
        <f>SUMPRODUCT($C$1649:$V$1649,($C$284:$V$284=E$1703)*1)</f>
        <v/>
      </c>
      <c r="F1758" s="62">
        <f>SUMPRODUCT($C$1649:$V$1649,($C$284:$V$284=F$1703)*1)</f>
        <v/>
      </c>
      <c r="G1758" s="62">
        <f>SUMPRODUCT($C$1649:$V$1649,($C$284:$V$284=G$1703)*1)</f>
        <v/>
      </c>
      <c r="H1758" s="62">
        <f>SUMPRODUCT($C$1649:$V$1649,($C$284:$V$284=H$1703)*1)</f>
        <v/>
      </c>
      <c r="I1758" s="62">
        <f>SUMPRODUCT($C$1649:$V$1649,($C$284:$V$284=I$1703)*1)</f>
        <v/>
      </c>
      <c r="J1758" s="62">
        <f>SUMPRODUCT($C$1649:$V$1649,($C$284:$V$284=J$1703)*1)</f>
        <v/>
      </c>
    </row>
    <row r="1759">
      <c r="C1759" s="62">
        <f>SUMPRODUCT($C$1650:$V$1650,($C$285:$V$285=C$1703)*1)</f>
        <v/>
      </c>
      <c r="D1759" s="62">
        <f>SUMPRODUCT($C$1650:$V$1650,($C$285:$V$285=D$1703)*1)</f>
        <v/>
      </c>
      <c r="E1759" s="62">
        <f>SUMPRODUCT($C$1650:$V$1650,($C$285:$V$285=E$1703)*1)</f>
        <v/>
      </c>
      <c r="F1759" s="62">
        <f>SUMPRODUCT($C$1650:$V$1650,($C$285:$V$285=F$1703)*1)</f>
        <v/>
      </c>
      <c r="G1759" s="62">
        <f>SUMPRODUCT($C$1650:$V$1650,($C$285:$V$285=G$1703)*1)</f>
        <v/>
      </c>
      <c r="H1759" s="62">
        <f>SUMPRODUCT($C$1650:$V$1650,($C$285:$V$285=H$1703)*1)</f>
        <v/>
      </c>
      <c r="I1759" s="62">
        <f>SUMPRODUCT($C$1650:$V$1650,($C$285:$V$285=I$1703)*1)</f>
        <v/>
      </c>
      <c r="J1759" s="62">
        <f>SUMPRODUCT($C$1650:$V$1650,($C$285:$V$285=J$1703)*1)</f>
        <v/>
      </c>
    </row>
    <row r="1760">
      <c r="C1760" s="62">
        <f>SUMPRODUCT($C$1651:$V$1651,($C$286:$V$286=C$1703)*1)</f>
        <v/>
      </c>
      <c r="D1760" s="62">
        <f>SUMPRODUCT($C$1651:$V$1651,($C$286:$V$286=D$1703)*1)</f>
        <v/>
      </c>
      <c r="E1760" s="62">
        <f>SUMPRODUCT($C$1651:$V$1651,($C$286:$V$286=E$1703)*1)</f>
        <v/>
      </c>
      <c r="F1760" s="62">
        <f>SUMPRODUCT($C$1651:$V$1651,($C$286:$V$286=F$1703)*1)</f>
        <v/>
      </c>
      <c r="G1760" s="62">
        <f>SUMPRODUCT($C$1651:$V$1651,($C$286:$V$286=G$1703)*1)</f>
        <v/>
      </c>
      <c r="H1760" s="62">
        <f>SUMPRODUCT($C$1651:$V$1651,($C$286:$V$286=H$1703)*1)</f>
        <v/>
      </c>
      <c r="I1760" s="62">
        <f>SUMPRODUCT($C$1651:$V$1651,($C$286:$V$286=I$1703)*1)</f>
        <v/>
      </c>
      <c r="J1760" s="62">
        <f>SUMPRODUCT($C$1651:$V$1651,($C$286:$V$286=J$1703)*1)</f>
        <v/>
      </c>
    </row>
    <row r="1761">
      <c r="C1761" s="62">
        <f>SUMPRODUCT($C$1652:$V$1652,($C$287:$V$287=C$1703)*1)</f>
        <v/>
      </c>
      <c r="D1761" s="62">
        <f>SUMPRODUCT($C$1652:$V$1652,($C$287:$V$287=D$1703)*1)</f>
        <v/>
      </c>
      <c r="E1761" s="62">
        <f>SUMPRODUCT($C$1652:$V$1652,($C$287:$V$287=E$1703)*1)</f>
        <v/>
      </c>
      <c r="F1761" s="62">
        <f>SUMPRODUCT($C$1652:$V$1652,($C$287:$V$287=F$1703)*1)</f>
        <v/>
      </c>
      <c r="G1761" s="62">
        <f>SUMPRODUCT($C$1652:$V$1652,($C$287:$V$287=G$1703)*1)</f>
        <v/>
      </c>
      <c r="H1761" s="62">
        <f>SUMPRODUCT($C$1652:$V$1652,($C$287:$V$287=H$1703)*1)</f>
        <v/>
      </c>
      <c r="I1761" s="62">
        <f>SUMPRODUCT($C$1652:$V$1652,($C$287:$V$287=I$1703)*1)</f>
        <v/>
      </c>
      <c r="J1761" s="62">
        <f>SUMPRODUCT($C$1652:$V$1652,($C$287:$V$287=J$1703)*1)</f>
        <v/>
      </c>
    </row>
    <row r="1762">
      <c r="C1762" s="62">
        <f>SUMPRODUCT($C$1653:$V$1653,($C$288:$V$288=C$1703)*1)</f>
        <v/>
      </c>
      <c r="D1762" s="62">
        <f>SUMPRODUCT($C$1653:$V$1653,($C$288:$V$288=D$1703)*1)</f>
        <v/>
      </c>
      <c r="E1762" s="62">
        <f>SUMPRODUCT($C$1653:$V$1653,($C$288:$V$288=E$1703)*1)</f>
        <v/>
      </c>
      <c r="F1762" s="62">
        <f>SUMPRODUCT($C$1653:$V$1653,($C$288:$V$288=F$1703)*1)</f>
        <v/>
      </c>
      <c r="G1762" s="62">
        <f>SUMPRODUCT($C$1653:$V$1653,($C$288:$V$288=G$1703)*1)</f>
        <v/>
      </c>
      <c r="H1762" s="62">
        <f>SUMPRODUCT($C$1653:$V$1653,($C$288:$V$288=H$1703)*1)</f>
        <v/>
      </c>
      <c r="I1762" s="62">
        <f>SUMPRODUCT($C$1653:$V$1653,($C$288:$V$288=I$1703)*1)</f>
        <v/>
      </c>
      <c r="J1762" s="62">
        <f>SUMPRODUCT($C$1653:$V$1653,($C$288:$V$288=J$1703)*1)</f>
        <v/>
      </c>
    </row>
    <row r="1763">
      <c r="C1763" s="62">
        <f>SUMPRODUCT($C$1654:$V$1654,($C$289:$V$289=C$1703)*1)</f>
        <v/>
      </c>
      <c r="D1763" s="62">
        <f>SUMPRODUCT($C$1654:$V$1654,($C$289:$V$289=D$1703)*1)</f>
        <v/>
      </c>
      <c r="E1763" s="62">
        <f>SUMPRODUCT($C$1654:$V$1654,($C$289:$V$289=E$1703)*1)</f>
        <v/>
      </c>
      <c r="F1763" s="62">
        <f>SUMPRODUCT($C$1654:$V$1654,($C$289:$V$289=F$1703)*1)</f>
        <v/>
      </c>
      <c r="G1763" s="62">
        <f>SUMPRODUCT($C$1654:$V$1654,($C$289:$V$289=G$1703)*1)</f>
        <v/>
      </c>
      <c r="H1763" s="62">
        <f>SUMPRODUCT($C$1654:$V$1654,($C$289:$V$289=H$1703)*1)</f>
        <v/>
      </c>
      <c r="I1763" s="62">
        <f>SUMPRODUCT($C$1654:$V$1654,($C$289:$V$289=I$1703)*1)</f>
        <v/>
      </c>
      <c r="J1763" s="62">
        <f>SUMPRODUCT($C$1654:$V$1654,($C$289:$V$289=J$1703)*1)</f>
        <v/>
      </c>
    </row>
    <row r="1764">
      <c r="C1764" s="62">
        <f>SUMPRODUCT($C$1655:$V$1655,($C$290:$V$290=C$1703)*1)</f>
        <v/>
      </c>
      <c r="D1764" s="62">
        <f>SUMPRODUCT($C$1655:$V$1655,($C$290:$V$290=D$1703)*1)</f>
        <v/>
      </c>
      <c r="E1764" s="62">
        <f>SUMPRODUCT($C$1655:$V$1655,($C$290:$V$290=E$1703)*1)</f>
        <v/>
      </c>
      <c r="F1764" s="62">
        <f>SUMPRODUCT($C$1655:$V$1655,($C$290:$V$290=F$1703)*1)</f>
        <v/>
      </c>
      <c r="G1764" s="62">
        <f>SUMPRODUCT($C$1655:$V$1655,($C$290:$V$290=G$1703)*1)</f>
        <v/>
      </c>
      <c r="H1764" s="62">
        <f>SUMPRODUCT($C$1655:$V$1655,($C$290:$V$290=H$1703)*1)</f>
        <v/>
      </c>
      <c r="I1764" s="62">
        <f>SUMPRODUCT($C$1655:$V$1655,($C$290:$V$290=I$1703)*1)</f>
        <v/>
      </c>
      <c r="J1764" s="62">
        <f>SUMPRODUCT($C$1655:$V$1655,($C$290:$V$290=J$1703)*1)</f>
        <v/>
      </c>
    </row>
    <row r="1765">
      <c r="C1765" s="62">
        <f>SUMPRODUCT($C$1656:$V$1656,($C$291:$V$291=C$1703)*1)</f>
        <v/>
      </c>
      <c r="D1765" s="62">
        <f>SUMPRODUCT($C$1656:$V$1656,($C$291:$V$291=D$1703)*1)</f>
        <v/>
      </c>
      <c r="E1765" s="62">
        <f>SUMPRODUCT($C$1656:$V$1656,($C$291:$V$291=E$1703)*1)</f>
        <v/>
      </c>
      <c r="F1765" s="62">
        <f>SUMPRODUCT($C$1656:$V$1656,($C$291:$V$291=F$1703)*1)</f>
        <v/>
      </c>
      <c r="G1765" s="62">
        <f>SUMPRODUCT($C$1656:$V$1656,($C$291:$V$291=G$1703)*1)</f>
        <v/>
      </c>
      <c r="H1765" s="62">
        <f>SUMPRODUCT($C$1656:$V$1656,($C$291:$V$291=H$1703)*1)</f>
        <v/>
      </c>
      <c r="I1765" s="62">
        <f>SUMPRODUCT($C$1656:$V$1656,($C$291:$V$291=I$1703)*1)</f>
        <v/>
      </c>
      <c r="J1765" s="62">
        <f>SUMPRODUCT($C$1656:$V$1656,($C$291:$V$291=J$1703)*1)</f>
        <v/>
      </c>
    </row>
    <row r="1766">
      <c r="C1766" s="62">
        <f>SUMPRODUCT($C$1657:$V$1657,($C$292:$V$292=C$1703)*1)</f>
        <v/>
      </c>
      <c r="D1766" s="62">
        <f>SUMPRODUCT($C$1657:$V$1657,($C$292:$V$292=D$1703)*1)</f>
        <v/>
      </c>
      <c r="E1766" s="62">
        <f>SUMPRODUCT($C$1657:$V$1657,($C$292:$V$292=E$1703)*1)</f>
        <v/>
      </c>
      <c r="F1766" s="62">
        <f>SUMPRODUCT($C$1657:$V$1657,($C$292:$V$292=F$1703)*1)</f>
        <v/>
      </c>
      <c r="G1766" s="62">
        <f>SUMPRODUCT($C$1657:$V$1657,($C$292:$V$292=G$1703)*1)</f>
        <v/>
      </c>
      <c r="H1766" s="62">
        <f>SUMPRODUCT($C$1657:$V$1657,($C$292:$V$292=H$1703)*1)</f>
        <v/>
      </c>
      <c r="I1766" s="62">
        <f>SUMPRODUCT($C$1657:$V$1657,($C$292:$V$292=I$1703)*1)</f>
        <v/>
      </c>
      <c r="J1766" s="62">
        <f>SUMPRODUCT($C$1657:$V$1657,($C$292:$V$292=J$1703)*1)</f>
        <v/>
      </c>
    </row>
    <row r="1767">
      <c r="C1767" s="62">
        <f>SUMPRODUCT($C$1658:$V$1658,($C$293:$V$293=C$1703)*1)</f>
        <v/>
      </c>
      <c r="D1767" s="62">
        <f>SUMPRODUCT($C$1658:$V$1658,($C$293:$V$293=D$1703)*1)</f>
        <v/>
      </c>
      <c r="E1767" s="62">
        <f>SUMPRODUCT($C$1658:$V$1658,($C$293:$V$293=E$1703)*1)</f>
        <v/>
      </c>
      <c r="F1767" s="62">
        <f>SUMPRODUCT($C$1658:$V$1658,($C$293:$V$293=F$1703)*1)</f>
        <v/>
      </c>
      <c r="G1767" s="62">
        <f>SUMPRODUCT($C$1658:$V$1658,($C$293:$V$293=G$1703)*1)</f>
        <v/>
      </c>
      <c r="H1767" s="62">
        <f>SUMPRODUCT($C$1658:$V$1658,($C$293:$V$293=H$1703)*1)</f>
        <v/>
      </c>
      <c r="I1767" s="62">
        <f>SUMPRODUCT($C$1658:$V$1658,($C$293:$V$293=I$1703)*1)</f>
        <v/>
      </c>
      <c r="J1767" s="62">
        <f>SUMPRODUCT($C$1658:$V$1658,($C$293:$V$293=J$1703)*1)</f>
        <v/>
      </c>
    </row>
    <row r="1768">
      <c r="C1768" s="62">
        <f>SUMPRODUCT($C$1659:$V$1659,($C$294:$V$294=C$1703)*1)</f>
        <v/>
      </c>
      <c r="D1768" s="62">
        <f>SUMPRODUCT($C$1659:$V$1659,($C$294:$V$294=D$1703)*1)</f>
        <v/>
      </c>
      <c r="E1768" s="62">
        <f>SUMPRODUCT($C$1659:$V$1659,($C$294:$V$294=E$1703)*1)</f>
        <v/>
      </c>
      <c r="F1768" s="62">
        <f>SUMPRODUCT($C$1659:$V$1659,($C$294:$V$294=F$1703)*1)</f>
        <v/>
      </c>
      <c r="G1768" s="62">
        <f>SUMPRODUCT($C$1659:$V$1659,($C$294:$V$294=G$1703)*1)</f>
        <v/>
      </c>
      <c r="H1768" s="62">
        <f>SUMPRODUCT($C$1659:$V$1659,($C$294:$V$294=H$1703)*1)</f>
        <v/>
      </c>
      <c r="I1768" s="62">
        <f>SUMPRODUCT($C$1659:$V$1659,($C$294:$V$294=I$1703)*1)</f>
        <v/>
      </c>
      <c r="J1768" s="62">
        <f>SUMPRODUCT($C$1659:$V$1659,($C$294:$V$294=J$1703)*1)</f>
        <v/>
      </c>
    </row>
    <row r="1769">
      <c r="C1769" s="62">
        <f>SUMPRODUCT($C$1660:$V$1660,($C$295:$V$295=C$1703)*1)</f>
        <v/>
      </c>
      <c r="D1769" s="62">
        <f>SUMPRODUCT($C$1660:$V$1660,($C$295:$V$295=D$1703)*1)</f>
        <v/>
      </c>
      <c r="E1769" s="62">
        <f>SUMPRODUCT($C$1660:$V$1660,($C$295:$V$295=E$1703)*1)</f>
        <v/>
      </c>
      <c r="F1769" s="62">
        <f>SUMPRODUCT($C$1660:$V$1660,($C$295:$V$295=F$1703)*1)</f>
        <v/>
      </c>
      <c r="G1769" s="62">
        <f>SUMPRODUCT($C$1660:$V$1660,($C$295:$V$295=G$1703)*1)</f>
        <v/>
      </c>
      <c r="H1769" s="62">
        <f>SUMPRODUCT($C$1660:$V$1660,($C$295:$V$295=H$1703)*1)</f>
        <v/>
      </c>
      <c r="I1769" s="62">
        <f>SUMPRODUCT($C$1660:$V$1660,($C$295:$V$295=I$1703)*1)</f>
        <v/>
      </c>
      <c r="J1769" s="62">
        <f>SUMPRODUCT($C$1660:$V$1660,($C$295:$V$295=J$1703)*1)</f>
        <v/>
      </c>
    </row>
    <row r="1770">
      <c r="C1770" s="62">
        <f>SUMPRODUCT($C$1661:$V$1661,($C$296:$V$296=C$1703)*1)</f>
        <v/>
      </c>
      <c r="D1770" s="62">
        <f>SUMPRODUCT($C$1661:$V$1661,($C$296:$V$296=D$1703)*1)</f>
        <v/>
      </c>
      <c r="E1770" s="62">
        <f>SUMPRODUCT($C$1661:$V$1661,($C$296:$V$296=E$1703)*1)</f>
        <v/>
      </c>
      <c r="F1770" s="62">
        <f>SUMPRODUCT($C$1661:$V$1661,($C$296:$V$296=F$1703)*1)</f>
        <v/>
      </c>
      <c r="G1770" s="62">
        <f>SUMPRODUCT($C$1661:$V$1661,($C$296:$V$296=G$1703)*1)</f>
        <v/>
      </c>
      <c r="H1770" s="62">
        <f>SUMPRODUCT($C$1661:$V$1661,($C$296:$V$296=H$1703)*1)</f>
        <v/>
      </c>
      <c r="I1770" s="62">
        <f>SUMPRODUCT($C$1661:$V$1661,($C$296:$V$296=I$1703)*1)</f>
        <v/>
      </c>
      <c r="J1770" s="62">
        <f>SUMPRODUCT($C$1661:$V$1661,($C$296:$V$296=J$1703)*1)</f>
        <v/>
      </c>
    </row>
    <row r="1771">
      <c r="C1771" s="62">
        <f>SUMPRODUCT($C$1662:$V$1662,($C$297:$V$297=C$1703)*1)</f>
        <v/>
      </c>
      <c r="D1771" s="62">
        <f>SUMPRODUCT($C$1662:$V$1662,($C$297:$V$297=D$1703)*1)</f>
        <v/>
      </c>
      <c r="E1771" s="62">
        <f>SUMPRODUCT($C$1662:$V$1662,($C$297:$V$297=E$1703)*1)</f>
        <v/>
      </c>
      <c r="F1771" s="62">
        <f>SUMPRODUCT($C$1662:$V$1662,($C$297:$V$297=F$1703)*1)</f>
        <v/>
      </c>
      <c r="G1771" s="62">
        <f>SUMPRODUCT($C$1662:$V$1662,($C$297:$V$297=G$1703)*1)</f>
        <v/>
      </c>
      <c r="H1771" s="62">
        <f>SUMPRODUCT($C$1662:$V$1662,($C$297:$V$297=H$1703)*1)</f>
        <v/>
      </c>
      <c r="I1771" s="62">
        <f>SUMPRODUCT($C$1662:$V$1662,($C$297:$V$297=I$1703)*1)</f>
        <v/>
      </c>
      <c r="J1771" s="62">
        <f>SUMPRODUCT($C$1662:$V$1662,($C$297:$V$297=J$1703)*1)</f>
        <v/>
      </c>
    </row>
    <row r="1772">
      <c r="C1772" s="62">
        <f>SUMPRODUCT($C$1663:$V$1663,($C$298:$V$298=C$1703)*1)</f>
        <v/>
      </c>
      <c r="D1772" s="62">
        <f>SUMPRODUCT($C$1663:$V$1663,($C$298:$V$298=D$1703)*1)</f>
        <v/>
      </c>
      <c r="E1772" s="62">
        <f>SUMPRODUCT($C$1663:$V$1663,($C$298:$V$298=E$1703)*1)</f>
        <v/>
      </c>
      <c r="F1772" s="62">
        <f>SUMPRODUCT($C$1663:$V$1663,($C$298:$V$298=F$1703)*1)</f>
        <v/>
      </c>
      <c r="G1772" s="62">
        <f>SUMPRODUCT($C$1663:$V$1663,($C$298:$V$298=G$1703)*1)</f>
        <v/>
      </c>
      <c r="H1772" s="62">
        <f>SUMPRODUCT($C$1663:$V$1663,($C$298:$V$298=H$1703)*1)</f>
        <v/>
      </c>
      <c r="I1772" s="62">
        <f>SUMPRODUCT($C$1663:$V$1663,($C$298:$V$298=I$1703)*1)</f>
        <v/>
      </c>
      <c r="J1772" s="62">
        <f>SUMPRODUCT($C$1663:$V$1663,($C$298:$V$298=J$1703)*1)</f>
        <v/>
      </c>
    </row>
    <row r="1773">
      <c r="C1773" s="62">
        <f>SUMPRODUCT($C$1664:$V$1664,($C$299:$V$299=C$1703)*1)</f>
        <v/>
      </c>
      <c r="D1773" s="62">
        <f>SUMPRODUCT($C$1664:$V$1664,($C$299:$V$299=D$1703)*1)</f>
        <v/>
      </c>
      <c r="E1773" s="62">
        <f>SUMPRODUCT($C$1664:$V$1664,($C$299:$V$299=E$1703)*1)</f>
        <v/>
      </c>
      <c r="F1773" s="62">
        <f>SUMPRODUCT($C$1664:$V$1664,($C$299:$V$299=F$1703)*1)</f>
        <v/>
      </c>
      <c r="G1773" s="62">
        <f>SUMPRODUCT($C$1664:$V$1664,($C$299:$V$299=G$1703)*1)</f>
        <v/>
      </c>
      <c r="H1773" s="62">
        <f>SUMPRODUCT($C$1664:$V$1664,($C$299:$V$299=H$1703)*1)</f>
        <v/>
      </c>
      <c r="I1773" s="62">
        <f>SUMPRODUCT($C$1664:$V$1664,($C$299:$V$299=I$1703)*1)</f>
        <v/>
      </c>
      <c r="J1773" s="62">
        <f>SUMPRODUCT($C$1664:$V$1664,($C$299:$V$299=J$1703)*1)</f>
        <v/>
      </c>
    </row>
    <row r="1774">
      <c r="C1774" s="62">
        <f>SUMPRODUCT($C$1665:$V$1665,($C$300:$V$300=C$1703)*1)</f>
        <v/>
      </c>
      <c r="D1774" s="62">
        <f>SUMPRODUCT($C$1665:$V$1665,($C$300:$V$300=D$1703)*1)</f>
        <v/>
      </c>
      <c r="E1774" s="62">
        <f>SUMPRODUCT($C$1665:$V$1665,($C$300:$V$300=E$1703)*1)</f>
        <v/>
      </c>
      <c r="F1774" s="62">
        <f>SUMPRODUCT($C$1665:$V$1665,($C$300:$V$300=F$1703)*1)</f>
        <v/>
      </c>
      <c r="G1774" s="62">
        <f>SUMPRODUCT($C$1665:$V$1665,($C$300:$V$300=G$1703)*1)</f>
        <v/>
      </c>
      <c r="H1774" s="62">
        <f>SUMPRODUCT($C$1665:$V$1665,($C$300:$V$300=H$1703)*1)</f>
        <v/>
      </c>
      <c r="I1774" s="62">
        <f>SUMPRODUCT($C$1665:$V$1665,($C$300:$V$300=I$1703)*1)</f>
        <v/>
      </c>
      <c r="J1774" s="62">
        <f>SUMPRODUCT($C$1665:$V$1665,($C$300:$V$300=J$1703)*1)</f>
        <v/>
      </c>
    </row>
    <row r="1775">
      <c r="C1775" s="62">
        <f>SUMPRODUCT($C$1666:$V$1666,($C$301:$V$301=C$1703)*1)</f>
        <v/>
      </c>
      <c r="D1775" s="62">
        <f>SUMPRODUCT($C$1666:$V$1666,($C$301:$V$301=D$1703)*1)</f>
        <v/>
      </c>
      <c r="E1775" s="62">
        <f>SUMPRODUCT($C$1666:$V$1666,($C$301:$V$301=E$1703)*1)</f>
        <v/>
      </c>
      <c r="F1775" s="62">
        <f>SUMPRODUCT($C$1666:$V$1666,($C$301:$V$301=F$1703)*1)</f>
        <v/>
      </c>
      <c r="G1775" s="62">
        <f>SUMPRODUCT($C$1666:$V$1666,($C$301:$V$301=G$1703)*1)</f>
        <v/>
      </c>
      <c r="H1775" s="62">
        <f>SUMPRODUCT($C$1666:$V$1666,($C$301:$V$301=H$1703)*1)</f>
        <v/>
      </c>
      <c r="I1775" s="62">
        <f>SUMPRODUCT($C$1666:$V$1666,($C$301:$V$301=I$1703)*1)</f>
        <v/>
      </c>
      <c r="J1775" s="62">
        <f>SUMPRODUCT($C$1666:$V$1666,($C$301:$V$301=J$1703)*1)</f>
        <v/>
      </c>
    </row>
    <row r="1776">
      <c r="C1776" s="62">
        <f>SUMPRODUCT($C$1667:$V$1667,($C$302:$V$302=C$1703)*1)</f>
        <v/>
      </c>
      <c r="D1776" s="62">
        <f>SUMPRODUCT($C$1667:$V$1667,($C$302:$V$302=D$1703)*1)</f>
        <v/>
      </c>
      <c r="E1776" s="62">
        <f>SUMPRODUCT($C$1667:$V$1667,($C$302:$V$302=E$1703)*1)</f>
        <v/>
      </c>
      <c r="F1776" s="62">
        <f>SUMPRODUCT($C$1667:$V$1667,($C$302:$V$302=F$1703)*1)</f>
        <v/>
      </c>
      <c r="G1776" s="62">
        <f>SUMPRODUCT($C$1667:$V$1667,($C$302:$V$302=G$1703)*1)</f>
        <v/>
      </c>
      <c r="H1776" s="62">
        <f>SUMPRODUCT($C$1667:$V$1667,($C$302:$V$302=H$1703)*1)</f>
        <v/>
      </c>
      <c r="I1776" s="62">
        <f>SUMPRODUCT($C$1667:$V$1667,($C$302:$V$302=I$1703)*1)</f>
        <v/>
      </c>
      <c r="J1776" s="62">
        <f>SUMPRODUCT($C$1667:$V$1667,($C$302:$V$302=J$1703)*1)</f>
        <v/>
      </c>
    </row>
    <row r="1777">
      <c r="C1777" s="62">
        <f>SUMPRODUCT($C$1668:$V$1668,($C$303:$V$303=C$1703)*1)</f>
        <v/>
      </c>
      <c r="D1777" s="62">
        <f>SUMPRODUCT($C$1668:$V$1668,($C$303:$V$303=D$1703)*1)</f>
        <v/>
      </c>
      <c r="E1777" s="62">
        <f>SUMPRODUCT($C$1668:$V$1668,($C$303:$V$303=E$1703)*1)</f>
        <v/>
      </c>
      <c r="F1777" s="62">
        <f>SUMPRODUCT($C$1668:$V$1668,($C$303:$V$303=F$1703)*1)</f>
        <v/>
      </c>
      <c r="G1777" s="62">
        <f>SUMPRODUCT($C$1668:$V$1668,($C$303:$V$303=G$1703)*1)</f>
        <v/>
      </c>
      <c r="H1777" s="62">
        <f>SUMPRODUCT($C$1668:$V$1668,($C$303:$V$303=H$1703)*1)</f>
        <v/>
      </c>
      <c r="I1777" s="62">
        <f>SUMPRODUCT($C$1668:$V$1668,($C$303:$V$303=I$1703)*1)</f>
        <v/>
      </c>
      <c r="J1777" s="62">
        <f>SUMPRODUCT($C$1668:$V$1668,($C$303:$V$303=J$1703)*1)</f>
        <v/>
      </c>
    </row>
    <row r="1778">
      <c r="C1778" s="62">
        <f>SUMPRODUCT($C$1669:$V$1669,($C$304:$V$304=C$1703)*1)</f>
        <v/>
      </c>
      <c r="D1778" s="62">
        <f>SUMPRODUCT($C$1669:$V$1669,($C$304:$V$304=D$1703)*1)</f>
        <v/>
      </c>
      <c r="E1778" s="62">
        <f>SUMPRODUCT($C$1669:$V$1669,($C$304:$V$304=E$1703)*1)</f>
        <v/>
      </c>
      <c r="F1778" s="62">
        <f>SUMPRODUCT($C$1669:$V$1669,($C$304:$V$304=F$1703)*1)</f>
        <v/>
      </c>
      <c r="G1778" s="62">
        <f>SUMPRODUCT($C$1669:$V$1669,($C$304:$V$304=G$1703)*1)</f>
        <v/>
      </c>
      <c r="H1778" s="62">
        <f>SUMPRODUCT($C$1669:$V$1669,($C$304:$V$304=H$1703)*1)</f>
        <v/>
      </c>
      <c r="I1778" s="62">
        <f>SUMPRODUCT($C$1669:$V$1669,($C$304:$V$304=I$1703)*1)</f>
        <v/>
      </c>
      <c r="J1778" s="62">
        <f>SUMPRODUCT($C$1669:$V$1669,($C$304:$V$304=J$1703)*1)</f>
        <v/>
      </c>
    </row>
    <row r="1779">
      <c r="C1779" s="62">
        <f>SUMPRODUCT($C$1670:$V$1670,($C$305:$V$305=C$1703)*1)</f>
        <v/>
      </c>
      <c r="D1779" s="62">
        <f>SUMPRODUCT($C$1670:$V$1670,($C$305:$V$305=D$1703)*1)</f>
        <v/>
      </c>
      <c r="E1779" s="62">
        <f>SUMPRODUCT($C$1670:$V$1670,($C$305:$V$305=E$1703)*1)</f>
        <v/>
      </c>
      <c r="F1779" s="62">
        <f>SUMPRODUCT($C$1670:$V$1670,($C$305:$V$305=F$1703)*1)</f>
        <v/>
      </c>
      <c r="G1779" s="62">
        <f>SUMPRODUCT($C$1670:$V$1670,($C$305:$V$305=G$1703)*1)</f>
        <v/>
      </c>
      <c r="H1779" s="62">
        <f>SUMPRODUCT($C$1670:$V$1670,($C$305:$V$305=H$1703)*1)</f>
        <v/>
      </c>
      <c r="I1779" s="62">
        <f>SUMPRODUCT($C$1670:$V$1670,($C$305:$V$305=I$1703)*1)</f>
        <v/>
      </c>
      <c r="J1779" s="62">
        <f>SUMPRODUCT($C$1670:$V$1670,($C$305:$V$305=J$1703)*1)</f>
        <v/>
      </c>
    </row>
    <row r="1780">
      <c r="C1780" s="62">
        <f>SUMPRODUCT($C$1671:$V$1671,($C$306:$V$306=C$1703)*1)</f>
        <v/>
      </c>
      <c r="D1780" s="62">
        <f>SUMPRODUCT($C$1671:$V$1671,($C$306:$V$306=D$1703)*1)</f>
        <v/>
      </c>
      <c r="E1780" s="62">
        <f>SUMPRODUCT($C$1671:$V$1671,($C$306:$V$306=E$1703)*1)</f>
        <v/>
      </c>
      <c r="F1780" s="62">
        <f>SUMPRODUCT($C$1671:$V$1671,($C$306:$V$306=F$1703)*1)</f>
        <v/>
      </c>
      <c r="G1780" s="62">
        <f>SUMPRODUCT($C$1671:$V$1671,($C$306:$V$306=G$1703)*1)</f>
        <v/>
      </c>
      <c r="H1780" s="62">
        <f>SUMPRODUCT($C$1671:$V$1671,($C$306:$V$306=H$1703)*1)</f>
        <v/>
      </c>
      <c r="I1780" s="62">
        <f>SUMPRODUCT($C$1671:$V$1671,($C$306:$V$306=I$1703)*1)</f>
        <v/>
      </c>
      <c r="J1780" s="62">
        <f>SUMPRODUCT($C$1671:$V$1671,($C$306:$V$306=J$1703)*1)</f>
        <v/>
      </c>
    </row>
    <row r="1781">
      <c r="C1781" s="62">
        <f>SUMPRODUCT($C$1672:$V$1672,($C$307:$V$307=C$1703)*1)</f>
        <v/>
      </c>
      <c r="D1781" s="62">
        <f>SUMPRODUCT($C$1672:$V$1672,($C$307:$V$307=D$1703)*1)</f>
        <v/>
      </c>
      <c r="E1781" s="62">
        <f>SUMPRODUCT($C$1672:$V$1672,($C$307:$V$307=E$1703)*1)</f>
        <v/>
      </c>
      <c r="F1781" s="62">
        <f>SUMPRODUCT($C$1672:$V$1672,($C$307:$V$307=F$1703)*1)</f>
        <v/>
      </c>
      <c r="G1781" s="62">
        <f>SUMPRODUCT($C$1672:$V$1672,($C$307:$V$307=G$1703)*1)</f>
        <v/>
      </c>
      <c r="H1781" s="62">
        <f>SUMPRODUCT($C$1672:$V$1672,($C$307:$V$307=H$1703)*1)</f>
        <v/>
      </c>
      <c r="I1781" s="62">
        <f>SUMPRODUCT($C$1672:$V$1672,($C$307:$V$307=I$1703)*1)</f>
        <v/>
      </c>
      <c r="J1781" s="62">
        <f>SUMPRODUCT($C$1672:$V$1672,($C$307:$V$307=J$1703)*1)</f>
        <v/>
      </c>
    </row>
    <row r="1782">
      <c r="C1782" s="62">
        <f>SUMPRODUCT($C$1673:$V$1673,($C$308:$V$308=C$1703)*1)</f>
        <v/>
      </c>
      <c r="D1782" s="62">
        <f>SUMPRODUCT($C$1673:$V$1673,($C$308:$V$308=D$1703)*1)</f>
        <v/>
      </c>
      <c r="E1782" s="62">
        <f>SUMPRODUCT($C$1673:$V$1673,($C$308:$V$308=E$1703)*1)</f>
        <v/>
      </c>
      <c r="F1782" s="62">
        <f>SUMPRODUCT($C$1673:$V$1673,($C$308:$V$308=F$1703)*1)</f>
        <v/>
      </c>
      <c r="G1782" s="62">
        <f>SUMPRODUCT($C$1673:$V$1673,($C$308:$V$308=G$1703)*1)</f>
        <v/>
      </c>
      <c r="H1782" s="62">
        <f>SUMPRODUCT($C$1673:$V$1673,($C$308:$V$308=H$1703)*1)</f>
        <v/>
      </c>
      <c r="I1782" s="62">
        <f>SUMPRODUCT($C$1673:$V$1673,($C$308:$V$308=I$1703)*1)</f>
        <v/>
      </c>
      <c r="J1782" s="62">
        <f>SUMPRODUCT($C$1673:$V$1673,($C$308:$V$308=J$1703)*1)</f>
        <v/>
      </c>
    </row>
    <row r="1783">
      <c r="C1783" s="62">
        <f>SUMPRODUCT($C$1674:$V$1674,($C$309:$V$309=C$1703)*1)</f>
        <v/>
      </c>
      <c r="D1783" s="62">
        <f>SUMPRODUCT($C$1674:$V$1674,($C$309:$V$309=D$1703)*1)</f>
        <v/>
      </c>
      <c r="E1783" s="62">
        <f>SUMPRODUCT($C$1674:$V$1674,($C$309:$V$309=E$1703)*1)</f>
        <v/>
      </c>
      <c r="F1783" s="62">
        <f>SUMPRODUCT($C$1674:$V$1674,($C$309:$V$309=F$1703)*1)</f>
        <v/>
      </c>
      <c r="G1783" s="62">
        <f>SUMPRODUCT($C$1674:$V$1674,($C$309:$V$309=G$1703)*1)</f>
        <v/>
      </c>
      <c r="H1783" s="62">
        <f>SUMPRODUCT($C$1674:$V$1674,($C$309:$V$309=H$1703)*1)</f>
        <v/>
      </c>
      <c r="I1783" s="62">
        <f>SUMPRODUCT($C$1674:$V$1674,($C$309:$V$309=I$1703)*1)</f>
        <v/>
      </c>
      <c r="J1783" s="62">
        <f>SUMPRODUCT($C$1674:$V$1674,($C$309:$V$309=J$1703)*1)</f>
        <v/>
      </c>
    </row>
    <row r="1784">
      <c r="C1784" s="62">
        <f>SUMPRODUCT($C$1675:$V$1675,($C$310:$V$310=C$1703)*1)</f>
        <v/>
      </c>
      <c r="D1784" s="62">
        <f>SUMPRODUCT($C$1675:$V$1675,($C$310:$V$310=D$1703)*1)</f>
        <v/>
      </c>
      <c r="E1784" s="62">
        <f>SUMPRODUCT($C$1675:$V$1675,($C$310:$V$310=E$1703)*1)</f>
        <v/>
      </c>
      <c r="F1784" s="62">
        <f>SUMPRODUCT($C$1675:$V$1675,($C$310:$V$310=F$1703)*1)</f>
        <v/>
      </c>
      <c r="G1784" s="62">
        <f>SUMPRODUCT($C$1675:$V$1675,($C$310:$V$310=G$1703)*1)</f>
        <v/>
      </c>
      <c r="H1784" s="62">
        <f>SUMPRODUCT($C$1675:$V$1675,($C$310:$V$310=H$1703)*1)</f>
        <v/>
      </c>
      <c r="I1784" s="62">
        <f>SUMPRODUCT($C$1675:$V$1675,($C$310:$V$310=I$1703)*1)</f>
        <v/>
      </c>
      <c r="J1784" s="62">
        <f>SUMPRODUCT($C$1675:$V$1675,($C$310:$V$310=J$1703)*1)</f>
        <v/>
      </c>
    </row>
    <row r="1785">
      <c r="C1785" s="62">
        <f>SUMPRODUCT($C$1676:$V$1676,($C$311:$V$311=C$1703)*1)</f>
        <v/>
      </c>
      <c r="D1785" s="62">
        <f>SUMPRODUCT($C$1676:$V$1676,($C$311:$V$311=D$1703)*1)</f>
        <v/>
      </c>
      <c r="E1785" s="62">
        <f>SUMPRODUCT($C$1676:$V$1676,($C$311:$V$311=E$1703)*1)</f>
        <v/>
      </c>
      <c r="F1785" s="62">
        <f>SUMPRODUCT($C$1676:$V$1676,($C$311:$V$311=F$1703)*1)</f>
        <v/>
      </c>
      <c r="G1785" s="62">
        <f>SUMPRODUCT($C$1676:$V$1676,($C$311:$V$311=G$1703)*1)</f>
        <v/>
      </c>
      <c r="H1785" s="62">
        <f>SUMPRODUCT($C$1676:$V$1676,($C$311:$V$311=H$1703)*1)</f>
        <v/>
      </c>
      <c r="I1785" s="62">
        <f>SUMPRODUCT($C$1676:$V$1676,($C$311:$V$311=I$1703)*1)</f>
        <v/>
      </c>
      <c r="J1785" s="62">
        <f>SUMPRODUCT($C$1676:$V$1676,($C$311:$V$311=J$1703)*1)</f>
        <v/>
      </c>
    </row>
    <row r="1786">
      <c r="C1786" s="62">
        <f>SUMPRODUCT($C$1677:$V$1677,($C$312:$V$312=C$1703)*1)</f>
        <v/>
      </c>
      <c r="D1786" s="62">
        <f>SUMPRODUCT($C$1677:$V$1677,($C$312:$V$312=D$1703)*1)</f>
        <v/>
      </c>
      <c r="E1786" s="62">
        <f>SUMPRODUCT($C$1677:$V$1677,($C$312:$V$312=E$1703)*1)</f>
        <v/>
      </c>
      <c r="F1786" s="62">
        <f>SUMPRODUCT($C$1677:$V$1677,($C$312:$V$312=F$1703)*1)</f>
        <v/>
      </c>
      <c r="G1786" s="62">
        <f>SUMPRODUCT($C$1677:$V$1677,($C$312:$V$312=G$1703)*1)</f>
        <v/>
      </c>
      <c r="H1786" s="62">
        <f>SUMPRODUCT($C$1677:$V$1677,($C$312:$V$312=H$1703)*1)</f>
        <v/>
      </c>
      <c r="I1786" s="62">
        <f>SUMPRODUCT($C$1677:$V$1677,($C$312:$V$312=I$1703)*1)</f>
        <v/>
      </c>
      <c r="J1786" s="62">
        <f>SUMPRODUCT($C$1677:$V$1677,($C$312:$V$312=J$1703)*1)</f>
        <v/>
      </c>
    </row>
    <row r="1787">
      <c r="C1787" s="62">
        <f>SUMPRODUCT($C$1678:$V$1678,($C$313:$V$313=C$1703)*1)</f>
        <v/>
      </c>
      <c r="D1787" s="62">
        <f>SUMPRODUCT($C$1678:$V$1678,($C$313:$V$313=D$1703)*1)</f>
        <v/>
      </c>
      <c r="E1787" s="62">
        <f>SUMPRODUCT($C$1678:$V$1678,($C$313:$V$313=E$1703)*1)</f>
        <v/>
      </c>
      <c r="F1787" s="62">
        <f>SUMPRODUCT($C$1678:$V$1678,($C$313:$V$313=F$1703)*1)</f>
        <v/>
      </c>
      <c r="G1787" s="62">
        <f>SUMPRODUCT($C$1678:$V$1678,($C$313:$V$313=G$1703)*1)</f>
        <v/>
      </c>
      <c r="H1787" s="62">
        <f>SUMPRODUCT($C$1678:$V$1678,($C$313:$V$313=H$1703)*1)</f>
        <v/>
      </c>
      <c r="I1787" s="62">
        <f>SUMPRODUCT($C$1678:$V$1678,($C$313:$V$313=I$1703)*1)</f>
        <v/>
      </c>
      <c r="J1787" s="62">
        <f>SUMPRODUCT($C$1678:$V$1678,($C$313:$V$313=J$1703)*1)</f>
        <v/>
      </c>
    </row>
    <row r="1788">
      <c r="C1788" s="62">
        <f>SUMPRODUCT($C$1679:$V$1679,($C$314:$V$314=C$1703)*1)</f>
        <v/>
      </c>
      <c r="D1788" s="62">
        <f>SUMPRODUCT($C$1679:$V$1679,($C$314:$V$314=D$1703)*1)</f>
        <v/>
      </c>
      <c r="E1788" s="62">
        <f>SUMPRODUCT($C$1679:$V$1679,($C$314:$V$314=E$1703)*1)</f>
        <v/>
      </c>
      <c r="F1788" s="62">
        <f>SUMPRODUCT($C$1679:$V$1679,($C$314:$V$314=F$1703)*1)</f>
        <v/>
      </c>
      <c r="G1788" s="62">
        <f>SUMPRODUCT($C$1679:$V$1679,($C$314:$V$314=G$1703)*1)</f>
        <v/>
      </c>
      <c r="H1788" s="62">
        <f>SUMPRODUCT($C$1679:$V$1679,($C$314:$V$314=H$1703)*1)</f>
        <v/>
      </c>
      <c r="I1788" s="62">
        <f>SUMPRODUCT($C$1679:$V$1679,($C$314:$V$314=I$1703)*1)</f>
        <v/>
      </c>
      <c r="J1788" s="62">
        <f>SUMPRODUCT($C$1679:$V$1679,($C$314:$V$314=J$1703)*1)</f>
        <v/>
      </c>
    </row>
    <row r="1789">
      <c r="C1789" s="62">
        <f>SUMPRODUCT($C$1680:$V$1680,($C$315:$V$315=C$1703)*1)</f>
        <v/>
      </c>
      <c r="D1789" s="62">
        <f>SUMPRODUCT($C$1680:$V$1680,($C$315:$V$315=D$1703)*1)</f>
        <v/>
      </c>
      <c r="E1789" s="62">
        <f>SUMPRODUCT($C$1680:$V$1680,($C$315:$V$315=E$1703)*1)</f>
        <v/>
      </c>
      <c r="F1789" s="62">
        <f>SUMPRODUCT($C$1680:$V$1680,($C$315:$V$315=F$1703)*1)</f>
        <v/>
      </c>
      <c r="G1789" s="62">
        <f>SUMPRODUCT($C$1680:$V$1680,($C$315:$V$315=G$1703)*1)</f>
        <v/>
      </c>
      <c r="H1789" s="62">
        <f>SUMPRODUCT($C$1680:$V$1680,($C$315:$V$315=H$1703)*1)</f>
        <v/>
      </c>
      <c r="I1789" s="62">
        <f>SUMPRODUCT($C$1680:$V$1680,($C$315:$V$315=I$1703)*1)</f>
        <v/>
      </c>
      <c r="J1789" s="62">
        <f>SUMPRODUCT($C$1680:$V$1680,($C$315:$V$315=J$1703)*1)</f>
        <v/>
      </c>
    </row>
    <row r="1790">
      <c r="C1790" s="62">
        <f>SUMPRODUCT($C$1681:$V$1681,($C$316:$V$316=C$1703)*1)</f>
        <v/>
      </c>
      <c r="D1790" s="62">
        <f>SUMPRODUCT($C$1681:$V$1681,($C$316:$V$316=D$1703)*1)</f>
        <v/>
      </c>
      <c r="E1790" s="62">
        <f>SUMPRODUCT($C$1681:$V$1681,($C$316:$V$316=E$1703)*1)</f>
        <v/>
      </c>
      <c r="F1790" s="62">
        <f>SUMPRODUCT($C$1681:$V$1681,($C$316:$V$316=F$1703)*1)</f>
        <v/>
      </c>
      <c r="G1790" s="62">
        <f>SUMPRODUCT($C$1681:$V$1681,($C$316:$V$316=G$1703)*1)</f>
        <v/>
      </c>
      <c r="H1790" s="62">
        <f>SUMPRODUCT($C$1681:$V$1681,($C$316:$V$316=H$1703)*1)</f>
        <v/>
      </c>
      <c r="I1790" s="62">
        <f>SUMPRODUCT($C$1681:$V$1681,($C$316:$V$316=I$1703)*1)</f>
        <v/>
      </c>
      <c r="J1790" s="62">
        <f>SUMPRODUCT($C$1681:$V$1681,($C$316:$V$316=J$1703)*1)</f>
        <v/>
      </c>
    </row>
    <row r="1791">
      <c r="C1791" s="62">
        <f>SUMPRODUCT($C$1682:$V$1682,($C$317:$V$317=C$1703)*1)</f>
        <v/>
      </c>
      <c r="D1791" s="62">
        <f>SUMPRODUCT($C$1682:$V$1682,($C$317:$V$317=D$1703)*1)</f>
        <v/>
      </c>
      <c r="E1791" s="62">
        <f>SUMPRODUCT($C$1682:$V$1682,($C$317:$V$317=E$1703)*1)</f>
        <v/>
      </c>
      <c r="F1791" s="62">
        <f>SUMPRODUCT($C$1682:$V$1682,($C$317:$V$317=F$1703)*1)</f>
        <v/>
      </c>
      <c r="G1791" s="62">
        <f>SUMPRODUCT($C$1682:$V$1682,($C$317:$V$317=G$1703)*1)</f>
        <v/>
      </c>
      <c r="H1791" s="62">
        <f>SUMPRODUCT($C$1682:$V$1682,($C$317:$V$317=H$1703)*1)</f>
        <v/>
      </c>
      <c r="I1791" s="62">
        <f>SUMPRODUCT($C$1682:$V$1682,($C$317:$V$317=I$1703)*1)</f>
        <v/>
      </c>
      <c r="J1791" s="62">
        <f>SUMPRODUCT($C$1682:$V$1682,($C$317:$V$317=J$1703)*1)</f>
        <v/>
      </c>
    </row>
    <row r="1792">
      <c r="C1792" s="62">
        <f>SUMPRODUCT($C$1683:$V$1683,($C$318:$V$318=C$1703)*1)</f>
        <v/>
      </c>
      <c r="D1792" s="62">
        <f>SUMPRODUCT($C$1683:$V$1683,($C$318:$V$318=D$1703)*1)</f>
        <v/>
      </c>
      <c r="E1792" s="62">
        <f>SUMPRODUCT($C$1683:$V$1683,($C$318:$V$318=E$1703)*1)</f>
        <v/>
      </c>
      <c r="F1792" s="62">
        <f>SUMPRODUCT($C$1683:$V$1683,($C$318:$V$318=F$1703)*1)</f>
        <v/>
      </c>
      <c r="G1792" s="62">
        <f>SUMPRODUCT($C$1683:$V$1683,($C$318:$V$318=G$1703)*1)</f>
        <v/>
      </c>
      <c r="H1792" s="62">
        <f>SUMPRODUCT($C$1683:$V$1683,($C$318:$V$318=H$1703)*1)</f>
        <v/>
      </c>
      <c r="I1792" s="62">
        <f>SUMPRODUCT($C$1683:$V$1683,($C$318:$V$318=I$1703)*1)</f>
        <v/>
      </c>
      <c r="J1792" s="62">
        <f>SUMPRODUCT($C$1683:$V$1683,($C$318:$V$318=J$1703)*1)</f>
        <v/>
      </c>
    </row>
    <row r="1793">
      <c r="C1793" s="62">
        <f>SUMPRODUCT($C$1684:$V$1684,($C$319:$V$319=C$1703)*1)</f>
        <v/>
      </c>
      <c r="D1793" s="62">
        <f>SUMPRODUCT($C$1684:$V$1684,($C$319:$V$319=D$1703)*1)</f>
        <v/>
      </c>
      <c r="E1793" s="62">
        <f>SUMPRODUCT($C$1684:$V$1684,($C$319:$V$319=E$1703)*1)</f>
        <v/>
      </c>
      <c r="F1793" s="62">
        <f>SUMPRODUCT($C$1684:$V$1684,($C$319:$V$319=F$1703)*1)</f>
        <v/>
      </c>
      <c r="G1793" s="62">
        <f>SUMPRODUCT($C$1684:$V$1684,($C$319:$V$319=G$1703)*1)</f>
        <v/>
      </c>
      <c r="H1793" s="62">
        <f>SUMPRODUCT($C$1684:$V$1684,($C$319:$V$319=H$1703)*1)</f>
        <v/>
      </c>
      <c r="I1793" s="62">
        <f>SUMPRODUCT($C$1684:$V$1684,($C$319:$V$319=I$1703)*1)</f>
        <v/>
      </c>
      <c r="J1793" s="62">
        <f>SUMPRODUCT($C$1684:$V$1684,($C$319:$V$319=J$1703)*1)</f>
        <v/>
      </c>
    </row>
    <row r="1794">
      <c r="C1794" s="62">
        <f>SUMPRODUCT($C$1685:$V$1685,($C$320:$V$320=C$1703)*1)</f>
        <v/>
      </c>
      <c r="D1794" s="62">
        <f>SUMPRODUCT($C$1685:$V$1685,($C$320:$V$320=D$1703)*1)</f>
        <v/>
      </c>
      <c r="E1794" s="62">
        <f>SUMPRODUCT($C$1685:$V$1685,($C$320:$V$320=E$1703)*1)</f>
        <v/>
      </c>
      <c r="F1794" s="62">
        <f>SUMPRODUCT($C$1685:$V$1685,($C$320:$V$320=F$1703)*1)</f>
        <v/>
      </c>
      <c r="G1794" s="62">
        <f>SUMPRODUCT($C$1685:$V$1685,($C$320:$V$320=G$1703)*1)</f>
        <v/>
      </c>
      <c r="H1794" s="62">
        <f>SUMPRODUCT($C$1685:$V$1685,($C$320:$V$320=H$1703)*1)</f>
        <v/>
      </c>
      <c r="I1794" s="62">
        <f>SUMPRODUCT($C$1685:$V$1685,($C$320:$V$320=I$1703)*1)</f>
        <v/>
      </c>
      <c r="J1794" s="62">
        <f>SUMPRODUCT($C$1685:$V$1685,($C$320:$V$320=J$1703)*1)</f>
        <v/>
      </c>
    </row>
    <row r="1795">
      <c r="C1795" s="62">
        <f>SUMPRODUCT($C$1686:$V$1686,($C$321:$V$321=C$1703)*1)</f>
        <v/>
      </c>
      <c r="D1795" s="62">
        <f>SUMPRODUCT($C$1686:$V$1686,($C$321:$V$321=D$1703)*1)</f>
        <v/>
      </c>
      <c r="E1795" s="62">
        <f>SUMPRODUCT($C$1686:$V$1686,($C$321:$V$321=E$1703)*1)</f>
        <v/>
      </c>
      <c r="F1795" s="62">
        <f>SUMPRODUCT($C$1686:$V$1686,($C$321:$V$321=F$1703)*1)</f>
        <v/>
      </c>
      <c r="G1795" s="62">
        <f>SUMPRODUCT($C$1686:$V$1686,($C$321:$V$321=G$1703)*1)</f>
        <v/>
      </c>
      <c r="H1795" s="62">
        <f>SUMPRODUCT($C$1686:$V$1686,($C$321:$V$321=H$1703)*1)</f>
        <v/>
      </c>
      <c r="I1795" s="62">
        <f>SUMPRODUCT($C$1686:$V$1686,($C$321:$V$321=I$1703)*1)</f>
        <v/>
      </c>
      <c r="J1795" s="62">
        <f>SUMPRODUCT($C$1686:$V$1686,($C$321:$V$321=J$1703)*1)</f>
        <v/>
      </c>
    </row>
    <row r="1796">
      <c r="C1796" s="62">
        <f>SUMPRODUCT($C$1687:$V$1687,($C$322:$V$322=C$1703)*1)</f>
        <v/>
      </c>
      <c r="D1796" s="62">
        <f>SUMPRODUCT($C$1687:$V$1687,($C$322:$V$322=D$1703)*1)</f>
        <v/>
      </c>
      <c r="E1796" s="62">
        <f>SUMPRODUCT($C$1687:$V$1687,($C$322:$V$322=E$1703)*1)</f>
        <v/>
      </c>
      <c r="F1796" s="62">
        <f>SUMPRODUCT($C$1687:$V$1687,($C$322:$V$322=F$1703)*1)</f>
        <v/>
      </c>
      <c r="G1796" s="62">
        <f>SUMPRODUCT($C$1687:$V$1687,($C$322:$V$322=G$1703)*1)</f>
        <v/>
      </c>
      <c r="H1796" s="62">
        <f>SUMPRODUCT($C$1687:$V$1687,($C$322:$V$322=H$1703)*1)</f>
        <v/>
      </c>
      <c r="I1796" s="62">
        <f>SUMPRODUCT($C$1687:$V$1687,($C$322:$V$322=I$1703)*1)</f>
        <v/>
      </c>
      <c r="J1796" s="62">
        <f>SUMPRODUCT($C$1687:$V$1687,($C$322:$V$322=J$1703)*1)</f>
        <v/>
      </c>
    </row>
    <row r="1797">
      <c r="C1797" s="62">
        <f>SUMPRODUCT($C$1688:$V$1688,($C$323:$V$323=C$1703)*1)</f>
        <v/>
      </c>
      <c r="D1797" s="62">
        <f>SUMPRODUCT($C$1688:$V$1688,($C$323:$V$323=D$1703)*1)</f>
        <v/>
      </c>
      <c r="E1797" s="62">
        <f>SUMPRODUCT($C$1688:$V$1688,($C$323:$V$323=E$1703)*1)</f>
        <v/>
      </c>
      <c r="F1797" s="62">
        <f>SUMPRODUCT($C$1688:$V$1688,($C$323:$V$323=F$1703)*1)</f>
        <v/>
      </c>
      <c r="G1797" s="62">
        <f>SUMPRODUCT($C$1688:$V$1688,($C$323:$V$323=G$1703)*1)</f>
        <v/>
      </c>
      <c r="H1797" s="62">
        <f>SUMPRODUCT($C$1688:$V$1688,($C$323:$V$323=H$1703)*1)</f>
        <v/>
      </c>
      <c r="I1797" s="62">
        <f>SUMPRODUCT($C$1688:$V$1688,($C$323:$V$323=I$1703)*1)</f>
        <v/>
      </c>
      <c r="J1797" s="62">
        <f>SUMPRODUCT($C$1688:$V$1688,($C$323:$V$323=J$1703)*1)</f>
        <v/>
      </c>
    </row>
    <row r="1798">
      <c r="C1798" s="62">
        <f>SUMPRODUCT($C$1689:$V$1689,($C$324:$V$324=C$1703)*1)</f>
        <v/>
      </c>
      <c r="D1798" s="62">
        <f>SUMPRODUCT($C$1689:$V$1689,($C$324:$V$324=D$1703)*1)</f>
        <v/>
      </c>
      <c r="E1798" s="62">
        <f>SUMPRODUCT($C$1689:$V$1689,($C$324:$V$324=E$1703)*1)</f>
        <v/>
      </c>
      <c r="F1798" s="62">
        <f>SUMPRODUCT($C$1689:$V$1689,($C$324:$V$324=F$1703)*1)</f>
        <v/>
      </c>
      <c r="G1798" s="62">
        <f>SUMPRODUCT($C$1689:$V$1689,($C$324:$V$324=G$1703)*1)</f>
        <v/>
      </c>
      <c r="H1798" s="62">
        <f>SUMPRODUCT($C$1689:$V$1689,($C$324:$V$324=H$1703)*1)</f>
        <v/>
      </c>
      <c r="I1798" s="62">
        <f>SUMPRODUCT($C$1689:$V$1689,($C$324:$V$324=I$1703)*1)</f>
        <v/>
      </c>
      <c r="J1798" s="62">
        <f>SUMPRODUCT($C$1689:$V$1689,($C$324:$V$324=J$1703)*1)</f>
        <v/>
      </c>
    </row>
    <row r="1799">
      <c r="C1799" s="62">
        <f>SUMPRODUCT($C$1690:$V$1690,($C$325:$V$325=C$1703)*1)</f>
        <v/>
      </c>
      <c r="D1799" s="62">
        <f>SUMPRODUCT($C$1690:$V$1690,($C$325:$V$325=D$1703)*1)</f>
        <v/>
      </c>
      <c r="E1799" s="62">
        <f>SUMPRODUCT($C$1690:$V$1690,($C$325:$V$325=E$1703)*1)</f>
        <v/>
      </c>
      <c r="F1799" s="62">
        <f>SUMPRODUCT($C$1690:$V$1690,($C$325:$V$325=F$1703)*1)</f>
        <v/>
      </c>
      <c r="G1799" s="62">
        <f>SUMPRODUCT($C$1690:$V$1690,($C$325:$V$325=G$1703)*1)</f>
        <v/>
      </c>
      <c r="H1799" s="62">
        <f>SUMPRODUCT($C$1690:$V$1690,($C$325:$V$325=H$1703)*1)</f>
        <v/>
      </c>
      <c r="I1799" s="62">
        <f>SUMPRODUCT($C$1690:$V$1690,($C$325:$V$325=I$1703)*1)</f>
        <v/>
      </c>
      <c r="J1799" s="62">
        <f>SUMPRODUCT($C$1690:$V$1690,($C$325:$V$325=J$1703)*1)</f>
        <v/>
      </c>
    </row>
    <row r="1800">
      <c r="C1800" s="62">
        <f>SUMPRODUCT($C$1691:$V$1691,($C$326:$V$326=C$1703)*1)</f>
        <v/>
      </c>
      <c r="D1800" s="62">
        <f>SUMPRODUCT($C$1691:$V$1691,($C$326:$V$326=D$1703)*1)</f>
        <v/>
      </c>
      <c r="E1800" s="62">
        <f>SUMPRODUCT($C$1691:$V$1691,($C$326:$V$326=E$1703)*1)</f>
        <v/>
      </c>
      <c r="F1800" s="62">
        <f>SUMPRODUCT($C$1691:$V$1691,($C$326:$V$326=F$1703)*1)</f>
        <v/>
      </c>
      <c r="G1800" s="62">
        <f>SUMPRODUCT($C$1691:$V$1691,($C$326:$V$326=G$1703)*1)</f>
        <v/>
      </c>
      <c r="H1800" s="62">
        <f>SUMPRODUCT($C$1691:$V$1691,($C$326:$V$326=H$1703)*1)</f>
        <v/>
      </c>
      <c r="I1800" s="62">
        <f>SUMPRODUCT($C$1691:$V$1691,($C$326:$V$326=I$1703)*1)</f>
        <v/>
      </c>
      <c r="J1800" s="62">
        <f>SUMPRODUCT($C$1691:$V$1691,($C$326:$V$326=J$1703)*1)</f>
        <v/>
      </c>
    </row>
    <row r="1801">
      <c r="C1801" s="62">
        <f>SUMPRODUCT($C$1692:$V$1692,($C$327:$V$327=C$1703)*1)</f>
        <v/>
      </c>
      <c r="D1801" s="62">
        <f>SUMPRODUCT($C$1692:$V$1692,($C$327:$V$327=D$1703)*1)</f>
        <v/>
      </c>
      <c r="E1801" s="62">
        <f>SUMPRODUCT($C$1692:$V$1692,($C$327:$V$327=E$1703)*1)</f>
        <v/>
      </c>
      <c r="F1801" s="62">
        <f>SUMPRODUCT($C$1692:$V$1692,($C$327:$V$327=F$1703)*1)</f>
        <v/>
      </c>
      <c r="G1801" s="62">
        <f>SUMPRODUCT($C$1692:$V$1692,($C$327:$V$327=G$1703)*1)</f>
        <v/>
      </c>
      <c r="H1801" s="62">
        <f>SUMPRODUCT($C$1692:$V$1692,($C$327:$V$327=H$1703)*1)</f>
        <v/>
      </c>
      <c r="I1801" s="62">
        <f>SUMPRODUCT($C$1692:$V$1692,($C$327:$V$327=I$1703)*1)</f>
        <v/>
      </c>
      <c r="J1801" s="62">
        <f>SUMPRODUCT($C$1692:$V$1692,($C$327:$V$327=J$1703)*1)</f>
        <v/>
      </c>
    </row>
    <row r="1802">
      <c r="C1802" s="62">
        <f>SUMPRODUCT($C$1693:$V$1693,($C$328:$V$328=C$1703)*1)</f>
        <v/>
      </c>
      <c r="D1802" s="62">
        <f>SUMPRODUCT($C$1693:$V$1693,($C$328:$V$328=D$1703)*1)</f>
        <v/>
      </c>
      <c r="E1802" s="62">
        <f>SUMPRODUCT($C$1693:$V$1693,($C$328:$V$328=E$1703)*1)</f>
        <v/>
      </c>
      <c r="F1802" s="62">
        <f>SUMPRODUCT($C$1693:$V$1693,($C$328:$V$328=F$1703)*1)</f>
        <v/>
      </c>
      <c r="G1802" s="62">
        <f>SUMPRODUCT($C$1693:$V$1693,($C$328:$V$328=G$1703)*1)</f>
        <v/>
      </c>
      <c r="H1802" s="62">
        <f>SUMPRODUCT($C$1693:$V$1693,($C$328:$V$328=H$1703)*1)</f>
        <v/>
      </c>
      <c r="I1802" s="62">
        <f>SUMPRODUCT($C$1693:$V$1693,($C$328:$V$328=I$1703)*1)</f>
        <v/>
      </c>
      <c r="J1802" s="62">
        <f>SUMPRODUCT($C$1693:$V$1693,($C$328:$V$328=J$1703)*1)</f>
        <v/>
      </c>
    </row>
    <row r="1803">
      <c r="C1803" s="62">
        <f>SUMPRODUCT($C$1694:$V$1694,($C$329:$V$329=C$1703)*1)</f>
        <v/>
      </c>
      <c r="D1803" s="62">
        <f>SUMPRODUCT($C$1694:$V$1694,($C$329:$V$329=D$1703)*1)</f>
        <v/>
      </c>
      <c r="E1803" s="62">
        <f>SUMPRODUCT($C$1694:$V$1694,($C$329:$V$329=E$1703)*1)</f>
        <v/>
      </c>
      <c r="F1803" s="62">
        <f>SUMPRODUCT($C$1694:$V$1694,($C$329:$V$329=F$1703)*1)</f>
        <v/>
      </c>
      <c r="G1803" s="62">
        <f>SUMPRODUCT($C$1694:$V$1694,($C$329:$V$329=G$1703)*1)</f>
        <v/>
      </c>
      <c r="H1803" s="62">
        <f>SUMPRODUCT($C$1694:$V$1694,($C$329:$V$329=H$1703)*1)</f>
        <v/>
      </c>
      <c r="I1803" s="62">
        <f>SUMPRODUCT($C$1694:$V$1694,($C$329:$V$329=I$1703)*1)</f>
        <v/>
      </c>
      <c r="J1803" s="62">
        <f>SUMPRODUCT($C$1694:$V$1694,($C$329:$V$329=J$1703)*1)</f>
        <v/>
      </c>
    </row>
    <row r="1808">
      <c r="A1808" s="171" t="inlineStr">
        <is>
          <t>HJ anzP</t>
        </is>
      </c>
    </row>
    <row r="1809">
      <c r="C1809" s="62">
        <f>SUMPRODUCT($C$1595:$V$1595,($C$230:$V$230=C$1703)*1,($C$6:$V$6="Praxis")*1)</f>
        <v/>
      </c>
      <c r="D1809" s="62">
        <f>SUMPRODUCT($C$1595:$V$1595,($C$230:$V$230=D$1703)*1,($C$6:$V$6="Praxis")*1)</f>
        <v/>
      </c>
      <c r="E1809" s="62">
        <f>SUMPRODUCT($C$1595:$V$1595,($C$230:$V$230=E$1703)*1,($C$6:$V$6="Praxis")*1)</f>
        <v/>
      </c>
      <c r="F1809" s="62">
        <f>SUMPRODUCT($C$1595:$V$1595,($C$230:$V$230=F$1703)*1,($C$6:$V$6="Praxis")*1)</f>
        <v/>
      </c>
      <c r="G1809" s="62">
        <f>SUMPRODUCT($C$1595:$V$1595,($C$230:$V$230=G$1703)*1,($C$6:$V$6="Praxis")*1)</f>
        <v/>
      </c>
      <c r="H1809" s="62">
        <f>SUMPRODUCT($C$1595:$V$1595,($C$230:$V$230=H$1703)*1,($C$6:$V$6="Praxis")*1)</f>
        <v/>
      </c>
      <c r="I1809" s="62">
        <f>SUMPRODUCT($C$1595:$V$1595,($C$230:$V$230=I$1703)*1,($C$6:$V$6="Praxis")*1)</f>
        <v/>
      </c>
      <c r="J1809" s="62">
        <f>SUMPRODUCT($C$1595:$V$1595,($C$230:$V$230=J$1703)*1,($C$6:$V$6="Praxis")*1)</f>
        <v/>
      </c>
    </row>
    <row r="1810">
      <c r="C1810" s="62">
        <f>SUMPRODUCT($C$1596:$V$1596,($C$231:$V$231=C$1703)*1,($C$6:$V$6="Praxis")*1)</f>
        <v/>
      </c>
      <c r="D1810" s="62">
        <f>SUMPRODUCT($C$1596:$V$1596,($C$231:$V$231=D$1703)*1,($C$6:$V$6="Praxis")*1)</f>
        <v/>
      </c>
      <c r="E1810" s="62">
        <f>SUMPRODUCT($C$1596:$V$1596,($C$231:$V$231=E$1703)*1,($C$6:$V$6="Praxis")*1)</f>
        <v/>
      </c>
      <c r="F1810" s="62">
        <f>SUMPRODUCT($C$1596:$V$1596,($C$231:$V$231=F$1703)*1,($C$6:$V$6="Praxis")*1)</f>
        <v/>
      </c>
      <c r="G1810" s="62">
        <f>SUMPRODUCT($C$1596:$V$1596,($C$231:$V$231=G$1703)*1,($C$6:$V$6="Praxis")*1)</f>
        <v/>
      </c>
      <c r="H1810" s="62">
        <f>SUMPRODUCT($C$1596:$V$1596,($C$231:$V$231=H$1703)*1,($C$6:$V$6="Praxis")*1)</f>
        <v/>
      </c>
      <c r="I1810" s="62">
        <f>SUMPRODUCT($C$1596:$V$1596,($C$231:$V$231=I$1703)*1,($C$6:$V$6="Praxis")*1)</f>
        <v/>
      </c>
      <c r="J1810" s="62">
        <f>SUMPRODUCT($C$1596:$V$1596,($C$231:$V$231=J$1703)*1,($C$6:$V$6="Praxis")*1)</f>
        <v/>
      </c>
    </row>
    <row r="1811">
      <c r="C1811" s="62">
        <f>SUMPRODUCT($C$1597:$V$1597,($C$232:$V$232=C$1703)*1,($C$6:$V$6="Praxis")*1)</f>
        <v/>
      </c>
      <c r="D1811" s="62">
        <f>SUMPRODUCT($C$1597:$V$1597,($C$232:$V$232=D$1703)*1,($C$6:$V$6="Praxis")*1)</f>
        <v/>
      </c>
      <c r="E1811" s="62">
        <f>SUMPRODUCT($C$1597:$V$1597,($C$232:$V$232=E$1703)*1,($C$6:$V$6="Praxis")*1)</f>
        <v/>
      </c>
      <c r="F1811" s="62">
        <f>SUMPRODUCT($C$1597:$V$1597,($C$232:$V$232=F$1703)*1,($C$6:$V$6="Praxis")*1)</f>
        <v/>
      </c>
      <c r="G1811" s="62">
        <f>SUMPRODUCT($C$1597:$V$1597,($C$232:$V$232=G$1703)*1,($C$6:$V$6="Praxis")*1)</f>
        <v/>
      </c>
      <c r="H1811" s="62">
        <f>SUMPRODUCT($C$1597:$V$1597,($C$232:$V$232=H$1703)*1,($C$6:$V$6="Praxis")*1)</f>
        <v/>
      </c>
      <c r="I1811" s="62">
        <f>SUMPRODUCT($C$1597:$V$1597,($C$232:$V$232=I$1703)*1,($C$6:$V$6="Praxis")*1)</f>
        <v/>
      </c>
      <c r="J1811" s="62">
        <f>SUMPRODUCT($C$1597:$V$1597,($C$232:$V$232=J$1703)*1,($C$6:$V$6="Praxis")*1)</f>
        <v/>
      </c>
    </row>
    <row r="1812">
      <c r="C1812" s="62">
        <f>SUMPRODUCT($C$1598:$V$1598,($C$233:$V$233=C$1703)*1,($C$6:$V$6="Praxis")*1)</f>
        <v/>
      </c>
      <c r="D1812" s="62">
        <f>SUMPRODUCT($C$1598:$V$1598,($C$233:$V$233=D$1703)*1,($C$6:$V$6="Praxis")*1)</f>
        <v/>
      </c>
      <c r="E1812" s="62">
        <f>SUMPRODUCT($C$1598:$V$1598,($C$233:$V$233=E$1703)*1,($C$6:$V$6="Praxis")*1)</f>
        <v/>
      </c>
      <c r="F1812" s="62">
        <f>SUMPRODUCT($C$1598:$V$1598,($C$233:$V$233=F$1703)*1,($C$6:$V$6="Praxis")*1)</f>
        <v/>
      </c>
      <c r="G1812" s="62">
        <f>SUMPRODUCT($C$1598:$V$1598,($C$233:$V$233=G$1703)*1,($C$6:$V$6="Praxis")*1)</f>
        <v/>
      </c>
      <c r="H1812" s="62">
        <f>SUMPRODUCT($C$1598:$V$1598,($C$233:$V$233=H$1703)*1,($C$6:$V$6="Praxis")*1)</f>
        <v/>
      </c>
      <c r="I1812" s="62">
        <f>SUMPRODUCT($C$1598:$V$1598,($C$233:$V$233=I$1703)*1,($C$6:$V$6="Praxis")*1)</f>
        <v/>
      </c>
      <c r="J1812" s="62">
        <f>SUMPRODUCT($C$1598:$V$1598,($C$233:$V$233=J$1703)*1,($C$6:$V$6="Praxis")*1)</f>
        <v/>
      </c>
    </row>
    <row r="1813">
      <c r="C1813" s="62">
        <f>SUMPRODUCT($C$1599:$V$1599,($C$234:$V$234=C$1703)*1,($C$6:$V$6="Praxis")*1)</f>
        <v/>
      </c>
      <c r="D1813" s="62">
        <f>SUMPRODUCT($C$1599:$V$1599,($C$234:$V$234=D$1703)*1,($C$6:$V$6="Praxis")*1)</f>
        <v/>
      </c>
      <c r="E1813" s="62">
        <f>SUMPRODUCT($C$1599:$V$1599,($C$234:$V$234=E$1703)*1,($C$6:$V$6="Praxis")*1)</f>
        <v/>
      </c>
      <c r="F1813" s="62">
        <f>SUMPRODUCT($C$1599:$V$1599,($C$234:$V$234=F$1703)*1,($C$6:$V$6="Praxis")*1)</f>
        <v/>
      </c>
      <c r="G1813" s="62">
        <f>SUMPRODUCT($C$1599:$V$1599,($C$234:$V$234=G$1703)*1,($C$6:$V$6="Praxis")*1)</f>
        <v/>
      </c>
      <c r="H1813" s="62">
        <f>SUMPRODUCT($C$1599:$V$1599,($C$234:$V$234=H$1703)*1,($C$6:$V$6="Praxis")*1)</f>
        <v/>
      </c>
      <c r="I1813" s="62">
        <f>SUMPRODUCT($C$1599:$V$1599,($C$234:$V$234=I$1703)*1,($C$6:$V$6="Praxis")*1)</f>
        <v/>
      </c>
      <c r="J1813" s="62">
        <f>SUMPRODUCT($C$1599:$V$1599,($C$234:$V$234=J$1703)*1,($C$6:$V$6="Praxis")*1)</f>
        <v/>
      </c>
    </row>
    <row r="1814">
      <c r="C1814" s="62">
        <f>SUMPRODUCT($C$1600:$V$1600,($C$235:$V$235=C$1703)*1,($C$6:$V$6="Praxis")*1)</f>
        <v/>
      </c>
      <c r="D1814" s="62">
        <f>SUMPRODUCT($C$1600:$V$1600,($C$235:$V$235=D$1703)*1,($C$6:$V$6="Praxis")*1)</f>
        <v/>
      </c>
      <c r="E1814" s="62">
        <f>SUMPRODUCT($C$1600:$V$1600,($C$235:$V$235=E$1703)*1,($C$6:$V$6="Praxis")*1)</f>
        <v/>
      </c>
      <c r="F1814" s="62">
        <f>SUMPRODUCT($C$1600:$V$1600,($C$235:$V$235=F$1703)*1,($C$6:$V$6="Praxis")*1)</f>
        <v/>
      </c>
      <c r="G1814" s="62">
        <f>SUMPRODUCT($C$1600:$V$1600,($C$235:$V$235=G$1703)*1,($C$6:$V$6="Praxis")*1)</f>
        <v/>
      </c>
      <c r="H1814" s="62">
        <f>SUMPRODUCT($C$1600:$V$1600,($C$235:$V$235=H$1703)*1,($C$6:$V$6="Praxis")*1)</f>
        <v/>
      </c>
      <c r="I1814" s="62">
        <f>SUMPRODUCT($C$1600:$V$1600,($C$235:$V$235=I$1703)*1,($C$6:$V$6="Praxis")*1)</f>
        <v/>
      </c>
      <c r="J1814" s="62">
        <f>SUMPRODUCT($C$1600:$V$1600,($C$235:$V$235=J$1703)*1,($C$6:$V$6="Praxis")*1)</f>
        <v/>
      </c>
    </row>
    <row r="1815">
      <c r="C1815" s="62">
        <f>SUMPRODUCT($C$1601:$V$1601,($C$236:$V$236=C$1703)*1,($C$6:$V$6="Praxis")*1)</f>
        <v/>
      </c>
      <c r="D1815" s="62">
        <f>SUMPRODUCT($C$1601:$V$1601,($C$236:$V$236=D$1703)*1,($C$6:$V$6="Praxis")*1)</f>
        <v/>
      </c>
      <c r="E1815" s="62">
        <f>SUMPRODUCT($C$1601:$V$1601,($C$236:$V$236=E$1703)*1,($C$6:$V$6="Praxis")*1)</f>
        <v/>
      </c>
      <c r="F1815" s="62">
        <f>SUMPRODUCT($C$1601:$V$1601,($C$236:$V$236=F$1703)*1,($C$6:$V$6="Praxis")*1)</f>
        <v/>
      </c>
      <c r="G1815" s="62">
        <f>SUMPRODUCT($C$1601:$V$1601,($C$236:$V$236=G$1703)*1,($C$6:$V$6="Praxis")*1)</f>
        <v/>
      </c>
      <c r="H1815" s="62">
        <f>SUMPRODUCT($C$1601:$V$1601,($C$236:$V$236=H$1703)*1,($C$6:$V$6="Praxis")*1)</f>
        <v/>
      </c>
      <c r="I1815" s="62">
        <f>SUMPRODUCT($C$1601:$V$1601,($C$236:$V$236=I$1703)*1,($C$6:$V$6="Praxis")*1)</f>
        <v/>
      </c>
      <c r="J1815" s="62">
        <f>SUMPRODUCT($C$1601:$V$1601,($C$236:$V$236=J$1703)*1,($C$6:$V$6="Praxis")*1)</f>
        <v/>
      </c>
    </row>
    <row r="1816">
      <c r="C1816" s="62">
        <f>SUMPRODUCT($C$1602:$V$1602,($C$237:$V$237=C$1703)*1,($C$6:$V$6="Praxis")*1)</f>
        <v/>
      </c>
      <c r="D1816" s="62">
        <f>SUMPRODUCT($C$1602:$V$1602,($C$237:$V$237=D$1703)*1,($C$6:$V$6="Praxis")*1)</f>
        <v/>
      </c>
      <c r="E1816" s="62">
        <f>SUMPRODUCT($C$1602:$V$1602,($C$237:$V$237=E$1703)*1,($C$6:$V$6="Praxis")*1)</f>
        <v/>
      </c>
      <c r="F1816" s="62">
        <f>SUMPRODUCT($C$1602:$V$1602,($C$237:$V$237=F$1703)*1,($C$6:$V$6="Praxis")*1)</f>
        <v/>
      </c>
      <c r="G1816" s="62">
        <f>SUMPRODUCT($C$1602:$V$1602,($C$237:$V$237=G$1703)*1,($C$6:$V$6="Praxis")*1)</f>
        <v/>
      </c>
      <c r="H1816" s="62">
        <f>SUMPRODUCT($C$1602:$V$1602,($C$237:$V$237=H$1703)*1,($C$6:$V$6="Praxis")*1)</f>
        <v/>
      </c>
      <c r="I1816" s="62">
        <f>SUMPRODUCT($C$1602:$V$1602,($C$237:$V$237=I$1703)*1,($C$6:$V$6="Praxis")*1)</f>
        <v/>
      </c>
      <c r="J1816" s="62">
        <f>SUMPRODUCT($C$1602:$V$1602,($C$237:$V$237=J$1703)*1,($C$6:$V$6="Praxis")*1)</f>
        <v/>
      </c>
    </row>
    <row r="1817">
      <c r="C1817" s="62">
        <f>SUMPRODUCT($C$1603:$V$1603,($C$238:$V$238=C$1703)*1,($C$6:$V$6="Praxis")*1)</f>
        <v/>
      </c>
      <c r="D1817" s="62">
        <f>SUMPRODUCT($C$1603:$V$1603,($C$238:$V$238=D$1703)*1,($C$6:$V$6="Praxis")*1)</f>
        <v/>
      </c>
      <c r="E1817" s="62">
        <f>SUMPRODUCT($C$1603:$V$1603,($C$238:$V$238=E$1703)*1,($C$6:$V$6="Praxis")*1)</f>
        <v/>
      </c>
      <c r="F1817" s="62">
        <f>SUMPRODUCT($C$1603:$V$1603,($C$238:$V$238=F$1703)*1,($C$6:$V$6="Praxis")*1)</f>
        <v/>
      </c>
      <c r="G1817" s="62">
        <f>SUMPRODUCT($C$1603:$V$1603,($C$238:$V$238=G$1703)*1,($C$6:$V$6="Praxis")*1)</f>
        <v/>
      </c>
      <c r="H1817" s="62">
        <f>SUMPRODUCT($C$1603:$V$1603,($C$238:$V$238=H$1703)*1,($C$6:$V$6="Praxis")*1)</f>
        <v/>
      </c>
      <c r="I1817" s="62">
        <f>SUMPRODUCT($C$1603:$V$1603,($C$238:$V$238=I$1703)*1,($C$6:$V$6="Praxis")*1)</f>
        <v/>
      </c>
      <c r="J1817" s="62">
        <f>SUMPRODUCT($C$1603:$V$1603,($C$238:$V$238=J$1703)*1,($C$6:$V$6="Praxis")*1)</f>
        <v/>
      </c>
    </row>
    <row r="1818">
      <c r="C1818" s="62">
        <f>SUMPRODUCT($C$1604:$V$1604,($C$239:$V$239=C$1703)*1,($C$6:$V$6="Praxis")*1)</f>
        <v/>
      </c>
      <c r="D1818" s="62">
        <f>SUMPRODUCT($C$1604:$V$1604,($C$239:$V$239=D$1703)*1,($C$6:$V$6="Praxis")*1)</f>
        <v/>
      </c>
      <c r="E1818" s="62">
        <f>SUMPRODUCT($C$1604:$V$1604,($C$239:$V$239=E$1703)*1,($C$6:$V$6="Praxis")*1)</f>
        <v/>
      </c>
      <c r="F1818" s="62">
        <f>SUMPRODUCT($C$1604:$V$1604,($C$239:$V$239=F$1703)*1,($C$6:$V$6="Praxis")*1)</f>
        <v/>
      </c>
      <c r="G1818" s="62">
        <f>SUMPRODUCT($C$1604:$V$1604,($C$239:$V$239=G$1703)*1,($C$6:$V$6="Praxis")*1)</f>
        <v/>
      </c>
      <c r="H1818" s="62">
        <f>SUMPRODUCT($C$1604:$V$1604,($C$239:$V$239=H$1703)*1,($C$6:$V$6="Praxis")*1)</f>
        <v/>
      </c>
      <c r="I1818" s="62">
        <f>SUMPRODUCT($C$1604:$V$1604,($C$239:$V$239=I$1703)*1,($C$6:$V$6="Praxis")*1)</f>
        <v/>
      </c>
      <c r="J1818" s="62">
        <f>SUMPRODUCT($C$1604:$V$1604,($C$239:$V$239=J$1703)*1,($C$6:$V$6="Praxis")*1)</f>
        <v/>
      </c>
    </row>
    <row r="1819">
      <c r="C1819" s="62">
        <f>SUMPRODUCT($C$1605:$V$1605,($C$240:$V$240=C$1703)*1,($C$6:$V$6="Praxis")*1)</f>
        <v/>
      </c>
      <c r="D1819" s="62">
        <f>SUMPRODUCT($C$1605:$V$1605,($C$240:$V$240=D$1703)*1,($C$6:$V$6="Praxis")*1)</f>
        <v/>
      </c>
      <c r="E1819" s="62">
        <f>SUMPRODUCT($C$1605:$V$1605,($C$240:$V$240=E$1703)*1,($C$6:$V$6="Praxis")*1)</f>
        <v/>
      </c>
      <c r="F1819" s="62">
        <f>SUMPRODUCT($C$1605:$V$1605,($C$240:$V$240=F$1703)*1,($C$6:$V$6="Praxis")*1)</f>
        <v/>
      </c>
      <c r="G1819" s="62">
        <f>SUMPRODUCT($C$1605:$V$1605,($C$240:$V$240=G$1703)*1,($C$6:$V$6="Praxis")*1)</f>
        <v/>
      </c>
      <c r="H1819" s="62">
        <f>SUMPRODUCT($C$1605:$V$1605,($C$240:$V$240=H$1703)*1,($C$6:$V$6="Praxis")*1)</f>
        <v/>
      </c>
      <c r="I1819" s="62">
        <f>SUMPRODUCT($C$1605:$V$1605,($C$240:$V$240=I$1703)*1,($C$6:$V$6="Praxis")*1)</f>
        <v/>
      </c>
      <c r="J1819" s="62">
        <f>SUMPRODUCT($C$1605:$V$1605,($C$240:$V$240=J$1703)*1,($C$6:$V$6="Praxis")*1)</f>
        <v/>
      </c>
    </row>
    <row r="1820">
      <c r="C1820" s="62">
        <f>SUMPRODUCT($C$1606:$V$1606,($C$241:$V$241=C$1703)*1,($C$6:$V$6="Praxis")*1)</f>
        <v/>
      </c>
      <c r="D1820" s="62">
        <f>SUMPRODUCT($C$1606:$V$1606,($C$241:$V$241=D$1703)*1,($C$6:$V$6="Praxis")*1)</f>
        <v/>
      </c>
      <c r="E1820" s="62">
        <f>SUMPRODUCT($C$1606:$V$1606,($C$241:$V$241=E$1703)*1,($C$6:$V$6="Praxis")*1)</f>
        <v/>
      </c>
      <c r="F1820" s="62">
        <f>SUMPRODUCT($C$1606:$V$1606,($C$241:$V$241=F$1703)*1,($C$6:$V$6="Praxis")*1)</f>
        <v/>
      </c>
      <c r="G1820" s="62">
        <f>SUMPRODUCT($C$1606:$V$1606,($C$241:$V$241=G$1703)*1,($C$6:$V$6="Praxis")*1)</f>
        <v/>
      </c>
      <c r="H1820" s="62">
        <f>SUMPRODUCT($C$1606:$V$1606,($C$241:$V$241=H$1703)*1,($C$6:$V$6="Praxis")*1)</f>
        <v/>
      </c>
      <c r="I1820" s="62">
        <f>SUMPRODUCT($C$1606:$V$1606,($C$241:$V$241=I$1703)*1,($C$6:$V$6="Praxis")*1)</f>
        <v/>
      </c>
      <c r="J1820" s="62">
        <f>SUMPRODUCT($C$1606:$V$1606,($C$241:$V$241=J$1703)*1,($C$6:$V$6="Praxis")*1)</f>
        <v/>
      </c>
    </row>
    <row r="1821">
      <c r="C1821" s="62">
        <f>SUMPRODUCT($C$1607:$V$1607,($C$242:$V$242=C$1703)*1,($C$6:$V$6="Praxis")*1)</f>
        <v/>
      </c>
      <c r="D1821" s="62">
        <f>SUMPRODUCT($C$1607:$V$1607,($C$242:$V$242=D$1703)*1,($C$6:$V$6="Praxis")*1)</f>
        <v/>
      </c>
      <c r="E1821" s="62">
        <f>SUMPRODUCT($C$1607:$V$1607,($C$242:$V$242=E$1703)*1,($C$6:$V$6="Praxis")*1)</f>
        <v/>
      </c>
      <c r="F1821" s="62">
        <f>SUMPRODUCT($C$1607:$V$1607,($C$242:$V$242=F$1703)*1,($C$6:$V$6="Praxis")*1)</f>
        <v/>
      </c>
      <c r="G1821" s="62">
        <f>SUMPRODUCT($C$1607:$V$1607,($C$242:$V$242=G$1703)*1,($C$6:$V$6="Praxis")*1)</f>
        <v/>
      </c>
      <c r="H1821" s="62">
        <f>SUMPRODUCT($C$1607:$V$1607,($C$242:$V$242=H$1703)*1,($C$6:$V$6="Praxis")*1)</f>
        <v/>
      </c>
      <c r="I1821" s="62">
        <f>SUMPRODUCT($C$1607:$V$1607,($C$242:$V$242=I$1703)*1,($C$6:$V$6="Praxis")*1)</f>
        <v/>
      </c>
      <c r="J1821" s="62">
        <f>SUMPRODUCT($C$1607:$V$1607,($C$242:$V$242=J$1703)*1,($C$6:$V$6="Praxis")*1)</f>
        <v/>
      </c>
    </row>
    <row r="1822">
      <c r="C1822" s="62">
        <f>SUMPRODUCT($C$1608:$V$1608,($C$243:$V$243=C$1703)*1,($C$6:$V$6="Praxis")*1)</f>
        <v/>
      </c>
      <c r="D1822" s="62">
        <f>SUMPRODUCT($C$1608:$V$1608,($C$243:$V$243=D$1703)*1,($C$6:$V$6="Praxis")*1)</f>
        <v/>
      </c>
      <c r="E1822" s="62">
        <f>SUMPRODUCT($C$1608:$V$1608,($C$243:$V$243=E$1703)*1,($C$6:$V$6="Praxis")*1)</f>
        <v/>
      </c>
      <c r="F1822" s="62">
        <f>SUMPRODUCT($C$1608:$V$1608,($C$243:$V$243=F$1703)*1,($C$6:$V$6="Praxis")*1)</f>
        <v/>
      </c>
      <c r="G1822" s="62">
        <f>SUMPRODUCT($C$1608:$V$1608,($C$243:$V$243=G$1703)*1,($C$6:$V$6="Praxis")*1)</f>
        <v/>
      </c>
      <c r="H1822" s="62">
        <f>SUMPRODUCT($C$1608:$V$1608,($C$243:$V$243=H$1703)*1,($C$6:$V$6="Praxis")*1)</f>
        <v/>
      </c>
      <c r="I1822" s="62">
        <f>SUMPRODUCT($C$1608:$V$1608,($C$243:$V$243=I$1703)*1,($C$6:$V$6="Praxis")*1)</f>
        <v/>
      </c>
      <c r="J1822" s="62">
        <f>SUMPRODUCT($C$1608:$V$1608,($C$243:$V$243=J$1703)*1,($C$6:$V$6="Praxis")*1)</f>
        <v/>
      </c>
    </row>
    <row r="1823">
      <c r="C1823" s="62">
        <f>SUMPRODUCT($C$1609:$V$1609,($C$244:$V$244=C$1703)*1,($C$6:$V$6="Praxis")*1)</f>
        <v/>
      </c>
      <c r="D1823" s="62">
        <f>SUMPRODUCT($C$1609:$V$1609,($C$244:$V$244=D$1703)*1,($C$6:$V$6="Praxis")*1)</f>
        <v/>
      </c>
      <c r="E1823" s="62">
        <f>SUMPRODUCT($C$1609:$V$1609,($C$244:$V$244=E$1703)*1,($C$6:$V$6="Praxis")*1)</f>
        <v/>
      </c>
      <c r="F1823" s="62">
        <f>SUMPRODUCT($C$1609:$V$1609,($C$244:$V$244=F$1703)*1,($C$6:$V$6="Praxis")*1)</f>
        <v/>
      </c>
      <c r="G1823" s="62">
        <f>SUMPRODUCT($C$1609:$V$1609,($C$244:$V$244=G$1703)*1,($C$6:$V$6="Praxis")*1)</f>
        <v/>
      </c>
      <c r="H1823" s="62">
        <f>SUMPRODUCT($C$1609:$V$1609,($C$244:$V$244=H$1703)*1,($C$6:$V$6="Praxis")*1)</f>
        <v/>
      </c>
      <c r="I1823" s="62">
        <f>SUMPRODUCT($C$1609:$V$1609,($C$244:$V$244=I$1703)*1,($C$6:$V$6="Praxis")*1)</f>
        <v/>
      </c>
      <c r="J1823" s="62">
        <f>SUMPRODUCT($C$1609:$V$1609,($C$244:$V$244=J$1703)*1,($C$6:$V$6="Praxis")*1)</f>
        <v/>
      </c>
    </row>
    <row r="1824">
      <c r="C1824" s="62">
        <f>SUMPRODUCT($C$1610:$V$1610,($C$245:$V$245=C$1703)*1,($C$6:$V$6="Praxis")*1)</f>
        <v/>
      </c>
      <c r="D1824" s="62">
        <f>SUMPRODUCT($C$1610:$V$1610,($C$245:$V$245=D$1703)*1,($C$6:$V$6="Praxis")*1)</f>
        <v/>
      </c>
      <c r="E1824" s="62">
        <f>SUMPRODUCT($C$1610:$V$1610,($C$245:$V$245=E$1703)*1,($C$6:$V$6="Praxis")*1)</f>
        <v/>
      </c>
      <c r="F1824" s="62">
        <f>SUMPRODUCT($C$1610:$V$1610,($C$245:$V$245=F$1703)*1,($C$6:$V$6="Praxis")*1)</f>
        <v/>
      </c>
      <c r="G1824" s="62">
        <f>SUMPRODUCT($C$1610:$V$1610,($C$245:$V$245=G$1703)*1,($C$6:$V$6="Praxis")*1)</f>
        <v/>
      </c>
      <c r="H1824" s="62">
        <f>SUMPRODUCT($C$1610:$V$1610,($C$245:$V$245=H$1703)*1,($C$6:$V$6="Praxis")*1)</f>
        <v/>
      </c>
      <c r="I1824" s="62">
        <f>SUMPRODUCT($C$1610:$V$1610,($C$245:$V$245=I$1703)*1,($C$6:$V$6="Praxis")*1)</f>
        <v/>
      </c>
      <c r="J1824" s="62">
        <f>SUMPRODUCT($C$1610:$V$1610,($C$245:$V$245=J$1703)*1,($C$6:$V$6="Praxis")*1)</f>
        <v/>
      </c>
    </row>
    <row r="1825">
      <c r="C1825" s="62">
        <f>SUMPRODUCT($C$1611:$V$1611,($C$246:$V$246=C$1703)*1,($C$6:$V$6="Praxis")*1)</f>
        <v/>
      </c>
      <c r="D1825" s="62">
        <f>SUMPRODUCT($C$1611:$V$1611,($C$246:$V$246=D$1703)*1,($C$6:$V$6="Praxis")*1)</f>
        <v/>
      </c>
      <c r="E1825" s="62">
        <f>SUMPRODUCT($C$1611:$V$1611,($C$246:$V$246=E$1703)*1,($C$6:$V$6="Praxis")*1)</f>
        <v/>
      </c>
      <c r="F1825" s="62">
        <f>SUMPRODUCT($C$1611:$V$1611,($C$246:$V$246=F$1703)*1,($C$6:$V$6="Praxis")*1)</f>
        <v/>
      </c>
      <c r="G1825" s="62">
        <f>SUMPRODUCT($C$1611:$V$1611,($C$246:$V$246=G$1703)*1,($C$6:$V$6="Praxis")*1)</f>
        <v/>
      </c>
      <c r="H1825" s="62">
        <f>SUMPRODUCT($C$1611:$V$1611,($C$246:$V$246=H$1703)*1,($C$6:$V$6="Praxis")*1)</f>
        <v/>
      </c>
      <c r="I1825" s="62">
        <f>SUMPRODUCT($C$1611:$V$1611,($C$246:$V$246=I$1703)*1,($C$6:$V$6="Praxis")*1)</f>
        <v/>
      </c>
      <c r="J1825" s="62">
        <f>SUMPRODUCT($C$1611:$V$1611,($C$246:$V$246=J$1703)*1,($C$6:$V$6="Praxis")*1)</f>
        <v/>
      </c>
    </row>
    <row r="1826">
      <c r="C1826" s="62">
        <f>SUMPRODUCT($C$1612:$V$1612,($C$247:$V$247=C$1703)*1,($C$6:$V$6="Praxis")*1)</f>
        <v/>
      </c>
      <c r="D1826" s="62">
        <f>SUMPRODUCT($C$1612:$V$1612,($C$247:$V$247=D$1703)*1,($C$6:$V$6="Praxis")*1)</f>
        <v/>
      </c>
      <c r="E1826" s="62">
        <f>SUMPRODUCT($C$1612:$V$1612,($C$247:$V$247=E$1703)*1,($C$6:$V$6="Praxis")*1)</f>
        <v/>
      </c>
      <c r="F1826" s="62">
        <f>SUMPRODUCT($C$1612:$V$1612,($C$247:$V$247=F$1703)*1,($C$6:$V$6="Praxis")*1)</f>
        <v/>
      </c>
      <c r="G1826" s="62">
        <f>SUMPRODUCT($C$1612:$V$1612,($C$247:$V$247=G$1703)*1,($C$6:$V$6="Praxis")*1)</f>
        <v/>
      </c>
      <c r="H1826" s="62">
        <f>SUMPRODUCT($C$1612:$V$1612,($C$247:$V$247=H$1703)*1,($C$6:$V$6="Praxis")*1)</f>
        <v/>
      </c>
      <c r="I1826" s="62">
        <f>SUMPRODUCT($C$1612:$V$1612,($C$247:$V$247=I$1703)*1,($C$6:$V$6="Praxis")*1)</f>
        <v/>
      </c>
      <c r="J1826" s="62">
        <f>SUMPRODUCT($C$1612:$V$1612,($C$247:$V$247=J$1703)*1,($C$6:$V$6="Praxis")*1)</f>
        <v/>
      </c>
    </row>
    <row r="1827">
      <c r="C1827" s="62">
        <f>SUMPRODUCT($C$1613:$V$1613,($C$248:$V$248=C$1703)*1,($C$6:$V$6="Praxis")*1)</f>
        <v/>
      </c>
      <c r="D1827" s="62">
        <f>SUMPRODUCT($C$1613:$V$1613,($C$248:$V$248=D$1703)*1,($C$6:$V$6="Praxis")*1)</f>
        <v/>
      </c>
      <c r="E1827" s="62">
        <f>SUMPRODUCT($C$1613:$V$1613,($C$248:$V$248=E$1703)*1,($C$6:$V$6="Praxis")*1)</f>
        <v/>
      </c>
      <c r="F1827" s="62">
        <f>SUMPRODUCT($C$1613:$V$1613,($C$248:$V$248=F$1703)*1,($C$6:$V$6="Praxis")*1)</f>
        <v/>
      </c>
      <c r="G1827" s="62">
        <f>SUMPRODUCT($C$1613:$V$1613,($C$248:$V$248=G$1703)*1,($C$6:$V$6="Praxis")*1)</f>
        <v/>
      </c>
      <c r="H1827" s="62">
        <f>SUMPRODUCT($C$1613:$V$1613,($C$248:$V$248=H$1703)*1,($C$6:$V$6="Praxis")*1)</f>
        <v/>
      </c>
      <c r="I1827" s="62">
        <f>SUMPRODUCT($C$1613:$V$1613,($C$248:$V$248=I$1703)*1,($C$6:$V$6="Praxis")*1)</f>
        <v/>
      </c>
      <c r="J1827" s="62">
        <f>SUMPRODUCT($C$1613:$V$1613,($C$248:$V$248=J$1703)*1,($C$6:$V$6="Praxis")*1)</f>
        <v/>
      </c>
    </row>
    <row r="1828">
      <c r="C1828" s="62">
        <f>SUMPRODUCT($C$1614:$V$1614,($C$249:$V$249=C$1703)*1,($C$6:$V$6="Praxis")*1)</f>
        <v/>
      </c>
      <c r="D1828" s="62">
        <f>SUMPRODUCT($C$1614:$V$1614,($C$249:$V$249=D$1703)*1,($C$6:$V$6="Praxis")*1)</f>
        <v/>
      </c>
      <c r="E1828" s="62">
        <f>SUMPRODUCT($C$1614:$V$1614,($C$249:$V$249=E$1703)*1,($C$6:$V$6="Praxis")*1)</f>
        <v/>
      </c>
      <c r="F1828" s="62">
        <f>SUMPRODUCT($C$1614:$V$1614,($C$249:$V$249=F$1703)*1,($C$6:$V$6="Praxis")*1)</f>
        <v/>
      </c>
      <c r="G1828" s="62">
        <f>SUMPRODUCT($C$1614:$V$1614,($C$249:$V$249=G$1703)*1,($C$6:$V$6="Praxis")*1)</f>
        <v/>
      </c>
      <c r="H1828" s="62">
        <f>SUMPRODUCT($C$1614:$V$1614,($C$249:$V$249=H$1703)*1,($C$6:$V$6="Praxis")*1)</f>
        <v/>
      </c>
      <c r="I1828" s="62">
        <f>SUMPRODUCT($C$1614:$V$1614,($C$249:$V$249=I$1703)*1,($C$6:$V$6="Praxis")*1)</f>
        <v/>
      </c>
      <c r="J1828" s="62">
        <f>SUMPRODUCT($C$1614:$V$1614,($C$249:$V$249=J$1703)*1,($C$6:$V$6="Praxis")*1)</f>
        <v/>
      </c>
    </row>
    <row r="1829">
      <c r="C1829" s="62">
        <f>SUMPRODUCT($C$1615:$V$1615,($C$250:$V$250=C$1703)*1,($C$6:$V$6="Praxis")*1)</f>
        <v/>
      </c>
      <c r="D1829" s="62">
        <f>SUMPRODUCT($C$1615:$V$1615,($C$250:$V$250=D$1703)*1,($C$6:$V$6="Praxis")*1)</f>
        <v/>
      </c>
      <c r="E1829" s="62">
        <f>SUMPRODUCT($C$1615:$V$1615,($C$250:$V$250=E$1703)*1,($C$6:$V$6="Praxis")*1)</f>
        <v/>
      </c>
      <c r="F1829" s="62">
        <f>SUMPRODUCT($C$1615:$V$1615,($C$250:$V$250=F$1703)*1,($C$6:$V$6="Praxis")*1)</f>
        <v/>
      </c>
      <c r="G1829" s="62">
        <f>SUMPRODUCT($C$1615:$V$1615,($C$250:$V$250=G$1703)*1,($C$6:$V$6="Praxis")*1)</f>
        <v/>
      </c>
      <c r="H1829" s="62">
        <f>SUMPRODUCT($C$1615:$V$1615,($C$250:$V$250=H$1703)*1,($C$6:$V$6="Praxis")*1)</f>
        <v/>
      </c>
      <c r="I1829" s="62">
        <f>SUMPRODUCT($C$1615:$V$1615,($C$250:$V$250=I$1703)*1,($C$6:$V$6="Praxis")*1)</f>
        <v/>
      </c>
      <c r="J1829" s="62">
        <f>SUMPRODUCT($C$1615:$V$1615,($C$250:$V$250=J$1703)*1,($C$6:$V$6="Praxis")*1)</f>
        <v/>
      </c>
    </row>
    <row r="1830">
      <c r="C1830" s="62">
        <f>SUMPRODUCT($C$1616:$V$1616,($C$251:$V$251=C$1703)*1,($C$6:$V$6="Praxis")*1)</f>
        <v/>
      </c>
      <c r="D1830" s="62">
        <f>SUMPRODUCT($C$1616:$V$1616,($C$251:$V$251=D$1703)*1,($C$6:$V$6="Praxis")*1)</f>
        <v/>
      </c>
      <c r="E1830" s="62">
        <f>SUMPRODUCT($C$1616:$V$1616,($C$251:$V$251=E$1703)*1,($C$6:$V$6="Praxis")*1)</f>
        <v/>
      </c>
      <c r="F1830" s="62">
        <f>SUMPRODUCT($C$1616:$V$1616,($C$251:$V$251=F$1703)*1,($C$6:$V$6="Praxis")*1)</f>
        <v/>
      </c>
      <c r="G1830" s="62">
        <f>SUMPRODUCT($C$1616:$V$1616,($C$251:$V$251=G$1703)*1,($C$6:$V$6="Praxis")*1)</f>
        <v/>
      </c>
      <c r="H1830" s="62">
        <f>SUMPRODUCT($C$1616:$V$1616,($C$251:$V$251=H$1703)*1,($C$6:$V$6="Praxis")*1)</f>
        <v/>
      </c>
      <c r="I1830" s="62">
        <f>SUMPRODUCT($C$1616:$V$1616,($C$251:$V$251=I$1703)*1,($C$6:$V$6="Praxis")*1)</f>
        <v/>
      </c>
      <c r="J1830" s="62">
        <f>SUMPRODUCT($C$1616:$V$1616,($C$251:$V$251=J$1703)*1,($C$6:$V$6="Praxis")*1)</f>
        <v/>
      </c>
    </row>
    <row r="1831">
      <c r="C1831" s="62">
        <f>SUMPRODUCT($C$1617:$V$1617,($C$252:$V$252=C$1703)*1,($C$6:$V$6="Praxis")*1)</f>
        <v/>
      </c>
      <c r="D1831" s="62">
        <f>SUMPRODUCT($C$1617:$V$1617,($C$252:$V$252=D$1703)*1,($C$6:$V$6="Praxis")*1)</f>
        <v/>
      </c>
      <c r="E1831" s="62">
        <f>SUMPRODUCT($C$1617:$V$1617,($C$252:$V$252=E$1703)*1,($C$6:$V$6="Praxis")*1)</f>
        <v/>
      </c>
      <c r="F1831" s="62">
        <f>SUMPRODUCT($C$1617:$V$1617,($C$252:$V$252=F$1703)*1,($C$6:$V$6="Praxis")*1)</f>
        <v/>
      </c>
      <c r="G1831" s="62">
        <f>SUMPRODUCT($C$1617:$V$1617,($C$252:$V$252=G$1703)*1,($C$6:$V$6="Praxis")*1)</f>
        <v/>
      </c>
      <c r="H1831" s="62">
        <f>SUMPRODUCT($C$1617:$V$1617,($C$252:$V$252=H$1703)*1,($C$6:$V$6="Praxis")*1)</f>
        <v/>
      </c>
      <c r="I1831" s="62">
        <f>SUMPRODUCT($C$1617:$V$1617,($C$252:$V$252=I$1703)*1,($C$6:$V$6="Praxis")*1)</f>
        <v/>
      </c>
      <c r="J1831" s="62">
        <f>SUMPRODUCT($C$1617:$V$1617,($C$252:$V$252=J$1703)*1,($C$6:$V$6="Praxis")*1)</f>
        <v/>
      </c>
    </row>
    <row r="1832">
      <c r="C1832" s="62">
        <f>SUMPRODUCT($C$1618:$V$1618,($C$253:$V$253=C$1703)*1,($C$6:$V$6="Praxis")*1)</f>
        <v/>
      </c>
      <c r="D1832" s="62">
        <f>SUMPRODUCT($C$1618:$V$1618,($C$253:$V$253=D$1703)*1,($C$6:$V$6="Praxis")*1)</f>
        <v/>
      </c>
      <c r="E1832" s="62">
        <f>SUMPRODUCT($C$1618:$V$1618,($C$253:$V$253=E$1703)*1,($C$6:$V$6="Praxis")*1)</f>
        <v/>
      </c>
      <c r="F1832" s="62">
        <f>SUMPRODUCT($C$1618:$V$1618,($C$253:$V$253=F$1703)*1,($C$6:$V$6="Praxis")*1)</f>
        <v/>
      </c>
      <c r="G1832" s="62">
        <f>SUMPRODUCT($C$1618:$V$1618,($C$253:$V$253=G$1703)*1,($C$6:$V$6="Praxis")*1)</f>
        <v/>
      </c>
      <c r="H1832" s="62">
        <f>SUMPRODUCT($C$1618:$V$1618,($C$253:$V$253=H$1703)*1,($C$6:$V$6="Praxis")*1)</f>
        <v/>
      </c>
      <c r="I1832" s="62">
        <f>SUMPRODUCT($C$1618:$V$1618,($C$253:$V$253=I$1703)*1,($C$6:$V$6="Praxis")*1)</f>
        <v/>
      </c>
      <c r="J1832" s="62">
        <f>SUMPRODUCT($C$1618:$V$1618,($C$253:$V$253=J$1703)*1,($C$6:$V$6="Praxis")*1)</f>
        <v/>
      </c>
    </row>
    <row r="1833">
      <c r="C1833" s="62">
        <f>SUMPRODUCT($C$1619:$V$1619,($C$254:$V$254=C$1703)*1,($C$6:$V$6="Praxis")*1)</f>
        <v/>
      </c>
      <c r="D1833" s="62">
        <f>SUMPRODUCT($C$1619:$V$1619,($C$254:$V$254=D$1703)*1,($C$6:$V$6="Praxis")*1)</f>
        <v/>
      </c>
      <c r="E1833" s="62">
        <f>SUMPRODUCT($C$1619:$V$1619,($C$254:$V$254=E$1703)*1,($C$6:$V$6="Praxis")*1)</f>
        <v/>
      </c>
      <c r="F1833" s="62">
        <f>SUMPRODUCT($C$1619:$V$1619,($C$254:$V$254=F$1703)*1,($C$6:$V$6="Praxis")*1)</f>
        <v/>
      </c>
      <c r="G1833" s="62">
        <f>SUMPRODUCT($C$1619:$V$1619,($C$254:$V$254=G$1703)*1,($C$6:$V$6="Praxis")*1)</f>
        <v/>
      </c>
      <c r="H1833" s="62">
        <f>SUMPRODUCT($C$1619:$V$1619,($C$254:$V$254=H$1703)*1,($C$6:$V$6="Praxis")*1)</f>
        <v/>
      </c>
      <c r="I1833" s="62">
        <f>SUMPRODUCT($C$1619:$V$1619,($C$254:$V$254=I$1703)*1,($C$6:$V$6="Praxis")*1)</f>
        <v/>
      </c>
      <c r="J1833" s="62">
        <f>SUMPRODUCT($C$1619:$V$1619,($C$254:$V$254=J$1703)*1,($C$6:$V$6="Praxis")*1)</f>
        <v/>
      </c>
    </row>
    <row r="1834">
      <c r="C1834" s="62">
        <f>SUMPRODUCT($C$1620:$V$1620,($C$255:$V$255=C$1703)*1,($C$6:$V$6="Praxis")*1)</f>
        <v/>
      </c>
      <c r="D1834" s="62">
        <f>SUMPRODUCT($C$1620:$V$1620,($C$255:$V$255=D$1703)*1,($C$6:$V$6="Praxis")*1)</f>
        <v/>
      </c>
      <c r="E1834" s="62">
        <f>SUMPRODUCT($C$1620:$V$1620,($C$255:$V$255=E$1703)*1,($C$6:$V$6="Praxis")*1)</f>
        <v/>
      </c>
      <c r="F1834" s="62">
        <f>SUMPRODUCT($C$1620:$V$1620,($C$255:$V$255=F$1703)*1,($C$6:$V$6="Praxis")*1)</f>
        <v/>
      </c>
      <c r="G1834" s="62">
        <f>SUMPRODUCT($C$1620:$V$1620,($C$255:$V$255=G$1703)*1,($C$6:$V$6="Praxis")*1)</f>
        <v/>
      </c>
      <c r="H1834" s="62">
        <f>SUMPRODUCT($C$1620:$V$1620,($C$255:$V$255=H$1703)*1,($C$6:$V$6="Praxis")*1)</f>
        <v/>
      </c>
      <c r="I1834" s="62">
        <f>SUMPRODUCT($C$1620:$V$1620,($C$255:$V$255=I$1703)*1,($C$6:$V$6="Praxis")*1)</f>
        <v/>
      </c>
      <c r="J1834" s="62">
        <f>SUMPRODUCT($C$1620:$V$1620,($C$255:$V$255=J$1703)*1,($C$6:$V$6="Praxis")*1)</f>
        <v/>
      </c>
    </row>
    <row r="1835">
      <c r="C1835" s="62">
        <f>SUMPRODUCT($C$1621:$V$1621,($C$256:$V$256=C$1703)*1,($C$6:$V$6="Praxis")*1)</f>
        <v/>
      </c>
      <c r="D1835" s="62">
        <f>SUMPRODUCT($C$1621:$V$1621,($C$256:$V$256=D$1703)*1,($C$6:$V$6="Praxis")*1)</f>
        <v/>
      </c>
      <c r="E1835" s="62">
        <f>SUMPRODUCT($C$1621:$V$1621,($C$256:$V$256=E$1703)*1,($C$6:$V$6="Praxis")*1)</f>
        <v/>
      </c>
      <c r="F1835" s="62">
        <f>SUMPRODUCT($C$1621:$V$1621,($C$256:$V$256=F$1703)*1,($C$6:$V$6="Praxis")*1)</f>
        <v/>
      </c>
      <c r="G1835" s="62">
        <f>SUMPRODUCT($C$1621:$V$1621,($C$256:$V$256=G$1703)*1,($C$6:$V$6="Praxis")*1)</f>
        <v/>
      </c>
      <c r="H1835" s="62">
        <f>SUMPRODUCT($C$1621:$V$1621,($C$256:$V$256=H$1703)*1,($C$6:$V$6="Praxis")*1)</f>
        <v/>
      </c>
      <c r="I1835" s="62">
        <f>SUMPRODUCT($C$1621:$V$1621,($C$256:$V$256=I$1703)*1,($C$6:$V$6="Praxis")*1)</f>
        <v/>
      </c>
      <c r="J1835" s="62">
        <f>SUMPRODUCT($C$1621:$V$1621,($C$256:$V$256=J$1703)*1,($C$6:$V$6="Praxis")*1)</f>
        <v/>
      </c>
    </row>
    <row r="1836">
      <c r="C1836" s="62">
        <f>SUMPRODUCT($C$1622:$V$1622,($C$257:$V$257=C$1703)*1,($C$6:$V$6="Praxis")*1)</f>
        <v/>
      </c>
      <c r="D1836" s="62">
        <f>SUMPRODUCT($C$1622:$V$1622,($C$257:$V$257=D$1703)*1,($C$6:$V$6="Praxis")*1)</f>
        <v/>
      </c>
      <c r="E1836" s="62">
        <f>SUMPRODUCT($C$1622:$V$1622,($C$257:$V$257=E$1703)*1,($C$6:$V$6="Praxis")*1)</f>
        <v/>
      </c>
      <c r="F1836" s="62">
        <f>SUMPRODUCT($C$1622:$V$1622,($C$257:$V$257=F$1703)*1,($C$6:$V$6="Praxis")*1)</f>
        <v/>
      </c>
      <c r="G1836" s="62">
        <f>SUMPRODUCT($C$1622:$V$1622,($C$257:$V$257=G$1703)*1,($C$6:$V$6="Praxis")*1)</f>
        <v/>
      </c>
      <c r="H1836" s="62">
        <f>SUMPRODUCT($C$1622:$V$1622,($C$257:$V$257=H$1703)*1,($C$6:$V$6="Praxis")*1)</f>
        <v/>
      </c>
      <c r="I1836" s="62">
        <f>SUMPRODUCT($C$1622:$V$1622,($C$257:$V$257=I$1703)*1,($C$6:$V$6="Praxis")*1)</f>
        <v/>
      </c>
      <c r="J1836" s="62">
        <f>SUMPRODUCT($C$1622:$V$1622,($C$257:$V$257=J$1703)*1,($C$6:$V$6="Praxis")*1)</f>
        <v/>
      </c>
    </row>
    <row r="1837">
      <c r="C1837" s="62">
        <f>SUMPRODUCT($C$1623:$V$1623,($C$258:$V$258=C$1703)*1,($C$6:$V$6="Praxis")*1)</f>
        <v/>
      </c>
      <c r="D1837" s="62">
        <f>SUMPRODUCT($C$1623:$V$1623,($C$258:$V$258=D$1703)*1,($C$6:$V$6="Praxis")*1)</f>
        <v/>
      </c>
      <c r="E1837" s="62">
        <f>SUMPRODUCT($C$1623:$V$1623,($C$258:$V$258=E$1703)*1,($C$6:$V$6="Praxis")*1)</f>
        <v/>
      </c>
      <c r="F1837" s="62">
        <f>SUMPRODUCT($C$1623:$V$1623,($C$258:$V$258=F$1703)*1,($C$6:$V$6="Praxis")*1)</f>
        <v/>
      </c>
      <c r="G1837" s="62">
        <f>SUMPRODUCT($C$1623:$V$1623,($C$258:$V$258=G$1703)*1,($C$6:$V$6="Praxis")*1)</f>
        <v/>
      </c>
      <c r="H1837" s="62">
        <f>SUMPRODUCT($C$1623:$V$1623,($C$258:$V$258=H$1703)*1,($C$6:$V$6="Praxis")*1)</f>
        <v/>
      </c>
      <c r="I1837" s="62">
        <f>SUMPRODUCT($C$1623:$V$1623,($C$258:$V$258=I$1703)*1,($C$6:$V$6="Praxis")*1)</f>
        <v/>
      </c>
      <c r="J1837" s="62">
        <f>SUMPRODUCT($C$1623:$V$1623,($C$258:$V$258=J$1703)*1,($C$6:$V$6="Praxis")*1)</f>
        <v/>
      </c>
    </row>
    <row r="1838">
      <c r="C1838" s="62">
        <f>SUMPRODUCT($C$1624:$V$1624,($C$259:$V$259=C$1703)*1,($C$6:$V$6="Praxis")*1)</f>
        <v/>
      </c>
      <c r="D1838" s="62">
        <f>SUMPRODUCT($C$1624:$V$1624,($C$259:$V$259=D$1703)*1,($C$6:$V$6="Praxis")*1)</f>
        <v/>
      </c>
      <c r="E1838" s="62">
        <f>SUMPRODUCT($C$1624:$V$1624,($C$259:$V$259=E$1703)*1,($C$6:$V$6="Praxis")*1)</f>
        <v/>
      </c>
      <c r="F1838" s="62">
        <f>SUMPRODUCT($C$1624:$V$1624,($C$259:$V$259=F$1703)*1,($C$6:$V$6="Praxis")*1)</f>
        <v/>
      </c>
      <c r="G1838" s="62">
        <f>SUMPRODUCT($C$1624:$V$1624,($C$259:$V$259=G$1703)*1,($C$6:$V$6="Praxis")*1)</f>
        <v/>
      </c>
      <c r="H1838" s="62">
        <f>SUMPRODUCT($C$1624:$V$1624,($C$259:$V$259=H$1703)*1,($C$6:$V$6="Praxis")*1)</f>
        <v/>
      </c>
      <c r="I1838" s="62">
        <f>SUMPRODUCT($C$1624:$V$1624,($C$259:$V$259=I$1703)*1,($C$6:$V$6="Praxis")*1)</f>
        <v/>
      </c>
      <c r="J1838" s="62">
        <f>SUMPRODUCT($C$1624:$V$1624,($C$259:$V$259=J$1703)*1,($C$6:$V$6="Praxis")*1)</f>
        <v/>
      </c>
    </row>
    <row r="1839">
      <c r="C1839" s="62">
        <f>SUMPRODUCT($C$1625:$V$1625,($C$260:$V$260=C$1703)*1,($C$6:$V$6="Praxis")*1)</f>
        <v/>
      </c>
      <c r="D1839" s="62">
        <f>SUMPRODUCT($C$1625:$V$1625,($C$260:$V$260=D$1703)*1,($C$6:$V$6="Praxis")*1)</f>
        <v/>
      </c>
      <c r="E1839" s="62">
        <f>SUMPRODUCT($C$1625:$V$1625,($C$260:$V$260=E$1703)*1,($C$6:$V$6="Praxis")*1)</f>
        <v/>
      </c>
      <c r="F1839" s="62">
        <f>SUMPRODUCT($C$1625:$V$1625,($C$260:$V$260=F$1703)*1,($C$6:$V$6="Praxis")*1)</f>
        <v/>
      </c>
      <c r="G1839" s="62">
        <f>SUMPRODUCT($C$1625:$V$1625,($C$260:$V$260=G$1703)*1,($C$6:$V$6="Praxis")*1)</f>
        <v/>
      </c>
      <c r="H1839" s="62">
        <f>SUMPRODUCT($C$1625:$V$1625,($C$260:$V$260=H$1703)*1,($C$6:$V$6="Praxis")*1)</f>
        <v/>
      </c>
      <c r="I1839" s="62">
        <f>SUMPRODUCT($C$1625:$V$1625,($C$260:$V$260=I$1703)*1,($C$6:$V$6="Praxis")*1)</f>
        <v/>
      </c>
      <c r="J1839" s="62">
        <f>SUMPRODUCT($C$1625:$V$1625,($C$260:$V$260=J$1703)*1,($C$6:$V$6="Praxis")*1)</f>
        <v/>
      </c>
    </row>
    <row r="1840">
      <c r="C1840" s="62">
        <f>SUMPRODUCT($C$1626:$V$1626,($C$261:$V$261=C$1703)*1,($C$6:$V$6="Praxis")*1)</f>
        <v/>
      </c>
      <c r="D1840" s="62">
        <f>SUMPRODUCT($C$1626:$V$1626,($C$261:$V$261=D$1703)*1,($C$6:$V$6="Praxis")*1)</f>
        <v/>
      </c>
      <c r="E1840" s="62">
        <f>SUMPRODUCT($C$1626:$V$1626,($C$261:$V$261=E$1703)*1,($C$6:$V$6="Praxis")*1)</f>
        <v/>
      </c>
      <c r="F1840" s="62">
        <f>SUMPRODUCT($C$1626:$V$1626,($C$261:$V$261=F$1703)*1,($C$6:$V$6="Praxis")*1)</f>
        <v/>
      </c>
      <c r="G1840" s="62">
        <f>SUMPRODUCT($C$1626:$V$1626,($C$261:$V$261=G$1703)*1,($C$6:$V$6="Praxis")*1)</f>
        <v/>
      </c>
      <c r="H1840" s="62">
        <f>SUMPRODUCT($C$1626:$V$1626,($C$261:$V$261=H$1703)*1,($C$6:$V$6="Praxis")*1)</f>
        <v/>
      </c>
      <c r="I1840" s="62">
        <f>SUMPRODUCT($C$1626:$V$1626,($C$261:$V$261=I$1703)*1,($C$6:$V$6="Praxis")*1)</f>
        <v/>
      </c>
      <c r="J1840" s="62">
        <f>SUMPRODUCT($C$1626:$V$1626,($C$261:$V$261=J$1703)*1,($C$6:$V$6="Praxis")*1)</f>
        <v/>
      </c>
    </row>
    <row r="1841">
      <c r="C1841" s="62">
        <f>SUMPRODUCT($C$1627:$V$1627,($C$262:$V$262=C$1703)*1,($C$6:$V$6="Praxis")*1)</f>
        <v/>
      </c>
      <c r="D1841" s="62">
        <f>SUMPRODUCT($C$1627:$V$1627,($C$262:$V$262=D$1703)*1,($C$6:$V$6="Praxis")*1)</f>
        <v/>
      </c>
      <c r="E1841" s="62">
        <f>SUMPRODUCT($C$1627:$V$1627,($C$262:$V$262=E$1703)*1,($C$6:$V$6="Praxis")*1)</f>
        <v/>
      </c>
      <c r="F1841" s="62">
        <f>SUMPRODUCT($C$1627:$V$1627,($C$262:$V$262=F$1703)*1,($C$6:$V$6="Praxis")*1)</f>
        <v/>
      </c>
      <c r="G1841" s="62">
        <f>SUMPRODUCT($C$1627:$V$1627,($C$262:$V$262=G$1703)*1,($C$6:$V$6="Praxis")*1)</f>
        <v/>
      </c>
      <c r="H1841" s="62">
        <f>SUMPRODUCT($C$1627:$V$1627,($C$262:$V$262=H$1703)*1,($C$6:$V$6="Praxis")*1)</f>
        <v/>
      </c>
      <c r="I1841" s="62">
        <f>SUMPRODUCT($C$1627:$V$1627,($C$262:$V$262=I$1703)*1,($C$6:$V$6="Praxis")*1)</f>
        <v/>
      </c>
      <c r="J1841" s="62">
        <f>SUMPRODUCT($C$1627:$V$1627,($C$262:$V$262=J$1703)*1,($C$6:$V$6="Praxis")*1)</f>
        <v/>
      </c>
    </row>
    <row r="1842">
      <c r="C1842" s="62">
        <f>SUMPRODUCT($C$1628:$V$1628,($C$263:$V$263=C$1703)*1,($C$6:$V$6="Praxis")*1)</f>
        <v/>
      </c>
      <c r="D1842" s="62">
        <f>SUMPRODUCT($C$1628:$V$1628,($C$263:$V$263=D$1703)*1,($C$6:$V$6="Praxis")*1)</f>
        <v/>
      </c>
      <c r="E1842" s="62">
        <f>SUMPRODUCT($C$1628:$V$1628,($C$263:$V$263=E$1703)*1,($C$6:$V$6="Praxis")*1)</f>
        <v/>
      </c>
      <c r="F1842" s="62">
        <f>SUMPRODUCT($C$1628:$V$1628,($C$263:$V$263=F$1703)*1,($C$6:$V$6="Praxis")*1)</f>
        <v/>
      </c>
      <c r="G1842" s="62">
        <f>SUMPRODUCT($C$1628:$V$1628,($C$263:$V$263=G$1703)*1,($C$6:$V$6="Praxis")*1)</f>
        <v/>
      </c>
      <c r="H1842" s="62">
        <f>SUMPRODUCT($C$1628:$V$1628,($C$263:$V$263=H$1703)*1,($C$6:$V$6="Praxis")*1)</f>
        <v/>
      </c>
      <c r="I1842" s="62">
        <f>SUMPRODUCT($C$1628:$V$1628,($C$263:$V$263=I$1703)*1,($C$6:$V$6="Praxis")*1)</f>
        <v/>
      </c>
      <c r="J1842" s="62">
        <f>SUMPRODUCT($C$1628:$V$1628,($C$263:$V$263=J$1703)*1,($C$6:$V$6="Praxis")*1)</f>
        <v/>
      </c>
    </row>
    <row r="1843">
      <c r="C1843" s="62">
        <f>SUMPRODUCT($C$1629:$V$1629,($C$264:$V$264=C$1703)*1,($C$6:$V$6="Praxis")*1)</f>
        <v/>
      </c>
      <c r="D1843" s="62">
        <f>SUMPRODUCT($C$1629:$V$1629,($C$264:$V$264=D$1703)*1,($C$6:$V$6="Praxis")*1)</f>
        <v/>
      </c>
      <c r="E1843" s="62">
        <f>SUMPRODUCT($C$1629:$V$1629,($C$264:$V$264=E$1703)*1,($C$6:$V$6="Praxis")*1)</f>
        <v/>
      </c>
      <c r="F1843" s="62">
        <f>SUMPRODUCT($C$1629:$V$1629,($C$264:$V$264=F$1703)*1,($C$6:$V$6="Praxis")*1)</f>
        <v/>
      </c>
      <c r="G1843" s="62">
        <f>SUMPRODUCT($C$1629:$V$1629,($C$264:$V$264=G$1703)*1,($C$6:$V$6="Praxis")*1)</f>
        <v/>
      </c>
      <c r="H1843" s="62">
        <f>SUMPRODUCT($C$1629:$V$1629,($C$264:$V$264=H$1703)*1,($C$6:$V$6="Praxis")*1)</f>
        <v/>
      </c>
      <c r="I1843" s="62">
        <f>SUMPRODUCT($C$1629:$V$1629,($C$264:$V$264=I$1703)*1,($C$6:$V$6="Praxis")*1)</f>
        <v/>
      </c>
      <c r="J1843" s="62">
        <f>SUMPRODUCT($C$1629:$V$1629,($C$264:$V$264=J$1703)*1,($C$6:$V$6="Praxis")*1)</f>
        <v/>
      </c>
    </row>
    <row r="1844">
      <c r="C1844" s="62">
        <f>SUMPRODUCT($C$1630:$V$1630,($C$265:$V$265=C$1703)*1,($C$6:$V$6="Praxis")*1)</f>
        <v/>
      </c>
      <c r="D1844" s="62">
        <f>SUMPRODUCT($C$1630:$V$1630,($C$265:$V$265=D$1703)*1,($C$6:$V$6="Praxis")*1)</f>
        <v/>
      </c>
      <c r="E1844" s="62">
        <f>SUMPRODUCT($C$1630:$V$1630,($C$265:$V$265=E$1703)*1,($C$6:$V$6="Praxis")*1)</f>
        <v/>
      </c>
      <c r="F1844" s="62">
        <f>SUMPRODUCT($C$1630:$V$1630,($C$265:$V$265=F$1703)*1,($C$6:$V$6="Praxis")*1)</f>
        <v/>
      </c>
      <c r="G1844" s="62">
        <f>SUMPRODUCT($C$1630:$V$1630,($C$265:$V$265=G$1703)*1,($C$6:$V$6="Praxis")*1)</f>
        <v/>
      </c>
      <c r="H1844" s="62">
        <f>SUMPRODUCT($C$1630:$V$1630,($C$265:$V$265=H$1703)*1,($C$6:$V$6="Praxis")*1)</f>
        <v/>
      </c>
      <c r="I1844" s="62">
        <f>SUMPRODUCT($C$1630:$V$1630,($C$265:$V$265=I$1703)*1,($C$6:$V$6="Praxis")*1)</f>
        <v/>
      </c>
      <c r="J1844" s="62">
        <f>SUMPRODUCT($C$1630:$V$1630,($C$265:$V$265=J$1703)*1,($C$6:$V$6="Praxis")*1)</f>
        <v/>
      </c>
    </row>
    <row r="1845">
      <c r="C1845" s="62">
        <f>SUMPRODUCT($C$1631:$V$1631,($C$266:$V$266=C$1703)*1,($C$6:$V$6="Praxis")*1)</f>
        <v/>
      </c>
      <c r="D1845" s="62">
        <f>SUMPRODUCT($C$1631:$V$1631,($C$266:$V$266=D$1703)*1,($C$6:$V$6="Praxis")*1)</f>
        <v/>
      </c>
      <c r="E1845" s="62">
        <f>SUMPRODUCT($C$1631:$V$1631,($C$266:$V$266=E$1703)*1,($C$6:$V$6="Praxis")*1)</f>
        <v/>
      </c>
      <c r="F1845" s="62">
        <f>SUMPRODUCT($C$1631:$V$1631,($C$266:$V$266=F$1703)*1,($C$6:$V$6="Praxis")*1)</f>
        <v/>
      </c>
      <c r="G1845" s="62">
        <f>SUMPRODUCT($C$1631:$V$1631,($C$266:$V$266=G$1703)*1,($C$6:$V$6="Praxis")*1)</f>
        <v/>
      </c>
      <c r="H1845" s="62">
        <f>SUMPRODUCT($C$1631:$V$1631,($C$266:$V$266=H$1703)*1,($C$6:$V$6="Praxis")*1)</f>
        <v/>
      </c>
      <c r="I1845" s="62">
        <f>SUMPRODUCT($C$1631:$V$1631,($C$266:$V$266=I$1703)*1,($C$6:$V$6="Praxis")*1)</f>
        <v/>
      </c>
      <c r="J1845" s="62">
        <f>SUMPRODUCT($C$1631:$V$1631,($C$266:$V$266=J$1703)*1,($C$6:$V$6="Praxis")*1)</f>
        <v/>
      </c>
    </row>
    <row r="1846">
      <c r="C1846" s="62">
        <f>SUMPRODUCT($C$1632:$V$1632,($C$267:$V$267=C$1703)*1,($C$6:$V$6="Praxis")*1)</f>
        <v/>
      </c>
      <c r="D1846" s="62">
        <f>SUMPRODUCT($C$1632:$V$1632,($C$267:$V$267=D$1703)*1,($C$6:$V$6="Praxis")*1)</f>
        <v/>
      </c>
      <c r="E1846" s="62">
        <f>SUMPRODUCT($C$1632:$V$1632,($C$267:$V$267=E$1703)*1,($C$6:$V$6="Praxis")*1)</f>
        <v/>
      </c>
      <c r="F1846" s="62">
        <f>SUMPRODUCT($C$1632:$V$1632,($C$267:$V$267=F$1703)*1,($C$6:$V$6="Praxis")*1)</f>
        <v/>
      </c>
      <c r="G1846" s="62">
        <f>SUMPRODUCT($C$1632:$V$1632,($C$267:$V$267=G$1703)*1,($C$6:$V$6="Praxis")*1)</f>
        <v/>
      </c>
      <c r="H1846" s="62">
        <f>SUMPRODUCT($C$1632:$V$1632,($C$267:$V$267=H$1703)*1,($C$6:$V$6="Praxis")*1)</f>
        <v/>
      </c>
      <c r="I1846" s="62">
        <f>SUMPRODUCT($C$1632:$V$1632,($C$267:$V$267=I$1703)*1,($C$6:$V$6="Praxis")*1)</f>
        <v/>
      </c>
      <c r="J1846" s="62">
        <f>SUMPRODUCT($C$1632:$V$1632,($C$267:$V$267=J$1703)*1,($C$6:$V$6="Praxis")*1)</f>
        <v/>
      </c>
    </row>
    <row r="1847">
      <c r="C1847" s="62">
        <f>SUMPRODUCT($C$1633:$V$1633,($C$268:$V$268=C$1703)*1,($C$6:$V$6="Praxis")*1)</f>
        <v/>
      </c>
      <c r="D1847" s="62">
        <f>SUMPRODUCT($C$1633:$V$1633,($C$268:$V$268=D$1703)*1,($C$6:$V$6="Praxis")*1)</f>
        <v/>
      </c>
      <c r="E1847" s="62">
        <f>SUMPRODUCT($C$1633:$V$1633,($C$268:$V$268=E$1703)*1,($C$6:$V$6="Praxis")*1)</f>
        <v/>
      </c>
      <c r="F1847" s="62">
        <f>SUMPRODUCT($C$1633:$V$1633,($C$268:$V$268=F$1703)*1,($C$6:$V$6="Praxis")*1)</f>
        <v/>
      </c>
      <c r="G1847" s="62">
        <f>SUMPRODUCT($C$1633:$V$1633,($C$268:$V$268=G$1703)*1,($C$6:$V$6="Praxis")*1)</f>
        <v/>
      </c>
      <c r="H1847" s="62">
        <f>SUMPRODUCT($C$1633:$V$1633,($C$268:$V$268=H$1703)*1,($C$6:$V$6="Praxis")*1)</f>
        <v/>
      </c>
      <c r="I1847" s="62">
        <f>SUMPRODUCT($C$1633:$V$1633,($C$268:$V$268=I$1703)*1,($C$6:$V$6="Praxis")*1)</f>
        <v/>
      </c>
      <c r="J1847" s="62">
        <f>SUMPRODUCT($C$1633:$V$1633,($C$268:$V$268=J$1703)*1,($C$6:$V$6="Praxis")*1)</f>
        <v/>
      </c>
    </row>
    <row r="1848">
      <c r="C1848" s="62">
        <f>SUMPRODUCT($C$1634:$V$1634,($C$269:$V$269=C$1703)*1,($C$6:$V$6="Praxis")*1)</f>
        <v/>
      </c>
      <c r="D1848" s="62">
        <f>SUMPRODUCT($C$1634:$V$1634,($C$269:$V$269=D$1703)*1,($C$6:$V$6="Praxis")*1)</f>
        <v/>
      </c>
      <c r="E1848" s="62">
        <f>SUMPRODUCT($C$1634:$V$1634,($C$269:$V$269=E$1703)*1,($C$6:$V$6="Praxis")*1)</f>
        <v/>
      </c>
      <c r="F1848" s="62">
        <f>SUMPRODUCT($C$1634:$V$1634,($C$269:$V$269=F$1703)*1,($C$6:$V$6="Praxis")*1)</f>
        <v/>
      </c>
      <c r="G1848" s="62">
        <f>SUMPRODUCT($C$1634:$V$1634,($C$269:$V$269=G$1703)*1,($C$6:$V$6="Praxis")*1)</f>
        <v/>
      </c>
      <c r="H1848" s="62">
        <f>SUMPRODUCT($C$1634:$V$1634,($C$269:$V$269=H$1703)*1,($C$6:$V$6="Praxis")*1)</f>
        <v/>
      </c>
      <c r="I1848" s="62">
        <f>SUMPRODUCT($C$1634:$V$1634,($C$269:$V$269=I$1703)*1,($C$6:$V$6="Praxis")*1)</f>
        <v/>
      </c>
      <c r="J1848" s="62">
        <f>SUMPRODUCT($C$1634:$V$1634,($C$269:$V$269=J$1703)*1,($C$6:$V$6="Praxis")*1)</f>
        <v/>
      </c>
    </row>
    <row r="1849">
      <c r="C1849" s="62">
        <f>SUMPRODUCT($C$1635:$V$1635,($C$270:$V$270=C$1703)*1,($C$6:$V$6="Praxis")*1)</f>
        <v/>
      </c>
      <c r="D1849" s="62">
        <f>SUMPRODUCT($C$1635:$V$1635,($C$270:$V$270=D$1703)*1,($C$6:$V$6="Praxis")*1)</f>
        <v/>
      </c>
      <c r="E1849" s="62">
        <f>SUMPRODUCT($C$1635:$V$1635,($C$270:$V$270=E$1703)*1,($C$6:$V$6="Praxis")*1)</f>
        <v/>
      </c>
      <c r="F1849" s="62">
        <f>SUMPRODUCT($C$1635:$V$1635,($C$270:$V$270=F$1703)*1,($C$6:$V$6="Praxis")*1)</f>
        <v/>
      </c>
      <c r="G1849" s="62">
        <f>SUMPRODUCT($C$1635:$V$1635,($C$270:$V$270=G$1703)*1,($C$6:$V$6="Praxis")*1)</f>
        <v/>
      </c>
      <c r="H1849" s="62">
        <f>SUMPRODUCT($C$1635:$V$1635,($C$270:$V$270=H$1703)*1,($C$6:$V$6="Praxis")*1)</f>
        <v/>
      </c>
      <c r="I1849" s="62">
        <f>SUMPRODUCT($C$1635:$V$1635,($C$270:$V$270=I$1703)*1,($C$6:$V$6="Praxis")*1)</f>
        <v/>
      </c>
      <c r="J1849" s="62">
        <f>SUMPRODUCT($C$1635:$V$1635,($C$270:$V$270=J$1703)*1,($C$6:$V$6="Praxis")*1)</f>
        <v/>
      </c>
    </row>
    <row r="1850">
      <c r="C1850" s="62">
        <f>SUMPRODUCT($C$1636:$V$1636,($C$271:$V$271=C$1703)*1,($C$6:$V$6="Praxis")*1)</f>
        <v/>
      </c>
      <c r="D1850" s="62">
        <f>SUMPRODUCT($C$1636:$V$1636,($C$271:$V$271=D$1703)*1,($C$6:$V$6="Praxis")*1)</f>
        <v/>
      </c>
      <c r="E1850" s="62">
        <f>SUMPRODUCT($C$1636:$V$1636,($C$271:$V$271=E$1703)*1,($C$6:$V$6="Praxis")*1)</f>
        <v/>
      </c>
      <c r="F1850" s="62">
        <f>SUMPRODUCT($C$1636:$V$1636,($C$271:$V$271=F$1703)*1,($C$6:$V$6="Praxis")*1)</f>
        <v/>
      </c>
      <c r="G1850" s="62">
        <f>SUMPRODUCT($C$1636:$V$1636,($C$271:$V$271=G$1703)*1,($C$6:$V$6="Praxis")*1)</f>
        <v/>
      </c>
      <c r="H1850" s="62">
        <f>SUMPRODUCT($C$1636:$V$1636,($C$271:$V$271=H$1703)*1,($C$6:$V$6="Praxis")*1)</f>
        <v/>
      </c>
      <c r="I1850" s="62">
        <f>SUMPRODUCT($C$1636:$V$1636,($C$271:$V$271=I$1703)*1,($C$6:$V$6="Praxis")*1)</f>
        <v/>
      </c>
      <c r="J1850" s="62">
        <f>SUMPRODUCT($C$1636:$V$1636,($C$271:$V$271=J$1703)*1,($C$6:$V$6="Praxis")*1)</f>
        <v/>
      </c>
    </row>
    <row r="1851">
      <c r="C1851" s="62">
        <f>SUMPRODUCT($C$1637:$V$1637,($C$272:$V$272=C$1703)*1,($C$6:$V$6="Praxis")*1)</f>
        <v/>
      </c>
      <c r="D1851" s="62">
        <f>SUMPRODUCT($C$1637:$V$1637,($C$272:$V$272=D$1703)*1,($C$6:$V$6="Praxis")*1)</f>
        <v/>
      </c>
      <c r="E1851" s="62">
        <f>SUMPRODUCT($C$1637:$V$1637,($C$272:$V$272=E$1703)*1,($C$6:$V$6="Praxis")*1)</f>
        <v/>
      </c>
      <c r="F1851" s="62">
        <f>SUMPRODUCT($C$1637:$V$1637,($C$272:$V$272=F$1703)*1,($C$6:$V$6="Praxis")*1)</f>
        <v/>
      </c>
      <c r="G1851" s="62">
        <f>SUMPRODUCT($C$1637:$V$1637,($C$272:$V$272=G$1703)*1,($C$6:$V$6="Praxis")*1)</f>
        <v/>
      </c>
      <c r="H1851" s="62">
        <f>SUMPRODUCT($C$1637:$V$1637,($C$272:$V$272=H$1703)*1,($C$6:$V$6="Praxis")*1)</f>
        <v/>
      </c>
      <c r="I1851" s="62">
        <f>SUMPRODUCT($C$1637:$V$1637,($C$272:$V$272=I$1703)*1,($C$6:$V$6="Praxis")*1)</f>
        <v/>
      </c>
      <c r="J1851" s="62">
        <f>SUMPRODUCT($C$1637:$V$1637,($C$272:$V$272=J$1703)*1,($C$6:$V$6="Praxis")*1)</f>
        <v/>
      </c>
    </row>
    <row r="1852">
      <c r="C1852" s="62">
        <f>SUMPRODUCT($C$1638:$V$1638,($C$273:$V$273=C$1703)*1,($C$6:$V$6="Praxis")*1)</f>
        <v/>
      </c>
      <c r="D1852" s="62">
        <f>SUMPRODUCT($C$1638:$V$1638,($C$273:$V$273=D$1703)*1,($C$6:$V$6="Praxis")*1)</f>
        <v/>
      </c>
      <c r="E1852" s="62">
        <f>SUMPRODUCT($C$1638:$V$1638,($C$273:$V$273=E$1703)*1,($C$6:$V$6="Praxis")*1)</f>
        <v/>
      </c>
      <c r="F1852" s="62">
        <f>SUMPRODUCT($C$1638:$V$1638,($C$273:$V$273=F$1703)*1,($C$6:$V$6="Praxis")*1)</f>
        <v/>
      </c>
      <c r="G1852" s="62">
        <f>SUMPRODUCT($C$1638:$V$1638,($C$273:$V$273=G$1703)*1,($C$6:$V$6="Praxis")*1)</f>
        <v/>
      </c>
      <c r="H1852" s="62">
        <f>SUMPRODUCT($C$1638:$V$1638,($C$273:$V$273=H$1703)*1,($C$6:$V$6="Praxis")*1)</f>
        <v/>
      </c>
      <c r="I1852" s="62">
        <f>SUMPRODUCT($C$1638:$V$1638,($C$273:$V$273=I$1703)*1,($C$6:$V$6="Praxis")*1)</f>
        <v/>
      </c>
      <c r="J1852" s="62">
        <f>SUMPRODUCT($C$1638:$V$1638,($C$273:$V$273=J$1703)*1,($C$6:$V$6="Praxis")*1)</f>
        <v/>
      </c>
    </row>
    <row r="1853">
      <c r="C1853" s="62">
        <f>SUMPRODUCT($C$1639:$V$1639,($C$274:$V$274=C$1703)*1,($C$6:$V$6="Praxis")*1)</f>
        <v/>
      </c>
      <c r="D1853" s="62">
        <f>SUMPRODUCT($C$1639:$V$1639,($C$274:$V$274=D$1703)*1,($C$6:$V$6="Praxis")*1)</f>
        <v/>
      </c>
      <c r="E1853" s="62">
        <f>SUMPRODUCT($C$1639:$V$1639,($C$274:$V$274=E$1703)*1,($C$6:$V$6="Praxis")*1)</f>
        <v/>
      </c>
      <c r="F1853" s="62">
        <f>SUMPRODUCT($C$1639:$V$1639,($C$274:$V$274=F$1703)*1,($C$6:$V$6="Praxis")*1)</f>
        <v/>
      </c>
      <c r="G1853" s="62">
        <f>SUMPRODUCT($C$1639:$V$1639,($C$274:$V$274=G$1703)*1,($C$6:$V$6="Praxis")*1)</f>
        <v/>
      </c>
      <c r="H1853" s="62">
        <f>SUMPRODUCT($C$1639:$V$1639,($C$274:$V$274=H$1703)*1,($C$6:$V$6="Praxis")*1)</f>
        <v/>
      </c>
      <c r="I1853" s="62">
        <f>SUMPRODUCT($C$1639:$V$1639,($C$274:$V$274=I$1703)*1,($C$6:$V$6="Praxis")*1)</f>
        <v/>
      </c>
      <c r="J1853" s="62">
        <f>SUMPRODUCT($C$1639:$V$1639,($C$274:$V$274=J$1703)*1,($C$6:$V$6="Praxis")*1)</f>
        <v/>
      </c>
    </row>
    <row r="1854">
      <c r="C1854" s="62">
        <f>SUMPRODUCT($C$1640:$V$1640,($C$275:$V$275=C$1703)*1,($C$6:$V$6="Praxis")*1)</f>
        <v/>
      </c>
      <c r="D1854" s="62">
        <f>SUMPRODUCT($C$1640:$V$1640,($C$275:$V$275=D$1703)*1,($C$6:$V$6="Praxis")*1)</f>
        <v/>
      </c>
      <c r="E1854" s="62">
        <f>SUMPRODUCT($C$1640:$V$1640,($C$275:$V$275=E$1703)*1,($C$6:$V$6="Praxis")*1)</f>
        <v/>
      </c>
      <c r="F1854" s="62">
        <f>SUMPRODUCT($C$1640:$V$1640,($C$275:$V$275=F$1703)*1,($C$6:$V$6="Praxis")*1)</f>
        <v/>
      </c>
      <c r="G1854" s="62">
        <f>SUMPRODUCT($C$1640:$V$1640,($C$275:$V$275=G$1703)*1,($C$6:$V$6="Praxis")*1)</f>
        <v/>
      </c>
      <c r="H1854" s="62">
        <f>SUMPRODUCT($C$1640:$V$1640,($C$275:$V$275=H$1703)*1,($C$6:$V$6="Praxis")*1)</f>
        <v/>
      </c>
      <c r="I1854" s="62">
        <f>SUMPRODUCT($C$1640:$V$1640,($C$275:$V$275=I$1703)*1,($C$6:$V$6="Praxis")*1)</f>
        <v/>
      </c>
      <c r="J1854" s="62">
        <f>SUMPRODUCT($C$1640:$V$1640,($C$275:$V$275=J$1703)*1,($C$6:$V$6="Praxis")*1)</f>
        <v/>
      </c>
    </row>
    <row r="1855">
      <c r="C1855" s="62">
        <f>SUMPRODUCT($C$1641:$V$1641,($C$276:$V$276=C$1703)*1,($C$6:$V$6="Praxis")*1)</f>
        <v/>
      </c>
      <c r="D1855" s="62">
        <f>SUMPRODUCT($C$1641:$V$1641,($C$276:$V$276=D$1703)*1,($C$6:$V$6="Praxis")*1)</f>
        <v/>
      </c>
      <c r="E1855" s="62">
        <f>SUMPRODUCT($C$1641:$V$1641,($C$276:$V$276=E$1703)*1,($C$6:$V$6="Praxis")*1)</f>
        <v/>
      </c>
      <c r="F1855" s="62">
        <f>SUMPRODUCT($C$1641:$V$1641,($C$276:$V$276=F$1703)*1,($C$6:$V$6="Praxis")*1)</f>
        <v/>
      </c>
      <c r="G1855" s="62">
        <f>SUMPRODUCT($C$1641:$V$1641,($C$276:$V$276=G$1703)*1,($C$6:$V$6="Praxis")*1)</f>
        <v/>
      </c>
      <c r="H1855" s="62">
        <f>SUMPRODUCT($C$1641:$V$1641,($C$276:$V$276=H$1703)*1,($C$6:$V$6="Praxis")*1)</f>
        <v/>
      </c>
      <c r="I1855" s="62">
        <f>SUMPRODUCT($C$1641:$V$1641,($C$276:$V$276=I$1703)*1,($C$6:$V$6="Praxis")*1)</f>
        <v/>
      </c>
      <c r="J1855" s="62">
        <f>SUMPRODUCT($C$1641:$V$1641,($C$276:$V$276=J$1703)*1,($C$6:$V$6="Praxis")*1)</f>
        <v/>
      </c>
    </row>
    <row r="1856">
      <c r="C1856" s="62">
        <f>SUMPRODUCT($C$1642:$V$1642,($C$277:$V$277=C$1703)*1,($C$6:$V$6="Praxis")*1)</f>
        <v/>
      </c>
      <c r="D1856" s="62">
        <f>SUMPRODUCT($C$1642:$V$1642,($C$277:$V$277=D$1703)*1,($C$6:$V$6="Praxis")*1)</f>
        <v/>
      </c>
      <c r="E1856" s="62">
        <f>SUMPRODUCT($C$1642:$V$1642,($C$277:$V$277=E$1703)*1,($C$6:$V$6="Praxis")*1)</f>
        <v/>
      </c>
      <c r="F1856" s="62">
        <f>SUMPRODUCT($C$1642:$V$1642,($C$277:$V$277=F$1703)*1,($C$6:$V$6="Praxis")*1)</f>
        <v/>
      </c>
      <c r="G1856" s="62">
        <f>SUMPRODUCT($C$1642:$V$1642,($C$277:$V$277=G$1703)*1,($C$6:$V$6="Praxis")*1)</f>
        <v/>
      </c>
      <c r="H1856" s="62">
        <f>SUMPRODUCT($C$1642:$V$1642,($C$277:$V$277=H$1703)*1,($C$6:$V$6="Praxis")*1)</f>
        <v/>
      </c>
      <c r="I1856" s="62">
        <f>SUMPRODUCT($C$1642:$V$1642,($C$277:$V$277=I$1703)*1,($C$6:$V$6="Praxis")*1)</f>
        <v/>
      </c>
      <c r="J1856" s="62">
        <f>SUMPRODUCT($C$1642:$V$1642,($C$277:$V$277=J$1703)*1,($C$6:$V$6="Praxis")*1)</f>
        <v/>
      </c>
    </row>
    <row r="1857">
      <c r="C1857" s="62">
        <f>SUMPRODUCT($C$1643:$V$1643,($C$278:$V$278=C$1703)*1,($C$6:$V$6="Praxis")*1)</f>
        <v/>
      </c>
      <c r="D1857" s="62">
        <f>SUMPRODUCT($C$1643:$V$1643,($C$278:$V$278=D$1703)*1,($C$6:$V$6="Praxis")*1)</f>
        <v/>
      </c>
      <c r="E1857" s="62">
        <f>SUMPRODUCT($C$1643:$V$1643,($C$278:$V$278=E$1703)*1,($C$6:$V$6="Praxis")*1)</f>
        <v/>
      </c>
      <c r="F1857" s="62">
        <f>SUMPRODUCT($C$1643:$V$1643,($C$278:$V$278=F$1703)*1,($C$6:$V$6="Praxis")*1)</f>
        <v/>
      </c>
      <c r="G1857" s="62">
        <f>SUMPRODUCT($C$1643:$V$1643,($C$278:$V$278=G$1703)*1,($C$6:$V$6="Praxis")*1)</f>
        <v/>
      </c>
      <c r="H1857" s="62">
        <f>SUMPRODUCT($C$1643:$V$1643,($C$278:$V$278=H$1703)*1,($C$6:$V$6="Praxis")*1)</f>
        <v/>
      </c>
      <c r="I1857" s="62">
        <f>SUMPRODUCT($C$1643:$V$1643,($C$278:$V$278=I$1703)*1,($C$6:$V$6="Praxis")*1)</f>
        <v/>
      </c>
      <c r="J1857" s="62">
        <f>SUMPRODUCT($C$1643:$V$1643,($C$278:$V$278=J$1703)*1,($C$6:$V$6="Praxis")*1)</f>
        <v/>
      </c>
    </row>
    <row r="1858">
      <c r="C1858" s="62">
        <f>SUMPRODUCT($C$1644:$V$1644,($C$279:$V$279=C$1703)*1,($C$6:$V$6="Praxis")*1)</f>
        <v/>
      </c>
      <c r="D1858" s="62">
        <f>SUMPRODUCT($C$1644:$V$1644,($C$279:$V$279=D$1703)*1,($C$6:$V$6="Praxis")*1)</f>
        <v/>
      </c>
      <c r="E1858" s="62">
        <f>SUMPRODUCT($C$1644:$V$1644,($C$279:$V$279=E$1703)*1,($C$6:$V$6="Praxis")*1)</f>
        <v/>
      </c>
      <c r="F1858" s="62">
        <f>SUMPRODUCT($C$1644:$V$1644,($C$279:$V$279=F$1703)*1,($C$6:$V$6="Praxis")*1)</f>
        <v/>
      </c>
      <c r="G1858" s="62">
        <f>SUMPRODUCT($C$1644:$V$1644,($C$279:$V$279=G$1703)*1,($C$6:$V$6="Praxis")*1)</f>
        <v/>
      </c>
      <c r="H1858" s="62">
        <f>SUMPRODUCT($C$1644:$V$1644,($C$279:$V$279=H$1703)*1,($C$6:$V$6="Praxis")*1)</f>
        <v/>
      </c>
      <c r="I1858" s="62">
        <f>SUMPRODUCT($C$1644:$V$1644,($C$279:$V$279=I$1703)*1,($C$6:$V$6="Praxis")*1)</f>
        <v/>
      </c>
      <c r="J1858" s="62">
        <f>SUMPRODUCT($C$1644:$V$1644,($C$279:$V$279=J$1703)*1,($C$6:$V$6="Praxis")*1)</f>
        <v/>
      </c>
    </row>
    <row r="1859">
      <c r="C1859" s="62">
        <f>SUMPRODUCT($C$1645:$V$1645,($C$280:$V$280=C$1703)*1,($C$6:$V$6="Praxis")*1)</f>
        <v/>
      </c>
      <c r="D1859" s="62">
        <f>SUMPRODUCT($C$1645:$V$1645,($C$280:$V$280=D$1703)*1,($C$6:$V$6="Praxis")*1)</f>
        <v/>
      </c>
      <c r="E1859" s="62">
        <f>SUMPRODUCT($C$1645:$V$1645,($C$280:$V$280=E$1703)*1,($C$6:$V$6="Praxis")*1)</f>
        <v/>
      </c>
      <c r="F1859" s="62">
        <f>SUMPRODUCT($C$1645:$V$1645,($C$280:$V$280=F$1703)*1,($C$6:$V$6="Praxis")*1)</f>
        <v/>
      </c>
      <c r="G1859" s="62">
        <f>SUMPRODUCT($C$1645:$V$1645,($C$280:$V$280=G$1703)*1,($C$6:$V$6="Praxis")*1)</f>
        <v/>
      </c>
      <c r="H1859" s="62">
        <f>SUMPRODUCT($C$1645:$V$1645,($C$280:$V$280=H$1703)*1,($C$6:$V$6="Praxis")*1)</f>
        <v/>
      </c>
      <c r="I1859" s="62">
        <f>SUMPRODUCT($C$1645:$V$1645,($C$280:$V$280=I$1703)*1,($C$6:$V$6="Praxis")*1)</f>
        <v/>
      </c>
      <c r="J1859" s="62">
        <f>SUMPRODUCT($C$1645:$V$1645,($C$280:$V$280=J$1703)*1,($C$6:$V$6="Praxis")*1)</f>
        <v/>
      </c>
    </row>
    <row r="1860">
      <c r="C1860" s="62">
        <f>SUMPRODUCT($C$1646:$V$1646,($C$281:$V$281=C$1703)*1,($C$6:$V$6="Praxis")*1)</f>
        <v/>
      </c>
      <c r="D1860" s="62">
        <f>SUMPRODUCT($C$1646:$V$1646,($C$281:$V$281=D$1703)*1,($C$6:$V$6="Praxis")*1)</f>
        <v/>
      </c>
      <c r="E1860" s="62">
        <f>SUMPRODUCT($C$1646:$V$1646,($C$281:$V$281=E$1703)*1,($C$6:$V$6="Praxis")*1)</f>
        <v/>
      </c>
      <c r="F1860" s="62">
        <f>SUMPRODUCT($C$1646:$V$1646,($C$281:$V$281=F$1703)*1,($C$6:$V$6="Praxis")*1)</f>
        <v/>
      </c>
      <c r="G1860" s="62">
        <f>SUMPRODUCT($C$1646:$V$1646,($C$281:$V$281=G$1703)*1,($C$6:$V$6="Praxis")*1)</f>
        <v/>
      </c>
      <c r="H1860" s="62">
        <f>SUMPRODUCT($C$1646:$V$1646,($C$281:$V$281=H$1703)*1,($C$6:$V$6="Praxis")*1)</f>
        <v/>
      </c>
      <c r="I1860" s="62">
        <f>SUMPRODUCT($C$1646:$V$1646,($C$281:$V$281=I$1703)*1,($C$6:$V$6="Praxis")*1)</f>
        <v/>
      </c>
      <c r="J1860" s="62">
        <f>SUMPRODUCT($C$1646:$V$1646,($C$281:$V$281=J$1703)*1,($C$6:$V$6="Praxis")*1)</f>
        <v/>
      </c>
    </row>
    <row r="1861">
      <c r="C1861" s="62">
        <f>SUMPRODUCT($C$1647:$V$1647,($C$282:$V$282=C$1703)*1,($C$6:$V$6="Praxis")*1)</f>
        <v/>
      </c>
      <c r="D1861" s="62">
        <f>SUMPRODUCT($C$1647:$V$1647,($C$282:$V$282=D$1703)*1,($C$6:$V$6="Praxis")*1)</f>
        <v/>
      </c>
      <c r="E1861" s="62">
        <f>SUMPRODUCT($C$1647:$V$1647,($C$282:$V$282=E$1703)*1,($C$6:$V$6="Praxis")*1)</f>
        <v/>
      </c>
      <c r="F1861" s="62">
        <f>SUMPRODUCT($C$1647:$V$1647,($C$282:$V$282=F$1703)*1,($C$6:$V$6="Praxis")*1)</f>
        <v/>
      </c>
      <c r="G1861" s="62">
        <f>SUMPRODUCT($C$1647:$V$1647,($C$282:$V$282=G$1703)*1,($C$6:$V$6="Praxis")*1)</f>
        <v/>
      </c>
      <c r="H1861" s="62">
        <f>SUMPRODUCT($C$1647:$V$1647,($C$282:$V$282=H$1703)*1,($C$6:$V$6="Praxis")*1)</f>
        <v/>
      </c>
      <c r="I1861" s="62">
        <f>SUMPRODUCT($C$1647:$V$1647,($C$282:$V$282=I$1703)*1,($C$6:$V$6="Praxis")*1)</f>
        <v/>
      </c>
      <c r="J1861" s="62">
        <f>SUMPRODUCT($C$1647:$V$1647,($C$282:$V$282=J$1703)*1,($C$6:$V$6="Praxis")*1)</f>
        <v/>
      </c>
    </row>
    <row r="1862">
      <c r="C1862" s="62">
        <f>SUMPRODUCT($C$1648:$V$1648,($C$283:$V$283=C$1703)*1,($C$6:$V$6="Praxis")*1)</f>
        <v/>
      </c>
      <c r="D1862" s="62">
        <f>SUMPRODUCT($C$1648:$V$1648,($C$283:$V$283=D$1703)*1,($C$6:$V$6="Praxis")*1)</f>
        <v/>
      </c>
      <c r="E1862" s="62">
        <f>SUMPRODUCT($C$1648:$V$1648,($C$283:$V$283=E$1703)*1,($C$6:$V$6="Praxis")*1)</f>
        <v/>
      </c>
      <c r="F1862" s="62">
        <f>SUMPRODUCT($C$1648:$V$1648,($C$283:$V$283=F$1703)*1,($C$6:$V$6="Praxis")*1)</f>
        <v/>
      </c>
      <c r="G1862" s="62">
        <f>SUMPRODUCT($C$1648:$V$1648,($C$283:$V$283=G$1703)*1,($C$6:$V$6="Praxis")*1)</f>
        <v/>
      </c>
      <c r="H1862" s="62">
        <f>SUMPRODUCT($C$1648:$V$1648,($C$283:$V$283=H$1703)*1,($C$6:$V$6="Praxis")*1)</f>
        <v/>
      </c>
      <c r="I1862" s="62">
        <f>SUMPRODUCT($C$1648:$V$1648,($C$283:$V$283=I$1703)*1,($C$6:$V$6="Praxis")*1)</f>
        <v/>
      </c>
      <c r="J1862" s="62">
        <f>SUMPRODUCT($C$1648:$V$1648,($C$283:$V$283=J$1703)*1,($C$6:$V$6="Praxis")*1)</f>
        <v/>
      </c>
    </row>
    <row r="1863">
      <c r="C1863" s="62">
        <f>SUMPRODUCT($C$1649:$V$1649,($C$284:$V$284=C$1703)*1,($C$6:$V$6="Praxis")*1)</f>
        <v/>
      </c>
      <c r="D1863" s="62">
        <f>SUMPRODUCT($C$1649:$V$1649,($C$284:$V$284=D$1703)*1,($C$6:$V$6="Praxis")*1)</f>
        <v/>
      </c>
      <c r="E1863" s="62">
        <f>SUMPRODUCT($C$1649:$V$1649,($C$284:$V$284=E$1703)*1,($C$6:$V$6="Praxis")*1)</f>
        <v/>
      </c>
      <c r="F1863" s="62">
        <f>SUMPRODUCT($C$1649:$V$1649,($C$284:$V$284=F$1703)*1,($C$6:$V$6="Praxis")*1)</f>
        <v/>
      </c>
      <c r="G1863" s="62">
        <f>SUMPRODUCT($C$1649:$V$1649,($C$284:$V$284=G$1703)*1,($C$6:$V$6="Praxis")*1)</f>
        <v/>
      </c>
      <c r="H1863" s="62">
        <f>SUMPRODUCT($C$1649:$V$1649,($C$284:$V$284=H$1703)*1,($C$6:$V$6="Praxis")*1)</f>
        <v/>
      </c>
      <c r="I1863" s="62">
        <f>SUMPRODUCT($C$1649:$V$1649,($C$284:$V$284=I$1703)*1,($C$6:$V$6="Praxis")*1)</f>
        <v/>
      </c>
      <c r="J1863" s="62">
        <f>SUMPRODUCT($C$1649:$V$1649,($C$284:$V$284=J$1703)*1,($C$6:$V$6="Praxis")*1)</f>
        <v/>
      </c>
    </row>
    <row r="1864">
      <c r="C1864" s="62">
        <f>SUMPRODUCT($C$1650:$V$1650,($C$285:$V$285=C$1703)*1,($C$6:$V$6="Praxis")*1)</f>
        <v/>
      </c>
      <c r="D1864" s="62">
        <f>SUMPRODUCT($C$1650:$V$1650,($C$285:$V$285=D$1703)*1,($C$6:$V$6="Praxis")*1)</f>
        <v/>
      </c>
      <c r="E1864" s="62">
        <f>SUMPRODUCT($C$1650:$V$1650,($C$285:$V$285=E$1703)*1,($C$6:$V$6="Praxis")*1)</f>
        <v/>
      </c>
      <c r="F1864" s="62">
        <f>SUMPRODUCT($C$1650:$V$1650,($C$285:$V$285=F$1703)*1,($C$6:$V$6="Praxis")*1)</f>
        <v/>
      </c>
      <c r="G1864" s="62">
        <f>SUMPRODUCT($C$1650:$V$1650,($C$285:$V$285=G$1703)*1,($C$6:$V$6="Praxis")*1)</f>
        <v/>
      </c>
      <c r="H1864" s="62">
        <f>SUMPRODUCT($C$1650:$V$1650,($C$285:$V$285=H$1703)*1,($C$6:$V$6="Praxis")*1)</f>
        <v/>
      </c>
      <c r="I1864" s="62">
        <f>SUMPRODUCT($C$1650:$V$1650,($C$285:$V$285=I$1703)*1,($C$6:$V$6="Praxis")*1)</f>
        <v/>
      </c>
      <c r="J1864" s="62">
        <f>SUMPRODUCT($C$1650:$V$1650,($C$285:$V$285=J$1703)*1,($C$6:$V$6="Praxis")*1)</f>
        <v/>
      </c>
    </row>
    <row r="1865">
      <c r="C1865" s="62">
        <f>SUMPRODUCT($C$1651:$V$1651,($C$286:$V$286=C$1703)*1,($C$6:$V$6="Praxis")*1)</f>
        <v/>
      </c>
      <c r="D1865" s="62">
        <f>SUMPRODUCT($C$1651:$V$1651,($C$286:$V$286=D$1703)*1,($C$6:$V$6="Praxis")*1)</f>
        <v/>
      </c>
      <c r="E1865" s="62">
        <f>SUMPRODUCT($C$1651:$V$1651,($C$286:$V$286=E$1703)*1,($C$6:$V$6="Praxis")*1)</f>
        <v/>
      </c>
      <c r="F1865" s="62">
        <f>SUMPRODUCT($C$1651:$V$1651,($C$286:$V$286=F$1703)*1,($C$6:$V$6="Praxis")*1)</f>
        <v/>
      </c>
      <c r="G1865" s="62">
        <f>SUMPRODUCT($C$1651:$V$1651,($C$286:$V$286=G$1703)*1,($C$6:$V$6="Praxis")*1)</f>
        <v/>
      </c>
      <c r="H1865" s="62">
        <f>SUMPRODUCT($C$1651:$V$1651,($C$286:$V$286=H$1703)*1,($C$6:$V$6="Praxis")*1)</f>
        <v/>
      </c>
      <c r="I1865" s="62">
        <f>SUMPRODUCT($C$1651:$V$1651,($C$286:$V$286=I$1703)*1,($C$6:$V$6="Praxis")*1)</f>
        <v/>
      </c>
      <c r="J1865" s="62">
        <f>SUMPRODUCT($C$1651:$V$1651,($C$286:$V$286=J$1703)*1,($C$6:$V$6="Praxis")*1)</f>
        <v/>
      </c>
    </row>
    <row r="1866">
      <c r="C1866" s="62">
        <f>SUMPRODUCT($C$1652:$V$1652,($C$287:$V$287=C$1703)*1,($C$6:$V$6="Praxis")*1)</f>
        <v/>
      </c>
      <c r="D1866" s="62">
        <f>SUMPRODUCT($C$1652:$V$1652,($C$287:$V$287=D$1703)*1,($C$6:$V$6="Praxis")*1)</f>
        <v/>
      </c>
      <c r="E1866" s="62">
        <f>SUMPRODUCT($C$1652:$V$1652,($C$287:$V$287=E$1703)*1,($C$6:$V$6="Praxis")*1)</f>
        <v/>
      </c>
      <c r="F1866" s="62">
        <f>SUMPRODUCT($C$1652:$V$1652,($C$287:$V$287=F$1703)*1,($C$6:$V$6="Praxis")*1)</f>
        <v/>
      </c>
      <c r="G1866" s="62">
        <f>SUMPRODUCT($C$1652:$V$1652,($C$287:$V$287=G$1703)*1,($C$6:$V$6="Praxis")*1)</f>
        <v/>
      </c>
      <c r="H1866" s="62">
        <f>SUMPRODUCT($C$1652:$V$1652,($C$287:$V$287=H$1703)*1,($C$6:$V$6="Praxis")*1)</f>
        <v/>
      </c>
      <c r="I1866" s="62">
        <f>SUMPRODUCT($C$1652:$V$1652,($C$287:$V$287=I$1703)*1,($C$6:$V$6="Praxis")*1)</f>
        <v/>
      </c>
      <c r="J1866" s="62">
        <f>SUMPRODUCT($C$1652:$V$1652,($C$287:$V$287=J$1703)*1,($C$6:$V$6="Praxis")*1)</f>
        <v/>
      </c>
    </row>
    <row r="1867">
      <c r="C1867" s="62">
        <f>SUMPRODUCT($C$1653:$V$1653,($C$288:$V$288=C$1703)*1,($C$6:$V$6="Praxis")*1)</f>
        <v/>
      </c>
      <c r="D1867" s="62">
        <f>SUMPRODUCT($C$1653:$V$1653,($C$288:$V$288=D$1703)*1,($C$6:$V$6="Praxis")*1)</f>
        <v/>
      </c>
      <c r="E1867" s="62">
        <f>SUMPRODUCT($C$1653:$V$1653,($C$288:$V$288=E$1703)*1,($C$6:$V$6="Praxis")*1)</f>
        <v/>
      </c>
      <c r="F1867" s="62">
        <f>SUMPRODUCT($C$1653:$V$1653,($C$288:$V$288=F$1703)*1,($C$6:$V$6="Praxis")*1)</f>
        <v/>
      </c>
      <c r="G1867" s="62">
        <f>SUMPRODUCT($C$1653:$V$1653,($C$288:$V$288=G$1703)*1,($C$6:$V$6="Praxis")*1)</f>
        <v/>
      </c>
      <c r="H1867" s="62">
        <f>SUMPRODUCT($C$1653:$V$1653,($C$288:$V$288=H$1703)*1,($C$6:$V$6="Praxis")*1)</f>
        <v/>
      </c>
      <c r="I1867" s="62">
        <f>SUMPRODUCT($C$1653:$V$1653,($C$288:$V$288=I$1703)*1,($C$6:$V$6="Praxis")*1)</f>
        <v/>
      </c>
      <c r="J1867" s="62">
        <f>SUMPRODUCT($C$1653:$V$1653,($C$288:$V$288=J$1703)*1,($C$6:$V$6="Praxis")*1)</f>
        <v/>
      </c>
    </row>
    <row r="1868">
      <c r="C1868" s="62">
        <f>SUMPRODUCT($C$1654:$V$1654,($C$289:$V$289=C$1703)*1,($C$6:$V$6="Praxis")*1)</f>
        <v/>
      </c>
      <c r="D1868" s="62">
        <f>SUMPRODUCT($C$1654:$V$1654,($C$289:$V$289=D$1703)*1,($C$6:$V$6="Praxis")*1)</f>
        <v/>
      </c>
      <c r="E1868" s="62">
        <f>SUMPRODUCT($C$1654:$V$1654,($C$289:$V$289=E$1703)*1,($C$6:$V$6="Praxis")*1)</f>
        <v/>
      </c>
      <c r="F1868" s="62">
        <f>SUMPRODUCT($C$1654:$V$1654,($C$289:$V$289=F$1703)*1,($C$6:$V$6="Praxis")*1)</f>
        <v/>
      </c>
      <c r="G1868" s="62">
        <f>SUMPRODUCT($C$1654:$V$1654,($C$289:$V$289=G$1703)*1,($C$6:$V$6="Praxis")*1)</f>
        <v/>
      </c>
      <c r="H1868" s="62">
        <f>SUMPRODUCT($C$1654:$V$1654,($C$289:$V$289=H$1703)*1,($C$6:$V$6="Praxis")*1)</f>
        <v/>
      </c>
      <c r="I1868" s="62">
        <f>SUMPRODUCT($C$1654:$V$1654,($C$289:$V$289=I$1703)*1,($C$6:$V$6="Praxis")*1)</f>
        <v/>
      </c>
      <c r="J1868" s="62">
        <f>SUMPRODUCT($C$1654:$V$1654,($C$289:$V$289=J$1703)*1,($C$6:$V$6="Praxis")*1)</f>
        <v/>
      </c>
    </row>
    <row r="1869">
      <c r="C1869" s="62">
        <f>SUMPRODUCT($C$1655:$V$1655,($C$290:$V$290=C$1703)*1,($C$6:$V$6="Praxis")*1)</f>
        <v/>
      </c>
      <c r="D1869" s="62">
        <f>SUMPRODUCT($C$1655:$V$1655,($C$290:$V$290=D$1703)*1,($C$6:$V$6="Praxis")*1)</f>
        <v/>
      </c>
      <c r="E1869" s="62">
        <f>SUMPRODUCT($C$1655:$V$1655,($C$290:$V$290=E$1703)*1,($C$6:$V$6="Praxis")*1)</f>
        <v/>
      </c>
      <c r="F1869" s="62">
        <f>SUMPRODUCT($C$1655:$V$1655,($C$290:$V$290=F$1703)*1,($C$6:$V$6="Praxis")*1)</f>
        <v/>
      </c>
      <c r="G1869" s="62">
        <f>SUMPRODUCT($C$1655:$V$1655,($C$290:$V$290=G$1703)*1,($C$6:$V$6="Praxis")*1)</f>
        <v/>
      </c>
      <c r="H1869" s="62">
        <f>SUMPRODUCT($C$1655:$V$1655,($C$290:$V$290=H$1703)*1,($C$6:$V$6="Praxis")*1)</f>
        <v/>
      </c>
      <c r="I1869" s="62">
        <f>SUMPRODUCT($C$1655:$V$1655,($C$290:$V$290=I$1703)*1,($C$6:$V$6="Praxis")*1)</f>
        <v/>
      </c>
      <c r="J1869" s="62">
        <f>SUMPRODUCT($C$1655:$V$1655,($C$290:$V$290=J$1703)*1,($C$6:$V$6="Praxis")*1)</f>
        <v/>
      </c>
    </row>
    <row r="1870">
      <c r="C1870" s="62">
        <f>SUMPRODUCT($C$1656:$V$1656,($C$291:$V$291=C$1703)*1,($C$6:$V$6="Praxis")*1)</f>
        <v/>
      </c>
      <c r="D1870" s="62">
        <f>SUMPRODUCT($C$1656:$V$1656,($C$291:$V$291=D$1703)*1,($C$6:$V$6="Praxis")*1)</f>
        <v/>
      </c>
      <c r="E1870" s="62">
        <f>SUMPRODUCT($C$1656:$V$1656,($C$291:$V$291=E$1703)*1,($C$6:$V$6="Praxis")*1)</f>
        <v/>
      </c>
      <c r="F1870" s="62">
        <f>SUMPRODUCT($C$1656:$V$1656,($C$291:$V$291=F$1703)*1,($C$6:$V$6="Praxis")*1)</f>
        <v/>
      </c>
      <c r="G1870" s="62">
        <f>SUMPRODUCT($C$1656:$V$1656,($C$291:$V$291=G$1703)*1,($C$6:$V$6="Praxis")*1)</f>
        <v/>
      </c>
      <c r="H1870" s="62">
        <f>SUMPRODUCT($C$1656:$V$1656,($C$291:$V$291=H$1703)*1,($C$6:$V$6="Praxis")*1)</f>
        <v/>
      </c>
      <c r="I1870" s="62">
        <f>SUMPRODUCT($C$1656:$V$1656,($C$291:$V$291=I$1703)*1,($C$6:$V$6="Praxis")*1)</f>
        <v/>
      </c>
      <c r="J1870" s="62">
        <f>SUMPRODUCT($C$1656:$V$1656,($C$291:$V$291=J$1703)*1,($C$6:$V$6="Praxis")*1)</f>
        <v/>
      </c>
    </row>
    <row r="1871">
      <c r="C1871" s="62">
        <f>SUMPRODUCT($C$1657:$V$1657,($C$292:$V$292=C$1703)*1,($C$6:$V$6="Praxis")*1)</f>
        <v/>
      </c>
      <c r="D1871" s="62">
        <f>SUMPRODUCT($C$1657:$V$1657,($C$292:$V$292=D$1703)*1,($C$6:$V$6="Praxis")*1)</f>
        <v/>
      </c>
      <c r="E1871" s="62">
        <f>SUMPRODUCT($C$1657:$V$1657,($C$292:$V$292=E$1703)*1,($C$6:$V$6="Praxis")*1)</f>
        <v/>
      </c>
      <c r="F1871" s="62">
        <f>SUMPRODUCT($C$1657:$V$1657,($C$292:$V$292=F$1703)*1,($C$6:$V$6="Praxis")*1)</f>
        <v/>
      </c>
      <c r="G1871" s="62">
        <f>SUMPRODUCT($C$1657:$V$1657,($C$292:$V$292=G$1703)*1,($C$6:$V$6="Praxis")*1)</f>
        <v/>
      </c>
      <c r="H1871" s="62">
        <f>SUMPRODUCT($C$1657:$V$1657,($C$292:$V$292=H$1703)*1,($C$6:$V$6="Praxis")*1)</f>
        <v/>
      </c>
      <c r="I1871" s="62">
        <f>SUMPRODUCT($C$1657:$V$1657,($C$292:$V$292=I$1703)*1,($C$6:$V$6="Praxis")*1)</f>
        <v/>
      </c>
      <c r="J1871" s="62">
        <f>SUMPRODUCT($C$1657:$V$1657,($C$292:$V$292=J$1703)*1,($C$6:$V$6="Praxis")*1)</f>
        <v/>
      </c>
    </row>
    <row r="1872">
      <c r="C1872" s="62">
        <f>SUMPRODUCT($C$1658:$V$1658,($C$293:$V$293=C$1703)*1,($C$6:$V$6="Praxis")*1)</f>
        <v/>
      </c>
      <c r="D1872" s="62">
        <f>SUMPRODUCT($C$1658:$V$1658,($C$293:$V$293=D$1703)*1,($C$6:$V$6="Praxis")*1)</f>
        <v/>
      </c>
      <c r="E1872" s="62">
        <f>SUMPRODUCT($C$1658:$V$1658,($C$293:$V$293=E$1703)*1,($C$6:$V$6="Praxis")*1)</f>
        <v/>
      </c>
      <c r="F1872" s="62">
        <f>SUMPRODUCT($C$1658:$V$1658,($C$293:$V$293=F$1703)*1,($C$6:$V$6="Praxis")*1)</f>
        <v/>
      </c>
      <c r="G1872" s="62">
        <f>SUMPRODUCT($C$1658:$V$1658,($C$293:$V$293=G$1703)*1,($C$6:$V$6="Praxis")*1)</f>
        <v/>
      </c>
      <c r="H1872" s="62">
        <f>SUMPRODUCT($C$1658:$V$1658,($C$293:$V$293=H$1703)*1,($C$6:$V$6="Praxis")*1)</f>
        <v/>
      </c>
      <c r="I1872" s="62">
        <f>SUMPRODUCT($C$1658:$V$1658,($C$293:$V$293=I$1703)*1,($C$6:$V$6="Praxis")*1)</f>
        <v/>
      </c>
      <c r="J1872" s="62">
        <f>SUMPRODUCT($C$1658:$V$1658,($C$293:$V$293=J$1703)*1,($C$6:$V$6="Praxis")*1)</f>
        <v/>
      </c>
    </row>
    <row r="1873">
      <c r="C1873" s="62">
        <f>SUMPRODUCT($C$1659:$V$1659,($C$294:$V$294=C$1703)*1,($C$6:$V$6="Praxis")*1)</f>
        <v/>
      </c>
      <c r="D1873" s="62">
        <f>SUMPRODUCT($C$1659:$V$1659,($C$294:$V$294=D$1703)*1,($C$6:$V$6="Praxis")*1)</f>
        <v/>
      </c>
      <c r="E1873" s="62">
        <f>SUMPRODUCT($C$1659:$V$1659,($C$294:$V$294=E$1703)*1,($C$6:$V$6="Praxis")*1)</f>
        <v/>
      </c>
      <c r="F1873" s="62">
        <f>SUMPRODUCT($C$1659:$V$1659,($C$294:$V$294=F$1703)*1,($C$6:$V$6="Praxis")*1)</f>
        <v/>
      </c>
      <c r="G1873" s="62">
        <f>SUMPRODUCT($C$1659:$V$1659,($C$294:$V$294=G$1703)*1,($C$6:$V$6="Praxis")*1)</f>
        <v/>
      </c>
      <c r="H1873" s="62">
        <f>SUMPRODUCT($C$1659:$V$1659,($C$294:$V$294=H$1703)*1,($C$6:$V$6="Praxis")*1)</f>
        <v/>
      </c>
      <c r="I1873" s="62">
        <f>SUMPRODUCT($C$1659:$V$1659,($C$294:$V$294=I$1703)*1,($C$6:$V$6="Praxis")*1)</f>
        <v/>
      </c>
      <c r="J1873" s="62">
        <f>SUMPRODUCT($C$1659:$V$1659,($C$294:$V$294=J$1703)*1,($C$6:$V$6="Praxis")*1)</f>
        <v/>
      </c>
    </row>
    <row r="1874">
      <c r="C1874" s="62">
        <f>SUMPRODUCT($C$1660:$V$1660,($C$295:$V$295=C$1703)*1,($C$6:$V$6="Praxis")*1)</f>
        <v/>
      </c>
      <c r="D1874" s="62">
        <f>SUMPRODUCT($C$1660:$V$1660,($C$295:$V$295=D$1703)*1,($C$6:$V$6="Praxis")*1)</f>
        <v/>
      </c>
      <c r="E1874" s="62">
        <f>SUMPRODUCT($C$1660:$V$1660,($C$295:$V$295=E$1703)*1,($C$6:$V$6="Praxis")*1)</f>
        <v/>
      </c>
      <c r="F1874" s="62">
        <f>SUMPRODUCT($C$1660:$V$1660,($C$295:$V$295=F$1703)*1,($C$6:$V$6="Praxis")*1)</f>
        <v/>
      </c>
      <c r="G1874" s="62">
        <f>SUMPRODUCT($C$1660:$V$1660,($C$295:$V$295=G$1703)*1,($C$6:$V$6="Praxis")*1)</f>
        <v/>
      </c>
      <c r="H1874" s="62">
        <f>SUMPRODUCT($C$1660:$V$1660,($C$295:$V$295=H$1703)*1,($C$6:$V$6="Praxis")*1)</f>
        <v/>
      </c>
      <c r="I1874" s="62">
        <f>SUMPRODUCT($C$1660:$V$1660,($C$295:$V$295=I$1703)*1,($C$6:$V$6="Praxis")*1)</f>
        <v/>
      </c>
      <c r="J1874" s="62">
        <f>SUMPRODUCT($C$1660:$V$1660,($C$295:$V$295=J$1703)*1,($C$6:$V$6="Praxis")*1)</f>
        <v/>
      </c>
    </row>
    <row r="1875">
      <c r="C1875" s="62">
        <f>SUMPRODUCT($C$1661:$V$1661,($C$296:$V$296=C$1703)*1,($C$6:$V$6="Praxis")*1)</f>
        <v/>
      </c>
      <c r="D1875" s="62">
        <f>SUMPRODUCT($C$1661:$V$1661,($C$296:$V$296=D$1703)*1,($C$6:$V$6="Praxis")*1)</f>
        <v/>
      </c>
      <c r="E1875" s="62">
        <f>SUMPRODUCT($C$1661:$V$1661,($C$296:$V$296=E$1703)*1,($C$6:$V$6="Praxis")*1)</f>
        <v/>
      </c>
      <c r="F1875" s="62">
        <f>SUMPRODUCT($C$1661:$V$1661,($C$296:$V$296=F$1703)*1,($C$6:$V$6="Praxis")*1)</f>
        <v/>
      </c>
      <c r="G1875" s="62">
        <f>SUMPRODUCT($C$1661:$V$1661,($C$296:$V$296=G$1703)*1,($C$6:$V$6="Praxis")*1)</f>
        <v/>
      </c>
      <c r="H1875" s="62">
        <f>SUMPRODUCT($C$1661:$V$1661,($C$296:$V$296=H$1703)*1,($C$6:$V$6="Praxis")*1)</f>
        <v/>
      </c>
      <c r="I1875" s="62">
        <f>SUMPRODUCT($C$1661:$V$1661,($C$296:$V$296=I$1703)*1,($C$6:$V$6="Praxis")*1)</f>
        <v/>
      </c>
      <c r="J1875" s="62">
        <f>SUMPRODUCT($C$1661:$V$1661,($C$296:$V$296=J$1703)*1,($C$6:$V$6="Praxis")*1)</f>
        <v/>
      </c>
    </row>
    <row r="1876">
      <c r="C1876" s="62">
        <f>SUMPRODUCT($C$1662:$V$1662,($C$297:$V$297=C$1703)*1,($C$6:$V$6="Praxis")*1)</f>
        <v/>
      </c>
      <c r="D1876" s="62">
        <f>SUMPRODUCT($C$1662:$V$1662,($C$297:$V$297=D$1703)*1,($C$6:$V$6="Praxis")*1)</f>
        <v/>
      </c>
      <c r="E1876" s="62">
        <f>SUMPRODUCT($C$1662:$V$1662,($C$297:$V$297=E$1703)*1,($C$6:$V$6="Praxis")*1)</f>
        <v/>
      </c>
      <c r="F1876" s="62">
        <f>SUMPRODUCT($C$1662:$V$1662,($C$297:$V$297=F$1703)*1,($C$6:$V$6="Praxis")*1)</f>
        <v/>
      </c>
      <c r="G1876" s="62">
        <f>SUMPRODUCT($C$1662:$V$1662,($C$297:$V$297=G$1703)*1,($C$6:$V$6="Praxis")*1)</f>
        <v/>
      </c>
      <c r="H1876" s="62">
        <f>SUMPRODUCT($C$1662:$V$1662,($C$297:$V$297=H$1703)*1,($C$6:$V$6="Praxis")*1)</f>
        <v/>
      </c>
      <c r="I1876" s="62">
        <f>SUMPRODUCT($C$1662:$V$1662,($C$297:$V$297=I$1703)*1,($C$6:$V$6="Praxis")*1)</f>
        <v/>
      </c>
      <c r="J1876" s="62">
        <f>SUMPRODUCT($C$1662:$V$1662,($C$297:$V$297=J$1703)*1,($C$6:$V$6="Praxis")*1)</f>
        <v/>
      </c>
    </row>
    <row r="1877">
      <c r="C1877" s="62">
        <f>SUMPRODUCT($C$1663:$V$1663,($C$298:$V$298=C$1703)*1,($C$6:$V$6="Praxis")*1)</f>
        <v/>
      </c>
      <c r="D1877" s="62">
        <f>SUMPRODUCT($C$1663:$V$1663,($C$298:$V$298=D$1703)*1,($C$6:$V$6="Praxis")*1)</f>
        <v/>
      </c>
      <c r="E1877" s="62">
        <f>SUMPRODUCT($C$1663:$V$1663,($C$298:$V$298=E$1703)*1,($C$6:$V$6="Praxis")*1)</f>
        <v/>
      </c>
      <c r="F1877" s="62">
        <f>SUMPRODUCT($C$1663:$V$1663,($C$298:$V$298=F$1703)*1,($C$6:$V$6="Praxis")*1)</f>
        <v/>
      </c>
      <c r="G1877" s="62">
        <f>SUMPRODUCT($C$1663:$V$1663,($C$298:$V$298=G$1703)*1,($C$6:$V$6="Praxis")*1)</f>
        <v/>
      </c>
      <c r="H1877" s="62">
        <f>SUMPRODUCT($C$1663:$V$1663,($C$298:$V$298=H$1703)*1,($C$6:$V$6="Praxis")*1)</f>
        <v/>
      </c>
      <c r="I1877" s="62">
        <f>SUMPRODUCT($C$1663:$V$1663,($C$298:$V$298=I$1703)*1,($C$6:$V$6="Praxis")*1)</f>
        <v/>
      </c>
      <c r="J1877" s="62">
        <f>SUMPRODUCT($C$1663:$V$1663,($C$298:$V$298=J$1703)*1,($C$6:$V$6="Praxis")*1)</f>
        <v/>
      </c>
    </row>
    <row r="1878">
      <c r="C1878" s="62">
        <f>SUMPRODUCT($C$1664:$V$1664,($C$299:$V$299=C$1703)*1,($C$6:$V$6="Praxis")*1)</f>
        <v/>
      </c>
      <c r="D1878" s="62">
        <f>SUMPRODUCT($C$1664:$V$1664,($C$299:$V$299=D$1703)*1,($C$6:$V$6="Praxis")*1)</f>
        <v/>
      </c>
      <c r="E1878" s="62">
        <f>SUMPRODUCT($C$1664:$V$1664,($C$299:$V$299=E$1703)*1,($C$6:$V$6="Praxis")*1)</f>
        <v/>
      </c>
      <c r="F1878" s="62">
        <f>SUMPRODUCT($C$1664:$V$1664,($C$299:$V$299=F$1703)*1,($C$6:$V$6="Praxis")*1)</f>
        <v/>
      </c>
      <c r="G1878" s="62">
        <f>SUMPRODUCT($C$1664:$V$1664,($C$299:$V$299=G$1703)*1,($C$6:$V$6="Praxis")*1)</f>
        <v/>
      </c>
      <c r="H1878" s="62">
        <f>SUMPRODUCT($C$1664:$V$1664,($C$299:$V$299=H$1703)*1,($C$6:$V$6="Praxis")*1)</f>
        <v/>
      </c>
      <c r="I1878" s="62">
        <f>SUMPRODUCT($C$1664:$V$1664,($C$299:$V$299=I$1703)*1,($C$6:$V$6="Praxis")*1)</f>
        <v/>
      </c>
      <c r="J1878" s="62">
        <f>SUMPRODUCT($C$1664:$V$1664,($C$299:$V$299=J$1703)*1,($C$6:$V$6="Praxis")*1)</f>
        <v/>
      </c>
    </row>
    <row r="1879">
      <c r="C1879" s="62">
        <f>SUMPRODUCT($C$1665:$V$1665,($C$300:$V$300=C$1703)*1,($C$6:$V$6="Praxis")*1)</f>
        <v/>
      </c>
      <c r="D1879" s="62">
        <f>SUMPRODUCT($C$1665:$V$1665,($C$300:$V$300=D$1703)*1,($C$6:$V$6="Praxis")*1)</f>
        <v/>
      </c>
      <c r="E1879" s="62">
        <f>SUMPRODUCT($C$1665:$V$1665,($C$300:$V$300=E$1703)*1,($C$6:$V$6="Praxis")*1)</f>
        <v/>
      </c>
      <c r="F1879" s="62">
        <f>SUMPRODUCT($C$1665:$V$1665,($C$300:$V$300=F$1703)*1,($C$6:$V$6="Praxis")*1)</f>
        <v/>
      </c>
      <c r="G1879" s="62">
        <f>SUMPRODUCT($C$1665:$V$1665,($C$300:$V$300=G$1703)*1,($C$6:$V$6="Praxis")*1)</f>
        <v/>
      </c>
      <c r="H1879" s="62">
        <f>SUMPRODUCT($C$1665:$V$1665,($C$300:$V$300=H$1703)*1,($C$6:$V$6="Praxis")*1)</f>
        <v/>
      </c>
      <c r="I1879" s="62">
        <f>SUMPRODUCT($C$1665:$V$1665,($C$300:$V$300=I$1703)*1,($C$6:$V$6="Praxis")*1)</f>
        <v/>
      </c>
      <c r="J1879" s="62">
        <f>SUMPRODUCT($C$1665:$V$1665,($C$300:$V$300=J$1703)*1,($C$6:$V$6="Praxis")*1)</f>
        <v/>
      </c>
    </row>
    <row r="1880">
      <c r="C1880" s="62">
        <f>SUMPRODUCT($C$1666:$V$1666,($C$301:$V$301=C$1703)*1,($C$6:$V$6="Praxis")*1)</f>
        <v/>
      </c>
      <c r="D1880" s="62">
        <f>SUMPRODUCT($C$1666:$V$1666,($C$301:$V$301=D$1703)*1,($C$6:$V$6="Praxis")*1)</f>
        <v/>
      </c>
      <c r="E1880" s="62">
        <f>SUMPRODUCT($C$1666:$V$1666,($C$301:$V$301=E$1703)*1,($C$6:$V$6="Praxis")*1)</f>
        <v/>
      </c>
      <c r="F1880" s="62">
        <f>SUMPRODUCT($C$1666:$V$1666,($C$301:$V$301=F$1703)*1,($C$6:$V$6="Praxis")*1)</f>
        <v/>
      </c>
      <c r="G1880" s="62">
        <f>SUMPRODUCT($C$1666:$V$1666,($C$301:$V$301=G$1703)*1,($C$6:$V$6="Praxis")*1)</f>
        <v/>
      </c>
      <c r="H1880" s="62">
        <f>SUMPRODUCT($C$1666:$V$1666,($C$301:$V$301=H$1703)*1,($C$6:$V$6="Praxis")*1)</f>
        <v/>
      </c>
      <c r="I1880" s="62">
        <f>SUMPRODUCT($C$1666:$V$1666,($C$301:$V$301=I$1703)*1,($C$6:$V$6="Praxis")*1)</f>
        <v/>
      </c>
      <c r="J1880" s="62">
        <f>SUMPRODUCT($C$1666:$V$1666,($C$301:$V$301=J$1703)*1,($C$6:$V$6="Praxis")*1)</f>
        <v/>
      </c>
    </row>
    <row r="1881">
      <c r="C1881" s="62">
        <f>SUMPRODUCT($C$1667:$V$1667,($C$302:$V$302=C$1703)*1,($C$6:$V$6="Praxis")*1)</f>
        <v/>
      </c>
      <c r="D1881" s="62">
        <f>SUMPRODUCT($C$1667:$V$1667,($C$302:$V$302=D$1703)*1,($C$6:$V$6="Praxis")*1)</f>
        <v/>
      </c>
      <c r="E1881" s="62">
        <f>SUMPRODUCT($C$1667:$V$1667,($C$302:$V$302=E$1703)*1,($C$6:$V$6="Praxis")*1)</f>
        <v/>
      </c>
      <c r="F1881" s="62">
        <f>SUMPRODUCT($C$1667:$V$1667,($C$302:$V$302=F$1703)*1,($C$6:$V$6="Praxis")*1)</f>
        <v/>
      </c>
      <c r="G1881" s="62">
        <f>SUMPRODUCT($C$1667:$V$1667,($C$302:$V$302=G$1703)*1,($C$6:$V$6="Praxis")*1)</f>
        <v/>
      </c>
      <c r="H1881" s="62">
        <f>SUMPRODUCT($C$1667:$V$1667,($C$302:$V$302=H$1703)*1,($C$6:$V$6="Praxis")*1)</f>
        <v/>
      </c>
      <c r="I1881" s="62">
        <f>SUMPRODUCT($C$1667:$V$1667,($C$302:$V$302=I$1703)*1,($C$6:$V$6="Praxis")*1)</f>
        <v/>
      </c>
      <c r="J1881" s="62">
        <f>SUMPRODUCT($C$1667:$V$1667,($C$302:$V$302=J$1703)*1,($C$6:$V$6="Praxis")*1)</f>
        <v/>
      </c>
    </row>
    <row r="1882">
      <c r="C1882" s="62">
        <f>SUMPRODUCT($C$1668:$V$1668,($C$303:$V$303=C$1703)*1,($C$6:$V$6="Praxis")*1)</f>
        <v/>
      </c>
      <c r="D1882" s="62">
        <f>SUMPRODUCT($C$1668:$V$1668,($C$303:$V$303=D$1703)*1,($C$6:$V$6="Praxis")*1)</f>
        <v/>
      </c>
      <c r="E1882" s="62">
        <f>SUMPRODUCT($C$1668:$V$1668,($C$303:$V$303=E$1703)*1,($C$6:$V$6="Praxis")*1)</f>
        <v/>
      </c>
      <c r="F1882" s="62">
        <f>SUMPRODUCT($C$1668:$V$1668,($C$303:$V$303=F$1703)*1,($C$6:$V$6="Praxis")*1)</f>
        <v/>
      </c>
      <c r="G1882" s="62">
        <f>SUMPRODUCT($C$1668:$V$1668,($C$303:$V$303=G$1703)*1,($C$6:$V$6="Praxis")*1)</f>
        <v/>
      </c>
      <c r="H1882" s="62">
        <f>SUMPRODUCT($C$1668:$V$1668,($C$303:$V$303=H$1703)*1,($C$6:$V$6="Praxis")*1)</f>
        <v/>
      </c>
      <c r="I1882" s="62">
        <f>SUMPRODUCT($C$1668:$V$1668,($C$303:$V$303=I$1703)*1,($C$6:$V$6="Praxis")*1)</f>
        <v/>
      </c>
      <c r="J1882" s="62">
        <f>SUMPRODUCT($C$1668:$V$1668,($C$303:$V$303=J$1703)*1,($C$6:$V$6="Praxis")*1)</f>
        <v/>
      </c>
    </row>
    <row r="1883">
      <c r="C1883" s="62">
        <f>SUMPRODUCT($C$1669:$V$1669,($C$304:$V$304=C$1703)*1,($C$6:$V$6="Praxis")*1)</f>
        <v/>
      </c>
      <c r="D1883" s="62">
        <f>SUMPRODUCT($C$1669:$V$1669,($C$304:$V$304=D$1703)*1,($C$6:$V$6="Praxis")*1)</f>
        <v/>
      </c>
      <c r="E1883" s="62">
        <f>SUMPRODUCT($C$1669:$V$1669,($C$304:$V$304=E$1703)*1,($C$6:$V$6="Praxis")*1)</f>
        <v/>
      </c>
      <c r="F1883" s="62">
        <f>SUMPRODUCT($C$1669:$V$1669,($C$304:$V$304=F$1703)*1,($C$6:$V$6="Praxis")*1)</f>
        <v/>
      </c>
      <c r="G1883" s="62">
        <f>SUMPRODUCT($C$1669:$V$1669,($C$304:$V$304=G$1703)*1,($C$6:$V$6="Praxis")*1)</f>
        <v/>
      </c>
      <c r="H1883" s="62">
        <f>SUMPRODUCT($C$1669:$V$1669,($C$304:$V$304=H$1703)*1,($C$6:$V$6="Praxis")*1)</f>
        <v/>
      </c>
      <c r="I1883" s="62">
        <f>SUMPRODUCT($C$1669:$V$1669,($C$304:$V$304=I$1703)*1,($C$6:$V$6="Praxis")*1)</f>
        <v/>
      </c>
      <c r="J1883" s="62">
        <f>SUMPRODUCT($C$1669:$V$1669,($C$304:$V$304=J$1703)*1,($C$6:$V$6="Praxis")*1)</f>
        <v/>
      </c>
    </row>
    <row r="1884">
      <c r="C1884" s="62">
        <f>SUMPRODUCT($C$1670:$V$1670,($C$305:$V$305=C$1703)*1,($C$6:$V$6="Praxis")*1)</f>
        <v/>
      </c>
      <c r="D1884" s="62">
        <f>SUMPRODUCT($C$1670:$V$1670,($C$305:$V$305=D$1703)*1,($C$6:$V$6="Praxis")*1)</f>
        <v/>
      </c>
      <c r="E1884" s="62">
        <f>SUMPRODUCT($C$1670:$V$1670,($C$305:$V$305=E$1703)*1,($C$6:$V$6="Praxis")*1)</f>
        <v/>
      </c>
      <c r="F1884" s="62">
        <f>SUMPRODUCT($C$1670:$V$1670,($C$305:$V$305=F$1703)*1,($C$6:$V$6="Praxis")*1)</f>
        <v/>
      </c>
      <c r="G1884" s="62">
        <f>SUMPRODUCT($C$1670:$V$1670,($C$305:$V$305=G$1703)*1,($C$6:$V$6="Praxis")*1)</f>
        <v/>
      </c>
      <c r="H1884" s="62">
        <f>SUMPRODUCT($C$1670:$V$1670,($C$305:$V$305=H$1703)*1,($C$6:$V$6="Praxis")*1)</f>
        <v/>
      </c>
      <c r="I1884" s="62">
        <f>SUMPRODUCT($C$1670:$V$1670,($C$305:$V$305=I$1703)*1,($C$6:$V$6="Praxis")*1)</f>
        <v/>
      </c>
      <c r="J1884" s="62">
        <f>SUMPRODUCT($C$1670:$V$1670,($C$305:$V$305=J$1703)*1,($C$6:$V$6="Praxis")*1)</f>
        <v/>
      </c>
    </row>
    <row r="1885">
      <c r="C1885" s="62">
        <f>SUMPRODUCT($C$1671:$V$1671,($C$306:$V$306=C$1703)*1,($C$6:$V$6="Praxis")*1)</f>
        <v/>
      </c>
      <c r="D1885" s="62">
        <f>SUMPRODUCT($C$1671:$V$1671,($C$306:$V$306=D$1703)*1,($C$6:$V$6="Praxis")*1)</f>
        <v/>
      </c>
      <c r="E1885" s="62">
        <f>SUMPRODUCT($C$1671:$V$1671,($C$306:$V$306=E$1703)*1,($C$6:$V$6="Praxis")*1)</f>
        <v/>
      </c>
      <c r="F1885" s="62">
        <f>SUMPRODUCT($C$1671:$V$1671,($C$306:$V$306=F$1703)*1,($C$6:$V$6="Praxis")*1)</f>
        <v/>
      </c>
      <c r="G1885" s="62">
        <f>SUMPRODUCT($C$1671:$V$1671,($C$306:$V$306=G$1703)*1,($C$6:$V$6="Praxis")*1)</f>
        <v/>
      </c>
      <c r="H1885" s="62">
        <f>SUMPRODUCT($C$1671:$V$1671,($C$306:$V$306=H$1703)*1,($C$6:$V$6="Praxis")*1)</f>
        <v/>
      </c>
      <c r="I1885" s="62">
        <f>SUMPRODUCT($C$1671:$V$1671,($C$306:$V$306=I$1703)*1,($C$6:$V$6="Praxis")*1)</f>
        <v/>
      </c>
      <c r="J1885" s="62">
        <f>SUMPRODUCT($C$1671:$V$1671,($C$306:$V$306=J$1703)*1,($C$6:$V$6="Praxis")*1)</f>
        <v/>
      </c>
    </row>
    <row r="1886">
      <c r="C1886" s="62">
        <f>SUMPRODUCT($C$1672:$V$1672,($C$307:$V$307=C$1703)*1,($C$6:$V$6="Praxis")*1)</f>
        <v/>
      </c>
      <c r="D1886" s="62">
        <f>SUMPRODUCT($C$1672:$V$1672,($C$307:$V$307=D$1703)*1,($C$6:$V$6="Praxis")*1)</f>
        <v/>
      </c>
      <c r="E1886" s="62">
        <f>SUMPRODUCT($C$1672:$V$1672,($C$307:$V$307=E$1703)*1,($C$6:$V$6="Praxis")*1)</f>
        <v/>
      </c>
      <c r="F1886" s="62">
        <f>SUMPRODUCT($C$1672:$V$1672,($C$307:$V$307=F$1703)*1,($C$6:$V$6="Praxis")*1)</f>
        <v/>
      </c>
      <c r="G1886" s="62">
        <f>SUMPRODUCT($C$1672:$V$1672,($C$307:$V$307=G$1703)*1,($C$6:$V$6="Praxis")*1)</f>
        <v/>
      </c>
      <c r="H1886" s="62">
        <f>SUMPRODUCT($C$1672:$V$1672,($C$307:$V$307=H$1703)*1,($C$6:$V$6="Praxis")*1)</f>
        <v/>
      </c>
      <c r="I1886" s="62">
        <f>SUMPRODUCT($C$1672:$V$1672,($C$307:$V$307=I$1703)*1,($C$6:$V$6="Praxis")*1)</f>
        <v/>
      </c>
      <c r="J1886" s="62">
        <f>SUMPRODUCT($C$1672:$V$1672,($C$307:$V$307=J$1703)*1,($C$6:$V$6="Praxis")*1)</f>
        <v/>
      </c>
    </row>
    <row r="1887">
      <c r="C1887" s="62">
        <f>SUMPRODUCT($C$1673:$V$1673,($C$308:$V$308=C$1703)*1,($C$6:$V$6="Praxis")*1)</f>
        <v/>
      </c>
      <c r="D1887" s="62">
        <f>SUMPRODUCT($C$1673:$V$1673,($C$308:$V$308=D$1703)*1,($C$6:$V$6="Praxis")*1)</f>
        <v/>
      </c>
      <c r="E1887" s="62">
        <f>SUMPRODUCT($C$1673:$V$1673,($C$308:$V$308=E$1703)*1,($C$6:$V$6="Praxis")*1)</f>
        <v/>
      </c>
      <c r="F1887" s="62">
        <f>SUMPRODUCT($C$1673:$V$1673,($C$308:$V$308=F$1703)*1,($C$6:$V$6="Praxis")*1)</f>
        <v/>
      </c>
      <c r="G1887" s="62">
        <f>SUMPRODUCT($C$1673:$V$1673,($C$308:$V$308=G$1703)*1,($C$6:$V$6="Praxis")*1)</f>
        <v/>
      </c>
      <c r="H1887" s="62">
        <f>SUMPRODUCT($C$1673:$V$1673,($C$308:$V$308=H$1703)*1,($C$6:$V$6="Praxis")*1)</f>
        <v/>
      </c>
      <c r="I1887" s="62">
        <f>SUMPRODUCT($C$1673:$V$1673,($C$308:$V$308=I$1703)*1,($C$6:$V$6="Praxis")*1)</f>
        <v/>
      </c>
      <c r="J1887" s="62">
        <f>SUMPRODUCT($C$1673:$V$1673,($C$308:$V$308=J$1703)*1,($C$6:$V$6="Praxis")*1)</f>
        <v/>
      </c>
    </row>
    <row r="1888">
      <c r="C1888" s="62">
        <f>SUMPRODUCT($C$1674:$V$1674,($C$309:$V$309=C$1703)*1,($C$6:$V$6="Praxis")*1)</f>
        <v/>
      </c>
      <c r="D1888" s="62">
        <f>SUMPRODUCT($C$1674:$V$1674,($C$309:$V$309=D$1703)*1,($C$6:$V$6="Praxis")*1)</f>
        <v/>
      </c>
      <c r="E1888" s="62">
        <f>SUMPRODUCT($C$1674:$V$1674,($C$309:$V$309=E$1703)*1,($C$6:$V$6="Praxis")*1)</f>
        <v/>
      </c>
      <c r="F1888" s="62">
        <f>SUMPRODUCT($C$1674:$V$1674,($C$309:$V$309=F$1703)*1,($C$6:$V$6="Praxis")*1)</f>
        <v/>
      </c>
      <c r="G1888" s="62">
        <f>SUMPRODUCT($C$1674:$V$1674,($C$309:$V$309=G$1703)*1,($C$6:$V$6="Praxis")*1)</f>
        <v/>
      </c>
      <c r="H1888" s="62">
        <f>SUMPRODUCT($C$1674:$V$1674,($C$309:$V$309=H$1703)*1,($C$6:$V$6="Praxis")*1)</f>
        <v/>
      </c>
      <c r="I1888" s="62">
        <f>SUMPRODUCT($C$1674:$V$1674,($C$309:$V$309=I$1703)*1,($C$6:$V$6="Praxis")*1)</f>
        <v/>
      </c>
      <c r="J1888" s="62">
        <f>SUMPRODUCT($C$1674:$V$1674,($C$309:$V$309=J$1703)*1,($C$6:$V$6="Praxis")*1)</f>
        <v/>
      </c>
    </row>
    <row r="1889">
      <c r="C1889" s="62">
        <f>SUMPRODUCT($C$1675:$V$1675,($C$310:$V$310=C$1703)*1,($C$6:$V$6="Praxis")*1)</f>
        <v/>
      </c>
      <c r="D1889" s="62">
        <f>SUMPRODUCT($C$1675:$V$1675,($C$310:$V$310=D$1703)*1,($C$6:$V$6="Praxis")*1)</f>
        <v/>
      </c>
      <c r="E1889" s="62">
        <f>SUMPRODUCT($C$1675:$V$1675,($C$310:$V$310=E$1703)*1,($C$6:$V$6="Praxis")*1)</f>
        <v/>
      </c>
      <c r="F1889" s="62">
        <f>SUMPRODUCT($C$1675:$V$1675,($C$310:$V$310=F$1703)*1,($C$6:$V$6="Praxis")*1)</f>
        <v/>
      </c>
      <c r="G1889" s="62">
        <f>SUMPRODUCT($C$1675:$V$1675,($C$310:$V$310=G$1703)*1,($C$6:$V$6="Praxis")*1)</f>
        <v/>
      </c>
      <c r="H1889" s="62">
        <f>SUMPRODUCT($C$1675:$V$1675,($C$310:$V$310=H$1703)*1,($C$6:$V$6="Praxis")*1)</f>
        <v/>
      </c>
      <c r="I1889" s="62">
        <f>SUMPRODUCT($C$1675:$V$1675,($C$310:$V$310=I$1703)*1,($C$6:$V$6="Praxis")*1)</f>
        <v/>
      </c>
      <c r="J1889" s="62">
        <f>SUMPRODUCT($C$1675:$V$1675,($C$310:$V$310=J$1703)*1,($C$6:$V$6="Praxis")*1)</f>
        <v/>
      </c>
    </row>
    <row r="1890">
      <c r="C1890" s="62">
        <f>SUMPRODUCT($C$1676:$V$1676,($C$311:$V$311=C$1703)*1,($C$6:$V$6="Praxis")*1)</f>
        <v/>
      </c>
      <c r="D1890" s="62">
        <f>SUMPRODUCT($C$1676:$V$1676,($C$311:$V$311=D$1703)*1,($C$6:$V$6="Praxis")*1)</f>
        <v/>
      </c>
      <c r="E1890" s="62">
        <f>SUMPRODUCT($C$1676:$V$1676,($C$311:$V$311=E$1703)*1,($C$6:$V$6="Praxis")*1)</f>
        <v/>
      </c>
      <c r="F1890" s="62">
        <f>SUMPRODUCT($C$1676:$V$1676,($C$311:$V$311=F$1703)*1,($C$6:$V$6="Praxis")*1)</f>
        <v/>
      </c>
      <c r="G1890" s="62">
        <f>SUMPRODUCT($C$1676:$V$1676,($C$311:$V$311=G$1703)*1,($C$6:$V$6="Praxis")*1)</f>
        <v/>
      </c>
      <c r="H1890" s="62">
        <f>SUMPRODUCT($C$1676:$V$1676,($C$311:$V$311=H$1703)*1,($C$6:$V$6="Praxis")*1)</f>
        <v/>
      </c>
      <c r="I1890" s="62">
        <f>SUMPRODUCT($C$1676:$V$1676,($C$311:$V$311=I$1703)*1,($C$6:$V$6="Praxis")*1)</f>
        <v/>
      </c>
      <c r="J1890" s="62">
        <f>SUMPRODUCT($C$1676:$V$1676,($C$311:$V$311=J$1703)*1,($C$6:$V$6="Praxis")*1)</f>
        <v/>
      </c>
    </row>
    <row r="1891">
      <c r="C1891" s="62">
        <f>SUMPRODUCT($C$1677:$V$1677,($C$312:$V$312=C$1703)*1,($C$6:$V$6="Praxis")*1)</f>
        <v/>
      </c>
      <c r="D1891" s="62">
        <f>SUMPRODUCT($C$1677:$V$1677,($C$312:$V$312=D$1703)*1,($C$6:$V$6="Praxis")*1)</f>
        <v/>
      </c>
      <c r="E1891" s="62">
        <f>SUMPRODUCT($C$1677:$V$1677,($C$312:$V$312=E$1703)*1,($C$6:$V$6="Praxis")*1)</f>
        <v/>
      </c>
      <c r="F1891" s="62">
        <f>SUMPRODUCT($C$1677:$V$1677,($C$312:$V$312=F$1703)*1,($C$6:$V$6="Praxis")*1)</f>
        <v/>
      </c>
      <c r="G1891" s="62">
        <f>SUMPRODUCT($C$1677:$V$1677,($C$312:$V$312=G$1703)*1,($C$6:$V$6="Praxis")*1)</f>
        <v/>
      </c>
      <c r="H1891" s="62">
        <f>SUMPRODUCT($C$1677:$V$1677,($C$312:$V$312=H$1703)*1,($C$6:$V$6="Praxis")*1)</f>
        <v/>
      </c>
      <c r="I1891" s="62">
        <f>SUMPRODUCT($C$1677:$V$1677,($C$312:$V$312=I$1703)*1,($C$6:$V$6="Praxis")*1)</f>
        <v/>
      </c>
      <c r="J1891" s="62">
        <f>SUMPRODUCT($C$1677:$V$1677,($C$312:$V$312=J$1703)*1,($C$6:$V$6="Praxis")*1)</f>
        <v/>
      </c>
    </row>
    <row r="1892">
      <c r="C1892" s="62">
        <f>SUMPRODUCT($C$1678:$V$1678,($C$313:$V$313=C$1703)*1,($C$6:$V$6="Praxis")*1)</f>
        <v/>
      </c>
      <c r="D1892" s="62">
        <f>SUMPRODUCT($C$1678:$V$1678,($C$313:$V$313=D$1703)*1,($C$6:$V$6="Praxis")*1)</f>
        <v/>
      </c>
      <c r="E1892" s="62">
        <f>SUMPRODUCT($C$1678:$V$1678,($C$313:$V$313=E$1703)*1,($C$6:$V$6="Praxis")*1)</f>
        <v/>
      </c>
      <c r="F1892" s="62">
        <f>SUMPRODUCT($C$1678:$V$1678,($C$313:$V$313=F$1703)*1,($C$6:$V$6="Praxis")*1)</f>
        <v/>
      </c>
      <c r="G1892" s="62">
        <f>SUMPRODUCT($C$1678:$V$1678,($C$313:$V$313=G$1703)*1,($C$6:$V$6="Praxis")*1)</f>
        <v/>
      </c>
      <c r="H1892" s="62">
        <f>SUMPRODUCT($C$1678:$V$1678,($C$313:$V$313=H$1703)*1,($C$6:$V$6="Praxis")*1)</f>
        <v/>
      </c>
      <c r="I1892" s="62">
        <f>SUMPRODUCT($C$1678:$V$1678,($C$313:$V$313=I$1703)*1,($C$6:$V$6="Praxis")*1)</f>
        <v/>
      </c>
      <c r="J1892" s="62">
        <f>SUMPRODUCT($C$1678:$V$1678,($C$313:$V$313=J$1703)*1,($C$6:$V$6="Praxis")*1)</f>
        <v/>
      </c>
    </row>
    <row r="1893">
      <c r="C1893" s="62">
        <f>SUMPRODUCT($C$1679:$V$1679,($C$314:$V$314=C$1703)*1,($C$6:$V$6="Praxis")*1)</f>
        <v/>
      </c>
      <c r="D1893" s="62">
        <f>SUMPRODUCT($C$1679:$V$1679,($C$314:$V$314=D$1703)*1,($C$6:$V$6="Praxis")*1)</f>
        <v/>
      </c>
      <c r="E1893" s="62">
        <f>SUMPRODUCT($C$1679:$V$1679,($C$314:$V$314=E$1703)*1,($C$6:$V$6="Praxis")*1)</f>
        <v/>
      </c>
      <c r="F1893" s="62">
        <f>SUMPRODUCT($C$1679:$V$1679,($C$314:$V$314=F$1703)*1,($C$6:$V$6="Praxis")*1)</f>
        <v/>
      </c>
      <c r="G1893" s="62">
        <f>SUMPRODUCT($C$1679:$V$1679,($C$314:$V$314=G$1703)*1,($C$6:$V$6="Praxis")*1)</f>
        <v/>
      </c>
      <c r="H1893" s="62">
        <f>SUMPRODUCT($C$1679:$V$1679,($C$314:$V$314=H$1703)*1,($C$6:$V$6="Praxis")*1)</f>
        <v/>
      </c>
      <c r="I1893" s="62">
        <f>SUMPRODUCT($C$1679:$V$1679,($C$314:$V$314=I$1703)*1,($C$6:$V$6="Praxis")*1)</f>
        <v/>
      </c>
      <c r="J1893" s="62">
        <f>SUMPRODUCT($C$1679:$V$1679,($C$314:$V$314=J$1703)*1,($C$6:$V$6="Praxis")*1)</f>
        <v/>
      </c>
    </row>
    <row r="1894">
      <c r="C1894" s="62">
        <f>SUMPRODUCT($C$1680:$V$1680,($C$315:$V$315=C$1703)*1,($C$6:$V$6="Praxis")*1)</f>
        <v/>
      </c>
      <c r="D1894" s="62">
        <f>SUMPRODUCT($C$1680:$V$1680,($C$315:$V$315=D$1703)*1,($C$6:$V$6="Praxis")*1)</f>
        <v/>
      </c>
      <c r="E1894" s="62">
        <f>SUMPRODUCT($C$1680:$V$1680,($C$315:$V$315=E$1703)*1,($C$6:$V$6="Praxis")*1)</f>
        <v/>
      </c>
      <c r="F1894" s="62">
        <f>SUMPRODUCT($C$1680:$V$1680,($C$315:$V$315=F$1703)*1,($C$6:$V$6="Praxis")*1)</f>
        <v/>
      </c>
      <c r="G1894" s="62">
        <f>SUMPRODUCT($C$1680:$V$1680,($C$315:$V$315=G$1703)*1,($C$6:$V$6="Praxis")*1)</f>
        <v/>
      </c>
      <c r="H1894" s="62">
        <f>SUMPRODUCT($C$1680:$V$1680,($C$315:$V$315=H$1703)*1,($C$6:$V$6="Praxis")*1)</f>
        <v/>
      </c>
      <c r="I1894" s="62">
        <f>SUMPRODUCT($C$1680:$V$1680,($C$315:$V$315=I$1703)*1,($C$6:$V$6="Praxis")*1)</f>
        <v/>
      </c>
      <c r="J1894" s="62">
        <f>SUMPRODUCT($C$1680:$V$1680,($C$315:$V$315=J$1703)*1,($C$6:$V$6="Praxis")*1)</f>
        <v/>
      </c>
    </row>
    <row r="1895">
      <c r="C1895" s="62">
        <f>SUMPRODUCT($C$1681:$V$1681,($C$316:$V$316=C$1703)*1,($C$6:$V$6="Praxis")*1)</f>
        <v/>
      </c>
      <c r="D1895" s="62">
        <f>SUMPRODUCT($C$1681:$V$1681,($C$316:$V$316=D$1703)*1,($C$6:$V$6="Praxis")*1)</f>
        <v/>
      </c>
      <c r="E1895" s="62">
        <f>SUMPRODUCT($C$1681:$V$1681,($C$316:$V$316=E$1703)*1,($C$6:$V$6="Praxis")*1)</f>
        <v/>
      </c>
      <c r="F1895" s="62">
        <f>SUMPRODUCT($C$1681:$V$1681,($C$316:$V$316=F$1703)*1,($C$6:$V$6="Praxis")*1)</f>
        <v/>
      </c>
      <c r="G1895" s="62">
        <f>SUMPRODUCT($C$1681:$V$1681,($C$316:$V$316=G$1703)*1,($C$6:$V$6="Praxis")*1)</f>
        <v/>
      </c>
      <c r="H1895" s="62">
        <f>SUMPRODUCT($C$1681:$V$1681,($C$316:$V$316=H$1703)*1,($C$6:$V$6="Praxis")*1)</f>
        <v/>
      </c>
      <c r="I1895" s="62">
        <f>SUMPRODUCT($C$1681:$V$1681,($C$316:$V$316=I$1703)*1,($C$6:$V$6="Praxis")*1)</f>
        <v/>
      </c>
      <c r="J1895" s="62">
        <f>SUMPRODUCT($C$1681:$V$1681,($C$316:$V$316=J$1703)*1,($C$6:$V$6="Praxis")*1)</f>
        <v/>
      </c>
    </row>
    <row r="1896">
      <c r="C1896" s="62">
        <f>SUMPRODUCT($C$1682:$V$1682,($C$317:$V$317=C$1703)*1,($C$6:$V$6="Praxis")*1)</f>
        <v/>
      </c>
      <c r="D1896" s="62">
        <f>SUMPRODUCT($C$1682:$V$1682,($C$317:$V$317=D$1703)*1,($C$6:$V$6="Praxis")*1)</f>
        <v/>
      </c>
      <c r="E1896" s="62">
        <f>SUMPRODUCT($C$1682:$V$1682,($C$317:$V$317=E$1703)*1,($C$6:$V$6="Praxis")*1)</f>
        <v/>
      </c>
      <c r="F1896" s="62">
        <f>SUMPRODUCT($C$1682:$V$1682,($C$317:$V$317=F$1703)*1,($C$6:$V$6="Praxis")*1)</f>
        <v/>
      </c>
      <c r="G1896" s="62">
        <f>SUMPRODUCT($C$1682:$V$1682,($C$317:$V$317=G$1703)*1,($C$6:$V$6="Praxis")*1)</f>
        <v/>
      </c>
      <c r="H1896" s="62">
        <f>SUMPRODUCT($C$1682:$V$1682,($C$317:$V$317=H$1703)*1,($C$6:$V$6="Praxis")*1)</f>
        <v/>
      </c>
      <c r="I1896" s="62">
        <f>SUMPRODUCT($C$1682:$V$1682,($C$317:$V$317=I$1703)*1,($C$6:$V$6="Praxis")*1)</f>
        <v/>
      </c>
      <c r="J1896" s="62">
        <f>SUMPRODUCT($C$1682:$V$1682,($C$317:$V$317=J$1703)*1,($C$6:$V$6="Praxis")*1)</f>
        <v/>
      </c>
    </row>
    <row r="1897">
      <c r="C1897" s="62">
        <f>SUMPRODUCT($C$1683:$V$1683,($C$318:$V$318=C$1703)*1,($C$6:$V$6="Praxis")*1)</f>
        <v/>
      </c>
      <c r="D1897" s="62">
        <f>SUMPRODUCT($C$1683:$V$1683,($C$318:$V$318=D$1703)*1,($C$6:$V$6="Praxis")*1)</f>
        <v/>
      </c>
      <c r="E1897" s="62">
        <f>SUMPRODUCT($C$1683:$V$1683,($C$318:$V$318=E$1703)*1,($C$6:$V$6="Praxis")*1)</f>
        <v/>
      </c>
      <c r="F1897" s="62">
        <f>SUMPRODUCT($C$1683:$V$1683,($C$318:$V$318=F$1703)*1,($C$6:$V$6="Praxis")*1)</f>
        <v/>
      </c>
      <c r="G1897" s="62">
        <f>SUMPRODUCT($C$1683:$V$1683,($C$318:$V$318=G$1703)*1,($C$6:$V$6="Praxis")*1)</f>
        <v/>
      </c>
      <c r="H1897" s="62">
        <f>SUMPRODUCT($C$1683:$V$1683,($C$318:$V$318=H$1703)*1,($C$6:$V$6="Praxis")*1)</f>
        <v/>
      </c>
      <c r="I1897" s="62">
        <f>SUMPRODUCT($C$1683:$V$1683,($C$318:$V$318=I$1703)*1,($C$6:$V$6="Praxis")*1)</f>
        <v/>
      </c>
      <c r="J1897" s="62">
        <f>SUMPRODUCT($C$1683:$V$1683,($C$318:$V$318=J$1703)*1,($C$6:$V$6="Praxis")*1)</f>
        <v/>
      </c>
    </row>
    <row r="1898">
      <c r="C1898" s="62">
        <f>SUMPRODUCT($C$1684:$V$1684,($C$319:$V$319=C$1703)*1,($C$6:$V$6="Praxis")*1)</f>
        <v/>
      </c>
      <c r="D1898" s="62">
        <f>SUMPRODUCT($C$1684:$V$1684,($C$319:$V$319=D$1703)*1,($C$6:$V$6="Praxis")*1)</f>
        <v/>
      </c>
      <c r="E1898" s="62">
        <f>SUMPRODUCT($C$1684:$V$1684,($C$319:$V$319=E$1703)*1,($C$6:$V$6="Praxis")*1)</f>
        <v/>
      </c>
      <c r="F1898" s="62">
        <f>SUMPRODUCT($C$1684:$V$1684,($C$319:$V$319=F$1703)*1,($C$6:$V$6="Praxis")*1)</f>
        <v/>
      </c>
      <c r="G1898" s="62">
        <f>SUMPRODUCT($C$1684:$V$1684,($C$319:$V$319=G$1703)*1,($C$6:$V$6="Praxis")*1)</f>
        <v/>
      </c>
      <c r="H1898" s="62">
        <f>SUMPRODUCT($C$1684:$V$1684,($C$319:$V$319=H$1703)*1,($C$6:$V$6="Praxis")*1)</f>
        <v/>
      </c>
      <c r="I1898" s="62">
        <f>SUMPRODUCT($C$1684:$V$1684,($C$319:$V$319=I$1703)*1,($C$6:$V$6="Praxis")*1)</f>
        <v/>
      </c>
      <c r="J1898" s="62">
        <f>SUMPRODUCT($C$1684:$V$1684,($C$319:$V$319=J$1703)*1,($C$6:$V$6="Praxis")*1)</f>
        <v/>
      </c>
    </row>
    <row r="1899">
      <c r="C1899" s="62">
        <f>SUMPRODUCT($C$1685:$V$1685,($C$320:$V$320=C$1703)*1,($C$6:$V$6="Praxis")*1)</f>
        <v/>
      </c>
      <c r="D1899" s="62">
        <f>SUMPRODUCT($C$1685:$V$1685,($C$320:$V$320=D$1703)*1,($C$6:$V$6="Praxis")*1)</f>
        <v/>
      </c>
      <c r="E1899" s="62">
        <f>SUMPRODUCT($C$1685:$V$1685,($C$320:$V$320=E$1703)*1,($C$6:$V$6="Praxis")*1)</f>
        <v/>
      </c>
      <c r="F1899" s="62">
        <f>SUMPRODUCT($C$1685:$V$1685,($C$320:$V$320=F$1703)*1,($C$6:$V$6="Praxis")*1)</f>
        <v/>
      </c>
      <c r="G1899" s="62">
        <f>SUMPRODUCT($C$1685:$V$1685,($C$320:$V$320=G$1703)*1,($C$6:$V$6="Praxis")*1)</f>
        <v/>
      </c>
      <c r="H1899" s="62">
        <f>SUMPRODUCT($C$1685:$V$1685,($C$320:$V$320=H$1703)*1,($C$6:$V$6="Praxis")*1)</f>
        <v/>
      </c>
      <c r="I1899" s="62">
        <f>SUMPRODUCT($C$1685:$V$1685,($C$320:$V$320=I$1703)*1,($C$6:$V$6="Praxis")*1)</f>
        <v/>
      </c>
      <c r="J1899" s="62">
        <f>SUMPRODUCT($C$1685:$V$1685,($C$320:$V$320=J$1703)*1,($C$6:$V$6="Praxis")*1)</f>
        <v/>
      </c>
    </row>
    <row r="1900">
      <c r="C1900" s="62">
        <f>SUMPRODUCT($C$1686:$V$1686,($C$321:$V$321=C$1703)*1,($C$6:$V$6="Praxis")*1)</f>
        <v/>
      </c>
      <c r="D1900" s="62">
        <f>SUMPRODUCT($C$1686:$V$1686,($C$321:$V$321=D$1703)*1,($C$6:$V$6="Praxis")*1)</f>
        <v/>
      </c>
      <c r="E1900" s="62">
        <f>SUMPRODUCT($C$1686:$V$1686,($C$321:$V$321=E$1703)*1,($C$6:$V$6="Praxis")*1)</f>
        <v/>
      </c>
      <c r="F1900" s="62">
        <f>SUMPRODUCT($C$1686:$V$1686,($C$321:$V$321=F$1703)*1,($C$6:$V$6="Praxis")*1)</f>
        <v/>
      </c>
      <c r="G1900" s="62">
        <f>SUMPRODUCT($C$1686:$V$1686,($C$321:$V$321=G$1703)*1,($C$6:$V$6="Praxis")*1)</f>
        <v/>
      </c>
      <c r="H1900" s="62">
        <f>SUMPRODUCT($C$1686:$V$1686,($C$321:$V$321=H$1703)*1,($C$6:$V$6="Praxis")*1)</f>
        <v/>
      </c>
      <c r="I1900" s="62">
        <f>SUMPRODUCT($C$1686:$V$1686,($C$321:$V$321=I$1703)*1,($C$6:$V$6="Praxis")*1)</f>
        <v/>
      </c>
      <c r="J1900" s="62">
        <f>SUMPRODUCT($C$1686:$V$1686,($C$321:$V$321=J$1703)*1,($C$6:$V$6="Praxis")*1)</f>
        <v/>
      </c>
    </row>
    <row r="1901">
      <c r="C1901" s="62">
        <f>SUMPRODUCT($C$1687:$V$1687,($C$322:$V$322=C$1703)*1,($C$6:$V$6="Praxis")*1)</f>
        <v/>
      </c>
      <c r="D1901" s="62">
        <f>SUMPRODUCT($C$1687:$V$1687,($C$322:$V$322=D$1703)*1,($C$6:$V$6="Praxis")*1)</f>
        <v/>
      </c>
      <c r="E1901" s="62">
        <f>SUMPRODUCT($C$1687:$V$1687,($C$322:$V$322=E$1703)*1,($C$6:$V$6="Praxis")*1)</f>
        <v/>
      </c>
      <c r="F1901" s="62">
        <f>SUMPRODUCT($C$1687:$V$1687,($C$322:$V$322=F$1703)*1,($C$6:$V$6="Praxis")*1)</f>
        <v/>
      </c>
      <c r="G1901" s="62">
        <f>SUMPRODUCT($C$1687:$V$1687,($C$322:$V$322=G$1703)*1,($C$6:$V$6="Praxis")*1)</f>
        <v/>
      </c>
      <c r="H1901" s="62">
        <f>SUMPRODUCT($C$1687:$V$1687,($C$322:$V$322=H$1703)*1,($C$6:$V$6="Praxis")*1)</f>
        <v/>
      </c>
      <c r="I1901" s="62">
        <f>SUMPRODUCT($C$1687:$V$1687,($C$322:$V$322=I$1703)*1,($C$6:$V$6="Praxis")*1)</f>
        <v/>
      </c>
      <c r="J1901" s="62">
        <f>SUMPRODUCT($C$1687:$V$1687,($C$322:$V$322=J$1703)*1,($C$6:$V$6="Praxis")*1)</f>
        <v/>
      </c>
    </row>
    <row r="1902">
      <c r="C1902" s="62">
        <f>SUMPRODUCT($C$1688:$V$1688,($C$323:$V$323=C$1703)*1,($C$6:$V$6="Praxis")*1)</f>
        <v/>
      </c>
      <c r="D1902" s="62">
        <f>SUMPRODUCT($C$1688:$V$1688,($C$323:$V$323=D$1703)*1,($C$6:$V$6="Praxis")*1)</f>
        <v/>
      </c>
      <c r="E1902" s="62">
        <f>SUMPRODUCT($C$1688:$V$1688,($C$323:$V$323=E$1703)*1,($C$6:$V$6="Praxis")*1)</f>
        <v/>
      </c>
      <c r="F1902" s="62">
        <f>SUMPRODUCT($C$1688:$V$1688,($C$323:$V$323=F$1703)*1,($C$6:$V$6="Praxis")*1)</f>
        <v/>
      </c>
      <c r="G1902" s="62">
        <f>SUMPRODUCT($C$1688:$V$1688,($C$323:$V$323=G$1703)*1,($C$6:$V$6="Praxis")*1)</f>
        <v/>
      </c>
      <c r="H1902" s="62">
        <f>SUMPRODUCT($C$1688:$V$1688,($C$323:$V$323=H$1703)*1,($C$6:$V$6="Praxis")*1)</f>
        <v/>
      </c>
      <c r="I1902" s="62">
        <f>SUMPRODUCT($C$1688:$V$1688,($C$323:$V$323=I$1703)*1,($C$6:$V$6="Praxis")*1)</f>
        <v/>
      </c>
      <c r="J1902" s="62">
        <f>SUMPRODUCT($C$1688:$V$1688,($C$323:$V$323=J$1703)*1,($C$6:$V$6="Praxis")*1)</f>
        <v/>
      </c>
    </row>
    <row r="1903">
      <c r="C1903" s="62">
        <f>SUMPRODUCT($C$1689:$V$1689,($C$324:$V$324=C$1703)*1,($C$6:$V$6="Praxis")*1)</f>
        <v/>
      </c>
      <c r="D1903" s="62">
        <f>SUMPRODUCT($C$1689:$V$1689,($C$324:$V$324=D$1703)*1,($C$6:$V$6="Praxis")*1)</f>
        <v/>
      </c>
      <c r="E1903" s="62">
        <f>SUMPRODUCT($C$1689:$V$1689,($C$324:$V$324=E$1703)*1,($C$6:$V$6="Praxis")*1)</f>
        <v/>
      </c>
      <c r="F1903" s="62">
        <f>SUMPRODUCT($C$1689:$V$1689,($C$324:$V$324=F$1703)*1,($C$6:$V$6="Praxis")*1)</f>
        <v/>
      </c>
      <c r="G1903" s="62">
        <f>SUMPRODUCT($C$1689:$V$1689,($C$324:$V$324=G$1703)*1,($C$6:$V$6="Praxis")*1)</f>
        <v/>
      </c>
      <c r="H1903" s="62">
        <f>SUMPRODUCT($C$1689:$V$1689,($C$324:$V$324=H$1703)*1,($C$6:$V$6="Praxis")*1)</f>
        <v/>
      </c>
      <c r="I1903" s="62">
        <f>SUMPRODUCT($C$1689:$V$1689,($C$324:$V$324=I$1703)*1,($C$6:$V$6="Praxis")*1)</f>
        <v/>
      </c>
      <c r="J1903" s="62">
        <f>SUMPRODUCT($C$1689:$V$1689,($C$324:$V$324=J$1703)*1,($C$6:$V$6="Praxis")*1)</f>
        <v/>
      </c>
    </row>
    <row r="1904">
      <c r="C1904" s="62">
        <f>SUMPRODUCT($C$1690:$V$1690,($C$325:$V$325=C$1703)*1,($C$6:$V$6="Praxis")*1)</f>
        <v/>
      </c>
      <c r="D1904" s="62">
        <f>SUMPRODUCT($C$1690:$V$1690,($C$325:$V$325=D$1703)*1,($C$6:$V$6="Praxis")*1)</f>
        <v/>
      </c>
      <c r="E1904" s="62">
        <f>SUMPRODUCT($C$1690:$V$1690,($C$325:$V$325=E$1703)*1,($C$6:$V$6="Praxis")*1)</f>
        <v/>
      </c>
      <c r="F1904" s="62">
        <f>SUMPRODUCT($C$1690:$V$1690,($C$325:$V$325=F$1703)*1,($C$6:$V$6="Praxis")*1)</f>
        <v/>
      </c>
      <c r="G1904" s="62">
        <f>SUMPRODUCT($C$1690:$V$1690,($C$325:$V$325=G$1703)*1,($C$6:$V$6="Praxis")*1)</f>
        <v/>
      </c>
      <c r="H1904" s="62">
        <f>SUMPRODUCT($C$1690:$V$1690,($C$325:$V$325=H$1703)*1,($C$6:$V$6="Praxis")*1)</f>
        <v/>
      </c>
      <c r="I1904" s="62">
        <f>SUMPRODUCT($C$1690:$V$1690,($C$325:$V$325=I$1703)*1,($C$6:$V$6="Praxis")*1)</f>
        <v/>
      </c>
      <c r="J1904" s="62">
        <f>SUMPRODUCT($C$1690:$V$1690,($C$325:$V$325=J$1703)*1,($C$6:$V$6="Praxis")*1)</f>
        <v/>
      </c>
    </row>
    <row r="1905">
      <c r="C1905" s="62">
        <f>SUMPRODUCT($C$1691:$V$1691,($C$326:$V$326=C$1703)*1,($C$6:$V$6="Praxis")*1)</f>
        <v/>
      </c>
      <c r="D1905" s="62">
        <f>SUMPRODUCT($C$1691:$V$1691,($C$326:$V$326=D$1703)*1,($C$6:$V$6="Praxis")*1)</f>
        <v/>
      </c>
      <c r="E1905" s="62">
        <f>SUMPRODUCT($C$1691:$V$1691,($C$326:$V$326=E$1703)*1,($C$6:$V$6="Praxis")*1)</f>
        <v/>
      </c>
      <c r="F1905" s="62">
        <f>SUMPRODUCT($C$1691:$V$1691,($C$326:$V$326=F$1703)*1,($C$6:$V$6="Praxis")*1)</f>
        <v/>
      </c>
      <c r="G1905" s="62">
        <f>SUMPRODUCT($C$1691:$V$1691,($C$326:$V$326=G$1703)*1,($C$6:$V$6="Praxis")*1)</f>
        <v/>
      </c>
      <c r="H1905" s="62">
        <f>SUMPRODUCT($C$1691:$V$1691,($C$326:$V$326=H$1703)*1,($C$6:$V$6="Praxis")*1)</f>
        <v/>
      </c>
      <c r="I1905" s="62">
        <f>SUMPRODUCT($C$1691:$V$1691,($C$326:$V$326=I$1703)*1,($C$6:$V$6="Praxis")*1)</f>
        <v/>
      </c>
      <c r="J1905" s="62">
        <f>SUMPRODUCT($C$1691:$V$1691,($C$326:$V$326=J$1703)*1,($C$6:$V$6="Praxis")*1)</f>
        <v/>
      </c>
    </row>
    <row r="1906">
      <c r="C1906" s="62">
        <f>SUMPRODUCT($C$1692:$V$1692,($C$327:$V$327=C$1703)*1,($C$6:$V$6="Praxis")*1)</f>
        <v/>
      </c>
      <c r="D1906" s="62">
        <f>SUMPRODUCT($C$1692:$V$1692,($C$327:$V$327=D$1703)*1,($C$6:$V$6="Praxis")*1)</f>
        <v/>
      </c>
      <c r="E1906" s="62">
        <f>SUMPRODUCT($C$1692:$V$1692,($C$327:$V$327=E$1703)*1,($C$6:$V$6="Praxis")*1)</f>
        <v/>
      </c>
      <c r="F1906" s="62">
        <f>SUMPRODUCT($C$1692:$V$1692,($C$327:$V$327=F$1703)*1,($C$6:$V$6="Praxis")*1)</f>
        <v/>
      </c>
      <c r="G1906" s="62">
        <f>SUMPRODUCT($C$1692:$V$1692,($C$327:$V$327=G$1703)*1,($C$6:$V$6="Praxis")*1)</f>
        <v/>
      </c>
      <c r="H1906" s="62">
        <f>SUMPRODUCT($C$1692:$V$1692,($C$327:$V$327=H$1703)*1,($C$6:$V$6="Praxis")*1)</f>
        <v/>
      </c>
      <c r="I1906" s="62">
        <f>SUMPRODUCT($C$1692:$V$1692,($C$327:$V$327=I$1703)*1,($C$6:$V$6="Praxis")*1)</f>
        <v/>
      </c>
      <c r="J1906" s="62">
        <f>SUMPRODUCT($C$1692:$V$1692,($C$327:$V$327=J$1703)*1,($C$6:$V$6="Praxis")*1)</f>
        <v/>
      </c>
    </row>
    <row r="1907">
      <c r="C1907" s="62">
        <f>SUMPRODUCT($C$1693:$V$1693,($C$328:$V$328=C$1703)*1,($C$6:$V$6="Praxis")*1)</f>
        <v/>
      </c>
      <c r="D1907" s="62">
        <f>SUMPRODUCT($C$1693:$V$1693,($C$328:$V$328=D$1703)*1,($C$6:$V$6="Praxis")*1)</f>
        <v/>
      </c>
      <c r="E1907" s="62">
        <f>SUMPRODUCT($C$1693:$V$1693,($C$328:$V$328=E$1703)*1,($C$6:$V$6="Praxis")*1)</f>
        <v/>
      </c>
      <c r="F1907" s="62">
        <f>SUMPRODUCT($C$1693:$V$1693,($C$328:$V$328=F$1703)*1,($C$6:$V$6="Praxis")*1)</f>
        <v/>
      </c>
      <c r="G1907" s="62">
        <f>SUMPRODUCT($C$1693:$V$1693,($C$328:$V$328=G$1703)*1,($C$6:$V$6="Praxis")*1)</f>
        <v/>
      </c>
      <c r="H1907" s="62">
        <f>SUMPRODUCT($C$1693:$V$1693,($C$328:$V$328=H$1703)*1,($C$6:$V$6="Praxis")*1)</f>
        <v/>
      </c>
      <c r="I1907" s="62">
        <f>SUMPRODUCT($C$1693:$V$1693,($C$328:$V$328=I$1703)*1,($C$6:$V$6="Praxis")*1)</f>
        <v/>
      </c>
      <c r="J1907" s="62">
        <f>SUMPRODUCT($C$1693:$V$1693,($C$328:$V$328=J$1703)*1,($C$6:$V$6="Praxis")*1)</f>
        <v/>
      </c>
    </row>
    <row r="1908">
      <c r="C1908" s="62">
        <f>SUMPRODUCT($C$1694:$V$1694,($C$329:$V$329=C$1703)*1,($C$6:$V$6="Praxis")*1)</f>
        <v/>
      </c>
      <c r="D1908" s="62">
        <f>SUMPRODUCT($C$1694:$V$1694,($C$329:$V$329=D$1703)*1,($C$6:$V$6="Praxis")*1)</f>
        <v/>
      </c>
      <c r="E1908" s="62">
        <f>SUMPRODUCT($C$1694:$V$1694,($C$329:$V$329=E$1703)*1,($C$6:$V$6="Praxis")*1)</f>
        <v/>
      </c>
      <c r="F1908" s="62">
        <f>SUMPRODUCT($C$1694:$V$1694,($C$329:$V$329=F$1703)*1,($C$6:$V$6="Praxis")*1)</f>
        <v/>
      </c>
      <c r="G1908" s="62">
        <f>SUMPRODUCT($C$1694:$V$1694,($C$329:$V$329=G$1703)*1,($C$6:$V$6="Praxis")*1)</f>
        <v/>
      </c>
      <c r="H1908" s="62">
        <f>SUMPRODUCT($C$1694:$V$1694,($C$329:$V$329=H$1703)*1,($C$6:$V$6="Praxis")*1)</f>
        <v/>
      </c>
      <c r="I1908" s="62">
        <f>SUMPRODUCT($C$1694:$V$1694,($C$329:$V$329=I$1703)*1,($C$6:$V$6="Praxis")*1)</f>
        <v/>
      </c>
      <c r="J1908" s="62">
        <f>SUMPRODUCT($C$1694:$V$1694,($C$329:$V$329=J$1703)*1,($C$6:$V$6="Praxis")*1)</f>
        <v/>
      </c>
    </row>
    <row r="1913">
      <c r="A1913" s="171" t="inlineStr">
        <is>
          <t>HJ anzT</t>
        </is>
      </c>
    </row>
    <row r="1914">
      <c r="C1914" s="62">
        <f>SUMPRODUCT($C$1595:$V$1595,($C$230:$V$230=C$1703)*1,($C$6:$V$6="Theorie")*1)</f>
        <v/>
      </c>
      <c r="D1914" s="62">
        <f>SUMPRODUCT($C$1595:$V$1595,($C$230:$V$230=D$1703)*1,($C$6:$V$6="Theorie")*1)</f>
        <v/>
      </c>
      <c r="E1914" s="62">
        <f>SUMPRODUCT($C$1595:$V$1595,($C$230:$V$230=E$1703)*1,($C$6:$V$6="Theorie")*1)</f>
        <v/>
      </c>
      <c r="F1914" s="62">
        <f>SUMPRODUCT($C$1595:$V$1595,($C$230:$V$230=F$1703)*1,($C$6:$V$6="Theorie")*1)</f>
        <v/>
      </c>
      <c r="G1914" s="62">
        <f>SUMPRODUCT($C$1595:$V$1595,($C$230:$V$230=G$1703)*1,($C$6:$V$6="Theorie")*1)</f>
        <v/>
      </c>
      <c r="H1914" s="62">
        <f>SUMPRODUCT($C$1595:$V$1595,($C$230:$V$230=H$1703)*1,($C$6:$V$6="Theorie")*1)</f>
        <v/>
      </c>
      <c r="I1914" s="62">
        <f>SUMPRODUCT($C$1595:$V$1595,($C$230:$V$230=I$1703)*1,($C$6:$V$6="Theorie")*1)</f>
        <v/>
      </c>
      <c r="J1914" s="62">
        <f>SUMPRODUCT($C$1595:$V$1595,($C$230:$V$230=J$1703)*1,($C$6:$V$6="Theorie")*1)</f>
        <v/>
      </c>
    </row>
    <row r="1915">
      <c r="C1915" s="62">
        <f>SUMPRODUCT($C$1596:$V$1596,($C$231:$V$231=C$1703)*1,($C$6:$V$6="Theorie")*1)</f>
        <v/>
      </c>
      <c r="D1915" s="62">
        <f>SUMPRODUCT($C$1596:$V$1596,($C$231:$V$231=D$1703)*1,($C$6:$V$6="Theorie")*1)</f>
        <v/>
      </c>
      <c r="E1915" s="62">
        <f>SUMPRODUCT($C$1596:$V$1596,($C$231:$V$231=E$1703)*1,($C$6:$V$6="Theorie")*1)</f>
        <v/>
      </c>
      <c r="F1915" s="62">
        <f>SUMPRODUCT($C$1596:$V$1596,($C$231:$V$231=F$1703)*1,($C$6:$V$6="Theorie")*1)</f>
        <v/>
      </c>
      <c r="G1915" s="62">
        <f>SUMPRODUCT($C$1596:$V$1596,($C$231:$V$231=G$1703)*1,($C$6:$V$6="Theorie")*1)</f>
        <v/>
      </c>
      <c r="H1915" s="62">
        <f>SUMPRODUCT($C$1596:$V$1596,($C$231:$V$231=H$1703)*1,($C$6:$V$6="Theorie")*1)</f>
        <v/>
      </c>
      <c r="I1915" s="62">
        <f>SUMPRODUCT($C$1596:$V$1596,($C$231:$V$231=I$1703)*1,($C$6:$V$6="Theorie")*1)</f>
        <v/>
      </c>
      <c r="J1915" s="62">
        <f>SUMPRODUCT($C$1596:$V$1596,($C$231:$V$231=J$1703)*1,($C$6:$V$6="Theorie")*1)</f>
        <v/>
      </c>
    </row>
    <row r="1916">
      <c r="C1916" s="62">
        <f>SUMPRODUCT($C$1597:$V$1597,($C$232:$V$232=C$1703)*1,($C$6:$V$6="Theorie")*1)</f>
        <v/>
      </c>
      <c r="D1916" s="62">
        <f>SUMPRODUCT($C$1597:$V$1597,($C$232:$V$232=D$1703)*1,($C$6:$V$6="Theorie")*1)</f>
        <v/>
      </c>
      <c r="E1916" s="62">
        <f>SUMPRODUCT($C$1597:$V$1597,($C$232:$V$232=E$1703)*1,($C$6:$V$6="Theorie")*1)</f>
        <v/>
      </c>
      <c r="F1916" s="62">
        <f>SUMPRODUCT($C$1597:$V$1597,($C$232:$V$232=F$1703)*1,($C$6:$V$6="Theorie")*1)</f>
        <v/>
      </c>
      <c r="G1916" s="62">
        <f>SUMPRODUCT($C$1597:$V$1597,($C$232:$V$232=G$1703)*1,($C$6:$V$6="Theorie")*1)</f>
        <v/>
      </c>
      <c r="H1916" s="62">
        <f>SUMPRODUCT($C$1597:$V$1597,($C$232:$V$232=H$1703)*1,($C$6:$V$6="Theorie")*1)</f>
        <v/>
      </c>
      <c r="I1916" s="62">
        <f>SUMPRODUCT($C$1597:$V$1597,($C$232:$V$232=I$1703)*1,($C$6:$V$6="Theorie")*1)</f>
        <v/>
      </c>
      <c r="J1916" s="62">
        <f>SUMPRODUCT($C$1597:$V$1597,($C$232:$V$232=J$1703)*1,($C$6:$V$6="Theorie")*1)</f>
        <v/>
      </c>
    </row>
    <row r="1917">
      <c r="C1917" s="62">
        <f>SUMPRODUCT($C$1598:$V$1598,($C$233:$V$233=C$1703)*1,($C$6:$V$6="Theorie")*1)</f>
        <v/>
      </c>
      <c r="D1917" s="62">
        <f>SUMPRODUCT($C$1598:$V$1598,($C$233:$V$233=D$1703)*1,($C$6:$V$6="Theorie")*1)</f>
        <v/>
      </c>
      <c r="E1917" s="62">
        <f>SUMPRODUCT($C$1598:$V$1598,($C$233:$V$233=E$1703)*1,($C$6:$V$6="Theorie")*1)</f>
        <v/>
      </c>
      <c r="F1917" s="62">
        <f>SUMPRODUCT($C$1598:$V$1598,($C$233:$V$233=F$1703)*1,($C$6:$V$6="Theorie")*1)</f>
        <v/>
      </c>
      <c r="G1917" s="62">
        <f>SUMPRODUCT($C$1598:$V$1598,($C$233:$V$233=G$1703)*1,($C$6:$V$6="Theorie")*1)</f>
        <v/>
      </c>
      <c r="H1917" s="62">
        <f>SUMPRODUCT($C$1598:$V$1598,($C$233:$V$233=H$1703)*1,($C$6:$V$6="Theorie")*1)</f>
        <v/>
      </c>
      <c r="I1917" s="62">
        <f>SUMPRODUCT($C$1598:$V$1598,($C$233:$V$233=I$1703)*1,($C$6:$V$6="Theorie")*1)</f>
        <v/>
      </c>
      <c r="J1917" s="62">
        <f>SUMPRODUCT($C$1598:$V$1598,($C$233:$V$233=J$1703)*1,($C$6:$V$6="Theorie")*1)</f>
        <v/>
      </c>
    </row>
    <row r="1918">
      <c r="C1918" s="62">
        <f>SUMPRODUCT($C$1599:$V$1599,($C$234:$V$234=C$1703)*1,($C$6:$V$6="Theorie")*1)</f>
        <v/>
      </c>
      <c r="D1918" s="62">
        <f>SUMPRODUCT($C$1599:$V$1599,($C$234:$V$234=D$1703)*1,($C$6:$V$6="Theorie")*1)</f>
        <v/>
      </c>
      <c r="E1918" s="62">
        <f>SUMPRODUCT($C$1599:$V$1599,($C$234:$V$234=E$1703)*1,($C$6:$V$6="Theorie")*1)</f>
        <v/>
      </c>
      <c r="F1918" s="62">
        <f>SUMPRODUCT($C$1599:$V$1599,($C$234:$V$234=F$1703)*1,($C$6:$V$6="Theorie")*1)</f>
        <v/>
      </c>
      <c r="G1918" s="62">
        <f>SUMPRODUCT($C$1599:$V$1599,($C$234:$V$234=G$1703)*1,($C$6:$V$6="Theorie")*1)</f>
        <v/>
      </c>
      <c r="H1918" s="62">
        <f>SUMPRODUCT($C$1599:$V$1599,($C$234:$V$234=H$1703)*1,($C$6:$V$6="Theorie")*1)</f>
        <v/>
      </c>
      <c r="I1918" s="62">
        <f>SUMPRODUCT($C$1599:$V$1599,($C$234:$V$234=I$1703)*1,($C$6:$V$6="Theorie")*1)</f>
        <v/>
      </c>
      <c r="J1918" s="62">
        <f>SUMPRODUCT($C$1599:$V$1599,($C$234:$V$234=J$1703)*1,($C$6:$V$6="Theorie")*1)</f>
        <v/>
      </c>
    </row>
    <row r="1919">
      <c r="C1919" s="62">
        <f>SUMPRODUCT($C$1600:$V$1600,($C$235:$V$235=C$1703)*1,($C$6:$V$6="Theorie")*1)</f>
        <v/>
      </c>
      <c r="D1919" s="62">
        <f>SUMPRODUCT($C$1600:$V$1600,($C$235:$V$235=D$1703)*1,($C$6:$V$6="Theorie")*1)</f>
        <v/>
      </c>
      <c r="E1919" s="62">
        <f>SUMPRODUCT($C$1600:$V$1600,($C$235:$V$235=E$1703)*1,($C$6:$V$6="Theorie")*1)</f>
        <v/>
      </c>
      <c r="F1919" s="62">
        <f>SUMPRODUCT($C$1600:$V$1600,($C$235:$V$235=F$1703)*1,($C$6:$V$6="Theorie")*1)</f>
        <v/>
      </c>
      <c r="G1919" s="62">
        <f>SUMPRODUCT($C$1600:$V$1600,($C$235:$V$235=G$1703)*1,($C$6:$V$6="Theorie")*1)</f>
        <v/>
      </c>
      <c r="H1919" s="62">
        <f>SUMPRODUCT($C$1600:$V$1600,($C$235:$V$235=H$1703)*1,($C$6:$V$6="Theorie")*1)</f>
        <v/>
      </c>
      <c r="I1919" s="62">
        <f>SUMPRODUCT($C$1600:$V$1600,($C$235:$V$235=I$1703)*1,($C$6:$V$6="Theorie")*1)</f>
        <v/>
      </c>
      <c r="J1919" s="62">
        <f>SUMPRODUCT($C$1600:$V$1600,($C$235:$V$235=J$1703)*1,($C$6:$V$6="Theorie")*1)</f>
        <v/>
      </c>
    </row>
    <row r="1920">
      <c r="C1920" s="62">
        <f>SUMPRODUCT($C$1601:$V$1601,($C$236:$V$236=C$1703)*1,($C$6:$V$6="Theorie")*1)</f>
        <v/>
      </c>
      <c r="D1920" s="62">
        <f>SUMPRODUCT($C$1601:$V$1601,($C$236:$V$236=D$1703)*1,($C$6:$V$6="Theorie")*1)</f>
        <v/>
      </c>
      <c r="E1920" s="62">
        <f>SUMPRODUCT($C$1601:$V$1601,($C$236:$V$236=E$1703)*1,($C$6:$V$6="Theorie")*1)</f>
        <v/>
      </c>
      <c r="F1920" s="62">
        <f>SUMPRODUCT($C$1601:$V$1601,($C$236:$V$236=F$1703)*1,($C$6:$V$6="Theorie")*1)</f>
        <v/>
      </c>
      <c r="G1920" s="62">
        <f>SUMPRODUCT($C$1601:$V$1601,($C$236:$V$236=G$1703)*1,($C$6:$V$6="Theorie")*1)</f>
        <v/>
      </c>
      <c r="H1920" s="62">
        <f>SUMPRODUCT($C$1601:$V$1601,($C$236:$V$236=H$1703)*1,($C$6:$V$6="Theorie")*1)</f>
        <v/>
      </c>
      <c r="I1920" s="62">
        <f>SUMPRODUCT($C$1601:$V$1601,($C$236:$V$236=I$1703)*1,($C$6:$V$6="Theorie")*1)</f>
        <v/>
      </c>
      <c r="J1920" s="62">
        <f>SUMPRODUCT($C$1601:$V$1601,($C$236:$V$236=J$1703)*1,($C$6:$V$6="Theorie")*1)</f>
        <v/>
      </c>
    </row>
    <row r="1921">
      <c r="C1921" s="62">
        <f>SUMPRODUCT($C$1602:$V$1602,($C$237:$V$237=C$1703)*1,($C$6:$V$6="Theorie")*1)</f>
        <v/>
      </c>
      <c r="D1921" s="62">
        <f>SUMPRODUCT($C$1602:$V$1602,($C$237:$V$237=D$1703)*1,($C$6:$V$6="Theorie")*1)</f>
        <v/>
      </c>
      <c r="E1921" s="62">
        <f>SUMPRODUCT($C$1602:$V$1602,($C$237:$V$237=E$1703)*1,($C$6:$V$6="Theorie")*1)</f>
        <v/>
      </c>
      <c r="F1921" s="62">
        <f>SUMPRODUCT($C$1602:$V$1602,($C$237:$V$237=F$1703)*1,($C$6:$V$6="Theorie")*1)</f>
        <v/>
      </c>
      <c r="G1921" s="62">
        <f>SUMPRODUCT($C$1602:$V$1602,($C$237:$V$237=G$1703)*1,($C$6:$V$6="Theorie")*1)</f>
        <v/>
      </c>
      <c r="H1921" s="62">
        <f>SUMPRODUCT($C$1602:$V$1602,($C$237:$V$237=H$1703)*1,($C$6:$V$6="Theorie")*1)</f>
        <v/>
      </c>
      <c r="I1921" s="62">
        <f>SUMPRODUCT($C$1602:$V$1602,($C$237:$V$237=I$1703)*1,($C$6:$V$6="Theorie")*1)</f>
        <v/>
      </c>
      <c r="J1921" s="62">
        <f>SUMPRODUCT($C$1602:$V$1602,($C$237:$V$237=J$1703)*1,($C$6:$V$6="Theorie")*1)</f>
        <v/>
      </c>
    </row>
    <row r="1922">
      <c r="C1922" s="62">
        <f>SUMPRODUCT($C$1603:$V$1603,($C$238:$V$238=C$1703)*1,($C$6:$V$6="Theorie")*1)</f>
        <v/>
      </c>
      <c r="D1922" s="62">
        <f>SUMPRODUCT($C$1603:$V$1603,($C$238:$V$238=D$1703)*1,($C$6:$V$6="Theorie")*1)</f>
        <v/>
      </c>
      <c r="E1922" s="62">
        <f>SUMPRODUCT($C$1603:$V$1603,($C$238:$V$238=E$1703)*1,($C$6:$V$6="Theorie")*1)</f>
        <v/>
      </c>
      <c r="F1922" s="62">
        <f>SUMPRODUCT($C$1603:$V$1603,($C$238:$V$238=F$1703)*1,($C$6:$V$6="Theorie")*1)</f>
        <v/>
      </c>
      <c r="G1922" s="62">
        <f>SUMPRODUCT($C$1603:$V$1603,($C$238:$V$238=G$1703)*1,($C$6:$V$6="Theorie")*1)</f>
        <v/>
      </c>
      <c r="H1922" s="62">
        <f>SUMPRODUCT($C$1603:$V$1603,($C$238:$V$238=H$1703)*1,($C$6:$V$6="Theorie")*1)</f>
        <v/>
      </c>
      <c r="I1922" s="62">
        <f>SUMPRODUCT($C$1603:$V$1603,($C$238:$V$238=I$1703)*1,($C$6:$V$6="Theorie")*1)</f>
        <v/>
      </c>
      <c r="J1922" s="62">
        <f>SUMPRODUCT($C$1603:$V$1603,($C$238:$V$238=J$1703)*1,($C$6:$V$6="Theorie")*1)</f>
        <v/>
      </c>
    </row>
    <row r="1923">
      <c r="C1923" s="62">
        <f>SUMPRODUCT($C$1604:$V$1604,($C$239:$V$239=C$1703)*1,($C$6:$V$6="Theorie")*1)</f>
        <v/>
      </c>
      <c r="D1923" s="62">
        <f>SUMPRODUCT($C$1604:$V$1604,($C$239:$V$239=D$1703)*1,($C$6:$V$6="Theorie")*1)</f>
        <v/>
      </c>
      <c r="E1923" s="62">
        <f>SUMPRODUCT($C$1604:$V$1604,($C$239:$V$239=E$1703)*1,($C$6:$V$6="Theorie")*1)</f>
        <v/>
      </c>
      <c r="F1923" s="62">
        <f>SUMPRODUCT($C$1604:$V$1604,($C$239:$V$239=F$1703)*1,($C$6:$V$6="Theorie")*1)</f>
        <v/>
      </c>
      <c r="G1923" s="62">
        <f>SUMPRODUCT($C$1604:$V$1604,($C$239:$V$239=G$1703)*1,($C$6:$V$6="Theorie")*1)</f>
        <v/>
      </c>
      <c r="H1923" s="62">
        <f>SUMPRODUCT($C$1604:$V$1604,($C$239:$V$239=H$1703)*1,($C$6:$V$6="Theorie")*1)</f>
        <v/>
      </c>
      <c r="I1923" s="62">
        <f>SUMPRODUCT($C$1604:$V$1604,($C$239:$V$239=I$1703)*1,($C$6:$V$6="Theorie")*1)</f>
        <v/>
      </c>
      <c r="J1923" s="62">
        <f>SUMPRODUCT($C$1604:$V$1604,($C$239:$V$239=J$1703)*1,($C$6:$V$6="Theorie")*1)</f>
        <v/>
      </c>
    </row>
    <row r="1924">
      <c r="C1924" s="62">
        <f>SUMPRODUCT($C$1605:$V$1605,($C$240:$V$240=C$1703)*1,($C$6:$V$6="Theorie")*1)</f>
        <v/>
      </c>
      <c r="D1924" s="62">
        <f>SUMPRODUCT($C$1605:$V$1605,($C$240:$V$240=D$1703)*1,($C$6:$V$6="Theorie")*1)</f>
        <v/>
      </c>
      <c r="E1924" s="62">
        <f>SUMPRODUCT($C$1605:$V$1605,($C$240:$V$240=E$1703)*1,($C$6:$V$6="Theorie")*1)</f>
        <v/>
      </c>
      <c r="F1924" s="62">
        <f>SUMPRODUCT($C$1605:$V$1605,($C$240:$V$240=F$1703)*1,($C$6:$V$6="Theorie")*1)</f>
        <v/>
      </c>
      <c r="G1924" s="62">
        <f>SUMPRODUCT($C$1605:$V$1605,($C$240:$V$240=G$1703)*1,($C$6:$V$6="Theorie")*1)</f>
        <v/>
      </c>
      <c r="H1924" s="62">
        <f>SUMPRODUCT($C$1605:$V$1605,($C$240:$V$240=H$1703)*1,($C$6:$V$6="Theorie")*1)</f>
        <v/>
      </c>
      <c r="I1924" s="62">
        <f>SUMPRODUCT($C$1605:$V$1605,($C$240:$V$240=I$1703)*1,($C$6:$V$6="Theorie")*1)</f>
        <v/>
      </c>
      <c r="J1924" s="62">
        <f>SUMPRODUCT($C$1605:$V$1605,($C$240:$V$240=J$1703)*1,($C$6:$V$6="Theorie")*1)</f>
        <v/>
      </c>
    </row>
    <row r="1925">
      <c r="C1925" s="62">
        <f>SUMPRODUCT($C$1606:$V$1606,($C$241:$V$241=C$1703)*1,($C$6:$V$6="Theorie")*1)</f>
        <v/>
      </c>
      <c r="D1925" s="62">
        <f>SUMPRODUCT($C$1606:$V$1606,($C$241:$V$241=D$1703)*1,($C$6:$V$6="Theorie")*1)</f>
        <v/>
      </c>
      <c r="E1925" s="62">
        <f>SUMPRODUCT($C$1606:$V$1606,($C$241:$V$241=E$1703)*1,($C$6:$V$6="Theorie")*1)</f>
        <v/>
      </c>
      <c r="F1925" s="62">
        <f>SUMPRODUCT($C$1606:$V$1606,($C$241:$V$241=F$1703)*1,($C$6:$V$6="Theorie")*1)</f>
        <v/>
      </c>
      <c r="G1925" s="62">
        <f>SUMPRODUCT($C$1606:$V$1606,($C$241:$V$241=G$1703)*1,($C$6:$V$6="Theorie")*1)</f>
        <v/>
      </c>
      <c r="H1925" s="62">
        <f>SUMPRODUCT($C$1606:$V$1606,($C$241:$V$241=H$1703)*1,($C$6:$V$6="Theorie")*1)</f>
        <v/>
      </c>
      <c r="I1925" s="62">
        <f>SUMPRODUCT($C$1606:$V$1606,($C$241:$V$241=I$1703)*1,($C$6:$V$6="Theorie")*1)</f>
        <v/>
      </c>
      <c r="J1925" s="62">
        <f>SUMPRODUCT($C$1606:$V$1606,($C$241:$V$241=J$1703)*1,($C$6:$V$6="Theorie")*1)</f>
        <v/>
      </c>
    </row>
    <row r="1926">
      <c r="C1926" s="62">
        <f>SUMPRODUCT($C$1607:$V$1607,($C$242:$V$242=C$1703)*1,($C$6:$V$6="Theorie")*1)</f>
        <v/>
      </c>
      <c r="D1926" s="62">
        <f>SUMPRODUCT($C$1607:$V$1607,($C$242:$V$242=D$1703)*1,($C$6:$V$6="Theorie")*1)</f>
        <v/>
      </c>
      <c r="E1926" s="62">
        <f>SUMPRODUCT($C$1607:$V$1607,($C$242:$V$242=E$1703)*1,($C$6:$V$6="Theorie")*1)</f>
        <v/>
      </c>
      <c r="F1926" s="62">
        <f>SUMPRODUCT($C$1607:$V$1607,($C$242:$V$242=F$1703)*1,($C$6:$V$6="Theorie")*1)</f>
        <v/>
      </c>
      <c r="G1926" s="62">
        <f>SUMPRODUCT($C$1607:$V$1607,($C$242:$V$242=G$1703)*1,($C$6:$V$6="Theorie")*1)</f>
        <v/>
      </c>
      <c r="H1926" s="62">
        <f>SUMPRODUCT($C$1607:$V$1607,($C$242:$V$242=H$1703)*1,($C$6:$V$6="Theorie")*1)</f>
        <v/>
      </c>
      <c r="I1926" s="62">
        <f>SUMPRODUCT($C$1607:$V$1607,($C$242:$V$242=I$1703)*1,($C$6:$V$6="Theorie")*1)</f>
        <v/>
      </c>
      <c r="J1926" s="62">
        <f>SUMPRODUCT($C$1607:$V$1607,($C$242:$V$242=J$1703)*1,($C$6:$V$6="Theorie")*1)</f>
        <v/>
      </c>
    </row>
    <row r="1927">
      <c r="C1927" s="62">
        <f>SUMPRODUCT($C$1608:$V$1608,($C$243:$V$243=C$1703)*1,($C$6:$V$6="Theorie")*1)</f>
        <v/>
      </c>
      <c r="D1927" s="62">
        <f>SUMPRODUCT($C$1608:$V$1608,($C$243:$V$243=D$1703)*1,($C$6:$V$6="Theorie")*1)</f>
        <v/>
      </c>
      <c r="E1927" s="62">
        <f>SUMPRODUCT($C$1608:$V$1608,($C$243:$V$243=E$1703)*1,($C$6:$V$6="Theorie")*1)</f>
        <v/>
      </c>
      <c r="F1927" s="62">
        <f>SUMPRODUCT($C$1608:$V$1608,($C$243:$V$243=F$1703)*1,($C$6:$V$6="Theorie")*1)</f>
        <v/>
      </c>
      <c r="G1927" s="62">
        <f>SUMPRODUCT($C$1608:$V$1608,($C$243:$V$243=G$1703)*1,($C$6:$V$6="Theorie")*1)</f>
        <v/>
      </c>
      <c r="H1927" s="62">
        <f>SUMPRODUCT($C$1608:$V$1608,($C$243:$V$243=H$1703)*1,($C$6:$V$6="Theorie")*1)</f>
        <v/>
      </c>
      <c r="I1927" s="62">
        <f>SUMPRODUCT($C$1608:$V$1608,($C$243:$V$243=I$1703)*1,($C$6:$V$6="Theorie")*1)</f>
        <v/>
      </c>
      <c r="J1927" s="62">
        <f>SUMPRODUCT($C$1608:$V$1608,($C$243:$V$243=J$1703)*1,($C$6:$V$6="Theorie")*1)</f>
        <v/>
      </c>
    </row>
    <row r="1928">
      <c r="C1928" s="62">
        <f>SUMPRODUCT($C$1609:$V$1609,($C$244:$V$244=C$1703)*1,($C$6:$V$6="Theorie")*1)</f>
        <v/>
      </c>
      <c r="D1928" s="62">
        <f>SUMPRODUCT($C$1609:$V$1609,($C$244:$V$244=D$1703)*1,($C$6:$V$6="Theorie")*1)</f>
        <v/>
      </c>
      <c r="E1928" s="62">
        <f>SUMPRODUCT($C$1609:$V$1609,($C$244:$V$244=E$1703)*1,($C$6:$V$6="Theorie")*1)</f>
        <v/>
      </c>
      <c r="F1928" s="62">
        <f>SUMPRODUCT($C$1609:$V$1609,($C$244:$V$244=F$1703)*1,($C$6:$V$6="Theorie")*1)</f>
        <v/>
      </c>
      <c r="G1928" s="62">
        <f>SUMPRODUCT($C$1609:$V$1609,($C$244:$V$244=G$1703)*1,($C$6:$V$6="Theorie")*1)</f>
        <v/>
      </c>
      <c r="H1928" s="62">
        <f>SUMPRODUCT($C$1609:$V$1609,($C$244:$V$244=H$1703)*1,($C$6:$V$6="Theorie")*1)</f>
        <v/>
      </c>
      <c r="I1928" s="62">
        <f>SUMPRODUCT($C$1609:$V$1609,($C$244:$V$244=I$1703)*1,($C$6:$V$6="Theorie")*1)</f>
        <v/>
      </c>
      <c r="J1928" s="62">
        <f>SUMPRODUCT($C$1609:$V$1609,($C$244:$V$244=J$1703)*1,($C$6:$V$6="Theorie")*1)</f>
        <v/>
      </c>
    </row>
    <row r="1929">
      <c r="C1929" s="62">
        <f>SUMPRODUCT($C$1610:$V$1610,($C$245:$V$245=C$1703)*1,($C$6:$V$6="Theorie")*1)</f>
        <v/>
      </c>
      <c r="D1929" s="62">
        <f>SUMPRODUCT($C$1610:$V$1610,($C$245:$V$245=D$1703)*1,($C$6:$V$6="Theorie")*1)</f>
        <v/>
      </c>
      <c r="E1929" s="62">
        <f>SUMPRODUCT($C$1610:$V$1610,($C$245:$V$245=E$1703)*1,($C$6:$V$6="Theorie")*1)</f>
        <v/>
      </c>
      <c r="F1929" s="62">
        <f>SUMPRODUCT($C$1610:$V$1610,($C$245:$V$245=F$1703)*1,($C$6:$V$6="Theorie")*1)</f>
        <v/>
      </c>
      <c r="G1929" s="62">
        <f>SUMPRODUCT($C$1610:$V$1610,($C$245:$V$245=G$1703)*1,($C$6:$V$6="Theorie")*1)</f>
        <v/>
      </c>
      <c r="H1929" s="62">
        <f>SUMPRODUCT($C$1610:$V$1610,($C$245:$V$245=H$1703)*1,($C$6:$V$6="Theorie")*1)</f>
        <v/>
      </c>
      <c r="I1929" s="62">
        <f>SUMPRODUCT($C$1610:$V$1610,($C$245:$V$245=I$1703)*1,($C$6:$V$6="Theorie")*1)</f>
        <v/>
      </c>
      <c r="J1929" s="62">
        <f>SUMPRODUCT($C$1610:$V$1610,($C$245:$V$245=J$1703)*1,($C$6:$V$6="Theorie")*1)</f>
        <v/>
      </c>
    </row>
    <row r="1930">
      <c r="C1930" s="62">
        <f>SUMPRODUCT($C$1611:$V$1611,($C$246:$V$246=C$1703)*1,($C$6:$V$6="Theorie")*1)</f>
        <v/>
      </c>
      <c r="D1930" s="62">
        <f>SUMPRODUCT($C$1611:$V$1611,($C$246:$V$246=D$1703)*1,($C$6:$V$6="Theorie")*1)</f>
        <v/>
      </c>
      <c r="E1930" s="62">
        <f>SUMPRODUCT($C$1611:$V$1611,($C$246:$V$246=E$1703)*1,($C$6:$V$6="Theorie")*1)</f>
        <v/>
      </c>
      <c r="F1930" s="62">
        <f>SUMPRODUCT($C$1611:$V$1611,($C$246:$V$246=F$1703)*1,($C$6:$V$6="Theorie")*1)</f>
        <v/>
      </c>
      <c r="G1930" s="62">
        <f>SUMPRODUCT($C$1611:$V$1611,($C$246:$V$246=G$1703)*1,($C$6:$V$6="Theorie")*1)</f>
        <v/>
      </c>
      <c r="H1930" s="62">
        <f>SUMPRODUCT($C$1611:$V$1611,($C$246:$V$246=H$1703)*1,($C$6:$V$6="Theorie")*1)</f>
        <v/>
      </c>
      <c r="I1930" s="62">
        <f>SUMPRODUCT($C$1611:$V$1611,($C$246:$V$246=I$1703)*1,($C$6:$V$6="Theorie")*1)</f>
        <v/>
      </c>
      <c r="J1930" s="62">
        <f>SUMPRODUCT($C$1611:$V$1611,($C$246:$V$246=J$1703)*1,($C$6:$V$6="Theorie")*1)</f>
        <v/>
      </c>
    </row>
    <row r="1931">
      <c r="C1931" s="62">
        <f>SUMPRODUCT($C$1612:$V$1612,($C$247:$V$247=C$1703)*1,($C$6:$V$6="Theorie")*1)</f>
        <v/>
      </c>
      <c r="D1931" s="62">
        <f>SUMPRODUCT($C$1612:$V$1612,($C$247:$V$247=D$1703)*1,($C$6:$V$6="Theorie")*1)</f>
        <v/>
      </c>
      <c r="E1931" s="62">
        <f>SUMPRODUCT($C$1612:$V$1612,($C$247:$V$247=E$1703)*1,($C$6:$V$6="Theorie")*1)</f>
        <v/>
      </c>
      <c r="F1931" s="62">
        <f>SUMPRODUCT($C$1612:$V$1612,($C$247:$V$247=F$1703)*1,($C$6:$V$6="Theorie")*1)</f>
        <v/>
      </c>
      <c r="G1931" s="62">
        <f>SUMPRODUCT($C$1612:$V$1612,($C$247:$V$247=G$1703)*1,($C$6:$V$6="Theorie")*1)</f>
        <v/>
      </c>
      <c r="H1931" s="62">
        <f>SUMPRODUCT($C$1612:$V$1612,($C$247:$V$247=H$1703)*1,($C$6:$V$6="Theorie")*1)</f>
        <v/>
      </c>
      <c r="I1931" s="62">
        <f>SUMPRODUCT($C$1612:$V$1612,($C$247:$V$247=I$1703)*1,($C$6:$V$6="Theorie")*1)</f>
        <v/>
      </c>
      <c r="J1931" s="62">
        <f>SUMPRODUCT($C$1612:$V$1612,($C$247:$V$247=J$1703)*1,($C$6:$V$6="Theorie")*1)</f>
        <v/>
      </c>
    </row>
    <row r="1932">
      <c r="C1932" s="62">
        <f>SUMPRODUCT($C$1613:$V$1613,($C$248:$V$248=C$1703)*1,($C$6:$V$6="Theorie")*1)</f>
        <v/>
      </c>
      <c r="D1932" s="62">
        <f>SUMPRODUCT($C$1613:$V$1613,($C$248:$V$248=D$1703)*1,($C$6:$V$6="Theorie")*1)</f>
        <v/>
      </c>
      <c r="E1932" s="62">
        <f>SUMPRODUCT($C$1613:$V$1613,($C$248:$V$248=E$1703)*1,($C$6:$V$6="Theorie")*1)</f>
        <v/>
      </c>
      <c r="F1932" s="62">
        <f>SUMPRODUCT($C$1613:$V$1613,($C$248:$V$248=F$1703)*1,($C$6:$V$6="Theorie")*1)</f>
        <v/>
      </c>
      <c r="G1932" s="62">
        <f>SUMPRODUCT($C$1613:$V$1613,($C$248:$V$248=G$1703)*1,($C$6:$V$6="Theorie")*1)</f>
        <v/>
      </c>
      <c r="H1932" s="62">
        <f>SUMPRODUCT($C$1613:$V$1613,($C$248:$V$248=H$1703)*1,($C$6:$V$6="Theorie")*1)</f>
        <v/>
      </c>
      <c r="I1932" s="62">
        <f>SUMPRODUCT($C$1613:$V$1613,($C$248:$V$248=I$1703)*1,($C$6:$V$6="Theorie")*1)</f>
        <v/>
      </c>
      <c r="J1932" s="62">
        <f>SUMPRODUCT($C$1613:$V$1613,($C$248:$V$248=J$1703)*1,($C$6:$V$6="Theorie")*1)</f>
        <v/>
      </c>
    </row>
    <row r="1933">
      <c r="C1933" s="62">
        <f>SUMPRODUCT($C$1614:$V$1614,($C$249:$V$249=C$1703)*1,($C$6:$V$6="Theorie")*1)</f>
        <v/>
      </c>
      <c r="D1933" s="62">
        <f>SUMPRODUCT($C$1614:$V$1614,($C$249:$V$249=D$1703)*1,($C$6:$V$6="Theorie")*1)</f>
        <v/>
      </c>
      <c r="E1933" s="62">
        <f>SUMPRODUCT($C$1614:$V$1614,($C$249:$V$249=E$1703)*1,($C$6:$V$6="Theorie")*1)</f>
        <v/>
      </c>
      <c r="F1933" s="62">
        <f>SUMPRODUCT($C$1614:$V$1614,($C$249:$V$249=F$1703)*1,($C$6:$V$6="Theorie")*1)</f>
        <v/>
      </c>
      <c r="G1933" s="62">
        <f>SUMPRODUCT($C$1614:$V$1614,($C$249:$V$249=G$1703)*1,($C$6:$V$6="Theorie")*1)</f>
        <v/>
      </c>
      <c r="H1933" s="62">
        <f>SUMPRODUCT($C$1614:$V$1614,($C$249:$V$249=H$1703)*1,($C$6:$V$6="Theorie")*1)</f>
        <v/>
      </c>
      <c r="I1933" s="62">
        <f>SUMPRODUCT($C$1614:$V$1614,($C$249:$V$249=I$1703)*1,($C$6:$V$6="Theorie")*1)</f>
        <v/>
      </c>
      <c r="J1933" s="62">
        <f>SUMPRODUCT($C$1614:$V$1614,($C$249:$V$249=J$1703)*1,($C$6:$V$6="Theorie")*1)</f>
        <v/>
      </c>
    </row>
    <row r="1934">
      <c r="C1934" s="62">
        <f>SUMPRODUCT($C$1615:$V$1615,($C$250:$V$250=C$1703)*1,($C$6:$V$6="Theorie")*1)</f>
        <v/>
      </c>
      <c r="D1934" s="62">
        <f>SUMPRODUCT($C$1615:$V$1615,($C$250:$V$250=D$1703)*1,($C$6:$V$6="Theorie")*1)</f>
        <v/>
      </c>
      <c r="E1934" s="62">
        <f>SUMPRODUCT($C$1615:$V$1615,($C$250:$V$250=E$1703)*1,($C$6:$V$6="Theorie")*1)</f>
        <v/>
      </c>
      <c r="F1934" s="62">
        <f>SUMPRODUCT($C$1615:$V$1615,($C$250:$V$250=F$1703)*1,($C$6:$V$6="Theorie")*1)</f>
        <v/>
      </c>
      <c r="G1934" s="62">
        <f>SUMPRODUCT($C$1615:$V$1615,($C$250:$V$250=G$1703)*1,($C$6:$V$6="Theorie")*1)</f>
        <v/>
      </c>
      <c r="H1934" s="62">
        <f>SUMPRODUCT($C$1615:$V$1615,($C$250:$V$250=H$1703)*1,($C$6:$V$6="Theorie")*1)</f>
        <v/>
      </c>
      <c r="I1934" s="62">
        <f>SUMPRODUCT($C$1615:$V$1615,($C$250:$V$250=I$1703)*1,($C$6:$V$6="Theorie")*1)</f>
        <v/>
      </c>
      <c r="J1934" s="62">
        <f>SUMPRODUCT($C$1615:$V$1615,($C$250:$V$250=J$1703)*1,($C$6:$V$6="Theorie")*1)</f>
        <v/>
      </c>
    </row>
    <row r="1935">
      <c r="C1935" s="62">
        <f>SUMPRODUCT($C$1616:$V$1616,($C$251:$V$251=C$1703)*1,($C$6:$V$6="Theorie")*1)</f>
        <v/>
      </c>
      <c r="D1935" s="62">
        <f>SUMPRODUCT($C$1616:$V$1616,($C$251:$V$251=D$1703)*1,($C$6:$V$6="Theorie")*1)</f>
        <v/>
      </c>
      <c r="E1935" s="62">
        <f>SUMPRODUCT($C$1616:$V$1616,($C$251:$V$251=E$1703)*1,($C$6:$V$6="Theorie")*1)</f>
        <v/>
      </c>
      <c r="F1935" s="62">
        <f>SUMPRODUCT($C$1616:$V$1616,($C$251:$V$251=F$1703)*1,($C$6:$V$6="Theorie")*1)</f>
        <v/>
      </c>
      <c r="G1935" s="62">
        <f>SUMPRODUCT($C$1616:$V$1616,($C$251:$V$251=G$1703)*1,($C$6:$V$6="Theorie")*1)</f>
        <v/>
      </c>
      <c r="H1935" s="62">
        <f>SUMPRODUCT($C$1616:$V$1616,($C$251:$V$251=H$1703)*1,($C$6:$V$6="Theorie")*1)</f>
        <v/>
      </c>
      <c r="I1935" s="62">
        <f>SUMPRODUCT($C$1616:$V$1616,($C$251:$V$251=I$1703)*1,($C$6:$V$6="Theorie")*1)</f>
        <v/>
      </c>
      <c r="J1935" s="62">
        <f>SUMPRODUCT($C$1616:$V$1616,($C$251:$V$251=J$1703)*1,($C$6:$V$6="Theorie")*1)</f>
        <v/>
      </c>
    </row>
    <row r="1936">
      <c r="C1936" s="62">
        <f>SUMPRODUCT($C$1617:$V$1617,($C$252:$V$252=C$1703)*1,($C$6:$V$6="Theorie")*1)</f>
        <v/>
      </c>
      <c r="D1936" s="62">
        <f>SUMPRODUCT($C$1617:$V$1617,($C$252:$V$252=D$1703)*1,($C$6:$V$6="Theorie")*1)</f>
        <v/>
      </c>
      <c r="E1936" s="62">
        <f>SUMPRODUCT($C$1617:$V$1617,($C$252:$V$252=E$1703)*1,($C$6:$V$6="Theorie")*1)</f>
        <v/>
      </c>
      <c r="F1936" s="62">
        <f>SUMPRODUCT($C$1617:$V$1617,($C$252:$V$252=F$1703)*1,($C$6:$V$6="Theorie")*1)</f>
        <v/>
      </c>
      <c r="G1936" s="62">
        <f>SUMPRODUCT($C$1617:$V$1617,($C$252:$V$252=G$1703)*1,($C$6:$V$6="Theorie")*1)</f>
        <v/>
      </c>
      <c r="H1936" s="62">
        <f>SUMPRODUCT($C$1617:$V$1617,($C$252:$V$252=H$1703)*1,($C$6:$V$6="Theorie")*1)</f>
        <v/>
      </c>
      <c r="I1936" s="62">
        <f>SUMPRODUCT($C$1617:$V$1617,($C$252:$V$252=I$1703)*1,($C$6:$V$6="Theorie")*1)</f>
        <v/>
      </c>
      <c r="J1936" s="62">
        <f>SUMPRODUCT($C$1617:$V$1617,($C$252:$V$252=J$1703)*1,($C$6:$V$6="Theorie")*1)</f>
        <v/>
      </c>
    </row>
    <row r="1937">
      <c r="C1937" s="62">
        <f>SUMPRODUCT($C$1618:$V$1618,($C$253:$V$253=C$1703)*1,($C$6:$V$6="Theorie")*1)</f>
        <v/>
      </c>
      <c r="D1937" s="62">
        <f>SUMPRODUCT($C$1618:$V$1618,($C$253:$V$253=D$1703)*1,($C$6:$V$6="Theorie")*1)</f>
        <v/>
      </c>
      <c r="E1937" s="62">
        <f>SUMPRODUCT($C$1618:$V$1618,($C$253:$V$253=E$1703)*1,($C$6:$V$6="Theorie")*1)</f>
        <v/>
      </c>
      <c r="F1937" s="62">
        <f>SUMPRODUCT($C$1618:$V$1618,($C$253:$V$253=F$1703)*1,($C$6:$V$6="Theorie")*1)</f>
        <v/>
      </c>
      <c r="G1937" s="62">
        <f>SUMPRODUCT($C$1618:$V$1618,($C$253:$V$253=G$1703)*1,($C$6:$V$6="Theorie")*1)</f>
        <v/>
      </c>
      <c r="H1937" s="62">
        <f>SUMPRODUCT($C$1618:$V$1618,($C$253:$V$253=H$1703)*1,($C$6:$V$6="Theorie")*1)</f>
        <v/>
      </c>
      <c r="I1937" s="62">
        <f>SUMPRODUCT($C$1618:$V$1618,($C$253:$V$253=I$1703)*1,($C$6:$V$6="Theorie")*1)</f>
        <v/>
      </c>
      <c r="J1937" s="62">
        <f>SUMPRODUCT($C$1618:$V$1618,($C$253:$V$253=J$1703)*1,($C$6:$V$6="Theorie")*1)</f>
        <v/>
      </c>
    </row>
    <row r="1938">
      <c r="C1938" s="62">
        <f>SUMPRODUCT($C$1619:$V$1619,($C$254:$V$254=C$1703)*1,($C$6:$V$6="Theorie")*1)</f>
        <v/>
      </c>
      <c r="D1938" s="62">
        <f>SUMPRODUCT($C$1619:$V$1619,($C$254:$V$254=D$1703)*1,($C$6:$V$6="Theorie")*1)</f>
        <v/>
      </c>
      <c r="E1938" s="62">
        <f>SUMPRODUCT($C$1619:$V$1619,($C$254:$V$254=E$1703)*1,($C$6:$V$6="Theorie")*1)</f>
        <v/>
      </c>
      <c r="F1938" s="62">
        <f>SUMPRODUCT($C$1619:$V$1619,($C$254:$V$254=F$1703)*1,($C$6:$V$6="Theorie")*1)</f>
        <v/>
      </c>
      <c r="G1938" s="62">
        <f>SUMPRODUCT($C$1619:$V$1619,($C$254:$V$254=G$1703)*1,($C$6:$V$6="Theorie")*1)</f>
        <v/>
      </c>
      <c r="H1938" s="62">
        <f>SUMPRODUCT($C$1619:$V$1619,($C$254:$V$254=H$1703)*1,($C$6:$V$6="Theorie")*1)</f>
        <v/>
      </c>
      <c r="I1938" s="62">
        <f>SUMPRODUCT($C$1619:$V$1619,($C$254:$V$254=I$1703)*1,($C$6:$V$6="Theorie")*1)</f>
        <v/>
      </c>
      <c r="J1938" s="62">
        <f>SUMPRODUCT($C$1619:$V$1619,($C$254:$V$254=J$1703)*1,($C$6:$V$6="Theorie")*1)</f>
        <v/>
      </c>
    </row>
    <row r="1939">
      <c r="C1939" s="62">
        <f>SUMPRODUCT($C$1620:$V$1620,($C$255:$V$255=C$1703)*1,($C$6:$V$6="Theorie")*1)</f>
        <v/>
      </c>
      <c r="D1939" s="62">
        <f>SUMPRODUCT($C$1620:$V$1620,($C$255:$V$255=D$1703)*1,($C$6:$V$6="Theorie")*1)</f>
        <v/>
      </c>
      <c r="E1939" s="62">
        <f>SUMPRODUCT($C$1620:$V$1620,($C$255:$V$255=E$1703)*1,($C$6:$V$6="Theorie")*1)</f>
        <v/>
      </c>
      <c r="F1939" s="62">
        <f>SUMPRODUCT($C$1620:$V$1620,($C$255:$V$255=F$1703)*1,($C$6:$V$6="Theorie")*1)</f>
        <v/>
      </c>
      <c r="G1939" s="62">
        <f>SUMPRODUCT($C$1620:$V$1620,($C$255:$V$255=G$1703)*1,($C$6:$V$6="Theorie")*1)</f>
        <v/>
      </c>
      <c r="H1939" s="62">
        <f>SUMPRODUCT($C$1620:$V$1620,($C$255:$V$255=H$1703)*1,($C$6:$V$6="Theorie")*1)</f>
        <v/>
      </c>
      <c r="I1939" s="62">
        <f>SUMPRODUCT($C$1620:$V$1620,($C$255:$V$255=I$1703)*1,($C$6:$V$6="Theorie")*1)</f>
        <v/>
      </c>
      <c r="J1939" s="62">
        <f>SUMPRODUCT($C$1620:$V$1620,($C$255:$V$255=J$1703)*1,($C$6:$V$6="Theorie")*1)</f>
        <v/>
      </c>
    </row>
    <row r="1940">
      <c r="C1940" s="62">
        <f>SUMPRODUCT($C$1621:$V$1621,($C$256:$V$256=C$1703)*1,($C$6:$V$6="Theorie")*1)</f>
        <v/>
      </c>
      <c r="D1940" s="62">
        <f>SUMPRODUCT($C$1621:$V$1621,($C$256:$V$256=D$1703)*1,($C$6:$V$6="Theorie")*1)</f>
        <v/>
      </c>
      <c r="E1940" s="62">
        <f>SUMPRODUCT($C$1621:$V$1621,($C$256:$V$256=E$1703)*1,($C$6:$V$6="Theorie")*1)</f>
        <v/>
      </c>
      <c r="F1940" s="62">
        <f>SUMPRODUCT($C$1621:$V$1621,($C$256:$V$256=F$1703)*1,($C$6:$V$6="Theorie")*1)</f>
        <v/>
      </c>
      <c r="G1940" s="62">
        <f>SUMPRODUCT($C$1621:$V$1621,($C$256:$V$256=G$1703)*1,($C$6:$V$6="Theorie")*1)</f>
        <v/>
      </c>
      <c r="H1940" s="62">
        <f>SUMPRODUCT($C$1621:$V$1621,($C$256:$V$256=H$1703)*1,($C$6:$V$6="Theorie")*1)</f>
        <v/>
      </c>
      <c r="I1940" s="62">
        <f>SUMPRODUCT($C$1621:$V$1621,($C$256:$V$256=I$1703)*1,($C$6:$V$6="Theorie")*1)</f>
        <v/>
      </c>
      <c r="J1940" s="62">
        <f>SUMPRODUCT($C$1621:$V$1621,($C$256:$V$256=J$1703)*1,($C$6:$V$6="Theorie")*1)</f>
        <v/>
      </c>
    </row>
    <row r="1941">
      <c r="C1941" s="62">
        <f>SUMPRODUCT($C$1622:$V$1622,($C$257:$V$257=C$1703)*1,($C$6:$V$6="Theorie")*1)</f>
        <v/>
      </c>
      <c r="D1941" s="62">
        <f>SUMPRODUCT($C$1622:$V$1622,($C$257:$V$257=D$1703)*1,($C$6:$V$6="Theorie")*1)</f>
        <v/>
      </c>
      <c r="E1941" s="62">
        <f>SUMPRODUCT($C$1622:$V$1622,($C$257:$V$257=E$1703)*1,($C$6:$V$6="Theorie")*1)</f>
        <v/>
      </c>
      <c r="F1941" s="62">
        <f>SUMPRODUCT($C$1622:$V$1622,($C$257:$V$257=F$1703)*1,($C$6:$V$6="Theorie")*1)</f>
        <v/>
      </c>
      <c r="G1941" s="62">
        <f>SUMPRODUCT($C$1622:$V$1622,($C$257:$V$257=G$1703)*1,($C$6:$V$6="Theorie")*1)</f>
        <v/>
      </c>
      <c r="H1941" s="62">
        <f>SUMPRODUCT($C$1622:$V$1622,($C$257:$V$257=H$1703)*1,($C$6:$V$6="Theorie")*1)</f>
        <v/>
      </c>
      <c r="I1941" s="62">
        <f>SUMPRODUCT($C$1622:$V$1622,($C$257:$V$257=I$1703)*1,($C$6:$V$6="Theorie")*1)</f>
        <v/>
      </c>
      <c r="J1941" s="62">
        <f>SUMPRODUCT($C$1622:$V$1622,($C$257:$V$257=J$1703)*1,($C$6:$V$6="Theorie")*1)</f>
        <v/>
      </c>
    </row>
    <row r="1942">
      <c r="C1942" s="62">
        <f>SUMPRODUCT($C$1623:$V$1623,($C$258:$V$258=C$1703)*1,($C$6:$V$6="Theorie")*1)</f>
        <v/>
      </c>
      <c r="D1942" s="62">
        <f>SUMPRODUCT($C$1623:$V$1623,($C$258:$V$258=D$1703)*1,($C$6:$V$6="Theorie")*1)</f>
        <v/>
      </c>
      <c r="E1942" s="62">
        <f>SUMPRODUCT($C$1623:$V$1623,($C$258:$V$258=E$1703)*1,($C$6:$V$6="Theorie")*1)</f>
        <v/>
      </c>
      <c r="F1942" s="62">
        <f>SUMPRODUCT($C$1623:$V$1623,($C$258:$V$258=F$1703)*1,($C$6:$V$6="Theorie")*1)</f>
        <v/>
      </c>
      <c r="G1942" s="62">
        <f>SUMPRODUCT($C$1623:$V$1623,($C$258:$V$258=G$1703)*1,($C$6:$V$6="Theorie")*1)</f>
        <v/>
      </c>
      <c r="H1942" s="62">
        <f>SUMPRODUCT($C$1623:$V$1623,($C$258:$V$258=H$1703)*1,($C$6:$V$6="Theorie")*1)</f>
        <v/>
      </c>
      <c r="I1942" s="62">
        <f>SUMPRODUCT($C$1623:$V$1623,($C$258:$V$258=I$1703)*1,($C$6:$V$6="Theorie")*1)</f>
        <v/>
      </c>
      <c r="J1942" s="62">
        <f>SUMPRODUCT($C$1623:$V$1623,($C$258:$V$258=J$1703)*1,($C$6:$V$6="Theorie")*1)</f>
        <v/>
      </c>
    </row>
    <row r="1943">
      <c r="C1943" s="62">
        <f>SUMPRODUCT($C$1624:$V$1624,($C$259:$V$259=C$1703)*1,($C$6:$V$6="Theorie")*1)</f>
        <v/>
      </c>
      <c r="D1943" s="62">
        <f>SUMPRODUCT($C$1624:$V$1624,($C$259:$V$259=D$1703)*1,($C$6:$V$6="Theorie")*1)</f>
        <v/>
      </c>
      <c r="E1943" s="62">
        <f>SUMPRODUCT($C$1624:$V$1624,($C$259:$V$259=E$1703)*1,($C$6:$V$6="Theorie")*1)</f>
        <v/>
      </c>
      <c r="F1943" s="62">
        <f>SUMPRODUCT($C$1624:$V$1624,($C$259:$V$259=F$1703)*1,($C$6:$V$6="Theorie")*1)</f>
        <v/>
      </c>
      <c r="G1943" s="62">
        <f>SUMPRODUCT($C$1624:$V$1624,($C$259:$V$259=G$1703)*1,($C$6:$V$6="Theorie")*1)</f>
        <v/>
      </c>
      <c r="H1943" s="62">
        <f>SUMPRODUCT($C$1624:$V$1624,($C$259:$V$259=H$1703)*1,($C$6:$V$6="Theorie")*1)</f>
        <v/>
      </c>
      <c r="I1943" s="62">
        <f>SUMPRODUCT($C$1624:$V$1624,($C$259:$V$259=I$1703)*1,($C$6:$V$6="Theorie")*1)</f>
        <v/>
      </c>
      <c r="J1943" s="62">
        <f>SUMPRODUCT($C$1624:$V$1624,($C$259:$V$259=J$1703)*1,($C$6:$V$6="Theorie")*1)</f>
        <v/>
      </c>
    </row>
    <row r="1944">
      <c r="C1944" s="62">
        <f>SUMPRODUCT($C$1625:$V$1625,($C$260:$V$260=C$1703)*1,($C$6:$V$6="Theorie")*1)</f>
        <v/>
      </c>
      <c r="D1944" s="62">
        <f>SUMPRODUCT($C$1625:$V$1625,($C$260:$V$260=D$1703)*1,($C$6:$V$6="Theorie")*1)</f>
        <v/>
      </c>
      <c r="E1944" s="62">
        <f>SUMPRODUCT($C$1625:$V$1625,($C$260:$V$260=E$1703)*1,($C$6:$V$6="Theorie")*1)</f>
        <v/>
      </c>
      <c r="F1944" s="62">
        <f>SUMPRODUCT($C$1625:$V$1625,($C$260:$V$260=F$1703)*1,($C$6:$V$6="Theorie")*1)</f>
        <v/>
      </c>
      <c r="G1944" s="62">
        <f>SUMPRODUCT($C$1625:$V$1625,($C$260:$V$260=G$1703)*1,($C$6:$V$6="Theorie")*1)</f>
        <v/>
      </c>
      <c r="H1944" s="62">
        <f>SUMPRODUCT($C$1625:$V$1625,($C$260:$V$260=H$1703)*1,($C$6:$V$6="Theorie")*1)</f>
        <v/>
      </c>
      <c r="I1944" s="62">
        <f>SUMPRODUCT($C$1625:$V$1625,($C$260:$V$260=I$1703)*1,($C$6:$V$6="Theorie")*1)</f>
        <v/>
      </c>
      <c r="J1944" s="62">
        <f>SUMPRODUCT($C$1625:$V$1625,($C$260:$V$260=J$1703)*1,($C$6:$V$6="Theorie")*1)</f>
        <v/>
      </c>
    </row>
    <row r="1945">
      <c r="C1945" s="62">
        <f>SUMPRODUCT($C$1626:$V$1626,($C$261:$V$261=C$1703)*1,($C$6:$V$6="Theorie")*1)</f>
        <v/>
      </c>
      <c r="D1945" s="62">
        <f>SUMPRODUCT($C$1626:$V$1626,($C$261:$V$261=D$1703)*1,($C$6:$V$6="Theorie")*1)</f>
        <v/>
      </c>
      <c r="E1945" s="62">
        <f>SUMPRODUCT($C$1626:$V$1626,($C$261:$V$261=E$1703)*1,($C$6:$V$6="Theorie")*1)</f>
        <v/>
      </c>
      <c r="F1945" s="62">
        <f>SUMPRODUCT($C$1626:$V$1626,($C$261:$V$261=F$1703)*1,($C$6:$V$6="Theorie")*1)</f>
        <v/>
      </c>
      <c r="G1945" s="62">
        <f>SUMPRODUCT($C$1626:$V$1626,($C$261:$V$261=G$1703)*1,($C$6:$V$6="Theorie")*1)</f>
        <v/>
      </c>
      <c r="H1945" s="62">
        <f>SUMPRODUCT($C$1626:$V$1626,($C$261:$V$261=H$1703)*1,($C$6:$V$6="Theorie")*1)</f>
        <v/>
      </c>
      <c r="I1945" s="62">
        <f>SUMPRODUCT($C$1626:$V$1626,($C$261:$V$261=I$1703)*1,($C$6:$V$6="Theorie")*1)</f>
        <v/>
      </c>
      <c r="J1945" s="62">
        <f>SUMPRODUCT($C$1626:$V$1626,($C$261:$V$261=J$1703)*1,($C$6:$V$6="Theorie")*1)</f>
        <v/>
      </c>
    </row>
    <row r="1946">
      <c r="C1946" s="62">
        <f>SUMPRODUCT($C$1627:$V$1627,($C$262:$V$262=C$1703)*1,($C$6:$V$6="Theorie")*1)</f>
        <v/>
      </c>
      <c r="D1946" s="62">
        <f>SUMPRODUCT($C$1627:$V$1627,($C$262:$V$262=D$1703)*1,($C$6:$V$6="Theorie")*1)</f>
        <v/>
      </c>
      <c r="E1946" s="62">
        <f>SUMPRODUCT($C$1627:$V$1627,($C$262:$V$262=E$1703)*1,($C$6:$V$6="Theorie")*1)</f>
        <v/>
      </c>
      <c r="F1946" s="62">
        <f>SUMPRODUCT($C$1627:$V$1627,($C$262:$V$262=F$1703)*1,($C$6:$V$6="Theorie")*1)</f>
        <v/>
      </c>
      <c r="G1946" s="62">
        <f>SUMPRODUCT($C$1627:$V$1627,($C$262:$V$262=G$1703)*1,($C$6:$V$6="Theorie")*1)</f>
        <v/>
      </c>
      <c r="H1946" s="62">
        <f>SUMPRODUCT($C$1627:$V$1627,($C$262:$V$262=H$1703)*1,($C$6:$V$6="Theorie")*1)</f>
        <v/>
      </c>
      <c r="I1946" s="62">
        <f>SUMPRODUCT($C$1627:$V$1627,($C$262:$V$262=I$1703)*1,($C$6:$V$6="Theorie")*1)</f>
        <v/>
      </c>
      <c r="J1946" s="62">
        <f>SUMPRODUCT($C$1627:$V$1627,($C$262:$V$262=J$1703)*1,($C$6:$V$6="Theorie")*1)</f>
        <v/>
      </c>
    </row>
    <row r="1947">
      <c r="C1947" s="62">
        <f>SUMPRODUCT($C$1628:$V$1628,($C$263:$V$263=C$1703)*1,($C$6:$V$6="Theorie")*1)</f>
        <v/>
      </c>
      <c r="D1947" s="62">
        <f>SUMPRODUCT($C$1628:$V$1628,($C$263:$V$263=D$1703)*1,($C$6:$V$6="Theorie")*1)</f>
        <v/>
      </c>
      <c r="E1947" s="62">
        <f>SUMPRODUCT($C$1628:$V$1628,($C$263:$V$263=E$1703)*1,($C$6:$V$6="Theorie")*1)</f>
        <v/>
      </c>
      <c r="F1947" s="62">
        <f>SUMPRODUCT($C$1628:$V$1628,($C$263:$V$263=F$1703)*1,($C$6:$V$6="Theorie")*1)</f>
        <v/>
      </c>
      <c r="G1947" s="62">
        <f>SUMPRODUCT($C$1628:$V$1628,($C$263:$V$263=G$1703)*1,($C$6:$V$6="Theorie")*1)</f>
        <v/>
      </c>
      <c r="H1947" s="62">
        <f>SUMPRODUCT($C$1628:$V$1628,($C$263:$V$263=H$1703)*1,($C$6:$V$6="Theorie")*1)</f>
        <v/>
      </c>
      <c r="I1947" s="62">
        <f>SUMPRODUCT($C$1628:$V$1628,($C$263:$V$263=I$1703)*1,($C$6:$V$6="Theorie")*1)</f>
        <v/>
      </c>
      <c r="J1947" s="62">
        <f>SUMPRODUCT($C$1628:$V$1628,($C$263:$V$263=J$1703)*1,($C$6:$V$6="Theorie")*1)</f>
        <v/>
      </c>
    </row>
    <row r="1948">
      <c r="C1948" s="62">
        <f>SUMPRODUCT($C$1629:$V$1629,($C$264:$V$264=C$1703)*1,($C$6:$V$6="Theorie")*1)</f>
        <v/>
      </c>
      <c r="D1948" s="62">
        <f>SUMPRODUCT($C$1629:$V$1629,($C$264:$V$264=D$1703)*1,($C$6:$V$6="Theorie")*1)</f>
        <v/>
      </c>
      <c r="E1948" s="62">
        <f>SUMPRODUCT($C$1629:$V$1629,($C$264:$V$264=E$1703)*1,($C$6:$V$6="Theorie")*1)</f>
        <v/>
      </c>
      <c r="F1948" s="62">
        <f>SUMPRODUCT($C$1629:$V$1629,($C$264:$V$264=F$1703)*1,($C$6:$V$6="Theorie")*1)</f>
        <v/>
      </c>
      <c r="G1948" s="62">
        <f>SUMPRODUCT($C$1629:$V$1629,($C$264:$V$264=G$1703)*1,($C$6:$V$6="Theorie")*1)</f>
        <v/>
      </c>
      <c r="H1948" s="62">
        <f>SUMPRODUCT($C$1629:$V$1629,($C$264:$V$264=H$1703)*1,($C$6:$V$6="Theorie")*1)</f>
        <v/>
      </c>
      <c r="I1948" s="62">
        <f>SUMPRODUCT($C$1629:$V$1629,($C$264:$V$264=I$1703)*1,($C$6:$V$6="Theorie")*1)</f>
        <v/>
      </c>
      <c r="J1948" s="62">
        <f>SUMPRODUCT($C$1629:$V$1629,($C$264:$V$264=J$1703)*1,($C$6:$V$6="Theorie")*1)</f>
        <v/>
      </c>
    </row>
    <row r="1949">
      <c r="C1949" s="62">
        <f>SUMPRODUCT($C$1630:$V$1630,($C$265:$V$265=C$1703)*1,($C$6:$V$6="Theorie")*1)</f>
        <v/>
      </c>
      <c r="D1949" s="62">
        <f>SUMPRODUCT($C$1630:$V$1630,($C$265:$V$265=D$1703)*1,($C$6:$V$6="Theorie")*1)</f>
        <v/>
      </c>
      <c r="E1949" s="62">
        <f>SUMPRODUCT($C$1630:$V$1630,($C$265:$V$265=E$1703)*1,($C$6:$V$6="Theorie")*1)</f>
        <v/>
      </c>
      <c r="F1949" s="62">
        <f>SUMPRODUCT($C$1630:$V$1630,($C$265:$V$265=F$1703)*1,($C$6:$V$6="Theorie")*1)</f>
        <v/>
      </c>
      <c r="G1949" s="62">
        <f>SUMPRODUCT($C$1630:$V$1630,($C$265:$V$265=G$1703)*1,($C$6:$V$6="Theorie")*1)</f>
        <v/>
      </c>
      <c r="H1949" s="62">
        <f>SUMPRODUCT($C$1630:$V$1630,($C$265:$V$265=H$1703)*1,($C$6:$V$6="Theorie")*1)</f>
        <v/>
      </c>
      <c r="I1949" s="62">
        <f>SUMPRODUCT($C$1630:$V$1630,($C$265:$V$265=I$1703)*1,($C$6:$V$6="Theorie")*1)</f>
        <v/>
      </c>
      <c r="J1949" s="62">
        <f>SUMPRODUCT($C$1630:$V$1630,($C$265:$V$265=J$1703)*1,($C$6:$V$6="Theorie")*1)</f>
        <v/>
      </c>
    </row>
    <row r="1950">
      <c r="C1950" s="62">
        <f>SUMPRODUCT($C$1631:$V$1631,($C$266:$V$266=C$1703)*1,($C$6:$V$6="Theorie")*1)</f>
        <v/>
      </c>
      <c r="D1950" s="62">
        <f>SUMPRODUCT($C$1631:$V$1631,($C$266:$V$266=D$1703)*1,($C$6:$V$6="Theorie")*1)</f>
        <v/>
      </c>
      <c r="E1950" s="62">
        <f>SUMPRODUCT($C$1631:$V$1631,($C$266:$V$266=E$1703)*1,($C$6:$V$6="Theorie")*1)</f>
        <v/>
      </c>
      <c r="F1950" s="62">
        <f>SUMPRODUCT($C$1631:$V$1631,($C$266:$V$266=F$1703)*1,($C$6:$V$6="Theorie")*1)</f>
        <v/>
      </c>
      <c r="G1950" s="62">
        <f>SUMPRODUCT($C$1631:$V$1631,($C$266:$V$266=G$1703)*1,($C$6:$V$6="Theorie")*1)</f>
        <v/>
      </c>
      <c r="H1950" s="62">
        <f>SUMPRODUCT($C$1631:$V$1631,($C$266:$V$266=H$1703)*1,($C$6:$V$6="Theorie")*1)</f>
        <v/>
      </c>
      <c r="I1950" s="62">
        <f>SUMPRODUCT($C$1631:$V$1631,($C$266:$V$266=I$1703)*1,($C$6:$V$6="Theorie")*1)</f>
        <v/>
      </c>
      <c r="J1950" s="62">
        <f>SUMPRODUCT($C$1631:$V$1631,($C$266:$V$266=J$1703)*1,($C$6:$V$6="Theorie")*1)</f>
        <v/>
      </c>
    </row>
    <row r="1951">
      <c r="C1951" s="62">
        <f>SUMPRODUCT($C$1632:$V$1632,($C$267:$V$267=C$1703)*1,($C$6:$V$6="Theorie")*1)</f>
        <v/>
      </c>
      <c r="D1951" s="62">
        <f>SUMPRODUCT($C$1632:$V$1632,($C$267:$V$267=D$1703)*1,($C$6:$V$6="Theorie")*1)</f>
        <v/>
      </c>
      <c r="E1951" s="62">
        <f>SUMPRODUCT($C$1632:$V$1632,($C$267:$V$267=E$1703)*1,($C$6:$V$6="Theorie")*1)</f>
        <v/>
      </c>
      <c r="F1951" s="62">
        <f>SUMPRODUCT($C$1632:$V$1632,($C$267:$V$267=F$1703)*1,($C$6:$V$6="Theorie")*1)</f>
        <v/>
      </c>
      <c r="G1951" s="62">
        <f>SUMPRODUCT($C$1632:$V$1632,($C$267:$V$267=G$1703)*1,($C$6:$V$6="Theorie")*1)</f>
        <v/>
      </c>
      <c r="H1951" s="62">
        <f>SUMPRODUCT($C$1632:$V$1632,($C$267:$V$267=H$1703)*1,($C$6:$V$6="Theorie")*1)</f>
        <v/>
      </c>
      <c r="I1951" s="62">
        <f>SUMPRODUCT($C$1632:$V$1632,($C$267:$V$267=I$1703)*1,($C$6:$V$6="Theorie")*1)</f>
        <v/>
      </c>
      <c r="J1951" s="62">
        <f>SUMPRODUCT($C$1632:$V$1632,($C$267:$V$267=J$1703)*1,($C$6:$V$6="Theorie")*1)</f>
        <v/>
      </c>
    </row>
    <row r="1952">
      <c r="C1952" s="62">
        <f>SUMPRODUCT($C$1633:$V$1633,($C$268:$V$268=C$1703)*1,($C$6:$V$6="Theorie")*1)</f>
        <v/>
      </c>
      <c r="D1952" s="62">
        <f>SUMPRODUCT($C$1633:$V$1633,($C$268:$V$268=D$1703)*1,($C$6:$V$6="Theorie")*1)</f>
        <v/>
      </c>
      <c r="E1952" s="62">
        <f>SUMPRODUCT($C$1633:$V$1633,($C$268:$V$268=E$1703)*1,($C$6:$V$6="Theorie")*1)</f>
        <v/>
      </c>
      <c r="F1952" s="62">
        <f>SUMPRODUCT($C$1633:$V$1633,($C$268:$V$268=F$1703)*1,($C$6:$V$6="Theorie")*1)</f>
        <v/>
      </c>
      <c r="G1952" s="62">
        <f>SUMPRODUCT($C$1633:$V$1633,($C$268:$V$268=G$1703)*1,($C$6:$V$6="Theorie")*1)</f>
        <v/>
      </c>
      <c r="H1952" s="62">
        <f>SUMPRODUCT($C$1633:$V$1633,($C$268:$V$268=H$1703)*1,($C$6:$V$6="Theorie")*1)</f>
        <v/>
      </c>
      <c r="I1952" s="62">
        <f>SUMPRODUCT($C$1633:$V$1633,($C$268:$V$268=I$1703)*1,($C$6:$V$6="Theorie")*1)</f>
        <v/>
      </c>
      <c r="J1952" s="62">
        <f>SUMPRODUCT($C$1633:$V$1633,($C$268:$V$268=J$1703)*1,($C$6:$V$6="Theorie")*1)</f>
        <v/>
      </c>
    </row>
    <row r="1953">
      <c r="C1953" s="62">
        <f>SUMPRODUCT($C$1634:$V$1634,($C$269:$V$269=C$1703)*1,($C$6:$V$6="Theorie")*1)</f>
        <v/>
      </c>
      <c r="D1953" s="62">
        <f>SUMPRODUCT($C$1634:$V$1634,($C$269:$V$269=D$1703)*1,($C$6:$V$6="Theorie")*1)</f>
        <v/>
      </c>
      <c r="E1953" s="62">
        <f>SUMPRODUCT($C$1634:$V$1634,($C$269:$V$269=E$1703)*1,($C$6:$V$6="Theorie")*1)</f>
        <v/>
      </c>
      <c r="F1953" s="62">
        <f>SUMPRODUCT($C$1634:$V$1634,($C$269:$V$269=F$1703)*1,($C$6:$V$6="Theorie")*1)</f>
        <v/>
      </c>
      <c r="G1953" s="62">
        <f>SUMPRODUCT($C$1634:$V$1634,($C$269:$V$269=G$1703)*1,($C$6:$V$6="Theorie")*1)</f>
        <v/>
      </c>
      <c r="H1953" s="62">
        <f>SUMPRODUCT($C$1634:$V$1634,($C$269:$V$269=H$1703)*1,($C$6:$V$6="Theorie")*1)</f>
        <v/>
      </c>
      <c r="I1953" s="62">
        <f>SUMPRODUCT($C$1634:$V$1634,($C$269:$V$269=I$1703)*1,($C$6:$V$6="Theorie")*1)</f>
        <v/>
      </c>
      <c r="J1953" s="62">
        <f>SUMPRODUCT($C$1634:$V$1634,($C$269:$V$269=J$1703)*1,($C$6:$V$6="Theorie")*1)</f>
        <v/>
      </c>
    </row>
    <row r="1954">
      <c r="C1954" s="62">
        <f>SUMPRODUCT($C$1635:$V$1635,($C$270:$V$270=C$1703)*1,($C$6:$V$6="Theorie")*1)</f>
        <v/>
      </c>
      <c r="D1954" s="62">
        <f>SUMPRODUCT($C$1635:$V$1635,($C$270:$V$270=D$1703)*1,($C$6:$V$6="Theorie")*1)</f>
        <v/>
      </c>
      <c r="E1954" s="62">
        <f>SUMPRODUCT($C$1635:$V$1635,($C$270:$V$270=E$1703)*1,($C$6:$V$6="Theorie")*1)</f>
        <v/>
      </c>
      <c r="F1954" s="62">
        <f>SUMPRODUCT($C$1635:$V$1635,($C$270:$V$270=F$1703)*1,($C$6:$V$6="Theorie")*1)</f>
        <v/>
      </c>
      <c r="G1954" s="62">
        <f>SUMPRODUCT($C$1635:$V$1635,($C$270:$V$270=G$1703)*1,($C$6:$V$6="Theorie")*1)</f>
        <v/>
      </c>
      <c r="H1954" s="62">
        <f>SUMPRODUCT($C$1635:$V$1635,($C$270:$V$270=H$1703)*1,($C$6:$V$6="Theorie")*1)</f>
        <v/>
      </c>
      <c r="I1954" s="62">
        <f>SUMPRODUCT($C$1635:$V$1635,($C$270:$V$270=I$1703)*1,($C$6:$V$6="Theorie")*1)</f>
        <v/>
      </c>
      <c r="J1954" s="62">
        <f>SUMPRODUCT($C$1635:$V$1635,($C$270:$V$270=J$1703)*1,($C$6:$V$6="Theorie")*1)</f>
        <v/>
      </c>
    </row>
    <row r="1955">
      <c r="C1955" s="62">
        <f>SUMPRODUCT($C$1636:$V$1636,($C$271:$V$271=C$1703)*1,($C$6:$V$6="Theorie")*1)</f>
        <v/>
      </c>
      <c r="D1955" s="62">
        <f>SUMPRODUCT($C$1636:$V$1636,($C$271:$V$271=D$1703)*1,($C$6:$V$6="Theorie")*1)</f>
        <v/>
      </c>
      <c r="E1955" s="62">
        <f>SUMPRODUCT($C$1636:$V$1636,($C$271:$V$271=E$1703)*1,($C$6:$V$6="Theorie")*1)</f>
        <v/>
      </c>
      <c r="F1955" s="62">
        <f>SUMPRODUCT($C$1636:$V$1636,($C$271:$V$271=F$1703)*1,($C$6:$V$6="Theorie")*1)</f>
        <v/>
      </c>
      <c r="G1955" s="62">
        <f>SUMPRODUCT($C$1636:$V$1636,($C$271:$V$271=G$1703)*1,($C$6:$V$6="Theorie")*1)</f>
        <v/>
      </c>
      <c r="H1955" s="62">
        <f>SUMPRODUCT($C$1636:$V$1636,($C$271:$V$271=H$1703)*1,($C$6:$V$6="Theorie")*1)</f>
        <v/>
      </c>
      <c r="I1955" s="62">
        <f>SUMPRODUCT($C$1636:$V$1636,($C$271:$V$271=I$1703)*1,($C$6:$V$6="Theorie")*1)</f>
        <v/>
      </c>
      <c r="J1955" s="62">
        <f>SUMPRODUCT($C$1636:$V$1636,($C$271:$V$271=J$1703)*1,($C$6:$V$6="Theorie")*1)</f>
        <v/>
      </c>
    </row>
    <row r="1956">
      <c r="C1956" s="62">
        <f>SUMPRODUCT($C$1637:$V$1637,($C$272:$V$272=C$1703)*1,($C$6:$V$6="Theorie")*1)</f>
        <v/>
      </c>
      <c r="D1956" s="62">
        <f>SUMPRODUCT($C$1637:$V$1637,($C$272:$V$272=D$1703)*1,($C$6:$V$6="Theorie")*1)</f>
        <v/>
      </c>
      <c r="E1956" s="62">
        <f>SUMPRODUCT($C$1637:$V$1637,($C$272:$V$272=E$1703)*1,($C$6:$V$6="Theorie")*1)</f>
        <v/>
      </c>
      <c r="F1956" s="62">
        <f>SUMPRODUCT($C$1637:$V$1637,($C$272:$V$272=F$1703)*1,($C$6:$V$6="Theorie")*1)</f>
        <v/>
      </c>
      <c r="G1956" s="62">
        <f>SUMPRODUCT($C$1637:$V$1637,($C$272:$V$272=G$1703)*1,($C$6:$V$6="Theorie")*1)</f>
        <v/>
      </c>
      <c r="H1956" s="62">
        <f>SUMPRODUCT($C$1637:$V$1637,($C$272:$V$272=H$1703)*1,($C$6:$V$6="Theorie")*1)</f>
        <v/>
      </c>
      <c r="I1956" s="62">
        <f>SUMPRODUCT($C$1637:$V$1637,($C$272:$V$272=I$1703)*1,($C$6:$V$6="Theorie")*1)</f>
        <v/>
      </c>
      <c r="J1956" s="62">
        <f>SUMPRODUCT($C$1637:$V$1637,($C$272:$V$272=J$1703)*1,($C$6:$V$6="Theorie")*1)</f>
        <v/>
      </c>
    </row>
    <row r="1957">
      <c r="C1957" s="62">
        <f>SUMPRODUCT($C$1638:$V$1638,($C$273:$V$273=C$1703)*1,($C$6:$V$6="Theorie")*1)</f>
        <v/>
      </c>
      <c r="D1957" s="62">
        <f>SUMPRODUCT($C$1638:$V$1638,($C$273:$V$273=D$1703)*1,($C$6:$V$6="Theorie")*1)</f>
        <v/>
      </c>
      <c r="E1957" s="62">
        <f>SUMPRODUCT($C$1638:$V$1638,($C$273:$V$273=E$1703)*1,($C$6:$V$6="Theorie")*1)</f>
        <v/>
      </c>
      <c r="F1957" s="62">
        <f>SUMPRODUCT($C$1638:$V$1638,($C$273:$V$273=F$1703)*1,($C$6:$V$6="Theorie")*1)</f>
        <v/>
      </c>
      <c r="G1957" s="62">
        <f>SUMPRODUCT($C$1638:$V$1638,($C$273:$V$273=G$1703)*1,($C$6:$V$6="Theorie")*1)</f>
        <v/>
      </c>
      <c r="H1957" s="62">
        <f>SUMPRODUCT($C$1638:$V$1638,($C$273:$V$273=H$1703)*1,($C$6:$V$6="Theorie")*1)</f>
        <v/>
      </c>
      <c r="I1957" s="62">
        <f>SUMPRODUCT($C$1638:$V$1638,($C$273:$V$273=I$1703)*1,($C$6:$V$6="Theorie")*1)</f>
        <v/>
      </c>
      <c r="J1957" s="62">
        <f>SUMPRODUCT($C$1638:$V$1638,($C$273:$V$273=J$1703)*1,($C$6:$V$6="Theorie")*1)</f>
        <v/>
      </c>
    </row>
    <row r="1958">
      <c r="C1958" s="62">
        <f>SUMPRODUCT($C$1639:$V$1639,($C$274:$V$274=C$1703)*1,($C$6:$V$6="Theorie")*1)</f>
        <v/>
      </c>
      <c r="D1958" s="62">
        <f>SUMPRODUCT($C$1639:$V$1639,($C$274:$V$274=D$1703)*1,($C$6:$V$6="Theorie")*1)</f>
        <v/>
      </c>
      <c r="E1958" s="62">
        <f>SUMPRODUCT($C$1639:$V$1639,($C$274:$V$274=E$1703)*1,($C$6:$V$6="Theorie")*1)</f>
        <v/>
      </c>
      <c r="F1958" s="62">
        <f>SUMPRODUCT($C$1639:$V$1639,($C$274:$V$274=F$1703)*1,($C$6:$V$6="Theorie")*1)</f>
        <v/>
      </c>
      <c r="G1958" s="62">
        <f>SUMPRODUCT($C$1639:$V$1639,($C$274:$V$274=G$1703)*1,($C$6:$V$6="Theorie")*1)</f>
        <v/>
      </c>
      <c r="H1958" s="62">
        <f>SUMPRODUCT($C$1639:$V$1639,($C$274:$V$274=H$1703)*1,($C$6:$V$6="Theorie")*1)</f>
        <v/>
      </c>
      <c r="I1958" s="62">
        <f>SUMPRODUCT($C$1639:$V$1639,($C$274:$V$274=I$1703)*1,($C$6:$V$6="Theorie")*1)</f>
        <v/>
      </c>
      <c r="J1958" s="62">
        <f>SUMPRODUCT($C$1639:$V$1639,($C$274:$V$274=J$1703)*1,($C$6:$V$6="Theorie")*1)</f>
        <v/>
      </c>
    </row>
    <row r="1959">
      <c r="C1959" s="62">
        <f>SUMPRODUCT($C$1640:$V$1640,($C$275:$V$275=C$1703)*1,($C$6:$V$6="Theorie")*1)</f>
        <v/>
      </c>
      <c r="D1959" s="62">
        <f>SUMPRODUCT($C$1640:$V$1640,($C$275:$V$275=D$1703)*1,($C$6:$V$6="Theorie")*1)</f>
        <v/>
      </c>
      <c r="E1959" s="62">
        <f>SUMPRODUCT($C$1640:$V$1640,($C$275:$V$275=E$1703)*1,($C$6:$V$6="Theorie")*1)</f>
        <v/>
      </c>
      <c r="F1959" s="62">
        <f>SUMPRODUCT($C$1640:$V$1640,($C$275:$V$275=F$1703)*1,($C$6:$V$6="Theorie")*1)</f>
        <v/>
      </c>
      <c r="G1959" s="62">
        <f>SUMPRODUCT($C$1640:$V$1640,($C$275:$V$275=G$1703)*1,($C$6:$V$6="Theorie")*1)</f>
        <v/>
      </c>
      <c r="H1959" s="62">
        <f>SUMPRODUCT($C$1640:$V$1640,($C$275:$V$275=H$1703)*1,($C$6:$V$6="Theorie")*1)</f>
        <v/>
      </c>
      <c r="I1959" s="62">
        <f>SUMPRODUCT($C$1640:$V$1640,($C$275:$V$275=I$1703)*1,($C$6:$V$6="Theorie")*1)</f>
        <v/>
      </c>
      <c r="J1959" s="62">
        <f>SUMPRODUCT($C$1640:$V$1640,($C$275:$V$275=J$1703)*1,($C$6:$V$6="Theorie")*1)</f>
        <v/>
      </c>
    </row>
    <row r="1960">
      <c r="C1960" s="62">
        <f>SUMPRODUCT($C$1641:$V$1641,($C$276:$V$276=C$1703)*1,($C$6:$V$6="Theorie")*1)</f>
        <v/>
      </c>
      <c r="D1960" s="62">
        <f>SUMPRODUCT($C$1641:$V$1641,($C$276:$V$276=D$1703)*1,($C$6:$V$6="Theorie")*1)</f>
        <v/>
      </c>
      <c r="E1960" s="62">
        <f>SUMPRODUCT($C$1641:$V$1641,($C$276:$V$276=E$1703)*1,($C$6:$V$6="Theorie")*1)</f>
        <v/>
      </c>
      <c r="F1960" s="62">
        <f>SUMPRODUCT($C$1641:$V$1641,($C$276:$V$276=F$1703)*1,($C$6:$V$6="Theorie")*1)</f>
        <v/>
      </c>
      <c r="G1960" s="62">
        <f>SUMPRODUCT($C$1641:$V$1641,($C$276:$V$276=G$1703)*1,($C$6:$V$6="Theorie")*1)</f>
        <v/>
      </c>
      <c r="H1960" s="62">
        <f>SUMPRODUCT($C$1641:$V$1641,($C$276:$V$276=H$1703)*1,($C$6:$V$6="Theorie")*1)</f>
        <v/>
      </c>
      <c r="I1960" s="62">
        <f>SUMPRODUCT($C$1641:$V$1641,($C$276:$V$276=I$1703)*1,($C$6:$V$6="Theorie")*1)</f>
        <v/>
      </c>
      <c r="J1960" s="62">
        <f>SUMPRODUCT($C$1641:$V$1641,($C$276:$V$276=J$1703)*1,($C$6:$V$6="Theorie")*1)</f>
        <v/>
      </c>
    </row>
    <row r="1961">
      <c r="C1961" s="62">
        <f>SUMPRODUCT($C$1642:$V$1642,($C$277:$V$277=C$1703)*1,($C$6:$V$6="Theorie")*1)</f>
        <v/>
      </c>
      <c r="D1961" s="62">
        <f>SUMPRODUCT($C$1642:$V$1642,($C$277:$V$277=D$1703)*1,($C$6:$V$6="Theorie")*1)</f>
        <v/>
      </c>
      <c r="E1961" s="62">
        <f>SUMPRODUCT($C$1642:$V$1642,($C$277:$V$277=E$1703)*1,($C$6:$V$6="Theorie")*1)</f>
        <v/>
      </c>
      <c r="F1961" s="62">
        <f>SUMPRODUCT($C$1642:$V$1642,($C$277:$V$277=F$1703)*1,($C$6:$V$6="Theorie")*1)</f>
        <v/>
      </c>
      <c r="G1961" s="62">
        <f>SUMPRODUCT($C$1642:$V$1642,($C$277:$V$277=G$1703)*1,($C$6:$V$6="Theorie")*1)</f>
        <v/>
      </c>
      <c r="H1961" s="62">
        <f>SUMPRODUCT($C$1642:$V$1642,($C$277:$V$277=H$1703)*1,($C$6:$V$6="Theorie")*1)</f>
        <v/>
      </c>
      <c r="I1961" s="62">
        <f>SUMPRODUCT($C$1642:$V$1642,($C$277:$V$277=I$1703)*1,($C$6:$V$6="Theorie")*1)</f>
        <v/>
      </c>
      <c r="J1961" s="62">
        <f>SUMPRODUCT($C$1642:$V$1642,($C$277:$V$277=J$1703)*1,($C$6:$V$6="Theorie")*1)</f>
        <v/>
      </c>
    </row>
    <row r="1962">
      <c r="C1962" s="62">
        <f>SUMPRODUCT($C$1643:$V$1643,($C$278:$V$278=C$1703)*1,($C$6:$V$6="Theorie")*1)</f>
        <v/>
      </c>
      <c r="D1962" s="62">
        <f>SUMPRODUCT($C$1643:$V$1643,($C$278:$V$278=D$1703)*1,($C$6:$V$6="Theorie")*1)</f>
        <v/>
      </c>
      <c r="E1962" s="62">
        <f>SUMPRODUCT($C$1643:$V$1643,($C$278:$V$278=E$1703)*1,($C$6:$V$6="Theorie")*1)</f>
        <v/>
      </c>
      <c r="F1962" s="62">
        <f>SUMPRODUCT($C$1643:$V$1643,($C$278:$V$278=F$1703)*1,($C$6:$V$6="Theorie")*1)</f>
        <v/>
      </c>
      <c r="G1962" s="62">
        <f>SUMPRODUCT($C$1643:$V$1643,($C$278:$V$278=G$1703)*1,($C$6:$V$6="Theorie")*1)</f>
        <v/>
      </c>
      <c r="H1962" s="62">
        <f>SUMPRODUCT($C$1643:$V$1643,($C$278:$V$278=H$1703)*1,($C$6:$V$6="Theorie")*1)</f>
        <v/>
      </c>
      <c r="I1962" s="62">
        <f>SUMPRODUCT($C$1643:$V$1643,($C$278:$V$278=I$1703)*1,($C$6:$V$6="Theorie")*1)</f>
        <v/>
      </c>
      <c r="J1962" s="62">
        <f>SUMPRODUCT($C$1643:$V$1643,($C$278:$V$278=J$1703)*1,($C$6:$V$6="Theorie")*1)</f>
        <v/>
      </c>
    </row>
    <row r="1963">
      <c r="C1963" s="62">
        <f>SUMPRODUCT($C$1644:$V$1644,($C$279:$V$279=C$1703)*1,($C$6:$V$6="Theorie")*1)</f>
        <v/>
      </c>
      <c r="D1963" s="62">
        <f>SUMPRODUCT($C$1644:$V$1644,($C$279:$V$279=D$1703)*1,($C$6:$V$6="Theorie")*1)</f>
        <v/>
      </c>
      <c r="E1963" s="62">
        <f>SUMPRODUCT($C$1644:$V$1644,($C$279:$V$279=E$1703)*1,($C$6:$V$6="Theorie")*1)</f>
        <v/>
      </c>
      <c r="F1963" s="62">
        <f>SUMPRODUCT($C$1644:$V$1644,($C$279:$V$279=F$1703)*1,($C$6:$V$6="Theorie")*1)</f>
        <v/>
      </c>
      <c r="G1963" s="62">
        <f>SUMPRODUCT($C$1644:$V$1644,($C$279:$V$279=G$1703)*1,($C$6:$V$6="Theorie")*1)</f>
        <v/>
      </c>
      <c r="H1963" s="62">
        <f>SUMPRODUCT($C$1644:$V$1644,($C$279:$V$279=H$1703)*1,($C$6:$V$6="Theorie")*1)</f>
        <v/>
      </c>
      <c r="I1963" s="62">
        <f>SUMPRODUCT($C$1644:$V$1644,($C$279:$V$279=I$1703)*1,($C$6:$V$6="Theorie")*1)</f>
        <v/>
      </c>
      <c r="J1963" s="62">
        <f>SUMPRODUCT($C$1644:$V$1644,($C$279:$V$279=J$1703)*1,($C$6:$V$6="Theorie")*1)</f>
        <v/>
      </c>
    </row>
    <row r="1964">
      <c r="C1964" s="62">
        <f>SUMPRODUCT($C$1645:$V$1645,($C$280:$V$280=C$1703)*1,($C$6:$V$6="Theorie")*1)</f>
        <v/>
      </c>
      <c r="D1964" s="62">
        <f>SUMPRODUCT($C$1645:$V$1645,($C$280:$V$280=D$1703)*1,($C$6:$V$6="Theorie")*1)</f>
        <v/>
      </c>
      <c r="E1964" s="62">
        <f>SUMPRODUCT($C$1645:$V$1645,($C$280:$V$280=E$1703)*1,($C$6:$V$6="Theorie")*1)</f>
        <v/>
      </c>
      <c r="F1964" s="62">
        <f>SUMPRODUCT($C$1645:$V$1645,($C$280:$V$280=F$1703)*1,($C$6:$V$6="Theorie")*1)</f>
        <v/>
      </c>
      <c r="G1964" s="62">
        <f>SUMPRODUCT($C$1645:$V$1645,($C$280:$V$280=G$1703)*1,($C$6:$V$6="Theorie")*1)</f>
        <v/>
      </c>
      <c r="H1964" s="62">
        <f>SUMPRODUCT($C$1645:$V$1645,($C$280:$V$280=H$1703)*1,($C$6:$V$6="Theorie")*1)</f>
        <v/>
      </c>
      <c r="I1964" s="62">
        <f>SUMPRODUCT($C$1645:$V$1645,($C$280:$V$280=I$1703)*1,($C$6:$V$6="Theorie")*1)</f>
        <v/>
      </c>
      <c r="J1964" s="62">
        <f>SUMPRODUCT($C$1645:$V$1645,($C$280:$V$280=J$1703)*1,($C$6:$V$6="Theorie")*1)</f>
        <v/>
      </c>
    </row>
    <row r="1965">
      <c r="C1965" s="62">
        <f>SUMPRODUCT($C$1646:$V$1646,($C$281:$V$281=C$1703)*1,($C$6:$V$6="Theorie")*1)</f>
        <v/>
      </c>
      <c r="D1965" s="62">
        <f>SUMPRODUCT($C$1646:$V$1646,($C$281:$V$281=D$1703)*1,($C$6:$V$6="Theorie")*1)</f>
        <v/>
      </c>
      <c r="E1965" s="62">
        <f>SUMPRODUCT($C$1646:$V$1646,($C$281:$V$281=E$1703)*1,($C$6:$V$6="Theorie")*1)</f>
        <v/>
      </c>
      <c r="F1965" s="62">
        <f>SUMPRODUCT($C$1646:$V$1646,($C$281:$V$281=F$1703)*1,($C$6:$V$6="Theorie")*1)</f>
        <v/>
      </c>
      <c r="G1965" s="62">
        <f>SUMPRODUCT($C$1646:$V$1646,($C$281:$V$281=G$1703)*1,($C$6:$V$6="Theorie")*1)</f>
        <v/>
      </c>
      <c r="H1965" s="62">
        <f>SUMPRODUCT($C$1646:$V$1646,($C$281:$V$281=H$1703)*1,($C$6:$V$6="Theorie")*1)</f>
        <v/>
      </c>
      <c r="I1965" s="62">
        <f>SUMPRODUCT($C$1646:$V$1646,($C$281:$V$281=I$1703)*1,($C$6:$V$6="Theorie")*1)</f>
        <v/>
      </c>
      <c r="J1965" s="62">
        <f>SUMPRODUCT($C$1646:$V$1646,($C$281:$V$281=J$1703)*1,($C$6:$V$6="Theorie")*1)</f>
        <v/>
      </c>
    </row>
    <row r="1966">
      <c r="C1966" s="62">
        <f>SUMPRODUCT($C$1647:$V$1647,($C$282:$V$282=C$1703)*1,($C$6:$V$6="Theorie")*1)</f>
        <v/>
      </c>
      <c r="D1966" s="62">
        <f>SUMPRODUCT($C$1647:$V$1647,($C$282:$V$282=D$1703)*1,($C$6:$V$6="Theorie")*1)</f>
        <v/>
      </c>
      <c r="E1966" s="62">
        <f>SUMPRODUCT($C$1647:$V$1647,($C$282:$V$282=E$1703)*1,($C$6:$V$6="Theorie")*1)</f>
        <v/>
      </c>
      <c r="F1966" s="62">
        <f>SUMPRODUCT($C$1647:$V$1647,($C$282:$V$282=F$1703)*1,($C$6:$V$6="Theorie")*1)</f>
        <v/>
      </c>
      <c r="G1966" s="62">
        <f>SUMPRODUCT($C$1647:$V$1647,($C$282:$V$282=G$1703)*1,($C$6:$V$6="Theorie")*1)</f>
        <v/>
      </c>
      <c r="H1966" s="62">
        <f>SUMPRODUCT($C$1647:$V$1647,($C$282:$V$282=H$1703)*1,($C$6:$V$6="Theorie")*1)</f>
        <v/>
      </c>
      <c r="I1966" s="62">
        <f>SUMPRODUCT($C$1647:$V$1647,($C$282:$V$282=I$1703)*1,($C$6:$V$6="Theorie")*1)</f>
        <v/>
      </c>
      <c r="J1966" s="62">
        <f>SUMPRODUCT($C$1647:$V$1647,($C$282:$V$282=J$1703)*1,($C$6:$V$6="Theorie")*1)</f>
        <v/>
      </c>
    </row>
    <row r="1967">
      <c r="C1967" s="62">
        <f>SUMPRODUCT($C$1648:$V$1648,($C$283:$V$283=C$1703)*1,($C$6:$V$6="Theorie")*1)</f>
        <v/>
      </c>
      <c r="D1967" s="62">
        <f>SUMPRODUCT($C$1648:$V$1648,($C$283:$V$283=D$1703)*1,($C$6:$V$6="Theorie")*1)</f>
        <v/>
      </c>
      <c r="E1967" s="62">
        <f>SUMPRODUCT($C$1648:$V$1648,($C$283:$V$283=E$1703)*1,($C$6:$V$6="Theorie")*1)</f>
        <v/>
      </c>
      <c r="F1967" s="62">
        <f>SUMPRODUCT($C$1648:$V$1648,($C$283:$V$283=F$1703)*1,($C$6:$V$6="Theorie")*1)</f>
        <v/>
      </c>
      <c r="G1967" s="62">
        <f>SUMPRODUCT($C$1648:$V$1648,($C$283:$V$283=G$1703)*1,($C$6:$V$6="Theorie")*1)</f>
        <v/>
      </c>
      <c r="H1967" s="62">
        <f>SUMPRODUCT($C$1648:$V$1648,($C$283:$V$283=H$1703)*1,($C$6:$V$6="Theorie")*1)</f>
        <v/>
      </c>
      <c r="I1967" s="62">
        <f>SUMPRODUCT($C$1648:$V$1648,($C$283:$V$283=I$1703)*1,($C$6:$V$6="Theorie")*1)</f>
        <v/>
      </c>
      <c r="J1967" s="62">
        <f>SUMPRODUCT($C$1648:$V$1648,($C$283:$V$283=J$1703)*1,($C$6:$V$6="Theorie")*1)</f>
        <v/>
      </c>
    </row>
    <row r="1968">
      <c r="C1968" s="62">
        <f>SUMPRODUCT($C$1649:$V$1649,($C$284:$V$284=C$1703)*1,($C$6:$V$6="Theorie")*1)</f>
        <v/>
      </c>
      <c r="D1968" s="62">
        <f>SUMPRODUCT($C$1649:$V$1649,($C$284:$V$284=D$1703)*1,($C$6:$V$6="Theorie")*1)</f>
        <v/>
      </c>
      <c r="E1968" s="62">
        <f>SUMPRODUCT($C$1649:$V$1649,($C$284:$V$284=E$1703)*1,($C$6:$V$6="Theorie")*1)</f>
        <v/>
      </c>
      <c r="F1968" s="62">
        <f>SUMPRODUCT($C$1649:$V$1649,($C$284:$V$284=F$1703)*1,($C$6:$V$6="Theorie")*1)</f>
        <v/>
      </c>
      <c r="G1968" s="62">
        <f>SUMPRODUCT($C$1649:$V$1649,($C$284:$V$284=G$1703)*1,($C$6:$V$6="Theorie")*1)</f>
        <v/>
      </c>
      <c r="H1968" s="62">
        <f>SUMPRODUCT($C$1649:$V$1649,($C$284:$V$284=H$1703)*1,($C$6:$V$6="Theorie")*1)</f>
        <v/>
      </c>
      <c r="I1968" s="62">
        <f>SUMPRODUCT($C$1649:$V$1649,($C$284:$V$284=I$1703)*1,($C$6:$V$6="Theorie")*1)</f>
        <v/>
      </c>
      <c r="J1968" s="62">
        <f>SUMPRODUCT($C$1649:$V$1649,($C$284:$V$284=J$1703)*1,($C$6:$V$6="Theorie")*1)</f>
        <v/>
      </c>
    </row>
    <row r="1969">
      <c r="C1969" s="62">
        <f>SUMPRODUCT($C$1650:$V$1650,($C$285:$V$285=C$1703)*1,($C$6:$V$6="Theorie")*1)</f>
        <v/>
      </c>
      <c r="D1969" s="62">
        <f>SUMPRODUCT($C$1650:$V$1650,($C$285:$V$285=D$1703)*1,($C$6:$V$6="Theorie")*1)</f>
        <v/>
      </c>
      <c r="E1969" s="62">
        <f>SUMPRODUCT($C$1650:$V$1650,($C$285:$V$285=E$1703)*1,($C$6:$V$6="Theorie")*1)</f>
        <v/>
      </c>
      <c r="F1969" s="62">
        <f>SUMPRODUCT($C$1650:$V$1650,($C$285:$V$285=F$1703)*1,($C$6:$V$6="Theorie")*1)</f>
        <v/>
      </c>
      <c r="G1969" s="62">
        <f>SUMPRODUCT($C$1650:$V$1650,($C$285:$V$285=G$1703)*1,($C$6:$V$6="Theorie")*1)</f>
        <v/>
      </c>
      <c r="H1969" s="62">
        <f>SUMPRODUCT($C$1650:$V$1650,($C$285:$V$285=H$1703)*1,($C$6:$V$6="Theorie")*1)</f>
        <v/>
      </c>
      <c r="I1969" s="62">
        <f>SUMPRODUCT($C$1650:$V$1650,($C$285:$V$285=I$1703)*1,($C$6:$V$6="Theorie")*1)</f>
        <v/>
      </c>
      <c r="J1969" s="62">
        <f>SUMPRODUCT($C$1650:$V$1650,($C$285:$V$285=J$1703)*1,($C$6:$V$6="Theorie")*1)</f>
        <v/>
      </c>
    </row>
    <row r="1970">
      <c r="C1970" s="62">
        <f>SUMPRODUCT($C$1651:$V$1651,($C$286:$V$286=C$1703)*1,($C$6:$V$6="Theorie")*1)</f>
        <v/>
      </c>
      <c r="D1970" s="62">
        <f>SUMPRODUCT($C$1651:$V$1651,($C$286:$V$286=D$1703)*1,($C$6:$V$6="Theorie")*1)</f>
        <v/>
      </c>
      <c r="E1970" s="62">
        <f>SUMPRODUCT($C$1651:$V$1651,($C$286:$V$286=E$1703)*1,($C$6:$V$6="Theorie")*1)</f>
        <v/>
      </c>
      <c r="F1970" s="62">
        <f>SUMPRODUCT($C$1651:$V$1651,($C$286:$V$286=F$1703)*1,($C$6:$V$6="Theorie")*1)</f>
        <v/>
      </c>
      <c r="G1970" s="62">
        <f>SUMPRODUCT($C$1651:$V$1651,($C$286:$V$286=G$1703)*1,($C$6:$V$6="Theorie")*1)</f>
        <v/>
      </c>
      <c r="H1970" s="62">
        <f>SUMPRODUCT($C$1651:$V$1651,($C$286:$V$286=H$1703)*1,($C$6:$V$6="Theorie")*1)</f>
        <v/>
      </c>
      <c r="I1970" s="62">
        <f>SUMPRODUCT($C$1651:$V$1651,($C$286:$V$286=I$1703)*1,($C$6:$V$6="Theorie")*1)</f>
        <v/>
      </c>
      <c r="J1970" s="62">
        <f>SUMPRODUCT($C$1651:$V$1651,($C$286:$V$286=J$1703)*1,($C$6:$V$6="Theorie")*1)</f>
        <v/>
      </c>
    </row>
    <row r="1971">
      <c r="C1971" s="62">
        <f>SUMPRODUCT($C$1652:$V$1652,($C$287:$V$287=C$1703)*1,($C$6:$V$6="Theorie")*1)</f>
        <v/>
      </c>
      <c r="D1971" s="62">
        <f>SUMPRODUCT($C$1652:$V$1652,($C$287:$V$287=D$1703)*1,($C$6:$V$6="Theorie")*1)</f>
        <v/>
      </c>
      <c r="E1971" s="62">
        <f>SUMPRODUCT($C$1652:$V$1652,($C$287:$V$287=E$1703)*1,($C$6:$V$6="Theorie")*1)</f>
        <v/>
      </c>
      <c r="F1971" s="62">
        <f>SUMPRODUCT($C$1652:$V$1652,($C$287:$V$287=F$1703)*1,($C$6:$V$6="Theorie")*1)</f>
        <v/>
      </c>
      <c r="G1971" s="62">
        <f>SUMPRODUCT($C$1652:$V$1652,($C$287:$V$287=G$1703)*1,($C$6:$V$6="Theorie")*1)</f>
        <v/>
      </c>
      <c r="H1971" s="62">
        <f>SUMPRODUCT($C$1652:$V$1652,($C$287:$V$287=H$1703)*1,($C$6:$V$6="Theorie")*1)</f>
        <v/>
      </c>
      <c r="I1971" s="62">
        <f>SUMPRODUCT($C$1652:$V$1652,($C$287:$V$287=I$1703)*1,($C$6:$V$6="Theorie")*1)</f>
        <v/>
      </c>
      <c r="J1971" s="62">
        <f>SUMPRODUCT($C$1652:$V$1652,($C$287:$V$287=J$1703)*1,($C$6:$V$6="Theorie")*1)</f>
        <v/>
      </c>
    </row>
    <row r="1972">
      <c r="C1972" s="62">
        <f>SUMPRODUCT($C$1653:$V$1653,($C$288:$V$288=C$1703)*1,($C$6:$V$6="Theorie")*1)</f>
        <v/>
      </c>
      <c r="D1972" s="62">
        <f>SUMPRODUCT($C$1653:$V$1653,($C$288:$V$288=D$1703)*1,($C$6:$V$6="Theorie")*1)</f>
        <v/>
      </c>
      <c r="E1972" s="62">
        <f>SUMPRODUCT($C$1653:$V$1653,($C$288:$V$288=E$1703)*1,($C$6:$V$6="Theorie")*1)</f>
        <v/>
      </c>
      <c r="F1972" s="62">
        <f>SUMPRODUCT($C$1653:$V$1653,($C$288:$V$288=F$1703)*1,($C$6:$V$6="Theorie")*1)</f>
        <v/>
      </c>
      <c r="G1972" s="62">
        <f>SUMPRODUCT($C$1653:$V$1653,($C$288:$V$288=G$1703)*1,($C$6:$V$6="Theorie")*1)</f>
        <v/>
      </c>
      <c r="H1972" s="62">
        <f>SUMPRODUCT($C$1653:$V$1653,($C$288:$V$288=H$1703)*1,($C$6:$V$6="Theorie")*1)</f>
        <v/>
      </c>
      <c r="I1972" s="62">
        <f>SUMPRODUCT($C$1653:$V$1653,($C$288:$V$288=I$1703)*1,($C$6:$V$6="Theorie")*1)</f>
        <v/>
      </c>
      <c r="J1972" s="62">
        <f>SUMPRODUCT($C$1653:$V$1653,($C$288:$V$288=J$1703)*1,($C$6:$V$6="Theorie")*1)</f>
        <v/>
      </c>
    </row>
    <row r="1973">
      <c r="C1973" s="62">
        <f>SUMPRODUCT($C$1654:$V$1654,($C$289:$V$289=C$1703)*1,($C$6:$V$6="Theorie")*1)</f>
        <v/>
      </c>
      <c r="D1973" s="62">
        <f>SUMPRODUCT($C$1654:$V$1654,($C$289:$V$289=D$1703)*1,($C$6:$V$6="Theorie")*1)</f>
        <v/>
      </c>
      <c r="E1973" s="62">
        <f>SUMPRODUCT($C$1654:$V$1654,($C$289:$V$289=E$1703)*1,($C$6:$V$6="Theorie")*1)</f>
        <v/>
      </c>
      <c r="F1973" s="62">
        <f>SUMPRODUCT($C$1654:$V$1654,($C$289:$V$289=F$1703)*1,($C$6:$V$6="Theorie")*1)</f>
        <v/>
      </c>
      <c r="G1973" s="62">
        <f>SUMPRODUCT($C$1654:$V$1654,($C$289:$V$289=G$1703)*1,($C$6:$V$6="Theorie")*1)</f>
        <v/>
      </c>
      <c r="H1973" s="62">
        <f>SUMPRODUCT($C$1654:$V$1654,($C$289:$V$289=H$1703)*1,($C$6:$V$6="Theorie")*1)</f>
        <v/>
      </c>
      <c r="I1973" s="62">
        <f>SUMPRODUCT($C$1654:$V$1654,($C$289:$V$289=I$1703)*1,($C$6:$V$6="Theorie")*1)</f>
        <v/>
      </c>
      <c r="J1973" s="62">
        <f>SUMPRODUCT($C$1654:$V$1654,($C$289:$V$289=J$1703)*1,($C$6:$V$6="Theorie")*1)</f>
        <v/>
      </c>
    </row>
    <row r="1974">
      <c r="C1974" s="62">
        <f>SUMPRODUCT($C$1655:$V$1655,($C$290:$V$290=C$1703)*1,($C$6:$V$6="Theorie")*1)</f>
        <v/>
      </c>
      <c r="D1974" s="62">
        <f>SUMPRODUCT($C$1655:$V$1655,($C$290:$V$290=D$1703)*1,($C$6:$V$6="Theorie")*1)</f>
        <v/>
      </c>
      <c r="E1974" s="62">
        <f>SUMPRODUCT($C$1655:$V$1655,($C$290:$V$290=E$1703)*1,($C$6:$V$6="Theorie")*1)</f>
        <v/>
      </c>
      <c r="F1974" s="62">
        <f>SUMPRODUCT($C$1655:$V$1655,($C$290:$V$290=F$1703)*1,($C$6:$V$6="Theorie")*1)</f>
        <v/>
      </c>
      <c r="G1974" s="62">
        <f>SUMPRODUCT($C$1655:$V$1655,($C$290:$V$290=G$1703)*1,($C$6:$V$6="Theorie")*1)</f>
        <v/>
      </c>
      <c r="H1974" s="62">
        <f>SUMPRODUCT($C$1655:$V$1655,($C$290:$V$290=H$1703)*1,($C$6:$V$6="Theorie")*1)</f>
        <v/>
      </c>
      <c r="I1974" s="62">
        <f>SUMPRODUCT($C$1655:$V$1655,($C$290:$V$290=I$1703)*1,($C$6:$V$6="Theorie")*1)</f>
        <v/>
      </c>
      <c r="J1974" s="62">
        <f>SUMPRODUCT($C$1655:$V$1655,($C$290:$V$290=J$1703)*1,($C$6:$V$6="Theorie")*1)</f>
        <v/>
      </c>
    </row>
    <row r="1975">
      <c r="C1975" s="62">
        <f>SUMPRODUCT($C$1656:$V$1656,($C$291:$V$291=C$1703)*1,($C$6:$V$6="Theorie")*1)</f>
        <v/>
      </c>
      <c r="D1975" s="62">
        <f>SUMPRODUCT($C$1656:$V$1656,($C$291:$V$291=D$1703)*1,($C$6:$V$6="Theorie")*1)</f>
        <v/>
      </c>
      <c r="E1975" s="62">
        <f>SUMPRODUCT($C$1656:$V$1656,($C$291:$V$291=E$1703)*1,($C$6:$V$6="Theorie")*1)</f>
        <v/>
      </c>
      <c r="F1975" s="62">
        <f>SUMPRODUCT($C$1656:$V$1656,($C$291:$V$291=F$1703)*1,($C$6:$V$6="Theorie")*1)</f>
        <v/>
      </c>
      <c r="G1975" s="62">
        <f>SUMPRODUCT($C$1656:$V$1656,($C$291:$V$291=G$1703)*1,($C$6:$V$6="Theorie")*1)</f>
        <v/>
      </c>
      <c r="H1975" s="62">
        <f>SUMPRODUCT($C$1656:$V$1656,($C$291:$V$291=H$1703)*1,($C$6:$V$6="Theorie")*1)</f>
        <v/>
      </c>
      <c r="I1975" s="62">
        <f>SUMPRODUCT($C$1656:$V$1656,($C$291:$V$291=I$1703)*1,($C$6:$V$6="Theorie")*1)</f>
        <v/>
      </c>
      <c r="J1975" s="62">
        <f>SUMPRODUCT($C$1656:$V$1656,($C$291:$V$291=J$1703)*1,($C$6:$V$6="Theorie")*1)</f>
        <v/>
      </c>
    </row>
    <row r="1976">
      <c r="C1976" s="62">
        <f>SUMPRODUCT($C$1657:$V$1657,($C$292:$V$292=C$1703)*1,($C$6:$V$6="Theorie")*1)</f>
        <v/>
      </c>
      <c r="D1976" s="62">
        <f>SUMPRODUCT($C$1657:$V$1657,($C$292:$V$292=D$1703)*1,($C$6:$V$6="Theorie")*1)</f>
        <v/>
      </c>
      <c r="E1976" s="62">
        <f>SUMPRODUCT($C$1657:$V$1657,($C$292:$V$292=E$1703)*1,($C$6:$V$6="Theorie")*1)</f>
        <v/>
      </c>
      <c r="F1976" s="62">
        <f>SUMPRODUCT($C$1657:$V$1657,($C$292:$V$292=F$1703)*1,($C$6:$V$6="Theorie")*1)</f>
        <v/>
      </c>
      <c r="G1976" s="62">
        <f>SUMPRODUCT($C$1657:$V$1657,($C$292:$V$292=G$1703)*1,($C$6:$V$6="Theorie")*1)</f>
        <v/>
      </c>
      <c r="H1976" s="62">
        <f>SUMPRODUCT($C$1657:$V$1657,($C$292:$V$292=H$1703)*1,($C$6:$V$6="Theorie")*1)</f>
        <v/>
      </c>
      <c r="I1976" s="62">
        <f>SUMPRODUCT($C$1657:$V$1657,($C$292:$V$292=I$1703)*1,($C$6:$V$6="Theorie")*1)</f>
        <v/>
      </c>
      <c r="J1976" s="62">
        <f>SUMPRODUCT($C$1657:$V$1657,($C$292:$V$292=J$1703)*1,($C$6:$V$6="Theorie")*1)</f>
        <v/>
      </c>
    </row>
    <row r="1977">
      <c r="C1977" s="62">
        <f>SUMPRODUCT($C$1658:$V$1658,($C$293:$V$293=C$1703)*1,($C$6:$V$6="Theorie")*1)</f>
        <v/>
      </c>
      <c r="D1977" s="62">
        <f>SUMPRODUCT($C$1658:$V$1658,($C$293:$V$293=D$1703)*1,($C$6:$V$6="Theorie")*1)</f>
        <v/>
      </c>
      <c r="E1977" s="62">
        <f>SUMPRODUCT($C$1658:$V$1658,($C$293:$V$293=E$1703)*1,($C$6:$V$6="Theorie")*1)</f>
        <v/>
      </c>
      <c r="F1977" s="62">
        <f>SUMPRODUCT($C$1658:$V$1658,($C$293:$V$293=F$1703)*1,($C$6:$V$6="Theorie")*1)</f>
        <v/>
      </c>
      <c r="G1977" s="62">
        <f>SUMPRODUCT($C$1658:$V$1658,($C$293:$V$293=G$1703)*1,($C$6:$V$6="Theorie")*1)</f>
        <v/>
      </c>
      <c r="H1977" s="62">
        <f>SUMPRODUCT($C$1658:$V$1658,($C$293:$V$293=H$1703)*1,($C$6:$V$6="Theorie")*1)</f>
        <v/>
      </c>
      <c r="I1977" s="62">
        <f>SUMPRODUCT($C$1658:$V$1658,($C$293:$V$293=I$1703)*1,($C$6:$V$6="Theorie")*1)</f>
        <v/>
      </c>
      <c r="J1977" s="62">
        <f>SUMPRODUCT($C$1658:$V$1658,($C$293:$V$293=J$1703)*1,($C$6:$V$6="Theorie")*1)</f>
        <v/>
      </c>
    </row>
    <row r="1978">
      <c r="C1978" s="62">
        <f>SUMPRODUCT($C$1659:$V$1659,($C$294:$V$294=C$1703)*1,($C$6:$V$6="Theorie")*1)</f>
        <v/>
      </c>
      <c r="D1978" s="62">
        <f>SUMPRODUCT($C$1659:$V$1659,($C$294:$V$294=D$1703)*1,($C$6:$V$6="Theorie")*1)</f>
        <v/>
      </c>
      <c r="E1978" s="62">
        <f>SUMPRODUCT($C$1659:$V$1659,($C$294:$V$294=E$1703)*1,($C$6:$V$6="Theorie")*1)</f>
        <v/>
      </c>
      <c r="F1978" s="62">
        <f>SUMPRODUCT($C$1659:$V$1659,($C$294:$V$294=F$1703)*1,($C$6:$V$6="Theorie")*1)</f>
        <v/>
      </c>
      <c r="G1978" s="62">
        <f>SUMPRODUCT($C$1659:$V$1659,($C$294:$V$294=G$1703)*1,($C$6:$V$6="Theorie")*1)</f>
        <v/>
      </c>
      <c r="H1978" s="62">
        <f>SUMPRODUCT($C$1659:$V$1659,($C$294:$V$294=H$1703)*1,($C$6:$V$6="Theorie")*1)</f>
        <v/>
      </c>
      <c r="I1978" s="62">
        <f>SUMPRODUCT($C$1659:$V$1659,($C$294:$V$294=I$1703)*1,($C$6:$V$6="Theorie")*1)</f>
        <v/>
      </c>
      <c r="J1978" s="62">
        <f>SUMPRODUCT($C$1659:$V$1659,($C$294:$V$294=J$1703)*1,($C$6:$V$6="Theorie")*1)</f>
        <v/>
      </c>
    </row>
    <row r="1979">
      <c r="C1979" s="62">
        <f>SUMPRODUCT($C$1660:$V$1660,($C$295:$V$295=C$1703)*1,($C$6:$V$6="Theorie")*1)</f>
        <v/>
      </c>
      <c r="D1979" s="62">
        <f>SUMPRODUCT($C$1660:$V$1660,($C$295:$V$295=D$1703)*1,($C$6:$V$6="Theorie")*1)</f>
        <v/>
      </c>
      <c r="E1979" s="62">
        <f>SUMPRODUCT($C$1660:$V$1660,($C$295:$V$295=E$1703)*1,($C$6:$V$6="Theorie")*1)</f>
        <v/>
      </c>
      <c r="F1979" s="62">
        <f>SUMPRODUCT($C$1660:$V$1660,($C$295:$V$295=F$1703)*1,($C$6:$V$6="Theorie")*1)</f>
        <v/>
      </c>
      <c r="G1979" s="62">
        <f>SUMPRODUCT($C$1660:$V$1660,($C$295:$V$295=G$1703)*1,($C$6:$V$6="Theorie")*1)</f>
        <v/>
      </c>
      <c r="H1979" s="62">
        <f>SUMPRODUCT($C$1660:$V$1660,($C$295:$V$295=H$1703)*1,($C$6:$V$6="Theorie")*1)</f>
        <v/>
      </c>
      <c r="I1979" s="62">
        <f>SUMPRODUCT($C$1660:$V$1660,($C$295:$V$295=I$1703)*1,($C$6:$V$6="Theorie")*1)</f>
        <v/>
      </c>
      <c r="J1979" s="62">
        <f>SUMPRODUCT($C$1660:$V$1660,($C$295:$V$295=J$1703)*1,($C$6:$V$6="Theorie")*1)</f>
        <v/>
      </c>
    </row>
    <row r="1980">
      <c r="C1980" s="62">
        <f>SUMPRODUCT($C$1661:$V$1661,($C$296:$V$296=C$1703)*1,($C$6:$V$6="Theorie")*1)</f>
        <v/>
      </c>
      <c r="D1980" s="62">
        <f>SUMPRODUCT($C$1661:$V$1661,($C$296:$V$296=D$1703)*1,($C$6:$V$6="Theorie")*1)</f>
        <v/>
      </c>
      <c r="E1980" s="62">
        <f>SUMPRODUCT($C$1661:$V$1661,($C$296:$V$296=E$1703)*1,($C$6:$V$6="Theorie")*1)</f>
        <v/>
      </c>
      <c r="F1980" s="62">
        <f>SUMPRODUCT($C$1661:$V$1661,($C$296:$V$296=F$1703)*1,($C$6:$V$6="Theorie")*1)</f>
        <v/>
      </c>
      <c r="G1980" s="62">
        <f>SUMPRODUCT($C$1661:$V$1661,($C$296:$V$296=G$1703)*1,($C$6:$V$6="Theorie")*1)</f>
        <v/>
      </c>
      <c r="H1980" s="62">
        <f>SUMPRODUCT($C$1661:$V$1661,($C$296:$V$296=H$1703)*1,($C$6:$V$6="Theorie")*1)</f>
        <v/>
      </c>
      <c r="I1980" s="62">
        <f>SUMPRODUCT($C$1661:$V$1661,($C$296:$V$296=I$1703)*1,($C$6:$V$6="Theorie")*1)</f>
        <v/>
      </c>
      <c r="J1980" s="62">
        <f>SUMPRODUCT($C$1661:$V$1661,($C$296:$V$296=J$1703)*1,($C$6:$V$6="Theorie")*1)</f>
        <v/>
      </c>
    </row>
    <row r="1981">
      <c r="C1981" s="62">
        <f>SUMPRODUCT($C$1662:$V$1662,($C$297:$V$297=C$1703)*1,($C$6:$V$6="Theorie")*1)</f>
        <v/>
      </c>
      <c r="D1981" s="62">
        <f>SUMPRODUCT($C$1662:$V$1662,($C$297:$V$297=D$1703)*1,($C$6:$V$6="Theorie")*1)</f>
        <v/>
      </c>
      <c r="E1981" s="62">
        <f>SUMPRODUCT($C$1662:$V$1662,($C$297:$V$297=E$1703)*1,($C$6:$V$6="Theorie")*1)</f>
        <v/>
      </c>
      <c r="F1981" s="62">
        <f>SUMPRODUCT($C$1662:$V$1662,($C$297:$V$297=F$1703)*1,($C$6:$V$6="Theorie")*1)</f>
        <v/>
      </c>
      <c r="G1981" s="62">
        <f>SUMPRODUCT($C$1662:$V$1662,($C$297:$V$297=G$1703)*1,($C$6:$V$6="Theorie")*1)</f>
        <v/>
      </c>
      <c r="H1981" s="62">
        <f>SUMPRODUCT($C$1662:$V$1662,($C$297:$V$297=H$1703)*1,($C$6:$V$6="Theorie")*1)</f>
        <v/>
      </c>
      <c r="I1981" s="62">
        <f>SUMPRODUCT($C$1662:$V$1662,($C$297:$V$297=I$1703)*1,($C$6:$V$6="Theorie")*1)</f>
        <v/>
      </c>
      <c r="J1981" s="62">
        <f>SUMPRODUCT($C$1662:$V$1662,($C$297:$V$297=J$1703)*1,($C$6:$V$6="Theorie")*1)</f>
        <v/>
      </c>
    </row>
    <row r="1982">
      <c r="C1982" s="62">
        <f>SUMPRODUCT($C$1663:$V$1663,($C$298:$V$298=C$1703)*1,($C$6:$V$6="Theorie")*1)</f>
        <v/>
      </c>
      <c r="D1982" s="62">
        <f>SUMPRODUCT($C$1663:$V$1663,($C$298:$V$298=D$1703)*1,($C$6:$V$6="Theorie")*1)</f>
        <v/>
      </c>
      <c r="E1982" s="62">
        <f>SUMPRODUCT($C$1663:$V$1663,($C$298:$V$298=E$1703)*1,($C$6:$V$6="Theorie")*1)</f>
        <v/>
      </c>
      <c r="F1982" s="62">
        <f>SUMPRODUCT($C$1663:$V$1663,($C$298:$V$298=F$1703)*1,($C$6:$V$6="Theorie")*1)</f>
        <v/>
      </c>
      <c r="G1982" s="62">
        <f>SUMPRODUCT($C$1663:$V$1663,($C$298:$V$298=G$1703)*1,($C$6:$V$6="Theorie")*1)</f>
        <v/>
      </c>
      <c r="H1982" s="62">
        <f>SUMPRODUCT($C$1663:$V$1663,($C$298:$V$298=H$1703)*1,($C$6:$V$6="Theorie")*1)</f>
        <v/>
      </c>
      <c r="I1982" s="62">
        <f>SUMPRODUCT($C$1663:$V$1663,($C$298:$V$298=I$1703)*1,($C$6:$V$6="Theorie")*1)</f>
        <v/>
      </c>
      <c r="J1982" s="62">
        <f>SUMPRODUCT($C$1663:$V$1663,($C$298:$V$298=J$1703)*1,($C$6:$V$6="Theorie")*1)</f>
        <v/>
      </c>
    </row>
    <row r="1983">
      <c r="C1983" s="62">
        <f>SUMPRODUCT($C$1664:$V$1664,($C$299:$V$299=C$1703)*1,($C$6:$V$6="Theorie")*1)</f>
        <v/>
      </c>
      <c r="D1983" s="62">
        <f>SUMPRODUCT($C$1664:$V$1664,($C$299:$V$299=D$1703)*1,($C$6:$V$6="Theorie")*1)</f>
        <v/>
      </c>
      <c r="E1983" s="62">
        <f>SUMPRODUCT($C$1664:$V$1664,($C$299:$V$299=E$1703)*1,($C$6:$V$6="Theorie")*1)</f>
        <v/>
      </c>
      <c r="F1983" s="62">
        <f>SUMPRODUCT($C$1664:$V$1664,($C$299:$V$299=F$1703)*1,($C$6:$V$6="Theorie")*1)</f>
        <v/>
      </c>
      <c r="G1983" s="62">
        <f>SUMPRODUCT($C$1664:$V$1664,($C$299:$V$299=G$1703)*1,($C$6:$V$6="Theorie")*1)</f>
        <v/>
      </c>
      <c r="H1983" s="62">
        <f>SUMPRODUCT($C$1664:$V$1664,($C$299:$V$299=H$1703)*1,($C$6:$V$6="Theorie")*1)</f>
        <v/>
      </c>
      <c r="I1983" s="62">
        <f>SUMPRODUCT($C$1664:$V$1664,($C$299:$V$299=I$1703)*1,($C$6:$V$6="Theorie")*1)</f>
        <v/>
      </c>
      <c r="J1983" s="62">
        <f>SUMPRODUCT($C$1664:$V$1664,($C$299:$V$299=J$1703)*1,($C$6:$V$6="Theorie")*1)</f>
        <v/>
      </c>
    </row>
    <row r="1984">
      <c r="C1984" s="62">
        <f>SUMPRODUCT($C$1665:$V$1665,($C$300:$V$300=C$1703)*1,($C$6:$V$6="Theorie")*1)</f>
        <v/>
      </c>
      <c r="D1984" s="62">
        <f>SUMPRODUCT($C$1665:$V$1665,($C$300:$V$300=D$1703)*1,($C$6:$V$6="Theorie")*1)</f>
        <v/>
      </c>
      <c r="E1984" s="62">
        <f>SUMPRODUCT($C$1665:$V$1665,($C$300:$V$300=E$1703)*1,($C$6:$V$6="Theorie")*1)</f>
        <v/>
      </c>
      <c r="F1984" s="62">
        <f>SUMPRODUCT($C$1665:$V$1665,($C$300:$V$300=F$1703)*1,($C$6:$V$6="Theorie")*1)</f>
        <v/>
      </c>
      <c r="G1984" s="62">
        <f>SUMPRODUCT($C$1665:$V$1665,($C$300:$V$300=G$1703)*1,($C$6:$V$6="Theorie")*1)</f>
        <v/>
      </c>
      <c r="H1984" s="62">
        <f>SUMPRODUCT($C$1665:$V$1665,($C$300:$V$300=H$1703)*1,($C$6:$V$6="Theorie")*1)</f>
        <v/>
      </c>
      <c r="I1984" s="62">
        <f>SUMPRODUCT($C$1665:$V$1665,($C$300:$V$300=I$1703)*1,($C$6:$V$6="Theorie")*1)</f>
        <v/>
      </c>
      <c r="J1984" s="62">
        <f>SUMPRODUCT($C$1665:$V$1665,($C$300:$V$300=J$1703)*1,($C$6:$V$6="Theorie")*1)</f>
        <v/>
      </c>
    </row>
    <row r="1985">
      <c r="C1985" s="62">
        <f>SUMPRODUCT($C$1666:$V$1666,($C$301:$V$301=C$1703)*1,($C$6:$V$6="Theorie")*1)</f>
        <v/>
      </c>
      <c r="D1985" s="62">
        <f>SUMPRODUCT($C$1666:$V$1666,($C$301:$V$301=D$1703)*1,($C$6:$V$6="Theorie")*1)</f>
        <v/>
      </c>
      <c r="E1985" s="62">
        <f>SUMPRODUCT($C$1666:$V$1666,($C$301:$V$301=E$1703)*1,($C$6:$V$6="Theorie")*1)</f>
        <v/>
      </c>
      <c r="F1985" s="62">
        <f>SUMPRODUCT($C$1666:$V$1666,($C$301:$V$301=F$1703)*1,($C$6:$V$6="Theorie")*1)</f>
        <v/>
      </c>
      <c r="G1985" s="62">
        <f>SUMPRODUCT($C$1666:$V$1666,($C$301:$V$301=G$1703)*1,($C$6:$V$6="Theorie")*1)</f>
        <v/>
      </c>
      <c r="H1985" s="62">
        <f>SUMPRODUCT($C$1666:$V$1666,($C$301:$V$301=H$1703)*1,($C$6:$V$6="Theorie")*1)</f>
        <v/>
      </c>
      <c r="I1985" s="62">
        <f>SUMPRODUCT($C$1666:$V$1666,($C$301:$V$301=I$1703)*1,($C$6:$V$6="Theorie")*1)</f>
        <v/>
      </c>
      <c r="J1985" s="62">
        <f>SUMPRODUCT($C$1666:$V$1666,($C$301:$V$301=J$1703)*1,($C$6:$V$6="Theorie")*1)</f>
        <v/>
      </c>
    </row>
    <row r="1986">
      <c r="C1986" s="62">
        <f>SUMPRODUCT($C$1667:$V$1667,($C$302:$V$302=C$1703)*1,($C$6:$V$6="Theorie")*1)</f>
        <v/>
      </c>
      <c r="D1986" s="62">
        <f>SUMPRODUCT($C$1667:$V$1667,($C$302:$V$302=D$1703)*1,($C$6:$V$6="Theorie")*1)</f>
        <v/>
      </c>
      <c r="E1986" s="62">
        <f>SUMPRODUCT($C$1667:$V$1667,($C$302:$V$302=E$1703)*1,($C$6:$V$6="Theorie")*1)</f>
        <v/>
      </c>
      <c r="F1986" s="62">
        <f>SUMPRODUCT($C$1667:$V$1667,($C$302:$V$302=F$1703)*1,($C$6:$V$6="Theorie")*1)</f>
        <v/>
      </c>
      <c r="G1986" s="62">
        <f>SUMPRODUCT($C$1667:$V$1667,($C$302:$V$302=G$1703)*1,($C$6:$V$6="Theorie")*1)</f>
        <v/>
      </c>
      <c r="H1986" s="62">
        <f>SUMPRODUCT($C$1667:$V$1667,($C$302:$V$302=H$1703)*1,($C$6:$V$6="Theorie")*1)</f>
        <v/>
      </c>
      <c r="I1986" s="62">
        <f>SUMPRODUCT($C$1667:$V$1667,($C$302:$V$302=I$1703)*1,($C$6:$V$6="Theorie")*1)</f>
        <v/>
      </c>
      <c r="J1986" s="62">
        <f>SUMPRODUCT($C$1667:$V$1667,($C$302:$V$302=J$1703)*1,($C$6:$V$6="Theorie")*1)</f>
        <v/>
      </c>
    </row>
    <row r="1987">
      <c r="C1987" s="62">
        <f>SUMPRODUCT($C$1668:$V$1668,($C$303:$V$303=C$1703)*1,($C$6:$V$6="Theorie")*1)</f>
        <v/>
      </c>
      <c r="D1987" s="62">
        <f>SUMPRODUCT($C$1668:$V$1668,($C$303:$V$303=D$1703)*1,($C$6:$V$6="Theorie")*1)</f>
        <v/>
      </c>
      <c r="E1987" s="62">
        <f>SUMPRODUCT($C$1668:$V$1668,($C$303:$V$303=E$1703)*1,($C$6:$V$6="Theorie")*1)</f>
        <v/>
      </c>
      <c r="F1987" s="62">
        <f>SUMPRODUCT($C$1668:$V$1668,($C$303:$V$303=F$1703)*1,($C$6:$V$6="Theorie")*1)</f>
        <v/>
      </c>
      <c r="G1987" s="62">
        <f>SUMPRODUCT($C$1668:$V$1668,($C$303:$V$303=G$1703)*1,($C$6:$V$6="Theorie")*1)</f>
        <v/>
      </c>
      <c r="H1987" s="62">
        <f>SUMPRODUCT($C$1668:$V$1668,($C$303:$V$303=H$1703)*1,($C$6:$V$6="Theorie")*1)</f>
        <v/>
      </c>
      <c r="I1987" s="62">
        <f>SUMPRODUCT($C$1668:$V$1668,($C$303:$V$303=I$1703)*1,($C$6:$V$6="Theorie")*1)</f>
        <v/>
      </c>
      <c r="J1987" s="62">
        <f>SUMPRODUCT($C$1668:$V$1668,($C$303:$V$303=J$1703)*1,($C$6:$V$6="Theorie")*1)</f>
        <v/>
      </c>
    </row>
    <row r="1988">
      <c r="C1988" s="62">
        <f>SUMPRODUCT($C$1669:$V$1669,($C$304:$V$304=C$1703)*1,($C$6:$V$6="Theorie")*1)</f>
        <v/>
      </c>
      <c r="D1988" s="62">
        <f>SUMPRODUCT($C$1669:$V$1669,($C$304:$V$304=D$1703)*1,($C$6:$V$6="Theorie")*1)</f>
        <v/>
      </c>
      <c r="E1988" s="62">
        <f>SUMPRODUCT($C$1669:$V$1669,($C$304:$V$304=E$1703)*1,($C$6:$V$6="Theorie")*1)</f>
        <v/>
      </c>
      <c r="F1988" s="62">
        <f>SUMPRODUCT($C$1669:$V$1669,($C$304:$V$304=F$1703)*1,($C$6:$V$6="Theorie")*1)</f>
        <v/>
      </c>
      <c r="G1988" s="62">
        <f>SUMPRODUCT($C$1669:$V$1669,($C$304:$V$304=G$1703)*1,($C$6:$V$6="Theorie")*1)</f>
        <v/>
      </c>
      <c r="H1988" s="62">
        <f>SUMPRODUCT($C$1669:$V$1669,($C$304:$V$304=H$1703)*1,($C$6:$V$6="Theorie")*1)</f>
        <v/>
      </c>
      <c r="I1988" s="62">
        <f>SUMPRODUCT($C$1669:$V$1669,($C$304:$V$304=I$1703)*1,($C$6:$V$6="Theorie")*1)</f>
        <v/>
      </c>
      <c r="J1988" s="62">
        <f>SUMPRODUCT($C$1669:$V$1669,($C$304:$V$304=J$1703)*1,($C$6:$V$6="Theorie")*1)</f>
        <v/>
      </c>
    </row>
    <row r="1989">
      <c r="C1989" s="62">
        <f>SUMPRODUCT($C$1670:$V$1670,($C$305:$V$305=C$1703)*1,($C$6:$V$6="Theorie")*1)</f>
        <v/>
      </c>
      <c r="D1989" s="62">
        <f>SUMPRODUCT($C$1670:$V$1670,($C$305:$V$305=D$1703)*1,($C$6:$V$6="Theorie")*1)</f>
        <v/>
      </c>
      <c r="E1989" s="62">
        <f>SUMPRODUCT($C$1670:$V$1670,($C$305:$V$305=E$1703)*1,($C$6:$V$6="Theorie")*1)</f>
        <v/>
      </c>
      <c r="F1989" s="62">
        <f>SUMPRODUCT($C$1670:$V$1670,($C$305:$V$305=F$1703)*1,($C$6:$V$6="Theorie")*1)</f>
        <v/>
      </c>
      <c r="G1989" s="62">
        <f>SUMPRODUCT($C$1670:$V$1670,($C$305:$V$305=G$1703)*1,($C$6:$V$6="Theorie")*1)</f>
        <v/>
      </c>
      <c r="H1989" s="62">
        <f>SUMPRODUCT($C$1670:$V$1670,($C$305:$V$305=H$1703)*1,($C$6:$V$6="Theorie")*1)</f>
        <v/>
      </c>
      <c r="I1989" s="62">
        <f>SUMPRODUCT($C$1670:$V$1670,($C$305:$V$305=I$1703)*1,($C$6:$V$6="Theorie")*1)</f>
        <v/>
      </c>
      <c r="J1989" s="62">
        <f>SUMPRODUCT($C$1670:$V$1670,($C$305:$V$305=J$1703)*1,($C$6:$V$6="Theorie")*1)</f>
        <v/>
      </c>
    </row>
    <row r="1990">
      <c r="C1990" s="62">
        <f>SUMPRODUCT($C$1671:$V$1671,($C$306:$V$306=C$1703)*1,($C$6:$V$6="Theorie")*1)</f>
        <v/>
      </c>
      <c r="D1990" s="62">
        <f>SUMPRODUCT($C$1671:$V$1671,($C$306:$V$306=D$1703)*1,($C$6:$V$6="Theorie")*1)</f>
        <v/>
      </c>
      <c r="E1990" s="62">
        <f>SUMPRODUCT($C$1671:$V$1671,($C$306:$V$306=E$1703)*1,($C$6:$V$6="Theorie")*1)</f>
        <v/>
      </c>
      <c r="F1990" s="62">
        <f>SUMPRODUCT($C$1671:$V$1671,($C$306:$V$306=F$1703)*1,($C$6:$V$6="Theorie")*1)</f>
        <v/>
      </c>
      <c r="G1990" s="62">
        <f>SUMPRODUCT($C$1671:$V$1671,($C$306:$V$306=G$1703)*1,($C$6:$V$6="Theorie")*1)</f>
        <v/>
      </c>
      <c r="H1990" s="62">
        <f>SUMPRODUCT($C$1671:$V$1671,($C$306:$V$306=H$1703)*1,($C$6:$V$6="Theorie")*1)</f>
        <v/>
      </c>
      <c r="I1990" s="62">
        <f>SUMPRODUCT($C$1671:$V$1671,($C$306:$V$306=I$1703)*1,($C$6:$V$6="Theorie")*1)</f>
        <v/>
      </c>
      <c r="J1990" s="62">
        <f>SUMPRODUCT($C$1671:$V$1671,($C$306:$V$306=J$1703)*1,($C$6:$V$6="Theorie")*1)</f>
        <v/>
      </c>
    </row>
    <row r="1991">
      <c r="C1991" s="62">
        <f>SUMPRODUCT($C$1672:$V$1672,($C$307:$V$307=C$1703)*1,($C$6:$V$6="Theorie")*1)</f>
        <v/>
      </c>
      <c r="D1991" s="62">
        <f>SUMPRODUCT($C$1672:$V$1672,($C$307:$V$307=D$1703)*1,($C$6:$V$6="Theorie")*1)</f>
        <v/>
      </c>
      <c r="E1991" s="62">
        <f>SUMPRODUCT($C$1672:$V$1672,($C$307:$V$307=E$1703)*1,($C$6:$V$6="Theorie")*1)</f>
        <v/>
      </c>
      <c r="F1991" s="62">
        <f>SUMPRODUCT($C$1672:$V$1672,($C$307:$V$307=F$1703)*1,($C$6:$V$6="Theorie")*1)</f>
        <v/>
      </c>
      <c r="G1991" s="62">
        <f>SUMPRODUCT($C$1672:$V$1672,($C$307:$V$307=G$1703)*1,($C$6:$V$6="Theorie")*1)</f>
        <v/>
      </c>
      <c r="H1991" s="62">
        <f>SUMPRODUCT($C$1672:$V$1672,($C$307:$V$307=H$1703)*1,($C$6:$V$6="Theorie")*1)</f>
        <v/>
      </c>
      <c r="I1991" s="62">
        <f>SUMPRODUCT($C$1672:$V$1672,($C$307:$V$307=I$1703)*1,($C$6:$V$6="Theorie")*1)</f>
        <v/>
      </c>
      <c r="J1991" s="62">
        <f>SUMPRODUCT($C$1672:$V$1672,($C$307:$V$307=J$1703)*1,($C$6:$V$6="Theorie")*1)</f>
        <v/>
      </c>
    </row>
    <row r="1992">
      <c r="C1992" s="62">
        <f>SUMPRODUCT($C$1673:$V$1673,($C$308:$V$308=C$1703)*1,($C$6:$V$6="Theorie")*1)</f>
        <v/>
      </c>
      <c r="D1992" s="62">
        <f>SUMPRODUCT($C$1673:$V$1673,($C$308:$V$308=D$1703)*1,($C$6:$V$6="Theorie")*1)</f>
        <v/>
      </c>
      <c r="E1992" s="62">
        <f>SUMPRODUCT($C$1673:$V$1673,($C$308:$V$308=E$1703)*1,($C$6:$V$6="Theorie")*1)</f>
        <v/>
      </c>
      <c r="F1992" s="62">
        <f>SUMPRODUCT($C$1673:$V$1673,($C$308:$V$308=F$1703)*1,($C$6:$V$6="Theorie")*1)</f>
        <v/>
      </c>
      <c r="G1992" s="62">
        <f>SUMPRODUCT($C$1673:$V$1673,($C$308:$V$308=G$1703)*1,($C$6:$V$6="Theorie")*1)</f>
        <v/>
      </c>
      <c r="H1992" s="62">
        <f>SUMPRODUCT($C$1673:$V$1673,($C$308:$V$308=H$1703)*1,($C$6:$V$6="Theorie")*1)</f>
        <v/>
      </c>
      <c r="I1992" s="62">
        <f>SUMPRODUCT($C$1673:$V$1673,($C$308:$V$308=I$1703)*1,($C$6:$V$6="Theorie")*1)</f>
        <v/>
      </c>
      <c r="J1992" s="62">
        <f>SUMPRODUCT($C$1673:$V$1673,($C$308:$V$308=J$1703)*1,($C$6:$V$6="Theorie")*1)</f>
        <v/>
      </c>
    </row>
    <row r="1993">
      <c r="C1993" s="62">
        <f>SUMPRODUCT($C$1674:$V$1674,($C$309:$V$309=C$1703)*1,($C$6:$V$6="Theorie")*1)</f>
        <v/>
      </c>
      <c r="D1993" s="62">
        <f>SUMPRODUCT($C$1674:$V$1674,($C$309:$V$309=D$1703)*1,($C$6:$V$6="Theorie")*1)</f>
        <v/>
      </c>
      <c r="E1993" s="62">
        <f>SUMPRODUCT($C$1674:$V$1674,($C$309:$V$309=E$1703)*1,($C$6:$V$6="Theorie")*1)</f>
        <v/>
      </c>
      <c r="F1993" s="62">
        <f>SUMPRODUCT($C$1674:$V$1674,($C$309:$V$309=F$1703)*1,($C$6:$V$6="Theorie")*1)</f>
        <v/>
      </c>
      <c r="G1993" s="62">
        <f>SUMPRODUCT($C$1674:$V$1674,($C$309:$V$309=G$1703)*1,($C$6:$V$6="Theorie")*1)</f>
        <v/>
      </c>
      <c r="H1993" s="62">
        <f>SUMPRODUCT($C$1674:$V$1674,($C$309:$V$309=H$1703)*1,($C$6:$V$6="Theorie")*1)</f>
        <v/>
      </c>
      <c r="I1993" s="62">
        <f>SUMPRODUCT($C$1674:$V$1674,($C$309:$V$309=I$1703)*1,($C$6:$V$6="Theorie")*1)</f>
        <v/>
      </c>
      <c r="J1993" s="62">
        <f>SUMPRODUCT($C$1674:$V$1674,($C$309:$V$309=J$1703)*1,($C$6:$V$6="Theorie")*1)</f>
        <v/>
      </c>
    </row>
    <row r="1994">
      <c r="C1994" s="62">
        <f>SUMPRODUCT($C$1675:$V$1675,($C$310:$V$310=C$1703)*1,($C$6:$V$6="Theorie")*1)</f>
        <v/>
      </c>
      <c r="D1994" s="62">
        <f>SUMPRODUCT($C$1675:$V$1675,($C$310:$V$310=D$1703)*1,($C$6:$V$6="Theorie")*1)</f>
        <v/>
      </c>
      <c r="E1994" s="62">
        <f>SUMPRODUCT($C$1675:$V$1675,($C$310:$V$310=E$1703)*1,($C$6:$V$6="Theorie")*1)</f>
        <v/>
      </c>
      <c r="F1994" s="62">
        <f>SUMPRODUCT($C$1675:$V$1675,($C$310:$V$310=F$1703)*1,($C$6:$V$6="Theorie")*1)</f>
        <v/>
      </c>
      <c r="G1994" s="62">
        <f>SUMPRODUCT($C$1675:$V$1675,($C$310:$V$310=G$1703)*1,($C$6:$V$6="Theorie")*1)</f>
        <v/>
      </c>
      <c r="H1994" s="62">
        <f>SUMPRODUCT($C$1675:$V$1675,($C$310:$V$310=H$1703)*1,($C$6:$V$6="Theorie")*1)</f>
        <v/>
      </c>
      <c r="I1994" s="62">
        <f>SUMPRODUCT($C$1675:$V$1675,($C$310:$V$310=I$1703)*1,($C$6:$V$6="Theorie")*1)</f>
        <v/>
      </c>
      <c r="J1994" s="62">
        <f>SUMPRODUCT($C$1675:$V$1675,($C$310:$V$310=J$1703)*1,($C$6:$V$6="Theorie")*1)</f>
        <v/>
      </c>
    </row>
    <row r="1995">
      <c r="C1995" s="62">
        <f>SUMPRODUCT($C$1676:$V$1676,($C$311:$V$311=C$1703)*1,($C$6:$V$6="Theorie")*1)</f>
        <v/>
      </c>
      <c r="D1995" s="62">
        <f>SUMPRODUCT($C$1676:$V$1676,($C$311:$V$311=D$1703)*1,($C$6:$V$6="Theorie")*1)</f>
        <v/>
      </c>
      <c r="E1995" s="62">
        <f>SUMPRODUCT($C$1676:$V$1676,($C$311:$V$311=E$1703)*1,($C$6:$V$6="Theorie")*1)</f>
        <v/>
      </c>
      <c r="F1995" s="62">
        <f>SUMPRODUCT($C$1676:$V$1676,($C$311:$V$311=F$1703)*1,($C$6:$V$6="Theorie")*1)</f>
        <v/>
      </c>
      <c r="G1995" s="62">
        <f>SUMPRODUCT($C$1676:$V$1676,($C$311:$V$311=G$1703)*1,($C$6:$V$6="Theorie")*1)</f>
        <v/>
      </c>
      <c r="H1995" s="62">
        <f>SUMPRODUCT($C$1676:$V$1676,($C$311:$V$311=H$1703)*1,($C$6:$V$6="Theorie")*1)</f>
        <v/>
      </c>
      <c r="I1995" s="62">
        <f>SUMPRODUCT($C$1676:$V$1676,($C$311:$V$311=I$1703)*1,($C$6:$V$6="Theorie")*1)</f>
        <v/>
      </c>
      <c r="J1995" s="62">
        <f>SUMPRODUCT($C$1676:$V$1676,($C$311:$V$311=J$1703)*1,($C$6:$V$6="Theorie")*1)</f>
        <v/>
      </c>
    </row>
    <row r="1996">
      <c r="C1996" s="62">
        <f>SUMPRODUCT($C$1677:$V$1677,($C$312:$V$312=C$1703)*1,($C$6:$V$6="Theorie")*1)</f>
        <v/>
      </c>
      <c r="D1996" s="62">
        <f>SUMPRODUCT($C$1677:$V$1677,($C$312:$V$312=D$1703)*1,($C$6:$V$6="Theorie")*1)</f>
        <v/>
      </c>
      <c r="E1996" s="62">
        <f>SUMPRODUCT($C$1677:$V$1677,($C$312:$V$312=E$1703)*1,($C$6:$V$6="Theorie")*1)</f>
        <v/>
      </c>
      <c r="F1996" s="62">
        <f>SUMPRODUCT($C$1677:$V$1677,($C$312:$V$312=F$1703)*1,($C$6:$V$6="Theorie")*1)</f>
        <v/>
      </c>
      <c r="G1996" s="62">
        <f>SUMPRODUCT($C$1677:$V$1677,($C$312:$V$312=G$1703)*1,($C$6:$V$6="Theorie")*1)</f>
        <v/>
      </c>
      <c r="H1996" s="62">
        <f>SUMPRODUCT($C$1677:$V$1677,($C$312:$V$312=H$1703)*1,($C$6:$V$6="Theorie")*1)</f>
        <v/>
      </c>
      <c r="I1996" s="62">
        <f>SUMPRODUCT($C$1677:$V$1677,($C$312:$V$312=I$1703)*1,($C$6:$V$6="Theorie")*1)</f>
        <v/>
      </c>
      <c r="J1996" s="62">
        <f>SUMPRODUCT($C$1677:$V$1677,($C$312:$V$312=J$1703)*1,($C$6:$V$6="Theorie")*1)</f>
        <v/>
      </c>
    </row>
    <row r="1997">
      <c r="C1997" s="62">
        <f>SUMPRODUCT($C$1678:$V$1678,($C$313:$V$313=C$1703)*1,($C$6:$V$6="Theorie")*1)</f>
        <v/>
      </c>
      <c r="D1997" s="62">
        <f>SUMPRODUCT($C$1678:$V$1678,($C$313:$V$313=D$1703)*1,($C$6:$V$6="Theorie")*1)</f>
        <v/>
      </c>
      <c r="E1997" s="62">
        <f>SUMPRODUCT($C$1678:$V$1678,($C$313:$V$313=E$1703)*1,($C$6:$V$6="Theorie")*1)</f>
        <v/>
      </c>
      <c r="F1997" s="62">
        <f>SUMPRODUCT($C$1678:$V$1678,($C$313:$V$313=F$1703)*1,($C$6:$V$6="Theorie")*1)</f>
        <v/>
      </c>
      <c r="G1997" s="62">
        <f>SUMPRODUCT($C$1678:$V$1678,($C$313:$V$313=G$1703)*1,($C$6:$V$6="Theorie")*1)</f>
        <v/>
      </c>
      <c r="H1997" s="62">
        <f>SUMPRODUCT($C$1678:$V$1678,($C$313:$V$313=H$1703)*1,($C$6:$V$6="Theorie")*1)</f>
        <v/>
      </c>
      <c r="I1997" s="62">
        <f>SUMPRODUCT($C$1678:$V$1678,($C$313:$V$313=I$1703)*1,($C$6:$V$6="Theorie")*1)</f>
        <v/>
      </c>
      <c r="J1997" s="62">
        <f>SUMPRODUCT($C$1678:$V$1678,($C$313:$V$313=J$1703)*1,($C$6:$V$6="Theorie")*1)</f>
        <v/>
      </c>
    </row>
    <row r="1998">
      <c r="C1998" s="62">
        <f>SUMPRODUCT($C$1679:$V$1679,($C$314:$V$314=C$1703)*1,($C$6:$V$6="Theorie")*1)</f>
        <v/>
      </c>
      <c r="D1998" s="62">
        <f>SUMPRODUCT($C$1679:$V$1679,($C$314:$V$314=D$1703)*1,($C$6:$V$6="Theorie")*1)</f>
        <v/>
      </c>
      <c r="E1998" s="62">
        <f>SUMPRODUCT($C$1679:$V$1679,($C$314:$V$314=E$1703)*1,($C$6:$V$6="Theorie")*1)</f>
        <v/>
      </c>
      <c r="F1998" s="62">
        <f>SUMPRODUCT($C$1679:$V$1679,($C$314:$V$314=F$1703)*1,($C$6:$V$6="Theorie")*1)</f>
        <v/>
      </c>
      <c r="G1998" s="62">
        <f>SUMPRODUCT($C$1679:$V$1679,($C$314:$V$314=G$1703)*1,($C$6:$V$6="Theorie")*1)</f>
        <v/>
      </c>
      <c r="H1998" s="62">
        <f>SUMPRODUCT($C$1679:$V$1679,($C$314:$V$314=H$1703)*1,($C$6:$V$6="Theorie")*1)</f>
        <v/>
      </c>
      <c r="I1998" s="62">
        <f>SUMPRODUCT($C$1679:$V$1679,($C$314:$V$314=I$1703)*1,($C$6:$V$6="Theorie")*1)</f>
        <v/>
      </c>
      <c r="J1998" s="62">
        <f>SUMPRODUCT($C$1679:$V$1679,($C$314:$V$314=J$1703)*1,($C$6:$V$6="Theorie")*1)</f>
        <v/>
      </c>
    </row>
    <row r="1999">
      <c r="C1999" s="62">
        <f>SUMPRODUCT($C$1680:$V$1680,($C$315:$V$315=C$1703)*1,($C$6:$V$6="Theorie")*1)</f>
        <v/>
      </c>
      <c r="D1999" s="62">
        <f>SUMPRODUCT($C$1680:$V$1680,($C$315:$V$315=D$1703)*1,($C$6:$V$6="Theorie")*1)</f>
        <v/>
      </c>
      <c r="E1999" s="62">
        <f>SUMPRODUCT($C$1680:$V$1680,($C$315:$V$315=E$1703)*1,($C$6:$V$6="Theorie")*1)</f>
        <v/>
      </c>
      <c r="F1999" s="62">
        <f>SUMPRODUCT($C$1680:$V$1680,($C$315:$V$315=F$1703)*1,($C$6:$V$6="Theorie")*1)</f>
        <v/>
      </c>
      <c r="G1999" s="62">
        <f>SUMPRODUCT($C$1680:$V$1680,($C$315:$V$315=G$1703)*1,($C$6:$V$6="Theorie")*1)</f>
        <v/>
      </c>
      <c r="H1999" s="62">
        <f>SUMPRODUCT($C$1680:$V$1680,($C$315:$V$315=H$1703)*1,($C$6:$V$6="Theorie")*1)</f>
        <v/>
      </c>
      <c r="I1999" s="62">
        <f>SUMPRODUCT($C$1680:$V$1680,($C$315:$V$315=I$1703)*1,($C$6:$V$6="Theorie")*1)</f>
        <v/>
      </c>
      <c r="J1999" s="62">
        <f>SUMPRODUCT($C$1680:$V$1680,($C$315:$V$315=J$1703)*1,($C$6:$V$6="Theorie")*1)</f>
        <v/>
      </c>
    </row>
    <row r="2000">
      <c r="C2000" s="62">
        <f>SUMPRODUCT($C$1681:$V$1681,($C$316:$V$316=C$1703)*1,($C$6:$V$6="Theorie")*1)</f>
        <v/>
      </c>
      <c r="D2000" s="62">
        <f>SUMPRODUCT($C$1681:$V$1681,($C$316:$V$316=D$1703)*1,($C$6:$V$6="Theorie")*1)</f>
        <v/>
      </c>
      <c r="E2000" s="62">
        <f>SUMPRODUCT($C$1681:$V$1681,($C$316:$V$316=E$1703)*1,($C$6:$V$6="Theorie")*1)</f>
        <v/>
      </c>
      <c r="F2000" s="62">
        <f>SUMPRODUCT($C$1681:$V$1681,($C$316:$V$316=F$1703)*1,($C$6:$V$6="Theorie")*1)</f>
        <v/>
      </c>
      <c r="G2000" s="62">
        <f>SUMPRODUCT($C$1681:$V$1681,($C$316:$V$316=G$1703)*1,($C$6:$V$6="Theorie")*1)</f>
        <v/>
      </c>
      <c r="H2000" s="62">
        <f>SUMPRODUCT($C$1681:$V$1681,($C$316:$V$316=H$1703)*1,($C$6:$V$6="Theorie")*1)</f>
        <v/>
      </c>
      <c r="I2000" s="62">
        <f>SUMPRODUCT($C$1681:$V$1681,($C$316:$V$316=I$1703)*1,($C$6:$V$6="Theorie")*1)</f>
        <v/>
      </c>
      <c r="J2000" s="62">
        <f>SUMPRODUCT($C$1681:$V$1681,($C$316:$V$316=J$1703)*1,($C$6:$V$6="Theorie")*1)</f>
        <v/>
      </c>
    </row>
    <row r="2001">
      <c r="C2001" s="62">
        <f>SUMPRODUCT($C$1682:$V$1682,($C$317:$V$317=C$1703)*1,($C$6:$V$6="Theorie")*1)</f>
        <v/>
      </c>
      <c r="D2001" s="62">
        <f>SUMPRODUCT($C$1682:$V$1682,($C$317:$V$317=D$1703)*1,($C$6:$V$6="Theorie")*1)</f>
        <v/>
      </c>
      <c r="E2001" s="62">
        <f>SUMPRODUCT($C$1682:$V$1682,($C$317:$V$317=E$1703)*1,($C$6:$V$6="Theorie")*1)</f>
        <v/>
      </c>
      <c r="F2001" s="62">
        <f>SUMPRODUCT($C$1682:$V$1682,($C$317:$V$317=F$1703)*1,($C$6:$V$6="Theorie")*1)</f>
        <v/>
      </c>
      <c r="G2001" s="62">
        <f>SUMPRODUCT($C$1682:$V$1682,($C$317:$V$317=G$1703)*1,($C$6:$V$6="Theorie")*1)</f>
        <v/>
      </c>
      <c r="H2001" s="62">
        <f>SUMPRODUCT($C$1682:$V$1682,($C$317:$V$317=H$1703)*1,($C$6:$V$6="Theorie")*1)</f>
        <v/>
      </c>
      <c r="I2001" s="62">
        <f>SUMPRODUCT($C$1682:$V$1682,($C$317:$V$317=I$1703)*1,($C$6:$V$6="Theorie")*1)</f>
        <v/>
      </c>
      <c r="J2001" s="62">
        <f>SUMPRODUCT($C$1682:$V$1682,($C$317:$V$317=J$1703)*1,($C$6:$V$6="Theorie")*1)</f>
        <v/>
      </c>
    </row>
    <row r="2002">
      <c r="C2002" s="62">
        <f>SUMPRODUCT($C$1683:$V$1683,($C$318:$V$318=C$1703)*1,($C$6:$V$6="Theorie")*1)</f>
        <v/>
      </c>
      <c r="D2002" s="62">
        <f>SUMPRODUCT($C$1683:$V$1683,($C$318:$V$318=D$1703)*1,($C$6:$V$6="Theorie")*1)</f>
        <v/>
      </c>
      <c r="E2002" s="62">
        <f>SUMPRODUCT($C$1683:$V$1683,($C$318:$V$318=E$1703)*1,($C$6:$V$6="Theorie")*1)</f>
        <v/>
      </c>
      <c r="F2002" s="62">
        <f>SUMPRODUCT($C$1683:$V$1683,($C$318:$V$318=F$1703)*1,($C$6:$V$6="Theorie")*1)</f>
        <v/>
      </c>
      <c r="G2002" s="62">
        <f>SUMPRODUCT($C$1683:$V$1683,($C$318:$V$318=G$1703)*1,($C$6:$V$6="Theorie")*1)</f>
        <v/>
      </c>
      <c r="H2002" s="62">
        <f>SUMPRODUCT($C$1683:$V$1683,($C$318:$V$318=H$1703)*1,($C$6:$V$6="Theorie")*1)</f>
        <v/>
      </c>
      <c r="I2002" s="62">
        <f>SUMPRODUCT($C$1683:$V$1683,($C$318:$V$318=I$1703)*1,($C$6:$V$6="Theorie")*1)</f>
        <v/>
      </c>
      <c r="J2002" s="62">
        <f>SUMPRODUCT($C$1683:$V$1683,($C$318:$V$318=J$1703)*1,($C$6:$V$6="Theorie")*1)</f>
        <v/>
      </c>
    </row>
    <row r="2003">
      <c r="C2003" s="62">
        <f>SUMPRODUCT($C$1684:$V$1684,($C$319:$V$319=C$1703)*1,($C$6:$V$6="Theorie")*1)</f>
        <v/>
      </c>
      <c r="D2003" s="62">
        <f>SUMPRODUCT($C$1684:$V$1684,($C$319:$V$319=D$1703)*1,($C$6:$V$6="Theorie")*1)</f>
        <v/>
      </c>
      <c r="E2003" s="62">
        <f>SUMPRODUCT($C$1684:$V$1684,($C$319:$V$319=E$1703)*1,($C$6:$V$6="Theorie")*1)</f>
        <v/>
      </c>
      <c r="F2003" s="62">
        <f>SUMPRODUCT($C$1684:$V$1684,($C$319:$V$319=F$1703)*1,($C$6:$V$6="Theorie")*1)</f>
        <v/>
      </c>
      <c r="G2003" s="62">
        <f>SUMPRODUCT($C$1684:$V$1684,($C$319:$V$319=G$1703)*1,($C$6:$V$6="Theorie")*1)</f>
        <v/>
      </c>
      <c r="H2003" s="62">
        <f>SUMPRODUCT($C$1684:$V$1684,($C$319:$V$319=H$1703)*1,($C$6:$V$6="Theorie")*1)</f>
        <v/>
      </c>
      <c r="I2003" s="62">
        <f>SUMPRODUCT($C$1684:$V$1684,($C$319:$V$319=I$1703)*1,($C$6:$V$6="Theorie")*1)</f>
        <v/>
      </c>
      <c r="J2003" s="62">
        <f>SUMPRODUCT($C$1684:$V$1684,($C$319:$V$319=J$1703)*1,($C$6:$V$6="Theorie")*1)</f>
        <v/>
      </c>
    </row>
    <row r="2004">
      <c r="C2004" s="62">
        <f>SUMPRODUCT($C$1685:$V$1685,($C$320:$V$320=C$1703)*1,($C$6:$V$6="Theorie")*1)</f>
        <v/>
      </c>
      <c r="D2004" s="62">
        <f>SUMPRODUCT($C$1685:$V$1685,($C$320:$V$320=D$1703)*1,($C$6:$V$6="Theorie")*1)</f>
        <v/>
      </c>
      <c r="E2004" s="62">
        <f>SUMPRODUCT($C$1685:$V$1685,($C$320:$V$320=E$1703)*1,($C$6:$V$6="Theorie")*1)</f>
        <v/>
      </c>
      <c r="F2004" s="62">
        <f>SUMPRODUCT($C$1685:$V$1685,($C$320:$V$320=F$1703)*1,($C$6:$V$6="Theorie")*1)</f>
        <v/>
      </c>
      <c r="G2004" s="62">
        <f>SUMPRODUCT($C$1685:$V$1685,($C$320:$V$320=G$1703)*1,($C$6:$V$6="Theorie")*1)</f>
        <v/>
      </c>
      <c r="H2004" s="62">
        <f>SUMPRODUCT($C$1685:$V$1685,($C$320:$V$320=H$1703)*1,($C$6:$V$6="Theorie")*1)</f>
        <v/>
      </c>
      <c r="I2004" s="62">
        <f>SUMPRODUCT($C$1685:$V$1685,($C$320:$V$320=I$1703)*1,($C$6:$V$6="Theorie")*1)</f>
        <v/>
      </c>
      <c r="J2004" s="62">
        <f>SUMPRODUCT($C$1685:$V$1685,($C$320:$V$320=J$1703)*1,($C$6:$V$6="Theorie")*1)</f>
        <v/>
      </c>
    </row>
    <row r="2005">
      <c r="C2005" s="62">
        <f>SUMPRODUCT($C$1686:$V$1686,($C$321:$V$321=C$1703)*1,($C$6:$V$6="Theorie")*1)</f>
        <v/>
      </c>
      <c r="D2005" s="62">
        <f>SUMPRODUCT($C$1686:$V$1686,($C$321:$V$321=D$1703)*1,($C$6:$V$6="Theorie")*1)</f>
        <v/>
      </c>
      <c r="E2005" s="62">
        <f>SUMPRODUCT($C$1686:$V$1686,($C$321:$V$321=E$1703)*1,($C$6:$V$6="Theorie")*1)</f>
        <v/>
      </c>
      <c r="F2005" s="62">
        <f>SUMPRODUCT($C$1686:$V$1686,($C$321:$V$321=F$1703)*1,($C$6:$V$6="Theorie")*1)</f>
        <v/>
      </c>
      <c r="G2005" s="62">
        <f>SUMPRODUCT($C$1686:$V$1686,($C$321:$V$321=G$1703)*1,($C$6:$V$6="Theorie")*1)</f>
        <v/>
      </c>
      <c r="H2005" s="62">
        <f>SUMPRODUCT($C$1686:$V$1686,($C$321:$V$321=H$1703)*1,($C$6:$V$6="Theorie")*1)</f>
        <v/>
      </c>
      <c r="I2005" s="62">
        <f>SUMPRODUCT($C$1686:$V$1686,($C$321:$V$321=I$1703)*1,($C$6:$V$6="Theorie")*1)</f>
        <v/>
      </c>
      <c r="J2005" s="62">
        <f>SUMPRODUCT($C$1686:$V$1686,($C$321:$V$321=J$1703)*1,($C$6:$V$6="Theorie")*1)</f>
        <v/>
      </c>
    </row>
    <row r="2006">
      <c r="C2006" s="62">
        <f>SUMPRODUCT($C$1687:$V$1687,($C$322:$V$322=C$1703)*1,($C$6:$V$6="Theorie")*1)</f>
        <v/>
      </c>
      <c r="D2006" s="62">
        <f>SUMPRODUCT($C$1687:$V$1687,($C$322:$V$322=D$1703)*1,($C$6:$V$6="Theorie")*1)</f>
        <v/>
      </c>
      <c r="E2006" s="62">
        <f>SUMPRODUCT($C$1687:$V$1687,($C$322:$V$322=E$1703)*1,($C$6:$V$6="Theorie")*1)</f>
        <v/>
      </c>
      <c r="F2006" s="62">
        <f>SUMPRODUCT($C$1687:$V$1687,($C$322:$V$322=F$1703)*1,($C$6:$V$6="Theorie")*1)</f>
        <v/>
      </c>
      <c r="G2006" s="62">
        <f>SUMPRODUCT($C$1687:$V$1687,($C$322:$V$322=G$1703)*1,($C$6:$V$6="Theorie")*1)</f>
        <v/>
      </c>
      <c r="H2006" s="62">
        <f>SUMPRODUCT($C$1687:$V$1687,($C$322:$V$322=H$1703)*1,($C$6:$V$6="Theorie")*1)</f>
        <v/>
      </c>
      <c r="I2006" s="62">
        <f>SUMPRODUCT($C$1687:$V$1687,($C$322:$V$322=I$1703)*1,($C$6:$V$6="Theorie")*1)</f>
        <v/>
      </c>
      <c r="J2006" s="62">
        <f>SUMPRODUCT($C$1687:$V$1687,($C$322:$V$322=J$1703)*1,($C$6:$V$6="Theorie")*1)</f>
        <v/>
      </c>
    </row>
    <row r="2007">
      <c r="C2007" s="62">
        <f>SUMPRODUCT($C$1688:$V$1688,($C$323:$V$323=C$1703)*1,($C$6:$V$6="Theorie")*1)</f>
        <v/>
      </c>
      <c r="D2007" s="62">
        <f>SUMPRODUCT($C$1688:$V$1688,($C$323:$V$323=D$1703)*1,($C$6:$V$6="Theorie")*1)</f>
        <v/>
      </c>
      <c r="E2007" s="62">
        <f>SUMPRODUCT($C$1688:$V$1688,($C$323:$V$323=E$1703)*1,($C$6:$V$6="Theorie")*1)</f>
        <v/>
      </c>
      <c r="F2007" s="62">
        <f>SUMPRODUCT($C$1688:$V$1688,($C$323:$V$323=F$1703)*1,($C$6:$V$6="Theorie")*1)</f>
        <v/>
      </c>
      <c r="G2007" s="62">
        <f>SUMPRODUCT($C$1688:$V$1688,($C$323:$V$323=G$1703)*1,($C$6:$V$6="Theorie")*1)</f>
        <v/>
      </c>
      <c r="H2007" s="62">
        <f>SUMPRODUCT($C$1688:$V$1688,($C$323:$V$323=H$1703)*1,($C$6:$V$6="Theorie")*1)</f>
        <v/>
      </c>
      <c r="I2007" s="62">
        <f>SUMPRODUCT($C$1688:$V$1688,($C$323:$V$323=I$1703)*1,($C$6:$V$6="Theorie")*1)</f>
        <v/>
      </c>
      <c r="J2007" s="62">
        <f>SUMPRODUCT($C$1688:$V$1688,($C$323:$V$323=J$1703)*1,($C$6:$V$6="Theorie")*1)</f>
        <v/>
      </c>
    </row>
    <row r="2008">
      <c r="C2008" s="62">
        <f>SUMPRODUCT($C$1689:$V$1689,($C$324:$V$324=C$1703)*1,($C$6:$V$6="Theorie")*1)</f>
        <v/>
      </c>
      <c r="D2008" s="62">
        <f>SUMPRODUCT($C$1689:$V$1689,($C$324:$V$324=D$1703)*1,($C$6:$V$6="Theorie")*1)</f>
        <v/>
      </c>
      <c r="E2008" s="62">
        <f>SUMPRODUCT($C$1689:$V$1689,($C$324:$V$324=E$1703)*1,($C$6:$V$6="Theorie")*1)</f>
        <v/>
      </c>
      <c r="F2008" s="62">
        <f>SUMPRODUCT($C$1689:$V$1689,($C$324:$V$324=F$1703)*1,($C$6:$V$6="Theorie")*1)</f>
        <v/>
      </c>
      <c r="G2008" s="62">
        <f>SUMPRODUCT($C$1689:$V$1689,($C$324:$V$324=G$1703)*1,($C$6:$V$6="Theorie")*1)</f>
        <v/>
      </c>
      <c r="H2008" s="62">
        <f>SUMPRODUCT($C$1689:$V$1689,($C$324:$V$324=H$1703)*1,($C$6:$V$6="Theorie")*1)</f>
        <v/>
      </c>
      <c r="I2008" s="62">
        <f>SUMPRODUCT($C$1689:$V$1689,($C$324:$V$324=I$1703)*1,($C$6:$V$6="Theorie")*1)</f>
        <v/>
      </c>
      <c r="J2008" s="62">
        <f>SUMPRODUCT($C$1689:$V$1689,($C$324:$V$324=J$1703)*1,($C$6:$V$6="Theorie")*1)</f>
        <v/>
      </c>
    </row>
    <row r="2009">
      <c r="C2009" s="62">
        <f>SUMPRODUCT($C$1690:$V$1690,($C$325:$V$325=C$1703)*1,($C$6:$V$6="Theorie")*1)</f>
        <v/>
      </c>
      <c r="D2009" s="62">
        <f>SUMPRODUCT($C$1690:$V$1690,($C$325:$V$325=D$1703)*1,($C$6:$V$6="Theorie")*1)</f>
        <v/>
      </c>
      <c r="E2009" s="62">
        <f>SUMPRODUCT($C$1690:$V$1690,($C$325:$V$325=E$1703)*1,($C$6:$V$6="Theorie")*1)</f>
        <v/>
      </c>
      <c r="F2009" s="62">
        <f>SUMPRODUCT($C$1690:$V$1690,($C$325:$V$325=F$1703)*1,($C$6:$V$6="Theorie")*1)</f>
        <v/>
      </c>
      <c r="G2009" s="62">
        <f>SUMPRODUCT($C$1690:$V$1690,($C$325:$V$325=G$1703)*1,($C$6:$V$6="Theorie")*1)</f>
        <v/>
      </c>
      <c r="H2009" s="62">
        <f>SUMPRODUCT($C$1690:$V$1690,($C$325:$V$325=H$1703)*1,($C$6:$V$6="Theorie")*1)</f>
        <v/>
      </c>
      <c r="I2009" s="62">
        <f>SUMPRODUCT($C$1690:$V$1690,($C$325:$V$325=I$1703)*1,($C$6:$V$6="Theorie")*1)</f>
        <v/>
      </c>
      <c r="J2009" s="62">
        <f>SUMPRODUCT($C$1690:$V$1690,($C$325:$V$325=J$1703)*1,($C$6:$V$6="Theorie")*1)</f>
        <v/>
      </c>
    </row>
    <row r="2010">
      <c r="C2010" s="62">
        <f>SUMPRODUCT($C$1691:$V$1691,($C$326:$V$326=C$1703)*1,($C$6:$V$6="Theorie")*1)</f>
        <v/>
      </c>
      <c r="D2010" s="62">
        <f>SUMPRODUCT($C$1691:$V$1691,($C$326:$V$326=D$1703)*1,($C$6:$V$6="Theorie")*1)</f>
        <v/>
      </c>
      <c r="E2010" s="62">
        <f>SUMPRODUCT($C$1691:$V$1691,($C$326:$V$326=E$1703)*1,($C$6:$V$6="Theorie")*1)</f>
        <v/>
      </c>
      <c r="F2010" s="62">
        <f>SUMPRODUCT($C$1691:$V$1691,($C$326:$V$326=F$1703)*1,($C$6:$V$6="Theorie")*1)</f>
        <v/>
      </c>
      <c r="G2010" s="62">
        <f>SUMPRODUCT($C$1691:$V$1691,($C$326:$V$326=G$1703)*1,($C$6:$V$6="Theorie")*1)</f>
        <v/>
      </c>
      <c r="H2010" s="62">
        <f>SUMPRODUCT($C$1691:$V$1691,($C$326:$V$326=H$1703)*1,($C$6:$V$6="Theorie")*1)</f>
        <v/>
      </c>
      <c r="I2010" s="62">
        <f>SUMPRODUCT($C$1691:$V$1691,($C$326:$V$326=I$1703)*1,($C$6:$V$6="Theorie")*1)</f>
        <v/>
      </c>
      <c r="J2010" s="62">
        <f>SUMPRODUCT($C$1691:$V$1691,($C$326:$V$326=J$1703)*1,($C$6:$V$6="Theorie")*1)</f>
        <v/>
      </c>
    </row>
    <row r="2011">
      <c r="C2011" s="62">
        <f>SUMPRODUCT($C$1692:$V$1692,($C$327:$V$327=C$1703)*1,($C$6:$V$6="Theorie")*1)</f>
        <v/>
      </c>
      <c r="D2011" s="62">
        <f>SUMPRODUCT($C$1692:$V$1692,($C$327:$V$327=D$1703)*1,($C$6:$V$6="Theorie")*1)</f>
        <v/>
      </c>
      <c r="E2011" s="62">
        <f>SUMPRODUCT($C$1692:$V$1692,($C$327:$V$327=E$1703)*1,($C$6:$V$6="Theorie")*1)</f>
        <v/>
      </c>
      <c r="F2011" s="62">
        <f>SUMPRODUCT($C$1692:$V$1692,($C$327:$V$327=F$1703)*1,($C$6:$V$6="Theorie")*1)</f>
        <v/>
      </c>
      <c r="G2011" s="62">
        <f>SUMPRODUCT($C$1692:$V$1692,($C$327:$V$327=G$1703)*1,($C$6:$V$6="Theorie")*1)</f>
        <v/>
      </c>
      <c r="H2011" s="62">
        <f>SUMPRODUCT($C$1692:$V$1692,($C$327:$V$327=H$1703)*1,($C$6:$V$6="Theorie")*1)</f>
        <v/>
      </c>
      <c r="I2011" s="62">
        <f>SUMPRODUCT($C$1692:$V$1692,($C$327:$V$327=I$1703)*1,($C$6:$V$6="Theorie")*1)</f>
        <v/>
      </c>
      <c r="J2011" s="62">
        <f>SUMPRODUCT($C$1692:$V$1692,($C$327:$V$327=J$1703)*1,($C$6:$V$6="Theorie")*1)</f>
        <v/>
      </c>
    </row>
    <row r="2012">
      <c r="C2012" s="62">
        <f>SUMPRODUCT($C$1693:$V$1693,($C$328:$V$328=C$1703)*1,($C$6:$V$6="Theorie")*1)</f>
        <v/>
      </c>
      <c r="D2012" s="62">
        <f>SUMPRODUCT($C$1693:$V$1693,($C$328:$V$328=D$1703)*1,($C$6:$V$6="Theorie")*1)</f>
        <v/>
      </c>
      <c r="E2012" s="62">
        <f>SUMPRODUCT($C$1693:$V$1693,($C$328:$V$328=E$1703)*1,($C$6:$V$6="Theorie")*1)</f>
        <v/>
      </c>
      <c r="F2012" s="62">
        <f>SUMPRODUCT($C$1693:$V$1693,($C$328:$V$328=F$1703)*1,($C$6:$V$6="Theorie")*1)</f>
        <v/>
      </c>
      <c r="G2012" s="62">
        <f>SUMPRODUCT($C$1693:$V$1693,($C$328:$V$328=G$1703)*1,($C$6:$V$6="Theorie")*1)</f>
        <v/>
      </c>
      <c r="H2012" s="62">
        <f>SUMPRODUCT($C$1693:$V$1693,($C$328:$V$328=H$1703)*1,($C$6:$V$6="Theorie")*1)</f>
        <v/>
      </c>
      <c r="I2012" s="62">
        <f>SUMPRODUCT($C$1693:$V$1693,($C$328:$V$328=I$1703)*1,($C$6:$V$6="Theorie")*1)</f>
        <v/>
      </c>
      <c r="J2012" s="62">
        <f>SUMPRODUCT($C$1693:$V$1693,($C$328:$V$328=J$1703)*1,($C$6:$V$6="Theorie")*1)</f>
        <v/>
      </c>
    </row>
    <row r="2013">
      <c r="C2013" s="62">
        <f>SUMPRODUCT($C$1694:$V$1694,($C$329:$V$329=C$1703)*1,($C$6:$V$6="Theorie")*1)</f>
        <v/>
      </c>
      <c r="D2013" s="62">
        <f>SUMPRODUCT($C$1694:$V$1694,($C$329:$V$329=D$1703)*1,($C$6:$V$6="Theorie")*1)</f>
        <v/>
      </c>
      <c r="E2013" s="62">
        <f>SUMPRODUCT($C$1694:$V$1694,($C$329:$V$329=E$1703)*1,($C$6:$V$6="Theorie")*1)</f>
        <v/>
      </c>
      <c r="F2013" s="62">
        <f>SUMPRODUCT($C$1694:$V$1694,($C$329:$V$329=F$1703)*1,($C$6:$V$6="Theorie")*1)</f>
        <v/>
      </c>
      <c r="G2013" s="62">
        <f>SUMPRODUCT($C$1694:$V$1694,($C$329:$V$329=G$1703)*1,($C$6:$V$6="Theorie")*1)</f>
        <v/>
      </c>
      <c r="H2013" s="62">
        <f>SUMPRODUCT($C$1694:$V$1694,($C$329:$V$329=H$1703)*1,($C$6:$V$6="Theorie")*1)</f>
        <v/>
      </c>
      <c r="I2013" s="62">
        <f>SUMPRODUCT($C$1694:$V$1694,($C$329:$V$329=I$1703)*1,($C$6:$V$6="Theorie")*1)</f>
        <v/>
      </c>
      <c r="J2013" s="62">
        <f>SUMPRODUCT($C$1694:$V$1694,($C$329:$V$329=J$1703)*1,($C$6:$V$6="Theorie")*1)</f>
        <v/>
      </c>
    </row>
    <row r="2018">
      <c r="A2018" s="171" t="inlineStr">
        <is>
          <t>HJ P</t>
        </is>
      </c>
    </row>
    <row r="2019">
      <c r="C2019" s="64">
        <f>IF(C1809=0,"",SUMPRODUCT($C$1595:$V$1595,($C$230:$V$230=C$1703)*1,($C$6:$V$6="Praxis")*1,$C$9:$V$9,$C$20:$V$20)/SUMPRODUCT($C$1595:$V$1595,($C$230:$V$230=C$1703)*1,($C$6:$V$6="Praxis")*1,$C$9:$V$9))</f>
        <v/>
      </c>
      <c r="D2019" s="64">
        <f>IF(D1809=0,"",SUMPRODUCT($C$1595:$V$1595,($C$230:$V$230=D$1703)*1,($C$6:$V$6="Praxis")*1,$C$9:$V$9,$C$20:$V$20)/SUMPRODUCT($C$1595:$V$1595,($C$230:$V$230=D$1703)*1,($C$6:$V$6="Praxis")*1,$C$9:$V$9))</f>
        <v/>
      </c>
      <c r="E2019" s="64">
        <f>IF(E1809=0,"",SUMPRODUCT($C$1595:$V$1595,($C$230:$V$230=E$1703)*1,($C$6:$V$6="Praxis")*1,$C$9:$V$9,$C$20:$V$20)/SUMPRODUCT($C$1595:$V$1595,($C$230:$V$230=E$1703)*1,($C$6:$V$6="Praxis")*1,$C$9:$V$9))</f>
        <v/>
      </c>
      <c r="F2019" s="64">
        <f>IF(F1809=0,"",SUMPRODUCT($C$1595:$V$1595,($C$230:$V$230=F$1703)*1,($C$6:$V$6="Praxis")*1,$C$9:$V$9,$C$20:$V$20)/SUMPRODUCT($C$1595:$V$1595,($C$230:$V$230=F$1703)*1,($C$6:$V$6="Praxis")*1,$C$9:$V$9))</f>
        <v/>
      </c>
      <c r="G2019" s="64">
        <f>IF(G1809=0,"",SUMPRODUCT($C$1595:$V$1595,($C$230:$V$230=G$1703)*1,($C$6:$V$6="Praxis")*1,$C$9:$V$9,$C$20:$V$20)/SUMPRODUCT($C$1595:$V$1595,($C$230:$V$230=G$1703)*1,($C$6:$V$6="Praxis")*1,$C$9:$V$9))</f>
        <v/>
      </c>
      <c r="H2019" s="64">
        <f>IF(H1809=0,"",SUMPRODUCT($C$1595:$V$1595,($C$230:$V$230=H$1703)*1,($C$6:$V$6="Praxis")*1,$C$9:$V$9,$C$20:$V$20)/SUMPRODUCT($C$1595:$V$1595,($C$230:$V$230=H$1703)*1,($C$6:$V$6="Praxis")*1,$C$9:$V$9))</f>
        <v/>
      </c>
      <c r="I2019" s="64">
        <f>IF(I1809=0,"",SUMPRODUCT($C$1595:$V$1595,($C$230:$V$230=I$1703)*1,($C$6:$V$6="Praxis")*1,$C$9:$V$9,$C$20:$V$20)/SUMPRODUCT($C$1595:$V$1595,($C$230:$V$230=I$1703)*1,($C$6:$V$6="Praxis")*1,$C$9:$V$9))</f>
        <v/>
      </c>
      <c r="J2019" s="64">
        <f>IF(J1809=0,"",SUMPRODUCT($C$1595:$V$1595,($C$230:$V$230=J$1703)*1,($C$6:$V$6="Praxis")*1,$C$9:$V$9,$C$20:$V$20)/SUMPRODUCT($C$1595:$V$1595,($C$230:$V$230=J$1703)*1,($C$6:$V$6="Praxis")*1,$C$9:$V$9))</f>
        <v/>
      </c>
    </row>
    <row r="2020">
      <c r="C2020" s="64">
        <f>IF(C1810=0,"",SUMPRODUCT($C$1596:$V$1596,($C$231:$V$231=C$1703)*1,($C$6:$V$6="Praxis")*1,$C$9:$V$9,$C$21:$V$21)/SUMPRODUCT($C$1596:$V$1596,($C$231:$V$231=C$1703)*1,($C$6:$V$6="Praxis")*1,$C$9:$V$9))</f>
        <v/>
      </c>
      <c r="D2020" s="64">
        <f>IF(D1810=0,"",SUMPRODUCT($C$1596:$V$1596,($C$231:$V$231=D$1703)*1,($C$6:$V$6="Praxis")*1,$C$9:$V$9,$C$21:$V$21)/SUMPRODUCT($C$1596:$V$1596,($C$231:$V$231=D$1703)*1,($C$6:$V$6="Praxis")*1,$C$9:$V$9))</f>
        <v/>
      </c>
      <c r="E2020" s="64">
        <f>IF(E1810=0,"",SUMPRODUCT($C$1596:$V$1596,($C$231:$V$231=E$1703)*1,($C$6:$V$6="Praxis")*1,$C$9:$V$9,$C$21:$V$21)/SUMPRODUCT($C$1596:$V$1596,($C$231:$V$231=E$1703)*1,($C$6:$V$6="Praxis")*1,$C$9:$V$9))</f>
        <v/>
      </c>
      <c r="F2020" s="64">
        <f>IF(F1810=0,"",SUMPRODUCT($C$1596:$V$1596,($C$231:$V$231=F$1703)*1,($C$6:$V$6="Praxis")*1,$C$9:$V$9,$C$21:$V$21)/SUMPRODUCT($C$1596:$V$1596,($C$231:$V$231=F$1703)*1,($C$6:$V$6="Praxis")*1,$C$9:$V$9))</f>
        <v/>
      </c>
      <c r="G2020" s="64">
        <f>IF(G1810=0,"",SUMPRODUCT($C$1596:$V$1596,($C$231:$V$231=G$1703)*1,($C$6:$V$6="Praxis")*1,$C$9:$V$9,$C$21:$V$21)/SUMPRODUCT($C$1596:$V$1596,($C$231:$V$231=G$1703)*1,($C$6:$V$6="Praxis")*1,$C$9:$V$9))</f>
        <v/>
      </c>
      <c r="H2020" s="64">
        <f>IF(H1810=0,"",SUMPRODUCT($C$1596:$V$1596,($C$231:$V$231=H$1703)*1,($C$6:$V$6="Praxis")*1,$C$9:$V$9,$C$21:$V$21)/SUMPRODUCT($C$1596:$V$1596,($C$231:$V$231=H$1703)*1,($C$6:$V$6="Praxis")*1,$C$9:$V$9))</f>
        <v/>
      </c>
      <c r="I2020" s="64">
        <f>IF(I1810=0,"",SUMPRODUCT($C$1596:$V$1596,($C$231:$V$231=I$1703)*1,($C$6:$V$6="Praxis")*1,$C$9:$V$9,$C$21:$V$21)/SUMPRODUCT($C$1596:$V$1596,($C$231:$V$231=I$1703)*1,($C$6:$V$6="Praxis")*1,$C$9:$V$9))</f>
        <v/>
      </c>
      <c r="J2020" s="64">
        <f>IF(J1810=0,"",SUMPRODUCT($C$1596:$V$1596,($C$231:$V$231=J$1703)*1,($C$6:$V$6="Praxis")*1,$C$9:$V$9,$C$21:$V$21)/SUMPRODUCT($C$1596:$V$1596,($C$231:$V$231=J$1703)*1,($C$6:$V$6="Praxis")*1,$C$9:$V$9))</f>
        <v/>
      </c>
    </row>
    <row r="2021">
      <c r="C2021" s="64">
        <f>IF(C1811=0,"",SUMPRODUCT($C$1597:$V$1597,($C$232:$V$232=C$1703)*1,($C$6:$V$6="Praxis")*1,$C$9:$V$9,$C$22:$V$22)/SUMPRODUCT($C$1597:$V$1597,($C$232:$V$232=C$1703)*1,($C$6:$V$6="Praxis")*1,$C$9:$V$9))</f>
        <v/>
      </c>
      <c r="D2021" s="64">
        <f>IF(D1811=0,"",SUMPRODUCT($C$1597:$V$1597,($C$232:$V$232=D$1703)*1,($C$6:$V$6="Praxis")*1,$C$9:$V$9,$C$22:$V$22)/SUMPRODUCT($C$1597:$V$1597,($C$232:$V$232=D$1703)*1,($C$6:$V$6="Praxis")*1,$C$9:$V$9))</f>
        <v/>
      </c>
      <c r="E2021" s="64">
        <f>IF(E1811=0,"",SUMPRODUCT($C$1597:$V$1597,($C$232:$V$232=E$1703)*1,($C$6:$V$6="Praxis")*1,$C$9:$V$9,$C$22:$V$22)/SUMPRODUCT($C$1597:$V$1597,($C$232:$V$232=E$1703)*1,($C$6:$V$6="Praxis")*1,$C$9:$V$9))</f>
        <v/>
      </c>
      <c r="F2021" s="64">
        <f>IF(F1811=0,"",SUMPRODUCT($C$1597:$V$1597,($C$232:$V$232=F$1703)*1,($C$6:$V$6="Praxis")*1,$C$9:$V$9,$C$22:$V$22)/SUMPRODUCT($C$1597:$V$1597,($C$232:$V$232=F$1703)*1,($C$6:$V$6="Praxis")*1,$C$9:$V$9))</f>
        <v/>
      </c>
      <c r="G2021" s="64">
        <f>IF(G1811=0,"",SUMPRODUCT($C$1597:$V$1597,($C$232:$V$232=G$1703)*1,($C$6:$V$6="Praxis")*1,$C$9:$V$9,$C$22:$V$22)/SUMPRODUCT($C$1597:$V$1597,($C$232:$V$232=G$1703)*1,($C$6:$V$6="Praxis")*1,$C$9:$V$9))</f>
        <v/>
      </c>
      <c r="H2021" s="64">
        <f>IF(H1811=0,"",SUMPRODUCT($C$1597:$V$1597,($C$232:$V$232=H$1703)*1,($C$6:$V$6="Praxis")*1,$C$9:$V$9,$C$22:$V$22)/SUMPRODUCT($C$1597:$V$1597,($C$232:$V$232=H$1703)*1,($C$6:$V$6="Praxis")*1,$C$9:$V$9))</f>
        <v/>
      </c>
      <c r="I2021" s="64">
        <f>IF(I1811=0,"",SUMPRODUCT($C$1597:$V$1597,($C$232:$V$232=I$1703)*1,($C$6:$V$6="Praxis")*1,$C$9:$V$9,$C$22:$V$22)/SUMPRODUCT($C$1597:$V$1597,($C$232:$V$232=I$1703)*1,($C$6:$V$6="Praxis")*1,$C$9:$V$9))</f>
        <v/>
      </c>
      <c r="J2021" s="64">
        <f>IF(J1811=0,"",SUMPRODUCT($C$1597:$V$1597,($C$232:$V$232=J$1703)*1,($C$6:$V$6="Praxis")*1,$C$9:$V$9,$C$22:$V$22)/SUMPRODUCT($C$1597:$V$1597,($C$232:$V$232=J$1703)*1,($C$6:$V$6="Praxis")*1,$C$9:$V$9))</f>
        <v/>
      </c>
    </row>
    <row r="2022">
      <c r="C2022" s="64">
        <f>IF(C1812=0,"",SUMPRODUCT($C$1598:$V$1598,($C$233:$V$233=C$1703)*1,($C$6:$V$6="Praxis")*1,$C$9:$V$9,$C$23:$V$23)/SUMPRODUCT($C$1598:$V$1598,($C$233:$V$233=C$1703)*1,($C$6:$V$6="Praxis")*1,$C$9:$V$9))</f>
        <v/>
      </c>
      <c r="D2022" s="64">
        <f>IF(D1812=0,"",SUMPRODUCT($C$1598:$V$1598,($C$233:$V$233=D$1703)*1,($C$6:$V$6="Praxis")*1,$C$9:$V$9,$C$23:$V$23)/SUMPRODUCT($C$1598:$V$1598,($C$233:$V$233=D$1703)*1,($C$6:$V$6="Praxis")*1,$C$9:$V$9))</f>
        <v/>
      </c>
      <c r="E2022" s="64">
        <f>IF(E1812=0,"",SUMPRODUCT($C$1598:$V$1598,($C$233:$V$233=E$1703)*1,($C$6:$V$6="Praxis")*1,$C$9:$V$9,$C$23:$V$23)/SUMPRODUCT($C$1598:$V$1598,($C$233:$V$233=E$1703)*1,($C$6:$V$6="Praxis")*1,$C$9:$V$9))</f>
        <v/>
      </c>
      <c r="F2022" s="64">
        <f>IF(F1812=0,"",SUMPRODUCT($C$1598:$V$1598,($C$233:$V$233=F$1703)*1,($C$6:$V$6="Praxis")*1,$C$9:$V$9,$C$23:$V$23)/SUMPRODUCT($C$1598:$V$1598,($C$233:$V$233=F$1703)*1,($C$6:$V$6="Praxis")*1,$C$9:$V$9))</f>
        <v/>
      </c>
      <c r="G2022" s="64">
        <f>IF(G1812=0,"",SUMPRODUCT($C$1598:$V$1598,($C$233:$V$233=G$1703)*1,($C$6:$V$6="Praxis")*1,$C$9:$V$9,$C$23:$V$23)/SUMPRODUCT($C$1598:$V$1598,($C$233:$V$233=G$1703)*1,($C$6:$V$6="Praxis")*1,$C$9:$V$9))</f>
        <v/>
      </c>
      <c r="H2022" s="64">
        <f>IF(H1812=0,"",SUMPRODUCT($C$1598:$V$1598,($C$233:$V$233=H$1703)*1,($C$6:$V$6="Praxis")*1,$C$9:$V$9,$C$23:$V$23)/SUMPRODUCT($C$1598:$V$1598,($C$233:$V$233=H$1703)*1,($C$6:$V$6="Praxis")*1,$C$9:$V$9))</f>
        <v/>
      </c>
      <c r="I2022" s="64">
        <f>IF(I1812=0,"",SUMPRODUCT($C$1598:$V$1598,($C$233:$V$233=I$1703)*1,($C$6:$V$6="Praxis")*1,$C$9:$V$9,$C$23:$V$23)/SUMPRODUCT($C$1598:$V$1598,($C$233:$V$233=I$1703)*1,($C$6:$V$6="Praxis")*1,$C$9:$V$9))</f>
        <v/>
      </c>
      <c r="J2022" s="64">
        <f>IF(J1812=0,"",SUMPRODUCT($C$1598:$V$1598,($C$233:$V$233=J$1703)*1,($C$6:$V$6="Praxis")*1,$C$9:$V$9,$C$23:$V$23)/SUMPRODUCT($C$1598:$V$1598,($C$233:$V$233=J$1703)*1,($C$6:$V$6="Praxis")*1,$C$9:$V$9))</f>
        <v/>
      </c>
    </row>
    <row r="2023">
      <c r="C2023" s="64">
        <f>IF(C1813=0,"",SUMPRODUCT($C$1599:$V$1599,($C$234:$V$234=C$1703)*1,($C$6:$V$6="Praxis")*1,$C$9:$V$9,$C$24:$V$24)/SUMPRODUCT($C$1599:$V$1599,($C$234:$V$234=C$1703)*1,($C$6:$V$6="Praxis")*1,$C$9:$V$9))</f>
        <v/>
      </c>
      <c r="D2023" s="64">
        <f>IF(D1813=0,"",SUMPRODUCT($C$1599:$V$1599,($C$234:$V$234=D$1703)*1,($C$6:$V$6="Praxis")*1,$C$9:$V$9,$C$24:$V$24)/SUMPRODUCT($C$1599:$V$1599,($C$234:$V$234=D$1703)*1,($C$6:$V$6="Praxis")*1,$C$9:$V$9))</f>
        <v/>
      </c>
      <c r="E2023" s="64">
        <f>IF(E1813=0,"",SUMPRODUCT($C$1599:$V$1599,($C$234:$V$234=E$1703)*1,($C$6:$V$6="Praxis")*1,$C$9:$V$9,$C$24:$V$24)/SUMPRODUCT($C$1599:$V$1599,($C$234:$V$234=E$1703)*1,($C$6:$V$6="Praxis")*1,$C$9:$V$9))</f>
        <v/>
      </c>
      <c r="F2023" s="64">
        <f>IF(F1813=0,"",SUMPRODUCT($C$1599:$V$1599,($C$234:$V$234=F$1703)*1,($C$6:$V$6="Praxis")*1,$C$9:$V$9,$C$24:$V$24)/SUMPRODUCT($C$1599:$V$1599,($C$234:$V$234=F$1703)*1,($C$6:$V$6="Praxis")*1,$C$9:$V$9))</f>
        <v/>
      </c>
      <c r="G2023" s="64">
        <f>IF(G1813=0,"",SUMPRODUCT($C$1599:$V$1599,($C$234:$V$234=G$1703)*1,($C$6:$V$6="Praxis")*1,$C$9:$V$9,$C$24:$V$24)/SUMPRODUCT($C$1599:$V$1599,($C$234:$V$234=G$1703)*1,($C$6:$V$6="Praxis")*1,$C$9:$V$9))</f>
        <v/>
      </c>
      <c r="H2023" s="64">
        <f>IF(H1813=0,"",SUMPRODUCT($C$1599:$V$1599,($C$234:$V$234=H$1703)*1,($C$6:$V$6="Praxis")*1,$C$9:$V$9,$C$24:$V$24)/SUMPRODUCT($C$1599:$V$1599,($C$234:$V$234=H$1703)*1,($C$6:$V$6="Praxis")*1,$C$9:$V$9))</f>
        <v/>
      </c>
      <c r="I2023" s="64">
        <f>IF(I1813=0,"",SUMPRODUCT($C$1599:$V$1599,($C$234:$V$234=I$1703)*1,($C$6:$V$6="Praxis")*1,$C$9:$V$9,$C$24:$V$24)/SUMPRODUCT($C$1599:$V$1599,($C$234:$V$234=I$1703)*1,($C$6:$V$6="Praxis")*1,$C$9:$V$9))</f>
        <v/>
      </c>
      <c r="J2023" s="64">
        <f>IF(J1813=0,"",SUMPRODUCT($C$1599:$V$1599,($C$234:$V$234=J$1703)*1,($C$6:$V$6="Praxis")*1,$C$9:$V$9,$C$24:$V$24)/SUMPRODUCT($C$1599:$V$1599,($C$234:$V$234=J$1703)*1,($C$6:$V$6="Praxis")*1,$C$9:$V$9))</f>
        <v/>
      </c>
    </row>
    <row r="2024">
      <c r="C2024" s="64">
        <f>IF(C1814=0,"",SUMPRODUCT($C$1600:$V$1600,($C$235:$V$235=C$1703)*1,($C$6:$V$6="Praxis")*1,$C$9:$V$9,$C$25:$V$25)/SUMPRODUCT($C$1600:$V$1600,($C$235:$V$235=C$1703)*1,($C$6:$V$6="Praxis")*1,$C$9:$V$9))</f>
        <v/>
      </c>
      <c r="D2024" s="64">
        <f>IF(D1814=0,"",SUMPRODUCT($C$1600:$V$1600,($C$235:$V$235=D$1703)*1,($C$6:$V$6="Praxis")*1,$C$9:$V$9,$C$25:$V$25)/SUMPRODUCT($C$1600:$V$1600,($C$235:$V$235=D$1703)*1,($C$6:$V$6="Praxis")*1,$C$9:$V$9))</f>
        <v/>
      </c>
      <c r="E2024" s="64">
        <f>IF(E1814=0,"",SUMPRODUCT($C$1600:$V$1600,($C$235:$V$235=E$1703)*1,($C$6:$V$6="Praxis")*1,$C$9:$V$9,$C$25:$V$25)/SUMPRODUCT($C$1600:$V$1600,($C$235:$V$235=E$1703)*1,($C$6:$V$6="Praxis")*1,$C$9:$V$9))</f>
        <v/>
      </c>
      <c r="F2024" s="64">
        <f>IF(F1814=0,"",SUMPRODUCT($C$1600:$V$1600,($C$235:$V$235=F$1703)*1,($C$6:$V$6="Praxis")*1,$C$9:$V$9,$C$25:$V$25)/SUMPRODUCT($C$1600:$V$1600,($C$235:$V$235=F$1703)*1,($C$6:$V$6="Praxis")*1,$C$9:$V$9))</f>
        <v/>
      </c>
      <c r="G2024" s="64">
        <f>IF(G1814=0,"",SUMPRODUCT($C$1600:$V$1600,($C$235:$V$235=G$1703)*1,($C$6:$V$6="Praxis")*1,$C$9:$V$9,$C$25:$V$25)/SUMPRODUCT($C$1600:$V$1600,($C$235:$V$235=G$1703)*1,($C$6:$V$6="Praxis")*1,$C$9:$V$9))</f>
        <v/>
      </c>
      <c r="H2024" s="64">
        <f>IF(H1814=0,"",SUMPRODUCT($C$1600:$V$1600,($C$235:$V$235=H$1703)*1,($C$6:$V$6="Praxis")*1,$C$9:$V$9,$C$25:$V$25)/SUMPRODUCT($C$1600:$V$1600,($C$235:$V$235=H$1703)*1,($C$6:$V$6="Praxis")*1,$C$9:$V$9))</f>
        <v/>
      </c>
      <c r="I2024" s="64">
        <f>IF(I1814=0,"",SUMPRODUCT($C$1600:$V$1600,($C$235:$V$235=I$1703)*1,($C$6:$V$6="Praxis")*1,$C$9:$V$9,$C$25:$V$25)/SUMPRODUCT($C$1600:$V$1600,($C$235:$V$235=I$1703)*1,($C$6:$V$6="Praxis")*1,$C$9:$V$9))</f>
        <v/>
      </c>
      <c r="J2024" s="64">
        <f>IF(J1814=0,"",SUMPRODUCT($C$1600:$V$1600,($C$235:$V$235=J$1703)*1,($C$6:$V$6="Praxis")*1,$C$9:$V$9,$C$25:$V$25)/SUMPRODUCT($C$1600:$V$1600,($C$235:$V$235=J$1703)*1,($C$6:$V$6="Praxis")*1,$C$9:$V$9))</f>
        <v/>
      </c>
    </row>
    <row r="2025">
      <c r="C2025" s="64">
        <f>IF(C1815=0,"",SUMPRODUCT($C$1601:$V$1601,($C$236:$V$236=C$1703)*1,($C$6:$V$6="Praxis")*1,$C$9:$V$9,$C$26:$V$26)/SUMPRODUCT($C$1601:$V$1601,($C$236:$V$236=C$1703)*1,($C$6:$V$6="Praxis")*1,$C$9:$V$9))</f>
        <v/>
      </c>
      <c r="D2025" s="64">
        <f>IF(D1815=0,"",SUMPRODUCT($C$1601:$V$1601,($C$236:$V$236=D$1703)*1,($C$6:$V$6="Praxis")*1,$C$9:$V$9,$C$26:$V$26)/SUMPRODUCT($C$1601:$V$1601,($C$236:$V$236=D$1703)*1,($C$6:$V$6="Praxis")*1,$C$9:$V$9))</f>
        <v/>
      </c>
      <c r="E2025" s="64">
        <f>IF(E1815=0,"",SUMPRODUCT($C$1601:$V$1601,($C$236:$V$236=E$1703)*1,($C$6:$V$6="Praxis")*1,$C$9:$V$9,$C$26:$V$26)/SUMPRODUCT($C$1601:$V$1601,($C$236:$V$236=E$1703)*1,($C$6:$V$6="Praxis")*1,$C$9:$V$9))</f>
        <v/>
      </c>
      <c r="F2025" s="64">
        <f>IF(F1815=0,"",SUMPRODUCT($C$1601:$V$1601,($C$236:$V$236=F$1703)*1,($C$6:$V$6="Praxis")*1,$C$9:$V$9,$C$26:$V$26)/SUMPRODUCT($C$1601:$V$1601,($C$236:$V$236=F$1703)*1,($C$6:$V$6="Praxis")*1,$C$9:$V$9))</f>
        <v/>
      </c>
      <c r="G2025" s="64">
        <f>IF(G1815=0,"",SUMPRODUCT($C$1601:$V$1601,($C$236:$V$236=G$1703)*1,($C$6:$V$6="Praxis")*1,$C$9:$V$9,$C$26:$V$26)/SUMPRODUCT($C$1601:$V$1601,($C$236:$V$236=G$1703)*1,($C$6:$V$6="Praxis")*1,$C$9:$V$9))</f>
        <v/>
      </c>
      <c r="H2025" s="64">
        <f>IF(H1815=0,"",SUMPRODUCT($C$1601:$V$1601,($C$236:$V$236=H$1703)*1,($C$6:$V$6="Praxis")*1,$C$9:$V$9,$C$26:$V$26)/SUMPRODUCT($C$1601:$V$1601,($C$236:$V$236=H$1703)*1,($C$6:$V$6="Praxis")*1,$C$9:$V$9))</f>
        <v/>
      </c>
      <c r="I2025" s="64">
        <f>IF(I1815=0,"",SUMPRODUCT($C$1601:$V$1601,($C$236:$V$236=I$1703)*1,($C$6:$V$6="Praxis")*1,$C$9:$V$9,$C$26:$V$26)/SUMPRODUCT($C$1601:$V$1601,($C$236:$V$236=I$1703)*1,($C$6:$V$6="Praxis")*1,$C$9:$V$9))</f>
        <v/>
      </c>
      <c r="J2025" s="64">
        <f>IF(J1815=0,"",SUMPRODUCT($C$1601:$V$1601,($C$236:$V$236=J$1703)*1,($C$6:$V$6="Praxis")*1,$C$9:$V$9,$C$26:$V$26)/SUMPRODUCT($C$1601:$V$1601,($C$236:$V$236=J$1703)*1,($C$6:$V$6="Praxis")*1,$C$9:$V$9))</f>
        <v/>
      </c>
    </row>
    <row r="2026">
      <c r="C2026" s="64">
        <f>IF(C1816=0,"",SUMPRODUCT($C$1602:$V$1602,($C$237:$V$237=C$1703)*1,($C$6:$V$6="Praxis")*1,$C$9:$V$9,$C$27:$V$27)/SUMPRODUCT($C$1602:$V$1602,($C$237:$V$237=C$1703)*1,($C$6:$V$6="Praxis")*1,$C$9:$V$9))</f>
        <v/>
      </c>
      <c r="D2026" s="64">
        <f>IF(D1816=0,"",SUMPRODUCT($C$1602:$V$1602,($C$237:$V$237=D$1703)*1,($C$6:$V$6="Praxis")*1,$C$9:$V$9,$C$27:$V$27)/SUMPRODUCT($C$1602:$V$1602,($C$237:$V$237=D$1703)*1,($C$6:$V$6="Praxis")*1,$C$9:$V$9))</f>
        <v/>
      </c>
      <c r="E2026" s="64">
        <f>IF(E1816=0,"",SUMPRODUCT($C$1602:$V$1602,($C$237:$V$237=E$1703)*1,($C$6:$V$6="Praxis")*1,$C$9:$V$9,$C$27:$V$27)/SUMPRODUCT($C$1602:$V$1602,($C$237:$V$237=E$1703)*1,($C$6:$V$6="Praxis")*1,$C$9:$V$9))</f>
        <v/>
      </c>
      <c r="F2026" s="64">
        <f>IF(F1816=0,"",SUMPRODUCT($C$1602:$V$1602,($C$237:$V$237=F$1703)*1,($C$6:$V$6="Praxis")*1,$C$9:$V$9,$C$27:$V$27)/SUMPRODUCT($C$1602:$V$1602,($C$237:$V$237=F$1703)*1,($C$6:$V$6="Praxis")*1,$C$9:$V$9))</f>
        <v/>
      </c>
      <c r="G2026" s="64">
        <f>IF(G1816=0,"",SUMPRODUCT($C$1602:$V$1602,($C$237:$V$237=G$1703)*1,($C$6:$V$6="Praxis")*1,$C$9:$V$9,$C$27:$V$27)/SUMPRODUCT($C$1602:$V$1602,($C$237:$V$237=G$1703)*1,($C$6:$V$6="Praxis")*1,$C$9:$V$9))</f>
        <v/>
      </c>
      <c r="H2026" s="64">
        <f>IF(H1816=0,"",SUMPRODUCT($C$1602:$V$1602,($C$237:$V$237=H$1703)*1,($C$6:$V$6="Praxis")*1,$C$9:$V$9,$C$27:$V$27)/SUMPRODUCT($C$1602:$V$1602,($C$237:$V$237=H$1703)*1,($C$6:$V$6="Praxis")*1,$C$9:$V$9))</f>
        <v/>
      </c>
      <c r="I2026" s="64">
        <f>IF(I1816=0,"",SUMPRODUCT($C$1602:$V$1602,($C$237:$V$237=I$1703)*1,($C$6:$V$6="Praxis")*1,$C$9:$V$9,$C$27:$V$27)/SUMPRODUCT($C$1602:$V$1602,($C$237:$V$237=I$1703)*1,($C$6:$V$6="Praxis")*1,$C$9:$V$9))</f>
        <v/>
      </c>
      <c r="J2026" s="64">
        <f>IF(J1816=0,"",SUMPRODUCT($C$1602:$V$1602,($C$237:$V$237=J$1703)*1,($C$6:$V$6="Praxis")*1,$C$9:$V$9,$C$27:$V$27)/SUMPRODUCT($C$1602:$V$1602,($C$237:$V$237=J$1703)*1,($C$6:$V$6="Praxis")*1,$C$9:$V$9))</f>
        <v/>
      </c>
    </row>
    <row r="2027">
      <c r="C2027" s="64">
        <f>IF(C1817=0,"",SUMPRODUCT($C$1603:$V$1603,($C$238:$V$238=C$1703)*1,($C$6:$V$6="Praxis")*1,$C$9:$V$9,$C$28:$V$28)/SUMPRODUCT($C$1603:$V$1603,($C$238:$V$238=C$1703)*1,($C$6:$V$6="Praxis")*1,$C$9:$V$9))</f>
        <v/>
      </c>
      <c r="D2027" s="64">
        <f>IF(D1817=0,"",SUMPRODUCT($C$1603:$V$1603,($C$238:$V$238=D$1703)*1,($C$6:$V$6="Praxis")*1,$C$9:$V$9,$C$28:$V$28)/SUMPRODUCT($C$1603:$V$1603,($C$238:$V$238=D$1703)*1,($C$6:$V$6="Praxis")*1,$C$9:$V$9))</f>
        <v/>
      </c>
      <c r="E2027" s="64">
        <f>IF(E1817=0,"",SUMPRODUCT($C$1603:$V$1603,($C$238:$V$238=E$1703)*1,($C$6:$V$6="Praxis")*1,$C$9:$V$9,$C$28:$V$28)/SUMPRODUCT($C$1603:$V$1603,($C$238:$V$238=E$1703)*1,($C$6:$V$6="Praxis")*1,$C$9:$V$9))</f>
        <v/>
      </c>
      <c r="F2027" s="64">
        <f>IF(F1817=0,"",SUMPRODUCT($C$1603:$V$1603,($C$238:$V$238=F$1703)*1,($C$6:$V$6="Praxis")*1,$C$9:$V$9,$C$28:$V$28)/SUMPRODUCT($C$1603:$V$1603,($C$238:$V$238=F$1703)*1,($C$6:$V$6="Praxis")*1,$C$9:$V$9))</f>
        <v/>
      </c>
      <c r="G2027" s="64">
        <f>IF(G1817=0,"",SUMPRODUCT($C$1603:$V$1603,($C$238:$V$238=G$1703)*1,($C$6:$V$6="Praxis")*1,$C$9:$V$9,$C$28:$V$28)/SUMPRODUCT($C$1603:$V$1603,($C$238:$V$238=G$1703)*1,($C$6:$V$6="Praxis")*1,$C$9:$V$9))</f>
        <v/>
      </c>
      <c r="H2027" s="64">
        <f>IF(H1817=0,"",SUMPRODUCT($C$1603:$V$1603,($C$238:$V$238=H$1703)*1,($C$6:$V$6="Praxis")*1,$C$9:$V$9,$C$28:$V$28)/SUMPRODUCT($C$1603:$V$1603,($C$238:$V$238=H$1703)*1,($C$6:$V$6="Praxis")*1,$C$9:$V$9))</f>
        <v/>
      </c>
      <c r="I2027" s="64">
        <f>IF(I1817=0,"",SUMPRODUCT($C$1603:$V$1603,($C$238:$V$238=I$1703)*1,($C$6:$V$6="Praxis")*1,$C$9:$V$9,$C$28:$V$28)/SUMPRODUCT($C$1603:$V$1603,($C$238:$V$238=I$1703)*1,($C$6:$V$6="Praxis")*1,$C$9:$V$9))</f>
        <v/>
      </c>
      <c r="J2027" s="64">
        <f>IF(J1817=0,"",SUMPRODUCT($C$1603:$V$1603,($C$238:$V$238=J$1703)*1,($C$6:$V$6="Praxis")*1,$C$9:$V$9,$C$28:$V$28)/SUMPRODUCT($C$1603:$V$1603,($C$238:$V$238=J$1703)*1,($C$6:$V$6="Praxis")*1,$C$9:$V$9))</f>
        <v/>
      </c>
    </row>
    <row r="2028">
      <c r="C2028" s="64">
        <f>IF(C1818=0,"",SUMPRODUCT($C$1604:$V$1604,($C$239:$V$239=C$1703)*1,($C$6:$V$6="Praxis")*1,$C$9:$V$9,$C$29:$V$29)/SUMPRODUCT($C$1604:$V$1604,($C$239:$V$239=C$1703)*1,($C$6:$V$6="Praxis")*1,$C$9:$V$9))</f>
        <v/>
      </c>
      <c r="D2028" s="64">
        <f>IF(D1818=0,"",SUMPRODUCT($C$1604:$V$1604,($C$239:$V$239=D$1703)*1,($C$6:$V$6="Praxis")*1,$C$9:$V$9,$C$29:$V$29)/SUMPRODUCT($C$1604:$V$1604,($C$239:$V$239=D$1703)*1,($C$6:$V$6="Praxis")*1,$C$9:$V$9))</f>
        <v/>
      </c>
      <c r="E2028" s="64">
        <f>IF(E1818=0,"",SUMPRODUCT($C$1604:$V$1604,($C$239:$V$239=E$1703)*1,($C$6:$V$6="Praxis")*1,$C$9:$V$9,$C$29:$V$29)/SUMPRODUCT($C$1604:$V$1604,($C$239:$V$239=E$1703)*1,($C$6:$V$6="Praxis")*1,$C$9:$V$9))</f>
        <v/>
      </c>
      <c r="F2028" s="64">
        <f>IF(F1818=0,"",SUMPRODUCT($C$1604:$V$1604,($C$239:$V$239=F$1703)*1,($C$6:$V$6="Praxis")*1,$C$9:$V$9,$C$29:$V$29)/SUMPRODUCT($C$1604:$V$1604,($C$239:$V$239=F$1703)*1,($C$6:$V$6="Praxis")*1,$C$9:$V$9))</f>
        <v/>
      </c>
      <c r="G2028" s="64">
        <f>IF(G1818=0,"",SUMPRODUCT($C$1604:$V$1604,($C$239:$V$239=G$1703)*1,($C$6:$V$6="Praxis")*1,$C$9:$V$9,$C$29:$V$29)/SUMPRODUCT($C$1604:$V$1604,($C$239:$V$239=G$1703)*1,($C$6:$V$6="Praxis")*1,$C$9:$V$9))</f>
        <v/>
      </c>
      <c r="H2028" s="64">
        <f>IF(H1818=0,"",SUMPRODUCT($C$1604:$V$1604,($C$239:$V$239=H$1703)*1,($C$6:$V$6="Praxis")*1,$C$9:$V$9,$C$29:$V$29)/SUMPRODUCT($C$1604:$V$1604,($C$239:$V$239=H$1703)*1,($C$6:$V$6="Praxis")*1,$C$9:$V$9))</f>
        <v/>
      </c>
      <c r="I2028" s="64">
        <f>IF(I1818=0,"",SUMPRODUCT($C$1604:$V$1604,($C$239:$V$239=I$1703)*1,($C$6:$V$6="Praxis")*1,$C$9:$V$9,$C$29:$V$29)/SUMPRODUCT($C$1604:$V$1604,($C$239:$V$239=I$1703)*1,($C$6:$V$6="Praxis")*1,$C$9:$V$9))</f>
        <v/>
      </c>
      <c r="J2028" s="64">
        <f>IF(J1818=0,"",SUMPRODUCT($C$1604:$V$1604,($C$239:$V$239=J$1703)*1,($C$6:$V$6="Praxis")*1,$C$9:$V$9,$C$29:$V$29)/SUMPRODUCT($C$1604:$V$1604,($C$239:$V$239=J$1703)*1,($C$6:$V$6="Praxis")*1,$C$9:$V$9))</f>
        <v/>
      </c>
    </row>
    <row r="2029">
      <c r="C2029" s="64">
        <f>IF(C1819=0,"",SUMPRODUCT($C$1605:$V$1605,($C$240:$V$240=C$1703)*1,($C$6:$V$6="Praxis")*1,$C$9:$V$9,$C$30:$V$30)/SUMPRODUCT($C$1605:$V$1605,($C$240:$V$240=C$1703)*1,($C$6:$V$6="Praxis")*1,$C$9:$V$9))</f>
        <v/>
      </c>
      <c r="D2029" s="64">
        <f>IF(D1819=0,"",SUMPRODUCT($C$1605:$V$1605,($C$240:$V$240=D$1703)*1,($C$6:$V$6="Praxis")*1,$C$9:$V$9,$C$30:$V$30)/SUMPRODUCT($C$1605:$V$1605,($C$240:$V$240=D$1703)*1,($C$6:$V$6="Praxis")*1,$C$9:$V$9))</f>
        <v/>
      </c>
      <c r="E2029" s="64">
        <f>IF(E1819=0,"",SUMPRODUCT($C$1605:$V$1605,($C$240:$V$240=E$1703)*1,($C$6:$V$6="Praxis")*1,$C$9:$V$9,$C$30:$V$30)/SUMPRODUCT($C$1605:$V$1605,($C$240:$V$240=E$1703)*1,($C$6:$V$6="Praxis")*1,$C$9:$V$9))</f>
        <v/>
      </c>
      <c r="F2029" s="64">
        <f>IF(F1819=0,"",SUMPRODUCT($C$1605:$V$1605,($C$240:$V$240=F$1703)*1,($C$6:$V$6="Praxis")*1,$C$9:$V$9,$C$30:$V$30)/SUMPRODUCT($C$1605:$V$1605,($C$240:$V$240=F$1703)*1,($C$6:$V$6="Praxis")*1,$C$9:$V$9))</f>
        <v/>
      </c>
      <c r="G2029" s="64">
        <f>IF(G1819=0,"",SUMPRODUCT($C$1605:$V$1605,($C$240:$V$240=G$1703)*1,($C$6:$V$6="Praxis")*1,$C$9:$V$9,$C$30:$V$30)/SUMPRODUCT($C$1605:$V$1605,($C$240:$V$240=G$1703)*1,($C$6:$V$6="Praxis")*1,$C$9:$V$9))</f>
        <v/>
      </c>
      <c r="H2029" s="64">
        <f>IF(H1819=0,"",SUMPRODUCT($C$1605:$V$1605,($C$240:$V$240=H$1703)*1,($C$6:$V$6="Praxis")*1,$C$9:$V$9,$C$30:$V$30)/SUMPRODUCT($C$1605:$V$1605,($C$240:$V$240=H$1703)*1,($C$6:$V$6="Praxis")*1,$C$9:$V$9))</f>
        <v/>
      </c>
      <c r="I2029" s="64">
        <f>IF(I1819=0,"",SUMPRODUCT($C$1605:$V$1605,($C$240:$V$240=I$1703)*1,($C$6:$V$6="Praxis")*1,$C$9:$V$9,$C$30:$V$30)/SUMPRODUCT($C$1605:$V$1605,($C$240:$V$240=I$1703)*1,($C$6:$V$6="Praxis")*1,$C$9:$V$9))</f>
        <v/>
      </c>
      <c r="J2029" s="64">
        <f>IF(J1819=0,"",SUMPRODUCT($C$1605:$V$1605,($C$240:$V$240=J$1703)*1,($C$6:$V$6="Praxis")*1,$C$9:$V$9,$C$30:$V$30)/SUMPRODUCT($C$1605:$V$1605,($C$240:$V$240=J$1703)*1,($C$6:$V$6="Praxis")*1,$C$9:$V$9))</f>
        <v/>
      </c>
    </row>
    <row r="2030">
      <c r="C2030" s="64">
        <f>IF(C1820=0,"",SUMPRODUCT($C$1606:$V$1606,($C$241:$V$241=C$1703)*1,($C$6:$V$6="Praxis")*1,$C$9:$V$9,$C$31:$V$31)/SUMPRODUCT($C$1606:$V$1606,($C$241:$V$241=C$1703)*1,($C$6:$V$6="Praxis")*1,$C$9:$V$9))</f>
        <v/>
      </c>
      <c r="D2030" s="64">
        <f>IF(D1820=0,"",SUMPRODUCT($C$1606:$V$1606,($C$241:$V$241=D$1703)*1,($C$6:$V$6="Praxis")*1,$C$9:$V$9,$C$31:$V$31)/SUMPRODUCT($C$1606:$V$1606,($C$241:$V$241=D$1703)*1,($C$6:$V$6="Praxis")*1,$C$9:$V$9))</f>
        <v/>
      </c>
      <c r="E2030" s="64">
        <f>IF(E1820=0,"",SUMPRODUCT($C$1606:$V$1606,($C$241:$V$241=E$1703)*1,($C$6:$V$6="Praxis")*1,$C$9:$V$9,$C$31:$V$31)/SUMPRODUCT($C$1606:$V$1606,($C$241:$V$241=E$1703)*1,($C$6:$V$6="Praxis")*1,$C$9:$V$9))</f>
        <v/>
      </c>
      <c r="F2030" s="64">
        <f>IF(F1820=0,"",SUMPRODUCT($C$1606:$V$1606,($C$241:$V$241=F$1703)*1,($C$6:$V$6="Praxis")*1,$C$9:$V$9,$C$31:$V$31)/SUMPRODUCT($C$1606:$V$1606,($C$241:$V$241=F$1703)*1,($C$6:$V$6="Praxis")*1,$C$9:$V$9))</f>
        <v/>
      </c>
      <c r="G2030" s="64">
        <f>IF(G1820=0,"",SUMPRODUCT($C$1606:$V$1606,($C$241:$V$241=G$1703)*1,($C$6:$V$6="Praxis")*1,$C$9:$V$9,$C$31:$V$31)/SUMPRODUCT($C$1606:$V$1606,($C$241:$V$241=G$1703)*1,($C$6:$V$6="Praxis")*1,$C$9:$V$9))</f>
        <v/>
      </c>
      <c r="H2030" s="64">
        <f>IF(H1820=0,"",SUMPRODUCT($C$1606:$V$1606,($C$241:$V$241=H$1703)*1,($C$6:$V$6="Praxis")*1,$C$9:$V$9,$C$31:$V$31)/SUMPRODUCT($C$1606:$V$1606,($C$241:$V$241=H$1703)*1,($C$6:$V$6="Praxis")*1,$C$9:$V$9))</f>
        <v/>
      </c>
      <c r="I2030" s="64">
        <f>IF(I1820=0,"",SUMPRODUCT($C$1606:$V$1606,($C$241:$V$241=I$1703)*1,($C$6:$V$6="Praxis")*1,$C$9:$V$9,$C$31:$V$31)/SUMPRODUCT($C$1606:$V$1606,($C$241:$V$241=I$1703)*1,($C$6:$V$6="Praxis")*1,$C$9:$V$9))</f>
        <v/>
      </c>
      <c r="J2030" s="64">
        <f>IF(J1820=0,"",SUMPRODUCT($C$1606:$V$1606,($C$241:$V$241=J$1703)*1,($C$6:$V$6="Praxis")*1,$C$9:$V$9,$C$31:$V$31)/SUMPRODUCT($C$1606:$V$1606,($C$241:$V$241=J$1703)*1,($C$6:$V$6="Praxis")*1,$C$9:$V$9))</f>
        <v/>
      </c>
    </row>
    <row r="2031">
      <c r="C2031" s="64">
        <f>IF(C1821=0,"",SUMPRODUCT($C$1607:$V$1607,($C$242:$V$242=C$1703)*1,($C$6:$V$6="Praxis")*1,$C$9:$V$9,$C$32:$V$32)/SUMPRODUCT($C$1607:$V$1607,($C$242:$V$242=C$1703)*1,($C$6:$V$6="Praxis")*1,$C$9:$V$9))</f>
        <v/>
      </c>
      <c r="D2031" s="64">
        <f>IF(D1821=0,"",SUMPRODUCT($C$1607:$V$1607,($C$242:$V$242=D$1703)*1,($C$6:$V$6="Praxis")*1,$C$9:$V$9,$C$32:$V$32)/SUMPRODUCT($C$1607:$V$1607,($C$242:$V$242=D$1703)*1,($C$6:$V$6="Praxis")*1,$C$9:$V$9))</f>
        <v/>
      </c>
      <c r="E2031" s="64">
        <f>IF(E1821=0,"",SUMPRODUCT($C$1607:$V$1607,($C$242:$V$242=E$1703)*1,($C$6:$V$6="Praxis")*1,$C$9:$V$9,$C$32:$V$32)/SUMPRODUCT($C$1607:$V$1607,($C$242:$V$242=E$1703)*1,($C$6:$V$6="Praxis")*1,$C$9:$V$9))</f>
        <v/>
      </c>
      <c r="F2031" s="64">
        <f>IF(F1821=0,"",SUMPRODUCT($C$1607:$V$1607,($C$242:$V$242=F$1703)*1,($C$6:$V$6="Praxis")*1,$C$9:$V$9,$C$32:$V$32)/SUMPRODUCT($C$1607:$V$1607,($C$242:$V$242=F$1703)*1,($C$6:$V$6="Praxis")*1,$C$9:$V$9))</f>
        <v/>
      </c>
      <c r="G2031" s="64">
        <f>IF(G1821=0,"",SUMPRODUCT($C$1607:$V$1607,($C$242:$V$242=G$1703)*1,($C$6:$V$6="Praxis")*1,$C$9:$V$9,$C$32:$V$32)/SUMPRODUCT($C$1607:$V$1607,($C$242:$V$242=G$1703)*1,($C$6:$V$6="Praxis")*1,$C$9:$V$9))</f>
        <v/>
      </c>
      <c r="H2031" s="64">
        <f>IF(H1821=0,"",SUMPRODUCT($C$1607:$V$1607,($C$242:$V$242=H$1703)*1,($C$6:$V$6="Praxis")*1,$C$9:$V$9,$C$32:$V$32)/SUMPRODUCT($C$1607:$V$1607,($C$242:$V$242=H$1703)*1,($C$6:$V$6="Praxis")*1,$C$9:$V$9))</f>
        <v/>
      </c>
      <c r="I2031" s="64">
        <f>IF(I1821=0,"",SUMPRODUCT($C$1607:$V$1607,($C$242:$V$242=I$1703)*1,($C$6:$V$6="Praxis")*1,$C$9:$V$9,$C$32:$V$32)/SUMPRODUCT($C$1607:$V$1607,($C$242:$V$242=I$1703)*1,($C$6:$V$6="Praxis")*1,$C$9:$V$9))</f>
        <v/>
      </c>
      <c r="J2031" s="64">
        <f>IF(J1821=0,"",SUMPRODUCT($C$1607:$V$1607,($C$242:$V$242=J$1703)*1,($C$6:$V$6="Praxis")*1,$C$9:$V$9,$C$32:$V$32)/SUMPRODUCT($C$1607:$V$1607,($C$242:$V$242=J$1703)*1,($C$6:$V$6="Praxis")*1,$C$9:$V$9))</f>
        <v/>
      </c>
    </row>
    <row r="2032">
      <c r="C2032" s="64">
        <f>IF(C1822=0,"",SUMPRODUCT($C$1608:$V$1608,($C$243:$V$243=C$1703)*1,($C$6:$V$6="Praxis")*1,$C$9:$V$9,$C$33:$V$33)/SUMPRODUCT($C$1608:$V$1608,($C$243:$V$243=C$1703)*1,($C$6:$V$6="Praxis")*1,$C$9:$V$9))</f>
        <v/>
      </c>
      <c r="D2032" s="64">
        <f>IF(D1822=0,"",SUMPRODUCT($C$1608:$V$1608,($C$243:$V$243=D$1703)*1,($C$6:$V$6="Praxis")*1,$C$9:$V$9,$C$33:$V$33)/SUMPRODUCT($C$1608:$V$1608,($C$243:$V$243=D$1703)*1,($C$6:$V$6="Praxis")*1,$C$9:$V$9))</f>
        <v/>
      </c>
      <c r="E2032" s="64">
        <f>IF(E1822=0,"",SUMPRODUCT($C$1608:$V$1608,($C$243:$V$243=E$1703)*1,($C$6:$V$6="Praxis")*1,$C$9:$V$9,$C$33:$V$33)/SUMPRODUCT($C$1608:$V$1608,($C$243:$V$243=E$1703)*1,($C$6:$V$6="Praxis")*1,$C$9:$V$9))</f>
        <v/>
      </c>
      <c r="F2032" s="64">
        <f>IF(F1822=0,"",SUMPRODUCT($C$1608:$V$1608,($C$243:$V$243=F$1703)*1,($C$6:$V$6="Praxis")*1,$C$9:$V$9,$C$33:$V$33)/SUMPRODUCT($C$1608:$V$1608,($C$243:$V$243=F$1703)*1,($C$6:$V$6="Praxis")*1,$C$9:$V$9))</f>
        <v/>
      </c>
      <c r="G2032" s="64">
        <f>IF(G1822=0,"",SUMPRODUCT($C$1608:$V$1608,($C$243:$V$243=G$1703)*1,($C$6:$V$6="Praxis")*1,$C$9:$V$9,$C$33:$V$33)/SUMPRODUCT($C$1608:$V$1608,($C$243:$V$243=G$1703)*1,($C$6:$V$6="Praxis")*1,$C$9:$V$9))</f>
        <v/>
      </c>
      <c r="H2032" s="64">
        <f>IF(H1822=0,"",SUMPRODUCT($C$1608:$V$1608,($C$243:$V$243=H$1703)*1,($C$6:$V$6="Praxis")*1,$C$9:$V$9,$C$33:$V$33)/SUMPRODUCT($C$1608:$V$1608,($C$243:$V$243=H$1703)*1,($C$6:$V$6="Praxis")*1,$C$9:$V$9))</f>
        <v/>
      </c>
      <c r="I2032" s="64">
        <f>IF(I1822=0,"",SUMPRODUCT($C$1608:$V$1608,($C$243:$V$243=I$1703)*1,($C$6:$V$6="Praxis")*1,$C$9:$V$9,$C$33:$V$33)/SUMPRODUCT($C$1608:$V$1608,($C$243:$V$243=I$1703)*1,($C$6:$V$6="Praxis")*1,$C$9:$V$9))</f>
        <v/>
      </c>
      <c r="J2032" s="64">
        <f>IF(J1822=0,"",SUMPRODUCT($C$1608:$V$1608,($C$243:$V$243=J$1703)*1,($C$6:$V$6="Praxis")*1,$C$9:$V$9,$C$33:$V$33)/SUMPRODUCT($C$1608:$V$1608,($C$243:$V$243=J$1703)*1,($C$6:$V$6="Praxis")*1,$C$9:$V$9))</f>
        <v/>
      </c>
    </row>
    <row r="2033">
      <c r="C2033" s="64">
        <f>IF(C1823=0,"",SUMPRODUCT($C$1609:$V$1609,($C$244:$V$244=C$1703)*1,($C$6:$V$6="Praxis")*1,$C$9:$V$9,$C$34:$V$34)/SUMPRODUCT($C$1609:$V$1609,($C$244:$V$244=C$1703)*1,($C$6:$V$6="Praxis")*1,$C$9:$V$9))</f>
        <v/>
      </c>
      <c r="D2033" s="64">
        <f>IF(D1823=0,"",SUMPRODUCT($C$1609:$V$1609,($C$244:$V$244=D$1703)*1,($C$6:$V$6="Praxis")*1,$C$9:$V$9,$C$34:$V$34)/SUMPRODUCT($C$1609:$V$1609,($C$244:$V$244=D$1703)*1,($C$6:$V$6="Praxis")*1,$C$9:$V$9))</f>
        <v/>
      </c>
      <c r="E2033" s="64">
        <f>IF(E1823=0,"",SUMPRODUCT($C$1609:$V$1609,($C$244:$V$244=E$1703)*1,($C$6:$V$6="Praxis")*1,$C$9:$V$9,$C$34:$V$34)/SUMPRODUCT($C$1609:$V$1609,($C$244:$V$244=E$1703)*1,($C$6:$V$6="Praxis")*1,$C$9:$V$9))</f>
        <v/>
      </c>
      <c r="F2033" s="64">
        <f>IF(F1823=0,"",SUMPRODUCT($C$1609:$V$1609,($C$244:$V$244=F$1703)*1,($C$6:$V$6="Praxis")*1,$C$9:$V$9,$C$34:$V$34)/SUMPRODUCT($C$1609:$V$1609,($C$244:$V$244=F$1703)*1,($C$6:$V$6="Praxis")*1,$C$9:$V$9))</f>
        <v/>
      </c>
      <c r="G2033" s="64">
        <f>IF(G1823=0,"",SUMPRODUCT($C$1609:$V$1609,($C$244:$V$244=G$1703)*1,($C$6:$V$6="Praxis")*1,$C$9:$V$9,$C$34:$V$34)/SUMPRODUCT($C$1609:$V$1609,($C$244:$V$244=G$1703)*1,($C$6:$V$6="Praxis")*1,$C$9:$V$9))</f>
        <v/>
      </c>
      <c r="H2033" s="64">
        <f>IF(H1823=0,"",SUMPRODUCT($C$1609:$V$1609,($C$244:$V$244=H$1703)*1,($C$6:$V$6="Praxis")*1,$C$9:$V$9,$C$34:$V$34)/SUMPRODUCT($C$1609:$V$1609,($C$244:$V$244=H$1703)*1,($C$6:$V$6="Praxis")*1,$C$9:$V$9))</f>
        <v/>
      </c>
      <c r="I2033" s="64">
        <f>IF(I1823=0,"",SUMPRODUCT($C$1609:$V$1609,($C$244:$V$244=I$1703)*1,($C$6:$V$6="Praxis")*1,$C$9:$V$9,$C$34:$V$34)/SUMPRODUCT($C$1609:$V$1609,($C$244:$V$244=I$1703)*1,($C$6:$V$6="Praxis")*1,$C$9:$V$9))</f>
        <v/>
      </c>
      <c r="J2033" s="64">
        <f>IF(J1823=0,"",SUMPRODUCT($C$1609:$V$1609,($C$244:$V$244=J$1703)*1,($C$6:$V$6="Praxis")*1,$C$9:$V$9,$C$34:$V$34)/SUMPRODUCT($C$1609:$V$1609,($C$244:$V$244=J$1703)*1,($C$6:$V$6="Praxis")*1,$C$9:$V$9))</f>
        <v/>
      </c>
    </row>
    <row r="2034">
      <c r="C2034" s="64">
        <f>IF(C1824=0,"",SUMPRODUCT($C$1610:$V$1610,($C$245:$V$245=C$1703)*1,($C$6:$V$6="Praxis")*1,$C$9:$V$9,$C$35:$V$35)/SUMPRODUCT($C$1610:$V$1610,($C$245:$V$245=C$1703)*1,($C$6:$V$6="Praxis")*1,$C$9:$V$9))</f>
        <v/>
      </c>
      <c r="D2034" s="64">
        <f>IF(D1824=0,"",SUMPRODUCT($C$1610:$V$1610,($C$245:$V$245=D$1703)*1,($C$6:$V$6="Praxis")*1,$C$9:$V$9,$C$35:$V$35)/SUMPRODUCT($C$1610:$V$1610,($C$245:$V$245=D$1703)*1,($C$6:$V$6="Praxis")*1,$C$9:$V$9))</f>
        <v/>
      </c>
      <c r="E2034" s="64">
        <f>IF(E1824=0,"",SUMPRODUCT($C$1610:$V$1610,($C$245:$V$245=E$1703)*1,($C$6:$V$6="Praxis")*1,$C$9:$V$9,$C$35:$V$35)/SUMPRODUCT($C$1610:$V$1610,($C$245:$V$245=E$1703)*1,($C$6:$V$6="Praxis")*1,$C$9:$V$9))</f>
        <v/>
      </c>
      <c r="F2034" s="64">
        <f>IF(F1824=0,"",SUMPRODUCT($C$1610:$V$1610,($C$245:$V$245=F$1703)*1,($C$6:$V$6="Praxis")*1,$C$9:$V$9,$C$35:$V$35)/SUMPRODUCT($C$1610:$V$1610,($C$245:$V$245=F$1703)*1,($C$6:$V$6="Praxis")*1,$C$9:$V$9))</f>
        <v/>
      </c>
      <c r="G2034" s="64">
        <f>IF(G1824=0,"",SUMPRODUCT($C$1610:$V$1610,($C$245:$V$245=G$1703)*1,($C$6:$V$6="Praxis")*1,$C$9:$V$9,$C$35:$V$35)/SUMPRODUCT($C$1610:$V$1610,($C$245:$V$245=G$1703)*1,($C$6:$V$6="Praxis")*1,$C$9:$V$9))</f>
        <v/>
      </c>
      <c r="H2034" s="64">
        <f>IF(H1824=0,"",SUMPRODUCT($C$1610:$V$1610,($C$245:$V$245=H$1703)*1,($C$6:$V$6="Praxis")*1,$C$9:$V$9,$C$35:$V$35)/SUMPRODUCT($C$1610:$V$1610,($C$245:$V$245=H$1703)*1,($C$6:$V$6="Praxis")*1,$C$9:$V$9))</f>
        <v/>
      </c>
      <c r="I2034" s="64">
        <f>IF(I1824=0,"",SUMPRODUCT($C$1610:$V$1610,($C$245:$V$245=I$1703)*1,($C$6:$V$6="Praxis")*1,$C$9:$V$9,$C$35:$V$35)/SUMPRODUCT($C$1610:$V$1610,($C$245:$V$245=I$1703)*1,($C$6:$V$6="Praxis")*1,$C$9:$V$9))</f>
        <v/>
      </c>
      <c r="J2034" s="64">
        <f>IF(J1824=0,"",SUMPRODUCT($C$1610:$V$1610,($C$245:$V$245=J$1703)*1,($C$6:$V$6="Praxis")*1,$C$9:$V$9,$C$35:$V$35)/SUMPRODUCT($C$1610:$V$1610,($C$245:$V$245=J$1703)*1,($C$6:$V$6="Praxis")*1,$C$9:$V$9))</f>
        <v/>
      </c>
    </row>
    <row r="2035">
      <c r="C2035" s="64">
        <f>IF(C1825=0,"",SUMPRODUCT($C$1611:$V$1611,($C$246:$V$246=C$1703)*1,($C$6:$V$6="Praxis")*1,$C$9:$V$9,$C$36:$V$36)/SUMPRODUCT($C$1611:$V$1611,($C$246:$V$246=C$1703)*1,($C$6:$V$6="Praxis")*1,$C$9:$V$9))</f>
        <v/>
      </c>
      <c r="D2035" s="64">
        <f>IF(D1825=0,"",SUMPRODUCT($C$1611:$V$1611,($C$246:$V$246=D$1703)*1,($C$6:$V$6="Praxis")*1,$C$9:$V$9,$C$36:$V$36)/SUMPRODUCT($C$1611:$V$1611,($C$246:$V$246=D$1703)*1,($C$6:$V$6="Praxis")*1,$C$9:$V$9))</f>
        <v/>
      </c>
      <c r="E2035" s="64">
        <f>IF(E1825=0,"",SUMPRODUCT($C$1611:$V$1611,($C$246:$V$246=E$1703)*1,($C$6:$V$6="Praxis")*1,$C$9:$V$9,$C$36:$V$36)/SUMPRODUCT($C$1611:$V$1611,($C$246:$V$246=E$1703)*1,($C$6:$V$6="Praxis")*1,$C$9:$V$9))</f>
        <v/>
      </c>
      <c r="F2035" s="64">
        <f>IF(F1825=0,"",SUMPRODUCT($C$1611:$V$1611,($C$246:$V$246=F$1703)*1,($C$6:$V$6="Praxis")*1,$C$9:$V$9,$C$36:$V$36)/SUMPRODUCT($C$1611:$V$1611,($C$246:$V$246=F$1703)*1,($C$6:$V$6="Praxis")*1,$C$9:$V$9))</f>
        <v/>
      </c>
      <c r="G2035" s="64">
        <f>IF(G1825=0,"",SUMPRODUCT($C$1611:$V$1611,($C$246:$V$246=G$1703)*1,($C$6:$V$6="Praxis")*1,$C$9:$V$9,$C$36:$V$36)/SUMPRODUCT($C$1611:$V$1611,($C$246:$V$246=G$1703)*1,($C$6:$V$6="Praxis")*1,$C$9:$V$9))</f>
        <v/>
      </c>
      <c r="H2035" s="64">
        <f>IF(H1825=0,"",SUMPRODUCT($C$1611:$V$1611,($C$246:$V$246=H$1703)*1,($C$6:$V$6="Praxis")*1,$C$9:$V$9,$C$36:$V$36)/SUMPRODUCT($C$1611:$V$1611,($C$246:$V$246=H$1703)*1,($C$6:$V$6="Praxis")*1,$C$9:$V$9))</f>
        <v/>
      </c>
      <c r="I2035" s="64">
        <f>IF(I1825=0,"",SUMPRODUCT($C$1611:$V$1611,($C$246:$V$246=I$1703)*1,($C$6:$V$6="Praxis")*1,$C$9:$V$9,$C$36:$V$36)/SUMPRODUCT($C$1611:$V$1611,($C$246:$V$246=I$1703)*1,($C$6:$V$6="Praxis")*1,$C$9:$V$9))</f>
        <v/>
      </c>
      <c r="J2035" s="64">
        <f>IF(J1825=0,"",SUMPRODUCT($C$1611:$V$1611,($C$246:$V$246=J$1703)*1,($C$6:$V$6="Praxis")*1,$C$9:$V$9,$C$36:$V$36)/SUMPRODUCT($C$1611:$V$1611,($C$246:$V$246=J$1703)*1,($C$6:$V$6="Praxis")*1,$C$9:$V$9))</f>
        <v/>
      </c>
    </row>
    <row r="2036">
      <c r="C2036" s="64">
        <f>IF(C1826=0,"",SUMPRODUCT($C$1612:$V$1612,($C$247:$V$247=C$1703)*1,($C$6:$V$6="Praxis")*1,$C$9:$V$9,$C$37:$V$37)/SUMPRODUCT($C$1612:$V$1612,($C$247:$V$247=C$1703)*1,($C$6:$V$6="Praxis")*1,$C$9:$V$9))</f>
        <v/>
      </c>
      <c r="D2036" s="64">
        <f>IF(D1826=0,"",SUMPRODUCT($C$1612:$V$1612,($C$247:$V$247=D$1703)*1,($C$6:$V$6="Praxis")*1,$C$9:$V$9,$C$37:$V$37)/SUMPRODUCT($C$1612:$V$1612,($C$247:$V$247=D$1703)*1,($C$6:$V$6="Praxis")*1,$C$9:$V$9))</f>
        <v/>
      </c>
      <c r="E2036" s="64">
        <f>IF(E1826=0,"",SUMPRODUCT($C$1612:$V$1612,($C$247:$V$247=E$1703)*1,($C$6:$V$6="Praxis")*1,$C$9:$V$9,$C$37:$V$37)/SUMPRODUCT($C$1612:$V$1612,($C$247:$V$247=E$1703)*1,($C$6:$V$6="Praxis")*1,$C$9:$V$9))</f>
        <v/>
      </c>
      <c r="F2036" s="64">
        <f>IF(F1826=0,"",SUMPRODUCT($C$1612:$V$1612,($C$247:$V$247=F$1703)*1,($C$6:$V$6="Praxis")*1,$C$9:$V$9,$C$37:$V$37)/SUMPRODUCT($C$1612:$V$1612,($C$247:$V$247=F$1703)*1,($C$6:$V$6="Praxis")*1,$C$9:$V$9))</f>
        <v/>
      </c>
      <c r="G2036" s="64">
        <f>IF(G1826=0,"",SUMPRODUCT($C$1612:$V$1612,($C$247:$V$247=G$1703)*1,($C$6:$V$6="Praxis")*1,$C$9:$V$9,$C$37:$V$37)/SUMPRODUCT($C$1612:$V$1612,($C$247:$V$247=G$1703)*1,($C$6:$V$6="Praxis")*1,$C$9:$V$9))</f>
        <v/>
      </c>
      <c r="H2036" s="64">
        <f>IF(H1826=0,"",SUMPRODUCT($C$1612:$V$1612,($C$247:$V$247=H$1703)*1,($C$6:$V$6="Praxis")*1,$C$9:$V$9,$C$37:$V$37)/SUMPRODUCT($C$1612:$V$1612,($C$247:$V$247=H$1703)*1,($C$6:$V$6="Praxis")*1,$C$9:$V$9))</f>
        <v/>
      </c>
      <c r="I2036" s="64">
        <f>IF(I1826=0,"",SUMPRODUCT($C$1612:$V$1612,($C$247:$V$247=I$1703)*1,($C$6:$V$6="Praxis")*1,$C$9:$V$9,$C$37:$V$37)/SUMPRODUCT($C$1612:$V$1612,($C$247:$V$247=I$1703)*1,($C$6:$V$6="Praxis")*1,$C$9:$V$9))</f>
        <v/>
      </c>
      <c r="J2036" s="64">
        <f>IF(J1826=0,"",SUMPRODUCT($C$1612:$V$1612,($C$247:$V$247=J$1703)*1,($C$6:$V$6="Praxis")*1,$C$9:$V$9,$C$37:$V$37)/SUMPRODUCT($C$1612:$V$1612,($C$247:$V$247=J$1703)*1,($C$6:$V$6="Praxis")*1,$C$9:$V$9))</f>
        <v/>
      </c>
    </row>
    <row r="2037">
      <c r="C2037" s="64">
        <f>IF(C1827=0,"",SUMPRODUCT($C$1613:$V$1613,($C$248:$V$248=C$1703)*1,($C$6:$V$6="Praxis")*1,$C$9:$V$9,$C$38:$V$38)/SUMPRODUCT($C$1613:$V$1613,($C$248:$V$248=C$1703)*1,($C$6:$V$6="Praxis")*1,$C$9:$V$9))</f>
        <v/>
      </c>
      <c r="D2037" s="64">
        <f>IF(D1827=0,"",SUMPRODUCT($C$1613:$V$1613,($C$248:$V$248=D$1703)*1,($C$6:$V$6="Praxis")*1,$C$9:$V$9,$C$38:$V$38)/SUMPRODUCT($C$1613:$V$1613,($C$248:$V$248=D$1703)*1,($C$6:$V$6="Praxis")*1,$C$9:$V$9))</f>
        <v/>
      </c>
      <c r="E2037" s="64">
        <f>IF(E1827=0,"",SUMPRODUCT($C$1613:$V$1613,($C$248:$V$248=E$1703)*1,($C$6:$V$6="Praxis")*1,$C$9:$V$9,$C$38:$V$38)/SUMPRODUCT($C$1613:$V$1613,($C$248:$V$248=E$1703)*1,($C$6:$V$6="Praxis")*1,$C$9:$V$9))</f>
        <v/>
      </c>
      <c r="F2037" s="64">
        <f>IF(F1827=0,"",SUMPRODUCT($C$1613:$V$1613,($C$248:$V$248=F$1703)*1,($C$6:$V$6="Praxis")*1,$C$9:$V$9,$C$38:$V$38)/SUMPRODUCT($C$1613:$V$1613,($C$248:$V$248=F$1703)*1,($C$6:$V$6="Praxis")*1,$C$9:$V$9))</f>
        <v/>
      </c>
      <c r="G2037" s="64">
        <f>IF(G1827=0,"",SUMPRODUCT($C$1613:$V$1613,($C$248:$V$248=G$1703)*1,($C$6:$V$6="Praxis")*1,$C$9:$V$9,$C$38:$V$38)/SUMPRODUCT($C$1613:$V$1613,($C$248:$V$248=G$1703)*1,($C$6:$V$6="Praxis")*1,$C$9:$V$9))</f>
        <v/>
      </c>
      <c r="H2037" s="64">
        <f>IF(H1827=0,"",SUMPRODUCT($C$1613:$V$1613,($C$248:$V$248=H$1703)*1,($C$6:$V$6="Praxis")*1,$C$9:$V$9,$C$38:$V$38)/SUMPRODUCT($C$1613:$V$1613,($C$248:$V$248=H$1703)*1,($C$6:$V$6="Praxis")*1,$C$9:$V$9))</f>
        <v/>
      </c>
      <c r="I2037" s="64">
        <f>IF(I1827=0,"",SUMPRODUCT($C$1613:$V$1613,($C$248:$V$248=I$1703)*1,($C$6:$V$6="Praxis")*1,$C$9:$V$9,$C$38:$V$38)/SUMPRODUCT($C$1613:$V$1613,($C$248:$V$248=I$1703)*1,($C$6:$V$6="Praxis")*1,$C$9:$V$9))</f>
        <v/>
      </c>
      <c r="J2037" s="64">
        <f>IF(J1827=0,"",SUMPRODUCT($C$1613:$V$1613,($C$248:$V$248=J$1703)*1,($C$6:$V$6="Praxis")*1,$C$9:$V$9,$C$38:$V$38)/SUMPRODUCT($C$1613:$V$1613,($C$248:$V$248=J$1703)*1,($C$6:$V$6="Praxis")*1,$C$9:$V$9))</f>
        <v/>
      </c>
    </row>
    <row r="2038">
      <c r="C2038" s="64">
        <f>IF(C1828=0,"",SUMPRODUCT($C$1614:$V$1614,($C$249:$V$249=C$1703)*1,($C$6:$V$6="Praxis")*1,$C$9:$V$9,$C$39:$V$39)/SUMPRODUCT($C$1614:$V$1614,($C$249:$V$249=C$1703)*1,($C$6:$V$6="Praxis")*1,$C$9:$V$9))</f>
        <v/>
      </c>
      <c r="D2038" s="64">
        <f>IF(D1828=0,"",SUMPRODUCT($C$1614:$V$1614,($C$249:$V$249=D$1703)*1,($C$6:$V$6="Praxis")*1,$C$9:$V$9,$C$39:$V$39)/SUMPRODUCT($C$1614:$V$1614,($C$249:$V$249=D$1703)*1,($C$6:$V$6="Praxis")*1,$C$9:$V$9))</f>
        <v/>
      </c>
      <c r="E2038" s="64">
        <f>IF(E1828=0,"",SUMPRODUCT($C$1614:$V$1614,($C$249:$V$249=E$1703)*1,($C$6:$V$6="Praxis")*1,$C$9:$V$9,$C$39:$V$39)/SUMPRODUCT($C$1614:$V$1614,($C$249:$V$249=E$1703)*1,($C$6:$V$6="Praxis")*1,$C$9:$V$9))</f>
        <v/>
      </c>
      <c r="F2038" s="64">
        <f>IF(F1828=0,"",SUMPRODUCT($C$1614:$V$1614,($C$249:$V$249=F$1703)*1,($C$6:$V$6="Praxis")*1,$C$9:$V$9,$C$39:$V$39)/SUMPRODUCT($C$1614:$V$1614,($C$249:$V$249=F$1703)*1,($C$6:$V$6="Praxis")*1,$C$9:$V$9))</f>
        <v/>
      </c>
      <c r="G2038" s="64">
        <f>IF(G1828=0,"",SUMPRODUCT($C$1614:$V$1614,($C$249:$V$249=G$1703)*1,($C$6:$V$6="Praxis")*1,$C$9:$V$9,$C$39:$V$39)/SUMPRODUCT($C$1614:$V$1614,($C$249:$V$249=G$1703)*1,($C$6:$V$6="Praxis")*1,$C$9:$V$9))</f>
        <v/>
      </c>
      <c r="H2038" s="64">
        <f>IF(H1828=0,"",SUMPRODUCT($C$1614:$V$1614,($C$249:$V$249=H$1703)*1,($C$6:$V$6="Praxis")*1,$C$9:$V$9,$C$39:$V$39)/SUMPRODUCT($C$1614:$V$1614,($C$249:$V$249=H$1703)*1,($C$6:$V$6="Praxis")*1,$C$9:$V$9))</f>
        <v/>
      </c>
      <c r="I2038" s="64">
        <f>IF(I1828=0,"",SUMPRODUCT($C$1614:$V$1614,($C$249:$V$249=I$1703)*1,($C$6:$V$6="Praxis")*1,$C$9:$V$9,$C$39:$V$39)/SUMPRODUCT($C$1614:$V$1614,($C$249:$V$249=I$1703)*1,($C$6:$V$6="Praxis")*1,$C$9:$V$9))</f>
        <v/>
      </c>
      <c r="J2038" s="64">
        <f>IF(J1828=0,"",SUMPRODUCT($C$1614:$V$1614,($C$249:$V$249=J$1703)*1,($C$6:$V$6="Praxis")*1,$C$9:$V$9,$C$39:$V$39)/SUMPRODUCT($C$1614:$V$1614,($C$249:$V$249=J$1703)*1,($C$6:$V$6="Praxis")*1,$C$9:$V$9))</f>
        <v/>
      </c>
    </row>
    <row r="2039">
      <c r="C2039" s="64">
        <f>IF(C1829=0,"",SUMPRODUCT($C$1615:$V$1615,($C$250:$V$250=C$1703)*1,($C$6:$V$6="Praxis")*1,$C$9:$V$9,$C$40:$V$40)/SUMPRODUCT($C$1615:$V$1615,($C$250:$V$250=C$1703)*1,($C$6:$V$6="Praxis")*1,$C$9:$V$9))</f>
        <v/>
      </c>
      <c r="D2039" s="64">
        <f>IF(D1829=0,"",SUMPRODUCT($C$1615:$V$1615,($C$250:$V$250=D$1703)*1,($C$6:$V$6="Praxis")*1,$C$9:$V$9,$C$40:$V$40)/SUMPRODUCT($C$1615:$V$1615,($C$250:$V$250=D$1703)*1,($C$6:$V$6="Praxis")*1,$C$9:$V$9))</f>
        <v/>
      </c>
      <c r="E2039" s="64">
        <f>IF(E1829=0,"",SUMPRODUCT($C$1615:$V$1615,($C$250:$V$250=E$1703)*1,($C$6:$V$6="Praxis")*1,$C$9:$V$9,$C$40:$V$40)/SUMPRODUCT($C$1615:$V$1615,($C$250:$V$250=E$1703)*1,($C$6:$V$6="Praxis")*1,$C$9:$V$9))</f>
        <v/>
      </c>
      <c r="F2039" s="64">
        <f>IF(F1829=0,"",SUMPRODUCT($C$1615:$V$1615,($C$250:$V$250=F$1703)*1,($C$6:$V$6="Praxis")*1,$C$9:$V$9,$C$40:$V$40)/SUMPRODUCT($C$1615:$V$1615,($C$250:$V$250=F$1703)*1,($C$6:$V$6="Praxis")*1,$C$9:$V$9))</f>
        <v/>
      </c>
      <c r="G2039" s="64">
        <f>IF(G1829=0,"",SUMPRODUCT($C$1615:$V$1615,($C$250:$V$250=G$1703)*1,($C$6:$V$6="Praxis")*1,$C$9:$V$9,$C$40:$V$40)/SUMPRODUCT($C$1615:$V$1615,($C$250:$V$250=G$1703)*1,($C$6:$V$6="Praxis")*1,$C$9:$V$9))</f>
        <v/>
      </c>
      <c r="H2039" s="64">
        <f>IF(H1829=0,"",SUMPRODUCT($C$1615:$V$1615,($C$250:$V$250=H$1703)*1,($C$6:$V$6="Praxis")*1,$C$9:$V$9,$C$40:$V$40)/SUMPRODUCT($C$1615:$V$1615,($C$250:$V$250=H$1703)*1,($C$6:$V$6="Praxis")*1,$C$9:$V$9))</f>
        <v/>
      </c>
      <c r="I2039" s="64">
        <f>IF(I1829=0,"",SUMPRODUCT($C$1615:$V$1615,($C$250:$V$250=I$1703)*1,($C$6:$V$6="Praxis")*1,$C$9:$V$9,$C$40:$V$40)/SUMPRODUCT($C$1615:$V$1615,($C$250:$V$250=I$1703)*1,($C$6:$V$6="Praxis")*1,$C$9:$V$9))</f>
        <v/>
      </c>
      <c r="J2039" s="64">
        <f>IF(J1829=0,"",SUMPRODUCT($C$1615:$V$1615,($C$250:$V$250=J$1703)*1,($C$6:$V$6="Praxis")*1,$C$9:$V$9,$C$40:$V$40)/SUMPRODUCT($C$1615:$V$1615,($C$250:$V$250=J$1703)*1,($C$6:$V$6="Praxis")*1,$C$9:$V$9))</f>
        <v/>
      </c>
    </row>
    <row r="2040">
      <c r="C2040" s="64">
        <f>IF(C1830=0,"",SUMPRODUCT($C$1616:$V$1616,($C$251:$V$251=C$1703)*1,($C$6:$V$6="Praxis")*1,$C$9:$V$9,$C$41:$V$41)/SUMPRODUCT($C$1616:$V$1616,($C$251:$V$251=C$1703)*1,($C$6:$V$6="Praxis")*1,$C$9:$V$9))</f>
        <v/>
      </c>
      <c r="D2040" s="64">
        <f>IF(D1830=0,"",SUMPRODUCT($C$1616:$V$1616,($C$251:$V$251=D$1703)*1,($C$6:$V$6="Praxis")*1,$C$9:$V$9,$C$41:$V$41)/SUMPRODUCT($C$1616:$V$1616,($C$251:$V$251=D$1703)*1,($C$6:$V$6="Praxis")*1,$C$9:$V$9))</f>
        <v/>
      </c>
      <c r="E2040" s="64">
        <f>IF(E1830=0,"",SUMPRODUCT($C$1616:$V$1616,($C$251:$V$251=E$1703)*1,($C$6:$V$6="Praxis")*1,$C$9:$V$9,$C$41:$V$41)/SUMPRODUCT($C$1616:$V$1616,($C$251:$V$251=E$1703)*1,($C$6:$V$6="Praxis")*1,$C$9:$V$9))</f>
        <v/>
      </c>
      <c r="F2040" s="64">
        <f>IF(F1830=0,"",SUMPRODUCT($C$1616:$V$1616,($C$251:$V$251=F$1703)*1,($C$6:$V$6="Praxis")*1,$C$9:$V$9,$C$41:$V$41)/SUMPRODUCT($C$1616:$V$1616,($C$251:$V$251=F$1703)*1,($C$6:$V$6="Praxis")*1,$C$9:$V$9))</f>
        <v/>
      </c>
      <c r="G2040" s="64">
        <f>IF(G1830=0,"",SUMPRODUCT($C$1616:$V$1616,($C$251:$V$251=G$1703)*1,($C$6:$V$6="Praxis")*1,$C$9:$V$9,$C$41:$V$41)/SUMPRODUCT($C$1616:$V$1616,($C$251:$V$251=G$1703)*1,($C$6:$V$6="Praxis")*1,$C$9:$V$9))</f>
        <v/>
      </c>
      <c r="H2040" s="64">
        <f>IF(H1830=0,"",SUMPRODUCT($C$1616:$V$1616,($C$251:$V$251=H$1703)*1,($C$6:$V$6="Praxis")*1,$C$9:$V$9,$C$41:$V$41)/SUMPRODUCT($C$1616:$V$1616,($C$251:$V$251=H$1703)*1,($C$6:$V$6="Praxis")*1,$C$9:$V$9))</f>
        <v/>
      </c>
      <c r="I2040" s="64">
        <f>IF(I1830=0,"",SUMPRODUCT($C$1616:$V$1616,($C$251:$V$251=I$1703)*1,($C$6:$V$6="Praxis")*1,$C$9:$V$9,$C$41:$V$41)/SUMPRODUCT($C$1616:$V$1616,($C$251:$V$251=I$1703)*1,($C$6:$V$6="Praxis")*1,$C$9:$V$9))</f>
        <v/>
      </c>
      <c r="J2040" s="64">
        <f>IF(J1830=0,"",SUMPRODUCT($C$1616:$V$1616,($C$251:$V$251=J$1703)*1,($C$6:$V$6="Praxis")*1,$C$9:$V$9,$C$41:$V$41)/SUMPRODUCT($C$1616:$V$1616,($C$251:$V$251=J$1703)*1,($C$6:$V$6="Praxis")*1,$C$9:$V$9))</f>
        <v/>
      </c>
    </row>
    <row r="2041">
      <c r="C2041" s="64">
        <f>IF(C1831=0,"",SUMPRODUCT($C$1617:$V$1617,($C$252:$V$252=C$1703)*1,($C$6:$V$6="Praxis")*1,$C$9:$V$9,$C$42:$V$42)/SUMPRODUCT($C$1617:$V$1617,($C$252:$V$252=C$1703)*1,($C$6:$V$6="Praxis")*1,$C$9:$V$9))</f>
        <v/>
      </c>
      <c r="D2041" s="64">
        <f>IF(D1831=0,"",SUMPRODUCT($C$1617:$V$1617,($C$252:$V$252=D$1703)*1,($C$6:$V$6="Praxis")*1,$C$9:$V$9,$C$42:$V$42)/SUMPRODUCT($C$1617:$V$1617,($C$252:$V$252=D$1703)*1,($C$6:$V$6="Praxis")*1,$C$9:$V$9))</f>
        <v/>
      </c>
      <c r="E2041" s="64">
        <f>IF(E1831=0,"",SUMPRODUCT($C$1617:$V$1617,($C$252:$V$252=E$1703)*1,($C$6:$V$6="Praxis")*1,$C$9:$V$9,$C$42:$V$42)/SUMPRODUCT($C$1617:$V$1617,($C$252:$V$252=E$1703)*1,($C$6:$V$6="Praxis")*1,$C$9:$V$9))</f>
        <v/>
      </c>
      <c r="F2041" s="64">
        <f>IF(F1831=0,"",SUMPRODUCT($C$1617:$V$1617,($C$252:$V$252=F$1703)*1,($C$6:$V$6="Praxis")*1,$C$9:$V$9,$C$42:$V$42)/SUMPRODUCT($C$1617:$V$1617,($C$252:$V$252=F$1703)*1,($C$6:$V$6="Praxis")*1,$C$9:$V$9))</f>
        <v/>
      </c>
      <c r="G2041" s="64">
        <f>IF(G1831=0,"",SUMPRODUCT($C$1617:$V$1617,($C$252:$V$252=G$1703)*1,($C$6:$V$6="Praxis")*1,$C$9:$V$9,$C$42:$V$42)/SUMPRODUCT($C$1617:$V$1617,($C$252:$V$252=G$1703)*1,($C$6:$V$6="Praxis")*1,$C$9:$V$9))</f>
        <v/>
      </c>
      <c r="H2041" s="64">
        <f>IF(H1831=0,"",SUMPRODUCT($C$1617:$V$1617,($C$252:$V$252=H$1703)*1,($C$6:$V$6="Praxis")*1,$C$9:$V$9,$C$42:$V$42)/SUMPRODUCT($C$1617:$V$1617,($C$252:$V$252=H$1703)*1,($C$6:$V$6="Praxis")*1,$C$9:$V$9))</f>
        <v/>
      </c>
      <c r="I2041" s="64">
        <f>IF(I1831=0,"",SUMPRODUCT($C$1617:$V$1617,($C$252:$V$252=I$1703)*1,($C$6:$V$6="Praxis")*1,$C$9:$V$9,$C$42:$V$42)/SUMPRODUCT($C$1617:$V$1617,($C$252:$V$252=I$1703)*1,($C$6:$V$6="Praxis")*1,$C$9:$V$9))</f>
        <v/>
      </c>
      <c r="J2041" s="64">
        <f>IF(J1831=0,"",SUMPRODUCT($C$1617:$V$1617,($C$252:$V$252=J$1703)*1,($C$6:$V$6="Praxis")*1,$C$9:$V$9,$C$42:$V$42)/SUMPRODUCT($C$1617:$V$1617,($C$252:$V$252=J$1703)*1,($C$6:$V$6="Praxis")*1,$C$9:$V$9))</f>
        <v/>
      </c>
    </row>
    <row r="2042">
      <c r="C2042" s="64">
        <f>IF(C1832=0,"",SUMPRODUCT($C$1618:$V$1618,($C$253:$V$253=C$1703)*1,($C$6:$V$6="Praxis")*1,$C$9:$V$9,$C$43:$V$43)/SUMPRODUCT($C$1618:$V$1618,($C$253:$V$253=C$1703)*1,($C$6:$V$6="Praxis")*1,$C$9:$V$9))</f>
        <v/>
      </c>
      <c r="D2042" s="64">
        <f>IF(D1832=0,"",SUMPRODUCT($C$1618:$V$1618,($C$253:$V$253=D$1703)*1,($C$6:$V$6="Praxis")*1,$C$9:$V$9,$C$43:$V$43)/SUMPRODUCT($C$1618:$V$1618,($C$253:$V$253=D$1703)*1,($C$6:$V$6="Praxis")*1,$C$9:$V$9))</f>
        <v/>
      </c>
      <c r="E2042" s="64">
        <f>IF(E1832=0,"",SUMPRODUCT($C$1618:$V$1618,($C$253:$V$253=E$1703)*1,($C$6:$V$6="Praxis")*1,$C$9:$V$9,$C$43:$V$43)/SUMPRODUCT($C$1618:$V$1618,($C$253:$V$253=E$1703)*1,($C$6:$V$6="Praxis")*1,$C$9:$V$9))</f>
        <v/>
      </c>
      <c r="F2042" s="64">
        <f>IF(F1832=0,"",SUMPRODUCT($C$1618:$V$1618,($C$253:$V$253=F$1703)*1,($C$6:$V$6="Praxis")*1,$C$9:$V$9,$C$43:$V$43)/SUMPRODUCT($C$1618:$V$1618,($C$253:$V$253=F$1703)*1,($C$6:$V$6="Praxis")*1,$C$9:$V$9))</f>
        <v/>
      </c>
      <c r="G2042" s="64">
        <f>IF(G1832=0,"",SUMPRODUCT($C$1618:$V$1618,($C$253:$V$253=G$1703)*1,($C$6:$V$6="Praxis")*1,$C$9:$V$9,$C$43:$V$43)/SUMPRODUCT($C$1618:$V$1618,($C$253:$V$253=G$1703)*1,($C$6:$V$6="Praxis")*1,$C$9:$V$9))</f>
        <v/>
      </c>
      <c r="H2042" s="64">
        <f>IF(H1832=0,"",SUMPRODUCT($C$1618:$V$1618,($C$253:$V$253=H$1703)*1,($C$6:$V$6="Praxis")*1,$C$9:$V$9,$C$43:$V$43)/SUMPRODUCT($C$1618:$V$1618,($C$253:$V$253=H$1703)*1,($C$6:$V$6="Praxis")*1,$C$9:$V$9))</f>
        <v/>
      </c>
      <c r="I2042" s="64">
        <f>IF(I1832=0,"",SUMPRODUCT($C$1618:$V$1618,($C$253:$V$253=I$1703)*1,($C$6:$V$6="Praxis")*1,$C$9:$V$9,$C$43:$V$43)/SUMPRODUCT($C$1618:$V$1618,($C$253:$V$253=I$1703)*1,($C$6:$V$6="Praxis")*1,$C$9:$V$9))</f>
        <v/>
      </c>
      <c r="J2042" s="64">
        <f>IF(J1832=0,"",SUMPRODUCT($C$1618:$V$1618,($C$253:$V$253=J$1703)*1,($C$6:$V$6="Praxis")*1,$C$9:$V$9,$C$43:$V$43)/SUMPRODUCT($C$1618:$V$1618,($C$253:$V$253=J$1703)*1,($C$6:$V$6="Praxis")*1,$C$9:$V$9))</f>
        <v/>
      </c>
    </row>
    <row r="2043">
      <c r="C2043" s="64">
        <f>IF(C1833=0,"",SUMPRODUCT($C$1619:$V$1619,($C$254:$V$254=C$1703)*1,($C$6:$V$6="Praxis")*1,$C$9:$V$9,$C$44:$V$44)/SUMPRODUCT($C$1619:$V$1619,($C$254:$V$254=C$1703)*1,($C$6:$V$6="Praxis")*1,$C$9:$V$9))</f>
        <v/>
      </c>
      <c r="D2043" s="64">
        <f>IF(D1833=0,"",SUMPRODUCT($C$1619:$V$1619,($C$254:$V$254=D$1703)*1,($C$6:$V$6="Praxis")*1,$C$9:$V$9,$C$44:$V$44)/SUMPRODUCT($C$1619:$V$1619,($C$254:$V$254=D$1703)*1,($C$6:$V$6="Praxis")*1,$C$9:$V$9))</f>
        <v/>
      </c>
      <c r="E2043" s="64">
        <f>IF(E1833=0,"",SUMPRODUCT($C$1619:$V$1619,($C$254:$V$254=E$1703)*1,($C$6:$V$6="Praxis")*1,$C$9:$V$9,$C$44:$V$44)/SUMPRODUCT($C$1619:$V$1619,($C$254:$V$254=E$1703)*1,($C$6:$V$6="Praxis")*1,$C$9:$V$9))</f>
        <v/>
      </c>
      <c r="F2043" s="64">
        <f>IF(F1833=0,"",SUMPRODUCT($C$1619:$V$1619,($C$254:$V$254=F$1703)*1,($C$6:$V$6="Praxis")*1,$C$9:$V$9,$C$44:$V$44)/SUMPRODUCT($C$1619:$V$1619,($C$254:$V$254=F$1703)*1,($C$6:$V$6="Praxis")*1,$C$9:$V$9))</f>
        <v/>
      </c>
      <c r="G2043" s="64">
        <f>IF(G1833=0,"",SUMPRODUCT($C$1619:$V$1619,($C$254:$V$254=G$1703)*1,($C$6:$V$6="Praxis")*1,$C$9:$V$9,$C$44:$V$44)/SUMPRODUCT($C$1619:$V$1619,($C$254:$V$254=G$1703)*1,($C$6:$V$6="Praxis")*1,$C$9:$V$9))</f>
        <v/>
      </c>
      <c r="H2043" s="64">
        <f>IF(H1833=0,"",SUMPRODUCT($C$1619:$V$1619,($C$254:$V$254=H$1703)*1,($C$6:$V$6="Praxis")*1,$C$9:$V$9,$C$44:$V$44)/SUMPRODUCT($C$1619:$V$1619,($C$254:$V$254=H$1703)*1,($C$6:$V$6="Praxis")*1,$C$9:$V$9))</f>
        <v/>
      </c>
      <c r="I2043" s="64">
        <f>IF(I1833=0,"",SUMPRODUCT($C$1619:$V$1619,($C$254:$V$254=I$1703)*1,($C$6:$V$6="Praxis")*1,$C$9:$V$9,$C$44:$V$44)/SUMPRODUCT($C$1619:$V$1619,($C$254:$V$254=I$1703)*1,($C$6:$V$6="Praxis")*1,$C$9:$V$9))</f>
        <v/>
      </c>
      <c r="J2043" s="64">
        <f>IF(J1833=0,"",SUMPRODUCT($C$1619:$V$1619,($C$254:$V$254=J$1703)*1,($C$6:$V$6="Praxis")*1,$C$9:$V$9,$C$44:$V$44)/SUMPRODUCT($C$1619:$V$1619,($C$254:$V$254=J$1703)*1,($C$6:$V$6="Praxis")*1,$C$9:$V$9))</f>
        <v/>
      </c>
    </row>
    <row r="2044">
      <c r="C2044" s="64">
        <f>IF(C1834=0,"",SUMPRODUCT($C$1620:$V$1620,($C$255:$V$255=C$1703)*1,($C$6:$V$6="Praxis")*1,$C$9:$V$9,$C$45:$V$45)/SUMPRODUCT($C$1620:$V$1620,($C$255:$V$255=C$1703)*1,($C$6:$V$6="Praxis")*1,$C$9:$V$9))</f>
        <v/>
      </c>
      <c r="D2044" s="64">
        <f>IF(D1834=0,"",SUMPRODUCT($C$1620:$V$1620,($C$255:$V$255=D$1703)*1,($C$6:$V$6="Praxis")*1,$C$9:$V$9,$C$45:$V$45)/SUMPRODUCT($C$1620:$V$1620,($C$255:$V$255=D$1703)*1,($C$6:$V$6="Praxis")*1,$C$9:$V$9))</f>
        <v/>
      </c>
      <c r="E2044" s="64">
        <f>IF(E1834=0,"",SUMPRODUCT($C$1620:$V$1620,($C$255:$V$255=E$1703)*1,($C$6:$V$6="Praxis")*1,$C$9:$V$9,$C$45:$V$45)/SUMPRODUCT($C$1620:$V$1620,($C$255:$V$255=E$1703)*1,($C$6:$V$6="Praxis")*1,$C$9:$V$9))</f>
        <v/>
      </c>
      <c r="F2044" s="64">
        <f>IF(F1834=0,"",SUMPRODUCT($C$1620:$V$1620,($C$255:$V$255=F$1703)*1,($C$6:$V$6="Praxis")*1,$C$9:$V$9,$C$45:$V$45)/SUMPRODUCT($C$1620:$V$1620,($C$255:$V$255=F$1703)*1,($C$6:$V$6="Praxis")*1,$C$9:$V$9))</f>
        <v/>
      </c>
      <c r="G2044" s="64">
        <f>IF(G1834=0,"",SUMPRODUCT($C$1620:$V$1620,($C$255:$V$255=G$1703)*1,($C$6:$V$6="Praxis")*1,$C$9:$V$9,$C$45:$V$45)/SUMPRODUCT($C$1620:$V$1620,($C$255:$V$255=G$1703)*1,($C$6:$V$6="Praxis")*1,$C$9:$V$9))</f>
        <v/>
      </c>
      <c r="H2044" s="64">
        <f>IF(H1834=0,"",SUMPRODUCT($C$1620:$V$1620,($C$255:$V$255=H$1703)*1,($C$6:$V$6="Praxis")*1,$C$9:$V$9,$C$45:$V$45)/SUMPRODUCT($C$1620:$V$1620,($C$255:$V$255=H$1703)*1,($C$6:$V$6="Praxis")*1,$C$9:$V$9))</f>
        <v/>
      </c>
      <c r="I2044" s="64">
        <f>IF(I1834=0,"",SUMPRODUCT($C$1620:$V$1620,($C$255:$V$255=I$1703)*1,($C$6:$V$6="Praxis")*1,$C$9:$V$9,$C$45:$V$45)/SUMPRODUCT($C$1620:$V$1620,($C$255:$V$255=I$1703)*1,($C$6:$V$6="Praxis")*1,$C$9:$V$9))</f>
        <v/>
      </c>
      <c r="J2044" s="64">
        <f>IF(J1834=0,"",SUMPRODUCT($C$1620:$V$1620,($C$255:$V$255=J$1703)*1,($C$6:$V$6="Praxis")*1,$C$9:$V$9,$C$45:$V$45)/SUMPRODUCT($C$1620:$V$1620,($C$255:$V$255=J$1703)*1,($C$6:$V$6="Praxis")*1,$C$9:$V$9))</f>
        <v/>
      </c>
    </row>
    <row r="2045">
      <c r="C2045" s="64">
        <f>IF(C1835=0,"",SUMPRODUCT($C$1621:$V$1621,($C$256:$V$256=C$1703)*1,($C$6:$V$6="Praxis")*1,$C$9:$V$9,$C$46:$V$46)/SUMPRODUCT($C$1621:$V$1621,($C$256:$V$256=C$1703)*1,($C$6:$V$6="Praxis")*1,$C$9:$V$9))</f>
        <v/>
      </c>
      <c r="D2045" s="64">
        <f>IF(D1835=0,"",SUMPRODUCT($C$1621:$V$1621,($C$256:$V$256=D$1703)*1,($C$6:$V$6="Praxis")*1,$C$9:$V$9,$C$46:$V$46)/SUMPRODUCT($C$1621:$V$1621,($C$256:$V$256=D$1703)*1,($C$6:$V$6="Praxis")*1,$C$9:$V$9))</f>
        <v/>
      </c>
      <c r="E2045" s="64">
        <f>IF(E1835=0,"",SUMPRODUCT($C$1621:$V$1621,($C$256:$V$256=E$1703)*1,($C$6:$V$6="Praxis")*1,$C$9:$V$9,$C$46:$V$46)/SUMPRODUCT($C$1621:$V$1621,($C$256:$V$256=E$1703)*1,($C$6:$V$6="Praxis")*1,$C$9:$V$9))</f>
        <v/>
      </c>
      <c r="F2045" s="64">
        <f>IF(F1835=0,"",SUMPRODUCT($C$1621:$V$1621,($C$256:$V$256=F$1703)*1,($C$6:$V$6="Praxis")*1,$C$9:$V$9,$C$46:$V$46)/SUMPRODUCT($C$1621:$V$1621,($C$256:$V$256=F$1703)*1,($C$6:$V$6="Praxis")*1,$C$9:$V$9))</f>
        <v/>
      </c>
      <c r="G2045" s="64">
        <f>IF(G1835=0,"",SUMPRODUCT($C$1621:$V$1621,($C$256:$V$256=G$1703)*1,($C$6:$V$6="Praxis")*1,$C$9:$V$9,$C$46:$V$46)/SUMPRODUCT($C$1621:$V$1621,($C$256:$V$256=G$1703)*1,($C$6:$V$6="Praxis")*1,$C$9:$V$9))</f>
        <v/>
      </c>
      <c r="H2045" s="64">
        <f>IF(H1835=0,"",SUMPRODUCT($C$1621:$V$1621,($C$256:$V$256=H$1703)*1,($C$6:$V$6="Praxis")*1,$C$9:$V$9,$C$46:$V$46)/SUMPRODUCT($C$1621:$V$1621,($C$256:$V$256=H$1703)*1,($C$6:$V$6="Praxis")*1,$C$9:$V$9))</f>
        <v/>
      </c>
      <c r="I2045" s="64">
        <f>IF(I1835=0,"",SUMPRODUCT($C$1621:$V$1621,($C$256:$V$256=I$1703)*1,($C$6:$V$6="Praxis")*1,$C$9:$V$9,$C$46:$V$46)/SUMPRODUCT($C$1621:$V$1621,($C$256:$V$256=I$1703)*1,($C$6:$V$6="Praxis")*1,$C$9:$V$9))</f>
        <v/>
      </c>
      <c r="J2045" s="64">
        <f>IF(J1835=0,"",SUMPRODUCT($C$1621:$V$1621,($C$256:$V$256=J$1703)*1,($C$6:$V$6="Praxis")*1,$C$9:$V$9,$C$46:$V$46)/SUMPRODUCT($C$1621:$V$1621,($C$256:$V$256=J$1703)*1,($C$6:$V$6="Praxis")*1,$C$9:$V$9))</f>
        <v/>
      </c>
    </row>
    <row r="2046">
      <c r="C2046" s="64">
        <f>IF(C1836=0,"",SUMPRODUCT($C$1622:$V$1622,($C$257:$V$257=C$1703)*1,($C$6:$V$6="Praxis")*1,$C$9:$V$9,$C$47:$V$47)/SUMPRODUCT($C$1622:$V$1622,($C$257:$V$257=C$1703)*1,($C$6:$V$6="Praxis")*1,$C$9:$V$9))</f>
        <v/>
      </c>
      <c r="D2046" s="64">
        <f>IF(D1836=0,"",SUMPRODUCT($C$1622:$V$1622,($C$257:$V$257=D$1703)*1,($C$6:$V$6="Praxis")*1,$C$9:$V$9,$C$47:$V$47)/SUMPRODUCT($C$1622:$V$1622,($C$257:$V$257=D$1703)*1,($C$6:$V$6="Praxis")*1,$C$9:$V$9))</f>
        <v/>
      </c>
      <c r="E2046" s="64">
        <f>IF(E1836=0,"",SUMPRODUCT($C$1622:$V$1622,($C$257:$V$257=E$1703)*1,($C$6:$V$6="Praxis")*1,$C$9:$V$9,$C$47:$V$47)/SUMPRODUCT($C$1622:$V$1622,($C$257:$V$257=E$1703)*1,($C$6:$V$6="Praxis")*1,$C$9:$V$9))</f>
        <v/>
      </c>
      <c r="F2046" s="64">
        <f>IF(F1836=0,"",SUMPRODUCT($C$1622:$V$1622,($C$257:$V$257=F$1703)*1,($C$6:$V$6="Praxis")*1,$C$9:$V$9,$C$47:$V$47)/SUMPRODUCT($C$1622:$V$1622,($C$257:$V$257=F$1703)*1,($C$6:$V$6="Praxis")*1,$C$9:$V$9))</f>
        <v/>
      </c>
      <c r="G2046" s="64">
        <f>IF(G1836=0,"",SUMPRODUCT($C$1622:$V$1622,($C$257:$V$257=G$1703)*1,($C$6:$V$6="Praxis")*1,$C$9:$V$9,$C$47:$V$47)/SUMPRODUCT($C$1622:$V$1622,($C$257:$V$257=G$1703)*1,($C$6:$V$6="Praxis")*1,$C$9:$V$9))</f>
        <v/>
      </c>
      <c r="H2046" s="64">
        <f>IF(H1836=0,"",SUMPRODUCT($C$1622:$V$1622,($C$257:$V$257=H$1703)*1,($C$6:$V$6="Praxis")*1,$C$9:$V$9,$C$47:$V$47)/SUMPRODUCT($C$1622:$V$1622,($C$257:$V$257=H$1703)*1,($C$6:$V$6="Praxis")*1,$C$9:$V$9))</f>
        <v/>
      </c>
      <c r="I2046" s="64">
        <f>IF(I1836=0,"",SUMPRODUCT($C$1622:$V$1622,($C$257:$V$257=I$1703)*1,($C$6:$V$6="Praxis")*1,$C$9:$V$9,$C$47:$V$47)/SUMPRODUCT($C$1622:$V$1622,($C$257:$V$257=I$1703)*1,($C$6:$V$6="Praxis")*1,$C$9:$V$9))</f>
        <v/>
      </c>
      <c r="J2046" s="64">
        <f>IF(J1836=0,"",SUMPRODUCT($C$1622:$V$1622,($C$257:$V$257=J$1703)*1,($C$6:$V$6="Praxis")*1,$C$9:$V$9,$C$47:$V$47)/SUMPRODUCT($C$1622:$V$1622,($C$257:$V$257=J$1703)*1,($C$6:$V$6="Praxis")*1,$C$9:$V$9))</f>
        <v/>
      </c>
    </row>
    <row r="2047">
      <c r="C2047" s="64">
        <f>IF(C1837=0,"",SUMPRODUCT($C$1623:$V$1623,($C$258:$V$258=C$1703)*1,($C$6:$V$6="Praxis")*1,$C$9:$V$9,$C$48:$V$48)/SUMPRODUCT($C$1623:$V$1623,($C$258:$V$258=C$1703)*1,($C$6:$V$6="Praxis")*1,$C$9:$V$9))</f>
        <v/>
      </c>
      <c r="D2047" s="64">
        <f>IF(D1837=0,"",SUMPRODUCT($C$1623:$V$1623,($C$258:$V$258=D$1703)*1,($C$6:$V$6="Praxis")*1,$C$9:$V$9,$C$48:$V$48)/SUMPRODUCT($C$1623:$V$1623,($C$258:$V$258=D$1703)*1,($C$6:$V$6="Praxis")*1,$C$9:$V$9))</f>
        <v/>
      </c>
      <c r="E2047" s="64">
        <f>IF(E1837=0,"",SUMPRODUCT($C$1623:$V$1623,($C$258:$V$258=E$1703)*1,($C$6:$V$6="Praxis")*1,$C$9:$V$9,$C$48:$V$48)/SUMPRODUCT($C$1623:$V$1623,($C$258:$V$258=E$1703)*1,($C$6:$V$6="Praxis")*1,$C$9:$V$9))</f>
        <v/>
      </c>
      <c r="F2047" s="64">
        <f>IF(F1837=0,"",SUMPRODUCT($C$1623:$V$1623,($C$258:$V$258=F$1703)*1,($C$6:$V$6="Praxis")*1,$C$9:$V$9,$C$48:$V$48)/SUMPRODUCT($C$1623:$V$1623,($C$258:$V$258=F$1703)*1,($C$6:$V$6="Praxis")*1,$C$9:$V$9))</f>
        <v/>
      </c>
      <c r="G2047" s="64">
        <f>IF(G1837=0,"",SUMPRODUCT($C$1623:$V$1623,($C$258:$V$258=G$1703)*1,($C$6:$V$6="Praxis")*1,$C$9:$V$9,$C$48:$V$48)/SUMPRODUCT($C$1623:$V$1623,($C$258:$V$258=G$1703)*1,($C$6:$V$6="Praxis")*1,$C$9:$V$9))</f>
        <v/>
      </c>
      <c r="H2047" s="64">
        <f>IF(H1837=0,"",SUMPRODUCT($C$1623:$V$1623,($C$258:$V$258=H$1703)*1,($C$6:$V$6="Praxis")*1,$C$9:$V$9,$C$48:$V$48)/SUMPRODUCT($C$1623:$V$1623,($C$258:$V$258=H$1703)*1,($C$6:$V$6="Praxis")*1,$C$9:$V$9))</f>
        <v/>
      </c>
      <c r="I2047" s="64">
        <f>IF(I1837=0,"",SUMPRODUCT($C$1623:$V$1623,($C$258:$V$258=I$1703)*1,($C$6:$V$6="Praxis")*1,$C$9:$V$9,$C$48:$V$48)/SUMPRODUCT($C$1623:$V$1623,($C$258:$V$258=I$1703)*1,($C$6:$V$6="Praxis")*1,$C$9:$V$9))</f>
        <v/>
      </c>
      <c r="J2047" s="64">
        <f>IF(J1837=0,"",SUMPRODUCT($C$1623:$V$1623,($C$258:$V$258=J$1703)*1,($C$6:$V$6="Praxis")*1,$C$9:$V$9,$C$48:$V$48)/SUMPRODUCT($C$1623:$V$1623,($C$258:$V$258=J$1703)*1,($C$6:$V$6="Praxis")*1,$C$9:$V$9))</f>
        <v/>
      </c>
    </row>
    <row r="2048">
      <c r="C2048" s="64">
        <f>IF(C1838=0,"",SUMPRODUCT($C$1624:$V$1624,($C$259:$V$259=C$1703)*1,($C$6:$V$6="Praxis")*1,$C$9:$V$9,$C$49:$V$49)/SUMPRODUCT($C$1624:$V$1624,($C$259:$V$259=C$1703)*1,($C$6:$V$6="Praxis")*1,$C$9:$V$9))</f>
        <v/>
      </c>
      <c r="D2048" s="64">
        <f>IF(D1838=0,"",SUMPRODUCT($C$1624:$V$1624,($C$259:$V$259=D$1703)*1,($C$6:$V$6="Praxis")*1,$C$9:$V$9,$C$49:$V$49)/SUMPRODUCT($C$1624:$V$1624,($C$259:$V$259=D$1703)*1,($C$6:$V$6="Praxis")*1,$C$9:$V$9))</f>
        <v/>
      </c>
      <c r="E2048" s="64">
        <f>IF(E1838=0,"",SUMPRODUCT($C$1624:$V$1624,($C$259:$V$259=E$1703)*1,($C$6:$V$6="Praxis")*1,$C$9:$V$9,$C$49:$V$49)/SUMPRODUCT($C$1624:$V$1624,($C$259:$V$259=E$1703)*1,($C$6:$V$6="Praxis")*1,$C$9:$V$9))</f>
        <v/>
      </c>
      <c r="F2048" s="64">
        <f>IF(F1838=0,"",SUMPRODUCT($C$1624:$V$1624,($C$259:$V$259=F$1703)*1,($C$6:$V$6="Praxis")*1,$C$9:$V$9,$C$49:$V$49)/SUMPRODUCT($C$1624:$V$1624,($C$259:$V$259=F$1703)*1,($C$6:$V$6="Praxis")*1,$C$9:$V$9))</f>
        <v/>
      </c>
      <c r="G2048" s="64">
        <f>IF(G1838=0,"",SUMPRODUCT($C$1624:$V$1624,($C$259:$V$259=G$1703)*1,($C$6:$V$6="Praxis")*1,$C$9:$V$9,$C$49:$V$49)/SUMPRODUCT($C$1624:$V$1624,($C$259:$V$259=G$1703)*1,($C$6:$V$6="Praxis")*1,$C$9:$V$9))</f>
        <v/>
      </c>
      <c r="H2048" s="64">
        <f>IF(H1838=0,"",SUMPRODUCT($C$1624:$V$1624,($C$259:$V$259=H$1703)*1,($C$6:$V$6="Praxis")*1,$C$9:$V$9,$C$49:$V$49)/SUMPRODUCT($C$1624:$V$1624,($C$259:$V$259=H$1703)*1,($C$6:$V$6="Praxis")*1,$C$9:$V$9))</f>
        <v/>
      </c>
      <c r="I2048" s="64">
        <f>IF(I1838=0,"",SUMPRODUCT($C$1624:$V$1624,($C$259:$V$259=I$1703)*1,($C$6:$V$6="Praxis")*1,$C$9:$V$9,$C$49:$V$49)/SUMPRODUCT($C$1624:$V$1624,($C$259:$V$259=I$1703)*1,($C$6:$V$6="Praxis")*1,$C$9:$V$9))</f>
        <v/>
      </c>
      <c r="J2048" s="64">
        <f>IF(J1838=0,"",SUMPRODUCT($C$1624:$V$1624,($C$259:$V$259=J$1703)*1,($C$6:$V$6="Praxis")*1,$C$9:$V$9,$C$49:$V$49)/SUMPRODUCT($C$1624:$V$1624,($C$259:$V$259=J$1703)*1,($C$6:$V$6="Praxis")*1,$C$9:$V$9))</f>
        <v/>
      </c>
    </row>
    <row r="2049">
      <c r="C2049" s="64">
        <f>IF(C1839=0,"",SUMPRODUCT($C$1625:$V$1625,($C$260:$V$260=C$1703)*1,($C$6:$V$6="Praxis")*1,$C$9:$V$9,$C$50:$V$50)/SUMPRODUCT($C$1625:$V$1625,($C$260:$V$260=C$1703)*1,($C$6:$V$6="Praxis")*1,$C$9:$V$9))</f>
        <v/>
      </c>
      <c r="D2049" s="64">
        <f>IF(D1839=0,"",SUMPRODUCT($C$1625:$V$1625,($C$260:$V$260=D$1703)*1,($C$6:$V$6="Praxis")*1,$C$9:$V$9,$C$50:$V$50)/SUMPRODUCT($C$1625:$V$1625,($C$260:$V$260=D$1703)*1,($C$6:$V$6="Praxis")*1,$C$9:$V$9))</f>
        <v/>
      </c>
      <c r="E2049" s="64">
        <f>IF(E1839=0,"",SUMPRODUCT($C$1625:$V$1625,($C$260:$V$260=E$1703)*1,($C$6:$V$6="Praxis")*1,$C$9:$V$9,$C$50:$V$50)/SUMPRODUCT($C$1625:$V$1625,($C$260:$V$260=E$1703)*1,($C$6:$V$6="Praxis")*1,$C$9:$V$9))</f>
        <v/>
      </c>
      <c r="F2049" s="64">
        <f>IF(F1839=0,"",SUMPRODUCT($C$1625:$V$1625,($C$260:$V$260=F$1703)*1,($C$6:$V$6="Praxis")*1,$C$9:$V$9,$C$50:$V$50)/SUMPRODUCT($C$1625:$V$1625,($C$260:$V$260=F$1703)*1,($C$6:$V$6="Praxis")*1,$C$9:$V$9))</f>
        <v/>
      </c>
      <c r="G2049" s="64">
        <f>IF(G1839=0,"",SUMPRODUCT($C$1625:$V$1625,($C$260:$V$260=G$1703)*1,($C$6:$V$6="Praxis")*1,$C$9:$V$9,$C$50:$V$50)/SUMPRODUCT($C$1625:$V$1625,($C$260:$V$260=G$1703)*1,($C$6:$V$6="Praxis")*1,$C$9:$V$9))</f>
        <v/>
      </c>
      <c r="H2049" s="64">
        <f>IF(H1839=0,"",SUMPRODUCT($C$1625:$V$1625,($C$260:$V$260=H$1703)*1,($C$6:$V$6="Praxis")*1,$C$9:$V$9,$C$50:$V$50)/SUMPRODUCT($C$1625:$V$1625,($C$260:$V$260=H$1703)*1,($C$6:$V$6="Praxis")*1,$C$9:$V$9))</f>
        <v/>
      </c>
      <c r="I2049" s="64">
        <f>IF(I1839=0,"",SUMPRODUCT($C$1625:$V$1625,($C$260:$V$260=I$1703)*1,($C$6:$V$6="Praxis")*1,$C$9:$V$9,$C$50:$V$50)/SUMPRODUCT($C$1625:$V$1625,($C$260:$V$260=I$1703)*1,($C$6:$V$6="Praxis")*1,$C$9:$V$9))</f>
        <v/>
      </c>
      <c r="J2049" s="64">
        <f>IF(J1839=0,"",SUMPRODUCT($C$1625:$V$1625,($C$260:$V$260=J$1703)*1,($C$6:$V$6="Praxis")*1,$C$9:$V$9,$C$50:$V$50)/SUMPRODUCT($C$1625:$V$1625,($C$260:$V$260=J$1703)*1,($C$6:$V$6="Praxis")*1,$C$9:$V$9))</f>
        <v/>
      </c>
    </row>
    <row r="2050">
      <c r="C2050" s="64">
        <f>IF(C1840=0,"",SUMPRODUCT($C$1626:$V$1626,($C$261:$V$261=C$1703)*1,($C$6:$V$6="Praxis")*1,$C$9:$V$9,$C$51:$V$51)/SUMPRODUCT($C$1626:$V$1626,($C$261:$V$261=C$1703)*1,($C$6:$V$6="Praxis")*1,$C$9:$V$9))</f>
        <v/>
      </c>
      <c r="D2050" s="64">
        <f>IF(D1840=0,"",SUMPRODUCT($C$1626:$V$1626,($C$261:$V$261=D$1703)*1,($C$6:$V$6="Praxis")*1,$C$9:$V$9,$C$51:$V$51)/SUMPRODUCT($C$1626:$V$1626,($C$261:$V$261=D$1703)*1,($C$6:$V$6="Praxis")*1,$C$9:$V$9))</f>
        <v/>
      </c>
      <c r="E2050" s="64">
        <f>IF(E1840=0,"",SUMPRODUCT($C$1626:$V$1626,($C$261:$V$261=E$1703)*1,($C$6:$V$6="Praxis")*1,$C$9:$V$9,$C$51:$V$51)/SUMPRODUCT($C$1626:$V$1626,($C$261:$V$261=E$1703)*1,($C$6:$V$6="Praxis")*1,$C$9:$V$9))</f>
        <v/>
      </c>
      <c r="F2050" s="64">
        <f>IF(F1840=0,"",SUMPRODUCT($C$1626:$V$1626,($C$261:$V$261=F$1703)*1,($C$6:$V$6="Praxis")*1,$C$9:$V$9,$C$51:$V$51)/SUMPRODUCT($C$1626:$V$1626,($C$261:$V$261=F$1703)*1,($C$6:$V$6="Praxis")*1,$C$9:$V$9))</f>
        <v/>
      </c>
      <c r="G2050" s="64">
        <f>IF(G1840=0,"",SUMPRODUCT($C$1626:$V$1626,($C$261:$V$261=G$1703)*1,($C$6:$V$6="Praxis")*1,$C$9:$V$9,$C$51:$V$51)/SUMPRODUCT($C$1626:$V$1626,($C$261:$V$261=G$1703)*1,($C$6:$V$6="Praxis")*1,$C$9:$V$9))</f>
        <v/>
      </c>
      <c r="H2050" s="64">
        <f>IF(H1840=0,"",SUMPRODUCT($C$1626:$V$1626,($C$261:$V$261=H$1703)*1,($C$6:$V$6="Praxis")*1,$C$9:$V$9,$C$51:$V$51)/SUMPRODUCT($C$1626:$V$1626,($C$261:$V$261=H$1703)*1,($C$6:$V$6="Praxis")*1,$C$9:$V$9))</f>
        <v/>
      </c>
      <c r="I2050" s="64">
        <f>IF(I1840=0,"",SUMPRODUCT($C$1626:$V$1626,($C$261:$V$261=I$1703)*1,($C$6:$V$6="Praxis")*1,$C$9:$V$9,$C$51:$V$51)/SUMPRODUCT($C$1626:$V$1626,($C$261:$V$261=I$1703)*1,($C$6:$V$6="Praxis")*1,$C$9:$V$9))</f>
        <v/>
      </c>
      <c r="J2050" s="64">
        <f>IF(J1840=0,"",SUMPRODUCT($C$1626:$V$1626,($C$261:$V$261=J$1703)*1,($C$6:$V$6="Praxis")*1,$C$9:$V$9,$C$51:$V$51)/SUMPRODUCT($C$1626:$V$1626,($C$261:$V$261=J$1703)*1,($C$6:$V$6="Praxis")*1,$C$9:$V$9))</f>
        <v/>
      </c>
    </row>
    <row r="2051">
      <c r="C2051" s="64">
        <f>IF(C1841=0,"",SUMPRODUCT($C$1627:$V$1627,($C$262:$V$262=C$1703)*1,($C$6:$V$6="Praxis")*1,$C$9:$V$9,$C$52:$V$52)/SUMPRODUCT($C$1627:$V$1627,($C$262:$V$262=C$1703)*1,($C$6:$V$6="Praxis")*1,$C$9:$V$9))</f>
        <v/>
      </c>
      <c r="D2051" s="64">
        <f>IF(D1841=0,"",SUMPRODUCT($C$1627:$V$1627,($C$262:$V$262=D$1703)*1,($C$6:$V$6="Praxis")*1,$C$9:$V$9,$C$52:$V$52)/SUMPRODUCT($C$1627:$V$1627,($C$262:$V$262=D$1703)*1,($C$6:$V$6="Praxis")*1,$C$9:$V$9))</f>
        <v/>
      </c>
      <c r="E2051" s="64">
        <f>IF(E1841=0,"",SUMPRODUCT($C$1627:$V$1627,($C$262:$V$262=E$1703)*1,($C$6:$V$6="Praxis")*1,$C$9:$V$9,$C$52:$V$52)/SUMPRODUCT($C$1627:$V$1627,($C$262:$V$262=E$1703)*1,($C$6:$V$6="Praxis")*1,$C$9:$V$9))</f>
        <v/>
      </c>
      <c r="F2051" s="64">
        <f>IF(F1841=0,"",SUMPRODUCT($C$1627:$V$1627,($C$262:$V$262=F$1703)*1,($C$6:$V$6="Praxis")*1,$C$9:$V$9,$C$52:$V$52)/SUMPRODUCT($C$1627:$V$1627,($C$262:$V$262=F$1703)*1,($C$6:$V$6="Praxis")*1,$C$9:$V$9))</f>
        <v/>
      </c>
      <c r="G2051" s="64">
        <f>IF(G1841=0,"",SUMPRODUCT($C$1627:$V$1627,($C$262:$V$262=G$1703)*1,($C$6:$V$6="Praxis")*1,$C$9:$V$9,$C$52:$V$52)/SUMPRODUCT($C$1627:$V$1627,($C$262:$V$262=G$1703)*1,($C$6:$V$6="Praxis")*1,$C$9:$V$9))</f>
        <v/>
      </c>
      <c r="H2051" s="64">
        <f>IF(H1841=0,"",SUMPRODUCT($C$1627:$V$1627,($C$262:$V$262=H$1703)*1,($C$6:$V$6="Praxis")*1,$C$9:$V$9,$C$52:$V$52)/SUMPRODUCT($C$1627:$V$1627,($C$262:$V$262=H$1703)*1,($C$6:$V$6="Praxis")*1,$C$9:$V$9))</f>
        <v/>
      </c>
      <c r="I2051" s="64">
        <f>IF(I1841=0,"",SUMPRODUCT($C$1627:$V$1627,($C$262:$V$262=I$1703)*1,($C$6:$V$6="Praxis")*1,$C$9:$V$9,$C$52:$V$52)/SUMPRODUCT($C$1627:$V$1627,($C$262:$V$262=I$1703)*1,($C$6:$V$6="Praxis")*1,$C$9:$V$9))</f>
        <v/>
      </c>
      <c r="J2051" s="64">
        <f>IF(J1841=0,"",SUMPRODUCT($C$1627:$V$1627,($C$262:$V$262=J$1703)*1,($C$6:$V$6="Praxis")*1,$C$9:$V$9,$C$52:$V$52)/SUMPRODUCT($C$1627:$V$1627,($C$262:$V$262=J$1703)*1,($C$6:$V$6="Praxis")*1,$C$9:$V$9))</f>
        <v/>
      </c>
    </row>
    <row r="2052">
      <c r="C2052" s="64">
        <f>IF(C1842=0,"",SUMPRODUCT($C$1628:$V$1628,($C$263:$V$263=C$1703)*1,($C$6:$V$6="Praxis")*1,$C$9:$V$9,$C$53:$V$53)/SUMPRODUCT($C$1628:$V$1628,($C$263:$V$263=C$1703)*1,($C$6:$V$6="Praxis")*1,$C$9:$V$9))</f>
        <v/>
      </c>
      <c r="D2052" s="64">
        <f>IF(D1842=0,"",SUMPRODUCT($C$1628:$V$1628,($C$263:$V$263=D$1703)*1,($C$6:$V$6="Praxis")*1,$C$9:$V$9,$C$53:$V$53)/SUMPRODUCT($C$1628:$V$1628,($C$263:$V$263=D$1703)*1,($C$6:$V$6="Praxis")*1,$C$9:$V$9))</f>
        <v/>
      </c>
      <c r="E2052" s="64">
        <f>IF(E1842=0,"",SUMPRODUCT($C$1628:$V$1628,($C$263:$V$263=E$1703)*1,($C$6:$V$6="Praxis")*1,$C$9:$V$9,$C$53:$V$53)/SUMPRODUCT($C$1628:$V$1628,($C$263:$V$263=E$1703)*1,($C$6:$V$6="Praxis")*1,$C$9:$V$9))</f>
        <v/>
      </c>
      <c r="F2052" s="64">
        <f>IF(F1842=0,"",SUMPRODUCT($C$1628:$V$1628,($C$263:$V$263=F$1703)*1,($C$6:$V$6="Praxis")*1,$C$9:$V$9,$C$53:$V$53)/SUMPRODUCT($C$1628:$V$1628,($C$263:$V$263=F$1703)*1,($C$6:$V$6="Praxis")*1,$C$9:$V$9))</f>
        <v/>
      </c>
      <c r="G2052" s="64">
        <f>IF(G1842=0,"",SUMPRODUCT($C$1628:$V$1628,($C$263:$V$263=G$1703)*1,($C$6:$V$6="Praxis")*1,$C$9:$V$9,$C$53:$V$53)/SUMPRODUCT($C$1628:$V$1628,($C$263:$V$263=G$1703)*1,($C$6:$V$6="Praxis")*1,$C$9:$V$9))</f>
        <v/>
      </c>
      <c r="H2052" s="64">
        <f>IF(H1842=0,"",SUMPRODUCT($C$1628:$V$1628,($C$263:$V$263=H$1703)*1,($C$6:$V$6="Praxis")*1,$C$9:$V$9,$C$53:$V$53)/SUMPRODUCT($C$1628:$V$1628,($C$263:$V$263=H$1703)*1,($C$6:$V$6="Praxis")*1,$C$9:$V$9))</f>
        <v/>
      </c>
      <c r="I2052" s="64">
        <f>IF(I1842=0,"",SUMPRODUCT($C$1628:$V$1628,($C$263:$V$263=I$1703)*1,($C$6:$V$6="Praxis")*1,$C$9:$V$9,$C$53:$V$53)/SUMPRODUCT($C$1628:$V$1628,($C$263:$V$263=I$1703)*1,($C$6:$V$6="Praxis")*1,$C$9:$V$9))</f>
        <v/>
      </c>
      <c r="J2052" s="64">
        <f>IF(J1842=0,"",SUMPRODUCT($C$1628:$V$1628,($C$263:$V$263=J$1703)*1,($C$6:$V$6="Praxis")*1,$C$9:$V$9,$C$53:$V$53)/SUMPRODUCT($C$1628:$V$1628,($C$263:$V$263=J$1703)*1,($C$6:$V$6="Praxis")*1,$C$9:$V$9))</f>
        <v/>
      </c>
    </row>
    <row r="2053">
      <c r="C2053" s="64">
        <f>IF(C1843=0,"",SUMPRODUCT($C$1629:$V$1629,($C$264:$V$264=C$1703)*1,($C$6:$V$6="Praxis")*1,$C$9:$V$9,$C$54:$V$54)/SUMPRODUCT($C$1629:$V$1629,($C$264:$V$264=C$1703)*1,($C$6:$V$6="Praxis")*1,$C$9:$V$9))</f>
        <v/>
      </c>
      <c r="D2053" s="64">
        <f>IF(D1843=0,"",SUMPRODUCT($C$1629:$V$1629,($C$264:$V$264=D$1703)*1,($C$6:$V$6="Praxis")*1,$C$9:$V$9,$C$54:$V$54)/SUMPRODUCT($C$1629:$V$1629,($C$264:$V$264=D$1703)*1,($C$6:$V$6="Praxis")*1,$C$9:$V$9))</f>
        <v/>
      </c>
      <c r="E2053" s="64">
        <f>IF(E1843=0,"",SUMPRODUCT($C$1629:$V$1629,($C$264:$V$264=E$1703)*1,($C$6:$V$6="Praxis")*1,$C$9:$V$9,$C$54:$V$54)/SUMPRODUCT($C$1629:$V$1629,($C$264:$V$264=E$1703)*1,($C$6:$V$6="Praxis")*1,$C$9:$V$9))</f>
        <v/>
      </c>
      <c r="F2053" s="64">
        <f>IF(F1843=0,"",SUMPRODUCT($C$1629:$V$1629,($C$264:$V$264=F$1703)*1,($C$6:$V$6="Praxis")*1,$C$9:$V$9,$C$54:$V$54)/SUMPRODUCT($C$1629:$V$1629,($C$264:$V$264=F$1703)*1,($C$6:$V$6="Praxis")*1,$C$9:$V$9))</f>
        <v/>
      </c>
      <c r="G2053" s="64">
        <f>IF(G1843=0,"",SUMPRODUCT($C$1629:$V$1629,($C$264:$V$264=G$1703)*1,($C$6:$V$6="Praxis")*1,$C$9:$V$9,$C$54:$V$54)/SUMPRODUCT($C$1629:$V$1629,($C$264:$V$264=G$1703)*1,($C$6:$V$6="Praxis")*1,$C$9:$V$9))</f>
        <v/>
      </c>
      <c r="H2053" s="64">
        <f>IF(H1843=0,"",SUMPRODUCT($C$1629:$V$1629,($C$264:$V$264=H$1703)*1,($C$6:$V$6="Praxis")*1,$C$9:$V$9,$C$54:$V$54)/SUMPRODUCT($C$1629:$V$1629,($C$264:$V$264=H$1703)*1,($C$6:$V$6="Praxis")*1,$C$9:$V$9))</f>
        <v/>
      </c>
      <c r="I2053" s="64">
        <f>IF(I1843=0,"",SUMPRODUCT($C$1629:$V$1629,($C$264:$V$264=I$1703)*1,($C$6:$V$6="Praxis")*1,$C$9:$V$9,$C$54:$V$54)/SUMPRODUCT($C$1629:$V$1629,($C$264:$V$264=I$1703)*1,($C$6:$V$6="Praxis")*1,$C$9:$V$9))</f>
        <v/>
      </c>
      <c r="J2053" s="64">
        <f>IF(J1843=0,"",SUMPRODUCT($C$1629:$V$1629,($C$264:$V$264=J$1703)*1,($C$6:$V$6="Praxis")*1,$C$9:$V$9,$C$54:$V$54)/SUMPRODUCT($C$1629:$V$1629,($C$264:$V$264=J$1703)*1,($C$6:$V$6="Praxis")*1,$C$9:$V$9))</f>
        <v/>
      </c>
    </row>
    <row r="2054">
      <c r="C2054" s="64">
        <f>IF(C1844=0,"",SUMPRODUCT($C$1630:$V$1630,($C$265:$V$265=C$1703)*1,($C$6:$V$6="Praxis")*1,$C$9:$V$9,$C$55:$V$55)/SUMPRODUCT($C$1630:$V$1630,($C$265:$V$265=C$1703)*1,($C$6:$V$6="Praxis")*1,$C$9:$V$9))</f>
        <v/>
      </c>
      <c r="D2054" s="64">
        <f>IF(D1844=0,"",SUMPRODUCT($C$1630:$V$1630,($C$265:$V$265=D$1703)*1,($C$6:$V$6="Praxis")*1,$C$9:$V$9,$C$55:$V$55)/SUMPRODUCT($C$1630:$V$1630,($C$265:$V$265=D$1703)*1,($C$6:$V$6="Praxis")*1,$C$9:$V$9))</f>
        <v/>
      </c>
      <c r="E2054" s="64">
        <f>IF(E1844=0,"",SUMPRODUCT($C$1630:$V$1630,($C$265:$V$265=E$1703)*1,($C$6:$V$6="Praxis")*1,$C$9:$V$9,$C$55:$V$55)/SUMPRODUCT($C$1630:$V$1630,($C$265:$V$265=E$1703)*1,($C$6:$V$6="Praxis")*1,$C$9:$V$9))</f>
        <v/>
      </c>
      <c r="F2054" s="64">
        <f>IF(F1844=0,"",SUMPRODUCT($C$1630:$V$1630,($C$265:$V$265=F$1703)*1,($C$6:$V$6="Praxis")*1,$C$9:$V$9,$C$55:$V$55)/SUMPRODUCT($C$1630:$V$1630,($C$265:$V$265=F$1703)*1,($C$6:$V$6="Praxis")*1,$C$9:$V$9))</f>
        <v/>
      </c>
      <c r="G2054" s="64">
        <f>IF(G1844=0,"",SUMPRODUCT($C$1630:$V$1630,($C$265:$V$265=G$1703)*1,($C$6:$V$6="Praxis")*1,$C$9:$V$9,$C$55:$V$55)/SUMPRODUCT($C$1630:$V$1630,($C$265:$V$265=G$1703)*1,($C$6:$V$6="Praxis")*1,$C$9:$V$9))</f>
        <v/>
      </c>
      <c r="H2054" s="64">
        <f>IF(H1844=0,"",SUMPRODUCT($C$1630:$V$1630,($C$265:$V$265=H$1703)*1,($C$6:$V$6="Praxis")*1,$C$9:$V$9,$C$55:$V$55)/SUMPRODUCT($C$1630:$V$1630,($C$265:$V$265=H$1703)*1,($C$6:$V$6="Praxis")*1,$C$9:$V$9))</f>
        <v/>
      </c>
      <c r="I2054" s="64">
        <f>IF(I1844=0,"",SUMPRODUCT($C$1630:$V$1630,($C$265:$V$265=I$1703)*1,($C$6:$V$6="Praxis")*1,$C$9:$V$9,$C$55:$V$55)/SUMPRODUCT($C$1630:$V$1630,($C$265:$V$265=I$1703)*1,($C$6:$V$6="Praxis")*1,$C$9:$V$9))</f>
        <v/>
      </c>
      <c r="J2054" s="64">
        <f>IF(J1844=0,"",SUMPRODUCT($C$1630:$V$1630,($C$265:$V$265=J$1703)*1,($C$6:$V$6="Praxis")*1,$C$9:$V$9,$C$55:$V$55)/SUMPRODUCT($C$1630:$V$1630,($C$265:$V$265=J$1703)*1,($C$6:$V$6="Praxis")*1,$C$9:$V$9))</f>
        <v/>
      </c>
    </row>
    <row r="2055">
      <c r="C2055" s="64">
        <f>IF(C1845=0,"",SUMPRODUCT($C$1631:$V$1631,($C$266:$V$266=C$1703)*1,($C$6:$V$6="Praxis")*1,$C$9:$V$9,$C$56:$V$56)/SUMPRODUCT($C$1631:$V$1631,($C$266:$V$266=C$1703)*1,($C$6:$V$6="Praxis")*1,$C$9:$V$9))</f>
        <v/>
      </c>
      <c r="D2055" s="64">
        <f>IF(D1845=0,"",SUMPRODUCT($C$1631:$V$1631,($C$266:$V$266=D$1703)*1,($C$6:$V$6="Praxis")*1,$C$9:$V$9,$C$56:$V$56)/SUMPRODUCT($C$1631:$V$1631,($C$266:$V$266=D$1703)*1,($C$6:$V$6="Praxis")*1,$C$9:$V$9))</f>
        <v/>
      </c>
      <c r="E2055" s="64">
        <f>IF(E1845=0,"",SUMPRODUCT($C$1631:$V$1631,($C$266:$V$266=E$1703)*1,($C$6:$V$6="Praxis")*1,$C$9:$V$9,$C$56:$V$56)/SUMPRODUCT($C$1631:$V$1631,($C$266:$V$266=E$1703)*1,($C$6:$V$6="Praxis")*1,$C$9:$V$9))</f>
        <v/>
      </c>
      <c r="F2055" s="64">
        <f>IF(F1845=0,"",SUMPRODUCT($C$1631:$V$1631,($C$266:$V$266=F$1703)*1,($C$6:$V$6="Praxis")*1,$C$9:$V$9,$C$56:$V$56)/SUMPRODUCT($C$1631:$V$1631,($C$266:$V$266=F$1703)*1,($C$6:$V$6="Praxis")*1,$C$9:$V$9))</f>
        <v/>
      </c>
      <c r="G2055" s="64">
        <f>IF(G1845=0,"",SUMPRODUCT($C$1631:$V$1631,($C$266:$V$266=G$1703)*1,($C$6:$V$6="Praxis")*1,$C$9:$V$9,$C$56:$V$56)/SUMPRODUCT($C$1631:$V$1631,($C$266:$V$266=G$1703)*1,($C$6:$V$6="Praxis")*1,$C$9:$V$9))</f>
        <v/>
      </c>
      <c r="H2055" s="64">
        <f>IF(H1845=0,"",SUMPRODUCT($C$1631:$V$1631,($C$266:$V$266=H$1703)*1,($C$6:$V$6="Praxis")*1,$C$9:$V$9,$C$56:$V$56)/SUMPRODUCT($C$1631:$V$1631,($C$266:$V$266=H$1703)*1,($C$6:$V$6="Praxis")*1,$C$9:$V$9))</f>
        <v/>
      </c>
      <c r="I2055" s="64">
        <f>IF(I1845=0,"",SUMPRODUCT($C$1631:$V$1631,($C$266:$V$266=I$1703)*1,($C$6:$V$6="Praxis")*1,$C$9:$V$9,$C$56:$V$56)/SUMPRODUCT($C$1631:$V$1631,($C$266:$V$266=I$1703)*1,($C$6:$V$6="Praxis")*1,$C$9:$V$9))</f>
        <v/>
      </c>
      <c r="J2055" s="64">
        <f>IF(J1845=0,"",SUMPRODUCT($C$1631:$V$1631,($C$266:$V$266=J$1703)*1,($C$6:$V$6="Praxis")*1,$C$9:$V$9,$C$56:$V$56)/SUMPRODUCT($C$1631:$V$1631,($C$266:$V$266=J$1703)*1,($C$6:$V$6="Praxis")*1,$C$9:$V$9))</f>
        <v/>
      </c>
    </row>
    <row r="2056">
      <c r="C2056" s="64">
        <f>IF(C1846=0,"",SUMPRODUCT($C$1632:$V$1632,($C$267:$V$267=C$1703)*1,($C$6:$V$6="Praxis")*1,$C$9:$V$9,$C$57:$V$57)/SUMPRODUCT($C$1632:$V$1632,($C$267:$V$267=C$1703)*1,($C$6:$V$6="Praxis")*1,$C$9:$V$9))</f>
        <v/>
      </c>
      <c r="D2056" s="64">
        <f>IF(D1846=0,"",SUMPRODUCT($C$1632:$V$1632,($C$267:$V$267=D$1703)*1,($C$6:$V$6="Praxis")*1,$C$9:$V$9,$C$57:$V$57)/SUMPRODUCT($C$1632:$V$1632,($C$267:$V$267=D$1703)*1,($C$6:$V$6="Praxis")*1,$C$9:$V$9))</f>
        <v/>
      </c>
      <c r="E2056" s="64">
        <f>IF(E1846=0,"",SUMPRODUCT($C$1632:$V$1632,($C$267:$V$267=E$1703)*1,($C$6:$V$6="Praxis")*1,$C$9:$V$9,$C$57:$V$57)/SUMPRODUCT($C$1632:$V$1632,($C$267:$V$267=E$1703)*1,($C$6:$V$6="Praxis")*1,$C$9:$V$9))</f>
        <v/>
      </c>
      <c r="F2056" s="64">
        <f>IF(F1846=0,"",SUMPRODUCT($C$1632:$V$1632,($C$267:$V$267=F$1703)*1,($C$6:$V$6="Praxis")*1,$C$9:$V$9,$C$57:$V$57)/SUMPRODUCT($C$1632:$V$1632,($C$267:$V$267=F$1703)*1,($C$6:$V$6="Praxis")*1,$C$9:$V$9))</f>
        <v/>
      </c>
      <c r="G2056" s="64">
        <f>IF(G1846=0,"",SUMPRODUCT($C$1632:$V$1632,($C$267:$V$267=G$1703)*1,($C$6:$V$6="Praxis")*1,$C$9:$V$9,$C$57:$V$57)/SUMPRODUCT($C$1632:$V$1632,($C$267:$V$267=G$1703)*1,($C$6:$V$6="Praxis")*1,$C$9:$V$9))</f>
        <v/>
      </c>
      <c r="H2056" s="64">
        <f>IF(H1846=0,"",SUMPRODUCT($C$1632:$V$1632,($C$267:$V$267=H$1703)*1,($C$6:$V$6="Praxis")*1,$C$9:$V$9,$C$57:$V$57)/SUMPRODUCT($C$1632:$V$1632,($C$267:$V$267=H$1703)*1,($C$6:$V$6="Praxis")*1,$C$9:$V$9))</f>
        <v/>
      </c>
      <c r="I2056" s="64">
        <f>IF(I1846=0,"",SUMPRODUCT($C$1632:$V$1632,($C$267:$V$267=I$1703)*1,($C$6:$V$6="Praxis")*1,$C$9:$V$9,$C$57:$V$57)/SUMPRODUCT($C$1632:$V$1632,($C$267:$V$267=I$1703)*1,($C$6:$V$6="Praxis")*1,$C$9:$V$9))</f>
        <v/>
      </c>
      <c r="J2056" s="64">
        <f>IF(J1846=0,"",SUMPRODUCT($C$1632:$V$1632,($C$267:$V$267=J$1703)*1,($C$6:$V$6="Praxis")*1,$C$9:$V$9,$C$57:$V$57)/SUMPRODUCT($C$1632:$V$1632,($C$267:$V$267=J$1703)*1,($C$6:$V$6="Praxis")*1,$C$9:$V$9))</f>
        <v/>
      </c>
    </row>
    <row r="2057">
      <c r="C2057" s="64">
        <f>IF(C1847=0,"",SUMPRODUCT($C$1633:$V$1633,($C$268:$V$268=C$1703)*1,($C$6:$V$6="Praxis")*1,$C$9:$V$9,$C$58:$V$58)/SUMPRODUCT($C$1633:$V$1633,($C$268:$V$268=C$1703)*1,($C$6:$V$6="Praxis")*1,$C$9:$V$9))</f>
        <v/>
      </c>
      <c r="D2057" s="64">
        <f>IF(D1847=0,"",SUMPRODUCT($C$1633:$V$1633,($C$268:$V$268=D$1703)*1,($C$6:$V$6="Praxis")*1,$C$9:$V$9,$C$58:$V$58)/SUMPRODUCT($C$1633:$V$1633,($C$268:$V$268=D$1703)*1,($C$6:$V$6="Praxis")*1,$C$9:$V$9))</f>
        <v/>
      </c>
      <c r="E2057" s="64">
        <f>IF(E1847=0,"",SUMPRODUCT($C$1633:$V$1633,($C$268:$V$268=E$1703)*1,($C$6:$V$6="Praxis")*1,$C$9:$V$9,$C$58:$V$58)/SUMPRODUCT($C$1633:$V$1633,($C$268:$V$268=E$1703)*1,($C$6:$V$6="Praxis")*1,$C$9:$V$9))</f>
        <v/>
      </c>
      <c r="F2057" s="64">
        <f>IF(F1847=0,"",SUMPRODUCT($C$1633:$V$1633,($C$268:$V$268=F$1703)*1,($C$6:$V$6="Praxis")*1,$C$9:$V$9,$C$58:$V$58)/SUMPRODUCT($C$1633:$V$1633,($C$268:$V$268=F$1703)*1,($C$6:$V$6="Praxis")*1,$C$9:$V$9))</f>
        <v/>
      </c>
      <c r="G2057" s="64">
        <f>IF(G1847=0,"",SUMPRODUCT($C$1633:$V$1633,($C$268:$V$268=G$1703)*1,($C$6:$V$6="Praxis")*1,$C$9:$V$9,$C$58:$V$58)/SUMPRODUCT($C$1633:$V$1633,($C$268:$V$268=G$1703)*1,($C$6:$V$6="Praxis")*1,$C$9:$V$9))</f>
        <v/>
      </c>
      <c r="H2057" s="64">
        <f>IF(H1847=0,"",SUMPRODUCT($C$1633:$V$1633,($C$268:$V$268=H$1703)*1,($C$6:$V$6="Praxis")*1,$C$9:$V$9,$C$58:$V$58)/SUMPRODUCT($C$1633:$V$1633,($C$268:$V$268=H$1703)*1,($C$6:$V$6="Praxis")*1,$C$9:$V$9))</f>
        <v/>
      </c>
      <c r="I2057" s="64">
        <f>IF(I1847=0,"",SUMPRODUCT($C$1633:$V$1633,($C$268:$V$268=I$1703)*1,($C$6:$V$6="Praxis")*1,$C$9:$V$9,$C$58:$V$58)/SUMPRODUCT($C$1633:$V$1633,($C$268:$V$268=I$1703)*1,($C$6:$V$6="Praxis")*1,$C$9:$V$9))</f>
        <v/>
      </c>
      <c r="J2057" s="64">
        <f>IF(J1847=0,"",SUMPRODUCT($C$1633:$V$1633,($C$268:$V$268=J$1703)*1,($C$6:$V$6="Praxis")*1,$C$9:$V$9,$C$58:$V$58)/SUMPRODUCT($C$1633:$V$1633,($C$268:$V$268=J$1703)*1,($C$6:$V$6="Praxis")*1,$C$9:$V$9))</f>
        <v/>
      </c>
    </row>
    <row r="2058">
      <c r="C2058" s="64">
        <f>IF(C1848=0,"",SUMPRODUCT($C$1634:$V$1634,($C$269:$V$269=C$1703)*1,($C$6:$V$6="Praxis")*1,$C$9:$V$9,$C$59:$V$59)/SUMPRODUCT($C$1634:$V$1634,($C$269:$V$269=C$1703)*1,($C$6:$V$6="Praxis")*1,$C$9:$V$9))</f>
        <v/>
      </c>
      <c r="D2058" s="64">
        <f>IF(D1848=0,"",SUMPRODUCT($C$1634:$V$1634,($C$269:$V$269=D$1703)*1,($C$6:$V$6="Praxis")*1,$C$9:$V$9,$C$59:$V$59)/SUMPRODUCT($C$1634:$V$1634,($C$269:$V$269=D$1703)*1,($C$6:$V$6="Praxis")*1,$C$9:$V$9))</f>
        <v/>
      </c>
      <c r="E2058" s="64">
        <f>IF(E1848=0,"",SUMPRODUCT($C$1634:$V$1634,($C$269:$V$269=E$1703)*1,($C$6:$V$6="Praxis")*1,$C$9:$V$9,$C$59:$V$59)/SUMPRODUCT($C$1634:$V$1634,($C$269:$V$269=E$1703)*1,($C$6:$V$6="Praxis")*1,$C$9:$V$9))</f>
        <v/>
      </c>
      <c r="F2058" s="64">
        <f>IF(F1848=0,"",SUMPRODUCT($C$1634:$V$1634,($C$269:$V$269=F$1703)*1,($C$6:$V$6="Praxis")*1,$C$9:$V$9,$C$59:$V$59)/SUMPRODUCT($C$1634:$V$1634,($C$269:$V$269=F$1703)*1,($C$6:$V$6="Praxis")*1,$C$9:$V$9))</f>
        <v/>
      </c>
      <c r="G2058" s="64">
        <f>IF(G1848=0,"",SUMPRODUCT($C$1634:$V$1634,($C$269:$V$269=G$1703)*1,($C$6:$V$6="Praxis")*1,$C$9:$V$9,$C$59:$V$59)/SUMPRODUCT($C$1634:$V$1634,($C$269:$V$269=G$1703)*1,($C$6:$V$6="Praxis")*1,$C$9:$V$9))</f>
        <v/>
      </c>
      <c r="H2058" s="64">
        <f>IF(H1848=0,"",SUMPRODUCT($C$1634:$V$1634,($C$269:$V$269=H$1703)*1,($C$6:$V$6="Praxis")*1,$C$9:$V$9,$C$59:$V$59)/SUMPRODUCT($C$1634:$V$1634,($C$269:$V$269=H$1703)*1,($C$6:$V$6="Praxis")*1,$C$9:$V$9))</f>
        <v/>
      </c>
      <c r="I2058" s="64">
        <f>IF(I1848=0,"",SUMPRODUCT($C$1634:$V$1634,($C$269:$V$269=I$1703)*1,($C$6:$V$6="Praxis")*1,$C$9:$V$9,$C$59:$V$59)/SUMPRODUCT($C$1634:$V$1634,($C$269:$V$269=I$1703)*1,($C$6:$V$6="Praxis")*1,$C$9:$V$9))</f>
        <v/>
      </c>
      <c r="J2058" s="64">
        <f>IF(J1848=0,"",SUMPRODUCT($C$1634:$V$1634,($C$269:$V$269=J$1703)*1,($C$6:$V$6="Praxis")*1,$C$9:$V$9,$C$59:$V$59)/SUMPRODUCT($C$1634:$V$1634,($C$269:$V$269=J$1703)*1,($C$6:$V$6="Praxis")*1,$C$9:$V$9))</f>
        <v/>
      </c>
    </row>
    <row r="2059">
      <c r="C2059" s="64">
        <f>IF(C1849=0,"",SUMPRODUCT($C$1635:$V$1635,($C$270:$V$270=C$1703)*1,($C$6:$V$6="Praxis")*1,$C$9:$V$9,$C$60:$V$60)/SUMPRODUCT($C$1635:$V$1635,($C$270:$V$270=C$1703)*1,($C$6:$V$6="Praxis")*1,$C$9:$V$9))</f>
        <v/>
      </c>
      <c r="D2059" s="64">
        <f>IF(D1849=0,"",SUMPRODUCT($C$1635:$V$1635,($C$270:$V$270=D$1703)*1,($C$6:$V$6="Praxis")*1,$C$9:$V$9,$C$60:$V$60)/SUMPRODUCT($C$1635:$V$1635,($C$270:$V$270=D$1703)*1,($C$6:$V$6="Praxis")*1,$C$9:$V$9))</f>
        <v/>
      </c>
      <c r="E2059" s="64">
        <f>IF(E1849=0,"",SUMPRODUCT($C$1635:$V$1635,($C$270:$V$270=E$1703)*1,($C$6:$V$6="Praxis")*1,$C$9:$V$9,$C$60:$V$60)/SUMPRODUCT($C$1635:$V$1635,($C$270:$V$270=E$1703)*1,($C$6:$V$6="Praxis")*1,$C$9:$V$9))</f>
        <v/>
      </c>
      <c r="F2059" s="64">
        <f>IF(F1849=0,"",SUMPRODUCT($C$1635:$V$1635,($C$270:$V$270=F$1703)*1,($C$6:$V$6="Praxis")*1,$C$9:$V$9,$C$60:$V$60)/SUMPRODUCT($C$1635:$V$1635,($C$270:$V$270=F$1703)*1,($C$6:$V$6="Praxis")*1,$C$9:$V$9))</f>
        <v/>
      </c>
      <c r="G2059" s="64">
        <f>IF(G1849=0,"",SUMPRODUCT($C$1635:$V$1635,($C$270:$V$270=G$1703)*1,($C$6:$V$6="Praxis")*1,$C$9:$V$9,$C$60:$V$60)/SUMPRODUCT($C$1635:$V$1635,($C$270:$V$270=G$1703)*1,($C$6:$V$6="Praxis")*1,$C$9:$V$9))</f>
        <v/>
      </c>
      <c r="H2059" s="64">
        <f>IF(H1849=0,"",SUMPRODUCT($C$1635:$V$1635,($C$270:$V$270=H$1703)*1,($C$6:$V$6="Praxis")*1,$C$9:$V$9,$C$60:$V$60)/SUMPRODUCT($C$1635:$V$1635,($C$270:$V$270=H$1703)*1,($C$6:$V$6="Praxis")*1,$C$9:$V$9))</f>
        <v/>
      </c>
      <c r="I2059" s="64">
        <f>IF(I1849=0,"",SUMPRODUCT($C$1635:$V$1635,($C$270:$V$270=I$1703)*1,($C$6:$V$6="Praxis")*1,$C$9:$V$9,$C$60:$V$60)/SUMPRODUCT($C$1635:$V$1635,($C$270:$V$270=I$1703)*1,($C$6:$V$6="Praxis")*1,$C$9:$V$9))</f>
        <v/>
      </c>
      <c r="J2059" s="64">
        <f>IF(J1849=0,"",SUMPRODUCT($C$1635:$V$1635,($C$270:$V$270=J$1703)*1,($C$6:$V$6="Praxis")*1,$C$9:$V$9,$C$60:$V$60)/SUMPRODUCT($C$1635:$V$1635,($C$270:$V$270=J$1703)*1,($C$6:$V$6="Praxis")*1,$C$9:$V$9))</f>
        <v/>
      </c>
    </row>
    <row r="2060">
      <c r="C2060" s="64">
        <f>IF(C1850=0,"",SUMPRODUCT($C$1636:$V$1636,($C$271:$V$271=C$1703)*1,($C$6:$V$6="Praxis")*1,$C$9:$V$9,$C$61:$V$61)/SUMPRODUCT($C$1636:$V$1636,($C$271:$V$271=C$1703)*1,($C$6:$V$6="Praxis")*1,$C$9:$V$9))</f>
        <v/>
      </c>
      <c r="D2060" s="64">
        <f>IF(D1850=0,"",SUMPRODUCT($C$1636:$V$1636,($C$271:$V$271=D$1703)*1,($C$6:$V$6="Praxis")*1,$C$9:$V$9,$C$61:$V$61)/SUMPRODUCT($C$1636:$V$1636,($C$271:$V$271=D$1703)*1,($C$6:$V$6="Praxis")*1,$C$9:$V$9))</f>
        <v/>
      </c>
      <c r="E2060" s="64">
        <f>IF(E1850=0,"",SUMPRODUCT($C$1636:$V$1636,($C$271:$V$271=E$1703)*1,($C$6:$V$6="Praxis")*1,$C$9:$V$9,$C$61:$V$61)/SUMPRODUCT($C$1636:$V$1636,($C$271:$V$271=E$1703)*1,($C$6:$V$6="Praxis")*1,$C$9:$V$9))</f>
        <v/>
      </c>
      <c r="F2060" s="64">
        <f>IF(F1850=0,"",SUMPRODUCT($C$1636:$V$1636,($C$271:$V$271=F$1703)*1,($C$6:$V$6="Praxis")*1,$C$9:$V$9,$C$61:$V$61)/SUMPRODUCT($C$1636:$V$1636,($C$271:$V$271=F$1703)*1,($C$6:$V$6="Praxis")*1,$C$9:$V$9))</f>
        <v/>
      </c>
      <c r="G2060" s="64">
        <f>IF(G1850=0,"",SUMPRODUCT($C$1636:$V$1636,($C$271:$V$271=G$1703)*1,($C$6:$V$6="Praxis")*1,$C$9:$V$9,$C$61:$V$61)/SUMPRODUCT($C$1636:$V$1636,($C$271:$V$271=G$1703)*1,($C$6:$V$6="Praxis")*1,$C$9:$V$9))</f>
        <v/>
      </c>
      <c r="H2060" s="64">
        <f>IF(H1850=0,"",SUMPRODUCT($C$1636:$V$1636,($C$271:$V$271=H$1703)*1,($C$6:$V$6="Praxis")*1,$C$9:$V$9,$C$61:$V$61)/SUMPRODUCT($C$1636:$V$1636,($C$271:$V$271=H$1703)*1,($C$6:$V$6="Praxis")*1,$C$9:$V$9))</f>
        <v/>
      </c>
      <c r="I2060" s="64">
        <f>IF(I1850=0,"",SUMPRODUCT($C$1636:$V$1636,($C$271:$V$271=I$1703)*1,($C$6:$V$6="Praxis")*1,$C$9:$V$9,$C$61:$V$61)/SUMPRODUCT($C$1636:$V$1636,($C$271:$V$271=I$1703)*1,($C$6:$V$6="Praxis")*1,$C$9:$V$9))</f>
        <v/>
      </c>
      <c r="J2060" s="64">
        <f>IF(J1850=0,"",SUMPRODUCT($C$1636:$V$1636,($C$271:$V$271=J$1703)*1,($C$6:$V$6="Praxis")*1,$C$9:$V$9,$C$61:$V$61)/SUMPRODUCT($C$1636:$V$1636,($C$271:$V$271=J$1703)*1,($C$6:$V$6="Praxis")*1,$C$9:$V$9))</f>
        <v/>
      </c>
    </row>
    <row r="2061">
      <c r="C2061" s="64">
        <f>IF(C1851=0,"",SUMPRODUCT($C$1637:$V$1637,($C$272:$V$272=C$1703)*1,($C$6:$V$6="Praxis")*1,$C$9:$V$9,$C$62:$V$62)/SUMPRODUCT($C$1637:$V$1637,($C$272:$V$272=C$1703)*1,($C$6:$V$6="Praxis")*1,$C$9:$V$9))</f>
        <v/>
      </c>
      <c r="D2061" s="64">
        <f>IF(D1851=0,"",SUMPRODUCT($C$1637:$V$1637,($C$272:$V$272=D$1703)*1,($C$6:$V$6="Praxis")*1,$C$9:$V$9,$C$62:$V$62)/SUMPRODUCT($C$1637:$V$1637,($C$272:$V$272=D$1703)*1,($C$6:$V$6="Praxis")*1,$C$9:$V$9))</f>
        <v/>
      </c>
      <c r="E2061" s="64">
        <f>IF(E1851=0,"",SUMPRODUCT($C$1637:$V$1637,($C$272:$V$272=E$1703)*1,($C$6:$V$6="Praxis")*1,$C$9:$V$9,$C$62:$V$62)/SUMPRODUCT($C$1637:$V$1637,($C$272:$V$272=E$1703)*1,($C$6:$V$6="Praxis")*1,$C$9:$V$9))</f>
        <v/>
      </c>
      <c r="F2061" s="64">
        <f>IF(F1851=0,"",SUMPRODUCT($C$1637:$V$1637,($C$272:$V$272=F$1703)*1,($C$6:$V$6="Praxis")*1,$C$9:$V$9,$C$62:$V$62)/SUMPRODUCT($C$1637:$V$1637,($C$272:$V$272=F$1703)*1,($C$6:$V$6="Praxis")*1,$C$9:$V$9))</f>
        <v/>
      </c>
      <c r="G2061" s="64">
        <f>IF(G1851=0,"",SUMPRODUCT($C$1637:$V$1637,($C$272:$V$272=G$1703)*1,($C$6:$V$6="Praxis")*1,$C$9:$V$9,$C$62:$V$62)/SUMPRODUCT($C$1637:$V$1637,($C$272:$V$272=G$1703)*1,($C$6:$V$6="Praxis")*1,$C$9:$V$9))</f>
        <v/>
      </c>
      <c r="H2061" s="64">
        <f>IF(H1851=0,"",SUMPRODUCT($C$1637:$V$1637,($C$272:$V$272=H$1703)*1,($C$6:$V$6="Praxis")*1,$C$9:$V$9,$C$62:$V$62)/SUMPRODUCT($C$1637:$V$1637,($C$272:$V$272=H$1703)*1,($C$6:$V$6="Praxis")*1,$C$9:$V$9))</f>
        <v/>
      </c>
      <c r="I2061" s="64">
        <f>IF(I1851=0,"",SUMPRODUCT($C$1637:$V$1637,($C$272:$V$272=I$1703)*1,($C$6:$V$6="Praxis")*1,$C$9:$V$9,$C$62:$V$62)/SUMPRODUCT($C$1637:$V$1637,($C$272:$V$272=I$1703)*1,($C$6:$V$6="Praxis")*1,$C$9:$V$9))</f>
        <v/>
      </c>
      <c r="J2061" s="64">
        <f>IF(J1851=0,"",SUMPRODUCT($C$1637:$V$1637,($C$272:$V$272=J$1703)*1,($C$6:$V$6="Praxis")*1,$C$9:$V$9,$C$62:$V$62)/SUMPRODUCT($C$1637:$V$1637,($C$272:$V$272=J$1703)*1,($C$6:$V$6="Praxis")*1,$C$9:$V$9))</f>
        <v/>
      </c>
    </row>
    <row r="2062">
      <c r="C2062" s="64">
        <f>IF(C1852=0,"",SUMPRODUCT($C$1638:$V$1638,($C$273:$V$273=C$1703)*1,($C$6:$V$6="Praxis")*1,$C$9:$V$9,$C$63:$V$63)/SUMPRODUCT($C$1638:$V$1638,($C$273:$V$273=C$1703)*1,($C$6:$V$6="Praxis")*1,$C$9:$V$9))</f>
        <v/>
      </c>
      <c r="D2062" s="64">
        <f>IF(D1852=0,"",SUMPRODUCT($C$1638:$V$1638,($C$273:$V$273=D$1703)*1,($C$6:$V$6="Praxis")*1,$C$9:$V$9,$C$63:$V$63)/SUMPRODUCT($C$1638:$V$1638,($C$273:$V$273=D$1703)*1,($C$6:$V$6="Praxis")*1,$C$9:$V$9))</f>
        <v/>
      </c>
      <c r="E2062" s="64">
        <f>IF(E1852=0,"",SUMPRODUCT($C$1638:$V$1638,($C$273:$V$273=E$1703)*1,($C$6:$V$6="Praxis")*1,$C$9:$V$9,$C$63:$V$63)/SUMPRODUCT($C$1638:$V$1638,($C$273:$V$273=E$1703)*1,($C$6:$V$6="Praxis")*1,$C$9:$V$9))</f>
        <v/>
      </c>
      <c r="F2062" s="64">
        <f>IF(F1852=0,"",SUMPRODUCT($C$1638:$V$1638,($C$273:$V$273=F$1703)*1,($C$6:$V$6="Praxis")*1,$C$9:$V$9,$C$63:$V$63)/SUMPRODUCT($C$1638:$V$1638,($C$273:$V$273=F$1703)*1,($C$6:$V$6="Praxis")*1,$C$9:$V$9))</f>
        <v/>
      </c>
      <c r="G2062" s="64">
        <f>IF(G1852=0,"",SUMPRODUCT($C$1638:$V$1638,($C$273:$V$273=G$1703)*1,($C$6:$V$6="Praxis")*1,$C$9:$V$9,$C$63:$V$63)/SUMPRODUCT($C$1638:$V$1638,($C$273:$V$273=G$1703)*1,($C$6:$V$6="Praxis")*1,$C$9:$V$9))</f>
        <v/>
      </c>
      <c r="H2062" s="64">
        <f>IF(H1852=0,"",SUMPRODUCT($C$1638:$V$1638,($C$273:$V$273=H$1703)*1,($C$6:$V$6="Praxis")*1,$C$9:$V$9,$C$63:$V$63)/SUMPRODUCT($C$1638:$V$1638,($C$273:$V$273=H$1703)*1,($C$6:$V$6="Praxis")*1,$C$9:$V$9))</f>
        <v/>
      </c>
      <c r="I2062" s="64">
        <f>IF(I1852=0,"",SUMPRODUCT($C$1638:$V$1638,($C$273:$V$273=I$1703)*1,($C$6:$V$6="Praxis")*1,$C$9:$V$9,$C$63:$V$63)/SUMPRODUCT($C$1638:$V$1638,($C$273:$V$273=I$1703)*1,($C$6:$V$6="Praxis")*1,$C$9:$V$9))</f>
        <v/>
      </c>
      <c r="J2062" s="64">
        <f>IF(J1852=0,"",SUMPRODUCT($C$1638:$V$1638,($C$273:$V$273=J$1703)*1,($C$6:$V$6="Praxis")*1,$C$9:$V$9,$C$63:$V$63)/SUMPRODUCT($C$1638:$V$1638,($C$273:$V$273=J$1703)*1,($C$6:$V$6="Praxis")*1,$C$9:$V$9))</f>
        <v/>
      </c>
    </row>
    <row r="2063">
      <c r="C2063" s="64">
        <f>IF(C1853=0,"",SUMPRODUCT($C$1639:$V$1639,($C$274:$V$274=C$1703)*1,($C$6:$V$6="Praxis")*1,$C$9:$V$9,$C$64:$V$64)/SUMPRODUCT($C$1639:$V$1639,($C$274:$V$274=C$1703)*1,($C$6:$V$6="Praxis")*1,$C$9:$V$9))</f>
        <v/>
      </c>
      <c r="D2063" s="64">
        <f>IF(D1853=0,"",SUMPRODUCT($C$1639:$V$1639,($C$274:$V$274=D$1703)*1,($C$6:$V$6="Praxis")*1,$C$9:$V$9,$C$64:$V$64)/SUMPRODUCT($C$1639:$V$1639,($C$274:$V$274=D$1703)*1,($C$6:$V$6="Praxis")*1,$C$9:$V$9))</f>
        <v/>
      </c>
      <c r="E2063" s="64">
        <f>IF(E1853=0,"",SUMPRODUCT($C$1639:$V$1639,($C$274:$V$274=E$1703)*1,($C$6:$V$6="Praxis")*1,$C$9:$V$9,$C$64:$V$64)/SUMPRODUCT($C$1639:$V$1639,($C$274:$V$274=E$1703)*1,($C$6:$V$6="Praxis")*1,$C$9:$V$9))</f>
        <v/>
      </c>
      <c r="F2063" s="64">
        <f>IF(F1853=0,"",SUMPRODUCT($C$1639:$V$1639,($C$274:$V$274=F$1703)*1,($C$6:$V$6="Praxis")*1,$C$9:$V$9,$C$64:$V$64)/SUMPRODUCT($C$1639:$V$1639,($C$274:$V$274=F$1703)*1,($C$6:$V$6="Praxis")*1,$C$9:$V$9))</f>
        <v/>
      </c>
      <c r="G2063" s="64">
        <f>IF(G1853=0,"",SUMPRODUCT($C$1639:$V$1639,($C$274:$V$274=G$1703)*1,($C$6:$V$6="Praxis")*1,$C$9:$V$9,$C$64:$V$64)/SUMPRODUCT($C$1639:$V$1639,($C$274:$V$274=G$1703)*1,($C$6:$V$6="Praxis")*1,$C$9:$V$9))</f>
        <v/>
      </c>
      <c r="H2063" s="64">
        <f>IF(H1853=0,"",SUMPRODUCT($C$1639:$V$1639,($C$274:$V$274=H$1703)*1,($C$6:$V$6="Praxis")*1,$C$9:$V$9,$C$64:$V$64)/SUMPRODUCT($C$1639:$V$1639,($C$274:$V$274=H$1703)*1,($C$6:$V$6="Praxis")*1,$C$9:$V$9))</f>
        <v/>
      </c>
      <c r="I2063" s="64">
        <f>IF(I1853=0,"",SUMPRODUCT($C$1639:$V$1639,($C$274:$V$274=I$1703)*1,($C$6:$V$6="Praxis")*1,$C$9:$V$9,$C$64:$V$64)/SUMPRODUCT($C$1639:$V$1639,($C$274:$V$274=I$1703)*1,($C$6:$V$6="Praxis")*1,$C$9:$V$9))</f>
        <v/>
      </c>
      <c r="J2063" s="64">
        <f>IF(J1853=0,"",SUMPRODUCT($C$1639:$V$1639,($C$274:$V$274=J$1703)*1,($C$6:$V$6="Praxis")*1,$C$9:$V$9,$C$64:$V$64)/SUMPRODUCT($C$1639:$V$1639,($C$274:$V$274=J$1703)*1,($C$6:$V$6="Praxis")*1,$C$9:$V$9))</f>
        <v/>
      </c>
    </row>
    <row r="2064">
      <c r="C2064" s="64">
        <f>IF(C1854=0,"",SUMPRODUCT($C$1640:$V$1640,($C$275:$V$275=C$1703)*1,($C$6:$V$6="Praxis")*1,$C$9:$V$9,$C$65:$V$65)/SUMPRODUCT($C$1640:$V$1640,($C$275:$V$275=C$1703)*1,($C$6:$V$6="Praxis")*1,$C$9:$V$9))</f>
        <v/>
      </c>
      <c r="D2064" s="64">
        <f>IF(D1854=0,"",SUMPRODUCT($C$1640:$V$1640,($C$275:$V$275=D$1703)*1,($C$6:$V$6="Praxis")*1,$C$9:$V$9,$C$65:$V$65)/SUMPRODUCT($C$1640:$V$1640,($C$275:$V$275=D$1703)*1,($C$6:$V$6="Praxis")*1,$C$9:$V$9))</f>
        <v/>
      </c>
      <c r="E2064" s="64">
        <f>IF(E1854=0,"",SUMPRODUCT($C$1640:$V$1640,($C$275:$V$275=E$1703)*1,($C$6:$V$6="Praxis")*1,$C$9:$V$9,$C$65:$V$65)/SUMPRODUCT($C$1640:$V$1640,($C$275:$V$275=E$1703)*1,($C$6:$V$6="Praxis")*1,$C$9:$V$9))</f>
        <v/>
      </c>
      <c r="F2064" s="64">
        <f>IF(F1854=0,"",SUMPRODUCT($C$1640:$V$1640,($C$275:$V$275=F$1703)*1,($C$6:$V$6="Praxis")*1,$C$9:$V$9,$C$65:$V$65)/SUMPRODUCT($C$1640:$V$1640,($C$275:$V$275=F$1703)*1,($C$6:$V$6="Praxis")*1,$C$9:$V$9))</f>
        <v/>
      </c>
      <c r="G2064" s="64">
        <f>IF(G1854=0,"",SUMPRODUCT($C$1640:$V$1640,($C$275:$V$275=G$1703)*1,($C$6:$V$6="Praxis")*1,$C$9:$V$9,$C$65:$V$65)/SUMPRODUCT($C$1640:$V$1640,($C$275:$V$275=G$1703)*1,($C$6:$V$6="Praxis")*1,$C$9:$V$9))</f>
        <v/>
      </c>
      <c r="H2064" s="64">
        <f>IF(H1854=0,"",SUMPRODUCT($C$1640:$V$1640,($C$275:$V$275=H$1703)*1,($C$6:$V$6="Praxis")*1,$C$9:$V$9,$C$65:$V$65)/SUMPRODUCT($C$1640:$V$1640,($C$275:$V$275=H$1703)*1,($C$6:$V$6="Praxis")*1,$C$9:$V$9))</f>
        <v/>
      </c>
      <c r="I2064" s="64">
        <f>IF(I1854=0,"",SUMPRODUCT($C$1640:$V$1640,($C$275:$V$275=I$1703)*1,($C$6:$V$6="Praxis")*1,$C$9:$V$9,$C$65:$V$65)/SUMPRODUCT($C$1640:$V$1640,($C$275:$V$275=I$1703)*1,($C$6:$V$6="Praxis")*1,$C$9:$V$9))</f>
        <v/>
      </c>
      <c r="J2064" s="64">
        <f>IF(J1854=0,"",SUMPRODUCT($C$1640:$V$1640,($C$275:$V$275=J$1703)*1,($C$6:$V$6="Praxis")*1,$C$9:$V$9,$C$65:$V$65)/SUMPRODUCT($C$1640:$V$1640,($C$275:$V$275=J$1703)*1,($C$6:$V$6="Praxis")*1,$C$9:$V$9))</f>
        <v/>
      </c>
    </row>
    <row r="2065">
      <c r="C2065" s="64">
        <f>IF(C1855=0,"",SUMPRODUCT($C$1641:$V$1641,($C$276:$V$276=C$1703)*1,($C$6:$V$6="Praxis")*1,$C$9:$V$9,$C$66:$V$66)/SUMPRODUCT($C$1641:$V$1641,($C$276:$V$276=C$1703)*1,($C$6:$V$6="Praxis")*1,$C$9:$V$9))</f>
        <v/>
      </c>
      <c r="D2065" s="64">
        <f>IF(D1855=0,"",SUMPRODUCT($C$1641:$V$1641,($C$276:$V$276=D$1703)*1,($C$6:$V$6="Praxis")*1,$C$9:$V$9,$C$66:$V$66)/SUMPRODUCT($C$1641:$V$1641,($C$276:$V$276=D$1703)*1,($C$6:$V$6="Praxis")*1,$C$9:$V$9))</f>
        <v/>
      </c>
      <c r="E2065" s="64">
        <f>IF(E1855=0,"",SUMPRODUCT($C$1641:$V$1641,($C$276:$V$276=E$1703)*1,($C$6:$V$6="Praxis")*1,$C$9:$V$9,$C$66:$V$66)/SUMPRODUCT($C$1641:$V$1641,($C$276:$V$276=E$1703)*1,($C$6:$V$6="Praxis")*1,$C$9:$V$9))</f>
        <v/>
      </c>
      <c r="F2065" s="64">
        <f>IF(F1855=0,"",SUMPRODUCT($C$1641:$V$1641,($C$276:$V$276=F$1703)*1,($C$6:$V$6="Praxis")*1,$C$9:$V$9,$C$66:$V$66)/SUMPRODUCT($C$1641:$V$1641,($C$276:$V$276=F$1703)*1,($C$6:$V$6="Praxis")*1,$C$9:$V$9))</f>
        <v/>
      </c>
      <c r="G2065" s="64">
        <f>IF(G1855=0,"",SUMPRODUCT($C$1641:$V$1641,($C$276:$V$276=G$1703)*1,($C$6:$V$6="Praxis")*1,$C$9:$V$9,$C$66:$V$66)/SUMPRODUCT($C$1641:$V$1641,($C$276:$V$276=G$1703)*1,($C$6:$V$6="Praxis")*1,$C$9:$V$9))</f>
        <v/>
      </c>
      <c r="H2065" s="64">
        <f>IF(H1855=0,"",SUMPRODUCT($C$1641:$V$1641,($C$276:$V$276=H$1703)*1,($C$6:$V$6="Praxis")*1,$C$9:$V$9,$C$66:$V$66)/SUMPRODUCT($C$1641:$V$1641,($C$276:$V$276=H$1703)*1,($C$6:$V$6="Praxis")*1,$C$9:$V$9))</f>
        <v/>
      </c>
      <c r="I2065" s="64">
        <f>IF(I1855=0,"",SUMPRODUCT($C$1641:$V$1641,($C$276:$V$276=I$1703)*1,($C$6:$V$6="Praxis")*1,$C$9:$V$9,$C$66:$V$66)/SUMPRODUCT($C$1641:$V$1641,($C$276:$V$276=I$1703)*1,($C$6:$V$6="Praxis")*1,$C$9:$V$9))</f>
        <v/>
      </c>
      <c r="J2065" s="64">
        <f>IF(J1855=0,"",SUMPRODUCT($C$1641:$V$1641,($C$276:$V$276=J$1703)*1,($C$6:$V$6="Praxis")*1,$C$9:$V$9,$C$66:$V$66)/SUMPRODUCT($C$1641:$V$1641,($C$276:$V$276=J$1703)*1,($C$6:$V$6="Praxis")*1,$C$9:$V$9))</f>
        <v/>
      </c>
    </row>
    <row r="2066">
      <c r="C2066" s="64">
        <f>IF(C1856=0,"",SUMPRODUCT($C$1642:$V$1642,($C$277:$V$277=C$1703)*1,($C$6:$V$6="Praxis")*1,$C$9:$V$9,$C$67:$V$67)/SUMPRODUCT($C$1642:$V$1642,($C$277:$V$277=C$1703)*1,($C$6:$V$6="Praxis")*1,$C$9:$V$9))</f>
        <v/>
      </c>
      <c r="D2066" s="64">
        <f>IF(D1856=0,"",SUMPRODUCT($C$1642:$V$1642,($C$277:$V$277=D$1703)*1,($C$6:$V$6="Praxis")*1,$C$9:$V$9,$C$67:$V$67)/SUMPRODUCT($C$1642:$V$1642,($C$277:$V$277=D$1703)*1,($C$6:$V$6="Praxis")*1,$C$9:$V$9))</f>
        <v/>
      </c>
      <c r="E2066" s="64">
        <f>IF(E1856=0,"",SUMPRODUCT($C$1642:$V$1642,($C$277:$V$277=E$1703)*1,($C$6:$V$6="Praxis")*1,$C$9:$V$9,$C$67:$V$67)/SUMPRODUCT($C$1642:$V$1642,($C$277:$V$277=E$1703)*1,($C$6:$V$6="Praxis")*1,$C$9:$V$9))</f>
        <v/>
      </c>
      <c r="F2066" s="64">
        <f>IF(F1856=0,"",SUMPRODUCT($C$1642:$V$1642,($C$277:$V$277=F$1703)*1,($C$6:$V$6="Praxis")*1,$C$9:$V$9,$C$67:$V$67)/SUMPRODUCT($C$1642:$V$1642,($C$277:$V$277=F$1703)*1,($C$6:$V$6="Praxis")*1,$C$9:$V$9))</f>
        <v/>
      </c>
      <c r="G2066" s="64">
        <f>IF(G1856=0,"",SUMPRODUCT($C$1642:$V$1642,($C$277:$V$277=G$1703)*1,($C$6:$V$6="Praxis")*1,$C$9:$V$9,$C$67:$V$67)/SUMPRODUCT($C$1642:$V$1642,($C$277:$V$277=G$1703)*1,($C$6:$V$6="Praxis")*1,$C$9:$V$9))</f>
        <v/>
      </c>
      <c r="H2066" s="64">
        <f>IF(H1856=0,"",SUMPRODUCT($C$1642:$V$1642,($C$277:$V$277=H$1703)*1,($C$6:$V$6="Praxis")*1,$C$9:$V$9,$C$67:$V$67)/SUMPRODUCT($C$1642:$V$1642,($C$277:$V$277=H$1703)*1,($C$6:$V$6="Praxis")*1,$C$9:$V$9))</f>
        <v/>
      </c>
      <c r="I2066" s="64">
        <f>IF(I1856=0,"",SUMPRODUCT($C$1642:$V$1642,($C$277:$V$277=I$1703)*1,($C$6:$V$6="Praxis")*1,$C$9:$V$9,$C$67:$V$67)/SUMPRODUCT($C$1642:$V$1642,($C$277:$V$277=I$1703)*1,($C$6:$V$6="Praxis")*1,$C$9:$V$9))</f>
        <v/>
      </c>
      <c r="J2066" s="64">
        <f>IF(J1856=0,"",SUMPRODUCT($C$1642:$V$1642,($C$277:$V$277=J$1703)*1,($C$6:$V$6="Praxis")*1,$C$9:$V$9,$C$67:$V$67)/SUMPRODUCT($C$1642:$V$1642,($C$277:$V$277=J$1703)*1,($C$6:$V$6="Praxis")*1,$C$9:$V$9))</f>
        <v/>
      </c>
    </row>
    <row r="2067">
      <c r="C2067" s="64">
        <f>IF(C1857=0,"",SUMPRODUCT($C$1643:$V$1643,($C$278:$V$278=C$1703)*1,($C$6:$V$6="Praxis")*1,$C$9:$V$9,$C$68:$V$68)/SUMPRODUCT($C$1643:$V$1643,($C$278:$V$278=C$1703)*1,($C$6:$V$6="Praxis")*1,$C$9:$V$9))</f>
        <v/>
      </c>
      <c r="D2067" s="64">
        <f>IF(D1857=0,"",SUMPRODUCT($C$1643:$V$1643,($C$278:$V$278=D$1703)*1,($C$6:$V$6="Praxis")*1,$C$9:$V$9,$C$68:$V$68)/SUMPRODUCT($C$1643:$V$1643,($C$278:$V$278=D$1703)*1,($C$6:$V$6="Praxis")*1,$C$9:$V$9))</f>
        <v/>
      </c>
      <c r="E2067" s="64">
        <f>IF(E1857=0,"",SUMPRODUCT($C$1643:$V$1643,($C$278:$V$278=E$1703)*1,($C$6:$V$6="Praxis")*1,$C$9:$V$9,$C$68:$V$68)/SUMPRODUCT($C$1643:$V$1643,($C$278:$V$278=E$1703)*1,($C$6:$V$6="Praxis")*1,$C$9:$V$9))</f>
        <v/>
      </c>
      <c r="F2067" s="64">
        <f>IF(F1857=0,"",SUMPRODUCT($C$1643:$V$1643,($C$278:$V$278=F$1703)*1,($C$6:$V$6="Praxis")*1,$C$9:$V$9,$C$68:$V$68)/SUMPRODUCT($C$1643:$V$1643,($C$278:$V$278=F$1703)*1,($C$6:$V$6="Praxis")*1,$C$9:$V$9))</f>
        <v/>
      </c>
      <c r="G2067" s="64">
        <f>IF(G1857=0,"",SUMPRODUCT($C$1643:$V$1643,($C$278:$V$278=G$1703)*1,($C$6:$V$6="Praxis")*1,$C$9:$V$9,$C$68:$V$68)/SUMPRODUCT($C$1643:$V$1643,($C$278:$V$278=G$1703)*1,($C$6:$V$6="Praxis")*1,$C$9:$V$9))</f>
        <v/>
      </c>
      <c r="H2067" s="64">
        <f>IF(H1857=0,"",SUMPRODUCT($C$1643:$V$1643,($C$278:$V$278=H$1703)*1,($C$6:$V$6="Praxis")*1,$C$9:$V$9,$C$68:$V$68)/SUMPRODUCT($C$1643:$V$1643,($C$278:$V$278=H$1703)*1,($C$6:$V$6="Praxis")*1,$C$9:$V$9))</f>
        <v/>
      </c>
      <c r="I2067" s="64">
        <f>IF(I1857=0,"",SUMPRODUCT($C$1643:$V$1643,($C$278:$V$278=I$1703)*1,($C$6:$V$6="Praxis")*1,$C$9:$V$9,$C$68:$V$68)/SUMPRODUCT($C$1643:$V$1643,($C$278:$V$278=I$1703)*1,($C$6:$V$6="Praxis")*1,$C$9:$V$9))</f>
        <v/>
      </c>
      <c r="J2067" s="64">
        <f>IF(J1857=0,"",SUMPRODUCT($C$1643:$V$1643,($C$278:$V$278=J$1703)*1,($C$6:$V$6="Praxis")*1,$C$9:$V$9,$C$68:$V$68)/SUMPRODUCT($C$1643:$V$1643,($C$278:$V$278=J$1703)*1,($C$6:$V$6="Praxis")*1,$C$9:$V$9))</f>
        <v/>
      </c>
    </row>
    <row r="2068">
      <c r="C2068" s="64">
        <f>IF(C1858=0,"",SUMPRODUCT($C$1644:$V$1644,($C$279:$V$279=C$1703)*1,($C$6:$V$6="Praxis")*1,$C$9:$V$9,$C$69:$V$69)/SUMPRODUCT($C$1644:$V$1644,($C$279:$V$279=C$1703)*1,($C$6:$V$6="Praxis")*1,$C$9:$V$9))</f>
        <v/>
      </c>
      <c r="D2068" s="64">
        <f>IF(D1858=0,"",SUMPRODUCT($C$1644:$V$1644,($C$279:$V$279=D$1703)*1,($C$6:$V$6="Praxis")*1,$C$9:$V$9,$C$69:$V$69)/SUMPRODUCT($C$1644:$V$1644,($C$279:$V$279=D$1703)*1,($C$6:$V$6="Praxis")*1,$C$9:$V$9))</f>
        <v/>
      </c>
      <c r="E2068" s="64">
        <f>IF(E1858=0,"",SUMPRODUCT($C$1644:$V$1644,($C$279:$V$279=E$1703)*1,($C$6:$V$6="Praxis")*1,$C$9:$V$9,$C$69:$V$69)/SUMPRODUCT($C$1644:$V$1644,($C$279:$V$279=E$1703)*1,($C$6:$V$6="Praxis")*1,$C$9:$V$9))</f>
        <v/>
      </c>
      <c r="F2068" s="64">
        <f>IF(F1858=0,"",SUMPRODUCT($C$1644:$V$1644,($C$279:$V$279=F$1703)*1,($C$6:$V$6="Praxis")*1,$C$9:$V$9,$C$69:$V$69)/SUMPRODUCT($C$1644:$V$1644,($C$279:$V$279=F$1703)*1,($C$6:$V$6="Praxis")*1,$C$9:$V$9))</f>
        <v/>
      </c>
      <c r="G2068" s="64">
        <f>IF(G1858=0,"",SUMPRODUCT($C$1644:$V$1644,($C$279:$V$279=G$1703)*1,($C$6:$V$6="Praxis")*1,$C$9:$V$9,$C$69:$V$69)/SUMPRODUCT($C$1644:$V$1644,($C$279:$V$279=G$1703)*1,($C$6:$V$6="Praxis")*1,$C$9:$V$9))</f>
        <v/>
      </c>
      <c r="H2068" s="64">
        <f>IF(H1858=0,"",SUMPRODUCT($C$1644:$V$1644,($C$279:$V$279=H$1703)*1,($C$6:$V$6="Praxis")*1,$C$9:$V$9,$C$69:$V$69)/SUMPRODUCT($C$1644:$V$1644,($C$279:$V$279=H$1703)*1,($C$6:$V$6="Praxis")*1,$C$9:$V$9))</f>
        <v/>
      </c>
      <c r="I2068" s="64">
        <f>IF(I1858=0,"",SUMPRODUCT($C$1644:$V$1644,($C$279:$V$279=I$1703)*1,($C$6:$V$6="Praxis")*1,$C$9:$V$9,$C$69:$V$69)/SUMPRODUCT($C$1644:$V$1644,($C$279:$V$279=I$1703)*1,($C$6:$V$6="Praxis")*1,$C$9:$V$9))</f>
        <v/>
      </c>
      <c r="J2068" s="64">
        <f>IF(J1858=0,"",SUMPRODUCT($C$1644:$V$1644,($C$279:$V$279=J$1703)*1,($C$6:$V$6="Praxis")*1,$C$9:$V$9,$C$69:$V$69)/SUMPRODUCT($C$1644:$V$1644,($C$279:$V$279=J$1703)*1,($C$6:$V$6="Praxis")*1,$C$9:$V$9))</f>
        <v/>
      </c>
    </row>
    <row r="2069">
      <c r="C2069" s="64">
        <f>IF(C1859=0,"",SUMPRODUCT($C$1645:$V$1645,($C$280:$V$280=C$1703)*1,($C$6:$V$6="Praxis")*1,$C$9:$V$9,$C$70:$V$70)/SUMPRODUCT($C$1645:$V$1645,($C$280:$V$280=C$1703)*1,($C$6:$V$6="Praxis")*1,$C$9:$V$9))</f>
        <v/>
      </c>
      <c r="D2069" s="64">
        <f>IF(D1859=0,"",SUMPRODUCT($C$1645:$V$1645,($C$280:$V$280=D$1703)*1,($C$6:$V$6="Praxis")*1,$C$9:$V$9,$C$70:$V$70)/SUMPRODUCT($C$1645:$V$1645,($C$280:$V$280=D$1703)*1,($C$6:$V$6="Praxis")*1,$C$9:$V$9))</f>
        <v/>
      </c>
      <c r="E2069" s="64">
        <f>IF(E1859=0,"",SUMPRODUCT($C$1645:$V$1645,($C$280:$V$280=E$1703)*1,($C$6:$V$6="Praxis")*1,$C$9:$V$9,$C$70:$V$70)/SUMPRODUCT($C$1645:$V$1645,($C$280:$V$280=E$1703)*1,($C$6:$V$6="Praxis")*1,$C$9:$V$9))</f>
        <v/>
      </c>
      <c r="F2069" s="64">
        <f>IF(F1859=0,"",SUMPRODUCT($C$1645:$V$1645,($C$280:$V$280=F$1703)*1,($C$6:$V$6="Praxis")*1,$C$9:$V$9,$C$70:$V$70)/SUMPRODUCT($C$1645:$V$1645,($C$280:$V$280=F$1703)*1,($C$6:$V$6="Praxis")*1,$C$9:$V$9))</f>
        <v/>
      </c>
      <c r="G2069" s="64">
        <f>IF(G1859=0,"",SUMPRODUCT($C$1645:$V$1645,($C$280:$V$280=G$1703)*1,($C$6:$V$6="Praxis")*1,$C$9:$V$9,$C$70:$V$70)/SUMPRODUCT($C$1645:$V$1645,($C$280:$V$280=G$1703)*1,($C$6:$V$6="Praxis")*1,$C$9:$V$9))</f>
        <v/>
      </c>
      <c r="H2069" s="64">
        <f>IF(H1859=0,"",SUMPRODUCT($C$1645:$V$1645,($C$280:$V$280=H$1703)*1,($C$6:$V$6="Praxis")*1,$C$9:$V$9,$C$70:$V$70)/SUMPRODUCT($C$1645:$V$1645,($C$280:$V$280=H$1703)*1,($C$6:$V$6="Praxis")*1,$C$9:$V$9))</f>
        <v/>
      </c>
      <c r="I2069" s="64">
        <f>IF(I1859=0,"",SUMPRODUCT($C$1645:$V$1645,($C$280:$V$280=I$1703)*1,($C$6:$V$6="Praxis")*1,$C$9:$V$9,$C$70:$V$70)/SUMPRODUCT($C$1645:$V$1645,($C$280:$V$280=I$1703)*1,($C$6:$V$6="Praxis")*1,$C$9:$V$9))</f>
        <v/>
      </c>
      <c r="J2069" s="64">
        <f>IF(J1859=0,"",SUMPRODUCT($C$1645:$V$1645,($C$280:$V$280=J$1703)*1,($C$6:$V$6="Praxis")*1,$C$9:$V$9,$C$70:$V$70)/SUMPRODUCT($C$1645:$V$1645,($C$280:$V$280=J$1703)*1,($C$6:$V$6="Praxis")*1,$C$9:$V$9))</f>
        <v/>
      </c>
    </row>
    <row r="2070">
      <c r="C2070" s="64">
        <f>IF(C1860=0,"",SUMPRODUCT($C$1646:$V$1646,($C$281:$V$281=C$1703)*1,($C$6:$V$6="Praxis")*1,$C$9:$V$9,$C$71:$V$71)/SUMPRODUCT($C$1646:$V$1646,($C$281:$V$281=C$1703)*1,($C$6:$V$6="Praxis")*1,$C$9:$V$9))</f>
        <v/>
      </c>
      <c r="D2070" s="64">
        <f>IF(D1860=0,"",SUMPRODUCT($C$1646:$V$1646,($C$281:$V$281=D$1703)*1,($C$6:$V$6="Praxis")*1,$C$9:$V$9,$C$71:$V$71)/SUMPRODUCT($C$1646:$V$1646,($C$281:$V$281=D$1703)*1,($C$6:$V$6="Praxis")*1,$C$9:$V$9))</f>
        <v/>
      </c>
      <c r="E2070" s="64">
        <f>IF(E1860=0,"",SUMPRODUCT($C$1646:$V$1646,($C$281:$V$281=E$1703)*1,($C$6:$V$6="Praxis")*1,$C$9:$V$9,$C$71:$V$71)/SUMPRODUCT($C$1646:$V$1646,($C$281:$V$281=E$1703)*1,($C$6:$V$6="Praxis")*1,$C$9:$V$9))</f>
        <v/>
      </c>
      <c r="F2070" s="64">
        <f>IF(F1860=0,"",SUMPRODUCT($C$1646:$V$1646,($C$281:$V$281=F$1703)*1,($C$6:$V$6="Praxis")*1,$C$9:$V$9,$C$71:$V$71)/SUMPRODUCT($C$1646:$V$1646,($C$281:$V$281=F$1703)*1,($C$6:$V$6="Praxis")*1,$C$9:$V$9))</f>
        <v/>
      </c>
      <c r="G2070" s="64">
        <f>IF(G1860=0,"",SUMPRODUCT($C$1646:$V$1646,($C$281:$V$281=G$1703)*1,($C$6:$V$6="Praxis")*1,$C$9:$V$9,$C$71:$V$71)/SUMPRODUCT($C$1646:$V$1646,($C$281:$V$281=G$1703)*1,($C$6:$V$6="Praxis")*1,$C$9:$V$9))</f>
        <v/>
      </c>
      <c r="H2070" s="64">
        <f>IF(H1860=0,"",SUMPRODUCT($C$1646:$V$1646,($C$281:$V$281=H$1703)*1,($C$6:$V$6="Praxis")*1,$C$9:$V$9,$C$71:$V$71)/SUMPRODUCT($C$1646:$V$1646,($C$281:$V$281=H$1703)*1,($C$6:$V$6="Praxis")*1,$C$9:$V$9))</f>
        <v/>
      </c>
      <c r="I2070" s="64">
        <f>IF(I1860=0,"",SUMPRODUCT($C$1646:$V$1646,($C$281:$V$281=I$1703)*1,($C$6:$V$6="Praxis")*1,$C$9:$V$9,$C$71:$V$71)/SUMPRODUCT($C$1646:$V$1646,($C$281:$V$281=I$1703)*1,($C$6:$V$6="Praxis")*1,$C$9:$V$9))</f>
        <v/>
      </c>
      <c r="J2070" s="64">
        <f>IF(J1860=0,"",SUMPRODUCT($C$1646:$V$1646,($C$281:$V$281=J$1703)*1,($C$6:$V$6="Praxis")*1,$C$9:$V$9,$C$71:$V$71)/SUMPRODUCT($C$1646:$V$1646,($C$281:$V$281=J$1703)*1,($C$6:$V$6="Praxis")*1,$C$9:$V$9))</f>
        <v/>
      </c>
    </row>
    <row r="2071">
      <c r="C2071" s="64">
        <f>IF(C1861=0,"",SUMPRODUCT($C$1647:$V$1647,($C$282:$V$282=C$1703)*1,($C$6:$V$6="Praxis")*1,$C$9:$V$9,$C$72:$V$72)/SUMPRODUCT($C$1647:$V$1647,($C$282:$V$282=C$1703)*1,($C$6:$V$6="Praxis")*1,$C$9:$V$9))</f>
        <v/>
      </c>
      <c r="D2071" s="64">
        <f>IF(D1861=0,"",SUMPRODUCT($C$1647:$V$1647,($C$282:$V$282=D$1703)*1,($C$6:$V$6="Praxis")*1,$C$9:$V$9,$C$72:$V$72)/SUMPRODUCT($C$1647:$V$1647,($C$282:$V$282=D$1703)*1,($C$6:$V$6="Praxis")*1,$C$9:$V$9))</f>
        <v/>
      </c>
      <c r="E2071" s="64">
        <f>IF(E1861=0,"",SUMPRODUCT($C$1647:$V$1647,($C$282:$V$282=E$1703)*1,($C$6:$V$6="Praxis")*1,$C$9:$V$9,$C$72:$V$72)/SUMPRODUCT($C$1647:$V$1647,($C$282:$V$282=E$1703)*1,($C$6:$V$6="Praxis")*1,$C$9:$V$9))</f>
        <v/>
      </c>
      <c r="F2071" s="64">
        <f>IF(F1861=0,"",SUMPRODUCT($C$1647:$V$1647,($C$282:$V$282=F$1703)*1,($C$6:$V$6="Praxis")*1,$C$9:$V$9,$C$72:$V$72)/SUMPRODUCT($C$1647:$V$1647,($C$282:$V$282=F$1703)*1,($C$6:$V$6="Praxis")*1,$C$9:$V$9))</f>
        <v/>
      </c>
      <c r="G2071" s="64">
        <f>IF(G1861=0,"",SUMPRODUCT($C$1647:$V$1647,($C$282:$V$282=G$1703)*1,($C$6:$V$6="Praxis")*1,$C$9:$V$9,$C$72:$V$72)/SUMPRODUCT($C$1647:$V$1647,($C$282:$V$282=G$1703)*1,($C$6:$V$6="Praxis")*1,$C$9:$V$9))</f>
        <v/>
      </c>
      <c r="H2071" s="64">
        <f>IF(H1861=0,"",SUMPRODUCT($C$1647:$V$1647,($C$282:$V$282=H$1703)*1,($C$6:$V$6="Praxis")*1,$C$9:$V$9,$C$72:$V$72)/SUMPRODUCT($C$1647:$V$1647,($C$282:$V$282=H$1703)*1,($C$6:$V$6="Praxis")*1,$C$9:$V$9))</f>
        <v/>
      </c>
      <c r="I2071" s="64">
        <f>IF(I1861=0,"",SUMPRODUCT($C$1647:$V$1647,($C$282:$V$282=I$1703)*1,($C$6:$V$6="Praxis")*1,$C$9:$V$9,$C$72:$V$72)/SUMPRODUCT($C$1647:$V$1647,($C$282:$V$282=I$1703)*1,($C$6:$V$6="Praxis")*1,$C$9:$V$9))</f>
        <v/>
      </c>
      <c r="J2071" s="64">
        <f>IF(J1861=0,"",SUMPRODUCT($C$1647:$V$1647,($C$282:$V$282=J$1703)*1,($C$6:$V$6="Praxis")*1,$C$9:$V$9,$C$72:$V$72)/SUMPRODUCT($C$1647:$V$1647,($C$282:$V$282=J$1703)*1,($C$6:$V$6="Praxis")*1,$C$9:$V$9))</f>
        <v/>
      </c>
    </row>
    <row r="2072">
      <c r="C2072" s="64">
        <f>IF(C1862=0,"",SUMPRODUCT($C$1648:$V$1648,($C$283:$V$283=C$1703)*1,($C$6:$V$6="Praxis")*1,$C$9:$V$9,$C$73:$V$73)/SUMPRODUCT($C$1648:$V$1648,($C$283:$V$283=C$1703)*1,($C$6:$V$6="Praxis")*1,$C$9:$V$9))</f>
        <v/>
      </c>
      <c r="D2072" s="64">
        <f>IF(D1862=0,"",SUMPRODUCT($C$1648:$V$1648,($C$283:$V$283=D$1703)*1,($C$6:$V$6="Praxis")*1,$C$9:$V$9,$C$73:$V$73)/SUMPRODUCT($C$1648:$V$1648,($C$283:$V$283=D$1703)*1,($C$6:$V$6="Praxis")*1,$C$9:$V$9))</f>
        <v/>
      </c>
      <c r="E2072" s="64">
        <f>IF(E1862=0,"",SUMPRODUCT($C$1648:$V$1648,($C$283:$V$283=E$1703)*1,($C$6:$V$6="Praxis")*1,$C$9:$V$9,$C$73:$V$73)/SUMPRODUCT($C$1648:$V$1648,($C$283:$V$283=E$1703)*1,($C$6:$V$6="Praxis")*1,$C$9:$V$9))</f>
        <v/>
      </c>
      <c r="F2072" s="64">
        <f>IF(F1862=0,"",SUMPRODUCT($C$1648:$V$1648,($C$283:$V$283=F$1703)*1,($C$6:$V$6="Praxis")*1,$C$9:$V$9,$C$73:$V$73)/SUMPRODUCT($C$1648:$V$1648,($C$283:$V$283=F$1703)*1,($C$6:$V$6="Praxis")*1,$C$9:$V$9))</f>
        <v/>
      </c>
      <c r="G2072" s="64">
        <f>IF(G1862=0,"",SUMPRODUCT($C$1648:$V$1648,($C$283:$V$283=G$1703)*1,($C$6:$V$6="Praxis")*1,$C$9:$V$9,$C$73:$V$73)/SUMPRODUCT($C$1648:$V$1648,($C$283:$V$283=G$1703)*1,($C$6:$V$6="Praxis")*1,$C$9:$V$9))</f>
        <v/>
      </c>
      <c r="H2072" s="64">
        <f>IF(H1862=0,"",SUMPRODUCT($C$1648:$V$1648,($C$283:$V$283=H$1703)*1,($C$6:$V$6="Praxis")*1,$C$9:$V$9,$C$73:$V$73)/SUMPRODUCT($C$1648:$V$1648,($C$283:$V$283=H$1703)*1,($C$6:$V$6="Praxis")*1,$C$9:$V$9))</f>
        <v/>
      </c>
      <c r="I2072" s="64">
        <f>IF(I1862=0,"",SUMPRODUCT($C$1648:$V$1648,($C$283:$V$283=I$1703)*1,($C$6:$V$6="Praxis")*1,$C$9:$V$9,$C$73:$V$73)/SUMPRODUCT($C$1648:$V$1648,($C$283:$V$283=I$1703)*1,($C$6:$V$6="Praxis")*1,$C$9:$V$9))</f>
        <v/>
      </c>
      <c r="J2072" s="64">
        <f>IF(J1862=0,"",SUMPRODUCT($C$1648:$V$1648,($C$283:$V$283=J$1703)*1,($C$6:$V$6="Praxis")*1,$C$9:$V$9,$C$73:$V$73)/SUMPRODUCT($C$1648:$V$1648,($C$283:$V$283=J$1703)*1,($C$6:$V$6="Praxis")*1,$C$9:$V$9))</f>
        <v/>
      </c>
    </row>
    <row r="2073">
      <c r="C2073" s="64">
        <f>IF(C1863=0,"",SUMPRODUCT($C$1649:$V$1649,($C$284:$V$284=C$1703)*1,($C$6:$V$6="Praxis")*1,$C$9:$V$9,$C$74:$V$74)/SUMPRODUCT($C$1649:$V$1649,($C$284:$V$284=C$1703)*1,($C$6:$V$6="Praxis")*1,$C$9:$V$9))</f>
        <v/>
      </c>
      <c r="D2073" s="64">
        <f>IF(D1863=0,"",SUMPRODUCT($C$1649:$V$1649,($C$284:$V$284=D$1703)*1,($C$6:$V$6="Praxis")*1,$C$9:$V$9,$C$74:$V$74)/SUMPRODUCT($C$1649:$V$1649,($C$284:$V$284=D$1703)*1,($C$6:$V$6="Praxis")*1,$C$9:$V$9))</f>
        <v/>
      </c>
      <c r="E2073" s="64">
        <f>IF(E1863=0,"",SUMPRODUCT($C$1649:$V$1649,($C$284:$V$284=E$1703)*1,($C$6:$V$6="Praxis")*1,$C$9:$V$9,$C$74:$V$74)/SUMPRODUCT($C$1649:$V$1649,($C$284:$V$284=E$1703)*1,($C$6:$V$6="Praxis")*1,$C$9:$V$9))</f>
        <v/>
      </c>
      <c r="F2073" s="64">
        <f>IF(F1863=0,"",SUMPRODUCT($C$1649:$V$1649,($C$284:$V$284=F$1703)*1,($C$6:$V$6="Praxis")*1,$C$9:$V$9,$C$74:$V$74)/SUMPRODUCT($C$1649:$V$1649,($C$284:$V$284=F$1703)*1,($C$6:$V$6="Praxis")*1,$C$9:$V$9))</f>
        <v/>
      </c>
      <c r="G2073" s="64">
        <f>IF(G1863=0,"",SUMPRODUCT($C$1649:$V$1649,($C$284:$V$284=G$1703)*1,($C$6:$V$6="Praxis")*1,$C$9:$V$9,$C$74:$V$74)/SUMPRODUCT($C$1649:$V$1649,($C$284:$V$284=G$1703)*1,($C$6:$V$6="Praxis")*1,$C$9:$V$9))</f>
        <v/>
      </c>
      <c r="H2073" s="64">
        <f>IF(H1863=0,"",SUMPRODUCT($C$1649:$V$1649,($C$284:$V$284=H$1703)*1,($C$6:$V$6="Praxis")*1,$C$9:$V$9,$C$74:$V$74)/SUMPRODUCT($C$1649:$V$1649,($C$284:$V$284=H$1703)*1,($C$6:$V$6="Praxis")*1,$C$9:$V$9))</f>
        <v/>
      </c>
      <c r="I2073" s="64">
        <f>IF(I1863=0,"",SUMPRODUCT($C$1649:$V$1649,($C$284:$V$284=I$1703)*1,($C$6:$V$6="Praxis")*1,$C$9:$V$9,$C$74:$V$74)/SUMPRODUCT($C$1649:$V$1649,($C$284:$V$284=I$1703)*1,($C$6:$V$6="Praxis")*1,$C$9:$V$9))</f>
        <v/>
      </c>
      <c r="J2073" s="64">
        <f>IF(J1863=0,"",SUMPRODUCT($C$1649:$V$1649,($C$284:$V$284=J$1703)*1,($C$6:$V$6="Praxis")*1,$C$9:$V$9,$C$74:$V$74)/SUMPRODUCT($C$1649:$V$1649,($C$284:$V$284=J$1703)*1,($C$6:$V$6="Praxis")*1,$C$9:$V$9))</f>
        <v/>
      </c>
    </row>
    <row r="2074">
      <c r="C2074" s="64">
        <f>IF(C1864=0,"",SUMPRODUCT($C$1650:$V$1650,($C$285:$V$285=C$1703)*1,($C$6:$V$6="Praxis")*1,$C$9:$V$9,$C$75:$V$75)/SUMPRODUCT($C$1650:$V$1650,($C$285:$V$285=C$1703)*1,($C$6:$V$6="Praxis")*1,$C$9:$V$9))</f>
        <v/>
      </c>
      <c r="D2074" s="64">
        <f>IF(D1864=0,"",SUMPRODUCT($C$1650:$V$1650,($C$285:$V$285=D$1703)*1,($C$6:$V$6="Praxis")*1,$C$9:$V$9,$C$75:$V$75)/SUMPRODUCT($C$1650:$V$1650,($C$285:$V$285=D$1703)*1,($C$6:$V$6="Praxis")*1,$C$9:$V$9))</f>
        <v/>
      </c>
      <c r="E2074" s="64">
        <f>IF(E1864=0,"",SUMPRODUCT($C$1650:$V$1650,($C$285:$V$285=E$1703)*1,($C$6:$V$6="Praxis")*1,$C$9:$V$9,$C$75:$V$75)/SUMPRODUCT($C$1650:$V$1650,($C$285:$V$285=E$1703)*1,($C$6:$V$6="Praxis")*1,$C$9:$V$9))</f>
        <v/>
      </c>
      <c r="F2074" s="64">
        <f>IF(F1864=0,"",SUMPRODUCT($C$1650:$V$1650,($C$285:$V$285=F$1703)*1,($C$6:$V$6="Praxis")*1,$C$9:$V$9,$C$75:$V$75)/SUMPRODUCT($C$1650:$V$1650,($C$285:$V$285=F$1703)*1,($C$6:$V$6="Praxis")*1,$C$9:$V$9))</f>
        <v/>
      </c>
      <c r="G2074" s="64">
        <f>IF(G1864=0,"",SUMPRODUCT($C$1650:$V$1650,($C$285:$V$285=G$1703)*1,($C$6:$V$6="Praxis")*1,$C$9:$V$9,$C$75:$V$75)/SUMPRODUCT($C$1650:$V$1650,($C$285:$V$285=G$1703)*1,($C$6:$V$6="Praxis")*1,$C$9:$V$9))</f>
        <v/>
      </c>
      <c r="H2074" s="64">
        <f>IF(H1864=0,"",SUMPRODUCT($C$1650:$V$1650,($C$285:$V$285=H$1703)*1,($C$6:$V$6="Praxis")*1,$C$9:$V$9,$C$75:$V$75)/SUMPRODUCT($C$1650:$V$1650,($C$285:$V$285=H$1703)*1,($C$6:$V$6="Praxis")*1,$C$9:$V$9))</f>
        <v/>
      </c>
      <c r="I2074" s="64">
        <f>IF(I1864=0,"",SUMPRODUCT($C$1650:$V$1650,($C$285:$V$285=I$1703)*1,($C$6:$V$6="Praxis")*1,$C$9:$V$9,$C$75:$V$75)/SUMPRODUCT($C$1650:$V$1650,($C$285:$V$285=I$1703)*1,($C$6:$V$6="Praxis")*1,$C$9:$V$9))</f>
        <v/>
      </c>
      <c r="J2074" s="64">
        <f>IF(J1864=0,"",SUMPRODUCT($C$1650:$V$1650,($C$285:$V$285=J$1703)*1,($C$6:$V$6="Praxis")*1,$C$9:$V$9,$C$75:$V$75)/SUMPRODUCT($C$1650:$V$1650,($C$285:$V$285=J$1703)*1,($C$6:$V$6="Praxis")*1,$C$9:$V$9))</f>
        <v/>
      </c>
    </row>
    <row r="2075">
      <c r="C2075" s="64">
        <f>IF(C1865=0,"",SUMPRODUCT($C$1651:$V$1651,($C$286:$V$286=C$1703)*1,($C$6:$V$6="Praxis")*1,$C$9:$V$9,$C$76:$V$76)/SUMPRODUCT($C$1651:$V$1651,($C$286:$V$286=C$1703)*1,($C$6:$V$6="Praxis")*1,$C$9:$V$9))</f>
        <v/>
      </c>
      <c r="D2075" s="64">
        <f>IF(D1865=0,"",SUMPRODUCT($C$1651:$V$1651,($C$286:$V$286=D$1703)*1,($C$6:$V$6="Praxis")*1,$C$9:$V$9,$C$76:$V$76)/SUMPRODUCT($C$1651:$V$1651,($C$286:$V$286=D$1703)*1,($C$6:$V$6="Praxis")*1,$C$9:$V$9))</f>
        <v/>
      </c>
      <c r="E2075" s="64">
        <f>IF(E1865=0,"",SUMPRODUCT($C$1651:$V$1651,($C$286:$V$286=E$1703)*1,($C$6:$V$6="Praxis")*1,$C$9:$V$9,$C$76:$V$76)/SUMPRODUCT($C$1651:$V$1651,($C$286:$V$286=E$1703)*1,($C$6:$V$6="Praxis")*1,$C$9:$V$9))</f>
        <v/>
      </c>
      <c r="F2075" s="64">
        <f>IF(F1865=0,"",SUMPRODUCT($C$1651:$V$1651,($C$286:$V$286=F$1703)*1,($C$6:$V$6="Praxis")*1,$C$9:$V$9,$C$76:$V$76)/SUMPRODUCT($C$1651:$V$1651,($C$286:$V$286=F$1703)*1,($C$6:$V$6="Praxis")*1,$C$9:$V$9))</f>
        <v/>
      </c>
      <c r="G2075" s="64">
        <f>IF(G1865=0,"",SUMPRODUCT($C$1651:$V$1651,($C$286:$V$286=G$1703)*1,($C$6:$V$6="Praxis")*1,$C$9:$V$9,$C$76:$V$76)/SUMPRODUCT($C$1651:$V$1651,($C$286:$V$286=G$1703)*1,($C$6:$V$6="Praxis")*1,$C$9:$V$9))</f>
        <v/>
      </c>
      <c r="H2075" s="64">
        <f>IF(H1865=0,"",SUMPRODUCT($C$1651:$V$1651,($C$286:$V$286=H$1703)*1,($C$6:$V$6="Praxis")*1,$C$9:$V$9,$C$76:$V$76)/SUMPRODUCT($C$1651:$V$1651,($C$286:$V$286=H$1703)*1,($C$6:$V$6="Praxis")*1,$C$9:$V$9))</f>
        <v/>
      </c>
      <c r="I2075" s="64">
        <f>IF(I1865=0,"",SUMPRODUCT($C$1651:$V$1651,($C$286:$V$286=I$1703)*1,($C$6:$V$6="Praxis")*1,$C$9:$V$9,$C$76:$V$76)/SUMPRODUCT($C$1651:$V$1651,($C$286:$V$286=I$1703)*1,($C$6:$V$6="Praxis")*1,$C$9:$V$9))</f>
        <v/>
      </c>
      <c r="J2075" s="64">
        <f>IF(J1865=0,"",SUMPRODUCT($C$1651:$V$1651,($C$286:$V$286=J$1703)*1,($C$6:$V$6="Praxis")*1,$C$9:$V$9,$C$76:$V$76)/SUMPRODUCT($C$1651:$V$1651,($C$286:$V$286=J$1703)*1,($C$6:$V$6="Praxis")*1,$C$9:$V$9))</f>
        <v/>
      </c>
    </row>
    <row r="2076">
      <c r="C2076" s="64">
        <f>IF(C1866=0,"",SUMPRODUCT($C$1652:$V$1652,($C$287:$V$287=C$1703)*1,($C$6:$V$6="Praxis")*1,$C$9:$V$9,$C$77:$V$77)/SUMPRODUCT($C$1652:$V$1652,($C$287:$V$287=C$1703)*1,($C$6:$V$6="Praxis")*1,$C$9:$V$9))</f>
        <v/>
      </c>
      <c r="D2076" s="64">
        <f>IF(D1866=0,"",SUMPRODUCT($C$1652:$V$1652,($C$287:$V$287=D$1703)*1,($C$6:$V$6="Praxis")*1,$C$9:$V$9,$C$77:$V$77)/SUMPRODUCT($C$1652:$V$1652,($C$287:$V$287=D$1703)*1,($C$6:$V$6="Praxis")*1,$C$9:$V$9))</f>
        <v/>
      </c>
      <c r="E2076" s="64">
        <f>IF(E1866=0,"",SUMPRODUCT($C$1652:$V$1652,($C$287:$V$287=E$1703)*1,($C$6:$V$6="Praxis")*1,$C$9:$V$9,$C$77:$V$77)/SUMPRODUCT($C$1652:$V$1652,($C$287:$V$287=E$1703)*1,($C$6:$V$6="Praxis")*1,$C$9:$V$9))</f>
        <v/>
      </c>
      <c r="F2076" s="64">
        <f>IF(F1866=0,"",SUMPRODUCT($C$1652:$V$1652,($C$287:$V$287=F$1703)*1,($C$6:$V$6="Praxis")*1,$C$9:$V$9,$C$77:$V$77)/SUMPRODUCT($C$1652:$V$1652,($C$287:$V$287=F$1703)*1,($C$6:$V$6="Praxis")*1,$C$9:$V$9))</f>
        <v/>
      </c>
      <c r="G2076" s="64">
        <f>IF(G1866=0,"",SUMPRODUCT($C$1652:$V$1652,($C$287:$V$287=G$1703)*1,($C$6:$V$6="Praxis")*1,$C$9:$V$9,$C$77:$V$77)/SUMPRODUCT($C$1652:$V$1652,($C$287:$V$287=G$1703)*1,($C$6:$V$6="Praxis")*1,$C$9:$V$9))</f>
        <v/>
      </c>
      <c r="H2076" s="64">
        <f>IF(H1866=0,"",SUMPRODUCT($C$1652:$V$1652,($C$287:$V$287=H$1703)*1,($C$6:$V$6="Praxis")*1,$C$9:$V$9,$C$77:$V$77)/SUMPRODUCT($C$1652:$V$1652,($C$287:$V$287=H$1703)*1,($C$6:$V$6="Praxis")*1,$C$9:$V$9))</f>
        <v/>
      </c>
      <c r="I2076" s="64">
        <f>IF(I1866=0,"",SUMPRODUCT($C$1652:$V$1652,($C$287:$V$287=I$1703)*1,($C$6:$V$6="Praxis")*1,$C$9:$V$9,$C$77:$V$77)/SUMPRODUCT($C$1652:$V$1652,($C$287:$V$287=I$1703)*1,($C$6:$V$6="Praxis")*1,$C$9:$V$9))</f>
        <v/>
      </c>
      <c r="J2076" s="64">
        <f>IF(J1866=0,"",SUMPRODUCT($C$1652:$V$1652,($C$287:$V$287=J$1703)*1,($C$6:$V$6="Praxis")*1,$C$9:$V$9,$C$77:$V$77)/SUMPRODUCT($C$1652:$V$1652,($C$287:$V$287=J$1703)*1,($C$6:$V$6="Praxis")*1,$C$9:$V$9))</f>
        <v/>
      </c>
    </row>
    <row r="2077">
      <c r="C2077" s="64">
        <f>IF(C1867=0,"",SUMPRODUCT($C$1653:$V$1653,($C$288:$V$288=C$1703)*1,($C$6:$V$6="Praxis")*1,$C$9:$V$9,$C$78:$V$78)/SUMPRODUCT($C$1653:$V$1653,($C$288:$V$288=C$1703)*1,($C$6:$V$6="Praxis")*1,$C$9:$V$9))</f>
        <v/>
      </c>
      <c r="D2077" s="64">
        <f>IF(D1867=0,"",SUMPRODUCT($C$1653:$V$1653,($C$288:$V$288=D$1703)*1,($C$6:$V$6="Praxis")*1,$C$9:$V$9,$C$78:$V$78)/SUMPRODUCT($C$1653:$V$1653,($C$288:$V$288=D$1703)*1,($C$6:$V$6="Praxis")*1,$C$9:$V$9))</f>
        <v/>
      </c>
      <c r="E2077" s="64">
        <f>IF(E1867=0,"",SUMPRODUCT($C$1653:$V$1653,($C$288:$V$288=E$1703)*1,($C$6:$V$6="Praxis")*1,$C$9:$V$9,$C$78:$V$78)/SUMPRODUCT($C$1653:$V$1653,($C$288:$V$288=E$1703)*1,($C$6:$V$6="Praxis")*1,$C$9:$V$9))</f>
        <v/>
      </c>
      <c r="F2077" s="64">
        <f>IF(F1867=0,"",SUMPRODUCT($C$1653:$V$1653,($C$288:$V$288=F$1703)*1,($C$6:$V$6="Praxis")*1,$C$9:$V$9,$C$78:$V$78)/SUMPRODUCT($C$1653:$V$1653,($C$288:$V$288=F$1703)*1,($C$6:$V$6="Praxis")*1,$C$9:$V$9))</f>
        <v/>
      </c>
      <c r="G2077" s="64">
        <f>IF(G1867=0,"",SUMPRODUCT($C$1653:$V$1653,($C$288:$V$288=G$1703)*1,($C$6:$V$6="Praxis")*1,$C$9:$V$9,$C$78:$V$78)/SUMPRODUCT($C$1653:$V$1653,($C$288:$V$288=G$1703)*1,($C$6:$V$6="Praxis")*1,$C$9:$V$9))</f>
        <v/>
      </c>
      <c r="H2077" s="64">
        <f>IF(H1867=0,"",SUMPRODUCT($C$1653:$V$1653,($C$288:$V$288=H$1703)*1,($C$6:$V$6="Praxis")*1,$C$9:$V$9,$C$78:$V$78)/SUMPRODUCT($C$1653:$V$1653,($C$288:$V$288=H$1703)*1,($C$6:$V$6="Praxis")*1,$C$9:$V$9))</f>
        <v/>
      </c>
      <c r="I2077" s="64">
        <f>IF(I1867=0,"",SUMPRODUCT($C$1653:$V$1653,($C$288:$V$288=I$1703)*1,($C$6:$V$6="Praxis")*1,$C$9:$V$9,$C$78:$V$78)/SUMPRODUCT($C$1653:$V$1653,($C$288:$V$288=I$1703)*1,($C$6:$V$6="Praxis")*1,$C$9:$V$9))</f>
        <v/>
      </c>
      <c r="J2077" s="64">
        <f>IF(J1867=0,"",SUMPRODUCT($C$1653:$V$1653,($C$288:$V$288=J$1703)*1,($C$6:$V$6="Praxis")*1,$C$9:$V$9,$C$78:$V$78)/SUMPRODUCT($C$1653:$V$1653,($C$288:$V$288=J$1703)*1,($C$6:$V$6="Praxis")*1,$C$9:$V$9))</f>
        <v/>
      </c>
    </row>
    <row r="2078">
      <c r="C2078" s="64">
        <f>IF(C1868=0,"",SUMPRODUCT($C$1654:$V$1654,($C$289:$V$289=C$1703)*1,($C$6:$V$6="Praxis")*1,$C$9:$V$9,$C$79:$V$79)/SUMPRODUCT($C$1654:$V$1654,($C$289:$V$289=C$1703)*1,($C$6:$V$6="Praxis")*1,$C$9:$V$9))</f>
        <v/>
      </c>
      <c r="D2078" s="64">
        <f>IF(D1868=0,"",SUMPRODUCT($C$1654:$V$1654,($C$289:$V$289=D$1703)*1,($C$6:$V$6="Praxis")*1,$C$9:$V$9,$C$79:$V$79)/SUMPRODUCT($C$1654:$V$1654,($C$289:$V$289=D$1703)*1,($C$6:$V$6="Praxis")*1,$C$9:$V$9))</f>
        <v/>
      </c>
      <c r="E2078" s="64">
        <f>IF(E1868=0,"",SUMPRODUCT($C$1654:$V$1654,($C$289:$V$289=E$1703)*1,($C$6:$V$6="Praxis")*1,$C$9:$V$9,$C$79:$V$79)/SUMPRODUCT($C$1654:$V$1654,($C$289:$V$289=E$1703)*1,($C$6:$V$6="Praxis")*1,$C$9:$V$9))</f>
        <v/>
      </c>
      <c r="F2078" s="64">
        <f>IF(F1868=0,"",SUMPRODUCT($C$1654:$V$1654,($C$289:$V$289=F$1703)*1,($C$6:$V$6="Praxis")*1,$C$9:$V$9,$C$79:$V$79)/SUMPRODUCT($C$1654:$V$1654,($C$289:$V$289=F$1703)*1,($C$6:$V$6="Praxis")*1,$C$9:$V$9))</f>
        <v/>
      </c>
      <c r="G2078" s="64">
        <f>IF(G1868=0,"",SUMPRODUCT($C$1654:$V$1654,($C$289:$V$289=G$1703)*1,($C$6:$V$6="Praxis")*1,$C$9:$V$9,$C$79:$V$79)/SUMPRODUCT($C$1654:$V$1654,($C$289:$V$289=G$1703)*1,($C$6:$V$6="Praxis")*1,$C$9:$V$9))</f>
        <v/>
      </c>
      <c r="H2078" s="64">
        <f>IF(H1868=0,"",SUMPRODUCT($C$1654:$V$1654,($C$289:$V$289=H$1703)*1,($C$6:$V$6="Praxis")*1,$C$9:$V$9,$C$79:$V$79)/SUMPRODUCT($C$1654:$V$1654,($C$289:$V$289=H$1703)*1,($C$6:$V$6="Praxis")*1,$C$9:$V$9))</f>
        <v/>
      </c>
      <c r="I2078" s="64">
        <f>IF(I1868=0,"",SUMPRODUCT($C$1654:$V$1654,($C$289:$V$289=I$1703)*1,($C$6:$V$6="Praxis")*1,$C$9:$V$9,$C$79:$V$79)/SUMPRODUCT($C$1654:$V$1654,($C$289:$V$289=I$1703)*1,($C$6:$V$6="Praxis")*1,$C$9:$V$9))</f>
        <v/>
      </c>
      <c r="J2078" s="64">
        <f>IF(J1868=0,"",SUMPRODUCT($C$1654:$V$1654,($C$289:$V$289=J$1703)*1,($C$6:$V$6="Praxis")*1,$C$9:$V$9,$C$79:$V$79)/SUMPRODUCT($C$1654:$V$1654,($C$289:$V$289=J$1703)*1,($C$6:$V$6="Praxis")*1,$C$9:$V$9))</f>
        <v/>
      </c>
    </row>
    <row r="2079">
      <c r="C2079" s="64">
        <f>IF(C1869=0,"",SUMPRODUCT($C$1655:$V$1655,($C$290:$V$290=C$1703)*1,($C$6:$V$6="Praxis")*1,$C$9:$V$9,$C$80:$V$80)/SUMPRODUCT($C$1655:$V$1655,($C$290:$V$290=C$1703)*1,($C$6:$V$6="Praxis")*1,$C$9:$V$9))</f>
        <v/>
      </c>
      <c r="D2079" s="64">
        <f>IF(D1869=0,"",SUMPRODUCT($C$1655:$V$1655,($C$290:$V$290=D$1703)*1,($C$6:$V$6="Praxis")*1,$C$9:$V$9,$C$80:$V$80)/SUMPRODUCT($C$1655:$V$1655,($C$290:$V$290=D$1703)*1,($C$6:$V$6="Praxis")*1,$C$9:$V$9))</f>
        <v/>
      </c>
      <c r="E2079" s="64">
        <f>IF(E1869=0,"",SUMPRODUCT($C$1655:$V$1655,($C$290:$V$290=E$1703)*1,($C$6:$V$6="Praxis")*1,$C$9:$V$9,$C$80:$V$80)/SUMPRODUCT($C$1655:$V$1655,($C$290:$V$290=E$1703)*1,($C$6:$V$6="Praxis")*1,$C$9:$V$9))</f>
        <v/>
      </c>
      <c r="F2079" s="64">
        <f>IF(F1869=0,"",SUMPRODUCT($C$1655:$V$1655,($C$290:$V$290=F$1703)*1,($C$6:$V$6="Praxis")*1,$C$9:$V$9,$C$80:$V$80)/SUMPRODUCT($C$1655:$V$1655,($C$290:$V$290=F$1703)*1,($C$6:$V$6="Praxis")*1,$C$9:$V$9))</f>
        <v/>
      </c>
      <c r="G2079" s="64">
        <f>IF(G1869=0,"",SUMPRODUCT($C$1655:$V$1655,($C$290:$V$290=G$1703)*1,($C$6:$V$6="Praxis")*1,$C$9:$V$9,$C$80:$V$80)/SUMPRODUCT($C$1655:$V$1655,($C$290:$V$290=G$1703)*1,($C$6:$V$6="Praxis")*1,$C$9:$V$9))</f>
        <v/>
      </c>
      <c r="H2079" s="64">
        <f>IF(H1869=0,"",SUMPRODUCT($C$1655:$V$1655,($C$290:$V$290=H$1703)*1,($C$6:$V$6="Praxis")*1,$C$9:$V$9,$C$80:$V$80)/SUMPRODUCT($C$1655:$V$1655,($C$290:$V$290=H$1703)*1,($C$6:$V$6="Praxis")*1,$C$9:$V$9))</f>
        <v/>
      </c>
      <c r="I2079" s="64">
        <f>IF(I1869=0,"",SUMPRODUCT($C$1655:$V$1655,($C$290:$V$290=I$1703)*1,($C$6:$V$6="Praxis")*1,$C$9:$V$9,$C$80:$V$80)/SUMPRODUCT($C$1655:$V$1655,($C$290:$V$290=I$1703)*1,($C$6:$V$6="Praxis")*1,$C$9:$V$9))</f>
        <v/>
      </c>
      <c r="J2079" s="64">
        <f>IF(J1869=0,"",SUMPRODUCT($C$1655:$V$1655,($C$290:$V$290=J$1703)*1,($C$6:$V$6="Praxis")*1,$C$9:$V$9,$C$80:$V$80)/SUMPRODUCT($C$1655:$V$1655,($C$290:$V$290=J$1703)*1,($C$6:$V$6="Praxis")*1,$C$9:$V$9))</f>
        <v/>
      </c>
    </row>
    <row r="2080">
      <c r="C2080" s="64">
        <f>IF(C1870=0,"",SUMPRODUCT($C$1656:$V$1656,($C$291:$V$291=C$1703)*1,($C$6:$V$6="Praxis")*1,$C$9:$V$9,$C$81:$V$81)/SUMPRODUCT($C$1656:$V$1656,($C$291:$V$291=C$1703)*1,($C$6:$V$6="Praxis")*1,$C$9:$V$9))</f>
        <v/>
      </c>
      <c r="D2080" s="64">
        <f>IF(D1870=0,"",SUMPRODUCT($C$1656:$V$1656,($C$291:$V$291=D$1703)*1,($C$6:$V$6="Praxis")*1,$C$9:$V$9,$C$81:$V$81)/SUMPRODUCT($C$1656:$V$1656,($C$291:$V$291=D$1703)*1,($C$6:$V$6="Praxis")*1,$C$9:$V$9))</f>
        <v/>
      </c>
      <c r="E2080" s="64">
        <f>IF(E1870=0,"",SUMPRODUCT($C$1656:$V$1656,($C$291:$V$291=E$1703)*1,($C$6:$V$6="Praxis")*1,$C$9:$V$9,$C$81:$V$81)/SUMPRODUCT($C$1656:$V$1656,($C$291:$V$291=E$1703)*1,($C$6:$V$6="Praxis")*1,$C$9:$V$9))</f>
        <v/>
      </c>
      <c r="F2080" s="64">
        <f>IF(F1870=0,"",SUMPRODUCT($C$1656:$V$1656,($C$291:$V$291=F$1703)*1,($C$6:$V$6="Praxis")*1,$C$9:$V$9,$C$81:$V$81)/SUMPRODUCT($C$1656:$V$1656,($C$291:$V$291=F$1703)*1,($C$6:$V$6="Praxis")*1,$C$9:$V$9))</f>
        <v/>
      </c>
      <c r="G2080" s="64">
        <f>IF(G1870=0,"",SUMPRODUCT($C$1656:$V$1656,($C$291:$V$291=G$1703)*1,($C$6:$V$6="Praxis")*1,$C$9:$V$9,$C$81:$V$81)/SUMPRODUCT($C$1656:$V$1656,($C$291:$V$291=G$1703)*1,($C$6:$V$6="Praxis")*1,$C$9:$V$9))</f>
        <v/>
      </c>
      <c r="H2080" s="64">
        <f>IF(H1870=0,"",SUMPRODUCT($C$1656:$V$1656,($C$291:$V$291=H$1703)*1,($C$6:$V$6="Praxis")*1,$C$9:$V$9,$C$81:$V$81)/SUMPRODUCT($C$1656:$V$1656,($C$291:$V$291=H$1703)*1,($C$6:$V$6="Praxis")*1,$C$9:$V$9))</f>
        <v/>
      </c>
      <c r="I2080" s="64">
        <f>IF(I1870=0,"",SUMPRODUCT($C$1656:$V$1656,($C$291:$V$291=I$1703)*1,($C$6:$V$6="Praxis")*1,$C$9:$V$9,$C$81:$V$81)/SUMPRODUCT($C$1656:$V$1656,($C$291:$V$291=I$1703)*1,($C$6:$V$6="Praxis")*1,$C$9:$V$9))</f>
        <v/>
      </c>
      <c r="J2080" s="64">
        <f>IF(J1870=0,"",SUMPRODUCT($C$1656:$V$1656,($C$291:$V$291=J$1703)*1,($C$6:$V$6="Praxis")*1,$C$9:$V$9,$C$81:$V$81)/SUMPRODUCT($C$1656:$V$1656,($C$291:$V$291=J$1703)*1,($C$6:$V$6="Praxis")*1,$C$9:$V$9))</f>
        <v/>
      </c>
    </row>
    <row r="2081">
      <c r="C2081" s="64">
        <f>IF(C1871=0,"",SUMPRODUCT($C$1657:$V$1657,($C$292:$V$292=C$1703)*1,($C$6:$V$6="Praxis")*1,$C$9:$V$9,$C$82:$V$82)/SUMPRODUCT($C$1657:$V$1657,($C$292:$V$292=C$1703)*1,($C$6:$V$6="Praxis")*1,$C$9:$V$9))</f>
        <v/>
      </c>
      <c r="D2081" s="64">
        <f>IF(D1871=0,"",SUMPRODUCT($C$1657:$V$1657,($C$292:$V$292=D$1703)*1,($C$6:$V$6="Praxis")*1,$C$9:$V$9,$C$82:$V$82)/SUMPRODUCT($C$1657:$V$1657,($C$292:$V$292=D$1703)*1,($C$6:$V$6="Praxis")*1,$C$9:$V$9))</f>
        <v/>
      </c>
      <c r="E2081" s="64">
        <f>IF(E1871=0,"",SUMPRODUCT($C$1657:$V$1657,($C$292:$V$292=E$1703)*1,($C$6:$V$6="Praxis")*1,$C$9:$V$9,$C$82:$V$82)/SUMPRODUCT($C$1657:$V$1657,($C$292:$V$292=E$1703)*1,($C$6:$V$6="Praxis")*1,$C$9:$V$9))</f>
        <v/>
      </c>
      <c r="F2081" s="64">
        <f>IF(F1871=0,"",SUMPRODUCT($C$1657:$V$1657,($C$292:$V$292=F$1703)*1,($C$6:$V$6="Praxis")*1,$C$9:$V$9,$C$82:$V$82)/SUMPRODUCT($C$1657:$V$1657,($C$292:$V$292=F$1703)*1,($C$6:$V$6="Praxis")*1,$C$9:$V$9))</f>
        <v/>
      </c>
      <c r="G2081" s="64">
        <f>IF(G1871=0,"",SUMPRODUCT($C$1657:$V$1657,($C$292:$V$292=G$1703)*1,($C$6:$V$6="Praxis")*1,$C$9:$V$9,$C$82:$V$82)/SUMPRODUCT($C$1657:$V$1657,($C$292:$V$292=G$1703)*1,($C$6:$V$6="Praxis")*1,$C$9:$V$9))</f>
        <v/>
      </c>
      <c r="H2081" s="64">
        <f>IF(H1871=0,"",SUMPRODUCT($C$1657:$V$1657,($C$292:$V$292=H$1703)*1,($C$6:$V$6="Praxis")*1,$C$9:$V$9,$C$82:$V$82)/SUMPRODUCT($C$1657:$V$1657,($C$292:$V$292=H$1703)*1,($C$6:$V$6="Praxis")*1,$C$9:$V$9))</f>
        <v/>
      </c>
      <c r="I2081" s="64">
        <f>IF(I1871=0,"",SUMPRODUCT($C$1657:$V$1657,($C$292:$V$292=I$1703)*1,($C$6:$V$6="Praxis")*1,$C$9:$V$9,$C$82:$V$82)/SUMPRODUCT($C$1657:$V$1657,($C$292:$V$292=I$1703)*1,($C$6:$V$6="Praxis")*1,$C$9:$V$9))</f>
        <v/>
      </c>
      <c r="J2081" s="64">
        <f>IF(J1871=0,"",SUMPRODUCT($C$1657:$V$1657,($C$292:$V$292=J$1703)*1,($C$6:$V$6="Praxis")*1,$C$9:$V$9,$C$82:$V$82)/SUMPRODUCT($C$1657:$V$1657,($C$292:$V$292=J$1703)*1,($C$6:$V$6="Praxis")*1,$C$9:$V$9))</f>
        <v/>
      </c>
    </row>
    <row r="2082">
      <c r="C2082" s="64">
        <f>IF(C1872=0,"",SUMPRODUCT($C$1658:$V$1658,($C$293:$V$293=C$1703)*1,($C$6:$V$6="Praxis")*1,$C$9:$V$9,$C$83:$V$83)/SUMPRODUCT($C$1658:$V$1658,($C$293:$V$293=C$1703)*1,($C$6:$V$6="Praxis")*1,$C$9:$V$9))</f>
        <v/>
      </c>
      <c r="D2082" s="64">
        <f>IF(D1872=0,"",SUMPRODUCT($C$1658:$V$1658,($C$293:$V$293=D$1703)*1,($C$6:$V$6="Praxis")*1,$C$9:$V$9,$C$83:$V$83)/SUMPRODUCT($C$1658:$V$1658,($C$293:$V$293=D$1703)*1,($C$6:$V$6="Praxis")*1,$C$9:$V$9))</f>
        <v/>
      </c>
      <c r="E2082" s="64">
        <f>IF(E1872=0,"",SUMPRODUCT($C$1658:$V$1658,($C$293:$V$293=E$1703)*1,($C$6:$V$6="Praxis")*1,$C$9:$V$9,$C$83:$V$83)/SUMPRODUCT($C$1658:$V$1658,($C$293:$V$293=E$1703)*1,($C$6:$V$6="Praxis")*1,$C$9:$V$9))</f>
        <v/>
      </c>
      <c r="F2082" s="64">
        <f>IF(F1872=0,"",SUMPRODUCT($C$1658:$V$1658,($C$293:$V$293=F$1703)*1,($C$6:$V$6="Praxis")*1,$C$9:$V$9,$C$83:$V$83)/SUMPRODUCT($C$1658:$V$1658,($C$293:$V$293=F$1703)*1,($C$6:$V$6="Praxis")*1,$C$9:$V$9))</f>
        <v/>
      </c>
      <c r="G2082" s="64">
        <f>IF(G1872=0,"",SUMPRODUCT($C$1658:$V$1658,($C$293:$V$293=G$1703)*1,($C$6:$V$6="Praxis")*1,$C$9:$V$9,$C$83:$V$83)/SUMPRODUCT($C$1658:$V$1658,($C$293:$V$293=G$1703)*1,($C$6:$V$6="Praxis")*1,$C$9:$V$9))</f>
        <v/>
      </c>
      <c r="H2082" s="64">
        <f>IF(H1872=0,"",SUMPRODUCT($C$1658:$V$1658,($C$293:$V$293=H$1703)*1,($C$6:$V$6="Praxis")*1,$C$9:$V$9,$C$83:$V$83)/SUMPRODUCT($C$1658:$V$1658,($C$293:$V$293=H$1703)*1,($C$6:$V$6="Praxis")*1,$C$9:$V$9))</f>
        <v/>
      </c>
      <c r="I2082" s="64">
        <f>IF(I1872=0,"",SUMPRODUCT($C$1658:$V$1658,($C$293:$V$293=I$1703)*1,($C$6:$V$6="Praxis")*1,$C$9:$V$9,$C$83:$V$83)/SUMPRODUCT($C$1658:$V$1658,($C$293:$V$293=I$1703)*1,($C$6:$V$6="Praxis")*1,$C$9:$V$9))</f>
        <v/>
      </c>
      <c r="J2082" s="64">
        <f>IF(J1872=0,"",SUMPRODUCT($C$1658:$V$1658,($C$293:$V$293=J$1703)*1,($C$6:$V$6="Praxis")*1,$C$9:$V$9,$C$83:$V$83)/SUMPRODUCT($C$1658:$V$1658,($C$293:$V$293=J$1703)*1,($C$6:$V$6="Praxis")*1,$C$9:$V$9))</f>
        <v/>
      </c>
    </row>
    <row r="2083">
      <c r="C2083" s="64">
        <f>IF(C1873=0,"",SUMPRODUCT($C$1659:$V$1659,($C$294:$V$294=C$1703)*1,($C$6:$V$6="Praxis")*1,$C$9:$V$9,$C$84:$V$84)/SUMPRODUCT($C$1659:$V$1659,($C$294:$V$294=C$1703)*1,($C$6:$V$6="Praxis")*1,$C$9:$V$9))</f>
        <v/>
      </c>
      <c r="D2083" s="64">
        <f>IF(D1873=0,"",SUMPRODUCT($C$1659:$V$1659,($C$294:$V$294=D$1703)*1,($C$6:$V$6="Praxis")*1,$C$9:$V$9,$C$84:$V$84)/SUMPRODUCT($C$1659:$V$1659,($C$294:$V$294=D$1703)*1,($C$6:$V$6="Praxis")*1,$C$9:$V$9))</f>
        <v/>
      </c>
      <c r="E2083" s="64">
        <f>IF(E1873=0,"",SUMPRODUCT($C$1659:$V$1659,($C$294:$V$294=E$1703)*1,($C$6:$V$6="Praxis")*1,$C$9:$V$9,$C$84:$V$84)/SUMPRODUCT($C$1659:$V$1659,($C$294:$V$294=E$1703)*1,($C$6:$V$6="Praxis")*1,$C$9:$V$9))</f>
        <v/>
      </c>
      <c r="F2083" s="64">
        <f>IF(F1873=0,"",SUMPRODUCT($C$1659:$V$1659,($C$294:$V$294=F$1703)*1,($C$6:$V$6="Praxis")*1,$C$9:$V$9,$C$84:$V$84)/SUMPRODUCT($C$1659:$V$1659,($C$294:$V$294=F$1703)*1,($C$6:$V$6="Praxis")*1,$C$9:$V$9))</f>
        <v/>
      </c>
      <c r="G2083" s="64">
        <f>IF(G1873=0,"",SUMPRODUCT($C$1659:$V$1659,($C$294:$V$294=G$1703)*1,($C$6:$V$6="Praxis")*1,$C$9:$V$9,$C$84:$V$84)/SUMPRODUCT($C$1659:$V$1659,($C$294:$V$294=G$1703)*1,($C$6:$V$6="Praxis")*1,$C$9:$V$9))</f>
        <v/>
      </c>
      <c r="H2083" s="64">
        <f>IF(H1873=0,"",SUMPRODUCT($C$1659:$V$1659,($C$294:$V$294=H$1703)*1,($C$6:$V$6="Praxis")*1,$C$9:$V$9,$C$84:$V$84)/SUMPRODUCT($C$1659:$V$1659,($C$294:$V$294=H$1703)*1,($C$6:$V$6="Praxis")*1,$C$9:$V$9))</f>
        <v/>
      </c>
      <c r="I2083" s="64">
        <f>IF(I1873=0,"",SUMPRODUCT($C$1659:$V$1659,($C$294:$V$294=I$1703)*1,($C$6:$V$6="Praxis")*1,$C$9:$V$9,$C$84:$V$84)/SUMPRODUCT($C$1659:$V$1659,($C$294:$V$294=I$1703)*1,($C$6:$V$6="Praxis")*1,$C$9:$V$9))</f>
        <v/>
      </c>
      <c r="J2083" s="64">
        <f>IF(J1873=0,"",SUMPRODUCT($C$1659:$V$1659,($C$294:$V$294=J$1703)*1,($C$6:$V$6="Praxis")*1,$C$9:$V$9,$C$84:$V$84)/SUMPRODUCT($C$1659:$V$1659,($C$294:$V$294=J$1703)*1,($C$6:$V$6="Praxis")*1,$C$9:$V$9))</f>
        <v/>
      </c>
    </row>
    <row r="2084">
      <c r="C2084" s="64">
        <f>IF(C1874=0,"",SUMPRODUCT($C$1660:$V$1660,($C$295:$V$295=C$1703)*1,($C$6:$V$6="Praxis")*1,$C$9:$V$9,$C$85:$V$85)/SUMPRODUCT($C$1660:$V$1660,($C$295:$V$295=C$1703)*1,($C$6:$V$6="Praxis")*1,$C$9:$V$9))</f>
        <v/>
      </c>
      <c r="D2084" s="64">
        <f>IF(D1874=0,"",SUMPRODUCT($C$1660:$V$1660,($C$295:$V$295=D$1703)*1,($C$6:$V$6="Praxis")*1,$C$9:$V$9,$C$85:$V$85)/SUMPRODUCT($C$1660:$V$1660,($C$295:$V$295=D$1703)*1,($C$6:$V$6="Praxis")*1,$C$9:$V$9))</f>
        <v/>
      </c>
      <c r="E2084" s="64">
        <f>IF(E1874=0,"",SUMPRODUCT($C$1660:$V$1660,($C$295:$V$295=E$1703)*1,($C$6:$V$6="Praxis")*1,$C$9:$V$9,$C$85:$V$85)/SUMPRODUCT($C$1660:$V$1660,($C$295:$V$295=E$1703)*1,($C$6:$V$6="Praxis")*1,$C$9:$V$9))</f>
        <v/>
      </c>
      <c r="F2084" s="64">
        <f>IF(F1874=0,"",SUMPRODUCT($C$1660:$V$1660,($C$295:$V$295=F$1703)*1,($C$6:$V$6="Praxis")*1,$C$9:$V$9,$C$85:$V$85)/SUMPRODUCT($C$1660:$V$1660,($C$295:$V$295=F$1703)*1,($C$6:$V$6="Praxis")*1,$C$9:$V$9))</f>
        <v/>
      </c>
      <c r="G2084" s="64">
        <f>IF(G1874=0,"",SUMPRODUCT($C$1660:$V$1660,($C$295:$V$295=G$1703)*1,($C$6:$V$6="Praxis")*1,$C$9:$V$9,$C$85:$V$85)/SUMPRODUCT($C$1660:$V$1660,($C$295:$V$295=G$1703)*1,($C$6:$V$6="Praxis")*1,$C$9:$V$9))</f>
        <v/>
      </c>
      <c r="H2084" s="64">
        <f>IF(H1874=0,"",SUMPRODUCT($C$1660:$V$1660,($C$295:$V$295=H$1703)*1,($C$6:$V$6="Praxis")*1,$C$9:$V$9,$C$85:$V$85)/SUMPRODUCT($C$1660:$V$1660,($C$295:$V$295=H$1703)*1,($C$6:$V$6="Praxis")*1,$C$9:$V$9))</f>
        <v/>
      </c>
      <c r="I2084" s="64">
        <f>IF(I1874=0,"",SUMPRODUCT($C$1660:$V$1660,($C$295:$V$295=I$1703)*1,($C$6:$V$6="Praxis")*1,$C$9:$V$9,$C$85:$V$85)/SUMPRODUCT($C$1660:$V$1660,($C$295:$V$295=I$1703)*1,($C$6:$V$6="Praxis")*1,$C$9:$V$9))</f>
        <v/>
      </c>
      <c r="J2084" s="64">
        <f>IF(J1874=0,"",SUMPRODUCT($C$1660:$V$1660,($C$295:$V$295=J$1703)*1,($C$6:$V$6="Praxis")*1,$C$9:$V$9,$C$85:$V$85)/SUMPRODUCT($C$1660:$V$1660,($C$295:$V$295=J$1703)*1,($C$6:$V$6="Praxis")*1,$C$9:$V$9))</f>
        <v/>
      </c>
    </row>
    <row r="2085">
      <c r="C2085" s="64">
        <f>IF(C1875=0,"",SUMPRODUCT($C$1661:$V$1661,($C$296:$V$296=C$1703)*1,($C$6:$V$6="Praxis")*1,$C$9:$V$9,$C$86:$V$86)/SUMPRODUCT($C$1661:$V$1661,($C$296:$V$296=C$1703)*1,($C$6:$V$6="Praxis")*1,$C$9:$V$9))</f>
        <v/>
      </c>
      <c r="D2085" s="64">
        <f>IF(D1875=0,"",SUMPRODUCT($C$1661:$V$1661,($C$296:$V$296=D$1703)*1,($C$6:$V$6="Praxis")*1,$C$9:$V$9,$C$86:$V$86)/SUMPRODUCT($C$1661:$V$1661,($C$296:$V$296=D$1703)*1,($C$6:$V$6="Praxis")*1,$C$9:$V$9))</f>
        <v/>
      </c>
      <c r="E2085" s="64">
        <f>IF(E1875=0,"",SUMPRODUCT($C$1661:$V$1661,($C$296:$V$296=E$1703)*1,($C$6:$V$6="Praxis")*1,$C$9:$V$9,$C$86:$V$86)/SUMPRODUCT($C$1661:$V$1661,($C$296:$V$296=E$1703)*1,($C$6:$V$6="Praxis")*1,$C$9:$V$9))</f>
        <v/>
      </c>
      <c r="F2085" s="64">
        <f>IF(F1875=0,"",SUMPRODUCT($C$1661:$V$1661,($C$296:$V$296=F$1703)*1,($C$6:$V$6="Praxis")*1,$C$9:$V$9,$C$86:$V$86)/SUMPRODUCT($C$1661:$V$1661,($C$296:$V$296=F$1703)*1,($C$6:$V$6="Praxis")*1,$C$9:$V$9))</f>
        <v/>
      </c>
      <c r="G2085" s="64">
        <f>IF(G1875=0,"",SUMPRODUCT($C$1661:$V$1661,($C$296:$V$296=G$1703)*1,($C$6:$V$6="Praxis")*1,$C$9:$V$9,$C$86:$V$86)/SUMPRODUCT($C$1661:$V$1661,($C$296:$V$296=G$1703)*1,($C$6:$V$6="Praxis")*1,$C$9:$V$9))</f>
        <v/>
      </c>
      <c r="H2085" s="64">
        <f>IF(H1875=0,"",SUMPRODUCT($C$1661:$V$1661,($C$296:$V$296=H$1703)*1,($C$6:$V$6="Praxis")*1,$C$9:$V$9,$C$86:$V$86)/SUMPRODUCT($C$1661:$V$1661,($C$296:$V$296=H$1703)*1,($C$6:$V$6="Praxis")*1,$C$9:$V$9))</f>
        <v/>
      </c>
      <c r="I2085" s="64">
        <f>IF(I1875=0,"",SUMPRODUCT($C$1661:$V$1661,($C$296:$V$296=I$1703)*1,($C$6:$V$6="Praxis")*1,$C$9:$V$9,$C$86:$V$86)/SUMPRODUCT($C$1661:$V$1661,($C$296:$V$296=I$1703)*1,($C$6:$V$6="Praxis")*1,$C$9:$V$9))</f>
        <v/>
      </c>
      <c r="J2085" s="64">
        <f>IF(J1875=0,"",SUMPRODUCT($C$1661:$V$1661,($C$296:$V$296=J$1703)*1,($C$6:$V$6="Praxis")*1,$C$9:$V$9,$C$86:$V$86)/SUMPRODUCT($C$1661:$V$1661,($C$296:$V$296=J$1703)*1,($C$6:$V$6="Praxis")*1,$C$9:$V$9))</f>
        <v/>
      </c>
    </row>
    <row r="2086">
      <c r="C2086" s="64">
        <f>IF(C1876=0,"",SUMPRODUCT($C$1662:$V$1662,($C$297:$V$297=C$1703)*1,($C$6:$V$6="Praxis")*1,$C$9:$V$9,$C$87:$V$87)/SUMPRODUCT($C$1662:$V$1662,($C$297:$V$297=C$1703)*1,($C$6:$V$6="Praxis")*1,$C$9:$V$9))</f>
        <v/>
      </c>
      <c r="D2086" s="64">
        <f>IF(D1876=0,"",SUMPRODUCT($C$1662:$V$1662,($C$297:$V$297=D$1703)*1,($C$6:$V$6="Praxis")*1,$C$9:$V$9,$C$87:$V$87)/SUMPRODUCT($C$1662:$V$1662,($C$297:$V$297=D$1703)*1,($C$6:$V$6="Praxis")*1,$C$9:$V$9))</f>
        <v/>
      </c>
      <c r="E2086" s="64">
        <f>IF(E1876=0,"",SUMPRODUCT($C$1662:$V$1662,($C$297:$V$297=E$1703)*1,($C$6:$V$6="Praxis")*1,$C$9:$V$9,$C$87:$V$87)/SUMPRODUCT($C$1662:$V$1662,($C$297:$V$297=E$1703)*1,($C$6:$V$6="Praxis")*1,$C$9:$V$9))</f>
        <v/>
      </c>
      <c r="F2086" s="64">
        <f>IF(F1876=0,"",SUMPRODUCT($C$1662:$V$1662,($C$297:$V$297=F$1703)*1,($C$6:$V$6="Praxis")*1,$C$9:$V$9,$C$87:$V$87)/SUMPRODUCT($C$1662:$V$1662,($C$297:$V$297=F$1703)*1,($C$6:$V$6="Praxis")*1,$C$9:$V$9))</f>
        <v/>
      </c>
      <c r="G2086" s="64">
        <f>IF(G1876=0,"",SUMPRODUCT($C$1662:$V$1662,($C$297:$V$297=G$1703)*1,($C$6:$V$6="Praxis")*1,$C$9:$V$9,$C$87:$V$87)/SUMPRODUCT($C$1662:$V$1662,($C$297:$V$297=G$1703)*1,($C$6:$V$6="Praxis")*1,$C$9:$V$9))</f>
        <v/>
      </c>
      <c r="H2086" s="64">
        <f>IF(H1876=0,"",SUMPRODUCT($C$1662:$V$1662,($C$297:$V$297=H$1703)*1,($C$6:$V$6="Praxis")*1,$C$9:$V$9,$C$87:$V$87)/SUMPRODUCT($C$1662:$V$1662,($C$297:$V$297=H$1703)*1,($C$6:$V$6="Praxis")*1,$C$9:$V$9))</f>
        <v/>
      </c>
      <c r="I2086" s="64">
        <f>IF(I1876=0,"",SUMPRODUCT($C$1662:$V$1662,($C$297:$V$297=I$1703)*1,($C$6:$V$6="Praxis")*1,$C$9:$V$9,$C$87:$V$87)/SUMPRODUCT($C$1662:$V$1662,($C$297:$V$297=I$1703)*1,($C$6:$V$6="Praxis")*1,$C$9:$V$9))</f>
        <v/>
      </c>
      <c r="J2086" s="64">
        <f>IF(J1876=0,"",SUMPRODUCT($C$1662:$V$1662,($C$297:$V$297=J$1703)*1,($C$6:$V$6="Praxis")*1,$C$9:$V$9,$C$87:$V$87)/SUMPRODUCT($C$1662:$V$1662,($C$297:$V$297=J$1703)*1,($C$6:$V$6="Praxis")*1,$C$9:$V$9))</f>
        <v/>
      </c>
    </row>
    <row r="2087">
      <c r="C2087" s="64">
        <f>IF(C1877=0,"",SUMPRODUCT($C$1663:$V$1663,($C$298:$V$298=C$1703)*1,($C$6:$V$6="Praxis")*1,$C$9:$V$9,$C$88:$V$88)/SUMPRODUCT($C$1663:$V$1663,($C$298:$V$298=C$1703)*1,($C$6:$V$6="Praxis")*1,$C$9:$V$9))</f>
        <v/>
      </c>
      <c r="D2087" s="64">
        <f>IF(D1877=0,"",SUMPRODUCT($C$1663:$V$1663,($C$298:$V$298=D$1703)*1,($C$6:$V$6="Praxis")*1,$C$9:$V$9,$C$88:$V$88)/SUMPRODUCT($C$1663:$V$1663,($C$298:$V$298=D$1703)*1,($C$6:$V$6="Praxis")*1,$C$9:$V$9))</f>
        <v/>
      </c>
      <c r="E2087" s="64">
        <f>IF(E1877=0,"",SUMPRODUCT($C$1663:$V$1663,($C$298:$V$298=E$1703)*1,($C$6:$V$6="Praxis")*1,$C$9:$V$9,$C$88:$V$88)/SUMPRODUCT($C$1663:$V$1663,($C$298:$V$298=E$1703)*1,($C$6:$V$6="Praxis")*1,$C$9:$V$9))</f>
        <v/>
      </c>
      <c r="F2087" s="64">
        <f>IF(F1877=0,"",SUMPRODUCT($C$1663:$V$1663,($C$298:$V$298=F$1703)*1,($C$6:$V$6="Praxis")*1,$C$9:$V$9,$C$88:$V$88)/SUMPRODUCT($C$1663:$V$1663,($C$298:$V$298=F$1703)*1,($C$6:$V$6="Praxis")*1,$C$9:$V$9))</f>
        <v/>
      </c>
      <c r="G2087" s="64">
        <f>IF(G1877=0,"",SUMPRODUCT($C$1663:$V$1663,($C$298:$V$298=G$1703)*1,($C$6:$V$6="Praxis")*1,$C$9:$V$9,$C$88:$V$88)/SUMPRODUCT($C$1663:$V$1663,($C$298:$V$298=G$1703)*1,($C$6:$V$6="Praxis")*1,$C$9:$V$9))</f>
        <v/>
      </c>
      <c r="H2087" s="64">
        <f>IF(H1877=0,"",SUMPRODUCT($C$1663:$V$1663,($C$298:$V$298=H$1703)*1,($C$6:$V$6="Praxis")*1,$C$9:$V$9,$C$88:$V$88)/SUMPRODUCT($C$1663:$V$1663,($C$298:$V$298=H$1703)*1,($C$6:$V$6="Praxis")*1,$C$9:$V$9))</f>
        <v/>
      </c>
      <c r="I2087" s="64">
        <f>IF(I1877=0,"",SUMPRODUCT($C$1663:$V$1663,($C$298:$V$298=I$1703)*1,($C$6:$V$6="Praxis")*1,$C$9:$V$9,$C$88:$V$88)/SUMPRODUCT($C$1663:$V$1663,($C$298:$V$298=I$1703)*1,($C$6:$V$6="Praxis")*1,$C$9:$V$9))</f>
        <v/>
      </c>
      <c r="J2087" s="64">
        <f>IF(J1877=0,"",SUMPRODUCT($C$1663:$V$1663,($C$298:$V$298=J$1703)*1,($C$6:$V$6="Praxis")*1,$C$9:$V$9,$C$88:$V$88)/SUMPRODUCT($C$1663:$V$1663,($C$298:$V$298=J$1703)*1,($C$6:$V$6="Praxis")*1,$C$9:$V$9))</f>
        <v/>
      </c>
    </row>
    <row r="2088">
      <c r="C2088" s="64">
        <f>IF(C1878=0,"",SUMPRODUCT($C$1664:$V$1664,($C$299:$V$299=C$1703)*1,($C$6:$V$6="Praxis")*1,$C$9:$V$9,$C$89:$V$89)/SUMPRODUCT($C$1664:$V$1664,($C$299:$V$299=C$1703)*1,($C$6:$V$6="Praxis")*1,$C$9:$V$9))</f>
        <v/>
      </c>
      <c r="D2088" s="64">
        <f>IF(D1878=0,"",SUMPRODUCT($C$1664:$V$1664,($C$299:$V$299=D$1703)*1,($C$6:$V$6="Praxis")*1,$C$9:$V$9,$C$89:$V$89)/SUMPRODUCT($C$1664:$V$1664,($C$299:$V$299=D$1703)*1,($C$6:$V$6="Praxis")*1,$C$9:$V$9))</f>
        <v/>
      </c>
      <c r="E2088" s="64">
        <f>IF(E1878=0,"",SUMPRODUCT($C$1664:$V$1664,($C$299:$V$299=E$1703)*1,($C$6:$V$6="Praxis")*1,$C$9:$V$9,$C$89:$V$89)/SUMPRODUCT($C$1664:$V$1664,($C$299:$V$299=E$1703)*1,($C$6:$V$6="Praxis")*1,$C$9:$V$9))</f>
        <v/>
      </c>
      <c r="F2088" s="64">
        <f>IF(F1878=0,"",SUMPRODUCT($C$1664:$V$1664,($C$299:$V$299=F$1703)*1,($C$6:$V$6="Praxis")*1,$C$9:$V$9,$C$89:$V$89)/SUMPRODUCT($C$1664:$V$1664,($C$299:$V$299=F$1703)*1,($C$6:$V$6="Praxis")*1,$C$9:$V$9))</f>
        <v/>
      </c>
      <c r="G2088" s="64">
        <f>IF(G1878=0,"",SUMPRODUCT($C$1664:$V$1664,($C$299:$V$299=G$1703)*1,($C$6:$V$6="Praxis")*1,$C$9:$V$9,$C$89:$V$89)/SUMPRODUCT($C$1664:$V$1664,($C$299:$V$299=G$1703)*1,($C$6:$V$6="Praxis")*1,$C$9:$V$9))</f>
        <v/>
      </c>
      <c r="H2088" s="64">
        <f>IF(H1878=0,"",SUMPRODUCT($C$1664:$V$1664,($C$299:$V$299=H$1703)*1,($C$6:$V$6="Praxis")*1,$C$9:$V$9,$C$89:$V$89)/SUMPRODUCT($C$1664:$V$1664,($C$299:$V$299=H$1703)*1,($C$6:$V$6="Praxis")*1,$C$9:$V$9))</f>
        <v/>
      </c>
      <c r="I2088" s="64">
        <f>IF(I1878=0,"",SUMPRODUCT($C$1664:$V$1664,($C$299:$V$299=I$1703)*1,($C$6:$V$6="Praxis")*1,$C$9:$V$9,$C$89:$V$89)/SUMPRODUCT($C$1664:$V$1664,($C$299:$V$299=I$1703)*1,($C$6:$V$6="Praxis")*1,$C$9:$V$9))</f>
        <v/>
      </c>
      <c r="J2088" s="64">
        <f>IF(J1878=0,"",SUMPRODUCT($C$1664:$V$1664,($C$299:$V$299=J$1703)*1,($C$6:$V$6="Praxis")*1,$C$9:$V$9,$C$89:$V$89)/SUMPRODUCT($C$1664:$V$1664,($C$299:$V$299=J$1703)*1,($C$6:$V$6="Praxis")*1,$C$9:$V$9))</f>
        <v/>
      </c>
    </row>
    <row r="2089">
      <c r="C2089" s="64">
        <f>IF(C1879=0,"",SUMPRODUCT($C$1665:$V$1665,($C$300:$V$300=C$1703)*1,($C$6:$V$6="Praxis")*1,$C$9:$V$9,$C$90:$V$90)/SUMPRODUCT($C$1665:$V$1665,($C$300:$V$300=C$1703)*1,($C$6:$V$6="Praxis")*1,$C$9:$V$9))</f>
        <v/>
      </c>
      <c r="D2089" s="64">
        <f>IF(D1879=0,"",SUMPRODUCT($C$1665:$V$1665,($C$300:$V$300=D$1703)*1,($C$6:$V$6="Praxis")*1,$C$9:$V$9,$C$90:$V$90)/SUMPRODUCT($C$1665:$V$1665,($C$300:$V$300=D$1703)*1,($C$6:$V$6="Praxis")*1,$C$9:$V$9))</f>
        <v/>
      </c>
      <c r="E2089" s="64">
        <f>IF(E1879=0,"",SUMPRODUCT($C$1665:$V$1665,($C$300:$V$300=E$1703)*1,($C$6:$V$6="Praxis")*1,$C$9:$V$9,$C$90:$V$90)/SUMPRODUCT($C$1665:$V$1665,($C$300:$V$300=E$1703)*1,($C$6:$V$6="Praxis")*1,$C$9:$V$9))</f>
        <v/>
      </c>
      <c r="F2089" s="64">
        <f>IF(F1879=0,"",SUMPRODUCT($C$1665:$V$1665,($C$300:$V$300=F$1703)*1,($C$6:$V$6="Praxis")*1,$C$9:$V$9,$C$90:$V$90)/SUMPRODUCT($C$1665:$V$1665,($C$300:$V$300=F$1703)*1,($C$6:$V$6="Praxis")*1,$C$9:$V$9))</f>
        <v/>
      </c>
      <c r="G2089" s="64">
        <f>IF(G1879=0,"",SUMPRODUCT($C$1665:$V$1665,($C$300:$V$300=G$1703)*1,($C$6:$V$6="Praxis")*1,$C$9:$V$9,$C$90:$V$90)/SUMPRODUCT($C$1665:$V$1665,($C$300:$V$300=G$1703)*1,($C$6:$V$6="Praxis")*1,$C$9:$V$9))</f>
        <v/>
      </c>
      <c r="H2089" s="64">
        <f>IF(H1879=0,"",SUMPRODUCT($C$1665:$V$1665,($C$300:$V$300=H$1703)*1,($C$6:$V$6="Praxis")*1,$C$9:$V$9,$C$90:$V$90)/SUMPRODUCT($C$1665:$V$1665,($C$300:$V$300=H$1703)*1,($C$6:$V$6="Praxis")*1,$C$9:$V$9))</f>
        <v/>
      </c>
      <c r="I2089" s="64">
        <f>IF(I1879=0,"",SUMPRODUCT($C$1665:$V$1665,($C$300:$V$300=I$1703)*1,($C$6:$V$6="Praxis")*1,$C$9:$V$9,$C$90:$V$90)/SUMPRODUCT($C$1665:$V$1665,($C$300:$V$300=I$1703)*1,($C$6:$V$6="Praxis")*1,$C$9:$V$9))</f>
        <v/>
      </c>
      <c r="J2089" s="64">
        <f>IF(J1879=0,"",SUMPRODUCT($C$1665:$V$1665,($C$300:$V$300=J$1703)*1,($C$6:$V$6="Praxis")*1,$C$9:$V$9,$C$90:$V$90)/SUMPRODUCT($C$1665:$V$1665,($C$300:$V$300=J$1703)*1,($C$6:$V$6="Praxis")*1,$C$9:$V$9))</f>
        <v/>
      </c>
    </row>
    <row r="2090">
      <c r="C2090" s="64">
        <f>IF(C1880=0,"",SUMPRODUCT($C$1666:$V$1666,($C$301:$V$301=C$1703)*1,($C$6:$V$6="Praxis")*1,$C$9:$V$9,$C$91:$V$91)/SUMPRODUCT($C$1666:$V$1666,($C$301:$V$301=C$1703)*1,($C$6:$V$6="Praxis")*1,$C$9:$V$9))</f>
        <v/>
      </c>
      <c r="D2090" s="64">
        <f>IF(D1880=0,"",SUMPRODUCT($C$1666:$V$1666,($C$301:$V$301=D$1703)*1,($C$6:$V$6="Praxis")*1,$C$9:$V$9,$C$91:$V$91)/SUMPRODUCT($C$1666:$V$1666,($C$301:$V$301=D$1703)*1,($C$6:$V$6="Praxis")*1,$C$9:$V$9))</f>
        <v/>
      </c>
      <c r="E2090" s="64">
        <f>IF(E1880=0,"",SUMPRODUCT($C$1666:$V$1666,($C$301:$V$301=E$1703)*1,($C$6:$V$6="Praxis")*1,$C$9:$V$9,$C$91:$V$91)/SUMPRODUCT($C$1666:$V$1666,($C$301:$V$301=E$1703)*1,($C$6:$V$6="Praxis")*1,$C$9:$V$9))</f>
        <v/>
      </c>
      <c r="F2090" s="64">
        <f>IF(F1880=0,"",SUMPRODUCT($C$1666:$V$1666,($C$301:$V$301=F$1703)*1,($C$6:$V$6="Praxis")*1,$C$9:$V$9,$C$91:$V$91)/SUMPRODUCT($C$1666:$V$1666,($C$301:$V$301=F$1703)*1,($C$6:$V$6="Praxis")*1,$C$9:$V$9))</f>
        <v/>
      </c>
      <c r="G2090" s="64">
        <f>IF(G1880=0,"",SUMPRODUCT($C$1666:$V$1666,($C$301:$V$301=G$1703)*1,($C$6:$V$6="Praxis")*1,$C$9:$V$9,$C$91:$V$91)/SUMPRODUCT($C$1666:$V$1666,($C$301:$V$301=G$1703)*1,($C$6:$V$6="Praxis")*1,$C$9:$V$9))</f>
        <v/>
      </c>
      <c r="H2090" s="64">
        <f>IF(H1880=0,"",SUMPRODUCT($C$1666:$V$1666,($C$301:$V$301=H$1703)*1,($C$6:$V$6="Praxis")*1,$C$9:$V$9,$C$91:$V$91)/SUMPRODUCT($C$1666:$V$1666,($C$301:$V$301=H$1703)*1,($C$6:$V$6="Praxis")*1,$C$9:$V$9))</f>
        <v/>
      </c>
      <c r="I2090" s="64">
        <f>IF(I1880=0,"",SUMPRODUCT($C$1666:$V$1666,($C$301:$V$301=I$1703)*1,($C$6:$V$6="Praxis")*1,$C$9:$V$9,$C$91:$V$91)/SUMPRODUCT($C$1666:$V$1666,($C$301:$V$301=I$1703)*1,($C$6:$V$6="Praxis")*1,$C$9:$V$9))</f>
        <v/>
      </c>
      <c r="J2090" s="64">
        <f>IF(J1880=0,"",SUMPRODUCT($C$1666:$V$1666,($C$301:$V$301=J$1703)*1,($C$6:$V$6="Praxis")*1,$C$9:$V$9,$C$91:$V$91)/SUMPRODUCT($C$1666:$V$1666,($C$301:$V$301=J$1703)*1,($C$6:$V$6="Praxis")*1,$C$9:$V$9))</f>
        <v/>
      </c>
    </row>
    <row r="2091">
      <c r="C2091" s="64">
        <f>IF(C1881=0,"",SUMPRODUCT($C$1667:$V$1667,($C$302:$V$302=C$1703)*1,($C$6:$V$6="Praxis")*1,$C$9:$V$9,$C$92:$V$92)/SUMPRODUCT($C$1667:$V$1667,($C$302:$V$302=C$1703)*1,($C$6:$V$6="Praxis")*1,$C$9:$V$9))</f>
        <v/>
      </c>
      <c r="D2091" s="64">
        <f>IF(D1881=0,"",SUMPRODUCT($C$1667:$V$1667,($C$302:$V$302=D$1703)*1,($C$6:$V$6="Praxis")*1,$C$9:$V$9,$C$92:$V$92)/SUMPRODUCT($C$1667:$V$1667,($C$302:$V$302=D$1703)*1,($C$6:$V$6="Praxis")*1,$C$9:$V$9))</f>
        <v/>
      </c>
      <c r="E2091" s="64">
        <f>IF(E1881=0,"",SUMPRODUCT($C$1667:$V$1667,($C$302:$V$302=E$1703)*1,($C$6:$V$6="Praxis")*1,$C$9:$V$9,$C$92:$V$92)/SUMPRODUCT($C$1667:$V$1667,($C$302:$V$302=E$1703)*1,($C$6:$V$6="Praxis")*1,$C$9:$V$9))</f>
        <v/>
      </c>
      <c r="F2091" s="64">
        <f>IF(F1881=0,"",SUMPRODUCT($C$1667:$V$1667,($C$302:$V$302=F$1703)*1,($C$6:$V$6="Praxis")*1,$C$9:$V$9,$C$92:$V$92)/SUMPRODUCT($C$1667:$V$1667,($C$302:$V$302=F$1703)*1,($C$6:$V$6="Praxis")*1,$C$9:$V$9))</f>
        <v/>
      </c>
      <c r="G2091" s="64">
        <f>IF(G1881=0,"",SUMPRODUCT($C$1667:$V$1667,($C$302:$V$302=G$1703)*1,($C$6:$V$6="Praxis")*1,$C$9:$V$9,$C$92:$V$92)/SUMPRODUCT($C$1667:$V$1667,($C$302:$V$302=G$1703)*1,($C$6:$V$6="Praxis")*1,$C$9:$V$9))</f>
        <v/>
      </c>
      <c r="H2091" s="64">
        <f>IF(H1881=0,"",SUMPRODUCT($C$1667:$V$1667,($C$302:$V$302=H$1703)*1,($C$6:$V$6="Praxis")*1,$C$9:$V$9,$C$92:$V$92)/SUMPRODUCT($C$1667:$V$1667,($C$302:$V$302=H$1703)*1,($C$6:$V$6="Praxis")*1,$C$9:$V$9))</f>
        <v/>
      </c>
      <c r="I2091" s="64">
        <f>IF(I1881=0,"",SUMPRODUCT($C$1667:$V$1667,($C$302:$V$302=I$1703)*1,($C$6:$V$6="Praxis")*1,$C$9:$V$9,$C$92:$V$92)/SUMPRODUCT($C$1667:$V$1667,($C$302:$V$302=I$1703)*1,($C$6:$V$6="Praxis")*1,$C$9:$V$9))</f>
        <v/>
      </c>
      <c r="J2091" s="64">
        <f>IF(J1881=0,"",SUMPRODUCT($C$1667:$V$1667,($C$302:$V$302=J$1703)*1,($C$6:$V$6="Praxis")*1,$C$9:$V$9,$C$92:$V$92)/SUMPRODUCT($C$1667:$V$1667,($C$302:$V$302=J$1703)*1,($C$6:$V$6="Praxis")*1,$C$9:$V$9))</f>
        <v/>
      </c>
    </row>
    <row r="2092">
      <c r="C2092" s="64">
        <f>IF(C1882=0,"",SUMPRODUCT($C$1668:$V$1668,($C$303:$V$303=C$1703)*1,($C$6:$V$6="Praxis")*1,$C$9:$V$9,$C$93:$V$93)/SUMPRODUCT($C$1668:$V$1668,($C$303:$V$303=C$1703)*1,($C$6:$V$6="Praxis")*1,$C$9:$V$9))</f>
        <v/>
      </c>
      <c r="D2092" s="64">
        <f>IF(D1882=0,"",SUMPRODUCT($C$1668:$V$1668,($C$303:$V$303=D$1703)*1,($C$6:$V$6="Praxis")*1,$C$9:$V$9,$C$93:$V$93)/SUMPRODUCT($C$1668:$V$1668,($C$303:$V$303=D$1703)*1,($C$6:$V$6="Praxis")*1,$C$9:$V$9))</f>
        <v/>
      </c>
      <c r="E2092" s="64">
        <f>IF(E1882=0,"",SUMPRODUCT($C$1668:$V$1668,($C$303:$V$303=E$1703)*1,($C$6:$V$6="Praxis")*1,$C$9:$V$9,$C$93:$V$93)/SUMPRODUCT($C$1668:$V$1668,($C$303:$V$303=E$1703)*1,($C$6:$V$6="Praxis")*1,$C$9:$V$9))</f>
        <v/>
      </c>
      <c r="F2092" s="64">
        <f>IF(F1882=0,"",SUMPRODUCT($C$1668:$V$1668,($C$303:$V$303=F$1703)*1,($C$6:$V$6="Praxis")*1,$C$9:$V$9,$C$93:$V$93)/SUMPRODUCT($C$1668:$V$1668,($C$303:$V$303=F$1703)*1,($C$6:$V$6="Praxis")*1,$C$9:$V$9))</f>
        <v/>
      </c>
      <c r="G2092" s="64">
        <f>IF(G1882=0,"",SUMPRODUCT($C$1668:$V$1668,($C$303:$V$303=G$1703)*1,($C$6:$V$6="Praxis")*1,$C$9:$V$9,$C$93:$V$93)/SUMPRODUCT($C$1668:$V$1668,($C$303:$V$303=G$1703)*1,($C$6:$V$6="Praxis")*1,$C$9:$V$9))</f>
        <v/>
      </c>
      <c r="H2092" s="64">
        <f>IF(H1882=0,"",SUMPRODUCT($C$1668:$V$1668,($C$303:$V$303=H$1703)*1,($C$6:$V$6="Praxis")*1,$C$9:$V$9,$C$93:$V$93)/SUMPRODUCT($C$1668:$V$1668,($C$303:$V$303=H$1703)*1,($C$6:$V$6="Praxis")*1,$C$9:$V$9))</f>
        <v/>
      </c>
      <c r="I2092" s="64">
        <f>IF(I1882=0,"",SUMPRODUCT($C$1668:$V$1668,($C$303:$V$303=I$1703)*1,($C$6:$V$6="Praxis")*1,$C$9:$V$9,$C$93:$V$93)/SUMPRODUCT($C$1668:$V$1668,($C$303:$V$303=I$1703)*1,($C$6:$V$6="Praxis")*1,$C$9:$V$9))</f>
        <v/>
      </c>
      <c r="J2092" s="64">
        <f>IF(J1882=0,"",SUMPRODUCT($C$1668:$V$1668,($C$303:$V$303=J$1703)*1,($C$6:$V$6="Praxis")*1,$C$9:$V$9,$C$93:$V$93)/SUMPRODUCT($C$1668:$V$1668,($C$303:$V$303=J$1703)*1,($C$6:$V$6="Praxis")*1,$C$9:$V$9))</f>
        <v/>
      </c>
    </row>
    <row r="2093">
      <c r="C2093" s="64">
        <f>IF(C1883=0,"",SUMPRODUCT($C$1669:$V$1669,($C$304:$V$304=C$1703)*1,($C$6:$V$6="Praxis")*1,$C$9:$V$9,$C$94:$V$94)/SUMPRODUCT($C$1669:$V$1669,($C$304:$V$304=C$1703)*1,($C$6:$V$6="Praxis")*1,$C$9:$V$9))</f>
        <v/>
      </c>
      <c r="D2093" s="64">
        <f>IF(D1883=0,"",SUMPRODUCT($C$1669:$V$1669,($C$304:$V$304=D$1703)*1,($C$6:$V$6="Praxis")*1,$C$9:$V$9,$C$94:$V$94)/SUMPRODUCT($C$1669:$V$1669,($C$304:$V$304=D$1703)*1,($C$6:$V$6="Praxis")*1,$C$9:$V$9))</f>
        <v/>
      </c>
      <c r="E2093" s="64">
        <f>IF(E1883=0,"",SUMPRODUCT($C$1669:$V$1669,($C$304:$V$304=E$1703)*1,($C$6:$V$6="Praxis")*1,$C$9:$V$9,$C$94:$V$94)/SUMPRODUCT($C$1669:$V$1669,($C$304:$V$304=E$1703)*1,($C$6:$V$6="Praxis")*1,$C$9:$V$9))</f>
        <v/>
      </c>
      <c r="F2093" s="64">
        <f>IF(F1883=0,"",SUMPRODUCT($C$1669:$V$1669,($C$304:$V$304=F$1703)*1,($C$6:$V$6="Praxis")*1,$C$9:$V$9,$C$94:$V$94)/SUMPRODUCT($C$1669:$V$1669,($C$304:$V$304=F$1703)*1,($C$6:$V$6="Praxis")*1,$C$9:$V$9))</f>
        <v/>
      </c>
      <c r="G2093" s="64">
        <f>IF(G1883=0,"",SUMPRODUCT($C$1669:$V$1669,($C$304:$V$304=G$1703)*1,($C$6:$V$6="Praxis")*1,$C$9:$V$9,$C$94:$V$94)/SUMPRODUCT($C$1669:$V$1669,($C$304:$V$304=G$1703)*1,($C$6:$V$6="Praxis")*1,$C$9:$V$9))</f>
        <v/>
      </c>
      <c r="H2093" s="64">
        <f>IF(H1883=0,"",SUMPRODUCT($C$1669:$V$1669,($C$304:$V$304=H$1703)*1,($C$6:$V$6="Praxis")*1,$C$9:$V$9,$C$94:$V$94)/SUMPRODUCT($C$1669:$V$1669,($C$304:$V$304=H$1703)*1,($C$6:$V$6="Praxis")*1,$C$9:$V$9))</f>
        <v/>
      </c>
      <c r="I2093" s="64">
        <f>IF(I1883=0,"",SUMPRODUCT($C$1669:$V$1669,($C$304:$V$304=I$1703)*1,($C$6:$V$6="Praxis")*1,$C$9:$V$9,$C$94:$V$94)/SUMPRODUCT($C$1669:$V$1669,($C$304:$V$304=I$1703)*1,($C$6:$V$6="Praxis")*1,$C$9:$V$9))</f>
        <v/>
      </c>
      <c r="J2093" s="64">
        <f>IF(J1883=0,"",SUMPRODUCT($C$1669:$V$1669,($C$304:$V$304=J$1703)*1,($C$6:$V$6="Praxis")*1,$C$9:$V$9,$C$94:$V$94)/SUMPRODUCT($C$1669:$V$1669,($C$304:$V$304=J$1703)*1,($C$6:$V$6="Praxis")*1,$C$9:$V$9))</f>
        <v/>
      </c>
    </row>
    <row r="2094">
      <c r="C2094" s="64">
        <f>IF(C1884=0,"",SUMPRODUCT($C$1670:$V$1670,($C$305:$V$305=C$1703)*1,($C$6:$V$6="Praxis")*1,$C$9:$V$9,$C$95:$V$95)/SUMPRODUCT($C$1670:$V$1670,($C$305:$V$305=C$1703)*1,($C$6:$V$6="Praxis")*1,$C$9:$V$9))</f>
        <v/>
      </c>
      <c r="D2094" s="64">
        <f>IF(D1884=0,"",SUMPRODUCT($C$1670:$V$1670,($C$305:$V$305=D$1703)*1,($C$6:$V$6="Praxis")*1,$C$9:$V$9,$C$95:$V$95)/SUMPRODUCT($C$1670:$V$1670,($C$305:$V$305=D$1703)*1,($C$6:$V$6="Praxis")*1,$C$9:$V$9))</f>
        <v/>
      </c>
      <c r="E2094" s="64">
        <f>IF(E1884=0,"",SUMPRODUCT($C$1670:$V$1670,($C$305:$V$305=E$1703)*1,($C$6:$V$6="Praxis")*1,$C$9:$V$9,$C$95:$V$95)/SUMPRODUCT($C$1670:$V$1670,($C$305:$V$305=E$1703)*1,($C$6:$V$6="Praxis")*1,$C$9:$V$9))</f>
        <v/>
      </c>
      <c r="F2094" s="64">
        <f>IF(F1884=0,"",SUMPRODUCT($C$1670:$V$1670,($C$305:$V$305=F$1703)*1,($C$6:$V$6="Praxis")*1,$C$9:$V$9,$C$95:$V$95)/SUMPRODUCT($C$1670:$V$1670,($C$305:$V$305=F$1703)*1,($C$6:$V$6="Praxis")*1,$C$9:$V$9))</f>
        <v/>
      </c>
      <c r="G2094" s="64">
        <f>IF(G1884=0,"",SUMPRODUCT($C$1670:$V$1670,($C$305:$V$305=G$1703)*1,($C$6:$V$6="Praxis")*1,$C$9:$V$9,$C$95:$V$95)/SUMPRODUCT($C$1670:$V$1670,($C$305:$V$305=G$1703)*1,($C$6:$V$6="Praxis")*1,$C$9:$V$9))</f>
        <v/>
      </c>
      <c r="H2094" s="64">
        <f>IF(H1884=0,"",SUMPRODUCT($C$1670:$V$1670,($C$305:$V$305=H$1703)*1,($C$6:$V$6="Praxis")*1,$C$9:$V$9,$C$95:$V$95)/SUMPRODUCT($C$1670:$V$1670,($C$305:$V$305=H$1703)*1,($C$6:$V$6="Praxis")*1,$C$9:$V$9))</f>
        <v/>
      </c>
      <c r="I2094" s="64">
        <f>IF(I1884=0,"",SUMPRODUCT($C$1670:$V$1670,($C$305:$V$305=I$1703)*1,($C$6:$V$6="Praxis")*1,$C$9:$V$9,$C$95:$V$95)/SUMPRODUCT($C$1670:$V$1670,($C$305:$V$305=I$1703)*1,($C$6:$V$6="Praxis")*1,$C$9:$V$9))</f>
        <v/>
      </c>
      <c r="J2094" s="64">
        <f>IF(J1884=0,"",SUMPRODUCT($C$1670:$V$1670,($C$305:$V$305=J$1703)*1,($C$6:$V$6="Praxis")*1,$C$9:$V$9,$C$95:$V$95)/SUMPRODUCT($C$1670:$V$1670,($C$305:$V$305=J$1703)*1,($C$6:$V$6="Praxis")*1,$C$9:$V$9))</f>
        <v/>
      </c>
    </row>
    <row r="2095">
      <c r="C2095" s="64">
        <f>IF(C1885=0,"",SUMPRODUCT($C$1671:$V$1671,($C$306:$V$306=C$1703)*1,($C$6:$V$6="Praxis")*1,$C$9:$V$9,$C$96:$V$96)/SUMPRODUCT($C$1671:$V$1671,($C$306:$V$306=C$1703)*1,($C$6:$V$6="Praxis")*1,$C$9:$V$9))</f>
        <v/>
      </c>
      <c r="D2095" s="64">
        <f>IF(D1885=0,"",SUMPRODUCT($C$1671:$V$1671,($C$306:$V$306=D$1703)*1,($C$6:$V$6="Praxis")*1,$C$9:$V$9,$C$96:$V$96)/SUMPRODUCT($C$1671:$V$1671,($C$306:$V$306=D$1703)*1,($C$6:$V$6="Praxis")*1,$C$9:$V$9))</f>
        <v/>
      </c>
      <c r="E2095" s="64">
        <f>IF(E1885=0,"",SUMPRODUCT($C$1671:$V$1671,($C$306:$V$306=E$1703)*1,($C$6:$V$6="Praxis")*1,$C$9:$V$9,$C$96:$V$96)/SUMPRODUCT($C$1671:$V$1671,($C$306:$V$306=E$1703)*1,($C$6:$V$6="Praxis")*1,$C$9:$V$9))</f>
        <v/>
      </c>
      <c r="F2095" s="64">
        <f>IF(F1885=0,"",SUMPRODUCT($C$1671:$V$1671,($C$306:$V$306=F$1703)*1,($C$6:$V$6="Praxis")*1,$C$9:$V$9,$C$96:$V$96)/SUMPRODUCT($C$1671:$V$1671,($C$306:$V$306=F$1703)*1,($C$6:$V$6="Praxis")*1,$C$9:$V$9))</f>
        <v/>
      </c>
      <c r="G2095" s="64">
        <f>IF(G1885=0,"",SUMPRODUCT($C$1671:$V$1671,($C$306:$V$306=G$1703)*1,($C$6:$V$6="Praxis")*1,$C$9:$V$9,$C$96:$V$96)/SUMPRODUCT($C$1671:$V$1671,($C$306:$V$306=G$1703)*1,($C$6:$V$6="Praxis")*1,$C$9:$V$9))</f>
        <v/>
      </c>
      <c r="H2095" s="64">
        <f>IF(H1885=0,"",SUMPRODUCT($C$1671:$V$1671,($C$306:$V$306=H$1703)*1,($C$6:$V$6="Praxis")*1,$C$9:$V$9,$C$96:$V$96)/SUMPRODUCT($C$1671:$V$1671,($C$306:$V$306=H$1703)*1,($C$6:$V$6="Praxis")*1,$C$9:$V$9))</f>
        <v/>
      </c>
      <c r="I2095" s="64">
        <f>IF(I1885=0,"",SUMPRODUCT($C$1671:$V$1671,($C$306:$V$306=I$1703)*1,($C$6:$V$6="Praxis")*1,$C$9:$V$9,$C$96:$V$96)/SUMPRODUCT($C$1671:$V$1671,($C$306:$V$306=I$1703)*1,($C$6:$V$6="Praxis")*1,$C$9:$V$9))</f>
        <v/>
      </c>
      <c r="J2095" s="64">
        <f>IF(J1885=0,"",SUMPRODUCT($C$1671:$V$1671,($C$306:$V$306=J$1703)*1,($C$6:$V$6="Praxis")*1,$C$9:$V$9,$C$96:$V$96)/SUMPRODUCT($C$1671:$V$1671,($C$306:$V$306=J$1703)*1,($C$6:$V$6="Praxis")*1,$C$9:$V$9))</f>
        <v/>
      </c>
    </row>
    <row r="2096">
      <c r="C2096" s="64">
        <f>IF(C1886=0,"",SUMPRODUCT($C$1672:$V$1672,($C$307:$V$307=C$1703)*1,($C$6:$V$6="Praxis")*1,$C$9:$V$9,$C$97:$V$97)/SUMPRODUCT($C$1672:$V$1672,($C$307:$V$307=C$1703)*1,($C$6:$V$6="Praxis")*1,$C$9:$V$9))</f>
        <v/>
      </c>
      <c r="D2096" s="64">
        <f>IF(D1886=0,"",SUMPRODUCT($C$1672:$V$1672,($C$307:$V$307=D$1703)*1,($C$6:$V$6="Praxis")*1,$C$9:$V$9,$C$97:$V$97)/SUMPRODUCT($C$1672:$V$1672,($C$307:$V$307=D$1703)*1,($C$6:$V$6="Praxis")*1,$C$9:$V$9))</f>
        <v/>
      </c>
      <c r="E2096" s="64">
        <f>IF(E1886=0,"",SUMPRODUCT($C$1672:$V$1672,($C$307:$V$307=E$1703)*1,($C$6:$V$6="Praxis")*1,$C$9:$V$9,$C$97:$V$97)/SUMPRODUCT($C$1672:$V$1672,($C$307:$V$307=E$1703)*1,($C$6:$V$6="Praxis")*1,$C$9:$V$9))</f>
        <v/>
      </c>
      <c r="F2096" s="64">
        <f>IF(F1886=0,"",SUMPRODUCT($C$1672:$V$1672,($C$307:$V$307=F$1703)*1,($C$6:$V$6="Praxis")*1,$C$9:$V$9,$C$97:$V$97)/SUMPRODUCT($C$1672:$V$1672,($C$307:$V$307=F$1703)*1,($C$6:$V$6="Praxis")*1,$C$9:$V$9))</f>
        <v/>
      </c>
      <c r="G2096" s="64">
        <f>IF(G1886=0,"",SUMPRODUCT($C$1672:$V$1672,($C$307:$V$307=G$1703)*1,($C$6:$V$6="Praxis")*1,$C$9:$V$9,$C$97:$V$97)/SUMPRODUCT($C$1672:$V$1672,($C$307:$V$307=G$1703)*1,($C$6:$V$6="Praxis")*1,$C$9:$V$9))</f>
        <v/>
      </c>
      <c r="H2096" s="64">
        <f>IF(H1886=0,"",SUMPRODUCT($C$1672:$V$1672,($C$307:$V$307=H$1703)*1,($C$6:$V$6="Praxis")*1,$C$9:$V$9,$C$97:$V$97)/SUMPRODUCT($C$1672:$V$1672,($C$307:$V$307=H$1703)*1,($C$6:$V$6="Praxis")*1,$C$9:$V$9))</f>
        <v/>
      </c>
      <c r="I2096" s="64">
        <f>IF(I1886=0,"",SUMPRODUCT($C$1672:$V$1672,($C$307:$V$307=I$1703)*1,($C$6:$V$6="Praxis")*1,$C$9:$V$9,$C$97:$V$97)/SUMPRODUCT($C$1672:$V$1672,($C$307:$V$307=I$1703)*1,($C$6:$V$6="Praxis")*1,$C$9:$V$9))</f>
        <v/>
      </c>
      <c r="J2096" s="64">
        <f>IF(J1886=0,"",SUMPRODUCT($C$1672:$V$1672,($C$307:$V$307=J$1703)*1,($C$6:$V$6="Praxis")*1,$C$9:$V$9,$C$97:$V$97)/SUMPRODUCT($C$1672:$V$1672,($C$307:$V$307=J$1703)*1,($C$6:$V$6="Praxis")*1,$C$9:$V$9))</f>
        <v/>
      </c>
    </row>
    <row r="2097">
      <c r="C2097" s="64">
        <f>IF(C1887=0,"",SUMPRODUCT($C$1673:$V$1673,($C$308:$V$308=C$1703)*1,($C$6:$V$6="Praxis")*1,$C$9:$V$9,$C$98:$V$98)/SUMPRODUCT($C$1673:$V$1673,($C$308:$V$308=C$1703)*1,($C$6:$V$6="Praxis")*1,$C$9:$V$9))</f>
        <v/>
      </c>
      <c r="D2097" s="64">
        <f>IF(D1887=0,"",SUMPRODUCT($C$1673:$V$1673,($C$308:$V$308=D$1703)*1,($C$6:$V$6="Praxis")*1,$C$9:$V$9,$C$98:$V$98)/SUMPRODUCT($C$1673:$V$1673,($C$308:$V$308=D$1703)*1,($C$6:$V$6="Praxis")*1,$C$9:$V$9))</f>
        <v/>
      </c>
      <c r="E2097" s="64">
        <f>IF(E1887=0,"",SUMPRODUCT($C$1673:$V$1673,($C$308:$V$308=E$1703)*1,($C$6:$V$6="Praxis")*1,$C$9:$V$9,$C$98:$V$98)/SUMPRODUCT($C$1673:$V$1673,($C$308:$V$308=E$1703)*1,($C$6:$V$6="Praxis")*1,$C$9:$V$9))</f>
        <v/>
      </c>
      <c r="F2097" s="64">
        <f>IF(F1887=0,"",SUMPRODUCT($C$1673:$V$1673,($C$308:$V$308=F$1703)*1,($C$6:$V$6="Praxis")*1,$C$9:$V$9,$C$98:$V$98)/SUMPRODUCT($C$1673:$V$1673,($C$308:$V$308=F$1703)*1,($C$6:$V$6="Praxis")*1,$C$9:$V$9))</f>
        <v/>
      </c>
      <c r="G2097" s="64">
        <f>IF(G1887=0,"",SUMPRODUCT($C$1673:$V$1673,($C$308:$V$308=G$1703)*1,($C$6:$V$6="Praxis")*1,$C$9:$V$9,$C$98:$V$98)/SUMPRODUCT($C$1673:$V$1673,($C$308:$V$308=G$1703)*1,($C$6:$V$6="Praxis")*1,$C$9:$V$9))</f>
        <v/>
      </c>
      <c r="H2097" s="64">
        <f>IF(H1887=0,"",SUMPRODUCT($C$1673:$V$1673,($C$308:$V$308=H$1703)*1,($C$6:$V$6="Praxis")*1,$C$9:$V$9,$C$98:$V$98)/SUMPRODUCT($C$1673:$V$1673,($C$308:$V$308=H$1703)*1,($C$6:$V$6="Praxis")*1,$C$9:$V$9))</f>
        <v/>
      </c>
      <c r="I2097" s="64">
        <f>IF(I1887=0,"",SUMPRODUCT($C$1673:$V$1673,($C$308:$V$308=I$1703)*1,($C$6:$V$6="Praxis")*1,$C$9:$V$9,$C$98:$V$98)/SUMPRODUCT($C$1673:$V$1673,($C$308:$V$308=I$1703)*1,($C$6:$V$6="Praxis")*1,$C$9:$V$9))</f>
        <v/>
      </c>
      <c r="J2097" s="64">
        <f>IF(J1887=0,"",SUMPRODUCT($C$1673:$V$1673,($C$308:$V$308=J$1703)*1,($C$6:$V$6="Praxis")*1,$C$9:$V$9,$C$98:$V$98)/SUMPRODUCT($C$1673:$V$1673,($C$308:$V$308=J$1703)*1,($C$6:$V$6="Praxis")*1,$C$9:$V$9))</f>
        <v/>
      </c>
    </row>
    <row r="2098">
      <c r="C2098" s="64">
        <f>IF(C1888=0,"",SUMPRODUCT($C$1674:$V$1674,($C$309:$V$309=C$1703)*1,($C$6:$V$6="Praxis")*1,$C$9:$V$9,$C$99:$V$99)/SUMPRODUCT($C$1674:$V$1674,($C$309:$V$309=C$1703)*1,($C$6:$V$6="Praxis")*1,$C$9:$V$9))</f>
        <v/>
      </c>
      <c r="D2098" s="64">
        <f>IF(D1888=0,"",SUMPRODUCT($C$1674:$V$1674,($C$309:$V$309=D$1703)*1,($C$6:$V$6="Praxis")*1,$C$9:$V$9,$C$99:$V$99)/SUMPRODUCT($C$1674:$V$1674,($C$309:$V$309=D$1703)*1,($C$6:$V$6="Praxis")*1,$C$9:$V$9))</f>
        <v/>
      </c>
      <c r="E2098" s="64">
        <f>IF(E1888=0,"",SUMPRODUCT($C$1674:$V$1674,($C$309:$V$309=E$1703)*1,($C$6:$V$6="Praxis")*1,$C$9:$V$9,$C$99:$V$99)/SUMPRODUCT($C$1674:$V$1674,($C$309:$V$309=E$1703)*1,($C$6:$V$6="Praxis")*1,$C$9:$V$9))</f>
        <v/>
      </c>
      <c r="F2098" s="64">
        <f>IF(F1888=0,"",SUMPRODUCT($C$1674:$V$1674,($C$309:$V$309=F$1703)*1,($C$6:$V$6="Praxis")*1,$C$9:$V$9,$C$99:$V$99)/SUMPRODUCT($C$1674:$V$1674,($C$309:$V$309=F$1703)*1,($C$6:$V$6="Praxis")*1,$C$9:$V$9))</f>
        <v/>
      </c>
      <c r="G2098" s="64">
        <f>IF(G1888=0,"",SUMPRODUCT($C$1674:$V$1674,($C$309:$V$309=G$1703)*1,($C$6:$V$6="Praxis")*1,$C$9:$V$9,$C$99:$V$99)/SUMPRODUCT($C$1674:$V$1674,($C$309:$V$309=G$1703)*1,($C$6:$V$6="Praxis")*1,$C$9:$V$9))</f>
        <v/>
      </c>
      <c r="H2098" s="64">
        <f>IF(H1888=0,"",SUMPRODUCT($C$1674:$V$1674,($C$309:$V$309=H$1703)*1,($C$6:$V$6="Praxis")*1,$C$9:$V$9,$C$99:$V$99)/SUMPRODUCT($C$1674:$V$1674,($C$309:$V$309=H$1703)*1,($C$6:$V$6="Praxis")*1,$C$9:$V$9))</f>
        <v/>
      </c>
      <c r="I2098" s="64">
        <f>IF(I1888=0,"",SUMPRODUCT($C$1674:$V$1674,($C$309:$V$309=I$1703)*1,($C$6:$V$6="Praxis")*1,$C$9:$V$9,$C$99:$V$99)/SUMPRODUCT($C$1674:$V$1674,($C$309:$V$309=I$1703)*1,($C$6:$V$6="Praxis")*1,$C$9:$V$9))</f>
        <v/>
      </c>
      <c r="J2098" s="64">
        <f>IF(J1888=0,"",SUMPRODUCT($C$1674:$V$1674,($C$309:$V$309=J$1703)*1,($C$6:$V$6="Praxis")*1,$C$9:$V$9,$C$99:$V$99)/SUMPRODUCT($C$1674:$V$1674,($C$309:$V$309=J$1703)*1,($C$6:$V$6="Praxis")*1,$C$9:$V$9))</f>
        <v/>
      </c>
    </row>
    <row r="2099">
      <c r="C2099" s="64">
        <f>IF(C1889=0,"",SUMPRODUCT($C$1675:$V$1675,($C$310:$V$310=C$1703)*1,($C$6:$V$6="Praxis")*1,$C$9:$V$9,$C$100:$V$100)/SUMPRODUCT($C$1675:$V$1675,($C$310:$V$310=C$1703)*1,($C$6:$V$6="Praxis")*1,$C$9:$V$9))</f>
        <v/>
      </c>
      <c r="D2099" s="64">
        <f>IF(D1889=0,"",SUMPRODUCT($C$1675:$V$1675,($C$310:$V$310=D$1703)*1,($C$6:$V$6="Praxis")*1,$C$9:$V$9,$C$100:$V$100)/SUMPRODUCT($C$1675:$V$1675,($C$310:$V$310=D$1703)*1,($C$6:$V$6="Praxis")*1,$C$9:$V$9))</f>
        <v/>
      </c>
      <c r="E2099" s="64">
        <f>IF(E1889=0,"",SUMPRODUCT($C$1675:$V$1675,($C$310:$V$310=E$1703)*1,($C$6:$V$6="Praxis")*1,$C$9:$V$9,$C$100:$V$100)/SUMPRODUCT($C$1675:$V$1675,($C$310:$V$310=E$1703)*1,($C$6:$V$6="Praxis")*1,$C$9:$V$9))</f>
        <v/>
      </c>
      <c r="F2099" s="64">
        <f>IF(F1889=0,"",SUMPRODUCT($C$1675:$V$1675,($C$310:$V$310=F$1703)*1,($C$6:$V$6="Praxis")*1,$C$9:$V$9,$C$100:$V$100)/SUMPRODUCT($C$1675:$V$1675,($C$310:$V$310=F$1703)*1,($C$6:$V$6="Praxis")*1,$C$9:$V$9))</f>
        <v/>
      </c>
      <c r="G2099" s="64">
        <f>IF(G1889=0,"",SUMPRODUCT($C$1675:$V$1675,($C$310:$V$310=G$1703)*1,($C$6:$V$6="Praxis")*1,$C$9:$V$9,$C$100:$V$100)/SUMPRODUCT($C$1675:$V$1675,($C$310:$V$310=G$1703)*1,($C$6:$V$6="Praxis")*1,$C$9:$V$9))</f>
        <v/>
      </c>
      <c r="H2099" s="64">
        <f>IF(H1889=0,"",SUMPRODUCT($C$1675:$V$1675,($C$310:$V$310=H$1703)*1,($C$6:$V$6="Praxis")*1,$C$9:$V$9,$C$100:$V$100)/SUMPRODUCT($C$1675:$V$1675,($C$310:$V$310=H$1703)*1,($C$6:$V$6="Praxis")*1,$C$9:$V$9))</f>
        <v/>
      </c>
      <c r="I2099" s="64">
        <f>IF(I1889=0,"",SUMPRODUCT($C$1675:$V$1675,($C$310:$V$310=I$1703)*1,($C$6:$V$6="Praxis")*1,$C$9:$V$9,$C$100:$V$100)/SUMPRODUCT($C$1675:$V$1675,($C$310:$V$310=I$1703)*1,($C$6:$V$6="Praxis")*1,$C$9:$V$9))</f>
        <v/>
      </c>
      <c r="J2099" s="64">
        <f>IF(J1889=0,"",SUMPRODUCT($C$1675:$V$1675,($C$310:$V$310=J$1703)*1,($C$6:$V$6="Praxis")*1,$C$9:$V$9,$C$100:$V$100)/SUMPRODUCT($C$1675:$V$1675,($C$310:$V$310=J$1703)*1,($C$6:$V$6="Praxis")*1,$C$9:$V$9))</f>
        <v/>
      </c>
    </row>
    <row r="2100">
      <c r="C2100" s="64">
        <f>IF(C1890=0,"",SUMPRODUCT($C$1676:$V$1676,($C$311:$V$311=C$1703)*1,($C$6:$V$6="Praxis")*1,$C$9:$V$9,$C$101:$V$101)/SUMPRODUCT($C$1676:$V$1676,($C$311:$V$311=C$1703)*1,($C$6:$V$6="Praxis")*1,$C$9:$V$9))</f>
        <v/>
      </c>
      <c r="D2100" s="64">
        <f>IF(D1890=0,"",SUMPRODUCT($C$1676:$V$1676,($C$311:$V$311=D$1703)*1,($C$6:$V$6="Praxis")*1,$C$9:$V$9,$C$101:$V$101)/SUMPRODUCT($C$1676:$V$1676,($C$311:$V$311=D$1703)*1,($C$6:$V$6="Praxis")*1,$C$9:$V$9))</f>
        <v/>
      </c>
      <c r="E2100" s="64">
        <f>IF(E1890=0,"",SUMPRODUCT($C$1676:$V$1676,($C$311:$V$311=E$1703)*1,($C$6:$V$6="Praxis")*1,$C$9:$V$9,$C$101:$V$101)/SUMPRODUCT($C$1676:$V$1676,($C$311:$V$311=E$1703)*1,($C$6:$V$6="Praxis")*1,$C$9:$V$9))</f>
        <v/>
      </c>
      <c r="F2100" s="64">
        <f>IF(F1890=0,"",SUMPRODUCT($C$1676:$V$1676,($C$311:$V$311=F$1703)*1,($C$6:$V$6="Praxis")*1,$C$9:$V$9,$C$101:$V$101)/SUMPRODUCT($C$1676:$V$1676,($C$311:$V$311=F$1703)*1,($C$6:$V$6="Praxis")*1,$C$9:$V$9))</f>
        <v/>
      </c>
      <c r="G2100" s="64">
        <f>IF(G1890=0,"",SUMPRODUCT($C$1676:$V$1676,($C$311:$V$311=G$1703)*1,($C$6:$V$6="Praxis")*1,$C$9:$V$9,$C$101:$V$101)/SUMPRODUCT($C$1676:$V$1676,($C$311:$V$311=G$1703)*1,($C$6:$V$6="Praxis")*1,$C$9:$V$9))</f>
        <v/>
      </c>
      <c r="H2100" s="64">
        <f>IF(H1890=0,"",SUMPRODUCT($C$1676:$V$1676,($C$311:$V$311=H$1703)*1,($C$6:$V$6="Praxis")*1,$C$9:$V$9,$C$101:$V$101)/SUMPRODUCT($C$1676:$V$1676,($C$311:$V$311=H$1703)*1,($C$6:$V$6="Praxis")*1,$C$9:$V$9))</f>
        <v/>
      </c>
      <c r="I2100" s="64">
        <f>IF(I1890=0,"",SUMPRODUCT($C$1676:$V$1676,($C$311:$V$311=I$1703)*1,($C$6:$V$6="Praxis")*1,$C$9:$V$9,$C$101:$V$101)/SUMPRODUCT($C$1676:$V$1676,($C$311:$V$311=I$1703)*1,($C$6:$V$6="Praxis")*1,$C$9:$V$9))</f>
        <v/>
      </c>
      <c r="J2100" s="64">
        <f>IF(J1890=0,"",SUMPRODUCT($C$1676:$V$1676,($C$311:$V$311=J$1703)*1,($C$6:$V$6="Praxis")*1,$C$9:$V$9,$C$101:$V$101)/SUMPRODUCT($C$1676:$V$1676,($C$311:$V$311=J$1703)*1,($C$6:$V$6="Praxis")*1,$C$9:$V$9))</f>
        <v/>
      </c>
    </row>
    <row r="2101">
      <c r="C2101" s="64">
        <f>IF(C1891=0,"",SUMPRODUCT($C$1677:$V$1677,($C$312:$V$312=C$1703)*1,($C$6:$V$6="Praxis")*1,$C$9:$V$9,$C$102:$V$102)/SUMPRODUCT($C$1677:$V$1677,($C$312:$V$312=C$1703)*1,($C$6:$V$6="Praxis")*1,$C$9:$V$9))</f>
        <v/>
      </c>
      <c r="D2101" s="64">
        <f>IF(D1891=0,"",SUMPRODUCT($C$1677:$V$1677,($C$312:$V$312=D$1703)*1,($C$6:$V$6="Praxis")*1,$C$9:$V$9,$C$102:$V$102)/SUMPRODUCT($C$1677:$V$1677,($C$312:$V$312=D$1703)*1,($C$6:$V$6="Praxis")*1,$C$9:$V$9))</f>
        <v/>
      </c>
      <c r="E2101" s="64">
        <f>IF(E1891=0,"",SUMPRODUCT($C$1677:$V$1677,($C$312:$V$312=E$1703)*1,($C$6:$V$6="Praxis")*1,$C$9:$V$9,$C$102:$V$102)/SUMPRODUCT($C$1677:$V$1677,($C$312:$V$312=E$1703)*1,($C$6:$V$6="Praxis")*1,$C$9:$V$9))</f>
        <v/>
      </c>
      <c r="F2101" s="64">
        <f>IF(F1891=0,"",SUMPRODUCT($C$1677:$V$1677,($C$312:$V$312=F$1703)*1,($C$6:$V$6="Praxis")*1,$C$9:$V$9,$C$102:$V$102)/SUMPRODUCT($C$1677:$V$1677,($C$312:$V$312=F$1703)*1,($C$6:$V$6="Praxis")*1,$C$9:$V$9))</f>
        <v/>
      </c>
      <c r="G2101" s="64">
        <f>IF(G1891=0,"",SUMPRODUCT($C$1677:$V$1677,($C$312:$V$312=G$1703)*1,($C$6:$V$6="Praxis")*1,$C$9:$V$9,$C$102:$V$102)/SUMPRODUCT($C$1677:$V$1677,($C$312:$V$312=G$1703)*1,($C$6:$V$6="Praxis")*1,$C$9:$V$9))</f>
        <v/>
      </c>
      <c r="H2101" s="64">
        <f>IF(H1891=0,"",SUMPRODUCT($C$1677:$V$1677,($C$312:$V$312=H$1703)*1,($C$6:$V$6="Praxis")*1,$C$9:$V$9,$C$102:$V$102)/SUMPRODUCT($C$1677:$V$1677,($C$312:$V$312=H$1703)*1,($C$6:$V$6="Praxis")*1,$C$9:$V$9))</f>
        <v/>
      </c>
      <c r="I2101" s="64">
        <f>IF(I1891=0,"",SUMPRODUCT($C$1677:$V$1677,($C$312:$V$312=I$1703)*1,($C$6:$V$6="Praxis")*1,$C$9:$V$9,$C$102:$V$102)/SUMPRODUCT($C$1677:$V$1677,($C$312:$V$312=I$1703)*1,($C$6:$V$6="Praxis")*1,$C$9:$V$9))</f>
        <v/>
      </c>
      <c r="J2101" s="64">
        <f>IF(J1891=0,"",SUMPRODUCT($C$1677:$V$1677,($C$312:$V$312=J$1703)*1,($C$6:$V$6="Praxis")*1,$C$9:$V$9,$C$102:$V$102)/SUMPRODUCT($C$1677:$V$1677,($C$312:$V$312=J$1703)*1,($C$6:$V$6="Praxis")*1,$C$9:$V$9))</f>
        <v/>
      </c>
    </row>
    <row r="2102">
      <c r="C2102" s="64">
        <f>IF(C1892=0,"",SUMPRODUCT($C$1678:$V$1678,($C$313:$V$313=C$1703)*1,($C$6:$V$6="Praxis")*1,$C$9:$V$9,$C$103:$V$103)/SUMPRODUCT($C$1678:$V$1678,($C$313:$V$313=C$1703)*1,($C$6:$V$6="Praxis")*1,$C$9:$V$9))</f>
        <v/>
      </c>
      <c r="D2102" s="64">
        <f>IF(D1892=0,"",SUMPRODUCT($C$1678:$V$1678,($C$313:$V$313=D$1703)*1,($C$6:$V$6="Praxis")*1,$C$9:$V$9,$C$103:$V$103)/SUMPRODUCT($C$1678:$V$1678,($C$313:$V$313=D$1703)*1,($C$6:$V$6="Praxis")*1,$C$9:$V$9))</f>
        <v/>
      </c>
      <c r="E2102" s="64">
        <f>IF(E1892=0,"",SUMPRODUCT($C$1678:$V$1678,($C$313:$V$313=E$1703)*1,($C$6:$V$6="Praxis")*1,$C$9:$V$9,$C$103:$V$103)/SUMPRODUCT($C$1678:$V$1678,($C$313:$V$313=E$1703)*1,($C$6:$V$6="Praxis")*1,$C$9:$V$9))</f>
        <v/>
      </c>
      <c r="F2102" s="64">
        <f>IF(F1892=0,"",SUMPRODUCT($C$1678:$V$1678,($C$313:$V$313=F$1703)*1,($C$6:$V$6="Praxis")*1,$C$9:$V$9,$C$103:$V$103)/SUMPRODUCT($C$1678:$V$1678,($C$313:$V$313=F$1703)*1,($C$6:$V$6="Praxis")*1,$C$9:$V$9))</f>
        <v/>
      </c>
      <c r="G2102" s="64">
        <f>IF(G1892=0,"",SUMPRODUCT($C$1678:$V$1678,($C$313:$V$313=G$1703)*1,($C$6:$V$6="Praxis")*1,$C$9:$V$9,$C$103:$V$103)/SUMPRODUCT($C$1678:$V$1678,($C$313:$V$313=G$1703)*1,($C$6:$V$6="Praxis")*1,$C$9:$V$9))</f>
        <v/>
      </c>
      <c r="H2102" s="64">
        <f>IF(H1892=0,"",SUMPRODUCT($C$1678:$V$1678,($C$313:$V$313=H$1703)*1,($C$6:$V$6="Praxis")*1,$C$9:$V$9,$C$103:$V$103)/SUMPRODUCT($C$1678:$V$1678,($C$313:$V$313=H$1703)*1,($C$6:$V$6="Praxis")*1,$C$9:$V$9))</f>
        <v/>
      </c>
      <c r="I2102" s="64">
        <f>IF(I1892=0,"",SUMPRODUCT($C$1678:$V$1678,($C$313:$V$313=I$1703)*1,($C$6:$V$6="Praxis")*1,$C$9:$V$9,$C$103:$V$103)/SUMPRODUCT($C$1678:$V$1678,($C$313:$V$313=I$1703)*1,($C$6:$V$6="Praxis")*1,$C$9:$V$9))</f>
        <v/>
      </c>
      <c r="J2102" s="64">
        <f>IF(J1892=0,"",SUMPRODUCT($C$1678:$V$1678,($C$313:$V$313=J$1703)*1,($C$6:$V$6="Praxis")*1,$C$9:$V$9,$C$103:$V$103)/SUMPRODUCT($C$1678:$V$1678,($C$313:$V$313=J$1703)*1,($C$6:$V$6="Praxis")*1,$C$9:$V$9))</f>
        <v/>
      </c>
    </row>
    <row r="2103">
      <c r="C2103" s="64">
        <f>IF(C1893=0,"",SUMPRODUCT($C$1679:$V$1679,($C$314:$V$314=C$1703)*1,($C$6:$V$6="Praxis")*1,$C$9:$V$9,$C$104:$V$104)/SUMPRODUCT($C$1679:$V$1679,($C$314:$V$314=C$1703)*1,($C$6:$V$6="Praxis")*1,$C$9:$V$9))</f>
        <v/>
      </c>
      <c r="D2103" s="64">
        <f>IF(D1893=0,"",SUMPRODUCT($C$1679:$V$1679,($C$314:$V$314=D$1703)*1,($C$6:$V$6="Praxis")*1,$C$9:$V$9,$C$104:$V$104)/SUMPRODUCT($C$1679:$V$1679,($C$314:$V$314=D$1703)*1,($C$6:$V$6="Praxis")*1,$C$9:$V$9))</f>
        <v/>
      </c>
      <c r="E2103" s="64">
        <f>IF(E1893=0,"",SUMPRODUCT($C$1679:$V$1679,($C$314:$V$314=E$1703)*1,($C$6:$V$6="Praxis")*1,$C$9:$V$9,$C$104:$V$104)/SUMPRODUCT($C$1679:$V$1679,($C$314:$V$314=E$1703)*1,($C$6:$V$6="Praxis")*1,$C$9:$V$9))</f>
        <v/>
      </c>
      <c r="F2103" s="64">
        <f>IF(F1893=0,"",SUMPRODUCT($C$1679:$V$1679,($C$314:$V$314=F$1703)*1,($C$6:$V$6="Praxis")*1,$C$9:$V$9,$C$104:$V$104)/SUMPRODUCT($C$1679:$V$1679,($C$314:$V$314=F$1703)*1,($C$6:$V$6="Praxis")*1,$C$9:$V$9))</f>
        <v/>
      </c>
      <c r="G2103" s="64">
        <f>IF(G1893=0,"",SUMPRODUCT($C$1679:$V$1679,($C$314:$V$314=G$1703)*1,($C$6:$V$6="Praxis")*1,$C$9:$V$9,$C$104:$V$104)/SUMPRODUCT($C$1679:$V$1679,($C$314:$V$314=G$1703)*1,($C$6:$V$6="Praxis")*1,$C$9:$V$9))</f>
        <v/>
      </c>
      <c r="H2103" s="64">
        <f>IF(H1893=0,"",SUMPRODUCT($C$1679:$V$1679,($C$314:$V$314=H$1703)*1,($C$6:$V$6="Praxis")*1,$C$9:$V$9,$C$104:$V$104)/SUMPRODUCT($C$1679:$V$1679,($C$314:$V$314=H$1703)*1,($C$6:$V$6="Praxis")*1,$C$9:$V$9))</f>
        <v/>
      </c>
      <c r="I2103" s="64">
        <f>IF(I1893=0,"",SUMPRODUCT($C$1679:$V$1679,($C$314:$V$314=I$1703)*1,($C$6:$V$6="Praxis")*1,$C$9:$V$9,$C$104:$V$104)/SUMPRODUCT($C$1679:$V$1679,($C$314:$V$314=I$1703)*1,($C$6:$V$6="Praxis")*1,$C$9:$V$9))</f>
        <v/>
      </c>
      <c r="J2103" s="64">
        <f>IF(J1893=0,"",SUMPRODUCT($C$1679:$V$1679,($C$314:$V$314=J$1703)*1,($C$6:$V$6="Praxis")*1,$C$9:$V$9,$C$104:$V$104)/SUMPRODUCT($C$1679:$V$1679,($C$314:$V$314=J$1703)*1,($C$6:$V$6="Praxis")*1,$C$9:$V$9))</f>
        <v/>
      </c>
    </row>
    <row r="2104">
      <c r="C2104" s="64">
        <f>IF(C1894=0,"",SUMPRODUCT($C$1680:$V$1680,($C$315:$V$315=C$1703)*1,($C$6:$V$6="Praxis")*1,$C$9:$V$9,$C$105:$V$105)/SUMPRODUCT($C$1680:$V$1680,($C$315:$V$315=C$1703)*1,($C$6:$V$6="Praxis")*1,$C$9:$V$9))</f>
        <v/>
      </c>
      <c r="D2104" s="64">
        <f>IF(D1894=0,"",SUMPRODUCT($C$1680:$V$1680,($C$315:$V$315=D$1703)*1,($C$6:$V$6="Praxis")*1,$C$9:$V$9,$C$105:$V$105)/SUMPRODUCT($C$1680:$V$1680,($C$315:$V$315=D$1703)*1,($C$6:$V$6="Praxis")*1,$C$9:$V$9))</f>
        <v/>
      </c>
      <c r="E2104" s="64">
        <f>IF(E1894=0,"",SUMPRODUCT($C$1680:$V$1680,($C$315:$V$315=E$1703)*1,($C$6:$V$6="Praxis")*1,$C$9:$V$9,$C$105:$V$105)/SUMPRODUCT($C$1680:$V$1680,($C$315:$V$315=E$1703)*1,($C$6:$V$6="Praxis")*1,$C$9:$V$9))</f>
        <v/>
      </c>
      <c r="F2104" s="64">
        <f>IF(F1894=0,"",SUMPRODUCT($C$1680:$V$1680,($C$315:$V$315=F$1703)*1,($C$6:$V$6="Praxis")*1,$C$9:$V$9,$C$105:$V$105)/SUMPRODUCT($C$1680:$V$1680,($C$315:$V$315=F$1703)*1,($C$6:$V$6="Praxis")*1,$C$9:$V$9))</f>
        <v/>
      </c>
      <c r="G2104" s="64">
        <f>IF(G1894=0,"",SUMPRODUCT($C$1680:$V$1680,($C$315:$V$315=G$1703)*1,($C$6:$V$6="Praxis")*1,$C$9:$V$9,$C$105:$V$105)/SUMPRODUCT($C$1680:$V$1680,($C$315:$V$315=G$1703)*1,($C$6:$V$6="Praxis")*1,$C$9:$V$9))</f>
        <v/>
      </c>
      <c r="H2104" s="64">
        <f>IF(H1894=0,"",SUMPRODUCT($C$1680:$V$1680,($C$315:$V$315=H$1703)*1,($C$6:$V$6="Praxis")*1,$C$9:$V$9,$C$105:$V$105)/SUMPRODUCT($C$1680:$V$1680,($C$315:$V$315=H$1703)*1,($C$6:$V$6="Praxis")*1,$C$9:$V$9))</f>
        <v/>
      </c>
      <c r="I2104" s="64">
        <f>IF(I1894=0,"",SUMPRODUCT($C$1680:$V$1680,($C$315:$V$315=I$1703)*1,($C$6:$V$6="Praxis")*1,$C$9:$V$9,$C$105:$V$105)/SUMPRODUCT($C$1680:$V$1680,($C$315:$V$315=I$1703)*1,($C$6:$V$6="Praxis")*1,$C$9:$V$9))</f>
        <v/>
      </c>
      <c r="J2104" s="64">
        <f>IF(J1894=0,"",SUMPRODUCT($C$1680:$V$1680,($C$315:$V$315=J$1703)*1,($C$6:$V$6="Praxis")*1,$C$9:$V$9,$C$105:$V$105)/SUMPRODUCT($C$1680:$V$1680,($C$315:$V$315=J$1703)*1,($C$6:$V$6="Praxis")*1,$C$9:$V$9))</f>
        <v/>
      </c>
    </row>
    <row r="2105">
      <c r="C2105" s="64">
        <f>IF(C1895=0,"",SUMPRODUCT($C$1681:$V$1681,($C$316:$V$316=C$1703)*1,($C$6:$V$6="Praxis")*1,$C$9:$V$9,$C$106:$V$106)/SUMPRODUCT($C$1681:$V$1681,($C$316:$V$316=C$1703)*1,($C$6:$V$6="Praxis")*1,$C$9:$V$9))</f>
        <v/>
      </c>
      <c r="D2105" s="64">
        <f>IF(D1895=0,"",SUMPRODUCT($C$1681:$V$1681,($C$316:$V$316=D$1703)*1,($C$6:$V$6="Praxis")*1,$C$9:$V$9,$C$106:$V$106)/SUMPRODUCT($C$1681:$V$1681,($C$316:$V$316=D$1703)*1,($C$6:$V$6="Praxis")*1,$C$9:$V$9))</f>
        <v/>
      </c>
      <c r="E2105" s="64">
        <f>IF(E1895=0,"",SUMPRODUCT($C$1681:$V$1681,($C$316:$V$316=E$1703)*1,($C$6:$V$6="Praxis")*1,$C$9:$V$9,$C$106:$V$106)/SUMPRODUCT($C$1681:$V$1681,($C$316:$V$316=E$1703)*1,($C$6:$V$6="Praxis")*1,$C$9:$V$9))</f>
        <v/>
      </c>
      <c r="F2105" s="64">
        <f>IF(F1895=0,"",SUMPRODUCT($C$1681:$V$1681,($C$316:$V$316=F$1703)*1,($C$6:$V$6="Praxis")*1,$C$9:$V$9,$C$106:$V$106)/SUMPRODUCT($C$1681:$V$1681,($C$316:$V$316=F$1703)*1,($C$6:$V$6="Praxis")*1,$C$9:$V$9))</f>
        <v/>
      </c>
      <c r="G2105" s="64">
        <f>IF(G1895=0,"",SUMPRODUCT($C$1681:$V$1681,($C$316:$V$316=G$1703)*1,($C$6:$V$6="Praxis")*1,$C$9:$V$9,$C$106:$V$106)/SUMPRODUCT($C$1681:$V$1681,($C$316:$V$316=G$1703)*1,($C$6:$V$6="Praxis")*1,$C$9:$V$9))</f>
        <v/>
      </c>
      <c r="H2105" s="64">
        <f>IF(H1895=0,"",SUMPRODUCT($C$1681:$V$1681,($C$316:$V$316=H$1703)*1,($C$6:$V$6="Praxis")*1,$C$9:$V$9,$C$106:$V$106)/SUMPRODUCT($C$1681:$V$1681,($C$316:$V$316=H$1703)*1,($C$6:$V$6="Praxis")*1,$C$9:$V$9))</f>
        <v/>
      </c>
      <c r="I2105" s="64">
        <f>IF(I1895=0,"",SUMPRODUCT($C$1681:$V$1681,($C$316:$V$316=I$1703)*1,($C$6:$V$6="Praxis")*1,$C$9:$V$9,$C$106:$V$106)/SUMPRODUCT($C$1681:$V$1681,($C$316:$V$316=I$1703)*1,($C$6:$V$6="Praxis")*1,$C$9:$V$9))</f>
        <v/>
      </c>
      <c r="J2105" s="64">
        <f>IF(J1895=0,"",SUMPRODUCT($C$1681:$V$1681,($C$316:$V$316=J$1703)*1,($C$6:$V$6="Praxis")*1,$C$9:$V$9,$C$106:$V$106)/SUMPRODUCT($C$1681:$V$1681,($C$316:$V$316=J$1703)*1,($C$6:$V$6="Praxis")*1,$C$9:$V$9))</f>
        <v/>
      </c>
    </row>
    <row r="2106">
      <c r="C2106" s="64">
        <f>IF(C1896=0,"",SUMPRODUCT($C$1682:$V$1682,($C$317:$V$317=C$1703)*1,($C$6:$V$6="Praxis")*1,$C$9:$V$9,$C$107:$V$107)/SUMPRODUCT($C$1682:$V$1682,($C$317:$V$317=C$1703)*1,($C$6:$V$6="Praxis")*1,$C$9:$V$9))</f>
        <v/>
      </c>
      <c r="D2106" s="64">
        <f>IF(D1896=0,"",SUMPRODUCT($C$1682:$V$1682,($C$317:$V$317=D$1703)*1,($C$6:$V$6="Praxis")*1,$C$9:$V$9,$C$107:$V$107)/SUMPRODUCT($C$1682:$V$1682,($C$317:$V$317=D$1703)*1,($C$6:$V$6="Praxis")*1,$C$9:$V$9))</f>
        <v/>
      </c>
      <c r="E2106" s="64">
        <f>IF(E1896=0,"",SUMPRODUCT($C$1682:$V$1682,($C$317:$V$317=E$1703)*1,($C$6:$V$6="Praxis")*1,$C$9:$V$9,$C$107:$V$107)/SUMPRODUCT($C$1682:$V$1682,($C$317:$V$317=E$1703)*1,($C$6:$V$6="Praxis")*1,$C$9:$V$9))</f>
        <v/>
      </c>
      <c r="F2106" s="64">
        <f>IF(F1896=0,"",SUMPRODUCT($C$1682:$V$1682,($C$317:$V$317=F$1703)*1,($C$6:$V$6="Praxis")*1,$C$9:$V$9,$C$107:$V$107)/SUMPRODUCT($C$1682:$V$1682,($C$317:$V$317=F$1703)*1,($C$6:$V$6="Praxis")*1,$C$9:$V$9))</f>
        <v/>
      </c>
      <c r="G2106" s="64">
        <f>IF(G1896=0,"",SUMPRODUCT($C$1682:$V$1682,($C$317:$V$317=G$1703)*1,($C$6:$V$6="Praxis")*1,$C$9:$V$9,$C$107:$V$107)/SUMPRODUCT($C$1682:$V$1682,($C$317:$V$317=G$1703)*1,($C$6:$V$6="Praxis")*1,$C$9:$V$9))</f>
        <v/>
      </c>
      <c r="H2106" s="64">
        <f>IF(H1896=0,"",SUMPRODUCT($C$1682:$V$1682,($C$317:$V$317=H$1703)*1,($C$6:$V$6="Praxis")*1,$C$9:$V$9,$C$107:$V$107)/SUMPRODUCT($C$1682:$V$1682,($C$317:$V$317=H$1703)*1,($C$6:$V$6="Praxis")*1,$C$9:$V$9))</f>
        <v/>
      </c>
      <c r="I2106" s="64">
        <f>IF(I1896=0,"",SUMPRODUCT($C$1682:$V$1682,($C$317:$V$317=I$1703)*1,($C$6:$V$6="Praxis")*1,$C$9:$V$9,$C$107:$V$107)/SUMPRODUCT($C$1682:$V$1682,($C$317:$V$317=I$1703)*1,($C$6:$V$6="Praxis")*1,$C$9:$V$9))</f>
        <v/>
      </c>
      <c r="J2106" s="64">
        <f>IF(J1896=0,"",SUMPRODUCT($C$1682:$V$1682,($C$317:$V$317=J$1703)*1,($C$6:$V$6="Praxis")*1,$C$9:$V$9,$C$107:$V$107)/SUMPRODUCT($C$1682:$V$1682,($C$317:$V$317=J$1703)*1,($C$6:$V$6="Praxis")*1,$C$9:$V$9))</f>
        <v/>
      </c>
    </row>
    <row r="2107">
      <c r="C2107" s="64">
        <f>IF(C1897=0,"",SUMPRODUCT($C$1683:$V$1683,($C$318:$V$318=C$1703)*1,($C$6:$V$6="Praxis")*1,$C$9:$V$9,$C$108:$V$108)/SUMPRODUCT($C$1683:$V$1683,($C$318:$V$318=C$1703)*1,($C$6:$V$6="Praxis")*1,$C$9:$V$9))</f>
        <v/>
      </c>
      <c r="D2107" s="64">
        <f>IF(D1897=0,"",SUMPRODUCT($C$1683:$V$1683,($C$318:$V$318=D$1703)*1,($C$6:$V$6="Praxis")*1,$C$9:$V$9,$C$108:$V$108)/SUMPRODUCT($C$1683:$V$1683,($C$318:$V$318=D$1703)*1,($C$6:$V$6="Praxis")*1,$C$9:$V$9))</f>
        <v/>
      </c>
      <c r="E2107" s="64">
        <f>IF(E1897=0,"",SUMPRODUCT($C$1683:$V$1683,($C$318:$V$318=E$1703)*1,($C$6:$V$6="Praxis")*1,$C$9:$V$9,$C$108:$V$108)/SUMPRODUCT($C$1683:$V$1683,($C$318:$V$318=E$1703)*1,($C$6:$V$6="Praxis")*1,$C$9:$V$9))</f>
        <v/>
      </c>
      <c r="F2107" s="64">
        <f>IF(F1897=0,"",SUMPRODUCT($C$1683:$V$1683,($C$318:$V$318=F$1703)*1,($C$6:$V$6="Praxis")*1,$C$9:$V$9,$C$108:$V$108)/SUMPRODUCT($C$1683:$V$1683,($C$318:$V$318=F$1703)*1,($C$6:$V$6="Praxis")*1,$C$9:$V$9))</f>
        <v/>
      </c>
      <c r="G2107" s="64">
        <f>IF(G1897=0,"",SUMPRODUCT($C$1683:$V$1683,($C$318:$V$318=G$1703)*1,($C$6:$V$6="Praxis")*1,$C$9:$V$9,$C$108:$V$108)/SUMPRODUCT($C$1683:$V$1683,($C$318:$V$318=G$1703)*1,($C$6:$V$6="Praxis")*1,$C$9:$V$9))</f>
        <v/>
      </c>
      <c r="H2107" s="64">
        <f>IF(H1897=0,"",SUMPRODUCT($C$1683:$V$1683,($C$318:$V$318=H$1703)*1,($C$6:$V$6="Praxis")*1,$C$9:$V$9,$C$108:$V$108)/SUMPRODUCT($C$1683:$V$1683,($C$318:$V$318=H$1703)*1,($C$6:$V$6="Praxis")*1,$C$9:$V$9))</f>
        <v/>
      </c>
      <c r="I2107" s="64">
        <f>IF(I1897=0,"",SUMPRODUCT($C$1683:$V$1683,($C$318:$V$318=I$1703)*1,($C$6:$V$6="Praxis")*1,$C$9:$V$9,$C$108:$V$108)/SUMPRODUCT($C$1683:$V$1683,($C$318:$V$318=I$1703)*1,($C$6:$V$6="Praxis")*1,$C$9:$V$9))</f>
        <v/>
      </c>
      <c r="J2107" s="64">
        <f>IF(J1897=0,"",SUMPRODUCT($C$1683:$V$1683,($C$318:$V$318=J$1703)*1,($C$6:$V$6="Praxis")*1,$C$9:$V$9,$C$108:$V$108)/SUMPRODUCT($C$1683:$V$1683,($C$318:$V$318=J$1703)*1,($C$6:$V$6="Praxis")*1,$C$9:$V$9))</f>
        <v/>
      </c>
    </row>
    <row r="2108">
      <c r="C2108" s="64">
        <f>IF(C1898=0,"",SUMPRODUCT($C$1684:$V$1684,($C$319:$V$319=C$1703)*1,($C$6:$V$6="Praxis")*1,$C$9:$V$9,$C$109:$V$109)/SUMPRODUCT($C$1684:$V$1684,($C$319:$V$319=C$1703)*1,($C$6:$V$6="Praxis")*1,$C$9:$V$9))</f>
        <v/>
      </c>
      <c r="D2108" s="64">
        <f>IF(D1898=0,"",SUMPRODUCT($C$1684:$V$1684,($C$319:$V$319=D$1703)*1,($C$6:$V$6="Praxis")*1,$C$9:$V$9,$C$109:$V$109)/SUMPRODUCT($C$1684:$V$1684,($C$319:$V$319=D$1703)*1,($C$6:$V$6="Praxis")*1,$C$9:$V$9))</f>
        <v/>
      </c>
      <c r="E2108" s="64">
        <f>IF(E1898=0,"",SUMPRODUCT($C$1684:$V$1684,($C$319:$V$319=E$1703)*1,($C$6:$V$6="Praxis")*1,$C$9:$V$9,$C$109:$V$109)/SUMPRODUCT($C$1684:$V$1684,($C$319:$V$319=E$1703)*1,($C$6:$V$6="Praxis")*1,$C$9:$V$9))</f>
        <v/>
      </c>
      <c r="F2108" s="64">
        <f>IF(F1898=0,"",SUMPRODUCT($C$1684:$V$1684,($C$319:$V$319=F$1703)*1,($C$6:$V$6="Praxis")*1,$C$9:$V$9,$C$109:$V$109)/SUMPRODUCT($C$1684:$V$1684,($C$319:$V$319=F$1703)*1,($C$6:$V$6="Praxis")*1,$C$9:$V$9))</f>
        <v/>
      </c>
      <c r="G2108" s="64">
        <f>IF(G1898=0,"",SUMPRODUCT($C$1684:$V$1684,($C$319:$V$319=G$1703)*1,($C$6:$V$6="Praxis")*1,$C$9:$V$9,$C$109:$V$109)/SUMPRODUCT($C$1684:$V$1684,($C$319:$V$319=G$1703)*1,($C$6:$V$6="Praxis")*1,$C$9:$V$9))</f>
        <v/>
      </c>
      <c r="H2108" s="64">
        <f>IF(H1898=0,"",SUMPRODUCT($C$1684:$V$1684,($C$319:$V$319=H$1703)*1,($C$6:$V$6="Praxis")*1,$C$9:$V$9,$C$109:$V$109)/SUMPRODUCT($C$1684:$V$1684,($C$319:$V$319=H$1703)*1,($C$6:$V$6="Praxis")*1,$C$9:$V$9))</f>
        <v/>
      </c>
      <c r="I2108" s="64">
        <f>IF(I1898=0,"",SUMPRODUCT($C$1684:$V$1684,($C$319:$V$319=I$1703)*1,($C$6:$V$6="Praxis")*1,$C$9:$V$9,$C$109:$V$109)/SUMPRODUCT($C$1684:$V$1684,($C$319:$V$319=I$1703)*1,($C$6:$V$6="Praxis")*1,$C$9:$V$9))</f>
        <v/>
      </c>
      <c r="J2108" s="64">
        <f>IF(J1898=0,"",SUMPRODUCT($C$1684:$V$1684,($C$319:$V$319=J$1703)*1,($C$6:$V$6="Praxis")*1,$C$9:$V$9,$C$109:$V$109)/SUMPRODUCT($C$1684:$V$1684,($C$319:$V$319=J$1703)*1,($C$6:$V$6="Praxis")*1,$C$9:$V$9))</f>
        <v/>
      </c>
    </row>
    <row r="2109">
      <c r="C2109" s="64">
        <f>IF(C1899=0,"",SUMPRODUCT($C$1685:$V$1685,($C$320:$V$320=C$1703)*1,($C$6:$V$6="Praxis")*1,$C$9:$V$9,$C$110:$V$110)/SUMPRODUCT($C$1685:$V$1685,($C$320:$V$320=C$1703)*1,($C$6:$V$6="Praxis")*1,$C$9:$V$9))</f>
        <v/>
      </c>
      <c r="D2109" s="64">
        <f>IF(D1899=0,"",SUMPRODUCT($C$1685:$V$1685,($C$320:$V$320=D$1703)*1,($C$6:$V$6="Praxis")*1,$C$9:$V$9,$C$110:$V$110)/SUMPRODUCT($C$1685:$V$1685,($C$320:$V$320=D$1703)*1,($C$6:$V$6="Praxis")*1,$C$9:$V$9))</f>
        <v/>
      </c>
      <c r="E2109" s="64">
        <f>IF(E1899=0,"",SUMPRODUCT($C$1685:$V$1685,($C$320:$V$320=E$1703)*1,($C$6:$V$6="Praxis")*1,$C$9:$V$9,$C$110:$V$110)/SUMPRODUCT($C$1685:$V$1685,($C$320:$V$320=E$1703)*1,($C$6:$V$6="Praxis")*1,$C$9:$V$9))</f>
        <v/>
      </c>
      <c r="F2109" s="64">
        <f>IF(F1899=0,"",SUMPRODUCT($C$1685:$V$1685,($C$320:$V$320=F$1703)*1,($C$6:$V$6="Praxis")*1,$C$9:$V$9,$C$110:$V$110)/SUMPRODUCT($C$1685:$V$1685,($C$320:$V$320=F$1703)*1,($C$6:$V$6="Praxis")*1,$C$9:$V$9))</f>
        <v/>
      </c>
      <c r="G2109" s="64">
        <f>IF(G1899=0,"",SUMPRODUCT($C$1685:$V$1685,($C$320:$V$320=G$1703)*1,($C$6:$V$6="Praxis")*1,$C$9:$V$9,$C$110:$V$110)/SUMPRODUCT($C$1685:$V$1685,($C$320:$V$320=G$1703)*1,($C$6:$V$6="Praxis")*1,$C$9:$V$9))</f>
        <v/>
      </c>
      <c r="H2109" s="64">
        <f>IF(H1899=0,"",SUMPRODUCT($C$1685:$V$1685,($C$320:$V$320=H$1703)*1,($C$6:$V$6="Praxis")*1,$C$9:$V$9,$C$110:$V$110)/SUMPRODUCT($C$1685:$V$1685,($C$320:$V$320=H$1703)*1,($C$6:$V$6="Praxis")*1,$C$9:$V$9))</f>
        <v/>
      </c>
      <c r="I2109" s="64">
        <f>IF(I1899=0,"",SUMPRODUCT($C$1685:$V$1685,($C$320:$V$320=I$1703)*1,($C$6:$V$6="Praxis")*1,$C$9:$V$9,$C$110:$V$110)/SUMPRODUCT($C$1685:$V$1685,($C$320:$V$320=I$1703)*1,($C$6:$V$6="Praxis")*1,$C$9:$V$9))</f>
        <v/>
      </c>
      <c r="J2109" s="64">
        <f>IF(J1899=0,"",SUMPRODUCT($C$1685:$V$1685,($C$320:$V$320=J$1703)*1,($C$6:$V$6="Praxis")*1,$C$9:$V$9,$C$110:$V$110)/SUMPRODUCT($C$1685:$V$1685,($C$320:$V$320=J$1703)*1,($C$6:$V$6="Praxis")*1,$C$9:$V$9))</f>
        <v/>
      </c>
    </row>
    <row r="2110">
      <c r="C2110" s="64">
        <f>IF(C1900=0,"",SUMPRODUCT($C$1686:$V$1686,($C$321:$V$321=C$1703)*1,($C$6:$V$6="Praxis")*1,$C$9:$V$9,$C$111:$V$111)/SUMPRODUCT($C$1686:$V$1686,($C$321:$V$321=C$1703)*1,($C$6:$V$6="Praxis")*1,$C$9:$V$9))</f>
        <v/>
      </c>
      <c r="D2110" s="64">
        <f>IF(D1900=0,"",SUMPRODUCT($C$1686:$V$1686,($C$321:$V$321=D$1703)*1,($C$6:$V$6="Praxis")*1,$C$9:$V$9,$C$111:$V$111)/SUMPRODUCT($C$1686:$V$1686,($C$321:$V$321=D$1703)*1,($C$6:$V$6="Praxis")*1,$C$9:$V$9))</f>
        <v/>
      </c>
      <c r="E2110" s="64">
        <f>IF(E1900=0,"",SUMPRODUCT($C$1686:$V$1686,($C$321:$V$321=E$1703)*1,($C$6:$V$6="Praxis")*1,$C$9:$V$9,$C$111:$V$111)/SUMPRODUCT($C$1686:$V$1686,($C$321:$V$321=E$1703)*1,($C$6:$V$6="Praxis")*1,$C$9:$V$9))</f>
        <v/>
      </c>
      <c r="F2110" s="64">
        <f>IF(F1900=0,"",SUMPRODUCT($C$1686:$V$1686,($C$321:$V$321=F$1703)*1,($C$6:$V$6="Praxis")*1,$C$9:$V$9,$C$111:$V$111)/SUMPRODUCT($C$1686:$V$1686,($C$321:$V$321=F$1703)*1,($C$6:$V$6="Praxis")*1,$C$9:$V$9))</f>
        <v/>
      </c>
      <c r="G2110" s="64">
        <f>IF(G1900=0,"",SUMPRODUCT($C$1686:$V$1686,($C$321:$V$321=G$1703)*1,($C$6:$V$6="Praxis")*1,$C$9:$V$9,$C$111:$V$111)/SUMPRODUCT($C$1686:$V$1686,($C$321:$V$321=G$1703)*1,($C$6:$V$6="Praxis")*1,$C$9:$V$9))</f>
        <v/>
      </c>
      <c r="H2110" s="64">
        <f>IF(H1900=0,"",SUMPRODUCT($C$1686:$V$1686,($C$321:$V$321=H$1703)*1,($C$6:$V$6="Praxis")*1,$C$9:$V$9,$C$111:$V$111)/SUMPRODUCT($C$1686:$V$1686,($C$321:$V$321=H$1703)*1,($C$6:$V$6="Praxis")*1,$C$9:$V$9))</f>
        <v/>
      </c>
      <c r="I2110" s="64">
        <f>IF(I1900=0,"",SUMPRODUCT($C$1686:$V$1686,($C$321:$V$321=I$1703)*1,($C$6:$V$6="Praxis")*1,$C$9:$V$9,$C$111:$V$111)/SUMPRODUCT($C$1686:$V$1686,($C$321:$V$321=I$1703)*1,($C$6:$V$6="Praxis")*1,$C$9:$V$9))</f>
        <v/>
      </c>
      <c r="J2110" s="64">
        <f>IF(J1900=0,"",SUMPRODUCT($C$1686:$V$1686,($C$321:$V$321=J$1703)*1,($C$6:$V$6="Praxis")*1,$C$9:$V$9,$C$111:$V$111)/SUMPRODUCT($C$1686:$V$1686,($C$321:$V$321=J$1703)*1,($C$6:$V$6="Praxis")*1,$C$9:$V$9))</f>
        <v/>
      </c>
    </row>
    <row r="2111">
      <c r="C2111" s="64">
        <f>IF(C1901=0,"",SUMPRODUCT($C$1687:$V$1687,($C$322:$V$322=C$1703)*1,($C$6:$V$6="Praxis")*1,$C$9:$V$9,$C$112:$V$112)/SUMPRODUCT($C$1687:$V$1687,($C$322:$V$322=C$1703)*1,($C$6:$V$6="Praxis")*1,$C$9:$V$9))</f>
        <v/>
      </c>
      <c r="D2111" s="64">
        <f>IF(D1901=0,"",SUMPRODUCT($C$1687:$V$1687,($C$322:$V$322=D$1703)*1,($C$6:$V$6="Praxis")*1,$C$9:$V$9,$C$112:$V$112)/SUMPRODUCT($C$1687:$V$1687,($C$322:$V$322=D$1703)*1,($C$6:$V$6="Praxis")*1,$C$9:$V$9))</f>
        <v/>
      </c>
      <c r="E2111" s="64">
        <f>IF(E1901=0,"",SUMPRODUCT($C$1687:$V$1687,($C$322:$V$322=E$1703)*1,($C$6:$V$6="Praxis")*1,$C$9:$V$9,$C$112:$V$112)/SUMPRODUCT($C$1687:$V$1687,($C$322:$V$322=E$1703)*1,($C$6:$V$6="Praxis")*1,$C$9:$V$9))</f>
        <v/>
      </c>
      <c r="F2111" s="64">
        <f>IF(F1901=0,"",SUMPRODUCT($C$1687:$V$1687,($C$322:$V$322=F$1703)*1,($C$6:$V$6="Praxis")*1,$C$9:$V$9,$C$112:$V$112)/SUMPRODUCT($C$1687:$V$1687,($C$322:$V$322=F$1703)*1,($C$6:$V$6="Praxis")*1,$C$9:$V$9))</f>
        <v/>
      </c>
      <c r="G2111" s="64">
        <f>IF(G1901=0,"",SUMPRODUCT($C$1687:$V$1687,($C$322:$V$322=G$1703)*1,($C$6:$V$6="Praxis")*1,$C$9:$V$9,$C$112:$V$112)/SUMPRODUCT($C$1687:$V$1687,($C$322:$V$322=G$1703)*1,($C$6:$V$6="Praxis")*1,$C$9:$V$9))</f>
        <v/>
      </c>
      <c r="H2111" s="64">
        <f>IF(H1901=0,"",SUMPRODUCT($C$1687:$V$1687,($C$322:$V$322=H$1703)*1,($C$6:$V$6="Praxis")*1,$C$9:$V$9,$C$112:$V$112)/SUMPRODUCT($C$1687:$V$1687,($C$322:$V$322=H$1703)*1,($C$6:$V$6="Praxis")*1,$C$9:$V$9))</f>
        <v/>
      </c>
      <c r="I2111" s="64">
        <f>IF(I1901=0,"",SUMPRODUCT($C$1687:$V$1687,($C$322:$V$322=I$1703)*1,($C$6:$V$6="Praxis")*1,$C$9:$V$9,$C$112:$V$112)/SUMPRODUCT($C$1687:$V$1687,($C$322:$V$322=I$1703)*1,($C$6:$V$6="Praxis")*1,$C$9:$V$9))</f>
        <v/>
      </c>
      <c r="J2111" s="64">
        <f>IF(J1901=0,"",SUMPRODUCT($C$1687:$V$1687,($C$322:$V$322=J$1703)*1,($C$6:$V$6="Praxis")*1,$C$9:$V$9,$C$112:$V$112)/SUMPRODUCT($C$1687:$V$1687,($C$322:$V$322=J$1703)*1,($C$6:$V$6="Praxis")*1,$C$9:$V$9))</f>
        <v/>
      </c>
    </row>
    <row r="2112">
      <c r="C2112" s="64">
        <f>IF(C1902=0,"",SUMPRODUCT($C$1688:$V$1688,($C$323:$V$323=C$1703)*1,($C$6:$V$6="Praxis")*1,$C$9:$V$9,$C$113:$V$113)/SUMPRODUCT($C$1688:$V$1688,($C$323:$V$323=C$1703)*1,($C$6:$V$6="Praxis")*1,$C$9:$V$9))</f>
        <v/>
      </c>
      <c r="D2112" s="64">
        <f>IF(D1902=0,"",SUMPRODUCT($C$1688:$V$1688,($C$323:$V$323=D$1703)*1,($C$6:$V$6="Praxis")*1,$C$9:$V$9,$C$113:$V$113)/SUMPRODUCT($C$1688:$V$1688,($C$323:$V$323=D$1703)*1,($C$6:$V$6="Praxis")*1,$C$9:$V$9))</f>
        <v/>
      </c>
      <c r="E2112" s="64">
        <f>IF(E1902=0,"",SUMPRODUCT($C$1688:$V$1688,($C$323:$V$323=E$1703)*1,($C$6:$V$6="Praxis")*1,$C$9:$V$9,$C$113:$V$113)/SUMPRODUCT($C$1688:$V$1688,($C$323:$V$323=E$1703)*1,($C$6:$V$6="Praxis")*1,$C$9:$V$9))</f>
        <v/>
      </c>
      <c r="F2112" s="64">
        <f>IF(F1902=0,"",SUMPRODUCT($C$1688:$V$1688,($C$323:$V$323=F$1703)*1,($C$6:$V$6="Praxis")*1,$C$9:$V$9,$C$113:$V$113)/SUMPRODUCT($C$1688:$V$1688,($C$323:$V$323=F$1703)*1,($C$6:$V$6="Praxis")*1,$C$9:$V$9))</f>
        <v/>
      </c>
      <c r="G2112" s="64">
        <f>IF(G1902=0,"",SUMPRODUCT($C$1688:$V$1688,($C$323:$V$323=G$1703)*1,($C$6:$V$6="Praxis")*1,$C$9:$V$9,$C$113:$V$113)/SUMPRODUCT($C$1688:$V$1688,($C$323:$V$323=G$1703)*1,($C$6:$V$6="Praxis")*1,$C$9:$V$9))</f>
        <v/>
      </c>
      <c r="H2112" s="64">
        <f>IF(H1902=0,"",SUMPRODUCT($C$1688:$V$1688,($C$323:$V$323=H$1703)*1,($C$6:$V$6="Praxis")*1,$C$9:$V$9,$C$113:$V$113)/SUMPRODUCT($C$1688:$V$1688,($C$323:$V$323=H$1703)*1,($C$6:$V$6="Praxis")*1,$C$9:$V$9))</f>
        <v/>
      </c>
      <c r="I2112" s="64">
        <f>IF(I1902=0,"",SUMPRODUCT($C$1688:$V$1688,($C$323:$V$323=I$1703)*1,($C$6:$V$6="Praxis")*1,$C$9:$V$9,$C$113:$V$113)/SUMPRODUCT($C$1688:$V$1688,($C$323:$V$323=I$1703)*1,($C$6:$V$6="Praxis")*1,$C$9:$V$9))</f>
        <v/>
      </c>
      <c r="J2112" s="64">
        <f>IF(J1902=0,"",SUMPRODUCT($C$1688:$V$1688,($C$323:$V$323=J$1703)*1,($C$6:$V$6="Praxis")*1,$C$9:$V$9,$C$113:$V$113)/SUMPRODUCT($C$1688:$V$1688,($C$323:$V$323=J$1703)*1,($C$6:$V$6="Praxis")*1,$C$9:$V$9))</f>
        <v/>
      </c>
    </row>
    <row r="2113">
      <c r="C2113" s="64">
        <f>IF(C1903=0,"",SUMPRODUCT($C$1689:$V$1689,($C$324:$V$324=C$1703)*1,($C$6:$V$6="Praxis")*1,$C$9:$V$9,$C$114:$V$114)/SUMPRODUCT($C$1689:$V$1689,($C$324:$V$324=C$1703)*1,($C$6:$V$6="Praxis")*1,$C$9:$V$9))</f>
        <v/>
      </c>
      <c r="D2113" s="64">
        <f>IF(D1903=0,"",SUMPRODUCT($C$1689:$V$1689,($C$324:$V$324=D$1703)*1,($C$6:$V$6="Praxis")*1,$C$9:$V$9,$C$114:$V$114)/SUMPRODUCT($C$1689:$V$1689,($C$324:$V$324=D$1703)*1,($C$6:$V$6="Praxis")*1,$C$9:$V$9))</f>
        <v/>
      </c>
      <c r="E2113" s="64">
        <f>IF(E1903=0,"",SUMPRODUCT($C$1689:$V$1689,($C$324:$V$324=E$1703)*1,($C$6:$V$6="Praxis")*1,$C$9:$V$9,$C$114:$V$114)/SUMPRODUCT($C$1689:$V$1689,($C$324:$V$324=E$1703)*1,($C$6:$V$6="Praxis")*1,$C$9:$V$9))</f>
        <v/>
      </c>
      <c r="F2113" s="64">
        <f>IF(F1903=0,"",SUMPRODUCT($C$1689:$V$1689,($C$324:$V$324=F$1703)*1,($C$6:$V$6="Praxis")*1,$C$9:$V$9,$C$114:$V$114)/SUMPRODUCT($C$1689:$V$1689,($C$324:$V$324=F$1703)*1,($C$6:$V$6="Praxis")*1,$C$9:$V$9))</f>
        <v/>
      </c>
      <c r="G2113" s="64">
        <f>IF(G1903=0,"",SUMPRODUCT($C$1689:$V$1689,($C$324:$V$324=G$1703)*1,($C$6:$V$6="Praxis")*1,$C$9:$V$9,$C$114:$V$114)/SUMPRODUCT($C$1689:$V$1689,($C$324:$V$324=G$1703)*1,($C$6:$V$6="Praxis")*1,$C$9:$V$9))</f>
        <v/>
      </c>
      <c r="H2113" s="64">
        <f>IF(H1903=0,"",SUMPRODUCT($C$1689:$V$1689,($C$324:$V$324=H$1703)*1,($C$6:$V$6="Praxis")*1,$C$9:$V$9,$C$114:$V$114)/SUMPRODUCT($C$1689:$V$1689,($C$324:$V$324=H$1703)*1,($C$6:$V$6="Praxis")*1,$C$9:$V$9))</f>
        <v/>
      </c>
      <c r="I2113" s="64">
        <f>IF(I1903=0,"",SUMPRODUCT($C$1689:$V$1689,($C$324:$V$324=I$1703)*1,($C$6:$V$6="Praxis")*1,$C$9:$V$9,$C$114:$V$114)/SUMPRODUCT($C$1689:$V$1689,($C$324:$V$324=I$1703)*1,($C$6:$V$6="Praxis")*1,$C$9:$V$9))</f>
        <v/>
      </c>
      <c r="J2113" s="64">
        <f>IF(J1903=0,"",SUMPRODUCT($C$1689:$V$1689,($C$324:$V$324=J$1703)*1,($C$6:$V$6="Praxis")*1,$C$9:$V$9,$C$114:$V$114)/SUMPRODUCT($C$1689:$V$1689,($C$324:$V$324=J$1703)*1,($C$6:$V$6="Praxis")*1,$C$9:$V$9))</f>
        <v/>
      </c>
    </row>
    <row r="2114">
      <c r="C2114" s="64">
        <f>IF(C1904=0,"",SUMPRODUCT($C$1690:$V$1690,($C$325:$V$325=C$1703)*1,($C$6:$V$6="Praxis")*1,$C$9:$V$9,$C$115:$V$115)/SUMPRODUCT($C$1690:$V$1690,($C$325:$V$325=C$1703)*1,($C$6:$V$6="Praxis")*1,$C$9:$V$9))</f>
        <v/>
      </c>
      <c r="D2114" s="64">
        <f>IF(D1904=0,"",SUMPRODUCT($C$1690:$V$1690,($C$325:$V$325=D$1703)*1,($C$6:$V$6="Praxis")*1,$C$9:$V$9,$C$115:$V$115)/SUMPRODUCT($C$1690:$V$1690,($C$325:$V$325=D$1703)*1,($C$6:$V$6="Praxis")*1,$C$9:$V$9))</f>
        <v/>
      </c>
      <c r="E2114" s="64">
        <f>IF(E1904=0,"",SUMPRODUCT($C$1690:$V$1690,($C$325:$V$325=E$1703)*1,($C$6:$V$6="Praxis")*1,$C$9:$V$9,$C$115:$V$115)/SUMPRODUCT($C$1690:$V$1690,($C$325:$V$325=E$1703)*1,($C$6:$V$6="Praxis")*1,$C$9:$V$9))</f>
        <v/>
      </c>
      <c r="F2114" s="64">
        <f>IF(F1904=0,"",SUMPRODUCT($C$1690:$V$1690,($C$325:$V$325=F$1703)*1,($C$6:$V$6="Praxis")*1,$C$9:$V$9,$C$115:$V$115)/SUMPRODUCT($C$1690:$V$1690,($C$325:$V$325=F$1703)*1,($C$6:$V$6="Praxis")*1,$C$9:$V$9))</f>
        <v/>
      </c>
      <c r="G2114" s="64">
        <f>IF(G1904=0,"",SUMPRODUCT($C$1690:$V$1690,($C$325:$V$325=G$1703)*1,($C$6:$V$6="Praxis")*1,$C$9:$V$9,$C$115:$V$115)/SUMPRODUCT($C$1690:$V$1690,($C$325:$V$325=G$1703)*1,($C$6:$V$6="Praxis")*1,$C$9:$V$9))</f>
        <v/>
      </c>
      <c r="H2114" s="64">
        <f>IF(H1904=0,"",SUMPRODUCT($C$1690:$V$1690,($C$325:$V$325=H$1703)*1,($C$6:$V$6="Praxis")*1,$C$9:$V$9,$C$115:$V$115)/SUMPRODUCT($C$1690:$V$1690,($C$325:$V$325=H$1703)*1,($C$6:$V$6="Praxis")*1,$C$9:$V$9))</f>
        <v/>
      </c>
      <c r="I2114" s="64">
        <f>IF(I1904=0,"",SUMPRODUCT($C$1690:$V$1690,($C$325:$V$325=I$1703)*1,($C$6:$V$6="Praxis")*1,$C$9:$V$9,$C$115:$V$115)/SUMPRODUCT($C$1690:$V$1690,($C$325:$V$325=I$1703)*1,($C$6:$V$6="Praxis")*1,$C$9:$V$9))</f>
        <v/>
      </c>
      <c r="J2114" s="64">
        <f>IF(J1904=0,"",SUMPRODUCT($C$1690:$V$1690,($C$325:$V$325=J$1703)*1,($C$6:$V$6="Praxis")*1,$C$9:$V$9,$C$115:$V$115)/SUMPRODUCT($C$1690:$V$1690,($C$325:$V$325=J$1703)*1,($C$6:$V$6="Praxis")*1,$C$9:$V$9))</f>
        <v/>
      </c>
    </row>
    <row r="2115">
      <c r="C2115" s="64">
        <f>IF(C1905=0,"",SUMPRODUCT($C$1691:$V$1691,($C$326:$V$326=C$1703)*1,($C$6:$V$6="Praxis")*1,$C$9:$V$9,$C$116:$V$116)/SUMPRODUCT($C$1691:$V$1691,($C$326:$V$326=C$1703)*1,($C$6:$V$6="Praxis")*1,$C$9:$V$9))</f>
        <v/>
      </c>
      <c r="D2115" s="64">
        <f>IF(D1905=0,"",SUMPRODUCT($C$1691:$V$1691,($C$326:$V$326=D$1703)*1,($C$6:$V$6="Praxis")*1,$C$9:$V$9,$C$116:$V$116)/SUMPRODUCT($C$1691:$V$1691,($C$326:$V$326=D$1703)*1,($C$6:$V$6="Praxis")*1,$C$9:$V$9))</f>
        <v/>
      </c>
      <c r="E2115" s="64">
        <f>IF(E1905=0,"",SUMPRODUCT($C$1691:$V$1691,($C$326:$V$326=E$1703)*1,($C$6:$V$6="Praxis")*1,$C$9:$V$9,$C$116:$V$116)/SUMPRODUCT($C$1691:$V$1691,($C$326:$V$326=E$1703)*1,($C$6:$V$6="Praxis")*1,$C$9:$V$9))</f>
        <v/>
      </c>
      <c r="F2115" s="64">
        <f>IF(F1905=0,"",SUMPRODUCT($C$1691:$V$1691,($C$326:$V$326=F$1703)*1,($C$6:$V$6="Praxis")*1,$C$9:$V$9,$C$116:$V$116)/SUMPRODUCT($C$1691:$V$1691,($C$326:$V$326=F$1703)*1,($C$6:$V$6="Praxis")*1,$C$9:$V$9))</f>
        <v/>
      </c>
      <c r="G2115" s="64">
        <f>IF(G1905=0,"",SUMPRODUCT($C$1691:$V$1691,($C$326:$V$326=G$1703)*1,($C$6:$V$6="Praxis")*1,$C$9:$V$9,$C$116:$V$116)/SUMPRODUCT($C$1691:$V$1691,($C$326:$V$326=G$1703)*1,($C$6:$V$6="Praxis")*1,$C$9:$V$9))</f>
        <v/>
      </c>
      <c r="H2115" s="64">
        <f>IF(H1905=0,"",SUMPRODUCT($C$1691:$V$1691,($C$326:$V$326=H$1703)*1,($C$6:$V$6="Praxis")*1,$C$9:$V$9,$C$116:$V$116)/SUMPRODUCT($C$1691:$V$1691,($C$326:$V$326=H$1703)*1,($C$6:$V$6="Praxis")*1,$C$9:$V$9))</f>
        <v/>
      </c>
      <c r="I2115" s="64">
        <f>IF(I1905=0,"",SUMPRODUCT($C$1691:$V$1691,($C$326:$V$326=I$1703)*1,($C$6:$V$6="Praxis")*1,$C$9:$V$9,$C$116:$V$116)/SUMPRODUCT($C$1691:$V$1691,($C$326:$V$326=I$1703)*1,($C$6:$V$6="Praxis")*1,$C$9:$V$9))</f>
        <v/>
      </c>
      <c r="J2115" s="64">
        <f>IF(J1905=0,"",SUMPRODUCT($C$1691:$V$1691,($C$326:$V$326=J$1703)*1,($C$6:$V$6="Praxis")*1,$C$9:$V$9,$C$116:$V$116)/SUMPRODUCT($C$1691:$V$1691,($C$326:$V$326=J$1703)*1,($C$6:$V$6="Praxis")*1,$C$9:$V$9))</f>
        <v/>
      </c>
    </row>
    <row r="2116">
      <c r="C2116" s="64">
        <f>IF(C1906=0,"",SUMPRODUCT($C$1692:$V$1692,($C$327:$V$327=C$1703)*1,($C$6:$V$6="Praxis")*1,$C$9:$V$9,$C$117:$V$117)/SUMPRODUCT($C$1692:$V$1692,($C$327:$V$327=C$1703)*1,($C$6:$V$6="Praxis")*1,$C$9:$V$9))</f>
        <v/>
      </c>
      <c r="D2116" s="64">
        <f>IF(D1906=0,"",SUMPRODUCT($C$1692:$V$1692,($C$327:$V$327=D$1703)*1,($C$6:$V$6="Praxis")*1,$C$9:$V$9,$C$117:$V$117)/SUMPRODUCT($C$1692:$V$1692,($C$327:$V$327=D$1703)*1,($C$6:$V$6="Praxis")*1,$C$9:$V$9))</f>
        <v/>
      </c>
      <c r="E2116" s="64">
        <f>IF(E1906=0,"",SUMPRODUCT($C$1692:$V$1692,($C$327:$V$327=E$1703)*1,($C$6:$V$6="Praxis")*1,$C$9:$V$9,$C$117:$V$117)/SUMPRODUCT($C$1692:$V$1692,($C$327:$V$327=E$1703)*1,($C$6:$V$6="Praxis")*1,$C$9:$V$9))</f>
        <v/>
      </c>
      <c r="F2116" s="64">
        <f>IF(F1906=0,"",SUMPRODUCT($C$1692:$V$1692,($C$327:$V$327=F$1703)*1,($C$6:$V$6="Praxis")*1,$C$9:$V$9,$C$117:$V$117)/SUMPRODUCT($C$1692:$V$1692,($C$327:$V$327=F$1703)*1,($C$6:$V$6="Praxis")*1,$C$9:$V$9))</f>
        <v/>
      </c>
      <c r="G2116" s="64">
        <f>IF(G1906=0,"",SUMPRODUCT($C$1692:$V$1692,($C$327:$V$327=G$1703)*1,($C$6:$V$6="Praxis")*1,$C$9:$V$9,$C$117:$V$117)/SUMPRODUCT($C$1692:$V$1692,($C$327:$V$327=G$1703)*1,($C$6:$V$6="Praxis")*1,$C$9:$V$9))</f>
        <v/>
      </c>
      <c r="H2116" s="64">
        <f>IF(H1906=0,"",SUMPRODUCT($C$1692:$V$1692,($C$327:$V$327=H$1703)*1,($C$6:$V$6="Praxis")*1,$C$9:$V$9,$C$117:$V$117)/SUMPRODUCT($C$1692:$V$1692,($C$327:$V$327=H$1703)*1,($C$6:$V$6="Praxis")*1,$C$9:$V$9))</f>
        <v/>
      </c>
      <c r="I2116" s="64">
        <f>IF(I1906=0,"",SUMPRODUCT($C$1692:$V$1692,($C$327:$V$327=I$1703)*1,($C$6:$V$6="Praxis")*1,$C$9:$V$9,$C$117:$V$117)/SUMPRODUCT($C$1692:$V$1692,($C$327:$V$327=I$1703)*1,($C$6:$V$6="Praxis")*1,$C$9:$V$9))</f>
        <v/>
      </c>
      <c r="J2116" s="64">
        <f>IF(J1906=0,"",SUMPRODUCT($C$1692:$V$1692,($C$327:$V$327=J$1703)*1,($C$6:$V$6="Praxis")*1,$C$9:$V$9,$C$117:$V$117)/SUMPRODUCT($C$1692:$V$1692,($C$327:$V$327=J$1703)*1,($C$6:$V$6="Praxis")*1,$C$9:$V$9))</f>
        <v/>
      </c>
    </row>
    <row r="2117">
      <c r="C2117" s="64">
        <f>IF(C1907=0,"",SUMPRODUCT($C$1693:$V$1693,($C$328:$V$328=C$1703)*1,($C$6:$V$6="Praxis")*1,$C$9:$V$9,$C$118:$V$118)/SUMPRODUCT($C$1693:$V$1693,($C$328:$V$328=C$1703)*1,($C$6:$V$6="Praxis")*1,$C$9:$V$9))</f>
        <v/>
      </c>
      <c r="D2117" s="64">
        <f>IF(D1907=0,"",SUMPRODUCT($C$1693:$V$1693,($C$328:$V$328=D$1703)*1,($C$6:$V$6="Praxis")*1,$C$9:$V$9,$C$118:$V$118)/SUMPRODUCT($C$1693:$V$1693,($C$328:$V$328=D$1703)*1,($C$6:$V$6="Praxis")*1,$C$9:$V$9))</f>
        <v/>
      </c>
      <c r="E2117" s="64">
        <f>IF(E1907=0,"",SUMPRODUCT($C$1693:$V$1693,($C$328:$V$328=E$1703)*1,($C$6:$V$6="Praxis")*1,$C$9:$V$9,$C$118:$V$118)/SUMPRODUCT($C$1693:$V$1693,($C$328:$V$328=E$1703)*1,($C$6:$V$6="Praxis")*1,$C$9:$V$9))</f>
        <v/>
      </c>
      <c r="F2117" s="64">
        <f>IF(F1907=0,"",SUMPRODUCT($C$1693:$V$1693,($C$328:$V$328=F$1703)*1,($C$6:$V$6="Praxis")*1,$C$9:$V$9,$C$118:$V$118)/SUMPRODUCT($C$1693:$V$1693,($C$328:$V$328=F$1703)*1,($C$6:$V$6="Praxis")*1,$C$9:$V$9))</f>
        <v/>
      </c>
      <c r="G2117" s="64">
        <f>IF(G1907=0,"",SUMPRODUCT($C$1693:$V$1693,($C$328:$V$328=G$1703)*1,($C$6:$V$6="Praxis")*1,$C$9:$V$9,$C$118:$V$118)/SUMPRODUCT($C$1693:$V$1693,($C$328:$V$328=G$1703)*1,($C$6:$V$6="Praxis")*1,$C$9:$V$9))</f>
        <v/>
      </c>
      <c r="H2117" s="64">
        <f>IF(H1907=0,"",SUMPRODUCT($C$1693:$V$1693,($C$328:$V$328=H$1703)*1,($C$6:$V$6="Praxis")*1,$C$9:$V$9,$C$118:$V$118)/SUMPRODUCT($C$1693:$V$1693,($C$328:$V$328=H$1703)*1,($C$6:$V$6="Praxis")*1,$C$9:$V$9))</f>
        <v/>
      </c>
      <c r="I2117" s="64">
        <f>IF(I1907=0,"",SUMPRODUCT($C$1693:$V$1693,($C$328:$V$328=I$1703)*1,($C$6:$V$6="Praxis")*1,$C$9:$V$9,$C$118:$V$118)/SUMPRODUCT($C$1693:$V$1693,($C$328:$V$328=I$1703)*1,($C$6:$V$6="Praxis")*1,$C$9:$V$9))</f>
        <v/>
      </c>
      <c r="J2117" s="64">
        <f>IF(J1907=0,"",SUMPRODUCT($C$1693:$V$1693,($C$328:$V$328=J$1703)*1,($C$6:$V$6="Praxis")*1,$C$9:$V$9,$C$118:$V$118)/SUMPRODUCT($C$1693:$V$1693,($C$328:$V$328=J$1703)*1,($C$6:$V$6="Praxis")*1,$C$9:$V$9))</f>
        <v/>
      </c>
    </row>
    <row r="2118">
      <c r="C2118" s="64">
        <f>IF(C1908=0,"",SUMPRODUCT($C$1694:$V$1694,($C$329:$V$329=C$1703)*1,($C$6:$V$6="Praxis")*1,$C$9:$V$9,$C$119:$V$119)/SUMPRODUCT($C$1694:$V$1694,($C$329:$V$329=C$1703)*1,($C$6:$V$6="Praxis")*1,$C$9:$V$9))</f>
        <v/>
      </c>
      <c r="D2118" s="64">
        <f>IF(D1908=0,"",SUMPRODUCT($C$1694:$V$1694,($C$329:$V$329=D$1703)*1,($C$6:$V$6="Praxis")*1,$C$9:$V$9,$C$119:$V$119)/SUMPRODUCT($C$1694:$V$1694,($C$329:$V$329=D$1703)*1,($C$6:$V$6="Praxis")*1,$C$9:$V$9))</f>
        <v/>
      </c>
      <c r="E2118" s="64">
        <f>IF(E1908=0,"",SUMPRODUCT($C$1694:$V$1694,($C$329:$V$329=E$1703)*1,($C$6:$V$6="Praxis")*1,$C$9:$V$9,$C$119:$V$119)/SUMPRODUCT($C$1694:$V$1694,($C$329:$V$329=E$1703)*1,($C$6:$V$6="Praxis")*1,$C$9:$V$9))</f>
        <v/>
      </c>
      <c r="F2118" s="64">
        <f>IF(F1908=0,"",SUMPRODUCT($C$1694:$V$1694,($C$329:$V$329=F$1703)*1,($C$6:$V$6="Praxis")*1,$C$9:$V$9,$C$119:$V$119)/SUMPRODUCT($C$1694:$V$1694,($C$329:$V$329=F$1703)*1,($C$6:$V$6="Praxis")*1,$C$9:$V$9))</f>
        <v/>
      </c>
      <c r="G2118" s="64">
        <f>IF(G1908=0,"",SUMPRODUCT($C$1694:$V$1694,($C$329:$V$329=G$1703)*1,($C$6:$V$6="Praxis")*1,$C$9:$V$9,$C$119:$V$119)/SUMPRODUCT($C$1694:$V$1694,($C$329:$V$329=G$1703)*1,($C$6:$V$6="Praxis")*1,$C$9:$V$9))</f>
        <v/>
      </c>
      <c r="H2118" s="64">
        <f>IF(H1908=0,"",SUMPRODUCT($C$1694:$V$1694,($C$329:$V$329=H$1703)*1,($C$6:$V$6="Praxis")*1,$C$9:$V$9,$C$119:$V$119)/SUMPRODUCT($C$1694:$V$1694,($C$329:$V$329=H$1703)*1,($C$6:$V$6="Praxis")*1,$C$9:$V$9))</f>
        <v/>
      </c>
      <c r="I2118" s="64">
        <f>IF(I1908=0,"",SUMPRODUCT($C$1694:$V$1694,($C$329:$V$329=I$1703)*1,($C$6:$V$6="Praxis")*1,$C$9:$V$9,$C$119:$V$119)/SUMPRODUCT($C$1694:$V$1694,($C$329:$V$329=I$1703)*1,($C$6:$V$6="Praxis")*1,$C$9:$V$9))</f>
        <v/>
      </c>
      <c r="J2118" s="64">
        <f>IF(J1908=0,"",SUMPRODUCT($C$1694:$V$1694,($C$329:$V$329=J$1703)*1,($C$6:$V$6="Praxis")*1,$C$9:$V$9,$C$119:$V$119)/SUMPRODUCT($C$1694:$V$1694,($C$329:$V$329=J$1703)*1,($C$6:$V$6="Praxis")*1,$C$9:$V$9))</f>
        <v/>
      </c>
    </row>
    <row r="2123">
      <c r="A2123" s="171" t="inlineStr">
        <is>
          <t>HJ T</t>
        </is>
      </c>
    </row>
    <row r="2124">
      <c r="C2124" s="64">
        <f>IF(C1914=0,"",SUMPRODUCT($C$1595:$V$1595,($C$230:$V$230=C$1703)*1,($C$6:$V$6="Theorie")*1,$C$9:$V$9,$C$20:$V$20)/SUMPRODUCT($C$1595:$V$1595,($C$230:$V$230=C$1703)*1,($C$6:$V$6="Theorie")*1,$C$9:$V$9))</f>
        <v/>
      </c>
      <c r="D2124" s="64">
        <f>IF(D1914=0,"",SUMPRODUCT($C$1595:$V$1595,($C$230:$V$230=D$1703)*1,($C$6:$V$6="Theorie")*1,$C$9:$V$9,$C$20:$V$20)/SUMPRODUCT($C$1595:$V$1595,($C$230:$V$230=D$1703)*1,($C$6:$V$6="Theorie")*1,$C$9:$V$9))</f>
        <v/>
      </c>
      <c r="E2124" s="64">
        <f>IF(E1914=0,"",SUMPRODUCT($C$1595:$V$1595,($C$230:$V$230=E$1703)*1,($C$6:$V$6="Theorie")*1,$C$9:$V$9,$C$20:$V$20)/SUMPRODUCT($C$1595:$V$1595,($C$230:$V$230=E$1703)*1,($C$6:$V$6="Theorie")*1,$C$9:$V$9))</f>
        <v/>
      </c>
      <c r="F2124" s="64">
        <f>IF(F1914=0,"",SUMPRODUCT($C$1595:$V$1595,($C$230:$V$230=F$1703)*1,($C$6:$V$6="Theorie")*1,$C$9:$V$9,$C$20:$V$20)/SUMPRODUCT($C$1595:$V$1595,($C$230:$V$230=F$1703)*1,($C$6:$V$6="Theorie")*1,$C$9:$V$9))</f>
        <v/>
      </c>
      <c r="G2124" s="64">
        <f>IF(G1914=0,"",SUMPRODUCT($C$1595:$V$1595,($C$230:$V$230=G$1703)*1,($C$6:$V$6="Theorie")*1,$C$9:$V$9,$C$20:$V$20)/SUMPRODUCT($C$1595:$V$1595,($C$230:$V$230=G$1703)*1,($C$6:$V$6="Theorie")*1,$C$9:$V$9))</f>
        <v/>
      </c>
      <c r="H2124" s="64">
        <f>IF(H1914=0,"",SUMPRODUCT($C$1595:$V$1595,($C$230:$V$230=H$1703)*1,($C$6:$V$6="Theorie")*1,$C$9:$V$9,$C$20:$V$20)/SUMPRODUCT($C$1595:$V$1595,($C$230:$V$230=H$1703)*1,($C$6:$V$6="Theorie")*1,$C$9:$V$9))</f>
        <v/>
      </c>
      <c r="I2124" s="64">
        <f>IF(I1914=0,"",SUMPRODUCT($C$1595:$V$1595,($C$230:$V$230=I$1703)*1,($C$6:$V$6="Theorie")*1,$C$9:$V$9,$C$20:$V$20)/SUMPRODUCT($C$1595:$V$1595,($C$230:$V$230=I$1703)*1,($C$6:$V$6="Theorie")*1,$C$9:$V$9))</f>
        <v/>
      </c>
      <c r="J2124" s="64">
        <f>IF(J1914=0,"",SUMPRODUCT($C$1595:$V$1595,($C$230:$V$230=J$1703)*1,($C$6:$V$6="Theorie")*1,$C$9:$V$9,$C$20:$V$20)/SUMPRODUCT($C$1595:$V$1595,($C$230:$V$230=J$1703)*1,($C$6:$V$6="Theorie")*1,$C$9:$V$9))</f>
        <v/>
      </c>
    </row>
    <row r="2125">
      <c r="C2125" s="64">
        <f>IF(C1915=0,"",SUMPRODUCT($C$1596:$V$1596,($C$231:$V$231=C$1703)*1,($C$6:$V$6="Theorie")*1,$C$9:$V$9,$C$21:$V$21)/SUMPRODUCT($C$1596:$V$1596,($C$231:$V$231=C$1703)*1,($C$6:$V$6="Theorie")*1,$C$9:$V$9))</f>
        <v/>
      </c>
      <c r="D2125" s="64">
        <f>IF(D1915=0,"",SUMPRODUCT($C$1596:$V$1596,($C$231:$V$231=D$1703)*1,($C$6:$V$6="Theorie")*1,$C$9:$V$9,$C$21:$V$21)/SUMPRODUCT($C$1596:$V$1596,($C$231:$V$231=D$1703)*1,($C$6:$V$6="Theorie")*1,$C$9:$V$9))</f>
        <v/>
      </c>
      <c r="E2125" s="64">
        <f>IF(E1915=0,"",SUMPRODUCT($C$1596:$V$1596,($C$231:$V$231=E$1703)*1,($C$6:$V$6="Theorie")*1,$C$9:$V$9,$C$21:$V$21)/SUMPRODUCT($C$1596:$V$1596,($C$231:$V$231=E$1703)*1,($C$6:$V$6="Theorie")*1,$C$9:$V$9))</f>
        <v/>
      </c>
      <c r="F2125" s="64">
        <f>IF(F1915=0,"",SUMPRODUCT($C$1596:$V$1596,($C$231:$V$231=F$1703)*1,($C$6:$V$6="Theorie")*1,$C$9:$V$9,$C$21:$V$21)/SUMPRODUCT($C$1596:$V$1596,($C$231:$V$231=F$1703)*1,($C$6:$V$6="Theorie")*1,$C$9:$V$9))</f>
        <v/>
      </c>
      <c r="G2125" s="64">
        <f>IF(G1915=0,"",SUMPRODUCT($C$1596:$V$1596,($C$231:$V$231=G$1703)*1,($C$6:$V$6="Theorie")*1,$C$9:$V$9,$C$21:$V$21)/SUMPRODUCT($C$1596:$V$1596,($C$231:$V$231=G$1703)*1,($C$6:$V$6="Theorie")*1,$C$9:$V$9))</f>
        <v/>
      </c>
      <c r="H2125" s="64">
        <f>IF(H1915=0,"",SUMPRODUCT($C$1596:$V$1596,($C$231:$V$231=H$1703)*1,($C$6:$V$6="Theorie")*1,$C$9:$V$9,$C$21:$V$21)/SUMPRODUCT($C$1596:$V$1596,($C$231:$V$231=H$1703)*1,($C$6:$V$6="Theorie")*1,$C$9:$V$9))</f>
        <v/>
      </c>
      <c r="I2125" s="64">
        <f>IF(I1915=0,"",SUMPRODUCT($C$1596:$V$1596,($C$231:$V$231=I$1703)*1,($C$6:$V$6="Theorie")*1,$C$9:$V$9,$C$21:$V$21)/SUMPRODUCT($C$1596:$V$1596,($C$231:$V$231=I$1703)*1,($C$6:$V$6="Theorie")*1,$C$9:$V$9))</f>
        <v/>
      </c>
      <c r="J2125" s="64">
        <f>IF(J1915=0,"",SUMPRODUCT($C$1596:$V$1596,($C$231:$V$231=J$1703)*1,($C$6:$V$6="Theorie")*1,$C$9:$V$9,$C$21:$V$21)/SUMPRODUCT($C$1596:$V$1596,($C$231:$V$231=J$1703)*1,($C$6:$V$6="Theorie")*1,$C$9:$V$9))</f>
        <v/>
      </c>
    </row>
    <row r="2126">
      <c r="C2126" s="64">
        <f>IF(C1916=0,"",SUMPRODUCT($C$1597:$V$1597,($C$232:$V$232=C$1703)*1,($C$6:$V$6="Theorie")*1,$C$9:$V$9,$C$22:$V$22)/SUMPRODUCT($C$1597:$V$1597,($C$232:$V$232=C$1703)*1,($C$6:$V$6="Theorie")*1,$C$9:$V$9))</f>
        <v/>
      </c>
      <c r="D2126" s="64">
        <f>IF(D1916=0,"",SUMPRODUCT($C$1597:$V$1597,($C$232:$V$232=D$1703)*1,($C$6:$V$6="Theorie")*1,$C$9:$V$9,$C$22:$V$22)/SUMPRODUCT($C$1597:$V$1597,($C$232:$V$232=D$1703)*1,($C$6:$V$6="Theorie")*1,$C$9:$V$9))</f>
        <v/>
      </c>
      <c r="E2126" s="64">
        <f>IF(E1916=0,"",SUMPRODUCT($C$1597:$V$1597,($C$232:$V$232=E$1703)*1,($C$6:$V$6="Theorie")*1,$C$9:$V$9,$C$22:$V$22)/SUMPRODUCT($C$1597:$V$1597,($C$232:$V$232=E$1703)*1,($C$6:$V$6="Theorie")*1,$C$9:$V$9))</f>
        <v/>
      </c>
      <c r="F2126" s="64">
        <f>IF(F1916=0,"",SUMPRODUCT($C$1597:$V$1597,($C$232:$V$232=F$1703)*1,($C$6:$V$6="Theorie")*1,$C$9:$V$9,$C$22:$V$22)/SUMPRODUCT($C$1597:$V$1597,($C$232:$V$232=F$1703)*1,($C$6:$V$6="Theorie")*1,$C$9:$V$9))</f>
        <v/>
      </c>
      <c r="G2126" s="64">
        <f>IF(G1916=0,"",SUMPRODUCT($C$1597:$V$1597,($C$232:$V$232=G$1703)*1,($C$6:$V$6="Theorie")*1,$C$9:$V$9,$C$22:$V$22)/SUMPRODUCT($C$1597:$V$1597,($C$232:$V$232=G$1703)*1,($C$6:$V$6="Theorie")*1,$C$9:$V$9))</f>
        <v/>
      </c>
      <c r="H2126" s="64">
        <f>IF(H1916=0,"",SUMPRODUCT($C$1597:$V$1597,($C$232:$V$232=H$1703)*1,($C$6:$V$6="Theorie")*1,$C$9:$V$9,$C$22:$V$22)/SUMPRODUCT($C$1597:$V$1597,($C$232:$V$232=H$1703)*1,($C$6:$V$6="Theorie")*1,$C$9:$V$9))</f>
        <v/>
      </c>
      <c r="I2126" s="64">
        <f>IF(I1916=0,"",SUMPRODUCT($C$1597:$V$1597,($C$232:$V$232=I$1703)*1,($C$6:$V$6="Theorie")*1,$C$9:$V$9,$C$22:$V$22)/SUMPRODUCT($C$1597:$V$1597,($C$232:$V$232=I$1703)*1,($C$6:$V$6="Theorie")*1,$C$9:$V$9))</f>
        <v/>
      </c>
      <c r="J2126" s="64">
        <f>IF(J1916=0,"",SUMPRODUCT($C$1597:$V$1597,($C$232:$V$232=J$1703)*1,($C$6:$V$6="Theorie")*1,$C$9:$V$9,$C$22:$V$22)/SUMPRODUCT($C$1597:$V$1597,($C$232:$V$232=J$1703)*1,($C$6:$V$6="Theorie")*1,$C$9:$V$9))</f>
        <v/>
      </c>
    </row>
    <row r="2127">
      <c r="C2127" s="64">
        <f>IF(C1917=0,"",SUMPRODUCT($C$1598:$V$1598,($C$233:$V$233=C$1703)*1,($C$6:$V$6="Theorie")*1,$C$9:$V$9,$C$23:$V$23)/SUMPRODUCT($C$1598:$V$1598,($C$233:$V$233=C$1703)*1,($C$6:$V$6="Theorie")*1,$C$9:$V$9))</f>
        <v/>
      </c>
      <c r="D2127" s="64">
        <f>IF(D1917=0,"",SUMPRODUCT($C$1598:$V$1598,($C$233:$V$233=D$1703)*1,($C$6:$V$6="Theorie")*1,$C$9:$V$9,$C$23:$V$23)/SUMPRODUCT($C$1598:$V$1598,($C$233:$V$233=D$1703)*1,($C$6:$V$6="Theorie")*1,$C$9:$V$9))</f>
        <v/>
      </c>
      <c r="E2127" s="64">
        <f>IF(E1917=0,"",SUMPRODUCT($C$1598:$V$1598,($C$233:$V$233=E$1703)*1,($C$6:$V$6="Theorie")*1,$C$9:$V$9,$C$23:$V$23)/SUMPRODUCT($C$1598:$V$1598,($C$233:$V$233=E$1703)*1,($C$6:$V$6="Theorie")*1,$C$9:$V$9))</f>
        <v/>
      </c>
      <c r="F2127" s="64">
        <f>IF(F1917=0,"",SUMPRODUCT($C$1598:$V$1598,($C$233:$V$233=F$1703)*1,($C$6:$V$6="Theorie")*1,$C$9:$V$9,$C$23:$V$23)/SUMPRODUCT($C$1598:$V$1598,($C$233:$V$233=F$1703)*1,($C$6:$V$6="Theorie")*1,$C$9:$V$9))</f>
        <v/>
      </c>
      <c r="G2127" s="64">
        <f>IF(G1917=0,"",SUMPRODUCT($C$1598:$V$1598,($C$233:$V$233=G$1703)*1,($C$6:$V$6="Theorie")*1,$C$9:$V$9,$C$23:$V$23)/SUMPRODUCT($C$1598:$V$1598,($C$233:$V$233=G$1703)*1,($C$6:$V$6="Theorie")*1,$C$9:$V$9))</f>
        <v/>
      </c>
      <c r="H2127" s="64">
        <f>IF(H1917=0,"",SUMPRODUCT($C$1598:$V$1598,($C$233:$V$233=H$1703)*1,($C$6:$V$6="Theorie")*1,$C$9:$V$9,$C$23:$V$23)/SUMPRODUCT($C$1598:$V$1598,($C$233:$V$233=H$1703)*1,($C$6:$V$6="Theorie")*1,$C$9:$V$9))</f>
        <v/>
      </c>
      <c r="I2127" s="64">
        <f>IF(I1917=0,"",SUMPRODUCT($C$1598:$V$1598,($C$233:$V$233=I$1703)*1,($C$6:$V$6="Theorie")*1,$C$9:$V$9,$C$23:$V$23)/SUMPRODUCT($C$1598:$V$1598,($C$233:$V$233=I$1703)*1,($C$6:$V$6="Theorie")*1,$C$9:$V$9))</f>
        <v/>
      </c>
      <c r="J2127" s="64">
        <f>IF(J1917=0,"",SUMPRODUCT($C$1598:$V$1598,($C$233:$V$233=J$1703)*1,($C$6:$V$6="Theorie")*1,$C$9:$V$9,$C$23:$V$23)/SUMPRODUCT($C$1598:$V$1598,($C$233:$V$233=J$1703)*1,($C$6:$V$6="Theorie")*1,$C$9:$V$9))</f>
        <v/>
      </c>
    </row>
    <row r="2128">
      <c r="C2128" s="64">
        <f>IF(C1918=0,"",SUMPRODUCT($C$1599:$V$1599,($C$234:$V$234=C$1703)*1,($C$6:$V$6="Theorie")*1,$C$9:$V$9,$C$24:$V$24)/SUMPRODUCT($C$1599:$V$1599,($C$234:$V$234=C$1703)*1,($C$6:$V$6="Theorie")*1,$C$9:$V$9))</f>
        <v/>
      </c>
      <c r="D2128" s="64">
        <f>IF(D1918=0,"",SUMPRODUCT($C$1599:$V$1599,($C$234:$V$234=D$1703)*1,($C$6:$V$6="Theorie")*1,$C$9:$V$9,$C$24:$V$24)/SUMPRODUCT($C$1599:$V$1599,($C$234:$V$234=D$1703)*1,($C$6:$V$6="Theorie")*1,$C$9:$V$9))</f>
        <v/>
      </c>
      <c r="E2128" s="64">
        <f>IF(E1918=0,"",SUMPRODUCT($C$1599:$V$1599,($C$234:$V$234=E$1703)*1,($C$6:$V$6="Theorie")*1,$C$9:$V$9,$C$24:$V$24)/SUMPRODUCT($C$1599:$V$1599,($C$234:$V$234=E$1703)*1,($C$6:$V$6="Theorie")*1,$C$9:$V$9))</f>
        <v/>
      </c>
      <c r="F2128" s="64">
        <f>IF(F1918=0,"",SUMPRODUCT($C$1599:$V$1599,($C$234:$V$234=F$1703)*1,($C$6:$V$6="Theorie")*1,$C$9:$V$9,$C$24:$V$24)/SUMPRODUCT($C$1599:$V$1599,($C$234:$V$234=F$1703)*1,($C$6:$V$6="Theorie")*1,$C$9:$V$9))</f>
        <v/>
      </c>
      <c r="G2128" s="64">
        <f>IF(G1918=0,"",SUMPRODUCT($C$1599:$V$1599,($C$234:$V$234=G$1703)*1,($C$6:$V$6="Theorie")*1,$C$9:$V$9,$C$24:$V$24)/SUMPRODUCT($C$1599:$V$1599,($C$234:$V$234=G$1703)*1,($C$6:$V$6="Theorie")*1,$C$9:$V$9))</f>
        <v/>
      </c>
      <c r="H2128" s="64">
        <f>IF(H1918=0,"",SUMPRODUCT($C$1599:$V$1599,($C$234:$V$234=H$1703)*1,($C$6:$V$6="Theorie")*1,$C$9:$V$9,$C$24:$V$24)/SUMPRODUCT($C$1599:$V$1599,($C$234:$V$234=H$1703)*1,($C$6:$V$6="Theorie")*1,$C$9:$V$9))</f>
        <v/>
      </c>
      <c r="I2128" s="64">
        <f>IF(I1918=0,"",SUMPRODUCT($C$1599:$V$1599,($C$234:$V$234=I$1703)*1,($C$6:$V$6="Theorie")*1,$C$9:$V$9,$C$24:$V$24)/SUMPRODUCT($C$1599:$V$1599,($C$234:$V$234=I$1703)*1,($C$6:$V$6="Theorie")*1,$C$9:$V$9))</f>
        <v/>
      </c>
      <c r="J2128" s="64">
        <f>IF(J1918=0,"",SUMPRODUCT($C$1599:$V$1599,($C$234:$V$234=J$1703)*1,($C$6:$V$6="Theorie")*1,$C$9:$V$9,$C$24:$V$24)/SUMPRODUCT($C$1599:$V$1599,($C$234:$V$234=J$1703)*1,($C$6:$V$6="Theorie")*1,$C$9:$V$9))</f>
        <v/>
      </c>
    </row>
    <row r="2129">
      <c r="C2129" s="64">
        <f>IF(C1919=0,"",SUMPRODUCT($C$1600:$V$1600,($C$235:$V$235=C$1703)*1,($C$6:$V$6="Theorie")*1,$C$9:$V$9,$C$25:$V$25)/SUMPRODUCT($C$1600:$V$1600,($C$235:$V$235=C$1703)*1,($C$6:$V$6="Theorie")*1,$C$9:$V$9))</f>
        <v/>
      </c>
      <c r="D2129" s="64">
        <f>IF(D1919=0,"",SUMPRODUCT($C$1600:$V$1600,($C$235:$V$235=D$1703)*1,($C$6:$V$6="Theorie")*1,$C$9:$V$9,$C$25:$V$25)/SUMPRODUCT($C$1600:$V$1600,($C$235:$V$235=D$1703)*1,($C$6:$V$6="Theorie")*1,$C$9:$V$9))</f>
        <v/>
      </c>
      <c r="E2129" s="64">
        <f>IF(E1919=0,"",SUMPRODUCT($C$1600:$V$1600,($C$235:$V$235=E$1703)*1,($C$6:$V$6="Theorie")*1,$C$9:$V$9,$C$25:$V$25)/SUMPRODUCT($C$1600:$V$1600,($C$235:$V$235=E$1703)*1,($C$6:$V$6="Theorie")*1,$C$9:$V$9))</f>
        <v/>
      </c>
      <c r="F2129" s="64">
        <f>IF(F1919=0,"",SUMPRODUCT($C$1600:$V$1600,($C$235:$V$235=F$1703)*1,($C$6:$V$6="Theorie")*1,$C$9:$V$9,$C$25:$V$25)/SUMPRODUCT($C$1600:$V$1600,($C$235:$V$235=F$1703)*1,($C$6:$V$6="Theorie")*1,$C$9:$V$9))</f>
        <v/>
      </c>
      <c r="G2129" s="64">
        <f>IF(G1919=0,"",SUMPRODUCT($C$1600:$V$1600,($C$235:$V$235=G$1703)*1,($C$6:$V$6="Theorie")*1,$C$9:$V$9,$C$25:$V$25)/SUMPRODUCT($C$1600:$V$1600,($C$235:$V$235=G$1703)*1,($C$6:$V$6="Theorie")*1,$C$9:$V$9))</f>
        <v/>
      </c>
      <c r="H2129" s="64">
        <f>IF(H1919=0,"",SUMPRODUCT($C$1600:$V$1600,($C$235:$V$235=H$1703)*1,($C$6:$V$6="Theorie")*1,$C$9:$V$9,$C$25:$V$25)/SUMPRODUCT($C$1600:$V$1600,($C$235:$V$235=H$1703)*1,($C$6:$V$6="Theorie")*1,$C$9:$V$9))</f>
        <v/>
      </c>
      <c r="I2129" s="64">
        <f>IF(I1919=0,"",SUMPRODUCT($C$1600:$V$1600,($C$235:$V$235=I$1703)*1,($C$6:$V$6="Theorie")*1,$C$9:$V$9,$C$25:$V$25)/SUMPRODUCT($C$1600:$V$1600,($C$235:$V$235=I$1703)*1,($C$6:$V$6="Theorie")*1,$C$9:$V$9))</f>
        <v/>
      </c>
      <c r="J2129" s="64">
        <f>IF(J1919=0,"",SUMPRODUCT($C$1600:$V$1600,($C$235:$V$235=J$1703)*1,($C$6:$V$6="Theorie")*1,$C$9:$V$9,$C$25:$V$25)/SUMPRODUCT($C$1600:$V$1600,($C$235:$V$235=J$1703)*1,($C$6:$V$6="Theorie")*1,$C$9:$V$9))</f>
        <v/>
      </c>
    </row>
    <row r="2130">
      <c r="C2130" s="64">
        <f>IF(C1920=0,"",SUMPRODUCT($C$1601:$V$1601,($C$236:$V$236=C$1703)*1,($C$6:$V$6="Theorie")*1,$C$9:$V$9,$C$26:$V$26)/SUMPRODUCT($C$1601:$V$1601,($C$236:$V$236=C$1703)*1,($C$6:$V$6="Theorie")*1,$C$9:$V$9))</f>
        <v/>
      </c>
      <c r="D2130" s="64">
        <f>IF(D1920=0,"",SUMPRODUCT($C$1601:$V$1601,($C$236:$V$236=D$1703)*1,($C$6:$V$6="Theorie")*1,$C$9:$V$9,$C$26:$V$26)/SUMPRODUCT($C$1601:$V$1601,($C$236:$V$236=D$1703)*1,($C$6:$V$6="Theorie")*1,$C$9:$V$9))</f>
        <v/>
      </c>
      <c r="E2130" s="64">
        <f>IF(E1920=0,"",SUMPRODUCT($C$1601:$V$1601,($C$236:$V$236=E$1703)*1,($C$6:$V$6="Theorie")*1,$C$9:$V$9,$C$26:$V$26)/SUMPRODUCT($C$1601:$V$1601,($C$236:$V$236=E$1703)*1,($C$6:$V$6="Theorie")*1,$C$9:$V$9))</f>
        <v/>
      </c>
      <c r="F2130" s="64">
        <f>IF(F1920=0,"",SUMPRODUCT($C$1601:$V$1601,($C$236:$V$236=F$1703)*1,($C$6:$V$6="Theorie")*1,$C$9:$V$9,$C$26:$V$26)/SUMPRODUCT($C$1601:$V$1601,($C$236:$V$236=F$1703)*1,($C$6:$V$6="Theorie")*1,$C$9:$V$9))</f>
        <v/>
      </c>
      <c r="G2130" s="64">
        <f>IF(G1920=0,"",SUMPRODUCT($C$1601:$V$1601,($C$236:$V$236=G$1703)*1,($C$6:$V$6="Theorie")*1,$C$9:$V$9,$C$26:$V$26)/SUMPRODUCT($C$1601:$V$1601,($C$236:$V$236=G$1703)*1,($C$6:$V$6="Theorie")*1,$C$9:$V$9))</f>
        <v/>
      </c>
      <c r="H2130" s="64">
        <f>IF(H1920=0,"",SUMPRODUCT($C$1601:$V$1601,($C$236:$V$236=H$1703)*1,($C$6:$V$6="Theorie")*1,$C$9:$V$9,$C$26:$V$26)/SUMPRODUCT($C$1601:$V$1601,($C$236:$V$236=H$1703)*1,($C$6:$V$6="Theorie")*1,$C$9:$V$9))</f>
        <v/>
      </c>
      <c r="I2130" s="64">
        <f>IF(I1920=0,"",SUMPRODUCT($C$1601:$V$1601,($C$236:$V$236=I$1703)*1,($C$6:$V$6="Theorie")*1,$C$9:$V$9,$C$26:$V$26)/SUMPRODUCT($C$1601:$V$1601,($C$236:$V$236=I$1703)*1,($C$6:$V$6="Theorie")*1,$C$9:$V$9))</f>
        <v/>
      </c>
      <c r="J2130" s="64">
        <f>IF(J1920=0,"",SUMPRODUCT($C$1601:$V$1601,($C$236:$V$236=J$1703)*1,($C$6:$V$6="Theorie")*1,$C$9:$V$9,$C$26:$V$26)/SUMPRODUCT($C$1601:$V$1601,($C$236:$V$236=J$1703)*1,($C$6:$V$6="Theorie")*1,$C$9:$V$9))</f>
        <v/>
      </c>
    </row>
    <row r="2131">
      <c r="C2131" s="64">
        <f>IF(C1921=0,"",SUMPRODUCT($C$1602:$V$1602,($C$237:$V$237=C$1703)*1,($C$6:$V$6="Theorie")*1,$C$9:$V$9,$C$27:$V$27)/SUMPRODUCT($C$1602:$V$1602,($C$237:$V$237=C$1703)*1,($C$6:$V$6="Theorie")*1,$C$9:$V$9))</f>
        <v/>
      </c>
      <c r="D2131" s="64">
        <f>IF(D1921=0,"",SUMPRODUCT($C$1602:$V$1602,($C$237:$V$237=D$1703)*1,($C$6:$V$6="Theorie")*1,$C$9:$V$9,$C$27:$V$27)/SUMPRODUCT($C$1602:$V$1602,($C$237:$V$237=D$1703)*1,($C$6:$V$6="Theorie")*1,$C$9:$V$9))</f>
        <v/>
      </c>
      <c r="E2131" s="64">
        <f>IF(E1921=0,"",SUMPRODUCT($C$1602:$V$1602,($C$237:$V$237=E$1703)*1,($C$6:$V$6="Theorie")*1,$C$9:$V$9,$C$27:$V$27)/SUMPRODUCT($C$1602:$V$1602,($C$237:$V$237=E$1703)*1,($C$6:$V$6="Theorie")*1,$C$9:$V$9))</f>
        <v/>
      </c>
      <c r="F2131" s="64">
        <f>IF(F1921=0,"",SUMPRODUCT($C$1602:$V$1602,($C$237:$V$237=F$1703)*1,($C$6:$V$6="Theorie")*1,$C$9:$V$9,$C$27:$V$27)/SUMPRODUCT($C$1602:$V$1602,($C$237:$V$237=F$1703)*1,($C$6:$V$6="Theorie")*1,$C$9:$V$9))</f>
        <v/>
      </c>
      <c r="G2131" s="64">
        <f>IF(G1921=0,"",SUMPRODUCT($C$1602:$V$1602,($C$237:$V$237=G$1703)*1,($C$6:$V$6="Theorie")*1,$C$9:$V$9,$C$27:$V$27)/SUMPRODUCT($C$1602:$V$1602,($C$237:$V$237=G$1703)*1,($C$6:$V$6="Theorie")*1,$C$9:$V$9))</f>
        <v/>
      </c>
      <c r="H2131" s="64">
        <f>IF(H1921=0,"",SUMPRODUCT($C$1602:$V$1602,($C$237:$V$237=H$1703)*1,($C$6:$V$6="Theorie")*1,$C$9:$V$9,$C$27:$V$27)/SUMPRODUCT($C$1602:$V$1602,($C$237:$V$237=H$1703)*1,($C$6:$V$6="Theorie")*1,$C$9:$V$9))</f>
        <v/>
      </c>
      <c r="I2131" s="64">
        <f>IF(I1921=0,"",SUMPRODUCT($C$1602:$V$1602,($C$237:$V$237=I$1703)*1,($C$6:$V$6="Theorie")*1,$C$9:$V$9,$C$27:$V$27)/SUMPRODUCT($C$1602:$V$1602,($C$237:$V$237=I$1703)*1,($C$6:$V$6="Theorie")*1,$C$9:$V$9))</f>
        <v/>
      </c>
      <c r="J2131" s="64">
        <f>IF(J1921=0,"",SUMPRODUCT($C$1602:$V$1602,($C$237:$V$237=J$1703)*1,($C$6:$V$6="Theorie")*1,$C$9:$V$9,$C$27:$V$27)/SUMPRODUCT($C$1602:$V$1602,($C$237:$V$237=J$1703)*1,($C$6:$V$6="Theorie")*1,$C$9:$V$9))</f>
        <v/>
      </c>
    </row>
    <row r="2132">
      <c r="C2132" s="64">
        <f>IF(C1922=0,"",SUMPRODUCT($C$1603:$V$1603,($C$238:$V$238=C$1703)*1,($C$6:$V$6="Theorie")*1,$C$9:$V$9,$C$28:$V$28)/SUMPRODUCT($C$1603:$V$1603,($C$238:$V$238=C$1703)*1,($C$6:$V$6="Theorie")*1,$C$9:$V$9))</f>
        <v/>
      </c>
      <c r="D2132" s="64">
        <f>IF(D1922=0,"",SUMPRODUCT($C$1603:$V$1603,($C$238:$V$238=D$1703)*1,($C$6:$V$6="Theorie")*1,$C$9:$V$9,$C$28:$V$28)/SUMPRODUCT($C$1603:$V$1603,($C$238:$V$238=D$1703)*1,($C$6:$V$6="Theorie")*1,$C$9:$V$9))</f>
        <v/>
      </c>
      <c r="E2132" s="64">
        <f>IF(E1922=0,"",SUMPRODUCT($C$1603:$V$1603,($C$238:$V$238=E$1703)*1,($C$6:$V$6="Theorie")*1,$C$9:$V$9,$C$28:$V$28)/SUMPRODUCT($C$1603:$V$1603,($C$238:$V$238=E$1703)*1,($C$6:$V$6="Theorie")*1,$C$9:$V$9))</f>
        <v/>
      </c>
      <c r="F2132" s="64">
        <f>IF(F1922=0,"",SUMPRODUCT($C$1603:$V$1603,($C$238:$V$238=F$1703)*1,($C$6:$V$6="Theorie")*1,$C$9:$V$9,$C$28:$V$28)/SUMPRODUCT($C$1603:$V$1603,($C$238:$V$238=F$1703)*1,($C$6:$V$6="Theorie")*1,$C$9:$V$9))</f>
        <v/>
      </c>
      <c r="G2132" s="64">
        <f>IF(G1922=0,"",SUMPRODUCT($C$1603:$V$1603,($C$238:$V$238=G$1703)*1,($C$6:$V$6="Theorie")*1,$C$9:$V$9,$C$28:$V$28)/SUMPRODUCT($C$1603:$V$1603,($C$238:$V$238=G$1703)*1,($C$6:$V$6="Theorie")*1,$C$9:$V$9))</f>
        <v/>
      </c>
      <c r="H2132" s="64">
        <f>IF(H1922=0,"",SUMPRODUCT($C$1603:$V$1603,($C$238:$V$238=H$1703)*1,($C$6:$V$6="Theorie")*1,$C$9:$V$9,$C$28:$V$28)/SUMPRODUCT($C$1603:$V$1603,($C$238:$V$238=H$1703)*1,($C$6:$V$6="Theorie")*1,$C$9:$V$9))</f>
        <v/>
      </c>
      <c r="I2132" s="64">
        <f>IF(I1922=0,"",SUMPRODUCT($C$1603:$V$1603,($C$238:$V$238=I$1703)*1,($C$6:$V$6="Theorie")*1,$C$9:$V$9,$C$28:$V$28)/SUMPRODUCT($C$1603:$V$1603,($C$238:$V$238=I$1703)*1,($C$6:$V$6="Theorie")*1,$C$9:$V$9))</f>
        <v/>
      </c>
      <c r="J2132" s="64">
        <f>IF(J1922=0,"",SUMPRODUCT($C$1603:$V$1603,($C$238:$V$238=J$1703)*1,($C$6:$V$6="Theorie")*1,$C$9:$V$9,$C$28:$V$28)/SUMPRODUCT($C$1603:$V$1603,($C$238:$V$238=J$1703)*1,($C$6:$V$6="Theorie")*1,$C$9:$V$9))</f>
        <v/>
      </c>
    </row>
    <row r="2133">
      <c r="C2133" s="64">
        <f>IF(C1923=0,"",SUMPRODUCT($C$1604:$V$1604,($C$239:$V$239=C$1703)*1,($C$6:$V$6="Theorie")*1,$C$9:$V$9,$C$29:$V$29)/SUMPRODUCT($C$1604:$V$1604,($C$239:$V$239=C$1703)*1,($C$6:$V$6="Theorie")*1,$C$9:$V$9))</f>
        <v/>
      </c>
      <c r="D2133" s="64">
        <f>IF(D1923=0,"",SUMPRODUCT($C$1604:$V$1604,($C$239:$V$239=D$1703)*1,($C$6:$V$6="Theorie")*1,$C$9:$V$9,$C$29:$V$29)/SUMPRODUCT($C$1604:$V$1604,($C$239:$V$239=D$1703)*1,($C$6:$V$6="Theorie")*1,$C$9:$V$9))</f>
        <v/>
      </c>
      <c r="E2133" s="64">
        <f>IF(E1923=0,"",SUMPRODUCT($C$1604:$V$1604,($C$239:$V$239=E$1703)*1,($C$6:$V$6="Theorie")*1,$C$9:$V$9,$C$29:$V$29)/SUMPRODUCT($C$1604:$V$1604,($C$239:$V$239=E$1703)*1,($C$6:$V$6="Theorie")*1,$C$9:$V$9))</f>
        <v/>
      </c>
      <c r="F2133" s="64">
        <f>IF(F1923=0,"",SUMPRODUCT($C$1604:$V$1604,($C$239:$V$239=F$1703)*1,($C$6:$V$6="Theorie")*1,$C$9:$V$9,$C$29:$V$29)/SUMPRODUCT($C$1604:$V$1604,($C$239:$V$239=F$1703)*1,($C$6:$V$6="Theorie")*1,$C$9:$V$9))</f>
        <v/>
      </c>
      <c r="G2133" s="64">
        <f>IF(G1923=0,"",SUMPRODUCT($C$1604:$V$1604,($C$239:$V$239=G$1703)*1,($C$6:$V$6="Theorie")*1,$C$9:$V$9,$C$29:$V$29)/SUMPRODUCT($C$1604:$V$1604,($C$239:$V$239=G$1703)*1,($C$6:$V$6="Theorie")*1,$C$9:$V$9))</f>
        <v/>
      </c>
      <c r="H2133" s="64">
        <f>IF(H1923=0,"",SUMPRODUCT($C$1604:$V$1604,($C$239:$V$239=H$1703)*1,($C$6:$V$6="Theorie")*1,$C$9:$V$9,$C$29:$V$29)/SUMPRODUCT($C$1604:$V$1604,($C$239:$V$239=H$1703)*1,($C$6:$V$6="Theorie")*1,$C$9:$V$9))</f>
        <v/>
      </c>
      <c r="I2133" s="64">
        <f>IF(I1923=0,"",SUMPRODUCT($C$1604:$V$1604,($C$239:$V$239=I$1703)*1,($C$6:$V$6="Theorie")*1,$C$9:$V$9,$C$29:$V$29)/SUMPRODUCT($C$1604:$V$1604,($C$239:$V$239=I$1703)*1,($C$6:$V$6="Theorie")*1,$C$9:$V$9))</f>
        <v/>
      </c>
      <c r="J2133" s="64">
        <f>IF(J1923=0,"",SUMPRODUCT($C$1604:$V$1604,($C$239:$V$239=J$1703)*1,($C$6:$V$6="Theorie")*1,$C$9:$V$9,$C$29:$V$29)/SUMPRODUCT($C$1604:$V$1604,($C$239:$V$239=J$1703)*1,($C$6:$V$6="Theorie")*1,$C$9:$V$9))</f>
        <v/>
      </c>
    </row>
    <row r="2134">
      <c r="C2134" s="64">
        <f>IF(C1924=0,"",SUMPRODUCT($C$1605:$V$1605,($C$240:$V$240=C$1703)*1,($C$6:$V$6="Theorie")*1,$C$9:$V$9,$C$30:$V$30)/SUMPRODUCT($C$1605:$V$1605,($C$240:$V$240=C$1703)*1,($C$6:$V$6="Theorie")*1,$C$9:$V$9))</f>
        <v/>
      </c>
      <c r="D2134" s="64">
        <f>IF(D1924=0,"",SUMPRODUCT($C$1605:$V$1605,($C$240:$V$240=D$1703)*1,($C$6:$V$6="Theorie")*1,$C$9:$V$9,$C$30:$V$30)/SUMPRODUCT($C$1605:$V$1605,($C$240:$V$240=D$1703)*1,($C$6:$V$6="Theorie")*1,$C$9:$V$9))</f>
        <v/>
      </c>
      <c r="E2134" s="64">
        <f>IF(E1924=0,"",SUMPRODUCT($C$1605:$V$1605,($C$240:$V$240=E$1703)*1,($C$6:$V$6="Theorie")*1,$C$9:$V$9,$C$30:$V$30)/SUMPRODUCT($C$1605:$V$1605,($C$240:$V$240=E$1703)*1,($C$6:$V$6="Theorie")*1,$C$9:$V$9))</f>
        <v/>
      </c>
      <c r="F2134" s="64">
        <f>IF(F1924=0,"",SUMPRODUCT($C$1605:$V$1605,($C$240:$V$240=F$1703)*1,($C$6:$V$6="Theorie")*1,$C$9:$V$9,$C$30:$V$30)/SUMPRODUCT($C$1605:$V$1605,($C$240:$V$240=F$1703)*1,($C$6:$V$6="Theorie")*1,$C$9:$V$9))</f>
        <v/>
      </c>
      <c r="G2134" s="64">
        <f>IF(G1924=0,"",SUMPRODUCT($C$1605:$V$1605,($C$240:$V$240=G$1703)*1,($C$6:$V$6="Theorie")*1,$C$9:$V$9,$C$30:$V$30)/SUMPRODUCT($C$1605:$V$1605,($C$240:$V$240=G$1703)*1,($C$6:$V$6="Theorie")*1,$C$9:$V$9))</f>
        <v/>
      </c>
      <c r="H2134" s="64">
        <f>IF(H1924=0,"",SUMPRODUCT($C$1605:$V$1605,($C$240:$V$240=H$1703)*1,($C$6:$V$6="Theorie")*1,$C$9:$V$9,$C$30:$V$30)/SUMPRODUCT($C$1605:$V$1605,($C$240:$V$240=H$1703)*1,($C$6:$V$6="Theorie")*1,$C$9:$V$9))</f>
        <v/>
      </c>
      <c r="I2134" s="64">
        <f>IF(I1924=0,"",SUMPRODUCT($C$1605:$V$1605,($C$240:$V$240=I$1703)*1,($C$6:$V$6="Theorie")*1,$C$9:$V$9,$C$30:$V$30)/SUMPRODUCT($C$1605:$V$1605,($C$240:$V$240=I$1703)*1,($C$6:$V$6="Theorie")*1,$C$9:$V$9))</f>
        <v/>
      </c>
      <c r="J2134" s="64">
        <f>IF(J1924=0,"",SUMPRODUCT($C$1605:$V$1605,($C$240:$V$240=J$1703)*1,($C$6:$V$6="Theorie")*1,$C$9:$V$9,$C$30:$V$30)/SUMPRODUCT($C$1605:$V$1605,($C$240:$V$240=J$1703)*1,($C$6:$V$6="Theorie")*1,$C$9:$V$9))</f>
        <v/>
      </c>
    </row>
    <row r="2135">
      <c r="C2135" s="64">
        <f>IF(C1925=0,"",SUMPRODUCT($C$1606:$V$1606,($C$241:$V$241=C$1703)*1,($C$6:$V$6="Theorie")*1,$C$9:$V$9,$C$31:$V$31)/SUMPRODUCT($C$1606:$V$1606,($C$241:$V$241=C$1703)*1,($C$6:$V$6="Theorie")*1,$C$9:$V$9))</f>
        <v/>
      </c>
      <c r="D2135" s="64">
        <f>IF(D1925=0,"",SUMPRODUCT($C$1606:$V$1606,($C$241:$V$241=D$1703)*1,($C$6:$V$6="Theorie")*1,$C$9:$V$9,$C$31:$V$31)/SUMPRODUCT($C$1606:$V$1606,($C$241:$V$241=D$1703)*1,($C$6:$V$6="Theorie")*1,$C$9:$V$9))</f>
        <v/>
      </c>
      <c r="E2135" s="64">
        <f>IF(E1925=0,"",SUMPRODUCT($C$1606:$V$1606,($C$241:$V$241=E$1703)*1,($C$6:$V$6="Theorie")*1,$C$9:$V$9,$C$31:$V$31)/SUMPRODUCT($C$1606:$V$1606,($C$241:$V$241=E$1703)*1,($C$6:$V$6="Theorie")*1,$C$9:$V$9))</f>
        <v/>
      </c>
      <c r="F2135" s="64">
        <f>IF(F1925=0,"",SUMPRODUCT($C$1606:$V$1606,($C$241:$V$241=F$1703)*1,($C$6:$V$6="Theorie")*1,$C$9:$V$9,$C$31:$V$31)/SUMPRODUCT($C$1606:$V$1606,($C$241:$V$241=F$1703)*1,($C$6:$V$6="Theorie")*1,$C$9:$V$9))</f>
        <v/>
      </c>
      <c r="G2135" s="64">
        <f>IF(G1925=0,"",SUMPRODUCT($C$1606:$V$1606,($C$241:$V$241=G$1703)*1,($C$6:$V$6="Theorie")*1,$C$9:$V$9,$C$31:$V$31)/SUMPRODUCT($C$1606:$V$1606,($C$241:$V$241=G$1703)*1,($C$6:$V$6="Theorie")*1,$C$9:$V$9))</f>
        <v/>
      </c>
      <c r="H2135" s="64">
        <f>IF(H1925=0,"",SUMPRODUCT($C$1606:$V$1606,($C$241:$V$241=H$1703)*1,($C$6:$V$6="Theorie")*1,$C$9:$V$9,$C$31:$V$31)/SUMPRODUCT($C$1606:$V$1606,($C$241:$V$241=H$1703)*1,($C$6:$V$6="Theorie")*1,$C$9:$V$9))</f>
        <v/>
      </c>
      <c r="I2135" s="64">
        <f>IF(I1925=0,"",SUMPRODUCT($C$1606:$V$1606,($C$241:$V$241=I$1703)*1,($C$6:$V$6="Theorie")*1,$C$9:$V$9,$C$31:$V$31)/SUMPRODUCT($C$1606:$V$1606,($C$241:$V$241=I$1703)*1,($C$6:$V$6="Theorie")*1,$C$9:$V$9))</f>
        <v/>
      </c>
      <c r="J2135" s="64">
        <f>IF(J1925=0,"",SUMPRODUCT($C$1606:$V$1606,($C$241:$V$241=J$1703)*1,($C$6:$V$6="Theorie")*1,$C$9:$V$9,$C$31:$V$31)/SUMPRODUCT($C$1606:$V$1606,($C$241:$V$241=J$1703)*1,($C$6:$V$6="Theorie")*1,$C$9:$V$9))</f>
        <v/>
      </c>
    </row>
    <row r="2136">
      <c r="C2136" s="64">
        <f>IF(C1926=0,"",SUMPRODUCT($C$1607:$V$1607,($C$242:$V$242=C$1703)*1,($C$6:$V$6="Theorie")*1,$C$9:$V$9,$C$32:$V$32)/SUMPRODUCT($C$1607:$V$1607,($C$242:$V$242=C$1703)*1,($C$6:$V$6="Theorie")*1,$C$9:$V$9))</f>
        <v/>
      </c>
      <c r="D2136" s="64">
        <f>IF(D1926=0,"",SUMPRODUCT($C$1607:$V$1607,($C$242:$V$242=D$1703)*1,($C$6:$V$6="Theorie")*1,$C$9:$V$9,$C$32:$V$32)/SUMPRODUCT($C$1607:$V$1607,($C$242:$V$242=D$1703)*1,($C$6:$V$6="Theorie")*1,$C$9:$V$9))</f>
        <v/>
      </c>
      <c r="E2136" s="64">
        <f>IF(E1926=0,"",SUMPRODUCT($C$1607:$V$1607,($C$242:$V$242=E$1703)*1,($C$6:$V$6="Theorie")*1,$C$9:$V$9,$C$32:$V$32)/SUMPRODUCT($C$1607:$V$1607,($C$242:$V$242=E$1703)*1,($C$6:$V$6="Theorie")*1,$C$9:$V$9))</f>
        <v/>
      </c>
      <c r="F2136" s="64">
        <f>IF(F1926=0,"",SUMPRODUCT($C$1607:$V$1607,($C$242:$V$242=F$1703)*1,($C$6:$V$6="Theorie")*1,$C$9:$V$9,$C$32:$V$32)/SUMPRODUCT($C$1607:$V$1607,($C$242:$V$242=F$1703)*1,($C$6:$V$6="Theorie")*1,$C$9:$V$9))</f>
        <v/>
      </c>
      <c r="G2136" s="64">
        <f>IF(G1926=0,"",SUMPRODUCT($C$1607:$V$1607,($C$242:$V$242=G$1703)*1,($C$6:$V$6="Theorie")*1,$C$9:$V$9,$C$32:$V$32)/SUMPRODUCT($C$1607:$V$1607,($C$242:$V$242=G$1703)*1,($C$6:$V$6="Theorie")*1,$C$9:$V$9))</f>
        <v/>
      </c>
      <c r="H2136" s="64">
        <f>IF(H1926=0,"",SUMPRODUCT($C$1607:$V$1607,($C$242:$V$242=H$1703)*1,($C$6:$V$6="Theorie")*1,$C$9:$V$9,$C$32:$V$32)/SUMPRODUCT($C$1607:$V$1607,($C$242:$V$242=H$1703)*1,($C$6:$V$6="Theorie")*1,$C$9:$V$9))</f>
        <v/>
      </c>
      <c r="I2136" s="64">
        <f>IF(I1926=0,"",SUMPRODUCT($C$1607:$V$1607,($C$242:$V$242=I$1703)*1,($C$6:$V$6="Theorie")*1,$C$9:$V$9,$C$32:$V$32)/SUMPRODUCT($C$1607:$V$1607,($C$242:$V$242=I$1703)*1,($C$6:$V$6="Theorie")*1,$C$9:$V$9))</f>
        <v/>
      </c>
      <c r="J2136" s="64">
        <f>IF(J1926=0,"",SUMPRODUCT($C$1607:$V$1607,($C$242:$V$242=J$1703)*1,($C$6:$V$6="Theorie")*1,$C$9:$V$9,$C$32:$V$32)/SUMPRODUCT($C$1607:$V$1607,($C$242:$V$242=J$1703)*1,($C$6:$V$6="Theorie")*1,$C$9:$V$9))</f>
        <v/>
      </c>
    </row>
    <row r="2137">
      <c r="C2137" s="64">
        <f>IF(C1927=0,"",SUMPRODUCT($C$1608:$V$1608,($C$243:$V$243=C$1703)*1,($C$6:$V$6="Theorie")*1,$C$9:$V$9,$C$33:$V$33)/SUMPRODUCT($C$1608:$V$1608,($C$243:$V$243=C$1703)*1,($C$6:$V$6="Theorie")*1,$C$9:$V$9))</f>
        <v/>
      </c>
      <c r="D2137" s="64">
        <f>IF(D1927=0,"",SUMPRODUCT($C$1608:$V$1608,($C$243:$V$243=D$1703)*1,($C$6:$V$6="Theorie")*1,$C$9:$V$9,$C$33:$V$33)/SUMPRODUCT($C$1608:$V$1608,($C$243:$V$243=D$1703)*1,($C$6:$V$6="Theorie")*1,$C$9:$V$9))</f>
        <v/>
      </c>
      <c r="E2137" s="64">
        <f>IF(E1927=0,"",SUMPRODUCT($C$1608:$V$1608,($C$243:$V$243=E$1703)*1,($C$6:$V$6="Theorie")*1,$C$9:$V$9,$C$33:$V$33)/SUMPRODUCT($C$1608:$V$1608,($C$243:$V$243=E$1703)*1,($C$6:$V$6="Theorie")*1,$C$9:$V$9))</f>
        <v/>
      </c>
      <c r="F2137" s="64">
        <f>IF(F1927=0,"",SUMPRODUCT($C$1608:$V$1608,($C$243:$V$243=F$1703)*1,($C$6:$V$6="Theorie")*1,$C$9:$V$9,$C$33:$V$33)/SUMPRODUCT($C$1608:$V$1608,($C$243:$V$243=F$1703)*1,($C$6:$V$6="Theorie")*1,$C$9:$V$9))</f>
        <v/>
      </c>
      <c r="G2137" s="64">
        <f>IF(G1927=0,"",SUMPRODUCT($C$1608:$V$1608,($C$243:$V$243=G$1703)*1,($C$6:$V$6="Theorie")*1,$C$9:$V$9,$C$33:$V$33)/SUMPRODUCT($C$1608:$V$1608,($C$243:$V$243=G$1703)*1,($C$6:$V$6="Theorie")*1,$C$9:$V$9))</f>
        <v/>
      </c>
      <c r="H2137" s="64">
        <f>IF(H1927=0,"",SUMPRODUCT($C$1608:$V$1608,($C$243:$V$243=H$1703)*1,($C$6:$V$6="Theorie")*1,$C$9:$V$9,$C$33:$V$33)/SUMPRODUCT($C$1608:$V$1608,($C$243:$V$243=H$1703)*1,($C$6:$V$6="Theorie")*1,$C$9:$V$9))</f>
        <v/>
      </c>
      <c r="I2137" s="64">
        <f>IF(I1927=0,"",SUMPRODUCT($C$1608:$V$1608,($C$243:$V$243=I$1703)*1,($C$6:$V$6="Theorie")*1,$C$9:$V$9,$C$33:$V$33)/SUMPRODUCT($C$1608:$V$1608,($C$243:$V$243=I$1703)*1,($C$6:$V$6="Theorie")*1,$C$9:$V$9))</f>
        <v/>
      </c>
      <c r="J2137" s="64">
        <f>IF(J1927=0,"",SUMPRODUCT($C$1608:$V$1608,($C$243:$V$243=J$1703)*1,($C$6:$V$6="Theorie")*1,$C$9:$V$9,$C$33:$V$33)/SUMPRODUCT($C$1608:$V$1608,($C$243:$V$243=J$1703)*1,($C$6:$V$6="Theorie")*1,$C$9:$V$9))</f>
        <v/>
      </c>
    </row>
    <row r="2138">
      <c r="C2138" s="64">
        <f>IF(C1928=0,"",SUMPRODUCT($C$1609:$V$1609,($C$244:$V$244=C$1703)*1,($C$6:$V$6="Theorie")*1,$C$9:$V$9,$C$34:$V$34)/SUMPRODUCT($C$1609:$V$1609,($C$244:$V$244=C$1703)*1,($C$6:$V$6="Theorie")*1,$C$9:$V$9))</f>
        <v/>
      </c>
      <c r="D2138" s="64">
        <f>IF(D1928=0,"",SUMPRODUCT($C$1609:$V$1609,($C$244:$V$244=D$1703)*1,($C$6:$V$6="Theorie")*1,$C$9:$V$9,$C$34:$V$34)/SUMPRODUCT($C$1609:$V$1609,($C$244:$V$244=D$1703)*1,($C$6:$V$6="Theorie")*1,$C$9:$V$9))</f>
        <v/>
      </c>
      <c r="E2138" s="64">
        <f>IF(E1928=0,"",SUMPRODUCT($C$1609:$V$1609,($C$244:$V$244=E$1703)*1,($C$6:$V$6="Theorie")*1,$C$9:$V$9,$C$34:$V$34)/SUMPRODUCT($C$1609:$V$1609,($C$244:$V$244=E$1703)*1,($C$6:$V$6="Theorie")*1,$C$9:$V$9))</f>
        <v/>
      </c>
      <c r="F2138" s="64">
        <f>IF(F1928=0,"",SUMPRODUCT($C$1609:$V$1609,($C$244:$V$244=F$1703)*1,($C$6:$V$6="Theorie")*1,$C$9:$V$9,$C$34:$V$34)/SUMPRODUCT($C$1609:$V$1609,($C$244:$V$244=F$1703)*1,($C$6:$V$6="Theorie")*1,$C$9:$V$9))</f>
        <v/>
      </c>
      <c r="G2138" s="64">
        <f>IF(G1928=0,"",SUMPRODUCT($C$1609:$V$1609,($C$244:$V$244=G$1703)*1,($C$6:$V$6="Theorie")*1,$C$9:$V$9,$C$34:$V$34)/SUMPRODUCT($C$1609:$V$1609,($C$244:$V$244=G$1703)*1,($C$6:$V$6="Theorie")*1,$C$9:$V$9))</f>
        <v/>
      </c>
      <c r="H2138" s="64">
        <f>IF(H1928=0,"",SUMPRODUCT($C$1609:$V$1609,($C$244:$V$244=H$1703)*1,($C$6:$V$6="Theorie")*1,$C$9:$V$9,$C$34:$V$34)/SUMPRODUCT($C$1609:$V$1609,($C$244:$V$244=H$1703)*1,($C$6:$V$6="Theorie")*1,$C$9:$V$9))</f>
        <v/>
      </c>
      <c r="I2138" s="64">
        <f>IF(I1928=0,"",SUMPRODUCT($C$1609:$V$1609,($C$244:$V$244=I$1703)*1,($C$6:$V$6="Theorie")*1,$C$9:$V$9,$C$34:$V$34)/SUMPRODUCT($C$1609:$V$1609,($C$244:$V$244=I$1703)*1,($C$6:$V$6="Theorie")*1,$C$9:$V$9))</f>
        <v/>
      </c>
      <c r="J2138" s="64">
        <f>IF(J1928=0,"",SUMPRODUCT($C$1609:$V$1609,($C$244:$V$244=J$1703)*1,($C$6:$V$6="Theorie")*1,$C$9:$V$9,$C$34:$V$34)/SUMPRODUCT($C$1609:$V$1609,($C$244:$V$244=J$1703)*1,($C$6:$V$6="Theorie")*1,$C$9:$V$9))</f>
        <v/>
      </c>
    </row>
    <row r="2139">
      <c r="C2139" s="64">
        <f>IF(C1929=0,"",SUMPRODUCT($C$1610:$V$1610,($C$245:$V$245=C$1703)*1,($C$6:$V$6="Theorie")*1,$C$9:$V$9,$C$35:$V$35)/SUMPRODUCT($C$1610:$V$1610,($C$245:$V$245=C$1703)*1,($C$6:$V$6="Theorie")*1,$C$9:$V$9))</f>
        <v/>
      </c>
      <c r="D2139" s="64">
        <f>IF(D1929=0,"",SUMPRODUCT($C$1610:$V$1610,($C$245:$V$245=D$1703)*1,($C$6:$V$6="Theorie")*1,$C$9:$V$9,$C$35:$V$35)/SUMPRODUCT($C$1610:$V$1610,($C$245:$V$245=D$1703)*1,($C$6:$V$6="Theorie")*1,$C$9:$V$9))</f>
        <v/>
      </c>
      <c r="E2139" s="64">
        <f>IF(E1929=0,"",SUMPRODUCT($C$1610:$V$1610,($C$245:$V$245=E$1703)*1,($C$6:$V$6="Theorie")*1,$C$9:$V$9,$C$35:$V$35)/SUMPRODUCT($C$1610:$V$1610,($C$245:$V$245=E$1703)*1,($C$6:$V$6="Theorie")*1,$C$9:$V$9))</f>
        <v/>
      </c>
      <c r="F2139" s="64">
        <f>IF(F1929=0,"",SUMPRODUCT($C$1610:$V$1610,($C$245:$V$245=F$1703)*1,($C$6:$V$6="Theorie")*1,$C$9:$V$9,$C$35:$V$35)/SUMPRODUCT($C$1610:$V$1610,($C$245:$V$245=F$1703)*1,($C$6:$V$6="Theorie")*1,$C$9:$V$9))</f>
        <v/>
      </c>
      <c r="G2139" s="64">
        <f>IF(G1929=0,"",SUMPRODUCT($C$1610:$V$1610,($C$245:$V$245=G$1703)*1,($C$6:$V$6="Theorie")*1,$C$9:$V$9,$C$35:$V$35)/SUMPRODUCT($C$1610:$V$1610,($C$245:$V$245=G$1703)*1,($C$6:$V$6="Theorie")*1,$C$9:$V$9))</f>
        <v/>
      </c>
      <c r="H2139" s="64">
        <f>IF(H1929=0,"",SUMPRODUCT($C$1610:$V$1610,($C$245:$V$245=H$1703)*1,($C$6:$V$6="Theorie")*1,$C$9:$V$9,$C$35:$V$35)/SUMPRODUCT($C$1610:$V$1610,($C$245:$V$245=H$1703)*1,($C$6:$V$6="Theorie")*1,$C$9:$V$9))</f>
        <v/>
      </c>
      <c r="I2139" s="64">
        <f>IF(I1929=0,"",SUMPRODUCT($C$1610:$V$1610,($C$245:$V$245=I$1703)*1,($C$6:$V$6="Theorie")*1,$C$9:$V$9,$C$35:$V$35)/SUMPRODUCT($C$1610:$V$1610,($C$245:$V$245=I$1703)*1,($C$6:$V$6="Theorie")*1,$C$9:$V$9))</f>
        <v/>
      </c>
      <c r="J2139" s="64">
        <f>IF(J1929=0,"",SUMPRODUCT($C$1610:$V$1610,($C$245:$V$245=J$1703)*1,($C$6:$V$6="Theorie")*1,$C$9:$V$9,$C$35:$V$35)/SUMPRODUCT($C$1610:$V$1610,($C$245:$V$245=J$1703)*1,($C$6:$V$6="Theorie")*1,$C$9:$V$9))</f>
        <v/>
      </c>
    </row>
    <row r="2140">
      <c r="C2140" s="64">
        <f>IF(C1930=0,"",SUMPRODUCT($C$1611:$V$1611,($C$246:$V$246=C$1703)*1,($C$6:$V$6="Theorie")*1,$C$9:$V$9,$C$36:$V$36)/SUMPRODUCT($C$1611:$V$1611,($C$246:$V$246=C$1703)*1,($C$6:$V$6="Theorie")*1,$C$9:$V$9))</f>
        <v/>
      </c>
      <c r="D2140" s="64">
        <f>IF(D1930=0,"",SUMPRODUCT($C$1611:$V$1611,($C$246:$V$246=D$1703)*1,($C$6:$V$6="Theorie")*1,$C$9:$V$9,$C$36:$V$36)/SUMPRODUCT($C$1611:$V$1611,($C$246:$V$246=D$1703)*1,($C$6:$V$6="Theorie")*1,$C$9:$V$9))</f>
        <v/>
      </c>
      <c r="E2140" s="64">
        <f>IF(E1930=0,"",SUMPRODUCT($C$1611:$V$1611,($C$246:$V$246=E$1703)*1,($C$6:$V$6="Theorie")*1,$C$9:$V$9,$C$36:$V$36)/SUMPRODUCT($C$1611:$V$1611,($C$246:$V$246=E$1703)*1,($C$6:$V$6="Theorie")*1,$C$9:$V$9))</f>
        <v/>
      </c>
      <c r="F2140" s="64">
        <f>IF(F1930=0,"",SUMPRODUCT($C$1611:$V$1611,($C$246:$V$246=F$1703)*1,($C$6:$V$6="Theorie")*1,$C$9:$V$9,$C$36:$V$36)/SUMPRODUCT($C$1611:$V$1611,($C$246:$V$246=F$1703)*1,($C$6:$V$6="Theorie")*1,$C$9:$V$9))</f>
        <v/>
      </c>
      <c r="G2140" s="64">
        <f>IF(G1930=0,"",SUMPRODUCT($C$1611:$V$1611,($C$246:$V$246=G$1703)*1,($C$6:$V$6="Theorie")*1,$C$9:$V$9,$C$36:$V$36)/SUMPRODUCT($C$1611:$V$1611,($C$246:$V$246=G$1703)*1,($C$6:$V$6="Theorie")*1,$C$9:$V$9))</f>
        <v/>
      </c>
      <c r="H2140" s="64">
        <f>IF(H1930=0,"",SUMPRODUCT($C$1611:$V$1611,($C$246:$V$246=H$1703)*1,($C$6:$V$6="Theorie")*1,$C$9:$V$9,$C$36:$V$36)/SUMPRODUCT($C$1611:$V$1611,($C$246:$V$246=H$1703)*1,($C$6:$V$6="Theorie")*1,$C$9:$V$9))</f>
        <v/>
      </c>
      <c r="I2140" s="64">
        <f>IF(I1930=0,"",SUMPRODUCT($C$1611:$V$1611,($C$246:$V$246=I$1703)*1,($C$6:$V$6="Theorie")*1,$C$9:$V$9,$C$36:$V$36)/SUMPRODUCT($C$1611:$V$1611,($C$246:$V$246=I$1703)*1,($C$6:$V$6="Theorie")*1,$C$9:$V$9))</f>
        <v/>
      </c>
      <c r="J2140" s="64">
        <f>IF(J1930=0,"",SUMPRODUCT($C$1611:$V$1611,($C$246:$V$246=J$1703)*1,($C$6:$V$6="Theorie")*1,$C$9:$V$9,$C$36:$V$36)/SUMPRODUCT($C$1611:$V$1611,($C$246:$V$246=J$1703)*1,($C$6:$V$6="Theorie")*1,$C$9:$V$9))</f>
        <v/>
      </c>
    </row>
    <row r="2141">
      <c r="C2141" s="64">
        <f>IF(C1931=0,"",SUMPRODUCT($C$1612:$V$1612,($C$247:$V$247=C$1703)*1,($C$6:$V$6="Theorie")*1,$C$9:$V$9,$C$37:$V$37)/SUMPRODUCT($C$1612:$V$1612,($C$247:$V$247=C$1703)*1,($C$6:$V$6="Theorie")*1,$C$9:$V$9))</f>
        <v/>
      </c>
      <c r="D2141" s="64">
        <f>IF(D1931=0,"",SUMPRODUCT($C$1612:$V$1612,($C$247:$V$247=D$1703)*1,($C$6:$V$6="Theorie")*1,$C$9:$V$9,$C$37:$V$37)/SUMPRODUCT($C$1612:$V$1612,($C$247:$V$247=D$1703)*1,($C$6:$V$6="Theorie")*1,$C$9:$V$9))</f>
        <v/>
      </c>
      <c r="E2141" s="64">
        <f>IF(E1931=0,"",SUMPRODUCT($C$1612:$V$1612,($C$247:$V$247=E$1703)*1,($C$6:$V$6="Theorie")*1,$C$9:$V$9,$C$37:$V$37)/SUMPRODUCT($C$1612:$V$1612,($C$247:$V$247=E$1703)*1,($C$6:$V$6="Theorie")*1,$C$9:$V$9))</f>
        <v/>
      </c>
      <c r="F2141" s="64">
        <f>IF(F1931=0,"",SUMPRODUCT($C$1612:$V$1612,($C$247:$V$247=F$1703)*1,($C$6:$V$6="Theorie")*1,$C$9:$V$9,$C$37:$V$37)/SUMPRODUCT($C$1612:$V$1612,($C$247:$V$247=F$1703)*1,($C$6:$V$6="Theorie")*1,$C$9:$V$9))</f>
        <v/>
      </c>
      <c r="G2141" s="64">
        <f>IF(G1931=0,"",SUMPRODUCT($C$1612:$V$1612,($C$247:$V$247=G$1703)*1,($C$6:$V$6="Theorie")*1,$C$9:$V$9,$C$37:$V$37)/SUMPRODUCT($C$1612:$V$1612,($C$247:$V$247=G$1703)*1,($C$6:$V$6="Theorie")*1,$C$9:$V$9))</f>
        <v/>
      </c>
      <c r="H2141" s="64">
        <f>IF(H1931=0,"",SUMPRODUCT($C$1612:$V$1612,($C$247:$V$247=H$1703)*1,($C$6:$V$6="Theorie")*1,$C$9:$V$9,$C$37:$V$37)/SUMPRODUCT($C$1612:$V$1612,($C$247:$V$247=H$1703)*1,($C$6:$V$6="Theorie")*1,$C$9:$V$9))</f>
        <v/>
      </c>
      <c r="I2141" s="64">
        <f>IF(I1931=0,"",SUMPRODUCT($C$1612:$V$1612,($C$247:$V$247=I$1703)*1,($C$6:$V$6="Theorie")*1,$C$9:$V$9,$C$37:$V$37)/SUMPRODUCT($C$1612:$V$1612,($C$247:$V$247=I$1703)*1,($C$6:$V$6="Theorie")*1,$C$9:$V$9))</f>
        <v/>
      </c>
      <c r="J2141" s="64">
        <f>IF(J1931=0,"",SUMPRODUCT($C$1612:$V$1612,($C$247:$V$247=J$1703)*1,($C$6:$V$6="Theorie")*1,$C$9:$V$9,$C$37:$V$37)/SUMPRODUCT($C$1612:$V$1612,($C$247:$V$247=J$1703)*1,($C$6:$V$6="Theorie")*1,$C$9:$V$9))</f>
        <v/>
      </c>
    </row>
    <row r="2142">
      <c r="C2142" s="64">
        <f>IF(C1932=0,"",SUMPRODUCT($C$1613:$V$1613,($C$248:$V$248=C$1703)*1,($C$6:$V$6="Theorie")*1,$C$9:$V$9,$C$38:$V$38)/SUMPRODUCT($C$1613:$V$1613,($C$248:$V$248=C$1703)*1,($C$6:$V$6="Theorie")*1,$C$9:$V$9))</f>
        <v/>
      </c>
      <c r="D2142" s="64">
        <f>IF(D1932=0,"",SUMPRODUCT($C$1613:$V$1613,($C$248:$V$248=D$1703)*1,($C$6:$V$6="Theorie")*1,$C$9:$V$9,$C$38:$V$38)/SUMPRODUCT($C$1613:$V$1613,($C$248:$V$248=D$1703)*1,($C$6:$V$6="Theorie")*1,$C$9:$V$9))</f>
        <v/>
      </c>
      <c r="E2142" s="64">
        <f>IF(E1932=0,"",SUMPRODUCT($C$1613:$V$1613,($C$248:$V$248=E$1703)*1,($C$6:$V$6="Theorie")*1,$C$9:$V$9,$C$38:$V$38)/SUMPRODUCT($C$1613:$V$1613,($C$248:$V$248=E$1703)*1,($C$6:$V$6="Theorie")*1,$C$9:$V$9))</f>
        <v/>
      </c>
      <c r="F2142" s="64">
        <f>IF(F1932=0,"",SUMPRODUCT($C$1613:$V$1613,($C$248:$V$248=F$1703)*1,($C$6:$V$6="Theorie")*1,$C$9:$V$9,$C$38:$V$38)/SUMPRODUCT($C$1613:$V$1613,($C$248:$V$248=F$1703)*1,($C$6:$V$6="Theorie")*1,$C$9:$V$9))</f>
        <v/>
      </c>
      <c r="G2142" s="64">
        <f>IF(G1932=0,"",SUMPRODUCT($C$1613:$V$1613,($C$248:$V$248=G$1703)*1,($C$6:$V$6="Theorie")*1,$C$9:$V$9,$C$38:$V$38)/SUMPRODUCT($C$1613:$V$1613,($C$248:$V$248=G$1703)*1,($C$6:$V$6="Theorie")*1,$C$9:$V$9))</f>
        <v/>
      </c>
      <c r="H2142" s="64">
        <f>IF(H1932=0,"",SUMPRODUCT($C$1613:$V$1613,($C$248:$V$248=H$1703)*1,($C$6:$V$6="Theorie")*1,$C$9:$V$9,$C$38:$V$38)/SUMPRODUCT($C$1613:$V$1613,($C$248:$V$248=H$1703)*1,($C$6:$V$6="Theorie")*1,$C$9:$V$9))</f>
        <v/>
      </c>
      <c r="I2142" s="64">
        <f>IF(I1932=0,"",SUMPRODUCT($C$1613:$V$1613,($C$248:$V$248=I$1703)*1,($C$6:$V$6="Theorie")*1,$C$9:$V$9,$C$38:$V$38)/SUMPRODUCT($C$1613:$V$1613,($C$248:$V$248=I$1703)*1,($C$6:$V$6="Theorie")*1,$C$9:$V$9))</f>
        <v/>
      </c>
      <c r="J2142" s="64">
        <f>IF(J1932=0,"",SUMPRODUCT($C$1613:$V$1613,($C$248:$V$248=J$1703)*1,($C$6:$V$6="Theorie")*1,$C$9:$V$9,$C$38:$V$38)/SUMPRODUCT($C$1613:$V$1613,($C$248:$V$248=J$1703)*1,($C$6:$V$6="Theorie")*1,$C$9:$V$9))</f>
        <v/>
      </c>
    </row>
    <row r="2143">
      <c r="C2143" s="64">
        <f>IF(C1933=0,"",SUMPRODUCT($C$1614:$V$1614,($C$249:$V$249=C$1703)*1,($C$6:$V$6="Theorie")*1,$C$9:$V$9,$C$39:$V$39)/SUMPRODUCT($C$1614:$V$1614,($C$249:$V$249=C$1703)*1,($C$6:$V$6="Theorie")*1,$C$9:$V$9))</f>
        <v/>
      </c>
      <c r="D2143" s="64">
        <f>IF(D1933=0,"",SUMPRODUCT($C$1614:$V$1614,($C$249:$V$249=D$1703)*1,($C$6:$V$6="Theorie")*1,$C$9:$V$9,$C$39:$V$39)/SUMPRODUCT($C$1614:$V$1614,($C$249:$V$249=D$1703)*1,($C$6:$V$6="Theorie")*1,$C$9:$V$9))</f>
        <v/>
      </c>
      <c r="E2143" s="64">
        <f>IF(E1933=0,"",SUMPRODUCT($C$1614:$V$1614,($C$249:$V$249=E$1703)*1,($C$6:$V$6="Theorie")*1,$C$9:$V$9,$C$39:$V$39)/SUMPRODUCT($C$1614:$V$1614,($C$249:$V$249=E$1703)*1,($C$6:$V$6="Theorie")*1,$C$9:$V$9))</f>
        <v/>
      </c>
      <c r="F2143" s="64">
        <f>IF(F1933=0,"",SUMPRODUCT($C$1614:$V$1614,($C$249:$V$249=F$1703)*1,($C$6:$V$6="Theorie")*1,$C$9:$V$9,$C$39:$V$39)/SUMPRODUCT($C$1614:$V$1614,($C$249:$V$249=F$1703)*1,($C$6:$V$6="Theorie")*1,$C$9:$V$9))</f>
        <v/>
      </c>
      <c r="G2143" s="64">
        <f>IF(G1933=0,"",SUMPRODUCT($C$1614:$V$1614,($C$249:$V$249=G$1703)*1,($C$6:$V$6="Theorie")*1,$C$9:$V$9,$C$39:$V$39)/SUMPRODUCT($C$1614:$V$1614,($C$249:$V$249=G$1703)*1,($C$6:$V$6="Theorie")*1,$C$9:$V$9))</f>
        <v/>
      </c>
      <c r="H2143" s="64">
        <f>IF(H1933=0,"",SUMPRODUCT($C$1614:$V$1614,($C$249:$V$249=H$1703)*1,($C$6:$V$6="Theorie")*1,$C$9:$V$9,$C$39:$V$39)/SUMPRODUCT($C$1614:$V$1614,($C$249:$V$249=H$1703)*1,($C$6:$V$6="Theorie")*1,$C$9:$V$9))</f>
        <v/>
      </c>
      <c r="I2143" s="64">
        <f>IF(I1933=0,"",SUMPRODUCT($C$1614:$V$1614,($C$249:$V$249=I$1703)*1,($C$6:$V$6="Theorie")*1,$C$9:$V$9,$C$39:$V$39)/SUMPRODUCT($C$1614:$V$1614,($C$249:$V$249=I$1703)*1,($C$6:$V$6="Theorie")*1,$C$9:$V$9))</f>
        <v/>
      </c>
      <c r="J2143" s="64">
        <f>IF(J1933=0,"",SUMPRODUCT($C$1614:$V$1614,($C$249:$V$249=J$1703)*1,($C$6:$V$6="Theorie")*1,$C$9:$V$9,$C$39:$V$39)/SUMPRODUCT($C$1614:$V$1614,($C$249:$V$249=J$1703)*1,($C$6:$V$6="Theorie")*1,$C$9:$V$9))</f>
        <v/>
      </c>
    </row>
    <row r="2144">
      <c r="C2144" s="64">
        <f>IF(C1934=0,"",SUMPRODUCT($C$1615:$V$1615,($C$250:$V$250=C$1703)*1,($C$6:$V$6="Theorie")*1,$C$9:$V$9,$C$40:$V$40)/SUMPRODUCT($C$1615:$V$1615,($C$250:$V$250=C$1703)*1,($C$6:$V$6="Theorie")*1,$C$9:$V$9))</f>
        <v/>
      </c>
      <c r="D2144" s="64">
        <f>IF(D1934=0,"",SUMPRODUCT($C$1615:$V$1615,($C$250:$V$250=D$1703)*1,($C$6:$V$6="Theorie")*1,$C$9:$V$9,$C$40:$V$40)/SUMPRODUCT($C$1615:$V$1615,($C$250:$V$250=D$1703)*1,($C$6:$V$6="Theorie")*1,$C$9:$V$9))</f>
        <v/>
      </c>
      <c r="E2144" s="64">
        <f>IF(E1934=0,"",SUMPRODUCT($C$1615:$V$1615,($C$250:$V$250=E$1703)*1,($C$6:$V$6="Theorie")*1,$C$9:$V$9,$C$40:$V$40)/SUMPRODUCT($C$1615:$V$1615,($C$250:$V$250=E$1703)*1,($C$6:$V$6="Theorie")*1,$C$9:$V$9))</f>
        <v/>
      </c>
      <c r="F2144" s="64">
        <f>IF(F1934=0,"",SUMPRODUCT($C$1615:$V$1615,($C$250:$V$250=F$1703)*1,($C$6:$V$6="Theorie")*1,$C$9:$V$9,$C$40:$V$40)/SUMPRODUCT($C$1615:$V$1615,($C$250:$V$250=F$1703)*1,($C$6:$V$6="Theorie")*1,$C$9:$V$9))</f>
        <v/>
      </c>
      <c r="G2144" s="64">
        <f>IF(G1934=0,"",SUMPRODUCT($C$1615:$V$1615,($C$250:$V$250=G$1703)*1,($C$6:$V$6="Theorie")*1,$C$9:$V$9,$C$40:$V$40)/SUMPRODUCT($C$1615:$V$1615,($C$250:$V$250=G$1703)*1,($C$6:$V$6="Theorie")*1,$C$9:$V$9))</f>
        <v/>
      </c>
      <c r="H2144" s="64">
        <f>IF(H1934=0,"",SUMPRODUCT($C$1615:$V$1615,($C$250:$V$250=H$1703)*1,($C$6:$V$6="Theorie")*1,$C$9:$V$9,$C$40:$V$40)/SUMPRODUCT($C$1615:$V$1615,($C$250:$V$250=H$1703)*1,($C$6:$V$6="Theorie")*1,$C$9:$V$9))</f>
        <v/>
      </c>
      <c r="I2144" s="64">
        <f>IF(I1934=0,"",SUMPRODUCT($C$1615:$V$1615,($C$250:$V$250=I$1703)*1,($C$6:$V$6="Theorie")*1,$C$9:$V$9,$C$40:$V$40)/SUMPRODUCT($C$1615:$V$1615,($C$250:$V$250=I$1703)*1,($C$6:$V$6="Theorie")*1,$C$9:$V$9))</f>
        <v/>
      </c>
      <c r="J2144" s="64">
        <f>IF(J1934=0,"",SUMPRODUCT($C$1615:$V$1615,($C$250:$V$250=J$1703)*1,($C$6:$V$6="Theorie")*1,$C$9:$V$9,$C$40:$V$40)/SUMPRODUCT($C$1615:$V$1615,($C$250:$V$250=J$1703)*1,($C$6:$V$6="Theorie")*1,$C$9:$V$9))</f>
        <v/>
      </c>
    </row>
    <row r="2145">
      <c r="C2145" s="64">
        <f>IF(C1935=0,"",SUMPRODUCT($C$1616:$V$1616,($C$251:$V$251=C$1703)*1,($C$6:$V$6="Theorie")*1,$C$9:$V$9,$C$41:$V$41)/SUMPRODUCT($C$1616:$V$1616,($C$251:$V$251=C$1703)*1,($C$6:$V$6="Theorie")*1,$C$9:$V$9))</f>
        <v/>
      </c>
      <c r="D2145" s="64">
        <f>IF(D1935=0,"",SUMPRODUCT($C$1616:$V$1616,($C$251:$V$251=D$1703)*1,($C$6:$V$6="Theorie")*1,$C$9:$V$9,$C$41:$V$41)/SUMPRODUCT($C$1616:$V$1616,($C$251:$V$251=D$1703)*1,($C$6:$V$6="Theorie")*1,$C$9:$V$9))</f>
        <v/>
      </c>
      <c r="E2145" s="64">
        <f>IF(E1935=0,"",SUMPRODUCT($C$1616:$V$1616,($C$251:$V$251=E$1703)*1,($C$6:$V$6="Theorie")*1,$C$9:$V$9,$C$41:$V$41)/SUMPRODUCT($C$1616:$V$1616,($C$251:$V$251=E$1703)*1,($C$6:$V$6="Theorie")*1,$C$9:$V$9))</f>
        <v/>
      </c>
      <c r="F2145" s="64">
        <f>IF(F1935=0,"",SUMPRODUCT($C$1616:$V$1616,($C$251:$V$251=F$1703)*1,($C$6:$V$6="Theorie")*1,$C$9:$V$9,$C$41:$V$41)/SUMPRODUCT($C$1616:$V$1616,($C$251:$V$251=F$1703)*1,($C$6:$V$6="Theorie")*1,$C$9:$V$9))</f>
        <v/>
      </c>
      <c r="G2145" s="64">
        <f>IF(G1935=0,"",SUMPRODUCT($C$1616:$V$1616,($C$251:$V$251=G$1703)*1,($C$6:$V$6="Theorie")*1,$C$9:$V$9,$C$41:$V$41)/SUMPRODUCT($C$1616:$V$1616,($C$251:$V$251=G$1703)*1,($C$6:$V$6="Theorie")*1,$C$9:$V$9))</f>
        <v/>
      </c>
      <c r="H2145" s="64">
        <f>IF(H1935=0,"",SUMPRODUCT($C$1616:$V$1616,($C$251:$V$251=H$1703)*1,($C$6:$V$6="Theorie")*1,$C$9:$V$9,$C$41:$V$41)/SUMPRODUCT($C$1616:$V$1616,($C$251:$V$251=H$1703)*1,($C$6:$V$6="Theorie")*1,$C$9:$V$9))</f>
        <v/>
      </c>
      <c r="I2145" s="64">
        <f>IF(I1935=0,"",SUMPRODUCT($C$1616:$V$1616,($C$251:$V$251=I$1703)*1,($C$6:$V$6="Theorie")*1,$C$9:$V$9,$C$41:$V$41)/SUMPRODUCT($C$1616:$V$1616,($C$251:$V$251=I$1703)*1,($C$6:$V$6="Theorie")*1,$C$9:$V$9))</f>
        <v/>
      </c>
      <c r="J2145" s="64">
        <f>IF(J1935=0,"",SUMPRODUCT($C$1616:$V$1616,($C$251:$V$251=J$1703)*1,($C$6:$V$6="Theorie")*1,$C$9:$V$9,$C$41:$V$41)/SUMPRODUCT($C$1616:$V$1616,($C$251:$V$251=J$1703)*1,($C$6:$V$6="Theorie")*1,$C$9:$V$9))</f>
        <v/>
      </c>
    </row>
    <row r="2146">
      <c r="C2146" s="64">
        <f>IF(C1936=0,"",SUMPRODUCT($C$1617:$V$1617,($C$252:$V$252=C$1703)*1,($C$6:$V$6="Theorie")*1,$C$9:$V$9,$C$42:$V$42)/SUMPRODUCT($C$1617:$V$1617,($C$252:$V$252=C$1703)*1,($C$6:$V$6="Theorie")*1,$C$9:$V$9))</f>
        <v/>
      </c>
      <c r="D2146" s="64">
        <f>IF(D1936=0,"",SUMPRODUCT($C$1617:$V$1617,($C$252:$V$252=D$1703)*1,($C$6:$V$6="Theorie")*1,$C$9:$V$9,$C$42:$V$42)/SUMPRODUCT($C$1617:$V$1617,($C$252:$V$252=D$1703)*1,($C$6:$V$6="Theorie")*1,$C$9:$V$9))</f>
        <v/>
      </c>
      <c r="E2146" s="64">
        <f>IF(E1936=0,"",SUMPRODUCT($C$1617:$V$1617,($C$252:$V$252=E$1703)*1,($C$6:$V$6="Theorie")*1,$C$9:$V$9,$C$42:$V$42)/SUMPRODUCT($C$1617:$V$1617,($C$252:$V$252=E$1703)*1,($C$6:$V$6="Theorie")*1,$C$9:$V$9))</f>
        <v/>
      </c>
      <c r="F2146" s="64">
        <f>IF(F1936=0,"",SUMPRODUCT($C$1617:$V$1617,($C$252:$V$252=F$1703)*1,($C$6:$V$6="Theorie")*1,$C$9:$V$9,$C$42:$V$42)/SUMPRODUCT($C$1617:$V$1617,($C$252:$V$252=F$1703)*1,($C$6:$V$6="Theorie")*1,$C$9:$V$9))</f>
        <v/>
      </c>
      <c r="G2146" s="64">
        <f>IF(G1936=0,"",SUMPRODUCT($C$1617:$V$1617,($C$252:$V$252=G$1703)*1,($C$6:$V$6="Theorie")*1,$C$9:$V$9,$C$42:$V$42)/SUMPRODUCT($C$1617:$V$1617,($C$252:$V$252=G$1703)*1,($C$6:$V$6="Theorie")*1,$C$9:$V$9))</f>
        <v/>
      </c>
      <c r="H2146" s="64">
        <f>IF(H1936=0,"",SUMPRODUCT($C$1617:$V$1617,($C$252:$V$252=H$1703)*1,($C$6:$V$6="Theorie")*1,$C$9:$V$9,$C$42:$V$42)/SUMPRODUCT($C$1617:$V$1617,($C$252:$V$252=H$1703)*1,($C$6:$V$6="Theorie")*1,$C$9:$V$9))</f>
        <v/>
      </c>
      <c r="I2146" s="64">
        <f>IF(I1936=0,"",SUMPRODUCT($C$1617:$V$1617,($C$252:$V$252=I$1703)*1,($C$6:$V$6="Theorie")*1,$C$9:$V$9,$C$42:$V$42)/SUMPRODUCT($C$1617:$V$1617,($C$252:$V$252=I$1703)*1,($C$6:$V$6="Theorie")*1,$C$9:$V$9))</f>
        <v/>
      </c>
      <c r="J2146" s="64">
        <f>IF(J1936=0,"",SUMPRODUCT($C$1617:$V$1617,($C$252:$V$252=J$1703)*1,($C$6:$V$6="Theorie")*1,$C$9:$V$9,$C$42:$V$42)/SUMPRODUCT($C$1617:$V$1617,($C$252:$V$252=J$1703)*1,($C$6:$V$6="Theorie")*1,$C$9:$V$9))</f>
        <v/>
      </c>
    </row>
    <row r="2147">
      <c r="C2147" s="64">
        <f>IF(C1937=0,"",SUMPRODUCT($C$1618:$V$1618,($C$253:$V$253=C$1703)*1,($C$6:$V$6="Theorie")*1,$C$9:$V$9,$C$43:$V$43)/SUMPRODUCT($C$1618:$V$1618,($C$253:$V$253=C$1703)*1,($C$6:$V$6="Theorie")*1,$C$9:$V$9))</f>
        <v/>
      </c>
      <c r="D2147" s="64">
        <f>IF(D1937=0,"",SUMPRODUCT($C$1618:$V$1618,($C$253:$V$253=D$1703)*1,($C$6:$V$6="Theorie")*1,$C$9:$V$9,$C$43:$V$43)/SUMPRODUCT($C$1618:$V$1618,($C$253:$V$253=D$1703)*1,($C$6:$V$6="Theorie")*1,$C$9:$V$9))</f>
        <v/>
      </c>
      <c r="E2147" s="64">
        <f>IF(E1937=0,"",SUMPRODUCT($C$1618:$V$1618,($C$253:$V$253=E$1703)*1,($C$6:$V$6="Theorie")*1,$C$9:$V$9,$C$43:$V$43)/SUMPRODUCT($C$1618:$V$1618,($C$253:$V$253=E$1703)*1,($C$6:$V$6="Theorie")*1,$C$9:$V$9))</f>
        <v/>
      </c>
      <c r="F2147" s="64">
        <f>IF(F1937=0,"",SUMPRODUCT($C$1618:$V$1618,($C$253:$V$253=F$1703)*1,($C$6:$V$6="Theorie")*1,$C$9:$V$9,$C$43:$V$43)/SUMPRODUCT($C$1618:$V$1618,($C$253:$V$253=F$1703)*1,($C$6:$V$6="Theorie")*1,$C$9:$V$9))</f>
        <v/>
      </c>
      <c r="G2147" s="64">
        <f>IF(G1937=0,"",SUMPRODUCT($C$1618:$V$1618,($C$253:$V$253=G$1703)*1,($C$6:$V$6="Theorie")*1,$C$9:$V$9,$C$43:$V$43)/SUMPRODUCT($C$1618:$V$1618,($C$253:$V$253=G$1703)*1,($C$6:$V$6="Theorie")*1,$C$9:$V$9))</f>
        <v/>
      </c>
      <c r="H2147" s="64">
        <f>IF(H1937=0,"",SUMPRODUCT($C$1618:$V$1618,($C$253:$V$253=H$1703)*1,($C$6:$V$6="Theorie")*1,$C$9:$V$9,$C$43:$V$43)/SUMPRODUCT($C$1618:$V$1618,($C$253:$V$253=H$1703)*1,($C$6:$V$6="Theorie")*1,$C$9:$V$9))</f>
        <v/>
      </c>
      <c r="I2147" s="64">
        <f>IF(I1937=0,"",SUMPRODUCT($C$1618:$V$1618,($C$253:$V$253=I$1703)*1,($C$6:$V$6="Theorie")*1,$C$9:$V$9,$C$43:$V$43)/SUMPRODUCT($C$1618:$V$1618,($C$253:$V$253=I$1703)*1,($C$6:$V$6="Theorie")*1,$C$9:$V$9))</f>
        <v/>
      </c>
      <c r="J2147" s="64">
        <f>IF(J1937=0,"",SUMPRODUCT($C$1618:$V$1618,($C$253:$V$253=J$1703)*1,($C$6:$V$6="Theorie")*1,$C$9:$V$9,$C$43:$V$43)/SUMPRODUCT($C$1618:$V$1618,($C$253:$V$253=J$1703)*1,($C$6:$V$6="Theorie")*1,$C$9:$V$9))</f>
        <v/>
      </c>
    </row>
    <row r="2148">
      <c r="C2148" s="64">
        <f>IF(C1938=0,"",SUMPRODUCT($C$1619:$V$1619,($C$254:$V$254=C$1703)*1,($C$6:$V$6="Theorie")*1,$C$9:$V$9,$C$44:$V$44)/SUMPRODUCT($C$1619:$V$1619,($C$254:$V$254=C$1703)*1,($C$6:$V$6="Theorie")*1,$C$9:$V$9))</f>
        <v/>
      </c>
      <c r="D2148" s="64">
        <f>IF(D1938=0,"",SUMPRODUCT($C$1619:$V$1619,($C$254:$V$254=D$1703)*1,($C$6:$V$6="Theorie")*1,$C$9:$V$9,$C$44:$V$44)/SUMPRODUCT($C$1619:$V$1619,($C$254:$V$254=D$1703)*1,($C$6:$V$6="Theorie")*1,$C$9:$V$9))</f>
        <v/>
      </c>
      <c r="E2148" s="64">
        <f>IF(E1938=0,"",SUMPRODUCT($C$1619:$V$1619,($C$254:$V$254=E$1703)*1,($C$6:$V$6="Theorie")*1,$C$9:$V$9,$C$44:$V$44)/SUMPRODUCT($C$1619:$V$1619,($C$254:$V$254=E$1703)*1,($C$6:$V$6="Theorie")*1,$C$9:$V$9))</f>
        <v/>
      </c>
      <c r="F2148" s="64">
        <f>IF(F1938=0,"",SUMPRODUCT($C$1619:$V$1619,($C$254:$V$254=F$1703)*1,($C$6:$V$6="Theorie")*1,$C$9:$V$9,$C$44:$V$44)/SUMPRODUCT($C$1619:$V$1619,($C$254:$V$254=F$1703)*1,($C$6:$V$6="Theorie")*1,$C$9:$V$9))</f>
        <v/>
      </c>
      <c r="G2148" s="64">
        <f>IF(G1938=0,"",SUMPRODUCT($C$1619:$V$1619,($C$254:$V$254=G$1703)*1,($C$6:$V$6="Theorie")*1,$C$9:$V$9,$C$44:$V$44)/SUMPRODUCT($C$1619:$V$1619,($C$254:$V$254=G$1703)*1,($C$6:$V$6="Theorie")*1,$C$9:$V$9))</f>
        <v/>
      </c>
      <c r="H2148" s="64">
        <f>IF(H1938=0,"",SUMPRODUCT($C$1619:$V$1619,($C$254:$V$254=H$1703)*1,($C$6:$V$6="Theorie")*1,$C$9:$V$9,$C$44:$V$44)/SUMPRODUCT($C$1619:$V$1619,($C$254:$V$254=H$1703)*1,($C$6:$V$6="Theorie")*1,$C$9:$V$9))</f>
        <v/>
      </c>
      <c r="I2148" s="64">
        <f>IF(I1938=0,"",SUMPRODUCT($C$1619:$V$1619,($C$254:$V$254=I$1703)*1,($C$6:$V$6="Theorie")*1,$C$9:$V$9,$C$44:$V$44)/SUMPRODUCT($C$1619:$V$1619,($C$254:$V$254=I$1703)*1,($C$6:$V$6="Theorie")*1,$C$9:$V$9))</f>
        <v/>
      </c>
      <c r="J2148" s="64">
        <f>IF(J1938=0,"",SUMPRODUCT($C$1619:$V$1619,($C$254:$V$254=J$1703)*1,($C$6:$V$6="Theorie")*1,$C$9:$V$9,$C$44:$V$44)/SUMPRODUCT($C$1619:$V$1619,($C$254:$V$254=J$1703)*1,($C$6:$V$6="Theorie")*1,$C$9:$V$9))</f>
        <v/>
      </c>
    </row>
    <row r="2149">
      <c r="C2149" s="64">
        <f>IF(C1939=0,"",SUMPRODUCT($C$1620:$V$1620,($C$255:$V$255=C$1703)*1,($C$6:$V$6="Theorie")*1,$C$9:$V$9,$C$45:$V$45)/SUMPRODUCT($C$1620:$V$1620,($C$255:$V$255=C$1703)*1,($C$6:$V$6="Theorie")*1,$C$9:$V$9))</f>
        <v/>
      </c>
      <c r="D2149" s="64">
        <f>IF(D1939=0,"",SUMPRODUCT($C$1620:$V$1620,($C$255:$V$255=D$1703)*1,($C$6:$V$6="Theorie")*1,$C$9:$V$9,$C$45:$V$45)/SUMPRODUCT($C$1620:$V$1620,($C$255:$V$255=D$1703)*1,($C$6:$V$6="Theorie")*1,$C$9:$V$9))</f>
        <v/>
      </c>
      <c r="E2149" s="64">
        <f>IF(E1939=0,"",SUMPRODUCT($C$1620:$V$1620,($C$255:$V$255=E$1703)*1,($C$6:$V$6="Theorie")*1,$C$9:$V$9,$C$45:$V$45)/SUMPRODUCT($C$1620:$V$1620,($C$255:$V$255=E$1703)*1,($C$6:$V$6="Theorie")*1,$C$9:$V$9))</f>
        <v/>
      </c>
      <c r="F2149" s="64">
        <f>IF(F1939=0,"",SUMPRODUCT($C$1620:$V$1620,($C$255:$V$255=F$1703)*1,($C$6:$V$6="Theorie")*1,$C$9:$V$9,$C$45:$V$45)/SUMPRODUCT($C$1620:$V$1620,($C$255:$V$255=F$1703)*1,($C$6:$V$6="Theorie")*1,$C$9:$V$9))</f>
        <v/>
      </c>
      <c r="G2149" s="64">
        <f>IF(G1939=0,"",SUMPRODUCT($C$1620:$V$1620,($C$255:$V$255=G$1703)*1,($C$6:$V$6="Theorie")*1,$C$9:$V$9,$C$45:$V$45)/SUMPRODUCT($C$1620:$V$1620,($C$255:$V$255=G$1703)*1,($C$6:$V$6="Theorie")*1,$C$9:$V$9))</f>
        <v/>
      </c>
      <c r="H2149" s="64">
        <f>IF(H1939=0,"",SUMPRODUCT($C$1620:$V$1620,($C$255:$V$255=H$1703)*1,($C$6:$V$6="Theorie")*1,$C$9:$V$9,$C$45:$V$45)/SUMPRODUCT($C$1620:$V$1620,($C$255:$V$255=H$1703)*1,($C$6:$V$6="Theorie")*1,$C$9:$V$9))</f>
        <v/>
      </c>
      <c r="I2149" s="64">
        <f>IF(I1939=0,"",SUMPRODUCT($C$1620:$V$1620,($C$255:$V$255=I$1703)*1,($C$6:$V$6="Theorie")*1,$C$9:$V$9,$C$45:$V$45)/SUMPRODUCT($C$1620:$V$1620,($C$255:$V$255=I$1703)*1,($C$6:$V$6="Theorie")*1,$C$9:$V$9))</f>
        <v/>
      </c>
      <c r="J2149" s="64">
        <f>IF(J1939=0,"",SUMPRODUCT($C$1620:$V$1620,($C$255:$V$255=J$1703)*1,($C$6:$V$6="Theorie")*1,$C$9:$V$9,$C$45:$V$45)/SUMPRODUCT($C$1620:$V$1620,($C$255:$V$255=J$1703)*1,($C$6:$V$6="Theorie")*1,$C$9:$V$9))</f>
        <v/>
      </c>
    </row>
    <row r="2150">
      <c r="C2150" s="64">
        <f>IF(C1940=0,"",SUMPRODUCT($C$1621:$V$1621,($C$256:$V$256=C$1703)*1,($C$6:$V$6="Theorie")*1,$C$9:$V$9,$C$46:$V$46)/SUMPRODUCT($C$1621:$V$1621,($C$256:$V$256=C$1703)*1,($C$6:$V$6="Theorie")*1,$C$9:$V$9))</f>
        <v/>
      </c>
      <c r="D2150" s="64">
        <f>IF(D1940=0,"",SUMPRODUCT($C$1621:$V$1621,($C$256:$V$256=D$1703)*1,($C$6:$V$6="Theorie")*1,$C$9:$V$9,$C$46:$V$46)/SUMPRODUCT($C$1621:$V$1621,($C$256:$V$256=D$1703)*1,($C$6:$V$6="Theorie")*1,$C$9:$V$9))</f>
        <v/>
      </c>
      <c r="E2150" s="64">
        <f>IF(E1940=0,"",SUMPRODUCT($C$1621:$V$1621,($C$256:$V$256=E$1703)*1,($C$6:$V$6="Theorie")*1,$C$9:$V$9,$C$46:$V$46)/SUMPRODUCT($C$1621:$V$1621,($C$256:$V$256=E$1703)*1,($C$6:$V$6="Theorie")*1,$C$9:$V$9))</f>
        <v/>
      </c>
      <c r="F2150" s="64">
        <f>IF(F1940=0,"",SUMPRODUCT($C$1621:$V$1621,($C$256:$V$256=F$1703)*1,($C$6:$V$6="Theorie")*1,$C$9:$V$9,$C$46:$V$46)/SUMPRODUCT($C$1621:$V$1621,($C$256:$V$256=F$1703)*1,($C$6:$V$6="Theorie")*1,$C$9:$V$9))</f>
        <v/>
      </c>
      <c r="G2150" s="64">
        <f>IF(G1940=0,"",SUMPRODUCT($C$1621:$V$1621,($C$256:$V$256=G$1703)*1,($C$6:$V$6="Theorie")*1,$C$9:$V$9,$C$46:$V$46)/SUMPRODUCT($C$1621:$V$1621,($C$256:$V$256=G$1703)*1,($C$6:$V$6="Theorie")*1,$C$9:$V$9))</f>
        <v/>
      </c>
      <c r="H2150" s="64">
        <f>IF(H1940=0,"",SUMPRODUCT($C$1621:$V$1621,($C$256:$V$256=H$1703)*1,($C$6:$V$6="Theorie")*1,$C$9:$V$9,$C$46:$V$46)/SUMPRODUCT($C$1621:$V$1621,($C$256:$V$256=H$1703)*1,($C$6:$V$6="Theorie")*1,$C$9:$V$9))</f>
        <v/>
      </c>
      <c r="I2150" s="64">
        <f>IF(I1940=0,"",SUMPRODUCT($C$1621:$V$1621,($C$256:$V$256=I$1703)*1,($C$6:$V$6="Theorie")*1,$C$9:$V$9,$C$46:$V$46)/SUMPRODUCT($C$1621:$V$1621,($C$256:$V$256=I$1703)*1,($C$6:$V$6="Theorie")*1,$C$9:$V$9))</f>
        <v/>
      </c>
      <c r="J2150" s="64">
        <f>IF(J1940=0,"",SUMPRODUCT($C$1621:$V$1621,($C$256:$V$256=J$1703)*1,($C$6:$V$6="Theorie")*1,$C$9:$V$9,$C$46:$V$46)/SUMPRODUCT($C$1621:$V$1621,($C$256:$V$256=J$1703)*1,($C$6:$V$6="Theorie")*1,$C$9:$V$9))</f>
        <v/>
      </c>
    </row>
    <row r="2151">
      <c r="C2151" s="64">
        <f>IF(C1941=0,"",SUMPRODUCT($C$1622:$V$1622,($C$257:$V$257=C$1703)*1,($C$6:$V$6="Theorie")*1,$C$9:$V$9,$C$47:$V$47)/SUMPRODUCT($C$1622:$V$1622,($C$257:$V$257=C$1703)*1,($C$6:$V$6="Theorie")*1,$C$9:$V$9))</f>
        <v/>
      </c>
      <c r="D2151" s="64">
        <f>IF(D1941=0,"",SUMPRODUCT($C$1622:$V$1622,($C$257:$V$257=D$1703)*1,($C$6:$V$6="Theorie")*1,$C$9:$V$9,$C$47:$V$47)/SUMPRODUCT($C$1622:$V$1622,($C$257:$V$257=D$1703)*1,($C$6:$V$6="Theorie")*1,$C$9:$V$9))</f>
        <v/>
      </c>
      <c r="E2151" s="64">
        <f>IF(E1941=0,"",SUMPRODUCT($C$1622:$V$1622,($C$257:$V$257=E$1703)*1,($C$6:$V$6="Theorie")*1,$C$9:$V$9,$C$47:$V$47)/SUMPRODUCT($C$1622:$V$1622,($C$257:$V$257=E$1703)*1,($C$6:$V$6="Theorie")*1,$C$9:$V$9))</f>
        <v/>
      </c>
      <c r="F2151" s="64">
        <f>IF(F1941=0,"",SUMPRODUCT($C$1622:$V$1622,($C$257:$V$257=F$1703)*1,($C$6:$V$6="Theorie")*1,$C$9:$V$9,$C$47:$V$47)/SUMPRODUCT($C$1622:$V$1622,($C$257:$V$257=F$1703)*1,($C$6:$V$6="Theorie")*1,$C$9:$V$9))</f>
        <v/>
      </c>
      <c r="G2151" s="64">
        <f>IF(G1941=0,"",SUMPRODUCT($C$1622:$V$1622,($C$257:$V$257=G$1703)*1,($C$6:$V$6="Theorie")*1,$C$9:$V$9,$C$47:$V$47)/SUMPRODUCT($C$1622:$V$1622,($C$257:$V$257=G$1703)*1,($C$6:$V$6="Theorie")*1,$C$9:$V$9))</f>
        <v/>
      </c>
      <c r="H2151" s="64">
        <f>IF(H1941=0,"",SUMPRODUCT($C$1622:$V$1622,($C$257:$V$257=H$1703)*1,($C$6:$V$6="Theorie")*1,$C$9:$V$9,$C$47:$V$47)/SUMPRODUCT($C$1622:$V$1622,($C$257:$V$257=H$1703)*1,($C$6:$V$6="Theorie")*1,$C$9:$V$9))</f>
        <v/>
      </c>
      <c r="I2151" s="64">
        <f>IF(I1941=0,"",SUMPRODUCT($C$1622:$V$1622,($C$257:$V$257=I$1703)*1,($C$6:$V$6="Theorie")*1,$C$9:$V$9,$C$47:$V$47)/SUMPRODUCT($C$1622:$V$1622,($C$257:$V$257=I$1703)*1,($C$6:$V$6="Theorie")*1,$C$9:$V$9))</f>
        <v/>
      </c>
      <c r="J2151" s="64">
        <f>IF(J1941=0,"",SUMPRODUCT($C$1622:$V$1622,($C$257:$V$257=J$1703)*1,($C$6:$V$6="Theorie")*1,$C$9:$V$9,$C$47:$V$47)/SUMPRODUCT($C$1622:$V$1622,($C$257:$V$257=J$1703)*1,($C$6:$V$6="Theorie")*1,$C$9:$V$9))</f>
        <v/>
      </c>
    </row>
    <row r="2152">
      <c r="C2152" s="64">
        <f>IF(C1942=0,"",SUMPRODUCT($C$1623:$V$1623,($C$258:$V$258=C$1703)*1,($C$6:$V$6="Theorie")*1,$C$9:$V$9,$C$48:$V$48)/SUMPRODUCT($C$1623:$V$1623,($C$258:$V$258=C$1703)*1,($C$6:$V$6="Theorie")*1,$C$9:$V$9))</f>
        <v/>
      </c>
      <c r="D2152" s="64">
        <f>IF(D1942=0,"",SUMPRODUCT($C$1623:$V$1623,($C$258:$V$258=D$1703)*1,($C$6:$V$6="Theorie")*1,$C$9:$V$9,$C$48:$V$48)/SUMPRODUCT($C$1623:$V$1623,($C$258:$V$258=D$1703)*1,($C$6:$V$6="Theorie")*1,$C$9:$V$9))</f>
        <v/>
      </c>
      <c r="E2152" s="64">
        <f>IF(E1942=0,"",SUMPRODUCT($C$1623:$V$1623,($C$258:$V$258=E$1703)*1,($C$6:$V$6="Theorie")*1,$C$9:$V$9,$C$48:$V$48)/SUMPRODUCT($C$1623:$V$1623,($C$258:$V$258=E$1703)*1,($C$6:$V$6="Theorie")*1,$C$9:$V$9))</f>
        <v/>
      </c>
      <c r="F2152" s="64">
        <f>IF(F1942=0,"",SUMPRODUCT($C$1623:$V$1623,($C$258:$V$258=F$1703)*1,($C$6:$V$6="Theorie")*1,$C$9:$V$9,$C$48:$V$48)/SUMPRODUCT($C$1623:$V$1623,($C$258:$V$258=F$1703)*1,($C$6:$V$6="Theorie")*1,$C$9:$V$9))</f>
        <v/>
      </c>
      <c r="G2152" s="64">
        <f>IF(G1942=0,"",SUMPRODUCT($C$1623:$V$1623,($C$258:$V$258=G$1703)*1,($C$6:$V$6="Theorie")*1,$C$9:$V$9,$C$48:$V$48)/SUMPRODUCT($C$1623:$V$1623,($C$258:$V$258=G$1703)*1,($C$6:$V$6="Theorie")*1,$C$9:$V$9))</f>
        <v/>
      </c>
      <c r="H2152" s="64">
        <f>IF(H1942=0,"",SUMPRODUCT($C$1623:$V$1623,($C$258:$V$258=H$1703)*1,($C$6:$V$6="Theorie")*1,$C$9:$V$9,$C$48:$V$48)/SUMPRODUCT($C$1623:$V$1623,($C$258:$V$258=H$1703)*1,($C$6:$V$6="Theorie")*1,$C$9:$V$9))</f>
        <v/>
      </c>
      <c r="I2152" s="64">
        <f>IF(I1942=0,"",SUMPRODUCT($C$1623:$V$1623,($C$258:$V$258=I$1703)*1,($C$6:$V$6="Theorie")*1,$C$9:$V$9,$C$48:$V$48)/SUMPRODUCT($C$1623:$V$1623,($C$258:$V$258=I$1703)*1,($C$6:$V$6="Theorie")*1,$C$9:$V$9))</f>
        <v/>
      </c>
      <c r="J2152" s="64">
        <f>IF(J1942=0,"",SUMPRODUCT($C$1623:$V$1623,($C$258:$V$258=J$1703)*1,($C$6:$V$6="Theorie")*1,$C$9:$V$9,$C$48:$V$48)/SUMPRODUCT($C$1623:$V$1623,($C$258:$V$258=J$1703)*1,($C$6:$V$6="Theorie")*1,$C$9:$V$9))</f>
        <v/>
      </c>
    </row>
    <row r="2153">
      <c r="C2153" s="64">
        <f>IF(C1943=0,"",SUMPRODUCT($C$1624:$V$1624,($C$259:$V$259=C$1703)*1,($C$6:$V$6="Theorie")*1,$C$9:$V$9,$C$49:$V$49)/SUMPRODUCT($C$1624:$V$1624,($C$259:$V$259=C$1703)*1,($C$6:$V$6="Theorie")*1,$C$9:$V$9))</f>
        <v/>
      </c>
      <c r="D2153" s="64">
        <f>IF(D1943=0,"",SUMPRODUCT($C$1624:$V$1624,($C$259:$V$259=D$1703)*1,($C$6:$V$6="Theorie")*1,$C$9:$V$9,$C$49:$V$49)/SUMPRODUCT($C$1624:$V$1624,($C$259:$V$259=D$1703)*1,($C$6:$V$6="Theorie")*1,$C$9:$V$9))</f>
        <v/>
      </c>
      <c r="E2153" s="64">
        <f>IF(E1943=0,"",SUMPRODUCT($C$1624:$V$1624,($C$259:$V$259=E$1703)*1,($C$6:$V$6="Theorie")*1,$C$9:$V$9,$C$49:$V$49)/SUMPRODUCT($C$1624:$V$1624,($C$259:$V$259=E$1703)*1,($C$6:$V$6="Theorie")*1,$C$9:$V$9))</f>
        <v/>
      </c>
      <c r="F2153" s="64">
        <f>IF(F1943=0,"",SUMPRODUCT($C$1624:$V$1624,($C$259:$V$259=F$1703)*1,($C$6:$V$6="Theorie")*1,$C$9:$V$9,$C$49:$V$49)/SUMPRODUCT($C$1624:$V$1624,($C$259:$V$259=F$1703)*1,($C$6:$V$6="Theorie")*1,$C$9:$V$9))</f>
        <v/>
      </c>
      <c r="G2153" s="64">
        <f>IF(G1943=0,"",SUMPRODUCT($C$1624:$V$1624,($C$259:$V$259=G$1703)*1,($C$6:$V$6="Theorie")*1,$C$9:$V$9,$C$49:$V$49)/SUMPRODUCT($C$1624:$V$1624,($C$259:$V$259=G$1703)*1,($C$6:$V$6="Theorie")*1,$C$9:$V$9))</f>
        <v/>
      </c>
      <c r="H2153" s="64">
        <f>IF(H1943=0,"",SUMPRODUCT($C$1624:$V$1624,($C$259:$V$259=H$1703)*1,($C$6:$V$6="Theorie")*1,$C$9:$V$9,$C$49:$V$49)/SUMPRODUCT($C$1624:$V$1624,($C$259:$V$259=H$1703)*1,($C$6:$V$6="Theorie")*1,$C$9:$V$9))</f>
        <v/>
      </c>
      <c r="I2153" s="64">
        <f>IF(I1943=0,"",SUMPRODUCT($C$1624:$V$1624,($C$259:$V$259=I$1703)*1,($C$6:$V$6="Theorie")*1,$C$9:$V$9,$C$49:$V$49)/SUMPRODUCT($C$1624:$V$1624,($C$259:$V$259=I$1703)*1,($C$6:$V$6="Theorie")*1,$C$9:$V$9))</f>
        <v/>
      </c>
      <c r="J2153" s="64">
        <f>IF(J1943=0,"",SUMPRODUCT($C$1624:$V$1624,($C$259:$V$259=J$1703)*1,($C$6:$V$6="Theorie")*1,$C$9:$V$9,$C$49:$V$49)/SUMPRODUCT($C$1624:$V$1624,($C$259:$V$259=J$1703)*1,($C$6:$V$6="Theorie")*1,$C$9:$V$9))</f>
        <v/>
      </c>
    </row>
    <row r="2154">
      <c r="C2154" s="64">
        <f>IF(C1944=0,"",SUMPRODUCT($C$1625:$V$1625,($C$260:$V$260=C$1703)*1,($C$6:$V$6="Theorie")*1,$C$9:$V$9,$C$50:$V$50)/SUMPRODUCT($C$1625:$V$1625,($C$260:$V$260=C$1703)*1,($C$6:$V$6="Theorie")*1,$C$9:$V$9))</f>
        <v/>
      </c>
      <c r="D2154" s="64">
        <f>IF(D1944=0,"",SUMPRODUCT($C$1625:$V$1625,($C$260:$V$260=D$1703)*1,($C$6:$V$6="Theorie")*1,$C$9:$V$9,$C$50:$V$50)/SUMPRODUCT($C$1625:$V$1625,($C$260:$V$260=D$1703)*1,($C$6:$V$6="Theorie")*1,$C$9:$V$9))</f>
        <v/>
      </c>
      <c r="E2154" s="64">
        <f>IF(E1944=0,"",SUMPRODUCT($C$1625:$V$1625,($C$260:$V$260=E$1703)*1,($C$6:$V$6="Theorie")*1,$C$9:$V$9,$C$50:$V$50)/SUMPRODUCT($C$1625:$V$1625,($C$260:$V$260=E$1703)*1,($C$6:$V$6="Theorie")*1,$C$9:$V$9))</f>
        <v/>
      </c>
      <c r="F2154" s="64">
        <f>IF(F1944=0,"",SUMPRODUCT($C$1625:$V$1625,($C$260:$V$260=F$1703)*1,($C$6:$V$6="Theorie")*1,$C$9:$V$9,$C$50:$V$50)/SUMPRODUCT($C$1625:$V$1625,($C$260:$V$260=F$1703)*1,($C$6:$V$6="Theorie")*1,$C$9:$V$9))</f>
        <v/>
      </c>
      <c r="G2154" s="64">
        <f>IF(G1944=0,"",SUMPRODUCT($C$1625:$V$1625,($C$260:$V$260=G$1703)*1,($C$6:$V$6="Theorie")*1,$C$9:$V$9,$C$50:$V$50)/SUMPRODUCT($C$1625:$V$1625,($C$260:$V$260=G$1703)*1,($C$6:$V$6="Theorie")*1,$C$9:$V$9))</f>
        <v/>
      </c>
      <c r="H2154" s="64">
        <f>IF(H1944=0,"",SUMPRODUCT($C$1625:$V$1625,($C$260:$V$260=H$1703)*1,($C$6:$V$6="Theorie")*1,$C$9:$V$9,$C$50:$V$50)/SUMPRODUCT($C$1625:$V$1625,($C$260:$V$260=H$1703)*1,($C$6:$V$6="Theorie")*1,$C$9:$V$9))</f>
        <v/>
      </c>
      <c r="I2154" s="64">
        <f>IF(I1944=0,"",SUMPRODUCT($C$1625:$V$1625,($C$260:$V$260=I$1703)*1,($C$6:$V$6="Theorie")*1,$C$9:$V$9,$C$50:$V$50)/SUMPRODUCT($C$1625:$V$1625,($C$260:$V$260=I$1703)*1,($C$6:$V$6="Theorie")*1,$C$9:$V$9))</f>
        <v/>
      </c>
      <c r="J2154" s="64">
        <f>IF(J1944=0,"",SUMPRODUCT($C$1625:$V$1625,($C$260:$V$260=J$1703)*1,($C$6:$V$6="Theorie")*1,$C$9:$V$9,$C$50:$V$50)/SUMPRODUCT($C$1625:$V$1625,($C$260:$V$260=J$1703)*1,($C$6:$V$6="Theorie")*1,$C$9:$V$9))</f>
        <v/>
      </c>
    </row>
    <row r="2155">
      <c r="C2155" s="64">
        <f>IF(C1945=0,"",SUMPRODUCT($C$1626:$V$1626,($C$261:$V$261=C$1703)*1,($C$6:$V$6="Theorie")*1,$C$9:$V$9,$C$51:$V$51)/SUMPRODUCT($C$1626:$V$1626,($C$261:$V$261=C$1703)*1,($C$6:$V$6="Theorie")*1,$C$9:$V$9))</f>
        <v/>
      </c>
      <c r="D2155" s="64">
        <f>IF(D1945=0,"",SUMPRODUCT($C$1626:$V$1626,($C$261:$V$261=D$1703)*1,($C$6:$V$6="Theorie")*1,$C$9:$V$9,$C$51:$V$51)/SUMPRODUCT($C$1626:$V$1626,($C$261:$V$261=D$1703)*1,($C$6:$V$6="Theorie")*1,$C$9:$V$9))</f>
        <v/>
      </c>
      <c r="E2155" s="64">
        <f>IF(E1945=0,"",SUMPRODUCT($C$1626:$V$1626,($C$261:$V$261=E$1703)*1,($C$6:$V$6="Theorie")*1,$C$9:$V$9,$C$51:$V$51)/SUMPRODUCT($C$1626:$V$1626,($C$261:$V$261=E$1703)*1,($C$6:$V$6="Theorie")*1,$C$9:$V$9))</f>
        <v/>
      </c>
      <c r="F2155" s="64">
        <f>IF(F1945=0,"",SUMPRODUCT($C$1626:$V$1626,($C$261:$V$261=F$1703)*1,($C$6:$V$6="Theorie")*1,$C$9:$V$9,$C$51:$V$51)/SUMPRODUCT($C$1626:$V$1626,($C$261:$V$261=F$1703)*1,($C$6:$V$6="Theorie")*1,$C$9:$V$9))</f>
        <v/>
      </c>
      <c r="G2155" s="64">
        <f>IF(G1945=0,"",SUMPRODUCT($C$1626:$V$1626,($C$261:$V$261=G$1703)*1,($C$6:$V$6="Theorie")*1,$C$9:$V$9,$C$51:$V$51)/SUMPRODUCT($C$1626:$V$1626,($C$261:$V$261=G$1703)*1,($C$6:$V$6="Theorie")*1,$C$9:$V$9))</f>
        <v/>
      </c>
      <c r="H2155" s="64">
        <f>IF(H1945=0,"",SUMPRODUCT($C$1626:$V$1626,($C$261:$V$261=H$1703)*1,($C$6:$V$6="Theorie")*1,$C$9:$V$9,$C$51:$V$51)/SUMPRODUCT($C$1626:$V$1626,($C$261:$V$261=H$1703)*1,($C$6:$V$6="Theorie")*1,$C$9:$V$9))</f>
        <v/>
      </c>
      <c r="I2155" s="64">
        <f>IF(I1945=0,"",SUMPRODUCT($C$1626:$V$1626,($C$261:$V$261=I$1703)*1,($C$6:$V$6="Theorie")*1,$C$9:$V$9,$C$51:$V$51)/SUMPRODUCT($C$1626:$V$1626,($C$261:$V$261=I$1703)*1,($C$6:$V$6="Theorie")*1,$C$9:$V$9))</f>
        <v/>
      </c>
      <c r="J2155" s="64">
        <f>IF(J1945=0,"",SUMPRODUCT($C$1626:$V$1626,($C$261:$V$261=J$1703)*1,($C$6:$V$6="Theorie")*1,$C$9:$V$9,$C$51:$V$51)/SUMPRODUCT($C$1626:$V$1626,($C$261:$V$261=J$1703)*1,($C$6:$V$6="Theorie")*1,$C$9:$V$9))</f>
        <v/>
      </c>
    </row>
    <row r="2156">
      <c r="C2156" s="64">
        <f>IF(C1946=0,"",SUMPRODUCT($C$1627:$V$1627,($C$262:$V$262=C$1703)*1,($C$6:$V$6="Theorie")*1,$C$9:$V$9,$C$52:$V$52)/SUMPRODUCT($C$1627:$V$1627,($C$262:$V$262=C$1703)*1,($C$6:$V$6="Theorie")*1,$C$9:$V$9))</f>
        <v/>
      </c>
      <c r="D2156" s="64">
        <f>IF(D1946=0,"",SUMPRODUCT($C$1627:$V$1627,($C$262:$V$262=D$1703)*1,($C$6:$V$6="Theorie")*1,$C$9:$V$9,$C$52:$V$52)/SUMPRODUCT($C$1627:$V$1627,($C$262:$V$262=D$1703)*1,($C$6:$V$6="Theorie")*1,$C$9:$V$9))</f>
        <v/>
      </c>
      <c r="E2156" s="64">
        <f>IF(E1946=0,"",SUMPRODUCT($C$1627:$V$1627,($C$262:$V$262=E$1703)*1,($C$6:$V$6="Theorie")*1,$C$9:$V$9,$C$52:$V$52)/SUMPRODUCT($C$1627:$V$1627,($C$262:$V$262=E$1703)*1,($C$6:$V$6="Theorie")*1,$C$9:$V$9))</f>
        <v/>
      </c>
      <c r="F2156" s="64">
        <f>IF(F1946=0,"",SUMPRODUCT($C$1627:$V$1627,($C$262:$V$262=F$1703)*1,($C$6:$V$6="Theorie")*1,$C$9:$V$9,$C$52:$V$52)/SUMPRODUCT($C$1627:$V$1627,($C$262:$V$262=F$1703)*1,($C$6:$V$6="Theorie")*1,$C$9:$V$9))</f>
        <v/>
      </c>
      <c r="G2156" s="64">
        <f>IF(G1946=0,"",SUMPRODUCT($C$1627:$V$1627,($C$262:$V$262=G$1703)*1,($C$6:$V$6="Theorie")*1,$C$9:$V$9,$C$52:$V$52)/SUMPRODUCT($C$1627:$V$1627,($C$262:$V$262=G$1703)*1,($C$6:$V$6="Theorie")*1,$C$9:$V$9))</f>
        <v/>
      </c>
      <c r="H2156" s="64">
        <f>IF(H1946=0,"",SUMPRODUCT($C$1627:$V$1627,($C$262:$V$262=H$1703)*1,($C$6:$V$6="Theorie")*1,$C$9:$V$9,$C$52:$V$52)/SUMPRODUCT($C$1627:$V$1627,($C$262:$V$262=H$1703)*1,($C$6:$V$6="Theorie")*1,$C$9:$V$9))</f>
        <v/>
      </c>
      <c r="I2156" s="64">
        <f>IF(I1946=0,"",SUMPRODUCT($C$1627:$V$1627,($C$262:$V$262=I$1703)*1,($C$6:$V$6="Theorie")*1,$C$9:$V$9,$C$52:$V$52)/SUMPRODUCT($C$1627:$V$1627,($C$262:$V$262=I$1703)*1,($C$6:$V$6="Theorie")*1,$C$9:$V$9))</f>
        <v/>
      </c>
      <c r="J2156" s="64">
        <f>IF(J1946=0,"",SUMPRODUCT($C$1627:$V$1627,($C$262:$V$262=J$1703)*1,($C$6:$V$6="Theorie")*1,$C$9:$V$9,$C$52:$V$52)/SUMPRODUCT($C$1627:$V$1627,($C$262:$V$262=J$1703)*1,($C$6:$V$6="Theorie")*1,$C$9:$V$9))</f>
        <v/>
      </c>
    </row>
    <row r="2157">
      <c r="C2157" s="64">
        <f>IF(C1947=0,"",SUMPRODUCT($C$1628:$V$1628,($C$263:$V$263=C$1703)*1,($C$6:$V$6="Theorie")*1,$C$9:$V$9,$C$53:$V$53)/SUMPRODUCT($C$1628:$V$1628,($C$263:$V$263=C$1703)*1,($C$6:$V$6="Theorie")*1,$C$9:$V$9))</f>
        <v/>
      </c>
      <c r="D2157" s="64">
        <f>IF(D1947=0,"",SUMPRODUCT($C$1628:$V$1628,($C$263:$V$263=D$1703)*1,($C$6:$V$6="Theorie")*1,$C$9:$V$9,$C$53:$V$53)/SUMPRODUCT($C$1628:$V$1628,($C$263:$V$263=D$1703)*1,($C$6:$V$6="Theorie")*1,$C$9:$V$9))</f>
        <v/>
      </c>
      <c r="E2157" s="64">
        <f>IF(E1947=0,"",SUMPRODUCT($C$1628:$V$1628,($C$263:$V$263=E$1703)*1,($C$6:$V$6="Theorie")*1,$C$9:$V$9,$C$53:$V$53)/SUMPRODUCT($C$1628:$V$1628,($C$263:$V$263=E$1703)*1,($C$6:$V$6="Theorie")*1,$C$9:$V$9))</f>
        <v/>
      </c>
      <c r="F2157" s="64">
        <f>IF(F1947=0,"",SUMPRODUCT($C$1628:$V$1628,($C$263:$V$263=F$1703)*1,($C$6:$V$6="Theorie")*1,$C$9:$V$9,$C$53:$V$53)/SUMPRODUCT($C$1628:$V$1628,($C$263:$V$263=F$1703)*1,($C$6:$V$6="Theorie")*1,$C$9:$V$9))</f>
        <v/>
      </c>
      <c r="G2157" s="64">
        <f>IF(G1947=0,"",SUMPRODUCT($C$1628:$V$1628,($C$263:$V$263=G$1703)*1,($C$6:$V$6="Theorie")*1,$C$9:$V$9,$C$53:$V$53)/SUMPRODUCT($C$1628:$V$1628,($C$263:$V$263=G$1703)*1,($C$6:$V$6="Theorie")*1,$C$9:$V$9))</f>
        <v/>
      </c>
      <c r="H2157" s="64">
        <f>IF(H1947=0,"",SUMPRODUCT($C$1628:$V$1628,($C$263:$V$263=H$1703)*1,($C$6:$V$6="Theorie")*1,$C$9:$V$9,$C$53:$V$53)/SUMPRODUCT($C$1628:$V$1628,($C$263:$V$263=H$1703)*1,($C$6:$V$6="Theorie")*1,$C$9:$V$9))</f>
        <v/>
      </c>
      <c r="I2157" s="64">
        <f>IF(I1947=0,"",SUMPRODUCT($C$1628:$V$1628,($C$263:$V$263=I$1703)*1,($C$6:$V$6="Theorie")*1,$C$9:$V$9,$C$53:$V$53)/SUMPRODUCT($C$1628:$V$1628,($C$263:$V$263=I$1703)*1,($C$6:$V$6="Theorie")*1,$C$9:$V$9))</f>
        <v/>
      </c>
      <c r="J2157" s="64">
        <f>IF(J1947=0,"",SUMPRODUCT($C$1628:$V$1628,($C$263:$V$263=J$1703)*1,($C$6:$V$6="Theorie")*1,$C$9:$V$9,$C$53:$V$53)/SUMPRODUCT($C$1628:$V$1628,($C$263:$V$263=J$1703)*1,($C$6:$V$6="Theorie")*1,$C$9:$V$9))</f>
        <v/>
      </c>
    </row>
    <row r="2158">
      <c r="C2158" s="64">
        <f>IF(C1948=0,"",SUMPRODUCT($C$1629:$V$1629,($C$264:$V$264=C$1703)*1,($C$6:$V$6="Theorie")*1,$C$9:$V$9,$C$54:$V$54)/SUMPRODUCT($C$1629:$V$1629,($C$264:$V$264=C$1703)*1,($C$6:$V$6="Theorie")*1,$C$9:$V$9))</f>
        <v/>
      </c>
      <c r="D2158" s="64">
        <f>IF(D1948=0,"",SUMPRODUCT($C$1629:$V$1629,($C$264:$V$264=D$1703)*1,($C$6:$V$6="Theorie")*1,$C$9:$V$9,$C$54:$V$54)/SUMPRODUCT($C$1629:$V$1629,($C$264:$V$264=D$1703)*1,($C$6:$V$6="Theorie")*1,$C$9:$V$9))</f>
        <v/>
      </c>
      <c r="E2158" s="64">
        <f>IF(E1948=0,"",SUMPRODUCT($C$1629:$V$1629,($C$264:$V$264=E$1703)*1,($C$6:$V$6="Theorie")*1,$C$9:$V$9,$C$54:$V$54)/SUMPRODUCT($C$1629:$V$1629,($C$264:$V$264=E$1703)*1,($C$6:$V$6="Theorie")*1,$C$9:$V$9))</f>
        <v/>
      </c>
      <c r="F2158" s="64">
        <f>IF(F1948=0,"",SUMPRODUCT($C$1629:$V$1629,($C$264:$V$264=F$1703)*1,($C$6:$V$6="Theorie")*1,$C$9:$V$9,$C$54:$V$54)/SUMPRODUCT($C$1629:$V$1629,($C$264:$V$264=F$1703)*1,($C$6:$V$6="Theorie")*1,$C$9:$V$9))</f>
        <v/>
      </c>
      <c r="G2158" s="64">
        <f>IF(G1948=0,"",SUMPRODUCT($C$1629:$V$1629,($C$264:$V$264=G$1703)*1,($C$6:$V$6="Theorie")*1,$C$9:$V$9,$C$54:$V$54)/SUMPRODUCT($C$1629:$V$1629,($C$264:$V$264=G$1703)*1,($C$6:$V$6="Theorie")*1,$C$9:$V$9))</f>
        <v/>
      </c>
      <c r="H2158" s="64">
        <f>IF(H1948=0,"",SUMPRODUCT($C$1629:$V$1629,($C$264:$V$264=H$1703)*1,($C$6:$V$6="Theorie")*1,$C$9:$V$9,$C$54:$V$54)/SUMPRODUCT($C$1629:$V$1629,($C$264:$V$264=H$1703)*1,($C$6:$V$6="Theorie")*1,$C$9:$V$9))</f>
        <v/>
      </c>
      <c r="I2158" s="64">
        <f>IF(I1948=0,"",SUMPRODUCT($C$1629:$V$1629,($C$264:$V$264=I$1703)*1,($C$6:$V$6="Theorie")*1,$C$9:$V$9,$C$54:$V$54)/SUMPRODUCT($C$1629:$V$1629,($C$264:$V$264=I$1703)*1,($C$6:$V$6="Theorie")*1,$C$9:$V$9))</f>
        <v/>
      </c>
      <c r="J2158" s="64">
        <f>IF(J1948=0,"",SUMPRODUCT($C$1629:$V$1629,($C$264:$V$264=J$1703)*1,($C$6:$V$6="Theorie")*1,$C$9:$V$9,$C$54:$V$54)/SUMPRODUCT($C$1629:$V$1629,($C$264:$V$264=J$1703)*1,($C$6:$V$6="Theorie")*1,$C$9:$V$9))</f>
        <v/>
      </c>
    </row>
    <row r="2159">
      <c r="C2159" s="64">
        <f>IF(C1949=0,"",SUMPRODUCT($C$1630:$V$1630,($C$265:$V$265=C$1703)*1,($C$6:$V$6="Theorie")*1,$C$9:$V$9,$C$55:$V$55)/SUMPRODUCT($C$1630:$V$1630,($C$265:$V$265=C$1703)*1,($C$6:$V$6="Theorie")*1,$C$9:$V$9))</f>
        <v/>
      </c>
      <c r="D2159" s="64">
        <f>IF(D1949=0,"",SUMPRODUCT($C$1630:$V$1630,($C$265:$V$265=D$1703)*1,($C$6:$V$6="Theorie")*1,$C$9:$V$9,$C$55:$V$55)/SUMPRODUCT($C$1630:$V$1630,($C$265:$V$265=D$1703)*1,($C$6:$V$6="Theorie")*1,$C$9:$V$9))</f>
        <v/>
      </c>
      <c r="E2159" s="64">
        <f>IF(E1949=0,"",SUMPRODUCT($C$1630:$V$1630,($C$265:$V$265=E$1703)*1,($C$6:$V$6="Theorie")*1,$C$9:$V$9,$C$55:$V$55)/SUMPRODUCT($C$1630:$V$1630,($C$265:$V$265=E$1703)*1,($C$6:$V$6="Theorie")*1,$C$9:$V$9))</f>
        <v/>
      </c>
      <c r="F2159" s="64">
        <f>IF(F1949=0,"",SUMPRODUCT($C$1630:$V$1630,($C$265:$V$265=F$1703)*1,($C$6:$V$6="Theorie")*1,$C$9:$V$9,$C$55:$V$55)/SUMPRODUCT($C$1630:$V$1630,($C$265:$V$265=F$1703)*1,($C$6:$V$6="Theorie")*1,$C$9:$V$9))</f>
        <v/>
      </c>
      <c r="G2159" s="64">
        <f>IF(G1949=0,"",SUMPRODUCT($C$1630:$V$1630,($C$265:$V$265=G$1703)*1,($C$6:$V$6="Theorie")*1,$C$9:$V$9,$C$55:$V$55)/SUMPRODUCT($C$1630:$V$1630,($C$265:$V$265=G$1703)*1,($C$6:$V$6="Theorie")*1,$C$9:$V$9))</f>
        <v/>
      </c>
      <c r="H2159" s="64">
        <f>IF(H1949=0,"",SUMPRODUCT($C$1630:$V$1630,($C$265:$V$265=H$1703)*1,($C$6:$V$6="Theorie")*1,$C$9:$V$9,$C$55:$V$55)/SUMPRODUCT($C$1630:$V$1630,($C$265:$V$265=H$1703)*1,($C$6:$V$6="Theorie")*1,$C$9:$V$9))</f>
        <v/>
      </c>
      <c r="I2159" s="64">
        <f>IF(I1949=0,"",SUMPRODUCT($C$1630:$V$1630,($C$265:$V$265=I$1703)*1,($C$6:$V$6="Theorie")*1,$C$9:$V$9,$C$55:$V$55)/SUMPRODUCT($C$1630:$V$1630,($C$265:$V$265=I$1703)*1,($C$6:$V$6="Theorie")*1,$C$9:$V$9))</f>
        <v/>
      </c>
      <c r="J2159" s="64">
        <f>IF(J1949=0,"",SUMPRODUCT($C$1630:$V$1630,($C$265:$V$265=J$1703)*1,($C$6:$V$6="Theorie")*1,$C$9:$V$9,$C$55:$V$55)/SUMPRODUCT($C$1630:$V$1630,($C$265:$V$265=J$1703)*1,($C$6:$V$6="Theorie")*1,$C$9:$V$9))</f>
        <v/>
      </c>
    </row>
    <row r="2160">
      <c r="C2160" s="64">
        <f>IF(C1950=0,"",SUMPRODUCT($C$1631:$V$1631,($C$266:$V$266=C$1703)*1,($C$6:$V$6="Theorie")*1,$C$9:$V$9,$C$56:$V$56)/SUMPRODUCT($C$1631:$V$1631,($C$266:$V$266=C$1703)*1,($C$6:$V$6="Theorie")*1,$C$9:$V$9))</f>
        <v/>
      </c>
      <c r="D2160" s="64">
        <f>IF(D1950=0,"",SUMPRODUCT($C$1631:$V$1631,($C$266:$V$266=D$1703)*1,($C$6:$V$6="Theorie")*1,$C$9:$V$9,$C$56:$V$56)/SUMPRODUCT($C$1631:$V$1631,($C$266:$V$266=D$1703)*1,($C$6:$V$6="Theorie")*1,$C$9:$V$9))</f>
        <v/>
      </c>
      <c r="E2160" s="64">
        <f>IF(E1950=0,"",SUMPRODUCT($C$1631:$V$1631,($C$266:$V$266=E$1703)*1,($C$6:$V$6="Theorie")*1,$C$9:$V$9,$C$56:$V$56)/SUMPRODUCT($C$1631:$V$1631,($C$266:$V$266=E$1703)*1,($C$6:$V$6="Theorie")*1,$C$9:$V$9))</f>
        <v/>
      </c>
      <c r="F2160" s="64">
        <f>IF(F1950=0,"",SUMPRODUCT($C$1631:$V$1631,($C$266:$V$266=F$1703)*1,($C$6:$V$6="Theorie")*1,$C$9:$V$9,$C$56:$V$56)/SUMPRODUCT($C$1631:$V$1631,($C$266:$V$266=F$1703)*1,($C$6:$V$6="Theorie")*1,$C$9:$V$9))</f>
        <v/>
      </c>
      <c r="G2160" s="64">
        <f>IF(G1950=0,"",SUMPRODUCT($C$1631:$V$1631,($C$266:$V$266=G$1703)*1,($C$6:$V$6="Theorie")*1,$C$9:$V$9,$C$56:$V$56)/SUMPRODUCT($C$1631:$V$1631,($C$266:$V$266=G$1703)*1,($C$6:$V$6="Theorie")*1,$C$9:$V$9))</f>
        <v/>
      </c>
      <c r="H2160" s="64">
        <f>IF(H1950=0,"",SUMPRODUCT($C$1631:$V$1631,($C$266:$V$266=H$1703)*1,($C$6:$V$6="Theorie")*1,$C$9:$V$9,$C$56:$V$56)/SUMPRODUCT($C$1631:$V$1631,($C$266:$V$266=H$1703)*1,($C$6:$V$6="Theorie")*1,$C$9:$V$9))</f>
        <v/>
      </c>
      <c r="I2160" s="64">
        <f>IF(I1950=0,"",SUMPRODUCT($C$1631:$V$1631,($C$266:$V$266=I$1703)*1,($C$6:$V$6="Theorie")*1,$C$9:$V$9,$C$56:$V$56)/SUMPRODUCT($C$1631:$V$1631,($C$266:$V$266=I$1703)*1,($C$6:$V$6="Theorie")*1,$C$9:$V$9))</f>
        <v/>
      </c>
      <c r="J2160" s="64">
        <f>IF(J1950=0,"",SUMPRODUCT($C$1631:$V$1631,($C$266:$V$266=J$1703)*1,($C$6:$V$6="Theorie")*1,$C$9:$V$9,$C$56:$V$56)/SUMPRODUCT($C$1631:$V$1631,($C$266:$V$266=J$1703)*1,($C$6:$V$6="Theorie")*1,$C$9:$V$9))</f>
        <v/>
      </c>
    </row>
    <row r="2161">
      <c r="C2161" s="64">
        <f>IF(C1951=0,"",SUMPRODUCT($C$1632:$V$1632,($C$267:$V$267=C$1703)*1,($C$6:$V$6="Theorie")*1,$C$9:$V$9,$C$57:$V$57)/SUMPRODUCT($C$1632:$V$1632,($C$267:$V$267=C$1703)*1,($C$6:$V$6="Theorie")*1,$C$9:$V$9))</f>
        <v/>
      </c>
      <c r="D2161" s="64">
        <f>IF(D1951=0,"",SUMPRODUCT($C$1632:$V$1632,($C$267:$V$267=D$1703)*1,($C$6:$V$6="Theorie")*1,$C$9:$V$9,$C$57:$V$57)/SUMPRODUCT($C$1632:$V$1632,($C$267:$V$267=D$1703)*1,($C$6:$V$6="Theorie")*1,$C$9:$V$9))</f>
        <v/>
      </c>
      <c r="E2161" s="64">
        <f>IF(E1951=0,"",SUMPRODUCT($C$1632:$V$1632,($C$267:$V$267=E$1703)*1,($C$6:$V$6="Theorie")*1,$C$9:$V$9,$C$57:$V$57)/SUMPRODUCT($C$1632:$V$1632,($C$267:$V$267=E$1703)*1,($C$6:$V$6="Theorie")*1,$C$9:$V$9))</f>
        <v/>
      </c>
      <c r="F2161" s="64">
        <f>IF(F1951=0,"",SUMPRODUCT($C$1632:$V$1632,($C$267:$V$267=F$1703)*1,($C$6:$V$6="Theorie")*1,$C$9:$V$9,$C$57:$V$57)/SUMPRODUCT($C$1632:$V$1632,($C$267:$V$267=F$1703)*1,($C$6:$V$6="Theorie")*1,$C$9:$V$9))</f>
        <v/>
      </c>
      <c r="G2161" s="64">
        <f>IF(G1951=0,"",SUMPRODUCT($C$1632:$V$1632,($C$267:$V$267=G$1703)*1,($C$6:$V$6="Theorie")*1,$C$9:$V$9,$C$57:$V$57)/SUMPRODUCT($C$1632:$V$1632,($C$267:$V$267=G$1703)*1,($C$6:$V$6="Theorie")*1,$C$9:$V$9))</f>
        <v/>
      </c>
      <c r="H2161" s="64">
        <f>IF(H1951=0,"",SUMPRODUCT($C$1632:$V$1632,($C$267:$V$267=H$1703)*1,($C$6:$V$6="Theorie")*1,$C$9:$V$9,$C$57:$V$57)/SUMPRODUCT($C$1632:$V$1632,($C$267:$V$267=H$1703)*1,($C$6:$V$6="Theorie")*1,$C$9:$V$9))</f>
        <v/>
      </c>
      <c r="I2161" s="64">
        <f>IF(I1951=0,"",SUMPRODUCT($C$1632:$V$1632,($C$267:$V$267=I$1703)*1,($C$6:$V$6="Theorie")*1,$C$9:$V$9,$C$57:$V$57)/SUMPRODUCT($C$1632:$V$1632,($C$267:$V$267=I$1703)*1,($C$6:$V$6="Theorie")*1,$C$9:$V$9))</f>
        <v/>
      </c>
      <c r="J2161" s="64">
        <f>IF(J1951=0,"",SUMPRODUCT($C$1632:$V$1632,($C$267:$V$267=J$1703)*1,($C$6:$V$6="Theorie")*1,$C$9:$V$9,$C$57:$V$57)/SUMPRODUCT($C$1632:$V$1632,($C$267:$V$267=J$1703)*1,($C$6:$V$6="Theorie")*1,$C$9:$V$9))</f>
        <v/>
      </c>
    </row>
    <row r="2162">
      <c r="C2162" s="64">
        <f>IF(C1952=0,"",SUMPRODUCT($C$1633:$V$1633,($C$268:$V$268=C$1703)*1,($C$6:$V$6="Theorie")*1,$C$9:$V$9,$C$58:$V$58)/SUMPRODUCT($C$1633:$V$1633,($C$268:$V$268=C$1703)*1,($C$6:$V$6="Theorie")*1,$C$9:$V$9))</f>
        <v/>
      </c>
      <c r="D2162" s="64">
        <f>IF(D1952=0,"",SUMPRODUCT($C$1633:$V$1633,($C$268:$V$268=D$1703)*1,($C$6:$V$6="Theorie")*1,$C$9:$V$9,$C$58:$V$58)/SUMPRODUCT($C$1633:$V$1633,($C$268:$V$268=D$1703)*1,($C$6:$V$6="Theorie")*1,$C$9:$V$9))</f>
        <v/>
      </c>
      <c r="E2162" s="64">
        <f>IF(E1952=0,"",SUMPRODUCT($C$1633:$V$1633,($C$268:$V$268=E$1703)*1,($C$6:$V$6="Theorie")*1,$C$9:$V$9,$C$58:$V$58)/SUMPRODUCT($C$1633:$V$1633,($C$268:$V$268=E$1703)*1,($C$6:$V$6="Theorie")*1,$C$9:$V$9))</f>
        <v/>
      </c>
      <c r="F2162" s="64">
        <f>IF(F1952=0,"",SUMPRODUCT($C$1633:$V$1633,($C$268:$V$268=F$1703)*1,($C$6:$V$6="Theorie")*1,$C$9:$V$9,$C$58:$V$58)/SUMPRODUCT($C$1633:$V$1633,($C$268:$V$268=F$1703)*1,($C$6:$V$6="Theorie")*1,$C$9:$V$9))</f>
        <v/>
      </c>
      <c r="G2162" s="64">
        <f>IF(G1952=0,"",SUMPRODUCT($C$1633:$V$1633,($C$268:$V$268=G$1703)*1,($C$6:$V$6="Theorie")*1,$C$9:$V$9,$C$58:$V$58)/SUMPRODUCT($C$1633:$V$1633,($C$268:$V$268=G$1703)*1,($C$6:$V$6="Theorie")*1,$C$9:$V$9))</f>
        <v/>
      </c>
      <c r="H2162" s="64">
        <f>IF(H1952=0,"",SUMPRODUCT($C$1633:$V$1633,($C$268:$V$268=H$1703)*1,($C$6:$V$6="Theorie")*1,$C$9:$V$9,$C$58:$V$58)/SUMPRODUCT($C$1633:$V$1633,($C$268:$V$268=H$1703)*1,($C$6:$V$6="Theorie")*1,$C$9:$V$9))</f>
        <v/>
      </c>
      <c r="I2162" s="64">
        <f>IF(I1952=0,"",SUMPRODUCT($C$1633:$V$1633,($C$268:$V$268=I$1703)*1,($C$6:$V$6="Theorie")*1,$C$9:$V$9,$C$58:$V$58)/SUMPRODUCT($C$1633:$V$1633,($C$268:$V$268=I$1703)*1,($C$6:$V$6="Theorie")*1,$C$9:$V$9))</f>
        <v/>
      </c>
      <c r="J2162" s="64">
        <f>IF(J1952=0,"",SUMPRODUCT($C$1633:$V$1633,($C$268:$V$268=J$1703)*1,($C$6:$V$6="Theorie")*1,$C$9:$V$9,$C$58:$V$58)/SUMPRODUCT($C$1633:$V$1633,($C$268:$V$268=J$1703)*1,($C$6:$V$6="Theorie")*1,$C$9:$V$9))</f>
        <v/>
      </c>
    </row>
    <row r="2163">
      <c r="C2163" s="64">
        <f>IF(C1953=0,"",SUMPRODUCT($C$1634:$V$1634,($C$269:$V$269=C$1703)*1,($C$6:$V$6="Theorie")*1,$C$9:$V$9,$C$59:$V$59)/SUMPRODUCT($C$1634:$V$1634,($C$269:$V$269=C$1703)*1,($C$6:$V$6="Theorie")*1,$C$9:$V$9))</f>
        <v/>
      </c>
      <c r="D2163" s="64">
        <f>IF(D1953=0,"",SUMPRODUCT($C$1634:$V$1634,($C$269:$V$269=D$1703)*1,($C$6:$V$6="Theorie")*1,$C$9:$V$9,$C$59:$V$59)/SUMPRODUCT($C$1634:$V$1634,($C$269:$V$269=D$1703)*1,($C$6:$V$6="Theorie")*1,$C$9:$V$9))</f>
        <v/>
      </c>
      <c r="E2163" s="64">
        <f>IF(E1953=0,"",SUMPRODUCT($C$1634:$V$1634,($C$269:$V$269=E$1703)*1,($C$6:$V$6="Theorie")*1,$C$9:$V$9,$C$59:$V$59)/SUMPRODUCT($C$1634:$V$1634,($C$269:$V$269=E$1703)*1,($C$6:$V$6="Theorie")*1,$C$9:$V$9))</f>
        <v/>
      </c>
      <c r="F2163" s="64">
        <f>IF(F1953=0,"",SUMPRODUCT($C$1634:$V$1634,($C$269:$V$269=F$1703)*1,($C$6:$V$6="Theorie")*1,$C$9:$V$9,$C$59:$V$59)/SUMPRODUCT($C$1634:$V$1634,($C$269:$V$269=F$1703)*1,($C$6:$V$6="Theorie")*1,$C$9:$V$9))</f>
        <v/>
      </c>
      <c r="G2163" s="64">
        <f>IF(G1953=0,"",SUMPRODUCT($C$1634:$V$1634,($C$269:$V$269=G$1703)*1,($C$6:$V$6="Theorie")*1,$C$9:$V$9,$C$59:$V$59)/SUMPRODUCT($C$1634:$V$1634,($C$269:$V$269=G$1703)*1,($C$6:$V$6="Theorie")*1,$C$9:$V$9))</f>
        <v/>
      </c>
      <c r="H2163" s="64">
        <f>IF(H1953=0,"",SUMPRODUCT($C$1634:$V$1634,($C$269:$V$269=H$1703)*1,($C$6:$V$6="Theorie")*1,$C$9:$V$9,$C$59:$V$59)/SUMPRODUCT($C$1634:$V$1634,($C$269:$V$269=H$1703)*1,($C$6:$V$6="Theorie")*1,$C$9:$V$9))</f>
        <v/>
      </c>
      <c r="I2163" s="64">
        <f>IF(I1953=0,"",SUMPRODUCT($C$1634:$V$1634,($C$269:$V$269=I$1703)*1,($C$6:$V$6="Theorie")*1,$C$9:$V$9,$C$59:$V$59)/SUMPRODUCT($C$1634:$V$1634,($C$269:$V$269=I$1703)*1,($C$6:$V$6="Theorie")*1,$C$9:$V$9))</f>
        <v/>
      </c>
      <c r="J2163" s="64">
        <f>IF(J1953=0,"",SUMPRODUCT($C$1634:$V$1634,($C$269:$V$269=J$1703)*1,($C$6:$V$6="Theorie")*1,$C$9:$V$9,$C$59:$V$59)/SUMPRODUCT($C$1634:$V$1634,($C$269:$V$269=J$1703)*1,($C$6:$V$6="Theorie")*1,$C$9:$V$9))</f>
        <v/>
      </c>
    </row>
    <row r="2164">
      <c r="C2164" s="64">
        <f>IF(C1954=0,"",SUMPRODUCT($C$1635:$V$1635,($C$270:$V$270=C$1703)*1,($C$6:$V$6="Theorie")*1,$C$9:$V$9,$C$60:$V$60)/SUMPRODUCT($C$1635:$V$1635,($C$270:$V$270=C$1703)*1,($C$6:$V$6="Theorie")*1,$C$9:$V$9))</f>
        <v/>
      </c>
      <c r="D2164" s="64">
        <f>IF(D1954=0,"",SUMPRODUCT($C$1635:$V$1635,($C$270:$V$270=D$1703)*1,($C$6:$V$6="Theorie")*1,$C$9:$V$9,$C$60:$V$60)/SUMPRODUCT($C$1635:$V$1635,($C$270:$V$270=D$1703)*1,($C$6:$V$6="Theorie")*1,$C$9:$V$9))</f>
        <v/>
      </c>
      <c r="E2164" s="64">
        <f>IF(E1954=0,"",SUMPRODUCT($C$1635:$V$1635,($C$270:$V$270=E$1703)*1,($C$6:$V$6="Theorie")*1,$C$9:$V$9,$C$60:$V$60)/SUMPRODUCT($C$1635:$V$1635,($C$270:$V$270=E$1703)*1,($C$6:$V$6="Theorie")*1,$C$9:$V$9))</f>
        <v/>
      </c>
      <c r="F2164" s="64">
        <f>IF(F1954=0,"",SUMPRODUCT($C$1635:$V$1635,($C$270:$V$270=F$1703)*1,($C$6:$V$6="Theorie")*1,$C$9:$V$9,$C$60:$V$60)/SUMPRODUCT($C$1635:$V$1635,($C$270:$V$270=F$1703)*1,($C$6:$V$6="Theorie")*1,$C$9:$V$9))</f>
        <v/>
      </c>
      <c r="G2164" s="64">
        <f>IF(G1954=0,"",SUMPRODUCT($C$1635:$V$1635,($C$270:$V$270=G$1703)*1,($C$6:$V$6="Theorie")*1,$C$9:$V$9,$C$60:$V$60)/SUMPRODUCT($C$1635:$V$1635,($C$270:$V$270=G$1703)*1,($C$6:$V$6="Theorie")*1,$C$9:$V$9))</f>
        <v/>
      </c>
      <c r="H2164" s="64">
        <f>IF(H1954=0,"",SUMPRODUCT($C$1635:$V$1635,($C$270:$V$270=H$1703)*1,($C$6:$V$6="Theorie")*1,$C$9:$V$9,$C$60:$V$60)/SUMPRODUCT($C$1635:$V$1635,($C$270:$V$270=H$1703)*1,($C$6:$V$6="Theorie")*1,$C$9:$V$9))</f>
        <v/>
      </c>
      <c r="I2164" s="64">
        <f>IF(I1954=0,"",SUMPRODUCT($C$1635:$V$1635,($C$270:$V$270=I$1703)*1,($C$6:$V$6="Theorie")*1,$C$9:$V$9,$C$60:$V$60)/SUMPRODUCT($C$1635:$V$1635,($C$270:$V$270=I$1703)*1,($C$6:$V$6="Theorie")*1,$C$9:$V$9))</f>
        <v/>
      </c>
      <c r="J2164" s="64">
        <f>IF(J1954=0,"",SUMPRODUCT($C$1635:$V$1635,($C$270:$V$270=J$1703)*1,($C$6:$V$6="Theorie")*1,$C$9:$V$9,$C$60:$V$60)/SUMPRODUCT($C$1635:$V$1635,($C$270:$V$270=J$1703)*1,($C$6:$V$6="Theorie")*1,$C$9:$V$9))</f>
        <v/>
      </c>
    </row>
    <row r="2165">
      <c r="C2165" s="64">
        <f>IF(C1955=0,"",SUMPRODUCT($C$1636:$V$1636,($C$271:$V$271=C$1703)*1,($C$6:$V$6="Theorie")*1,$C$9:$V$9,$C$61:$V$61)/SUMPRODUCT($C$1636:$V$1636,($C$271:$V$271=C$1703)*1,($C$6:$V$6="Theorie")*1,$C$9:$V$9))</f>
        <v/>
      </c>
      <c r="D2165" s="64">
        <f>IF(D1955=0,"",SUMPRODUCT($C$1636:$V$1636,($C$271:$V$271=D$1703)*1,($C$6:$V$6="Theorie")*1,$C$9:$V$9,$C$61:$V$61)/SUMPRODUCT($C$1636:$V$1636,($C$271:$V$271=D$1703)*1,($C$6:$V$6="Theorie")*1,$C$9:$V$9))</f>
        <v/>
      </c>
      <c r="E2165" s="64">
        <f>IF(E1955=0,"",SUMPRODUCT($C$1636:$V$1636,($C$271:$V$271=E$1703)*1,($C$6:$V$6="Theorie")*1,$C$9:$V$9,$C$61:$V$61)/SUMPRODUCT($C$1636:$V$1636,($C$271:$V$271=E$1703)*1,($C$6:$V$6="Theorie")*1,$C$9:$V$9))</f>
        <v/>
      </c>
      <c r="F2165" s="64">
        <f>IF(F1955=0,"",SUMPRODUCT($C$1636:$V$1636,($C$271:$V$271=F$1703)*1,($C$6:$V$6="Theorie")*1,$C$9:$V$9,$C$61:$V$61)/SUMPRODUCT($C$1636:$V$1636,($C$271:$V$271=F$1703)*1,($C$6:$V$6="Theorie")*1,$C$9:$V$9))</f>
        <v/>
      </c>
      <c r="G2165" s="64">
        <f>IF(G1955=0,"",SUMPRODUCT($C$1636:$V$1636,($C$271:$V$271=G$1703)*1,($C$6:$V$6="Theorie")*1,$C$9:$V$9,$C$61:$V$61)/SUMPRODUCT($C$1636:$V$1636,($C$271:$V$271=G$1703)*1,($C$6:$V$6="Theorie")*1,$C$9:$V$9))</f>
        <v/>
      </c>
      <c r="H2165" s="64">
        <f>IF(H1955=0,"",SUMPRODUCT($C$1636:$V$1636,($C$271:$V$271=H$1703)*1,($C$6:$V$6="Theorie")*1,$C$9:$V$9,$C$61:$V$61)/SUMPRODUCT($C$1636:$V$1636,($C$271:$V$271=H$1703)*1,($C$6:$V$6="Theorie")*1,$C$9:$V$9))</f>
        <v/>
      </c>
      <c r="I2165" s="64">
        <f>IF(I1955=0,"",SUMPRODUCT($C$1636:$V$1636,($C$271:$V$271=I$1703)*1,($C$6:$V$6="Theorie")*1,$C$9:$V$9,$C$61:$V$61)/SUMPRODUCT($C$1636:$V$1636,($C$271:$V$271=I$1703)*1,($C$6:$V$6="Theorie")*1,$C$9:$V$9))</f>
        <v/>
      </c>
      <c r="J2165" s="64">
        <f>IF(J1955=0,"",SUMPRODUCT($C$1636:$V$1636,($C$271:$V$271=J$1703)*1,($C$6:$V$6="Theorie")*1,$C$9:$V$9,$C$61:$V$61)/SUMPRODUCT($C$1636:$V$1636,($C$271:$V$271=J$1703)*1,($C$6:$V$6="Theorie")*1,$C$9:$V$9))</f>
        <v/>
      </c>
    </row>
    <row r="2166">
      <c r="C2166" s="64">
        <f>IF(C1956=0,"",SUMPRODUCT($C$1637:$V$1637,($C$272:$V$272=C$1703)*1,($C$6:$V$6="Theorie")*1,$C$9:$V$9,$C$62:$V$62)/SUMPRODUCT($C$1637:$V$1637,($C$272:$V$272=C$1703)*1,($C$6:$V$6="Theorie")*1,$C$9:$V$9))</f>
        <v/>
      </c>
      <c r="D2166" s="64">
        <f>IF(D1956=0,"",SUMPRODUCT($C$1637:$V$1637,($C$272:$V$272=D$1703)*1,($C$6:$V$6="Theorie")*1,$C$9:$V$9,$C$62:$V$62)/SUMPRODUCT($C$1637:$V$1637,($C$272:$V$272=D$1703)*1,($C$6:$V$6="Theorie")*1,$C$9:$V$9))</f>
        <v/>
      </c>
      <c r="E2166" s="64">
        <f>IF(E1956=0,"",SUMPRODUCT($C$1637:$V$1637,($C$272:$V$272=E$1703)*1,($C$6:$V$6="Theorie")*1,$C$9:$V$9,$C$62:$V$62)/SUMPRODUCT($C$1637:$V$1637,($C$272:$V$272=E$1703)*1,($C$6:$V$6="Theorie")*1,$C$9:$V$9))</f>
        <v/>
      </c>
      <c r="F2166" s="64">
        <f>IF(F1956=0,"",SUMPRODUCT($C$1637:$V$1637,($C$272:$V$272=F$1703)*1,($C$6:$V$6="Theorie")*1,$C$9:$V$9,$C$62:$V$62)/SUMPRODUCT($C$1637:$V$1637,($C$272:$V$272=F$1703)*1,($C$6:$V$6="Theorie")*1,$C$9:$V$9))</f>
        <v/>
      </c>
      <c r="G2166" s="64">
        <f>IF(G1956=0,"",SUMPRODUCT($C$1637:$V$1637,($C$272:$V$272=G$1703)*1,($C$6:$V$6="Theorie")*1,$C$9:$V$9,$C$62:$V$62)/SUMPRODUCT($C$1637:$V$1637,($C$272:$V$272=G$1703)*1,($C$6:$V$6="Theorie")*1,$C$9:$V$9))</f>
        <v/>
      </c>
      <c r="H2166" s="64">
        <f>IF(H1956=0,"",SUMPRODUCT($C$1637:$V$1637,($C$272:$V$272=H$1703)*1,($C$6:$V$6="Theorie")*1,$C$9:$V$9,$C$62:$V$62)/SUMPRODUCT($C$1637:$V$1637,($C$272:$V$272=H$1703)*1,($C$6:$V$6="Theorie")*1,$C$9:$V$9))</f>
        <v/>
      </c>
      <c r="I2166" s="64">
        <f>IF(I1956=0,"",SUMPRODUCT($C$1637:$V$1637,($C$272:$V$272=I$1703)*1,($C$6:$V$6="Theorie")*1,$C$9:$V$9,$C$62:$V$62)/SUMPRODUCT($C$1637:$V$1637,($C$272:$V$272=I$1703)*1,($C$6:$V$6="Theorie")*1,$C$9:$V$9))</f>
        <v/>
      </c>
      <c r="J2166" s="64">
        <f>IF(J1956=0,"",SUMPRODUCT($C$1637:$V$1637,($C$272:$V$272=J$1703)*1,($C$6:$V$6="Theorie")*1,$C$9:$V$9,$C$62:$V$62)/SUMPRODUCT($C$1637:$V$1637,($C$272:$V$272=J$1703)*1,($C$6:$V$6="Theorie")*1,$C$9:$V$9))</f>
        <v/>
      </c>
    </row>
    <row r="2167">
      <c r="C2167" s="64">
        <f>IF(C1957=0,"",SUMPRODUCT($C$1638:$V$1638,($C$273:$V$273=C$1703)*1,($C$6:$V$6="Theorie")*1,$C$9:$V$9,$C$63:$V$63)/SUMPRODUCT($C$1638:$V$1638,($C$273:$V$273=C$1703)*1,($C$6:$V$6="Theorie")*1,$C$9:$V$9))</f>
        <v/>
      </c>
      <c r="D2167" s="64">
        <f>IF(D1957=0,"",SUMPRODUCT($C$1638:$V$1638,($C$273:$V$273=D$1703)*1,($C$6:$V$6="Theorie")*1,$C$9:$V$9,$C$63:$V$63)/SUMPRODUCT($C$1638:$V$1638,($C$273:$V$273=D$1703)*1,($C$6:$V$6="Theorie")*1,$C$9:$V$9))</f>
        <v/>
      </c>
      <c r="E2167" s="64">
        <f>IF(E1957=0,"",SUMPRODUCT($C$1638:$V$1638,($C$273:$V$273=E$1703)*1,($C$6:$V$6="Theorie")*1,$C$9:$V$9,$C$63:$V$63)/SUMPRODUCT($C$1638:$V$1638,($C$273:$V$273=E$1703)*1,($C$6:$V$6="Theorie")*1,$C$9:$V$9))</f>
        <v/>
      </c>
      <c r="F2167" s="64">
        <f>IF(F1957=0,"",SUMPRODUCT($C$1638:$V$1638,($C$273:$V$273=F$1703)*1,($C$6:$V$6="Theorie")*1,$C$9:$V$9,$C$63:$V$63)/SUMPRODUCT($C$1638:$V$1638,($C$273:$V$273=F$1703)*1,($C$6:$V$6="Theorie")*1,$C$9:$V$9))</f>
        <v/>
      </c>
      <c r="G2167" s="64">
        <f>IF(G1957=0,"",SUMPRODUCT($C$1638:$V$1638,($C$273:$V$273=G$1703)*1,($C$6:$V$6="Theorie")*1,$C$9:$V$9,$C$63:$V$63)/SUMPRODUCT($C$1638:$V$1638,($C$273:$V$273=G$1703)*1,($C$6:$V$6="Theorie")*1,$C$9:$V$9))</f>
        <v/>
      </c>
      <c r="H2167" s="64">
        <f>IF(H1957=0,"",SUMPRODUCT($C$1638:$V$1638,($C$273:$V$273=H$1703)*1,($C$6:$V$6="Theorie")*1,$C$9:$V$9,$C$63:$V$63)/SUMPRODUCT($C$1638:$V$1638,($C$273:$V$273=H$1703)*1,($C$6:$V$6="Theorie")*1,$C$9:$V$9))</f>
        <v/>
      </c>
      <c r="I2167" s="64">
        <f>IF(I1957=0,"",SUMPRODUCT($C$1638:$V$1638,($C$273:$V$273=I$1703)*1,($C$6:$V$6="Theorie")*1,$C$9:$V$9,$C$63:$V$63)/SUMPRODUCT($C$1638:$V$1638,($C$273:$V$273=I$1703)*1,($C$6:$V$6="Theorie")*1,$C$9:$V$9))</f>
        <v/>
      </c>
      <c r="J2167" s="64">
        <f>IF(J1957=0,"",SUMPRODUCT($C$1638:$V$1638,($C$273:$V$273=J$1703)*1,($C$6:$V$6="Theorie")*1,$C$9:$V$9,$C$63:$V$63)/SUMPRODUCT($C$1638:$V$1638,($C$273:$V$273=J$1703)*1,($C$6:$V$6="Theorie")*1,$C$9:$V$9))</f>
        <v/>
      </c>
    </row>
    <row r="2168">
      <c r="C2168" s="64">
        <f>IF(C1958=0,"",SUMPRODUCT($C$1639:$V$1639,($C$274:$V$274=C$1703)*1,($C$6:$V$6="Theorie")*1,$C$9:$V$9,$C$64:$V$64)/SUMPRODUCT($C$1639:$V$1639,($C$274:$V$274=C$1703)*1,($C$6:$V$6="Theorie")*1,$C$9:$V$9))</f>
        <v/>
      </c>
      <c r="D2168" s="64">
        <f>IF(D1958=0,"",SUMPRODUCT($C$1639:$V$1639,($C$274:$V$274=D$1703)*1,($C$6:$V$6="Theorie")*1,$C$9:$V$9,$C$64:$V$64)/SUMPRODUCT($C$1639:$V$1639,($C$274:$V$274=D$1703)*1,($C$6:$V$6="Theorie")*1,$C$9:$V$9))</f>
        <v/>
      </c>
      <c r="E2168" s="64">
        <f>IF(E1958=0,"",SUMPRODUCT($C$1639:$V$1639,($C$274:$V$274=E$1703)*1,($C$6:$V$6="Theorie")*1,$C$9:$V$9,$C$64:$V$64)/SUMPRODUCT($C$1639:$V$1639,($C$274:$V$274=E$1703)*1,($C$6:$V$6="Theorie")*1,$C$9:$V$9))</f>
        <v/>
      </c>
      <c r="F2168" s="64">
        <f>IF(F1958=0,"",SUMPRODUCT($C$1639:$V$1639,($C$274:$V$274=F$1703)*1,($C$6:$V$6="Theorie")*1,$C$9:$V$9,$C$64:$V$64)/SUMPRODUCT($C$1639:$V$1639,($C$274:$V$274=F$1703)*1,($C$6:$V$6="Theorie")*1,$C$9:$V$9))</f>
        <v/>
      </c>
      <c r="G2168" s="64">
        <f>IF(G1958=0,"",SUMPRODUCT($C$1639:$V$1639,($C$274:$V$274=G$1703)*1,($C$6:$V$6="Theorie")*1,$C$9:$V$9,$C$64:$V$64)/SUMPRODUCT($C$1639:$V$1639,($C$274:$V$274=G$1703)*1,($C$6:$V$6="Theorie")*1,$C$9:$V$9))</f>
        <v/>
      </c>
      <c r="H2168" s="64">
        <f>IF(H1958=0,"",SUMPRODUCT($C$1639:$V$1639,($C$274:$V$274=H$1703)*1,($C$6:$V$6="Theorie")*1,$C$9:$V$9,$C$64:$V$64)/SUMPRODUCT($C$1639:$V$1639,($C$274:$V$274=H$1703)*1,($C$6:$V$6="Theorie")*1,$C$9:$V$9))</f>
        <v/>
      </c>
      <c r="I2168" s="64">
        <f>IF(I1958=0,"",SUMPRODUCT($C$1639:$V$1639,($C$274:$V$274=I$1703)*1,($C$6:$V$6="Theorie")*1,$C$9:$V$9,$C$64:$V$64)/SUMPRODUCT($C$1639:$V$1639,($C$274:$V$274=I$1703)*1,($C$6:$V$6="Theorie")*1,$C$9:$V$9))</f>
        <v/>
      </c>
      <c r="J2168" s="64">
        <f>IF(J1958=0,"",SUMPRODUCT($C$1639:$V$1639,($C$274:$V$274=J$1703)*1,($C$6:$V$6="Theorie")*1,$C$9:$V$9,$C$64:$V$64)/SUMPRODUCT($C$1639:$V$1639,($C$274:$V$274=J$1703)*1,($C$6:$V$6="Theorie")*1,$C$9:$V$9))</f>
        <v/>
      </c>
    </row>
    <row r="2169">
      <c r="C2169" s="64">
        <f>IF(C1959=0,"",SUMPRODUCT($C$1640:$V$1640,($C$275:$V$275=C$1703)*1,($C$6:$V$6="Theorie")*1,$C$9:$V$9,$C$65:$V$65)/SUMPRODUCT($C$1640:$V$1640,($C$275:$V$275=C$1703)*1,($C$6:$V$6="Theorie")*1,$C$9:$V$9))</f>
        <v/>
      </c>
      <c r="D2169" s="64">
        <f>IF(D1959=0,"",SUMPRODUCT($C$1640:$V$1640,($C$275:$V$275=D$1703)*1,($C$6:$V$6="Theorie")*1,$C$9:$V$9,$C$65:$V$65)/SUMPRODUCT($C$1640:$V$1640,($C$275:$V$275=D$1703)*1,($C$6:$V$6="Theorie")*1,$C$9:$V$9))</f>
        <v/>
      </c>
      <c r="E2169" s="64">
        <f>IF(E1959=0,"",SUMPRODUCT($C$1640:$V$1640,($C$275:$V$275=E$1703)*1,($C$6:$V$6="Theorie")*1,$C$9:$V$9,$C$65:$V$65)/SUMPRODUCT($C$1640:$V$1640,($C$275:$V$275=E$1703)*1,($C$6:$V$6="Theorie")*1,$C$9:$V$9))</f>
        <v/>
      </c>
      <c r="F2169" s="64">
        <f>IF(F1959=0,"",SUMPRODUCT($C$1640:$V$1640,($C$275:$V$275=F$1703)*1,($C$6:$V$6="Theorie")*1,$C$9:$V$9,$C$65:$V$65)/SUMPRODUCT($C$1640:$V$1640,($C$275:$V$275=F$1703)*1,($C$6:$V$6="Theorie")*1,$C$9:$V$9))</f>
        <v/>
      </c>
      <c r="G2169" s="64">
        <f>IF(G1959=0,"",SUMPRODUCT($C$1640:$V$1640,($C$275:$V$275=G$1703)*1,($C$6:$V$6="Theorie")*1,$C$9:$V$9,$C$65:$V$65)/SUMPRODUCT($C$1640:$V$1640,($C$275:$V$275=G$1703)*1,($C$6:$V$6="Theorie")*1,$C$9:$V$9))</f>
        <v/>
      </c>
      <c r="H2169" s="64">
        <f>IF(H1959=0,"",SUMPRODUCT($C$1640:$V$1640,($C$275:$V$275=H$1703)*1,($C$6:$V$6="Theorie")*1,$C$9:$V$9,$C$65:$V$65)/SUMPRODUCT($C$1640:$V$1640,($C$275:$V$275=H$1703)*1,($C$6:$V$6="Theorie")*1,$C$9:$V$9))</f>
        <v/>
      </c>
      <c r="I2169" s="64">
        <f>IF(I1959=0,"",SUMPRODUCT($C$1640:$V$1640,($C$275:$V$275=I$1703)*1,($C$6:$V$6="Theorie")*1,$C$9:$V$9,$C$65:$V$65)/SUMPRODUCT($C$1640:$V$1640,($C$275:$V$275=I$1703)*1,($C$6:$V$6="Theorie")*1,$C$9:$V$9))</f>
        <v/>
      </c>
      <c r="J2169" s="64">
        <f>IF(J1959=0,"",SUMPRODUCT($C$1640:$V$1640,($C$275:$V$275=J$1703)*1,($C$6:$V$6="Theorie")*1,$C$9:$V$9,$C$65:$V$65)/SUMPRODUCT($C$1640:$V$1640,($C$275:$V$275=J$1703)*1,($C$6:$V$6="Theorie")*1,$C$9:$V$9))</f>
        <v/>
      </c>
    </row>
    <row r="2170">
      <c r="C2170" s="64">
        <f>IF(C1960=0,"",SUMPRODUCT($C$1641:$V$1641,($C$276:$V$276=C$1703)*1,($C$6:$V$6="Theorie")*1,$C$9:$V$9,$C$66:$V$66)/SUMPRODUCT($C$1641:$V$1641,($C$276:$V$276=C$1703)*1,($C$6:$V$6="Theorie")*1,$C$9:$V$9))</f>
        <v/>
      </c>
      <c r="D2170" s="64">
        <f>IF(D1960=0,"",SUMPRODUCT($C$1641:$V$1641,($C$276:$V$276=D$1703)*1,($C$6:$V$6="Theorie")*1,$C$9:$V$9,$C$66:$V$66)/SUMPRODUCT($C$1641:$V$1641,($C$276:$V$276=D$1703)*1,($C$6:$V$6="Theorie")*1,$C$9:$V$9))</f>
        <v/>
      </c>
      <c r="E2170" s="64">
        <f>IF(E1960=0,"",SUMPRODUCT($C$1641:$V$1641,($C$276:$V$276=E$1703)*1,($C$6:$V$6="Theorie")*1,$C$9:$V$9,$C$66:$V$66)/SUMPRODUCT($C$1641:$V$1641,($C$276:$V$276=E$1703)*1,($C$6:$V$6="Theorie")*1,$C$9:$V$9))</f>
        <v/>
      </c>
      <c r="F2170" s="64">
        <f>IF(F1960=0,"",SUMPRODUCT($C$1641:$V$1641,($C$276:$V$276=F$1703)*1,($C$6:$V$6="Theorie")*1,$C$9:$V$9,$C$66:$V$66)/SUMPRODUCT($C$1641:$V$1641,($C$276:$V$276=F$1703)*1,($C$6:$V$6="Theorie")*1,$C$9:$V$9))</f>
        <v/>
      </c>
      <c r="G2170" s="64">
        <f>IF(G1960=0,"",SUMPRODUCT($C$1641:$V$1641,($C$276:$V$276=G$1703)*1,($C$6:$V$6="Theorie")*1,$C$9:$V$9,$C$66:$V$66)/SUMPRODUCT($C$1641:$V$1641,($C$276:$V$276=G$1703)*1,($C$6:$V$6="Theorie")*1,$C$9:$V$9))</f>
        <v/>
      </c>
      <c r="H2170" s="64">
        <f>IF(H1960=0,"",SUMPRODUCT($C$1641:$V$1641,($C$276:$V$276=H$1703)*1,($C$6:$V$6="Theorie")*1,$C$9:$V$9,$C$66:$V$66)/SUMPRODUCT($C$1641:$V$1641,($C$276:$V$276=H$1703)*1,($C$6:$V$6="Theorie")*1,$C$9:$V$9))</f>
        <v/>
      </c>
      <c r="I2170" s="64">
        <f>IF(I1960=0,"",SUMPRODUCT($C$1641:$V$1641,($C$276:$V$276=I$1703)*1,($C$6:$V$6="Theorie")*1,$C$9:$V$9,$C$66:$V$66)/SUMPRODUCT($C$1641:$V$1641,($C$276:$V$276=I$1703)*1,($C$6:$V$6="Theorie")*1,$C$9:$V$9))</f>
        <v/>
      </c>
      <c r="J2170" s="64">
        <f>IF(J1960=0,"",SUMPRODUCT($C$1641:$V$1641,($C$276:$V$276=J$1703)*1,($C$6:$V$6="Theorie")*1,$C$9:$V$9,$C$66:$V$66)/SUMPRODUCT($C$1641:$V$1641,($C$276:$V$276=J$1703)*1,($C$6:$V$6="Theorie")*1,$C$9:$V$9))</f>
        <v/>
      </c>
    </row>
    <row r="2171">
      <c r="C2171" s="64">
        <f>IF(C1961=0,"",SUMPRODUCT($C$1642:$V$1642,($C$277:$V$277=C$1703)*1,($C$6:$V$6="Theorie")*1,$C$9:$V$9,$C$67:$V$67)/SUMPRODUCT($C$1642:$V$1642,($C$277:$V$277=C$1703)*1,($C$6:$V$6="Theorie")*1,$C$9:$V$9))</f>
        <v/>
      </c>
      <c r="D2171" s="64">
        <f>IF(D1961=0,"",SUMPRODUCT($C$1642:$V$1642,($C$277:$V$277=D$1703)*1,($C$6:$V$6="Theorie")*1,$C$9:$V$9,$C$67:$V$67)/SUMPRODUCT($C$1642:$V$1642,($C$277:$V$277=D$1703)*1,($C$6:$V$6="Theorie")*1,$C$9:$V$9))</f>
        <v/>
      </c>
      <c r="E2171" s="64">
        <f>IF(E1961=0,"",SUMPRODUCT($C$1642:$V$1642,($C$277:$V$277=E$1703)*1,($C$6:$V$6="Theorie")*1,$C$9:$V$9,$C$67:$V$67)/SUMPRODUCT($C$1642:$V$1642,($C$277:$V$277=E$1703)*1,($C$6:$V$6="Theorie")*1,$C$9:$V$9))</f>
        <v/>
      </c>
      <c r="F2171" s="64">
        <f>IF(F1961=0,"",SUMPRODUCT($C$1642:$V$1642,($C$277:$V$277=F$1703)*1,($C$6:$V$6="Theorie")*1,$C$9:$V$9,$C$67:$V$67)/SUMPRODUCT($C$1642:$V$1642,($C$277:$V$277=F$1703)*1,($C$6:$V$6="Theorie")*1,$C$9:$V$9))</f>
        <v/>
      </c>
      <c r="G2171" s="64">
        <f>IF(G1961=0,"",SUMPRODUCT($C$1642:$V$1642,($C$277:$V$277=G$1703)*1,($C$6:$V$6="Theorie")*1,$C$9:$V$9,$C$67:$V$67)/SUMPRODUCT($C$1642:$V$1642,($C$277:$V$277=G$1703)*1,($C$6:$V$6="Theorie")*1,$C$9:$V$9))</f>
        <v/>
      </c>
      <c r="H2171" s="64">
        <f>IF(H1961=0,"",SUMPRODUCT($C$1642:$V$1642,($C$277:$V$277=H$1703)*1,($C$6:$V$6="Theorie")*1,$C$9:$V$9,$C$67:$V$67)/SUMPRODUCT($C$1642:$V$1642,($C$277:$V$277=H$1703)*1,($C$6:$V$6="Theorie")*1,$C$9:$V$9))</f>
        <v/>
      </c>
      <c r="I2171" s="64">
        <f>IF(I1961=0,"",SUMPRODUCT($C$1642:$V$1642,($C$277:$V$277=I$1703)*1,($C$6:$V$6="Theorie")*1,$C$9:$V$9,$C$67:$V$67)/SUMPRODUCT($C$1642:$V$1642,($C$277:$V$277=I$1703)*1,($C$6:$V$6="Theorie")*1,$C$9:$V$9))</f>
        <v/>
      </c>
      <c r="J2171" s="64">
        <f>IF(J1961=0,"",SUMPRODUCT($C$1642:$V$1642,($C$277:$V$277=J$1703)*1,($C$6:$V$6="Theorie")*1,$C$9:$V$9,$C$67:$V$67)/SUMPRODUCT($C$1642:$V$1642,($C$277:$V$277=J$1703)*1,($C$6:$V$6="Theorie")*1,$C$9:$V$9))</f>
        <v/>
      </c>
    </row>
    <row r="2172">
      <c r="C2172" s="64">
        <f>IF(C1962=0,"",SUMPRODUCT($C$1643:$V$1643,($C$278:$V$278=C$1703)*1,($C$6:$V$6="Theorie")*1,$C$9:$V$9,$C$68:$V$68)/SUMPRODUCT($C$1643:$V$1643,($C$278:$V$278=C$1703)*1,($C$6:$V$6="Theorie")*1,$C$9:$V$9))</f>
        <v/>
      </c>
      <c r="D2172" s="64">
        <f>IF(D1962=0,"",SUMPRODUCT($C$1643:$V$1643,($C$278:$V$278=D$1703)*1,($C$6:$V$6="Theorie")*1,$C$9:$V$9,$C$68:$V$68)/SUMPRODUCT($C$1643:$V$1643,($C$278:$V$278=D$1703)*1,($C$6:$V$6="Theorie")*1,$C$9:$V$9))</f>
        <v/>
      </c>
      <c r="E2172" s="64">
        <f>IF(E1962=0,"",SUMPRODUCT($C$1643:$V$1643,($C$278:$V$278=E$1703)*1,($C$6:$V$6="Theorie")*1,$C$9:$V$9,$C$68:$V$68)/SUMPRODUCT($C$1643:$V$1643,($C$278:$V$278=E$1703)*1,($C$6:$V$6="Theorie")*1,$C$9:$V$9))</f>
        <v/>
      </c>
      <c r="F2172" s="64">
        <f>IF(F1962=0,"",SUMPRODUCT($C$1643:$V$1643,($C$278:$V$278=F$1703)*1,($C$6:$V$6="Theorie")*1,$C$9:$V$9,$C$68:$V$68)/SUMPRODUCT($C$1643:$V$1643,($C$278:$V$278=F$1703)*1,($C$6:$V$6="Theorie")*1,$C$9:$V$9))</f>
        <v/>
      </c>
      <c r="G2172" s="64">
        <f>IF(G1962=0,"",SUMPRODUCT($C$1643:$V$1643,($C$278:$V$278=G$1703)*1,($C$6:$V$6="Theorie")*1,$C$9:$V$9,$C$68:$V$68)/SUMPRODUCT($C$1643:$V$1643,($C$278:$V$278=G$1703)*1,($C$6:$V$6="Theorie")*1,$C$9:$V$9))</f>
        <v/>
      </c>
      <c r="H2172" s="64">
        <f>IF(H1962=0,"",SUMPRODUCT($C$1643:$V$1643,($C$278:$V$278=H$1703)*1,($C$6:$V$6="Theorie")*1,$C$9:$V$9,$C$68:$V$68)/SUMPRODUCT($C$1643:$V$1643,($C$278:$V$278=H$1703)*1,($C$6:$V$6="Theorie")*1,$C$9:$V$9))</f>
        <v/>
      </c>
      <c r="I2172" s="64">
        <f>IF(I1962=0,"",SUMPRODUCT($C$1643:$V$1643,($C$278:$V$278=I$1703)*1,($C$6:$V$6="Theorie")*1,$C$9:$V$9,$C$68:$V$68)/SUMPRODUCT($C$1643:$V$1643,($C$278:$V$278=I$1703)*1,($C$6:$V$6="Theorie")*1,$C$9:$V$9))</f>
        <v/>
      </c>
      <c r="J2172" s="64">
        <f>IF(J1962=0,"",SUMPRODUCT($C$1643:$V$1643,($C$278:$V$278=J$1703)*1,($C$6:$V$6="Theorie")*1,$C$9:$V$9,$C$68:$V$68)/SUMPRODUCT($C$1643:$V$1643,($C$278:$V$278=J$1703)*1,($C$6:$V$6="Theorie")*1,$C$9:$V$9))</f>
        <v/>
      </c>
    </row>
    <row r="2173">
      <c r="C2173" s="64">
        <f>IF(C1963=0,"",SUMPRODUCT($C$1644:$V$1644,($C$279:$V$279=C$1703)*1,($C$6:$V$6="Theorie")*1,$C$9:$V$9,$C$69:$V$69)/SUMPRODUCT($C$1644:$V$1644,($C$279:$V$279=C$1703)*1,($C$6:$V$6="Theorie")*1,$C$9:$V$9))</f>
        <v/>
      </c>
      <c r="D2173" s="64">
        <f>IF(D1963=0,"",SUMPRODUCT($C$1644:$V$1644,($C$279:$V$279=D$1703)*1,($C$6:$V$6="Theorie")*1,$C$9:$V$9,$C$69:$V$69)/SUMPRODUCT($C$1644:$V$1644,($C$279:$V$279=D$1703)*1,($C$6:$V$6="Theorie")*1,$C$9:$V$9))</f>
        <v/>
      </c>
      <c r="E2173" s="64">
        <f>IF(E1963=0,"",SUMPRODUCT($C$1644:$V$1644,($C$279:$V$279=E$1703)*1,($C$6:$V$6="Theorie")*1,$C$9:$V$9,$C$69:$V$69)/SUMPRODUCT($C$1644:$V$1644,($C$279:$V$279=E$1703)*1,($C$6:$V$6="Theorie")*1,$C$9:$V$9))</f>
        <v/>
      </c>
      <c r="F2173" s="64">
        <f>IF(F1963=0,"",SUMPRODUCT($C$1644:$V$1644,($C$279:$V$279=F$1703)*1,($C$6:$V$6="Theorie")*1,$C$9:$V$9,$C$69:$V$69)/SUMPRODUCT($C$1644:$V$1644,($C$279:$V$279=F$1703)*1,($C$6:$V$6="Theorie")*1,$C$9:$V$9))</f>
        <v/>
      </c>
      <c r="G2173" s="64">
        <f>IF(G1963=0,"",SUMPRODUCT($C$1644:$V$1644,($C$279:$V$279=G$1703)*1,($C$6:$V$6="Theorie")*1,$C$9:$V$9,$C$69:$V$69)/SUMPRODUCT($C$1644:$V$1644,($C$279:$V$279=G$1703)*1,($C$6:$V$6="Theorie")*1,$C$9:$V$9))</f>
        <v/>
      </c>
      <c r="H2173" s="64">
        <f>IF(H1963=0,"",SUMPRODUCT($C$1644:$V$1644,($C$279:$V$279=H$1703)*1,($C$6:$V$6="Theorie")*1,$C$9:$V$9,$C$69:$V$69)/SUMPRODUCT($C$1644:$V$1644,($C$279:$V$279=H$1703)*1,($C$6:$V$6="Theorie")*1,$C$9:$V$9))</f>
        <v/>
      </c>
      <c r="I2173" s="64">
        <f>IF(I1963=0,"",SUMPRODUCT($C$1644:$V$1644,($C$279:$V$279=I$1703)*1,($C$6:$V$6="Theorie")*1,$C$9:$V$9,$C$69:$V$69)/SUMPRODUCT($C$1644:$V$1644,($C$279:$V$279=I$1703)*1,($C$6:$V$6="Theorie")*1,$C$9:$V$9))</f>
        <v/>
      </c>
      <c r="J2173" s="64">
        <f>IF(J1963=0,"",SUMPRODUCT($C$1644:$V$1644,($C$279:$V$279=J$1703)*1,($C$6:$V$6="Theorie")*1,$C$9:$V$9,$C$69:$V$69)/SUMPRODUCT($C$1644:$V$1644,($C$279:$V$279=J$1703)*1,($C$6:$V$6="Theorie")*1,$C$9:$V$9))</f>
        <v/>
      </c>
    </row>
    <row r="2174">
      <c r="C2174" s="64">
        <f>IF(C1964=0,"",SUMPRODUCT($C$1645:$V$1645,($C$280:$V$280=C$1703)*1,($C$6:$V$6="Theorie")*1,$C$9:$V$9,$C$70:$V$70)/SUMPRODUCT($C$1645:$V$1645,($C$280:$V$280=C$1703)*1,($C$6:$V$6="Theorie")*1,$C$9:$V$9))</f>
        <v/>
      </c>
      <c r="D2174" s="64">
        <f>IF(D1964=0,"",SUMPRODUCT($C$1645:$V$1645,($C$280:$V$280=D$1703)*1,($C$6:$V$6="Theorie")*1,$C$9:$V$9,$C$70:$V$70)/SUMPRODUCT($C$1645:$V$1645,($C$280:$V$280=D$1703)*1,($C$6:$V$6="Theorie")*1,$C$9:$V$9))</f>
        <v/>
      </c>
      <c r="E2174" s="64">
        <f>IF(E1964=0,"",SUMPRODUCT($C$1645:$V$1645,($C$280:$V$280=E$1703)*1,($C$6:$V$6="Theorie")*1,$C$9:$V$9,$C$70:$V$70)/SUMPRODUCT($C$1645:$V$1645,($C$280:$V$280=E$1703)*1,($C$6:$V$6="Theorie")*1,$C$9:$V$9))</f>
        <v/>
      </c>
      <c r="F2174" s="64">
        <f>IF(F1964=0,"",SUMPRODUCT($C$1645:$V$1645,($C$280:$V$280=F$1703)*1,($C$6:$V$6="Theorie")*1,$C$9:$V$9,$C$70:$V$70)/SUMPRODUCT($C$1645:$V$1645,($C$280:$V$280=F$1703)*1,($C$6:$V$6="Theorie")*1,$C$9:$V$9))</f>
        <v/>
      </c>
      <c r="G2174" s="64">
        <f>IF(G1964=0,"",SUMPRODUCT($C$1645:$V$1645,($C$280:$V$280=G$1703)*1,($C$6:$V$6="Theorie")*1,$C$9:$V$9,$C$70:$V$70)/SUMPRODUCT($C$1645:$V$1645,($C$280:$V$280=G$1703)*1,($C$6:$V$6="Theorie")*1,$C$9:$V$9))</f>
        <v/>
      </c>
      <c r="H2174" s="64">
        <f>IF(H1964=0,"",SUMPRODUCT($C$1645:$V$1645,($C$280:$V$280=H$1703)*1,($C$6:$V$6="Theorie")*1,$C$9:$V$9,$C$70:$V$70)/SUMPRODUCT($C$1645:$V$1645,($C$280:$V$280=H$1703)*1,($C$6:$V$6="Theorie")*1,$C$9:$V$9))</f>
        <v/>
      </c>
      <c r="I2174" s="64">
        <f>IF(I1964=0,"",SUMPRODUCT($C$1645:$V$1645,($C$280:$V$280=I$1703)*1,($C$6:$V$6="Theorie")*1,$C$9:$V$9,$C$70:$V$70)/SUMPRODUCT($C$1645:$V$1645,($C$280:$V$280=I$1703)*1,($C$6:$V$6="Theorie")*1,$C$9:$V$9))</f>
        <v/>
      </c>
      <c r="J2174" s="64">
        <f>IF(J1964=0,"",SUMPRODUCT($C$1645:$V$1645,($C$280:$V$280=J$1703)*1,($C$6:$V$6="Theorie")*1,$C$9:$V$9,$C$70:$V$70)/SUMPRODUCT($C$1645:$V$1645,($C$280:$V$280=J$1703)*1,($C$6:$V$6="Theorie")*1,$C$9:$V$9))</f>
        <v/>
      </c>
    </row>
    <row r="2175">
      <c r="C2175" s="64">
        <f>IF(C1965=0,"",SUMPRODUCT($C$1646:$V$1646,($C$281:$V$281=C$1703)*1,($C$6:$V$6="Theorie")*1,$C$9:$V$9,$C$71:$V$71)/SUMPRODUCT($C$1646:$V$1646,($C$281:$V$281=C$1703)*1,($C$6:$V$6="Theorie")*1,$C$9:$V$9))</f>
        <v/>
      </c>
      <c r="D2175" s="64">
        <f>IF(D1965=0,"",SUMPRODUCT($C$1646:$V$1646,($C$281:$V$281=D$1703)*1,($C$6:$V$6="Theorie")*1,$C$9:$V$9,$C$71:$V$71)/SUMPRODUCT($C$1646:$V$1646,($C$281:$V$281=D$1703)*1,($C$6:$V$6="Theorie")*1,$C$9:$V$9))</f>
        <v/>
      </c>
      <c r="E2175" s="64">
        <f>IF(E1965=0,"",SUMPRODUCT($C$1646:$V$1646,($C$281:$V$281=E$1703)*1,($C$6:$V$6="Theorie")*1,$C$9:$V$9,$C$71:$V$71)/SUMPRODUCT($C$1646:$V$1646,($C$281:$V$281=E$1703)*1,($C$6:$V$6="Theorie")*1,$C$9:$V$9))</f>
        <v/>
      </c>
      <c r="F2175" s="64">
        <f>IF(F1965=0,"",SUMPRODUCT($C$1646:$V$1646,($C$281:$V$281=F$1703)*1,($C$6:$V$6="Theorie")*1,$C$9:$V$9,$C$71:$V$71)/SUMPRODUCT($C$1646:$V$1646,($C$281:$V$281=F$1703)*1,($C$6:$V$6="Theorie")*1,$C$9:$V$9))</f>
        <v/>
      </c>
      <c r="G2175" s="64">
        <f>IF(G1965=0,"",SUMPRODUCT($C$1646:$V$1646,($C$281:$V$281=G$1703)*1,($C$6:$V$6="Theorie")*1,$C$9:$V$9,$C$71:$V$71)/SUMPRODUCT($C$1646:$V$1646,($C$281:$V$281=G$1703)*1,($C$6:$V$6="Theorie")*1,$C$9:$V$9))</f>
        <v/>
      </c>
      <c r="H2175" s="64">
        <f>IF(H1965=0,"",SUMPRODUCT($C$1646:$V$1646,($C$281:$V$281=H$1703)*1,($C$6:$V$6="Theorie")*1,$C$9:$V$9,$C$71:$V$71)/SUMPRODUCT($C$1646:$V$1646,($C$281:$V$281=H$1703)*1,($C$6:$V$6="Theorie")*1,$C$9:$V$9))</f>
        <v/>
      </c>
      <c r="I2175" s="64">
        <f>IF(I1965=0,"",SUMPRODUCT($C$1646:$V$1646,($C$281:$V$281=I$1703)*1,($C$6:$V$6="Theorie")*1,$C$9:$V$9,$C$71:$V$71)/SUMPRODUCT($C$1646:$V$1646,($C$281:$V$281=I$1703)*1,($C$6:$V$6="Theorie")*1,$C$9:$V$9))</f>
        <v/>
      </c>
      <c r="J2175" s="64">
        <f>IF(J1965=0,"",SUMPRODUCT($C$1646:$V$1646,($C$281:$V$281=J$1703)*1,($C$6:$V$6="Theorie")*1,$C$9:$V$9,$C$71:$V$71)/SUMPRODUCT($C$1646:$V$1646,($C$281:$V$281=J$1703)*1,($C$6:$V$6="Theorie")*1,$C$9:$V$9))</f>
        <v/>
      </c>
    </row>
    <row r="2176">
      <c r="C2176" s="64">
        <f>IF(C1966=0,"",SUMPRODUCT($C$1647:$V$1647,($C$282:$V$282=C$1703)*1,($C$6:$V$6="Theorie")*1,$C$9:$V$9,$C$72:$V$72)/SUMPRODUCT($C$1647:$V$1647,($C$282:$V$282=C$1703)*1,($C$6:$V$6="Theorie")*1,$C$9:$V$9))</f>
        <v/>
      </c>
      <c r="D2176" s="64">
        <f>IF(D1966=0,"",SUMPRODUCT($C$1647:$V$1647,($C$282:$V$282=D$1703)*1,($C$6:$V$6="Theorie")*1,$C$9:$V$9,$C$72:$V$72)/SUMPRODUCT($C$1647:$V$1647,($C$282:$V$282=D$1703)*1,($C$6:$V$6="Theorie")*1,$C$9:$V$9))</f>
        <v/>
      </c>
      <c r="E2176" s="64">
        <f>IF(E1966=0,"",SUMPRODUCT($C$1647:$V$1647,($C$282:$V$282=E$1703)*1,($C$6:$V$6="Theorie")*1,$C$9:$V$9,$C$72:$V$72)/SUMPRODUCT($C$1647:$V$1647,($C$282:$V$282=E$1703)*1,($C$6:$V$6="Theorie")*1,$C$9:$V$9))</f>
        <v/>
      </c>
      <c r="F2176" s="64">
        <f>IF(F1966=0,"",SUMPRODUCT($C$1647:$V$1647,($C$282:$V$282=F$1703)*1,($C$6:$V$6="Theorie")*1,$C$9:$V$9,$C$72:$V$72)/SUMPRODUCT($C$1647:$V$1647,($C$282:$V$282=F$1703)*1,($C$6:$V$6="Theorie")*1,$C$9:$V$9))</f>
        <v/>
      </c>
      <c r="G2176" s="64">
        <f>IF(G1966=0,"",SUMPRODUCT($C$1647:$V$1647,($C$282:$V$282=G$1703)*1,($C$6:$V$6="Theorie")*1,$C$9:$V$9,$C$72:$V$72)/SUMPRODUCT($C$1647:$V$1647,($C$282:$V$282=G$1703)*1,($C$6:$V$6="Theorie")*1,$C$9:$V$9))</f>
        <v/>
      </c>
      <c r="H2176" s="64">
        <f>IF(H1966=0,"",SUMPRODUCT($C$1647:$V$1647,($C$282:$V$282=H$1703)*1,($C$6:$V$6="Theorie")*1,$C$9:$V$9,$C$72:$V$72)/SUMPRODUCT($C$1647:$V$1647,($C$282:$V$282=H$1703)*1,($C$6:$V$6="Theorie")*1,$C$9:$V$9))</f>
        <v/>
      </c>
      <c r="I2176" s="64">
        <f>IF(I1966=0,"",SUMPRODUCT($C$1647:$V$1647,($C$282:$V$282=I$1703)*1,($C$6:$V$6="Theorie")*1,$C$9:$V$9,$C$72:$V$72)/SUMPRODUCT($C$1647:$V$1647,($C$282:$V$282=I$1703)*1,($C$6:$V$6="Theorie")*1,$C$9:$V$9))</f>
        <v/>
      </c>
      <c r="J2176" s="64">
        <f>IF(J1966=0,"",SUMPRODUCT($C$1647:$V$1647,($C$282:$V$282=J$1703)*1,($C$6:$V$6="Theorie")*1,$C$9:$V$9,$C$72:$V$72)/SUMPRODUCT($C$1647:$V$1647,($C$282:$V$282=J$1703)*1,($C$6:$V$6="Theorie")*1,$C$9:$V$9))</f>
        <v/>
      </c>
    </row>
    <row r="2177">
      <c r="C2177" s="64">
        <f>IF(C1967=0,"",SUMPRODUCT($C$1648:$V$1648,($C$283:$V$283=C$1703)*1,($C$6:$V$6="Theorie")*1,$C$9:$V$9,$C$73:$V$73)/SUMPRODUCT($C$1648:$V$1648,($C$283:$V$283=C$1703)*1,($C$6:$V$6="Theorie")*1,$C$9:$V$9))</f>
        <v/>
      </c>
      <c r="D2177" s="64">
        <f>IF(D1967=0,"",SUMPRODUCT($C$1648:$V$1648,($C$283:$V$283=D$1703)*1,($C$6:$V$6="Theorie")*1,$C$9:$V$9,$C$73:$V$73)/SUMPRODUCT($C$1648:$V$1648,($C$283:$V$283=D$1703)*1,($C$6:$V$6="Theorie")*1,$C$9:$V$9))</f>
        <v/>
      </c>
      <c r="E2177" s="64">
        <f>IF(E1967=0,"",SUMPRODUCT($C$1648:$V$1648,($C$283:$V$283=E$1703)*1,($C$6:$V$6="Theorie")*1,$C$9:$V$9,$C$73:$V$73)/SUMPRODUCT($C$1648:$V$1648,($C$283:$V$283=E$1703)*1,($C$6:$V$6="Theorie")*1,$C$9:$V$9))</f>
        <v/>
      </c>
      <c r="F2177" s="64">
        <f>IF(F1967=0,"",SUMPRODUCT($C$1648:$V$1648,($C$283:$V$283=F$1703)*1,($C$6:$V$6="Theorie")*1,$C$9:$V$9,$C$73:$V$73)/SUMPRODUCT($C$1648:$V$1648,($C$283:$V$283=F$1703)*1,($C$6:$V$6="Theorie")*1,$C$9:$V$9))</f>
        <v/>
      </c>
      <c r="G2177" s="64">
        <f>IF(G1967=0,"",SUMPRODUCT($C$1648:$V$1648,($C$283:$V$283=G$1703)*1,($C$6:$V$6="Theorie")*1,$C$9:$V$9,$C$73:$V$73)/SUMPRODUCT($C$1648:$V$1648,($C$283:$V$283=G$1703)*1,($C$6:$V$6="Theorie")*1,$C$9:$V$9))</f>
        <v/>
      </c>
      <c r="H2177" s="64">
        <f>IF(H1967=0,"",SUMPRODUCT($C$1648:$V$1648,($C$283:$V$283=H$1703)*1,($C$6:$V$6="Theorie")*1,$C$9:$V$9,$C$73:$V$73)/SUMPRODUCT($C$1648:$V$1648,($C$283:$V$283=H$1703)*1,($C$6:$V$6="Theorie")*1,$C$9:$V$9))</f>
        <v/>
      </c>
      <c r="I2177" s="64">
        <f>IF(I1967=0,"",SUMPRODUCT($C$1648:$V$1648,($C$283:$V$283=I$1703)*1,($C$6:$V$6="Theorie")*1,$C$9:$V$9,$C$73:$V$73)/SUMPRODUCT($C$1648:$V$1648,($C$283:$V$283=I$1703)*1,($C$6:$V$6="Theorie")*1,$C$9:$V$9))</f>
        <v/>
      </c>
      <c r="J2177" s="64">
        <f>IF(J1967=0,"",SUMPRODUCT($C$1648:$V$1648,($C$283:$V$283=J$1703)*1,($C$6:$V$6="Theorie")*1,$C$9:$V$9,$C$73:$V$73)/SUMPRODUCT($C$1648:$V$1648,($C$283:$V$283=J$1703)*1,($C$6:$V$6="Theorie")*1,$C$9:$V$9))</f>
        <v/>
      </c>
    </row>
    <row r="2178">
      <c r="C2178" s="64">
        <f>IF(C1968=0,"",SUMPRODUCT($C$1649:$V$1649,($C$284:$V$284=C$1703)*1,($C$6:$V$6="Theorie")*1,$C$9:$V$9,$C$74:$V$74)/SUMPRODUCT($C$1649:$V$1649,($C$284:$V$284=C$1703)*1,($C$6:$V$6="Theorie")*1,$C$9:$V$9))</f>
        <v/>
      </c>
      <c r="D2178" s="64">
        <f>IF(D1968=0,"",SUMPRODUCT($C$1649:$V$1649,($C$284:$V$284=D$1703)*1,($C$6:$V$6="Theorie")*1,$C$9:$V$9,$C$74:$V$74)/SUMPRODUCT($C$1649:$V$1649,($C$284:$V$284=D$1703)*1,($C$6:$V$6="Theorie")*1,$C$9:$V$9))</f>
        <v/>
      </c>
      <c r="E2178" s="64">
        <f>IF(E1968=0,"",SUMPRODUCT($C$1649:$V$1649,($C$284:$V$284=E$1703)*1,($C$6:$V$6="Theorie")*1,$C$9:$V$9,$C$74:$V$74)/SUMPRODUCT($C$1649:$V$1649,($C$284:$V$284=E$1703)*1,($C$6:$V$6="Theorie")*1,$C$9:$V$9))</f>
        <v/>
      </c>
      <c r="F2178" s="64">
        <f>IF(F1968=0,"",SUMPRODUCT($C$1649:$V$1649,($C$284:$V$284=F$1703)*1,($C$6:$V$6="Theorie")*1,$C$9:$V$9,$C$74:$V$74)/SUMPRODUCT($C$1649:$V$1649,($C$284:$V$284=F$1703)*1,($C$6:$V$6="Theorie")*1,$C$9:$V$9))</f>
        <v/>
      </c>
      <c r="G2178" s="64">
        <f>IF(G1968=0,"",SUMPRODUCT($C$1649:$V$1649,($C$284:$V$284=G$1703)*1,($C$6:$V$6="Theorie")*1,$C$9:$V$9,$C$74:$V$74)/SUMPRODUCT($C$1649:$V$1649,($C$284:$V$284=G$1703)*1,($C$6:$V$6="Theorie")*1,$C$9:$V$9))</f>
        <v/>
      </c>
      <c r="H2178" s="64">
        <f>IF(H1968=0,"",SUMPRODUCT($C$1649:$V$1649,($C$284:$V$284=H$1703)*1,($C$6:$V$6="Theorie")*1,$C$9:$V$9,$C$74:$V$74)/SUMPRODUCT($C$1649:$V$1649,($C$284:$V$284=H$1703)*1,($C$6:$V$6="Theorie")*1,$C$9:$V$9))</f>
        <v/>
      </c>
      <c r="I2178" s="64">
        <f>IF(I1968=0,"",SUMPRODUCT($C$1649:$V$1649,($C$284:$V$284=I$1703)*1,($C$6:$V$6="Theorie")*1,$C$9:$V$9,$C$74:$V$74)/SUMPRODUCT($C$1649:$V$1649,($C$284:$V$284=I$1703)*1,($C$6:$V$6="Theorie")*1,$C$9:$V$9))</f>
        <v/>
      </c>
      <c r="J2178" s="64">
        <f>IF(J1968=0,"",SUMPRODUCT($C$1649:$V$1649,($C$284:$V$284=J$1703)*1,($C$6:$V$6="Theorie")*1,$C$9:$V$9,$C$74:$V$74)/SUMPRODUCT($C$1649:$V$1649,($C$284:$V$284=J$1703)*1,($C$6:$V$6="Theorie")*1,$C$9:$V$9))</f>
        <v/>
      </c>
    </row>
    <row r="2179">
      <c r="C2179" s="64">
        <f>IF(C1969=0,"",SUMPRODUCT($C$1650:$V$1650,($C$285:$V$285=C$1703)*1,($C$6:$V$6="Theorie")*1,$C$9:$V$9,$C$75:$V$75)/SUMPRODUCT($C$1650:$V$1650,($C$285:$V$285=C$1703)*1,($C$6:$V$6="Theorie")*1,$C$9:$V$9))</f>
        <v/>
      </c>
      <c r="D2179" s="64">
        <f>IF(D1969=0,"",SUMPRODUCT($C$1650:$V$1650,($C$285:$V$285=D$1703)*1,($C$6:$V$6="Theorie")*1,$C$9:$V$9,$C$75:$V$75)/SUMPRODUCT($C$1650:$V$1650,($C$285:$V$285=D$1703)*1,($C$6:$V$6="Theorie")*1,$C$9:$V$9))</f>
        <v/>
      </c>
      <c r="E2179" s="64">
        <f>IF(E1969=0,"",SUMPRODUCT($C$1650:$V$1650,($C$285:$V$285=E$1703)*1,($C$6:$V$6="Theorie")*1,$C$9:$V$9,$C$75:$V$75)/SUMPRODUCT($C$1650:$V$1650,($C$285:$V$285=E$1703)*1,($C$6:$V$6="Theorie")*1,$C$9:$V$9))</f>
        <v/>
      </c>
      <c r="F2179" s="64">
        <f>IF(F1969=0,"",SUMPRODUCT($C$1650:$V$1650,($C$285:$V$285=F$1703)*1,($C$6:$V$6="Theorie")*1,$C$9:$V$9,$C$75:$V$75)/SUMPRODUCT($C$1650:$V$1650,($C$285:$V$285=F$1703)*1,($C$6:$V$6="Theorie")*1,$C$9:$V$9))</f>
        <v/>
      </c>
      <c r="G2179" s="64">
        <f>IF(G1969=0,"",SUMPRODUCT($C$1650:$V$1650,($C$285:$V$285=G$1703)*1,($C$6:$V$6="Theorie")*1,$C$9:$V$9,$C$75:$V$75)/SUMPRODUCT($C$1650:$V$1650,($C$285:$V$285=G$1703)*1,($C$6:$V$6="Theorie")*1,$C$9:$V$9))</f>
        <v/>
      </c>
      <c r="H2179" s="64">
        <f>IF(H1969=0,"",SUMPRODUCT($C$1650:$V$1650,($C$285:$V$285=H$1703)*1,($C$6:$V$6="Theorie")*1,$C$9:$V$9,$C$75:$V$75)/SUMPRODUCT($C$1650:$V$1650,($C$285:$V$285=H$1703)*1,($C$6:$V$6="Theorie")*1,$C$9:$V$9))</f>
        <v/>
      </c>
      <c r="I2179" s="64">
        <f>IF(I1969=0,"",SUMPRODUCT($C$1650:$V$1650,($C$285:$V$285=I$1703)*1,($C$6:$V$6="Theorie")*1,$C$9:$V$9,$C$75:$V$75)/SUMPRODUCT($C$1650:$V$1650,($C$285:$V$285=I$1703)*1,($C$6:$V$6="Theorie")*1,$C$9:$V$9))</f>
        <v/>
      </c>
      <c r="J2179" s="64">
        <f>IF(J1969=0,"",SUMPRODUCT($C$1650:$V$1650,($C$285:$V$285=J$1703)*1,($C$6:$V$6="Theorie")*1,$C$9:$V$9,$C$75:$V$75)/SUMPRODUCT($C$1650:$V$1650,($C$285:$V$285=J$1703)*1,($C$6:$V$6="Theorie")*1,$C$9:$V$9))</f>
        <v/>
      </c>
    </row>
    <row r="2180">
      <c r="C2180" s="64">
        <f>IF(C1970=0,"",SUMPRODUCT($C$1651:$V$1651,($C$286:$V$286=C$1703)*1,($C$6:$V$6="Theorie")*1,$C$9:$V$9,$C$76:$V$76)/SUMPRODUCT($C$1651:$V$1651,($C$286:$V$286=C$1703)*1,($C$6:$V$6="Theorie")*1,$C$9:$V$9))</f>
        <v/>
      </c>
      <c r="D2180" s="64">
        <f>IF(D1970=0,"",SUMPRODUCT($C$1651:$V$1651,($C$286:$V$286=D$1703)*1,($C$6:$V$6="Theorie")*1,$C$9:$V$9,$C$76:$V$76)/SUMPRODUCT($C$1651:$V$1651,($C$286:$V$286=D$1703)*1,($C$6:$V$6="Theorie")*1,$C$9:$V$9))</f>
        <v/>
      </c>
      <c r="E2180" s="64">
        <f>IF(E1970=0,"",SUMPRODUCT($C$1651:$V$1651,($C$286:$V$286=E$1703)*1,($C$6:$V$6="Theorie")*1,$C$9:$V$9,$C$76:$V$76)/SUMPRODUCT($C$1651:$V$1651,($C$286:$V$286=E$1703)*1,($C$6:$V$6="Theorie")*1,$C$9:$V$9))</f>
        <v/>
      </c>
      <c r="F2180" s="64">
        <f>IF(F1970=0,"",SUMPRODUCT($C$1651:$V$1651,($C$286:$V$286=F$1703)*1,($C$6:$V$6="Theorie")*1,$C$9:$V$9,$C$76:$V$76)/SUMPRODUCT($C$1651:$V$1651,($C$286:$V$286=F$1703)*1,($C$6:$V$6="Theorie")*1,$C$9:$V$9))</f>
        <v/>
      </c>
      <c r="G2180" s="64">
        <f>IF(G1970=0,"",SUMPRODUCT($C$1651:$V$1651,($C$286:$V$286=G$1703)*1,($C$6:$V$6="Theorie")*1,$C$9:$V$9,$C$76:$V$76)/SUMPRODUCT($C$1651:$V$1651,($C$286:$V$286=G$1703)*1,($C$6:$V$6="Theorie")*1,$C$9:$V$9))</f>
        <v/>
      </c>
      <c r="H2180" s="64">
        <f>IF(H1970=0,"",SUMPRODUCT($C$1651:$V$1651,($C$286:$V$286=H$1703)*1,($C$6:$V$6="Theorie")*1,$C$9:$V$9,$C$76:$V$76)/SUMPRODUCT($C$1651:$V$1651,($C$286:$V$286=H$1703)*1,($C$6:$V$6="Theorie")*1,$C$9:$V$9))</f>
        <v/>
      </c>
      <c r="I2180" s="64">
        <f>IF(I1970=0,"",SUMPRODUCT($C$1651:$V$1651,($C$286:$V$286=I$1703)*1,($C$6:$V$6="Theorie")*1,$C$9:$V$9,$C$76:$V$76)/SUMPRODUCT($C$1651:$V$1651,($C$286:$V$286=I$1703)*1,($C$6:$V$6="Theorie")*1,$C$9:$V$9))</f>
        <v/>
      </c>
      <c r="J2180" s="64">
        <f>IF(J1970=0,"",SUMPRODUCT($C$1651:$V$1651,($C$286:$V$286=J$1703)*1,($C$6:$V$6="Theorie")*1,$C$9:$V$9,$C$76:$V$76)/SUMPRODUCT($C$1651:$V$1651,($C$286:$V$286=J$1703)*1,($C$6:$V$6="Theorie")*1,$C$9:$V$9))</f>
        <v/>
      </c>
    </row>
    <row r="2181">
      <c r="C2181" s="64">
        <f>IF(C1971=0,"",SUMPRODUCT($C$1652:$V$1652,($C$287:$V$287=C$1703)*1,($C$6:$V$6="Theorie")*1,$C$9:$V$9,$C$77:$V$77)/SUMPRODUCT($C$1652:$V$1652,($C$287:$V$287=C$1703)*1,($C$6:$V$6="Theorie")*1,$C$9:$V$9))</f>
        <v/>
      </c>
      <c r="D2181" s="64">
        <f>IF(D1971=0,"",SUMPRODUCT($C$1652:$V$1652,($C$287:$V$287=D$1703)*1,($C$6:$V$6="Theorie")*1,$C$9:$V$9,$C$77:$V$77)/SUMPRODUCT($C$1652:$V$1652,($C$287:$V$287=D$1703)*1,($C$6:$V$6="Theorie")*1,$C$9:$V$9))</f>
        <v/>
      </c>
      <c r="E2181" s="64">
        <f>IF(E1971=0,"",SUMPRODUCT($C$1652:$V$1652,($C$287:$V$287=E$1703)*1,($C$6:$V$6="Theorie")*1,$C$9:$V$9,$C$77:$V$77)/SUMPRODUCT($C$1652:$V$1652,($C$287:$V$287=E$1703)*1,($C$6:$V$6="Theorie")*1,$C$9:$V$9))</f>
        <v/>
      </c>
      <c r="F2181" s="64">
        <f>IF(F1971=0,"",SUMPRODUCT($C$1652:$V$1652,($C$287:$V$287=F$1703)*1,($C$6:$V$6="Theorie")*1,$C$9:$V$9,$C$77:$V$77)/SUMPRODUCT($C$1652:$V$1652,($C$287:$V$287=F$1703)*1,($C$6:$V$6="Theorie")*1,$C$9:$V$9))</f>
        <v/>
      </c>
      <c r="G2181" s="64">
        <f>IF(G1971=0,"",SUMPRODUCT($C$1652:$V$1652,($C$287:$V$287=G$1703)*1,($C$6:$V$6="Theorie")*1,$C$9:$V$9,$C$77:$V$77)/SUMPRODUCT($C$1652:$V$1652,($C$287:$V$287=G$1703)*1,($C$6:$V$6="Theorie")*1,$C$9:$V$9))</f>
        <v/>
      </c>
      <c r="H2181" s="64">
        <f>IF(H1971=0,"",SUMPRODUCT($C$1652:$V$1652,($C$287:$V$287=H$1703)*1,($C$6:$V$6="Theorie")*1,$C$9:$V$9,$C$77:$V$77)/SUMPRODUCT($C$1652:$V$1652,($C$287:$V$287=H$1703)*1,($C$6:$V$6="Theorie")*1,$C$9:$V$9))</f>
        <v/>
      </c>
      <c r="I2181" s="64">
        <f>IF(I1971=0,"",SUMPRODUCT($C$1652:$V$1652,($C$287:$V$287=I$1703)*1,($C$6:$V$6="Theorie")*1,$C$9:$V$9,$C$77:$V$77)/SUMPRODUCT($C$1652:$V$1652,($C$287:$V$287=I$1703)*1,($C$6:$V$6="Theorie")*1,$C$9:$V$9))</f>
        <v/>
      </c>
      <c r="J2181" s="64">
        <f>IF(J1971=0,"",SUMPRODUCT($C$1652:$V$1652,($C$287:$V$287=J$1703)*1,($C$6:$V$6="Theorie")*1,$C$9:$V$9,$C$77:$V$77)/SUMPRODUCT($C$1652:$V$1652,($C$287:$V$287=J$1703)*1,($C$6:$V$6="Theorie")*1,$C$9:$V$9))</f>
        <v/>
      </c>
    </row>
    <row r="2182">
      <c r="C2182" s="64">
        <f>IF(C1972=0,"",SUMPRODUCT($C$1653:$V$1653,($C$288:$V$288=C$1703)*1,($C$6:$V$6="Theorie")*1,$C$9:$V$9,$C$78:$V$78)/SUMPRODUCT($C$1653:$V$1653,($C$288:$V$288=C$1703)*1,($C$6:$V$6="Theorie")*1,$C$9:$V$9))</f>
        <v/>
      </c>
      <c r="D2182" s="64">
        <f>IF(D1972=0,"",SUMPRODUCT($C$1653:$V$1653,($C$288:$V$288=D$1703)*1,($C$6:$V$6="Theorie")*1,$C$9:$V$9,$C$78:$V$78)/SUMPRODUCT($C$1653:$V$1653,($C$288:$V$288=D$1703)*1,($C$6:$V$6="Theorie")*1,$C$9:$V$9))</f>
        <v/>
      </c>
      <c r="E2182" s="64">
        <f>IF(E1972=0,"",SUMPRODUCT($C$1653:$V$1653,($C$288:$V$288=E$1703)*1,($C$6:$V$6="Theorie")*1,$C$9:$V$9,$C$78:$V$78)/SUMPRODUCT($C$1653:$V$1653,($C$288:$V$288=E$1703)*1,($C$6:$V$6="Theorie")*1,$C$9:$V$9))</f>
        <v/>
      </c>
      <c r="F2182" s="64">
        <f>IF(F1972=0,"",SUMPRODUCT($C$1653:$V$1653,($C$288:$V$288=F$1703)*1,($C$6:$V$6="Theorie")*1,$C$9:$V$9,$C$78:$V$78)/SUMPRODUCT($C$1653:$V$1653,($C$288:$V$288=F$1703)*1,($C$6:$V$6="Theorie")*1,$C$9:$V$9))</f>
        <v/>
      </c>
      <c r="G2182" s="64">
        <f>IF(G1972=0,"",SUMPRODUCT($C$1653:$V$1653,($C$288:$V$288=G$1703)*1,($C$6:$V$6="Theorie")*1,$C$9:$V$9,$C$78:$V$78)/SUMPRODUCT($C$1653:$V$1653,($C$288:$V$288=G$1703)*1,($C$6:$V$6="Theorie")*1,$C$9:$V$9))</f>
        <v/>
      </c>
      <c r="H2182" s="64">
        <f>IF(H1972=0,"",SUMPRODUCT($C$1653:$V$1653,($C$288:$V$288=H$1703)*1,($C$6:$V$6="Theorie")*1,$C$9:$V$9,$C$78:$V$78)/SUMPRODUCT($C$1653:$V$1653,($C$288:$V$288=H$1703)*1,($C$6:$V$6="Theorie")*1,$C$9:$V$9))</f>
        <v/>
      </c>
      <c r="I2182" s="64">
        <f>IF(I1972=0,"",SUMPRODUCT($C$1653:$V$1653,($C$288:$V$288=I$1703)*1,($C$6:$V$6="Theorie")*1,$C$9:$V$9,$C$78:$V$78)/SUMPRODUCT($C$1653:$V$1653,($C$288:$V$288=I$1703)*1,($C$6:$V$6="Theorie")*1,$C$9:$V$9))</f>
        <v/>
      </c>
      <c r="J2182" s="64">
        <f>IF(J1972=0,"",SUMPRODUCT($C$1653:$V$1653,($C$288:$V$288=J$1703)*1,($C$6:$V$6="Theorie")*1,$C$9:$V$9,$C$78:$V$78)/SUMPRODUCT($C$1653:$V$1653,($C$288:$V$288=J$1703)*1,($C$6:$V$6="Theorie")*1,$C$9:$V$9))</f>
        <v/>
      </c>
    </row>
    <row r="2183">
      <c r="C2183" s="64">
        <f>IF(C1973=0,"",SUMPRODUCT($C$1654:$V$1654,($C$289:$V$289=C$1703)*1,($C$6:$V$6="Theorie")*1,$C$9:$V$9,$C$79:$V$79)/SUMPRODUCT($C$1654:$V$1654,($C$289:$V$289=C$1703)*1,($C$6:$V$6="Theorie")*1,$C$9:$V$9))</f>
        <v/>
      </c>
      <c r="D2183" s="64">
        <f>IF(D1973=0,"",SUMPRODUCT($C$1654:$V$1654,($C$289:$V$289=D$1703)*1,($C$6:$V$6="Theorie")*1,$C$9:$V$9,$C$79:$V$79)/SUMPRODUCT($C$1654:$V$1654,($C$289:$V$289=D$1703)*1,($C$6:$V$6="Theorie")*1,$C$9:$V$9))</f>
        <v/>
      </c>
      <c r="E2183" s="64">
        <f>IF(E1973=0,"",SUMPRODUCT($C$1654:$V$1654,($C$289:$V$289=E$1703)*1,($C$6:$V$6="Theorie")*1,$C$9:$V$9,$C$79:$V$79)/SUMPRODUCT($C$1654:$V$1654,($C$289:$V$289=E$1703)*1,($C$6:$V$6="Theorie")*1,$C$9:$V$9))</f>
        <v/>
      </c>
      <c r="F2183" s="64">
        <f>IF(F1973=0,"",SUMPRODUCT($C$1654:$V$1654,($C$289:$V$289=F$1703)*1,($C$6:$V$6="Theorie")*1,$C$9:$V$9,$C$79:$V$79)/SUMPRODUCT($C$1654:$V$1654,($C$289:$V$289=F$1703)*1,($C$6:$V$6="Theorie")*1,$C$9:$V$9))</f>
        <v/>
      </c>
      <c r="G2183" s="64">
        <f>IF(G1973=0,"",SUMPRODUCT($C$1654:$V$1654,($C$289:$V$289=G$1703)*1,($C$6:$V$6="Theorie")*1,$C$9:$V$9,$C$79:$V$79)/SUMPRODUCT($C$1654:$V$1654,($C$289:$V$289=G$1703)*1,($C$6:$V$6="Theorie")*1,$C$9:$V$9))</f>
        <v/>
      </c>
      <c r="H2183" s="64">
        <f>IF(H1973=0,"",SUMPRODUCT($C$1654:$V$1654,($C$289:$V$289=H$1703)*1,($C$6:$V$6="Theorie")*1,$C$9:$V$9,$C$79:$V$79)/SUMPRODUCT($C$1654:$V$1654,($C$289:$V$289=H$1703)*1,($C$6:$V$6="Theorie")*1,$C$9:$V$9))</f>
        <v/>
      </c>
      <c r="I2183" s="64">
        <f>IF(I1973=0,"",SUMPRODUCT($C$1654:$V$1654,($C$289:$V$289=I$1703)*1,($C$6:$V$6="Theorie")*1,$C$9:$V$9,$C$79:$V$79)/SUMPRODUCT($C$1654:$V$1654,($C$289:$V$289=I$1703)*1,($C$6:$V$6="Theorie")*1,$C$9:$V$9))</f>
        <v/>
      </c>
      <c r="J2183" s="64">
        <f>IF(J1973=0,"",SUMPRODUCT($C$1654:$V$1654,($C$289:$V$289=J$1703)*1,($C$6:$V$6="Theorie")*1,$C$9:$V$9,$C$79:$V$79)/SUMPRODUCT($C$1654:$V$1654,($C$289:$V$289=J$1703)*1,($C$6:$V$6="Theorie")*1,$C$9:$V$9))</f>
        <v/>
      </c>
    </row>
    <row r="2184">
      <c r="C2184" s="64">
        <f>IF(C1974=0,"",SUMPRODUCT($C$1655:$V$1655,($C$290:$V$290=C$1703)*1,($C$6:$V$6="Theorie")*1,$C$9:$V$9,$C$80:$V$80)/SUMPRODUCT($C$1655:$V$1655,($C$290:$V$290=C$1703)*1,($C$6:$V$6="Theorie")*1,$C$9:$V$9))</f>
        <v/>
      </c>
      <c r="D2184" s="64">
        <f>IF(D1974=0,"",SUMPRODUCT($C$1655:$V$1655,($C$290:$V$290=D$1703)*1,($C$6:$V$6="Theorie")*1,$C$9:$V$9,$C$80:$V$80)/SUMPRODUCT($C$1655:$V$1655,($C$290:$V$290=D$1703)*1,($C$6:$V$6="Theorie")*1,$C$9:$V$9))</f>
        <v/>
      </c>
      <c r="E2184" s="64">
        <f>IF(E1974=0,"",SUMPRODUCT($C$1655:$V$1655,($C$290:$V$290=E$1703)*1,($C$6:$V$6="Theorie")*1,$C$9:$V$9,$C$80:$V$80)/SUMPRODUCT($C$1655:$V$1655,($C$290:$V$290=E$1703)*1,($C$6:$V$6="Theorie")*1,$C$9:$V$9))</f>
        <v/>
      </c>
      <c r="F2184" s="64">
        <f>IF(F1974=0,"",SUMPRODUCT($C$1655:$V$1655,($C$290:$V$290=F$1703)*1,($C$6:$V$6="Theorie")*1,$C$9:$V$9,$C$80:$V$80)/SUMPRODUCT($C$1655:$V$1655,($C$290:$V$290=F$1703)*1,($C$6:$V$6="Theorie")*1,$C$9:$V$9))</f>
        <v/>
      </c>
      <c r="G2184" s="64">
        <f>IF(G1974=0,"",SUMPRODUCT($C$1655:$V$1655,($C$290:$V$290=G$1703)*1,($C$6:$V$6="Theorie")*1,$C$9:$V$9,$C$80:$V$80)/SUMPRODUCT($C$1655:$V$1655,($C$290:$V$290=G$1703)*1,($C$6:$V$6="Theorie")*1,$C$9:$V$9))</f>
        <v/>
      </c>
      <c r="H2184" s="64">
        <f>IF(H1974=0,"",SUMPRODUCT($C$1655:$V$1655,($C$290:$V$290=H$1703)*1,($C$6:$V$6="Theorie")*1,$C$9:$V$9,$C$80:$V$80)/SUMPRODUCT($C$1655:$V$1655,($C$290:$V$290=H$1703)*1,($C$6:$V$6="Theorie")*1,$C$9:$V$9))</f>
        <v/>
      </c>
      <c r="I2184" s="64">
        <f>IF(I1974=0,"",SUMPRODUCT($C$1655:$V$1655,($C$290:$V$290=I$1703)*1,($C$6:$V$6="Theorie")*1,$C$9:$V$9,$C$80:$V$80)/SUMPRODUCT($C$1655:$V$1655,($C$290:$V$290=I$1703)*1,($C$6:$V$6="Theorie")*1,$C$9:$V$9))</f>
        <v/>
      </c>
      <c r="J2184" s="64">
        <f>IF(J1974=0,"",SUMPRODUCT($C$1655:$V$1655,($C$290:$V$290=J$1703)*1,($C$6:$V$6="Theorie")*1,$C$9:$V$9,$C$80:$V$80)/SUMPRODUCT($C$1655:$V$1655,($C$290:$V$290=J$1703)*1,($C$6:$V$6="Theorie")*1,$C$9:$V$9))</f>
        <v/>
      </c>
    </row>
    <row r="2185">
      <c r="C2185" s="64">
        <f>IF(C1975=0,"",SUMPRODUCT($C$1656:$V$1656,($C$291:$V$291=C$1703)*1,($C$6:$V$6="Theorie")*1,$C$9:$V$9,$C$81:$V$81)/SUMPRODUCT($C$1656:$V$1656,($C$291:$V$291=C$1703)*1,($C$6:$V$6="Theorie")*1,$C$9:$V$9))</f>
        <v/>
      </c>
      <c r="D2185" s="64">
        <f>IF(D1975=0,"",SUMPRODUCT($C$1656:$V$1656,($C$291:$V$291=D$1703)*1,($C$6:$V$6="Theorie")*1,$C$9:$V$9,$C$81:$V$81)/SUMPRODUCT($C$1656:$V$1656,($C$291:$V$291=D$1703)*1,($C$6:$V$6="Theorie")*1,$C$9:$V$9))</f>
        <v/>
      </c>
      <c r="E2185" s="64">
        <f>IF(E1975=0,"",SUMPRODUCT($C$1656:$V$1656,($C$291:$V$291=E$1703)*1,($C$6:$V$6="Theorie")*1,$C$9:$V$9,$C$81:$V$81)/SUMPRODUCT($C$1656:$V$1656,($C$291:$V$291=E$1703)*1,($C$6:$V$6="Theorie")*1,$C$9:$V$9))</f>
        <v/>
      </c>
      <c r="F2185" s="64">
        <f>IF(F1975=0,"",SUMPRODUCT($C$1656:$V$1656,($C$291:$V$291=F$1703)*1,($C$6:$V$6="Theorie")*1,$C$9:$V$9,$C$81:$V$81)/SUMPRODUCT($C$1656:$V$1656,($C$291:$V$291=F$1703)*1,($C$6:$V$6="Theorie")*1,$C$9:$V$9))</f>
        <v/>
      </c>
      <c r="G2185" s="64">
        <f>IF(G1975=0,"",SUMPRODUCT($C$1656:$V$1656,($C$291:$V$291=G$1703)*1,($C$6:$V$6="Theorie")*1,$C$9:$V$9,$C$81:$V$81)/SUMPRODUCT($C$1656:$V$1656,($C$291:$V$291=G$1703)*1,($C$6:$V$6="Theorie")*1,$C$9:$V$9))</f>
        <v/>
      </c>
      <c r="H2185" s="64">
        <f>IF(H1975=0,"",SUMPRODUCT($C$1656:$V$1656,($C$291:$V$291=H$1703)*1,($C$6:$V$6="Theorie")*1,$C$9:$V$9,$C$81:$V$81)/SUMPRODUCT($C$1656:$V$1656,($C$291:$V$291=H$1703)*1,($C$6:$V$6="Theorie")*1,$C$9:$V$9))</f>
        <v/>
      </c>
      <c r="I2185" s="64">
        <f>IF(I1975=0,"",SUMPRODUCT($C$1656:$V$1656,($C$291:$V$291=I$1703)*1,($C$6:$V$6="Theorie")*1,$C$9:$V$9,$C$81:$V$81)/SUMPRODUCT($C$1656:$V$1656,($C$291:$V$291=I$1703)*1,($C$6:$V$6="Theorie")*1,$C$9:$V$9))</f>
        <v/>
      </c>
      <c r="J2185" s="64">
        <f>IF(J1975=0,"",SUMPRODUCT($C$1656:$V$1656,($C$291:$V$291=J$1703)*1,($C$6:$V$6="Theorie")*1,$C$9:$V$9,$C$81:$V$81)/SUMPRODUCT($C$1656:$V$1656,($C$291:$V$291=J$1703)*1,($C$6:$V$6="Theorie")*1,$C$9:$V$9))</f>
        <v/>
      </c>
    </row>
    <row r="2186">
      <c r="C2186" s="64">
        <f>IF(C1976=0,"",SUMPRODUCT($C$1657:$V$1657,($C$292:$V$292=C$1703)*1,($C$6:$V$6="Theorie")*1,$C$9:$V$9,$C$82:$V$82)/SUMPRODUCT($C$1657:$V$1657,($C$292:$V$292=C$1703)*1,($C$6:$V$6="Theorie")*1,$C$9:$V$9))</f>
        <v/>
      </c>
      <c r="D2186" s="64">
        <f>IF(D1976=0,"",SUMPRODUCT($C$1657:$V$1657,($C$292:$V$292=D$1703)*1,($C$6:$V$6="Theorie")*1,$C$9:$V$9,$C$82:$V$82)/SUMPRODUCT($C$1657:$V$1657,($C$292:$V$292=D$1703)*1,($C$6:$V$6="Theorie")*1,$C$9:$V$9))</f>
        <v/>
      </c>
      <c r="E2186" s="64">
        <f>IF(E1976=0,"",SUMPRODUCT($C$1657:$V$1657,($C$292:$V$292=E$1703)*1,($C$6:$V$6="Theorie")*1,$C$9:$V$9,$C$82:$V$82)/SUMPRODUCT($C$1657:$V$1657,($C$292:$V$292=E$1703)*1,($C$6:$V$6="Theorie")*1,$C$9:$V$9))</f>
        <v/>
      </c>
      <c r="F2186" s="64">
        <f>IF(F1976=0,"",SUMPRODUCT($C$1657:$V$1657,($C$292:$V$292=F$1703)*1,($C$6:$V$6="Theorie")*1,$C$9:$V$9,$C$82:$V$82)/SUMPRODUCT($C$1657:$V$1657,($C$292:$V$292=F$1703)*1,($C$6:$V$6="Theorie")*1,$C$9:$V$9))</f>
        <v/>
      </c>
      <c r="G2186" s="64">
        <f>IF(G1976=0,"",SUMPRODUCT($C$1657:$V$1657,($C$292:$V$292=G$1703)*1,($C$6:$V$6="Theorie")*1,$C$9:$V$9,$C$82:$V$82)/SUMPRODUCT($C$1657:$V$1657,($C$292:$V$292=G$1703)*1,($C$6:$V$6="Theorie")*1,$C$9:$V$9))</f>
        <v/>
      </c>
      <c r="H2186" s="64">
        <f>IF(H1976=0,"",SUMPRODUCT($C$1657:$V$1657,($C$292:$V$292=H$1703)*1,($C$6:$V$6="Theorie")*1,$C$9:$V$9,$C$82:$V$82)/SUMPRODUCT($C$1657:$V$1657,($C$292:$V$292=H$1703)*1,($C$6:$V$6="Theorie")*1,$C$9:$V$9))</f>
        <v/>
      </c>
      <c r="I2186" s="64">
        <f>IF(I1976=0,"",SUMPRODUCT($C$1657:$V$1657,($C$292:$V$292=I$1703)*1,($C$6:$V$6="Theorie")*1,$C$9:$V$9,$C$82:$V$82)/SUMPRODUCT($C$1657:$V$1657,($C$292:$V$292=I$1703)*1,($C$6:$V$6="Theorie")*1,$C$9:$V$9))</f>
        <v/>
      </c>
      <c r="J2186" s="64">
        <f>IF(J1976=0,"",SUMPRODUCT($C$1657:$V$1657,($C$292:$V$292=J$1703)*1,($C$6:$V$6="Theorie")*1,$C$9:$V$9,$C$82:$V$82)/SUMPRODUCT($C$1657:$V$1657,($C$292:$V$292=J$1703)*1,($C$6:$V$6="Theorie")*1,$C$9:$V$9))</f>
        <v/>
      </c>
    </row>
    <row r="2187">
      <c r="C2187" s="64">
        <f>IF(C1977=0,"",SUMPRODUCT($C$1658:$V$1658,($C$293:$V$293=C$1703)*1,($C$6:$V$6="Theorie")*1,$C$9:$V$9,$C$83:$V$83)/SUMPRODUCT($C$1658:$V$1658,($C$293:$V$293=C$1703)*1,($C$6:$V$6="Theorie")*1,$C$9:$V$9))</f>
        <v/>
      </c>
      <c r="D2187" s="64">
        <f>IF(D1977=0,"",SUMPRODUCT($C$1658:$V$1658,($C$293:$V$293=D$1703)*1,($C$6:$V$6="Theorie")*1,$C$9:$V$9,$C$83:$V$83)/SUMPRODUCT($C$1658:$V$1658,($C$293:$V$293=D$1703)*1,($C$6:$V$6="Theorie")*1,$C$9:$V$9))</f>
        <v/>
      </c>
      <c r="E2187" s="64">
        <f>IF(E1977=0,"",SUMPRODUCT($C$1658:$V$1658,($C$293:$V$293=E$1703)*1,($C$6:$V$6="Theorie")*1,$C$9:$V$9,$C$83:$V$83)/SUMPRODUCT($C$1658:$V$1658,($C$293:$V$293=E$1703)*1,($C$6:$V$6="Theorie")*1,$C$9:$V$9))</f>
        <v/>
      </c>
      <c r="F2187" s="64">
        <f>IF(F1977=0,"",SUMPRODUCT($C$1658:$V$1658,($C$293:$V$293=F$1703)*1,($C$6:$V$6="Theorie")*1,$C$9:$V$9,$C$83:$V$83)/SUMPRODUCT($C$1658:$V$1658,($C$293:$V$293=F$1703)*1,($C$6:$V$6="Theorie")*1,$C$9:$V$9))</f>
        <v/>
      </c>
      <c r="G2187" s="64">
        <f>IF(G1977=0,"",SUMPRODUCT($C$1658:$V$1658,($C$293:$V$293=G$1703)*1,($C$6:$V$6="Theorie")*1,$C$9:$V$9,$C$83:$V$83)/SUMPRODUCT($C$1658:$V$1658,($C$293:$V$293=G$1703)*1,($C$6:$V$6="Theorie")*1,$C$9:$V$9))</f>
        <v/>
      </c>
      <c r="H2187" s="64">
        <f>IF(H1977=0,"",SUMPRODUCT($C$1658:$V$1658,($C$293:$V$293=H$1703)*1,($C$6:$V$6="Theorie")*1,$C$9:$V$9,$C$83:$V$83)/SUMPRODUCT($C$1658:$V$1658,($C$293:$V$293=H$1703)*1,($C$6:$V$6="Theorie")*1,$C$9:$V$9))</f>
        <v/>
      </c>
      <c r="I2187" s="64">
        <f>IF(I1977=0,"",SUMPRODUCT($C$1658:$V$1658,($C$293:$V$293=I$1703)*1,($C$6:$V$6="Theorie")*1,$C$9:$V$9,$C$83:$V$83)/SUMPRODUCT($C$1658:$V$1658,($C$293:$V$293=I$1703)*1,($C$6:$V$6="Theorie")*1,$C$9:$V$9))</f>
        <v/>
      </c>
      <c r="J2187" s="64">
        <f>IF(J1977=0,"",SUMPRODUCT($C$1658:$V$1658,($C$293:$V$293=J$1703)*1,($C$6:$V$6="Theorie")*1,$C$9:$V$9,$C$83:$V$83)/SUMPRODUCT($C$1658:$V$1658,($C$293:$V$293=J$1703)*1,($C$6:$V$6="Theorie")*1,$C$9:$V$9))</f>
        <v/>
      </c>
    </row>
    <row r="2188">
      <c r="C2188" s="64">
        <f>IF(C1978=0,"",SUMPRODUCT($C$1659:$V$1659,($C$294:$V$294=C$1703)*1,($C$6:$V$6="Theorie")*1,$C$9:$V$9,$C$84:$V$84)/SUMPRODUCT($C$1659:$V$1659,($C$294:$V$294=C$1703)*1,($C$6:$V$6="Theorie")*1,$C$9:$V$9))</f>
        <v/>
      </c>
      <c r="D2188" s="64">
        <f>IF(D1978=0,"",SUMPRODUCT($C$1659:$V$1659,($C$294:$V$294=D$1703)*1,($C$6:$V$6="Theorie")*1,$C$9:$V$9,$C$84:$V$84)/SUMPRODUCT($C$1659:$V$1659,($C$294:$V$294=D$1703)*1,($C$6:$V$6="Theorie")*1,$C$9:$V$9))</f>
        <v/>
      </c>
      <c r="E2188" s="64">
        <f>IF(E1978=0,"",SUMPRODUCT($C$1659:$V$1659,($C$294:$V$294=E$1703)*1,($C$6:$V$6="Theorie")*1,$C$9:$V$9,$C$84:$V$84)/SUMPRODUCT($C$1659:$V$1659,($C$294:$V$294=E$1703)*1,($C$6:$V$6="Theorie")*1,$C$9:$V$9))</f>
        <v/>
      </c>
      <c r="F2188" s="64">
        <f>IF(F1978=0,"",SUMPRODUCT($C$1659:$V$1659,($C$294:$V$294=F$1703)*1,($C$6:$V$6="Theorie")*1,$C$9:$V$9,$C$84:$V$84)/SUMPRODUCT($C$1659:$V$1659,($C$294:$V$294=F$1703)*1,($C$6:$V$6="Theorie")*1,$C$9:$V$9))</f>
        <v/>
      </c>
      <c r="G2188" s="64">
        <f>IF(G1978=0,"",SUMPRODUCT($C$1659:$V$1659,($C$294:$V$294=G$1703)*1,($C$6:$V$6="Theorie")*1,$C$9:$V$9,$C$84:$V$84)/SUMPRODUCT($C$1659:$V$1659,($C$294:$V$294=G$1703)*1,($C$6:$V$6="Theorie")*1,$C$9:$V$9))</f>
        <v/>
      </c>
      <c r="H2188" s="64">
        <f>IF(H1978=0,"",SUMPRODUCT($C$1659:$V$1659,($C$294:$V$294=H$1703)*1,($C$6:$V$6="Theorie")*1,$C$9:$V$9,$C$84:$V$84)/SUMPRODUCT($C$1659:$V$1659,($C$294:$V$294=H$1703)*1,($C$6:$V$6="Theorie")*1,$C$9:$V$9))</f>
        <v/>
      </c>
      <c r="I2188" s="64">
        <f>IF(I1978=0,"",SUMPRODUCT($C$1659:$V$1659,($C$294:$V$294=I$1703)*1,($C$6:$V$6="Theorie")*1,$C$9:$V$9,$C$84:$V$84)/SUMPRODUCT($C$1659:$V$1659,($C$294:$V$294=I$1703)*1,($C$6:$V$6="Theorie")*1,$C$9:$V$9))</f>
        <v/>
      </c>
      <c r="J2188" s="64">
        <f>IF(J1978=0,"",SUMPRODUCT($C$1659:$V$1659,($C$294:$V$294=J$1703)*1,($C$6:$V$6="Theorie")*1,$C$9:$V$9,$C$84:$V$84)/SUMPRODUCT($C$1659:$V$1659,($C$294:$V$294=J$1703)*1,($C$6:$V$6="Theorie")*1,$C$9:$V$9))</f>
        <v/>
      </c>
    </row>
    <row r="2189">
      <c r="C2189" s="64">
        <f>IF(C1979=0,"",SUMPRODUCT($C$1660:$V$1660,($C$295:$V$295=C$1703)*1,($C$6:$V$6="Theorie")*1,$C$9:$V$9,$C$85:$V$85)/SUMPRODUCT($C$1660:$V$1660,($C$295:$V$295=C$1703)*1,($C$6:$V$6="Theorie")*1,$C$9:$V$9))</f>
        <v/>
      </c>
      <c r="D2189" s="64">
        <f>IF(D1979=0,"",SUMPRODUCT($C$1660:$V$1660,($C$295:$V$295=D$1703)*1,($C$6:$V$6="Theorie")*1,$C$9:$V$9,$C$85:$V$85)/SUMPRODUCT($C$1660:$V$1660,($C$295:$V$295=D$1703)*1,($C$6:$V$6="Theorie")*1,$C$9:$V$9))</f>
        <v/>
      </c>
      <c r="E2189" s="64">
        <f>IF(E1979=0,"",SUMPRODUCT($C$1660:$V$1660,($C$295:$V$295=E$1703)*1,($C$6:$V$6="Theorie")*1,$C$9:$V$9,$C$85:$V$85)/SUMPRODUCT($C$1660:$V$1660,($C$295:$V$295=E$1703)*1,($C$6:$V$6="Theorie")*1,$C$9:$V$9))</f>
        <v/>
      </c>
      <c r="F2189" s="64">
        <f>IF(F1979=0,"",SUMPRODUCT($C$1660:$V$1660,($C$295:$V$295=F$1703)*1,($C$6:$V$6="Theorie")*1,$C$9:$V$9,$C$85:$V$85)/SUMPRODUCT($C$1660:$V$1660,($C$295:$V$295=F$1703)*1,($C$6:$V$6="Theorie")*1,$C$9:$V$9))</f>
        <v/>
      </c>
      <c r="G2189" s="64">
        <f>IF(G1979=0,"",SUMPRODUCT($C$1660:$V$1660,($C$295:$V$295=G$1703)*1,($C$6:$V$6="Theorie")*1,$C$9:$V$9,$C$85:$V$85)/SUMPRODUCT($C$1660:$V$1660,($C$295:$V$295=G$1703)*1,($C$6:$V$6="Theorie")*1,$C$9:$V$9))</f>
        <v/>
      </c>
      <c r="H2189" s="64">
        <f>IF(H1979=0,"",SUMPRODUCT($C$1660:$V$1660,($C$295:$V$295=H$1703)*1,($C$6:$V$6="Theorie")*1,$C$9:$V$9,$C$85:$V$85)/SUMPRODUCT($C$1660:$V$1660,($C$295:$V$295=H$1703)*1,($C$6:$V$6="Theorie")*1,$C$9:$V$9))</f>
        <v/>
      </c>
      <c r="I2189" s="64">
        <f>IF(I1979=0,"",SUMPRODUCT($C$1660:$V$1660,($C$295:$V$295=I$1703)*1,($C$6:$V$6="Theorie")*1,$C$9:$V$9,$C$85:$V$85)/SUMPRODUCT($C$1660:$V$1660,($C$295:$V$295=I$1703)*1,($C$6:$V$6="Theorie")*1,$C$9:$V$9))</f>
        <v/>
      </c>
      <c r="J2189" s="64">
        <f>IF(J1979=0,"",SUMPRODUCT($C$1660:$V$1660,($C$295:$V$295=J$1703)*1,($C$6:$V$6="Theorie")*1,$C$9:$V$9,$C$85:$V$85)/SUMPRODUCT($C$1660:$V$1660,($C$295:$V$295=J$1703)*1,($C$6:$V$6="Theorie")*1,$C$9:$V$9))</f>
        <v/>
      </c>
    </row>
    <row r="2190">
      <c r="C2190" s="64">
        <f>IF(C1980=0,"",SUMPRODUCT($C$1661:$V$1661,($C$296:$V$296=C$1703)*1,($C$6:$V$6="Theorie")*1,$C$9:$V$9,$C$86:$V$86)/SUMPRODUCT($C$1661:$V$1661,($C$296:$V$296=C$1703)*1,($C$6:$V$6="Theorie")*1,$C$9:$V$9))</f>
        <v/>
      </c>
      <c r="D2190" s="64">
        <f>IF(D1980=0,"",SUMPRODUCT($C$1661:$V$1661,($C$296:$V$296=D$1703)*1,($C$6:$V$6="Theorie")*1,$C$9:$V$9,$C$86:$V$86)/SUMPRODUCT($C$1661:$V$1661,($C$296:$V$296=D$1703)*1,($C$6:$V$6="Theorie")*1,$C$9:$V$9))</f>
        <v/>
      </c>
      <c r="E2190" s="64">
        <f>IF(E1980=0,"",SUMPRODUCT($C$1661:$V$1661,($C$296:$V$296=E$1703)*1,($C$6:$V$6="Theorie")*1,$C$9:$V$9,$C$86:$V$86)/SUMPRODUCT($C$1661:$V$1661,($C$296:$V$296=E$1703)*1,($C$6:$V$6="Theorie")*1,$C$9:$V$9))</f>
        <v/>
      </c>
      <c r="F2190" s="64">
        <f>IF(F1980=0,"",SUMPRODUCT($C$1661:$V$1661,($C$296:$V$296=F$1703)*1,($C$6:$V$6="Theorie")*1,$C$9:$V$9,$C$86:$V$86)/SUMPRODUCT($C$1661:$V$1661,($C$296:$V$296=F$1703)*1,($C$6:$V$6="Theorie")*1,$C$9:$V$9))</f>
        <v/>
      </c>
      <c r="G2190" s="64">
        <f>IF(G1980=0,"",SUMPRODUCT($C$1661:$V$1661,($C$296:$V$296=G$1703)*1,($C$6:$V$6="Theorie")*1,$C$9:$V$9,$C$86:$V$86)/SUMPRODUCT($C$1661:$V$1661,($C$296:$V$296=G$1703)*1,($C$6:$V$6="Theorie")*1,$C$9:$V$9))</f>
        <v/>
      </c>
      <c r="H2190" s="64">
        <f>IF(H1980=0,"",SUMPRODUCT($C$1661:$V$1661,($C$296:$V$296=H$1703)*1,($C$6:$V$6="Theorie")*1,$C$9:$V$9,$C$86:$V$86)/SUMPRODUCT($C$1661:$V$1661,($C$296:$V$296=H$1703)*1,($C$6:$V$6="Theorie")*1,$C$9:$V$9))</f>
        <v/>
      </c>
      <c r="I2190" s="64">
        <f>IF(I1980=0,"",SUMPRODUCT($C$1661:$V$1661,($C$296:$V$296=I$1703)*1,($C$6:$V$6="Theorie")*1,$C$9:$V$9,$C$86:$V$86)/SUMPRODUCT($C$1661:$V$1661,($C$296:$V$296=I$1703)*1,($C$6:$V$6="Theorie")*1,$C$9:$V$9))</f>
        <v/>
      </c>
      <c r="J2190" s="64">
        <f>IF(J1980=0,"",SUMPRODUCT($C$1661:$V$1661,($C$296:$V$296=J$1703)*1,($C$6:$V$6="Theorie")*1,$C$9:$V$9,$C$86:$V$86)/SUMPRODUCT($C$1661:$V$1661,($C$296:$V$296=J$1703)*1,($C$6:$V$6="Theorie")*1,$C$9:$V$9))</f>
        <v/>
      </c>
    </row>
    <row r="2191">
      <c r="C2191" s="64">
        <f>IF(C1981=0,"",SUMPRODUCT($C$1662:$V$1662,($C$297:$V$297=C$1703)*1,($C$6:$V$6="Theorie")*1,$C$9:$V$9,$C$87:$V$87)/SUMPRODUCT($C$1662:$V$1662,($C$297:$V$297=C$1703)*1,($C$6:$V$6="Theorie")*1,$C$9:$V$9))</f>
        <v/>
      </c>
      <c r="D2191" s="64">
        <f>IF(D1981=0,"",SUMPRODUCT($C$1662:$V$1662,($C$297:$V$297=D$1703)*1,($C$6:$V$6="Theorie")*1,$C$9:$V$9,$C$87:$V$87)/SUMPRODUCT($C$1662:$V$1662,($C$297:$V$297=D$1703)*1,($C$6:$V$6="Theorie")*1,$C$9:$V$9))</f>
        <v/>
      </c>
      <c r="E2191" s="64">
        <f>IF(E1981=0,"",SUMPRODUCT($C$1662:$V$1662,($C$297:$V$297=E$1703)*1,($C$6:$V$6="Theorie")*1,$C$9:$V$9,$C$87:$V$87)/SUMPRODUCT($C$1662:$V$1662,($C$297:$V$297=E$1703)*1,($C$6:$V$6="Theorie")*1,$C$9:$V$9))</f>
        <v/>
      </c>
      <c r="F2191" s="64">
        <f>IF(F1981=0,"",SUMPRODUCT($C$1662:$V$1662,($C$297:$V$297=F$1703)*1,($C$6:$V$6="Theorie")*1,$C$9:$V$9,$C$87:$V$87)/SUMPRODUCT($C$1662:$V$1662,($C$297:$V$297=F$1703)*1,($C$6:$V$6="Theorie")*1,$C$9:$V$9))</f>
        <v/>
      </c>
      <c r="G2191" s="64">
        <f>IF(G1981=0,"",SUMPRODUCT($C$1662:$V$1662,($C$297:$V$297=G$1703)*1,($C$6:$V$6="Theorie")*1,$C$9:$V$9,$C$87:$V$87)/SUMPRODUCT($C$1662:$V$1662,($C$297:$V$297=G$1703)*1,($C$6:$V$6="Theorie")*1,$C$9:$V$9))</f>
        <v/>
      </c>
      <c r="H2191" s="64">
        <f>IF(H1981=0,"",SUMPRODUCT($C$1662:$V$1662,($C$297:$V$297=H$1703)*1,($C$6:$V$6="Theorie")*1,$C$9:$V$9,$C$87:$V$87)/SUMPRODUCT($C$1662:$V$1662,($C$297:$V$297=H$1703)*1,($C$6:$V$6="Theorie")*1,$C$9:$V$9))</f>
        <v/>
      </c>
      <c r="I2191" s="64">
        <f>IF(I1981=0,"",SUMPRODUCT($C$1662:$V$1662,($C$297:$V$297=I$1703)*1,($C$6:$V$6="Theorie")*1,$C$9:$V$9,$C$87:$V$87)/SUMPRODUCT($C$1662:$V$1662,($C$297:$V$297=I$1703)*1,($C$6:$V$6="Theorie")*1,$C$9:$V$9))</f>
        <v/>
      </c>
      <c r="J2191" s="64">
        <f>IF(J1981=0,"",SUMPRODUCT($C$1662:$V$1662,($C$297:$V$297=J$1703)*1,($C$6:$V$6="Theorie")*1,$C$9:$V$9,$C$87:$V$87)/SUMPRODUCT($C$1662:$V$1662,($C$297:$V$297=J$1703)*1,($C$6:$V$6="Theorie")*1,$C$9:$V$9))</f>
        <v/>
      </c>
    </row>
    <row r="2192">
      <c r="C2192" s="64">
        <f>IF(C1982=0,"",SUMPRODUCT($C$1663:$V$1663,($C$298:$V$298=C$1703)*1,($C$6:$V$6="Theorie")*1,$C$9:$V$9,$C$88:$V$88)/SUMPRODUCT($C$1663:$V$1663,($C$298:$V$298=C$1703)*1,($C$6:$V$6="Theorie")*1,$C$9:$V$9))</f>
        <v/>
      </c>
      <c r="D2192" s="64">
        <f>IF(D1982=0,"",SUMPRODUCT($C$1663:$V$1663,($C$298:$V$298=D$1703)*1,($C$6:$V$6="Theorie")*1,$C$9:$V$9,$C$88:$V$88)/SUMPRODUCT($C$1663:$V$1663,($C$298:$V$298=D$1703)*1,($C$6:$V$6="Theorie")*1,$C$9:$V$9))</f>
        <v/>
      </c>
      <c r="E2192" s="64">
        <f>IF(E1982=0,"",SUMPRODUCT($C$1663:$V$1663,($C$298:$V$298=E$1703)*1,($C$6:$V$6="Theorie")*1,$C$9:$V$9,$C$88:$V$88)/SUMPRODUCT($C$1663:$V$1663,($C$298:$V$298=E$1703)*1,($C$6:$V$6="Theorie")*1,$C$9:$V$9))</f>
        <v/>
      </c>
      <c r="F2192" s="64">
        <f>IF(F1982=0,"",SUMPRODUCT($C$1663:$V$1663,($C$298:$V$298=F$1703)*1,($C$6:$V$6="Theorie")*1,$C$9:$V$9,$C$88:$V$88)/SUMPRODUCT($C$1663:$V$1663,($C$298:$V$298=F$1703)*1,($C$6:$V$6="Theorie")*1,$C$9:$V$9))</f>
        <v/>
      </c>
      <c r="G2192" s="64">
        <f>IF(G1982=0,"",SUMPRODUCT($C$1663:$V$1663,($C$298:$V$298=G$1703)*1,($C$6:$V$6="Theorie")*1,$C$9:$V$9,$C$88:$V$88)/SUMPRODUCT($C$1663:$V$1663,($C$298:$V$298=G$1703)*1,($C$6:$V$6="Theorie")*1,$C$9:$V$9))</f>
        <v/>
      </c>
      <c r="H2192" s="64">
        <f>IF(H1982=0,"",SUMPRODUCT($C$1663:$V$1663,($C$298:$V$298=H$1703)*1,($C$6:$V$6="Theorie")*1,$C$9:$V$9,$C$88:$V$88)/SUMPRODUCT($C$1663:$V$1663,($C$298:$V$298=H$1703)*1,($C$6:$V$6="Theorie")*1,$C$9:$V$9))</f>
        <v/>
      </c>
      <c r="I2192" s="64">
        <f>IF(I1982=0,"",SUMPRODUCT($C$1663:$V$1663,($C$298:$V$298=I$1703)*1,($C$6:$V$6="Theorie")*1,$C$9:$V$9,$C$88:$V$88)/SUMPRODUCT($C$1663:$V$1663,($C$298:$V$298=I$1703)*1,($C$6:$V$6="Theorie")*1,$C$9:$V$9))</f>
        <v/>
      </c>
      <c r="J2192" s="64">
        <f>IF(J1982=0,"",SUMPRODUCT($C$1663:$V$1663,($C$298:$V$298=J$1703)*1,($C$6:$V$6="Theorie")*1,$C$9:$V$9,$C$88:$V$88)/SUMPRODUCT($C$1663:$V$1663,($C$298:$V$298=J$1703)*1,($C$6:$V$6="Theorie")*1,$C$9:$V$9))</f>
        <v/>
      </c>
    </row>
    <row r="2193">
      <c r="C2193" s="64">
        <f>IF(C1983=0,"",SUMPRODUCT($C$1664:$V$1664,($C$299:$V$299=C$1703)*1,($C$6:$V$6="Theorie")*1,$C$9:$V$9,$C$89:$V$89)/SUMPRODUCT($C$1664:$V$1664,($C$299:$V$299=C$1703)*1,($C$6:$V$6="Theorie")*1,$C$9:$V$9))</f>
        <v/>
      </c>
      <c r="D2193" s="64">
        <f>IF(D1983=0,"",SUMPRODUCT($C$1664:$V$1664,($C$299:$V$299=D$1703)*1,($C$6:$V$6="Theorie")*1,$C$9:$V$9,$C$89:$V$89)/SUMPRODUCT($C$1664:$V$1664,($C$299:$V$299=D$1703)*1,($C$6:$V$6="Theorie")*1,$C$9:$V$9))</f>
        <v/>
      </c>
      <c r="E2193" s="64">
        <f>IF(E1983=0,"",SUMPRODUCT($C$1664:$V$1664,($C$299:$V$299=E$1703)*1,($C$6:$V$6="Theorie")*1,$C$9:$V$9,$C$89:$V$89)/SUMPRODUCT($C$1664:$V$1664,($C$299:$V$299=E$1703)*1,($C$6:$V$6="Theorie")*1,$C$9:$V$9))</f>
        <v/>
      </c>
      <c r="F2193" s="64">
        <f>IF(F1983=0,"",SUMPRODUCT($C$1664:$V$1664,($C$299:$V$299=F$1703)*1,($C$6:$V$6="Theorie")*1,$C$9:$V$9,$C$89:$V$89)/SUMPRODUCT($C$1664:$V$1664,($C$299:$V$299=F$1703)*1,($C$6:$V$6="Theorie")*1,$C$9:$V$9))</f>
        <v/>
      </c>
      <c r="G2193" s="64">
        <f>IF(G1983=0,"",SUMPRODUCT($C$1664:$V$1664,($C$299:$V$299=G$1703)*1,($C$6:$V$6="Theorie")*1,$C$9:$V$9,$C$89:$V$89)/SUMPRODUCT($C$1664:$V$1664,($C$299:$V$299=G$1703)*1,($C$6:$V$6="Theorie")*1,$C$9:$V$9))</f>
        <v/>
      </c>
      <c r="H2193" s="64">
        <f>IF(H1983=0,"",SUMPRODUCT($C$1664:$V$1664,($C$299:$V$299=H$1703)*1,($C$6:$V$6="Theorie")*1,$C$9:$V$9,$C$89:$V$89)/SUMPRODUCT($C$1664:$V$1664,($C$299:$V$299=H$1703)*1,($C$6:$V$6="Theorie")*1,$C$9:$V$9))</f>
        <v/>
      </c>
      <c r="I2193" s="64">
        <f>IF(I1983=0,"",SUMPRODUCT($C$1664:$V$1664,($C$299:$V$299=I$1703)*1,($C$6:$V$6="Theorie")*1,$C$9:$V$9,$C$89:$V$89)/SUMPRODUCT($C$1664:$V$1664,($C$299:$V$299=I$1703)*1,($C$6:$V$6="Theorie")*1,$C$9:$V$9))</f>
        <v/>
      </c>
      <c r="J2193" s="64">
        <f>IF(J1983=0,"",SUMPRODUCT($C$1664:$V$1664,($C$299:$V$299=J$1703)*1,($C$6:$V$6="Theorie")*1,$C$9:$V$9,$C$89:$V$89)/SUMPRODUCT($C$1664:$V$1664,($C$299:$V$299=J$1703)*1,($C$6:$V$6="Theorie")*1,$C$9:$V$9))</f>
        <v/>
      </c>
    </row>
    <row r="2194">
      <c r="C2194" s="64">
        <f>IF(C1984=0,"",SUMPRODUCT($C$1665:$V$1665,($C$300:$V$300=C$1703)*1,($C$6:$V$6="Theorie")*1,$C$9:$V$9,$C$90:$V$90)/SUMPRODUCT($C$1665:$V$1665,($C$300:$V$300=C$1703)*1,($C$6:$V$6="Theorie")*1,$C$9:$V$9))</f>
        <v/>
      </c>
      <c r="D2194" s="64">
        <f>IF(D1984=0,"",SUMPRODUCT($C$1665:$V$1665,($C$300:$V$300=D$1703)*1,($C$6:$V$6="Theorie")*1,$C$9:$V$9,$C$90:$V$90)/SUMPRODUCT($C$1665:$V$1665,($C$300:$V$300=D$1703)*1,($C$6:$V$6="Theorie")*1,$C$9:$V$9))</f>
        <v/>
      </c>
      <c r="E2194" s="64">
        <f>IF(E1984=0,"",SUMPRODUCT($C$1665:$V$1665,($C$300:$V$300=E$1703)*1,($C$6:$V$6="Theorie")*1,$C$9:$V$9,$C$90:$V$90)/SUMPRODUCT($C$1665:$V$1665,($C$300:$V$300=E$1703)*1,($C$6:$V$6="Theorie")*1,$C$9:$V$9))</f>
        <v/>
      </c>
      <c r="F2194" s="64">
        <f>IF(F1984=0,"",SUMPRODUCT($C$1665:$V$1665,($C$300:$V$300=F$1703)*1,($C$6:$V$6="Theorie")*1,$C$9:$V$9,$C$90:$V$90)/SUMPRODUCT($C$1665:$V$1665,($C$300:$V$300=F$1703)*1,($C$6:$V$6="Theorie")*1,$C$9:$V$9))</f>
        <v/>
      </c>
      <c r="G2194" s="64">
        <f>IF(G1984=0,"",SUMPRODUCT($C$1665:$V$1665,($C$300:$V$300=G$1703)*1,($C$6:$V$6="Theorie")*1,$C$9:$V$9,$C$90:$V$90)/SUMPRODUCT($C$1665:$V$1665,($C$300:$V$300=G$1703)*1,($C$6:$V$6="Theorie")*1,$C$9:$V$9))</f>
        <v/>
      </c>
      <c r="H2194" s="64">
        <f>IF(H1984=0,"",SUMPRODUCT($C$1665:$V$1665,($C$300:$V$300=H$1703)*1,($C$6:$V$6="Theorie")*1,$C$9:$V$9,$C$90:$V$90)/SUMPRODUCT($C$1665:$V$1665,($C$300:$V$300=H$1703)*1,($C$6:$V$6="Theorie")*1,$C$9:$V$9))</f>
        <v/>
      </c>
      <c r="I2194" s="64">
        <f>IF(I1984=0,"",SUMPRODUCT($C$1665:$V$1665,($C$300:$V$300=I$1703)*1,($C$6:$V$6="Theorie")*1,$C$9:$V$9,$C$90:$V$90)/SUMPRODUCT($C$1665:$V$1665,($C$300:$V$300=I$1703)*1,($C$6:$V$6="Theorie")*1,$C$9:$V$9))</f>
        <v/>
      </c>
      <c r="J2194" s="64">
        <f>IF(J1984=0,"",SUMPRODUCT($C$1665:$V$1665,($C$300:$V$300=J$1703)*1,($C$6:$V$6="Theorie")*1,$C$9:$V$9,$C$90:$V$90)/SUMPRODUCT($C$1665:$V$1665,($C$300:$V$300=J$1703)*1,($C$6:$V$6="Theorie")*1,$C$9:$V$9))</f>
        <v/>
      </c>
    </row>
    <row r="2195">
      <c r="C2195" s="64">
        <f>IF(C1985=0,"",SUMPRODUCT($C$1666:$V$1666,($C$301:$V$301=C$1703)*1,($C$6:$V$6="Theorie")*1,$C$9:$V$9,$C$91:$V$91)/SUMPRODUCT($C$1666:$V$1666,($C$301:$V$301=C$1703)*1,($C$6:$V$6="Theorie")*1,$C$9:$V$9))</f>
        <v/>
      </c>
      <c r="D2195" s="64">
        <f>IF(D1985=0,"",SUMPRODUCT($C$1666:$V$1666,($C$301:$V$301=D$1703)*1,($C$6:$V$6="Theorie")*1,$C$9:$V$9,$C$91:$V$91)/SUMPRODUCT($C$1666:$V$1666,($C$301:$V$301=D$1703)*1,($C$6:$V$6="Theorie")*1,$C$9:$V$9))</f>
        <v/>
      </c>
      <c r="E2195" s="64">
        <f>IF(E1985=0,"",SUMPRODUCT($C$1666:$V$1666,($C$301:$V$301=E$1703)*1,($C$6:$V$6="Theorie")*1,$C$9:$V$9,$C$91:$V$91)/SUMPRODUCT($C$1666:$V$1666,($C$301:$V$301=E$1703)*1,($C$6:$V$6="Theorie")*1,$C$9:$V$9))</f>
        <v/>
      </c>
      <c r="F2195" s="64">
        <f>IF(F1985=0,"",SUMPRODUCT($C$1666:$V$1666,($C$301:$V$301=F$1703)*1,($C$6:$V$6="Theorie")*1,$C$9:$V$9,$C$91:$V$91)/SUMPRODUCT($C$1666:$V$1666,($C$301:$V$301=F$1703)*1,($C$6:$V$6="Theorie")*1,$C$9:$V$9))</f>
        <v/>
      </c>
      <c r="G2195" s="64">
        <f>IF(G1985=0,"",SUMPRODUCT($C$1666:$V$1666,($C$301:$V$301=G$1703)*1,($C$6:$V$6="Theorie")*1,$C$9:$V$9,$C$91:$V$91)/SUMPRODUCT($C$1666:$V$1666,($C$301:$V$301=G$1703)*1,($C$6:$V$6="Theorie")*1,$C$9:$V$9))</f>
        <v/>
      </c>
      <c r="H2195" s="64">
        <f>IF(H1985=0,"",SUMPRODUCT($C$1666:$V$1666,($C$301:$V$301=H$1703)*1,($C$6:$V$6="Theorie")*1,$C$9:$V$9,$C$91:$V$91)/SUMPRODUCT($C$1666:$V$1666,($C$301:$V$301=H$1703)*1,($C$6:$V$6="Theorie")*1,$C$9:$V$9))</f>
        <v/>
      </c>
      <c r="I2195" s="64">
        <f>IF(I1985=0,"",SUMPRODUCT($C$1666:$V$1666,($C$301:$V$301=I$1703)*1,($C$6:$V$6="Theorie")*1,$C$9:$V$9,$C$91:$V$91)/SUMPRODUCT($C$1666:$V$1666,($C$301:$V$301=I$1703)*1,($C$6:$V$6="Theorie")*1,$C$9:$V$9))</f>
        <v/>
      </c>
      <c r="J2195" s="64">
        <f>IF(J1985=0,"",SUMPRODUCT($C$1666:$V$1666,($C$301:$V$301=J$1703)*1,($C$6:$V$6="Theorie")*1,$C$9:$V$9,$C$91:$V$91)/SUMPRODUCT($C$1666:$V$1666,($C$301:$V$301=J$1703)*1,($C$6:$V$6="Theorie")*1,$C$9:$V$9))</f>
        <v/>
      </c>
    </row>
    <row r="2196">
      <c r="C2196" s="64">
        <f>IF(C1986=0,"",SUMPRODUCT($C$1667:$V$1667,($C$302:$V$302=C$1703)*1,($C$6:$V$6="Theorie")*1,$C$9:$V$9,$C$92:$V$92)/SUMPRODUCT($C$1667:$V$1667,($C$302:$V$302=C$1703)*1,($C$6:$V$6="Theorie")*1,$C$9:$V$9))</f>
        <v/>
      </c>
      <c r="D2196" s="64">
        <f>IF(D1986=0,"",SUMPRODUCT($C$1667:$V$1667,($C$302:$V$302=D$1703)*1,($C$6:$V$6="Theorie")*1,$C$9:$V$9,$C$92:$V$92)/SUMPRODUCT($C$1667:$V$1667,($C$302:$V$302=D$1703)*1,($C$6:$V$6="Theorie")*1,$C$9:$V$9))</f>
        <v/>
      </c>
      <c r="E2196" s="64">
        <f>IF(E1986=0,"",SUMPRODUCT($C$1667:$V$1667,($C$302:$V$302=E$1703)*1,($C$6:$V$6="Theorie")*1,$C$9:$V$9,$C$92:$V$92)/SUMPRODUCT($C$1667:$V$1667,($C$302:$V$302=E$1703)*1,($C$6:$V$6="Theorie")*1,$C$9:$V$9))</f>
        <v/>
      </c>
      <c r="F2196" s="64">
        <f>IF(F1986=0,"",SUMPRODUCT($C$1667:$V$1667,($C$302:$V$302=F$1703)*1,($C$6:$V$6="Theorie")*1,$C$9:$V$9,$C$92:$V$92)/SUMPRODUCT($C$1667:$V$1667,($C$302:$V$302=F$1703)*1,($C$6:$V$6="Theorie")*1,$C$9:$V$9))</f>
        <v/>
      </c>
      <c r="G2196" s="64">
        <f>IF(G1986=0,"",SUMPRODUCT($C$1667:$V$1667,($C$302:$V$302=G$1703)*1,($C$6:$V$6="Theorie")*1,$C$9:$V$9,$C$92:$V$92)/SUMPRODUCT($C$1667:$V$1667,($C$302:$V$302=G$1703)*1,($C$6:$V$6="Theorie")*1,$C$9:$V$9))</f>
        <v/>
      </c>
      <c r="H2196" s="64">
        <f>IF(H1986=0,"",SUMPRODUCT($C$1667:$V$1667,($C$302:$V$302=H$1703)*1,($C$6:$V$6="Theorie")*1,$C$9:$V$9,$C$92:$V$92)/SUMPRODUCT($C$1667:$V$1667,($C$302:$V$302=H$1703)*1,($C$6:$V$6="Theorie")*1,$C$9:$V$9))</f>
        <v/>
      </c>
      <c r="I2196" s="64">
        <f>IF(I1986=0,"",SUMPRODUCT($C$1667:$V$1667,($C$302:$V$302=I$1703)*1,($C$6:$V$6="Theorie")*1,$C$9:$V$9,$C$92:$V$92)/SUMPRODUCT($C$1667:$V$1667,($C$302:$V$302=I$1703)*1,($C$6:$V$6="Theorie")*1,$C$9:$V$9))</f>
        <v/>
      </c>
      <c r="J2196" s="64">
        <f>IF(J1986=0,"",SUMPRODUCT($C$1667:$V$1667,($C$302:$V$302=J$1703)*1,($C$6:$V$6="Theorie")*1,$C$9:$V$9,$C$92:$V$92)/SUMPRODUCT($C$1667:$V$1667,($C$302:$V$302=J$1703)*1,($C$6:$V$6="Theorie")*1,$C$9:$V$9))</f>
        <v/>
      </c>
    </row>
    <row r="2197">
      <c r="C2197" s="64">
        <f>IF(C1987=0,"",SUMPRODUCT($C$1668:$V$1668,($C$303:$V$303=C$1703)*1,($C$6:$V$6="Theorie")*1,$C$9:$V$9,$C$93:$V$93)/SUMPRODUCT($C$1668:$V$1668,($C$303:$V$303=C$1703)*1,($C$6:$V$6="Theorie")*1,$C$9:$V$9))</f>
        <v/>
      </c>
      <c r="D2197" s="64">
        <f>IF(D1987=0,"",SUMPRODUCT($C$1668:$V$1668,($C$303:$V$303=D$1703)*1,($C$6:$V$6="Theorie")*1,$C$9:$V$9,$C$93:$V$93)/SUMPRODUCT($C$1668:$V$1668,($C$303:$V$303=D$1703)*1,($C$6:$V$6="Theorie")*1,$C$9:$V$9))</f>
        <v/>
      </c>
      <c r="E2197" s="64">
        <f>IF(E1987=0,"",SUMPRODUCT($C$1668:$V$1668,($C$303:$V$303=E$1703)*1,($C$6:$V$6="Theorie")*1,$C$9:$V$9,$C$93:$V$93)/SUMPRODUCT($C$1668:$V$1668,($C$303:$V$303=E$1703)*1,($C$6:$V$6="Theorie")*1,$C$9:$V$9))</f>
        <v/>
      </c>
      <c r="F2197" s="64">
        <f>IF(F1987=0,"",SUMPRODUCT($C$1668:$V$1668,($C$303:$V$303=F$1703)*1,($C$6:$V$6="Theorie")*1,$C$9:$V$9,$C$93:$V$93)/SUMPRODUCT($C$1668:$V$1668,($C$303:$V$303=F$1703)*1,($C$6:$V$6="Theorie")*1,$C$9:$V$9))</f>
        <v/>
      </c>
      <c r="G2197" s="64">
        <f>IF(G1987=0,"",SUMPRODUCT($C$1668:$V$1668,($C$303:$V$303=G$1703)*1,($C$6:$V$6="Theorie")*1,$C$9:$V$9,$C$93:$V$93)/SUMPRODUCT($C$1668:$V$1668,($C$303:$V$303=G$1703)*1,($C$6:$V$6="Theorie")*1,$C$9:$V$9))</f>
        <v/>
      </c>
      <c r="H2197" s="64">
        <f>IF(H1987=0,"",SUMPRODUCT($C$1668:$V$1668,($C$303:$V$303=H$1703)*1,($C$6:$V$6="Theorie")*1,$C$9:$V$9,$C$93:$V$93)/SUMPRODUCT($C$1668:$V$1668,($C$303:$V$303=H$1703)*1,($C$6:$V$6="Theorie")*1,$C$9:$V$9))</f>
        <v/>
      </c>
      <c r="I2197" s="64">
        <f>IF(I1987=0,"",SUMPRODUCT($C$1668:$V$1668,($C$303:$V$303=I$1703)*1,($C$6:$V$6="Theorie")*1,$C$9:$V$9,$C$93:$V$93)/SUMPRODUCT($C$1668:$V$1668,($C$303:$V$303=I$1703)*1,($C$6:$V$6="Theorie")*1,$C$9:$V$9))</f>
        <v/>
      </c>
      <c r="J2197" s="64">
        <f>IF(J1987=0,"",SUMPRODUCT($C$1668:$V$1668,($C$303:$V$303=J$1703)*1,($C$6:$V$6="Theorie")*1,$C$9:$V$9,$C$93:$V$93)/SUMPRODUCT($C$1668:$V$1668,($C$303:$V$303=J$1703)*1,($C$6:$V$6="Theorie")*1,$C$9:$V$9))</f>
        <v/>
      </c>
    </row>
    <row r="2198">
      <c r="C2198" s="64">
        <f>IF(C1988=0,"",SUMPRODUCT($C$1669:$V$1669,($C$304:$V$304=C$1703)*1,($C$6:$V$6="Theorie")*1,$C$9:$V$9,$C$94:$V$94)/SUMPRODUCT($C$1669:$V$1669,($C$304:$V$304=C$1703)*1,($C$6:$V$6="Theorie")*1,$C$9:$V$9))</f>
        <v/>
      </c>
      <c r="D2198" s="64">
        <f>IF(D1988=0,"",SUMPRODUCT($C$1669:$V$1669,($C$304:$V$304=D$1703)*1,($C$6:$V$6="Theorie")*1,$C$9:$V$9,$C$94:$V$94)/SUMPRODUCT($C$1669:$V$1669,($C$304:$V$304=D$1703)*1,($C$6:$V$6="Theorie")*1,$C$9:$V$9))</f>
        <v/>
      </c>
      <c r="E2198" s="64">
        <f>IF(E1988=0,"",SUMPRODUCT($C$1669:$V$1669,($C$304:$V$304=E$1703)*1,($C$6:$V$6="Theorie")*1,$C$9:$V$9,$C$94:$V$94)/SUMPRODUCT($C$1669:$V$1669,($C$304:$V$304=E$1703)*1,($C$6:$V$6="Theorie")*1,$C$9:$V$9))</f>
        <v/>
      </c>
      <c r="F2198" s="64">
        <f>IF(F1988=0,"",SUMPRODUCT($C$1669:$V$1669,($C$304:$V$304=F$1703)*1,($C$6:$V$6="Theorie")*1,$C$9:$V$9,$C$94:$V$94)/SUMPRODUCT($C$1669:$V$1669,($C$304:$V$304=F$1703)*1,($C$6:$V$6="Theorie")*1,$C$9:$V$9))</f>
        <v/>
      </c>
      <c r="G2198" s="64">
        <f>IF(G1988=0,"",SUMPRODUCT($C$1669:$V$1669,($C$304:$V$304=G$1703)*1,($C$6:$V$6="Theorie")*1,$C$9:$V$9,$C$94:$V$94)/SUMPRODUCT($C$1669:$V$1669,($C$304:$V$304=G$1703)*1,($C$6:$V$6="Theorie")*1,$C$9:$V$9))</f>
        <v/>
      </c>
      <c r="H2198" s="64">
        <f>IF(H1988=0,"",SUMPRODUCT($C$1669:$V$1669,($C$304:$V$304=H$1703)*1,($C$6:$V$6="Theorie")*1,$C$9:$V$9,$C$94:$V$94)/SUMPRODUCT($C$1669:$V$1669,($C$304:$V$304=H$1703)*1,($C$6:$V$6="Theorie")*1,$C$9:$V$9))</f>
        <v/>
      </c>
      <c r="I2198" s="64">
        <f>IF(I1988=0,"",SUMPRODUCT($C$1669:$V$1669,($C$304:$V$304=I$1703)*1,($C$6:$V$6="Theorie")*1,$C$9:$V$9,$C$94:$V$94)/SUMPRODUCT($C$1669:$V$1669,($C$304:$V$304=I$1703)*1,($C$6:$V$6="Theorie")*1,$C$9:$V$9))</f>
        <v/>
      </c>
      <c r="J2198" s="64">
        <f>IF(J1988=0,"",SUMPRODUCT($C$1669:$V$1669,($C$304:$V$304=J$1703)*1,($C$6:$V$6="Theorie")*1,$C$9:$V$9,$C$94:$V$94)/SUMPRODUCT($C$1669:$V$1669,($C$304:$V$304=J$1703)*1,($C$6:$V$6="Theorie")*1,$C$9:$V$9))</f>
        <v/>
      </c>
    </row>
    <row r="2199">
      <c r="C2199" s="64">
        <f>IF(C1989=0,"",SUMPRODUCT($C$1670:$V$1670,($C$305:$V$305=C$1703)*1,($C$6:$V$6="Theorie")*1,$C$9:$V$9,$C$95:$V$95)/SUMPRODUCT($C$1670:$V$1670,($C$305:$V$305=C$1703)*1,($C$6:$V$6="Theorie")*1,$C$9:$V$9))</f>
        <v/>
      </c>
      <c r="D2199" s="64">
        <f>IF(D1989=0,"",SUMPRODUCT($C$1670:$V$1670,($C$305:$V$305=D$1703)*1,($C$6:$V$6="Theorie")*1,$C$9:$V$9,$C$95:$V$95)/SUMPRODUCT($C$1670:$V$1670,($C$305:$V$305=D$1703)*1,($C$6:$V$6="Theorie")*1,$C$9:$V$9))</f>
        <v/>
      </c>
      <c r="E2199" s="64">
        <f>IF(E1989=0,"",SUMPRODUCT($C$1670:$V$1670,($C$305:$V$305=E$1703)*1,($C$6:$V$6="Theorie")*1,$C$9:$V$9,$C$95:$V$95)/SUMPRODUCT($C$1670:$V$1670,($C$305:$V$305=E$1703)*1,($C$6:$V$6="Theorie")*1,$C$9:$V$9))</f>
        <v/>
      </c>
      <c r="F2199" s="64">
        <f>IF(F1989=0,"",SUMPRODUCT($C$1670:$V$1670,($C$305:$V$305=F$1703)*1,($C$6:$V$6="Theorie")*1,$C$9:$V$9,$C$95:$V$95)/SUMPRODUCT($C$1670:$V$1670,($C$305:$V$305=F$1703)*1,($C$6:$V$6="Theorie")*1,$C$9:$V$9))</f>
        <v/>
      </c>
      <c r="G2199" s="64">
        <f>IF(G1989=0,"",SUMPRODUCT($C$1670:$V$1670,($C$305:$V$305=G$1703)*1,($C$6:$V$6="Theorie")*1,$C$9:$V$9,$C$95:$V$95)/SUMPRODUCT($C$1670:$V$1670,($C$305:$V$305=G$1703)*1,($C$6:$V$6="Theorie")*1,$C$9:$V$9))</f>
        <v/>
      </c>
      <c r="H2199" s="64">
        <f>IF(H1989=0,"",SUMPRODUCT($C$1670:$V$1670,($C$305:$V$305=H$1703)*1,($C$6:$V$6="Theorie")*1,$C$9:$V$9,$C$95:$V$95)/SUMPRODUCT($C$1670:$V$1670,($C$305:$V$305=H$1703)*1,($C$6:$V$6="Theorie")*1,$C$9:$V$9))</f>
        <v/>
      </c>
      <c r="I2199" s="64">
        <f>IF(I1989=0,"",SUMPRODUCT($C$1670:$V$1670,($C$305:$V$305=I$1703)*1,($C$6:$V$6="Theorie")*1,$C$9:$V$9,$C$95:$V$95)/SUMPRODUCT($C$1670:$V$1670,($C$305:$V$305=I$1703)*1,($C$6:$V$6="Theorie")*1,$C$9:$V$9))</f>
        <v/>
      </c>
      <c r="J2199" s="64">
        <f>IF(J1989=0,"",SUMPRODUCT($C$1670:$V$1670,($C$305:$V$305=J$1703)*1,($C$6:$V$6="Theorie")*1,$C$9:$V$9,$C$95:$V$95)/SUMPRODUCT($C$1670:$V$1670,($C$305:$V$305=J$1703)*1,($C$6:$V$6="Theorie")*1,$C$9:$V$9))</f>
        <v/>
      </c>
    </row>
    <row r="2200">
      <c r="C2200" s="64">
        <f>IF(C1990=0,"",SUMPRODUCT($C$1671:$V$1671,($C$306:$V$306=C$1703)*1,($C$6:$V$6="Theorie")*1,$C$9:$V$9,$C$96:$V$96)/SUMPRODUCT($C$1671:$V$1671,($C$306:$V$306=C$1703)*1,($C$6:$V$6="Theorie")*1,$C$9:$V$9))</f>
        <v/>
      </c>
      <c r="D2200" s="64">
        <f>IF(D1990=0,"",SUMPRODUCT($C$1671:$V$1671,($C$306:$V$306=D$1703)*1,($C$6:$V$6="Theorie")*1,$C$9:$V$9,$C$96:$V$96)/SUMPRODUCT($C$1671:$V$1671,($C$306:$V$306=D$1703)*1,($C$6:$V$6="Theorie")*1,$C$9:$V$9))</f>
        <v/>
      </c>
      <c r="E2200" s="64">
        <f>IF(E1990=0,"",SUMPRODUCT($C$1671:$V$1671,($C$306:$V$306=E$1703)*1,($C$6:$V$6="Theorie")*1,$C$9:$V$9,$C$96:$V$96)/SUMPRODUCT($C$1671:$V$1671,($C$306:$V$306=E$1703)*1,($C$6:$V$6="Theorie")*1,$C$9:$V$9))</f>
        <v/>
      </c>
      <c r="F2200" s="64">
        <f>IF(F1990=0,"",SUMPRODUCT($C$1671:$V$1671,($C$306:$V$306=F$1703)*1,($C$6:$V$6="Theorie")*1,$C$9:$V$9,$C$96:$V$96)/SUMPRODUCT($C$1671:$V$1671,($C$306:$V$306=F$1703)*1,($C$6:$V$6="Theorie")*1,$C$9:$V$9))</f>
        <v/>
      </c>
      <c r="G2200" s="64">
        <f>IF(G1990=0,"",SUMPRODUCT($C$1671:$V$1671,($C$306:$V$306=G$1703)*1,($C$6:$V$6="Theorie")*1,$C$9:$V$9,$C$96:$V$96)/SUMPRODUCT($C$1671:$V$1671,($C$306:$V$306=G$1703)*1,($C$6:$V$6="Theorie")*1,$C$9:$V$9))</f>
        <v/>
      </c>
      <c r="H2200" s="64">
        <f>IF(H1990=0,"",SUMPRODUCT($C$1671:$V$1671,($C$306:$V$306=H$1703)*1,($C$6:$V$6="Theorie")*1,$C$9:$V$9,$C$96:$V$96)/SUMPRODUCT($C$1671:$V$1671,($C$306:$V$306=H$1703)*1,($C$6:$V$6="Theorie")*1,$C$9:$V$9))</f>
        <v/>
      </c>
      <c r="I2200" s="64">
        <f>IF(I1990=0,"",SUMPRODUCT($C$1671:$V$1671,($C$306:$V$306=I$1703)*1,($C$6:$V$6="Theorie")*1,$C$9:$V$9,$C$96:$V$96)/SUMPRODUCT($C$1671:$V$1671,($C$306:$V$306=I$1703)*1,($C$6:$V$6="Theorie")*1,$C$9:$V$9))</f>
        <v/>
      </c>
      <c r="J2200" s="64">
        <f>IF(J1990=0,"",SUMPRODUCT($C$1671:$V$1671,($C$306:$V$306=J$1703)*1,($C$6:$V$6="Theorie")*1,$C$9:$V$9,$C$96:$V$96)/SUMPRODUCT($C$1671:$V$1671,($C$306:$V$306=J$1703)*1,($C$6:$V$6="Theorie")*1,$C$9:$V$9))</f>
        <v/>
      </c>
    </row>
    <row r="2201">
      <c r="C2201" s="64">
        <f>IF(C1991=0,"",SUMPRODUCT($C$1672:$V$1672,($C$307:$V$307=C$1703)*1,($C$6:$V$6="Theorie")*1,$C$9:$V$9,$C$97:$V$97)/SUMPRODUCT($C$1672:$V$1672,($C$307:$V$307=C$1703)*1,($C$6:$V$6="Theorie")*1,$C$9:$V$9))</f>
        <v/>
      </c>
      <c r="D2201" s="64">
        <f>IF(D1991=0,"",SUMPRODUCT($C$1672:$V$1672,($C$307:$V$307=D$1703)*1,($C$6:$V$6="Theorie")*1,$C$9:$V$9,$C$97:$V$97)/SUMPRODUCT($C$1672:$V$1672,($C$307:$V$307=D$1703)*1,($C$6:$V$6="Theorie")*1,$C$9:$V$9))</f>
        <v/>
      </c>
      <c r="E2201" s="64">
        <f>IF(E1991=0,"",SUMPRODUCT($C$1672:$V$1672,($C$307:$V$307=E$1703)*1,($C$6:$V$6="Theorie")*1,$C$9:$V$9,$C$97:$V$97)/SUMPRODUCT($C$1672:$V$1672,($C$307:$V$307=E$1703)*1,($C$6:$V$6="Theorie")*1,$C$9:$V$9))</f>
        <v/>
      </c>
      <c r="F2201" s="64">
        <f>IF(F1991=0,"",SUMPRODUCT($C$1672:$V$1672,($C$307:$V$307=F$1703)*1,($C$6:$V$6="Theorie")*1,$C$9:$V$9,$C$97:$V$97)/SUMPRODUCT($C$1672:$V$1672,($C$307:$V$307=F$1703)*1,($C$6:$V$6="Theorie")*1,$C$9:$V$9))</f>
        <v/>
      </c>
      <c r="G2201" s="64">
        <f>IF(G1991=0,"",SUMPRODUCT($C$1672:$V$1672,($C$307:$V$307=G$1703)*1,($C$6:$V$6="Theorie")*1,$C$9:$V$9,$C$97:$V$97)/SUMPRODUCT($C$1672:$V$1672,($C$307:$V$307=G$1703)*1,($C$6:$V$6="Theorie")*1,$C$9:$V$9))</f>
        <v/>
      </c>
      <c r="H2201" s="64">
        <f>IF(H1991=0,"",SUMPRODUCT($C$1672:$V$1672,($C$307:$V$307=H$1703)*1,($C$6:$V$6="Theorie")*1,$C$9:$V$9,$C$97:$V$97)/SUMPRODUCT($C$1672:$V$1672,($C$307:$V$307=H$1703)*1,($C$6:$V$6="Theorie")*1,$C$9:$V$9))</f>
        <v/>
      </c>
      <c r="I2201" s="64">
        <f>IF(I1991=0,"",SUMPRODUCT($C$1672:$V$1672,($C$307:$V$307=I$1703)*1,($C$6:$V$6="Theorie")*1,$C$9:$V$9,$C$97:$V$97)/SUMPRODUCT($C$1672:$V$1672,($C$307:$V$307=I$1703)*1,($C$6:$V$6="Theorie")*1,$C$9:$V$9))</f>
        <v/>
      </c>
      <c r="J2201" s="64">
        <f>IF(J1991=0,"",SUMPRODUCT($C$1672:$V$1672,($C$307:$V$307=J$1703)*1,($C$6:$V$6="Theorie")*1,$C$9:$V$9,$C$97:$V$97)/SUMPRODUCT($C$1672:$V$1672,($C$307:$V$307=J$1703)*1,($C$6:$V$6="Theorie")*1,$C$9:$V$9))</f>
        <v/>
      </c>
    </row>
    <row r="2202">
      <c r="C2202" s="64">
        <f>IF(C1992=0,"",SUMPRODUCT($C$1673:$V$1673,($C$308:$V$308=C$1703)*1,($C$6:$V$6="Theorie")*1,$C$9:$V$9,$C$98:$V$98)/SUMPRODUCT($C$1673:$V$1673,($C$308:$V$308=C$1703)*1,($C$6:$V$6="Theorie")*1,$C$9:$V$9))</f>
        <v/>
      </c>
      <c r="D2202" s="64">
        <f>IF(D1992=0,"",SUMPRODUCT($C$1673:$V$1673,($C$308:$V$308=D$1703)*1,($C$6:$V$6="Theorie")*1,$C$9:$V$9,$C$98:$V$98)/SUMPRODUCT($C$1673:$V$1673,($C$308:$V$308=D$1703)*1,($C$6:$V$6="Theorie")*1,$C$9:$V$9))</f>
        <v/>
      </c>
      <c r="E2202" s="64">
        <f>IF(E1992=0,"",SUMPRODUCT($C$1673:$V$1673,($C$308:$V$308=E$1703)*1,($C$6:$V$6="Theorie")*1,$C$9:$V$9,$C$98:$V$98)/SUMPRODUCT($C$1673:$V$1673,($C$308:$V$308=E$1703)*1,($C$6:$V$6="Theorie")*1,$C$9:$V$9))</f>
        <v/>
      </c>
      <c r="F2202" s="64">
        <f>IF(F1992=0,"",SUMPRODUCT($C$1673:$V$1673,($C$308:$V$308=F$1703)*1,($C$6:$V$6="Theorie")*1,$C$9:$V$9,$C$98:$V$98)/SUMPRODUCT($C$1673:$V$1673,($C$308:$V$308=F$1703)*1,($C$6:$V$6="Theorie")*1,$C$9:$V$9))</f>
        <v/>
      </c>
      <c r="G2202" s="64">
        <f>IF(G1992=0,"",SUMPRODUCT($C$1673:$V$1673,($C$308:$V$308=G$1703)*1,($C$6:$V$6="Theorie")*1,$C$9:$V$9,$C$98:$V$98)/SUMPRODUCT($C$1673:$V$1673,($C$308:$V$308=G$1703)*1,($C$6:$V$6="Theorie")*1,$C$9:$V$9))</f>
        <v/>
      </c>
      <c r="H2202" s="64">
        <f>IF(H1992=0,"",SUMPRODUCT($C$1673:$V$1673,($C$308:$V$308=H$1703)*1,($C$6:$V$6="Theorie")*1,$C$9:$V$9,$C$98:$V$98)/SUMPRODUCT($C$1673:$V$1673,($C$308:$V$308=H$1703)*1,($C$6:$V$6="Theorie")*1,$C$9:$V$9))</f>
        <v/>
      </c>
      <c r="I2202" s="64">
        <f>IF(I1992=0,"",SUMPRODUCT($C$1673:$V$1673,($C$308:$V$308=I$1703)*1,($C$6:$V$6="Theorie")*1,$C$9:$V$9,$C$98:$V$98)/SUMPRODUCT($C$1673:$V$1673,($C$308:$V$308=I$1703)*1,($C$6:$V$6="Theorie")*1,$C$9:$V$9))</f>
        <v/>
      </c>
      <c r="J2202" s="64">
        <f>IF(J1992=0,"",SUMPRODUCT($C$1673:$V$1673,($C$308:$V$308=J$1703)*1,($C$6:$V$6="Theorie")*1,$C$9:$V$9,$C$98:$V$98)/SUMPRODUCT($C$1673:$V$1673,($C$308:$V$308=J$1703)*1,($C$6:$V$6="Theorie")*1,$C$9:$V$9))</f>
        <v/>
      </c>
    </row>
    <row r="2203">
      <c r="C2203" s="64">
        <f>IF(C1993=0,"",SUMPRODUCT($C$1674:$V$1674,($C$309:$V$309=C$1703)*1,($C$6:$V$6="Theorie")*1,$C$9:$V$9,$C$99:$V$99)/SUMPRODUCT($C$1674:$V$1674,($C$309:$V$309=C$1703)*1,($C$6:$V$6="Theorie")*1,$C$9:$V$9))</f>
        <v/>
      </c>
      <c r="D2203" s="64">
        <f>IF(D1993=0,"",SUMPRODUCT($C$1674:$V$1674,($C$309:$V$309=D$1703)*1,($C$6:$V$6="Theorie")*1,$C$9:$V$9,$C$99:$V$99)/SUMPRODUCT($C$1674:$V$1674,($C$309:$V$309=D$1703)*1,($C$6:$V$6="Theorie")*1,$C$9:$V$9))</f>
        <v/>
      </c>
      <c r="E2203" s="64">
        <f>IF(E1993=0,"",SUMPRODUCT($C$1674:$V$1674,($C$309:$V$309=E$1703)*1,($C$6:$V$6="Theorie")*1,$C$9:$V$9,$C$99:$V$99)/SUMPRODUCT($C$1674:$V$1674,($C$309:$V$309=E$1703)*1,($C$6:$V$6="Theorie")*1,$C$9:$V$9))</f>
        <v/>
      </c>
      <c r="F2203" s="64">
        <f>IF(F1993=0,"",SUMPRODUCT($C$1674:$V$1674,($C$309:$V$309=F$1703)*1,($C$6:$V$6="Theorie")*1,$C$9:$V$9,$C$99:$V$99)/SUMPRODUCT($C$1674:$V$1674,($C$309:$V$309=F$1703)*1,($C$6:$V$6="Theorie")*1,$C$9:$V$9))</f>
        <v/>
      </c>
      <c r="G2203" s="64">
        <f>IF(G1993=0,"",SUMPRODUCT($C$1674:$V$1674,($C$309:$V$309=G$1703)*1,($C$6:$V$6="Theorie")*1,$C$9:$V$9,$C$99:$V$99)/SUMPRODUCT($C$1674:$V$1674,($C$309:$V$309=G$1703)*1,($C$6:$V$6="Theorie")*1,$C$9:$V$9))</f>
        <v/>
      </c>
      <c r="H2203" s="64">
        <f>IF(H1993=0,"",SUMPRODUCT($C$1674:$V$1674,($C$309:$V$309=H$1703)*1,($C$6:$V$6="Theorie")*1,$C$9:$V$9,$C$99:$V$99)/SUMPRODUCT($C$1674:$V$1674,($C$309:$V$309=H$1703)*1,($C$6:$V$6="Theorie")*1,$C$9:$V$9))</f>
        <v/>
      </c>
      <c r="I2203" s="64">
        <f>IF(I1993=0,"",SUMPRODUCT($C$1674:$V$1674,($C$309:$V$309=I$1703)*1,($C$6:$V$6="Theorie")*1,$C$9:$V$9,$C$99:$V$99)/SUMPRODUCT($C$1674:$V$1674,($C$309:$V$309=I$1703)*1,($C$6:$V$6="Theorie")*1,$C$9:$V$9))</f>
        <v/>
      </c>
      <c r="J2203" s="64">
        <f>IF(J1993=0,"",SUMPRODUCT($C$1674:$V$1674,($C$309:$V$309=J$1703)*1,($C$6:$V$6="Theorie")*1,$C$9:$V$9,$C$99:$V$99)/SUMPRODUCT($C$1674:$V$1674,($C$309:$V$309=J$1703)*1,($C$6:$V$6="Theorie")*1,$C$9:$V$9))</f>
        <v/>
      </c>
    </row>
    <row r="2204">
      <c r="C2204" s="64">
        <f>IF(C1994=0,"",SUMPRODUCT($C$1675:$V$1675,($C$310:$V$310=C$1703)*1,($C$6:$V$6="Theorie")*1,$C$9:$V$9,$C$100:$V$100)/SUMPRODUCT($C$1675:$V$1675,($C$310:$V$310=C$1703)*1,($C$6:$V$6="Theorie")*1,$C$9:$V$9))</f>
        <v/>
      </c>
      <c r="D2204" s="64">
        <f>IF(D1994=0,"",SUMPRODUCT($C$1675:$V$1675,($C$310:$V$310=D$1703)*1,($C$6:$V$6="Theorie")*1,$C$9:$V$9,$C$100:$V$100)/SUMPRODUCT($C$1675:$V$1675,($C$310:$V$310=D$1703)*1,($C$6:$V$6="Theorie")*1,$C$9:$V$9))</f>
        <v/>
      </c>
      <c r="E2204" s="64">
        <f>IF(E1994=0,"",SUMPRODUCT($C$1675:$V$1675,($C$310:$V$310=E$1703)*1,($C$6:$V$6="Theorie")*1,$C$9:$V$9,$C$100:$V$100)/SUMPRODUCT($C$1675:$V$1675,($C$310:$V$310=E$1703)*1,($C$6:$V$6="Theorie")*1,$C$9:$V$9))</f>
        <v/>
      </c>
      <c r="F2204" s="64">
        <f>IF(F1994=0,"",SUMPRODUCT($C$1675:$V$1675,($C$310:$V$310=F$1703)*1,($C$6:$V$6="Theorie")*1,$C$9:$V$9,$C$100:$V$100)/SUMPRODUCT($C$1675:$V$1675,($C$310:$V$310=F$1703)*1,($C$6:$V$6="Theorie")*1,$C$9:$V$9))</f>
        <v/>
      </c>
      <c r="G2204" s="64">
        <f>IF(G1994=0,"",SUMPRODUCT($C$1675:$V$1675,($C$310:$V$310=G$1703)*1,($C$6:$V$6="Theorie")*1,$C$9:$V$9,$C$100:$V$100)/SUMPRODUCT($C$1675:$V$1675,($C$310:$V$310=G$1703)*1,($C$6:$V$6="Theorie")*1,$C$9:$V$9))</f>
        <v/>
      </c>
      <c r="H2204" s="64">
        <f>IF(H1994=0,"",SUMPRODUCT($C$1675:$V$1675,($C$310:$V$310=H$1703)*1,($C$6:$V$6="Theorie")*1,$C$9:$V$9,$C$100:$V$100)/SUMPRODUCT($C$1675:$V$1675,($C$310:$V$310=H$1703)*1,($C$6:$V$6="Theorie")*1,$C$9:$V$9))</f>
        <v/>
      </c>
      <c r="I2204" s="64">
        <f>IF(I1994=0,"",SUMPRODUCT($C$1675:$V$1675,($C$310:$V$310=I$1703)*1,($C$6:$V$6="Theorie")*1,$C$9:$V$9,$C$100:$V$100)/SUMPRODUCT($C$1675:$V$1675,($C$310:$V$310=I$1703)*1,($C$6:$V$6="Theorie")*1,$C$9:$V$9))</f>
        <v/>
      </c>
      <c r="J2204" s="64">
        <f>IF(J1994=0,"",SUMPRODUCT($C$1675:$V$1675,($C$310:$V$310=J$1703)*1,($C$6:$V$6="Theorie")*1,$C$9:$V$9,$C$100:$V$100)/SUMPRODUCT($C$1675:$V$1675,($C$310:$V$310=J$1703)*1,($C$6:$V$6="Theorie")*1,$C$9:$V$9))</f>
        <v/>
      </c>
    </row>
    <row r="2205">
      <c r="C2205" s="64">
        <f>IF(C1995=0,"",SUMPRODUCT($C$1676:$V$1676,($C$311:$V$311=C$1703)*1,($C$6:$V$6="Theorie")*1,$C$9:$V$9,$C$101:$V$101)/SUMPRODUCT($C$1676:$V$1676,($C$311:$V$311=C$1703)*1,($C$6:$V$6="Theorie")*1,$C$9:$V$9))</f>
        <v/>
      </c>
      <c r="D2205" s="64">
        <f>IF(D1995=0,"",SUMPRODUCT($C$1676:$V$1676,($C$311:$V$311=D$1703)*1,($C$6:$V$6="Theorie")*1,$C$9:$V$9,$C$101:$V$101)/SUMPRODUCT($C$1676:$V$1676,($C$311:$V$311=D$1703)*1,($C$6:$V$6="Theorie")*1,$C$9:$V$9))</f>
        <v/>
      </c>
      <c r="E2205" s="64">
        <f>IF(E1995=0,"",SUMPRODUCT($C$1676:$V$1676,($C$311:$V$311=E$1703)*1,($C$6:$V$6="Theorie")*1,$C$9:$V$9,$C$101:$V$101)/SUMPRODUCT($C$1676:$V$1676,($C$311:$V$311=E$1703)*1,($C$6:$V$6="Theorie")*1,$C$9:$V$9))</f>
        <v/>
      </c>
      <c r="F2205" s="64">
        <f>IF(F1995=0,"",SUMPRODUCT($C$1676:$V$1676,($C$311:$V$311=F$1703)*1,($C$6:$V$6="Theorie")*1,$C$9:$V$9,$C$101:$V$101)/SUMPRODUCT($C$1676:$V$1676,($C$311:$V$311=F$1703)*1,($C$6:$V$6="Theorie")*1,$C$9:$V$9))</f>
        <v/>
      </c>
      <c r="G2205" s="64">
        <f>IF(G1995=0,"",SUMPRODUCT($C$1676:$V$1676,($C$311:$V$311=G$1703)*1,($C$6:$V$6="Theorie")*1,$C$9:$V$9,$C$101:$V$101)/SUMPRODUCT($C$1676:$V$1676,($C$311:$V$311=G$1703)*1,($C$6:$V$6="Theorie")*1,$C$9:$V$9))</f>
        <v/>
      </c>
      <c r="H2205" s="64">
        <f>IF(H1995=0,"",SUMPRODUCT($C$1676:$V$1676,($C$311:$V$311=H$1703)*1,($C$6:$V$6="Theorie")*1,$C$9:$V$9,$C$101:$V$101)/SUMPRODUCT($C$1676:$V$1676,($C$311:$V$311=H$1703)*1,($C$6:$V$6="Theorie")*1,$C$9:$V$9))</f>
        <v/>
      </c>
      <c r="I2205" s="64">
        <f>IF(I1995=0,"",SUMPRODUCT($C$1676:$V$1676,($C$311:$V$311=I$1703)*1,($C$6:$V$6="Theorie")*1,$C$9:$V$9,$C$101:$V$101)/SUMPRODUCT($C$1676:$V$1676,($C$311:$V$311=I$1703)*1,($C$6:$V$6="Theorie")*1,$C$9:$V$9))</f>
        <v/>
      </c>
      <c r="J2205" s="64">
        <f>IF(J1995=0,"",SUMPRODUCT($C$1676:$V$1676,($C$311:$V$311=J$1703)*1,($C$6:$V$6="Theorie")*1,$C$9:$V$9,$C$101:$V$101)/SUMPRODUCT($C$1676:$V$1676,($C$311:$V$311=J$1703)*1,($C$6:$V$6="Theorie")*1,$C$9:$V$9))</f>
        <v/>
      </c>
    </row>
    <row r="2206">
      <c r="C2206" s="64">
        <f>IF(C1996=0,"",SUMPRODUCT($C$1677:$V$1677,($C$312:$V$312=C$1703)*1,($C$6:$V$6="Theorie")*1,$C$9:$V$9,$C$102:$V$102)/SUMPRODUCT($C$1677:$V$1677,($C$312:$V$312=C$1703)*1,($C$6:$V$6="Theorie")*1,$C$9:$V$9))</f>
        <v/>
      </c>
      <c r="D2206" s="64">
        <f>IF(D1996=0,"",SUMPRODUCT($C$1677:$V$1677,($C$312:$V$312=D$1703)*1,($C$6:$V$6="Theorie")*1,$C$9:$V$9,$C$102:$V$102)/SUMPRODUCT($C$1677:$V$1677,($C$312:$V$312=D$1703)*1,($C$6:$V$6="Theorie")*1,$C$9:$V$9))</f>
        <v/>
      </c>
      <c r="E2206" s="64">
        <f>IF(E1996=0,"",SUMPRODUCT($C$1677:$V$1677,($C$312:$V$312=E$1703)*1,($C$6:$V$6="Theorie")*1,$C$9:$V$9,$C$102:$V$102)/SUMPRODUCT($C$1677:$V$1677,($C$312:$V$312=E$1703)*1,($C$6:$V$6="Theorie")*1,$C$9:$V$9))</f>
        <v/>
      </c>
      <c r="F2206" s="64">
        <f>IF(F1996=0,"",SUMPRODUCT($C$1677:$V$1677,($C$312:$V$312=F$1703)*1,($C$6:$V$6="Theorie")*1,$C$9:$V$9,$C$102:$V$102)/SUMPRODUCT($C$1677:$V$1677,($C$312:$V$312=F$1703)*1,($C$6:$V$6="Theorie")*1,$C$9:$V$9))</f>
        <v/>
      </c>
      <c r="G2206" s="64">
        <f>IF(G1996=0,"",SUMPRODUCT($C$1677:$V$1677,($C$312:$V$312=G$1703)*1,($C$6:$V$6="Theorie")*1,$C$9:$V$9,$C$102:$V$102)/SUMPRODUCT($C$1677:$V$1677,($C$312:$V$312=G$1703)*1,($C$6:$V$6="Theorie")*1,$C$9:$V$9))</f>
        <v/>
      </c>
      <c r="H2206" s="64">
        <f>IF(H1996=0,"",SUMPRODUCT($C$1677:$V$1677,($C$312:$V$312=H$1703)*1,($C$6:$V$6="Theorie")*1,$C$9:$V$9,$C$102:$V$102)/SUMPRODUCT($C$1677:$V$1677,($C$312:$V$312=H$1703)*1,($C$6:$V$6="Theorie")*1,$C$9:$V$9))</f>
        <v/>
      </c>
      <c r="I2206" s="64">
        <f>IF(I1996=0,"",SUMPRODUCT($C$1677:$V$1677,($C$312:$V$312=I$1703)*1,($C$6:$V$6="Theorie")*1,$C$9:$V$9,$C$102:$V$102)/SUMPRODUCT($C$1677:$V$1677,($C$312:$V$312=I$1703)*1,($C$6:$V$6="Theorie")*1,$C$9:$V$9))</f>
        <v/>
      </c>
      <c r="J2206" s="64">
        <f>IF(J1996=0,"",SUMPRODUCT($C$1677:$V$1677,($C$312:$V$312=J$1703)*1,($C$6:$V$6="Theorie")*1,$C$9:$V$9,$C$102:$V$102)/SUMPRODUCT($C$1677:$V$1677,($C$312:$V$312=J$1703)*1,($C$6:$V$6="Theorie")*1,$C$9:$V$9))</f>
        <v/>
      </c>
    </row>
    <row r="2207">
      <c r="C2207" s="64">
        <f>IF(C1997=0,"",SUMPRODUCT($C$1678:$V$1678,($C$313:$V$313=C$1703)*1,($C$6:$V$6="Theorie")*1,$C$9:$V$9,$C$103:$V$103)/SUMPRODUCT($C$1678:$V$1678,($C$313:$V$313=C$1703)*1,($C$6:$V$6="Theorie")*1,$C$9:$V$9))</f>
        <v/>
      </c>
      <c r="D2207" s="64">
        <f>IF(D1997=0,"",SUMPRODUCT($C$1678:$V$1678,($C$313:$V$313=D$1703)*1,($C$6:$V$6="Theorie")*1,$C$9:$V$9,$C$103:$V$103)/SUMPRODUCT($C$1678:$V$1678,($C$313:$V$313=D$1703)*1,($C$6:$V$6="Theorie")*1,$C$9:$V$9))</f>
        <v/>
      </c>
      <c r="E2207" s="64">
        <f>IF(E1997=0,"",SUMPRODUCT($C$1678:$V$1678,($C$313:$V$313=E$1703)*1,($C$6:$V$6="Theorie")*1,$C$9:$V$9,$C$103:$V$103)/SUMPRODUCT($C$1678:$V$1678,($C$313:$V$313=E$1703)*1,($C$6:$V$6="Theorie")*1,$C$9:$V$9))</f>
        <v/>
      </c>
      <c r="F2207" s="64">
        <f>IF(F1997=0,"",SUMPRODUCT($C$1678:$V$1678,($C$313:$V$313=F$1703)*1,($C$6:$V$6="Theorie")*1,$C$9:$V$9,$C$103:$V$103)/SUMPRODUCT($C$1678:$V$1678,($C$313:$V$313=F$1703)*1,($C$6:$V$6="Theorie")*1,$C$9:$V$9))</f>
        <v/>
      </c>
      <c r="G2207" s="64">
        <f>IF(G1997=0,"",SUMPRODUCT($C$1678:$V$1678,($C$313:$V$313=G$1703)*1,($C$6:$V$6="Theorie")*1,$C$9:$V$9,$C$103:$V$103)/SUMPRODUCT($C$1678:$V$1678,($C$313:$V$313=G$1703)*1,($C$6:$V$6="Theorie")*1,$C$9:$V$9))</f>
        <v/>
      </c>
      <c r="H2207" s="64">
        <f>IF(H1997=0,"",SUMPRODUCT($C$1678:$V$1678,($C$313:$V$313=H$1703)*1,($C$6:$V$6="Theorie")*1,$C$9:$V$9,$C$103:$V$103)/SUMPRODUCT($C$1678:$V$1678,($C$313:$V$313=H$1703)*1,($C$6:$V$6="Theorie")*1,$C$9:$V$9))</f>
        <v/>
      </c>
      <c r="I2207" s="64">
        <f>IF(I1997=0,"",SUMPRODUCT($C$1678:$V$1678,($C$313:$V$313=I$1703)*1,($C$6:$V$6="Theorie")*1,$C$9:$V$9,$C$103:$V$103)/SUMPRODUCT($C$1678:$V$1678,($C$313:$V$313=I$1703)*1,($C$6:$V$6="Theorie")*1,$C$9:$V$9))</f>
        <v/>
      </c>
      <c r="J2207" s="64">
        <f>IF(J1997=0,"",SUMPRODUCT($C$1678:$V$1678,($C$313:$V$313=J$1703)*1,($C$6:$V$6="Theorie")*1,$C$9:$V$9,$C$103:$V$103)/SUMPRODUCT($C$1678:$V$1678,($C$313:$V$313=J$1703)*1,($C$6:$V$6="Theorie")*1,$C$9:$V$9))</f>
        <v/>
      </c>
    </row>
    <row r="2208">
      <c r="C2208" s="64">
        <f>IF(C1998=0,"",SUMPRODUCT($C$1679:$V$1679,($C$314:$V$314=C$1703)*1,($C$6:$V$6="Theorie")*1,$C$9:$V$9,$C$104:$V$104)/SUMPRODUCT($C$1679:$V$1679,($C$314:$V$314=C$1703)*1,($C$6:$V$6="Theorie")*1,$C$9:$V$9))</f>
        <v/>
      </c>
      <c r="D2208" s="64">
        <f>IF(D1998=0,"",SUMPRODUCT($C$1679:$V$1679,($C$314:$V$314=D$1703)*1,($C$6:$V$6="Theorie")*1,$C$9:$V$9,$C$104:$V$104)/SUMPRODUCT($C$1679:$V$1679,($C$314:$V$314=D$1703)*1,($C$6:$V$6="Theorie")*1,$C$9:$V$9))</f>
        <v/>
      </c>
      <c r="E2208" s="64">
        <f>IF(E1998=0,"",SUMPRODUCT($C$1679:$V$1679,($C$314:$V$314=E$1703)*1,($C$6:$V$6="Theorie")*1,$C$9:$V$9,$C$104:$V$104)/SUMPRODUCT($C$1679:$V$1679,($C$314:$V$314=E$1703)*1,($C$6:$V$6="Theorie")*1,$C$9:$V$9))</f>
        <v/>
      </c>
      <c r="F2208" s="64">
        <f>IF(F1998=0,"",SUMPRODUCT($C$1679:$V$1679,($C$314:$V$314=F$1703)*1,($C$6:$V$6="Theorie")*1,$C$9:$V$9,$C$104:$V$104)/SUMPRODUCT($C$1679:$V$1679,($C$314:$V$314=F$1703)*1,($C$6:$V$6="Theorie")*1,$C$9:$V$9))</f>
        <v/>
      </c>
      <c r="G2208" s="64">
        <f>IF(G1998=0,"",SUMPRODUCT($C$1679:$V$1679,($C$314:$V$314=G$1703)*1,($C$6:$V$6="Theorie")*1,$C$9:$V$9,$C$104:$V$104)/SUMPRODUCT($C$1679:$V$1679,($C$314:$V$314=G$1703)*1,($C$6:$V$6="Theorie")*1,$C$9:$V$9))</f>
        <v/>
      </c>
      <c r="H2208" s="64">
        <f>IF(H1998=0,"",SUMPRODUCT($C$1679:$V$1679,($C$314:$V$314=H$1703)*1,($C$6:$V$6="Theorie")*1,$C$9:$V$9,$C$104:$V$104)/SUMPRODUCT($C$1679:$V$1679,($C$314:$V$314=H$1703)*1,($C$6:$V$6="Theorie")*1,$C$9:$V$9))</f>
        <v/>
      </c>
      <c r="I2208" s="64">
        <f>IF(I1998=0,"",SUMPRODUCT($C$1679:$V$1679,($C$314:$V$314=I$1703)*1,($C$6:$V$6="Theorie")*1,$C$9:$V$9,$C$104:$V$104)/SUMPRODUCT($C$1679:$V$1679,($C$314:$V$314=I$1703)*1,($C$6:$V$6="Theorie")*1,$C$9:$V$9))</f>
        <v/>
      </c>
      <c r="J2208" s="64">
        <f>IF(J1998=0,"",SUMPRODUCT($C$1679:$V$1679,($C$314:$V$314=J$1703)*1,($C$6:$V$6="Theorie")*1,$C$9:$V$9,$C$104:$V$104)/SUMPRODUCT($C$1679:$V$1679,($C$314:$V$314=J$1703)*1,($C$6:$V$6="Theorie")*1,$C$9:$V$9))</f>
        <v/>
      </c>
    </row>
    <row r="2209">
      <c r="C2209" s="64">
        <f>IF(C1999=0,"",SUMPRODUCT($C$1680:$V$1680,($C$315:$V$315=C$1703)*1,($C$6:$V$6="Theorie")*1,$C$9:$V$9,$C$105:$V$105)/SUMPRODUCT($C$1680:$V$1680,($C$315:$V$315=C$1703)*1,($C$6:$V$6="Theorie")*1,$C$9:$V$9))</f>
        <v/>
      </c>
      <c r="D2209" s="64">
        <f>IF(D1999=0,"",SUMPRODUCT($C$1680:$V$1680,($C$315:$V$315=D$1703)*1,($C$6:$V$6="Theorie")*1,$C$9:$V$9,$C$105:$V$105)/SUMPRODUCT($C$1680:$V$1680,($C$315:$V$315=D$1703)*1,($C$6:$V$6="Theorie")*1,$C$9:$V$9))</f>
        <v/>
      </c>
      <c r="E2209" s="64">
        <f>IF(E1999=0,"",SUMPRODUCT($C$1680:$V$1680,($C$315:$V$315=E$1703)*1,($C$6:$V$6="Theorie")*1,$C$9:$V$9,$C$105:$V$105)/SUMPRODUCT($C$1680:$V$1680,($C$315:$V$315=E$1703)*1,($C$6:$V$6="Theorie")*1,$C$9:$V$9))</f>
        <v/>
      </c>
      <c r="F2209" s="64">
        <f>IF(F1999=0,"",SUMPRODUCT($C$1680:$V$1680,($C$315:$V$315=F$1703)*1,($C$6:$V$6="Theorie")*1,$C$9:$V$9,$C$105:$V$105)/SUMPRODUCT($C$1680:$V$1680,($C$315:$V$315=F$1703)*1,($C$6:$V$6="Theorie")*1,$C$9:$V$9))</f>
        <v/>
      </c>
      <c r="G2209" s="64">
        <f>IF(G1999=0,"",SUMPRODUCT($C$1680:$V$1680,($C$315:$V$315=G$1703)*1,($C$6:$V$6="Theorie")*1,$C$9:$V$9,$C$105:$V$105)/SUMPRODUCT($C$1680:$V$1680,($C$315:$V$315=G$1703)*1,($C$6:$V$6="Theorie")*1,$C$9:$V$9))</f>
        <v/>
      </c>
      <c r="H2209" s="64">
        <f>IF(H1999=0,"",SUMPRODUCT($C$1680:$V$1680,($C$315:$V$315=H$1703)*1,($C$6:$V$6="Theorie")*1,$C$9:$V$9,$C$105:$V$105)/SUMPRODUCT($C$1680:$V$1680,($C$315:$V$315=H$1703)*1,($C$6:$V$6="Theorie")*1,$C$9:$V$9))</f>
        <v/>
      </c>
      <c r="I2209" s="64">
        <f>IF(I1999=0,"",SUMPRODUCT($C$1680:$V$1680,($C$315:$V$315=I$1703)*1,($C$6:$V$6="Theorie")*1,$C$9:$V$9,$C$105:$V$105)/SUMPRODUCT($C$1680:$V$1680,($C$315:$V$315=I$1703)*1,($C$6:$V$6="Theorie")*1,$C$9:$V$9))</f>
        <v/>
      </c>
      <c r="J2209" s="64">
        <f>IF(J1999=0,"",SUMPRODUCT($C$1680:$V$1680,($C$315:$V$315=J$1703)*1,($C$6:$V$6="Theorie")*1,$C$9:$V$9,$C$105:$V$105)/SUMPRODUCT($C$1680:$V$1680,($C$315:$V$315=J$1703)*1,($C$6:$V$6="Theorie")*1,$C$9:$V$9))</f>
        <v/>
      </c>
    </row>
    <row r="2210">
      <c r="C2210" s="64">
        <f>IF(C2000=0,"",SUMPRODUCT($C$1681:$V$1681,($C$316:$V$316=C$1703)*1,($C$6:$V$6="Theorie")*1,$C$9:$V$9,$C$106:$V$106)/SUMPRODUCT($C$1681:$V$1681,($C$316:$V$316=C$1703)*1,($C$6:$V$6="Theorie")*1,$C$9:$V$9))</f>
        <v/>
      </c>
      <c r="D2210" s="64">
        <f>IF(D2000=0,"",SUMPRODUCT($C$1681:$V$1681,($C$316:$V$316=D$1703)*1,($C$6:$V$6="Theorie")*1,$C$9:$V$9,$C$106:$V$106)/SUMPRODUCT($C$1681:$V$1681,($C$316:$V$316=D$1703)*1,($C$6:$V$6="Theorie")*1,$C$9:$V$9))</f>
        <v/>
      </c>
      <c r="E2210" s="64">
        <f>IF(E2000=0,"",SUMPRODUCT($C$1681:$V$1681,($C$316:$V$316=E$1703)*1,($C$6:$V$6="Theorie")*1,$C$9:$V$9,$C$106:$V$106)/SUMPRODUCT($C$1681:$V$1681,($C$316:$V$316=E$1703)*1,($C$6:$V$6="Theorie")*1,$C$9:$V$9))</f>
        <v/>
      </c>
      <c r="F2210" s="64">
        <f>IF(F2000=0,"",SUMPRODUCT($C$1681:$V$1681,($C$316:$V$316=F$1703)*1,($C$6:$V$6="Theorie")*1,$C$9:$V$9,$C$106:$V$106)/SUMPRODUCT($C$1681:$V$1681,($C$316:$V$316=F$1703)*1,($C$6:$V$6="Theorie")*1,$C$9:$V$9))</f>
        <v/>
      </c>
      <c r="G2210" s="64">
        <f>IF(G2000=0,"",SUMPRODUCT($C$1681:$V$1681,($C$316:$V$316=G$1703)*1,($C$6:$V$6="Theorie")*1,$C$9:$V$9,$C$106:$V$106)/SUMPRODUCT($C$1681:$V$1681,($C$316:$V$316=G$1703)*1,($C$6:$V$6="Theorie")*1,$C$9:$V$9))</f>
        <v/>
      </c>
      <c r="H2210" s="64">
        <f>IF(H2000=0,"",SUMPRODUCT($C$1681:$V$1681,($C$316:$V$316=H$1703)*1,($C$6:$V$6="Theorie")*1,$C$9:$V$9,$C$106:$V$106)/SUMPRODUCT($C$1681:$V$1681,($C$316:$V$316=H$1703)*1,($C$6:$V$6="Theorie")*1,$C$9:$V$9))</f>
        <v/>
      </c>
      <c r="I2210" s="64">
        <f>IF(I2000=0,"",SUMPRODUCT($C$1681:$V$1681,($C$316:$V$316=I$1703)*1,($C$6:$V$6="Theorie")*1,$C$9:$V$9,$C$106:$V$106)/SUMPRODUCT($C$1681:$V$1681,($C$316:$V$316=I$1703)*1,($C$6:$V$6="Theorie")*1,$C$9:$V$9))</f>
        <v/>
      </c>
      <c r="J2210" s="64">
        <f>IF(J2000=0,"",SUMPRODUCT($C$1681:$V$1681,($C$316:$V$316=J$1703)*1,($C$6:$V$6="Theorie")*1,$C$9:$V$9,$C$106:$V$106)/SUMPRODUCT($C$1681:$V$1681,($C$316:$V$316=J$1703)*1,($C$6:$V$6="Theorie")*1,$C$9:$V$9))</f>
        <v/>
      </c>
    </row>
    <row r="2211">
      <c r="C2211" s="64">
        <f>IF(C2001=0,"",SUMPRODUCT($C$1682:$V$1682,($C$317:$V$317=C$1703)*1,($C$6:$V$6="Theorie")*1,$C$9:$V$9,$C$107:$V$107)/SUMPRODUCT($C$1682:$V$1682,($C$317:$V$317=C$1703)*1,($C$6:$V$6="Theorie")*1,$C$9:$V$9))</f>
        <v/>
      </c>
      <c r="D2211" s="64">
        <f>IF(D2001=0,"",SUMPRODUCT($C$1682:$V$1682,($C$317:$V$317=D$1703)*1,($C$6:$V$6="Theorie")*1,$C$9:$V$9,$C$107:$V$107)/SUMPRODUCT($C$1682:$V$1682,($C$317:$V$317=D$1703)*1,($C$6:$V$6="Theorie")*1,$C$9:$V$9))</f>
        <v/>
      </c>
      <c r="E2211" s="64">
        <f>IF(E2001=0,"",SUMPRODUCT($C$1682:$V$1682,($C$317:$V$317=E$1703)*1,($C$6:$V$6="Theorie")*1,$C$9:$V$9,$C$107:$V$107)/SUMPRODUCT($C$1682:$V$1682,($C$317:$V$317=E$1703)*1,($C$6:$V$6="Theorie")*1,$C$9:$V$9))</f>
        <v/>
      </c>
      <c r="F2211" s="64">
        <f>IF(F2001=0,"",SUMPRODUCT($C$1682:$V$1682,($C$317:$V$317=F$1703)*1,($C$6:$V$6="Theorie")*1,$C$9:$V$9,$C$107:$V$107)/SUMPRODUCT($C$1682:$V$1682,($C$317:$V$317=F$1703)*1,($C$6:$V$6="Theorie")*1,$C$9:$V$9))</f>
        <v/>
      </c>
      <c r="G2211" s="64">
        <f>IF(G2001=0,"",SUMPRODUCT($C$1682:$V$1682,($C$317:$V$317=G$1703)*1,($C$6:$V$6="Theorie")*1,$C$9:$V$9,$C$107:$V$107)/SUMPRODUCT($C$1682:$V$1682,($C$317:$V$317=G$1703)*1,($C$6:$V$6="Theorie")*1,$C$9:$V$9))</f>
        <v/>
      </c>
      <c r="H2211" s="64">
        <f>IF(H2001=0,"",SUMPRODUCT($C$1682:$V$1682,($C$317:$V$317=H$1703)*1,($C$6:$V$6="Theorie")*1,$C$9:$V$9,$C$107:$V$107)/SUMPRODUCT($C$1682:$V$1682,($C$317:$V$317=H$1703)*1,($C$6:$V$6="Theorie")*1,$C$9:$V$9))</f>
        <v/>
      </c>
      <c r="I2211" s="64">
        <f>IF(I2001=0,"",SUMPRODUCT($C$1682:$V$1682,($C$317:$V$317=I$1703)*1,($C$6:$V$6="Theorie")*1,$C$9:$V$9,$C$107:$V$107)/SUMPRODUCT($C$1682:$V$1682,($C$317:$V$317=I$1703)*1,($C$6:$V$6="Theorie")*1,$C$9:$V$9))</f>
        <v/>
      </c>
      <c r="J2211" s="64">
        <f>IF(J2001=0,"",SUMPRODUCT($C$1682:$V$1682,($C$317:$V$317=J$1703)*1,($C$6:$V$6="Theorie")*1,$C$9:$V$9,$C$107:$V$107)/SUMPRODUCT($C$1682:$V$1682,($C$317:$V$317=J$1703)*1,($C$6:$V$6="Theorie")*1,$C$9:$V$9))</f>
        <v/>
      </c>
    </row>
    <row r="2212">
      <c r="C2212" s="64">
        <f>IF(C2002=0,"",SUMPRODUCT($C$1683:$V$1683,($C$318:$V$318=C$1703)*1,($C$6:$V$6="Theorie")*1,$C$9:$V$9,$C$108:$V$108)/SUMPRODUCT($C$1683:$V$1683,($C$318:$V$318=C$1703)*1,($C$6:$V$6="Theorie")*1,$C$9:$V$9))</f>
        <v/>
      </c>
      <c r="D2212" s="64">
        <f>IF(D2002=0,"",SUMPRODUCT($C$1683:$V$1683,($C$318:$V$318=D$1703)*1,($C$6:$V$6="Theorie")*1,$C$9:$V$9,$C$108:$V$108)/SUMPRODUCT($C$1683:$V$1683,($C$318:$V$318=D$1703)*1,($C$6:$V$6="Theorie")*1,$C$9:$V$9))</f>
        <v/>
      </c>
      <c r="E2212" s="64">
        <f>IF(E2002=0,"",SUMPRODUCT($C$1683:$V$1683,($C$318:$V$318=E$1703)*1,($C$6:$V$6="Theorie")*1,$C$9:$V$9,$C$108:$V$108)/SUMPRODUCT($C$1683:$V$1683,($C$318:$V$318=E$1703)*1,($C$6:$V$6="Theorie")*1,$C$9:$V$9))</f>
        <v/>
      </c>
      <c r="F2212" s="64">
        <f>IF(F2002=0,"",SUMPRODUCT($C$1683:$V$1683,($C$318:$V$318=F$1703)*1,($C$6:$V$6="Theorie")*1,$C$9:$V$9,$C$108:$V$108)/SUMPRODUCT($C$1683:$V$1683,($C$318:$V$318=F$1703)*1,($C$6:$V$6="Theorie")*1,$C$9:$V$9))</f>
        <v/>
      </c>
      <c r="G2212" s="64">
        <f>IF(G2002=0,"",SUMPRODUCT($C$1683:$V$1683,($C$318:$V$318=G$1703)*1,($C$6:$V$6="Theorie")*1,$C$9:$V$9,$C$108:$V$108)/SUMPRODUCT($C$1683:$V$1683,($C$318:$V$318=G$1703)*1,($C$6:$V$6="Theorie")*1,$C$9:$V$9))</f>
        <v/>
      </c>
      <c r="H2212" s="64">
        <f>IF(H2002=0,"",SUMPRODUCT($C$1683:$V$1683,($C$318:$V$318=H$1703)*1,($C$6:$V$6="Theorie")*1,$C$9:$V$9,$C$108:$V$108)/SUMPRODUCT($C$1683:$V$1683,($C$318:$V$318=H$1703)*1,($C$6:$V$6="Theorie")*1,$C$9:$V$9))</f>
        <v/>
      </c>
      <c r="I2212" s="64">
        <f>IF(I2002=0,"",SUMPRODUCT($C$1683:$V$1683,($C$318:$V$318=I$1703)*1,($C$6:$V$6="Theorie")*1,$C$9:$V$9,$C$108:$V$108)/SUMPRODUCT($C$1683:$V$1683,($C$318:$V$318=I$1703)*1,($C$6:$V$6="Theorie")*1,$C$9:$V$9))</f>
        <v/>
      </c>
      <c r="J2212" s="64">
        <f>IF(J2002=0,"",SUMPRODUCT($C$1683:$V$1683,($C$318:$V$318=J$1703)*1,($C$6:$V$6="Theorie")*1,$C$9:$V$9,$C$108:$V$108)/SUMPRODUCT($C$1683:$V$1683,($C$318:$V$318=J$1703)*1,($C$6:$V$6="Theorie")*1,$C$9:$V$9))</f>
        <v/>
      </c>
    </row>
    <row r="2213">
      <c r="C2213" s="64">
        <f>IF(C2003=0,"",SUMPRODUCT($C$1684:$V$1684,($C$319:$V$319=C$1703)*1,($C$6:$V$6="Theorie")*1,$C$9:$V$9,$C$109:$V$109)/SUMPRODUCT($C$1684:$V$1684,($C$319:$V$319=C$1703)*1,($C$6:$V$6="Theorie")*1,$C$9:$V$9))</f>
        <v/>
      </c>
      <c r="D2213" s="64">
        <f>IF(D2003=0,"",SUMPRODUCT($C$1684:$V$1684,($C$319:$V$319=D$1703)*1,($C$6:$V$6="Theorie")*1,$C$9:$V$9,$C$109:$V$109)/SUMPRODUCT($C$1684:$V$1684,($C$319:$V$319=D$1703)*1,($C$6:$V$6="Theorie")*1,$C$9:$V$9))</f>
        <v/>
      </c>
      <c r="E2213" s="64">
        <f>IF(E2003=0,"",SUMPRODUCT($C$1684:$V$1684,($C$319:$V$319=E$1703)*1,($C$6:$V$6="Theorie")*1,$C$9:$V$9,$C$109:$V$109)/SUMPRODUCT($C$1684:$V$1684,($C$319:$V$319=E$1703)*1,($C$6:$V$6="Theorie")*1,$C$9:$V$9))</f>
        <v/>
      </c>
      <c r="F2213" s="64">
        <f>IF(F2003=0,"",SUMPRODUCT($C$1684:$V$1684,($C$319:$V$319=F$1703)*1,($C$6:$V$6="Theorie")*1,$C$9:$V$9,$C$109:$V$109)/SUMPRODUCT($C$1684:$V$1684,($C$319:$V$319=F$1703)*1,($C$6:$V$6="Theorie")*1,$C$9:$V$9))</f>
        <v/>
      </c>
      <c r="G2213" s="64">
        <f>IF(G2003=0,"",SUMPRODUCT($C$1684:$V$1684,($C$319:$V$319=G$1703)*1,($C$6:$V$6="Theorie")*1,$C$9:$V$9,$C$109:$V$109)/SUMPRODUCT($C$1684:$V$1684,($C$319:$V$319=G$1703)*1,($C$6:$V$6="Theorie")*1,$C$9:$V$9))</f>
        <v/>
      </c>
      <c r="H2213" s="64">
        <f>IF(H2003=0,"",SUMPRODUCT($C$1684:$V$1684,($C$319:$V$319=H$1703)*1,($C$6:$V$6="Theorie")*1,$C$9:$V$9,$C$109:$V$109)/SUMPRODUCT($C$1684:$V$1684,($C$319:$V$319=H$1703)*1,($C$6:$V$6="Theorie")*1,$C$9:$V$9))</f>
        <v/>
      </c>
      <c r="I2213" s="64">
        <f>IF(I2003=0,"",SUMPRODUCT($C$1684:$V$1684,($C$319:$V$319=I$1703)*1,($C$6:$V$6="Theorie")*1,$C$9:$V$9,$C$109:$V$109)/SUMPRODUCT($C$1684:$V$1684,($C$319:$V$319=I$1703)*1,($C$6:$V$6="Theorie")*1,$C$9:$V$9))</f>
        <v/>
      </c>
      <c r="J2213" s="64">
        <f>IF(J2003=0,"",SUMPRODUCT($C$1684:$V$1684,($C$319:$V$319=J$1703)*1,($C$6:$V$6="Theorie")*1,$C$9:$V$9,$C$109:$V$109)/SUMPRODUCT($C$1684:$V$1684,($C$319:$V$319=J$1703)*1,($C$6:$V$6="Theorie")*1,$C$9:$V$9))</f>
        <v/>
      </c>
    </row>
    <row r="2214">
      <c r="C2214" s="64">
        <f>IF(C2004=0,"",SUMPRODUCT($C$1685:$V$1685,($C$320:$V$320=C$1703)*1,($C$6:$V$6="Theorie")*1,$C$9:$V$9,$C$110:$V$110)/SUMPRODUCT($C$1685:$V$1685,($C$320:$V$320=C$1703)*1,($C$6:$V$6="Theorie")*1,$C$9:$V$9))</f>
        <v/>
      </c>
      <c r="D2214" s="64">
        <f>IF(D2004=0,"",SUMPRODUCT($C$1685:$V$1685,($C$320:$V$320=D$1703)*1,($C$6:$V$6="Theorie")*1,$C$9:$V$9,$C$110:$V$110)/SUMPRODUCT($C$1685:$V$1685,($C$320:$V$320=D$1703)*1,($C$6:$V$6="Theorie")*1,$C$9:$V$9))</f>
        <v/>
      </c>
      <c r="E2214" s="64">
        <f>IF(E2004=0,"",SUMPRODUCT($C$1685:$V$1685,($C$320:$V$320=E$1703)*1,($C$6:$V$6="Theorie")*1,$C$9:$V$9,$C$110:$V$110)/SUMPRODUCT($C$1685:$V$1685,($C$320:$V$320=E$1703)*1,($C$6:$V$6="Theorie")*1,$C$9:$V$9))</f>
        <v/>
      </c>
      <c r="F2214" s="64">
        <f>IF(F2004=0,"",SUMPRODUCT($C$1685:$V$1685,($C$320:$V$320=F$1703)*1,($C$6:$V$6="Theorie")*1,$C$9:$V$9,$C$110:$V$110)/SUMPRODUCT($C$1685:$V$1685,($C$320:$V$320=F$1703)*1,($C$6:$V$6="Theorie")*1,$C$9:$V$9))</f>
        <v/>
      </c>
      <c r="G2214" s="64">
        <f>IF(G2004=0,"",SUMPRODUCT($C$1685:$V$1685,($C$320:$V$320=G$1703)*1,($C$6:$V$6="Theorie")*1,$C$9:$V$9,$C$110:$V$110)/SUMPRODUCT($C$1685:$V$1685,($C$320:$V$320=G$1703)*1,($C$6:$V$6="Theorie")*1,$C$9:$V$9))</f>
        <v/>
      </c>
      <c r="H2214" s="64">
        <f>IF(H2004=0,"",SUMPRODUCT($C$1685:$V$1685,($C$320:$V$320=H$1703)*1,($C$6:$V$6="Theorie")*1,$C$9:$V$9,$C$110:$V$110)/SUMPRODUCT($C$1685:$V$1685,($C$320:$V$320=H$1703)*1,($C$6:$V$6="Theorie")*1,$C$9:$V$9))</f>
        <v/>
      </c>
      <c r="I2214" s="64">
        <f>IF(I2004=0,"",SUMPRODUCT($C$1685:$V$1685,($C$320:$V$320=I$1703)*1,($C$6:$V$6="Theorie")*1,$C$9:$V$9,$C$110:$V$110)/SUMPRODUCT($C$1685:$V$1685,($C$320:$V$320=I$1703)*1,($C$6:$V$6="Theorie")*1,$C$9:$V$9))</f>
        <v/>
      </c>
      <c r="J2214" s="64">
        <f>IF(J2004=0,"",SUMPRODUCT($C$1685:$V$1685,($C$320:$V$320=J$1703)*1,($C$6:$V$6="Theorie")*1,$C$9:$V$9,$C$110:$V$110)/SUMPRODUCT($C$1685:$V$1685,($C$320:$V$320=J$1703)*1,($C$6:$V$6="Theorie")*1,$C$9:$V$9))</f>
        <v/>
      </c>
    </row>
    <row r="2215">
      <c r="C2215" s="64">
        <f>IF(C2005=0,"",SUMPRODUCT($C$1686:$V$1686,($C$321:$V$321=C$1703)*1,($C$6:$V$6="Theorie")*1,$C$9:$V$9,$C$111:$V$111)/SUMPRODUCT($C$1686:$V$1686,($C$321:$V$321=C$1703)*1,($C$6:$V$6="Theorie")*1,$C$9:$V$9))</f>
        <v/>
      </c>
      <c r="D2215" s="64">
        <f>IF(D2005=0,"",SUMPRODUCT($C$1686:$V$1686,($C$321:$V$321=D$1703)*1,($C$6:$V$6="Theorie")*1,$C$9:$V$9,$C$111:$V$111)/SUMPRODUCT($C$1686:$V$1686,($C$321:$V$321=D$1703)*1,($C$6:$V$6="Theorie")*1,$C$9:$V$9))</f>
        <v/>
      </c>
      <c r="E2215" s="64">
        <f>IF(E2005=0,"",SUMPRODUCT($C$1686:$V$1686,($C$321:$V$321=E$1703)*1,($C$6:$V$6="Theorie")*1,$C$9:$V$9,$C$111:$V$111)/SUMPRODUCT($C$1686:$V$1686,($C$321:$V$321=E$1703)*1,($C$6:$V$6="Theorie")*1,$C$9:$V$9))</f>
        <v/>
      </c>
      <c r="F2215" s="64">
        <f>IF(F2005=0,"",SUMPRODUCT($C$1686:$V$1686,($C$321:$V$321=F$1703)*1,($C$6:$V$6="Theorie")*1,$C$9:$V$9,$C$111:$V$111)/SUMPRODUCT($C$1686:$V$1686,($C$321:$V$321=F$1703)*1,($C$6:$V$6="Theorie")*1,$C$9:$V$9))</f>
        <v/>
      </c>
      <c r="G2215" s="64">
        <f>IF(G2005=0,"",SUMPRODUCT($C$1686:$V$1686,($C$321:$V$321=G$1703)*1,($C$6:$V$6="Theorie")*1,$C$9:$V$9,$C$111:$V$111)/SUMPRODUCT($C$1686:$V$1686,($C$321:$V$321=G$1703)*1,($C$6:$V$6="Theorie")*1,$C$9:$V$9))</f>
        <v/>
      </c>
      <c r="H2215" s="64">
        <f>IF(H2005=0,"",SUMPRODUCT($C$1686:$V$1686,($C$321:$V$321=H$1703)*1,($C$6:$V$6="Theorie")*1,$C$9:$V$9,$C$111:$V$111)/SUMPRODUCT($C$1686:$V$1686,($C$321:$V$321=H$1703)*1,($C$6:$V$6="Theorie")*1,$C$9:$V$9))</f>
        <v/>
      </c>
      <c r="I2215" s="64">
        <f>IF(I2005=0,"",SUMPRODUCT($C$1686:$V$1686,($C$321:$V$321=I$1703)*1,($C$6:$V$6="Theorie")*1,$C$9:$V$9,$C$111:$V$111)/SUMPRODUCT($C$1686:$V$1686,($C$321:$V$321=I$1703)*1,($C$6:$V$6="Theorie")*1,$C$9:$V$9))</f>
        <v/>
      </c>
      <c r="J2215" s="64">
        <f>IF(J2005=0,"",SUMPRODUCT($C$1686:$V$1686,($C$321:$V$321=J$1703)*1,($C$6:$V$6="Theorie")*1,$C$9:$V$9,$C$111:$V$111)/SUMPRODUCT($C$1686:$V$1686,($C$321:$V$321=J$1703)*1,($C$6:$V$6="Theorie")*1,$C$9:$V$9))</f>
        <v/>
      </c>
    </row>
    <row r="2216">
      <c r="C2216" s="64">
        <f>IF(C2006=0,"",SUMPRODUCT($C$1687:$V$1687,($C$322:$V$322=C$1703)*1,($C$6:$V$6="Theorie")*1,$C$9:$V$9,$C$112:$V$112)/SUMPRODUCT($C$1687:$V$1687,($C$322:$V$322=C$1703)*1,($C$6:$V$6="Theorie")*1,$C$9:$V$9))</f>
        <v/>
      </c>
      <c r="D2216" s="64">
        <f>IF(D2006=0,"",SUMPRODUCT($C$1687:$V$1687,($C$322:$V$322=D$1703)*1,($C$6:$V$6="Theorie")*1,$C$9:$V$9,$C$112:$V$112)/SUMPRODUCT($C$1687:$V$1687,($C$322:$V$322=D$1703)*1,($C$6:$V$6="Theorie")*1,$C$9:$V$9))</f>
        <v/>
      </c>
      <c r="E2216" s="64">
        <f>IF(E2006=0,"",SUMPRODUCT($C$1687:$V$1687,($C$322:$V$322=E$1703)*1,($C$6:$V$6="Theorie")*1,$C$9:$V$9,$C$112:$V$112)/SUMPRODUCT($C$1687:$V$1687,($C$322:$V$322=E$1703)*1,($C$6:$V$6="Theorie")*1,$C$9:$V$9))</f>
        <v/>
      </c>
      <c r="F2216" s="64">
        <f>IF(F2006=0,"",SUMPRODUCT($C$1687:$V$1687,($C$322:$V$322=F$1703)*1,($C$6:$V$6="Theorie")*1,$C$9:$V$9,$C$112:$V$112)/SUMPRODUCT($C$1687:$V$1687,($C$322:$V$322=F$1703)*1,($C$6:$V$6="Theorie")*1,$C$9:$V$9))</f>
        <v/>
      </c>
      <c r="G2216" s="64">
        <f>IF(G2006=0,"",SUMPRODUCT($C$1687:$V$1687,($C$322:$V$322=G$1703)*1,($C$6:$V$6="Theorie")*1,$C$9:$V$9,$C$112:$V$112)/SUMPRODUCT($C$1687:$V$1687,($C$322:$V$322=G$1703)*1,($C$6:$V$6="Theorie")*1,$C$9:$V$9))</f>
        <v/>
      </c>
      <c r="H2216" s="64">
        <f>IF(H2006=0,"",SUMPRODUCT($C$1687:$V$1687,($C$322:$V$322=H$1703)*1,($C$6:$V$6="Theorie")*1,$C$9:$V$9,$C$112:$V$112)/SUMPRODUCT($C$1687:$V$1687,($C$322:$V$322=H$1703)*1,($C$6:$V$6="Theorie")*1,$C$9:$V$9))</f>
        <v/>
      </c>
      <c r="I2216" s="64">
        <f>IF(I2006=0,"",SUMPRODUCT($C$1687:$V$1687,($C$322:$V$322=I$1703)*1,($C$6:$V$6="Theorie")*1,$C$9:$V$9,$C$112:$V$112)/SUMPRODUCT($C$1687:$V$1687,($C$322:$V$322=I$1703)*1,($C$6:$V$6="Theorie")*1,$C$9:$V$9))</f>
        <v/>
      </c>
      <c r="J2216" s="64">
        <f>IF(J2006=0,"",SUMPRODUCT($C$1687:$V$1687,($C$322:$V$322=J$1703)*1,($C$6:$V$6="Theorie")*1,$C$9:$V$9,$C$112:$V$112)/SUMPRODUCT($C$1687:$V$1687,($C$322:$V$322=J$1703)*1,($C$6:$V$6="Theorie")*1,$C$9:$V$9))</f>
        <v/>
      </c>
    </row>
    <row r="2217">
      <c r="C2217" s="64">
        <f>IF(C2007=0,"",SUMPRODUCT($C$1688:$V$1688,($C$323:$V$323=C$1703)*1,($C$6:$V$6="Theorie")*1,$C$9:$V$9,$C$113:$V$113)/SUMPRODUCT($C$1688:$V$1688,($C$323:$V$323=C$1703)*1,($C$6:$V$6="Theorie")*1,$C$9:$V$9))</f>
        <v/>
      </c>
      <c r="D2217" s="64">
        <f>IF(D2007=0,"",SUMPRODUCT($C$1688:$V$1688,($C$323:$V$323=D$1703)*1,($C$6:$V$6="Theorie")*1,$C$9:$V$9,$C$113:$V$113)/SUMPRODUCT($C$1688:$V$1688,($C$323:$V$323=D$1703)*1,($C$6:$V$6="Theorie")*1,$C$9:$V$9))</f>
        <v/>
      </c>
      <c r="E2217" s="64">
        <f>IF(E2007=0,"",SUMPRODUCT($C$1688:$V$1688,($C$323:$V$323=E$1703)*1,($C$6:$V$6="Theorie")*1,$C$9:$V$9,$C$113:$V$113)/SUMPRODUCT($C$1688:$V$1688,($C$323:$V$323=E$1703)*1,($C$6:$V$6="Theorie")*1,$C$9:$V$9))</f>
        <v/>
      </c>
      <c r="F2217" s="64">
        <f>IF(F2007=0,"",SUMPRODUCT($C$1688:$V$1688,($C$323:$V$323=F$1703)*1,($C$6:$V$6="Theorie")*1,$C$9:$V$9,$C$113:$V$113)/SUMPRODUCT($C$1688:$V$1688,($C$323:$V$323=F$1703)*1,($C$6:$V$6="Theorie")*1,$C$9:$V$9))</f>
        <v/>
      </c>
      <c r="G2217" s="64">
        <f>IF(G2007=0,"",SUMPRODUCT($C$1688:$V$1688,($C$323:$V$323=G$1703)*1,($C$6:$V$6="Theorie")*1,$C$9:$V$9,$C$113:$V$113)/SUMPRODUCT($C$1688:$V$1688,($C$323:$V$323=G$1703)*1,($C$6:$V$6="Theorie")*1,$C$9:$V$9))</f>
        <v/>
      </c>
      <c r="H2217" s="64">
        <f>IF(H2007=0,"",SUMPRODUCT($C$1688:$V$1688,($C$323:$V$323=H$1703)*1,($C$6:$V$6="Theorie")*1,$C$9:$V$9,$C$113:$V$113)/SUMPRODUCT($C$1688:$V$1688,($C$323:$V$323=H$1703)*1,($C$6:$V$6="Theorie")*1,$C$9:$V$9))</f>
        <v/>
      </c>
      <c r="I2217" s="64">
        <f>IF(I2007=0,"",SUMPRODUCT($C$1688:$V$1688,($C$323:$V$323=I$1703)*1,($C$6:$V$6="Theorie")*1,$C$9:$V$9,$C$113:$V$113)/SUMPRODUCT($C$1688:$V$1688,($C$323:$V$323=I$1703)*1,($C$6:$V$6="Theorie")*1,$C$9:$V$9))</f>
        <v/>
      </c>
      <c r="J2217" s="64">
        <f>IF(J2007=0,"",SUMPRODUCT($C$1688:$V$1688,($C$323:$V$323=J$1703)*1,($C$6:$V$6="Theorie")*1,$C$9:$V$9,$C$113:$V$113)/SUMPRODUCT($C$1688:$V$1688,($C$323:$V$323=J$1703)*1,($C$6:$V$6="Theorie")*1,$C$9:$V$9))</f>
        <v/>
      </c>
    </row>
    <row r="2218">
      <c r="C2218" s="64">
        <f>IF(C2008=0,"",SUMPRODUCT($C$1689:$V$1689,($C$324:$V$324=C$1703)*1,($C$6:$V$6="Theorie")*1,$C$9:$V$9,$C$114:$V$114)/SUMPRODUCT($C$1689:$V$1689,($C$324:$V$324=C$1703)*1,($C$6:$V$6="Theorie")*1,$C$9:$V$9))</f>
        <v/>
      </c>
      <c r="D2218" s="64">
        <f>IF(D2008=0,"",SUMPRODUCT($C$1689:$V$1689,($C$324:$V$324=D$1703)*1,($C$6:$V$6="Theorie")*1,$C$9:$V$9,$C$114:$V$114)/SUMPRODUCT($C$1689:$V$1689,($C$324:$V$324=D$1703)*1,($C$6:$V$6="Theorie")*1,$C$9:$V$9))</f>
        <v/>
      </c>
      <c r="E2218" s="64">
        <f>IF(E2008=0,"",SUMPRODUCT($C$1689:$V$1689,($C$324:$V$324=E$1703)*1,($C$6:$V$6="Theorie")*1,$C$9:$V$9,$C$114:$V$114)/SUMPRODUCT($C$1689:$V$1689,($C$324:$V$324=E$1703)*1,($C$6:$V$6="Theorie")*1,$C$9:$V$9))</f>
        <v/>
      </c>
      <c r="F2218" s="64">
        <f>IF(F2008=0,"",SUMPRODUCT($C$1689:$V$1689,($C$324:$V$324=F$1703)*1,($C$6:$V$6="Theorie")*1,$C$9:$V$9,$C$114:$V$114)/SUMPRODUCT($C$1689:$V$1689,($C$324:$V$324=F$1703)*1,($C$6:$V$6="Theorie")*1,$C$9:$V$9))</f>
        <v/>
      </c>
      <c r="G2218" s="64">
        <f>IF(G2008=0,"",SUMPRODUCT($C$1689:$V$1689,($C$324:$V$324=G$1703)*1,($C$6:$V$6="Theorie")*1,$C$9:$V$9,$C$114:$V$114)/SUMPRODUCT($C$1689:$V$1689,($C$324:$V$324=G$1703)*1,($C$6:$V$6="Theorie")*1,$C$9:$V$9))</f>
        <v/>
      </c>
      <c r="H2218" s="64">
        <f>IF(H2008=0,"",SUMPRODUCT($C$1689:$V$1689,($C$324:$V$324=H$1703)*1,($C$6:$V$6="Theorie")*1,$C$9:$V$9,$C$114:$V$114)/SUMPRODUCT($C$1689:$V$1689,($C$324:$V$324=H$1703)*1,($C$6:$V$6="Theorie")*1,$C$9:$V$9))</f>
        <v/>
      </c>
      <c r="I2218" s="64">
        <f>IF(I2008=0,"",SUMPRODUCT($C$1689:$V$1689,($C$324:$V$324=I$1703)*1,($C$6:$V$6="Theorie")*1,$C$9:$V$9,$C$114:$V$114)/SUMPRODUCT($C$1689:$V$1689,($C$324:$V$324=I$1703)*1,($C$6:$V$6="Theorie")*1,$C$9:$V$9))</f>
        <v/>
      </c>
      <c r="J2218" s="64">
        <f>IF(J2008=0,"",SUMPRODUCT($C$1689:$V$1689,($C$324:$V$324=J$1703)*1,($C$6:$V$6="Theorie")*1,$C$9:$V$9,$C$114:$V$114)/SUMPRODUCT($C$1689:$V$1689,($C$324:$V$324=J$1703)*1,($C$6:$V$6="Theorie")*1,$C$9:$V$9))</f>
        <v/>
      </c>
    </row>
    <row r="2219">
      <c r="C2219" s="64">
        <f>IF(C2009=0,"",SUMPRODUCT($C$1690:$V$1690,($C$325:$V$325=C$1703)*1,($C$6:$V$6="Theorie")*1,$C$9:$V$9,$C$115:$V$115)/SUMPRODUCT($C$1690:$V$1690,($C$325:$V$325=C$1703)*1,($C$6:$V$6="Theorie")*1,$C$9:$V$9))</f>
        <v/>
      </c>
      <c r="D2219" s="64">
        <f>IF(D2009=0,"",SUMPRODUCT($C$1690:$V$1690,($C$325:$V$325=D$1703)*1,($C$6:$V$6="Theorie")*1,$C$9:$V$9,$C$115:$V$115)/SUMPRODUCT($C$1690:$V$1690,($C$325:$V$325=D$1703)*1,($C$6:$V$6="Theorie")*1,$C$9:$V$9))</f>
        <v/>
      </c>
      <c r="E2219" s="64">
        <f>IF(E2009=0,"",SUMPRODUCT($C$1690:$V$1690,($C$325:$V$325=E$1703)*1,($C$6:$V$6="Theorie")*1,$C$9:$V$9,$C$115:$V$115)/SUMPRODUCT($C$1690:$V$1690,($C$325:$V$325=E$1703)*1,($C$6:$V$6="Theorie")*1,$C$9:$V$9))</f>
        <v/>
      </c>
      <c r="F2219" s="64">
        <f>IF(F2009=0,"",SUMPRODUCT($C$1690:$V$1690,($C$325:$V$325=F$1703)*1,($C$6:$V$6="Theorie")*1,$C$9:$V$9,$C$115:$V$115)/SUMPRODUCT($C$1690:$V$1690,($C$325:$V$325=F$1703)*1,($C$6:$V$6="Theorie")*1,$C$9:$V$9))</f>
        <v/>
      </c>
      <c r="G2219" s="64">
        <f>IF(G2009=0,"",SUMPRODUCT($C$1690:$V$1690,($C$325:$V$325=G$1703)*1,($C$6:$V$6="Theorie")*1,$C$9:$V$9,$C$115:$V$115)/SUMPRODUCT($C$1690:$V$1690,($C$325:$V$325=G$1703)*1,($C$6:$V$6="Theorie")*1,$C$9:$V$9))</f>
        <v/>
      </c>
      <c r="H2219" s="64">
        <f>IF(H2009=0,"",SUMPRODUCT($C$1690:$V$1690,($C$325:$V$325=H$1703)*1,($C$6:$V$6="Theorie")*1,$C$9:$V$9,$C$115:$V$115)/SUMPRODUCT($C$1690:$V$1690,($C$325:$V$325=H$1703)*1,($C$6:$V$6="Theorie")*1,$C$9:$V$9))</f>
        <v/>
      </c>
      <c r="I2219" s="64">
        <f>IF(I2009=0,"",SUMPRODUCT($C$1690:$V$1690,($C$325:$V$325=I$1703)*1,($C$6:$V$6="Theorie")*1,$C$9:$V$9,$C$115:$V$115)/SUMPRODUCT($C$1690:$V$1690,($C$325:$V$325=I$1703)*1,($C$6:$V$6="Theorie")*1,$C$9:$V$9))</f>
        <v/>
      </c>
      <c r="J2219" s="64">
        <f>IF(J2009=0,"",SUMPRODUCT($C$1690:$V$1690,($C$325:$V$325=J$1703)*1,($C$6:$V$6="Theorie")*1,$C$9:$V$9,$C$115:$V$115)/SUMPRODUCT($C$1690:$V$1690,($C$325:$V$325=J$1703)*1,($C$6:$V$6="Theorie")*1,$C$9:$V$9))</f>
        <v/>
      </c>
    </row>
    <row r="2220">
      <c r="C2220" s="64">
        <f>IF(C2010=0,"",SUMPRODUCT($C$1691:$V$1691,($C$326:$V$326=C$1703)*1,($C$6:$V$6="Theorie")*1,$C$9:$V$9,$C$116:$V$116)/SUMPRODUCT($C$1691:$V$1691,($C$326:$V$326=C$1703)*1,($C$6:$V$6="Theorie")*1,$C$9:$V$9))</f>
        <v/>
      </c>
      <c r="D2220" s="64">
        <f>IF(D2010=0,"",SUMPRODUCT($C$1691:$V$1691,($C$326:$V$326=D$1703)*1,($C$6:$V$6="Theorie")*1,$C$9:$V$9,$C$116:$V$116)/SUMPRODUCT($C$1691:$V$1691,($C$326:$V$326=D$1703)*1,($C$6:$V$6="Theorie")*1,$C$9:$V$9))</f>
        <v/>
      </c>
      <c r="E2220" s="64">
        <f>IF(E2010=0,"",SUMPRODUCT($C$1691:$V$1691,($C$326:$V$326=E$1703)*1,($C$6:$V$6="Theorie")*1,$C$9:$V$9,$C$116:$V$116)/SUMPRODUCT($C$1691:$V$1691,($C$326:$V$326=E$1703)*1,($C$6:$V$6="Theorie")*1,$C$9:$V$9))</f>
        <v/>
      </c>
      <c r="F2220" s="64">
        <f>IF(F2010=0,"",SUMPRODUCT($C$1691:$V$1691,($C$326:$V$326=F$1703)*1,($C$6:$V$6="Theorie")*1,$C$9:$V$9,$C$116:$V$116)/SUMPRODUCT($C$1691:$V$1691,($C$326:$V$326=F$1703)*1,($C$6:$V$6="Theorie")*1,$C$9:$V$9))</f>
        <v/>
      </c>
      <c r="G2220" s="64">
        <f>IF(G2010=0,"",SUMPRODUCT($C$1691:$V$1691,($C$326:$V$326=G$1703)*1,($C$6:$V$6="Theorie")*1,$C$9:$V$9,$C$116:$V$116)/SUMPRODUCT($C$1691:$V$1691,($C$326:$V$326=G$1703)*1,($C$6:$V$6="Theorie")*1,$C$9:$V$9))</f>
        <v/>
      </c>
      <c r="H2220" s="64">
        <f>IF(H2010=0,"",SUMPRODUCT($C$1691:$V$1691,($C$326:$V$326=H$1703)*1,($C$6:$V$6="Theorie")*1,$C$9:$V$9,$C$116:$V$116)/SUMPRODUCT($C$1691:$V$1691,($C$326:$V$326=H$1703)*1,($C$6:$V$6="Theorie")*1,$C$9:$V$9))</f>
        <v/>
      </c>
      <c r="I2220" s="64">
        <f>IF(I2010=0,"",SUMPRODUCT($C$1691:$V$1691,($C$326:$V$326=I$1703)*1,($C$6:$V$6="Theorie")*1,$C$9:$V$9,$C$116:$V$116)/SUMPRODUCT($C$1691:$V$1691,($C$326:$V$326=I$1703)*1,($C$6:$V$6="Theorie")*1,$C$9:$V$9))</f>
        <v/>
      </c>
      <c r="J2220" s="64">
        <f>IF(J2010=0,"",SUMPRODUCT($C$1691:$V$1691,($C$326:$V$326=J$1703)*1,($C$6:$V$6="Theorie")*1,$C$9:$V$9,$C$116:$V$116)/SUMPRODUCT($C$1691:$V$1691,($C$326:$V$326=J$1703)*1,($C$6:$V$6="Theorie")*1,$C$9:$V$9))</f>
        <v/>
      </c>
    </row>
    <row r="2221">
      <c r="C2221" s="64">
        <f>IF(C2011=0,"",SUMPRODUCT($C$1692:$V$1692,($C$327:$V$327=C$1703)*1,($C$6:$V$6="Theorie")*1,$C$9:$V$9,$C$117:$V$117)/SUMPRODUCT($C$1692:$V$1692,($C$327:$V$327=C$1703)*1,($C$6:$V$6="Theorie")*1,$C$9:$V$9))</f>
        <v/>
      </c>
      <c r="D2221" s="64">
        <f>IF(D2011=0,"",SUMPRODUCT($C$1692:$V$1692,($C$327:$V$327=D$1703)*1,($C$6:$V$6="Theorie")*1,$C$9:$V$9,$C$117:$V$117)/SUMPRODUCT($C$1692:$V$1692,($C$327:$V$327=D$1703)*1,($C$6:$V$6="Theorie")*1,$C$9:$V$9))</f>
        <v/>
      </c>
      <c r="E2221" s="64">
        <f>IF(E2011=0,"",SUMPRODUCT($C$1692:$V$1692,($C$327:$V$327=E$1703)*1,($C$6:$V$6="Theorie")*1,$C$9:$V$9,$C$117:$V$117)/SUMPRODUCT($C$1692:$V$1692,($C$327:$V$327=E$1703)*1,($C$6:$V$6="Theorie")*1,$C$9:$V$9))</f>
        <v/>
      </c>
      <c r="F2221" s="64">
        <f>IF(F2011=0,"",SUMPRODUCT($C$1692:$V$1692,($C$327:$V$327=F$1703)*1,($C$6:$V$6="Theorie")*1,$C$9:$V$9,$C$117:$V$117)/SUMPRODUCT($C$1692:$V$1692,($C$327:$V$327=F$1703)*1,($C$6:$V$6="Theorie")*1,$C$9:$V$9))</f>
        <v/>
      </c>
      <c r="G2221" s="64">
        <f>IF(G2011=0,"",SUMPRODUCT($C$1692:$V$1692,($C$327:$V$327=G$1703)*1,($C$6:$V$6="Theorie")*1,$C$9:$V$9,$C$117:$V$117)/SUMPRODUCT($C$1692:$V$1692,($C$327:$V$327=G$1703)*1,($C$6:$V$6="Theorie")*1,$C$9:$V$9))</f>
        <v/>
      </c>
      <c r="H2221" s="64">
        <f>IF(H2011=0,"",SUMPRODUCT($C$1692:$V$1692,($C$327:$V$327=H$1703)*1,($C$6:$V$6="Theorie")*1,$C$9:$V$9,$C$117:$V$117)/SUMPRODUCT($C$1692:$V$1692,($C$327:$V$327=H$1703)*1,($C$6:$V$6="Theorie")*1,$C$9:$V$9))</f>
        <v/>
      </c>
      <c r="I2221" s="64">
        <f>IF(I2011=0,"",SUMPRODUCT($C$1692:$V$1692,($C$327:$V$327=I$1703)*1,($C$6:$V$6="Theorie")*1,$C$9:$V$9,$C$117:$V$117)/SUMPRODUCT($C$1692:$V$1692,($C$327:$V$327=I$1703)*1,($C$6:$V$6="Theorie")*1,$C$9:$V$9))</f>
        <v/>
      </c>
      <c r="J2221" s="64">
        <f>IF(J2011=0,"",SUMPRODUCT($C$1692:$V$1692,($C$327:$V$327=J$1703)*1,($C$6:$V$6="Theorie")*1,$C$9:$V$9,$C$117:$V$117)/SUMPRODUCT($C$1692:$V$1692,($C$327:$V$327=J$1703)*1,($C$6:$V$6="Theorie")*1,$C$9:$V$9))</f>
        <v/>
      </c>
    </row>
    <row r="2222">
      <c r="C2222" s="64">
        <f>IF(C2012=0,"",SUMPRODUCT($C$1693:$V$1693,($C$328:$V$328=C$1703)*1,($C$6:$V$6="Theorie")*1,$C$9:$V$9,$C$118:$V$118)/SUMPRODUCT($C$1693:$V$1693,($C$328:$V$328=C$1703)*1,($C$6:$V$6="Theorie")*1,$C$9:$V$9))</f>
        <v/>
      </c>
      <c r="D2222" s="64">
        <f>IF(D2012=0,"",SUMPRODUCT($C$1693:$V$1693,($C$328:$V$328=D$1703)*1,($C$6:$V$6="Theorie")*1,$C$9:$V$9,$C$118:$V$118)/SUMPRODUCT($C$1693:$V$1693,($C$328:$V$328=D$1703)*1,($C$6:$V$6="Theorie")*1,$C$9:$V$9))</f>
        <v/>
      </c>
      <c r="E2222" s="64">
        <f>IF(E2012=0,"",SUMPRODUCT($C$1693:$V$1693,($C$328:$V$328=E$1703)*1,($C$6:$V$6="Theorie")*1,$C$9:$V$9,$C$118:$V$118)/SUMPRODUCT($C$1693:$V$1693,($C$328:$V$328=E$1703)*1,($C$6:$V$6="Theorie")*1,$C$9:$V$9))</f>
        <v/>
      </c>
      <c r="F2222" s="64">
        <f>IF(F2012=0,"",SUMPRODUCT($C$1693:$V$1693,($C$328:$V$328=F$1703)*1,($C$6:$V$6="Theorie")*1,$C$9:$V$9,$C$118:$V$118)/SUMPRODUCT($C$1693:$V$1693,($C$328:$V$328=F$1703)*1,($C$6:$V$6="Theorie")*1,$C$9:$V$9))</f>
        <v/>
      </c>
      <c r="G2222" s="64">
        <f>IF(G2012=0,"",SUMPRODUCT($C$1693:$V$1693,($C$328:$V$328=G$1703)*1,($C$6:$V$6="Theorie")*1,$C$9:$V$9,$C$118:$V$118)/SUMPRODUCT($C$1693:$V$1693,($C$328:$V$328=G$1703)*1,($C$6:$V$6="Theorie")*1,$C$9:$V$9))</f>
        <v/>
      </c>
      <c r="H2222" s="64">
        <f>IF(H2012=0,"",SUMPRODUCT($C$1693:$V$1693,($C$328:$V$328=H$1703)*1,($C$6:$V$6="Theorie")*1,$C$9:$V$9,$C$118:$V$118)/SUMPRODUCT($C$1693:$V$1693,($C$328:$V$328=H$1703)*1,($C$6:$V$6="Theorie")*1,$C$9:$V$9))</f>
        <v/>
      </c>
      <c r="I2222" s="64">
        <f>IF(I2012=0,"",SUMPRODUCT($C$1693:$V$1693,($C$328:$V$328=I$1703)*1,($C$6:$V$6="Theorie")*1,$C$9:$V$9,$C$118:$V$118)/SUMPRODUCT($C$1693:$V$1693,($C$328:$V$328=I$1703)*1,($C$6:$V$6="Theorie")*1,$C$9:$V$9))</f>
        <v/>
      </c>
      <c r="J2222" s="64">
        <f>IF(J2012=0,"",SUMPRODUCT($C$1693:$V$1693,($C$328:$V$328=J$1703)*1,($C$6:$V$6="Theorie")*1,$C$9:$V$9,$C$118:$V$118)/SUMPRODUCT($C$1693:$V$1693,($C$328:$V$328=J$1703)*1,($C$6:$V$6="Theorie")*1,$C$9:$V$9))</f>
        <v/>
      </c>
    </row>
    <row r="2223">
      <c r="C2223" s="64">
        <f>IF(C2013=0,"",SUMPRODUCT($C$1694:$V$1694,($C$329:$V$329=C$1703)*1,($C$6:$V$6="Theorie")*1,$C$9:$V$9,$C$119:$V$119)/SUMPRODUCT($C$1694:$V$1694,($C$329:$V$329=C$1703)*1,($C$6:$V$6="Theorie")*1,$C$9:$V$9))</f>
        <v/>
      </c>
      <c r="D2223" s="64">
        <f>IF(D2013=0,"",SUMPRODUCT($C$1694:$V$1694,($C$329:$V$329=D$1703)*1,($C$6:$V$6="Theorie")*1,$C$9:$V$9,$C$119:$V$119)/SUMPRODUCT($C$1694:$V$1694,($C$329:$V$329=D$1703)*1,($C$6:$V$6="Theorie")*1,$C$9:$V$9))</f>
        <v/>
      </c>
      <c r="E2223" s="64">
        <f>IF(E2013=0,"",SUMPRODUCT($C$1694:$V$1694,($C$329:$V$329=E$1703)*1,($C$6:$V$6="Theorie")*1,$C$9:$V$9,$C$119:$V$119)/SUMPRODUCT($C$1694:$V$1694,($C$329:$V$329=E$1703)*1,($C$6:$V$6="Theorie")*1,$C$9:$V$9))</f>
        <v/>
      </c>
      <c r="F2223" s="64">
        <f>IF(F2013=0,"",SUMPRODUCT($C$1694:$V$1694,($C$329:$V$329=F$1703)*1,($C$6:$V$6="Theorie")*1,$C$9:$V$9,$C$119:$V$119)/SUMPRODUCT($C$1694:$V$1694,($C$329:$V$329=F$1703)*1,($C$6:$V$6="Theorie")*1,$C$9:$V$9))</f>
        <v/>
      </c>
      <c r="G2223" s="64">
        <f>IF(G2013=0,"",SUMPRODUCT($C$1694:$V$1694,($C$329:$V$329=G$1703)*1,($C$6:$V$6="Theorie")*1,$C$9:$V$9,$C$119:$V$119)/SUMPRODUCT($C$1694:$V$1694,($C$329:$V$329=G$1703)*1,($C$6:$V$6="Theorie")*1,$C$9:$V$9))</f>
        <v/>
      </c>
      <c r="H2223" s="64">
        <f>IF(H2013=0,"",SUMPRODUCT($C$1694:$V$1694,($C$329:$V$329=H$1703)*1,($C$6:$V$6="Theorie")*1,$C$9:$V$9,$C$119:$V$119)/SUMPRODUCT($C$1694:$V$1694,($C$329:$V$329=H$1703)*1,($C$6:$V$6="Theorie")*1,$C$9:$V$9))</f>
        <v/>
      </c>
      <c r="I2223" s="64">
        <f>IF(I2013=0,"",SUMPRODUCT($C$1694:$V$1694,($C$329:$V$329=I$1703)*1,($C$6:$V$6="Theorie")*1,$C$9:$V$9,$C$119:$V$119)/SUMPRODUCT($C$1694:$V$1694,($C$329:$V$329=I$1703)*1,($C$6:$V$6="Theorie")*1,$C$9:$V$9))</f>
        <v/>
      </c>
      <c r="J2223" s="64">
        <f>IF(J2013=0,"",SUMPRODUCT($C$1694:$V$1694,($C$329:$V$329=J$1703)*1,($C$6:$V$6="Theorie")*1,$C$9:$V$9,$C$119:$V$119)/SUMPRODUCT($C$1694:$V$1694,($C$329:$V$329=J$1703)*1,($C$6:$V$6="Theorie")*1,$C$9:$V$9))</f>
        <v/>
      </c>
    </row>
    <row r="2228">
      <c r="A2228" s="171" t="inlineStr">
        <is>
          <t>HJ G</t>
        </is>
      </c>
    </row>
    <row r="2229">
      <c r="C2229" s="173">
        <f>IF(C1704=0,"",IF(EXACT(GewAn,"ja"),IF(AND(C2019&lt;&gt;"",C2124&lt;&gt;""),(C2019*GewP+C2124*GewT)/(GewP+GewT),IF(C2019&lt;&gt;"",C2019,IF(C2124&lt;&gt;"",C2124,""))),SUMPRODUCT($C$1595:$V$1595,($C$230:$V$230=C$1703)*1,$C$9:$V$9,$C$20:$V$20)/SUMPRODUCT($C$1595:$V$1595,($C$230:$V$230=C$1703)*1,$C$9:$V$9)))</f>
        <v/>
      </c>
      <c r="D2229" s="173">
        <f>IF(D1704=0,"",IF(EXACT(GewAn,"ja"),IF(AND(D2019&lt;&gt;"",D2124&lt;&gt;""),(D2019*GewP+D2124*GewT)/(GewP+GewT),IF(D2019&lt;&gt;"",D2019,IF(D2124&lt;&gt;"",D2124,""))),SUMPRODUCT($C$1595:$V$1595,($C$230:$V$230=D$1703)*1,$C$9:$V$9,$C$20:$V$20)/SUMPRODUCT($C$1595:$V$1595,($C$230:$V$230=D$1703)*1,$C$9:$V$9)))</f>
        <v/>
      </c>
      <c r="E2229" s="173">
        <f>IF(E1704=0,"",IF(EXACT(GewAn,"ja"),IF(AND(E2019&lt;&gt;"",E2124&lt;&gt;""),(E2019*GewP+E2124*GewT)/(GewP+GewT),IF(E2019&lt;&gt;"",E2019,IF(E2124&lt;&gt;"",E2124,""))),SUMPRODUCT($C$1595:$V$1595,($C$230:$V$230=E$1703)*1,$C$9:$V$9,$C$20:$V$20)/SUMPRODUCT($C$1595:$V$1595,($C$230:$V$230=E$1703)*1,$C$9:$V$9)))</f>
        <v/>
      </c>
      <c r="F2229" s="173">
        <f>IF(F1704=0,"",IF(EXACT(GewAn,"ja"),IF(AND(F2019&lt;&gt;"",F2124&lt;&gt;""),(F2019*GewP+F2124*GewT)/(GewP+GewT),IF(F2019&lt;&gt;"",F2019,IF(F2124&lt;&gt;"",F2124,""))),SUMPRODUCT($C$1595:$V$1595,($C$230:$V$230=F$1703)*1,$C$9:$V$9,$C$20:$V$20)/SUMPRODUCT($C$1595:$V$1595,($C$230:$V$230=F$1703)*1,$C$9:$V$9)))</f>
        <v/>
      </c>
      <c r="G2229" s="173">
        <f>IF(G1704=0,"",IF(EXACT(GewAn,"ja"),IF(AND(G2019&lt;&gt;"",G2124&lt;&gt;""),(G2019*GewP+G2124*GewT)/(GewP+GewT),IF(G2019&lt;&gt;"",G2019,IF(G2124&lt;&gt;"",G2124,""))),SUMPRODUCT($C$1595:$V$1595,($C$230:$V$230=G$1703)*1,$C$9:$V$9,$C$20:$V$20)/SUMPRODUCT($C$1595:$V$1595,($C$230:$V$230=G$1703)*1,$C$9:$V$9)))</f>
        <v/>
      </c>
      <c r="H2229" s="173">
        <f>IF(H1704=0,"",IF(EXACT(GewAn,"ja"),IF(AND(H2019&lt;&gt;"",H2124&lt;&gt;""),(H2019*GewP+H2124*GewT)/(GewP+GewT),IF(H2019&lt;&gt;"",H2019,IF(H2124&lt;&gt;"",H2124,""))),SUMPRODUCT($C$1595:$V$1595,($C$230:$V$230=H$1703)*1,$C$9:$V$9,$C$20:$V$20)/SUMPRODUCT($C$1595:$V$1595,($C$230:$V$230=H$1703)*1,$C$9:$V$9)))</f>
        <v/>
      </c>
      <c r="I2229" s="173">
        <f>IF(I1704=0,"",IF(EXACT(GewAn,"ja"),IF(AND(I2019&lt;&gt;"",I2124&lt;&gt;""),(I2019*GewP+I2124*GewT)/(GewP+GewT),IF(I2019&lt;&gt;"",I2019,IF(I2124&lt;&gt;"",I2124,""))),SUMPRODUCT($C$1595:$V$1595,($C$230:$V$230=I$1703)*1,$C$9:$V$9,$C$20:$V$20)/SUMPRODUCT($C$1595:$V$1595,($C$230:$V$230=I$1703)*1,$C$9:$V$9)))</f>
        <v/>
      </c>
      <c r="J2229" s="173">
        <f>IF(J1704=0,"",IF(EXACT(GewAn,"ja"),IF(AND(J2019&lt;&gt;"",J2124&lt;&gt;""),(J2019*GewP+J2124*GewT)/(GewP+GewT),IF(J2019&lt;&gt;"",J2019,IF(J2124&lt;&gt;"",J2124,""))),SUMPRODUCT($C$1595:$V$1595,($C$230:$V$230=J$1703)*1,$C$9:$V$9,$C$20:$V$20)/SUMPRODUCT($C$1595:$V$1595,($C$230:$V$230=J$1703)*1,$C$9:$V$9)))</f>
        <v/>
      </c>
    </row>
    <row r="2230">
      <c r="C2230" s="173">
        <f>IF(C1705=0,"",IF(EXACT(GewAn,"ja"),IF(AND(C2020&lt;&gt;"",C2125&lt;&gt;""),(C2020*GewP+C2125*GewT)/(GewP+GewT),IF(C2020&lt;&gt;"",C2020,IF(C2125&lt;&gt;"",C2125,""))),SUMPRODUCT($C$1596:$V$1596,($C$231:$V$231=C$1703)*1,$C$9:$V$9,$C$21:$V$21)/SUMPRODUCT($C$1596:$V$1596,($C$231:$V$231=C$1703)*1,$C$9:$V$9)))</f>
        <v/>
      </c>
      <c r="D2230" s="173">
        <f>IF(D1705=0,"",IF(EXACT(GewAn,"ja"),IF(AND(D2020&lt;&gt;"",D2125&lt;&gt;""),(D2020*GewP+D2125*GewT)/(GewP+GewT),IF(D2020&lt;&gt;"",D2020,IF(D2125&lt;&gt;"",D2125,""))),SUMPRODUCT($C$1596:$V$1596,($C$231:$V$231=D$1703)*1,$C$9:$V$9,$C$21:$V$21)/SUMPRODUCT($C$1596:$V$1596,($C$231:$V$231=D$1703)*1,$C$9:$V$9)))</f>
        <v/>
      </c>
      <c r="E2230" s="173">
        <f>IF(E1705=0,"",IF(EXACT(GewAn,"ja"),IF(AND(E2020&lt;&gt;"",E2125&lt;&gt;""),(E2020*GewP+E2125*GewT)/(GewP+GewT),IF(E2020&lt;&gt;"",E2020,IF(E2125&lt;&gt;"",E2125,""))),SUMPRODUCT($C$1596:$V$1596,($C$231:$V$231=E$1703)*1,$C$9:$V$9,$C$21:$V$21)/SUMPRODUCT($C$1596:$V$1596,($C$231:$V$231=E$1703)*1,$C$9:$V$9)))</f>
        <v/>
      </c>
      <c r="F2230" s="173">
        <f>IF(F1705=0,"",IF(EXACT(GewAn,"ja"),IF(AND(F2020&lt;&gt;"",F2125&lt;&gt;""),(F2020*GewP+F2125*GewT)/(GewP+GewT),IF(F2020&lt;&gt;"",F2020,IF(F2125&lt;&gt;"",F2125,""))),SUMPRODUCT($C$1596:$V$1596,($C$231:$V$231=F$1703)*1,$C$9:$V$9,$C$21:$V$21)/SUMPRODUCT($C$1596:$V$1596,($C$231:$V$231=F$1703)*1,$C$9:$V$9)))</f>
        <v/>
      </c>
      <c r="G2230" s="173">
        <f>IF(G1705=0,"",IF(EXACT(GewAn,"ja"),IF(AND(G2020&lt;&gt;"",G2125&lt;&gt;""),(G2020*GewP+G2125*GewT)/(GewP+GewT),IF(G2020&lt;&gt;"",G2020,IF(G2125&lt;&gt;"",G2125,""))),SUMPRODUCT($C$1596:$V$1596,($C$231:$V$231=G$1703)*1,$C$9:$V$9,$C$21:$V$21)/SUMPRODUCT($C$1596:$V$1596,($C$231:$V$231=G$1703)*1,$C$9:$V$9)))</f>
        <v/>
      </c>
      <c r="H2230" s="173">
        <f>IF(H1705=0,"",IF(EXACT(GewAn,"ja"),IF(AND(H2020&lt;&gt;"",H2125&lt;&gt;""),(H2020*GewP+H2125*GewT)/(GewP+GewT),IF(H2020&lt;&gt;"",H2020,IF(H2125&lt;&gt;"",H2125,""))),SUMPRODUCT($C$1596:$V$1596,($C$231:$V$231=H$1703)*1,$C$9:$V$9,$C$21:$V$21)/SUMPRODUCT($C$1596:$V$1596,($C$231:$V$231=H$1703)*1,$C$9:$V$9)))</f>
        <v/>
      </c>
      <c r="I2230" s="173">
        <f>IF(I1705=0,"",IF(EXACT(GewAn,"ja"),IF(AND(I2020&lt;&gt;"",I2125&lt;&gt;""),(I2020*GewP+I2125*GewT)/(GewP+GewT),IF(I2020&lt;&gt;"",I2020,IF(I2125&lt;&gt;"",I2125,""))),SUMPRODUCT($C$1596:$V$1596,($C$231:$V$231=I$1703)*1,$C$9:$V$9,$C$21:$V$21)/SUMPRODUCT($C$1596:$V$1596,($C$231:$V$231=I$1703)*1,$C$9:$V$9)))</f>
        <v/>
      </c>
      <c r="J2230" s="173">
        <f>IF(J1705=0,"",IF(EXACT(GewAn,"ja"),IF(AND(J2020&lt;&gt;"",J2125&lt;&gt;""),(J2020*GewP+J2125*GewT)/(GewP+GewT),IF(J2020&lt;&gt;"",J2020,IF(J2125&lt;&gt;"",J2125,""))),SUMPRODUCT($C$1596:$V$1596,($C$231:$V$231=J$1703)*1,$C$9:$V$9,$C$21:$V$21)/SUMPRODUCT($C$1596:$V$1596,($C$231:$V$231=J$1703)*1,$C$9:$V$9)))</f>
        <v/>
      </c>
    </row>
    <row r="2231">
      <c r="C2231" s="173">
        <f>IF(C1706=0,"",IF(EXACT(GewAn,"ja"),IF(AND(C2021&lt;&gt;"",C2126&lt;&gt;""),(C2021*GewP+C2126*GewT)/(GewP+GewT),IF(C2021&lt;&gt;"",C2021,IF(C2126&lt;&gt;"",C2126,""))),SUMPRODUCT($C$1597:$V$1597,($C$232:$V$232=C$1703)*1,$C$9:$V$9,$C$22:$V$22)/SUMPRODUCT($C$1597:$V$1597,($C$232:$V$232=C$1703)*1,$C$9:$V$9)))</f>
        <v/>
      </c>
      <c r="D2231" s="173">
        <f>IF(D1706=0,"",IF(EXACT(GewAn,"ja"),IF(AND(D2021&lt;&gt;"",D2126&lt;&gt;""),(D2021*GewP+D2126*GewT)/(GewP+GewT),IF(D2021&lt;&gt;"",D2021,IF(D2126&lt;&gt;"",D2126,""))),SUMPRODUCT($C$1597:$V$1597,($C$232:$V$232=D$1703)*1,$C$9:$V$9,$C$22:$V$22)/SUMPRODUCT($C$1597:$V$1597,($C$232:$V$232=D$1703)*1,$C$9:$V$9)))</f>
        <v/>
      </c>
      <c r="E2231" s="173">
        <f>IF(E1706=0,"",IF(EXACT(GewAn,"ja"),IF(AND(E2021&lt;&gt;"",E2126&lt;&gt;""),(E2021*GewP+E2126*GewT)/(GewP+GewT),IF(E2021&lt;&gt;"",E2021,IF(E2126&lt;&gt;"",E2126,""))),SUMPRODUCT($C$1597:$V$1597,($C$232:$V$232=E$1703)*1,$C$9:$V$9,$C$22:$V$22)/SUMPRODUCT($C$1597:$V$1597,($C$232:$V$232=E$1703)*1,$C$9:$V$9)))</f>
        <v/>
      </c>
      <c r="F2231" s="173">
        <f>IF(F1706=0,"",IF(EXACT(GewAn,"ja"),IF(AND(F2021&lt;&gt;"",F2126&lt;&gt;""),(F2021*GewP+F2126*GewT)/(GewP+GewT),IF(F2021&lt;&gt;"",F2021,IF(F2126&lt;&gt;"",F2126,""))),SUMPRODUCT($C$1597:$V$1597,($C$232:$V$232=F$1703)*1,$C$9:$V$9,$C$22:$V$22)/SUMPRODUCT($C$1597:$V$1597,($C$232:$V$232=F$1703)*1,$C$9:$V$9)))</f>
        <v/>
      </c>
      <c r="G2231" s="173">
        <f>IF(G1706=0,"",IF(EXACT(GewAn,"ja"),IF(AND(G2021&lt;&gt;"",G2126&lt;&gt;""),(G2021*GewP+G2126*GewT)/(GewP+GewT),IF(G2021&lt;&gt;"",G2021,IF(G2126&lt;&gt;"",G2126,""))),SUMPRODUCT($C$1597:$V$1597,($C$232:$V$232=G$1703)*1,$C$9:$V$9,$C$22:$V$22)/SUMPRODUCT($C$1597:$V$1597,($C$232:$V$232=G$1703)*1,$C$9:$V$9)))</f>
        <v/>
      </c>
      <c r="H2231" s="173">
        <f>IF(H1706=0,"",IF(EXACT(GewAn,"ja"),IF(AND(H2021&lt;&gt;"",H2126&lt;&gt;""),(H2021*GewP+H2126*GewT)/(GewP+GewT),IF(H2021&lt;&gt;"",H2021,IF(H2126&lt;&gt;"",H2126,""))),SUMPRODUCT($C$1597:$V$1597,($C$232:$V$232=H$1703)*1,$C$9:$V$9,$C$22:$V$22)/SUMPRODUCT($C$1597:$V$1597,($C$232:$V$232=H$1703)*1,$C$9:$V$9)))</f>
        <v/>
      </c>
      <c r="I2231" s="173">
        <f>IF(I1706=0,"",IF(EXACT(GewAn,"ja"),IF(AND(I2021&lt;&gt;"",I2126&lt;&gt;""),(I2021*GewP+I2126*GewT)/(GewP+GewT),IF(I2021&lt;&gt;"",I2021,IF(I2126&lt;&gt;"",I2126,""))),SUMPRODUCT($C$1597:$V$1597,($C$232:$V$232=I$1703)*1,$C$9:$V$9,$C$22:$V$22)/SUMPRODUCT($C$1597:$V$1597,($C$232:$V$232=I$1703)*1,$C$9:$V$9)))</f>
        <v/>
      </c>
      <c r="J2231" s="173">
        <f>IF(J1706=0,"",IF(EXACT(GewAn,"ja"),IF(AND(J2021&lt;&gt;"",J2126&lt;&gt;""),(J2021*GewP+J2126*GewT)/(GewP+GewT),IF(J2021&lt;&gt;"",J2021,IF(J2126&lt;&gt;"",J2126,""))),SUMPRODUCT($C$1597:$V$1597,($C$232:$V$232=J$1703)*1,$C$9:$V$9,$C$22:$V$22)/SUMPRODUCT($C$1597:$V$1597,($C$232:$V$232=J$1703)*1,$C$9:$V$9)))</f>
        <v/>
      </c>
    </row>
    <row r="2232">
      <c r="C2232" s="173">
        <f>IF(C1707=0,"",IF(EXACT(GewAn,"ja"),IF(AND(C2022&lt;&gt;"",C2127&lt;&gt;""),(C2022*GewP+C2127*GewT)/(GewP+GewT),IF(C2022&lt;&gt;"",C2022,IF(C2127&lt;&gt;"",C2127,""))),SUMPRODUCT($C$1598:$V$1598,($C$233:$V$233=C$1703)*1,$C$9:$V$9,$C$23:$V$23)/SUMPRODUCT($C$1598:$V$1598,($C$233:$V$233=C$1703)*1,$C$9:$V$9)))</f>
        <v/>
      </c>
      <c r="D2232" s="173">
        <f>IF(D1707=0,"",IF(EXACT(GewAn,"ja"),IF(AND(D2022&lt;&gt;"",D2127&lt;&gt;""),(D2022*GewP+D2127*GewT)/(GewP+GewT),IF(D2022&lt;&gt;"",D2022,IF(D2127&lt;&gt;"",D2127,""))),SUMPRODUCT($C$1598:$V$1598,($C$233:$V$233=D$1703)*1,$C$9:$V$9,$C$23:$V$23)/SUMPRODUCT($C$1598:$V$1598,($C$233:$V$233=D$1703)*1,$C$9:$V$9)))</f>
        <v/>
      </c>
      <c r="E2232" s="173">
        <f>IF(E1707=0,"",IF(EXACT(GewAn,"ja"),IF(AND(E2022&lt;&gt;"",E2127&lt;&gt;""),(E2022*GewP+E2127*GewT)/(GewP+GewT),IF(E2022&lt;&gt;"",E2022,IF(E2127&lt;&gt;"",E2127,""))),SUMPRODUCT($C$1598:$V$1598,($C$233:$V$233=E$1703)*1,$C$9:$V$9,$C$23:$V$23)/SUMPRODUCT($C$1598:$V$1598,($C$233:$V$233=E$1703)*1,$C$9:$V$9)))</f>
        <v/>
      </c>
      <c r="F2232" s="173">
        <f>IF(F1707=0,"",IF(EXACT(GewAn,"ja"),IF(AND(F2022&lt;&gt;"",F2127&lt;&gt;""),(F2022*GewP+F2127*GewT)/(GewP+GewT),IF(F2022&lt;&gt;"",F2022,IF(F2127&lt;&gt;"",F2127,""))),SUMPRODUCT($C$1598:$V$1598,($C$233:$V$233=F$1703)*1,$C$9:$V$9,$C$23:$V$23)/SUMPRODUCT($C$1598:$V$1598,($C$233:$V$233=F$1703)*1,$C$9:$V$9)))</f>
        <v/>
      </c>
      <c r="G2232" s="173">
        <f>IF(G1707=0,"",IF(EXACT(GewAn,"ja"),IF(AND(G2022&lt;&gt;"",G2127&lt;&gt;""),(G2022*GewP+G2127*GewT)/(GewP+GewT),IF(G2022&lt;&gt;"",G2022,IF(G2127&lt;&gt;"",G2127,""))),SUMPRODUCT($C$1598:$V$1598,($C$233:$V$233=G$1703)*1,$C$9:$V$9,$C$23:$V$23)/SUMPRODUCT($C$1598:$V$1598,($C$233:$V$233=G$1703)*1,$C$9:$V$9)))</f>
        <v/>
      </c>
      <c r="H2232" s="173">
        <f>IF(H1707=0,"",IF(EXACT(GewAn,"ja"),IF(AND(H2022&lt;&gt;"",H2127&lt;&gt;""),(H2022*GewP+H2127*GewT)/(GewP+GewT),IF(H2022&lt;&gt;"",H2022,IF(H2127&lt;&gt;"",H2127,""))),SUMPRODUCT($C$1598:$V$1598,($C$233:$V$233=H$1703)*1,$C$9:$V$9,$C$23:$V$23)/SUMPRODUCT($C$1598:$V$1598,($C$233:$V$233=H$1703)*1,$C$9:$V$9)))</f>
        <v/>
      </c>
      <c r="I2232" s="173">
        <f>IF(I1707=0,"",IF(EXACT(GewAn,"ja"),IF(AND(I2022&lt;&gt;"",I2127&lt;&gt;""),(I2022*GewP+I2127*GewT)/(GewP+GewT),IF(I2022&lt;&gt;"",I2022,IF(I2127&lt;&gt;"",I2127,""))),SUMPRODUCT($C$1598:$V$1598,($C$233:$V$233=I$1703)*1,$C$9:$V$9,$C$23:$V$23)/SUMPRODUCT($C$1598:$V$1598,($C$233:$V$233=I$1703)*1,$C$9:$V$9)))</f>
        <v/>
      </c>
      <c r="J2232" s="173">
        <f>IF(J1707=0,"",IF(EXACT(GewAn,"ja"),IF(AND(J2022&lt;&gt;"",J2127&lt;&gt;""),(J2022*GewP+J2127*GewT)/(GewP+GewT),IF(J2022&lt;&gt;"",J2022,IF(J2127&lt;&gt;"",J2127,""))),SUMPRODUCT($C$1598:$V$1598,($C$233:$V$233=J$1703)*1,$C$9:$V$9,$C$23:$V$23)/SUMPRODUCT($C$1598:$V$1598,($C$233:$V$233=J$1703)*1,$C$9:$V$9)))</f>
        <v/>
      </c>
    </row>
    <row r="2233">
      <c r="C2233" s="173">
        <f>IF(C1708=0,"",IF(EXACT(GewAn,"ja"),IF(AND(C2023&lt;&gt;"",C2128&lt;&gt;""),(C2023*GewP+C2128*GewT)/(GewP+GewT),IF(C2023&lt;&gt;"",C2023,IF(C2128&lt;&gt;"",C2128,""))),SUMPRODUCT($C$1599:$V$1599,($C$234:$V$234=C$1703)*1,$C$9:$V$9,$C$24:$V$24)/SUMPRODUCT($C$1599:$V$1599,($C$234:$V$234=C$1703)*1,$C$9:$V$9)))</f>
        <v/>
      </c>
      <c r="D2233" s="173">
        <f>IF(D1708=0,"",IF(EXACT(GewAn,"ja"),IF(AND(D2023&lt;&gt;"",D2128&lt;&gt;""),(D2023*GewP+D2128*GewT)/(GewP+GewT),IF(D2023&lt;&gt;"",D2023,IF(D2128&lt;&gt;"",D2128,""))),SUMPRODUCT($C$1599:$V$1599,($C$234:$V$234=D$1703)*1,$C$9:$V$9,$C$24:$V$24)/SUMPRODUCT($C$1599:$V$1599,($C$234:$V$234=D$1703)*1,$C$9:$V$9)))</f>
        <v/>
      </c>
      <c r="E2233" s="173">
        <f>IF(E1708=0,"",IF(EXACT(GewAn,"ja"),IF(AND(E2023&lt;&gt;"",E2128&lt;&gt;""),(E2023*GewP+E2128*GewT)/(GewP+GewT),IF(E2023&lt;&gt;"",E2023,IF(E2128&lt;&gt;"",E2128,""))),SUMPRODUCT($C$1599:$V$1599,($C$234:$V$234=E$1703)*1,$C$9:$V$9,$C$24:$V$24)/SUMPRODUCT($C$1599:$V$1599,($C$234:$V$234=E$1703)*1,$C$9:$V$9)))</f>
        <v/>
      </c>
      <c r="F2233" s="173">
        <f>IF(F1708=0,"",IF(EXACT(GewAn,"ja"),IF(AND(F2023&lt;&gt;"",F2128&lt;&gt;""),(F2023*GewP+F2128*GewT)/(GewP+GewT),IF(F2023&lt;&gt;"",F2023,IF(F2128&lt;&gt;"",F2128,""))),SUMPRODUCT($C$1599:$V$1599,($C$234:$V$234=F$1703)*1,$C$9:$V$9,$C$24:$V$24)/SUMPRODUCT($C$1599:$V$1599,($C$234:$V$234=F$1703)*1,$C$9:$V$9)))</f>
        <v/>
      </c>
      <c r="G2233" s="173">
        <f>IF(G1708=0,"",IF(EXACT(GewAn,"ja"),IF(AND(G2023&lt;&gt;"",G2128&lt;&gt;""),(G2023*GewP+G2128*GewT)/(GewP+GewT),IF(G2023&lt;&gt;"",G2023,IF(G2128&lt;&gt;"",G2128,""))),SUMPRODUCT($C$1599:$V$1599,($C$234:$V$234=G$1703)*1,$C$9:$V$9,$C$24:$V$24)/SUMPRODUCT($C$1599:$V$1599,($C$234:$V$234=G$1703)*1,$C$9:$V$9)))</f>
        <v/>
      </c>
      <c r="H2233" s="173">
        <f>IF(H1708=0,"",IF(EXACT(GewAn,"ja"),IF(AND(H2023&lt;&gt;"",H2128&lt;&gt;""),(H2023*GewP+H2128*GewT)/(GewP+GewT),IF(H2023&lt;&gt;"",H2023,IF(H2128&lt;&gt;"",H2128,""))),SUMPRODUCT($C$1599:$V$1599,($C$234:$V$234=H$1703)*1,$C$9:$V$9,$C$24:$V$24)/SUMPRODUCT($C$1599:$V$1599,($C$234:$V$234=H$1703)*1,$C$9:$V$9)))</f>
        <v/>
      </c>
      <c r="I2233" s="173">
        <f>IF(I1708=0,"",IF(EXACT(GewAn,"ja"),IF(AND(I2023&lt;&gt;"",I2128&lt;&gt;""),(I2023*GewP+I2128*GewT)/(GewP+GewT),IF(I2023&lt;&gt;"",I2023,IF(I2128&lt;&gt;"",I2128,""))),SUMPRODUCT($C$1599:$V$1599,($C$234:$V$234=I$1703)*1,$C$9:$V$9,$C$24:$V$24)/SUMPRODUCT($C$1599:$V$1599,($C$234:$V$234=I$1703)*1,$C$9:$V$9)))</f>
        <v/>
      </c>
      <c r="J2233" s="173">
        <f>IF(J1708=0,"",IF(EXACT(GewAn,"ja"),IF(AND(J2023&lt;&gt;"",J2128&lt;&gt;""),(J2023*GewP+J2128*GewT)/(GewP+GewT),IF(J2023&lt;&gt;"",J2023,IF(J2128&lt;&gt;"",J2128,""))),SUMPRODUCT($C$1599:$V$1599,($C$234:$V$234=J$1703)*1,$C$9:$V$9,$C$24:$V$24)/SUMPRODUCT($C$1599:$V$1599,($C$234:$V$234=J$1703)*1,$C$9:$V$9)))</f>
        <v/>
      </c>
    </row>
    <row r="2234">
      <c r="C2234" s="173">
        <f>IF(C1709=0,"",IF(EXACT(GewAn,"ja"),IF(AND(C2024&lt;&gt;"",C2129&lt;&gt;""),(C2024*GewP+C2129*GewT)/(GewP+GewT),IF(C2024&lt;&gt;"",C2024,IF(C2129&lt;&gt;"",C2129,""))),SUMPRODUCT($C$1600:$V$1600,($C$235:$V$235=C$1703)*1,$C$9:$V$9,$C$25:$V$25)/SUMPRODUCT($C$1600:$V$1600,($C$235:$V$235=C$1703)*1,$C$9:$V$9)))</f>
        <v/>
      </c>
      <c r="D2234" s="173">
        <f>IF(D1709=0,"",IF(EXACT(GewAn,"ja"),IF(AND(D2024&lt;&gt;"",D2129&lt;&gt;""),(D2024*GewP+D2129*GewT)/(GewP+GewT),IF(D2024&lt;&gt;"",D2024,IF(D2129&lt;&gt;"",D2129,""))),SUMPRODUCT($C$1600:$V$1600,($C$235:$V$235=D$1703)*1,$C$9:$V$9,$C$25:$V$25)/SUMPRODUCT($C$1600:$V$1600,($C$235:$V$235=D$1703)*1,$C$9:$V$9)))</f>
        <v/>
      </c>
      <c r="E2234" s="173">
        <f>IF(E1709=0,"",IF(EXACT(GewAn,"ja"),IF(AND(E2024&lt;&gt;"",E2129&lt;&gt;""),(E2024*GewP+E2129*GewT)/(GewP+GewT),IF(E2024&lt;&gt;"",E2024,IF(E2129&lt;&gt;"",E2129,""))),SUMPRODUCT($C$1600:$V$1600,($C$235:$V$235=E$1703)*1,$C$9:$V$9,$C$25:$V$25)/SUMPRODUCT($C$1600:$V$1600,($C$235:$V$235=E$1703)*1,$C$9:$V$9)))</f>
        <v/>
      </c>
      <c r="F2234" s="173">
        <f>IF(F1709=0,"",IF(EXACT(GewAn,"ja"),IF(AND(F2024&lt;&gt;"",F2129&lt;&gt;""),(F2024*GewP+F2129*GewT)/(GewP+GewT),IF(F2024&lt;&gt;"",F2024,IF(F2129&lt;&gt;"",F2129,""))),SUMPRODUCT($C$1600:$V$1600,($C$235:$V$235=F$1703)*1,$C$9:$V$9,$C$25:$V$25)/SUMPRODUCT($C$1600:$V$1600,($C$235:$V$235=F$1703)*1,$C$9:$V$9)))</f>
        <v/>
      </c>
      <c r="G2234" s="173">
        <f>IF(G1709=0,"",IF(EXACT(GewAn,"ja"),IF(AND(G2024&lt;&gt;"",G2129&lt;&gt;""),(G2024*GewP+G2129*GewT)/(GewP+GewT),IF(G2024&lt;&gt;"",G2024,IF(G2129&lt;&gt;"",G2129,""))),SUMPRODUCT($C$1600:$V$1600,($C$235:$V$235=G$1703)*1,$C$9:$V$9,$C$25:$V$25)/SUMPRODUCT($C$1600:$V$1600,($C$235:$V$235=G$1703)*1,$C$9:$V$9)))</f>
        <v/>
      </c>
      <c r="H2234" s="173">
        <f>IF(H1709=0,"",IF(EXACT(GewAn,"ja"),IF(AND(H2024&lt;&gt;"",H2129&lt;&gt;""),(H2024*GewP+H2129*GewT)/(GewP+GewT),IF(H2024&lt;&gt;"",H2024,IF(H2129&lt;&gt;"",H2129,""))),SUMPRODUCT($C$1600:$V$1600,($C$235:$V$235=H$1703)*1,$C$9:$V$9,$C$25:$V$25)/SUMPRODUCT($C$1600:$V$1600,($C$235:$V$235=H$1703)*1,$C$9:$V$9)))</f>
        <v/>
      </c>
      <c r="I2234" s="173">
        <f>IF(I1709=0,"",IF(EXACT(GewAn,"ja"),IF(AND(I2024&lt;&gt;"",I2129&lt;&gt;""),(I2024*GewP+I2129*GewT)/(GewP+GewT),IF(I2024&lt;&gt;"",I2024,IF(I2129&lt;&gt;"",I2129,""))),SUMPRODUCT($C$1600:$V$1600,($C$235:$V$235=I$1703)*1,$C$9:$V$9,$C$25:$V$25)/SUMPRODUCT($C$1600:$V$1600,($C$235:$V$235=I$1703)*1,$C$9:$V$9)))</f>
        <v/>
      </c>
      <c r="J2234" s="173">
        <f>IF(J1709=0,"",IF(EXACT(GewAn,"ja"),IF(AND(J2024&lt;&gt;"",J2129&lt;&gt;""),(J2024*GewP+J2129*GewT)/(GewP+GewT),IF(J2024&lt;&gt;"",J2024,IF(J2129&lt;&gt;"",J2129,""))),SUMPRODUCT($C$1600:$V$1600,($C$235:$V$235=J$1703)*1,$C$9:$V$9,$C$25:$V$25)/SUMPRODUCT($C$1600:$V$1600,($C$235:$V$235=J$1703)*1,$C$9:$V$9)))</f>
        <v/>
      </c>
    </row>
    <row r="2235">
      <c r="C2235" s="173">
        <f>IF(C1710=0,"",IF(EXACT(GewAn,"ja"),IF(AND(C2025&lt;&gt;"",C2130&lt;&gt;""),(C2025*GewP+C2130*GewT)/(GewP+GewT),IF(C2025&lt;&gt;"",C2025,IF(C2130&lt;&gt;"",C2130,""))),SUMPRODUCT($C$1601:$V$1601,($C$236:$V$236=C$1703)*1,$C$9:$V$9,$C$26:$V$26)/SUMPRODUCT($C$1601:$V$1601,($C$236:$V$236=C$1703)*1,$C$9:$V$9)))</f>
        <v/>
      </c>
      <c r="D2235" s="173">
        <f>IF(D1710=0,"",IF(EXACT(GewAn,"ja"),IF(AND(D2025&lt;&gt;"",D2130&lt;&gt;""),(D2025*GewP+D2130*GewT)/(GewP+GewT),IF(D2025&lt;&gt;"",D2025,IF(D2130&lt;&gt;"",D2130,""))),SUMPRODUCT($C$1601:$V$1601,($C$236:$V$236=D$1703)*1,$C$9:$V$9,$C$26:$V$26)/SUMPRODUCT($C$1601:$V$1601,($C$236:$V$236=D$1703)*1,$C$9:$V$9)))</f>
        <v/>
      </c>
      <c r="E2235" s="173">
        <f>IF(E1710=0,"",IF(EXACT(GewAn,"ja"),IF(AND(E2025&lt;&gt;"",E2130&lt;&gt;""),(E2025*GewP+E2130*GewT)/(GewP+GewT),IF(E2025&lt;&gt;"",E2025,IF(E2130&lt;&gt;"",E2130,""))),SUMPRODUCT($C$1601:$V$1601,($C$236:$V$236=E$1703)*1,$C$9:$V$9,$C$26:$V$26)/SUMPRODUCT($C$1601:$V$1601,($C$236:$V$236=E$1703)*1,$C$9:$V$9)))</f>
        <v/>
      </c>
      <c r="F2235" s="173">
        <f>IF(F1710=0,"",IF(EXACT(GewAn,"ja"),IF(AND(F2025&lt;&gt;"",F2130&lt;&gt;""),(F2025*GewP+F2130*GewT)/(GewP+GewT),IF(F2025&lt;&gt;"",F2025,IF(F2130&lt;&gt;"",F2130,""))),SUMPRODUCT($C$1601:$V$1601,($C$236:$V$236=F$1703)*1,$C$9:$V$9,$C$26:$V$26)/SUMPRODUCT($C$1601:$V$1601,($C$236:$V$236=F$1703)*1,$C$9:$V$9)))</f>
        <v/>
      </c>
      <c r="G2235" s="173">
        <f>IF(G1710=0,"",IF(EXACT(GewAn,"ja"),IF(AND(G2025&lt;&gt;"",G2130&lt;&gt;""),(G2025*GewP+G2130*GewT)/(GewP+GewT),IF(G2025&lt;&gt;"",G2025,IF(G2130&lt;&gt;"",G2130,""))),SUMPRODUCT($C$1601:$V$1601,($C$236:$V$236=G$1703)*1,$C$9:$V$9,$C$26:$V$26)/SUMPRODUCT($C$1601:$V$1601,($C$236:$V$236=G$1703)*1,$C$9:$V$9)))</f>
        <v/>
      </c>
      <c r="H2235" s="173">
        <f>IF(H1710=0,"",IF(EXACT(GewAn,"ja"),IF(AND(H2025&lt;&gt;"",H2130&lt;&gt;""),(H2025*GewP+H2130*GewT)/(GewP+GewT),IF(H2025&lt;&gt;"",H2025,IF(H2130&lt;&gt;"",H2130,""))),SUMPRODUCT($C$1601:$V$1601,($C$236:$V$236=H$1703)*1,$C$9:$V$9,$C$26:$V$26)/SUMPRODUCT($C$1601:$V$1601,($C$236:$V$236=H$1703)*1,$C$9:$V$9)))</f>
        <v/>
      </c>
      <c r="I2235" s="173">
        <f>IF(I1710=0,"",IF(EXACT(GewAn,"ja"),IF(AND(I2025&lt;&gt;"",I2130&lt;&gt;""),(I2025*GewP+I2130*GewT)/(GewP+GewT),IF(I2025&lt;&gt;"",I2025,IF(I2130&lt;&gt;"",I2130,""))),SUMPRODUCT($C$1601:$V$1601,($C$236:$V$236=I$1703)*1,$C$9:$V$9,$C$26:$V$26)/SUMPRODUCT($C$1601:$V$1601,($C$236:$V$236=I$1703)*1,$C$9:$V$9)))</f>
        <v/>
      </c>
      <c r="J2235" s="173">
        <f>IF(J1710=0,"",IF(EXACT(GewAn,"ja"),IF(AND(J2025&lt;&gt;"",J2130&lt;&gt;""),(J2025*GewP+J2130*GewT)/(GewP+GewT),IF(J2025&lt;&gt;"",J2025,IF(J2130&lt;&gt;"",J2130,""))),SUMPRODUCT($C$1601:$V$1601,($C$236:$V$236=J$1703)*1,$C$9:$V$9,$C$26:$V$26)/SUMPRODUCT($C$1601:$V$1601,($C$236:$V$236=J$1703)*1,$C$9:$V$9)))</f>
        <v/>
      </c>
    </row>
    <row r="2236">
      <c r="C2236" s="173">
        <f>IF(C1711=0,"",IF(EXACT(GewAn,"ja"),IF(AND(C2026&lt;&gt;"",C2131&lt;&gt;""),(C2026*GewP+C2131*GewT)/(GewP+GewT),IF(C2026&lt;&gt;"",C2026,IF(C2131&lt;&gt;"",C2131,""))),SUMPRODUCT($C$1602:$V$1602,($C$237:$V$237=C$1703)*1,$C$9:$V$9,$C$27:$V$27)/SUMPRODUCT($C$1602:$V$1602,($C$237:$V$237=C$1703)*1,$C$9:$V$9)))</f>
        <v/>
      </c>
      <c r="D2236" s="173">
        <f>IF(D1711=0,"",IF(EXACT(GewAn,"ja"),IF(AND(D2026&lt;&gt;"",D2131&lt;&gt;""),(D2026*GewP+D2131*GewT)/(GewP+GewT),IF(D2026&lt;&gt;"",D2026,IF(D2131&lt;&gt;"",D2131,""))),SUMPRODUCT($C$1602:$V$1602,($C$237:$V$237=D$1703)*1,$C$9:$V$9,$C$27:$V$27)/SUMPRODUCT($C$1602:$V$1602,($C$237:$V$237=D$1703)*1,$C$9:$V$9)))</f>
        <v/>
      </c>
      <c r="E2236" s="173">
        <f>IF(E1711=0,"",IF(EXACT(GewAn,"ja"),IF(AND(E2026&lt;&gt;"",E2131&lt;&gt;""),(E2026*GewP+E2131*GewT)/(GewP+GewT),IF(E2026&lt;&gt;"",E2026,IF(E2131&lt;&gt;"",E2131,""))),SUMPRODUCT($C$1602:$V$1602,($C$237:$V$237=E$1703)*1,$C$9:$V$9,$C$27:$V$27)/SUMPRODUCT($C$1602:$V$1602,($C$237:$V$237=E$1703)*1,$C$9:$V$9)))</f>
        <v/>
      </c>
      <c r="F2236" s="173">
        <f>IF(F1711=0,"",IF(EXACT(GewAn,"ja"),IF(AND(F2026&lt;&gt;"",F2131&lt;&gt;""),(F2026*GewP+F2131*GewT)/(GewP+GewT),IF(F2026&lt;&gt;"",F2026,IF(F2131&lt;&gt;"",F2131,""))),SUMPRODUCT($C$1602:$V$1602,($C$237:$V$237=F$1703)*1,$C$9:$V$9,$C$27:$V$27)/SUMPRODUCT($C$1602:$V$1602,($C$237:$V$237=F$1703)*1,$C$9:$V$9)))</f>
        <v/>
      </c>
      <c r="G2236" s="173">
        <f>IF(G1711=0,"",IF(EXACT(GewAn,"ja"),IF(AND(G2026&lt;&gt;"",G2131&lt;&gt;""),(G2026*GewP+G2131*GewT)/(GewP+GewT),IF(G2026&lt;&gt;"",G2026,IF(G2131&lt;&gt;"",G2131,""))),SUMPRODUCT($C$1602:$V$1602,($C$237:$V$237=G$1703)*1,$C$9:$V$9,$C$27:$V$27)/SUMPRODUCT($C$1602:$V$1602,($C$237:$V$237=G$1703)*1,$C$9:$V$9)))</f>
        <v/>
      </c>
      <c r="H2236" s="173">
        <f>IF(H1711=0,"",IF(EXACT(GewAn,"ja"),IF(AND(H2026&lt;&gt;"",H2131&lt;&gt;""),(H2026*GewP+H2131*GewT)/(GewP+GewT),IF(H2026&lt;&gt;"",H2026,IF(H2131&lt;&gt;"",H2131,""))),SUMPRODUCT($C$1602:$V$1602,($C$237:$V$237=H$1703)*1,$C$9:$V$9,$C$27:$V$27)/SUMPRODUCT($C$1602:$V$1602,($C$237:$V$237=H$1703)*1,$C$9:$V$9)))</f>
        <v/>
      </c>
      <c r="I2236" s="173">
        <f>IF(I1711=0,"",IF(EXACT(GewAn,"ja"),IF(AND(I2026&lt;&gt;"",I2131&lt;&gt;""),(I2026*GewP+I2131*GewT)/(GewP+GewT),IF(I2026&lt;&gt;"",I2026,IF(I2131&lt;&gt;"",I2131,""))),SUMPRODUCT($C$1602:$V$1602,($C$237:$V$237=I$1703)*1,$C$9:$V$9,$C$27:$V$27)/SUMPRODUCT($C$1602:$V$1602,($C$237:$V$237=I$1703)*1,$C$9:$V$9)))</f>
        <v/>
      </c>
      <c r="J2236" s="173">
        <f>IF(J1711=0,"",IF(EXACT(GewAn,"ja"),IF(AND(J2026&lt;&gt;"",J2131&lt;&gt;""),(J2026*GewP+J2131*GewT)/(GewP+GewT),IF(J2026&lt;&gt;"",J2026,IF(J2131&lt;&gt;"",J2131,""))),SUMPRODUCT($C$1602:$V$1602,($C$237:$V$237=J$1703)*1,$C$9:$V$9,$C$27:$V$27)/SUMPRODUCT($C$1602:$V$1602,($C$237:$V$237=J$1703)*1,$C$9:$V$9)))</f>
        <v/>
      </c>
    </row>
    <row r="2237">
      <c r="C2237" s="173">
        <f>IF(C1712=0,"",IF(EXACT(GewAn,"ja"),IF(AND(C2027&lt;&gt;"",C2132&lt;&gt;""),(C2027*GewP+C2132*GewT)/(GewP+GewT),IF(C2027&lt;&gt;"",C2027,IF(C2132&lt;&gt;"",C2132,""))),SUMPRODUCT($C$1603:$V$1603,($C$238:$V$238=C$1703)*1,$C$9:$V$9,$C$28:$V$28)/SUMPRODUCT($C$1603:$V$1603,($C$238:$V$238=C$1703)*1,$C$9:$V$9)))</f>
        <v/>
      </c>
      <c r="D2237" s="173">
        <f>IF(D1712=0,"",IF(EXACT(GewAn,"ja"),IF(AND(D2027&lt;&gt;"",D2132&lt;&gt;""),(D2027*GewP+D2132*GewT)/(GewP+GewT),IF(D2027&lt;&gt;"",D2027,IF(D2132&lt;&gt;"",D2132,""))),SUMPRODUCT($C$1603:$V$1603,($C$238:$V$238=D$1703)*1,$C$9:$V$9,$C$28:$V$28)/SUMPRODUCT($C$1603:$V$1603,($C$238:$V$238=D$1703)*1,$C$9:$V$9)))</f>
        <v/>
      </c>
      <c r="E2237" s="173">
        <f>IF(E1712=0,"",IF(EXACT(GewAn,"ja"),IF(AND(E2027&lt;&gt;"",E2132&lt;&gt;""),(E2027*GewP+E2132*GewT)/(GewP+GewT),IF(E2027&lt;&gt;"",E2027,IF(E2132&lt;&gt;"",E2132,""))),SUMPRODUCT($C$1603:$V$1603,($C$238:$V$238=E$1703)*1,$C$9:$V$9,$C$28:$V$28)/SUMPRODUCT($C$1603:$V$1603,($C$238:$V$238=E$1703)*1,$C$9:$V$9)))</f>
        <v/>
      </c>
      <c r="F2237" s="173">
        <f>IF(F1712=0,"",IF(EXACT(GewAn,"ja"),IF(AND(F2027&lt;&gt;"",F2132&lt;&gt;""),(F2027*GewP+F2132*GewT)/(GewP+GewT),IF(F2027&lt;&gt;"",F2027,IF(F2132&lt;&gt;"",F2132,""))),SUMPRODUCT($C$1603:$V$1603,($C$238:$V$238=F$1703)*1,$C$9:$V$9,$C$28:$V$28)/SUMPRODUCT($C$1603:$V$1603,($C$238:$V$238=F$1703)*1,$C$9:$V$9)))</f>
        <v/>
      </c>
      <c r="G2237" s="173">
        <f>IF(G1712=0,"",IF(EXACT(GewAn,"ja"),IF(AND(G2027&lt;&gt;"",G2132&lt;&gt;""),(G2027*GewP+G2132*GewT)/(GewP+GewT),IF(G2027&lt;&gt;"",G2027,IF(G2132&lt;&gt;"",G2132,""))),SUMPRODUCT($C$1603:$V$1603,($C$238:$V$238=G$1703)*1,$C$9:$V$9,$C$28:$V$28)/SUMPRODUCT($C$1603:$V$1603,($C$238:$V$238=G$1703)*1,$C$9:$V$9)))</f>
        <v/>
      </c>
      <c r="H2237" s="173">
        <f>IF(H1712=0,"",IF(EXACT(GewAn,"ja"),IF(AND(H2027&lt;&gt;"",H2132&lt;&gt;""),(H2027*GewP+H2132*GewT)/(GewP+GewT),IF(H2027&lt;&gt;"",H2027,IF(H2132&lt;&gt;"",H2132,""))),SUMPRODUCT($C$1603:$V$1603,($C$238:$V$238=H$1703)*1,$C$9:$V$9,$C$28:$V$28)/SUMPRODUCT($C$1603:$V$1603,($C$238:$V$238=H$1703)*1,$C$9:$V$9)))</f>
        <v/>
      </c>
      <c r="I2237" s="173">
        <f>IF(I1712=0,"",IF(EXACT(GewAn,"ja"),IF(AND(I2027&lt;&gt;"",I2132&lt;&gt;""),(I2027*GewP+I2132*GewT)/(GewP+GewT),IF(I2027&lt;&gt;"",I2027,IF(I2132&lt;&gt;"",I2132,""))),SUMPRODUCT($C$1603:$V$1603,($C$238:$V$238=I$1703)*1,$C$9:$V$9,$C$28:$V$28)/SUMPRODUCT($C$1603:$V$1603,($C$238:$V$238=I$1703)*1,$C$9:$V$9)))</f>
        <v/>
      </c>
      <c r="J2237" s="173">
        <f>IF(J1712=0,"",IF(EXACT(GewAn,"ja"),IF(AND(J2027&lt;&gt;"",J2132&lt;&gt;""),(J2027*GewP+J2132*GewT)/(GewP+GewT),IF(J2027&lt;&gt;"",J2027,IF(J2132&lt;&gt;"",J2132,""))),SUMPRODUCT($C$1603:$V$1603,($C$238:$V$238=J$1703)*1,$C$9:$V$9,$C$28:$V$28)/SUMPRODUCT($C$1603:$V$1603,($C$238:$V$238=J$1703)*1,$C$9:$V$9)))</f>
        <v/>
      </c>
    </row>
    <row r="2238">
      <c r="C2238" s="173">
        <f>IF(C1713=0,"",IF(EXACT(GewAn,"ja"),IF(AND(C2028&lt;&gt;"",C2133&lt;&gt;""),(C2028*GewP+C2133*GewT)/(GewP+GewT),IF(C2028&lt;&gt;"",C2028,IF(C2133&lt;&gt;"",C2133,""))),SUMPRODUCT($C$1604:$V$1604,($C$239:$V$239=C$1703)*1,$C$9:$V$9,$C$29:$V$29)/SUMPRODUCT($C$1604:$V$1604,($C$239:$V$239=C$1703)*1,$C$9:$V$9)))</f>
        <v/>
      </c>
      <c r="D2238" s="173">
        <f>IF(D1713=0,"",IF(EXACT(GewAn,"ja"),IF(AND(D2028&lt;&gt;"",D2133&lt;&gt;""),(D2028*GewP+D2133*GewT)/(GewP+GewT),IF(D2028&lt;&gt;"",D2028,IF(D2133&lt;&gt;"",D2133,""))),SUMPRODUCT($C$1604:$V$1604,($C$239:$V$239=D$1703)*1,$C$9:$V$9,$C$29:$V$29)/SUMPRODUCT($C$1604:$V$1604,($C$239:$V$239=D$1703)*1,$C$9:$V$9)))</f>
        <v/>
      </c>
      <c r="E2238" s="173">
        <f>IF(E1713=0,"",IF(EXACT(GewAn,"ja"),IF(AND(E2028&lt;&gt;"",E2133&lt;&gt;""),(E2028*GewP+E2133*GewT)/(GewP+GewT),IF(E2028&lt;&gt;"",E2028,IF(E2133&lt;&gt;"",E2133,""))),SUMPRODUCT($C$1604:$V$1604,($C$239:$V$239=E$1703)*1,$C$9:$V$9,$C$29:$V$29)/SUMPRODUCT($C$1604:$V$1604,($C$239:$V$239=E$1703)*1,$C$9:$V$9)))</f>
        <v/>
      </c>
      <c r="F2238" s="173">
        <f>IF(F1713=0,"",IF(EXACT(GewAn,"ja"),IF(AND(F2028&lt;&gt;"",F2133&lt;&gt;""),(F2028*GewP+F2133*GewT)/(GewP+GewT),IF(F2028&lt;&gt;"",F2028,IF(F2133&lt;&gt;"",F2133,""))),SUMPRODUCT($C$1604:$V$1604,($C$239:$V$239=F$1703)*1,$C$9:$V$9,$C$29:$V$29)/SUMPRODUCT($C$1604:$V$1604,($C$239:$V$239=F$1703)*1,$C$9:$V$9)))</f>
        <v/>
      </c>
      <c r="G2238" s="173">
        <f>IF(G1713=0,"",IF(EXACT(GewAn,"ja"),IF(AND(G2028&lt;&gt;"",G2133&lt;&gt;""),(G2028*GewP+G2133*GewT)/(GewP+GewT),IF(G2028&lt;&gt;"",G2028,IF(G2133&lt;&gt;"",G2133,""))),SUMPRODUCT($C$1604:$V$1604,($C$239:$V$239=G$1703)*1,$C$9:$V$9,$C$29:$V$29)/SUMPRODUCT($C$1604:$V$1604,($C$239:$V$239=G$1703)*1,$C$9:$V$9)))</f>
        <v/>
      </c>
      <c r="H2238" s="173">
        <f>IF(H1713=0,"",IF(EXACT(GewAn,"ja"),IF(AND(H2028&lt;&gt;"",H2133&lt;&gt;""),(H2028*GewP+H2133*GewT)/(GewP+GewT),IF(H2028&lt;&gt;"",H2028,IF(H2133&lt;&gt;"",H2133,""))),SUMPRODUCT($C$1604:$V$1604,($C$239:$V$239=H$1703)*1,$C$9:$V$9,$C$29:$V$29)/SUMPRODUCT($C$1604:$V$1604,($C$239:$V$239=H$1703)*1,$C$9:$V$9)))</f>
        <v/>
      </c>
      <c r="I2238" s="173">
        <f>IF(I1713=0,"",IF(EXACT(GewAn,"ja"),IF(AND(I2028&lt;&gt;"",I2133&lt;&gt;""),(I2028*GewP+I2133*GewT)/(GewP+GewT),IF(I2028&lt;&gt;"",I2028,IF(I2133&lt;&gt;"",I2133,""))),SUMPRODUCT($C$1604:$V$1604,($C$239:$V$239=I$1703)*1,$C$9:$V$9,$C$29:$V$29)/SUMPRODUCT($C$1604:$V$1604,($C$239:$V$239=I$1703)*1,$C$9:$V$9)))</f>
        <v/>
      </c>
      <c r="J2238" s="173">
        <f>IF(J1713=0,"",IF(EXACT(GewAn,"ja"),IF(AND(J2028&lt;&gt;"",J2133&lt;&gt;""),(J2028*GewP+J2133*GewT)/(GewP+GewT),IF(J2028&lt;&gt;"",J2028,IF(J2133&lt;&gt;"",J2133,""))),SUMPRODUCT($C$1604:$V$1604,($C$239:$V$239=J$1703)*1,$C$9:$V$9,$C$29:$V$29)/SUMPRODUCT($C$1604:$V$1604,($C$239:$V$239=J$1703)*1,$C$9:$V$9)))</f>
        <v/>
      </c>
    </row>
    <row r="2239">
      <c r="C2239" s="173">
        <f>IF(C1714=0,"",IF(EXACT(GewAn,"ja"),IF(AND(C2029&lt;&gt;"",C2134&lt;&gt;""),(C2029*GewP+C2134*GewT)/(GewP+GewT),IF(C2029&lt;&gt;"",C2029,IF(C2134&lt;&gt;"",C2134,""))),SUMPRODUCT($C$1605:$V$1605,($C$240:$V$240=C$1703)*1,$C$9:$V$9,$C$30:$V$30)/SUMPRODUCT($C$1605:$V$1605,($C$240:$V$240=C$1703)*1,$C$9:$V$9)))</f>
        <v/>
      </c>
      <c r="D2239" s="173">
        <f>IF(D1714=0,"",IF(EXACT(GewAn,"ja"),IF(AND(D2029&lt;&gt;"",D2134&lt;&gt;""),(D2029*GewP+D2134*GewT)/(GewP+GewT),IF(D2029&lt;&gt;"",D2029,IF(D2134&lt;&gt;"",D2134,""))),SUMPRODUCT($C$1605:$V$1605,($C$240:$V$240=D$1703)*1,$C$9:$V$9,$C$30:$V$30)/SUMPRODUCT($C$1605:$V$1605,($C$240:$V$240=D$1703)*1,$C$9:$V$9)))</f>
        <v/>
      </c>
      <c r="E2239" s="173">
        <f>IF(E1714=0,"",IF(EXACT(GewAn,"ja"),IF(AND(E2029&lt;&gt;"",E2134&lt;&gt;""),(E2029*GewP+E2134*GewT)/(GewP+GewT),IF(E2029&lt;&gt;"",E2029,IF(E2134&lt;&gt;"",E2134,""))),SUMPRODUCT($C$1605:$V$1605,($C$240:$V$240=E$1703)*1,$C$9:$V$9,$C$30:$V$30)/SUMPRODUCT($C$1605:$V$1605,($C$240:$V$240=E$1703)*1,$C$9:$V$9)))</f>
        <v/>
      </c>
      <c r="F2239" s="173">
        <f>IF(F1714=0,"",IF(EXACT(GewAn,"ja"),IF(AND(F2029&lt;&gt;"",F2134&lt;&gt;""),(F2029*GewP+F2134*GewT)/(GewP+GewT),IF(F2029&lt;&gt;"",F2029,IF(F2134&lt;&gt;"",F2134,""))),SUMPRODUCT($C$1605:$V$1605,($C$240:$V$240=F$1703)*1,$C$9:$V$9,$C$30:$V$30)/SUMPRODUCT($C$1605:$V$1605,($C$240:$V$240=F$1703)*1,$C$9:$V$9)))</f>
        <v/>
      </c>
      <c r="G2239" s="173">
        <f>IF(G1714=0,"",IF(EXACT(GewAn,"ja"),IF(AND(G2029&lt;&gt;"",G2134&lt;&gt;""),(G2029*GewP+G2134*GewT)/(GewP+GewT),IF(G2029&lt;&gt;"",G2029,IF(G2134&lt;&gt;"",G2134,""))),SUMPRODUCT($C$1605:$V$1605,($C$240:$V$240=G$1703)*1,$C$9:$V$9,$C$30:$V$30)/SUMPRODUCT($C$1605:$V$1605,($C$240:$V$240=G$1703)*1,$C$9:$V$9)))</f>
        <v/>
      </c>
      <c r="H2239" s="173">
        <f>IF(H1714=0,"",IF(EXACT(GewAn,"ja"),IF(AND(H2029&lt;&gt;"",H2134&lt;&gt;""),(H2029*GewP+H2134*GewT)/(GewP+GewT),IF(H2029&lt;&gt;"",H2029,IF(H2134&lt;&gt;"",H2134,""))),SUMPRODUCT($C$1605:$V$1605,($C$240:$V$240=H$1703)*1,$C$9:$V$9,$C$30:$V$30)/SUMPRODUCT($C$1605:$V$1605,($C$240:$V$240=H$1703)*1,$C$9:$V$9)))</f>
        <v/>
      </c>
      <c r="I2239" s="173">
        <f>IF(I1714=0,"",IF(EXACT(GewAn,"ja"),IF(AND(I2029&lt;&gt;"",I2134&lt;&gt;""),(I2029*GewP+I2134*GewT)/(GewP+GewT),IF(I2029&lt;&gt;"",I2029,IF(I2134&lt;&gt;"",I2134,""))),SUMPRODUCT($C$1605:$V$1605,($C$240:$V$240=I$1703)*1,$C$9:$V$9,$C$30:$V$30)/SUMPRODUCT($C$1605:$V$1605,($C$240:$V$240=I$1703)*1,$C$9:$V$9)))</f>
        <v/>
      </c>
      <c r="J2239" s="173">
        <f>IF(J1714=0,"",IF(EXACT(GewAn,"ja"),IF(AND(J2029&lt;&gt;"",J2134&lt;&gt;""),(J2029*GewP+J2134*GewT)/(GewP+GewT),IF(J2029&lt;&gt;"",J2029,IF(J2134&lt;&gt;"",J2134,""))),SUMPRODUCT($C$1605:$V$1605,($C$240:$V$240=J$1703)*1,$C$9:$V$9,$C$30:$V$30)/SUMPRODUCT($C$1605:$V$1605,($C$240:$V$240=J$1703)*1,$C$9:$V$9)))</f>
        <v/>
      </c>
    </row>
    <row r="2240">
      <c r="C2240" s="173">
        <f>IF(C1715=0,"",IF(EXACT(GewAn,"ja"),IF(AND(C2030&lt;&gt;"",C2135&lt;&gt;""),(C2030*GewP+C2135*GewT)/(GewP+GewT),IF(C2030&lt;&gt;"",C2030,IF(C2135&lt;&gt;"",C2135,""))),SUMPRODUCT($C$1606:$V$1606,($C$241:$V$241=C$1703)*1,$C$9:$V$9,$C$31:$V$31)/SUMPRODUCT($C$1606:$V$1606,($C$241:$V$241=C$1703)*1,$C$9:$V$9)))</f>
        <v/>
      </c>
      <c r="D2240" s="173">
        <f>IF(D1715=0,"",IF(EXACT(GewAn,"ja"),IF(AND(D2030&lt;&gt;"",D2135&lt;&gt;""),(D2030*GewP+D2135*GewT)/(GewP+GewT),IF(D2030&lt;&gt;"",D2030,IF(D2135&lt;&gt;"",D2135,""))),SUMPRODUCT($C$1606:$V$1606,($C$241:$V$241=D$1703)*1,$C$9:$V$9,$C$31:$V$31)/SUMPRODUCT($C$1606:$V$1606,($C$241:$V$241=D$1703)*1,$C$9:$V$9)))</f>
        <v/>
      </c>
      <c r="E2240" s="173">
        <f>IF(E1715=0,"",IF(EXACT(GewAn,"ja"),IF(AND(E2030&lt;&gt;"",E2135&lt;&gt;""),(E2030*GewP+E2135*GewT)/(GewP+GewT),IF(E2030&lt;&gt;"",E2030,IF(E2135&lt;&gt;"",E2135,""))),SUMPRODUCT($C$1606:$V$1606,($C$241:$V$241=E$1703)*1,$C$9:$V$9,$C$31:$V$31)/SUMPRODUCT($C$1606:$V$1606,($C$241:$V$241=E$1703)*1,$C$9:$V$9)))</f>
        <v/>
      </c>
      <c r="F2240" s="173">
        <f>IF(F1715=0,"",IF(EXACT(GewAn,"ja"),IF(AND(F2030&lt;&gt;"",F2135&lt;&gt;""),(F2030*GewP+F2135*GewT)/(GewP+GewT),IF(F2030&lt;&gt;"",F2030,IF(F2135&lt;&gt;"",F2135,""))),SUMPRODUCT($C$1606:$V$1606,($C$241:$V$241=F$1703)*1,$C$9:$V$9,$C$31:$V$31)/SUMPRODUCT($C$1606:$V$1606,($C$241:$V$241=F$1703)*1,$C$9:$V$9)))</f>
        <v/>
      </c>
      <c r="G2240" s="173">
        <f>IF(G1715=0,"",IF(EXACT(GewAn,"ja"),IF(AND(G2030&lt;&gt;"",G2135&lt;&gt;""),(G2030*GewP+G2135*GewT)/(GewP+GewT),IF(G2030&lt;&gt;"",G2030,IF(G2135&lt;&gt;"",G2135,""))),SUMPRODUCT($C$1606:$V$1606,($C$241:$V$241=G$1703)*1,$C$9:$V$9,$C$31:$V$31)/SUMPRODUCT($C$1606:$V$1606,($C$241:$V$241=G$1703)*1,$C$9:$V$9)))</f>
        <v/>
      </c>
      <c r="H2240" s="173">
        <f>IF(H1715=0,"",IF(EXACT(GewAn,"ja"),IF(AND(H2030&lt;&gt;"",H2135&lt;&gt;""),(H2030*GewP+H2135*GewT)/(GewP+GewT),IF(H2030&lt;&gt;"",H2030,IF(H2135&lt;&gt;"",H2135,""))),SUMPRODUCT($C$1606:$V$1606,($C$241:$V$241=H$1703)*1,$C$9:$V$9,$C$31:$V$31)/SUMPRODUCT($C$1606:$V$1606,($C$241:$V$241=H$1703)*1,$C$9:$V$9)))</f>
        <v/>
      </c>
      <c r="I2240" s="173">
        <f>IF(I1715=0,"",IF(EXACT(GewAn,"ja"),IF(AND(I2030&lt;&gt;"",I2135&lt;&gt;""),(I2030*GewP+I2135*GewT)/(GewP+GewT),IF(I2030&lt;&gt;"",I2030,IF(I2135&lt;&gt;"",I2135,""))),SUMPRODUCT($C$1606:$V$1606,($C$241:$V$241=I$1703)*1,$C$9:$V$9,$C$31:$V$31)/SUMPRODUCT($C$1606:$V$1606,($C$241:$V$241=I$1703)*1,$C$9:$V$9)))</f>
        <v/>
      </c>
      <c r="J2240" s="173">
        <f>IF(J1715=0,"",IF(EXACT(GewAn,"ja"),IF(AND(J2030&lt;&gt;"",J2135&lt;&gt;""),(J2030*GewP+J2135*GewT)/(GewP+GewT),IF(J2030&lt;&gt;"",J2030,IF(J2135&lt;&gt;"",J2135,""))),SUMPRODUCT($C$1606:$V$1606,($C$241:$V$241=J$1703)*1,$C$9:$V$9,$C$31:$V$31)/SUMPRODUCT($C$1606:$V$1606,($C$241:$V$241=J$1703)*1,$C$9:$V$9)))</f>
        <v/>
      </c>
    </row>
    <row r="2241">
      <c r="C2241" s="173">
        <f>IF(C1716=0,"",IF(EXACT(GewAn,"ja"),IF(AND(C2031&lt;&gt;"",C2136&lt;&gt;""),(C2031*GewP+C2136*GewT)/(GewP+GewT),IF(C2031&lt;&gt;"",C2031,IF(C2136&lt;&gt;"",C2136,""))),SUMPRODUCT($C$1607:$V$1607,($C$242:$V$242=C$1703)*1,$C$9:$V$9,$C$32:$V$32)/SUMPRODUCT($C$1607:$V$1607,($C$242:$V$242=C$1703)*1,$C$9:$V$9)))</f>
        <v/>
      </c>
      <c r="D2241" s="173">
        <f>IF(D1716=0,"",IF(EXACT(GewAn,"ja"),IF(AND(D2031&lt;&gt;"",D2136&lt;&gt;""),(D2031*GewP+D2136*GewT)/(GewP+GewT),IF(D2031&lt;&gt;"",D2031,IF(D2136&lt;&gt;"",D2136,""))),SUMPRODUCT($C$1607:$V$1607,($C$242:$V$242=D$1703)*1,$C$9:$V$9,$C$32:$V$32)/SUMPRODUCT($C$1607:$V$1607,($C$242:$V$242=D$1703)*1,$C$9:$V$9)))</f>
        <v/>
      </c>
      <c r="E2241" s="173">
        <f>IF(E1716=0,"",IF(EXACT(GewAn,"ja"),IF(AND(E2031&lt;&gt;"",E2136&lt;&gt;""),(E2031*GewP+E2136*GewT)/(GewP+GewT),IF(E2031&lt;&gt;"",E2031,IF(E2136&lt;&gt;"",E2136,""))),SUMPRODUCT($C$1607:$V$1607,($C$242:$V$242=E$1703)*1,$C$9:$V$9,$C$32:$V$32)/SUMPRODUCT($C$1607:$V$1607,($C$242:$V$242=E$1703)*1,$C$9:$V$9)))</f>
        <v/>
      </c>
      <c r="F2241" s="173">
        <f>IF(F1716=0,"",IF(EXACT(GewAn,"ja"),IF(AND(F2031&lt;&gt;"",F2136&lt;&gt;""),(F2031*GewP+F2136*GewT)/(GewP+GewT),IF(F2031&lt;&gt;"",F2031,IF(F2136&lt;&gt;"",F2136,""))),SUMPRODUCT($C$1607:$V$1607,($C$242:$V$242=F$1703)*1,$C$9:$V$9,$C$32:$V$32)/SUMPRODUCT($C$1607:$V$1607,($C$242:$V$242=F$1703)*1,$C$9:$V$9)))</f>
        <v/>
      </c>
      <c r="G2241" s="173">
        <f>IF(G1716=0,"",IF(EXACT(GewAn,"ja"),IF(AND(G2031&lt;&gt;"",G2136&lt;&gt;""),(G2031*GewP+G2136*GewT)/(GewP+GewT),IF(G2031&lt;&gt;"",G2031,IF(G2136&lt;&gt;"",G2136,""))),SUMPRODUCT($C$1607:$V$1607,($C$242:$V$242=G$1703)*1,$C$9:$V$9,$C$32:$V$32)/SUMPRODUCT($C$1607:$V$1607,($C$242:$V$242=G$1703)*1,$C$9:$V$9)))</f>
        <v/>
      </c>
      <c r="H2241" s="173">
        <f>IF(H1716=0,"",IF(EXACT(GewAn,"ja"),IF(AND(H2031&lt;&gt;"",H2136&lt;&gt;""),(H2031*GewP+H2136*GewT)/(GewP+GewT),IF(H2031&lt;&gt;"",H2031,IF(H2136&lt;&gt;"",H2136,""))),SUMPRODUCT($C$1607:$V$1607,($C$242:$V$242=H$1703)*1,$C$9:$V$9,$C$32:$V$32)/SUMPRODUCT($C$1607:$V$1607,($C$242:$V$242=H$1703)*1,$C$9:$V$9)))</f>
        <v/>
      </c>
      <c r="I2241" s="173">
        <f>IF(I1716=0,"",IF(EXACT(GewAn,"ja"),IF(AND(I2031&lt;&gt;"",I2136&lt;&gt;""),(I2031*GewP+I2136*GewT)/(GewP+GewT),IF(I2031&lt;&gt;"",I2031,IF(I2136&lt;&gt;"",I2136,""))),SUMPRODUCT($C$1607:$V$1607,($C$242:$V$242=I$1703)*1,$C$9:$V$9,$C$32:$V$32)/SUMPRODUCT($C$1607:$V$1607,($C$242:$V$242=I$1703)*1,$C$9:$V$9)))</f>
        <v/>
      </c>
      <c r="J2241" s="173">
        <f>IF(J1716=0,"",IF(EXACT(GewAn,"ja"),IF(AND(J2031&lt;&gt;"",J2136&lt;&gt;""),(J2031*GewP+J2136*GewT)/(GewP+GewT),IF(J2031&lt;&gt;"",J2031,IF(J2136&lt;&gt;"",J2136,""))),SUMPRODUCT($C$1607:$V$1607,($C$242:$V$242=J$1703)*1,$C$9:$V$9,$C$32:$V$32)/SUMPRODUCT($C$1607:$V$1607,($C$242:$V$242=J$1703)*1,$C$9:$V$9)))</f>
        <v/>
      </c>
    </row>
    <row r="2242">
      <c r="C2242" s="173">
        <f>IF(C1717=0,"",IF(EXACT(GewAn,"ja"),IF(AND(C2032&lt;&gt;"",C2137&lt;&gt;""),(C2032*GewP+C2137*GewT)/(GewP+GewT),IF(C2032&lt;&gt;"",C2032,IF(C2137&lt;&gt;"",C2137,""))),SUMPRODUCT($C$1608:$V$1608,($C$243:$V$243=C$1703)*1,$C$9:$V$9,$C$33:$V$33)/SUMPRODUCT($C$1608:$V$1608,($C$243:$V$243=C$1703)*1,$C$9:$V$9)))</f>
        <v/>
      </c>
      <c r="D2242" s="173">
        <f>IF(D1717=0,"",IF(EXACT(GewAn,"ja"),IF(AND(D2032&lt;&gt;"",D2137&lt;&gt;""),(D2032*GewP+D2137*GewT)/(GewP+GewT),IF(D2032&lt;&gt;"",D2032,IF(D2137&lt;&gt;"",D2137,""))),SUMPRODUCT($C$1608:$V$1608,($C$243:$V$243=D$1703)*1,$C$9:$V$9,$C$33:$V$33)/SUMPRODUCT($C$1608:$V$1608,($C$243:$V$243=D$1703)*1,$C$9:$V$9)))</f>
        <v/>
      </c>
      <c r="E2242" s="173">
        <f>IF(E1717=0,"",IF(EXACT(GewAn,"ja"),IF(AND(E2032&lt;&gt;"",E2137&lt;&gt;""),(E2032*GewP+E2137*GewT)/(GewP+GewT),IF(E2032&lt;&gt;"",E2032,IF(E2137&lt;&gt;"",E2137,""))),SUMPRODUCT($C$1608:$V$1608,($C$243:$V$243=E$1703)*1,$C$9:$V$9,$C$33:$V$33)/SUMPRODUCT($C$1608:$V$1608,($C$243:$V$243=E$1703)*1,$C$9:$V$9)))</f>
        <v/>
      </c>
      <c r="F2242" s="173">
        <f>IF(F1717=0,"",IF(EXACT(GewAn,"ja"),IF(AND(F2032&lt;&gt;"",F2137&lt;&gt;""),(F2032*GewP+F2137*GewT)/(GewP+GewT),IF(F2032&lt;&gt;"",F2032,IF(F2137&lt;&gt;"",F2137,""))),SUMPRODUCT($C$1608:$V$1608,($C$243:$V$243=F$1703)*1,$C$9:$V$9,$C$33:$V$33)/SUMPRODUCT($C$1608:$V$1608,($C$243:$V$243=F$1703)*1,$C$9:$V$9)))</f>
        <v/>
      </c>
      <c r="G2242" s="173">
        <f>IF(G1717=0,"",IF(EXACT(GewAn,"ja"),IF(AND(G2032&lt;&gt;"",G2137&lt;&gt;""),(G2032*GewP+G2137*GewT)/(GewP+GewT),IF(G2032&lt;&gt;"",G2032,IF(G2137&lt;&gt;"",G2137,""))),SUMPRODUCT($C$1608:$V$1608,($C$243:$V$243=G$1703)*1,$C$9:$V$9,$C$33:$V$33)/SUMPRODUCT($C$1608:$V$1608,($C$243:$V$243=G$1703)*1,$C$9:$V$9)))</f>
        <v/>
      </c>
      <c r="H2242" s="173">
        <f>IF(H1717=0,"",IF(EXACT(GewAn,"ja"),IF(AND(H2032&lt;&gt;"",H2137&lt;&gt;""),(H2032*GewP+H2137*GewT)/(GewP+GewT),IF(H2032&lt;&gt;"",H2032,IF(H2137&lt;&gt;"",H2137,""))),SUMPRODUCT($C$1608:$V$1608,($C$243:$V$243=H$1703)*1,$C$9:$V$9,$C$33:$V$33)/SUMPRODUCT($C$1608:$V$1608,($C$243:$V$243=H$1703)*1,$C$9:$V$9)))</f>
        <v/>
      </c>
      <c r="I2242" s="173">
        <f>IF(I1717=0,"",IF(EXACT(GewAn,"ja"),IF(AND(I2032&lt;&gt;"",I2137&lt;&gt;""),(I2032*GewP+I2137*GewT)/(GewP+GewT),IF(I2032&lt;&gt;"",I2032,IF(I2137&lt;&gt;"",I2137,""))),SUMPRODUCT($C$1608:$V$1608,($C$243:$V$243=I$1703)*1,$C$9:$V$9,$C$33:$V$33)/SUMPRODUCT($C$1608:$V$1608,($C$243:$V$243=I$1703)*1,$C$9:$V$9)))</f>
        <v/>
      </c>
      <c r="J2242" s="173">
        <f>IF(J1717=0,"",IF(EXACT(GewAn,"ja"),IF(AND(J2032&lt;&gt;"",J2137&lt;&gt;""),(J2032*GewP+J2137*GewT)/(GewP+GewT),IF(J2032&lt;&gt;"",J2032,IF(J2137&lt;&gt;"",J2137,""))),SUMPRODUCT($C$1608:$V$1608,($C$243:$V$243=J$1703)*1,$C$9:$V$9,$C$33:$V$33)/SUMPRODUCT($C$1608:$V$1608,($C$243:$V$243=J$1703)*1,$C$9:$V$9)))</f>
        <v/>
      </c>
    </row>
    <row r="2243">
      <c r="C2243" s="173">
        <f>IF(C1718=0,"",IF(EXACT(GewAn,"ja"),IF(AND(C2033&lt;&gt;"",C2138&lt;&gt;""),(C2033*GewP+C2138*GewT)/(GewP+GewT),IF(C2033&lt;&gt;"",C2033,IF(C2138&lt;&gt;"",C2138,""))),SUMPRODUCT($C$1609:$V$1609,($C$244:$V$244=C$1703)*1,$C$9:$V$9,$C$34:$V$34)/SUMPRODUCT($C$1609:$V$1609,($C$244:$V$244=C$1703)*1,$C$9:$V$9)))</f>
        <v/>
      </c>
      <c r="D2243" s="173">
        <f>IF(D1718=0,"",IF(EXACT(GewAn,"ja"),IF(AND(D2033&lt;&gt;"",D2138&lt;&gt;""),(D2033*GewP+D2138*GewT)/(GewP+GewT),IF(D2033&lt;&gt;"",D2033,IF(D2138&lt;&gt;"",D2138,""))),SUMPRODUCT($C$1609:$V$1609,($C$244:$V$244=D$1703)*1,$C$9:$V$9,$C$34:$V$34)/SUMPRODUCT($C$1609:$V$1609,($C$244:$V$244=D$1703)*1,$C$9:$V$9)))</f>
        <v/>
      </c>
      <c r="E2243" s="173">
        <f>IF(E1718=0,"",IF(EXACT(GewAn,"ja"),IF(AND(E2033&lt;&gt;"",E2138&lt;&gt;""),(E2033*GewP+E2138*GewT)/(GewP+GewT),IF(E2033&lt;&gt;"",E2033,IF(E2138&lt;&gt;"",E2138,""))),SUMPRODUCT($C$1609:$V$1609,($C$244:$V$244=E$1703)*1,$C$9:$V$9,$C$34:$V$34)/SUMPRODUCT($C$1609:$V$1609,($C$244:$V$244=E$1703)*1,$C$9:$V$9)))</f>
        <v/>
      </c>
      <c r="F2243" s="173">
        <f>IF(F1718=0,"",IF(EXACT(GewAn,"ja"),IF(AND(F2033&lt;&gt;"",F2138&lt;&gt;""),(F2033*GewP+F2138*GewT)/(GewP+GewT),IF(F2033&lt;&gt;"",F2033,IF(F2138&lt;&gt;"",F2138,""))),SUMPRODUCT($C$1609:$V$1609,($C$244:$V$244=F$1703)*1,$C$9:$V$9,$C$34:$V$34)/SUMPRODUCT($C$1609:$V$1609,($C$244:$V$244=F$1703)*1,$C$9:$V$9)))</f>
        <v/>
      </c>
      <c r="G2243" s="173">
        <f>IF(G1718=0,"",IF(EXACT(GewAn,"ja"),IF(AND(G2033&lt;&gt;"",G2138&lt;&gt;""),(G2033*GewP+G2138*GewT)/(GewP+GewT),IF(G2033&lt;&gt;"",G2033,IF(G2138&lt;&gt;"",G2138,""))),SUMPRODUCT($C$1609:$V$1609,($C$244:$V$244=G$1703)*1,$C$9:$V$9,$C$34:$V$34)/SUMPRODUCT($C$1609:$V$1609,($C$244:$V$244=G$1703)*1,$C$9:$V$9)))</f>
        <v/>
      </c>
      <c r="H2243" s="173">
        <f>IF(H1718=0,"",IF(EXACT(GewAn,"ja"),IF(AND(H2033&lt;&gt;"",H2138&lt;&gt;""),(H2033*GewP+H2138*GewT)/(GewP+GewT),IF(H2033&lt;&gt;"",H2033,IF(H2138&lt;&gt;"",H2138,""))),SUMPRODUCT($C$1609:$V$1609,($C$244:$V$244=H$1703)*1,$C$9:$V$9,$C$34:$V$34)/SUMPRODUCT($C$1609:$V$1609,($C$244:$V$244=H$1703)*1,$C$9:$V$9)))</f>
        <v/>
      </c>
      <c r="I2243" s="173">
        <f>IF(I1718=0,"",IF(EXACT(GewAn,"ja"),IF(AND(I2033&lt;&gt;"",I2138&lt;&gt;""),(I2033*GewP+I2138*GewT)/(GewP+GewT),IF(I2033&lt;&gt;"",I2033,IF(I2138&lt;&gt;"",I2138,""))),SUMPRODUCT($C$1609:$V$1609,($C$244:$V$244=I$1703)*1,$C$9:$V$9,$C$34:$V$34)/SUMPRODUCT($C$1609:$V$1609,($C$244:$V$244=I$1703)*1,$C$9:$V$9)))</f>
        <v/>
      </c>
      <c r="J2243" s="173">
        <f>IF(J1718=0,"",IF(EXACT(GewAn,"ja"),IF(AND(J2033&lt;&gt;"",J2138&lt;&gt;""),(J2033*GewP+J2138*GewT)/(GewP+GewT),IF(J2033&lt;&gt;"",J2033,IF(J2138&lt;&gt;"",J2138,""))),SUMPRODUCT($C$1609:$V$1609,($C$244:$V$244=J$1703)*1,$C$9:$V$9,$C$34:$V$34)/SUMPRODUCT($C$1609:$V$1609,($C$244:$V$244=J$1703)*1,$C$9:$V$9)))</f>
        <v/>
      </c>
    </row>
    <row r="2244">
      <c r="C2244" s="173">
        <f>IF(C1719=0,"",IF(EXACT(GewAn,"ja"),IF(AND(C2034&lt;&gt;"",C2139&lt;&gt;""),(C2034*GewP+C2139*GewT)/(GewP+GewT),IF(C2034&lt;&gt;"",C2034,IF(C2139&lt;&gt;"",C2139,""))),SUMPRODUCT($C$1610:$V$1610,($C$245:$V$245=C$1703)*1,$C$9:$V$9,$C$35:$V$35)/SUMPRODUCT($C$1610:$V$1610,($C$245:$V$245=C$1703)*1,$C$9:$V$9)))</f>
        <v/>
      </c>
      <c r="D2244" s="173">
        <f>IF(D1719=0,"",IF(EXACT(GewAn,"ja"),IF(AND(D2034&lt;&gt;"",D2139&lt;&gt;""),(D2034*GewP+D2139*GewT)/(GewP+GewT),IF(D2034&lt;&gt;"",D2034,IF(D2139&lt;&gt;"",D2139,""))),SUMPRODUCT($C$1610:$V$1610,($C$245:$V$245=D$1703)*1,$C$9:$V$9,$C$35:$V$35)/SUMPRODUCT($C$1610:$V$1610,($C$245:$V$245=D$1703)*1,$C$9:$V$9)))</f>
        <v/>
      </c>
      <c r="E2244" s="173">
        <f>IF(E1719=0,"",IF(EXACT(GewAn,"ja"),IF(AND(E2034&lt;&gt;"",E2139&lt;&gt;""),(E2034*GewP+E2139*GewT)/(GewP+GewT),IF(E2034&lt;&gt;"",E2034,IF(E2139&lt;&gt;"",E2139,""))),SUMPRODUCT($C$1610:$V$1610,($C$245:$V$245=E$1703)*1,$C$9:$V$9,$C$35:$V$35)/SUMPRODUCT($C$1610:$V$1610,($C$245:$V$245=E$1703)*1,$C$9:$V$9)))</f>
        <v/>
      </c>
      <c r="F2244" s="173">
        <f>IF(F1719=0,"",IF(EXACT(GewAn,"ja"),IF(AND(F2034&lt;&gt;"",F2139&lt;&gt;""),(F2034*GewP+F2139*GewT)/(GewP+GewT),IF(F2034&lt;&gt;"",F2034,IF(F2139&lt;&gt;"",F2139,""))),SUMPRODUCT($C$1610:$V$1610,($C$245:$V$245=F$1703)*1,$C$9:$V$9,$C$35:$V$35)/SUMPRODUCT($C$1610:$V$1610,($C$245:$V$245=F$1703)*1,$C$9:$V$9)))</f>
        <v/>
      </c>
      <c r="G2244" s="173">
        <f>IF(G1719=0,"",IF(EXACT(GewAn,"ja"),IF(AND(G2034&lt;&gt;"",G2139&lt;&gt;""),(G2034*GewP+G2139*GewT)/(GewP+GewT),IF(G2034&lt;&gt;"",G2034,IF(G2139&lt;&gt;"",G2139,""))),SUMPRODUCT($C$1610:$V$1610,($C$245:$V$245=G$1703)*1,$C$9:$V$9,$C$35:$V$35)/SUMPRODUCT($C$1610:$V$1610,($C$245:$V$245=G$1703)*1,$C$9:$V$9)))</f>
        <v/>
      </c>
      <c r="H2244" s="173">
        <f>IF(H1719=0,"",IF(EXACT(GewAn,"ja"),IF(AND(H2034&lt;&gt;"",H2139&lt;&gt;""),(H2034*GewP+H2139*GewT)/(GewP+GewT),IF(H2034&lt;&gt;"",H2034,IF(H2139&lt;&gt;"",H2139,""))),SUMPRODUCT($C$1610:$V$1610,($C$245:$V$245=H$1703)*1,$C$9:$V$9,$C$35:$V$35)/SUMPRODUCT($C$1610:$V$1610,($C$245:$V$245=H$1703)*1,$C$9:$V$9)))</f>
        <v/>
      </c>
      <c r="I2244" s="173">
        <f>IF(I1719=0,"",IF(EXACT(GewAn,"ja"),IF(AND(I2034&lt;&gt;"",I2139&lt;&gt;""),(I2034*GewP+I2139*GewT)/(GewP+GewT),IF(I2034&lt;&gt;"",I2034,IF(I2139&lt;&gt;"",I2139,""))),SUMPRODUCT($C$1610:$V$1610,($C$245:$V$245=I$1703)*1,$C$9:$V$9,$C$35:$V$35)/SUMPRODUCT($C$1610:$V$1610,($C$245:$V$245=I$1703)*1,$C$9:$V$9)))</f>
        <v/>
      </c>
      <c r="J2244" s="173">
        <f>IF(J1719=0,"",IF(EXACT(GewAn,"ja"),IF(AND(J2034&lt;&gt;"",J2139&lt;&gt;""),(J2034*GewP+J2139*GewT)/(GewP+GewT),IF(J2034&lt;&gt;"",J2034,IF(J2139&lt;&gt;"",J2139,""))),SUMPRODUCT($C$1610:$V$1610,($C$245:$V$245=J$1703)*1,$C$9:$V$9,$C$35:$V$35)/SUMPRODUCT($C$1610:$V$1610,($C$245:$V$245=J$1703)*1,$C$9:$V$9)))</f>
        <v/>
      </c>
    </row>
    <row r="2245">
      <c r="C2245" s="173">
        <f>IF(C1720=0,"",IF(EXACT(GewAn,"ja"),IF(AND(C2035&lt;&gt;"",C2140&lt;&gt;""),(C2035*GewP+C2140*GewT)/(GewP+GewT),IF(C2035&lt;&gt;"",C2035,IF(C2140&lt;&gt;"",C2140,""))),SUMPRODUCT($C$1611:$V$1611,($C$246:$V$246=C$1703)*1,$C$9:$V$9,$C$36:$V$36)/SUMPRODUCT($C$1611:$V$1611,($C$246:$V$246=C$1703)*1,$C$9:$V$9)))</f>
        <v/>
      </c>
      <c r="D2245" s="173">
        <f>IF(D1720=0,"",IF(EXACT(GewAn,"ja"),IF(AND(D2035&lt;&gt;"",D2140&lt;&gt;""),(D2035*GewP+D2140*GewT)/(GewP+GewT),IF(D2035&lt;&gt;"",D2035,IF(D2140&lt;&gt;"",D2140,""))),SUMPRODUCT($C$1611:$V$1611,($C$246:$V$246=D$1703)*1,$C$9:$V$9,$C$36:$V$36)/SUMPRODUCT($C$1611:$V$1611,($C$246:$V$246=D$1703)*1,$C$9:$V$9)))</f>
        <v/>
      </c>
      <c r="E2245" s="173">
        <f>IF(E1720=0,"",IF(EXACT(GewAn,"ja"),IF(AND(E2035&lt;&gt;"",E2140&lt;&gt;""),(E2035*GewP+E2140*GewT)/(GewP+GewT),IF(E2035&lt;&gt;"",E2035,IF(E2140&lt;&gt;"",E2140,""))),SUMPRODUCT($C$1611:$V$1611,($C$246:$V$246=E$1703)*1,$C$9:$V$9,$C$36:$V$36)/SUMPRODUCT($C$1611:$V$1611,($C$246:$V$246=E$1703)*1,$C$9:$V$9)))</f>
        <v/>
      </c>
      <c r="F2245" s="173">
        <f>IF(F1720=0,"",IF(EXACT(GewAn,"ja"),IF(AND(F2035&lt;&gt;"",F2140&lt;&gt;""),(F2035*GewP+F2140*GewT)/(GewP+GewT),IF(F2035&lt;&gt;"",F2035,IF(F2140&lt;&gt;"",F2140,""))),SUMPRODUCT($C$1611:$V$1611,($C$246:$V$246=F$1703)*1,$C$9:$V$9,$C$36:$V$36)/SUMPRODUCT($C$1611:$V$1611,($C$246:$V$246=F$1703)*1,$C$9:$V$9)))</f>
        <v/>
      </c>
      <c r="G2245" s="173">
        <f>IF(G1720=0,"",IF(EXACT(GewAn,"ja"),IF(AND(G2035&lt;&gt;"",G2140&lt;&gt;""),(G2035*GewP+G2140*GewT)/(GewP+GewT),IF(G2035&lt;&gt;"",G2035,IF(G2140&lt;&gt;"",G2140,""))),SUMPRODUCT($C$1611:$V$1611,($C$246:$V$246=G$1703)*1,$C$9:$V$9,$C$36:$V$36)/SUMPRODUCT($C$1611:$V$1611,($C$246:$V$246=G$1703)*1,$C$9:$V$9)))</f>
        <v/>
      </c>
      <c r="H2245" s="173">
        <f>IF(H1720=0,"",IF(EXACT(GewAn,"ja"),IF(AND(H2035&lt;&gt;"",H2140&lt;&gt;""),(H2035*GewP+H2140*GewT)/(GewP+GewT),IF(H2035&lt;&gt;"",H2035,IF(H2140&lt;&gt;"",H2140,""))),SUMPRODUCT($C$1611:$V$1611,($C$246:$V$246=H$1703)*1,$C$9:$V$9,$C$36:$V$36)/SUMPRODUCT($C$1611:$V$1611,($C$246:$V$246=H$1703)*1,$C$9:$V$9)))</f>
        <v/>
      </c>
      <c r="I2245" s="173">
        <f>IF(I1720=0,"",IF(EXACT(GewAn,"ja"),IF(AND(I2035&lt;&gt;"",I2140&lt;&gt;""),(I2035*GewP+I2140*GewT)/(GewP+GewT),IF(I2035&lt;&gt;"",I2035,IF(I2140&lt;&gt;"",I2140,""))),SUMPRODUCT($C$1611:$V$1611,($C$246:$V$246=I$1703)*1,$C$9:$V$9,$C$36:$V$36)/SUMPRODUCT($C$1611:$V$1611,($C$246:$V$246=I$1703)*1,$C$9:$V$9)))</f>
        <v/>
      </c>
      <c r="J2245" s="173">
        <f>IF(J1720=0,"",IF(EXACT(GewAn,"ja"),IF(AND(J2035&lt;&gt;"",J2140&lt;&gt;""),(J2035*GewP+J2140*GewT)/(GewP+GewT),IF(J2035&lt;&gt;"",J2035,IF(J2140&lt;&gt;"",J2140,""))),SUMPRODUCT($C$1611:$V$1611,($C$246:$V$246=J$1703)*1,$C$9:$V$9,$C$36:$V$36)/SUMPRODUCT($C$1611:$V$1611,($C$246:$V$246=J$1703)*1,$C$9:$V$9)))</f>
        <v/>
      </c>
    </row>
    <row r="2246">
      <c r="C2246" s="173">
        <f>IF(C1721=0,"",IF(EXACT(GewAn,"ja"),IF(AND(C2036&lt;&gt;"",C2141&lt;&gt;""),(C2036*GewP+C2141*GewT)/(GewP+GewT),IF(C2036&lt;&gt;"",C2036,IF(C2141&lt;&gt;"",C2141,""))),SUMPRODUCT($C$1612:$V$1612,($C$247:$V$247=C$1703)*1,$C$9:$V$9,$C$37:$V$37)/SUMPRODUCT($C$1612:$V$1612,($C$247:$V$247=C$1703)*1,$C$9:$V$9)))</f>
        <v/>
      </c>
      <c r="D2246" s="173">
        <f>IF(D1721=0,"",IF(EXACT(GewAn,"ja"),IF(AND(D2036&lt;&gt;"",D2141&lt;&gt;""),(D2036*GewP+D2141*GewT)/(GewP+GewT),IF(D2036&lt;&gt;"",D2036,IF(D2141&lt;&gt;"",D2141,""))),SUMPRODUCT($C$1612:$V$1612,($C$247:$V$247=D$1703)*1,$C$9:$V$9,$C$37:$V$37)/SUMPRODUCT($C$1612:$V$1612,($C$247:$V$247=D$1703)*1,$C$9:$V$9)))</f>
        <v/>
      </c>
      <c r="E2246" s="173">
        <f>IF(E1721=0,"",IF(EXACT(GewAn,"ja"),IF(AND(E2036&lt;&gt;"",E2141&lt;&gt;""),(E2036*GewP+E2141*GewT)/(GewP+GewT),IF(E2036&lt;&gt;"",E2036,IF(E2141&lt;&gt;"",E2141,""))),SUMPRODUCT($C$1612:$V$1612,($C$247:$V$247=E$1703)*1,$C$9:$V$9,$C$37:$V$37)/SUMPRODUCT($C$1612:$V$1612,($C$247:$V$247=E$1703)*1,$C$9:$V$9)))</f>
        <v/>
      </c>
      <c r="F2246" s="173">
        <f>IF(F1721=0,"",IF(EXACT(GewAn,"ja"),IF(AND(F2036&lt;&gt;"",F2141&lt;&gt;""),(F2036*GewP+F2141*GewT)/(GewP+GewT),IF(F2036&lt;&gt;"",F2036,IF(F2141&lt;&gt;"",F2141,""))),SUMPRODUCT($C$1612:$V$1612,($C$247:$V$247=F$1703)*1,$C$9:$V$9,$C$37:$V$37)/SUMPRODUCT($C$1612:$V$1612,($C$247:$V$247=F$1703)*1,$C$9:$V$9)))</f>
        <v/>
      </c>
      <c r="G2246" s="173">
        <f>IF(G1721=0,"",IF(EXACT(GewAn,"ja"),IF(AND(G2036&lt;&gt;"",G2141&lt;&gt;""),(G2036*GewP+G2141*GewT)/(GewP+GewT),IF(G2036&lt;&gt;"",G2036,IF(G2141&lt;&gt;"",G2141,""))),SUMPRODUCT($C$1612:$V$1612,($C$247:$V$247=G$1703)*1,$C$9:$V$9,$C$37:$V$37)/SUMPRODUCT($C$1612:$V$1612,($C$247:$V$247=G$1703)*1,$C$9:$V$9)))</f>
        <v/>
      </c>
      <c r="H2246" s="173">
        <f>IF(H1721=0,"",IF(EXACT(GewAn,"ja"),IF(AND(H2036&lt;&gt;"",H2141&lt;&gt;""),(H2036*GewP+H2141*GewT)/(GewP+GewT),IF(H2036&lt;&gt;"",H2036,IF(H2141&lt;&gt;"",H2141,""))),SUMPRODUCT($C$1612:$V$1612,($C$247:$V$247=H$1703)*1,$C$9:$V$9,$C$37:$V$37)/SUMPRODUCT($C$1612:$V$1612,($C$247:$V$247=H$1703)*1,$C$9:$V$9)))</f>
        <v/>
      </c>
      <c r="I2246" s="173">
        <f>IF(I1721=0,"",IF(EXACT(GewAn,"ja"),IF(AND(I2036&lt;&gt;"",I2141&lt;&gt;""),(I2036*GewP+I2141*GewT)/(GewP+GewT),IF(I2036&lt;&gt;"",I2036,IF(I2141&lt;&gt;"",I2141,""))),SUMPRODUCT($C$1612:$V$1612,($C$247:$V$247=I$1703)*1,$C$9:$V$9,$C$37:$V$37)/SUMPRODUCT($C$1612:$V$1612,($C$247:$V$247=I$1703)*1,$C$9:$V$9)))</f>
        <v/>
      </c>
      <c r="J2246" s="173">
        <f>IF(J1721=0,"",IF(EXACT(GewAn,"ja"),IF(AND(J2036&lt;&gt;"",J2141&lt;&gt;""),(J2036*GewP+J2141*GewT)/(GewP+GewT),IF(J2036&lt;&gt;"",J2036,IF(J2141&lt;&gt;"",J2141,""))),SUMPRODUCT($C$1612:$V$1612,($C$247:$V$247=J$1703)*1,$C$9:$V$9,$C$37:$V$37)/SUMPRODUCT($C$1612:$V$1612,($C$247:$V$247=J$1703)*1,$C$9:$V$9)))</f>
        <v/>
      </c>
    </row>
    <row r="2247">
      <c r="C2247" s="173">
        <f>IF(C1722=0,"",IF(EXACT(GewAn,"ja"),IF(AND(C2037&lt;&gt;"",C2142&lt;&gt;""),(C2037*GewP+C2142*GewT)/(GewP+GewT),IF(C2037&lt;&gt;"",C2037,IF(C2142&lt;&gt;"",C2142,""))),SUMPRODUCT($C$1613:$V$1613,($C$248:$V$248=C$1703)*1,$C$9:$V$9,$C$38:$V$38)/SUMPRODUCT($C$1613:$V$1613,($C$248:$V$248=C$1703)*1,$C$9:$V$9)))</f>
        <v/>
      </c>
      <c r="D2247" s="173">
        <f>IF(D1722=0,"",IF(EXACT(GewAn,"ja"),IF(AND(D2037&lt;&gt;"",D2142&lt;&gt;""),(D2037*GewP+D2142*GewT)/(GewP+GewT),IF(D2037&lt;&gt;"",D2037,IF(D2142&lt;&gt;"",D2142,""))),SUMPRODUCT($C$1613:$V$1613,($C$248:$V$248=D$1703)*1,$C$9:$V$9,$C$38:$V$38)/SUMPRODUCT($C$1613:$V$1613,($C$248:$V$248=D$1703)*1,$C$9:$V$9)))</f>
        <v/>
      </c>
      <c r="E2247" s="173">
        <f>IF(E1722=0,"",IF(EXACT(GewAn,"ja"),IF(AND(E2037&lt;&gt;"",E2142&lt;&gt;""),(E2037*GewP+E2142*GewT)/(GewP+GewT),IF(E2037&lt;&gt;"",E2037,IF(E2142&lt;&gt;"",E2142,""))),SUMPRODUCT($C$1613:$V$1613,($C$248:$V$248=E$1703)*1,$C$9:$V$9,$C$38:$V$38)/SUMPRODUCT($C$1613:$V$1613,($C$248:$V$248=E$1703)*1,$C$9:$V$9)))</f>
        <v/>
      </c>
      <c r="F2247" s="173">
        <f>IF(F1722=0,"",IF(EXACT(GewAn,"ja"),IF(AND(F2037&lt;&gt;"",F2142&lt;&gt;""),(F2037*GewP+F2142*GewT)/(GewP+GewT),IF(F2037&lt;&gt;"",F2037,IF(F2142&lt;&gt;"",F2142,""))),SUMPRODUCT($C$1613:$V$1613,($C$248:$V$248=F$1703)*1,$C$9:$V$9,$C$38:$V$38)/SUMPRODUCT($C$1613:$V$1613,($C$248:$V$248=F$1703)*1,$C$9:$V$9)))</f>
        <v/>
      </c>
      <c r="G2247" s="173">
        <f>IF(G1722=0,"",IF(EXACT(GewAn,"ja"),IF(AND(G2037&lt;&gt;"",G2142&lt;&gt;""),(G2037*GewP+G2142*GewT)/(GewP+GewT),IF(G2037&lt;&gt;"",G2037,IF(G2142&lt;&gt;"",G2142,""))),SUMPRODUCT($C$1613:$V$1613,($C$248:$V$248=G$1703)*1,$C$9:$V$9,$C$38:$V$38)/SUMPRODUCT($C$1613:$V$1613,($C$248:$V$248=G$1703)*1,$C$9:$V$9)))</f>
        <v/>
      </c>
      <c r="H2247" s="173">
        <f>IF(H1722=0,"",IF(EXACT(GewAn,"ja"),IF(AND(H2037&lt;&gt;"",H2142&lt;&gt;""),(H2037*GewP+H2142*GewT)/(GewP+GewT),IF(H2037&lt;&gt;"",H2037,IF(H2142&lt;&gt;"",H2142,""))),SUMPRODUCT($C$1613:$V$1613,($C$248:$V$248=H$1703)*1,$C$9:$V$9,$C$38:$V$38)/SUMPRODUCT($C$1613:$V$1613,($C$248:$V$248=H$1703)*1,$C$9:$V$9)))</f>
        <v/>
      </c>
      <c r="I2247" s="173">
        <f>IF(I1722=0,"",IF(EXACT(GewAn,"ja"),IF(AND(I2037&lt;&gt;"",I2142&lt;&gt;""),(I2037*GewP+I2142*GewT)/(GewP+GewT),IF(I2037&lt;&gt;"",I2037,IF(I2142&lt;&gt;"",I2142,""))),SUMPRODUCT($C$1613:$V$1613,($C$248:$V$248=I$1703)*1,$C$9:$V$9,$C$38:$V$38)/SUMPRODUCT($C$1613:$V$1613,($C$248:$V$248=I$1703)*1,$C$9:$V$9)))</f>
        <v/>
      </c>
      <c r="J2247" s="173">
        <f>IF(J1722=0,"",IF(EXACT(GewAn,"ja"),IF(AND(J2037&lt;&gt;"",J2142&lt;&gt;""),(J2037*GewP+J2142*GewT)/(GewP+GewT),IF(J2037&lt;&gt;"",J2037,IF(J2142&lt;&gt;"",J2142,""))),SUMPRODUCT($C$1613:$V$1613,($C$248:$V$248=J$1703)*1,$C$9:$V$9,$C$38:$V$38)/SUMPRODUCT($C$1613:$V$1613,($C$248:$V$248=J$1703)*1,$C$9:$V$9)))</f>
        <v/>
      </c>
    </row>
    <row r="2248">
      <c r="C2248" s="173">
        <f>IF(C1723=0,"",IF(EXACT(GewAn,"ja"),IF(AND(C2038&lt;&gt;"",C2143&lt;&gt;""),(C2038*GewP+C2143*GewT)/(GewP+GewT),IF(C2038&lt;&gt;"",C2038,IF(C2143&lt;&gt;"",C2143,""))),SUMPRODUCT($C$1614:$V$1614,($C$249:$V$249=C$1703)*1,$C$9:$V$9,$C$39:$V$39)/SUMPRODUCT($C$1614:$V$1614,($C$249:$V$249=C$1703)*1,$C$9:$V$9)))</f>
        <v/>
      </c>
      <c r="D2248" s="173">
        <f>IF(D1723=0,"",IF(EXACT(GewAn,"ja"),IF(AND(D2038&lt;&gt;"",D2143&lt;&gt;""),(D2038*GewP+D2143*GewT)/(GewP+GewT),IF(D2038&lt;&gt;"",D2038,IF(D2143&lt;&gt;"",D2143,""))),SUMPRODUCT($C$1614:$V$1614,($C$249:$V$249=D$1703)*1,$C$9:$V$9,$C$39:$V$39)/SUMPRODUCT($C$1614:$V$1614,($C$249:$V$249=D$1703)*1,$C$9:$V$9)))</f>
        <v/>
      </c>
      <c r="E2248" s="173">
        <f>IF(E1723=0,"",IF(EXACT(GewAn,"ja"),IF(AND(E2038&lt;&gt;"",E2143&lt;&gt;""),(E2038*GewP+E2143*GewT)/(GewP+GewT),IF(E2038&lt;&gt;"",E2038,IF(E2143&lt;&gt;"",E2143,""))),SUMPRODUCT($C$1614:$V$1614,($C$249:$V$249=E$1703)*1,$C$9:$V$9,$C$39:$V$39)/SUMPRODUCT($C$1614:$V$1614,($C$249:$V$249=E$1703)*1,$C$9:$V$9)))</f>
        <v/>
      </c>
      <c r="F2248" s="173">
        <f>IF(F1723=0,"",IF(EXACT(GewAn,"ja"),IF(AND(F2038&lt;&gt;"",F2143&lt;&gt;""),(F2038*GewP+F2143*GewT)/(GewP+GewT),IF(F2038&lt;&gt;"",F2038,IF(F2143&lt;&gt;"",F2143,""))),SUMPRODUCT($C$1614:$V$1614,($C$249:$V$249=F$1703)*1,$C$9:$V$9,$C$39:$V$39)/SUMPRODUCT($C$1614:$V$1614,($C$249:$V$249=F$1703)*1,$C$9:$V$9)))</f>
        <v/>
      </c>
      <c r="G2248" s="173">
        <f>IF(G1723=0,"",IF(EXACT(GewAn,"ja"),IF(AND(G2038&lt;&gt;"",G2143&lt;&gt;""),(G2038*GewP+G2143*GewT)/(GewP+GewT),IF(G2038&lt;&gt;"",G2038,IF(G2143&lt;&gt;"",G2143,""))),SUMPRODUCT($C$1614:$V$1614,($C$249:$V$249=G$1703)*1,$C$9:$V$9,$C$39:$V$39)/SUMPRODUCT($C$1614:$V$1614,($C$249:$V$249=G$1703)*1,$C$9:$V$9)))</f>
        <v/>
      </c>
      <c r="H2248" s="173">
        <f>IF(H1723=0,"",IF(EXACT(GewAn,"ja"),IF(AND(H2038&lt;&gt;"",H2143&lt;&gt;""),(H2038*GewP+H2143*GewT)/(GewP+GewT),IF(H2038&lt;&gt;"",H2038,IF(H2143&lt;&gt;"",H2143,""))),SUMPRODUCT($C$1614:$V$1614,($C$249:$V$249=H$1703)*1,$C$9:$V$9,$C$39:$V$39)/SUMPRODUCT($C$1614:$V$1614,($C$249:$V$249=H$1703)*1,$C$9:$V$9)))</f>
        <v/>
      </c>
      <c r="I2248" s="173">
        <f>IF(I1723=0,"",IF(EXACT(GewAn,"ja"),IF(AND(I2038&lt;&gt;"",I2143&lt;&gt;""),(I2038*GewP+I2143*GewT)/(GewP+GewT),IF(I2038&lt;&gt;"",I2038,IF(I2143&lt;&gt;"",I2143,""))),SUMPRODUCT($C$1614:$V$1614,($C$249:$V$249=I$1703)*1,$C$9:$V$9,$C$39:$V$39)/SUMPRODUCT($C$1614:$V$1614,($C$249:$V$249=I$1703)*1,$C$9:$V$9)))</f>
        <v/>
      </c>
      <c r="J2248" s="173">
        <f>IF(J1723=0,"",IF(EXACT(GewAn,"ja"),IF(AND(J2038&lt;&gt;"",J2143&lt;&gt;""),(J2038*GewP+J2143*GewT)/(GewP+GewT),IF(J2038&lt;&gt;"",J2038,IF(J2143&lt;&gt;"",J2143,""))),SUMPRODUCT($C$1614:$V$1614,($C$249:$V$249=J$1703)*1,$C$9:$V$9,$C$39:$V$39)/SUMPRODUCT($C$1614:$V$1614,($C$249:$V$249=J$1703)*1,$C$9:$V$9)))</f>
        <v/>
      </c>
    </row>
    <row r="2249">
      <c r="C2249" s="173">
        <f>IF(C1724=0,"",IF(EXACT(GewAn,"ja"),IF(AND(C2039&lt;&gt;"",C2144&lt;&gt;""),(C2039*GewP+C2144*GewT)/(GewP+GewT),IF(C2039&lt;&gt;"",C2039,IF(C2144&lt;&gt;"",C2144,""))),SUMPRODUCT($C$1615:$V$1615,($C$250:$V$250=C$1703)*1,$C$9:$V$9,$C$40:$V$40)/SUMPRODUCT($C$1615:$V$1615,($C$250:$V$250=C$1703)*1,$C$9:$V$9)))</f>
        <v/>
      </c>
      <c r="D2249" s="173">
        <f>IF(D1724=0,"",IF(EXACT(GewAn,"ja"),IF(AND(D2039&lt;&gt;"",D2144&lt;&gt;""),(D2039*GewP+D2144*GewT)/(GewP+GewT),IF(D2039&lt;&gt;"",D2039,IF(D2144&lt;&gt;"",D2144,""))),SUMPRODUCT($C$1615:$V$1615,($C$250:$V$250=D$1703)*1,$C$9:$V$9,$C$40:$V$40)/SUMPRODUCT($C$1615:$V$1615,($C$250:$V$250=D$1703)*1,$C$9:$V$9)))</f>
        <v/>
      </c>
      <c r="E2249" s="173">
        <f>IF(E1724=0,"",IF(EXACT(GewAn,"ja"),IF(AND(E2039&lt;&gt;"",E2144&lt;&gt;""),(E2039*GewP+E2144*GewT)/(GewP+GewT),IF(E2039&lt;&gt;"",E2039,IF(E2144&lt;&gt;"",E2144,""))),SUMPRODUCT($C$1615:$V$1615,($C$250:$V$250=E$1703)*1,$C$9:$V$9,$C$40:$V$40)/SUMPRODUCT($C$1615:$V$1615,($C$250:$V$250=E$1703)*1,$C$9:$V$9)))</f>
        <v/>
      </c>
      <c r="F2249" s="173">
        <f>IF(F1724=0,"",IF(EXACT(GewAn,"ja"),IF(AND(F2039&lt;&gt;"",F2144&lt;&gt;""),(F2039*GewP+F2144*GewT)/(GewP+GewT),IF(F2039&lt;&gt;"",F2039,IF(F2144&lt;&gt;"",F2144,""))),SUMPRODUCT($C$1615:$V$1615,($C$250:$V$250=F$1703)*1,$C$9:$V$9,$C$40:$V$40)/SUMPRODUCT($C$1615:$V$1615,($C$250:$V$250=F$1703)*1,$C$9:$V$9)))</f>
        <v/>
      </c>
      <c r="G2249" s="173">
        <f>IF(G1724=0,"",IF(EXACT(GewAn,"ja"),IF(AND(G2039&lt;&gt;"",G2144&lt;&gt;""),(G2039*GewP+G2144*GewT)/(GewP+GewT),IF(G2039&lt;&gt;"",G2039,IF(G2144&lt;&gt;"",G2144,""))),SUMPRODUCT($C$1615:$V$1615,($C$250:$V$250=G$1703)*1,$C$9:$V$9,$C$40:$V$40)/SUMPRODUCT($C$1615:$V$1615,($C$250:$V$250=G$1703)*1,$C$9:$V$9)))</f>
        <v/>
      </c>
      <c r="H2249" s="173">
        <f>IF(H1724=0,"",IF(EXACT(GewAn,"ja"),IF(AND(H2039&lt;&gt;"",H2144&lt;&gt;""),(H2039*GewP+H2144*GewT)/(GewP+GewT),IF(H2039&lt;&gt;"",H2039,IF(H2144&lt;&gt;"",H2144,""))),SUMPRODUCT($C$1615:$V$1615,($C$250:$V$250=H$1703)*1,$C$9:$V$9,$C$40:$V$40)/SUMPRODUCT($C$1615:$V$1615,($C$250:$V$250=H$1703)*1,$C$9:$V$9)))</f>
        <v/>
      </c>
      <c r="I2249" s="173">
        <f>IF(I1724=0,"",IF(EXACT(GewAn,"ja"),IF(AND(I2039&lt;&gt;"",I2144&lt;&gt;""),(I2039*GewP+I2144*GewT)/(GewP+GewT),IF(I2039&lt;&gt;"",I2039,IF(I2144&lt;&gt;"",I2144,""))),SUMPRODUCT($C$1615:$V$1615,($C$250:$V$250=I$1703)*1,$C$9:$V$9,$C$40:$V$40)/SUMPRODUCT($C$1615:$V$1615,($C$250:$V$250=I$1703)*1,$C$9:$V$9)))</f>
        <v/>
      </c>
      <c r="J2249" s="173">
        <f>IF(J1724=0,"",IF(EXACT(GewAn,"ja"),IF(AND(J2039&lt;&gt;"",J2144&lt;&gt;""),(J2039*GewP+J2144*GewT)/(GewP+GewT),IF(J2039&lt;&gt;"",J2039,IF(J2144&lt;&gt;"",J2144,""))),SUMPRODUCT($C$1615:$V$1615,($C$250:$V$250=J$1703)*1,$C$9:$V$9,$C$40:$V$40)/SUMPRODUCT($C$1615:$V$1615,($C$250:$V$250=J$1703)*1,$C$9:$V$9)))</f>
        <v/>
      </c>
    </row>
    <row r="2250">
      <c r="C2250" s="173">
        <f>IF(C1725=0,"",IF(EXACT(GewAn,"ja"),IF(AND(C2040&lt;&gt;"",C2145&lt;&gt;""),(C2040*GewP+C2145*GewT)/(GewP+GewT),IF(C2040&lt;&gt;"",C2040,IF(C2145&lt;&gt;"",C2145,""))),SUMPRODUCT($C$1616:$V$1616,($C$251:$V$251=C$1703)*1,$C$9:$V$9,$C$41:$V$41)/SUMPRODUCT($C$1616:$V$1616,($C$251:$V$251=C$1703)*1,$C$9:$V$9)))</f>
        <v/>
      </c>
      <c r="D2250" s="173">
        <f>IF(D1725=0,"",IF(EXACT(GewAn,"ja"),IF(AND(D2040&lt;&gt;"",D2145&lt;&gt;""),(D2040*GewP+D2145*GewT)/(GewP+GewT),IF(D2040&lt;&gt;"",D2040,IF(D2145&lt;&gt;"",D2145,""))),SUMPRODUCT($C$1616:$V$1616,($C$251:$V$251=D$1703)*1,$C$9:$V$9,$C$41:$V$41)/SUMPRODUCT($C$1616:$V$1616,($C$251:$V$251=D$1703)*1,$C$9:$V$9)))</f>
        <v/>
      </c>
      <c r="E2250" s="173">
        <f>IF(E1725=0,"",IF(EXACT(GewAn,"ja"),IF(AND(E2040&lt;&gt;"",E2145&lt;&gt;""),(E2040*GewP+E2145*GewT)/(GewP+GewT),IF(E2040&lt;&gt;"",E2040,IF(E2145&lt;&gt;"",E2145,""))),SUMPRODUCT($C$1616:$V$1616,($C$251:$V$251=E$1703)*1,$C$9:$V$9,$C$41:$V$41)/SUMPRODUCT($C$1616:$V$1616,($C$251:$V$251=E$1703)*1,$C$9:$V$9)))</f>
        <v/>
      </c>
      <c r="F2250" s="173">
        <f>IF(F1725=0,"",IF(EXACT(GewAn,"ja"),IF(AND(F2040&lt;&gt;"",F2145&lt;&gt;""),(F2040*GewP+F2145*GewT)/(GewP+GewT),IF(F2040&lt;&gt;"",F2040,IF(F2145&lt;&gt;"",F2145,""))),SUMPRODUCT($C$1616:$V$1616,($C$251:$V$251=F$1703)*1,$C$9:$V$9,$C$41:$V$41)/SUMPRODUCT($C$1616:$V$1616,($C$251:$V$251=F$1703)*1,$C$9:$V$9)))</f>
        <v/>
      </c>
      <c r="G2250" s="173">
        <f>IF(G1725=0,"",IF(EXACT(GewAn,"ja"),IF(AND(G2040&lt;&gt;"",G2145&lt;&gt;""),(G2040*GewP+G2145*GewT)/(GewP+GewT),IF(G2040&lt;&gt;"",G2040,IF(G2145&lt;&gt;"",G2145,""))),SUMPRODUCT($C$1616:$V$1616,($C$251:$V$251=G$1703)*1,$C$9:$V$9,$C$41:$V$41)/SUMPRODUCT($C$1616:$V$1616,($C$251:$V$251=G$1703)*1,$C$9:$V$9)))</f>
        <v/>
      </c>
      <c r="H2250" s="173">
        <f>IF(H1725=0,"",IF(EXACT(GewAn,"ja"),IF(AND(H2040&lt;&gt;"",H2145&lt;&gt;""),(H2040*GewP+H2145*GewT)/(GewP+GewT),IF(H2040&lt;&gt;"",H2040,IF(H2145&lt;&gt;"",H2145,""))),SUMPRODUCT($C$1616:$V$1616,($C$251:$V$251=H$1703)*1,$C$9:$V$9,$C$41:$V$41)/SUMPRODUCT($C$1616:$V$1616,($C$251:$V$251=H$1703)*1,$C$9:$V$9)))</f>
        <v/>
      </c>
      <c r="I2250" s="173">
        <f>IF(I1725=0,"",IF(EXACT(GewAn,"ja"),IF(AND(I2040&lt;&gt;"",I2145&lt;&gt;""),(I2040*GewP+I2145*GewT)/(GewP+GewT),IF(I2040&lt;&gt;"",I2040,IF(I2145&lt;&gt;"",I2145,""))),SUMPRODUCT($C$1616:$V$1616,($C$251:$V$251=I$1703)*1,$C$9:$V$9,$C$41:$V$41)/SUMPRODUCT($C$1616:$V$1616,($C$251:$V$251=I$1703)*1,$C$9:$V$9)))</f>
        <v/>
      </c>
      <c r="J2250" s="173">
        <f>IF(J1725=0,"",IF(EXACT(GewAn,"ja"),IF(AND(J2040&lt;&gt;"",J2145&lt;&gt;""),(J2040*GewP+J2145*GewT)/(GewP+GewT),IF(J2040&lt;&gt;"",J2040,IF(J2145&lt;&gt;"",J2145,""))),SUMPRODUCT($C$1616:$V$1616,($C$251:$V$251=J$1703)*1,$C$9:$V$9,$C$41:$V$41)/SUMPRODUCT($C$1616:$V$1616,($C$251:$V$251=J$1703)*1,$C$9:$V$9)))</f>
        <v/>
      </c>
    </row>
    <row r="2251">
      <c r="C2251" s="173">
        <f>IF(C1726=0,"",IF(EXACT(GewAn,"ja"),IF(AND(C2041&lt;&gt;"",C2146&lt;&gt;""),(C2041*GewP+C2146*GewT)/(GewP+GewT),IF(C2041&lt;&gt;"",C2041,IF(C2146&lt;&gt;"",C2146,""))),SUMPRODUCT($C$1617:$V$1617,($C$252:$V$252=C$1703)*1,$C$9:$V$9,$C$42:$V$42)/SUMPRODUCT($C$1617:$V$1617,($C$252:$V$252=C$1703)*1,$C$9:$V$9)))</f>
        <v/>
      </c>
      <c r="D2251" s="173">
        <f>IF(D1726=0,"",IF(EXACT(GewAn,"ja"),IF(AND(D2041&lt;&gt;"",D2146&lt;&gt;""),(D2041*GewP+D2146*GewT)/(GewP+GewT),IF(D2041&lt;&gt;"",D2041,IF(D2146&lt;&gt;"",D2146,""))),SUMPRODUCT($C$1617:$V$1617,($C$252:$V$252=D$1703)*1,$C$9:$V$9,$C$42:$V$42)/SUMPRODUCT($C$1617:$V$1617,($C$252:$V$252=D$1703)*1,$C$9:$V$9)))</f>
        <v/>
      </c>
      <c r="E2251" s="173">
        <f>IF(E1726=0,"",IF(EXACT(GewAn,"ja"),IF(AND(E2041&lt;&gt;"",E2146&lt;&gt;""),(E2041*GewP+E2146*GewT)/(GewP+GewT),IF(E2041&lt;&gt;"",E2041,IF(E2146&lt;&gt;"",E2146,""))),SUMPRODUCT($C$1617:$V$1617,($C$252:$V$252=E$1703)*1,$C$9:$V$9,$C$42:$V$42)/SUMPRODUCT($C$1617:$V$1617,($C$252:$V$252=E$1703)*1,$C$9:$V$9)))</f>
        <v/>
      </c>
      <c r="F2251" s="173">
        <f>IF(F1726=0,"",IF(EXACT(GewAn,"ja"),IF(AND(F2041&lt;&gt;"",F2146&lt;&gt;""),(F2041*GewP+F2146*GewT)/(GewP+GewT),IF(F2041&lt;&gt;"",F2041,IF(F2146&lt;&gt;"",F2146,""))),SUMPRODUCT($C$1617:$V$1617,($C$252:$V$252=F$1703)*1,$C$9:$V$9,$C$42:$V$42)/SUMPRODUCT($C$1617:$V$1617,($C$252:$V$252=F$1703)*1,$C$9:$V$9)))</f>
        <v/>
      </c>
      <c r="G2251" s="173">
        <f>IF(G1726=0,"",IF(EXACT(GewAn,"ja"),IF(AND(G2041&lt;&gt;"",G2146&lt;&gt;""),(G2041*GewP+G2146*GewT)/(GewP+GewT),IF(G2041&lt;&gt;"",G2041,IF(G2146&lt;&gt;"",G2146,""))),SUMPRODUCT($C$1617:$V$1617,($C$252:$V$252=G$1703)*1,$C$9:$V$9,$C$42:$V$42)/SUMPRODUCT($C$1617:$V$1617,($C$252:$V$252=G$1703)*1,$C$9:$V$9)))</f>
        <v/>
      </c>
      <c r="H2251" s="173">
        <f>IF(H1726=0,"",IF(EXACT(GewAn,"ja"),IF(AND(H2041&lt;&gt;"",H2146&lt;&gt;""),(H2041*GewP+H2146*GewT)/(GewP+GewT),IF(H2041&lt;&gt;"",H2041,IF(H2146&lt;&gt;"",H2146,""))),SUMPRODUCT($C$1617:$V$1617,($C$252:$V$252=H$1703)*1,$C$9:$V$9,$C$42:$V$42)/SUMPRODUCT($C$1617:$V$1617,($C$252:$V$252=H$1703)*1,$C$9:$V$9)))</f>
        <v/>
      </c>
      <c r="I2251" s="173">
        <f>IF(I1726=0,"",IF(EXACT(GewAn,"ja"),IF(AND(I2041&lt;&gt;"",I2146&lt;&gt;""),(I2041*GewP+I2146*GewT)/(GewP+GewT),IF(I2041&lt;&gt;"",I2041,IF(I2146&lt;&gt;"",I2146,""))),SUMPRODUCT($C$1617:$V$1617,($C$252:$V$252=I$1703)*1,$C$9:$V$9,$C$42:$V$42)/SUMPRODUCT($C$1617:$V$1617,($C$252:$V$252=I$1703)*1,$C$9:$V$9)))</f>
        <v/>
      </c>
      <c r="J2251" s="173">
        <f>IF(J1726=0,"",IF(EXACT(GewAn,"ja"),IF(AND(J2041&lt;&gt;"",J2146&lt;&gt;""),(J2041*GewP+J2146*GewT)/(GewP+GewT),IF(J2041&lt;&gt;"",J2041,IF(J2146&lt;&gt;"",J2146,""))),SUMPRODUCT($C$1617:$V$1617,($C$252:$V$252=J$1703)*1,$C$9:$V$9,$C$42:$V$42)/SUMPRODUCT($C$1617:$V$1617,($C$252:$V$252=J$1703)*1,$C$9:$V$9)))</f>
        <v/>
      </c>
    </row>
    <row r="2252">
      <c r="C2252" s="173">
        <f>IF(C1727=0,"",IF(EXACT(GewAn,"ja"),IF(AND(C2042&lt;&gt;"",C2147&lt;&gt;""),(C2042*GewP+C2147*GewT)/(GewP+GewT),IF(C2042&lt;&gt;"",C2042,IF(C2147&lt;&gt;"",C2147,""))),SUMPRODUCT($C$1618:$V$1618,($C$253:$V$253=C$1703)*1,$C$9:$V$9,$C$43:$V$43)/SUMPRODUCT($C$1618:$V$1618,($C$253:$V$253=C$1703)*1,$C$9:$V$9)))</f>
        <v/>
      </c>
      <c r="D2252" s="173">
        <f>IF(D1727=0,"",IF(EXACT(GewAn,"ja"),IF(AND(D2042&lt;&gt;"",D2147&lt;&gt;""),(D2042*GewP+D2147*GewT)/(GewP+GewT),IF(D2042&lt;&gt;"",D2042,IF(D2147&lt;&gt;"",D2147,""))),SUMPRODUCT($C$1618:$V$1618,($C$253:$V$253=D$1703)*1,$C$9:$V$9,$C$43:$V$43)/SUMPRODUCT($C$1618:$V$1618,($C$253:$V$253=D$1703)*1,$C$9:$V$9)))</f>
        <v/>
      </c>
      <c r="E2252" s="173">
        <f>IF(E1727=0,"",IF(EXACT(GewAn,"ja"),IF(AND(E2042&lt;&gt;"",E2147&lt;&gt;""),(E2042*GewP+E2147*GewT)/(GewP+GewT),IF(E2042&lt;&gt;"",E2042,IF(E2147&lt;&gt;"",E2147,""))),SUMPRODUCT($C$1618:$V$1618,($C$253:$V$253=E$1703)*1,$C$9:$V$9,$C$43:$V$43)/SUMPRODUCT($C$1618:$V$1618,($C$253:$V$253=E$1703)*1,$C$9:$V$9)))</f>
        <v/>
      </c>
      <c r="F2252" s="173">
        <f>IF(F1727=0,"",IF(EXACT(GewAn,"ja"),IF(AND(F2042&lt;&gt;"",F2147&lt;&gt;""),(F2042*GewP+F2147*GewT)/(GewP+GewT),IF(F2042&lt;&gt;"",F2042,IF(F2147&lt;&gt;"",F2147,""))),SUMPRODUCT($C$1618:$V$1618,($C$253:$V$253=F$1703)*1,$C$9:$V$9,$C$43:$V$43)/SUMPRODUCT($C$1618:$V$1618,($C$253:$V$253=F$1703)*1,$C$9:$V$9)))</f>
        <v/>
      </c>
      <c r="G2252" s="173">
        <f>IF(G1727=0,"",IF(EXACT(GewAn,"ja"),IF(AND(G2042&lt;&gt;"",G2147&lt;&gt;""),(G2042*GewP+G2147*GewT)/(GewP+GewT),IF(G2042&lt;&gt;"",G2042,IF(G2147&lt;&gt;"",G2147,""))),SUMPRODUCT($C$1618:$V$1618,($C$253:$V$253=G$1703)*1,$C$9:$V$9,$C$43:$V$43)/SUMPRODUCT($C$1618:$V$1618,($C$253:$V$253=G$1703)*1,$C$9:$V$9)))</f>
        <v/>
      </c>
      <c r="H2252" s="173">
        <f>IF(H1727=0,"",IF(EXACT(GewAn,"ja"),IF(AND(H2042&lt;&gt;"",H2147&lt;&gt;""),(H2042*GewP+H2147*GewT)/(GewP+GewT),IF(H2042&lt;&gt;"",H2042,IF(H2147&lt;&gt;"",H2147,""))),SUMPRODUCT($C$1618:$V$1618,($C$253:$V$253=H$1703)*1,$C$9:$V$9,$C$43:$V$43)/SUMPRODUCT($C$1618:$V$1618,($C$253:$V$253=H$1703)*1,$C$9:$V$9)))</f>
        <v/>
      </c>
      <c r="I2252" s="173">
        <f>IF(I1727=0,"",IF(EXACT(GewAn,"ja"),IF(AND(I2042&lt;&gt;"",I2147&lt;&gt;""),(I2042*GewP+I2147*GewT)/(GewP+GewT),IF(I2042&lt;&gt;"",I2042,IF(I2147&lt;&gt;"",I2147,""))),SUMPRODUCT($C$1618:$V$1618,($C$253:$V$253=I$1703)*1,$C$9:$V$9,$C$43:$V$43)/SUMPRODUCT($C$1618:$V$1618,($C$253:$V$253=I$1703)*1,$C$9:$V$9)))</f>
        <v/>
      </c>
      <c r="J2252" s="173">
        <f>IF(J1727=0,"",IF(EXACT(GewAn,"ja"),IF(AND(J2042&lt;&gt;"",J2147&lt;&gt;""),(J2042*GewP+J2147*GewT)/(GewP+GewT),IF(J2042&lt;&gt;"",J2042,IF(J2147&lt;&gt;"",J2147,""))),SUMPRODUCT($C$1618:$V$1618,($C$253:$V$253=J$1703)*1,$C$9:$V$9,$C$43:$V$43)/SUMPRODUCT($C$1618:$V$1618,($C$253:$V$253=J$1703)*1,$C$9:$V$9)))</f>
        <v/>
      </c>
    </row>
    <row r="2253">
      <c r="C2253" s="173">
        <f>IF(C1728=0,"",IF(EXACT(GewAn,"ja"),IF(AND(C2043&lt;&gt;"",C2148&lt;&gt;""),(C2043*GewP+C2148*GewT)/(GewP+GewT),IF(C2043&lt;&gt;"",C2043,IF(C2148&lt;&gt;"",C2148,""))),SUMPRODUCT($C$1619:$V$1619,($C$254:$V$254=C$1703)*1,$C$9:$V$9,$C$44:$V$44)/SUMPRODUCT($C$1619:$V$1619,($C$254:$V$254=C$1703)*1,$C$9:$V$9)))</f>
        <v/>
      </c>
      <c r="D2253" s="173">
        <f>IF(D1728=0,"",IF(EXACT(GewAn,"ja"),IF(AND(D2043&lt;&gt;"",D2148&lt;&gt;""),(D2043*GewP+D2148*GewT)/(GewP+GewT),IF(D2043&lt;&gt;"",D2043,IF(D2148&lt;&gt;"",D2148,""))),SUMPRODUCT($C$1619:$V$1619,($C$254:$V$254=D$1703)*1,$C$9:$V$9,$C$44:$V$44)/SUMPRODUCT($C$1619:$V$1619,($C$254:$V$254=D$1703)*1,$C$9:$V$9)))</f>
        <v/>
      </c>
      <c r="E2253" s="173">
        <f>IF(E1728=0,"",IF(EXACT(GewAn,"ja"),IF(AND(E2043&lt;&gt;"",E2148&lt;&gt;""),(E2043*GewP+E2148*GewT)/(GewP+GewT),IF(E2043&lt;&gt;"",E2043,IF(E2148&lt;&gt;"",E2148,""))),SUMPRODUCT($C$1619:$V$1619,($C$254:$V$254=E$1703)*1,$C$9:$V$9,$C$44:$V$44)/SUMPRODUCT($C$1619:$V$1619,($C$254:$V$254=E$1703)*1,$C$9:$V$9)))</f>
        <v/>
      </c>
      <c r="F2253" s="173">
        <f>IF(F1728=0,"",IF(EXACT(GewAn,"ja"),IF(AND(F2043&lt;&gt;"",F2148&lt;&gt;""),(F2043*GewP+F2148*GewT)/(GewP+GewT),IF(F2043&lt;&gt;"",F2043,IF(F2148&lt;&gt;"",F2148,""))),SUMPRODUCT($C$1619:$V$1619,($C$254:$V$254=F$1703)*1,$C$9:$V$9,$C$44:$V$44)/SUMPRODUCT($C$1619:$V$1619,($C$254:$V$254=F$1703)*1,$C$9:$V$9)))</f>
        <v/>
      </c>
      <c r="G2253" s="173">
        <f>IF(G1728=0,"",IF(EXACT(GewAn,"ja"),IF(AND(G2043&lt;&gt;"",G2148&lt;&gt;""),(G2043*GewP+G2148*GewT)/(GewP+GewT),IF(G2043&lt;&gt;"",G2043,IF(G2148&lt;&gt;"",G2148,""))),SUMPRODUCT($C$1619:$V$1619,($C$254:$V$254=G$1703)*1,$C$9:$V$9,$C$44:$V$44)/SUMPRODUCT($C$1619:$V$1619,($C$254:$V$254=G$1703)*1,$C$9:$V$9)))</f>
        <v/>
      </c>
      <c r="H2253" s="173">
        <f>IF(H1728=0,"",IF(EXACT(GewAn,"ja"),IF(AND(H2043&lt;&gt;"",H2148&lt;&gt;""),(H2043*GewP+H2148*GewT)/(GewP+GewT),IF(H2043&lt;&gt;"",H2043,IF(H2148&lt;&gt;"",H2148,""))),SUMPRODUCT($C$1619:$V$1619,($C$254:$V$254=H$1703)*1,$C$9:$V$9,$C$44:$V$44)/SUMPRODUCT($C$1619:$V$1619,($C$254:$V$254=H$1703)*1,$C$9:$V$9)))</f>
        <v/>
      </c>
      <c r="I2253" s="173">
        <f>IF(I1728=0,"",IF(EXACT(GewAn,"ja"),IF(AND(I2043&lt;&gt;"",I2148&lt;&gt;""),(I2043*GewP+I2148*GewT)/(GewP+GewT),IF(I2043&lt;&gt;"",I2043,IF(I2148&lt;&gt;"",I2148,""))),SUMPRODUCT($C$1619:$V$1619,($C$254:$V$254=I$1703)*1,$C$9:$V$9,$C$44:$V$44)/SUMPRODUCT($C$1619:$V$1619,($C$254:$V$254=I$1703)*1,$C$9:$V$9)))</f>
        <v/>
      </c>
      <c r="J2253" s="173">
        <f>IF(J1728=0,"",IF(EXACT(GewAn,"ja"),IF(AND(J2043&lt;&gt;"",J2148&lt;&gt;""),(J2043*GewP+J2148*GewT)/(GewP+GewT),IF(J2043&lt;&gt;"",J2043,IF(J2148&lt;&gt;"",J2148,""))),SUMPRODUCT($C$1619:$V$1619,($C$254:$V$254=J$1703)*1,$C$9:$V$9,$C$44:$V$44)/SUMPRODUCT($C$1619:$V$1619,($C$254:$V$254=J$1703)*1,$C$9:$V$9)))</f>
        <v/>
      </c>
    </row>
    <row r="2254">
      <c r="C2254" s="173">
        <f>IF(C1729=0,"",IF(EXACT(GewAn,"ja"),IF(AND(C2044&lt;&gt;"",C2149&lt;&gt;""),(C2044*GewP+C2149*GewT)/(GewP+GewT),IF(C2044&lt;&gt;"",C2044,IF(C2149&lt;&gt;"",C2149,""))),SUMPRODUCT($C$1620:$V$1620,($C$255:$V$255=C$1703)*1,$C$9:$V$9,$C$45:$V$45)/SUMPRODUCT($C$1620:$V$1620,($C$255:$V$255=C$1703)*1,$C$9:$V$9)))</f>
        <v/>
      </c>
      <c r="D2254" s="173">
        <f>IF(D1729=0,"",IF(EXACT(GewAn,"ja"),IF(AND(D2044&lt;&gt;"",D2149&lt;&gt;""),(D2044*GewP+D2149*GewT)/(GewP+GewT),IF(D2044&lt;&gt;"",D2044,IF(D2149&lt;&gt;"",D2149,""))),SUMPRODUCT($C$1620:$V$1620,($C$255:$V$255=D$1703)*1,$C$9:$V$9,$C$45:$V$45)/SUMPRODUCT($C$1620:$V$1620,($C$255:$V$255=D$1703)*1,$C$9:$V$9)))</f>
        <v/>
      </c>
      <c r="E2254" s="173">
        <f>IF(E1729=0,"",IF(EXACT(GewAn,"ja"),IF(AND(E2044&lt;&gt;"",E2149&lt;&gt;""),(E2044*GewP+E2149*GewT)/(GewP+GewT),IF(E2044&lt;&gt;"",E2044,IF(E2149&lt;&gt;"",E2149,""))),SUMPRODUCT($C$1620:$V$1620,($C$255:$V$255=E$1703)*1,$C$9:$V$9,$C$45:$V$45)/SUMPRODUCT($C$1620:$V$1620,($C$255:$V$255=E$1703)*1,$C$9:$V$9)))</f>
        <v/>
      </c>
      <c r="F2254" s="173">
        <f>IF(F1729=0,"",IF(EXACT(GewAn,"ja"),IF(AND(F2044&lt;&gt;"",F2149&lt;&gt;""),(F2044*GewP+F2149*GewT)/(GewP+GewT),IF(F2044&lt;&gt;"",F2044,IF(F2149&lt;&gt;"",F2149,""))),SUMPRODUCT($C$1620:$V$1620,($C$255:$V$255=F$1703)*1,$C$9:$V$9,$C$45:$V$45)/SUMPRODUCT($C$1620:$V$1620,($C$255:$V$255=F$1703)*1,$C$9:$V$9)))</f>
        <v/>
      </c>
      <c r="G2254" s="173">
        <f>IF(G1729=0,"",IF(EXACT(GewAn,"ja"),IF(AND(G2044&lt;&gt;"",G2149&lt;&gt;""),(G2044*GewP+G2149*GewT)/(GewP+GewT),IF(G2044&lt;&gt;"",G2044,IF(G2149&lt;&gt;"",G2149,""))),SUMPRODUCT($C$1620:$V$1620,($C$255:$V$255=G$1703)*1,$C$9:$V$9,$C$45:$V$45)/SUMPRODUCT($C$1620:$V$1620,($C$255:$V$255=G$1703)*1,$C$9:$V$9)))</f>
        <v/>
      </c>
      <c r="H2254" s="173">
        <f>IF(H1729=0,"",IF(EXACT(GewAn,"ja"),IF(AND(H2044&lt;&gt;"",H2149&lt;&gt;""),(H2044*GewP+H2149*GewT)/(GewP+GewT),IF(H2044&lt;&gt;"",H2044,IF(H2149&lt;&gt;"",H2149,""))),SUMPRODUCT($C$1620:$V$1620,($C$255:$V$255=H$1703)*1,$C$9:$V$9,$C$45:$V$45)/SUMPRODUCT($C$1620:$V$1620,($C$255:$V$255=H$1703)*1,$C$9:$V$9)))</f>
        <v/>
      </c>
      <c r="I2254" s="173">
        <f>IF(I1729=0,"",IF(EXACT(GewAn,"ja"),IF(AND(I2044&lt;&gt;"",I2149&lt;&gt;""),(I2044*GewP+I2149*GewT)/(GewP+GewT),IF(I2044&lt;&gt;"",I2044,IF(I2149&lt;&gt;"",I2149,""))),SUMPRODUCT($C$1620:$V$1620,($C$255:$V$255=I$1703)*1,$C$9:$V$9,$C$45:$V$45)/SUMPRODUCT($C$1620:$V$1620,($C$255:$V$255=I$1703)*1,$C$9:$V$9)))</f>
        <v/>
      </c>
      <c r="J2254" s="173">
        <f>IF(J1729=0,"",IF(EXACT(GewAn,"ja"),IF(AND(J2044&lt;&gt;"",J2149&lt;&gt;""),(J2044*GewP+J2149*GewT)/(GewP+GewT),IF(J2044&lt;&gt;"",J2044,IF(J2149&lt;&gt;"",J2149,""))),SUMPRODUCT($C$1620:$V$1620,($C$255:$V$255=J$1703)*1,$C$9:$V$9,$C$45:$V$45)/SUMPRODUCT($C$1620:$V$1620,($C$255:$V$255=J$1703)*1,$C$9:$V$9)))</f>
        <v/>
      </c>
    </row>
    <row r="2255">
      <c r="C2255" s="173">
        <f>IF(C1730=0,"",IF(EXACT(GewAn,"ja"),IF(AND(C2045&lt;&gt;"",C2150&lt;&gt;""),(C2045*GewP+C2150*GewT)/(GewP+GewT),IF(C2045&lt;&gt;"",C2045,IF(C2150&lt;&gt;"",C2150,""))),SUMPRODUCT($C$1621:$V$1621,($C$256:$V$256=C$1703)*1,$C$9:$V$9,$C$46:$V$46)/SUMPRODUCT($C$1621:$V$1621,($C$256:$V$256=C$1703)*1,$C$9:$V$9)))</f>
        <v/>
      </c>
      <c r="D2255" s="173">
        <f>IF(D1730=0,"",IF(EXACT(GewAn,"ja"),IF(AND(D2045&lt;&gt;"",D2150&lt;&gt;""),(D2045*GewP+D2150*GewT)/(GewP+GewT),IF(D2045&lt;&gt;"",D2045,IF(D2150&lt;&gt;"",D2150,""))),SUMPRODUCT($C$1621:$V$1621,($C$256:$V$256=D$1703)*1,$C$9:$V$9,$C$46:$V$46)/SUMPRODUCT($C$1621:$V$1621,($C$256:$V$256=D$1703)*1,$C$9:$V$9)))</f>
        <v/>
      </c>
      <c r="E2255" s="173">
        <f>IF(E1730=0,"",IF(EXACT(GewAn,"ja"),IF(AND(E2045&lt;&gt;"",E2150&lt;&gt;""),(E2045*GewP+E2150*GewT)/(GewP+GewT),IF(E2045&lt;&gt;"",E2045,IF(E2150&lt;&gt;"",E2150,""))),SUMPRODUCT($C$1621:$V$1621,($C$256:$V$256=E$1703)*1,$C$9:$V$9,$C$46:$V$46)/SUMPRODUCT($C$1621:$V$1621,($C$256:$V$256=E$1703)*1,$C$9:$V$9)))</f>
        <v/>
      </c>
      <c r="F2255" s="173">
        <f>IF(F1730=0,"",IF(EXACT(GewAn,"ja"),IF(AND(F2045&lt;&gt;"",F2150&lt;&gt;""),(F2045*GewP+F2150*GewT)/(GewP+GewT),IF(F2045&lt;&gt;"",F2045,IF(F2150&lt;&gt;"",F2150,""))),SUMPRODUCT($C$1621:$V$1621,($C$256:$V$256=F$1703)*1,$C$9:$V$9,$C$46:$V$46)/SUMPRODUCT($C$1621:$V$1621,($C$256:$V$256=F$1703)*1,$C$9:$V$9)))</f>
        <v/>
      </c>
      <c r="G2255" s="173">
        <f>IF(G1730=0,"",IF(EXACT(GewAn,"ja"),IF(AND(G2045&lt;&gt;"",G2150&lt;&gt;""),(G2045*GewP+G2150*GewT)/(GewP+GewT),IF(G2045&lt;&gt;"",G2045,IF(G2150&lt;&gt;"",G2150,""))),SUMPRODUCT($C$1621:$V$1621,($C$256:$V$256=G$1703)*1,$C$9:$V$9,$C$46:$V$46)/SUMPRODUCT($C$1621:$V$1621,($C$256:$V$256=G$1703)*1,$C$9:$V$9)))</f>
        <v/>
      </c>
      <c r="H2255" s="173">
        <f>IF(H1730=0,"",IF(EXACT(GewAn,"ja"),IF(AND(H2045&lt;&gt;"",H2150&lt;&gt;""),(H2045*GewP+H2150*GewT)/(GewP+GewT),IF(H2045&lt;&gt;"",H2045,IF(H2150&lt;&gt;"",H2150,""))),SUMPRODUCT($C$1621:$V$1621,($C$256:$V$256=H$1703)*1,$C$9:$V$9,$C$46:$V$46)/SUMPRODUCT($C$1621:$V$1621,($C$256:$V$256=H$1703)*1,$C$9:$V$9)))</f>
        <v/>
      </c>
      <c r="I2255" s="173">
        <f>IF(I1730=0,"",IF(EXACT(GewAn,"ja"),IF(AND(I2045&lt;&gt;"",I2150&lt;&gt;""),(I2045*GewP+I2150*GewT)/(GewP+GewT),IF(I2045&lt;&gt;"",I2045,IF(I2150&lt;&gt;"",I2150,""))),SUMPRODUCT($C$1621:$V$1621,($C$256:$V$256=I$1703)*1,$C$9:$V$9,$C$46:$V$46)/SUMPRODUCT($C$1621:$V$1621,($C$256:$V$256=I$1703)*1,$C$9:$V$9)))</f>
        <v/>
      </c>
      <c r="J2255" s="173">
        <f>IF(J1730=0,"",IF(EXACT(GewAn,"ja"),IF(AND(J2045&lt;&gt;"",J2150&lt;&gt;""),(J2045*GewP+J2150*GewT)/(GewP+GewT),IF(J2045&lt;&gt;"",J2045,IF(J2150&lt;&gt;"",J2150,""))),SUMPRODUCT($C$1621:$V$1621,($C$256:$V$256=J$1703)*1,$C$9:$V$9,$C$46:$V$46)/SUMPRODUCT($C$1621:$V$1621,($C$256:$V$256=J$1703)*1,$C$9:$V$9)))</f>
        <v/>
      </c>
    </row>
    <row r="2256">
      <c r="C2256" s="173">
        <f>IF(C1731=0,"",IF(EXACT(GewAn,"ja"),IF(AND(C2046&lt;&gt;"",C2151&lt;&gt;""),(C2046*GewP+C2151*GewT)/(GewP+GewT),IF(C2046&lt;&gt;"",C2046,IF(C2151&lt;&gt;"",C2151,""))),SUMPRODUCT($C$1622:$V$1622,($C$257:$V$257=C$1703)*1,$C$9:$V$9,$C$47:$V$47)/SUMPRODUCT($C$1622:$V$1622,($C$257:$V$257=C$1703)*1,$C$9:$V$9)))</f>
        <v/>
      </c>
      <c r="D2256" s="173">
        <f>IF(D1731=0,"",IF(EXACT(GewAn,"ja"),IF(AND(D2046&lt;&gt;"",D2151&lt;&gt;""),(D2046*GewP+D2151*GewT)/(GewP+GewT),IF(D2046&lt;&gt;"",D2046,IF(D2151&lt;&gt;"",D2151,""))),SUMPRODUCT($C$1622:$V$1622,($C$257:$V$257=D$1703)*1,$C$9:$V$9,$C$47:$V$47)/SUMPRODUCT($C$1622:$V$1622,($C$257:$V$257=D$1703)*1,$C$9:$V$9)))</f>
        <v/>
      </c>
      <c r="E2256" s="173">
        <f>IF(E1731=0,"",IF(EXACT(GewAn,"ja"),IF(AND(E2046&lt;&gt;"",E2151&lt;&gt;""),(E2046*GewP+E2151*GewT)/(GewP+GewT),IF(E2046&lt;&gt;"",E2046,IF(E2151&lt;&gt;"",E2151,""))),SUMPRODUCT($C$1622:$V$1622,($C$257:$V$257=E$1703)*1,$C$9:$V$9,$C$47:$V$47)/SUMPRODUCT($C$1622:$V$1622,($C$257:$V$257=E$1703)*1,$C$9:$V$9)))</f>
        <v/>
      </c>
      <c r="F2256" s="173">
        <f>IF(F1731=0,"",IF(EXACT(GewAn,"ja"),IF(AND(F2046&lt;&gt;"",F2151&lt;&gt;""),(F2046*GewP+F2151*GewT)/(GewP+GewT),IF(F2046&lt;&gt;"",F2046,IF(F2151&lt;&gt;"",F2151,""))),SUMPRODUCT($C$1622:$V$1622,($C$257:$V$257=F$1703)*1,$C$9:$V$9,$C$47:$V$47)/SUMPRODUCT($C$1622:$V$1622,($C$257:$V$257=F$1703)*1,$C$9:$V$9)))</f>
        <v/>
      </c>
      <c r="G2256" s="173">
        <f>IF(G1731=0,"",IF(EXACT(GewAn,"ja"),IF(AND(G2046&lt;&gt;"",G2151&lt;&gt;""),(G2046*GewP+G2151*GewT)/(GewP+GewT),IF(G2046&lt;&gt;"",G2046,IF(G2151&lt;&gt;"",G2151,""))),SUMPRODUCT($C$1622:$V$1622,($C$257:$V$257=G$1703)*1,$C$9:$V$9,$C$47:$V$47)/SUMPRODUCT($C$1622:$V$1622,($C$257:$V$257=G$1703)*1,$C$9:$V$9)))</f>
        <v/>
      </c>
      <c r="H2256" s="173">
        <f>IF(H1731=0,"",IF(EXACT(GewAn,"ja"),IF(AND(H2046&lt;&gt;"",H2151&lt;&gt;""),(H2046*GewP+H2151*GewT)/(GewP+GewT),IF(H2046&lt;&gt;"",H2046,IF(H2151&lt;&gt;"",H2151,""))),SUMPRODUCT($C$1622:$V$1622,($C$257:$V$257=H$1703)*1,$C$9:$V$9,$C$47:$V$47)/SUMPRODUCT($C$1622:$V$1622,($C$257:$V$257=H$1703)*1,$C$9:$V$9)))</f>
        <v/>
      </c>
      <c r="I2256" s="173">
        <f>IF(I1731=0,"",IF(EXACT(GewAn,"ja"),IF(AND(I2046&lt;&gt;"",I2151&lt;&gt;""),(I2046*GewP+I2151*GewT)/(GewP+GewT),IF(I2046&lt;&gt;"",I2046,IF(I2151&lt;&gt;"",I2151,""))),SUMPRODUCT($C$1622:$V$1622,($C$257:$V$257=I$1703)*1,$C$9:$V$9,$C$47:$V$47)/SUMPRODUCT($C$1622:$V$1622,($C$257:$V$257=I$1703)*1,$C$9:$V$9)))</f>
        <v/>
      </c>
      <c r="J2256" s="173">
        <f>IF(J1731=0,"",IF(EXACT(GewAn,"ja"),IF(AND(J2046&lt;&gt;"",J2151&lt;&gt;""),(J2046*GewP+J2151*GewT)/(GewP+GewT),IF(J2046&lt;&gt;"",J2046,IF(J2151&lt;&gt;"",J2151,""))),SUMPRODUCT($C$1622:$V$1622,($C$257:$V$257=J$1703)*1,$C$9:$V$9,$C$47:$V$47)/SUMPRODUCT($C$1622:$V$1622,($C$257:$V$257=J$1703)*1,$C$9:$V$9)))</f>
        <v/>
      </c>
    </row>
    <row r="2257">
      <c r="C2257" s="173">
        <f>IF(C1732=0,"",IF(EXACT(GewAn,"ja"),IF(AND(C2047&lt;&gt;"",C2152&lt;&gt;""),(C2047*GewP+C2152*GewT)/(GewP+GewT),IF(C2047&lt;&gt;"",C2047,IF(C2152&lt;&gt;"",C2152,""))),SUMPRODUCT($C$1623:$V$1623,($C$258:$V$258=C$1703)*1,$C$9:$V$9,$C$48:$V$48)/SUMPRODUCT($C$1623:$V$1623,($C$258:$V$258=C$1703)*1,$C$9:$V$9)))</f>
        <v/>
      </c>
      <c r="D2257" s="173">
        <f>IF(D1732=0,"",IF(EXACT(GewAn,"ja"),IF(AND(D2047&lt;&gt;"",D2152&lt;&gt;""),(D2047*GewP+D2152*GewT)/(GewP+GewT),IF(D2047&lt;&gt;"",D2047,IF(D2152&lt;&gt;"",D2152,""))),SUMPRODUCT($C$1623:$V$1623,($C$258:$V$258=D$1703)*1,$C$9:$V$9,$C$48:$V$48)/SUMPRODUCT($C$1623:$V$1623,($C$258:$V$258=D$1703)*1,$C$9:$V$9)))</f>
        <v/>
      </c>
      <c r="E2257" s="173">
        <f>IF(E1732=0,"",IF(EXACT(GewAn,"ja"),IF(AND(E2047&lt;&gt;"",E2152&lt;&gt;""),(E2047*GewP+E2152*GewT)/(GewP+GewT),IF(E2047&lt;&gt;"",E2047,IF(E2152&lt;&gt;"",E2152,""))),SUMPRODUCT($C$1623:$V$1623,($C$258:$V$258=E$1703)*1,$C$9:$V$9,$C$48:$V$48)/SUMPRODUCT($C$1623:$V$1623,($C$258:$V$258=E$1703)*1,$C$9:$V$9)))</f>
        <v/>
      </c>
      <c r="F2257" s="173">
        <f>IF(F1732=0,"",IF(EXACT(GewAn,"ja"),IF(AND(F2047&lt;&gt;"",F2152&lt;&gt;""),(F2047*GewP+F2152*GewT)/(GewP+GewT),IF(F2047&lt;&gt;"",F2047,IF(F2152&lt;&gt;"",F2152,""))),SUMPRODUCT($C$1623:$V$1623,($C$258:$V$258=F$1703)*1,$C$9:$V$9,$C$48:$V$48)/SUMPRODUCT($C$1623:$V$1623,($C$258:$V$258=F$1703)*1,$C$9:$V$9)))</f>
        <v/>
      </c>
      <c r="G2257" s="173">
        <f>IF(G1732=0,"",IF(EXACT(GewAn,"ja"),IF(AND(G2047&lt;&gt;"",G2152&lt;&gt;""),(G2047*GewP+G2152*GewT)/(GewP+GewT),IF(G2047&lt;&gt;"",G2047,IF(G2152&lt;&gt;"",G2152,""))),SUMPRODUCT($C$1623:$V$1623,($C$258:$V$258=G$1703)*1,$C$9:$V$9,$C$48:$V$48)/SUMPRODUCT($C$1623:$V$1623,($C$258:$V$258=G$1703)*1,$C$9:$V$9)))</f>
        <v/>
      </c>
      <c r="H2257" s="173">
        <f>IF(H1732=0,"",IF(EXACT(GewAn,"ja"),IF(AND(H2047&lt;&gt;"",H2152&lt;&gt;""),(H2047*GewP+H2152*GewT)/(GewP+GewT),IF(H2047&lt;&gt;"",H2047,IF(H2152&lt;&gt;"",H2152,""))),SUMPRODUCT($C$1623:$V$1623,($C$258:$V$258=H$1703)*1,$C$9:$V$9,$C$48:$V$48)/SUMPRODUCT($C$1623:$V$1623,($C$258:$V$258=H$1703)*1,$C$9:$V$9)))</f>
        <v/>
      </c>
      <c r="I2257" s="173">
        <f>IF(I1732=0,"",IF(EXACT(GewAn,"ja"),IF(AND(I2047&lt;&gt;"",I2152&lt;&gt;""),(I2047*GewP+I2152*GewT)/(GewP+GewT),IF(I2047&lt;&gt;"",I2047,IF(I2152&lt;&gt;"",I2152,""))),SUMPRODUCT($C$1623:$V$1623,($C$258:$V$258=I$1703)*1,$C$9:$V$9,$C$48:$V$48)/SUMPRODUCT($C$1623:$V$1623,($C$258:$V$258=I$1703)*1,$C$9:$V$9)))</f>
        <v/>
      </c>
      <c r="J2257" s="173">
        <f>IF(J1732=0,"",IF(EXACT(GewAn,"ja"),IF(AND(J2047&lt;&gt;"",J2152&lt;&gt;""),(J2047*GewP+J2152*GewT)/(GewP+GewT),IF(J2047&lt;&gt;"",J2047,IF(J2152&lt;&gt;"",J2152,""))),SUMPRODUCT($C$1623:$V$1623,($C$258:$V$258=J$1703)*1,$C$9:$V$9,$C$48:$V$48)/SUMPRODUCT($C$1623:$V$1623,($C$258:$V$258=J$1703)*1,$C$9:$V$9)))</f>
        <v/>
      </c>
    </row>
    <row r="2258">
      <c r="C2258" s="173">
        <f>IF(C1733=0,"",IF(EXACT(GewAn,"ja"),IF(AND(C2048&lt;&gt;"",C2153&lt;&gt;""),(C2048*GewP+C2153*GewT)/(GewP+GewT),IF(C2048&lt;&gt;"",C2048,IF(C2153&lt;&gt;"",C2153,""))),SUMPRODUCT($C$1624:$V$1624,($C$259:$V$259=C$1703)*1,$C$9:$V$9,$C$49:$V$49)/SUMPRODUCT($C$1624:$V$1624,($C$259:$V$259=C$1703)*1,$C$9:$V$9)))</f>
        <v/>
      </c>
      <c r="D2258" s="173">
        <f>IF(D1733=0,"",IF(EXACT(GewAn,"ja"),IF(AND(D2048&lt;&gt;"",D2153&lt;&gt;""),(D2048*GewP+D2153*GewT)/(GewP+GewT),IF(D2048&lt;&gt;"",D2048,IF(D2153&lt;&gt;"",D2153,""))),SUMPRODUCT($C$1624:$V$1624,($C$259:$V$259=D$1703)*1,$C$9:$V$9,$C$49:$V$49)/SUMPRODUCT($C$1624:$V$1624,($C$259:$V$259=D$1703)*1,$C$9:$V$9)))</f>
        <v/>
      </c>
      <c r="E2258" s="173">
        <f>IF(E1733=0,"",IF(EXACT(GewAn,"ja"),IF(AND(E2048&lt;&gt;"",E2153&lt;&gt;""),(E2048*GewP+E2153*GewT)/(GewP+GewT),IF(E2048&lt;&gt;"",E2048,IF(E2153&lt;&gt;"",E2153,""))),SUMPRODUCT($C$1624:$V$1624,($C$259:$V$259=E$1703)*1,$C$9:$V$9,$C$49:$V$49)/SUMPRODUCT($C$1624:$V$1624,($C$259:$V$259=E$1703)*1,$C$9:$V$9)))</f>
        <v/>
      </c>
      <c r="F2258" s="173">
        <f>IF(F1733=0,"",IF(EXACT(GewAn,"ja"),IF(AND(F2048&lt;&gt;"",F2153&lt;&gt;""),(F2048*GewP+F2153*GewT)/(GewP+GewT),IF(F2048&lt;&gt;"",F2048,IF(F2153&lt;&gt;"",F2153,""))),SUMPRODUCT($C$1624:$V$1624,($C$259:$V$259=F$1703)*1,$C$9:$V$9,$C$49:$V$49)/SUMPRODUCT($C$1624:$V$1624,($C$259:$V$259=F$1703)*1,$C$9:$V$9)))</f>
        <v/>
      </c>
      <c r="G2258" s="173">
        <f>IF(G1733=0,"",IF(EXACT(GewAn,"ja"),IF(AND(G2048&lt;&gt;"",G2153&lt;&gt;""),(G2048*GewP+G2153*GewT)/(GewP+GewT),IF(G2048&lt;&gt;"",G2048,IF(G2153&lt;&gt;"",G2153,""))),SUMPRODUCT($C$1624:$V$1624,($C$259:$V$259=G$1703)*1,$C$9:$V$9,$C$49:$V$49)/SUMPRODUCT($C$1624:$V$1624,($C$259:$V$259=G$1703)*1,$C$9:$V$9)))</f>
        <v/>
      </c>
      <c r="H2258" s="173">
        <f>IF(H1733=0,"",IF(EXACT(GewAn,"ja"),IF(AND(H2048&lt;&gt;"",H2153&lt;&gt;""),(H2048*GewP+H2153*GewT)/(GewP+GewT),IF(H2048&lt;&gt;"",H2048,IF(H2153&lt;&gt;"",H2153,""))),SUMPRODUCT($C$1624:$V$1624,($C$259:$V$259=H$1703)*1,$C$9:$V$9,$C$49:$V$49)/SUMPRODUCT($C$1624:$V$1624,($C$259:$V$259=H$1703)*1,$C$9:$V$9)))</f>
        <v/>
      </c>
      <c r="I2258" s="173">
        <f>IF(I1733=0,"",IF(EXACT(GewAn,"ja"),IF(AND(I2048&lt;&gt;"",I2153&lt;&gt;""),(I2048*GewP+I2153*GewT)/(GewP+GewT),IF(I2048&lt;&gt;"",I2048,IF(I2153&lt;&gt;"",I2153,""))),SUMPRODUCT($C$1624:$V$1624,($C$259:$V$259=I$1703)*1,$C$9:$V$9,$C$49:$V$49)/SUMPRODUCT($C$1624:$V$1624,($C$259:$V$259=I$1703)*1,$C$9:$V$9)))</f>
        <v/>
      </c>
      <c r="J2258" s="173">
        <f>IF(J1733=0,"",IF(EXACT(GewAn,"ja"),IF(AND(J2048&lt;&gt;"",J2153&lt;&gt;""),(J2048*GewP+J2153*GewT)/(GewP+GewT),IF(J2048&lt;&gt;"",J2048,IF(J2153&lt;&gt;"",J2153,""))),SUMPRODUCT($C$1624:$V$1624,($C$259:$V$259=J$1703)*1,$C$9:$V$9,$C$49:$V$49)/SUMPRODUCT($C$1624:$V$1624,($C$259:$V$259=J$1703)*1,$C$9:$V$9)))</f>
        <v/>
      </c>
    </row>
    <row r="2259">
      <c r="C2259" s="173">
        <f>IF(C1734=0,"",IF(EXACT(GewAn,"ja"),IF(AND(C2049&lt;&gt;"",C2154&lt;&gt;""),(C2049*GewP+C2154*GewT)/(GewP+GewT),IF(C2049&lt;&gt;"",C2049,IF(C2154&lt;&gt;"",C2154,""))),SUMPRODUCT($C$1625:$V$1625,($C$260:$V$260=C$1703)*1,$C$9:$V$9,$C$50:$V$50)/SUMPRODUCT($C$1625:$V$1625,($C$260:$V$260=C$1703)*1,$C$9:$V$9)))</f>
        <v/>
      </c>
      <c r="D2259" s="173">
        <f>IF(D1734=0,"",IF(EXACT(GewAn,"ja"),IF(AND(D2049&lt;&gt;"",D2154&lt;&gt;""),(D2049*GewP+D2154*GewT)/(GewP+GewT),IF(D2049&lt;&gt;"",D2049,IF(D2154&lt;&gt;"",D2154,""))),SUMPRODUCT($C$1625:$V$1625,($C$260:$V$260=D$1703)*1,$C$9:$V$9,$C$50:$V$50)/SUMPRODUCT($C$1625:$V$1625,($C$260:$V$260=D$1703)*1,$C$9:$V$9)))</f>
        <v/>
      </c>
      <c r="E2259" s="173">
        <f>IF(E1734=0,"",IF(EXACT(GewAn,"ja"),IF(AND(E2049&lt;&gt;"",E2154&lt;&gt;""),(E2049*GewP+E2154*GewT)/(GewP+GewT),IF(E2049&lt;&gt;"",E2049,IF(E2154&lt;&gt;"",E2154,""))),SUMPRODUCT($C$1625:$V$1625,($C$260:$V$260=E$1703)*1,$C$9:$V$9,$C$50:$V$50)/SUMPRODUCT($C$1625:$V$1625,($C$260:$V$260=E$1703)*1,$C$9:$V$9)))</f>
        <v/>
      </c>
      <c r="F2259" s="173">
        <f>IF(F1734=0,"",IF(EXACT(GewAn,"ja"),IF(AND(F2049&lt;&gt;"",F2154&lt;&gt;""),(F2049*GewP+F2154*GewT)/(GewP+GewT),IF(F2049&lt;&gt;"",F2049,IF(F2154&lt;&gt;"",F2154,""))),SUMPRODUCT($C$1625:$V$1625,($C$260:$V$260=F$1703)*1,$C$9:$V$9,$C$50:$V$50)/SUMPRODUCT($C$1625:$V$1625,($C$260:$V$260=F$1703)*1,$C$9:$V$9)))</f>
        <v/>
      </c>
      <c r="G2259" s="173">
        <f>IF(G1734=0,"",IF(EXACT(GewAn,"ja"),IF(AND(G2049&lt;&gt;"",G2154&lt;&gt;""),(G2049*GewP+G2154*GewT)/(GewP+GewT),IF(G2049&lt;&gt;"",G2049,IF(G2154&lt;&gt;"",G2154,""))),SUMPRODUCT($C$1625:$V$1625,($C$260:$V$260=G$1703)*1,$C$9:$V$9,$C$50:$V$50)/SUMPRODUCT($C$1625:$V$1625,($C$260:$V$260=G$1703)*1,$C$9:$V$9)))</f>
        <v/>
      </c>
      <c r="H2259" s="173">
        <f>IF(H1734=0,"",IF(EXACT(GewAn,"ja"),IF(AND(H2049&lt;&gt;"",H2154&lt;&gt;""),(H2049*GewP+H2154*GewT)/(GewP+GewT),IF(H2049&lt;&gt;"",H2049,IF(H2154&lt;&gt;"",H2154,""))),SUMPRODUCT($C$1625:$V$1625,($C$260:$V$260=H$1703)*1,$C$9:$V$9,$C$50:$V$50)/SUMPRODUCT($C$1625:$V$1625,($C$260:$V$260=H$1703)*1,$C$9:$V$9)))</f>
        <v/>
      </c>
      <c r="I2259" s="173">
        <f>IF(I1734=0,"",IF(EXACT(GewAn,"ja"),IF(AND(I2049&lt;&gt;"",I2154&lt;&gt;""),(I2049*GewP+I2154*GewT)/(GewP+GewT),IF(I2049&lt;&gt;"",I2049,IF(I2154&lt;&gt;"",I2154,""))),SUMPRODUCT($C$1625:$V$1625,($C$260:$V$260=I$1703)*1,$C$9:$V$9,$C$50:$V$50)/SUMPRODUCT($C$1625:$V$1625,($C$260:$V$260=I$1703)*1,$C$9:$V$9)))</f>
        <v/>
      </c>
      <c r="J2259" s="173">
        <f>IF(J1734=0,"",IF(EXACT(GewAn,"ja"),IF(AND(J2049&lt;&gt;"",J2154&lt;&gt;""),(J2049*GewP+J2154*GewT)/(GewP+GewT),IF(J2049&lt;&gt;"",J2049,IF(J2154&lt;&gt;"",J2154,""))),SUMPRODUCT($C$1625:$V$1625,($C$260:$V$260=J$1703)*1,$C$9:$V$9,$C$50:$V$50)/SUMPRODUCT($C$1625:$V$1625,($C$260:$V$260=J$1703)*1,$C$9:$V$9)))</f>
        <v/>
      </c>
    </row>
    <row r="2260">
      <c r="C2260" s="173">
        <f>IF(C1735=0,"",IF(EXACT(GewAn,"ja"),IF(AND(C2050&lt;&gt;"",C2155&lt;&gt;""),(C2050*GewP+C2155*GewT)/(GewP+GewT),IF(C2050&lt;&gt;"",C2050,IF(C2155&lt;&gt;"",C2155,""))),SUMPRODUCT($C$1626:$V$1626,($C$261:$V$261=C$1703)*1,$C$9:$V$9,$C$51:$V$51)/SUMPRODUCT($C$1626:$V$1626,($C$261:$V$261=C$1703)*1,$C$9:$V$9)))</f>
        <v/>
      </c>
      <c r="D2260" s="173">
        <f>IF(D1735=0,"",IF(EXACT(GewAn,"ja"),IF(AND(D2050&lt;&gt;"",D2155&lt;&gt;""),(D2050*GewP+D2155*GewT)/(GewP+GewT),IF(D2050&lt;&gt;"",D2050,IF(D2155&lt;&gt;"",D2155,""))),SUMPRODUCT($C$1626:$V$1626,($C$261:$V$261=D$1703)*1,$C$9:$V$9,$C$51:$V$51)/SUMPRODUCT($C$1626:$V$1626,($C$261:$V$261=D$1703)*1,$C$9:$V$9)))</f>
        <v/>
      </c>
      <c r="E2260" s="173">
        <f>IF(E1735=0,"",IF(EXACT(GewAn,"ja"),IF(AND(E2050&lt;&gt;"",E2155&lt;&gt;""),(E2050*GewP+E2155*GewT)/(GewP+GewT),IF(E2050&lt;&gt;"",E2050,IF(E2155&lt;&gt;"",E2155,""))),SUMPRODUCT($C$1626:$V$1626,($C$261:$V$261=E$1703)*1,$C$9:$V$9,$C$51:$V$51)/SUMPRODUCT($C$1626:$V$1626,($C$261:$V$261=E$1703)*1,$C$9:$V$9)))</f>
        <v/>
      </c>
      <c r="F2260" s="173">
        <f>IF(F1735=0,"",IF(EXACT(GewAn,"ja"),IF(AND(F2050&lt;&gt;"",F2155&lt;&gt;""),(F2050*GewP+F2155*GewT)/(GewP+GewT),IF(F2050&lt;&gt;"",F2050,IF(F2155&lt;&gt;"",F2155,""))),SUMPRODUCT($C$1626:$V$1626,($C$261:$V$261=F$1703)*1,$C$9:$V$9,$C$51:$V$51)/SUMPRODUCT($C$1626:$V$1626,($C$261:$V$261=F$1703)*1,$C$9:$V$9)))</f>
        <v/>
      </c>
      <c r="G2260" s="173">
        <f>IF(G1735=0,"",IF(EXACT(GewAn,"ja"),IF(AND(G2050&lt;&gt;"",G2155&lt;&gt;""),(G2050*GewP+G2155*GewT)/(GewP+GewT),IF(G2050&lt;&gt;"",G2050,IF(G2155&lt;&gt;"",G2155,""))),SUMPRODUCT($C$1626:$V$1626,($C$261:$V$261=G$1703)*1,$C$9:$V$9,$C$51:$V$51)/SUMPRODUCT($C$1626:$V$1626,($C$261:$V$261=G$1703)*1,$C$9:$V$9)))</f>
        <v/>
      </c>
      <c r="H2260" s="173">
        <f>IF(H1735=0,"",IF(EXACT(GewAn,"ja"),IF(AND(H2050&lt;&gt;"",H2155&lt;&gt;""),(H2050*GewP+H2155*GewT)/(GewP+GewT),IF(H2050&lt;&gt;"",H2050,IF(H2155&lt;&gt;"",H2155,""))),SUMPRODUCT($C$1626:$V$1626,($C$261:$V$261=H$1703)*1,$C$9:$V$9,$C$51:$V$51)/SUMPRODUCT($C$1626:$V$1626,($C$261:$V$261=H$1703)*1,$C$9:$V$9)))</f>
        <v/>
      </c>
      <c r="I2260" s="173">
        <f>IF(I1735=0,"",IF(EXACT(GewAn,"ja"),IF(AND(I2050&lt;&gt;"",I2155&lt;&gt;""),(I2050*GewP+I2155*GewT)/(GewP+GewT),IF(I2050&lt;&gt;"",I2050,IF(I2155&lt;&gt;"",I2155,""))),SUMPRODUCT($C$1626:$V$1626,($C$261:$V$261=I$1703)*1,$C$9:$V$9,$C$51:$V$51)/SUMPRODUCT($C$1626:$V$1626,($C$261:$V$261=I$1703)*1,$C$9:$V$9)))</f>
        <v/>
      </c>
      <c r="J2260" s="173">
        <f>IF(J1735=0,"",IF(EXACT(GewAn,"ja"),IF(AND(J2050&lt;&gt;"",J2155&lt;&gt;""),(J2050*GewP+J2155*GewT)/(GewP+GewT),IF(J2050&lt;&gt;"",J2050,IF(J2155&lt;&gt;"",J2155,""))),SUMPRODUCT($C$1626:$V$1626,($C$261:$V$261=J$1703)*1,$C$9:$V$9,$C$51:$V$51)/SUMPRODUCT($C$1626:$V$1626,($C$261:$V$261=J$1703)*1,$C$9:$V$9)))</f>
        <v/>
      </c>
    </row>
    <row r="2261">
      <c r="C2261" s="173">
        <f>IF(C1736=0,"",IF(EXACT(GewAn,"ja"),IF(AND(C2051&lt;&gt;"",C2156&lt;&gt;""),(C2051*GewP+C2156*GewT)/(GewP+GewT),IF(C2051&lt;&gt;"",C2051,IF(C2156&lt;&gt;"",C2156,""))),SUMPRODUCT($C$1627:$V$1627,($C$262:$V$262=C$1703)*1,$C$9:$V$9,$C$52:$V$52)/SUMPRODUCT($C$1627:$V$1627,($C$262:$V$262=C$1703)*1,$C$9:$V$9)))</f>
        <v/>
      </c>
      <c r="D2261" s="173">
        <f>IF(D1736=0,"",IF(EXACT(GewAn,"ja"),IF(AND(D2051&lt;&gt;"",D2156&lt;&gt;""),(D2051*GewP+D2156*GewT)/(GewP+GewT),IF(D2051&lt;&gt;"",D2051,IF(D2156&lt;&gt;"",D2156,""))),SUMPRODUCT($C$1627:$V$1627,($C$262:$V$262=D$1703)*1,$C$9:$V$9,$C$52:$V$52)/SUMPRODUCT($C$1627:$V$1627,($C$262:$V$262=D$1703)*1,$C$9:$V$9)))</f>
        <v/>
      </c>
      <c r="E2261" s="173">
        <f>IF(E1736=0,"",IF(EXACT(GewAn,"ja"),IF(AND(E2051&lt;&gt;"",E2156&lt;&gt;""),(E2051*GewP+E2156*GewT)/(GewP+GewT),IF(E2051&lt;&gt;"",E2051,IF(E2156&lt;&gt;"",E2156,""))),SUMPRODUCT($C$1627:$V$1627,($C$262:$V$262=E$1703)*1,$C$9:$V$9,$C$52:$V$52)/SUMPRODUCT($C$1627:$V$1627,($C$262:$V$262=E$1703)*1,$C$9:$V$9)))</f>
        <v/>
      </c>
      <c r="F2261" s="173">
        <f>IF(F1736=0,"",IF(EXACT(GewAn,"ja"),IF(AND(F2051&lt;&gt;"",F2156&lt;&gt;""),(F2051*GewP+F2156*GewT)/(GewP+GewT),IF(F2051&lt;&gt;"",F2051,IF(F2156&lt;&gt;"",F2156,""))),SUMPRODUCT($C$1627:$V$1627,($C$262:$V$262=F$1703)*1,$C$9:$V$9,$C$52:$V$52)/SUMPRODUCT($C$1627:$V$1627,($C$262:$V$262=F$1703)*1,$C$9:$V$9)))</f>
        <v/>
      </c>
      <c r="G2261" s="173">
        <f>IF(G1736=0,"",IF(EXACT(GewAn,"ja"),IF(AND(G2051&lt;&gt;"",G2156&lt;&gt;""),(G2051*GewP+G2156*GewT)/(GewP+GewT),IF(G2051&lt;&gt;"",G2051,IF(G2156&lt;&gt;"",G2156,""))),SUMPRODUCT($C$1627:$V$1627,($C$262:$V$262=G$1703)*1,$C$9:$V$9,$C$52:$V$52)/SUMPRODUCT($C$1627:$V$1627,($C$262:$V$262=G$1703)*1,$C$9:$V$9)))</f>
        <v/>
      </c>
      <c r="H2261" s="173">
        <f>IF(H1736=0,"",IF(EXACT(GewAn,"ja"),IF(AND(H2051&lt;&gt;"",H2156&lt;&gt;""),(H2051*GewP+H2156*GewT)/(GewP+GewT),IF(H2051&lt;&gt;"",H2051,IF(H2156&lt;&gt;"",H2156,""))),SUMPRODUCT($C$1627:$V$1627,($C$262:$V$262=H$1703)*1,$C$9:$V$9,$C$52:$V$52)/SUMPRODUCT($C$1627:$V$1627,($C$262:$V$262=H$1703)*1,$C$9:$V$9)))</f>
        <v/>
      </c>
      <c r="I2261" s="173">
        <f>IF(I1736=0,"",IF(EXACT(GewAn,"ja"),IF(AND(I2051&lt;&gt;"",I2156&lt;&gt;""),(I2051*GewP+I2156*GewT)/(GewP+GewT),IF(I2051&lt;&gt;"",I2051,IF(I2156&lt;&gt;"",I2156,""))),SUMPRODUCT($C$1627:$V$1627,($C$262:$V$262=I$1703)*1,$C$9:$V$9,$C$52:$V$52)/SUMPRODUCT($C$1627:$V$1627,($C$262:$V$262=I$1703)*1,$C$9:$V$9)))</f>
        <v/>
      </c>
      <c r="J2261" s="173">
        <f>IF(J1736=0,"",IF(EXACT(GewAn,"ja"),IF(AND(J2051&lt;&gt;"",J2156&lt;&gt;""),(J2051*GewP+J2156*GewT)/(GewP+GewT),IF(J2051&lt;&gt;"",J2051,IF(J2156&lt;&gt;"",J2156,""))),SUMPRODUCT($C$1627:$V$1627,($C$262:$V$262=J$1703)*1,$C$9:$V$9,$C$52:$V$52)/SUMPRODUCT($C$1627:$V$1627,($C$262:$V$262=J$1703)*1,$C$9:$V$9)))</f>
        <v/>
      </c>
    </row>
    <row r="2262">
      <c r="C2262" s="173">
        <f>IF(C1737=0,"",IF(EXACT(GewAn,"ja"),IF(AND(C2052&lt;&gt;"",C2157&lt;&gt;""),(C2052*GewP+C2157*GewT)/(GewP+GewT),IF(C2052&lt;&gt;"",C2052,IF(C2157&lt;&gt;"",C2157,""))),SUMPRODUCT($C$1628:$V$1628,($C$263:$V$263=C$1703)*1,$C$9:$V$9,$C$53:$V$53)/SUMPRODUCT($C$1628:$V$1628,($C$263:$V$263=C$1703)*1,$C$9:$V$9)))</f>
        <v/>
      </c>
      <c r="D2262" s="173">
        <f>IF(D1737=0,"",IF(EXACT(GewAn,"ja"),IF(AND(D2052&lt;&gt;"",D2157&lt;&gt;""),(D2052*GewP+D2157*GewT)/(GewP+GewT),IF(D2052&lt;&gt;"",D2052,IF(D2157&lt;&gt;"",D2157,""))),SUMPRODUCT($C$1628:$V$1628,($C$263:$V$263=D$1703)*1,$C$9:$V$9,$C$53:$V$53)/SUMPRODUCT($C$1628:$V$1628,($C$263:$V$263=D$1703)*1,$C$9:$V$9)))</f>
        <v/>
      </c>
      <c r="E2262" s="173">
        <f>IF(E1737=0,"",IF(EXACT(GewAn,"ja"),IF(AND(E2052&lt;&gt;"",E2157&lt;&gt;""),(E2052*GewP+E2157*GewT)/(GewP+GewT),IF(E2052&lt;&gt;"",E2052,IF(E2157&lt;&gt;"",E2157,""))),SUMPRODUCT($C$1628:$V$1628,($C$263:$V$263=E$1703)*1,$C$9:$V$9,$C$53:$V$53)/SUMPRODUCT($C$1628:$V$1628,($C$263:$V$263=E$1703)*1,$C$9:$V$9)))</f>
        <v/>
      </c>
      <c r="F2262" s="173">
        <f>IF(F1737=0,"",IF(EXACT(GewAn,"ja"),IF(AND(F2052&lt;&gt;"",F2157&lt;&gt;""),(F2052*GewP+F2157*GewT)/(GewP+GewT),IF(F2052&lt;&gt;"",F2052,IF(F2157&lt;&gt;"",F2157,""))),SUMPRODUCT($C$1628:$V$1628,($C$263:$V$263=F$1703)*1,$C$9:$V$9,$C$53:$V$53)/SUMPRODUCT($C$1628:$V$1628,($C$263:$V$263=F$1703)*1,$C$9:$V$9)))</f>
        <v/>
      </c>
      <c r="G2262" s="173">
        <f>IF(G1737=0,"",IF(EXACT(GewAn,"ja"),IF(AND(G2052&lt;&gt;"",G2157&lt;&gt;""),(G2052*GewP+G2157*GewT)/(GewP+GewT),IF(G2052&lt;&gt;"",G2052,IF(G2157&lt;&gt;"",G2157,""))),SUMPRODUCT($C$1628:$V$1628,($C$263:$V$263=G$1703)*1,$C$9:$V$9,$C$53:$V$53)/SUMPRODUCT($C$1628:$V$1628,($C$263:$V$263=G$1703)*1,$C$9:$V$9)))</f>
        <v/>
      </c>
      <c r="H2262" s="173">
        <f>IF(H1737=0,"",IF(EXACT(GewAn,"ja"),IF(AND(H2052&lt;&gt;"",H2157&lt;&gt;""),(H2052*GewP+H2157*GewT)/(GewP+GewT),IF(H2052&lt;&gt;"",H2052,IF(H2157&lt;&gt;"",H2157,""))),SUMPRODUCT($C$1628:$V$1628,($C$263:$V$263=H$1703)*1,$C$9:$V$9,$C$53:$V$53)/SUMPRODUCT($C$1628:$V$1628,($C$263:$V$263=H$1703)*1,$C$9:$V$9)))</f>
        <v/>
      </c>
      <c r="I2262" s="173">
        <f>IF(I1737=0,"",IF(EXACT(GewAn,"ja"),IF(AND(I2052&lt;&gt;"",I2157&lt;&gt;""),(I2052*GewP+I2157*GewT)/(GewP+GewT),IF(I2052&lt;&gt;"",I2052,IF(I2157&lt;&gt;"",I2157,""))),SUMPRODUCT($C$1628:$V$1628,($C$263:$V$263=I$1703)*1,$C$9:$V$9,$C$53:$V$53)/SUMPRODUCT($C$1628:$V$1628,($C$263:$V$263=I$1703)*1,$C$9:$V$9)))</f>
        <v/>
      </c>
      <c r="J2262" s="173">
        <f>IF(J1737=0,"",IF(EXACT(GewAn,"ja"),IF(AND(J2052&lt;&gt;"",J2157&lt;&gt;""),(J2052*GewP+J2157*GewT)/(GewP+GewT),IF(J2052&lt;&gt;"",J2052,IF(J2157&lt;&gt;"",J2157,""))),SUMPRODUCT($C$1628:$V$1628,($C$263:$V$263=J$1703)*1,$C$9:$V$9,$C$53:$V$53)/SUMPRODUCT($C$1628:$V$1628,($C$263:$V$263=J$1703)*1,$C$9:$V$9)))</f>
        <v/>
      </c>
    </row>
    <row r="2263">
      <c r="C2263" s="173">
        <f>IF(C1738=0,"",IF(EXACT(GewAn,"ja"),IF(AND(C2053&lt;&gt;"",C2158&lt;&gt;""),(C2053*GewP+C2158*GewT)/(GewP+GewT),IF(C2053&lt;&gt;"",C2053,IF(C2158&lt;&gt;"",C2158,""))),SUMPRODUCT($C$1629:$V$1629,($C$264:$V$264=C$1703)*1,$C$9:$V$9,$C$54:$V$54)/SUMPRODUCT($C$1629:$V$1629,($C$264:$V$264=C$1703)*1,$C$9:$V$9)))</f>
        <v/>
      </c>
      <c r="D2263" s="173">
        <f>IF(D1738=0,"",IF(EXACT(GewAn,"ja"),IF(AND(D2053&lt;&gt;"",D2158&lt;&gt;""),(D2053*GewP+D2158*GewT)/(GewP+GewT),IF(D2053&lt;&gt;"",D2053,IF(D2158&lt;&gt;"",D2158,""))),SUMPRODUCT($C$1629:$V$1629,($C$264:$V$264=D$1703)*1,$C$9:$V$9,$C$54:$V$54)/SUMPRODUCT($C$1629:$V$1629,($C$264:$V$264=D$1703)*1,$C$9:$V$9)))</f>
        <v/>
      </c>
      <c r="E2263" s="173">
        <f>IF(E1738=0,"",IF(EXACT(GewAn,"ja"),IF(AND(E2053&lt;&gt;"",E2158&lt;&gt;""),(E2053*GewP+E2158*GewT)/(GewP+GewT),IF(E2053&lt;&gt;"",E2053,IF(E2158&lt;&gt;"",E2158,""))),SUMPRODUCT($C$1629:$V$1629,($C$264:$V$264=E$1703)*1,$C$9:$V$9,$C$54:$V$54)/SUMPRODUCT($C$1629:$V$1629,($C$264:$V$264=E$1703)*1,$C$9:$V$9)))</f>
        <v/>
      </c>
      <c r="F2263" s="173">
        <f>IF(F1738=0,"",IF(EXACT(GewAn,"ja"),IF(AND(F2053&lt;&gt;"",F2158&lt;&gt;""),(F2053*GewP+F2158*GewT)/(GewP+GewT),IF(F2053&lt;&gt;"",F2053,IF(F2158&lt;&gt;"",F2158,""))),SUMPRODUCT($C$1629:$V$1629,($C$264:$V$264=F$1703)*1,$C$9:$V$9,$C$54:$V$54)/SUMPRODUCT($C$1629:$V$1629,($C$264:$V$264=F$1703)*1,$C$9:$V$9)))</f>
        <v/>
      </c>
      <c r="G2263" s="173">
        <f>IF(G1738=0,"",IF(EXACT(GewAn,"ja"),IF(AND(G2053&lt;&gt;"",G2158&lt;&gt;""),(G2053*GewP+G2158*GewT)/(GewP+GewT),IF(G2053&lt;&gt;"",G2053,IF(G2158&lt;&gt;"",G2158,""))),SUMPRODUCT($C$1629:$V$1629,($C$264:$V$264=G$1703)*1,$C$9:$V$9,$C$54:$V$54)/SUMPRODUCT($C$1629:$V$1629,($C$264:$V$264=G$1703)*1,$C$9:$V$9)))</f>
        <v/>
      </c>
      <c r="H2263" s="173">
        <f>IF(H1738=0,"",IF(EXACT(GewAn,"ja"),IF(AND(H2053&lt;&gt;"",H2158&lt;&gt;""),(H2053*GewP+H2158*GewT)/(GewP+GewT),IF(H2053&lt;&gt;"",H2053,IF(H2158&lt;&gt;"",H2158,""))),SUMPRODUCT($C$1629:$V$1629,($C$264:$V$264=H$1703)*1,$C$9:$V$9,$C$54:$V$54)/SUMPRODUCT($C$1629:$V$1629,($C$264:$V$264=H$1703)*1,$C$9:$V$9)))</f>
        <v/>
      </c>
      <c r="I2263" s="173">
        <f>IF(I1738=0,"",IF(EXACT(GewAn,"ja"),IF(AND(I2053&lt;&gt;"",I2158&lt;&gt;""),(I2053*GewP+I2158*GewT)/(GewP+GewT),IF(I2053&lt;&gt;"",I2053,IF(I2158&lt;&gt;"",I2158,""))),SUMPRODUCT($C$1629:$V$1629,($C$264:$V$264=I$1703)*1,$C$9:$V$9,$C$54:$V$54)/SUMPRODUCT($C$1629:$V$1629,($C$264:$V$264=I$1703)*1,$C$9:$V$9)))</f>
        <v/>
      </c>
      <c r="J2263" s="173">
        <f>IF(J1738=0,"",IF(EXACT(GewAn,"ja"),IF(AND(J2053&lt;&gt;"",J2158&lt;&gt;""),(J2053*GewP+J2158*GewT)/(GewP+GewT),IF(J2053&lt;&gt;"",J2053,IF(J2158&lt;&gt;"",J2158,""))),SUMPRODUCT($C$1629:$V$1629,($C$264:$V$264=J$1703)*1,$C$9:$V$9,$C$54:$V$54)/SUMPRODUCT($C$1629:$V$1629,($C$264:$V$264=J$1703)*1,$C$9:$V$9)))</f>
        <v/>
      </c>
    </row>
    <row r="2264">
      <c r="C2264" s="173">
        <f>IF(C1739=0,"",IF(EXACT(GewAn,"ja"),IF(AND(C2054&lt;&gt;"",C2159&lt;&gt;""),(C2054*GewP+C2159*GewT)/(GewP+GewT),IF(C2054&lt;&gt;"",C2054,IF(C2159&lt;&gt;"",C2159,""))),SUMPRODUCT($C$1630:$V$1630,($C$265:$V$265=C$1703)*1,$C$9:$V$9,$C$55:$V$55)/SUMPRODUCT($C$1630:$V$1630,($C$265:$V$265=C$1703)*1,$C$9:$V$9)))</f>
        <v/>
      </c>
      <c r="D2264" s="173">
        <f>IF(D1739=0,"",IF(EXACT(GewAn,"ja"),IF(AND(D2054&lt;&gt;"",D2159&lt;&gt;""),(D2054*GewP+D2159*GewT)/(GewP+GewT),IF(D2054&lt;&gt;"",D2054,IF(D2159&lt;&gt;"",D2159,""))),SUMPRODUCT($C$1630:$V$1630,($C$265:$V$265=D$1703)*1,$C$9:$V$9,$C$55:$V$55)/SUMPRODUCT($C$1630:$V$1630,($C$265:$V$265=D$1703)*1,$C$9:$V$9)))</f>
        <v/>
      </c>
      <c r="E2264" s="173">
        <f>IF(E1739=0,"",IF(EXACT(GewAn,"ja"),IF(AND(E2054&lt;&gt;"",E2159&lt;&gt;""),(E2054*GewP+E2159*GewT)/(GewP+GewT),IF(E2054&lt;&gt;"",E2054,IF(E2159&lt;&gt;"",E2159,""))),SUMPRODUCT($C$1630:$V$1630,($C$265:$V$265=E$1703)*1,$C$9:$V$9,$C$55:$V$55)/SUMPRODUCT($C$1630:$V$1630,($C$265:$V$265=E$1703)*1,$C$9:$V$9)))</f>
        <v/>
      </c>
      <c r="F2264" s="173">
        <f>IF(F1739=0,"",IF(EXACT(GewAn,"ja"),IF(AND(F2054&lt;&gt;"",F2159&lt;&gt;""),(F2054*GewP+F2159*GewT)/(GewP+GewT),IF(F2054&lt;&gt;"",F2054,IF(F2159&lt;&gt;"",F2159,""))),SUMPRODUCT($C$1630:$V$1630,($C$265:$V$265=F$1703)*1,$C$9:$V$9,$C$55:$V$55)/SUMPRODUCT($C$1630:$V$1630,($C$265:$V$265=F$1703)*1,$C$9:$V$9)))</f>
        <v/>
      </c>
      <c r="G2264" s="173">
        <f>IF(G1739=0,"",IF(EXACT(GewAn,"ja"),IF(AND(G2054&lt;&gt;"",G2159&lt;&gt;""),(G2054*GewP+G2159*GewT)/(GewP+GewT),IF(G2054&lt;&gt;"",G2054,IF(G2159&lt;&gt;"",G2159,""))),SUMPRODUCT($C$1630:$V$1630,($C$265:$V$265=G$1703)*1,$C$9:$V$9,$C$55:$V$55)/SUMPRODUCT($C$1630:$V$1630,($C$265:$V$265=G$1703)*1,$C$9:$V$9)))</f>
        <v/>
      </c>
      <c r="H2264" s="173">
        <f>IF(H1739=0,"",IF(EXACT(GewAn,"ja"),IF(AND(H2054&lt;&gt;"",H2159&lt;&gt;""),(H2054*GewP+H2159*GewT)/(GewP+GewT),IF(H2054&lt;&gt;"",H2054,IF(H2159&lt;&gt;"",H2159,""))),SUMPRODUCT($C$1630:$V$1630,($C$265:$V$265=H$1703)*1,$C$9:$V$9,$C$55:$V$55)/SUMPRODUCT($C$1630:$V$1630,($C$265:$V$265=H$1703)*1,$C$9:$V$9)))</f>
        <v/>
      </c>
      <c r="I2264" s="173">
        <f>IF(I1739=0,"",IF(EXACT(GewAn,"ja"),IF(AND(I2054&lt;&gt;"",I2159&lt;&gt;""),(I2054*GewP+I2159*GewT)/(GewP+GewT),IF(I2054&lt;&gt;"",I2054,IF(I2159&lt;&gt;"",I2159,""))),SUMPRODUCT($C$1630:$V$1630,($C$265:$V$265=I$1703)*1,$C$9:$V$9,$C$55:$V$55)/SUMPRODUCT($C$1630:$V$1630,($C$265:$V$265=I$1703)*1,$C$9:$V$9)))</f>
        <v/>
      </c>
      <c r="J2264" s="173">
        <f>IF(J1739=0,"",IF(EXACT(GewAn,"ja"),IF(AND(J2054&lt;&gt;"",J2159&lt;&gt;""),(J2054*GewP+J2159*GewT)/(GewP+GewT),IF(J2054&lt;&gt;"",J2054,IF(J2159&lt;&gt;"",J2159,""))),SUMPRODUCT($C$1630:$V$1630,($C$265:$V$265=J$1703)*1,$C$9:$V$9,$C$55:$V$55)/SUMPRODUCT($C$1630:$V$1630,($C$265:$V$265=J$1703)*1,$C$9:$V$9)))</f>
        <v/>
      </c>
    </row>
    <row r="2265">
      <c r="C2265" s="173">
        <f>IF(C1740=0,"",IF(EXACT(GewAn,"ja"),IF(AND(C2055&lt;&gt;"",C2160&lt;&gt;""),(C2055*GewP+C2160*GewT)/(GewP+GewT),IF(C2055&lt;&gt;"",C2055,IF(C2160&lt;&gt;"",C2160,""))),SUMPRODUCT($C$1631:$V$1631,($C$266:$V$266=C$1703)*1,$C$9:$V$9,$C$56:$V$56)/SUMPRODUCT($C$1631:$V$1631,($C$266:$V$266=C$1703)*1,$C$9:$V$9)))</f>
        <v/>
      </c>
      <c r="D2265" s="173">
        <f>IF(D1740=0,"",IF(EXACT(GewAn,"ja"),IF(AND(D2055&lt;&gt;"",D2160&lt;&gt;""),(D2055*GewP+D2160*GewT)/(GewP+GewT),IF(D2055&lt;&gt;"",D2055,IF(D2160&lt;&gt;"",D2160,""))),SUMPRODUCT($C$1631:$V$1631,($C$266:$V$266=D$1703)*1,$C$9:$V$9,$C$56:$V$56)/SUMPRODUCT($C$1631:$V$1631,($C$266:$V$266=D$1703)*1,$C$9:$V$9)))</f>
        <v/>
      </c>
      <c r="E2265" s="173">
        <f>IF(E1740=0,"",IF(EXACT(GewAn,"ja"),IF(AND(E2055&lt;&gt;"",E2160&lt;&gt;""),(E2055*GewP+E2160*GewT)/(GewP+GewT),IF(E2055&lt;&gt;"",E2055,IF(E2160&lt;&gt;"",E2160,""))),SUMPRODUCT($C$1631:$V$1631,($C$266:$V$266=E$1703)*1,$C$9:$V$9,$C$56:$V$56)/SUMPRODUCT($C$1631:$V$1631,($C$266:$V$266=E$1703)*1,$C$9:$V$9)))</f>
        <v/>
      </c>
      <c r="F2265" s="173">
        <f>IF(F1740=0,"",IF(EXACT(GewAn,"ja"),IF(AND(F2055&lt;&gt;"",F2160&lt;&gt;""),(F2055*GewP+F2160*GewT)/(GewP+GewT),IF(F2055&lt;&gt;"",F2055,IF(F2160&lt;&gt;"",F2160,""))),SUMPRODUCT($C$1631:$V$1631,($C$266:$V$266=F$1703)*1,$C$9:$V$9,$C$56:$V$56)/SUMPRODUCT($C$1631:$V$1631,($C$266:$V$266=F$1703)*1,$C$9:$V$9)))</f>
        <v/>
      </c>
      <c r="G2265" s="173">
        <f>IF(G1740=0,"",IF(EXACT(GewAn,"ja"),IF(AND(G2055&lt;&gt;"",G2160&lt;&gt;""),(G2055*GewP+G2160*GewT)/(GewP+GewT),IF(G2055&lt;&gt;"",G2055,IF(G2160&lt;&gt;"",G2160,""))),SUMPRODUCT($C$1631:$V$1631,($C$266:$V$266=G$1703)*1,$C$9:$V$9,$C$56:$V$56)/SUMPRODUCT($C$1631:$V$1631,($C$266:$V$266=G$1703)*1,$C$9:$V$9)))</f>
        <v/>
      </c>
      <c r="H2265" s="173">
        <f>IF(H1740=0,"",IF(EXACT(GewAn,"ja"),IF(AND(H2055&lt;&gt;"",H2160&lt;&gt;""),(H2055*GewP+H2160*GewT)/(GewP+GewT),IF(H2055&lt;&gt;"",H2055,IF(H2160&lt;&gt;"",H2160,""))),SUMPRODUCT($C$1631:$V$1631,($C$266:$V$266=H$1703)*1,$C$9:$V$9,$C$56:$V$56)/SUMPRODUCT($C$1631:$V$1631,($C$266:$V$266=H$1703)*1,$C$9:$V$9)))</f>
        <v/>
      </c>
      <c r="I2265" s="173">
        <f>IF(I1740=0,"",IF(EXACT(GewAn,"ja"),IF(AND(I2055&lt;&gt;"",I2160&lt;&gt;""),(I2055*GewP+I2160*GewT)/(GewP+GewT),IF(I2055&lt;&gt;"",I2055,IF(I2160&lt;&gt;"",I2160,""))),SUMPRODUCT($C$1631:$V$1631,($C$266:$V$266=I$1703)*1,$C$9:$V$9,$C$56:$V$56)/SUMPRODUCT($C$1631:$V$1631,($C$266:$V$266=I$1703)*1,$C$9:$V$9)))</f>
        <v/>
      </c>
      <c r="J2265" s="173">
        <f>IF(J1740=0,"",IF(EXACT(GewAn,"ja"),IF(AND(J2055&lt;&gt;"",J2160&lt;&gt;""),(J2055*GewP+J2160*GewT)/(GewP+GewT),IF(J2055&lt;&gt;"",J2055,IF(J2160&lt;&gt;"",J2160,""))),SUMPRODUCT($C$1631:$V$1631,($C$266:$V$266=J$1703)*1,$C$9:$V$9,$C$56:$V$56)/SUMPRODUCT($C$1631:$V$1631,($C$266:$V$266=J$1703)*1,$C$9:$V$9)))</f>
        <v/>
      </c>
    </row>
    <row r="2266">
      <c r="C2266" s="173">
        <f>IF(C1741=0,"",IF(EXACT(GewAn,"ja"),IF(AND(C2056&lt;&gt;"",C2161&lt;&gt;""),(C2056*GewP+C2161*GewT)/(GewP+GewT),IF(C2056&lt;&gt;"",C2056,IF(C2161&lt;&gt;"",C2161,""))),SUMPRODUCT($C$1632:$V$1632,($C$267:$V$267=C$1703)*1,$C$9:$V$9,$C$57:$V$57)/SUMPRODUCT($C$1632:$V$1632,($C$267:$V$267=C$1703)*1,$C$9:$V$9)))</f>
        <v/>
      </c>
      <c r="D2266" s="173">
        <f>IF(D1741=0,"",IF(EXACT(GewAn,"ja"),IF(AND(D2056&lt;&gt;"",D2161&lt;&gt;""),(D2056*GewP+D2161*GewT)/(GewP+GewT),IF(D2056&lt;&gt;"",D2056,IF(D2161&lt;&gt;"",D2161,""))),SUMPRODUCT($C$1632:$V$1632,($C$267:$V$267=D$1703)*1,$C$9:$V$9,$C$57:$V$57)/SUMPRODUCT($C$1632:$V$1632,($C$267:$V$267=D$1703)*1,$C$9:$V$9)))</f>
        <v/>
      </c>
      <c r="E2266" s="173">
        <f>IF(E1741=0,"",IF(EXACT(GewAn,"ja"),IF(AND(E2056&lt;&gt;"",E2161&lt;&gt;""),(E2056*GewP+E2161*GewT)/(GewP+GewT),IF(E2056&lt;&gt;"",E2056,IF(E2161&lt;&gt;"",E2161,""))),SUMPRODUCT($C$1632:$V$1632,($C$267:$V$267=E$1703)*1,$C$9:$V$9,$C$57:$V$57)/SUMPRODUCT($C$1632:$V$1632,($C$267:$V$267=E$1703)*1,$C$9:$V$9)))</f>
        <v/>
      </c>
      <c r="F2266" s="173">
        <f>IF(F1741=0,"",IF(EXACT(GewAn,"ja"),IF(AND(F2056&lt;&gt;"",F2161&lt;&gt;""),(F2056*GewP+F2161*GewT)/(GewP+GewT),IF(F2056&lt;&gt;"",F2056,IF(F2161&lt;&gt;"",F2161,""))),SUMPRODUCT($C$1632:$V$1632,($C$267:$V$267=F$1703)*1,$C$9:$V$9,$C$57:$V$57)/SUMPRODUCT($C$1632:$V$1632,($C$267:$V$267=F$1703)*1,$C$9:$V$9)))</f>
        <v/>
      </c>
      <c r="G2266" s="173">
        <f>IF(G1741=0,"",IF(EXACT(GewAn,"ja"),IF(AND(G2056&lt;&gt;"",G2161&lt;&gt;""),(G2056*GewP+G2161*GewT)/(GewP+GewT),IF(G2056&lt;&gt;"",G2056,IF(G2161&lt;&gt;"",G2161,""))),SUMPRODUCT($C$1632:$V$1632,($C$267:$V$267=G$1703)*1,$C$9:$V$9,$C$57:$V$57)/SUMPRODUCT($C$1632:$V$1632,($C$267:$V$267=G$1703)*1,$C$9:$V$9)))</f>
        <v/>
      </c>
      <c r="H2266" s="173">
        <f>IF(H1741=0,"",IF(EXACT(GewAn,"ja"),IF(AND(H2056&lt;&gt;"",H2161&lt;&gt;""),(H2056*GewP+H2161*GewT)/(GewP+GewT),IF(H2056&lt;&gt;"",H2056,IF(H2161&lt;&gt;"",H2161,""))),SUMPRODUCT($C$1632:$V$1632,($C$267:$V$267=H$1703)*1,$C$9:$V$9,$C$57:$V$57)/SUMPRODUCT($C$1632:$V$1632,($C$267:$V$267=H$1703)*1,$C$9:$V$9)))</f>
        <v/>
      </c>
      <c r="I2266" s="173">
        <f>IF(I1741=0,"",IF(EXACT(GewAn,"ja"),IF(AND(I2056&lt;&gt;"",I2161&lt;&gt;""),(I2056*GewP+I2161*GewT)/(GewP+GewT),IF(I2056&lt;&gt;"",I2056,IF(I2161&lt;&gt;"",I2161,""))),SUMPRODUCT($C$1632:$V$1632,($C$267:$V$267=I$1703)*1,$C$9:$V$9,$C$57:$V$57)/SUMPRODUCT($C$1632:$V$1632,($C$267:$V$267=I$1703)*1,$C$9:$V$9)))</f>
        <v/>
      </c>
      <c r="J2266" s="173">
        <f>IF(J1741=0,"",IF(EXACT(GewAn,"ja"),IF(AND(J2056&lt;&gt;"",J2161&lt;&gt;""),(J2056*GewP+J2161*GewT)/(GewP+GewT),IF(J2056&lt;&gt;"",J2056,IF(J2161&lt;&gt;"",J2161,""))),SUMPRODUCT($C$1632:$V$1632,($C$267:$V$267=J$1703)*1,$C$9:$V$9,$C$57:$V$57)/SUMPRODUCT($C$1632:$V$1632,($C$267:$V$267=J$1703)*1,$C$9:$V$9)))</f>
        <v/>
      </c>
    </row>
    <row r="2267">
      <c r="C2267" s="173">
        <f>IF(C1742=0,"",IF(EXACT(GewAn,"ja"),IF(AND(C2057&lt;&gt;"",C2162&lt;&gt;""),(C2057*GewP+C2162*GewT)/(GewP+GewT),IF(C2057&lt;&gt;"",C2057,IF(C2162&lt;&gt;"",C2162,""))),SUMPRODUCT($C$1633:$V$1633,($C$268:$V$268=C$1703)*1,$C$9:$V$9,$C$58:$V$58)/SUMPRODUCT($C$1633:$V$1633,($C$268:$V$268=C$1703)*1,$C$9:$V$9)))</f>
        <v/>
      </c>
      <c r="D2267" s="173">
        <f>IF(D1742=0,"",IF(EXACT(GewAn,"ja"),IF(AND(D2057&lt;&gt;"",D2162&lt;&gt;""),(D2057*GewP+D2162*GewT)/(GewP+GewT),IF(D2057&lt;&gt;"",D2057,IF(D2162&lt;&gt;"",D2162,""))),SUMPRODUCT($C$1633:$V$1633,($C$268:$V$268=D$1703)*1,$C$9:$V$9,$C$58:$V$58)/SUMPRODUCT($C$1633:$V$1633,($C$268:$V$268=D$1703)*1,$C$9:$V$9)))</f>
        <v/>
      </c>
      <c r="E2267" s="173">
        <f>IF(E1742=0,"",IF(EXACT(GewAn,"ja"),IF(AND(E2057&lt;&gt;"",E2162&lt;&gt;""),(E2057*GewP+E2162*GewT)/(GewP+GewT),IF(E2057&lt;&gt;"",E2057,IF(E2162&lt;&gt;"",E2162,""))),SUMPRODUCT($C$1633:$V$1633,($C$268:$V$268=E$1703)*1,$C$9:$V$9,$C$58:$V$58)/SUMPRODUCT($C$1633:$V$1633,($C$268:$V$268=E$1703)*1,$C$9:$V$9)))</f>
        <v/>
      </c>
      <c r="F2267" s="173">
        <f>IF(F1742=0,"",IF(EXACT(GewAn,"ja"),IF(AND(F2057&lt;&gt;"",F2162&lt;&gt;""),(F2057*GewP+F2162*GewT)/(GewP+GewT),IF(F2057&lt;&gt;"",F2057,IF(F2162&lt;&gt;"",F2162,""))),SUMPRODUCT($C$1633:$V$1633,($C$268:$V$268=F$1703)*1,$C$9:$V$9,$C$58:$V$58)/SUMPRODUCT($C$1633:$V$1633,($C$268:$V$268=F$1703)*1,$C$9:$V$9)))</f>
        <v/>
      </c>
      <c r="G2267" s="173">
        <f>IF(G1742=0,"",IF(EXACT(GewAn,"ja"),IF(AND(G2057&lt;&gt;"",G2162&lt;&gt;""),(G2057*GewP+G2162*GewT)/(GewP+GewT),IF(G2057&lt;&gt;"",G2057,IF(G2162&lt;&gt;"",G2162,""))),SUMPRODUCT($C$1633:$V$1633,($C$268:$V$268=G$1703)*1,$C$9:$V$9,$C$58:$V$58)/SUMPRODUCT($C$1633:$V$1633,($C$268:$V$268=G$1703)*1,$C$9:$V$9)))</f>
        <v/>
      </c>
      <c r="H2267" s="173">
        <f>IF(H1742=0,"",IF(EXACT(GewAn,"ja"),IF(AND(H2057&lt;&gt;"",H2162&lt;&gt;""),(H2057*GewP+H2162*GewT)/(GewP+GewT),IF(H2057&lt;&gt;"",H2057,IF(H2162&lt;&gt;"",H2162,""))),SUMPRODUCT($C$1633:$V$1633,($C$268:$V$268=H$1703)*1,$C$9:$V$9,$C$58:$V$58)/SUMPRODUCT($C$1633:$V$1633,($C$268:$V$268=H$1703)*1,$C$9:$V$9)))</f>
        <v/>
      </c>
      <c r="I2267" s="173">
        <f>IF(I1742=0,"",IF(EXACT(GewAn,"ja"),IF(AND(I2057&lt;&gt;"",I2162&lt;&gt;""),(I2057*GewP+I2162*GewT)/(GewP+GewT),IF(I2057&lt;&gt;"",I2057,IF(I2162&lt;&gt;"",I2162,""))),SUMPRODUCT($C$1633:$V$1633,($C$268:$V$268=I$1703)*1,$C$9:$V$9,$C$58:$V$58)/SUMPRODUCT($C$1633:$V$1633,($C$268:$V$268=I$1703)*1,$C$9:$V$9)))</f>
        <v/>
      </c>
      <c r="J2267" s="173">
        <f>IF(J1742=0,"",IF(EXACT(GewAn,"ja"),IF(AND(J2057&lt;&gt;"",J2162&lt;&gt;""),(J2057*GewP+J2162*GewT)/(GewP+GewT),IF(J2057&lt;&gt;"",J2057,IF(J2162&lt;&gt;"",J2162,""))),SUMPRODUCT($C$1633:$V$1633,($C$268:$V$268=J$1703)*1,$C$9:$V$9,$C$58:$V$58)/SUMPRODUCT($C$1633:$V$1633,($C$268:$V$268=J$1703)*1,$C$9:$V$9)))</f>
        <v/>
      </c>
    </row>
    <row r="2268">
      <c r="C2268" s="173">
        <f>IF(C1743=0,"",IF(EXACT(GewAn,"ja"),IF(AND(C2058&lt;&gt;"",C2163&lt;&gt;""),(C2058*GewP+C2163*GewT)/(GewP+GewT),IF(C2058&lt;&gt;"",C2058,IF(C2163&lt;&gt;"",C2163,""))),SUMPRODUCT($C$1634:$V$1634,($C$269:$V$269=C$1703)*1,$C$9:$V$9,$C$59:$V$59)/SUMPRODUCT($C$1634:$V$1634,($C$269:$V$269=C$1703)*1,$C$9:$V$9)))</f>
        <v/>
      </c>
      <c r="D2268" s="173">
        <f>IF(D1743=0,"",IF(EXACT(GewAn,"ja"),IF(AND(D2058&lt;&gt;"",D2163&lt;&gt;""),(D2058*GewP+D2163*GewT)/(GewP+GewT),IF(D2058&lt;&gt;"",D2058,IF(D2163&lt;&gt;"",D2163,""))),SUMPRODUCT($C$1634:$V$1634,($C$269:$V$269=D$1703)*1,$C$9:$V$9,$C$59:$V$59)/SUMPRODUCT($C$1634:$V$1634,($C$269:$V$269=D$1703)*1,$C$9:$V$9)))</f>
        <v/>
      </c>
      <c r="E2268" s="173">
        <f>IF(E1743=0,"",IF(EXACT(GewAn,"ja"),IF(AND(E2058&lt;&gt;"",E2163&lt;&gt;""),(E2058*GewP+E2163*GewT)/(GewP+GewT),IF(E2058&lt;&gt;"",E2058,IF(E2163&lt;&gt;"",E2163,""))),SUMPRODUCT($C$1634:$V$1634,($C$269:$V$269=E$1703)*1,$C$9:$V$9,$C$59:$V$59)/SUMPRODUCT($C$1634:$V$1634,($C$269:$V$269=E$1703)*1,$C$9:$V$9)))</f>
        <v/>
      </c>
      <c r="F2268" s="173">
        <f>IF(F1743=0,"",IF(EXACT(GewAn,"ja"),IF(AND(F2058&lt;&gt;"",F2163&lt;&gt;""),(F2058*GewP+F2163*GewT)/(GewP+GewT),IF(F2058&lt;&gt;"",F2058,IF(F2163&lt;&gt;"",F2163,""))),SUMPRODUCT($C$1634:$V$1634,($C$269:$V$269=F$1703)*1,$C$9:$V$9,$C$59:$V$59)/SUMPRODUCT($C$1634:$V$1634,($C$269:$V$269=F$1703)*1,$C$9:$V$9)))</f>
        <v/>
      </c>
      <c r="G2268" s="173">
        <f>IF(G1743=0,"",IF(EXACT(GewAn,"ja"),IF(AND(G2058&lt;&gt;"",G2163&lt;&gt;""),(G2058*GewP+G2163*GewT)/(GewP+GewT),IF(G2058&lt;&gt;"",G2058,IF(G2163&lt;&gt;"",G2163,""))),SUMPRODUCT($C$1634:$V$1634,($C$269:$V$269=G$1703)*1,$C$9:$V$9,$C$59:$V$59)/SUMPRODUCT($C$1634:$V$1634,($C$269:$V$269=G$1703)*1,$C$9:$V$9)))</f>
        <v/>
      </c>
      <c r="H2268" s="173">
        <f>IF(H1743=0,"",IF(EXACT(GewAn,"ja"),IF(AND(H2058&lt;&gt;"",H2163&lt;&gt;""),(H2058*GewP+H2163*GewT)/(GewP+GewT),IF(H2058&lt;&gt;"",H2058,IF(H2163&lt;&gt;"",H2163,""))),SUMPRODUCT($C$1634:$V$1634,($C$269:$V$269=H$1703)*1,$C$9:$V$9,$C$59:$V$59)/SUMPRODUCT($C$1634:$V$1634,($C$269:$V$269=H$1703)*1,$C$9:$V$9)))</f>
        <v/>
      </c>
      <c r="I2268" s="173">
        <f>IF(I1743=0,"",IF(EXACT(GewAn,"ja"),IF(AND(I2058&lt;&gt;"",I2163&lt;&gt;""),(I2058*GewP+I2163*GewT)/(GewP+GewT),IF(I2058&lt;&gt;"",I2058,IF(I2163&lt;&gt;"",I2163,""))),SUMPRODUCT($C$1634:$V$1634,($C$269:$V$269=I$1703)*1,$C$9:$V$9,$C$59:$V$59)/SUMPRODUCT($C$1634:$V$1634,($C$269:$V$269=I$1703)*1,$C$9:$V$9)))</f>
        <v/>
      </c>
      <c r="J2268" s="173">
        <f>IF(J1743=0,"",IF(EXACT(GewAn,"ja"),IF(AND(J2058&lt;&gt;"",J2163&lt;&gt;""),(J2058*GewP+J2163*GewT)/(GewP+GewT),IF(J2058&lt;&gt;"",J2058,IF(J2163&lt;&gt;"",J2163,""))),SUMPRODUCT($C$1634:$V$1634,($C$269:$V$269=J$1703)*1,$C$9:$V$9,$C$59:$V$59)/SUMPRODUCT($C$1634:$V$1634,($C$269:$V$269=J$1703)*1,$C$9:$V$9)))</f>
        <v/>
      </c>
    </row>
    <row r="2269">
      <c r="C2269" s="173">
        <f>IF(C1744=0,"",IF(EXACT(GewAn,"ja"),IF(AND(C2059&lt;&gt;"",C2164&lt;&gt;""),(C2059*GewP+C2164*GewT)/(GewP+GewT),IF(C2059&lt;&gt;"",C2059,IF(C2164&lt;&gt;"",C2164,""))),SUMPRODUCT($C$1635:$V$1635,($C$270:$V$270=C$1703)*1,$C$9:$V$9,$C$60:$V$60)/SUMPRODUCT($C$1635:$V$1635,($C$270:$V$270=C$1703)*1,$C$9:$V$9)))</f>
        <v/>
      </c>
      <c r="D2269" s="173">
        <f>IF(D1744=0,"",IF(EXACT(GewAn,"ja"),IF(AND(D2059&lt;&gt;"",D2164&lt;&gt;""),(D2059*GewP+D2164*GewT)/(GewP+GewT),IF(D2059&lt;&gt;"",D2059,IF(D2164&lt;&gt;"",D2164,""))),SUMPRODUCT($C$1635:$V$1635,($C$270:$V$270=D$1703)*1,$C$9:$V$9,$C$60:$V$60)/SUMPRODUCT($C$1635:$V$1635,($C$270:$V$270=D$1703)*1,$C$9:$V$9)))</f>
        <v/>
      </c>
      <c r="E2269" s="173">
        <f>IF(E1744=0,"",IF(EXACT(GewAn,"ja"),IF(AND(E2059&lt;&gt;"",E2164&lt;&gt;""),(E2059*GewP+E2164*GewT)/(GewP+GewT),IF(E2059&lt;&gt;"",E2059,IF(E2164&lt;&gt;"",E2164,""))),SUMPRODUCT($C$1635:$V$1635,($C$270:$V$270=E$1703)*1,$C$9:$V$9,$C$60:$V$60)/SUMPRODUCT($C$1635:$V$1635,($C$270:$V$270=E$1703)*1,$C$9:$V$9)))</f>
        <v/>
      </c>
      <c r="F2269" s="173">
        <f>IF(F1744=0,"",IF(EXACT(GewAn,"ja"),IF(AND(F2059&lt;&gt;"",F2164&lt;&gt;""),(F2059*GewP+F2164*GewT)/(GewP+GewT),IF(F2059&lt;&gt;"",F2059,IF(F2164&lt;&gt;"",F2164,""))),SUMPRODUCT($C$1635:$V$1635,($C$270:$V$270=F$1703)*1,$C$9:$V$9,$C$60:$V$60)/SUMPRODUCT($C$1635:$V$1635,($C$270:$V$270=F$1703)*1,$C$9:$V$9)))</f>
        <v/>
      </c>
      <c r="G2269" s="173">
        <f>IF(G1744=0,"",IF(EXACT(GewAn,"ja"),IF(AND(G2059&lt;&gt;"",G2164&lt;&gt;""),(G2059*GewP+G2164*GewT)/(GewP+GewT),IF(G2059&lt;&gt;"",G2059,IF(G2164&lt;&gt;"",G2164,""))),SUMPRODUCT($C$1635:$V$1635,($C$270:$V$270=G$1703)*1,$C$9:$V$9,$C$60:$V$60)/SUMPRODUCT($C$1635:$V$1635,($C$270:$V$270=G$1703)*1,$C$9:$V$9)))</f>
        <v/>
      </c>
      <c r="H2269" s="173">
        <f>IF(H1744=0,"",IF(EXACT(GewAn,"ja"),IF(AND(H2059&lt;&gt;"",H2164&lt;&gt;""),(H2059*GewP+H2164*GewT)/(GewP+GewT),IF(H2059&lt;&gt;"",H2059,IF(H2164&lt;&gt;"",H2164,""))),SUMPRODUCT($C$1635:$V$1635,($C$270:$V$270=H$1703)*1,$C$9:$V$9,$C$60:$V$60)/SUMPRODUCT($C$1635:$V$1635,($C$270:$V$270=H$1703)*1,$C$9:$V$9)))</f>
        <v/>
      </c>
      <c r="I2269" s="173">
        <f>IF(I1744=0,"",IF(EXACT(GewAn,"ja"),IF(AND(I2059&lt;&gt;"",I2164&lt;&gt;""),(I2059*GewP+I2164*GewT)/(GewP+GewT),IF(I2059&lt;&gt;"",I2059,IF(I2164&lt;&gt;"",I2164,""))),SUMPRODUCT($C$1635:$V$1635,($C$270:$V$270=I$1703)*1,$C$9:$V$9,$C$60:$V$60)/SUMPRODUCT($C$1635:$V$1635,($C$270:$V$270=I$1703)*1,$C$9:$V$9)))</f>
        <v/>
      </c>
      <c r="J2269" s="173">
        <f>IF(J1744=0,"",IF(EXACT(GewAn,"ja"),IF(AND(J2059&lt;&gt;"",J2164&lt;&gt;""),(J2059*GewP+J2164*GewT)/(GewP+GewT),IF(J2059&lt;&gt;"",J2059,IF(J2164&lt;&gt;"",J2164,""))),SUMPRODUCT($C$1635:$V$1635,($C$270:$V$270=J$1703)*1,$C$9:$V$9,$C$60:$V$60)/SUMPRODUCT($C$1635:$V$1635,($C$270:$V$270=J$1703)*1,$C$9:$V$9)))</f>
        <v/>
      </c>
    </row>
    <row r="2270">
      <c r="C2270" s="173">
        <f>IF(C1745=0,"",IF(EXACT(GewAn,"ja"),IF(AND(C2060&lt;&gt;"",C2165&lt;&gt;""),(C2060*GewP+C2165*GewT)/(GewP+GewT),IF(C2060&lt;&gt;"",C2060,IF(C2165&lt;&gt;"",C2165,""))),SUMPRODUCT($C$1636:$V$1636,($C$271:$V$271=C$1703)*1,$C$9:$V$9,$C$61:$V$61)/SUMPRODUCT($C$1636:$V$1636,($C$271:$V$271=C$1703)*1,$C$9:$V$9)))</f>
        <v/>
      </c>
      <c r="D2270" s="173">
        <f>IF(D1745=0,"",IF(EXACT(GewAn,"ja"),IF(AND(D2060&lt;&gt;"",D2165&lt;&gt;""),(D2060*GewP+D2165*GewT)/(GewP+GewT),IF(D2060&lt;&gt;"",D2060,IF(D2165&lt;&gt;"",D2165,""))),SUMPRODUCT($C$1636:$V$1636,($C$271:$V$271=D$1703)*1,$C$9:$V$9,$C$61:$V$61)/SUMPRODUCT($C$1636:$V$1636,($C$271:$V$271=D$1703)*1,$C$9:$V$9)))</f>
        <v/>
      </c>
      <c r="E2270" s="173">
        <f>IF(E1745=0,"",IF(EXACT(GewAn,"ja"),IF(AND(E2060&lt;&gt;"",E2165&lt;&gt;""),(E2060*GewP+E2165*GewT)/(GewP+GewT),IF(E2060&lt;&gt;"",E2060,IF(E2165&lt;&gt;"",E2165,""))),SUMPRODUCT($C$1636:$V$1636,($C$271:$V$271=E$1703)*1,$C$9:$V$9,$C$61:$V$61)/SUMPRODUCT($C$1636:$V$1636,($C$271:$V$271=E$1703)*1,$C$9:$V$9)))</f>
        <v/>
      </c>
      <c r="F2270" s="173">
        <f>IF(F1745=0,"",IF(EXACT(GewAn,"ja"),IF(AND(F2060&lt;&gt;"",F2165&lt;&gt;""),(F2060*GewP+F2165*GewT)/(GewP+GewT),IF(F2060&lt;&gt;"",F2060,IF(F2165&lt;&gt;"",F2165,""))),SUMPRODUCT($C$1636:$V$1636,($C$271:$V$271=F$1703)*1,$C$9:$V$9,$C$61:$V$61)/SUMPRODUCT($C$1636:$V$1636,($C$271:$V$271=F$1703)*1,$C$9:$V$9)))</f>
        <v/>
      </c>
      <c r="G2270" s="173">
        <f>IF(G1745=0,"",IF(EXACT(GewAn,"ja"),IF(AND(G2060&lt;&gt;"",G2165&lt;&gt;""),(G2060*GewP+G2165*GewT)/(GewP+GewT),IF(G2060&lt;&gt;"",G2060,IF(G2165&lt;&gt;"",G2165,""))),SUMPRODUCT($C$1636:$V$1636,($C$271:$V$271=G$1703)*1,$C$9:$V$9,$C$61:$V$61)/SUMPRODUCT($C$1636:$V$1636,($C$271:$V$271=G$1703)*1,$C$9:$V$9)))</f>
        <v/>
      </c>
      <c r="H2270" s="173">
        <f>IF(H1745=0,"",IF(EXACT(GewAn,"ja"),IF(AND(H2060&lt;&gt;"",H2165&lt;&gt;""),(H2060*GewP+H2165*GewT)/(GewP+GewT),IF(H2060&lt;&gt;"",H2060,IF(H2165&lt;&gt;"",H2165,""))),SUMPRODUCT($C$1636:$V$1636,($C$271:$V$271=H$1703)*1,$C$9:$V$9,$C$61:$V$61)/SUMPRODUCT($C$1636:$V$1636,($C$271:$V$271=H$1703)*1,$C$9:$V$9)))</f>
        <v/>
      </c>
      <c r="I2270" s="173">
        <f>IF(I1745=0,"",IF(EXACT(GewAn,"ja"),IF(AND(I2060&lt;&gt;"",I2165&lt;&gt;""),(I2060*GewP+I2165*GewT)/(GewP+GewT),IF(I2060&lt;&gt;"",I2060,IF(I2165&lt;&gt;"",I2165,""))),SUMPRODUCT($C$1636:$V$1636,($C$271:$V$271=I$1703)*1,$C$9:$V$9,$C$61:$V$61)/SUMPRODUCT($C$1636:$V$1636,($C$271:$V$271=I$1703)*1,$C$9:$V$9)))</f>
        <v/>
      </c>
      <c r="J2270" s="173">
        <f>IF(J1745=0,"",IF(EXACT(GewAn,"ja"),IF(AND(J2060&lt;&gt;"",J2165&lt;&gt;""),(J2060*GewP+J2165*GewT)/(GewP+GewT),IF(J2060&lt;&gt;"",J2060,IF(J2165&lt;&gt;"",J2165,""))),SUMPRODUCT($C$1636:$V$1636,($C$271:$V$271=J$1703)*1,$C$9:$V$9,$C$61:$V$61)/SUMPRODUCT($C$1636:$V$1636,($C$271:$V$271=J$1703)*1,$C$9:$V$9)))</f>
        <v/>
      </c>
    </row>
    <row r="2271">
      <c r="C2271" s="173">
        <f>IF(C1746=0,"",IF(EXACT(GewAn,"ja"),IF(AND(C2061&lt;&gt;"",C2166&lt;&gt;""),(C2061*GewP+C2166*GewT)/(GewP+GewT),IF(C2061&lt;&gt;"",C2061,IF(C2166&lt;&gt;"",C2166,""))),SUMPRODUCT($C$1637:$V$1637,($C$272:$V$272=C$1703)*1,$C$9:$V$9,$C$62:$V$62)/SUMPRODUCT($C$1637:$V$1637,($C$272:$V$272=C$1703)*1,$C$9:$V$9)))</f>
        <v/>
      </c>
      <c r="D2271" s="173">
        <f>IF(D1746=0,"",IF(EXACT(GewAn,"ja"),IF(AND(D2061&lt;&gt;"",D2166&lt;&gt;""),(D2061*GewP+D2166*GewT)/(GewP+GewT),IF(D2061&lt;&gt;"",D2061,IF(D2166&lt;&gt;"",D2166,""))),SUMPRODUCT($C$1637:$V$1637,($C$272:$V$272=D$1703)*1,$C$9:$V$9,$C$62:$V$62)/SUMPRODUCT($C$1637:$V$1637,($C$272:$V$272=D$1703)*1,$C$9:$V$9)))</f>
        <v/>
      </c>
      <c r="E2271" s="173">
        <f>IF(E1746=0,"",IF(EXACT(GewAn,"ja"),IF(AND(E2061&lt;&gt;"",E2166&lt;&gt;""),(E2061*GewP+E2166*GewT)/(GewP+GewT),IF(E2061&lt;&gt;"",E2061,IF(E2166&lt;&gt;"",E2166,""))),SUMPRODUCT($C$1637:$V$1637,($C$272:$V$272=E$1703)*1,$C$9:$V$9,$C$62:$V$62)/SUMPRODUCT($C$1637:$V$1637,($C$272:$V$272=E$1703)*1,$C$9:$V$9)))</f>
        <v/>
      </c>
      <c r="F2271" s="173">
        <f>IF(F1746=0,"",IF(EXACT(GewAn,"ja"),IF(AND(F2061&lt;&gt;"",F2166&lt;&gt;""),(F2061*GewP+F2166*GewT)/(GewP+GewT),IF(F2061&lt;&gt;"",F2061,IF(F2166&lt;&gt;"",F2166,""))),SUMPRODUCT($C$1637:$V$1637,($C$272:$V$272=F$1703)*1,$C$9:$V$9,$C$62:$V$62)/SUMPRODUCT($C$1637:$V$1637,($C$272:$V$272=F$1703)*1,$C$9:$V$9)))</f>
        <v/>
      </c>
      <c r="G2271" s="173">
        <f>IF(G1746=0,"",IF(EXACT(GewAn,"ja"),IF(AND(G2061&lt;&gt;"",G2166&lt;&gt;""),(G2061*GewP+G2166*GewT)/(GewP+GewT),IF(G2061&lt;&gt;"",G2061,IF(G2166&lt;&gt;"",G2166,""))),SUMPRODUCT($C$1637:$V$1637,($C$272:$V$272=G$1703)*1,$C$9:$V$9,$C$62:$V$62)/SUMPRODUCT($C$1637:$V$1637,($C$272:$V$272=G$1703)*1,$C$9:$V$9)))</f>
        <v/>
      </c>
      <c r="H2271" s="173">
        <f>IF(H1746=0,"",IF(EXACT(GewAn,"ja"),IF(AND(H2061&lt;&gt;"",H2166&lt;&gt;""),(H2061*GewP+H2166*GewT)/(GewP+GewT),IF(H2061&lt;&gt;"",H2061,IF(H2166&lt;&gt;"",H2166,""))),SUMPRODUCT($C$1637:$V$1637,($C$272:$V$272=H$1703)*1,$C$9:$V$9,$C$62:$V$62)/SUMPRODUCT($C$1637:$V$1637,($C$272:$V$272=H$1703)*1,$C$9:$V$9)))</f>
        <v/>
      </c>
      <c r="I2271" s="173">
        <f>IF(I1746=0,"",IF(EXACT(GewAn,"ja"),IF(AND(I2061&lt;&gt;"",I2166&lt;&gt;""),(I2061*GewP+I2166*GewT)/(GewP+GewT),IF(I2061&lt;&gt;"",I2061,IF(I2166&lt;&gt;"",I2166,""))),SUMPRODUCT($C$1637:$V$1637,($C$272:$V$272=I$1703)*1,$C$9:$V$9,$C$62:$V$62)/SUMPRODUCT($C$1637:$V$1637,($C$272:$V$272=I$1703)*1,$C$9:$V$9)))</f>
        <v/>
      </c>
      <c r="J2271" s="173">
        <f>IF(J1746=0,"",IF(EXACT(GewAn,"ja"),IF(AND(J2061&lt;&gt;"",J2166&lt;&gt;""),(J2061*GewP+J2166*GewT)/(GewP+GewT),IF(J2061&lt;&gt;"",J2061,IF(J2166&lt;&gt;"",J2166,""))),SUMPRODUCT($C$1637:$V$1637,($C$272:$V$272=J$1703)*1,$C$9:$V$9,$C$62:$V$62)/SUMPRODUCT($C$1637:$V$1637,($C$272:$V$272=J$1703)*1,$C$9:$V$9)))</f>
        <v/>
      </c>
    </row>
    <row r="2272">
      <c r="C2272" s="173">
        <f>IF(C1747=0,"",IF(EXACT(GewAn,"ja"),IF(AND(C2062&lt;&gt;"",C2167&lt;&gt;""),(C2062*GewP+C2167*GewT)/(GewP+GewT),IF(C2062&lt;&gt;"",C2062,IF(C2167&lt;&gt;"",C2167,""))),SUMPRODUCT($C$1638:$V$1638,($C$273:$V$273=C$1703)*1,$C$9:$V$9,$C$63:$V$63)/SUMPRODUCT($C$1638:$V$1638,($C$273:$V$273=C$1703)*1,$C$9:$V$9)))</f>
        <v/>
      </c>
      <c r="D2272" s="173">
        <f>IF(D1747=0,"",IF(EXACT(GewAn,"ja"),IF(AND(D2062&lt;&gt;"",D2167&lt;&gt;""),(D2062*GewP+D2167*GewT)/(GewP+GewT),IF(D2062&lt;&gt;"",D2062,IF(D2167&lt;&gt;"",D2167,""))),SUMPRODUCT($C$1638:$V$1638,($C$273:$V$273=D$1703)*1,$C$9:$V$9,$C$63:$V$63)/SUMPRODUCT($C$1638:$V$1638,($C$273:$V$273=D$1703)*1,$C$9:$V$9)))</f>
        <v/>
      </c>
      <c r="E2272" s="173">
        <f>IF(E1747=0,"",IF(EXACT(GewAn,"ja"),IF(AND(E2062&lt;&gt;"",E2167&lt;&gt;""),(E2062*GewP+E2167*GewT)/(GewP+GewT),IF(E2062&lt;&gt;"",E2062,IF(E2167&lt;&gt;"",E2167,""))),SUMPRODUCT($C$1638:$V$1638,($C$273:$V$273=E$1703)*1,$C$9:$V$9,$C$63:$V$63)/SUMPRODUCT($C$1638:$V$1638,($C$273:$V$273=E$1703)*1,$C$9:$V$9)))</f>
        <v/>
      </c>
      <c r="F2272" s="173">
        <f>IF(F1747=0,"",IF(EXACT(GewAn,"ja"),IF(AND(F2062&lt;&gt;"",F2167&lt;&gt;""),(F2062*GewP+F2167*GewT)/(GewP+GewT),IF(F2062&lt;&gt;"",F2062,IF(F2167&lt;&gt;"",F2167,""))),SUMPRODUCT($C$1638:$V$1638,($C$273:$V$273=F$1703)*1,$C$9:$V$9,$C$63:$V$63)/SUMPRODUCT($C$1638:$V$1638,($C$273:$V$273=F$1703)*1,$C$9:$V$9)))</f>
        <v/>
      </c>
      <c r="G2272" s="173">
        <f>IF(G1747=0,"",IF(EXACT(GewAn,"ja"),IF(AND(G2062&lt;&gt;"",G2167&lt;&gt;""),(G2062*GewP+G2167*GewT)/(GewP+GewT),IF(G2062&lt;&gt;"",G2062,IF(G2167&lt;&gt;"",G2167,""))),SUMPRODUCT($C$1638:$V$1638,($C$273:$V$273=G$1703)*1,$C$9:$V$9,$C$63:$V$63)/SUMPRODUCT($C$1638:$V$1638,($C$273:$V$273=G$1703)*1,$C$9:$V$9)))</f>
        <v/>
      </c>
      <c r="H2272" s="173">
        <f>IF(H1747=0,"",IF(EXACT(GewAn,"ja"),IF(AND(H2062&lt;&gt;"",H2167&lt;&gt;""),(H2062*GewP+H2167*GewT)/(GewP+GewT),IF(H2062&lt;&gt;"",H2062,IF(H2167&lt;&gt;"",H2167,""))),SUMPRODUCT($C$1638:$V$1638,($C$273:$V$273=H$1703)*1,$C$9:$V$9,$C$63:$V$63)/SUMPRODUCT($C$1638:$V$1638,($C$273:$V$273=H$1703)*1,$C$9:$V$9)))</f>
        <v/>
      </c>
      <c r="I2272" s="173">
        <f>IF(I1747=0,"",IF(EXACT(GewAn,"ja"),IF(AND(I2062&lt;&gt;"",I2167&lt;&gt;""),(I2062*GewP+I2167*GewT)/(GewP+GewT),IF(I2062&lt;&gt;"",I2062,IF(I2167&lt;&gt;"",I2167,""))),SUMPRODUCT($C$1638:$V$1638,($C$273:$V$273=I$1703)*1,$C$9:$V$9,$C$63:$V$63)/SUMPRODUCT($C$1638:$V$1638,($C$273:$V$273=I$1703)*1,$C$9:$V$9)))</f>
        <v/>
      </c>
      <c r="J2272" s="173">
        <f>IF(J1747=0,"",IF(EXACT(GewAn,"ja"),IF(AND(J2062&lt;&gt;"",J2167&lt;&gt;""),(J2062*GewP+J2167*GewT)/(GewP+GewT),IF(J2062&lt;&gt;"",J2062,IF(J2167&lt;&gt;"",J2167,""))),SUMPRODUCT($C$1638:$V$1638,($C$273:$V$273=J$1703)*1,$C$9:$V$9,$C$63:$V$63)/SUMPRODUCT($C$1638:$V$1638,($C$273:$V$273=J$1703)*1,$C$9:$V$9)))</f>
        <v/>
      </c>
    </row>
    <row r="2273">
      <c r="C2273" s="173">
        <f>IF(C1748=0,"",IF(EXACT(GewAn,"ja"),IF(AND(C2063&lt;&gt;"",C2168&lt;&gt;""),(C2063*GewP+C2168*GewT)/(GewP+GewT),IF(C2063&lt;&gt;"",C2063,IF(C2168&lt;&gt;"",C2168,""))),SUMPRODUCT($C$1639:$V$1639,($C$274:$V$274=C$1703)*1,$C$9:$V$9,$C$64:$V$64)/SUMPRODUCT($C$1639:$V$1639,($C$274:$V$274=C$1703)*1,$C$9:$V$9)))</f>
        <v/>
      </c>
      <c r="D2273" s="173">
        <f>IF(D1748=0,"",IF(EXACT(GewAn,"ja"),IF(AND(D2063&lt;&gt;"",D2168&lt;&gt;""),(D2063*GewP+D2168*GewT)/(GewP+GewT),IF(D2063&lt;&gt;"",D2063,IF(D2168&lt;&gt;"",D2168,""))),SUMPRODUCT($C$1639:$V$1639,($C$274:$V$274=D$1703)*1,$C$9:$V$9,$C$64:$V$64)/SUMPRODUCT($C$1639:$V$1639,($C$274:$V$274=D$1703)*1,$C$9:$V$9)))</f>
        <v/>
      </c>
      <c r="E2273" s="173">
        <f>IF(E1748=0,"",IF(EXACT(GewAn,"ja"),IF(AND(E2063&lt;&gt;"",E2168&lt;&gt;""),(E2063*GewP+E2168*GewT)/(GewP+GewT),IF(E2063&lt;&gt;"",E2063,IF(E2168&lt;&gt;"",E2168,""))),SUMPRODUCT($C$1639:$V$1639,($C$274:$V$274=E$1703)*1,$C$9:$V$9,$C$64:$V$64)/SUMPRODUCT($C$1639:$V$1639,($C$274:$V$274=E$1703)*1,$C$9:$V$9)))</f>
        <v/>
      </c>
      <c r="F2273" s="173">
        <f>IF(F1748=0,"",IF(EXACT(GewAn,"ja"),IF(AND(F2063&lt;&gt;"",F2168&lt;&gt;""),(F2063*GewP+F2168*GewT)/(GewP+GewT),IF(F2063&lt;&gt;"",F2063,IF(F2168&lt;&gt;"",F2168,""))),SUMPRODUCT($C$1639:$V$1639,($C$274:$V$274=F$1703)*1,$C$9:$V$9,$C$64:$V$64)/SUMPRODUCT($C$1639:$V$1639,($C$274:$V$274=F$1703)*1,$C$9:$V$9)))</f>
        <v/>
      </c>
      <c r="G2273" s="173">
        <f>IF(G1748=0,"",IF(EXACT(GewAn,"ja"),IF(AND(G2063&lt;&gt;"",G2168&lt;&gt;""),(G2063*GewP+G2168*GewT)/(GewP+GewT),IF(G2063&lt;&gt;"",G2063,IF(G2168&lt;&gt;"",G2168,""))),SUMPRODUCT($C$1639:$V$1639,($C$274:$V$274=G$1703)*1,$C$9:$V$9,$C$64:$V$64)/SUMPRODUCT($C$1639:$V$1639,($C$274:$V$274=G$1703)*1,$C$9:$V$9)))</f>
        <v/>
      </c>
      <c r="H2273" s="173">
        <f>IF(H1748=0,"",IF(EXACT(GewAn,"ja"),IF(AND(H2063&lt;&gt;"",H2168&lt;&gt;""),(H2063*GewP+H2168*GewT)/(GewP+GewT),IF(H2063&lt;&gt;"",H2063,IF(H2168&lt;&gt;"",H2168,""))),SUMPRODUCT($C$1639:$V$1639,($C$274:$V$274=H$1703)*1,$C$9:$V$9,$C$64:$V$64)/SUMPRODUCT($C$1639:$V$1639,($C$274:$V$274=H$1703)*1,$C$9:$V$9)))</f>
        <v/>
      </c>
      <c r="I2273" s="173">
        <f>IF(I1748=0,"",IF(EXACT(GewAn,"ja"),IF(AND(I2063&lt;&gt;"",I2168&lt;&gt;""),(I2063*GewP+I2168*GewT)/(GewP+GewT),IF(I2063&lt;&gt;"",I2063,IF(I2168&lt;&gt;"",I2168,""))),SUMPRODUCT($C$1639:$V$1639,($C$274:$V$274=I$1703)*1,$C$9:$V$9,$C$64:$V$64)/SUMPRODUCT($C$1639:$V$1639,($C$274:$V$274=I$1703)*1,$C$9:$V$9)))</f>
        <v/>
      </c>
      <c r="J2273" s="173">
        <f>IF(J1748=0,"",IF(EXACT(GewAn,"ja"),IF(AND(J2063&lt;&gt;"",J2168&lt;&gt;""),(J2063*GewP+J2168*GewT)/(GewP+GewT),IF(J2063&lt;&gt;"",J2063,IF(J2168&lt;&gt;"",J2168,""))),SUMPRODUCT($C$1639:$V$1639,($C$274:$V$274=J$1703)*1,$C$9:$V$9,$C$64:$V$64)/SUMPRODUCT($C$1639:$V$1639,($C$274:$V$274=J$1703)*1,$C$9:$V$9)))</f>
        <v/>
      </c>
    </row>
    <row r="2274">
      <c r="C2274" s="173">
        <f>IF(C1749=0,"",IF(EXACT(GewAn,"ja"),IF(AND(C2064&lt;&gt;"",C2169&lt;&gt;""),(C2064*GewP+C2169*GewT)/(GewP+GewT),IF(C2064&lt;&gt;"",C2064,IF(C2169&lt;&gt;"",C2169,""))),SUMPRODUCT($C$1640:$V$1640,($C$275:$V$275=C$1703)*1,$C$9:$V$9,$C$65:$V$65)/SUMPRODUCT($C$1640:$V$1640,($C$275:$V$275=C$1703)*1,$C$9:$V$9)))</f>
        <v/>
      </c>
      <c r="D2274" s="173">
        <f>IF(D1749=0,"",IF(EXACT(GewAn,"ja"),IF(AND(D2064&lt;&gt;"",D2169&lt;&gt;""),(D2064*GewP+D2169*GewT)/(GewP+GewT),IF(D2064&lt;&gt;"",D2064,IF(D2169&lt;&gt;"",D2169,""))),SUMPRODUCT($C$1640:$V$1640,($C$275:$V$275=D$1703)*1,$C$9:$V$9,$C$65:$V$65)/SUMPRODUCT($C$1640:$V$1640,($C$275:$V$275=D$1703)*1,$C$9:$V$9)))</f>
        <v/>
      </c>
      <c r="E2274" s="173">
        <f>IF(E1749=0,"",IF(EXACT(GewAn,"ja"),IF(AND(E2064&lt;&gt;"",E2169&lt;&gt;""),(E2064*GewP+E2169*GewT)/(GewP+GewT),IF(E2064&lt;&gt;"",E2064,IF(E2169&lt;&gt;"",E2169,""))),SUMPRODUCT($C$1640:$V$1640,($C$275:$V$275=E$1703)*1,$C$9:$V$9,$C$65:$V$65)/SUMPRODUCT($C$1640:$V$1640,($C$275:$V$275=E$1703)*1,$C$9:$V$9)))</f>
        <v/>
      </c>
      <c r="F2274" s="173">
        <f>IF(F1749=0,"",IF(EXACT(GewAn,"ja"),IF(AND(F2064&lt;&gt;"",F2169&lt;&gt;""),(F2064*GewP+F2169*GewT)/(GewP+GewT),IF(F2064&lt;&gt;"",F2064,IF(F2169&lt;&gt;"",F2169,""))),SUMPRODUCT($C$1640:$V$1640,($C$275:$V$275=F$1703)*1,$C$9:$V$9,$C$65:$V$65)/SUMPRODUCT($C$1640:$V$1640,($C$275:$V$275=F$1703)*1,$C$9:$V$9)))</f>
        <v/>
      </c>
      <c r="G2274" s="173">
        <f>IF(G1749=0,"",IF(EXACT(GewAn,"ja"),IF(AND(G2064&lt;&gt;"",G2169&lt;&gt;""),(G2064*GewP+G2169*GewT)/(GewP+GewT),IF(G2064&lt;&gt;"",G2064,IF(G2169&lt;&gt;"",G2169,""))),SUMPRODUCT($C$1640:$V$1640,($C$275:$V$275=G$1703)*1,$C$9:$V$9,$C$65:$V$65)/SUMPRODUCT($C$1640:$V$1640,($C$275:$V$275=G$1703)*1,$C$9:$V$9)))</f>
        <v/>
      </c>
      <c r="H2274" s="173">
        <f>IF(H1749=0,"",IF(EXACT(GewAn,"ja"),IF(AND(H2064&lt;&gt;"",H2169&lt;&gt;""),(H2064*GewP+H2169*GewT)/(GewP+GewT),IF(H2064&lt;&gt;"",H2064,IF(H2169&lt;&gt;"",H2169,""))),SUMPRODUCT($C$1640:$V$1640,($C$275:$V$275=H$1703)*1,$C$9:$V$9,$C$65:$V$65)/SUMPRODUCT($C$1640:$V$1640,($C$275:$V$275=H$1703)*1,$C$9:$V$9)))</f>
        <v/>
      </c>
      <c r="I2274" s="173">
        <f>IF(I1749=0,"",IF(EXACT(GewAn,"ja"),IF(AND(I2064&lt;&gt;"",I2169&lt;&gt;""),(I2064*GewP+I2169*GewT)/(GewP+GewT),IF(I2064&lt;&gt;"",I2064,IF(I2169&lt;&gt;"",I2169,""))),SUMPRODUCT($C$1640:$V$1640,($C$275:$V$275=I$1703)*1,$C$9:$V$9,$C$65:$V$65)/SUMPRODUCT($C$1640:$V$1640,($C$275:$V$275=I$1703)*1,$C$9:$V$9)))</f>
        <v/>
      </c>
      <c r="J2274" s="173">
        <f>IF(J1749=0,"",IF(EXACT(GewAn,"ja"),IF(AND(J2064&lt;&gt;"",J2169&lt;&gt;""),(J2064*GewP+J2169*GewT)/(GewP+GewT),IF(J2064&lt;&gt;"",J2064,IF(J2169&lt;&gt;"",J2169,""))),SUMPRODUCT($C$1640:$V$1640,($C$275:$V$275=J$1703)*1,$C$9:$V$9,$C$65:$V$65)/SUMPRODUCT($C$1640:$V$1640,($C$275:$V$275=J$1703)*1,$C$9:$V$9)))</f>
        <v/>
      </c>
    </row>
    <row r="2275">
      <c r="C2275" s="173">
        <f>IF(C1750=0,"",IF(EXACT(GewAn,"ja"),IF(AND(C2065&lt;&gt;"",C2170&lt;&gt;""),(C2065*GewP+C2170*GewT)/(GewP+GewT),IF(C2065&lt;&gt;"",C2065,IF(C2170&lt;&gt;"",C2170,""))),SUMPRODUCT($C$1641:$V$1641,($C$276:$V$276=C$1703)*1,$C$9:$V$9,$C$66:$V$66)/SUMPRODUCT($C$1641:$V$1641,($C$276:$V$276=C$1703)*1,$C$9:$V$9)))</f>
        <v/>
      </c>
      <c r="D2275" s="173">
        <f>IF(D1750=0,"",IF(EXACT(GewAn,"ja"),IF(AND(D2065&lt;&gt;"",D2170&lt;&gt;""),(D2065*GewP+D2170*GewT)/(GewP+GewT),IF(D2065&lt;&gt;"",D2065,IF(D2170&lt;&gt;"",D2170,""))),SUMPRODUCT($C$1641:$V$1641,($C$276:$V$276=D$1703)*1,$C$9:$V$9,$C$66:$V$66)/SUMPRODUCT($C$1641:$V$1641,($C$276:$V$276=D$1703)*1,$C$9:$V$9)))</f>
        <v/>
      </c>
      <c r="E2275" s="173">
        <f>IF(E1750=0,"",IF(EXACT(GewAn,"ja"),IF(AND(E2065&lt;&gt;"",E2170&lt;&gt;""),(E2065*GewP+E2170*GewT)/(GewP+GewT),IF(E2065&lt;&gt;"",E2065,IF(E2170&lt;&gt;"",E2170,""))),SUMPRODUCT($C$1641:$V$1641,($C$276:$V$276=E$1703)*1,$C$9:$V$9,$C$66:$V$66)/SUMPRODUCT($C$1641:$V$1641,($C$276:$V$276=E$1703)*1,$C$9:$V$9)))</f>
        <v/>
      </c>
      <c r="F2275" s="173">
        <f>IF(F1750=0,"",IF(EXACT(GewAn,"ja"),IF(AND(F2065&lt;&gt;"",F2170&lt;&gt;""),(F2065*GewP+F2170*GewT)/(GewP+GewT),IF(F2065&lt;&gt;"",F2065,IF(F2170&lt;&gt;"",F2170,""))),SUMPRODUCT($C$1641:$V$1641,($C$276:$V$276=F$1703)*1,$C$9:$V$9,$C$66:$V$66)/SUMPRODUCT($C$1641:$V$1641,($C$276:$V$276=F$1703)*1,$C$9:$V$9)))</f>
        <v/>
      </c>
      <c r="G2275" s="173">
        <f>IF(G1750=0,"",IF(EXACT(GewAn,"ja"),IF(AND(G2065&lt;&gt;"",G2170&lt;&gt;""),(G2065*GewP+G2170*GewT)/(GewP+GewT),IF(G2065&lt;&gt;"",G2065,IF(G2170&lt;&gt;"",G2170,""))),SUMPRODUCT($C$1641:$V$1641,($C$276:$V$276=G$1703)*1,$C$9:$V$9,$C$66:$V$66)/SUMPRODUCT($C$1641:$V$1641,($C$276:$V$276=G$1703)*1,$C$9:$V$9)))</f>
        <v/>
      </c>
      <c r="H2275" s="173">
        <f>IF(H1750=0,"",IF(EXACT(GewAn,"ja"),IF(AND(H2065&lt;&gt;"",H2170&lt;&gt;""),(H2065*GewP+H2170*GewT)/(GewP+GewT),IF(H2065&lt;&gt;"",H2065,IF(H2170&lt;&gt;"",H2170,""))),SUMPRODUCT($C$1641:$V$1641,($C$276:$V$276=H$1703)*1,$C$9:$V$9,$C$66:$V$66)/SUMPRODUCT($C$1641:$V$1641,($C$276:$V$276=H$1703)*1,$C$9:$V$9)))</f>
        <v/>
      </c>
      <c r="I2275" s="173">
        <f>IF(I1750=0,"",IF(EXACT(GewAn,"ja"),IF(AND(I2065&lt;&gt;"",I2170&lt;&gt;""),(I2065*GewP+I2170*GewT)/(GewP+GewT),IF(I2065&lt;&gt;"",I2065,IF(I2170&lt;&gt;"",I2170,""))),SUMPRODUCT($C$1641:$V$1641,($C$276:$V$276=I$1703)*1,$C$9:$V$9,$C$66:$V$66)/SUMPRODUCT($C$1641:$V$1641,($C$276:$V$276=I$1703)*1,$C$9:$V$9)))</f>
        <v/>
      </c>
      <c r="J2275" s="173">
        <f>IF(J1750=0,"",IF(EXACT(GewAn,"ja"),IF(AND(J2065&lt;&gt;"",J2170&lt;&gt;""),(J2065*GewP+J2170*GewT)/(GewP+GewT),IF(J2065&lt;&gt;"",J2065,IF(J2170&lt;&gt;"",J2170,""))),SUMPRODUCT($C$1641:$V$1641,($C$276:$V$276=J$1703)*1,$C$9:$V$9,$C$66:$V$66)/SUMPRODUCT($C$1641:$V$1641,($C$276:$V$276=J$1703)*1,$C$9:$V$9)))</f>
        <v/>
      </c>
    </row>
    <row r="2276">
      <c r="C2276" s="173">
        <f>IF(C1751=0,"",IF(EXACT(GewAn,"ja"),IF(AND(C2066&lt;&gt;"",C2171&lt;&gt;""),(C2066*GewP+C2171*GewT)/(GewP+GewT),IF(C2066&lt;&gt;"",C2066,IF(C2171&lt;&gt;"",C2171,""))),SUMPRODUCT($C$1642:$V$1642,($C$277:$V$277=C$1703)*1,$C$9:$V$9,$C$67:$V$67)/SUMPRODUCT($C$1642:$V$1642,($C$277:$V$277=C$1703)*1,$C$9:$V$9)))</f>
        <v/>
      </c>
      <c r="D2276" s="173">
        <f>IF(D1751=0,"",IF(EXACT(GewAn,"ja"),IF(AND(D2066&lt;&gt;"",D2171&lt;&gt;""),(D2066*GewP+D2171*GewT)/(GewP+GewT),IF(D2066&lt;&gt;"",D2066,IF(D2171&lt;&gt;"",D2171,""))),SUMPRODUCT($C$1642:$V$1642,($C$277:$V$277=D$1703)*1,$C$9:$V$9,$C$67:$V$67)/SUMPRODUCT($C$1642:$V$1642,($C$277:$V$277=D$1703)*1,$C$9:$V$9)))</f>
        <v/>
      </c>
      <c r="E2276" s="173">
        <f>IF(E1751=0,"",IF(EXACT(GewAn,"ja"),IF(AND(E2066&lt;&gt;"",E2171&lt;&gt;""),(E2066*GewP+E2171*GewT)/(GewP+GewT),IF(E2066&lt;&gt;"",E2066,IF(E2171&lt;&gt;"",E2171,""))),SUMPRODUCT($C$1642:$V$1642,($C$277:$V$277=E$1703)*1,$C$9:$V$9,$C$67:$V$67)/SUMPRODUCT($C$1642:$V$1642,($C$277:$V$277=E$1703)*1,$C$9:$V$9)))</f>
        <v/>
      </c>
      <c r="F2276" s="173">
        <f>IF(F1751=0,"",IF(EXACT(GewAn,"ja"),IF(AND(F2066&lt;&gt;"",F2171&lt;&gt;""),(F2066*GewP+F2171*GewT)/(GewP+GewT),IF(F2066&lt;&gt;"",F2066,IF(F2171&lt;&gt;"",F2171,""))),SUMPRODUCT($C$1642:$V$1642,($C$277:$V$277=F$1703)*1,$C$9:$V$9,$C$67:$V$67)/SUMPRODUCT($C$1642:$V$1642,($C$277:$V$277=F$1703)*1,$C$9:$V$9)))</f>
        <v/>
      </c>
      <c r="G2276" s="173">
        <f>IF(G1751=0,"",IF(EXACT(GewAn,"ja"),IF(AND(G2066&lt;&gt;"",G2171&lt;&gt;""),(G2066*GewP+G2171*GewT)/(GewP+GewT),IF(G2066&lt;&gt;"",G2066,IF(G2171&lt;&gt;"",G2171,""))),SUMPRODUCT($C$1642:$V$1642,($C$277:$V$277=G$1703)*1,$C$9:$V$9,$C$67:$V$67)/SUMPRODUCT($C$1642:$V$1642,($C$277:$V$277=G$1703)*1,$C$9:$V$9)))</f>
        <v/>
      </c>
      <c r="H2276" s="173">
        <f>IF(H1751=0,"",IF(EXACT(GewAn,"ja"),IF(AND(H2066&lt;&gt;"",H2171&lt;&gt;""),(H2066*GewP+H2171*GewT)/(GewP+GewT),IF(H2066&lt;&gt;"",H2066,IF(H2171&lt;&gt;"",H2171,""))),SUMPRODUCT($C$1642:$V$1642,($C$277:$V$277=H$1703)*1,$C$9:$V$9,$C$67:$V$67)/SUMPRODUCT($C$1642:$V$1642,($C$277:$V$277=H$1703)*1,$C$9:$V$9)))</f>
        <v/>
      </c>
      <c r="I2276" s="173">
        <f>IF(I1751=0,"",IF(EXACT(GewAn,"ja"),IF(AND(I2066&lt;&gt;"",I2171&lt;&gt;""),(I2066*GewP+I2171*GewT)/(GewP+GewT),IF(I2066&lt;&gt;"",I2066,IF(I2171&lt;&gt;"",I2171,""))),SUMPRODUCT($C$1642:$V$1642,($C$277:$V$277=I$1703)*1,$C$9:$V$9,$C$67:$V$67)/SUMPRODUCT($C$1642:$V$1642,($C$277:$V$277=I$1703)*1,$C$9:$V$9)))</f>
        <v/>
      </c>
      <c r="J2276" s="173">
        <f>IF(J1751=0,"",IF(EXACT(GewAn,"ja"),IF(AND(J2066&lt;&gt;"",J2171&lt;&gt;""),(J2066*GewP+J2171*GewT)/(GewP+GewT),IF(J2066&lt;&gt;"",J2066,IF(J2171&lt;&gt;"",J2171,""))),SUMPRODUCT($C$1642:$V$1642,($C$277:$V$277=J$1703)*1,$C$9:$V$9,$C$67:$V$67)/SUMPRODUCT($C$1642:$V$1642,($C$277:$V$277=J$1703)*1,$C$9:$V$9)))</f>
        <v/>
      </c>
    </row>
    <row r="2277">
      <c r="C2277" s="173">
        <f>IF(C1752=0,"",IF(EXACT(GewAn,"ja"),IF(AND(C2067&lt;&gt;"",C2172&lt;&gt;""),(C2067*GewP+C2172*GewT)/(GewP+GewT),IF(C2067&lt;&gt;"",C2067,IF(C2172&lt;&gt;"",C2172,""))),SUMPRODUCT($C$1643:$V$1643,($C$278:$V$278=C$1703)*1,$C$9:$V$9,$C$68:$V$68)/SUMPRODUCT($C$1643:$V$1643,($C$278:$V$278=C$1703)*1,$C$9:$V$9)))</f>
        <v/>
      </c>
      <c r="D2277" s="173">
        <f>IF(D1752=0,"",IF(EXACT(GewAn,"ja"),IF(AND(D2067&lt;&gt;"",D2172&lt;&gt;""),(D2067*GewP+D2172*GewT)/(GewP+GewT),IF(D2067&lt;&gt;"",D2067,IF(D2172&lt;&gt;"",D2172,""))),SUMPRODUCT($C$1643:$V$1643,($C$278:$V$278=D$1703)*1,$C$9:$V$9,$C$68:$V$68)/SUMPRODUCT($C$1643:$V$1643,($C$278:$V$278=D$1703)*1,$C$9:$V$9)))</f>
        <v/>
      </c>
      <c r="E2277" s="173">
        <f>IF(E1752=0,"",IF(EXACT(GewAn,"ja"),IF(AND(E2067&lt;&gt;"",E2172&lt;&gt;""),(E2067*GewP+E2172*GewT)/(GewP+GewT),IF(E2067&lt;&gt;"",E2067,IF(E2172&lt;&gt;"",E2172,""))),SUMPRODUCT($C$1643:$V$1643,($C$278:$V$278=E$1703)*1,$C$9:$V$9,$C$68:$V$68)/SUMPRODUCT($C$1643:$V$1643,($C$278:$V$278=E$1703)*1,$C$9:$V$9)))</f>
        <v/>
      </c>
      <c r="F2277" s="173">
        <f>IF(F1752=0,"",IF(EXACT(GewAn,"ja"),IF(AND(F2067&lt;&gt;"",F2172&lt;&gt;""),(F2067*GewP+F2172*GewT)/(GewP+GewT),IF(F2067&lt;&gt;"",F2067,IF(F2172&lt;&gt;"",F2172,""))),SUMPRODUCT($C$1643:$V$1643,($C$278:$V$278=F$1703)*1,$C$9:$V$9,$C$68:$V$68)/SUMPRODUCT($C$1643:$V$1643,($C$278:$V$278=F$1703)*1,$C$9:$V$9)))</f>
        <v/>
      </c>
      <c r="G2277" s="173">
        <f>IF(G1752=0,"",IF(EXACT(GewAn,"ja"),IF(AND(G2067&lt;&gt;"",G2172&lt;&gt;""),(G2067*GewP+G2172*GewT)/(GewP+GewT),IF(G2067&lt;&gt;"",G2067,IF(G2172&lt;&gt;"",G2172,""))),SUMPRODUCT($C$1643:$V$1643,($C$278:$V$278=G$1703)*1,$C$9:$V$9,$C$68:$V$68)/SUMPRODUCT($C$1643:$V$1643,($C$278:$V$278=G$1703)*1,$C$9:$V$9)))</f>
        <v/>
      </c>
      <c r="H2277" s="173">
        <f>IF(H1752=0,"",IF(EXACT(GewAn,"ja"),IF(AND(H2067&lt;&gt;"",H2172&lt;&gt;""),(H2067*GewP+H2172*GewT)/(GewP+GewT),IF(H2067&lt;&gt;"",H2067,IF(H2172&lt;&gt;"",H2172,""))),SUMPRODUCT($C$1643:$V$1643,($C$278:$V$278=H$1703)*1,$C$9:$V$9,$C$68:$V$68)/SUMPRODUCT($C$1643:$V$1643,($C$278:$V$278=H$1703)*1,$C$9:$V$9)))</f>
        <v/>
      </c>
      <c r="I2277" s="173">
        <f>IF(I1752=0,"",IF(EXACT(GewAn,"ja"),IF(AND(I2067&lt;&gt;"",I2172&lt;&gt;""),(I2067*GewP+I2172*GewT)/(GewP+GewT),IF(I2067&lt;&gt;"",I2067,IF(I2172&lt;&gt;"",I2172,""))),SUMPRODUCT($C$1643:$V$1643,($C$278:$V$278=I$1703)*1,$C$9:$V$9,$C$68:$V$68)/SUMPRODUCT($C$1643:$V$1643,($C$278:$V$278=I$1703)*1,$C$9:$V$9)))</f>
        <v/>
      </c>
      <c r="J2277" s="173">
        <f>IF(J1752=0,"",IF(EXACT(GewAn,"ja"),IF(AND(J2067&lt;&gt;"",J2172&lt;&gt;""),(J2067*GewP+J2172*GewT)/(GewP+GewT),IF(J2067&lt;&gt;"",J2067,IF(J2172&lt;&gt;"",J2172,""))),SUMPRODUCT($C$1643:$V$1643,($C$278:$V$278=J$1703)*1,$C$9:$V$9,$C$68:$V$68)/SUMPRODUCT($C$1643:$V$1643,($C$278:$V$278=J$1703)*1,$C$9:$V$9)))</f>
        <v/>
      </c>
    </row>
    <row r="2278">
      <c r="C2278" s="173">
        <f>IF(C1753=0,"",IF(EXACT(GewAn,"ja"),IF(AND(C2068&lt;&gt;"",C2173&lt;&gt;""),(C2068*GewP+C2173*GewT)/(GewP+GewT),IF(C2068&lt;&gt;"",C2068,IF(C2173&lt;&gt;"",C2173,""))),SUMPRODUCT($C$1644:$V$1644,($C$279:$V$279=C$1703)*1,$C$9:$V$9,$C$69:$V$69)/SUMPRODUCT($C$1644:$V$1644,($C$279:$V$279=C$1703)*1,$C$9:$V$9)))</f>
        <v/>
      </c>
      <c r="D2278" s="173">
        <f>IF(D1753=0,"",IF(EXACT(GewAn,"ja"),IF(AND(D2068&lt;&gt;"",D2173&lt;&gt;""),(D2068*GewP+D2173*GewT)/(GewP+GewT),IF(D2068&lt;&gt;"",D2068,IF(D2173&lt;&gt;"",D2173,""))),SUMPRODUCT($C$1644:$V$1644,($C$279:$V$279=D$1703)*1,$C$9:$V$9,$C$69:$V$69)/SUMPRODUCT($C$1644:$V$1644,($C$279:$V$279=D$1703)*1,$C$9:$V$9)))</f>
        <v/>
      </c>
      <c r="E2278" s="173">
        <f>IF(E1753=0,"",IF(EXACT(GewAn,"ja"),IF(AND(E2068&lt;&gt;"",E2173&lt;&gt;""),(E2068*GewP+E2173*GewT)/(GewP+GewT),IF(E2068&lt;&gt;"",E2068,IF(E2173&lt;&gt;"",E2173,""))),SUMPRODUCT($C$1644:$V$1644,($C$279:$V$279=E$1703)*1,$C$9:$V$9,$C$69:$V$69)/SUMPRODUCT($C$1644:$V$1644,($C$279:$V$279=E$1703)*1,$C$9:$V$9)))</f>
        <v/>
      </c>
      <c r="F2278" s="173">
        <f>IF(F1753=0,"",IF(EXACT(GewAn,"ja"),IF(AND(F2068&lt;&gt;"",F2173&lt;&gt;""),(F2068*GewP+F2173*GewT)/(GewP+GewT),IF(F2068&lt;&gt;"",F2068,IF(F2173&lt;&gt;"",F2173,""))),SUMPRODUCT($C$1644:$V$1644,($C$279:$V$279=F$1703)*1,$C$9:$V$9,$C$69:$V$69)/SUMPRODUCT($C$1644:$V$1644,($C$279:$V$279=F$1703)*1,$C$9:$V$9)))</f>
        <v/>
      </c>
      <c r="G2278" s="173">
        <f>IF(G1753=0,"",IF(EXACT(GewAn,"ja"),IF(AND(G2068&lt;&gt;"",G2173&lt;&gt;""),(G2068*GewP+G2173*GewT)/(GewP+GewT),IF(G2068&lt;&gt;"",G2068,IF(G2173&lt;&gt;"",G2173,""))),SUMPRODUCT($C$1644:$V$1644,($C$279:$V$279=G$1703)*1,$C$9:$V$9,$C$69:$V$69)/SUMPRODUCT($C$1644:$V$1644,($C$279:$V$279=G$1703)*1,$C$9:$V$9)))</f>
        <v/>
      </c>
      <c r="H2278" s="173">
        <f>IF(H1753=0,"",IF(EXACT(GewAn,"ja"),IF(AND(H2068&lt;&gt;"",H2173&lt;&gt;""),(H2068*GewP+H2173*GewT)/(GewP+GewT),IF(H2068&lt;&gt;"",H2068,IF(H2173&lt;&gt;"",H2173,""))),SUMPRODUCT($C$1644:$V$1644,($C$279:$V$279=H$1703)*1,$C$9:$V$9,$C$69:$V$69)/SUMPRODUCT($C$1644:$V$1644,($C$279:$V$279=H$1703)*1,$C$9:$V$9)))</f>
        <v/>
      </c>
      <c r="I2278" s="173">
        <f>IF(I1753=0,"",IF(EXACT(GewAn,"ja"),IF(AND(I2068&lt;&gt;"",I2173&lt;&gt;""),(I2068*GewP+I2173*GewT)/(GewP+GewT),IF(I2068&lt;&gt;"",I2068,IF(I2173&lt;&gt;"",I2173,""))),SUMPRODUCT($C$1644:$V$1644,($C$279:$V$279=I$1703)*1,$C$9:$V$9,$C$69:$V$69)/SUMPRODUCT($C$1644:$V$1644,($C$279:$V$279=I$1703)*1,$C$9:$V$9)))</f>
        <v/>
      </c>
      <c r="J2278" s="173">
        <f>IF(J1753=0,"",IF(EXACT(GewAn,"ja"),IF(AND(J2068&lt;&gt;"",J2173&lt;&gt;""),(J2068*GewP+J2173*GewT)/(GewP+GewT),IF(J2068&lt;&gt;"",J2068,IF(J2173&lt;&gt;"",J2173,""))),SUMPRODUCT($C$1644:$V$1644,($C$279:$V$279=J$1703)*1,$C$9:$V$9,$C$69:$V$69)/SUMPRODUCT($C$1644:$V$1644,($C$279:$V$279=J$1703)*1,$C$9:$V$9)))</f>
        <v/>
      </c>
    </row>
    <row r="2279">
      <c r="C2279" s="173">
        <f>IF(C1754=0,"",IF(EXACT(GewAn,"ja"),IF(AND(C2069&lt;&gt;"",C2174&lt;&gt;""),(C2069*GewP+C2174*GewT)/(GewP+GewT),IF(C2069&lt;&gt;"",C2069,IF(C2174&lt;&gt;"",C2174,""))),SUMPRODUCT($C$1645:$V$1645,($C$280:$V$280=C$1703)*1,$C$9:$V$9,$C$70:$V$70)/SUMPRODUCT($C$1645:$V$1645,($C$280:$V$280=C$1703)*1,$C$9:$V$9)))</f>
        <v/>
      </c>
      <c r="D2279" s="173">
        <f>IF(D1754=0,"",IF(EXACT(GewAn,"ja"),IF(AND(D2069&lt;&gt;"",D2174&lt;&gt;""),(D2069*GewP+D2174*GewT)/(GewP+GewT),IF(D2069&lt;&gt;"",D2069,IF(D2174&lt;&gt;"",D2174,""))),SUMPRODUCT($C$1645:$V$1645,($C$280:$V$280=D$1703)*1,$C$9:$V$9,$C$70:$V$70)/SUMPRODUCT($C$1645:$V$1645,($C$280:$V$280=D$1703)*1,$C$9:$V$9)))</f>
        <v/>
      </c>
      <c r="E2279" s="173">
        <f>IF(E1754=0,"",IF(EXACT(GewAn,"ja"),IF(AND(E2069&lt;&gt;"",E2174&lt;&gt;""),(E2069*GewP+E2174*GewT)/(GewP+GewT),IF(E2069&lt;&gt;"",E2069,IF(E2174&lt;&gt;"",E2174,""))),SUMPRODUCT($C$1645:$V$1645,($C$280:$V$280=E$1703)*1,$C$9:$V$9,$C$70:$V$70)/SUMPRODUCT($C$1645:$V$1645,($C$280:$V$280=E$1703)*1,$C$9:$V$9)))</f>
        <v/>
      </c>
      <c r="F2279" s="173">
        <f>IF(F1754=0,"",IF(EXACT(GewAn,"ja"),IF(AND(F2069&lt;&gt;"",F2174&lt;&gt;""),(F2069*GewP+F2174*GewT)/(GewP+GewT),IF(F2069&lt;&gt;"",F2069,IF(F2174&lt;&gt;"",F2174,""))),SUMPRODUCT($C$1645:$V$1645,($C$280:$V$280=F$1703)*1,$C$9:$V$9,$C$70:$V$70)/SUMPRODUCT($C$1645:$V$1645,($C$280:$V$280=F$1703)*1,$C$9:$V$9)))</f>
        <v/>
      </c>
      <c r="G2279" s="173">
        <f>IF(G1754=0,"",IF(EXACT(GewAn,"ja"),IF(AND(G2069&lt;&gt;"",G2174&lt;&gt;""),(G2069*GewP+G2174*GewT)/(GewP+GewT),IF(G2069&lt;&gt;"",G2069,IF(G2174&lt;&gt;"",G2174,""))),SUMPRODUCT($C$1645:$V$1645,($C$280:$V$280=G$1703)*1,$C$9:$V$9,$C$70:$V$70)/SUMPRODUCT($C$1645:$V$1645,($C$280:$V$280=G$1703)*1,$C$9:$V$9)))</f>
        <v/>
      </c>
      <c r="H2279" s="173">
        <f>IF(H1754=0,"",IF(EXACT(GewAn,"ja"),IF(AND(H2069&lt;&gt;"",H2174&lt;&gt;""),(H2069*GewP+H2174*GewT)/(GewP+GewT),IF(H2069&lt;&gt;"",H2069,IF(H2174&lt;&gt;"",H2174,""))),SUMPRODUCT($C$1645:$V$1645,($C$280:$V$280=H$1703)*1,$C$9:$V$9,$C$70:$V$70)/SUMPRODUCT($C$1645:$V$1645,($C$280:$V$280=H$1703)*1,$C$9:$V$9)))</f>
        <v/>
      </c>
      <c r="I2279" s="173">
        <f>IF(I1754=0,"",IF(EXACT(GewAn,"ja"),IF(AND(I2069&lt;&gt;"",I2174&lt;&gt;""),(I2069*GewP+I2174*GewT)/(GewP+GewT),IF(I2069&lt;&gt;"",I2069,IF(I2174&lt;&gt;"",I2174,""))),SUMPRODUCT($C$1645:$V$1645,($C$280:$V$280=I$1703)*1,$C$9:$V$9,$C$70:$V$70)/SUMPRODUCT($C$1645:$V$1645,($C$280:$V$280=I$1703)*1,$C$9:$V$9)))</f>
        <v/>
      </c>
      <c r="J2279" s="173">
        <f>IF(J1754=0,"",IF(EXACT(GewAn,"ja"),IF(AND(J2069&lt;&gt;"",J2174&lt;&gt;""),(J2069*GewP+J2174*GewT)/(GewP+GewT),IF(J2069&lt;&gt;"",J2069,IF(J2174&lt;&gt;"",J2174,""))),SUMPRODUCT($C$1645:$V$1645,($C$280:$V$280=J$1703)*1,$C$9:$V$9,$C$70:$V$70)/SUMPRODUCT($C$1645:$V$1645,($C$280:$V$280=J$1703)*1,$C$9:$V$9)))</f>
        <v/>
      </c>
    </row>
    <row r="2280">
      <c r="C2280" s="173">
        <f>IF(C1755=0,"",IF(EXACT(GewAn,"ja"),IF(AND(C2070&lt;&gt;"",C2175&lt;&gt;""),(C2070*GewP+C2175*GewT)/(GewP+GewT),IF(C2070&lt;&gt;"",C2070,IF(C2175&lt;&gt;"",C2175,""))),SUMPRODUCT($C$1646:$V$1646,($C$281:$V$281=C$1703)*1,$C$9:$V$9,$C$71:$V$71)/SUMPRODUCT($C$1646:$V$1646,($C$281:$V$281=C$1703)*1,$C$9:$V$9)))</f>
        <v/>
      </c>
      <c r="D2280" s="173">
        <f>IF(D1755=0,"",IF(EXACT(GewAn,"ja"),IF(AND(D2070&lt;&gt;"",D2175&lt;&gt;""),(D2070*GewP+D2175*GewT)/(GewP+GewT),IF(D2070&lt;&gt;"",D2070,IF(D2175&lt;&gt;"",D2175,""))),SUMPRODUCT($C$1646:$V$1646,($C$281:$V$281=D$1703)*1,$C$9:$V$9,$C$71:$V$71)/SUMPRODUCT($C$1646:$V$1646,($C$281:$V$281=D$1703)*1,$C$9:$V$9)))</f>
        <v/>
      </c>
      <c r="E2280" s="173">
        <f>IF(E1755=0,"",IF(EXACT(GewAn,"ja"),IF(AND(E2070&lt;&gt;"",E2175&lt;&gt;""),(E2070*GewP+E2175*GewT)/(GewP+GewT),IF(E2070&lt;&gt;"",E2070,IF(E2175&lt;&gt;"",E2175,""))),SUMPRODUCT($C$1646:$V$1646,($C$281:$V$281=E$1703)*1,$C$9:$V$9,$C$71:$V$71)/SUMPRODUCT($C$1646:$V$1646,($C$281:$V$281=E$1703)*1,$C$9:$V$9)))</f>
        <v/>
      </c>
      <c r="F2280" s="173">
        <f>IF(F1755=0,"",IF(EXACT(GewAn,"ja"),IF(AND(F2070&lt;&gt;"",F2175&lt;&gt;""),(F2070*GewP+F2175*GewT)/(GewP+GewT),IF(F2070&lt;&gt;"",F2070,IF(F2175&lt;&gt;"",F2175,""))),SUMPRODUCT($C$1646:$V$1646,($C$281:$V$281=F$1703)*1,$C$9:$V$9,$C$71:$V$71)/SUMPRODUCT($C$1646:$V$1646,($C$281:$V$281=F$1703)*1,$C$9:$V$9)))</f>
        <v/>
      </c>
      <c r="G2280" s="173">
        <f>IF(G1755=0,"",IF(EXACT(GewAn,"ja"),IF(AND(G2070&lt;&gt;"",G2175&lt;&gt;""),(G2070*GewP+G2175*GewT)/(GewP+GewT),IF(G2070&lt;&gt;"",G2070,IF(G2175&lt;&gt;"",G2175,""))),SUMPRODUCT($C$1646:$V$1646,($C$281:$V$281=G$1703)*1,$C$9:$V$9,$C$71:$V$71)/SUMPRODUCT($C$1646:$V$1646,($C$281:$V$281=G$1703)*1,$C$9:$V$9)))</f>
        <v/>
      </c>
      <c r="H2280" s="173">
        <f>IF(H1755=0,"",IF(EXACT(GewAn,"ja"),IF(AND(H2070&lt;&gt;"",H2175&lt;&gt;""),(H2070*GewP+H2175*GewT)/(GewP+GewT),IF(H2070&lt;&gt;"",H2070,IF(H2175&lt;&gt;"",H2175,""))),SUMPRODUCT($C$1646:$V$1646,($C$281:$V$281=H$1703)*1,$C$9:$V$9,$C$71:$V$71)/SUMPRODUCT($C$1646:$V$1646,($C$281:$V$281=H$1703)*1,$C$9:$V$9)))</f>
        <v/>
      </c>
      <c r="I2280" s="173">
        <f>IF(I1755=0,"",IF(EXACT(GewAn,"ja"),IF(AND(I2070&lt;&gt;"",I2175&lt;&gt;""),(I2070*GewP+I2175*GewT)/(GewP+GewT),IF(I2070&lt;&gt;"",I2070,IF(I2175&lt;&gt;"",I2175,""))),SUMPRODUCT($C$1646:$V$1646,($C$281:$V$281=I$1703)*1,$C$9:$V$9,$C$71:$V$71)/SUMPRODUCT($C$1646:$V$1646,($C$281:$V$281=I$1703)*1,$C$9:$V$9)))</f>
        <v/>
      </c>
      <c r="J2280" s="173">
        <f>IF(J1755=0,"",IF(EXACT(GewAn,"ja"),IF(AND(J2070&lt;&gt;"",J2175&lt;&gt;""),(J2070*GewP+J2175*GewT)/(GewP+GewT),IF(J2070&lt;&gt;"",J2070,IF(J2175&lt;&gt;"",J2175,""))),SUMPRODUCT($C$1646:$V$1646,($C$281:$V$281=J$1703)*1,$C$9:$V$9,$C$71:$V$71)/SUMPRODUCT($C$1646:$V$1646,($C$281:$V$281=J$1703)*1,$C$9:$V$9)))</f>
        <v/>
      </c>
    </row>
    <row r="2281">
      <c r="C2281" s="173">
        <f>IF(C1756=0,"",IF(EXACT(GewAn,"ja"),IF(AND(C2071&lt;&gt;"",C2176&lt;&gt;""),(C2071*GewP+C2176*GewT)/(GewP+GewT),IF(C2071&lt;&gt;"",C2071,IF(C2176&lt;&gt;"",C2176,""))),SUMPRODUCT($C$1647:$V$1647,($C$282:$V$282=C$1703)*1,$C$9:$V$9,$C$72:$V$72)/SUMPRODUCT($C$1647:$V$1647,($C$282:$V$282=C$1703)*1,$C$9:$V$9)))</f>
        <v/>
      </c>
      <c r="D2281" s="173">
        <f>IF(D1756=0,"",IF(EXACT(GewAn,"ja"),IF(AND(D2071&lt;&gt;"",D2176&lt;&gt;""),(D2071*GewP+D2176*GewT)/(GewP+GewT),IF(D2071&lt;&gt;"",D2071,IF(D2176&lt;&gt;"",D2176,""))),SUMPRODUCT($C$1647:$V$1647,($C$282:$V$282=D$1703)*1,$C$9:$V$9,$C$72:$V$72)/SUMPRODUCT($C$1647:$V$1647,($C$282:$V$282=D$1703)*1,$C$9:$V$9)))</f>
        <v/>
      </c>
      <c r="E2281" s="173">
        <f>IF(E1756=0,"",IF(EXACT(GewAn,"ja"),IF(AND(E2071&lt;&gt;"",E2176&lt;&gt;""),(E2071*GewP+E2176*GewT)/(GewP+GewT),IF(E2071&lt;&gt;"",E2071,IF(E2176&lt;&gt;"",E2176,""))),SUMPRODUCT($C$1647:$V$1647,($C$282:$V$282=E$1703)*1,$C$9:$V$9,$C$72:$V$72)/SUMPRODUCT($C$1647:$V$1647,($C$282:$V$282=E$1703)*1,$C$9:$V$9)))</f>
        <v/>
      </c>
      <c r="F2281" s="173">
        <f>IF(F1756=0,"",IF(EXACT(GewAn,"ja"),IF(AND(F2071&lt;&gt;"",F2176&lt;&gt;""),(F2071*GewP+F2176*GewT)/(GewP+GewT),IF(F2071&lt;&gt;"",F2071,IF(F2176&lt;&gt;"",F2176,""))),SUMPRODUCT($C$1647:$V$1647,($C$282:$V$282=F$1703)*1,$C$9:$V$9,$C$72:$V$72)/SUMPRODUCT($C$1647:$V$1647,($C$282:$V$282=F$1703)*1,$C$9:$V$9)))</f>
        <v/>
      </c>
      <c r="G2281" s="173">
        <f>IF(G1756=0,"",IF(EXACT(GewAn,"ja"),IF(AND(G2071&lt;&gt;"",G2176&lt;&gt;""),(G2071*GewP+G2176*GewT)/(GewP+GewT),IF(G2071&lt;&gt;"",G2071,IF(G2176&lt;&gt;"",G2176,""))),SUMPRODUCT($C$1647:$V$1647,($C$282:$V$282=G$1703)*1,$C$9:$V$9,$C$72:$V$72)/SUMPRODUCT($C$1647:$V$1647,($C$282:$V$282=G$1703)*1,$C$9:$V$9)))</f>
        <v/>
      </c>
      <c r="H2281" s="173">
        <f>IF(H1756=0,"",IF(EXACT(GewAn,"ja"),IF(AND(H2071&lt;&gt;"",H2176&lt;&gt;""),(H2071*GewP+H2176*GewT)/(GewP+GewT),IF(H2071&lt;&gt;"",H2071,IF(H2176&lt;&gt;"",H2176,""))),SUMPRODUCT($C$1647:$V$1647,($C$282:$V$282=H$1703)*1,$C$9:$V$9,$C$72:$V$72)/SUMPRODUCT($C$1647:$V$1647,($C$282:$V$282=H$1703)*1,$C$9:$V$9)))</f>
        <v/>
      </c>
      <c r="I2281" s="173">
        <f>IF(I1756=0,"",IF(EXACT(GewAn,"ja"),IF(AND(I2071&lt;&gt;"",I2176&lt;&gt;""),(I2071*GewP+I2176*GewT)/(GewP+GewT),IF(I2071&lt;&gt;"",I2071,IF(I2176&lt;&gt;"",I2176,""))),SUMPRODUCT($C$1647:$V$1647,($C$282:$V$282=I$1703)*1,$C$9:$V$9,$C$72:$V$72)/SUMPRODUCT($C$1647:$V$1647,($C$282:$V$282=I$1703)*1,$C$9:$V$9)))</f>
        <v/>
      </c>
      <c r="J2281" s="173">
        <f>IF(J1756=0,"",IF(EXACT(GewAn,"ja"),IF(AND(J2071&lt;&gt;"",J2176&lt;&gt;""),(J2071*GewP+J2176*GewT)/(GewP+GewT),IF(J2071&lt;&gt;"",J2071,IF(J2176&lt;&gt;"",J2176,""))),SUMPRODUCT($C$1647:$V$1647,($C$282:$V$282=J$1703)*1,$C$9:$V$9,$C$72:$V$72)/SUMPRODUCT($C$1647:$V$1647,($C$282:$V$282=J$1703)*1,$C$9:$V$9)))</f>
        <v/>
      </c>
    </row>
    <row r="2282">
      <c r="C2282" s="173">
        <f>IF(C1757=0,"",IF(EXACT(GewAn,"ja"),IF(AND(C2072&lt;&gt;"",C2177&lt;&gt;""),(C2072*GewP+C2177*GewT)/(GewP+GewT),IF(C2072&lt;&gt;"",C2072,IF(C2177&lt;&gt;"",C2177,""))),SUMPRODUCT($C$1648:$V$1648,($C$283:$V$283=C$1703)*1,$C$9:$V$9,$C$73:$V$73)/SUMPRODUCT($C$1648:$V$1648,($C$283:$V$283=C$1703)*1,$C$9:$V$9)))</f>
        <v/>
      </c>
      <c r="D2282" s="173">
        <f>IF(D1757=0,"",IF(EXACT(GewAn,"ja"),IF(AND(D2072&lt;&gt;"",D2177&lt;&gt;""),(D2072*GewP+D2177*GewT)/(GewP+GewT),IF(D2072&lt;&gt;"",D2072,IF(D2177&lt;&gt;"",D2177,""))),SUMPRODUCT($C$1648:$V$1648,($C$283:$V$283=D$1703)*1,$C$9:$V$9,$C$73:$V$73)/SUMPRODUCT($C$1648:$V$1648,($C$283:$V$283=D$1703)*1,$C$9:$V$9)))</f>
        <v/>
      </c>
      <c r="E2282" s="173">
        <f>IF(E1757=0,"",IF(EXACT(GewAn,"ja"),IF(AND(E2072&lt;&gt;"",E2177&lt;&gt;""),(E2072*GewP+E2177*GewT)/(GewP+GewT),IF(E2072&lt;&gt;"",E2072,IF(E2177&lt;&gt;"",E2177,""))),SUMPRODUCT($C$1648:$V$1648,($C$283:$V$283=E$1703)*1,$C$9:$V$9,$C$73:$V$73)/SUMPRODUCT($C$1648:$V$1648,($C$283:$V$283=E$1703)*1,$C$9:$V$9)))</f>
        <v/>
      </c>
      <c r="F2282" s="173">
        <f>IF(F1757=0,"",IF(EXACT(GewAn,"ja"),IF(AND(F2072&lt;&gt;"",F2177&lt;&gt;""),(F2072*GewP+F2177*GewT)/(GewP+GewT),IF(F2072&lt;&gt;"",F2072,IF(F2177&lt;&gt;"",F2177,""))),SUMPRODUCT($C$1648:$V$1648,($C$283:$V$283=F$1703)*1,$C$9:$V$9,$C$73:$V$73)/SUMPRODUCT($C$1648:$V$1648,($C$283:$V$283=F$1703)*1,$C$9:$V$9)))</f>
        <v/>
      </c>
      <c r="G2282" s="173">
        <f>IF(G1757=0,"",IF(EXACT(GewAn,"ja"),IF(AND(G2072&lt;&gt;"",G2177&lt;&gt;""),(G2072*GewP+G2177*GewT)/(GewP+GewT),IF(G2072&lt;&gt;"",G2072,IF(G2177&lt;&gt;"",G2177,""))),SUMPRODUCT($C$1648:$V$1648,($C$283:$V$283=G$1703)*1,$C$9:$V$9,$C$73:$V$73)/SUMPRODUCT($C$1648:$V$1648,($C$283:$V$283=G$1703)*1,$C$9:$V$9)))</f>
        <v/>
      </c>
      <c r="H2282" s="173">
        <f>IF(H1757=0,"",IF(EXACT(GewAn,"ja"),IF(AND(H2072&lt;&gt;"",H2177&lt;&gt;""),(H2072*GewP+H2177*GewT)/(GewP+GewT),IF(H2072&lt;&gt;"",H2072,IF(H2177&lt;&gt;"",H2177,""))),SUMPRODUCT($C$1648:$V$1648,($C$283:$V$283=H$1703)*1,$C$9:$V$9,$C$73:$V$73)/SUMPRODUCT($C$1648:$V$1648,($C$283:$V$283=H$1703)*1,$C$9:$V$9)))</f>
        <v/>
      </c>
      <c r="I2282" s="173">
        <f>IF(I1757=0,"",IF(EXACT(GewAn,"ja"),IF(AND(I2072&lt;&gt;"",I2177&lt;&gt;""),(I2072*GewP+I2177*GewT)/(GewP+GewT),IF(I2072&lt;&gt;"",I2072,IF(I2177&lt;&gt;"",I2177,""))),SUMPRODUCT($C$1648:$V$1648,($C$283:$V$283=I$1703)*1,$C$9:$V$9,$C$73:$V$73)/SUMPRODUCT($C$1648:$V$1648,($C$283:$V$283=I$1703)*1,$C$9:$V$9)))</f>
        <v/>
      </c>
      <c r="J2282" s="173">
        <f>IF(J1757=0,"",IF(EXACT(GewAn,"ja"),IF(AND(J2072&lt;&gt;"",J2177&lt;&gt;""),(J2072*GewP+J2177*GewT)/(GewP+GewT),IF(J2072&lt;&gt;"",J2072,IF(J2177&lt;&gt;"",J2177,""))),SUMPRODUCT($C$1648:$V$1648,($C$283:$V$283=J$1703)*1,$C$9:$V$9,$C$73:$V$73)/SUMPRODUCT($C$1648:$V$1648,($C$283:$V$283=J$1703)*1,$C$9:$V$9)))</f>
        <v/>
      </c>
    </row>
    <row r="2283">
      <c r="C2283" s="173">
        <f>IF(C1758=0,"",IF(EXACT(GewAn,"ja"),IF(AND(C2073&lt;&gt;"",C2178&lt;&gt;""),(C2073*GewP+C2178*GewT)/(GewP+GewT),IF(C2073&lt;&gt;"",C2073,IF(C2178&lt;&gt;"",C2178,""))),SUMPRODUCT($C$1649:$V$1649,($C$284:$V$284=C$1703)*1,$C$9:$V$9,$C$74:$V$74)/SUMPRODUCT($C$1649:$V$1649,($C$284:$V$284=C$1703)*1,$C$9:$V$9)))</f>
        <v/>
      </c>
      <c r="D2283" s="173">
        <f>IF(D1758=0,"",IF(EXACT(GewAn,"ja"),IF(AND(D2073&lt;&gt;"",D2178&lt;&gt;""),(D2073*GewP+D2178*GewT)/(GewP+GewT),IF(D2073&lt;&gt;"",D2073,IF(D2178&lt;&gt;"",D2178,""))),SUMPRODUCT($C$1649:$V$1649,($C$284:$V$284=D$1703)*1,$C$9:$V$9,$C$74:$V$74)/SUMPRODUCT($C$1649:$V$1649,($C$284:$V$284=D$1703)*1,$C$9:$V$9)))</f>
        <v/>
      </c>
      <c r="E2283" s="173">
        <f>IF(E1758=0,"",IF(EXACT(GewAn,"ja"),IF(AND(E2073&lt;&gt;"",E2178&lt;&gt;""),(E2073*GewP+E2178*GewT)/(GewP+GewT),IF(E2073&lt;&gt;"",E2073,IF(E2178&lt;&gt;"",E2178,""))),SUMPRODUCT($C$1649:$V$1649,($C$284:$V$284=E$1703)*1,$C$9:$V$9,$C$74:$V$74)/SUMPRODUCT($C$1649:$V$1649,($C$284:$V$284=E$1703)*1,$C$9:$V$9)))</f>
        <v/>
      </c>
      <c r="F2283" s="173">
        <f>IF(F1758=0,"",IF(EXACT(GewAn,"ja"),IF(AND(F2073&lt;&gt;"",F2178&lt;&gt;""),(F2073*GewP+F2178*GewT)/(GewP+GewT),IF(F2073&lt;&gt;"",F2073,IF(F2178&lt;&gt;"",F2178,""))),SUMPRODUCT($C$1649:$V$1649,($C$284:$V$284=F$1703)*1,$C$9:$V$9,$C$74:$V$74)/SUMPRODUCT($C$1649:$V$1649,($C$284:$V$284=F$1703)*1,$C$9:$V$9)))</f>
        <v/>
      </c>
      <c r="G2283" s="173">
        <f>IF(G1758=0,"",IF(EXACT(GewAn,"ja"),IF(AND(G2073&lt;&gt;"",G2178&lt;&gt;""),(G2073*GewP+G2178*GewT)/(GewP+GewT),IF(G2073&lt;&gt;"",G2073,IF(G2178&lt;&gt;"",G2178,""))),SUMPRODUCT($C$1649:$V$1649,($C$284:$V$284=G$1703)*1,$C$9:$V$9,$C$74:$V$74)/SUMPRODUCT($C$1649:$V$1649,($C$284:$V$284=G$1703)*1,$C$9:$V$9)))</f>
        <v/>
      </c>
      <c r="H2283" s="173">
        <f>IF(H1758=0,"",IF(EXACT(GewAn,"ja"),IF(AND(H2073&lt;&gt;"",H2178&lt;&gt;""),(H2073*GewP+H2178*GewT)/(GewP+GewT),IF(H2073&lt;&gt;"",H2073,IF(H2178&lt;&gt;"",H2178,""))),SUMPRODUCT($C$1649:$V$1649,($C$284:$V$284=H$1703)*1,$C$9:$V$9,$C$74:$V$74)/SUMPRODUCT($C$1649:$V$1649,($C$284:$V$284=H$1703)*1,$C$9:$V$9)))</f>
        <v/>
      </c>
      <c r="I2283" s="173">
        <f>IF(I1758=0,"",IF(EXACT(GewAn,"ja"),IF(AND(I2073&lt;&gt;"",I2178&lt;&gt;""),(I2073*GewP+I2178*GewT)/(GewP+GewT),IF(I2073&lt;&gt;"",I2073,IF(I2178&lt;&gt;"",I2178,""))),SUMPRODUCT($C$1649:$V$1649,($C$284:$V$284=I$1703)*1,$C$9:$V$9,$C$74:$V$74)/SUMPRODUCT($C$1649:$V$1649,($C$284:$V$284=I$1703)*1,$C$9:$V$9)))</f>
        <v/>
      </c>
      <c r="J2283" s="173">
        <f>IF(J1758=0,"",IF(EXACT(GewAn,"ja"),IF(AND(J2073&lt;&gt;"",J2178&lt;&gt;""),(J2073*GewP+J2178*GewT)/(GewP+GewT),IF(J2073&lt;&gt;"",J2073,IF(J2178&lt;&gt;"",J2178,""))),SUMPRODUCT($C$1649:$V$1649,($C$284:$V$284=J$1703)*1,$C$9:$V$9,$C$74:$V$74)/SUMPRODUCT($C$1649:$V$1649,($C$284:$V$284=J$1703)*1,$C$9:$V$9)))</f>
        <v/>
      </c>
    </row>
    <row r="2284">
      <c r="C2284" s="173">
        <f>IF(C1759=0,"",IF(EXACT(GewAn,"ja"),IF(AND(C2074&lt;&gt;"",C2179&lt;&gt;""),(C2074*GewP+C2179*GewT)/(GewP+GewT),IF(C2074&lt;&gt;"",C2074,IF(C2179&lt;&gt;"",C2179,""))),SUMPRODUCT($C$1650:$V$1650,($C$285:$V$285=C$1703)*1,$C$9:$V$9,$C$75:$V$75)/SUMPRODUCT($C$1650:$V$1650,($C$285:$V$285=C$1703)*1,$C$9:$V$9)))</f>
        <v/>
      </c>
      <c r="D2284" s="173">
        <f>IF(D1759=0,"",IF(EXACT(GewAn,"ja"),IF(AND(D2074&lt;&gt;"",D2179&lt;&gt;""),(D2074*GewP+D2179*GewT)/(GewP+GewT),IF(D2074&lt;&gt;"",D2074,IF(D2179&lt;&gt;"",D2179,""))),SUMPRODUCT($C$1650:$V$1650,($C$285:$V$285=D$1703)*1,$C$9:$V$9,$C$75:$V$75)/SUMPRODUCT($C$1650:$V$1650,($C$285:$V$285=D$1703)*1,$C$9:$V$9)))</f>
        <v/>
      </c>
      <c r="E2284" s="173">
        <f>IF(E1759=0,"",IF(EXACT(GewAn,"ja"),IF(AND(E2074&lt;&gt;"",E2179&lt;&gt;""),(E2074*GewP+E2179*GewT)/(GewP+GewT),IF(E2074&lt;&gt;"",E2074,IF(E2179&lt;&gt;"",E2179,""))),SUMPRODUCT($C$1650:$V$1650,($C$285:$V$285=E$1703)*1,$C$9:$V$9,$C$75:$V$75)/SUMPRODUCT($C$1650:$V$1650,($C$285:$V$285=E$1703)*1,$C$9:$V$9)))</f>
        <v/>
      </c>
      <c r="F2284" s="173">
        <f>IF(F1759=0,"",IF(EXACT(GewAn,"ja"),IF(AND(F2074&lt;&gt;"",F2179&lt;&gt;""),(F2074*GewP+F2179*GewT)/(GewP+GewT),IF(F2074&lt;&gt;"",F2074,IF(F2179&lt;&gt;"",F2179,""))),SUMPRODUCT($C$1650:$V$1650,($C$285:$V$285=F$1703)*1,$C$9:$V$9,$C$75:$V$75)/SUMPRODUCT($C$1650:$V$1650,($C$285:$V$285=F$1703)*1,$C$9:$V$9)))</f>
        <v/>
      </c>
      <c r="G2284" s="173">
        <f>IF(G1759=0,"",IF(EXACT(GewAn,"ja"),IF(AND(G2074&lt;&gt;"",G2179&lt;&gt;""),(G2074*GewP+G2179*GewT)/(GewP+GewT),IF(G2074&lt;&gt;"",G2074,IF(G2179&lt;&gt;"",G2179,""))),SUMPRODUCT($C$1650:$V$1650,($C$285:$V$285=G$1703)*1,$C$9:$V$9,$C$75:$V$75)/SUMPRODUCT($C$1650:$V$1650,($C$285:$V$285=G$1703)*1,$C$9:$V$9)))</f>
        <v/>
      </c>
      <c r="H2284" s="173">
        <f>IF(H1759=0,"",IF(EXACT(GewAn,"ja"),IF(AND(H2074&lt;&gt;"",H2179&lt;&gt;""),(H2074*GewP+H2179*GewT)/(GewP+GewT),IF(H2074&lt;&gt;"",H2074,IF(H2179&lt;&gt;"",H2179,""))),SUMPRODUCT($C$1650:$V$1650,($C$285:$V$285=H$1703)*1,$C$9:$V$9,$C$75:$V$75)/SUMPRODUCT($C$1650:$V$1650,($C$285:$V$285=H$1703)*1,$C$9:$V$9)))</f>
        <v/>
      </c>
      <c r="I2284" s="173">
        <f>IF(I1759=0,"",IF(EXACT(GewAn,"ja"),IF(AND(I2074&lt;&gt;"",I2179&lt;&gt;""),(I2074*GewP+I2179*GewT)/(GewP+GewT),IF(I2074&lt;&gt;"",I2074,IF(I2179&lt;&gt;"",I2179,""))),SUMPRODUCT($C$1650:$V$1650,($C$285:$V$285=I$1703)*1,$C$9:$V$9,$C$75:$V$75)/SUMPRODUCT($C$1650:$V$1650,($C$285:$V$285=I$1703)*1,$C$9:$V$9)))</f>
        <v/>
      </c>
      <c r="J2284" s="173">
        <f>IF(J1759=0,"",IF(EXACT(GewAn,"ja"),IF(AND(J2074&lt;&gt;"",J2179&lt;&gt;""),(J2074*GewP+J2179*GewT)/(GewP+GewT),IF(J2074&lt;&gt;"",J2074,IF(J2179&lt;&gt;"",J2179,""))),SUMPRODUCT($C$1650:$V$1650,($C$285:$V$285=J$1703)*1,$C$9:$V$9,$C$75:$V$75)/SUMPRODUCT($C$1650:$V$1650,($C$285:$V$285=J$1703)*1,$C$9:$V$9)))</f>
        <v/>
      </c>
    </row>
    <row r="2285">
      <c r="C2285" s="173">
        <f>IF(C1760=0,"",IF(EXACT(GewAn,"ja"),IF(AND(C2075&lt;&gt;"",C2180&lt;&gt;""),(C2075*GewP+C2180*GewT)/(GewP+GewT),IF(C2075&lt;&gt;"",C2075,IF(C2180&lt;&gt;"",C2180,""))),SUMPRODUCT($C$1651:$V$1651,($C$286:$V$286=C$1703)*1,$C$9:$V$9,$C$76:$V$76)/SUMPRODUCT($C$1651:$V$1651,($C$286:$V$286=C$1703)*1,$C$9:$V$9)))</f>
        <v/>
      </c>
      <c r="D2285" s="173">
        <f>IF(D1760=0,"",IF(EXACT(GewAn,"ja"),IF(AND(D2075&lt;&gt;"",D2180&lt;&gt;""),(D2075*GewP+D2180*GewT)/(GewP+GewT),IF(D2075&lt;&gt;"",D2075,IF(D2180&lt;&gt;"",D2180,""))),SUMPRODUCT($C$1651:$V$1651,($C$286:$V$286=D$1703)*1,$C$9:$V$9,$C$76:$V$76)/SUMPRODUCT($C$1651:$V$1651,($C$286:$V$286=D$1703)*1,$C$9:$V$9)))</f>
        <v/>
      </c>
      <c r="E2285" s="173">
        <f>IF(E1760=0,"",IF(EXACT(GewAn,"ja"),IF(AND(E2075&lt;&gt;"",E2180&lt;&gt;""),(E2075*GewP+E2180*GewT)/(GewP+GewT),IF(E2075&lt;&gt;"",E2075,IF(E2180&lt;&gt;"",E2180,""))),SUMPRODUCT($C$1651:$V$1651,($C$286:$V$286=E$1703)*1,$C$9:$V$9,$C$76:$V$76)/SUMPRODUCT($C$1651:$V$1651,($C$286:$V$286=E$1703)*1,$C$9:$V$9)))</f>
        <v/>
      </c>
      <c r="F2285" s="173">
        <f>IF(F1760=0,"",IF(EXACT(GewAn,"ja"),IF(AND(F2075&lt;&gt;"",F2180&lt;&gt;""),(F2075*GewP+F2180*GewT)/(GewP+GewT),IF(F2075&lt;&gt;"",F2075,IF(F2180&lt;&gt;"",F2180,""))),SUMPRODUCT($C$1651:$V$1651,($C$286:$V$286=F$1703)*1,$C$9:$V$9,$C$76:$V$76)/SUMPRODUCT($C$1651:$V$1651,($C$286:$V$286=F$1703)*1,$C$9:$V$9)))</f>
        <v/>
      </c>
      <c r="G2285" s="173">
        <f>IF(G1760=0,"",IF(EXACT(GewAn,"ja"),IF(AND(G2075&lt;&gt;"",G2180&lt;&gt;""),(G2075*GewP+G2180*GewT)/(GewP+GewT),IF(G2075&lt;&gt;"",G2075,IF(G2180&lt;&gt;"",G2180,""))),SUMPRODUCT($C$1651:$V$1651,($C$286:$V$286=G$1703)*1,$C$9:$V$9,$C$76:$V$76)/SUMPRODUCT($C$1651:$V$1651,($C$286:$V$286=G$1703)*1,$C$9:$V$9)))</f>
        <v/>
      </c>
      <c r="H2285" s="173">
        <f>IF(H1760=0,"",IF(EXACT(GewAn,"ja"),IF(AND(H2075&lt;&gt;"",H2180&lt;&gt;""),(H2075*GewP+H2180*GewT)/(GewP+GewT),IF(H2075&lt;&gt;"",H2075,IF(H2180&lt;&gt;"",H2180,""))),SUMPRODUCT($C$1651:$V$1651,($C$286:$V$286=H$1703)*1,$C$9:$V$9,$C$76:$V$76)/SUMPRODUCT($C$1651:$V$1651,($C$286:$V$286=H$1703)*1,$C$9:$V$9)))</f>
        <v/>
      </c>
      <c r="I2285" s="173">
        <f>IF(I1760=0,"",IF(EXACT(GewAn,"ja"),IF(AND(I2075&lt;&gt;"",I2180&lt;&gt;""),(I2075*GewP+I2180*GewT)/(GewP+GewT),IF(I2075&lt;&gt;"",I2075,IF(I2180&lt;&gt;"",I2180,""))),SUMPRODUCT($C$1651:$V$1651,($C$286:$V$286=I$1703)*1,$C$9:$V$9,$C$76:$V$76)/SUMPRODUCT($C$1651:$V$1651,($C$286:$V$286=I$1703)*1,$C$9:$V$9)))</f>
        <v/>
      </c>
      <c r="J2285" s="173">
        <f>IF(J1760=0,"",IF(EXACT(GewAn,"ja"),IF(AND(J2075&lt;&gt;"",J2180&lt;&gt;""),(J2075*GewP+J2180*GewT)/(GewP+GewT),IF(J2075&lt;&gt;"",J2075,IF(J2180&lt;&gt;"",J2180,""))),SUMPRODUCT($C$1651:$V$1651,($C$286:$V$286=J$1703)*1,$C$9:$V$9,$C$76:$V$76)/SUMPRODUCT($C$1651:$V$1651,($C$286:$V$286=J$1703)*1,$C$9:$V$9)))</f>
        <v/>
      </c>
    </row>
    <row r="2286">
      <c r="C2286" s="173">
        <f>IF(C1761=0,"",IF(EXACT(GewAn,"ja"),IF(AND(C2076&lt;&gt;"",C2181&lt;&gt;""),(C2076*GewP+C2181*GewT)/(GewP+GewT),IF(C2076&lt;&gt;"",C2076,IF(C2181&lt;&gt;"",C2181,""))),SUMPRODUCT($C$1652:$V$1652,($C$287:$V$287=C$1703)*1,$C$9:$V$9,$C$77:$V$77)/SUMPRODUCT($C$1652:$V$1652,($C$287:$V$287=C$1703)*1,$C$9:$V$9)))</f>
        <v/>
      </c>
      <c r="D2286" s="173">
        <f>IF(D1761=0,"",IF(EXACT(GewAn,"ja"),IF(AND(D2076&lt;&gt;"",D2181&lt;&gt;""),(D2076*GewP+D2181*GewT)/(GewP+GewT),IF(D2076&lt;&gt;"",D2076,IF(D2181&lt;&gt;"",D2181,""))),SUMPRODUCT($C$1652:$V$1652,($C$287:$V$287=D$1703)*1,$C$9:$V$9,$C$77:$V$77)/SUMPRODUCT($C$1652:$V$1652,($C$287:$V$287=D$1703)*1,$C$9:$V$9)))</f>
        <v/>
      </c>
      <c r="E2286" s="173">
        <f>IF(E1761=0,"",IF(EXACT(GewAn,"ja"),IF(AND(E2076&lt;&gt;"",E2181&lt;&gt;""),(E2076*GewP+E2181*GewT)/(GewP+GewT),IF(E2076&lt;&gt;"",E2076,IF(E2181&lt;&gt;"",E2181,""))),SUMPRODUCT($C$1652:$V$1652,($C$287:$V$287=E$1703)*1,$C$9:$V$9,$C$77:$V$77)/SUMPRODUCT($C$1652:$V$1652,($C$287:$V$287=E$1703)*1,$C$9:$V$9)))</f>
        <v/>
      </c>
      <c r="F2286" s="173">
        <f>IF(F1761=0,"",IF(EXACT(GewAn,"ja"),IF(AND(F2076&lt;&gt;"",F2181&lt;&gt;""),(F2076*GewP+F2181*GewT)/(GewP+GewT),IF(F2076&lt;&gt;"",F2076,IF(F2181&lt;&gt;"",F2181,""))),SUMPRODUCT($C$1652:$V$1652,($C$287:$V$287=F$1703)*1,$C$9:$V$9,$C$77:$V$77)/SUMPRODUCT($C$1652:$V$1652,($C$287:$V$287=F$1703)*1,$C$9:$V$9)))</f>
        <v/>
      </c>
      <c r="G2286" s="173">
        <f>IF(G1761=0,"",IF(EXACT(GewAn,"ja"),IF(AND(G2076&lt;&gt;"",G2181&lt;&gt;""),(G2076*GewP+G2181*GewT)/(GewP+GewT),IF(G2076&lt;&gt;"",G2076,IF(G2181&lt;&gt;"",G2181,""))),SUMPRODUCT($C$1652:$V$1652,($C$287:$V$287=G$1703)*1,$C$9:$V$9,$C$77:$V$77)/SUMPRODUCT($C$1652:$V$1652,($C$287:$V$287=G$1703)*1,$C$9:$V$9)))</f>
        <v/>
      </c>
      <c r="H2286" s="173">
        <f>IF(H1761=0,"",IF(EXACT(GewAn,"ja"),IF(AND(H2076&lt;&gt;"",H2181&lt;&gt;""),(H2076*GewP+H2181*GewT)/(GewP+GewT),IF(H2076&lt;&gt;"",H2076,IF(H2181&lt;&gt;"",H2181,""))),SUMPRODUCT($C$1652:$V$1652,($C$287:$V$287=H$1703)*1,$C$9:$V$9,$C$77:$V$77)/SUMPRODUCT($C$1652:$V$1652,($C$287:$V$287=H$1703)*1,$C$9:$V$9)))</f>
        <v/>
      </c>
      <c r="I2286" s="173">
        <f>IF(I1761=0,"",IF(EXACT(GewAn,"ja"),IF(AND(I2076&lt;&gt;"",I2181&lt;&gt;""),(I2076*GewP+I2181*GewT)/(GewP+GewT),IF(I2076&lt;&gt;"",I2076,IF(I2181&lt;&gt;"",I2181,""))),SUMPRODUCT($C$1652:$V$1652,($C$287:$V$287=I$1703)*1,$C$9:$V$9,$C$77:$V$77)/SUMPRODUCT($C$1652:$V$1652,($C$287:$V$287=I$1703)*1,$C$9:$V$9)))</f>
        <v/>
      </c>
      <c r="J2286" s="173">
        <f>IF(J1761=0,"",IF(EXACT(GewAn,"ja"),IF(AND(J2076&lt;&gt;"",J2181&lt;&gt;""),(J2076*GewP+J2181*GewT)/(GewP+GewT),IF(J2076&lt;&gt;"",J2076,IF(J2181&lt;&gt;"",J2181,""))),SUMPRODUCT($C$1652:$V$1652,($C$287:$V$287=J$1703)*1,$C$9:$V$9,$C$77:$V$77)/SUMPRODUCT($C$1652:$V$1652,($C$287:$V$287=J$1703)*1,$C$9:$V$9)))</f>
        <v/>
      </c>
    </row>
    <row r="2287">
      <c r="C2287" s="173">
        <f>IF(C1762=0,"",IF(EXACT(GewAn,"ja"),IF(AND(C2077&lt;&gt;"",C2182&lt;&gt;""),(C2077*GewP+C2182*GewT)/(GewP+GewT),IF(C2077&lt;&gt;"",C2077,IF(C2182&lt;&gt;"",C2182,""))),SUMPRODUCT($C$1653:$V$1653,($C$288:$V$288=C$1703)*1,$C$9:$V$9,$C$78:$V$78)/SUMPRODUCT($C$1653:$V$1653,($C$288:$V$288=C$1703)*1,$C$9:$V$9)))</f>
        <v/>
      </c>
      <c r="D2287" s="173">
        <f>IF(D1762=0,"",IF(EXACT(GewAn,"ja"),IF(AND(D2077&lt;&gt;"",D2182&lt;&gt;""),(D2077*GewP+D2182*GewT)/(GewP+GewT),IF(D2077&lt;&gt;"",D2077,IF(D2182&lt;&gt;"",D2182,""))),SUMPRODUCT($C$1653:$V$1653,($C$288:$V$288=D$1703)*1,$C$9:$V$9,$C$78:$V$78)/SUMPRODUCT($C$1653:$V$1653,($C$288:$V$288=D$1703)*1,$C$9:$V$9)))</f>
        <v/>
      </c>
      <c r="E2287" s="173">
        <f>IF(E1762=0,"",IF(EXACT(GewAn,"ja"),IF(AND(E2077&lt;&gt;"",E2182&lt;&gt;""),(E2077*GewP+E2182*GewT)/(GewP+GewT),IF(E2077&lt;&gt;"",E2077,IF(E2182&lt;&gt;"",E2182,""))),SUMPRODUCT($C$1653:$V$1653,($C$288:$V$288=E$1703)*1,$C$9:$V$9,$C$78:$V$78)/SUMPRODUCT($C$1653:$V$1653,($C$288:$V$288=E$1703)*1,$C$9:$V$9)))</f>
        <v/>
      </c>
      <c r="F2287" s="173">
        <f>IF(F1762=0,"",IF(EXACT(GewAn,"ja"),IF(AND(F2077&lt;&gt;"",F2182&lt;&gt;""),(F2077*GewP+F2182*GewT)/(GewP+GewT),IF(F2077&lt;&gt;"",F2077,IF(F2182&lt;&gt;"",F2182,""))),SUMPRODUCT($C$1653:$V$1653,($C$288:$V$288=F$1703)*1,$C$9:$V$9,$C$78:$V$78)/SUMPRODUCT($C$1653:$V$1653,($C$288:$V$288=F$1703)*1,$C$9:$V$9)))</f>
        <v/>
      </c>
      <c r="G2287" s="173">
        <f>IF(G1762=0,"",IF(EXACT(GewAn,"ja"),IF(AND(G2077&lt;&gt;"",G2182&lt;&gt;""),(G2077*GewP+G2182*GewT)/(GewP+GewT),IF(G2077&lt;&gt;"",G2077,IF(G2182&lt;&gt;"",G2182,""))),SUMPRODUCT($C$1653:$V$1653,($C$288:$V$288=G$1703)*1,$C$9:$V$9,$C$78:$V$78)/SUMPRODUCT($C$1653:$V$1653,($C$288:$V$288=G$1703)*1,$C$9:$V$9)))</f>
        <v/>
      </c>
      <c r="H2287" s="173">
        <f>IF(H1762=0,"",IF(EXACT(GewAn,"ja"),IF(AND(H2077&lt;&gt;"",H2182&lt;&gt;""),(H2077*GewP+H2182*GewT)/(GewP+GewT),IF(H2077&lt;&gt;"",H2077,IF(H2182&lt;&gt;"",H2182,""))),SUMPRODUCT($C$1653:$V$1653,($C$288:$V$288=H$1703)*1,$C$9:$V$9,$C$78:$V$78)/SUMPRODUCT($C$1653:$V$1653,($C$288:$V$288=H$1703)*1,$C$9:$V$9)))</f>
        <v/>
      </c>
      <c r="I2287" s="173">
        <f>IF(I1762=0,"",IF(EXACT(GewAn,"ja"),IF(AND(I2077&lt;&gt;"",I2182&lt;&gt;""),(I2077*GewP+I2182*GewT)/(GewP+GewT),IF(I2077&lt;&gt;"",I2077,IF(I2182&lt;&gt;"",I2182,""))),SUMPRODUCT($C$1653:$V$1653,($C$288:$V$288=I$1703)*1,$C$9:$V$9,$C$78:$V$78)/SUMPRODUCT($C$1653:$V$1653,($C$288:$V$288=I$1703)*1,$C$9:$V$9)))</f>
        <v/>
      </c>
      <c r="J2287" s="173">
        <f>IF(J1762=0,"",IF(EXACT(GewAn,"ja"),IF(AND(J2077&lt;&gt;"",J2182&lt;&gt;""),(J2077*GewP+J2182*GewT)/(GewP+GewT),IF(J2077&lt;&gt;"",J2077,IF(J2182&lt;&gt;"",J2182,""))),SUMPRODUCT($C$1653:$V$1653,($C$288:$V$288=J$1703)*1,$C$9:$V$9,$C$78:$V$78)/SUMPRODUCT($C$1653:$V$1653,($C$288:$V$288=J$1703)*1,$C$9:$V$9)))</f>
        <v/>
      </c>
    </row>
    <row r="2288">
      <c r="C2288" s="173">
        <f>IF(C1763=0,"",IF(EXACT(GewAn,"ja"),IF(AND(C2078&lt;&gt;"",C2183&lt;&gt;""),(C2078*GewP+C2183*GewT)/(GewP+GewT),IF(C2078&lt;&gt;"",C2078,IF(C2183&lt;&gt;"",C2183,""))),SUMPRODUCT($C$1654:$V$1654,($C$289:$V$289=C$1703)*1,$C$9:$V$9,$C$79:$V$79)/SUMPRODUCT($C$1654:$V$1654,($C$289:$V$289=C$1703)*1,$C$9:$V$9)))</f>
        <v/>
      </c>
      <c r="D2288" s="173">
        <f>IF(D1763=0,"",IF(EXACT(GewAn,"ja"),IF(AND(D2078&lt;&gt;"",D2183&lt;&gt;""),(D2078*GewP+D2183*GewT)/(GewP+GewT),IF(D2078&lt;&gt;"",D2078,IF(D2183&lt;&gt;"",D2183,""))),SUMPRODUCT($C$1654:$V$1654,($C$289:$V$289=D$1703)*1,$C$9:$V$9,$C$79:$V$79)/SUMPRODUCT($C$1654:$V$1654,($C$289:$V$289=D$1703)*1,$C$9:$V$9)))</f>
        <v/>
      </c>
      <c r="E2288" s="173">
        <f>IF(E1763=0,"",IF(EXACT(GewAn,"ja"),IF(AND(E2078&lt;&gt;"",E2183&lt;&gt;""),(E2078*GewP+E2183*GewT)/(GewP+GewT),IF(E2078&lt;&gt;"",E2078,IF(E2183&lt;&gt;"",E2183,""))),SUMPRODUCT($C$1654:$V$1654,($C$289:$V$289=E$1703)*1,$C$9:$V$9,$C$79:$V$79)/SUMPRODUCT($C$1654:$V$1654,($C$289:$V$289=E$1703)*1,$C$9:$V$9)))</f>
        <v/>
      </c>
      <c r="F2288" s="173">
        <f>IF(F1763=0,"",IF(EXACT(GewAn,"ja"),IF(AND(F2078&lt;&gt;"",F2183&lt;&gt;""),(F2078*GewP+F2183*GewT)/(GewP+GewT),IF(F2078&lt;&gt;"",F2078,IF(F2183&lt;&gt;"",F2183,""))),SUMPRODUCT($C$1654:$V$1654,($C$289:$V$289=F$1703)*1,$C$9:$V$9,$C$79:$V$79)/SUMPRODUCT($C$1654:$V$1654,($C$289:$V$289=F$1703)*1,$C$9:$V$9)))</f>
        <v/>
      </c>
      <c r="G2288" s="173">
        <f>IF(G1763=0,"",IF(EXACT(GewAn,"ja"),IF(AND(G2078&lt;&gt;"",G2183&lt;&gt;""),(G2078*GewP+G2183*GewT)/(GewP+GewT),IF(G2078&lt;&gt;"",G2078,IF(G2183&lt;&gt;"",G2183,""))),SUMPRODUCT($C$1654:$V$1654,($C$289:$V$289=G$1703)*1,$C$9:$V$9,$C$79:$V$79)/SUMPRODUCT($C$1654:$V$1654,($C$289:$V$289=G$1703)*1,$C$9:$V$9)))</f>
        <v/>
      </c>
      <c r="H2288" s="173">
        <f>IF(H1763=0,"",IF(EXACT(GewAn,"ja"),IF(AND(H2078&lt;&gt;"",H2183&lt;&gt;""),(H2078*GewP+H2183*GewT)/(GewP+GewT),IF(H2078&lt;&gt;"",H2078,IF(H2183&lt;&gt;"",H2183,""))),SUMPRODUCT($C$1654:$V$1654,($C$289:$V$289=H$1703)*1,$C$9:$V$9,$C$79:$V$79)/SUMPRODUCT($C$1654:$V$1654,($C$289:$V$289=H$1703)*1,$C$9:$V$9)))</f>
        <v/>
      </c>
      <c r="I2288" s="173">
        <f>IF(I1763=0,"",IF(EXACT(GewAn,"ja"),IF(AND(I2078&lt;&gt;"",I2183&lt;&gt;""),(I2078*GewP+I2183*GewT)/(GewP+GewT),IF(I2078&lt;&gt;"",I2078,IF(I2183&lt;&gt;"",I2183,""))),SUMPRODUCT($C$1654:$V$1654,($C$289:$V$289=I$1703)*1,$C$9:$V$9,$C$79:$V$79)/SUMPRODUCT($C$1654:$V$1654,($C$289:$V$289=I$1703)*1,$C$9:$V$9)))</f>
        <v/>
      </c>
      <c r="J2288" s="173">
        <f>IF(J1763=0,"",IF(EXACT(GewAn,"ja"),IF(AND(J2078&lt;&gt;"",J2183&lt;&gt;""),(J2078*GewP+J2183*GewT)/(GewP+GewT),IF(J2078&lt;&gt;"",J2078,IF(J2183&lt;&gt;"",J2183,""))),SUMPRODUCT($C$1654:$V$1654,($C$289:$V$289=J$1703)*1,$C$9:$V$9,$C$79:$V$79)/SUMPRODUCT($C$1654:$V$1654,($C$289:$V$289=J$1703)*1,$C$9:$V$9)))</f>
        <v/>
      </c>
    </row>
    <row r="2289">
      <c r="C2289" s="173">
        <f>IF(C1764=0,"",IF(EXACT(GewAn,"ja"),IF(AND(C2079&lt;&gt;"",C2184&lt;&gt;""),(C2079*GewP+C2184*GewT)/(GewP+GewT),IF(C2079&lt;&gt;"",C2079,IF(C2184&lt;&gt;"",C2184,""))),SUMPRODUCT($C$1655:$V$1655,($C$290:$V$290=C$1703)*1,$C$9:$V$9,$C$80:$V$80)/SUMPRODUCT($C$1655:$V$1655,($C$290:$V$290=C$1703)*1,$C$9:$V$9)))</f>
        <v/>
      </c>
      <c r="D2289" s="173">
        <f>IF(D1764=0,"",IF(EXACT(GewAn,"ja"),IF(AND(D2079&lt;&gt;"",D2184&lt;&gt;""),(D2079*GewP+D2184*GewT)/(GewP+GewT),IF(D2079&lt;&gt;"",D2079,IF(D2184&lt;&gt;"",D2184,""))),SUMPRODUCT($C$1655:$V$1655,($C$290:$V$290=D$1703)*1,$C$9:$V$9,$C$80:$V$80)/SUMPRODUCT($C$1655:$V$1655,($C$290:$V$290=D$1703)*1,$C$9:$V$9)))</f>
        <v/>
      </c>
      <c r="E2289" s="173">
        <f>IF(E1764=0,"",IF(EXACT(GewAn,"ja"),IF(AND(E2079&lt;&gt;"",E2184&lt;&gt;""),(E2079*GewP+E2184*GewT)/(GewP+GewT),IF(E2079&lt;&gt;"",E2079,IF(E2184&lt;&gt;"",E2184,""))),SUMPRODUCT($C$1655:$V$1655,($C$290:$V$290=E$1703)*1,$C$9:$V$9,$C$80:$V$80)/SUMPRODUCT($C$1655:$V$1655,($C$290:$V$290=E$1703)*1,$C$9:$V$9)))</f>
        <v/>
      </c>
      <c r="F2289" s="173">
        <f>IF(F1764=0,"",IF(EXACT(GewAn,"ja"),IF(AND(F2079&lt;&gt;"",F2184&lt;&gt;""),(F2079*GewP+F2184*GewT)/(GewP+GewT),IF(F2079&lt;&gt;"",F2079,IF(F2184&lt;&gt;"",F2184,""))),SUMPRODUCT($C$1655:$V$1655,($C$290:$V$290=F$1703)*1,$C$9:$V$9,$C$80:$V$80)/SUMPRODUCT($C$1655:$V$1655,($C$290:$V$290=F$1703)*1,$C$9:$V$9)))</f>
        <v/>
      </c>
      <c r="G2289" s="173">
        <f>IF(G1764=0,"",IF(EXACT(GewAn,"ja"),IF(AND(G2079&lt;&gt;"",G2184&lt;&gt;""),(G2079*GewP+G2184*GewT)/(GewP+GewT),IF(G2079&lt;&gt;"",G2079,IF(G2184&lt;&gt;"",G2184,""))),SUMPRODUCT($C$1655:$V$1655,($C$290:$V$290=G$1703)*1,$C$9:$V$9,$C$80:$V$80)/SUMPRODUCT($C$1655:$V$1655,($C$290:$V$290=G$1703)*1,$C$9:$V$9)))</f>
        <v/>
      </c>
      <c r="H2289" s="173">
        <f>IF(H1764=0,"",IF(EXACT(GewAn,"ja"),IF(AND(H2079&lt;&gt;"",H2184&lt;&gt;""),(H2079*GewP+H2184*GewT)/(GewP+GewT),IF(H2079&lt;&gt;"",H2079,IF(H2184&lt;&gt;"",H2184,""))),SUMPRODUCT($C$1655:$V$1655,($C$290:$V$290=H$1703)*1,$C$9:$V$9,$C$80:$V$80)/SUMPRODUCT($C$1655:$V$1655,($C$290:$V$290=H$1703)*1,$C$9:$V$9)))</f>
        <v/>
      </c>
      <c r="I2289" s="173">
        <f>IF(I1764=0,"",IF(EXACT(GewAn,"ja"),IF(AND(I2079&lt;&gt;"",I2184&lt;&gt;""),(I2079*GewP+I2184*GewT)/(GewP+GewT),IF(I2079&lt;&gt;"",I2079,IF(I2184&lt;&gt;"",I2184,""))),SUMPRODUCT($C$1655:$V$1655,($C$290:$V$290=I$1703)*1,$C$9:$V$9,$C$80:$V$80)/SUMPRODUCT($C$1655:$V$1655,($C$290:$V$290=I$1703)*1,$C$9:$V$9)))</f>
        <v/>
      </c>
      <c r="J2289" s="173">
        <f>IF(J1764=0,"",IF(EXACT(GewAn,"ja"),IF(AND(J2079&lt;&gt;"",J2184&lt;&gt;""),(J2079*GewP+J2184*GewT)/(GewP+GewT),IF(J2079&lt;&gt;"",J2079,IF(J2184&lt;&gt;"",J2184,""))),SUMPRODUCT($C$1655:$V$1655,($C$290:$V$290=J$1703)*1,$C$9:$V$9,$C$80:$V$80)/SUMPRODUCT($C$1655:$V$1655,($C$290:$V$290=J$1703)*1,$C$9:$V$9)))</f>
        <v/>
      </c>
    </row>
    <row r="2290">
      <c r="C2290" s="173">
        <f>IF(C1765=0,"",IF(EXACT(GewAn,"ja"),IF(AND(C2080&lt;&gt;"",C2185&lt;&gt;""),(C2080*GewP+C2185*GewT)/(GewP+GewT),IF(C2080&lt;&gt;"",C2080,IF(C2185&lt;&gt;"",C2185,""))),SUMPRODUCT($C$1656:$V$1656,($C$291:$V$291=C$1703)*1,$C$9:$V$9,$C$81:$V$81)/SUMPRODUCT($C$1656:$V$1656,($C$291:$V$291=C$1703)*1,$C$9:$V$9)))</f>
        <v/>
      </c>
      <c r="D2290" s="173">
        <f>IF(D1765=0,"",IF(EXACT(GewAn,"ja"),IF(AND(D2080&lt;&gt;"",D2185&lt;&gt;""),(D2080*GewP+D2185*GewT)/(GewP+GewT),IF(D2080&lt;&gt;"",D2080,IF(D2185&lt;&gt;"",D2185,""))),SUMPRODUCT($C$1656:$V$1656,($C$291:$V$291=D$1703)*1,$C$9:$V$9,$C$81:$V$81)/SUMPRODUCT($C$1656:$V$1656,($C$291:$V$291=D$1703)*1,$C$9:$V$9)))</f>
        <v/>
      </c>
      <c r="E2290" s="173">
        <f>IF(E1765=0,"",IF(EXACT(GewAn,"ja"),IF(AND(E2080&lt;&gt;"",E2185&lt;&gt;""),(E2080*GewP+E2185*GewT)/(GewP+GewT),IF(E2080&lt;&gt;"",E2080,IF(E2185&lt;&gt;"",E2185,""))),SUMPRODUCT($C$1656:$V$1656,($C$291:$V$291=E$1703)*1,$C$9:$V$9,$C$81:$V$81)/SUMPRODUCT($C$1656:$V$1656,($C$291:$V$291=E$1703)*1,$C$9:$V$9)))</f>
        <v/>
      </c>
      <c r="F2290" s="173">
        <f>IF(F1765=0,"",IF(EXACT(GewAn,"ja"),IF(AND(F2080&lt;&gt;"",F2185&lt;&gt;""),(F2080*GewP+F2185*GewT)/(GewP+GewT),IF(F2080&lt;&gt;"",F2080,IF(F2185&lt;&gt;"",F2185,""))),SUMPRODUCT($C$1656:$V$1656,($C$291:$V$291=F$1703)*1,$C$9:$V$9,$C$81:$V$81)/SUMPRODUCT($C$1656:$V$1656,($C$291:$V$291=F$1703)*1,$C$9:$V$9)))</f>
        <v/>
      </c>
      <c r="G2290" s="173">
        <f>IF(G1765=0,"",IF(EXACT(GewAn,"ja"),IF(AND(G2080&lt;&gt;"",G2185&lt;&gt;""),(G2080*GewP+G2185*GewT)/(GewP+GewT),IF(G2080&lt;&gt;"",G2080,IF(G2185&lt;&gt;"",G2185,""))),SUMPRODUCT($C$1656:$V$1656,($C$291:$V$291=G$1703)*1,$C$9:$V$9,$C$81:$V$81)/SUMPRODUCT($C$1656:$V$1656,($C$291:$V$291=G$1703)*1,$C$9:$V$9)))</f>
        <v/>
      </c>
      <c r="H2290" s="173">
        <f>IF(H1765=0,"",IF(EXACT(GewAn,"ja"),IF(AND(H2080&lt;&gt;"",H2185&lt;&gt;""),(H2080*GewP+H2185*GewT)/(GewP+GewT),IF(H2080&lt;&gt;"",H2080,IF(H2185&lt;&gt;"",H2185,""))),SUMPRODUCT($C$1656:$V$1656,($C$291:$V$291=H$1703)*1,$C$9:$V$9,$C$81:$V$81)/SUMPRODUCT($C$1656:$V$1656,($C$291:$V$291=H$1703)*1,$C$9:$V$9)))</f>
        <v/>
      </c>
      <c r="I2290" s="173">
        <f>IF(I1765=0,"",IF(EXACT(GewAn,"ja"),IF(AND(I2080&lt;&gt;"",I2185&lt;&gt;""),(I2080*GewP+I2185*GewT)/(GewP+GewT),IF(I2080&lt;&gt;"",I2080,IF(I2185&lt;&gt;"",I2185,""))),SUMPRODUCT($C$1656:$V$1656,($C$291:$V$291=I$1703)*1,$C$9:$V$9,$C$81:$V$81)/SUMPRODUCT($C$1656:$V$1656,($C$291:$V$291=I$1703)*1,$C$9:$V$9)))</f>
        <v/>
      </c>
      <c r="J2290" s="173">
        <f>IF(J1765=0,"",IF(EXACT(GewAn,"ja"),IF(AND(J2080&lt;&gt;"",J2185&lt;&gt;""),(J2080*GewP+J2185*GewT)/(GewP+GewT),IF(J2080&lt;&gt;"",J2080,IF(J2185&lt;&gt;"",J2185,""))),SUMPRODUCT($C$1656:$V$1656,($C$291:$V$291=J$1703)*1,$C$9:$V$9,$C$81:$V$81)/SUMPRODUCT($C$1656:$V$1656,($C$291:$V$291=J$1703)*1,$C$9:$V$9)))</f>
        <v/>
      </c>
    </row>
    <row r="2291">
      <c r="C2291" s="173">
        <f>IF(C1766=0,"",IF(EXACT(GewAn,"ja"),IF(AND(C2081&lt;&gt;"",C2186&lt;&gt;""),(C2081*GewP+C2186*GewT)/(GewP+GewT),IF(C2081&lt;&gt;"",C2081,IF(C2186&lt;&gt;"",C2186,""))),SUMPRODUCT($C$1657:$V$1657,($C$292:$V$292=C$1703)*1,$C$9:$V$9,$C$82:$V$82)/SUMPRODUCT($C$1657:$V$1657,($C$292:$V$292=C$1703)*1,$C$9:$V$9)))</f>
        <v/>
      </c>
      <c r="D2291" s="173">
        <f>IF(D1766=0,"",IF(EXACT(GewAn,"ja"),IF(AND(D2081&lt;&gt;"",D2186&lt;&gt;""),(D2081*GewP+D2186*GewT)/(GewP+GewT),IF(D2081&lt;&gt;"",D2081,IF(D2186&lt;&gt;"",D2186,""))),SUMPRODUCT($C$1657:$V$1657,($C$292:$V$292=D$1703)*1,$C$9:$V$9,$C$82:$V$82)/SUMPRODUCT($C$1657:$V$1657,($C$292:$V$292=D$1703)*1,$C$9:$V$9)))</f>
        <v/>
      </c>
      <c r="E2291" s="173">
        <f>IF(E1766=0,"",IF(EXACT(GewAn,"ja"),IF(AND(E2081&lt;&gt;"",E2186&lt;&gt;""),(E2081*GewP+E2186*GewT)/(GewP+GewT),IF(E2081&lt;&gt;"",E2081,IF(E2186&lt;&gt;"",E2186,""))),SUMPRODUCT($C$1657:$V$1657,($C$292:$V$292=E$1703)*1,$C$9:$V$9,$C$82:$V$82)/SUMPRODUCT($C$1657:$V$1657,($C$292:$V$292=E$1703)*1,$C$9:$V$9)))</f>
        <v/>
      </c>
      <c r="F2291" s="173">
        <f>IF(F1766=0,"",IF(EXACT(GewAn,"ja"),IF(AND(F2081&lt;&gt;"",F2186&lt;&gt;""),(F2081*GewP+F2186*GewT)/(GewP+GewT),IF(F2081&lt;&gt;"",F2081,IF(F2186&lt;&gt;"",F2186,""))),SUMPRODUCT($C$1657:$V$1657,($C$292:$V$292=F$1703)*1,$C$9:$V$9,$C$82:$V$82)/SUMPRODUCT($C$1657:$V$1657,($C$292:$V$292=F$1703)*1,$C$9:$V$9)))</f>
        <v/>
      </c>
      <c r="G2291" s="173">
        <f>IF(G1766=0,"",IF(EXACT(GewAn,"ja"),IF(AND(G2081&lt;&gt;"",G2186&lt;&gt;""),(G2081*GewP+G2186*GewT)/(GewP+GewT),IF(G2081&lt;&gt;"",G2081,IF(G2186&lt;&gt;"",G2186,""))),SUMPRODUCT($C$1657:$V$1657,($C$292:$V$292=G$1703)*1,$C$9:$V$9,$C$82:$V$82)/SUMPRODUCT($C$1657:$V$1657,($C$292:$V$292=G$1703)*1,$C$9:$V$9)))</f>
        <v/>
      </c>
      <c r="H2291" s="173">
        <f>IF(H1766=0,"",IF(EXACT(GewAn,"ja"),IF(AND(H2081&lt;&gt;"",H2186&lt;&gt;""),(H2081*GewP+H2186*GewT)/(GewP+GewT),IF(H2081&lt;&gt;"",H2081,IF(H2186&lt;&gt;"",H2186,""))),SUMPRODUCT($C$1657:$V$1657,($C$292:$V$292=H$1703)*1,$C$9:$V$9,$C$82:$V$82)/SUMPRODUCT($C$1657:$V$1657,($C$292:$V$292=H$1703)*1,$C$9:$V$9)))</f>
        <v/>
      </c>
      <c r="I2291" s="173">
        <f>IF(I1766=0,"",IF(EXACT(GewAn,"ja"),IF(AND(I2081&lt;&gt;"",I2186&lt;&gt;""),(I2081*GewP+I2186*GewT)/(GewP+GewT),IF(I2081&lt;&gt;"",I2081,IF(I2186&lt;&gt;"",I2186,""))),SUMPRODUCT($C$1657:$V$1657,($C$292:$V$292=I$1703)*1,$C$9:$V$9,$C$82:$V$82)/SUMPRODUCT($C$1657:$V$1657,($C$292:$V$292=I$1703)*1,$C$9:$V$9)))</f>
        <v/>
      </c>
      <c r="J2291" s="173">
        <f>IF(J1766=0,"",IF(EXACT(GewAn,"ja"),IF(AND(J2081&lt;&gt;"",J2186&lt;&gt;""),(J2081*GewP+J2186*GewT)/(GewP+GewT),IF(J2081&lt;&gt;"",J2081,IF(J2186&lt;&gt;"",J2186,""))),SUMPRODUCT($C$1657:$V$1657,($C$292:$V$292=J$1703)*1,$C$9:$V$9,$C$82:$V$82)/SUMPRODUCT($C$1657:$V$1657,($C$292:$V$292=J$1703)*1,$C$9:$V$9)))</f>
        <v/>
      </c>
    </row>
    <row r="2292">
      <c r="C2292" s="173">
        <f>IF(C1767=0,"",IF(EXACT(GewAn,"ja"),IF(AND(C2082&lt;&gt;"",C2187&lt;&gt;""),(C2082*GewP+C2187*GewT)/(GewP+GewT),IF(C2082&lt;&gt;"",C2082,IF(C2187&lt;&gt;"",C2187,""))),SUMPRODUCT($C$1658:$V$1658,($C$293:$V$293=C$1703)*1,$C$9:$V$9,$C$83:$V$83)/SUMPRODUCT($C$1658:$V$1658,($C$293:$V$293=C$1703)*1,$C$9:$V$9)))</f>
        <v/>
      </c>
      <c r="D2292" s="173">
        <f>IF(D1767=0,"",IF(EXACT(GewAn,"ja"),IF(AND(D2082&lt;&gt;"",D2187&lt;&gt;""),(D2082*GewP+D2187*GewT)/(GewP+GewT),IF(D2082&lt;&gt;"",D2082,IF(D2187&lt;&gt;"",D2187,""))),SUMPRODUCT($C$1658:$V$1658,($C$293:$V$293=D$1703)*1,$C$9:$V$9,$C$83:$V$83)/SUMPRODUCT($C$1658:$V$1658,($C$293:$V$293=D$1703)*1,$C$9:$V$9)))</f>
        <v/>
      </c>
      <c r="E2292" s="173">
        <f>IF(E1767=0,"",IF(EXACT(GewAn,"ja"),IF(AND(E2082&lt;&gt;"",E2187&lt;&gt;""),(E2082*GewP+E2187*GewT)/(GewP+GewT),IF(E2082&lt;&gt;"",E2082,IF(E2187&lt;&gt;"",E2187,""))),SUMPRODUCT($C$1658:$V$1658,($C$293:$V$293=E$1703)*1,$C$9:$V$9,$C$83:$V$83)/SUMPRODUCT($C$1658:$V$1658,($C$293:$V$293=E$1703)*1,$C$9:$V$9)))</f>
        <v/>
      </c>
      <c r="F2292" s="173">
        <f>IF(F1767=0,"",IF(EXACT(GewAn,"ja"),IF(AND(F2082&lt;&gt;"",F2187&lt;&gt;""),(F2082*GewP+F2187*GewT)/(GewP+GewT),IF(F2082&lt;&gt;"",F2082,IF(F2187&lt;&gt;"",F2187,""))),SUMPRODUCT($C$1658:$V$1658,($C$293:$V$293=F$1703)*1,$C$9:$V$9,$C$83:$V$83)/SUMPRODUCT($C$1658:$V$1658,($C$293:$V$293=F$1703)*1,$C$9:$V$9)))</f>
        <v/>
      </c>
      <c r="G2292" s="173">
        <f>IF(G1767=0,"",IF(EXACT(GewAn,"ja"),IF(AND(G2082&lt;&gt;"",G2187&lt;&gt;""),(G2082*GewP+G2187*GewT)/(GewP+GewT),IF(G2082&lt;&gt;"",G2082,IF(G2187&lt;&gt;"",G2187,""))),SUMPRODUCT($C$1658:$V$1658,($C$293:$V$293=G$1703)*1,$C$9:$V$9,$C$83:$V$83)/SUMPRODUCT($C$1658:$V$1658,($C$293:$V$293=G$1703)*1,$C$9:$V$9)))</f>
        <v/>
      </c>
      <c r="H2292" s="173">
        <f>IF(H1767=0,"",IF(EXACT(GewAn,"ja"),IF(AND(H2082&lt;&gt;"",H2187&lt;&gt;""),(H2082*GewP+H2187*GewT)/(GewP+GewT),IF(H2082&lt;&gt;"",H2082,IF(H2187&lt;&gt;"",H2187,""))),SUMPRODUCT($C$1658:$V$1658,($C$293:$V$293=H$1703)*1,$C$9:$V$9,$C$83:$V$83)/SUMPRODUCT($C$1658:$V$1658,($C$293:$V$293=H$1703)*1,$C$9:$V$9)))</f>
        <v/>
      </c>
      <c r="I2292" s="173">
        <f>IF(I1767=0,"",IF(EXACT(GewAn,"ja"),IF(AND(I2082&lt;&gt;"",I2187&lt;&gt;""),(I2082*GewP+I2187*GewT)/(GewP+GewT),IF(I2082&lt;&gt;"",I2082,IF(I2187&lt;&gt;"",I2187,""))),SUMPRODUCT($C$1658:$V$1658,($C$293:$V$293=I$1703)*1,$C$9:$V$9,$C$83:$V$83)/SUMPRODUCT($C$1658:$V$1658,($C$293:$V$293=I$1703)*1,$C$9:$V$9)))</f>
        <v/>
      </c>
      <c r="J2292" s="173">
        <f>IF(J1767=0,"",IF(EXACT(GewAn,"ja"),IF(AND(J2082&lt;&gt;"",J2187&lt;&gt;""),(J2082*GewP+J2187*GewT)/(GewP+GewT),IF(J2082&lt;&gt;"",J2082,IF(J2187&lt;&gt;"",J2187,""))),SUMPRODUCT($C$1658:$V$1658,($C$293:$V$293=J$1703)*1,$C$9:$V$9,$C$83:$V$83)/SUMPRODUCT($C$1658:$V$1658,($C$293:$V$293=J$1703)*1,$C$9:$V$9)))</f>
        <v/>
      </c>
    </row>
    <row r="2293">
      <c r="C2293" s="173">
        <f>IF(C1768=0,"",IF(EXACT(GewAn,"ja"),IF(AND(C2083&lt;&gt;"",C2188&lt;&gt;""),(C2083*GewP+C2188*GewT)/(GewP+GewT),IF(C2083&lt;&gt;"",C2083,IF(C2188&lt;&gt;"",C2188,""))),SUMPRODUCT($C$1659:$V$1659,($C$294:$V$294=C$1703)*1,$C$9:$V$9,$C$84:$V$84)/SUMPRODUCT($C$1659:$V$1659,($C$294:$V$294=C$1703)*1,$C$9:$V$9)))</f>
        <v/>
      </c>
      <c r="D2293" s="173">
        <f>IF(D1768=0,"",IF(EXACT(GewAn,"ja"),IF(AND(D2083&lt;&gt;"",D2188&lt;&gt;""),(D2083*GewP+D2188*GewT)/(GewP+GewT),IF(D2083&lt;&gt;"",D2083,IF(D2188&lt;&gt;"",D2188,""))),SUMPRODUCT($C$1659:$V$1659,($C$294:$V$294=D$1703)*1,$C$9:$V$9,$C$84:$V$84)/SUMPRODUCT($C$1659:$V$1659,($C$294:$V$294=D$1703)*1,$C$9:$V$9)))</f>
        <v/>
      </c>
      <c r="E2293" s="173">
        <f>IF(E1768=0,"",IF(EXACT(GewAn,"ja"),IF(AND(E2083&lt;&gt;"",E2188&lt;&gt;""),(E2083*GewP+E2188*GewT)/(GewP+GewT),IF(E2083&lt;&gt;"",E2083,IF(E2188&lt;&gt;"",E2188,""))),SUMPRODUCT($C$1659:$V$1659,($C$294:$V$294=E$1703)*1,$C$9:$V$9,$C$84:$V$84)/SUMPRODUCT($C$1659:$V$1659,($C$294:$V$294=E$1703)*1,$C$9:$V$9)))</f>
        <v/>
      </c>
      <c r="F2293" s="173">
        <f>IF(F1768=0,"",IF(EXACT(GewAn,"ja"),IF(AND(F2083&lt;&gt;"",F2188&lt;&gt;""),(F2083*GewP+F2188*GewT)/(GewP+GewT),IF(F2083&lt;&gt;"",F2083,IF(F2188&lt;&gt;"",F2188,""))),SUMPRODUCT($C$1659:$V$1659,($C$294:$V$294=F$1703)*1,$C$9:$V$9,$C$84:$V$84)/SUMPRODUCT($C$1659:$V$1659,($C$294:$V$294=F$1703)*1,$C$9:$V$9)))</f>
        <v/>
      </c>
      <c r="G2293" s="173">
        <f>IF(G1768=0,"",IF(EXACT(GewAn,"ja"),IF(AND(G2083&lt;&gt;"",G2188&lt;&gt;""),(G2083*GewP+G2188*GewT)/(GewP+GewT),IF(G2083&lt;&gt;"",G2083,IF(G2188&lt;&gt;"",G2188,""))),SUMPRODUCT($C$1659:$V$1659,($C$294:$V$294=G$1703)*1,$C$9:$V$9,$C$84:$V$84)/SUMPRODUCT($C$1659:$V$1659,($C$294:$V$294=G$1703)*1,$C$9:$V$9)))</f>
        <v/>
      </c>
      <c r="H2293" s="173">
        <f>IF(H1768=0,"",IF(EXACT(GewAn,"ja"),IF(AND(H2083&lt;&gt;"",H2188&lt;&gt;""),(H2083*GewP+H2188*GewT)/(GewP+GewT),IF(H2083&lt;&gt;"",H2083,IF(H2188&lt;&gt;"",H2188,""))),SUMPRODUCT($C$1659:$V$1659,($C$294:$V$294=H$1703)*1,$C$9:$V$9,$C$84:$V$84)/SUMPRODUCT($C$1659:$V$1659,($C$294:$V$294=H$1703)*1,$C$9:$V$9)))</f>
        <v/>
      </c>
      <c r="I2293" s="173">
        <f>IF(I1768=0,"",IF(EXACT(GewAn,"ja"),IF(AND(I2083&lt;&gt;"",I2188&lt;&gt;""),(I2083*GewP+I2188*GewT)/(GewP+GewT),IF(I2083&lt;&gt;"",I2083,IF(I2188&lt;&gt;"",I2188,""))),SUMPRODUCT($C$1659:$V$1659,($C$294:$V$294=I$1703)*1,$C$9:$V$9,$C$84:$V$84)/SUMPRODUCT($C$1659:$V$1659,($C$294:$V$294=I$1703)*1,$C$9:$V$9)))</f>
        <v/>
      </c>
      <c r="J2293" s="173">
        <f>IF(J1768=0,"",IF(EXACT(GewAn,"ja"),IF(AND(J2083&lt;&gt;"",J2188&lt;&gt;""),(J2083*GewP+J2188*GewT)/(GewP+GewT),IF(J2083&lt;&gt;"",J2083,IF(J2188&lt;&gt;"",J2188,""))),SUMPRODUCT($C$1659:$V$1659,($C$294:$V$294=J$1703)*1,$C$9:$V$9,$C$84:$V$84)/SUMPRODUCT($C$1659:$V$1659,($C$294:$V$294=J$1703)*1,$C$9:$V$9)))</f>
        <v/>
      </c>
    </row>
    <row r="2294">
      <c r="C2294" s="173">
        <f>IF(C1769=0,"",IF(EXACT(GewAn,"ja"),IF(AND(C2084&lt;&gt;"",C2189&lt;&gt;""),(C2084*GewP+C2189*GewT)/(GewP+GewT),IF(C2084&lt;&gt;"",C2084,IF(C2189&lt;&gt;"",C2189,""))),SUMPRODUCT($C$1660:$V$1660,($C$295:$V$295=C$1703)*1,$C$9:$V$9,$C$85:$V$85)/SUMPRODUCT($C$1660:$V$1660,($C$295:$V$295=C$1703)*1,$C$9:$V$9)))</f>
        <v/>
      </c>
      <c r="D2294" s="173">
        <f>IF(D1769=0,"",IF(EXACT(GewAn,"ja"),IF(AND(D2084&lt;&gt;"",D2189&lt;&gt;""),(D2084*GewP+D2189*GewT)/(GewP+GewT),IF(D2084&lt;&gt;"",D2084,IF(D2189&lt;&gt;"",D2189,""))),SUMPRODUCT($C$1660:$V$1660,($C$295:$V$295=D$1703)*1,$C$9:$V$9,$C$85:$V$85)/SUMPRODUCT($C$1660:$V$1660,($C$295:$V$295=D$1703)*1,$C$9:$V$9)))</f>
        <v/>
      </c>
      <c r="E2294" s="173">
        <f>IF(E1769=0,"",IF(EXACT(GewAn,"ja"),IF(AND(E2084&lt;&gt;"",E2189&lt;&gt;""),(E2084*GewP+E2189*GewT)/(GewP+GewT),IF(E2084&lt;&gt;"",E2084,IF(E2189&lt;&gt;"",E2189,""))),SUMPRODUCT($C$1660:$V$1660,($C$295:$V$295=E$1703)*1,$C$9:$V$9,$C$85:$V$85)/SUMPRODUCT($C$1660:$V$1660,($C$295:$V$295=E$1703)*1,$C$9:$V$9)))</f>
        <v/>
      </c>
      <c r="F2294" s="173">
        <f>IF(F1769=0,"",IF(EXACT(GewAn,"ja"),IF(AND(F2084&lt;&gt;"",F2189&lt;&gt;""),(F2084*GewP+F2189*GewT)/(GewP+GewT),IF(F2084&lt;&gt;"",F2084,IF(F2189&lt;&gt;"",F2189,""))),SUMPRODUCT($C$1660:$V$1660,($C$295:$V$295=F$1703)*1,$C$9:$V$9,$C$85:$V$85)/SUMPRODUCT($C$1660:$V$1660,($C$295:$V$295=F$1703)*1,$C$9:$V$9)))</f>
        <v/>
      </c>
      <c r="G2294" s="173">
        <f>IF(G1769=0,"",IF(EXACT(GewAn,"ja"),IF(AND(G2084&lt;&gt;"",G2189&lt;&gt;""),(G2084*GewP+G2189*GewT)/(GewP+GewT),IF(G2084&lt;&gt;"",G2084,IF(G2189&lt;&gt;"",G2189,""))),SUMPRODUCT($C$1660:$V$1660,($C$295:$V$295=G$1703)*1,$C$9:$V$9,$C$85:$V$85)/SUMPRODUCT($C$1660:$V$1660,($C$295:$V$295=G$1703)*1,$C$9:$V$9)))</f>
        <v/>
      </c>
      <c r="H2294" s="173">
        <f>IF(H1769=0,"",IF(EXACT(GewAn,"ja"),IF(AND(H2084&lt;&gt;"",H2189&lt;&gt;""),(H2084*GewP+H2189*GewT)/(GewP+GewT),IF(H2084&lt;&gt;"",H2084,IF(H2189&lt;&gt;"",H2189,""))),SUMPRODUCT($C$1660:$V$1660,($C$295:$V$295=H$1703)*1,$C$9:$V$9,$C$85:$V$85)/SUMPRODUCT($C$1660:$V$1660,($C$295:$V$295=H$1703)*1,$C$9:$V$9)))</f>
        <v/>
      </c>
      <c r="I2294" s="173">
        <f>IF(I1769=0,"",IF(EXACT(GewAn,"ja"),IF(AND(I2084&lt;&gt;"",I2189&lt;&gt;""),(I2084*GewP+I2189*GewT)/(GewP+GewT),IF(I2084&lt;&gt;"",I2084,IF(I2189&lt;&gt;"",I2189,""))),SUMPRODUCT($C$1660:$V$1660,($C$295:$V$295=I$1703)*1,$C$9:$V$9,$C$85:$V$85)/SUMPRODUCT($C$1660:$V$1660,($C$295:$V$295=I$1703)*1,$C$9:$V$9)))</f>
        <v/>
      </c>
      <c r="J2294" s="173">
        <f>IF(J1769=0,"",IF(EXACT(GewAn,"ja"),IF(AND(J2084&lt;&gt;"",J2189&lt;&gt;""),(J2084*GewP+J2189*GewT)/(GewP+GewT),IF(J2084&lt;&gt;"",J2084,IF(J2189&lt;&gt;"",J2189,""))),SUMPRODUCT($C$1660:$V$1660,($C$295:$V$295=J$1703)*1,$C$9:$V$9,$C$85:$V$85)/SUMPRODUCT($C$1660:$V$1660,($C$295:$V$295=J$1703)*1,$C$9:$V$9)))</f>
        <v/>
      </c>
    </row>
    <row r="2295">
      <c r="C2295" s="173">
        <f>IF(C1770=0,"",IF(EXACT(GewAn,"ja"),IF(AND(C2085&lt;&gt;"",C2190&lt;&gt;""),(C2085*GewP+C2190*GewT)/(GewP+GewT),IF(C2085&lt;&gt;"",C2085,IF(C2190&lt;&gt;"",C2190,""))),SUMPRODUCT($C$1661:$V$1661,($C$296:$V$296=C$1703)*1,$C$9:$V$9,$C$86:$V$86)/SUMPRODUCT($C$1661:$V$1661,($C$296:$V$296=C$1703)*1,$C$9:$V$9)))</f>
        <v/>
      </c>
      <c r="D2295" s="173">
        <f>IF(D1770=0,"",IF(EXACT(GewAn,"ja"),IF(AND(D2085&lt;&gt;"",D2190&lt;&gt;""),(D2085*GewP+D2190*GewT)/(GewP+GewT),IF(D2085&lt;&gt;"",D2085,IF(D2190&lt;&gt;"",D2190,""))),SUMPRODUCT($C$1661:$V$1661,($C$296:$V$296=D$1703)*1,$C$9:$V$9,$C$86:$V$86)/SUMPRODUCT($C$1661:$V$1661,($C$296:$V$296=D$1703)*1,$C$9:$V$9)))</f>
        <v/>
      </c>
      <c r="E2295" s="173">
        <f>IF(E1770=0,"",IF(EXACT(GewAn,"ja"),IF(AND(E2085&lt;&gt;"",E2190&lt;&gt;""),(E2085*GewP+E2190*GewT)/(GewP+GewT),IF(E2085&lt;&gt;"",E2085,IF(E2190&lt;&gt;"",E2190,""))),SUMPRODUCT($C$1661:$V$1661,($C$296:$V$296=E$1703)*1,$C$9:$V$9,$C$86:$V$86)/SUMPRODUCT($C$1661:$V$1661,($C$296:$V$296=E$1703)*1,$C$9:$V$9)))</f>
        <v/>
      </c>
      <c r="F2295" s="173">
        <f>IF(F1770=0,"",IF(EXACT(GewAn,"ja"),IF(AND(F2085&lt;&gt;"",F2190&lt;&gt;""),(F2085*GewP+F2190*GewT)/(GewP+GewT),IF(F2085&lt;&gt;"",F2085,IF(F2190&lt;&gt;"",F2190,""))),SUMPRODUCT($C$1661:$V$1661,($C$296:$V$296=F$1703)*1,$C$9:$V$9,$C$86:$V$86)/SUMPRODUCT($C$1661:$V$1661,($C$296:$V$296=F$1703)*1,$C$9:$V$9)))</f>
        <v/>
      </c>
      <c r="G2295" s="173">
        <f>IF(G1770=0,"",IF(EXACT(GewAn,"ja"),IF(AND(G2085&lt;&gt;"",G2190&lt;&gt;""),(G2085*GewP+G2190*GewT)/(GewP+GewT),IF(G2085&lt;&gt;"",G2085,IF(G2190&lt;&gt;"",G2190,""))),SUMPRODUCT($C$1661:$V$1661,($C$296:$V$296=G$1703)*1,$C$9:$V$9,$C$86:$V$86)/SUMPRODUCT($C$1661:$V$1661,($C$296:$V$296=G$1703)*1,$C$9:$V$9)))</f>
        <v/>
      </c>
      <c r="H2295" s="173">
        <f>IF(H1770=0,"",IF(EXACT(GewAn,"ja"),IF(AND(H2085&lt;&gt;"",H2190&lt;&gt;""),(H2085*GewP+H2190*GewT)/(GewP+GewT),IF(H2085&lt;&gt;"",H2085,IF(H2190&lt;&gt;"",H2190,""))),SUMPRODUCT($C$1661:$V$1661,($C$296:$V$296=H$1703)*1,$C$9:$V$9,$C$86:$V$86)/SUMPRODUCT($C$1661:$V$1661,($C$296:$V$296=H$1703)*1,$C$9:$V$9)))</f>
        <v/>
      </c>
      <c r="I2295" s="173">
        <f>IF(I1770=0,"",IF(EXACT(GewAn,"ja"),IF(AND(I2085&lt;&gt;"",I2190&lt;&gt;""),(I2085*GewP+I2190*GewT)/(GewP+GewT),IF(I2085&lt;&gt;"",I2085,IF(I2190&lt;&gt;"",I2190,""))),SUMPRODUCT($C$1661:$V$1661,($C$296:$V$296=I$1703)*1,$C$9:$V$9,$C$86:$V$86)/SUMPRODUCT($C$1661:$V$1661,($C$296:$V$296=I$1703)*1,$C$9:$V$9)))</f>
        <v/>
      </c>
      <c r="J2295" s="173">
        <f>IF(J1770=0,"",IF(EXACT(GewAn,"ja"),IF(AND(J2085&lt;&gt;"",J2190&lt;&gt;""),(J2085*GewP+J2190*GewT)/(GewP+GewT),IF(J2085&lt;&gt;"",J2085,IF(J2190&lt;&gt;"",J2190,""))),SUMPRODUCT($C$1661:$V$1661,($C$296:$V$296=J$1703)*1,$C$9:$V$9,$C$86:$V$86)/SUMPRODUCT($C$1661:$V$1661,($C$296:$V$296=J$1703)*1,$C$9:$V$9)))</f>
        <v/>
      </c>
    </row>
    <row r="2296">
      <c r="C2296" s="173">
        <f>IF(C1771=0,"",IF(EXACT(GewAn,"ja"),IF(AND(C2086&lt;&gt;"",C2191&lt;&gt;""),(C2086*GewP+C2191*GewT)/(GewP+GewT),IF(C2086&lt;&gt;"",C2086,IF(C2191&lt;&gt;"",C2191,""))),SUMPRODUCT($C$1662:$V$1662,($C$297:$V$297=C$1703)*1,$C$9:$V$9,$C$87:$V$87)/SUMPRODUCT($C$1662:$V$1662,($C$297:$V$297=C$1703)*1,$C$9:$V$9)))</f>
        <v/>
      </c>
      <c r="D2296" s="173">
        <f>IF(D1771=0,"",IF(EXACT(GewAn,"ja"),IF(AND(D2086&lt;&gt;"",D2191&lt;&gt;""),(D2086*GewP+D2191*GewT)/(GewP+GewT),IF(D2086&lt;&gt;"",D2086,IF(D2191&lt;&gt;"",D2191,""))),SUMPRODUCT($C$1662:$V$1662,($C$297:$V$297=D$1703)*1,$C$9:$V$9,$C$87:$V$87)/SUMPRODUCT($C$1662:$V$1662,($C$297:$V$297=D$1703)*1,$C$9:$V$9)))</f>
        <v/>
      </c>
      <c r="E2296" s="173">
        <f>IF(E1771=0,"",IF(EXACT(GewAn,"ja"),IF(AND(E2086&lt;&gt;"",E2191&lt;&gt;""),(E2086*GewP+E2191*GewT)/(GewP+GewT),IF(E2086&lt;&gt;"",E2086,IF(E2191&lt;&gt;"",E2191,""))),SUMPRODUCT($C$1662:$V$1662,($C$297:$V$297=E$1703)*1,$C$9:$V$9,$C$87:$V$87)/SUMPRODUCT($C$1662:$V$1662,($C$297:$V$297=E$1703)*1,$C$9:$V$9)))</f>
        <v/>
      </c>
      <c r="F2296" s="173">
        <f>IF(F1771=0,"",IF(EXACT(GewAn,"ja"),IF(AND(F2086&lt;&gt;"",F2191&lt;&gt;""),(F2086*GewP+F2191*GewT)/(GewP+GewT),IF(F2086&lt;&gt;"",F2086,IF(F2191&lt;&gt;"",F2191,""))),SUMPRODUCT($C$1662:$V$1662,($C$297:$V$297=F$1703)*1,$C$9:$V$9,$C$87:$V$87)/SUMPRODUCT($C$1662:$V$1662,($C$297:$V$297=F$1703)*1,$C$9:$V$9)))</f>
        <v/>
      </c>
      <c r="G2296" s="173">
        <f>IF(G1771=0,"",IF(EXACT(GewAn,"ja"),IF(AND(G2086&lt;&gt;"",G2191&lt;&gt;""),(G2086*GewP+G2191*GewT)/(GewP+GewT),IF(G2086&lt;&gt;"",G2086,IF(G2191&lt;&gt;"",G2191,""))),SUMPRODUCT($C$1662:$V$1662,($C$297:$V$297=G$1703)*1,$C$9:$V$9,$C$87:$V$87)/SUMPRODUCT($C$1662:$V$1662,($C$297:$V$297=G$1703)*1,$C$9:$V$9)))</f>
        <v/>
      </c>
      <c r="H2296" s="173">
        <f>IF(H1771=0,"",IF(EXACT(GewAn,"ja"),IF(AND(H2086&lt;&gt;"",H2191&lt;&gt;""),(H2086*GewP+H2191*GewT)/(GewP+GewT),IF(H2086&lt;&gt;"",H2086,IF(H2191&lt;&gt;"",H2191,""))),SUMPRODUCT($C$1662:$V$1662,($C$297:$V$297=H$1703)*1,$C$9:$V$9,$C$87:$V$87)/SUMPRODUCT($C$1662:$V$1662,($C$297:$V$297=H$1703)*1,$C$9:$V$9)))</f>
        <v/>
      </c>
      <c r="I2296" s="173">
        <f>IF(I1771=0,"",IF(EXACT(GewAn,"ja"),IF(AND(I2086&lt;&gt;"",I2191&lt;&gt;""),(I2086*GewP+I2191*GewT)/(GewP+GewT),IF(I2086&lt;&gt;"",I2086,IF(I2191&lt;&gt;"",I2191,""))),SUMPRODUCT($C$1662:$V$1662,($C$297:$V$297=I$1703)*1,$C$9:$V$9,$C$87:$V$87)/SUMPRODUCT($C$1662:$V$1662,($C$297:$V$297=I$1703)*1,$C$9:$V$9)))</f>
        <v/>
      </c>
      <c r="J2296" s="173">
        <f>IF(J1771=0,"",IF(EXACT(GewAn,"ja"),IF(AND(J2086&lt;&gt;"",J2191&lt;&gt;""),(J2086*GewP+J2191*GewT)/(GewP+GewT),IF(J2086&lt;&gt;"",J2086,IF(J2191&lt;&gt;"",J2191,""))),SUMPRODUCT($C$1662:$V$1662,($C$297:$V$297=J$1703)*1,$C$9:$V$9,$C$87:$V$87)/SUMPRODUCT($C$1662:$V$1662,($C$297:$V$297=J$1703)*1,$C$9:$V$9)))</f>
        <v/>
      </c>
    </row>
    <row r="2297">
      <c r="C2297" s="173">
        <f>IF(C1772=0,"",IF(EXACT(GewAn,"ja"),IF(AND(C2087&lt;&gt;"",C2192&lt;&gt;""),(C2087*GewP+C2192*GewT)/(GewP+GewT),IF(C2087&lt;&gt;"",C2087,IF(C2192&lt;&gt;"",C2192,""))),SUMPRODUCT($C$1663:$V$1663,($C$298:$V$298=C$1703)*1,$C$9:$V$9,$C$88:$V$88)/SUMPRODUCT($C$1663:$V$1663,($C$298:$V$298=C$1703)*1,$C$9:$V$9)))</f>
        <v/>
      </c>
      <c r="D2297" s="173">
        <f>IF(D1772=0,"",IF(EXACT(GewAn,"ja"),IF(AND(D2087&lt;&gt;"",D2192&lt;&gt;""),(D2087*GewP+D2192*GewT)/(GewP+GewT),IF(D2087&lt;&gt;"",D2087,IF(D2192&lt;&gt;"",D2192,""))),SUMPRODUCT($C$1663:$V$1663,($C$298:$V$298=D$1703)*1,$C$9:$V$9,$C$88:$V$88)/SUMPRODUCT($C$1663:$V$1663,($C$298:$V$298=D$1703)*1,$C$9:$V$9)))</f>
        <v/>
      </c>
      <c r="E2297" s="173">
        <f>IF(E1772=0,"",IF(EXACT(GewAn,"ja"),IF(AND(E2087&lt;&gt;"",E2192&lt;&gt;""),(E2087*GewP+E2192*GewT)/(GewP+GewT),IF(E2087&lt;&gt;"",E2087,IF(E2192&lt;&gt;"",E2192,""))),SUMPRODUCT($C$1663:$V$1663,($C$298:$V$298=E$1703)*1,$C$9:$V$9,$C$88:$V$88)/SUMPRODUCT($C$1663:$V$1663,($C$298:$V$298=E$1703)*1,$C$9:$V$9)))</f>
        <v/>
      </c>
      <c r="F2297" s="173">
        <f>IF(F1772=0,"",IF(EXACT(GewAn,"ja"),IF(AND(F2087&lt;&gt;"",F2192&lt;&gt;""),(F2087*GewP+F2192*GewT)/(GewP+GewT),IF(F2087&lt;&gt;"",F2087,IF(F2192&lt;&gt;"",F2192,""))),SUMPRODUCT($C$1663:$V$1663,($C$298:$V$298=F$1703)*1,$C$9:$V$9,$C$88:$V$88)/SUMPRODUCT($C$1663:$V$1663,($C$298:$V$298=F$1703)*1,$C$9:$V$9)))</f>
        <v/>
      </c>
      <c r="G2297" s="173">
        <f>IF(G1772=0,"",IF(EXACT(GewAn,"ja"),IF(AND(G2087&lt;&gt;"",G2192&lt;&gt;""),(G2087*GewP+G2192*GewT)/(GewP+GewT),IF(G2087&lt;&gt;"",G2087,IF(G2192&lt;&gt;"",G2192,""))),SUMPRODUCT($C$1663:$V$1663,($C$298:$V$298=G$1703)*1,$C$9:$V$9,$C$88:$V$88)/SUMPRODUCT($C$1663:$V$1663,($C$298:$V$298=G$1703)*1,$C$9:$V$9)))</f>
        <v/>
      </c>
      <c r="H2297" s="173">
        <f>IF(H1772=0,"",IF(EXACT(GewAn,"ja"),IF(AND(H2087&lt;&gt;"",H2192&lt;&gt;""),(H2087*GewP+H2192*GewT)/(GewP+GewT),IF(H2087&lt;&gt;"",H2087,IF(H2192&lt;&gt;"",H2192,""))),SUMPRODUCT($C$1663:$V$1663,($C$298:$V$298=H$1703)*1,$C$9:$V$9,$C$88:$V$88)/SUMPRODUCT($C$1663:$V$1663,($C$298:$V$298=H$1703)*1,$C$9:$V$9)))</f>
        <v/>
      </c>
      <c r="I2297" s="173">
        <f>IF(I1772=0,"",IF(EXACT(GewAn,"ja"),IF(AND(I2087&lt;&gt;"",I2192&lt;&gt;""),(I2087*GewP+I2192*GewT)/(GewP+GewT),IF(I2087&lt;&gt;"",I2087,IF(I2192&lt;&gt;"",I2192,""))),SUMPRODUCT($C$1663:$V$1663,($C$298:$V$298=I$1703)*1,$C$9:$V$9,$C$88:$V$88)/SUMPRODUCT($C$1663:$V$1663,($C$298:$V$298=I$1703)*1,$C$9:$V$9)))</f>
        <v/>
      </c>
      <c r="J2297" s="173">
        <f>IF(J1772=0,"",IF(EXACT(GewAn,"ja"),IF(AND(J2087&lt;&gt;"",J2192&lt;&gt;""),(J2087*GewP+J2192*GewT)/(GewP+GewT),IF(J2087&lt;&gt;"",J2087,IF(J2192&lt;&gt;"",J2192,""))),SUMPRODUCT($C$1663:$V$1663,($C$298:$V$298=J$1703)*1,$C$9:$V$9,$C$88:$V$88)/SUMPRODUCT($C$1663:$V$1663,($C$298:$V$298=J$1703)*1,$C$9:$V$9)))</f>
        <v/>
      </c>
    </row>
    <row r="2298">
      <c r="C2298" s="173">
        <f>IF(C1773=0,"",IF(EXACT(GewAn,"ja"),IF(AND(C2088&lt;&gt;"",C2193&lt;&gt;""),(C2088*GewP+C2193*GewT)/(GewP+GewT),IF(C2088&lt;&gt;"",C2088,IF(C2193&lt;&gt;"",C2193,""))),SUMPRODUCT($C$1664:$V$1664,($C$299:$V$299=C$1703)*1,$C$9:$V$9,$C$89:$V$89)/SUMPRODUCT($C$1664:$V$1664,($C$299:$V$299=C$1703)*1,$C$9:$V$9)))</f>
        <v/>
      </c>
      <c r="D2298" s="173">
        <f>IF(D1773=0,"",IF(EXACT(GewAn,"ja"),IF(AND(D2088&lt;&gt;"",D2193&lt;&gt;""),(D2088*GewP+D2193*GewT)/(GewP+GewT),IF(D2088&lt;&gt;"",D2088,IF(D2193&lt;&gt;"",D2193,""))),SUMPRODUCT($C$1664:$V$1664,($C$299:$V$299=D$1703)*1,$C$9:$V$9,$C$89:$V$89)/SUMPRODUCT($C$1664:$V$1664,($C$299:$V$299=D$1703)*1,$C$9:$V$9)))</f>
        <v/>
      </c>
      <c r="E2298" s="173">
        <f>IF(E1773=0,"",IF(EXACT(GewAn,"ja"),IF(AND(E2088&lt;&gt;"",E2193&lt;&gt;""),(E2088*GewP+E2193*GewT)/(GewP+GewT),IF(E2088&lt;&gt;"",E2088,IF(E2193&lt;&gt;"",E2193,""))),SUMPRODUCT($C$1664:$V$1664,($C$299:$V$299=E$1703)*1,$C$9:$V$9,$C$89:$V$89)/SUMPRODUCT($C$1664:$V$1664,($C$299:$V$299=E$1703)*1,$C$9:$V$9)))</f>
        <v/>
      </c>
      <c r="F2298" s="173">
        <f>IF(F1773=0,"",IF(EXACT(GewAn,"ja"),IF(AND(F2088&lt;&gt;"",F2193&lt;&gt;""),(F2088*GewP+F2193*GewT)/(GewP+GewT),IF(F2088&lt;&gt;"",F2088,IF(F2193&lt;&gt;"",F2193,""))),SUMPRODUCT($C$1664:$V$1664,($C$299:$V$299=F$1703)*1,$C$9:$V$9,$C$89:$V$89)/SUMPRODUCT($C$1664:$V$1664,($C$299:$V$299=F$1703)*1,$C$9:$V$9)))</f>
        <v/>
      </c>
      <c r="G2298" s="173">
        <f>IF(G1773=0,"",IF(EXACT(GewAn,"ja"),IF(AND(G2088&lt;&gt;"",G2193&lt;&gt;""),(G2088*GewP+G2193*GewT)/(GewP+GewT),IF(G2088&lt;&gt;"",G2088,IF(G2193&lt;&gt;"",G2193,""))),SUMPRODUCT($C$1664:$V$1664,($C$299:$V$299=G$1703)*1,$C$9:$V$9,$C$89:$V$89)/SUMPRODUCT($C$1664:$V$1664,($C$299:$V$299=G$1703)*1,$C$9:$V$9)))</f>
        <v/>
      </c>
      <c r="H2298" s="173">
        <f>IF(H1773=0,"",IF(EXACT(GewAn,"ja"),IF(AND(H2088&lt;&gt;"",H2193&lt;&gt;""),(H2088*GewP+H2193*GewT)/(GewP+GewT),IF(H2088&lt;&gt;"",H2088,IF(H2193&lt;&gt;"",H2193,""))),SUMPRODUCT($C$1664:$V$1664,($C$299:$V$299=H$1703)*1,$C$9:$V$9,$C$89:$V$89)/SUMPRODUCT($C$1664:$V$1664,($C$299:$V$299=H$1703)*1,$C$9:$V$9)))</f>
        <v/>
      </c>
      <c r="I2298" s="173">
        <f>IF(I1773=0,"",IF(EXACT(GewAn,"ja"),IF(AND(I2088&lt;&gt;"",I2193&lt;&gt;""),(I2088*GewP+I2193*GewT)/(GewP+GewT),IF(I2088&lt;&gt;"",I2088,IF(I2193&lt;&gt;"",I2193,""))),SUMPRODUCT($C$1664:$V$1664,($C$299:$V$299=I$1703)*1,$C$9:$V$9,$C$89:$V$89)/SUMPRODUCT($C$1664:$V$1664,($C$299:$V$299=I$1703)*1,$C$9:$V$9)))</f>
        <v/>
      </c>
      <c r="J2298" s="173">
        <f>IF(J1773=0,"",IF(EXACT(GewAn,"ja"),IF(AND(J2088&lt;&gt;"",J2193&lt;&gt;""),(J2088*GewP+J2193*GewT)/(GewP+GewT),IF(J2088&lt;&gt;"",J2088,IF(J2193&lt;&gt;"",J2193,""))),SUMPRODUCT($C$1664:$V$1664,($C$299:$V$299=J$1703)*1,$C$9:$V$9,$C$89:$V$89)/SUMPRODUCT($C$1664:$V$1664,($C$299:$V$299=J$1703)*1,$C$9:$V$9)))</f>
        <v/>
      </c>
    </row>
    <row r="2299">
      <c r="C2299" s="173">
        <f>IF(C1774=0,"",IF(EXACT(GewAn,"ja"),IF(AND(C2089&lt;&gt;"",C2194&lt;&gt;""),(C2089*GewP+C2194*GewT)/(GewP+GewT),IF(C2089&lt;&gt;"",C2089,IF(C2194&lt;&gt;"",C2194,""))),SUMPRODUCT($C$1665:$V$1665,($C$300:$V$300=C$1703)*1,$C$9:$V$9,$C$90:$V$90)/SUMPRODUCT($C$1665:$V$1665,($C$300:$V$300=C$1703)*1,$C$9:$V$9)))</f>
        <v/>
      </c>
      <c r="D2299" s="173">
        <f>IF(D1774=0,"",IF(EXACT(GewAn,"ja"),IF(AND(D2089&lt;&gt;"",D2194&lt;&gt;""),(D2089*GewP+D2194*GewT)/(GewP+GewT),IF(D2089&lt;&gt;"",D2089,IF(D2194&lt;&gt;"",D2194,""))),SUMPRODUCT($C$1665:$V$1665,($C$300:$V$300=D$1703)*1,$C$9:$V$9,$C$90:$V$90)/SUMPRODUCT($C$1665:$V$1665,($C$300:$V$300=D$1703)*1,$C$9:$V$9)))</f>
        <v/>
      </c>
      <c r="E2299" s="173">
        <f>IF(E1774=0,"",IF(EXACT(GewAn,"ja"),IF(AND(E2089&lt;&gt;"",E2194&lt;&gt;""),(E2089*GewP+E2194*GewT)/(GewP+GewT),IF(E2089&lt;&gt;"",E2089,IF(E2194&lt;&gt;"",E2194,""))),SUMPRODUCT($C$1665:$V$1665,($C$300:$V$300=E$1703)*1,$C$9:$V$9,$C$90:$V$90)/SUMPRODUCT($C$1665:$V$1665,($C$300:$V$300=E$1703)*1,$C$9:$V$9)))</f>
        <v/>
      </c>
      <c r="F2299" s="173">
        <f>IF(F1774=0,"",IF(EXACT(GewAn,"ja"),IF(AND(F2089&lt;&gt;"",F2194&lt;&gt;""),(F2089*GewP+F2194*GewT)/(GewP+GewT),IF(F2089&lt;&gt;"",F2089,IF(F2194&lt;&gt;"",F2194,""))),SUMPRODUCT($C$1665:$V$1665,($C$300:$V$300=F$1703)*1,$C$9:$V$9,$C$90:$V$90)/SUMPRODUCT($C$1665:$V$1665,($C$300:$V$300=F$1703)*1,$C$9:$V$9)))</f>
        <v/>
      </c>
      <c r="G2299" s="173">
        <f>IF(G1774=0,"",IF(EXACT(GewAn,"ja"),IF(AND(G2089&lt;&gt;"",G2194&lt;&gt;""),(G2089*GewP+G2194*GewT)/(GewP+GewT),IF(G2089&lt;&gt;"",G2089,IF(G2194&lt;&gt;"",G2194,""))),SUMPRODUCT($C$1665:$V$1665,($C$300:$V$300=G$1703)*1,$C$9:$V$9,$C$90:$V$90)/SUMPRODUCT($C$1665:$V$1665,($C$300:$V$300=G$1703)*1,$C$9:$V$9)))</f>
        <v/>
      </c>
      <c r="H2299" s="173">
        <f>IF(H1774=0,"",IF(EXACT(GewAn,"ja"),IF(AND(H2089&lt;&gt;"",H2194&lt;&gt;""),(H2089*GewP+H2194*GewT)/(GewP+GewT),IF(H2089&lt;&gt;"",H2089,IF(H2194&lt;&gt;"",H2194,""))),SUMPRODUCT($C$1665:$V$1665,($C$300:$V$300=H$1703)*1,$C$9:$V$9,$C$90:$V$90)/SUMPRODUCT($C$1665:$V$1665,($C$300:$V$300=H$1703)*1,$C$9:$V$9)))</f>
        <v/>
      </c>
      <c r="I2299" s="173">
        <f>IF(I1774=0,"",IF(EXACT(GewAn,"ja"),IF(AND(I2089&lt;&gt;"",I2194&lt;&gt;""),(I2089*GewP+I2194*GewT)/(GewP+GewT),IF(I2089&lt;&gt;"",I2089,IF(I2194&lt;&gt;"",I2194,""))),SUMPRODUCT($C$1665:$V$1665,($C$300:$V$300=I$1703)*1,$C$9:$V$9,$C$90:$V$90)/SUMPRODUCT($C$1665:$V$1665,($C$300:$V$300=I$1703)*1,$C$9:$V$9)))</f>
        <v/>
      </c>
      <c r="J2299" s="173">
        <f>IF(J1774=0,"",IF(EXACT(GewAn,"ja"),IF(AND(J2089&lt;&gt;"",J2194&lt;&gt;""),(J2089*GewP+J2194*GewT)/(GewP+GewT),IF(J2089&lt;&gt;"",J2089,IF(J2194&lt;&gt;"",J2194,""))),SUMPRODUCT($C$1665:$V$1665,($C$300:$V$300=J$1703)*1,$C$9:$V$9,$C$90:$V$90)/SUMPRODUCT($C$1665:$V$1665,($C$300:$V$300=J$1703)*1,$C$9:$V$9)))</f>
        <v/>
      </c>
    </row>
    <row r="2300">
      <c r="C2300" s="173">
        <f>IF(C1775=0,"",IF(EXACT(GewAn,"ja"),IF(AND(C2090&lt;&gt;"",C2195&lt;&gt;""),(C2090*GewP+C2195*GewT)/(GewP+GewT),IF(C2090&lt;&gt;"",C2090,IF(C2195&lt;&gt;"",C2195,""))),SUMPRODUCT($C$1666:$V$1666,($C$301:$V$301=C$1703)*1,$C$9:$V$9,$C$91:$V$91)/SUMPRODUCT($C$1666:$V$1666,($C$301:$V$301=C$1703)*1,$C$9:$V$9)))</f>
        <v/>
      </c>
      <c r="D2300" s="173">
        <f>IF(D1775=0,"",IF(EXACT(GewAn,"ja"),IF(AND(D2090&lt;&gt;"",D2195&lt;&gt;""),(D2090*GewP+D2195*GewT)/(GewP+GewT),IF(D2090&lt;&gt;"",D2090,IF(D2195&lt;&gt;"",D2195,""))),SUMPRODUCT($C$1666:$V$1666,($C$301:$V$301=D$1703)*1,$C$9:$V$9,$C$91:$V$91)/SUMPRODUCT($C$1666:$V$1666,($C$301:$V$301=D$1703)*1,$C$9:$V$9)))</f>
        <v/>
      </c>
      <c r="E2300" s="173">
        <f>IF(E1775=0,"",IF(EXACT(GewAn,"ja"),IF(AND(E2090&lt;&gt;"",E2195&lt;&gt;""),(E2090*GewP+E2195*GewT)/(GewP+GewT),IF(E2090&lt;&gt;"",E2090,IF(E2195&lt;&gt;"",E2195,""))),SUMPRODUCT($C$1666:$V$1666,($C$301:$V$301=E$1703)*1,$C$9:$V$9,$C$91:$V$91)/SUMPRODUCT($C$1666:$V$1666,($C$301:$V$301=E$1703)*1,$C$9:$V$9)))</f>
        <v/>
      </c>
      <c r="F2300" s="173">
        <f>IF(F1775=0,"",IF(EXACT(GewAn,"ja"),IF(AND(F2090&lt;&gt;"",F2195&lt;&gt;""),(F2090*GewP+F2195*GewT)/(GewP+GewT),IF(F2090&lt;&gt;"",F2090,IF(F2195&lt;&gt;"",F2195,""))),SUMPRODUCT($C$1666:$V$1666,($C$301:$V$301=F$1703)*1,$C$9:$V$9,$C$91:$V$91)/SUMPRODUCT($C$1666:$V$1666,($C$301:$V$301=F$1703)*1,$C$9:$V$9)))</f>
        <v/>
      </c>
      <c r="G2300" s="173">
        <f>IF(G1775=0,"",IF(EXACT(GewAn,"ja"),IF(AND(G2090&lt;&gt;"",G2195&lt;&gt;""),(G2090*GewP+G2195*GewT)/(GewP+GewT),IF(G2090&lt;&gt;"",G2090,IF(G2195&lt;&gt;"",G2195,""))),SUMPRODUCT($C$1666:$V$1666,($C$301:$V$301=G$1703)*1,$C$9:$V$9,$C$91:$V$91)/SUMPRODUCT($C$1666:$V$1666,($C$301:$V$301=G$1703)*1,$C$9:$V$9)))</f>
        <v/>
      </c>
      <c r="H2300" s="173">
        <f>IF(H1775=0,"",IF(EXACT(GewAn,"ja"),IF(AND(H2090&lt;&gt;"",H2195&lt;&gt;""),(H2090*GewP+H2195*GewT)/(GewP+GewT),IF(H2090&lt;&gt;"",H2090,IF(H2195&lt;&gt;"",H2195,""))),SUMPRODUCT($C$1666:$V$1666,($C$301:$V$301=H$1703)*1,$C$9:$V$9,$C$91:$V$91)/SUMPRODUCT($C$1666:$V$1666,($C$301:$V$301=H$1703)*1,$C$9:$V$9)))</f>
        <v/>
      </c>
      <c r="I2300" s="173">
        <f>IF(I1775=0,"",IF(EXACT(GewAn,"ja"),IF(AND(I2090&lt;&gt;"",I2195&lt;&gt;""),(I2090*GewP+I2195*GewT)/(GewP+GewT),IF(I2090&lt;&gt;"",I2090,IF(I2195&lt;&gt;"",I2195,""))),SUMPRODUCT($C$1666:$V$1666,($C$301:$V$301=I$1703)*1,$C$9:$V$9,$C$91:$V$91)/SUMPRODUCT($C$1666:$V$1666,($C$301:$V$301=I$1703)*1,$C$9:$V$9)))</f>
        <v/>
      </c>
      <c r="J2300" s="173">
        <f>IF(J1775=0,"",IF(EXACT(GewAn,"ja"),IF(AND(J2090&lt;&gt;"",J2195&lt;&gt;""),(J2090*GewP+J2195*GewT)/(GewP+GewT),IF(J2090&lt;&gt;"",J2090,IF(J2195&lt;&gt;"",J2195,""))),SUMPRODUCT($C$1666:$V$1666,($C$301:$V$301=J$1703)*1,$C$9:$V$9,$C$91:$V$91)/SUMPRODUCT($C$1666:$V$1666,($C$301:$V$301=J$1703)*1,$C$9:$V$9)))</f>
        <v/>
      </c>
    </row>
    <row r="2301">
      <c r="C2301" s="173">
        <f>IF(C1776=0,"",IF(EXACT(GewAn,"ja"),IF(AND(C2091&lt;&gt;"",C2196&lt;&gt;""),(C2091*GewP+C2196*GewT)/(GewP+GewT),IF(C2091&lt;&gt;"",C2091,IF(C2196&lt;&gt;"",C2196,""))),SUMPRODUCT($C$1667:$V$1667,($C$302:$V$302=C$1703)*1,$C$9:$V$9,$C$92:$V$92)/SUMPRODUCT($C$1667:$V$1667,($C$302:$V$302=C$1703)*1,$C$9:$V$9)))</f>
        <v/>
      </c>
      <c r="D2301" s="173">
        <f>IF(D1776=0,"",IF(EXACT(GewAn,"ja"),IF(AND(D2091&lt;&gt;"",D2196&lt;&gt;""),(D2091*GewP+D2196*GewT)/(GewP+GewT),IF(D2091&lt;&gt;"",D2091,IF(D2196&lt;&gt;"",D2196,""))),SUMPRODUCT($C$1667:$V$1667,($C$302:$V$302=D$1703)*1,$C$9:$V$9,$C$92:$V$92)/SUMPRODUCT($C$1667:$V$1667,($C$302:$V$302=D$1703)*1,$C$9:$V$9)))</f>
        <v/>
      </c>
      <c r="E2301" s="173">
        <f>IF(E1776=0,"",IF(EXACT(GewAn,"ja"),IF(AND(E2091&lt;&gt;"",E2196&lt;&gt;""),(E2091*GewP+E2196*GewT)/(GewP+GewT),IF(E2091&lt;&gt;"",E2091,IF(E2196&lt;&gt;"",E2196,""))),SUMPRODUCT($C$1667:$V$1667,($C$302:$V$302=E$1703)*1,$C$9:$V$9,$C$92:$V$92)/SUMPRODUCT($C$1667:$V$1667,($C$302:$V$302=E$1703)*1,$C$9:$V$9)))</f>
        <v/>
      </c>
      <c r="F2301" s="173">
        <f>IF(F1776=0,"",IF(EXACT(GewAn,"ja"),IF(AND(F2091&lt;&gt;"",F2196&lt;&gt;""),(F2091*GewP+F2196*GewT)/(GewP+GewT),IF(F2091&lt;&gt;"",F2091,IF(F2196&lt;&gt;"",F2196,""))),SUMPRODUCT($C$1667:$V$1667,($C$302:$V$302=F$1703)*1,$C$9:$V$9,$C$92:$V$92)/SUMPRODUCT($C$1667:$V$1667,($C$302:$V$302=F$1703)*1,$C$9:$V$9)))</f>
        <v/>
      </c>
      <c r="G2301" s="173">
        <f>IF(G1776=0,"",IF(EXACT(GewAn,"ja"),IF(AND(G2091&lt;&gt;"",G2196&lt;&gt;""),(G2091*GewP+G2196*GewT)/(GewP+GewT),IF(G2091&lt;&gt;"",G2091,IF(G2196&lt;&gt;"",G2196,""))),SUMPRODUCT($C$1667:$V$1667,($C$302:$V$302=G$1703)*1,$C$9:$V$9,$C$92:$V$92)/SUMPRODUCT($C$1667:$V$1667,($C$302:$V$302=G$1703)*1,$C$9:$V$9)))</f>
        <v/>
      </c>
      <c r="H2301" s="173">
        <f>IF(H1776=0,"",IF(EXACT(GewAn,"ja"),IF(AND(H2091&lt;&gt;"",H2196&lt;&gt;""),(H2091*GewP+H2196*GewT)/(GewP+GewT),IF(H2091&lt;&gt;"",H2091,IF(H2196&lt;&gt;"",H2196,""))),SUMPRODUCT($C$1667:$V$1667,($C$302:$V$302=H$1703)*1,$C$9:$V$9,$C$92:$V$92)/SUMPRODUCT($C$1667:$V$1667,($C$302:$V$302=H$1703)*1,$C$9:$V$9)))</f>
        <v/>
      </c>
      <c r="I2301" s="173">
        <f>IF(I1776=0,"",IF(EXACT(GewAn,"ja"),IF(AND(I2091&lt;&gt;"",I2196&lt;&gt;""),(I2091*GewP+I2196*GewT)/(GewP+GewT),IF(I2091&lt;&gt;"",I2091,IF(I2196&lt;&gt;"",I2196,""))),SUMPRODUCT($C$1667:$V$1667,($C$302:$V$302=I$1703)*1,$C$9:$V$9,$C$92:$V$92)/SUMPRODUCT($C$1667:$V$1667,($C$302:$V$302=I$1703)*1,$C$9:$V$9)))</f>
        <v/>
      </c>
      <c r="J2301" s="173">
        <f>IF(J1776=0,"",IF(EXACT(GewAn,"ja"),IF(AND(J2091&lt;&gt;"",J2196&lt;&gt;""),(J2091*GewP+J2196*GewT)/(GewP+GewT),IF(J2091&lt;&gt;"",J2091,IF(J2196&lt;&gt;"",J2196,""))),SUMPRODUCT($C$1667:$V$1667,($C$302:$V$302=J$1703)*1,$C$9:$V$9,$C$92:$V$92)/SUMPRODUCT($C$1667:$V$1667,($C$302:$V$302=J$1703)*1,$C$9:$V$9)))</f>
        <v/>
      </c>
    </row>
    <row r="2302">
      <c r="C2302" s="173">
        <f>IF(C1777=0,"",IF(EXACT(GewAn,"ja"),IF(AND(C2092&lt;&gt;"",C2197&lt;&gt;""),(C2092*GewP+C2197*GewT)/(GewP+GewT),IF(C2092&lt;&gt;"",C2092,IF(C2197&lt;&gt;"",C2197,""))),SUMPRODUCT($C$1668:$V$1668,($C$303:$V$303=C$1703)*1,$C$9:$V$9,$C$93:$V$93)/SUMPRODUCT($C$1668:$V$1668,($C$303:$V$303=C$1703)*1,$C$9:$V$9)))</f>
        <v/>
      </c>
      <c r="D2302" s="173">
        <f>IF(D1777=0,"",IF(EXACT(GewAn,"ja"),IF(AND(D2092&lt;&gt;"",D2197&lt;&gt;""),(D2092*GewP+D2197*GewT)/(GewP+GewT),IF(D2092&lt;&gt;"",D2092,IF(D2197&lt;&gt;"",D2197,""))),SUMPRODUCT($C$1668:$V$1668,($C$303:$V$303=D$1703)*1,$C$9:$V$9,$C$93:$V$93)/SUMPRODUCT($C$1668:$V$1668,($C$303:$V$303=D$1703)*1,$C$9:$V$9)))</f>
        <v/>
      </c>
      <c r="E2302" s="173">
        <f>IF(E1777=0,"",IF(EXACT(GewAn,"ja"),IF(AND(E2092&lt;&gt;"",E2197&lt;&gt;""),(E2092*GewP+E2197*GewT)/(GewP+GewT),IF(E2092&lt;&gt;"",E2092,IF(E2197&lt;&gt;"",E2197,""))),SUMPRODUCT($C$1668:$V$1668,($C$303:$V$303=E$1703)*1,$C$9:$V$9,$C$93:$V$93)/SUMPRODUCT($C$1668:$V$1668,($C$303:$V$303=E$1703)*1,$C$9:$V$9)))</f>
        <v/>
      </c>
      <c r="F2302" s="173">
        <f>IF(F1777=0,"",IF(EXACT(GewAn,"ja"),IF(AND(F2092&lt;&gt;"",F2197&lt;&gt;""),(F2092*GewP+F2197*GewT)/(GewP+GewT),IF(F2092&lt;&gt;"",F2092,IF(F2197&lt;&gt;"",F2197,""))),SUMPRODUCT($C$1668:$V$1668,($C$303:$V$303=F$1703)*1,$C$9:$V$9,$C$93:$V$93)/SUMPRODUCT($C$1668:$V$1668,($C$303:$V$303=F$1703)*1,$C$9:$V$9)))</f>
        <v/>
      </c>
      <c r="G2302" s="173">
        <f>IF(G1777=0,"",IF(EXACT(GewAn,"ja"),IF(AND(G2092&lt;&gt;"",G2197&lt;&gt;""),(G2092*GewP+G2197*GewT)/(GewP+GewT),IF(G2092&lt;&gt;"",G2092,IF(G2197&lt;&gt;"",G2197,""))),SUMPRODUCT($C$1668:$V$1668,($C$303:$V$303=G$1703)*1,$C$9:$V$9,$C$93:$V$93)/SUMPRODUCT($C$1668:$V$1668,($C$303:$V$303=G$1703)*1,$C$9:$V$9)))</f>
        <v/>
      </c>
      <c r="H2302" s="173">
        <f>IF(H1777=0,"",IF(EXACT(GewAn,"ja"),IF(AND(H2092&lt;&gt;"",H2197&lt;&gt;""),(H2092*GewP+H2197*GewT)/(GewP+GewT),IF(H2092&lt;&gt;"",H2092,IF(H2197&lt;&gt;"",H2197,""))),SUMPRODUCT($C$1668:$V$1668,($C$303:$V$303=H$1703)*1,$C$9:$V$9,$C$93:$V$93)/SUMPRODUCT($C$1668:$V$1668,($C$303:$V$303=H$1703)*1,$C$9:$V$9)))</f>
        <v/>
      </c>
      <c r="I2302" s="173">
        <f>IF(I1777=0,"",IF(EXACT(GewAn,"ja"),IF(AND(I2092&lt;&gt;"",I2197&lt;&gt;""),(I2092*GewP+I2197*GewT)/(GewP+GewT),IF(I2092&lt;&gt;"",I2092,IF(I2197&lt;&gt;"",I2197,""))),SUMPRODUCT($C$1668:$V$1668,($C$303:$V$303=I$1703)*1,$C$9:$V$9,$C$93:$V$93)/SUMPRODUCT($C$1668:$V$1668,($C$303:$V$303=I$1703)*1,$C$9:$V$9)))</f>
        <v/>
      </c>
      <c r="J2302" s="173">
        <f>IF(J1777=0,"",IF(EXACT(GewAn,"ja"),IF(AND(J2092&lt;&gt;"",J2197&lt;&gt;""),(J2092*GewP+J2197*GewT)/(GewP+GewT),IF(J2092&lt;&gt;"",J2092,IF(J2197&lt;&gt;"",J2197,""))),SUMPRODUCT($C$1668:$V$1668,($C$303:$V$303=J$1703)*1,$C$9:$V$9,$C$93:$V$93)/SUMPRODUCT($C$1668:$V$1668,($C$303:$V$303=J$1703)*1,$C$9:$V$9)))</f>
        <v/>
      </c>
    </row>
    <row r="2303">
      <c r="C2303" s="173">
        <f>IF(C1778=0,"",IF(EXACT(GewAn,"ja"),IF(AND(C2093&lt;&gt;"",C2198&lt;&gt;""),(C2093*GewP+C2198*GewT)/(GewP+GewT),IF(C2093&lt;&gt;"",C2093,IF(C2198&lt;&gt;"",C2198,""))),SUMPRODUCT($C$1669:$V$1669,($C$304:$V$304=C$1703)*1,$C$9:$V$9,$C$94:$V$94)/SUMPRODUCT($C$1669:$V$1669,($C$304:$V$304=C$1703)*1,$C$9:$V$9)))</f>
        <v/>
      </c>
      <c r="D2303" s="173">
        <f>IF(D1778=0,"",IF(EXACT(GewAn,"ja"),IF(AND(D2093&lt;&gt;"",D2198&lt;&gt;""),(D2093*GewP+D2198*GewT)/(GewP+GewT),IF(D2093&lt;&gt;"",D2093,IF(D2198&lt;&gt;"",D2198,""))),SUMPRODUCT($C$1669:$V$1669,($C$304:$V$304=D$1703)*1,$C$9:$V$9,$C$94:$V$94)/SUMPRODUCT($C$1669:$V$1669,($C$304:$V$304=D$1703)*1,$C$9:$V$9)))</f>
        <v/>
      </c>
      <c r="E2303" s="173">
        <f>IF(E1778=0,"",IF(EXACT(GewAn,"ja"),IF(AND(E2093&lt;&gt;"",E2198&lt;&gt;""),(E2093*GewP+E2198*GewT)/(GewP+GewT),IF(E2093&lt;&gt;"",E2093,IF(E2198&lt;&gt;"",E2198,""))),SUMPRODUCT($C$1669:$V$1669,($C$304:$V$304=E$1703)*1,$C$9:$V$9,$C$94:$V$94)/SUMPRODUCT($C$1669:$V$1669,($C$304:$V$304=E$1703)*1,$C$9:$V$9)))</f>
        <v/>
      </c>
      <c r="F2303" s="173">
        <f>IF(F1778=0,"",IF(EXACT(GewAn,"ja"),IF(AND(F2093&lt;&gt;"",F2198&lt;&gt;""),(F2093*GewP+F2198*GewT)/(GewP+GewT),IF(F2093&lt;&gt;"",F2093,IF(F2198&lt;&gt;"",F2198,""))),SUMPRODUCT($C$1669:$V$1669,($C$304:$V$304=F$1703)*1,$C$9:$V$9,$C$94:$V$94)/SUMPRODUCT($C$1669:$V$1669,($C$304:$V$304=F$1703)*1,$C$9:$V$9)))</f>
        <v/>
      </c>
      <c r="G2303" s="173">
        <f>IF(G1778=0,"",IF(EXACT(GewAn,"ja"),IF(AND(G2093&lt;&gt;"",G2198&lt;&gt;""),(G2093*GewP+G2198*GewT)/(GewP+GewT),IF(G2093&lt;&gt;"",G2093,IF(G2198&lt;&gt;"",G2198,""))),SUMPRODUCT($C$1669:$V$1669,($C$304:$V$304=G$1703)*1,$C$9:$V$9,$C$94:$V$94)/SUMPRODUCT($C$1669:$V$1669,($C$304:$V$304=G$1703)*1,$C$9:$V$9)))</f>
        <v/>
      </c>
      <c r="H2303" s="173">
        <f>IF(H1778=0,"",IF(EXACT(GewAn,"ja"),IF(AND(H2093&lt;&gt;"",H2198&lt;&gt;""),(H2093*GewP+H2198*GewT)/(GewP+GewT),IF(H2093&lt;&gt;"",H2093,IF(H2198&lt;&gt;"",H2198,""))),SUMPRODUCT($C$1669:$V$1669,($C$304:$V$304=H$1703)*1,$C$9:$V$9,$C$94:$V$94)/SUMPRODUCT($C$1669:$V$1669,($C$304:$V$304=H$1703)*1,$C$9:$V$9)))</f>
        <v/>
      </c>
      <c r="I2303" s="173">
        <f>IF(I1778=0,"",IF(EXACT(GewAn,"ja"),IF(AND(I2093&lt;&gt;"",I2198&lt;&gt;""),(I2093*GewP+I2198*GewT)/(GewP+GewT),IF(I2093&lt;&gt;"",I2093,IF(I2198&lt;&gt;"",I2198,""))),SUMPRODUCT($C$1669:$V$1669,($C$304:$V$304=I$1703)*1,$C$9:$V$9,$C$94:$V$94)/SUMPRODUCT($C$1669:$V$1669,($C$304:$V$304=I$1703)*1,$C$9:$V$9)))</f>
        <v/>
      </c>
      <c r="J2303" s="173">
        <f>IF(J1778=0,"",IF(EXACT(GewAn,"ja"),IF(AND(J2093&lt;&gt;"",J2198&lt;&gt;""),(J2093*GewP+J2198*GewT)/(GewP+GewT),IF(J2093&lt;&gt;"",J2093,IF(J2198&lt;&gt;"",J2198,""))),SUMPRODUCT($C$1669:$V$1669,($C$304:$V$304=J$1703)*1,$C$9:$V$9,$C$94:$V$94)/SUMPRODUCT($C$1669:$V$1669,($C$304:$V$304=J$1703)*1,$C$9:$V$9)))</f>
        <v/>
      </c>
    </row>
    <row r="2304">
      <c r="C2304" s="173">
        <f>IF(C1779=0,"",IF(EXACT(GewAn,"ja"),IF(AND(C2094&lt;&gt;"",C2199&lt;&gt;""),(C2094*GewP+C2199*GewT)/(GewP+GewT),IF(C2094&lt;&gt;"",C2094,IF(C2199&lt;&gt;"",C2199,""))),SUMPRODUCT($C$1670:$V$1670,($C$305:$V$305=C$1703)*1,$C$9:$V$9,$C$95:$V$95)/SUMPRODUCT($C$1670:$V$1670,($C$305:$V$305=C$1703)*1,$C$9:$V$9)))</f>
        <v/>
      </c>
      <c r="D2304" s="173">
        <f>IF(D1779=0,"",IF(EXACT(GewAn,"ja"),IF(AND(D2094&lt;&gt;"",D2199&lt;&gt;""),(D2094*GewP+D2199*GewT)/(GewP+GewT),IF(D2094&lt;&gt;"",D2094,IF(D2199&lt;&gt;"",D2199,""))),SUMPRODUCT($C$1670:$V$1670,($C$305:$V$305=D$1703)*1,$C$9:$V$9,$C$95:$V$95)/SUMPRODUCT($C$1670:$V$1670,($C$305:$V$305=D$1703)*1,$C$9:$V$9)))</f>
        <v/>
      </c>
      <c r="E2304" s="173">
        <f>IF(E1779=0,"",IF(EXACT(GewAn,"ja"),IF(AND(E2094&lt;&gt;"",E2199&lt;&gt;""),(E2094*GewP+E2199*GewT)/(GewP+GewT),IF(E2094&lt;&gt;"",E2094,IF(E2199&lt;&gt;"",E2199,""))),SUMPRODUCT($C$1670:$V$1670,($C$305:$V$305=E$1703)*1,$C$9:$V$9,$C$95:$V$95)/SUMPRODUCT($C$1670:$V$1670,($C$305:$V$305=E$1703)*1,$C$9:$V$9)))</f>
        <v/>
      </c>
      <c r="F2304" s="173">
        <f>IF(F1779=0,"",IF(EXACT(GewAn,"ja"),IF(AND(F2094&lt;&gt;"",F2199&lt;&gt;""),(F2094*GewP+F2199*GewT)/(GewP+GewT),IF(F2094&lt;&gt;"",F2094,IF(F2199&lt;&gt;"",F2199,""))),SUMPRODUCT($C$1670:$V$1670,($C$305:$V$305=F$1703)*1,$C$9:$V$9,$C$95:$V$95)/SUMPRODUCT($C$1670:$V$1670,($C$305:$V$305=F$1703)*1,$C$9:$V$9)))</f>
        <v/>
      </c>
      <c r="G2304" s="173">
        <f>IF(G1779=0,"",IF(EXACT(GewAn,"ja"),IF(AND(G2094&lt;&gt;"",G2199&lt;&gt;""),(G2094*GewP+G2199*GewT)/(GewP+GewT),IF(G2094&lt;&gt;"",G2094,IF(G2199&lt;&gt;"",G2199,""))),SUMPRODUCT($C$1670:$V$1670,($C$305:$V$305=G$1703)*1,$C$9:$V$9,$C$95:$V$95)/SUMPRODUCT($C$1670:$V$1670,($C$305:$V$305=G$1703)*1,$C$9:$V$9)))</f>
        <v/>
      </c>
      <c r="H2304" s="173">
        <f>IF(H1779=0,"",IF(EXACT(GewAn,"ja"),IF(AND(H2094&lt;&gt;"",H2199&lt;&gt;""),(H2094*GewP+H2199*GewT)/(GewP+GewT),IF(H2094&lt;&gt;"",H2094,IF(H2199&lt;&gt;"",H2199,""))),SUMPRODUCT($C$1670:$V$1670,($C$305:$V$305=H$1703)*1,$C$9:$V$9,$C$95:$V$95)/SUMPRODUCT($C$1670:$V$1670,($C$305:$V$305=H$1703)*1,$C$9:$V$9)))</f>
        <v/>
      </c>
      <c r="I2304" s="173">
        <f>IF(I1779=0,"",IF(EXACT(GewAn,"ja"),IF(AND(I2094&lt;&gt;"",I2199&lt;&gt;""),(I2094*GewP+I2199*GewT)/(GewP+GewT),IF(I2094&lt;&gt;"",I2094,IF(I2199&lt;&gt;"",I2199,""))),SUMPRODUCT($C$1670:$V$1670,($C$305:$V$305=I$1703)*1,$C$9:$V$9,$C$95:$V$95)/SUMPRODUCT($C$1670:$V$1670,($C$305:$V$305=I$1703)*1,$C$9:$V$9)))</f>
        <v/>
      </c>
      <c r="J2304" s="173">
        <f>IF(J1779=0,"",IF(EXACT(GewAn,"ja"),IF(AND(J2094&lt;&gt;"",J2199&lt;&gt;""),(J2094*GewP+J2199*GewT)/(GewP+GewT),IF(J2094&lt;&gt;"",J2094,IF(J2199&lt;&gt;"",J2199,""))),SUMPRODUCT($C$1670:$V$1670,($C$305:$V$305=J$1703)*1,$C$9:$V$9,$C$95:$V$95)/SUMPRODUCT($C$1670:$V$1670,($C$305:$V$305=J$1703)*1,$C$9:$V$9)))</f>
        <v/>
      </c>
    </row>
    <row r="2305">
      <c r="C2305" s="173">
        <f>IF(C1780=0,"",IF(EXACT(GewAn,"ja"),IF(AND(C2095&lt;&gt;"",C2200&lt;&gt;""),(C2095*GewP+C2200*GewT)/(GewP+GewT),IF(C2095&lt;&gt;"",C2095,IF(C2200&lt;&gt;"",C2200,""))),SUMPRODUCT($C$1671:$V$1671,($C$306:$V$306=C$1703)*1,$C$9:$V$9,$C$96:$V$96)/SUMPRODUCT($C$1671:$V$1671,($C$306:$V$306=C$1703)*1,$C$9:$V$9)))</f>
        <v/>
      </c>
      <c r="D2305" s="173">
        <f>IF(D1780=0,"",IF(EXACT(GewAn,"ja"),IF(AND(D2095&lt;&gt;"",D2200&lt;&gt;""),(D2095*GewP+D2200*GewT)/(GewP+GewT),IF(D2095&lt;&gt;"",D2095,IF(D2200&lt;&gt;"",D2200,""))),SUMPRODUCT($C$1671:$V$1671,($C$306:$V$306=D$1703)*1,$C$9:$V$9,$C$96:$V$96)/SUMPRODUCT($C$1671:$V$1671,($C$306:$V$306=D$1703)*1,$C$9:$V$9)))</f>
        <v/>
      </c>
      <c r="E2305" s="173">
        <f>IF(E1780=0,"",IF(EXACT(GewAn,"ja"),IF(AND(E2095&lt;&gt;"",E2200&lt;&gt;""),(E2095*GewP+E2200*GewT)/(GewP+GewT),IF(E2095&lt;&gt;"",E2095,IF(E2200&lt;&gt;"",E2200,""))),SUMPRODUCT($C$1671:$V$1671,($C$306:$V$306=E$1703)*1,$C$9:$V$9,$C$96:$V$96)/SUMPRODUCT($C$1671:$V$1671,($C$306:$V$306=E$1703)*1,$C$9:$V$9)))</f>
        <v/>
      </c>
      <c r="F2305" s="173">
        <f>IF(F1780=0,"",IF(EXACT(GewAn,"ja"),IF(AND(F2095&lt;&gt;"",F2200&lt;&gt;""),(F2095*GewP+F2200*GewT)/(GewP+GewT),IF(F2095&lt;&gt;"",F2095,IF(F2200&lt;&gt;"",F2200,""))),SUMPRODUCT($C$1671:$V$1671,($C$306:$V$306=F$1703)*1,$C$9:$V$9,$C$96:$V$96)/SUMPRODUCT($C$1671:$V$1671,($C$306:$V$306=F$1703)*1,$C$9:$V$9)))</f>
        <v/>
      </c>
      <c r="G2305" s="173">
        <f>IF(G1780=0,"",IF(EXACT(GewAn,"ja"),IF(AND(G2095&lt;&gt;"",G2200&lt;&gt;""),(G2095*GewP+G2200*GewT)/(GewP+GewT),IF(G2095&lt;&gt;"",G2095,IF(G2200&lt;&gt;"",G2200,""))),SUMPRODUCT($C$1671:$V$1671,($C$306:$V$306=G$1703)*1,$C$9:$V$9,$C$96:$V$96)/SUMPRODUCT($C$1671:$V$1671,($C$306:$V$306=G$1703)*1,$C$9:$V$9)))</f>
        <v/>
      </c>
      <c r="H2305" s="173">
        <f>IF(H1780=0,"",IF(EXACT(GewAn,"ja"),IF(AND(H2095&lt;&gt;"",H2200&lt;&gt;""),(H2095*GewP+H2200*GewT)/(GewP+GewT),IF(H2095&lt;&gt;"",H2095,IF(H2200&lt;&gt;"",H2200,""))),SUMPRODUCT($C$1671:$V$1671,($C$306:$V$306=H$1703)*1,$C$9:$V$9,$C$96:$V$96)/SUMPRODUCT($C$1671:$V$1671,($C$306:$V$306=H$1703)*1,$C$9:$V$9)))</f>
        <v/>
      </c>
      <c r="I2305" s="173">
        <f>IF(I1780=0,"",IF(EXACT(GewAn,"ja"),IF(AND(I2095&lt;&gt;"",I2200&lt;&gt;""),(I2095*GewP+I2200*GewT)/(GewP+GewT),IF(I2095&lt;&gt;"",I2095,IF(I2200&lt;&gt;"",I2200,""))),SUMPRODUCT($C$1671:$V$1671,($C$306:$V$306=I$1703)*1,$C$9:$V$9,$C$96:$V$96)/SUMPRODUCT($C$1671:$V$1671,($C$306:$V$306=I$1703)*1,$C$9:$V$9)))</f>
        <v/>
      </c>
      <c r="J2305" s="173">
        <f>IF(J1780=0,"",IF(EXACT(GewAn,"ja"),IF(AND(J2095&lt;&gt;"",J2200&lt;&gt;""),(J2095*GewP+J2200*GewT)/(GewP+GewT),IF(J2095&lt;&gt;"",J2095,IF(J2200&lt;&gt;"",J2200,""))),SUMPRODUCT($C$1671:$V$1671,($C$306:$V$306=J$1703)*1,$C$9:$V$9,$C$96:$V$96)/SUMPRODUCT($C$1671:$V$1671,($C$306:$V$306=J$1703)*1,$C$9:$V$9)))</f>
        <v/>
      </c>
    </row>
    <row r="2306">
      <c r="C2306" s="173">
        <f>IF(C1781=0,"",IF(EXACT(GewAn,"ja"),IF(AND(C2096&lt;&gt;"",C2201&lt;&gt;""),(C2096*GewP+C2201*GewT)/(GewP+GewT),IF(C2096&lt;&gt;"",C2096,IF(C2201&lt;&gt;"",C2201,""))),SUMPRODUCT($C$1672:$V$1672,($C$307:$V$307=C$1703)*1,$C$9:$V$9,$C$97:$V$97)/SUMPRODUCT($C$1672:$V$1672,($C$307:$V$307=C$1703)*1,$C$9:$V$9)))</f>
        <v/>
      </c>
      <c r="D2306" s="173">
        <f>IF(D1781=0,"",IF(EXACT(GewAn,"ja"),IF(AND(D2096&lt;&gt;"",D2201&lt;&gt;""),(D2096*GewP+D2201*GewT)/(GewP+GewT),IF(D2096&lt;&gt;"",D2096,IF(D2201&lt;&gt;"",D2201,""))),SUMPRODUCT($C$1672:$V$1672,($C$307:$V$307=D$1703)*1,$C$9:$V$9,$C$97:$V$97)/SUMPRODUCT($C$1672:$V$1672,($C$307:$V$307=D$1703)*1,$C$9:$V$9)))</f>
        <v/>
      </c>
      <c r="E2306" s="173">
        <f>IF(E1781=0,"",IF(EXACT(GewAn,"ja"),IF(AND(E2096&lt;&gt;"",E2201&lt;&gt;""),(E2096*GewP+E2201*GewT)/(GewP+GewT),IF(E2096&lt;&gt;"",E2096,IF(E2201&lt;&gt;"",E2201,""))),SUMPRODUCT($C$1672:$V$1672,($C$307:$V$307=E$1703)*1,$C$9:$V$9,$C$97:$V$97)/SUMPRODUCT($C$1672:$V$1672,($C$307:$V$307=E$1703)*1,$C$9:$V$9)))</f>
        <v/>
      </c>
      <c r="F2306" s="173">
        <f>IF(F1781=0,"",IF(EXACT(GewAn,"ja"),IF(AND(F2096&lt;&gt;"",F2201&lt;&gt;""),(F2096*GewP+F2201*GewT)/(GewP+GewT),IF(F2096&lt;&gt;"",F2096,IF(F2201&lt;&gt;"",F2201,""))),SUMPRODUCT($C$1672:$V$1672,($C$307:$V$307=F$1703)*1,$C$9:$V$9,$C$97:$V$97)/SUMPRODUCT($C$1672:$V$1672,($C$307:$V$307=F$1703)*1,$C$9:$V$9)))</f>
        <v/>
      </c>
      <c r="G2306" s="173">
        <f>IF(G1781=0,"",IF(EXACT(GewAn,"ja"),IF(AND(G2096&lt;&gt;"",G2201&lt;&gt;""),(G2096*GewP+G2201*GewT)/(GewP+GewT),IF(G2096&lt;&gt;"",G2096,IF(G2201&lt;&gt;"",G2201,""))),SUMPRODUCT($C$1672:$V$1672,($C$307:$V$307=G$1703)*1,$C$9:$V$9,$C$97:$V$97)/SUMPRODUCT($C$1672:$V$1672,($C$307:$V$307=G$1703)*1,$C$9:$V$9)))</f>
        <v/>
      </c>
      <c r="H2306" s="173">
        <f>IF(H1781=0,"",IF(EXACT(GewAn,"ja"),IF(AND(H2096&lt;&gt;"",H2201&lt;&gt;""),(H2096*GewP+H2201*GewT)/(GewP+GewT),IF(H2096&lt;&gt;"",H2096,IF(H2201&lt;&gt;"",H2201,""))),SUMPRODUCT($C$1672:$V$1672,($C$307:$V$307=H$1703)*1,$C$9:$V$9,$C$97:$V$97)/SUMPRODUCT($C$1672:$V$1672,($C$307:$V$307=H$1703)*1,$C$9:$V$9)))</f>
        <v/>
      </c>
      <c r="I2306" s="173">
        <f>IF(I1781=0,"",IF(EXACT(GewAn,"ja"),IF(AND(I2096&lt;&gt;"",I2201&lt;&gt;""),(I2096*GewP+I2201*GewT)/(GewP+GewT),IF(I2096&lt;&gt;"",I2096,IF(I2201&lt;&gt;"",I2201,""))),SUMPRODUCT($C$1672:$V$1672,($C$307:$V$307=I$1703)*1,$C$9:$V$9,$C$97:$V$97)/SUMPRODUCT($C$1672:$V$1672,($C$307:$V$307=I$1703)*1,$C$9:$V$9)))</f>
        <v/>
      </c>
      <c r="J2306" s="173">
        <f>IF(J1781=0,"",IF(EXACT(GewAn,"ja"),IF(AND(J2096&lt;&gt;"",J2201&lt;&gt;""),(J2096*GewP+J2201*GewT)/(GewP+GewT),IF(J2096&lt;&gt;"",J2096,IF(J2201&lt;&gt;"",J2201,""))),SUMPRODUCT($C$1672:$V$1672,($C$307:$V$307=J$1703)*1,$C$9:$V$9,$C$97:$V$97)/SUMPRODUCT($C$1672:$V$1672,($C$307:$V$307=J$1703)*1,$C$9:$V$9)))</f>
        <v/>
      </c>
    </row>
    <row r="2307">
      <c r="C2307" s="173">
        <f>IF(C1782=0,"",IF(EXACT(GewAn,"ja"),IF(AND(C2097&lt;&gt;"",C2202&lt;&gt;""),(C2097*GewP+C2202*GewT)/(GewP+GewT),IF(C2097&lt;&gt;"",C2097,IF(C2202&lt;&gt;"",C2202,""))),SUMPRODUCT($C$1673:$V$1673,($C$308:$V$308=C$1703)*1,$C$9:$V$9,$C$98:$V$98)/SUMPRODUCT($C$1673:$V$1673,($C$308:$V$308=C$1703)*1,$C$9:$V$9)))</f>
        <v/>
      </c>
      <c r="D2307" s="173">
        <f>IF(D1782=0,"",IF(EXACT(GewAn,"ja"),IF(AND(D2097&lt;&gt;"",D2202&lt;&gt;""),(D2097*GewP+D2202*GewT)/(GewP+GewT),IF(D2097&lt;&gt;"",D2097,IF(D2202&lt;&gt;"",D2202,""))),SUMPRODUCT($C$1673:$V$1673,($C$308:$V$308=D$1703)*1,$C$9:$V$9,$C$98:$V$98)/SUMPRODUCT($C$1673:$V$1673,($C$308:$V$308=D$1703)*1,$C$9:$V$9)))</f>
        <v/>
      </c>
      <c r="E2307" s="173">
        <f>IF(E1782=0,"",IF(EXACT(GewAn,"ja"),IF(AND(E2097&lt;&gt;"",E2202&lt;&gt;""),(E2097*GewP+E2202*GewT)/(GewP+GewT),IF(E2097&lt;&gt;"",E2097,IF(E2202&lt;&gt;"",E2202,""))),SUMPRODUCT($C$1673:$V$1673,($C$308:$V$308=E$1703)*1,$C$9:$V$9,$C$98:$V$98)/SUMPRODUCT($C$1673:$V$1673,($C$308:$V$308=E$1703)*1,$C$9:$V$9)))</f>
        <v/>
      </c>
      <c r="F2307" s="173">
        <f>IF(F1782=0,"",IF(EXACT(GewAn,"ja"),IF(AND(F2097&lt;&gt;"",F2202&lt;&gt;""),(F2097*GewP+F2202*GewT)/(GewP+GewT),IF(F2097&lt;&gt;"",F2097,IF(F2202&lt;&gt;"",F2202,""))),SUMPRODUCT($C$1673:$V$1673,($C$308:$V$308=F$1703)*1,$C$9:$V$9,$C$98:$V$98)/SUMPRODUCT($C$1673:$V$1673,($C$308:$V$308=F$1703)*1,$C$9:$V$9)))</f>
        <v/>
      </c>
      <c r="G2307" s="173">
        <f>IF(G1782=0,"",IF(EXACT(GewAn,"ja"),IF(AND(G2097&lt;&gt;"",G2202&lt;&gt;""),(G2097*GewP+G2202*GewT)/(GewP+GewT),IF(G2097&lt;&gt;"",G2097,IF(G2202&lt;&gt;"",G2202,""))),SUMPRODUCT($C$1673:$V$1673,($C$308:$V$308=G$1703)*1,$C$9:$V$9,$C$98:$V$98)/SUMPRODUCT($C$1673:$V$1673,($C$308:$V$308=G$1703)*1,$C$9:$V$9)))</f>
        <v/>
      </c>
      <c r="H2307" s="173">
        <f>IF(H1782=0,"",IF(EXACT(GewAn,"ja"),IF(AND(H2097&lt;&gt;"",H2202&lt;&gt;""),(H2097*GewP+H2202*GewT)/(GewP+GewT),IF(H2097&lt;&gt;"",H2097,IF(H2202&lt;&gt;"",H2202,""))),SUMPRODUCT($C$1673:$V$1673,($C$308:$V$308=H$1703)*1,$C$9:$V$9,$C$98:$V$98)/SUMPRODUCT($C$1673:$V$1673,($C$308:$V$308=H$1703)*1,$C$9:$V$9)))</f>
        <v/>
      </c>
      <c r="I2307" s="173">
        <f>IF(I1782=0,"",IF(EXACT(GewAn,"ja"),IF(AND(I2097&lt;&gt;"",I2202&lt;&gt;""),(I2097*GewP+I2202*GewT)/(GewP+GewT),IF(I2097&lt;&gt;"",I2097,IF(I2202&lt;&gt;"",I2202,""))),SUMPRODUCT($C$1673:$V$1673,($C$308:$V$308=I$1703)*1,$C$9:$V$9,$C$98:$V$98)/SUMPRODUCT($C$1673:$V$1673,($C$308:$V$308=I$1703)*1,$C$9:$V$9)))</f>
        <v/>
      </c>
      <c r="J2307" s="173">
        <f>IF(J1782=0,"",IF(EXACT(GewAn,"ja"),IF(AND(J2097&lt;&gt;"",J2202&lt;&gt;""),(J2097*GewP+J2202*GewT)/(GewP+GewT),IF(J2097&lt;&gt;"",J2097,IF(J2202&lt;&gt;"",J2202,""))),SUMPRODUCT($C$1673:$V$1673,($C$308:$V$308=J$1703)*1,$C$9:$V$9,$C$98:$V$98)/SUMPRODUCT($C$1673:$V$1673,($C$308:$V$308=J$1703)*1,$C$9:$V$9)))</f>
        <v/>
      </c>
    </row>
    <row r="2308">
      <c r="C2308" s="173">
        <f>IF(C1783=0,"",IF(EXACT(GewAn,"ja"),IF(AND(C2098&lt;&gt;"",C2203&lt;&gt;""),(C2098*GewP+C2203*GewT)/(GewP+GewT),IF(C2098&lt;&gt;"",C2098,IF(C2203&lt;&gt;"",C2203,""))),SUMPRODUCT($C$1674:$V$1674,($C$309:$V$309=C$1703)*1,$C$9:$V$9,$C$99:$V$99)/SUMPRODUCT($C$1674:$V$1674,($C$309:$V$309=C$1703)*1,$C$9:$V$9)))</f>
        <v/>
      </c>
      <c r="D2308" s="173">
        <f>IF(D1783=0,"",IF(EXACT(GewAn,"ja"),IF(AND(D2098&lt;&gt;"",D2203&lt;&gt;""),(D2098*GewP+D2203*GewT)/(GewP+GewT),IF(D2098&lt;&gt;"",D2098,IF(D2203&lt;&gt;"",D2203,""))),SUMPRODUCT($C$1674:$V$1674,($C$309:$V$309=D$1703)*1,$C$9:$V$9,$C$99:$V$99)/SUMPRODUCT($C$1674:$V$1674,($C$309:$V$309=D$1703)*1,$C$9:$V$9)))</f>
        <v/>
      </c>
      <c r="E2308" s="173">
        <f>IF(E1783=0,"",IF(EXACT(GewAn,"ja"),IF(AND(E2098&lt;&gt;"",E2203&lt;&gt;""),(E2098*GewP+E2203*GewT)/(GewP+GewT),IF(E2098&lt;&gt;"",E2098,IF(E2203&lt;&gt;"",E2203,""))),SUMPRODUCT($C$1674:$V$1674,($C$309:$V$309=E$1703)*1,$C$9:$V$9,$C$99:$V$99)/SUMPRODUCT($C$1674:$V$1674,($C$309:$V$309=E$1703)*1,$C$9:$V$9)))</f>
        <v/>
      </c>
      <c r="F2308" s="173">
        <f>IF(F1783=0,"",IF(EXACT(GewAn,"ja"),IF(AND(F2098&lt;&gt;"",F2203&lt;&gt;""),(F2098*GewP+F2203*GewT)/(GewP+GewT),IF(F2098&lt;&gt;"",F2098,IF(F2203&lt;&gt;"",F2203,""))),SUMPRODUCT($C$1674:$V$1674,($C$309:$V$309=F$1703)*1,$C$9:$V$9,$C$99:$V$99)/SUMPRODUCT($C$1674:$V$1674,($C$309:$V$309=F$1703)*1,$C$9:$V$9)))</f>
        <v/>
      </c>
      <c r="G2308" s="173">
        <f>IF(G1783=0,"",IF(EXACT(GewAn,"ja"),IF(AND(G2098&lt;&gt;"",G2203&lt;&gt;""),(G2098*GewP+G2203*GewT)/(GewP+GewT),IF(G2098&lt;&gt;"",G2098,IF(G2203&lt;&gt;"",G2203,""))),SUMPRODUCT($C$1674:$V$1674,($C$309:$V$309=G$1703)*1,$C$9:$V$9,$C$99:$V$99)/SUMPRODUCT($C$1674:$V$1674,($C$309:$V$309=G$1703)*1,$C$9:$V$9)))</f>
        <v/>
      </c>
      <c r="H2308" s="173">
        <f>IF(H1783=0,"",IF(EXACT(GewAn,"ja"),IF(AND(H2098&lt;&gt;"",H2203&lt;&gt;""),(H2098*GewP+H2203*GewT)/(GewP+GewT),IF(H2098&lt;&gt;"",H2098,IF(H2203&lt;&gt;"",H2203,""))),SUMPRODUCT($C$1674:$V$1674,($C$309:$V$309=H$1703)*1,$C$9:$V$9,$C$99:$V$99)/SUMPRODUCT($C$1674:$V$1674,($C$309:$V$309=H$1703)*1,$C$9:$V$9)))</f>
        <v/>
      </c>
      <c r="I2308" s="173">
        <f>IF(I1783=0,"",IF(EXACT(GewAn,"ja"),IF(AND(I2098&lt;&gt;"",I2203&lt;&gt;""),(I2098*GewP+I2203*GewT)/(GewP+GewT),IF(I2098&lt;&gt;"",I2098,IF(I2203&lt;&gt;"",I2203,""))),SUMPRODUCT($C$1674:$V$1674,($C$309:$V$309=I$1703)*1,$C$9:$V$9,$C$99:$V$99)/SUMPRODUCT($C$1674:$V$1674,($C$309:$V$309=I$1703)*1,$C$9:$V$9)))</f>
        <v/>
      </c>
      <c r="J2308" s="173">
        <f>IF(J1783=0,"",IF(EXACT(GewAn,"ja"),IF(AND(J2098&lt;&gt;"",J2203&lt;&gt;""),(J2098*GewP+J2203*GewT)/(GewP+GewT),IF(J2098&lt;&gt;"",J2098,IF(J2203&lt;&gt;"",J2203,""))),SUMPRODUCT($C$1674:$V$1674,($C$309:$V$309=J$1703)*1,$C$9:$V$9,$C$99:$V$99)/SUMPRODUCT($C$1674:$V$1674,($C$309:$V$309=J$1703)*1,$C$9:$V$9)))</f>
        <v/>
      </c>
    </row>
    <row r="2309">
      <c r="C2309" s="173">
        <f>IF(C1784=0,"",IF(EXACT(GewAn,"ja"),IF(AND(C2099&lt;&gt;"",C2204&lt;&gt;""),(C2099*GewP+C2204*GewT)/(GewP+GewT),IF(C2099&lt;&gt;"",C2099,IF(C2204&lt;&gt;"",C2204,""))),SUMPRODUCT($C$1675:$V$1675,($C$310:$V$310=C$1703)*1,$C$9:$V$9,$C$100:$V$100)/SUMPRODUCT($C$1675:$V$1675,($C$310:$V$310=C$1703)*1,$C$9:$V$9)))</f>
        <v/>
      </c>
      <c r="D2309" s="173">
        <f>IF(D1784=0,"",IF(EXACT(GewAn,"ja"),IF(AND(D2099&lt;&gt;"",D2204&lt;&gt;""),(D2099*GewP+D2204*GewT)/(GewP+GewT),IF(D2099&lt;&gt;"",D2099,IF(D2204&lt;&gt;"",D2204,""))),SUMPRODUCT($C$1675:$V$1675,($C$310:$V$310=D$1703)*1,$C$9:$V$9,$C$100:$V$100)/SUMPRODUCT($C$1675:$V$1675,($C$310:$V$310=D$1703)*1,$C$9:$V$9)))</f>
        <v/>
      </c>
      <c r="E2309" s="173">
        <f>IF(E1784=0,"",IF(EXACT(GewAn,"ja"),IF(AND(E2099&lt;&gt;"",E2204&lt;&gt;""),(E2099*GewP+E2204*GewT)/(GewP+GewT),IF(E2099&lt;&gt;"",E2099,IF(E2204&lt;&gt;"",E2204,""))),SUMPRODUCT($C$1675:$V$1675,($C$310:$V$310=E$1703)*1,$C$9:$V$9,$C$100:$V$100)/SUMPRODUCT($C$1675:$V$1675,($C$310:$V$310=E$1703)*1,$C$9:$V$9)))</f>
        <v/>
      </c>
      <c r="F2309" s="173">
        <f>IF(F1784=0,"",IF(EXACT(GewAn,"ja"),IF(AND(F2099&lt;&gt;"",F2204&lt;&gt;""),(F2099*GewP+F2204*GewT)/(GewP+GewT),IF(F2099&lt;&gt;"",F2099,IF(F2204&lt;&gt;"",F2204,""))),SUMPRODUCT($C$1675:$V$1675,($C$310:$V$310=F$1703)*1,$C$9:$V$9,$C$100:$V$100)/SUMPRODUCT($C$1675:$V$1675,($C$310:$V$310=F$1703)*1,$C$9:$V$9)))</f>
        <v/>
      </c>
      <c r="G2309" s="173">
        <f>IF(G1784=0,"",IF(EXACT(GewAn,"ja"),IF(AND(G2099&lt;&gt;"",G2204&lt;&gt;""),(G2099*GewP+G2204*GewT)/(GewP+GewT),IF(G2099&lt;&gt;"",G2099,IF(G2204&lt;&gt;"",G2204,""))),SUMPRODUCT($C$1675:$V$1675,($C$310:$V$310=G$1703)*1,$C$9:$V$9,$C$100:$V$100)/SUMPRODUCT($C$1675:$V$1675,($C$310:$V$310=G$1703)*1,$C$9:$V$9)))</f>
        <v/>
      </c>
      <c r="H2309" s="173">
        <f>IF(H1784=0,"",IF(EXACT(GewAn,"ja"),IF(AND(H2099&lt;&gt;"",H2204&lt;&gt;""),(H2099*GewP+H2204*GewT)/(GewP+GewT),IF(H2099&lt;&gt;"",H2099,IF(H2204&lt;&gt;"",H2204,""))),SUMPRODUCT($C$1675:$V$1675,($C$310:$V$310=H$1703)*1,$C$9:$V$9,$C$100:$V$100)/SUMPRODUCT($C$1675:$V$1675,($C$310:$V$310=H$1703)*1,$C$9:$V$9)))</f>
        <v/>
      </c>
      <c r="I2309" s="173">
        <f>IF(I1784=0,"",IF(EXACT(GewAn,"ja"),IF(AND(I2099&lt;&gt;"",I2204&lt;&gt;""),(I2099*GewP+I2204*GewT)/(GewP+GewT),IF(I2099&lt;&gt;"",I2099,IF(I2204&lt;&gt;"",I2204,""))),SUMPRODUCT($C$1675:$V$1675,($C$310:$V$310=I$1703)*1,$C$9:$V$9,$C$100:$V$100)/SUMPRODUCT($C$1675:$V$1675,($C$310:$V$310=I$1703)*1,$C$9:$V$9)))</f>
        <v/>
      </c>
      <c r="J2309" s="173">
        <f>IF(J1784=0,"",IF(EXACT(GewAn,"ja"),IF(AND(J2099&lt;&gt;"",J2204&lt;&gt;""),(J2099*GewP+J2204*GewT)/(GewP+GewT),IF(J2099&lt;&gt;"",J2099,IF(J2204&lt;&gt;"",J2204,""))),SUMPRODUCT($C$1675:$V$1675,($C$310:$V$310=J$1703)*1,$C$9:$V$9,$C$100:$V$100)/SUMPRODUCT($C$1675:$V$1675,($C$310:$V$310=J$1703)*1,$C$9:$V$9)))</f>
        <v/>
      </c>
    </row>
    <row r="2310">
      <c r="C2310" s="173">
        <f>IF(C1785=0,"",IF(EXACT(GewAn,"ja"),IF(AND(C2100&lt;&gt;"",C2205&lt;&gt;""),(C2100*GewP+C2205*GewT)/(GewP+GewT),IF(C2100&lt;&gt;"",C2100,IF(C2205&lt;&gt;"",C2205,""))),SUMPRODUCT($C$1676:$V$1676,($C$311:$V$311=C$1703)*1,$C$9:$V$9,$C$101:$V$101)/SUMPRODUCT($C$1676:$V$1676,($C$311:$V$311=C$1703)*1,$C$9:$V$9)))</f>
        <v/>
      </c>
      <c r="D2310" s="173">
        <f>IF(D1785=0,"",IF(EXACT(GewAn,"ja"),IF(AND(D2100&lt;&gt;"",D2205&lt;&gt;""),(D2100*GewP+D2205*GewT)/(GewP+GewT),IF(D2100&lt;&gt;"",D2100,IF(D2205&lt;&gt;"",D2205,""))),SUMPRODUCT($C$1676:$V$1676,($C$311:$V$311=D$1703)*1,$C$9:$V$9,$C$101:$V$101)/SUMPRODUCT($C$1676:$V$1676,($C$311:$V$311=D$1703)*1,$C$9:$V$9)))</f>
        <v/>
      </c>
      <c r="E2310" s="173">
        <f>IF(E1785=0,"",IF(EXACT(GewAn,"ja"),IF(AND(E2100&lt;&gt;"",E2205&lt;&gt;""),(E2100*GewP+E2205*GewT)/(GewP+GewT),IF(E2100&lt;&gt;"",E2100,IF(E2205&lt;&gt;"",E2205,""))),SUMPRODUCT($C$1676:$V$1676,($C$311:$V$311=E$1703)*1,$C$9:$V$9,$C$101:$V$101)/SUMPRODUCT($C$1676:$V$1676,($C$311:$V$311=E$1703)*1,$C$9:$V$9)))</f>
        <v/>
      </c>
      <c r="F2310" s="173">
        <f>IF(F1785=0,"",IF(EXACT(GewAn,"ja"),IF(AND(F2100&lt;&gt;"",F2205&lt;&gt;""),(F2100*GewP+F2205*GewT)/(GewP+GewT),IF(F2100&lt;&gt;"",F2100,IF(F2205&lt;&gt;"",F2205,""))),SUMPRODUCT($C$1676:$V$1676,($C$311:$V$311=F$1703)*1,$C$9:$V$9,$C$101:$V$101)/SUMPRODUCT($C$1676:$V$1676,($C$311:$V$311=F$1703)*1,$C$9:$V$9)))</f>
        <v/>
      </c>
      <c r="G2310" s="173">
        <f>IF(G1785=0,"",IF(EXACT(GewAn,"ja"),IF(AND(G2100&lt;&gt;"",G2205&lt;&gt;""),(G2100*GewP+G2205*GewT)/(GewP+GewT),IF(G2100&lt;&gt;"",G2100,IF(G2205&lt;&gt;"",G2205,""))),SUMPRODUCT($C$1676:$V$1676,($C$311:$V$311=G$1703)*1,$C$9:$V$9,$C$101:$V$101)/SUMPRODUCT($C$1676:$V$1676,($C$311:$V$311=G$1703)*1,$C$9:$V$9)))</f>
        <v/>
      </c>
      <c r="H2310" s="173">
        <f>IF(H1785=0,"",IF(EXACT(GewAn,"ja"),IF(AND(H2100&lt;&gt;"",H2205&lt;&gt;""),(H2100*GewP+H2205*GewT)/(GewP+GewT),IF(H2100&lt;&gt;"",H2100,IF(H2205&lt;&gt;"",H2205,""))),SUMPRODUCT($C$1676:$V$1676,($C$311:$V$311=H$1703)*1,$C$9:$V$9,$C$101:$V$101)/SUMPRODUCT($C$1676:$V$1676,($C$311:$V$311=H$1703)*1,$C$9:$V$9)))</f>
        <v/>
      </c>
      <c r="I2310" s="173">
        <f>IF(I1785=0,"",IF(EXACT(GewAn,"ja"),IF(AND(I2100&lt;&gt;"",I2205&lt;&gt;""),(I2100*GewP+I2205*GewT)/(GewP+GewT),IF(I2100&lt;&gt;"",I2100,IF(I2205&lt;&gt;"",I2205,""))),SUMPRODUCT($C$1676:$V$1676,($C$311:$V$311=I$1703)*1,$C$9:$V$9,$C$101:$V$101)/SUMPRODUCT($C$1676:$V$1676,($C$311:$V$311=I$1703)*1,$C$9:$V$9)))</f>
        <v/>
      </c>
      <c r="J2310" s="173">
        <f>IF(J1785=0,"",IF(EXACT(GewAn,"ja"),IF(AND(J2100&lt;&gt;"",J2205&lt;&gt;""),(J2100*GewP+J2205*GewT)/(GewP+GewT),IF(J2100&lt;&gt;"",J2100,IF(J2205&lt;&gt;"",J2205,""))),SUMPRODUCT($C$1676:$V$1676,($C$311:$V$311=J$1703)*1,$C$9:$V$9,$C$101:$V$101)/SUMPRODUCT($C$1676:$V$1676,($C$311:$V$311=J$1703)*1,$C$9:$V$9)))</f>
        <v/>
      </c>
    </row>
    <row r="2311">
      <c r="C2311" s="173">
        <f>IF(C1786=0,"",IF(EXACT(GewAn,"ja"),IF(AND(C2101&lt;&gt;"",C2206&lt;&gt;""),(C2101*GewP+C2206*GewT)/(GewP+GewT),IF(C2101&lt;&gt;"",C2101,IF(C2206&lt;&gt;"",C2206,""))),SUMPRODUCT($C$1677:$V$1677,($C$312:$V$312=C$1703)*1,$C$9:$V$9,$C$102:$V$102)/SUMPRODUCT($C$1677:$V$1677,($C$312:$V$312=C$1703)*1,$C$9:$V$9)))</f>
        <v/>
      </c>
      <c r="D2311" s="173">
        <f>IF(D1786=0,"",IF(EXACT(GewAn,"ja"),IF(AND(D2101&lt;&gt;"",D2206&lt;&gt;""),(D2101*GewP+D2206*GewT)/(GewP+GewT),IF(D2101&lt;&gt;"",D2101,IF(D2206&lt;&gt;"",D2206,""))),SUMPRODUCT($C$1677:$V$1677,($C$312:$V$312=D$1703)*1,$C$9:$V$9,$C$102:$V$102)/SUMPRODUCT($C$1677:$V$1677,($C$312:$V$312=D$1703)*1,$C$9:$V$9)))</f>
        <v/>
      </c>
      <c r="E2311" s="173">
        <f>IF(E1786=0,"",IF(EXACT(GewAn,"ja"),IF(AND(E2101&lt;&gt;"",E2206&lt;&gt;""),(E2101*GewP+E2206*GewT)/(GewP+GewT),IF(E2101&lt;&gt;"",E2101,IF(E2206&lt;&gt;"",E2206,""))),SUMPRODUCT($C$1677:$V$1677,($C$312:$V$312=E$1703)*1,$C$9:$V$9,$C$102:$V$102)/SUMPRODUCT($C$1677:$V$1677,($C$312:$V$312=E$1703)*1,$C$9:$V$9)))</f>
        <v/>
      </c>
      <c r="F2311" s="173">
        <f>IF(F1786=0,"",IF(EXACT(GewAn,"ja"),IF(AND(F2101&lt;&gt;"",F2206&lt;&gt;""),(F2101*GewP+F2206*GewT)/(GewP+GewT),IF(F2101&lt;&gt;"",F2101,IF(F2206&lt;&gt;"",F2206,""))),SUMPRODUCT($C$1677:$V$1677,($C$312:$V$312=F$1703)*1,$C$9:$V$9,$C$102:$V$102)/SUMPRODUCT($C$1677:$V$1677,($C$312:$V$312=F$1703)*1,$C$9:$V$9)))</f>
        <v/>
      </c>
      <c r="G2311" s="173">
        <f>IF(G1786=0,"",IF(EXACT(GewAn,"ja"),IF(AND(G2101&lt;&gt;"",G2206&lt;&gt;""),(G2101*GewP+G2206*GewT)/(GewP+GewT),IF(G2101&lt;&gt;"",G2101,IF(G2206&lt;&gt;"",G2206,""))),SUMPRODUCT($C$1677:$V$1677,($C$312:$V$312=G$1703)*1,$C$9:$V$9,$C$102:$V$102)/SUMPRODUCT($C$1677:$V$1677,($C$312:$V$312=G$1703)*1,$C$9:$V$9)))</f>
        <v/>
      </c>
      <c r="H2311" s="173">
        <f>IF(H1786=0,"",IF(EXACT(GewAn,"ja"),IF(AND(H2101&lt;&gt;"",H2206&lt;&gt;""),(H2101*GewP+H2206*GewT)/(GewP+GewT),IF(H2101&lt;&gt;"",H2101,IF(H2206&lt;&gt;"",H2206,""))),SUMPRODUCT($C$1677:$V$1677,($C$312:$V$312=H$1703)*1,$C$9:$V$9,$C$102:$V$102)/SUMPRODUCT($C$1677:$V$1677,($C$312:$V$312=H$1703)*1,$C$9:$V$9)))</f>
        <v/>
      </c>
      <c r="I2311" s="173">
        <f>IF(I1786=0,"",IF(EXACT(GewAn,"ja"),IF(AND(I2101&lt;&gt;"",I2206&lt;&gt;""),(I2101*GewP+I2206*GewT)/(GewP+GewT),IF(I2101&lt;&gt;"",I2101,IF(I2206&lt;&gt;"",I2206,""))),SUMPRODUCT($C$1677:$V$1677,($C$312:$V$312=I$1703)*1,$C$9:$V$9,$C$102:$V$102)/SUMPRODUCT($C$1677:$V$1677,($C$312:$V$312=I$1703)*1,$C$9:$V$9)))</f>
        <v/>
      </c>
      <c r="J2311" s="173">
        <f>IF(J1786=0,"",IF(EXACT(GewAn,"ja"),IF(AND(J2101&lt;&gt;"",J2206&lt;&gt;""),(J2101*GewP+J2206*GewT)/(GewP+GewT),IF(J2101&lt;&gt;"",J2101,IF(J2206&lt;&gt;"",J2206,""))),SUMPRODUCT($C$1677:$V$1677,($C$312:$V$312=J$1703)*1,$C$9:$V$9,$C$102:$V$102)/SUMPRODUCT($C$1677:$V$1677,($C$312:$V$312=J$1703)*1,$C$9:$V$9)))</f>
        <v/>
      </c>
    </row>
    <row r="2312">
      <c r="C2312" s="173">
        <f>IF(C1787=0,"",IF(EXACT(GewAn,"ja"),IF(AND(C2102&lt;&gt;"",C2207&lt;&gt;""),(C2102*GewP+C2207*GewT)/(GewP+GewT),IF(C2102&lt;&gt;"",C2102,IF(C2207&lt;&gt;"",C2207,""))),SUMPRODUCT($C$1678:$V$1678,($C$313:$V$313=C$1703)*1,$C$9:$V$9,$C$103:$V$103)/SUMPRODUCT($C$1678:$V$1678,($C$313:$V$313=C$1703)*1,$C$9:$V$9)))</f>
        <v/>
      </c>
      <c r="D2312" s="173">
        <f>IF(D1787=0,"",IF(EXACT(GewAn,"ja"),IF(AND(D2102&lt;&gt;"",D2207&lt;&gt;""),(D2102*GewP+D2207*GewT)/(GewP+GewT),IF(D2102&lt;&gt;"",D2102,IF(D2207&lt;&gt;"",D2207,""))),SUMPRODUCT($C$1678:$V$1678,($C$313:$V$313=D$1703)*1,$C$9:$V$9,$C$103:$V$103)/SUMPRODUCT($C$1678:$V$1678,($C$313:$V$313=D$1703)*1,$C$9:$V$9)))</f>
        <v/>
      </c>
      <c r="E2312" s="173">
        <f>IF(E1787=0,"",IF(EXACT(GewAn,"ja"),IF(AND(E2102&lt;&gt;"",E2207&lt;&gt;""),(E2102*GewP+E2207*GewT)/(GewP+GewT),IF(E2102&lt;&gt;"",E2102,IF(E2207&lt;&gt;"",E2207,""))),SUMPRODUCT($C$1678:$V$1678,($C$313:$V$313=E$1703)*1,$C$9:$V$9,$C$103:$V$103)/SUMPRODUCT($C$1678:$V$1678,($C$313:$V$313=E$1703)*1,$C$9:$V$9)))</f>
        <v/>
      </c>
      <c r="F2312" s="173">
        <f>IF(F1787=0,"",IF(EXACT(GewAn,"ja"),IF(AND(F2102&lt;&gt;"",F2207&lt;&gt;""),(F2102*GewP+F2207*GewT)/(GewP+GewT),IF(F2102&lt;&gt;"",F2102,IF(F2207&lt;&gt;"",F2207,""))),SUMPRODUCT($C$1678:$V$1678,($C$313:$V$313=F$1703)*1,$C$9:$V$9,$C$103:$V$103)/SUMPRODUCT($C$1678:$V$1678,($C$313:$V$313=F$1703)*1,$C$9:$V$9)))</f>
        <v/>
      </c>
      <c r="G2312" s="173">
        <f>IF(G1787=0,"",IF(EXACT(GewAn,"ja"),IF(AND(G2102&lt;&gt;"",G2207&lt;&gt;""),(G2102*GewP+G2207*GewT)/(GewP+GewT),IF(G2102&lt;&gt;"",G2102,IF(G2207&lt;&gt;"",G2207,""))),SUMPRODUCT($C$1678:$V$1678,($C$313:$V$313=G$1703)*1,$C$9:$V$9,$C$103:$V$103)/SUMPRODUCT($C$1678:$V$1678,($C$313:$V$313=G$1703)*1,$C$9:$V$9)))</f>
        <v/>
      </c>
      <c r="H2312" s="173">
        <f>IF(H1787=0,"",IF(EXACT(GewAn,"ja"),IF(AND(H2102&lt;&gt;"",H2207&lt;&gt;""),(H2102*GewP+H2207*GewT)/(GewP+GewT),IF(H2102&lt;&gt;"",H2102,IF(H2207&lt;&gt;"",H2207,""))),SUMPRODUCT($C$1678:$V$1678,($C$313:$V$313=H$1703)*1,$C$9:$V$9,$C$103:$V$103)/SUMPRODUCT($C$1678:$V$1678,($C$313:$V$313=H$1703)*1,$C$9:$V$9)))</f>
        <v/>
      </c>
      <c r="I2312" s="173">
        <f>IF(I1787=0,"",IF(EXACT(GewAn,"ja"),IF(AND(I2102&lt;&gt;"",I2207&lt;&gt;""),(I2102*GewP+I2207*GewT)/(GewP+GewT),IF(I2102&lt;&gt;"",I2102,IF(I2207&lt;&gt;"",I2207,""))),SUMPRODUCT($C$1678:$V$1678,($C$313:$V$313=I$1703)*1,$C$9:$V$9,$C$103:$V$103)/SUMPRODUCT($C$1678:$V$1678,($C$313:$V$313=I$1703)*1,$C$9:$V$9)))</f>
        <v/>
      </c>
      <c r="J2312" s="173">
        <f>IF(J1787=0,"",IF(EXACT(GewAn,"ja"),IF(AND(J2102&lt;&gt;"",J2207&lt;&gt;""),(J2102*GewP+J2207*GewT)/(GewP+GewT),IF(J2102&lt;&gt;"",J2102,IF(J2207&lt;&gt;"",J2207,""))),SUMPRODUCT($C$1678:$V$1678,($C$313:$V$313=J$1703)*1,$C$9:$V$9,$C$103:$V$103)/SUMPRODUCT($C$1678:$V$1678,($C$313:$V$313=J$1703)*1,$C$9:$V$9)))</f>
        <v/>
      </c>
    </row>
    <row r="2313">
      <c r="C2313" s="173">
        <f>IF(C1788=0,"",IF(EXACT(GewAn,"ja"),IF(AND(C2103&lt;&gt;"",C2208&lt;&gt;""),(C2103*GewP+C2208*GewT)/(GewP+GewT),IF(C2103&lt;&gt;"",C2103,IF(C2208&lt;&gt;"",C2208,""))),SUMPRODUCT($C$1679:$V$1679,($C$314:$V$314=C$1703)*1,$C$9:$V$9,$C$104:$V$104)/SUMPRODUCT($C$1679:$V$1679,($C$314:$V$314=C$1703)*1,$C$9:$V$9)))</f>
        <v/>
      </c>
      <c r="D2313" s="173">
        <f>IF(D1788=0,"",IF(EXACT(GewAn,"ja"),IF(AND(D2103&lt;&gt;"",D2208&lt;&gt;""),(D2103*GewP+D2208*GewT)/(GewP+GewT),IF(D2103&lt;&gt;"",D2103,IF(D2208&lt;&gt;"",D2208,""))),SUMPRODUCT($C$1679:$V$1679,($C$314:$V$314=D$1703)*1,$C$9:$V$9,$C$104:$V$104)/SUMPRODUCT($C$1679:$V$1679,($C$314:$V$314=D$1703)*1,$C$9:$V$9)))</f>
        <v/>
      </c>
      <c r="E2313" s="173">
        <f>IF(E1788=0,"",IF(EXACT(GewAn,"ja"),IF(AND(E2103&lt;&gt;"",E2208&lt;&gt;""),(E2103*GewP+E2208*GewT)/(GewP+GewT),IF(E2103&lt;&gt;"",E2103,IF(E2208&lt;&gt;"",E2208,""))),SUMPRODUCT($C$1679:$V$1679,($C$314:$V$314=E$1703)*1,$C$9:$V$9,$C$104:$V$104)/SUMPRODUCT($C$1679:$V$1679,($C$314:$V$314=E$1703)*1,$C$9:$V$9)))</f>
        <v/>
      </c>
      <c r="F2313" s="173">
        <f>IF(F1788=0,"",IF(EXACT(GewAn,"ja"),IF(AND(F2103&lt;&gt;"",F2208&lt;&gt;""),(F2103*GewP+F2208*GewT)/(GewP+GewT),IF(F2103&lt;&gt;"",F2103,IF(F2208&lt;&gt;"",F2208,""))),SUMPRODUCT($C$1679:$V$1679,($C$314:$V$314=F$1703)*1,$C$9:$V$9,$C$104:$V$104)/SUMPRODUCT($C$1679:$V$1679,($C$314:$V$314=F$1703)*1,$C$9:$V$9)))</f>
        <v/>
      </c>
      <c r="G2313" s="173">
        <f>IF(G1788=0,"",IF(EXACT(GewAn,"ja"),IF(AND(G2103&lt;&gt;"",G2208&lt;&gt;""),(G2103*GewP+G2208*GewT)/(GewP+GewT),IF(G2103&lt;&gt;"",G2103,IF(G2208&lt;&gt;"",G2208,""))),SUMPRODUCT($C$1679:$V$1679,($C$314:$V$314=G$1703)*1,$C$9:$V$9,$C$104:$V$104)/SUMPRODUCT($C$1679:$V$1679,($C$314:$V$314=G$1703)*1,$C$9:$V$9)))</f>
        <v/>
      </c>
      <c r="H2313" s="173">
        <f>IF(H1788=0,"",IF(EXACT(GewAn,"ja"),IF(AND(H2103&lt;&gt;"",H2208&lt;&gt;""),(H2103*GewP+H2208*GewT)/(GewP+GewT),IF(H2103&lt;&gt;"",H2103,IF(H2208&lt;&gt;"",H2208,""))),SUMPRODUCT($C$1679:$V$1679,($C$314:$V$314=H$1703)*1,$C$9:$V$9,$C$104:$V$104)/SUMPRODUCT($C$1679:$V$1679,($C$314:$V$314=H$1703)*1,$C$9:$V$9)))</f>
        <v/>
      </c>
      <c r="I2313" s="173">
        <f>IF(I1788=0,"",IF(EXACT(GewAn,"ja"),IF(AND(I2103&lt;&gt;"",I2208&lt;&gt;""),(I2103*GewP+I2208*GewT)/(GewP+GewT),IF(I2103&lt;&gt;"",I2103,IF(I2208&lt;&gt;"",I2208,""))),SUMPRODUCT($C$1679:$V$1679,($C$314:$V$314=I$1703)*1,$C$9:$V$9,$C$104:$V$104)/SUMPRODUCT($C$1679:$V$1679,($C$314:$V$314=I$1703)*1,$C$9:$V$9)))</f>
        <v/>
      </c>
      <c r="J2313" s="173">
        <f>IF(J1788=0,"",IF(EXACT(GewAn,"ja"),IF(AND(J2103&lt;&gt;"",J2208&lt;&gt;""),(J2103*GewP+J2208*GewT)/(GewP+GewT),IF(J2103&lt;&gt;"",J2103,IF(J2208&lt;&gt;"",J2208,""))),SUMPRODUCT($C$1679:$V$1679,($C$314:$V$314=J$1703)*1,$C$9:$V$9,$C$104:$V$104)/SUMPRODUCT($C$1679:$V$1679,($C$314:$V$314=J$1703)*1,$C$9:$V$9)))</f>
        <v/>
      </c>
    </row>
    <row r="2314">
      <c r="C2314" s="173">
        <f>IF(C1789=0,"",IF(EXACT(GewAn,"ja"),IF(AND(C2104&lt;&gt;"",C2209&lt;&gt;""),(C2104*GewP+C2209*GewT)/(GewP+GewT),IF(C2104&lt;&gt;"",C2104,IF(C2209&lt;&gt;"",C2209,""))),SUMPRODUCT($C$1680:$V$1680,($C$315:$V$315=C$1703)*1,$C$9:$V$9,$C$105:$V$105)/SUMPRODUCT($C$1680:$V$1680,($C$315:$V$315=C$1703)*1,$C$9:$V$9)))</f>
        <v/>
      </c>
      <c r="D2314" s="173">
        <f>IF(D1789=0,"",IF(EXACT(GewAn,"ja"),IF(AND(D2104&lt;&gt;"",D2209&lt;&gt;""),(D2104*GewP+D2209*GewT)/(GewP+GewT),IF(D2104&lt;&gt;"",D2104,IF(D2209&lt;&gt;"",D2209,""))),SUMPRODUCT($C$1680:$V$1680,($C$315:$V$315=D$1703)*1,$C$9:$V$9,$C$105:$V$105)/SUMPRODUCT($C$1680:$V$1680,($C$315:$V$315=D$1703)*1,$C$9:$V$9)))</f>
        <v/>
      </c>
      <c r="E2314" s="173">
        <f>IF(E1789=0,"",IF(EXACT(GewAn,"ja"),IF(AND(E2104&lt;&gt;"",E2209&lt;&gt;""),(E2104*GewP+E2209*GewT)/(GewP+GewT),IF(E2104&lt;&gt;"",E2104,IF(E2209&lt;&gt;"",E2209,""))),SUMPRODUCT($C$1680:$V$1680,($C$315:$V$315=E$1703)*1,$C$9:$V$9,$C$105:$V$105)/SUMPRODUCT($C$1680:$V$1680,($C$315:$V$315=E$1703)*1,$C$9:$V$9)))</f>
        <v/>
      </c>
      <c r="F2314" s="173">
        <f>IF(F1789=0,"",IF(EXACT(GewAn,"ja"),IF(AND(F2104&lt;&gt;"",F2209&lt;&gt;""),(F2104*GewP+F2209*GewT)/(GewP+GewT),IF(F2104&lt;&gt;"",F2104,IF(F2209&lt;&gt;"",F2209,""))),SUMPRODUCT($C$1680:$V$1680,($C$315:$V$315=F$1703)*1,$C$9:$V$9,$C$105:$V$105)/SUMPRODUCT($C$1680:$V$1680,($C$315:$V$315=F$1703)*1,$C$9:$V$9)))</f>
        <v/>
      </c>
      <c r="G2314" s="173">
        <f>IF(G1789=0,"",IF(EXACT(GewAn,"ja"),IF(AND(G2104&lt;&gt;"",G2209&lt;&gt;""),(G2104*GewP+G2209*GewT)/(GewP+GewT),IF(G2104&lt;&gt;"",G2104,IF(G2209&lt;&gt;"",G2209,""))),SUMPRODUCT($C$1680:$V$1680,($C$315:$V$315=G$1703)*1,$C$9:$V$9,$C$105:$V$105)/SUMPRODUCT($C$1680:$V$1680,($C$315:$V$315=G$1703)*1,$C$9:$V$9)))</f>
        <v/>
      </c>
      <c r="H2314" s="173">
        <f>IF(H1789=0,"",IF(EXACT(GewAn,"ja"),IF(AND(H2104&lt;&gt;"",H2209&lt;&gt;""),(H2104*GewP+H2209*GewT)/(GewP+GewT),IF(H2104&lt;&gt;"",H2104,IF(H2209&lt;&gt;"",H2209,""))),SUMPRODUCT($C$1680:$V$1680,($C$315:$V$315=H$1703)*1,$C$9:$V$9,$C$105:$V$105)/SUMPRODUCT($C$1680:$V$1680,($C$315:$V$315=H$1703)*1,$C$9:$V$9)))</f>
        <v/>
      </c>
      <c r="I2314" s="173">
        <f>IF(I1789=0,"",IF(EXACT(GewAn,"ja"),IF(AND(I2104&lt;&gt;"",I2209&lt;&gt;""),(I2104*GewP+I2209*GewT)/(GewP+GewT),IF(I2104&lt;&gt;"",I2104,IF(I2209&lt;&gt;"",I2209,""))),SUMPRODUCT($C$1680:$V$1680,($C$315:$V$315=I$1703)*1,$C$9:$V$9,$C$105:$V$105)/SUMPRODUCT($C$1680:$V$1680,($C$315:$V$315=I$1703)*1,$C$9:$V$9)))</f>
        <v/>
      </c>
      <c r="J2314" s="173">
        <f>IF(J1789=0,"",IF(EXACT(GewAn,"ja"),IF(AND(J2104&lt;&gt;"",J2209&lt;&gt;""),(J2104*GewP+J2209*GewT)/(GewP+GewT),IF(J2104&lt;&gt;"",J2104,IF(J2209&lt;&gt;"",J2209,""))),SUMPRODUCT($C$1680:$V$1680,($C$315:$V$315=J$1703)*1,$C$9:$V$9,$C$105:$V$105)/SUMPRODUCT($C$1680:$V$1680,($C$315:$V$315=J$1703)*1,$C$9:$V$9)))</f>
        <v/>
      </c>
    </row>
    <row r="2315">
      <c r="C2315" s="173">
        <f>IF(C1790=0,"",IF(EXACT(GewAn,"ja"),IF(AND(C2105&lt;&gt;"",C2210&lt;&gt;""),(C2105*GewP+C2210*GewT)/(GewP+GewT),IF(C2105&lt;&gt;"",C2105,IF(C2210&lt;&gt;"",C2210,""))),SUMPRODUCT($C$1681:$V$1681,($C$316:$V$316=C$1703)*1,$C$9:$V$9,$C$106:$V$106)/SUMPRODUCT($C$1681:$V$1681,($C$316:$V$316=C$1703)*1,$C$9:$V$9)))</f>
        <v/>
      </c>
      <c r="D2315" s="173">
        <f>IF(D1790=0,"",IF(EXACT(GewAn,"ja"),IF(AND(D2105&lt;&gt;"",D2210&lt;&gt;""),(D2105*GewP+D2210*GewT)/(GewP+GewT),IF(D2105&lt;&gt;"",D2105,IF(D2210&lt;&gt;"",D2210,""))),SUMPRODUCT($C$1681:$V$1681,($C$316:$V$316=D$1703)*1,$C$9:$V$9,$C$106:$V$106)/SUMPRODUCT($C$1681:$V$1681,($C$316:$V$316=D$1703)*1,$C$9:$V$9)))</f>
        <v/>
      </c>
      <c r="E2315" s="173">
        <f>IF(E1790=0,"",IF(EXACT(GewAn,"ja"),IF(AND(E2105&lt;&gt;"",E2210&lt;&gt;""),(E2105*GewP+E2210*GewT)/(GewP+GewT),IF(E2105&lt;&gt;"",E2105,IF(E2210&lt;&gt;"",E2210,""))),SUMPRODUCT($C$1681:$V$1681,($C$316:$V$316=E$1703)*1,$C$9:$V$9,$C$106:$V$106)/SUMPRODUCT($C$1681:$V$1681,($C$316:$V$316=E$1703)*1,$C$9:$V$9)))</f>
        <v/>
      </c>
      <c r="F2315" s="173">
        <f>IF(F1790=0,"",IF(EXACT(GewAn,"ja"),IF(AND(F2105&lt;&gt;"",F2210&lt;&gt;""),(F2105*GewP+F2210*GewT)/(GewP+GewT),IF(F2105&lt;&gt;"",F2105,IF(F2210&lt;&gt;"",F2210,""))),SUMPRODUCT($C$1681:$V$1681,($C$316:$V$316=F$1703)*1,$C$9:$V$9,$C$106:$V$106)/SUMPRODUCT($C$1681:$V$1681,($C$316:$V$316=F$1703)*1,$C$9:$V$9)))</f>
        <v/>
      </c>
      <c r="G2315" s="173">
        <f>IF(G1790=0,"",IF(EXACT(GewAn,"ja"),IF(AND(G2105&lt;&gt;"",G2210&lt;&gt;""),(G2105*GewP+G2210*GewT)/(GewP+GewT),IF(G2105&lt;&gt;"",G2105,IF(G2210&lt;&gt;"",G2210,""))),SUMPRODUCT($C$1681:$V$1681,($C$316:$V$316=G$1703)*1,$C$9:$V$9,$C$106:$V$106)/SUMPRODUCT($C$1681:$V$1681,($C$316:$V$316=G$1703)*1,$C$9:$V$9)))</f>
        <v/>
      </c>
      <c r="H2315" s="173">
        <f>IF(H1790=0,"",IF(EXACT(GewAn,"ja"),IF(AND(H2105&lt;&gt;"",H2210&lt;&gt;""),(H2105*GewP+H2210*GewT)/(GewP+GewT),IF(H2105&lt;&gt;"",H2105,IF(H2210&lt;&gt;"",H2210,""))),SUMPRODUCT($C$1681:$V$1681,($C$316:$V$316=H$1703)*1,$C$9:$V$9,$C$106:$V$106)/SUMPRODUCT($C$1681:$V$1681,($C$316:$V$316=H$1703)*1,$C$9:$V$9)))</f>
        <v/>
      </c>
      <c r="I2315" s="173">
        <f>IF(I1790=0,"",IF(EXACT(GewAn,"ja"),IF(AND(I2105&lt;&gt;"",I2210&lt;&gt;""),(I2105*GewP+I2210*GewT)/(GewP+GewT),IF(I2105&lt;&gt;"",I2105,IF(I2210&lt;&gt;"",I2210,""))),SUMPRODUCT($C$1681:$V$1681,($C$316:$V$316=I$1703)*1,$C$9:$V$9,$C$106:$V$106)/SUMPRODUCT($C$1681:$V$1681,($C$316:$V$316=I$1703)*1,$C$9:$V$9)))</f>
        <v/>
      </c>
      <c r="J2315" s="173">
        <f>IF(J1790=0,"",IF(EXACT(GewAn,"ja"),IF(AND(J2105&lt;&gt;"",J2210&lt;&gt;""),(J2105*GewP+J2210*GewT)/(GewP+GewT),IF(J2105&lt;&gt;"",J2105,IF(J2210&lt;&gt;"",J2210,""))),SUMPRODUCT($C$1681:$V$1681,($C$316:$V$316=J$1703)*1,$C$9:$V$9,$C$106:$V$106)/SUMPRODUCT($C$1681:$V$1681,($C$316:$V$316=J$1703)*1,$C$9:$V$9)))</f>
        <v/>
      </c>
    </row>
    <row r="2316">
      <c r="C2316" s="173">
        <f>IF(C1791=0,"",IF(EXACT(GewAn,"ja"),IF(AND(C2106&lt;&gt;"",C2211&lt;&gt;""),(C2106*GewP+C2211*GewT)/(GewP+GewT),IF(C2106&lt;&gt;"",C2106,IF(C2211&lt;&gt;"",C2211,""))),SUMPRODUCT($C$1682:$V$1682,($C$317:$V$317=C$1703)*1,$C$9:$V$9,$C$107:$V$107)/SUMPRODUCT($C$1682:$V$1682,($C$317:$V$317=C$1703)*1,$C$9:$V$9)))</f>
        <v/>
      </c>
      <c r="D2316" s="173">
        <f>IF(D1791=0,"",IF(EXACT(GewAn,"ja"),IF(AND(D2106&lt;&gt;"",D2211&lt;&gt;""),(D2106*GewP+D2211*GewT)/(GewP+GewT),IF(D2106&lt;&gt;"",D2106,IF(D2211&lt;&gt;"",D2211,""))),SUMPRODUCT($C$1682:$V$1682,($C$317:$V$317=D$1703)*1,$C$9:$V$9,$C$107:$V$107)/SUMPRODUCT($C$1682:$V$1682,($C$317:$V$317=D$1703)*1,$C$9:$V$9)))</f>
        <v/>
      </c>
      <c r="E2316" s="173">
        <f>IF(E1791=0,"",IF(EXACT(GewAn,"ja"),IF(AND(E2106&lt;&gt;"",E2211&lt;&gt;""),(E2106*GewP+E2211*GewT)/(GewP+GewT),IF(E2106&lt;&gt;"",E2106,IF(E2211&lt;&gt;"",E2211,""))),SUMPRODUCT($C$1682:$V$1682,($C$317:$V$317=E$1703)*1,$C$9:$V$9,$C$107:$V$107)/SUMPRODUCT($C$1682:$V$1682,($C$317:$V$317=E$1703)*1,$C$9:$V$9)))</f>
        <v/>
      </c>
      <c r="F2316" s="173">
        <f>IF(F1791=0,"",IF(EXACT(GewAn,"ja"),IF(AND(F2106&lt;&gt;"",F2211&lt;&gt;""),(F2106*GewP+F2211*GewT)/(GewP+GewT),IF(F2106&lt;&gt;"",F2106,IF(F2211&lt;&gt;"",F2211,""))),SUMPRODUCT($C$1682:$V$1682,($C$317:$V$317=F$1703)*1,$C$9:$V$9,$C$107:$V$107)/SUMPRODUCT($C$1682:$V$1682,($C$317:$V$317=F$1703)*1,$C$9:$V$9)))</f>
        <v/>
      </c>
      <c r="G2316" s="173">
        <f>IF(G1791=0,"",IF(EXACT(GewAn,"ja"),IF(AND(G2106&lt;&gt;"",G2211&lt;&gt;""),(G2106*GewP+G2211*GewT)/(GewP+GewT),IF(G2106&lt;&gt;"",G2106,IF(G2211&lt;&gt;"",G2211,""))),SUMPRODUCT($C$1682:$V$1682,($C$317:$V$317=G$1703)*1,$C$9:$V$9,$C$107:$V$107)/SUMPRODUCT($C$1682:$V$1682,($C$317:$V$317=G$1703)*1,$C$9:$V$9)))</f>
        <v/>
      </c>
      <c r="H2316" s="173">
        <f>IF(H1791=0,"",IF(EXACT(GewAn,"ja"),IF(AND(H2106&lt;&gt;"",H2211&lt;&gt;""),(H2106*GewP+H2211*GewT)/(GewP+GewT),IF(H2106&lt;&gt;"",H2106,IF(H2211&lt;&gt;"",H2211,""))),SUMPRODUCT($C$1682:$V$1682,($C$317:$V$317=H$1703)*1,$C$9:$V$9,$C$107:$V$107)/SUMPRODUCT($C$1682:$V$1682,($C$317:$V$317=H$1703)*1,$C$9:$V$9)))</f>
        <v/>
      </c>
      <c r="I2316" s="173">
        <f>IF(I1791=0,"",IF(EXACT(GewAn,"ja"),IF(AND(I2106&lt;&gt;"",I2211&lt;&gt;""),(I2106*GewP+I2211*GewT)/(GewP+GewT),IF(I2106&lt;&gt;"",I2106,IF(I2211&lt;&gt;"",I2211,""))),SUMPRODUCT($C$1682:$V$1682,($C$317:$V$317=I$1703)*1,$C$9:$V$9,$C$107:$V$107)/SUMPRODUCT($C$1682:$V$1682,($C$317:$V$317=I$1703)*1,$C$9:$V$9)))</f>
        <v/>
      </c>
      <c r="J2316" s="173">
        <f>IF(J1791=0,"",IF(EXACT(GewAn,"ja"),IF(AND(J2106&lt;&gt;"",J2211&lt;&gt;""),(J2106*GewP+J2211*GewT)/(GewP+GewT),IF(J2106&lt;&gt;"",J2106,IF(J2211&lt;&gt;"",J2211,""))),SUMPRODUCT($C$1682:$V$1682,($C$317:$V$317=J$1703)*1,$C$9:$V$9,$C$107:$V$107)/SUMPRODUCT($C$1682:$V$1682,($C$317:$V$317=J$1703)*1,$C$9:$V$9)))</f>
        <v/>
      </c>
    </row>
    <row r="2317">
      <c r="C2317" s="173">
        <f>IF(C1792=0,"",IF(EXACT(GewAn,"ja"),IF(AND(C2107&lt;&gt;"",C2212&lt;&gt;""),(C2107*GewP+C2212*GewT)/(GewP+GewT),IF(C2107&lt;&gt;"",C2107,IF(C2212&lt;&gt;"",C2212,""))),SUMPRODUCT($C$1683:$V$1683,($C$318:$V$318=C$1703)*1,$C$9:$V$9,$C$108:$V$108)/SUMPRODUCT($C$1683:$V$1683,($C$318:$V$318=C$1703)*1,$C$9:$V$9)))</f>
        <v/>
      </c>
      <c r="D2317" s="173">
        <f>IF(D1792=0,"",IF(EXACT(GewAn,"ja"),IF(AND(D2107&lt;&gt;"",D2212&lt;&gt;""),(D2107*GewP+D2212*GewT)/(GewP+GewT),IF(D2107&lt;&gt;"",D2107,IF(D2212&lt;&gt;"",D2212,""))),SUMPRODUCT($C$1683:$V$1683,($C$318:$V$318=D$1703)*1,$C$9:$V$9,$C$108:$V$108)/SUMPRODUCT($C$1683:$V$1683,($C$318:$V$318=D$1703)*1,$C$9:$V$9)))</f>
        <v/>
      </c>
      <c r="E2317" s="173">
        <f>IF(E1792=0,"",IF(EXACT(GewAn,"ja"),IF(AND(E2107&lt;&gt;"",E2212&lt;&gt;""),(E2107*GewP+E2212*GewT)/(GewP+GewT),IF(E2107&lt;&gt;"",E2107,IF(E2212&lt;&gt;"",E2212,""))),SUMPRODUCT($C$1683:$V$1683,($C$318:$V$318=E$1703)*1,$C$9:$V$9,$C$108:$V$108)/SUMPRODUCT($C$1683:$V$1683,($C$318:$V$318=E$1703)*1,$C$9:$V$9)))</f>
        <v/>
      </c>
      <c r="F2317" s="173">
        <f>IF(F1792=0,"",IF(EXACT(GewAn,"ja"),IF(AND(F2107&lt;&gt;"",F2212&lt;&gt;""),(F2107*GewP+F2212*GewT)/(GewP+GewT),IF(F2107&lt;&gt;"",F2107,IF(F2212&lt;&gt;"",F2212,""))),SUMPRODUCT($C$1683:$V$1683,($C$318:$V$318=F$1703)*1,$C$9:$V$9,$C$108:$V$108)/SUMPRODUCT($C$1683:$V$1683,($C$318:$V$318=F$1703)*1,$C$9:$V$9)))</f>
        <v/>
      </c>
      <c r="G2317" s="173">
        <f>IF(G1792=0,"",IF(EXACT(GewAn,"ja"),IF(AND(G2107&lt;&gt;"",G2212&lt;&gt;""),(G2107*GewP+G2212*GewT)/(GewP+GewT),IF(G2107&lt;&gt;"",G2107,IF(G2212&lt;&gt;"",G2212,""))),SUMPRODUCT($C$1683:$V$1683,($C$318:$V$318=G$1703)*1,$C$9:$V$9,$C$108:$V$108)/SUMPRODUCT($C$1683:$V$1683,($C$318:$V$318=G$1703)*1,$C$9:$V$9)))</f>
        <v/>
      </c>
      <c r="H2317" s="173">
        <f>IF(H1792=0,"",IF(EXACT(GewAn,"ja"),IF(AND(H2107&lt;&gt;"",H2212&lt;&gt;""),(H2107*GewP+H2212*GewT)/(GewP+GewT),IF(H2107&lt;&gt;"",H2107,IF(H2212&lt;&gt;"",H2212,""))),SUMPRODUCT($C$1683:$V$1683,($C$318:$V$318=H$1703)*1,$C$9:$V$9,$C$108:$V$108)/SUMPRODUCT($C$1683:$V$1683,($C$318:$V$318=H$1703)*1,$C$9:$V$9)))</f>
        <v/>
      </c>
      <c r="I2317" s="173">
        <f>IF(I1792=0,"",IF(EXACT(GewAn,"ja"),IF(AND(I2107&lt;&gt;"",I2212&lt;&gt;""),(I2107*GewP+I2212*GewT)/(GewP+GewT),IF(I2107&lt;&gt;"",I2107,IF(I2212&lt;&gt;"",I2212,""))),SUMPRODUCT($C$1683:$V$1683,($C$318:$V$318=I$1703)*1,$C$9:$V$9,$C$108:$V$108)/SUMPRODUCT($C$1683:$V$1683,($C$318:$V$318=I$1703)*1,$C$9:$V$9)))</f>
        <v/>
      </c>
      <c r="J2317" s="173">
        <f>IF(J1792=0,"",IF(EXACT(GewAn,"ja"),IF(AND(J2107&lt;&gt;"",J2212&lt;&gt;""),(J2107*GewP+J2212*GewT)/(GewP+GewT),IF(J2107&lt;&gt;"",J2107,IF(J2212&lt;&gt;"",J2212,""))),SUMPRODUCT($C$1683:$V$1683,($C$318:$V$318=J$1703)*1,$C$9:$V$9,$C$108:$V$108)/SUMPRODUCT($C$1683:$V$1683,($C$318:$V$318=J$1703)*1,$C$9:$V$9)))</f>
        <v/>
      </c>
    </row>
    <row r="2318">
      <c r="C2318" s="173">
        <f>IF(C1793=0,"",IF(EXACT(GewAn,"ja"),IF(AND(C2108&lt;&gt;"",C2213&lt;&gt;""),(C2108*GewP+C2213*GewT)/(GewP+GewT),IF(C2108&lt;&gt;"",C2108,IF(C2213&lt;&gt;"",C2213,""))),SUMPRODUCT($C$1684:$V$1684,($C$319:$V$319=C$1703)*1,$C$9:$V$9,$C$109:$V$109)/SUMPRODUCT($C$1684:$V$1684,($C$319:$V$319=C$1703)*1,$C$9:$V$9)))</f>
        <v/>
      </c>
      <c r="D2318" s="173">
        <f>IF(D1793=0,"",IF(EXACT(GewAn,"ja"),IF(AND(D2108&lt;&gt;"",D2213&lt;&gt;""),(D2108*GewP+D2213*GewT)/(GewP+GewT),IF(D2108&lt;&gt;"",D2108,IF(D2213&lt;&gt;"",D2213,""))),SUMPRODUCT($C$1684:$V$1684,($C$319:$V$319=D$1703)*1,$C$9:$V$9,$C$109:$V$109)/SUMPRODUCT($C$1684:$V$1684,($C$319:$V$319=D$1703)*1,$C$9:$V$9)))</f>
        <v/>
      </c>
      <c r="E2318" s="173">
        <f>IF(E1793=0,"",IF(EXACT(GewAn,"ja"),IF(AND(E2108&lt;&gt;"",E2213&lt;&gt;""),(E2108*GewP+E2213*GewT)/(GewP+GewT),IF(E2108&lt;&gt;"",E2108,IF(E2213&lt;&gt;"",E2213,""))),SUMPRODUCT($C$1684:$V$1684,($C$319:$V$319=E$1703)*1,$C$9:$V$9,$C$109:$V$109)/SUMPRODUCT($C$1684:$V$1684,($C$319:$V$319=E$1703)*1,$C$9:$V$9)))</f>
        <v/>
      </c>
      <c r="F2318" s="173">
        <f>IF(F1793=0,"",IF(EXACT(GewAn,"ja"),IF(AND(F2108&lt;&gt;"",F2213&lt;&gt;""),(F2108*GewP+F2213*GewT)/(GewP+GewT),IF(F2108&lt;&gt;"",F2108,IF(F2213&lt;&gt;"",F2213,""))),SUMPRODUCT($C$1684:$V$1684,($C$319:$V$319=F$1703)*1,$C$9:$V$9,$C$109:$V$109)/SUMPRODUCT($C$1684:$V$1684,($C$319:$V$319=F$1703)*1,$C$9:$V$9)))</f>
        <v/>
      </c>
      <c r="G2318" s="173">
        <f>IF(G1793=0,"",IF(EXACT(GewAn,"ja"),IF(AND(G2108&lt;&gt;"",G2213&lt;&gt;""),(G2108*GewP+G2213*GewT)/(GewP+GewT),IF(G2108&lt;&gt;"",G2108,IF(G2213&lt;&gt;"",G2213,""))),SUMPRODUCT($C$1684:$V$1684,($C$319:$V$319=G$1703)*1,$C$9:$V$9,$C$109:$V$109)/SUMPRODUCT($C$1684:$V$1684,($C$319:$V$319=G$1703)*1,$C$9:$V$9)))</f>
        <v/>
      </c>
      <c r="H2318" s="173">
        <f>IF(H1793=0,"",IF(EXACT(GewAn,"ja"),IF(AND(H2108&lt;&gt;"",H2213&lt;&gt;""),(H2108*GewP+H2213*GewT)/(GewP+GewT),IF(H2108&lt;&gt;"",H2108,IF(H2213&lt;&gt;"",H2213,""))),SUMPRODUCT($C$1684:$V$1684,($C$319:$V$319=H$1703)*1,$C$9:$V$9,$C$109:$V$109)/SUMPRODUCT($C$1684:$V$1684,($C$319:$V$319=H$1703)*1,$C$9:$V$9)))</f>
        <v/>
      </c>
      <c r="I2318" s="173">
        <f>IF(I1793=0,"",IF(EXACT(GewAn,"ja"),IF(AND(I2108&lt;&gt;"",I2213&lt;&gt;""),(I2108*GewP+I2213*GewT)/(GewP+GewT),IF(I2108&lt;&gt;"",I2108,IF(I2213&lt;&gt;"",I2213,""))),SUMPRODUCT($C$1684:$V$1684,($C$319:$V$319=I$1703)*1,$C$9:$V$9,$C$109:$V$109)/SUMPRODUCT($C$1684:$V$1684,($C$319:$V$319=I$1703)*1,$C$9:$V$9)))</f>
        <v/>
      </c>
      <c r="J2318" s="173">
        <f>IF(J1793=0,"",IF(EXACT(GewAn,"ja"),IF(AND(J2108&lt;&gt;"",J2213&lt;&gt;""),(J2108*GewP+J2213*GewT)/(GewP+GewT),IF(J2108&lt;&gt;"",J2108,IF(J2213&lt;&gt;"",J2213,""))),SUMPRODUCT($C$1684:$V$1684,($C$319:$V$319=J$1703)*1,$C$9:$V$9,$C$109:$V$109)/SUMPRODUCT($C$1684:$V$1684,($C$319:$V$319=J$1703)*1,$C$9:$V$9)))</f>
        <v/>
      </c>
    </row>
    <row r="2319">
      <c r="C2319" s="173">
        <f>IF(C1794=0,"",IF(EXACT(GewAn,"ja"),IF(AND(C2109&lt;&gt;"",C2214&lt;&gt;""),(C2109*GewP+C2214*GewT)/(GewP+GewT),IF(C2109&lt;&gt;"",C2109,IF(C2214&lt;&gt;"",C2214,""))),SUMPRODUCT($C$1685:$V$1685,($C$320:$V$320=C$1703)*1,$C$9:$V$9,$C$110:$V$110)/SUMPRODUCT($C$1685:$V$1685,($C$320:$V$320=C$1703)*1,$C$9:$V$9)))</f>
        <v/>
      </c>
      <c r="D2319" s="173">
        <f>IF(D1794=0,"",IF(EXACT(GewAn,"ja"),IF(AND(D2109&lt;&gt;"",D2214&lt;&gt;""),(D2109*GewP+D2214*GewT)/(GewP+GewT),IF(D2109&lt;&gt;"",D2109,IF(D2214&lt;&gt;"",D2214,""))),SUMPRODUCT($C$1685:$V$1685,($C$320:$V$320=D$1703)*1,$C$9:$V$9,$C$110:$V$110)/SUMPRODUCT($C$1685:$V$1685,($C$320:$V$320=D$1703)*1,$C$9:$V$9)))</f>
        <v/>
      </c>
      <c r="E2319" s="173">
        <f>IF(E1794=0,"",IF(EXACT(GewAn,"ja"),IF(AND(E2109&lt;&gt;"",E2214&lt;&gt;""),(E2109*GewP+E2214*GewT)/(GewP+GewT),IF(E2109&lt;&gt;"",E2109,IF(E2214&lt;&gt;"",E2214,""))),SUMPRODUCT($C$1685:$V$1685,($C$320:$V$320=E$1703)*1,$C$9:$V$9,$C$110:$V$110)/SUMPRODUCT($C$1685:$V$1685,($C$320:$V$320=E$1703)*1,$C$9:$V$9)))</f>
        <v/>
      </c>
      <c r="F2319" s="173">
        <f>IF(F1794=0,"",IF(EXACT(GewAn,"ja"),IF(AND(F2109&lt;&gt;"",F2214&lt;&gt;""),(F2109*GewP+F2214*GewT)/(GewP+GewT),IF(F2109&lt;&gt;"",F2109,IF(F2214&lt;&gt;"",F2214,""))),SUMPRODUCT($C$1685:$V$1685,($C$320:$V$320=F$1703)*1,$C$9:$V$9,$C$110:$V$110)/SUMPRODUCT($C$1685:$V$1685,($C$320:$V$320=F$1703)*1,$C$9:$V$9)))</f>
        <v/>
      </c>
      <c r="G2319" s="173">
        <f>IF(G1794=0,"",IF(EXACT(GewAn,"ja"),IF(AND(G2109&lt;&gt;"",G2214&lt;&gt;""),(G2109*GewP+G2214*GewT)/(GewP+GewT),IF(G2109&lt;&gt;"",G2109,IF(G2214&lt;&gt;"",G2214,""))),SUMPRODUCT($C$1685:$V$1685,($C$320:$V$320=G$1703)*1,$C$9:$V$9,$C$110:$V$110)/SUMPRODUCT($C$1685:$V$1685,($C$320:$V$320=G$1703)*1,$C$9:$V$9)))</f>
        <v/>
      </c>
      <c r="H2319" s="173">
        <f>IF(H1794=0,"",IF(EXACT(GewAn,"ja"),IF(AND(H2109&lt;&gt;"",H2214&lt;&gt;""),(H2109*GewP+H2214*GewT)/(GewP+GewT),IF(H2109&lt;&gt;"",H2109,IF(H2214&lt;&gt;"",H2214,""))),SUMPRODUCT($C$1685:$V$1685,($C$320:$V$320=H$1703)*1,$C$9:$V$9,$C$110:$V$110)/SUMPRODUCT($C$1685:$V$1685,($C$320:$V$320=H$1703)*1,$C$9:$V$9)))</f>
        <v/>
      </c>
      <c r="I2319" s="173">
        <f>IF(I1794=0,"",IF(EXACT(GewAn,"ja"),IF(AND(I2109&lt;&gt;"",I2214&lt;&gt;""),(I2109*GewP+I2214*GewT)/(GewP+GewT),IF(I2109&lt;&gt;"",I2109,IF(I2214&lt;&gt;"",I2214,""))),SUMPRODUCT($C$1685:$V$1685,($C$320:$V$320=I$1703)*1,$C$9:$V$9,$C$110:$V$110)/SUMPRODUCT($C$1685:$V$1685,($C$320:$V$320=I$1703)*1,$C$9:$V$9)))</f>
        <v/>
      </c>
      <c r="J2319" s="173">
        <f>IF(J1794=0,"",IF(EXACT(GewAn,"ja"),IF(AND(J2109&lt;&gt;"",J2214&lt;&gt;""),(J2109*GewP+J2214*GewT)/(GewP+GewT),IF(J2109&lt;&gt;"",J2109,IF(J2214&lt;&gt;"",J2214,""))),SUMPRODUCT($C$1685:$V$1685,($C$320:$V$320=J$1703)*1,$C$9:$V$9,$C$110:$V$110)/SUMPRODUCT($C$1685:$V$1685,($C$320:$V$320=J$1703)*1,$C$9:$V$9)))</f>
        <v/>
      </c>
    </row>
    <row r="2320">
      <c r="C2320" s="173">
        <f>IF(C1795=0,"",IF(EXACT(GewAn,"ja"),IF(AND(C2110&lt;&gt;"",C2215&lt;&gt;""),(C2110*GewP+C2215*GewT)/(GewP+GewT),IF(C2110&lt;&gt;"",C2110,IF(C2215&lt;&gt;"",C2215,""))),SUMPRODUCT($C$1686:$V$1686,($C$321:$V$321=C$1703)*1,$C$9:$V$9,$C$111:$V$111)/SUMPRODUCT($C$1686:$V$1686,($C$321:$V$321=C$1703)*1,$C$9:$V$9)))</f>
        <v/>
      </c>
      <c r="D2320" s="173">
        <f>IF(D1795=0,"",IF(EXACT(GewAn,"ja"),IF(AND(D2110&lt;&gt;"",D2215&lt;&gt;""),(D2110*GewP+D2215*GewT)/(GewP+GewT),IF(D2110&lt;&gt;"",D2110,IF(D2215&lt;&gt;"",D2215,""))),SUMPRODUCT($C$1686:$V$1686,($C$321:$V$321=D$1703)*1,$C$9:$V$9,$C$111:$V$111)/SUMPRODUCT($C$1686:$V$1686,($C$321:$V$321=D$1703)*1,$C$9:$V$9)))</f>
        <v/>
      </c>
      <c r="E2320" s="173">
        <f>IF(E1795=0,"",IF(EXACT(GewAn,"ja"),IF(AND(E2110&lt;&gt;"",E2215&lt;&gt;""),(E2110*GewP+E2215*GewT)/(GewP+GewT),IF(E2110&lt;&gt;"",E2110,IF(E2215&lt;&gt;"",E2215,""))),SUMPRODUCT($C$1686:$V$1686,($C$321:$V$321=E$1703)*1,$C$9:$V$9,$C$111:$V$111)/SUMPRODUCT($C$1686:$V$1686,($C$321:$V$321=E$1703)*1,$C$9:$V$9)))</f>
        <v/>
      </c>
      <c r="F2320" s="173">
        <f>IF(F1795=0,"",IF(EXACT(GewAn,"ja"),IF(AND(F2110&lt;&gt;"",F2215&lt;&gt;""),(F2110*GewP+F2215*GewT)/(GewP+GewT),IF(F2110&lt;&gt;"",F2110,IF(F2215&lt;&gt;"",F2215,""))),SUMPRODUCT($C$1686:$V$1686,($C$321:$V$321=F$1703)*1,$C$9:$V$9,$C$111:$V$111)/SUMPRODUCT($C$1686:$V$1686,($C$321:$V$321=F$1703)*1,$C$9:$V$9)))</f>
        <v/>
      </c>
      <c r="G2320" s="173">
        <f>IF(G1795=0,"",IF(EXACT(GewAn,"ja"),IF(AND(G2110&lt;&gt;"",G2215&lt;&gt;""),(G2110*GewP+G2215*GewT)/(GewP+GewT),IF(G2110&lt;&gt;"",G2110,IF(G2215&lt;&gt;"",G2215,""))),SUMPRODUCT($C$1686:$V$1686,($C$321:$V$321=G$1703)*1,$C$9:$V$9,$C$111:$V$111)/SUMPRODUCT($C$1686:$V$1686,($C$321:$V$321=G$1703)*1,$C$9:$V$9)))</f>
        <v/>
      </c>
      <c r="H2320" s="173">
        <f>IF(H1795=0,"",IF(EXACT(GewAn,"ja"),IF(AND(H2110&lt;&gt;"",H2215&lt;&gt;""),(H2110*GewP+H2215*GewT)/(GewP+GewT),IF(H2110&lt;&gt;"",H2110,IF(H2215&lt;&gt;"",H2215,""))),SUMPRODUCT($C$1686:$V$1686,($C$321:$V$321=H$1703)*1,$C$9:$V$9,$C$111:$V$111)/SUMPRODUCT($C$1686:$V$1686,($C$321:$V$321=H$1703)*1,$C$9:$V$9)))</f>
        <v/>
      </c>
      <c r="I2320" s="173">
        <f>IF(I1795=0,"",IF(EXACT(GewAn,"ja"),IF(AND(I2110&lt;&gt;"",I2215&lt;&gt;""),(I2110*GewP+I2215*GewT)/(GewP+GewT),IF(I2110&lt;&gt;"",I2110,IF(I2215&lt;&gt;"",I2215,""))),SUMPRODUCT($C$1686:$V$1686,($C$321:$V$321=I$1703)*1,$C$9:$V$9,$C$111:$V$111)/SUMPRODUCT($C$1686:$V$1686,($C$321:$V$321=I$1703)*1,$C$9:$V$9)))</f>
        <v/>
      </c>
      <c r="J2320" s="173">
        <f>IF(J1795=0,"",IF(EXACT(GewAn,"ja"),IF(AND(J2110&lt;&gt;"",J2215&lt;&gt;""),(J2110*GewP+J2215*GewT)/(GewP+GewT),IF(J2110&lt;&gt;"",J2110,IF(J2215&lt;&gt;"",J2215,""))),SUMPRODUCT($C$1686:$V$1686,($C$321:$V$321=J$1703)*1,$C$9:$V$9,$C$111:$V$111)/SUMPRODUCT($C$1686:$V$1686,($C$321:$V$321=J$1703)*1,$C$9:$V$9)))</f>
        <v/>
      </c>
    </row>
    <row r="2321">
      <c r="C2321" s="173">
        <f>IF(C1796=0,"",IF(EXACT(GewAn,"ja"),IF(AND(C2111&lt;&gt;"",C2216&lt;&gt;""),(C2111*GewP+C2216*GewT)/(GewP+GewT),IF(C2111&lt;&gt;"",C2111,IF(C2216&lt;&gt;"",C2216,""))),SUMPRODUCT($C$1687:$V$1687,($C$322:$V$322=C$1703)*1,$C$9:$V$9,$C$112:$V$112)/SUMPRODUCT($C$1687:$V$1687,($C$322:$V$322=C$1703)*1,$C$9:$V$9)))</f>
        <v/>
      </c>
      <c r="D2321" s="173">
        <f>IF(D1796=0,"",IF(EXACT(GewAn,"ja"),IF(AND(D2111&lt;&gt;"",D2216&lt;&gt;""),(D2111*GewP+D2216*GewT)/(GewP+GewT),IF(D2111&lt;&gt;"",D2111,IF(D2216&lt;&gt;"",D2216,""))),SUMPRODUCT($C$1687:$V$1687,($C$322:$V$322=D$1703)*1,$C$9:$V$9,$C$112:$V$112)/SUMPRODUCT($C$1687:$V$1687,($C$322:$V$322=D$1703)*1,$C$9:$V$9)))</f>
        <v/>
      </c>
      <c r="E2321" s="173">
        <f>IF(E1796=0,"",IF(EXACT(GewAn,"ja"),IF(AND(E2111&lt;&gt;"",E2216&lt;&gt;""),(E2111*GewP+E2216*GewT)/(GewP+GewT),IF(E2111&lt;&gt;"",E2111,IF(E2216&lt;&gt;"",E2216,""))),SUMPRODUCT($C$1687:$V$1687,($C$322:$V$322=E$1703)*1,$C$9:$V$9,$C$112:$V$112)/SUMPRODUCT($C$1687:$V$1687,($C$322:$V$322=E$1703)*1,$C$9:$V$9)))</f>
        <v/>
      </c>
      <c r="F2321" s="173">
        <f>IF(F1796=0,"",IF(EXACT(GewAn,"ja"),IF(AND(F2111&lt;&gt;"",F2216&lt;&gt;""),(F2111*GewP+F2216*GewT)/(GewP+GewT),IF(F2111&lt;&gt;"",F2111,IF(F2216&lt;&gt;"",F2216,""))),SUMPRODUCT($C$1687:$V$1687,($C$322:$V$322=F$1703)*1,$C$9:$V$9,$C$112:$V$112)/SUMPRODUCT($C$1687:$V$1687,($C$322:$V$322=F$1703)*1,$C$9:$V$9)))</f>
        <v/>
      </c>
      <c r="G2321" s="173">
        <f>IF(G1796=0,"",IF(EXACT(GewAn,"ja"),IF(AND(G2111&lt;&gt;"",G2216&lt;&gt;""),(G2111*GewP+G2216*GewT)/(GewP+GewT),IF(G2111&lt;&gt;"",G2111,IF(G2216&lt;&gt;"",G2216,""))),SUMPRODUCT($C$1687:$V$1687,($C$322:$V$322=G$1703)*1,$C$9:$V$9,$C$112:$V$112)/SUMPRODUCT($C$1687:$V$1687,($C$322:$V$322=G$1703)*1,$C$9:$V$9)))</f>
        <v/>
      </c>
      <c r="H2321" s="173">
        <f>IF(H1796=0,"",IF(EXACT(GewAn,"ja"),IF(AND(H2111&lt;&gt;"",H2216&lt;&gt;""),(H2111*GewP+H2216*GewT)/(GewP+GewT),IF(H2111&lt;&gt;"",H2111,IF(H2216&lt;&gt;"",H2216,""))),SUMPRODUCT($C$1687:$V$1687,($C$322:$V$322=H$1703)*1,$C$9:$V$9,$C$112:$V$112)/SUMPRODUCT($C$1687:$V$1687,($C$322:$V$322=H$1703)*1,$C$9:$V$9)))</f>
        <v/>
      </c>
      <c r="I2321" s="173">
        <f>IF(I1796=0,"",IF(EXACT(GewAn,"ja"),IF(AND(I2111&lt;&gt;"",I2216&lt;&gt;""),(I2111*GewP+I2216*GewT)/(GewP+GewT),IF(I2111&lt;&gt;"",I2111,IF(I2216&lt;&gt;"",I2216,""))),SUMPRODUCT($C$1687:$V$1687,($C$322:$V$322=I$1703)*1,$C$9:$V$9,$C$112:$V$112)/SUMPRODUCT($C$1687:$V$1687,($C$322:$V$322=I$1703)*1,$C$9:$V$9)))</f>
        <v/>
      </c>
      <c r="J2321" s="173">
        <f>IF(J1796=0,"",IF(EXACT(GewAn,"ja"),IF(AND(J2111&lt;&gt;"",J2216&lt;&gt;""),(J2111*GewP+J2216*GewT)/(GewP+GewT),IF(J2111&lt;&gt;"",J2111,IF(J2216&lt;&gt;"",J2216,""))),SUMPRODUCT($C$1687:$V$1687,($C$322:$V$322=J$1703)*1,$C$9:$V$9,$C$112:$V$112)/SUMPRODUCT($C$1687:$V$1687,($C$322:$V$322=J$1703)*1,$C$9:$V$9)))</f>
        <v/>
      </c>
    </row>
    <row r="2322">
      <c r="C2322" s="173">
        <f>IF(C1797=0,"",IF(EXACT(GewAn,"ja"),IF(AND(C2112&lt;&gt;"",C2217&lt;&gt;""),(C2112*GewP+C2217*GewT)/(GewP+GewT),IF(C2112&lt;&gt;"",C2112,IF(C2217&lt;&gt;"",C2217,""))),SUMPRODUCT($C$1688:$V$1688,($C$323:$V$323=C$1703)*1,$C$9:$V$9,$C$113:$V$113)/SUMPRODUCT($C$1688:$V$1688,($C$323:$V$323=C$1703)*1,$C$9:$V$9)))</f>
        <v/>
      </c>
      <c r="D2322" s="173">
        <f>IF(D1797=0,"",IF(EXACT(GewAn,"ja"),IF(AND(D2112&lt;&gt;"",D2217&lt;&gt;""),(D2112*GewP+D2217*GewT)/(GewP+GewT),IF(D2112&lt;&gt;"",D2112,IF(D2217&lt;&gt;"",D2217,""))),SUMPRODUCT($C$1688:$V$1688,($C$323:$V$323=D$1703)*1,$C$9:$V$9,$C$113:$V$113)/SUMPRODUCT($C$1688:$V$1688,($C$323:$V$323=D$1703)*1,$C$9:$V$9)))</f>
        <v/>
      </c>
      <c r="E2322" s="173">
        <f>IF(E1797=0,"",IF(EXACT(GewAn,"ja"),IF(AND(E2112&lt;&gt;"",E2217&lt;&gt;""),(E2112*GewP+E2217*GewT)/(GewP+GewT),IF(E2112&lt;&gt;"",E2112,IF(E2217&lt;&gt;"",E2217,""))),SUMPRODUCT($C$1688:$V$1688,($C$323:$V$323=E$1703)*1,$C$9:$V$9,$C$113:$V$113)/SUMPRODUCT($C$1688:$V$1688,($C$323:$V$323=E$1703)*1,$C$9:$V$9)))</f>
        <v/>
      </c>
      <c r="F2322" s="173">
        <f>IF(F1797=0,"",IF(EXACT(GewAn,"ja"),IF(AND(F2112&lt;&gt;"",F2217&lt;&gt;""),(F2112*GewP+F2217*GewT)/(GewP+GewT),IF(F2112&lt;&gt;"",F2112,IF(F2217&lt;&gt;"",F2217,""))),SUMPRODUCT($C$1688:$V$1688,($C$323:$V$323=F$1703)*1,$C$9:$V$9,$C$113:$V$113)/SUMPRODUCT($C$1688:$V$1688,($C$323:$V$323=F$1703)*1,$C$9:$V$9)))</f>
        <v/>
      </c>
      <c r="G2322" s="173">
        <f>IF(G1797=0,"",IF(EXACT(GewAn,"ja"),IF(AND(G2112&lt;&gt;"",G2217&lt;&gt;""),(G2112*GewP+G2217*GewT)/(GewP+GewT),IF(G2112&lt;&gt;"",G2112,IF(G2217&lt;&gt;"",G2217,""))),SUMPRODUCT($C$1688:$V$1688,($C$323:$V$323=G$1703)*1,$C$9:$V$9,$C$113:$V$113)/SUMPRODUCT($C$1688:$V$1688,($C$323:$V$323=G$1703)*1,$C$9:$V$9)))</f>
        <v/>
      </c>
      <c r="H2322" s="173">
        <f>IF(H1797=0,"",IF(EXACT(GewAn,"ja"),IF(AND(H2112&lt;&gt;"",H2217&lt;&gt;""),(H2112*GewP+H2217*GewT)/(GewP+GewT),IF(H2112&lt;&gt;"",H2112,IF(H2217&lt;&gt;"",H2217,""))),SUMPRODUCT($C$1688:$V$1688,($C$323:$V$323=H$1703)*1,$C$9:$V$9,$C$113:$V$113)/SUMPRODUCT($C$1688:$V$1688,($C$323:$V$323=H$1703)*1,$C$9:$V$9)))</f>
        <v/>
      </c>
      <c r="I2322" s="173">
        <f>IF(I1797=0,"",IF(EXACT(GewAn,"ja"),IF(AND(I2112&lt;&gt;"",I2217&lt;&gt;""),(I2112*GewP+I2217*GewT)/(GewP+GewT),IF(I2112&lt;&gt;"",I2112,IF(I2217&lt;&gt;"",I2217,""))),SUMPRODUCT($C$1688:$V$1688,($C$323:$V$323=I$1703)*1,$C$9:$V$9,$C$113:$V$113)/SUMPRODUCT($C$1688:$V$1688,($C$323:$V$323=I$1703)*1,$C$9:$V$9)))</f>
        <v/>
      </c>
      <c r="J2322" s="173">
        <f>IF(J1797=0,"",IF(EXACT(GewAn,"ja"),IF(AND(J2112&lt;&gt;"",J2217&lt;&gt;""),(J2112*GewP+J2217*GewT)/(GewP+GewT),IF(J2112&lt;&gt;"",J2112,IF(J2217&lt;&gt;"",J2217,""))),SUMPRODUCT($C$1688:$V$1688,($C$323:$V$323=J$1703)*1,$C$9:$V$9,$C$113:$V$113)/SUMPRODUCT($C$1688:$V$1688,($C$323:$V$323=J$1703)*1,$C$9:$V$9)))</f>
        <v/>
      </c>
    </row>
    <row r="2323">
      <c r="C2323" s="173">
        <f>IF(C1798=0,"",IF(EXACT(GewAn,"ja"),IF(AND(C2113&lt;&gt;"",C2218&lt;&gt;""),(C2113*GewP+C2218*GewT)/(GewP+GewT),IF(C2113&lt;&gt;"",C2113,IF(C2218&lt;&gt;"",C2218,""))),SUMPRODUCT($C$1689:$V$1689,($C$324:$V$324=C$1703)*1,$C$9:$V$9,$C$114:$V$114)/SUMPRODUCT($C$1689:$V$1689,($C$324:$V$324=C$1703)*1,$C$9:$V$9)))</f>
        <v/>
      </c>
      <c r="D2323" s="173">
        <f>IF(D1798=0,"",IF(EXACT(GewAn,"ja"),IF(AND(D2113&lt;&gt;"",D2218&lt;&gt;""),(D2113*GewP+D2218*GewT)/(GewP+GewT),IF(D2113&lt;&gt;"",D2113,IF(D2218&lt;&gt;"",D2218,""))),SUMPRODUCT($C$1689:$V$1689,($C$324:$V$324=D$1703)*1,$C$9:$V$9,$C$114:$V$114)/SUMPRODUCT($C$1689:$V$1689,($C$324:$V$324=D$1703)*1,$C$9:$V$9)))</f>
        <v/>
      </c>
      <c r="E2323" s="173">
        <f>IF(E1798=0,"",IF(EXACT(GewAn,"ja"),IF(AND(E2113&lt;&gt;"",E2218&lt;&gt;""),(E2113*GewP+E2218*GewT)/(GewP+GewT),IF(E2113&lt;&gt;"",E2113,IF(E2218&lt;&gt;"",E2218,""))),SUMPRODUCT($C$1689:$V$1689,($C$324:$V$324=E$1703)*1,$C$9:$V$9,$C$114:$V$114)/SUMPRODUCT($C$1689:$V$1689,($C$324:$V$324=E$1703)*1,$C$9:$V$9)))</f>
        <v/>
      </c>
      <c r="F2323" s="173">
        <f>IF(F1798=0,"",IF(EXACT(GewAn,"ja"),IF(AND(F2113&lt;&gt;"",F2218&lt;&gt;""),(F2113*GewP+F2218*GewT)/(GewP+GewT),IF(F2113&lt;&gt;"",F2113,IF(F2218&lt;&gt;"",F2218,""))),SUMPRODUCT($C$1689:$V$1689,($C$324:$V$324=F$1703)*1,$C$9:$V$9,$C$114:$V$114)/SUMPRODUCT($C$1689:$V$1689,($C$324:$V$324=F$1703)*1,$C$9:$V$9)))</f>
        <v/>
      </c>
      <c r="G2323" s="173">
        <f>IF(G1798=0,"",IF(EXACT(GewAn,"ja"),IF(AND(G2113&lt;&gt;"",G2218&lt;&gt;""),(G2113*GewP+G2218*GewT)/(GewP+GewT),IF(G2113&lt;&gt;"",G2113,IF(G2218&lt;&gt;"",G2218,""))),SUMPRODUCT($C$1689:$V$1689,($C$324:$V$324=G$1703)*1,$C$9:$V$9,$C$114:$V$114)/SUMPRODUCT($C$1689:$V$1689,($C$324:$V$324=G$1703)*1,$C$9:$V$9)))</f>
        <v/>
      </c>
      <c r="H2323" s="173">
        <f>IF(H1798=0,"",IF(EXACT(GewAn,"ja"),IF(AND(H2113&lt;&gt;"",H2218&lt;&gt;""),(H2113*GewP+H2218*GewT)/(GewP+GewT),IF(H2113&lt;&gt;"",H2113,IF(H2218&lt;&gt;"",H2218,""))),SUMPRODUCT($C$1689:$V$1689,($C$324:$V$324=H$1703)*1,$C$9:$V$9,$C$114:$V$114)/SUMPRODUCT($C$1689:$V$1689,($C$324:$V$324=H$1703)*1,$C$9:$V$9)))</f>
        <v/>
      </c>
      <c r="I2323" s="173">
        <f>IF(I1798=0,"",IF(EXACT(GewAn,"ja"),IF(AND(I2113&lt;&gt;"",I2218&lt;&gt;""),(I2113*GewP+I2218*GewT)/(GewP+GewT),IF(I2113&lt;&gt;"",I2113,IF(I2218&lt;&gt;"",I2218,""))),SUMPRODUCT($C$1689:$V$1689,($C$324:$V$324=I$1703)*1,$C$9:$V$9,$C$114:$V$114)/SUMPRODUCT($C$1689:$V$1689,($C$324:$V$324=I$1703)*1,$C$9:$V$9)))</f>
        <v/>
      </c>
      <c r="J2323" s="173">
        <f>IF(J1798=0,"",IF(EXACT(GewAn,"ja"),IF(AND(J2113&lt;&gt;"",J2218&lt;&gt;""),(J2113*GewP+J2218*GewT)/(GewP+GewT),IF(J2113&lt;&gt;"",J2113,IF(J2218&lt;&gt;"",J2218,""))),SUMPRODUCT($C$1689:$V$1689,($C$324:$V$324=J$1703)*1,$C$9:$V$9,$C$114:$V$114)/SUMPRODUCT($C$1689:$V$1689,($C$324:$V$324=J$1703)*1,$C$9:$V$9)))</f>
        <v/>
      </c>
    </row>
    <row r="2324">
      <c r="C2324" s="173">
        <f>IF(C1799=0,"",IF(EXACT(GewAn,"ja"),IF(AND(C2114&lt;&gt;"",C2219&lt;&gt;""),(C2114*GewP+C2219*GewT)/(GewP+GewT),IF(C2114&lt;&gt;"",C2114,IF(C2219&lt;&gt;"",C2219,""))),SUMPRODUCT($C$1690:$V$1690,($C$325:$V$325=C$1703)*1,$C$9:$V$9,$C$115:$V$115)/SUMPRODUCT($C$1690:$V$1690,($C$325:$V$325=C$1703)*1,$C$9:$V$9)))</f>
        <v/>
      </c>
      <c r="D2324" s="173">
        <f>IF(D1799=0,"",IF(EXACT(GewAn,"ja"),IF(AND(D2114&lt;&gt;"",D2219&lt;&gt;""),(D2114*GewP+D2219*GewT)/(GewP+GewT),IF(D2114&lt;&gt;"",D2114,IF(D2219&lt;&gt;"",D2219,""))),SUMPRODUCT($C$1690:$V$1690,($C$325:$V$325=D$1703)*1,$C$9:$V$9,$C$115:$V$115)/SUMPRODUCT($C$1690:$V$1690,($C$325:$V$325=D$1703)*1,$C$9:$V$9)))</f>
        <v/>
      </c>
      <c r="E2324" s="173">
        <f>IF(E1799=0,"",IF(EXACT(GewAn,"ja"),IF(AND(E2114&lt;&gt;"",E2219&lt;&gt;""),(E2114*GewP+E2219*GewT)/(GewP+GewT),IF(E2114&lt;&gt;"",E2114,IF(E2219&lt;&gt;"",E2219,""))),SUMPRODUCT($C$1690:$V$1690,($C$325:$V$325=E$1703)*1,$C$9:$V$9,$C$115:$V$115)/SUMPRODUCT($C$1690:$V$1690,($C$325:$V$325=E$1703)*1,$C$9:$V$9)))</f>
        <v/>
      </c>
      <c r="F2324" s="173">
        <f>IF(F1799=0,"",IF(EXACT(GewAn,"ja"),IF(AND(F2114&lt;&gt;"",F2219&lt;&gt;""),(F2114*GewP+F2219*GewT)/(GewP+GewT),IF(F2114&lt;&gt;"",F2114,IF(F2219&lt;&gt;"",F2219,""))),SUMPRODUCT($C$1690:$V$1690,($C$325:$V$325=F$1703)*1,$C$9:$V$9,$C$115:$V$115)/SUMPRODUCT($C$1690:$V$1690,($C$325:$V$325=F$1703)*1,$C$9:$V$9)))</f>
        <v/>
      </c>
      <c r="G2324" s="173">
        <f>IF(G1799=0,"",IF(EXACT(GewAn,"ja"),IF(AND(G2114&lt;&gt;"",G2219&lt;&gt;""),(G2114*GewP+G2219*GewT)/(GewP+GewT),IF(G2114&lt;&gt;"",G2114,IF(G2219&lt;&gt;"",G2219,""))),SUMPRODUCT($C$1690:$V$1690,($C$325:$V$325=G$1703)*1,$C$9:$V$9,$C$115:$V$115)/SUMPRODUCT($C$1690:$V$1690,($C$325:$V$325=G$1703)*1,$C$9:$V$9)))</f>
        <v/>
      </c>
      <c r="H2324" s="173">
        <f>IF(H1799=0,"",IF(EXACT(GewAn,"ja"),IF(AND(H2114&lt;&gt;"",H2219&lt;&gt;""),(H2114*GewP+H2219*GewT)/(GewP+GewT),IF(H2114&lt;&gt;"",H2114,IF(H2219&lt;&gt;"",H2219,""))),SUMPRODUCT($C$1690:$V$1690,($C$325:$V$325=H$1703)*1,$C$9:$V$9,$C$115:$V$115)/SUMPRODUCT($C$1690:$V$1690,($C$325:$V$325=H$1703)*1,$C$9:$V$9)))</f>
        <v/>
      </c>
      <c r="I2324" s="173">
        <f>IF(I1799=0,"",IF(EXACT(GewAn,"ja"),IF(AND(I2114&lt;&gt;"",I2219&lt;&gt;""),(I2114*GewP+I2219*GewT)/(GewP+GewT),IF(I2114&lt;&gt;"",I2114,IF(I2219&lt;&gt;"",I2219,""))),SUMPRODUCT($C$1690:$V$1690,($C$325:$V$325=I$1703)*1,$C$9:$V$9,$C$115:$V$115)/SUMPRODUCT($C$1690:$V$1690,($C$325:$V$325=I$1703)*1,$C$9:$V$9)))</f>
        <v/>
      </c>
      <c r="J2324" s="173">
        <f>IF(J1799=0,"",IF(EXACT(GewAn,"ja"),IF(AND(J2114&lt;&gt;"",J2219&lt;&gt;""),(J2114*GewP+J2219*GewT)/(GewP+GewT),IF(J2114&lt;&gt;"",J2114,IF(J2219&lt;&gt;"",J2219,""))),SUMPRODUCT($C$1690:$V$1690,($C$325:$V$325=J$1703)*1,$C$9:$V$9,$C$115:$V$115)/SUMPRODUCT($C$1690:$V$1690,($C$325:$V$325=J$1703)*1,$C$9:$V$9)))</f>
        <v/>
      </c>
    </row>
    <row r="2325">
      <c r="C2325" s="173">
        <f>IF(C1800=0,"",IF(EXACT(GewAn,"ja"),IF(AND(C2115&lt;&gt;"",C2220&lt;&gt;""),(C2115*GewP+C2220*GewT)/(GewP+GewT),IF(C2115&lt;&gt;"",C2115,IF(C2220&lt;&gt;"",C2220,""))),SUMPRODUCT($C$1691:$V$1691,($C$326:$V$326=C$1703)*1,$C$9:$V$9,$C$116:$V$116)/SUMPRODUCT($C$1691:$V$1691,($C$326:$V$326=C$1703)*1,$C$9:$V$9)))</f>
        <v/>
      </c>
      <c r="D2325" s="173">
        <f>IF(D1800=0,"",IF(EXACT(GewAn,"ja"),IF(AND(D2115&lt;&gt;"",D2220&lt;&gt;""),(D2115*GewP+D2220*GewT)/(GewP+GewT),IF(D2115&lt;&gt;"",D2115,IF(D2220&lt;&gt;"",D2220,""))),SUMPRODUCT($C$1691:$V$1691,($C$326:$V$326=D$1703)*1,$C$9:$V$9,$C$116:$V$116)/SUMPRODUCT($C$1691:$V$1691,($C$326:$V$326=D$1703)*1,$C$9:$V$9)))</f>
        <v/>
      </c>
      <c r="E2325" s="173">
        <f>IF(E1800=0,"",IF(EXACT(GewAn,"ja"),IF(AND(E2115&lt;&gt;"",E2220&lt;&gt;""),(E2115*GewP+E2220*GewT)/(GewP+GewT),IF(E2115&lt;&gt;"",E2115,IF(E2220&lt;&gt;"",E2220,""))),SUMPRODUCT($C$1691:$V$1691,($C$326:$V$326=E$1703)*1,$C$9:$V$9,$C$116:$V$116)/SUMPRODUCT($C$1691:$V$1691,($C$326:$V$326=E$1703)*1,$C$9:$V$9)))</f>
        <v/>
      </c>
      <c r="F2325" s="173">
        <f>IF(F1800=0,"",IF(EXACT(GewAn,"ja"),IF(AND(F2115&lt;&gt;"",F2220&lt;&gt;""),(F2115*GewP+F2220*GewT)/(GewP+GewT),IF(F2115&lt;&gt;"",F2115,IF(F2220&lt;&gt;"",F2220,""))),SUMPRODUCT($C$1691:$V$1691,($C$326:$V$326=F$1703)*1,$C$9:$V$9,$C$116:$V$116)/SUMPRODUCT($C$1691:$V$1691,($C$326:$V$326=F$1703)*1,$C$9:$V$9)))</f>
        <v/>
      </c>
      <c r="G2325" s="173">
        <f>IF(G1800=0,"",IF(EXACT(GewAn,"ja"),IF(AND(G2115&lt;&gt;"",G2220&lt;&gt;""),(G2115*GewP+G2220*GewT)/(GewP+GewT),IF(G2115&lt;&gt;"",G2115,IF(G2220&lt;&gt;"",G2220,""))),SUMPRODUCT($C$1691:$V$1691,($C$326:$V$326=G$1703)*1,$C$9:$V$9,$C$116:$V$116)/SUMPRODUCT($C$1691:$V$1691,($C$326:$V$326=G$1703)*1,$C$9:$V$9)))</f>
        <v/>
      </c>
      <c r="H2325" s="173">
        <f>IF(H1800=0,"",IF(EXACT(GewAn,"ja"),IF(AND(H2115&lt;&gt;"",H2220&lt;&gt;""),(H2115*GewP+H2220*GewT)/(GewP+GewT),IF(H2115&lt;&gt;"",H2115,IF(H2220&lt;&gt;"",H2220,""))),SUMPRODUCT($C$1691:$V$1691,($C$326:$V$326=H$1703)*1,$C$9:$V$9,$C$116:$V$116)/SUMPRODUCT($C$1691:$V$1691,($C$326:$V$326=H$1703)*1,$C$9:$V$9)))</f>
        <v/>
      </c>
      <c r="I2325" s="173">
        <f>IF(I1800=0,"",IF(EXACT(GewAn,"ja"),IF(AND(I2115&lt;&gt;"",I2220&lt;&gt;""),(I2115*GewP+I2220*GewT)/(GewP+GewT),IF(I2115&lt;&gt;"",I2115,IF(I2220&lt;&gt;"",I2220,""))),SUMPRODUCT($C$1691:$V$1691,($C$326:$V$326=I$1703)*1,$C$9:$V$9,$C$116:$V$116)/SUMPRODUCT($C$1691:$V$1691,($C$326:$V$326=I$1703)*1,$C$9:$V$9)))</f>
        <v/>
      </c>
      <c r="J2325" s="173">
        <f>IF(J1800=0,"",IF(EXACT(GewAn,"ja"),IF(AND(J2115&lt;&gt;"",J2220&lt;&gt;""),(J2115*GewP+J2220*GewT)/(GewP+GewT),IF(J2115&lt;&gt;"",J2115,IF(J2220&lt;&gt;"",J2220,""))),SUMPRODUCT($C$1691:$V$1691,($C$326:$V$326=J$1703)*1,$C$9:$V$9,$C$116:$V$116)/SUMPRODUCT($C$1691:$V$1691,($C$326:$V$326=J$1703)*1,$C$9:$V$9)))</f>
        <v/>
      </c>
    </row>
    <row r="2326">
      <c r="C2326" s="173">
        <f>IF(C1801=0,"",IF(EXACT(GewAn,"ja"),IF(AND(C2116&lt;&gt;"",C2221&lt;&gt;""),(C2116*GewP+C2221*GewT)/(GewP+GewT),IF(C2116&lt;&gt;"",C2116,IF(C2221&lt;&gt;"",C2221,""))),SUMPRODUCT($C$1692:$V$1692,($C$327:$V$327=C$1703)*1,$C$9:$V$9,$C$117:$V$117)/SUMPRODUCT($C$1692:$V$1692,($C$327:$V$327=C$1703)*1,$C$9:$V$9)))</f>
        <v/>
      </c>
      <c r="D2326" s="173">
        <f>IF(D1801=0,"",IF(EXACT(GewAn,"ja"),IF(AND(D2116&lt;&gt;"",D2221&lt;&gt;""),(D2116*GewP+D2221*GewT)/(GewP+GewT),IF(D2116&lt;&gt;"",D2116,IF(D2221&lt;&gt;"",D2221,""))),SUMPRODUCT($C$1692:$V$1692,($C$327:$V$327=D$1703)*1,$C$9:$V$9,$C$117:$V$117)/SUMPRODUCT($C$1692:$V$1692,($C$327:$V$327=D$1703)*1,$C$9:$V$9)))</f>
        <v/>
      </c>
      <c r="E2326" s="173">
        <f>IF(E1801=0,"",IF(EXACT(GewAn,"ja"),IF(AND(E2116&lt;&gt;"",E2221&lt;&gt;""),(E2116*GewP+E2221*GewT)/(GewP+GewT),IF(E2116&lt;&gt;"",E2116,IF(E2221&lt;&gt;"",E2221,""))),SUMPRODUCT($C$1692:$V$1692,($C$327:$V$327=E$1703)*1,$C$9:$V$9,$C$117:$V$117)/SUMPRODUCT($C$1692:$V$1692,($C$327:$V$327=E$1703)*1,$C$9:$V$9)))</f>
        <v/>
      </c>
      <c r="F2326" s="173">
        <f>IF(F1801=0,"",IF(EXACT(GewAn,"ja"),IF(AND(F2116&lt;&gt;"",F2221&lt;&gt;""),(F2116*GewP+F2221*GewT)/(GewP+GewT),IF(F2116&lt;&gt;"",F2116,IF(F2221&lt;&gt;"",F2221,""))),SUMPRODUCT($C$1692:$V$1692,($C$327:$V$327=F$1703)*1,$C$9:$V$9,$C$117:$V$117)/SUMPRODUCT($C$1692:$V$1692,($C$327:$V$327=F$1703)*1,$C$9:$V$9)))</f>
        <v/>
      </c>
      <c r="G2326" s="173">
        <f>IF(G1801=0,"",IF(EXACT(GewAn,"ja"),IF(AND(G2116&lt;&gt;"",G2221&lt;&gt;""),(G2116*GewP+G2221*GewT)/(GewP+GewT),IF(G2116&lt;&gt;"",G2116,IF(G2221&lt;&gt;"",G2221,""))),SUMPRODUCT($C$1692:$V$1692,($C$327:$V$327=G$1703)*1,$C$9:$V$9,$C$117:$V$117)/SUMPRODUCT($C$1692:$V$1692,($C$327:$V$327=G$1703)*1,$C$9:$V$9)))</f>
        <v/>
      </c>
      <c r="H2326" s="173">
        <f>IF(H1801=0,"",IF(EXACT(GewAn,"ja"),IF(AND(H2116&lt;&gt;"",H2221&lt;&gt;""),(H2116*GewP+H2221*GewT)/(GewP+GewT),IF(H2116&lt;&gt;"",H2116,IF(H2221&lt;&gt;"",H2221,""))),SUMPRODUCT($C$1692:$V$1692,($C$327:$V$327=H$1703)*1,$C$9:$V$9,$C$117:$V$117)/SUMPRODUCT($C$1692:$V$1692,($C$327:$V$327=H$1703)*1,$C$9:$V$9)))</f>
        <v/>
      </c>
      <c r="I2326" s="173">
        <f>IF(I1801=0,"",IF(EXACT(GewAn,"ja"),IF(AND(I2116&lt;&gt;"",I2221&lt;&gt;""),(I2116*GewP+I2221*GewT)/(GewP+GewT),IF(I2116&lt;&gt;"",I2116,IF(I2221&lt;&gt;"",I2221,""))),SUMPRODUCT($C$1692:$V$1692,($C$327:$V$327=I$1703)*1,$C$9:$V$9,$C$117:$V$117)/SUMPRODUCT($C$1692:$V$1692,($C$327:$V$327=I$1703)*1,$C$9:$V$9)))</f>
        <v/>
      </c>
      <c r="J2326" s="173">
        <f>IF(J1801=0,"",IF(EXACT(GewAn,"ja"),IF(AND(J2116&lt;&gt;"",J2221&lt;&gt;""),(J2116*GewP+J2221*GewT)/(GewP+GewT),IF(J2116&lt;&gt;"",J2116,IF(J2221&lt;&gt;"",J2221,""))),SUMPRODUCT($C$1692:$V$1692,($C$327:$V$327=J$1703)*1,$C$9:$V$9,$C$117:$V$117)/SUMPRODUCT($C$1692:$V$1692,($C$327:$V$327=J$1703)*1,$C$9:$V$9)))</f>
        <v/>
      </c>
    </row>
    <row r="2327">
      <c r="C2327" s="173">
        <f>IF(C1802=0,"",IF(EXACT(GewAn,"ja"),IF(AND(C2117&lt;&gt;"",C2222&lt;&gt;""),(C2117*GewP+C2222*GewT)/(GewP+GewT),IF(C2117&lt;&gt;"",C2117,IF(C2222&lt;&gt;"",C2222,""))),SUMPRODUCT($C$1693:$V$1693,($C$328:$V$328=C$1703)*1,$C$9:$V$9,$C$118:$V$118)/SUMPRODUCT($C$1693:$V$1693,($C$328:$V$328=C$1703)*1,$C$9:$V$9)))</f>
        <v/>
      </c>
      <c r="D2327" s="173">
        <f>IF(D1802=0,"",IF(EXACT(GewAn,"ja"),IF(AND(D2117&lt;&gt;"",D2222&lt;&gt;""),(D2117*GewP+D2222*GewT)/(GewP+GewT),IF(D2117&lt;&gt;"",D2117,IF(D2222&lt;&gt;"",D2222,""))),SUMPRODUCT($C$1693:$V$1693,($C$328:$V$328=D$1703)*1,$C$9:$V$9,$C$118:$V$118)/SUMPRODUCT($C$1693:$V$1693,($C$328:$V$328=D$1703)*1,$C$9:$V$9)))</f>
        <v/>
      </c>
      <c r="E2327" s="173">
        <f>IF(E1802=0,"",IF(EXACT(GewAn,"ja"),IF(AND(E2117&lt;&gt;"",E2222&lt;&gt;""),(E2117*GewP+E2222*GewT)/(GewP+GewT),IF(E2117&lt;&gt;"",E2117,IF(E2222&lt;&gt;"",E2222,""))),SUMPRODUCT($C$1693:$V$1693,($C$328:$V$328=E$1703)*1,$C$9:$V$9,$C$118:$V$118)/SUMPRODUCT($C$1693:$V$1693,($C$328:$V$328=E$1703)*1,$C$9:$V$9)))</f>
        <v/>
      </c>
      <c r="F2327" s="173">
        <f>IF(F1802=0,"",IF(EXACT(GewAn,"ja"),IF(AND(F2117&lt;&gt;"",F2222&lt;&gt;""),(F2117*GewP+F2222*GewT)/(GewP+GewT),IF(F2117&lt;&gt;"",F2117,IF(F2222&lt;&gt;"",F2222,""))),SUMPRODUCT($C$1693:$V$1693,($C$328:$V$328=F$1703)*1,$C$9:$V$9,$C$118:$V$118)/SUMPRODUCT($C$1693:$V$1693,($C$328:$V$328=F$1703)*1,$C$9:$V$9)))</f>
        <v/>
      </c>
      <c r="G2327" s="173">
        <f>IF(G1802=0,"",IF(EXACT(GewAn,"ja"),IF(AND(G2117&lt;&gt;"",G2222&lt;&gt;""),(G2117*GewP+G2222*GewT)/(GewP+GewT),IF(G2117&lt;&gt;"",G2117,IF(G2222&lt;&gt;"",G2222,""))),SUMPRODUCT($C$1693:$V$1693,($C$328:$V$328=G$1703)*1,$C$9:$V$9,$C$118:$V$118)/SUMPRODUCT($C$1693:$V$1693,($C$328:$V$328=G$1703)*1,$C$9:$V$9)))</f>
        <v/>
      </c>
      <c r="H2327" s="173">
        <f>IF(H1802=0,"",IF(EXACT(GewAn,"ja"),IF(AND(H2117&lt;&gt;"",H2222&lt;&gt;""),(H2117*GewP+H2222*GewT)/(GewP+GewT),IF(H2117&lt;&gt;"",H2117,IF(H2222&lt;&gt;"",H2222,""))),SUMPRODUCT($C$1693:$V$1693,($C$328:$V$328=H$1703)*1,$C$9:$V$9,$C$118:$V$118)/SUMPRODUCT($C$1693:$V$1693,($C$328:$V$328=H$1703)*1,$C$9:$V$9)))</f>
        <v/>
      </c>
      <c r="I2327" s="173">
        <f>IF(I1802=0,"",IF(EXACT(GewAn,"ja"),IF(AND(I2117&lt;&gt;"",I2222&lt;&gt;""),(I2117*GewP+I2222*GewT)/(GewP+GewT),IF(I2117&lt;&gt;"",I2117,IF(I2222&lt;&gt;"",I2222,""))),SUMPRODUCT($C$1693:$V$1693,($C$328:$V$328=I$1703)*1,$C$9:$V$9,$C$118:$V$118)/SUMPRODUCT($C$1693:$V$1693,($C$328:$V$328=I$1703)*1,$C$9:$V$9)))</f>
        <v/>
      </c>
      <c r="J2327" s="173">
        <f>IF(J1802=0,"",IF(EXACT(GewAn,"ja"),IF(AND(J2117&lt;&gt;"",J2222&lt;&gt;""),(J2117*GewP+J2222*GewT)/(GewP+GewT),IF(J2117&lt;&gt;"",J2117,IF(J2222&lt;&gt;"",J2222,""))),SUMPRODUCT($C$1693:$V$1693,($C$328:$V$328=J$1703)*1,$C$9:$V$9,$C$118:$V$118)/SUMPRODUCT($C$1693:$V$1693,($C$328:$V$328=J$1703)*1,$C$9:$V$9)))</f>
        <v/>
      </c>
    </row>
    <row r="2328">
      <c r="C2328" s="173">
        <f>IF(C1803=0,"",IF(EXACT(GewAn,"ja"),IF(AND(C2118&lt;&gt;"",C2223&lt;&gt;""),(C2118*GewP+C2223*GewT)/(GewP+GewT),IF(C2118&lt;&gt;"",C2118,IF(C2223&lt;&gt;"",C2223,""))),SUMPRODUCT($C$1694:$V$1694,($C$329:$V$329=C$1703)*1,$C$9:$V$9,$C$119:$V$119)/SUMPRODUCT($C$1694:$V$1694,($C$329:$V$329=C$1703)*1,$C$9:$V$9)))</f>
        <v/>
      </c>
      <c r="D2328" s="173">
        <f>IF(D1803=0,"",IF(EXACT(GewAn,"ja"),IF(AND(D2118&lt;&gt;"",D2223&lt;&gt;""),(D2118*GewP+D2223*GewT)/(GewP+GewT),IF(D2118&lt;&gt;"",D2118,IF(D2223&lt;&gt;"",D2223,""))),SUMPRODUCT($C$1694:$V$1694,($C$329:$V$329=D$1703)*1,$C$9:$V$9,$C$119:$V$119)/SUMPRODUCT($C$1694:$V$1694,($C$329:$V$329=D$1703)*1,$C$9:$V$9)))</f>
        <v/>
      </c>
      <c r="E2328" s="173">
        <f>IF(E1803=0,"",IF(EXACT(GewAn,"ja"),IF(AND(E2118&lt;&gt;"",E2223&lt;&gt;""),(E2118*GewP+E2223*GewT)/(GewP+GewT),IF(E2118&lt;&gt;"",E2118,IF(E2223&lt;&gt;"",E2223,""))),SUMPRODUCT($C$1694:$V$1694,($C$329:$V$329=E$1703)*1,$C$9:$V$9,$C$119:$V$119)/SUMPRODUCT($C$1694:$V$1694,($C$329:$V$329=E$1703)*1,$C$9:$V$9)))</f>
        <v/>
      </c>
      <c r="F2328" s="173">
        <f>IF(F1803=0,"",IF(EXACT(GewAn,"ja"),IF(AND(F2118&lt;&gt;"",F2223&lt;&gt;""),(F2118*GewP+F2223*GewT)/(GewP+GewT),IF(F2118&lt;&gt;"",F2118,IF(F2223&lt;&gt;"",F2223,""))),SUMPRODUCT($C$1694:$V$1694,($C$329:$V$329=F$1703)*1,$C$9:$V$9,$C$119:$V$119)/SUMPRODUCT($C$1694:$V$1694,($C$329:$V$329=F$1703)*1,$C$9:$V$9)))</f>
        <v/>
      </c>
      <c r="G2328" s="173">
        <f>IF(G1803=0,"",IF(EXACT(GewAn,"ja"),IF(AND(G2118&lt;&gt;"",G2223&lt;&gt;""),(G2118*GewP+G2223*GewT)/(GewP+GewT),IF(G2118&lt;&gt;"",G2118,IF(G2223&lt;&gt;"",G2223,""))),SUMPRODUCT($C$1694:$V$1694,($C$329:$V$329=G$1703)*1,$C$9:$V$9,$C$119:$V$119)/SUMPRODUCT($C$1694:$V$1694,($C$329:$V$329=G$1703)*1,$C$9:$V$9)))</f>
        <v/>
      </c>
      <c r="H2328" s="173">
        <f>IF(H1803=0,"",IF(EXACT(GewAn,"ja"),IF(AND(H2118&lt;&gt;"",H2223&lt;&gt;""),(H2118*GewP+H2223*GewT)/(GewP+GewT),IF(H2118&lt;&gt;"",H2118,IF(H2223&lt;&gt;"",H2223,""))),SUMPRODUCT($C$1694:$V$1694,($C$329:$V$329=H$1703)*1,$C$9:$V$9,$C$119:$V$119)/SUMPRODUCT($C$1694:$V$1694,($C$329:$V$329=H$1703)*1,$C$9:$V$9)))</f>
        <v/>
      </c>
      <c r="I2328" s="173">
        <f>IF(I1803=0,"",IF(EXACT(GewAn,"ja"),IF(AND(I2118&lt;&gt;"",I2223&lt;&gt;""),(I2118*GewP+I2223*GewT)/(GewP+GewT),IF(I2118&lt;&gt;"",I2118,IF(I2223&lt;&gt;"",I2223,""))),SUMPRODUCT($C$1694:$V$1694,($C$329:$V$329=I$1703)*1,$C$9:$V$9,$C$119:$V$119)/SUMPRODUCT($C$1694:$V$1694,($C$329:$V$329=I$1703)*1,$C$9:$V$9)))</f>
        <v/>
      </c>
      <c r="J2328" s="173">
        <f>IF(J1803=0,"",IF(EXACT(GewAn,"ja"),IF(AND(J2118&lt;&gt;"",J2223&lt;&gt;""),(J2118*GewP+J2223*GewT)/(GewP+GewT),IF(J2118&lt;&gt;"",J2118,IF(J2223&lt;&gt;"",J2223,""))),SUMPRODUCT($C$1694:$V$1694,($C$329:$V$329=J$1703)*1,$C$9:$V$9,$C$119:$V$119)/SUMPRODUCT($C$1694:$V$1694,($C$329:$V$329=J$1703)*1,$C$9:$V$9)))</f>
        <v/>
      </c>
    </row>
    <row r="2335">
      <c r="A2335" s="174" t="inlineStr">
        <is>
          <t>Gespräch: Übungen des HJ</t>
        </is>
      </c>
      <c r="C2335" s="62">
        <f>IF(OR($B$2342=0,$B$2343&lt;1,$B$2343&gt;8),"",IF(AND(INDEX($C$1595:$V$1694,$B$2342,1)=1,INDEX($C$230:$V$329,$B$2342,1)=$B$2343),1,""))</f>
        <v/>
      </c>
      <c r="D2335" s="62">
        <f>IF(OR($B$2342=0,$B$2343&lt;1,$B$2343&gt;8),"",IF(AND(INDEX($C$1595:$V$1694,$B$2342,2)=1,INDEX($C$230:$V$329,$B$2342,2)=$B$2343),2,""))</f>
        <v/>
      </c>
      <c r="E2335" s="62">
        <f>IF(OR($B$2342=0,$B$2343&lt;1,$B$2343&gt;8),"",IF(AND(INDEX($C$1595:$V$1694,$B$2342,3)=1,INDEX($C$230:$V$329,$B$2342,3)=$B$2343),3,""))</f>
        <v/>
      </c>
      <c r="F2335" s="62">
        <f>IF(OR($B$2342=0,$B$2343&lt;1,$B$2343&gt;8),"",IF(AND(INDEX($C$1595:$V$1694,$B$2342,4)=1,INDEX($C$230:$V$329,$B$2342,4)=$B$2343),4,""))</f>
        <v/>
      </c>
      <c r="G2335" s="62">
        <f>IF(OR($B$2342=0,$B$2343&lt;1,$B$2343&gt;8),"",IF(AND(INDEX($C$1595:$V$1694,$B$2342,5)=1,INDEX($C$230:$V$329,$B$2342,5)=$B$2343),5,""))</f>
        <v/>
      </c>
      <c r="H2335" s="62">
        <f>IF(OR($B$2342=0,$B$2343&lt;1,$B$2343&gt;8),"",IF(AND(INDEX($C$1595:$V$1694,$B$2342,6)=1,INDEX($C$230:$V$329,$B$2342,6)=$B$2343),6,""))</f>
        <v/>
      </c>
      <c r="I2335" s="62">
        <f>IF(OR($B$2342=0,$B$2343&lt;1,$B$2343&gt;8),"",IF(AND(INDEX($C$1595:$V$1694,$B$2342,7)=1,INDEX($C$230:$V$329,$B$2342,7)=$B$2343),7,""))</f>
        <v/>
      </c>
      <c r="J2335" s="62">
        <f>IF(OR($B$2342=0,$B$2343&lt;1,$B$2343&gt;8),"",IF(AND(INDEX($C$1595:$V$1694,$B$2342,8)=1,INDEX($C$230:$V$329,$B$2342,8)=$B$2343),8,""))</f>
        <v/>
      </c>
      <c r="K2335" s="62">
        <f>IF(OR($B$2342=0,$B$2343&lt;1,$B$2343&gt;8),"",IF(AND(INDEX($C$1595:$V$1694,$B$2342,9)=1,INDEX($C$230:$V$329,$B$2342,9)=$B$2343),9,""))</f>
        <v/>
      </c>
      <c r="L2335" s="62">
        <f>IF(OR($B$2342=0,$B$2343&lt;1,$B$2343&gt;8),"",IF(AND(INDEX($C$1595:$V$1694,$B$2342,10)=1,INDEX($C$230:$V$329,$B$2342,10)=$B$2343),10,""))</f>
        <v/>
      </c>
      <c r="M2335" s="62">
        <f>IF(OR($B$2342=0,$B$2343&lt;1,$B$2343&gt;8),"",IF(AND(INDEX($C$1595:$V$1694,$B$2342,11)=1,INDEX($C$230:$V$329,$B$2342,11)=$B$2343),11,""))</f>
        <v/>
      </c>
      <c r="N2335" s="62">
        <f>IF(OR($B$2342=0,$B$2343&lt;1,$B$2343&gt;8),"",IF(AND(INDEX($C$1595:$V$1694,$B$2342,12)=1,INDEX($C$230:$V$329,$B$2342,12)=$B$2343),12,""))</f>
        <v/>
      </c>
      <c r="O2335" s="62">
        <f>IF(OR($B$2342=0,$B$2343&lt;1,$B$2343&gt;8),"",IF(AND(INDEX($C$1595:$V$1694,$B$2342,13)=1,INDEX($C$230:$V$329,$B$2342,13)=$B$2343),13,""))</f>
        <v/>
      </c>
      <c r="P2335" s="62">
        <f>IF(OR($B$2342=0,$B$2343&lt;1,$B$2343&gt;8),"",IF(AND(INDEX($C$1595:$V$1694,$B$2342,14)=1,INDEX($C$230:$V$329,$B$2342,14)=$B$2343),14,""))</f>
        <v/>
      </c>
      <c r="Q2335" s="62">
        <f>IF(OR($B$2342=0,$B$2343&lt;1,$B$2343&gt;8),"",IF(AND(INDEX($C$1595:$V$1694,$B$2342,15)=1,INDEX($C$230:$V$329,$B$2342,15)=$B$2343),15,""))</f>
        <v/>
      </c>
      <c r="R2335" s="62">
        <f>IF(OR($B$2342=0,$B$2343&lt;1,$B$2343&gt;8),"",IF(AND(INDEX($C$1595:$V$1694,$B$2342,16)=1,INDEX($C$230:$V$329,$B$2342,16)=$B$2343),16,""))</f>
        <v/>
      </c>
      <c r="S2335" s="62">
        <f>IF(OR($B$2342=0,$B$2343&lt;1,$B$2343&gt;8),"",IF(AND(INDEX($C$1595:$V$1694,$B$2342,17)=1,INDEX($C$230:$V$329,$B$2342,17)=$B$2343),17,""))</f>
        <v/>
      </c>
      <c r="T2335" s="62">
        <f>IF(OR($B$2342=0,$B$2343&lt;1,$B$2343&gt;8),"",IF(AND(INDEX($C$1595:$V$1694,$B$2342,18)=1,INDEX($C$230:$V$329,$B$2342,18)=$B$2343),18,""))</f>
        <v/>
      </c>
      <c r="U2335" s="62">
        <f>IF(OR($B$2342=0,$B$2343&lt;1,$B$2343&gt;8),"",IF(AND(INDEX($C$1595:$V$1694,$B$2342,19)=1,INDEX($C$230:$V$329,$B$2342,19)=$B$2343),19,""))</f>
        <v/>
      </c>
      <c r="V2335" s="62">
        <f>IF(OR($B$2342=0,$B$2343&lt;1,$B$2343&gt;8),"",IF(AND(INDEX($C$1595:$V$1694,$B$2342,20)=1,INDEX($C$230:$V$329,$B$2342,20)=$B$2343),20,""))</f>
        <v/>
      </c>
    </row>
    <row r="2336">
      <c r="A2336" s="174" t="inlineStr">
        <is>
          <t>laufende Übungen</t>
        </is>
      </c>
      <c r="C2336" s="62">
        <f>IF(AND(C5=1,EXACT(C8,"laufend")),C3,"")</f>
        <v/>
      </c>
      <c r="D2336" s="62">
        <f>IF(AND(D5=1,EXACT(D8,"laufend")),D3,"")</f>
        <v/>
      </c>
      <c r="E2336" s="62">
        <f>IF(AND(E5=1,EXACT(E8,"laufend")),E3,"")</f>
        <v/>
      </c>
      <c r="F2336" s="62">
        <f>IF(AND(F5=1,EXACT(F8,"laufend")),F3,"")</f>
        <v/>
      </c>
      <c r="G2336" s="62">
        <f>IF(AND(G5=1,EXACT(G8,"laufend")),G3,"")</f>
        <v/>
      </c>
      <c r="H2336" s="62">
        <f>IF(AND(H5=1,EXACT(H8,"laufend")),H3,"")</f>
        <v/>
      </c>
      <c r="I2336" s="62">
        <f>IF(AND(I5=1,EXACT(I8,"laufend")),I3,"")</f>
        <v/>
      </c>
      <c r="J2336" s="62">
        <f>IF(AND(J5=1,EXACT(J8,"laufend")),J3,"")</f>
        <v/>
      </c>
      <c r="K2336" s="62">
        <f>IF(AND(K5=1,EXACT(K8,"laufend")),K3,"")</f>
        <v/>
      </c>
      <c r="L2336" s="62">
        <f>IF(AND(L5=1,EXACT(L8,"laufend")),L3,"")</f>
        <v/>
      </c>
      <c r="M2336" s="62">
        <f>IF(AND(M5=1,EXACT(M8,"laufend")),M3,"")</f>
        <v/>
      </c>
      <c r="N2336" s="62">
        <f>IF(AND(N5=1,EXACT(N8,"laufend")),N3,"")</f>
        <v/>
      </c>
      <c r="O2336" s="62">
        <f>IF(AND(O5=1,EXACT(O8,"laufend")),O3,"")</f>
        <v/>
      </c>
      <c r="P2336" s="62">
        <f>IF(AND(P5=1,EXACT(P8,"laufend")),P3,"")</f>
        <v/>
      </c>
      <c r="Q2336" s="62">
        <f>IF(AND(Q5=1,EXACT(Q8,"laufend")),Q3,"")</f>
        <v/>
      </c>
      <c r="R2336" s="62">
        <f>IF(AND(R5=1,EXACT(R8,"laufend")),R3,"")</f>
        <v/>
      </c>
      <c r="S2336" s="62">
        <f>IF(AND(S5=1,EXACT(S8,"laufend")),S3,"")</f>
        <v/>
      </c>
      <c r="T2336" s="62">
        <f>IF(AND(T5=1,EXACT(T8,"laufend")),T3,"")</f>
        <v/>
      </c>
      <c r="U2336" s="62">
        <f>IF(AND(U5=1,EXACT(U8,"laufend")),U3,"")</f>
        <v/>
      </c>
      <c r="V2336" s="62">
        <f>IF(AND(V5=1,EXACT(V8,"laufend")),V3,"")</f>
        <v/>
      </c>
    </row>
    <row r="2337">
      <c r="A2337" s="174" t="inlineStr">
        <is>
          <t>bewertet (Diagramm)</t>
        </is>
      </c>
      <c r="C2337" s="62">
        <f>IF($B$2340=0,"",IF(INDEX($C$1280:$V$1379,$B$2340,1)=1,1,""))</f>
        <v/>
      </c>
      <c r="D2337" s="62">
        <f>IF($B$2340=0,"",IF(INDEX($C$1280:$V$1379,$B$2340,2)=1,2,""))</f>
        <v/>
      </c>
      <c r="E2337" s="62">
        <f>IF($B$2340=0,"",IF(INDEX($C$1280:$V$1379,$B$2340,3)=1,3,""))</f>
        <v/>
      </c>
      <c r="F2337" s="62">
        <f>IF($B$2340=0,"",IF(INDEX($C$1280:$V$1379,$B$2340,4)=1,4,""))</f>
        <v/>
      </c>
      <c r="G2337" s="62">
        <f>IF($B$2340=0,"",IF(INDEX($C$1280:$V$1379,$B$2340,5)=1,5,""))</f>
        <v/>
      </c>
      <c r="H2337" s="62">
        <f>IF($B$2340=0,"",IF(INDEX($C$1280:$V$1379,$B$2340,6)=1,6,""))</f>
        <v/>
      </c>
      <c r="I2337" s="62">
        <f>IF($B$2340=0,"",IF(INDEX($C$1280:$V$1379,$B$2340,7)=1,7,""))</f>
        <v/>
      </c>
      <c r="J2337" s="62">
        <f>IF($B$2340=0,"",IF(INDEX($C$1280:$V$1379,$B$2340,8)=1,8,""))</f>
        <v/>
      </c>
      <c r="K2337" s="62">
        <f>IF($B$2340=0,"",IF(INDEX($C$1280:$V$1379,$B$2340,9)=1,9,""))</f>
        <v/>
      </c>
      <c r="L2337" s="62">
        <f>IF($B$2340=0,"",IF(INDEX($C$1280:$V$1379,$B$2340,10)=1,10,""))</f>
        <v/>
      </c>
      <c r="M2337" s="62">
        <f>IF($B$2340=0,"",IF(INDEX($C$1280:$V$1379,$B$2340,11)=1,11,""))</f>
        <v/>
      </c>
      <c r="N2337" s="62">
        <f>IF($B$2340=0,"",IF(INDEX($C$1280:$V$1379,$B$2340,12)=1,12,""))</f>
        <v/>
      </c>
      <c r="O2337" s="62">
        <f>IF($B$2340=0,"",IF(INDEX($C$1280:$V$1379,$B$2340,13)=1,13,""))</f>
        <v/>
      </c>
      <c r="P2337" s="62">
        <f>IF($B$2340=0,"",IF(INDEX($C$1280:$V$1379,$B$2340,14)=1,14,""))</f>
        <v/>
      </c>
      <c r="Q2337" s="62">
        <f>IF($B$2340=0,"",IF(INDEX($C$1280:$V$1379,$B$2340,15)=1,15,""))</f>
        <v/>
      </c>
      <c r="R2337" s="62">
        <f>IF($B$2340=0,"",IF(INDEX($C$1280:$V$1379,$B$2340,16)=1,16,""))</f>
        <v/>
      </c>
      <c r="S2337" s="62">
        <f>IF($B$2340=0,"",IF(INDEX($C$1280:$V$1379,$B$2340,17)=1,17,""))</f>
        <v/>
      </c>
      <c r="T2337" s="62">
        <f>IF($B$2340=0,"",IF(INDEX($C$1280:$V$1379,$B$2340,18)=1,18,""))</f>
        <v/>
      </c>
      <c r="U2337" s="62">
        <f>IF($B$2340=0,"",IF(INDEX($C$1280:$V$1379,$B$2340,19)=1,19,""))</f>
        <v/>
      </c>
      <c r="V2337" s="62">
        <f>IF($B$2340=0,"",IF(INDEX($C$1280:$V$1379,$B$2340,20)=1,20,""))</f>
        <v/>
      </c>
    </row>
    <row r="2338">
      <c r="A2338" s="66" t="inlineStr">
        <is>
          <t>Jahrgang gewählt</t>
        </is>
      </c>
      <c r="B2338" s="63">
        <f>IF($B$2340=0,0,INDEX('Stammdaten'!$E$6:$E$105,$B$2340))</f>
        <v/>
      </c>
    </row>
    <row r="2339">
      <c r="A2339" s="66" t="inlineStr">
        <is>
          <t>Azubi gewählt</t>
        </is>
      </c>
      <c r="B2339" s="63">
        <f>'Azubi-Ansicht'!$C$5</f>
        <v/>
      </c>
    </row>
    <row r="2340">
      <c r="A2340" s="66" t="inlineStr">
        <is>
          <t>Azubi-Nr.</t>
        </is>
      </c>
      <c r="B2340" s="63">
        <f>IFERROR(MATCH($B$2339,'Stammdaten'!$J$6:$J$105,0),0)</f>
        <v/>
      </c>
    </row>
    <row r="2341">
      <c r="A2341" s="66" t="inlineStr">
        <is>
          <t>Gespräch Azubi</t>
        </is>
      </c>
      <c r="B2341" s="63">
        <f>'Gesprächsseite'!$C$6</f>
        <v/>
      </c>
    </row>
    <row r="2342">
      <c r="A2342" s="66" t="inlineStr">
        <is>
          <t>Gespräch Nr.</t>
        </is>
      </c>
      <c r="B2342" s="63">
        <f>IFERROR(MATCH($B$2341,'Stammdaten'!$J$6:$J$105,0),0)</f>
        <v/>
      </c>
    </row>
    <row r="2343">
      <c r="A2343" s="66" t="inlineStr">
        <is>
          <t>Gespräch HJ</t>
        </is>
      </c>
      <c r="B2343" s="63">
        <f>'Gesprächsseite'!$F$6</f>
        <v/>
      </c>
    </row>
    <row r="2344">
      <c r="A2344" s="66" t="inlineStr">
        <is>
          <t>Azubis im Filter</t>
        </is>
      </c>
      <c r="B2344" s="63">
        <f>COUNT($C$2452:$C$2551)</f>
        <v/>
      </c>
    </row>
    <row r="2346">
      <c r="A2346" s="171" t="inlineStr">
        <is>
          <t>aktuelles Halbjahr je Azubi</t>
        </is>
      </c>
    </row>
    <row r="2347">
      <c r="B2347" s="62" t="n">
        <v>1</v>
      </c>
      <c r="C2347" s="62">
        <f>IF(SUM($C$1704:$J$1704)=0,"",SUMPRODUCT(MAX(($C$1704:$J$1704&gt;0)*$C$1703:$J$1703)))</f>
        <v/>
      </c>
      <c r="D2347" s="64">
        <f>IF(OR(C2347="",C2347&lt;1,C2347&gt;8),"",INDEX($C$2229:$J$2229,C2347))</f>
        <v/>
      </c>
      <c r="E2347" s="62">
        <f>IF(OR(C2347="",C2347&lt;1,C2347&gt;8),"",INDEX($C$1704:$J$1704,C2347))</f>
        <v/>
      </c>
      <c r="F2347" s="62">
        <f>IF(ISNUMBER(D2347),INDEX(Noten,MAX(1,MIN(COUNT(NGrenze),COUNT(NGrenze)+1-COUNTIF(NGrenze,"&lt;="&amp;D2347)))),"")</f>
        <v/>
      </c>
      <c r="G2347" s="62">
        <f>IF(AND(ISNUMBER(D2347),'Stammdaten'!$G6="aktiv",F2347&gt;=WarnNote),1,0)</f>
        <v/>
      </c>
      <c r="H2347" s="62">
        <f>IF(G2347=1,B2347,"")</f>
        <v/>
      </c>
    </row>
    <row r="2348">
      <c r="B2348" s="62" t="n">
        <v>2</v>
      </c>
      <c r="C2348" s="62">
        <f>IF(SUM($C$1705:$J$1705)=0,"",SUMPRODUCT(MAX(($C$1705:$J$1705&gt;0)*$C$1703:$J$1703)))</f>
        <v/>
      </c>
      <c r="D2348" s="64">
        <f>IF(OR(C2348="",C2348&lt;1,C2348&gt;8),"",INDEX($C$2230:$J$2230,C2348))</f>
        <v/>
      </c>
      <c r="E2348" s="62">
        <f>IF(OR(C2348="",C2348&lt;1,C2348&gt;8),"",INDEX($C$1705:$J$1705,C2348))</f>
        <v/>
      </c>
      <c r="F2348" s="62">
        <f>IF(ISNUMBER(D2348),INDEX(Noten,MAX(1,MIN(COUNT(NGrenze),COUNT(NGrenze)+1-COUNTIF(NGrenze,"&lt;="&amp;D2348)))),"")</f>
        <v/>
      </c>
      <c r="G2348" s="62">
        <f>IF(AND(ISNUMBER(D2348),'Stammdaten'!$G7="aktiv",F2348&gt;=WarnNote),1,0)</f>
        <v/>
      </c>
      <c r="H2348" s="62">
        <f>IF(G2348=1,B2348,"")</f>
        <v/>
      </c>
    </row>
    <row r="2349">
      <c r="B2349" s="62" t="n">
        <v>3</v>
      </c>
      <c r="C2349" s="62">
        <f>IF(SUM($C$1706:$J$1706)=0,"",SUMPRODUCT(MAX(($C$1706:$J$1706&gt;0)*$C$1703:$J$1703)))</f>
        <v/>
      </c>
      <c r="D2349" s="64">
        <f>IF(OR(C2349="",C2349&lt;1,C2349&gt;8),"",INDEX($C$2231:$J$2231,C2349))</f>
        <v/>
      </c>
      <c r="E2349" s="62">
        <f>IF(OR(C2349="",C2349&lt;1,C2349&gt;8),"",INDEX($C$1706:$J$1706,C2349))</f>
        <v/>
      </c>
      <c r="F2349" s="62">
        <f>IF(ISNUMBER(D2349),INDEX(Noten,MAX(1,MIN(COUNT(NGrenze),COUNT(NGrenze)+1-COUNTIF(NGrenze,"&lt;="&amp;D2349)))),"")</f>
        <v/>
      </c>
      <c r="G2349" s="62">
        <f>IF(AND(ISNUMBER(D2349),'Stammdaten'!$G8="aktiv",F2349&gt;=WarnNote),1,0)</f>
        <v/>
      </c>
      <c r="H2349" s="62">
        <f>IF(G2349=1,B2349,"")</f>
        <v/>
      </c>
    </row>
    <row r="2350">
      <c r="B2350" s="62" t="n">
        <v>4</v>
      </c>
      <c r="C2350" s="62">
        <f>IF(SUM($C$1707:$J$1707)=0,"",SUMPRODUCT(MAX(($C$1707:$J$1707&gt;0)*$C$1703:$J$1703)))</f>
        <v/>
      </c>
      <c r="D2350" s="64">
        <f>IF(OR(C2350="",C2350&lt;1,C2350&gt;8),"",INDEX($C$2232:$J$2232,C2350))</f>
        <v/>
      </c>
      <c r="E2350" s="62">
        <f>IF(OR(C2350="",C2350&lt;1,C2350&gt;8),"",INDEX($C$1707:$J$1707,C2350))</f>
        <v/>
      </c>
      <c r="F2350" s="62">
        <f>IF(ISNUMBER(D2350),INDEX(Noten,MAX(1,MIN(COUNT(NGrenze),COUNT(NGrenze)+1-COUNTIF(NGrenze,"&lt;="&amp;D2350)))),"")</f>
        <v/>
      </c>
      <c r="G2350" s="62">
        <f>IF(AND(ISNUMBER(D2350),'Stammdaten'!$G9="aktiv",F2350&gt;=WarnNote),1,0)</f>
        <v/>
      </c>
      <c r="H2350" s="62">
        <f>IF(G2350=1,B2350,"")</f>
        <v/>
      </c>
    </row>
    <row r="2351">
      <c r="B2351" s="62" t="n">
        <v>5</v>
      </c>
      <c r="C2351" s="62">
        <f>IF(SUM($C$1708:$J$1708)=0,"",SUMPRODUCT(MAX(($C$1708:$J$1708&gt;0)*$C$1703:$J$1703)))</f>
        <v/>
      </c>
      <c r="D2351" s="64">
        <f>IF(OR(C2351="",C2351&lt;1,C2351&gt;8),"",INDEX($C$2233:$J$2233,C2351))</f>
        <v/>
      </c>
      <c r="E2351" s="62">
        <f>IF(OR(C2351="",C2351&lt;1,C2351&gt;8),"",INDEX($C$1708:$J$1708,C2351))</f>
        <v/>
      </c>
      <c r="F2351" s="62">
        <f>IF(ISNUMBER(D2351),INDEX(Noten,MAX(1,MIN(COUNT(NGrenze),COUNT(NGrenze)+1-COUNTIF(NGrenze,"&lt;="&amp;D2351)))),"")</f>
        <v/>
      </c>
      <c r="G2351" s="62">
        <f>IF(AND(ISNUMBER(D2351),'Stammdaten'!$G10="aktiv",F2351&gt;=WarnNote),1,0)</f>
        <v/>
      </c>
      <c r="H2351" s="62">
        <f>IF(G2351=1,B2351,"")</f>
        <v/>
      </c>
    </row>
    <row r="2352">
      <c r="B2352" s="62" t="n">
        <v>6</v>
      </c>
      <c r="C2352" s="62">
        <f>IF(SUM($C$1709:$J$1709)=0,"",SUMPRODUCT(MAX(($C$1709:$J$1709&gt;0)*$C$1703:$J$1703)))</f>
        <v/>
      </c>
      <c r="D2352" s="64">
        <f>IF(OR(C2352="",C2352&lt;1,C2352&gt;8),"",INDEX($C$2234:$J$2234,C2352))</f>
        <v/>
      </c>
      <c r="E2352" s="62">
        <f>IF(OR(C2352="",C2352&lt;1,C2352&gt;8),"",INDEX($C$1709:$J$1709,C2352))</f>
        <v/>
      </c>
      <c r="F2352" s="62">
        <f>IF(ISNUMBER(D2352),INDEX(Noten,MAX(1,MIN(COUNT(NGrenze),COUNT(NGrenze)+1-COUNTIF(NGrenze,"&lt;="&amp;D2352)))),"")</f>
        <v/>
      </c>
      <c r="G2352" s="62">
        <f>IF(AND(ISNUMBER(D2352),'Stammdaten'!$G11="aktiv",F2352&gt;=WarnNote),1,0)</f>
        <v/>
      </c>
      <c r="H2352" s="62">
        <f>IF(G2352=1,B2352,"")</f>
        <v/>
      </c>
    </row>
    <row r="2353">
      <c r="B2353" s="62" t="n">
        <v>7</v>
      </c>
      <c r="C2353" s="62">
        <f>IF(SUM($C$1710:$J$1710)=0,"",SUMPRODUCT(MAX(($C$1710:$J$1710&gt;0)*$C$1703:$J$1703)))</f>
        <v/>
      </c>
      <c r="D2353" s="64">
        <f>IF(OR(C2353="",C2353&lt;1,C2353&gt;8),"",INDEX($C$2235:$J$2235,C2353))</f>
        <v/>
      </c>
      <c r="E2353" s="62">
        <f>IF(OR(C2353="",C2353&lt;1,C2353&gt;8),"",INDEX($C$1710:$J$1710,C2353))</f>
        <v/>
      </c>
      <c r="F2353" s="62">
        <f>IF(ISNUMBER(D2353),INDEX(Noten,MAX(1,MIN(COUNT(NGrenze),COUNT(NGrenze)+1-COUNTIF(NGrenze,"&lt;="&amp;D2353)))),"")</f>
        <v/>
      </c>
      <c r="G2353" s="62">
        <f>IF(AND(ISNUMBER(D2353),'Stammdaten'!$G12="aktiv",F2353&gt;=WarnNote),1,0)</f>
        <v/>
      </c>
      <c r="H2353" s="62">
        <f>IF(G2353=1,B2353,"")</f>
        <v/>
      </c>
    </row>
    <row r="2354">
      <c r="B2354" s="62" t="n">
        <v>8</v>
      </c>
      <c r="C2354" s="62">
        <f>IF(SUM($C$1711:$J$1711)=0,"",SUMPRODUCT(MAX(($C$1711:$J$1711&gt;0)*$C$1703:$J$1703)))</f>
        <v/>
      </c>
      <c r="D2354" s="64">
        <f>IF(OR(C2354="",C2354&lt;1,C2354&gt;8),"",INDEX($C$2236:$J$2236,C2354))</f>
        <v/>
      </c>
      <c r="E2354" s="62">
        <f>IF(OR(C2354="",C2354&lt;1,C2354&gt;8),"",INDEX($C$1711:$J$1711,C2354))</f>
        <v/>
      </c>
      <c r="F2354" s="62">
        <f>IF(ISNUMBER(D2354),INDEX(Noten,MAX(1,MIN(COUNT(NGrenze),COUNT(NGrenze)+1-COUNTIF(NGrenze,"&lt;="&amp;D2354)))),"")</f>
        <v/>
      </c>
      <c r="G2354" s="62">
        <f>IF(AND(ISNUMBER(D2354),'Stammdaten'!$G13="aktiv",F2354&gt;=WarnNote),1,0)</f>
        <v/>
      </c>
      <c r="H2354" s="62">
        <f>IF(G2354=1,B2354,"")</f>
        <v/>
      </c>
    </row>
    <row r="2355">
      <c r="B2355" s="62" t="n">
        <v>9</v>
      </c>
      <c r="C2355" s="62">
        <f>IF(SUM($C$1712:$J$1712)=0,"",SUMPRODUCT(MAX(($C$1712:$J$1712&gt;0)*$C$1703:$J$1703)))</f>
        <v/>
      </c>
      <c r="D2355" s="64">
        <f>IF(OR(C2355="",C2355&lt;1,C2355&gt;8),"",INDEX($C$2237:$J$2237,C2355))</f>
        <v/>
      </c>
      <c r="E2355" s="62">
        <f>IF(OR(C2355="",C2355&lt;1,C2355&gt;8),"",INDEX($C$1712:$J$1712,C2355))</f>
        <v/>
      </c>
      <c r="F2355" s="62">
        <f>IF(ISNUMBER(D2355),INDEX(Noten,MAX(1,MIN(COUNT(NGrenze),COUNT(NGrenze)+1-COUNTIF(NGrenze,"&lt;="&amp;D2355)))),"")</f>
        <v/>
      </c>
      <c r="G2355" s="62">
        <f>IF(AND(ISNUMBER(D2355),'Stammdaten'!$G14="aktiv",F2355&gt;=WarnNote),1,0)</f>
        <v/>
      </c>
      <c r="H2355" s="62">
        <f>IF(G2355=1,B2355,"")</f>
        <v/>
      </c>
    </row>
    <row r="2356">
      <c r="B2356" s="62" t="n">
        <v>10</v>
      </c>
      <c r="C2356" s="62">
        <f>IF(SUM($C$1713:$J$1713)=0,"",SUMPRODUCT(MAX(($C$1713:$J$1713&gt;0)*$C$1703:$J$1703)))</f>
        <v/>
      </c>
      <c r="D2356" s="64">
        <f>IF(OR(C2356="",C2356&lt;1,C2356&gt;8),"",INDEX($C$2238:$J$2238,C2356))</f>
        <v/>
      </c>
      <c r="E2356" s="62">
        <f>IF(OR(C2356="",C2356&lt;1,C2356&gt;8),"",INDEX($C$1713:$J$1713,C2356))</f>
        <v/>
      </c>
      <c r="F2356" s="62">
        <f>IF(ISNUMBER(D2356),INDEX(Noten,MAX(1,MIN(COUNT(NGrenze),COUNT(NGrenze)+1-COUNTIF(NGrenze,"&lt;="&amp;D2356)))),"")</f>
        <v/>
      </c>
      <c r="G2356" s="62">
        <f>IF(AND(ISNUMBER(D2356),'Stammdaten'!$G15="aktiv",F2356&gt;=WarnNote),1,0)</f>
        <v/>
      </c>
      <c r="H2356" s="62">
        <f>IF(G2356=1,B2356,"")</f>
        <v/>
      </c>
    </row>
    <row r="2357">
      <c r="B2357" s="62" t="n">
        <v>11</v>
      </c>
      <c r="C2357" s="62">
        <f>IF(SUM($C$1714:$J$1714)=0,"",SUMPRODUCT(MAX(($C$1714:$J$1714&gt;0)*$C$1703:$J$1703)))</f>
        <v/>
      </c>
      <c r="D2357" s="64">
        <f>IF(OR(C2357="",C2357&lt;1,C2357&gt;8),"",INDEX($C$2239:$J$2239,C2357))</f>
        <v/>
      </c>
      <c r="E2357" s="62">
        <f>IF(OR(C2357="",C2357&lt;1,C2357&gt;8),"",INDEX($C$1714:$J$1714,C2357))</f>
        <v/>
      </c>
      <c r="F2357" s="62">
        <f>IF(ISNUMBER(D2357),INDEX(Noten,MAX(1,MIN(COUNT(NGrenze),COUNT(NGrenze)+1-COUNTIF(NGrenze,"&lt;="&amp;D2357)))),"")</f>
        <v/>
      </c>
      <c r="G2357" s="62">
        <f>IF(AND(ISNUMBER(D2357),'Stammdaten'!$G16="aktiv",F2357&gt;=WarnNote),1,0)</f>
        <v/>
      </c>
      <c r="H2357" s="62">
        <f>IF(G2357=1,B2357,"")</f>
        <v/>
      </c>
    </row>
    <row r="2358">
      <c r="B2358" s="62" t="n">
        <v>12</v>
      </c>
      <c r="C2358" s="62">
        <f>IF(SUM($C$1715:$J$1715)=0,"",SUMPRODUCT(MAX(($C$1715:$J$1715&gt;0)*$C$1703:$J$1703)))</f>
        <v/>
      </c>
      <c r="D2358" s="64">
        <f>IF(OR(C2358="",C2358&lt;1,C2358&gt;8),"",INDEX($C$2240:$J$2240,C2358))</f>
        <v/>
      </c>
      <c r="E2358" s="62">
        <f>IF(OR(C2358="",C2358&lt;1,C2358&gt;8),"",INDEX($C$1715:$J$1715,C2358))</f>
        <v/>
      </c>
      <c r="F2358" s="62">
        <f>IF(ISNUMBER(D2358),INDEX(Noten,MAX(1,MIN(COUNT(NGrenze),COUNT(NGrenze)+1-COUNTIF(NGrenze,"&lt;="&amp;D2358)))),"")</f>
        <v/>
      </c>
      <c r="G2358" s="62">
        <f>IF(AND(ISNUMBER(D2358),'Stammdaten'!$G17="aktiv",F2358&gt;=WarnNote),1,0)</f>
        <v/>
      </c>
      <c r="H2358" s="62">
        <f>IF(G2358=1,B2358,"")</f>
        <v/>
      </c>
    </row>
    <row r="2359">
      <c r="B2359" s="62" t="n">
        <v>13</v>
      </c>
      <c r="C2359" s="62">
        <f>IF(SUM($C$1716:$J$1716)=0,"",SUMPRODUCT(MAX(($C$1716:$J$1716&gt;0)*$C$1703:$J$1703)))</f>
        <v/>
      </c>
      <c r="D2359" s="64">
        <f>IF(OR(C2359="",C2359&lt;1,C2359&gt;8),"",INDEX($C$2241:$J$2241,C2359))</f>
        <v/>
      </c>
      <c r="E2359" s="62">
        <f>IF(OR(C2359="",C2359&lt;1,C2359&gt;8),"",INDEX($C$1716:$J$1716,C2359))</f>
        <v/>
      </c>
      <c r="F2359" s="62">
        <f>IF(ISNUMBER(D2359),INDEX(Noten,MAX(1,MIN(COUNT(NGrenze),COUNT(NGrenze)+1-COUNTIF(NGrenze,"&lt;="&amp;D2359)))),"")</f>
        <v/>
      </c>
      <c r="G2359" s="62">
        <f>IF(AND(ISNUMBER(D2359),'Stammdaten'!$G18="aktiv",F2359&gt;=WarnNote),1,0)</f>
        <v/>
      </c>
      <c r="H2359" s="62">
        <f>IF(G2359=1,B2359,"")</f>
        <v/>
      </c>
    </row>
    <row r="2360">
      <c r="B2360" s="62" t="n">
        <v>14</v>
      </c>
      <c r="C2360" s="62">
        <f>IF(SUM($C$1717:$J$1717)=0,"",SUMPRODUCT(MAX(($C$1717:$J$1717&gt;0)*$C$1703:$J$1703)))</f>
        <v/>
      </c>
      <c r="D2360" s="64">
        <f>IF(OR(C2360="",C2360&lt;1,C2360&gt;8),"",INDEX($C$2242:$J$2242,C2360))</f>
        <v/>
      </c>
      <c r="E2360" s="62">
        <f>IF(OR(C2360="",C2360&lt;1,C2360&gt;8),"",INDEX($C$1717:$J$1717,C2360))</f>
        <v/>
      </c>
      <c r="F2360" s="62">
        <f>IF(ISNUMBER(D2360),INDEX(Noten,MAX(1,MIN(COUNT(NGrenze),COUNT(NGrenze)+1-COUNTIF(NGrenze,"&lt;="&amp;D2360)))),"")</f>
        <v/>
      </c>
      <c r="G2360" s="62">
        <f>IF(AND(ISNUMBER(D2360),'Stammdaten'!$G19="aktiv",F2360&gt;=WarnNote),1,0)</f>
        <v/>
      </c>
      <c r="H2360" s="62">
        <f>IF(G2360=1,B2360,"")</f>
        <v/>
      </c>
    </row>
    <row r="2361">
      <c r="B2361" s="62" t="n">
        <v>15</v>
      </c>
      <c r="C2361" s="62">
        <f>IF(SUM($C$1718:$J$1718)=0,"",SUMPRODUCT(MAX(($C$1718:$J$1718&gt;0)*$C$1703:$J$1703)))</f>
        <v/>
      </c>
      <c r="D2361" s="64">
        <f>IF(OR(C2361="",C2361&lt;1,C2361&gt;8),"",INDEX($C$2243:$J$2243,C2361))</f>
        <v/>
      </c>
      <c r="E2361" s="62">
        <f>IF(OR(C2361="",C2361&lt;1,C2361&gt;8),"",INDEX($C$1718:$J$1718,C2361))</f>
        <v/>
      </c>
      <c r="F2361" s="62">
        <f>IF(ISNUMBER(D2361),INDEX(Noten,MAX(1,MIN(COUNT(NGrenze),COUNT(NGrenze)+1-COUNTIF(NGrenze,"&lt;="&amp;D2361)))),"")</f>
        <v/>
      </c>
      <c r="G2361" s="62">
        <f>IF(AND(ISNUMBER(D2361),'Stammdaten'!$G20="aktiv",F2361&gt;=WarnNote),1,0)</f>
        <v/>
      </c>
      <c r="H2361" s="62">
        <f>IF(G2361=1,B2361,"")</f>
        <v/>
      </c>
    </row>
    <row r="2362">
      <c r="B2362" s="62" t="n">
        <v>16</v>
      </c>
      <c r="C2362" s="62">
        <f>IF(SUM($C$1719:$J$1719)=0,"",SUMPRODUCT(MAX(($C$1719:$J$1719&gt;0)*$C$1703:$J$1703)))</f>
        <v/>
      </c>
      <c r="D2362" s="64">
        <f>IF(OR(C2362="",C2362&lt;1,C2362&gt;8),"",INDEX($C$2244:$J$2244,C2362))</f>
        <v/>
      </c>
      <c r="E2362" s="62">
        <f>IF(OR(C2362="",C2362&lt;1,C2362&gt;8),"",INDEX($C$1719:$J$1719,C2362))</f>
        <v/>
      </c>
      <c r="F2362" s="62">
        <f>IF(ISNUMBER(D2362),INDEX(Noten,MAX(1,MIN(COUNT(NGrenze),COUNT(NGrenze)+1-COUNTIF(NGrenze,"&lt;="&amp;D2362)))),"")</f>
        <v/>
      </c>
      <c r="G2362" s="62">
        <f>IF(AND(ISNUMBER(D2362),'Stammdaten'!$G21="aktiv",F2362&gt;=WarnNote),1,0)</f>
        <v/>
      </c>
      <c r="H2362" s="62">
        <f>IF(G2362=1,B2362,"")</f>
        <v/>
      </c>
    </row>
    <row r="2363">
      <c r="B2363" s="62" t="n">
        <v>17</v>
      </c>
      <c r="C2363" s="62">
        <f>IF(SUM($C$1720:$J$1720)=0,"",SUMPRODUCT(MAX(($C$1720:$J$1720&gt;0)*$C$1703:$J$1703)))</f>
        <v/>
      </c>
      <c r="D2363" s="64">
        <f>IF(OR(C2363="",C2363&lt;1,C2363&gt;8),"",INDEX($C$2245:$J$2245,C2363))</f>
        <v/>
      </c>
      <c r="E2363" s="62">
        <f>IF(OR(C2363="",C2363&lt;1,C2363&gt;8),"",INDEX($C$1720:$J$1720,C2363))</f>
        <v/>
      </c>
      <c r="F2363" s="62">
        <f>IF(ISNUMBER(D2363),INDEX(Noten,MAX(1,MIN(COUNT(NGrenze),COUNT(NGrenze)+1-COUNTIF(NGrenze,"&lt;="&amp;D2363)))),"")</f>
        <v/>
      </c>
      <c r="G2363" s="62">
        <f>IF(AND(ISNUMBER(D2363),'Stammdaten'!$G22="aktiv",F2363&gt;=WarnNote),1,0)</f>
        <v/>
      </c>
      <c r="H2363" s="62">
        <f>IF(G2363=1,B2363,"")</f>
        <v/>
      </c>
    </row>
    <row r="2364">
      <c r="B2364" s="62" t="n">
        <v>18</v>
      </c>
      <c r="C2364" s="62">
        <f>IF(SUM($C$1721:$J$1721)=0,"",SUMPRODUCT(MAX(($C$1721:$J$1721&gt;0)*$C$1703:$J$1703)))</f>
        <v/>
      </c>
      <c r="D2364" s="64">
        <f>IF(OR(C2364="",C2364&lt;1,C2364&gt;8),"",INDEX($C$2246:$J$2246,C2364))</f>
        <v/>
      </c>
      <c r="E2364" s="62">
        <f>IF(OR(C2364="",C2364&lt;1,C2364&gt;8),"",INDEX($C$1721:$J$1721,C2364))</f>
        <v/>
      </c>
      <c r="F2364" s="62">
        <f>IF(ISNUMBER(D2364),INDEX(Noten,MAX(1,MIN(COUNT(NGrenze),COUNT(NGrenze)+1-COUNTIF(NGrenze,"&lt;="&amp;D2364)))),"")</f>
        <v/>
      </c>
      <c r="G2364" s="62">
        <f>IF(AND(ISNUMBER(D2364),'Stammdaten'!$G23="aktiv",F2364&gt;=WarnNote),1,0)</f>
        <v/>
      </c>
      <c r="H2364" s="62">
        <f>IF(G2364=1,B2364,"")</f>
        <v/>
      </c>
    </row>
    <row r="2365">
      <c r="B2365" s="62" t="n">
        <v>19</v>
      </c>
      <c r="C2365" s="62">
        <f>IF(SUM($C$1722:$J$1722)=0,"",SUMPRODUCT(MAX(($C$1722:$J$1722&gt;0)*$C$1703:$J$1703)))</f>
        <v/>
      </c>
      <c r="D2365" s="64">
        <f>IF(OR(C2365="",C2365&lt;1,C2365&gt;8),"",INDEX($C$2247:$J$2247,C2365))</f>
        <v/>
      </c>
      <c r="E2365" s="62">
        <f>IF(OR(C2365="",C2365&lt;1,C2365&gt;8),"",INDEX($C$1722:$J$1722,C2365))</f>
        <v/>
      </c>
      <c r="F2365" s="62">
        <f>IF(ISNUMBER(D2365),INDEX(Noten,MAX(1,MIN(COUNT(NGrenze),COUNT(NGrenze)+1-COUNTIF(NGrenze,"&lt;="&amp;D2365)))),"")</f>
        <v/>
      </c>
      <c r="G2365" s="62">
        <f>IF(AND(ISNUMBER(D2365),'Stammdaten'!$G24="aktiv",F2365&gt;=WarnNote),1,0)</f>
        <v/>
      </c>
      <c r="H2365" s="62">
        <f>IF(G2365=1,B2365,"")</f>
        <v/>
      </c>
    </row>
    <row r="2366">
      <c r="B2366" s="62" t="n">
        <v>20</v>
      </c>
      <c r="C2366" s="62">
        <f>IF(SUM($C$1723:$J$1723)=0,"",SUMPRODUCT(MAX(($C$1723:$J$1723&gt;0)*$C$1703:$J$1703)))</f>
        <v/>
      </c>
      <c r="D2366" s="64">
        <f>IF(OR(C2366="",C2366&lt;1,C2366&gt;8),"",INDEX($C$2248:$J$2248,C2366))</f>
        <v/>
      </c>
      <c r="E2366" s="62">
        <f>IF(OR(C2366="",C2366&lt;1,C2366&gt;8),"",INDEX($C$1723:$J$1723,C2366))</f>
        <v/>
      </c>
      <c r="F2366" s="62">
        <f>IF(ISNUMBER(D2366),INDEX(Noten,MAX(1,MIN(COUNT(NGrenze),COUNT(NGrenze)+1-COUNTIF(NGrenze,"&lt;="&amp;D2366)))),"")</f>
        <v/>
      </c>
      <c r="G2366" s="62">
        <f>IF(AND(ISNUMBER(D2366),'Stammdaten'!$G25="aktiv",F2366&gt;=WarnNote),1,0)</f>
        <v/>
      </c>
      <c r="H2366" s="62">
        <f>IF(G2366=1,B2366,"")</f>
        <v/>
      </c>
    </row>
    <row r="2367">
      <c r="B2367" s="62" t="n">
        <v>21</v>
      </c>
      <c r="C2367" s="62">
        <f>IF(SUM($C$1724:$J$1724)=0,"",SUMPRODUCT(MAX(($C$1724:$J$1724&gt;0)*$C$1703:$J$1703)))</f>
        <v/>
      </c>
      <c r="D2367" s="64">
        <f>IF(OR(C2367="",C2367&lt;1,C2367&gt;8),"",INDEX($C$2249:$J$2249,C2367))</f>
        <v/>
      </c>
      <c r="E2367" s="62">
        <f>IF(OR(C2367="",C2367&lt;1,C2367&gt;8),"",INDEX($C$1724:$J$1724,C2367))</f>
        <v/>
      </c>
      <c r="F2367" s="62">
        <f>IF(ISNUMBER(D2367),INDEX(Noten,MAX(1,MIN(COUNT(NGrenze),COUNT(NGrenze)+1-COUNTIF(NGrenze,"&lt;="&amp;D2367)))),"")</f>
        <v/>
      </c>
      <c r="G2367" s="62">
        <f>IF(AND(ISNUMBER(D2367),'Stammdaten'!$G26="aktiv",F2367&gt;=WarnNote),1,0)</f>
        <v/>
      </c>
      <c r="H2367" s="62">
        <f>IF(G2367=1,B2367,"")</f>
        <v/>
      </c>
    </row>
    <row r="2368">
      <c r="B2368" s="62" t="n">
        <v>22</v>
      </c>
      <c r="C2368" s="62">
        <f>IF(SUM($C$1725:$J$1725)=0,"",SUMPRODUCT(MAX(($C$1725:$J$1725&gt;0)*$C$1703:$J$1703)))</f>
        <v/>
      </c>
      <c r="D2368" s="64">
        <f>IF(OR(C2368="",C2368&lt;1,C2368&gt;8),"",INDEX($C$2250:$J$2250,C2368))</f>
        <v/>
      </c>
      <c r="E2368" s="62">
        <f>IF(OR(C2368="",C2368&lt;1,C2368&gt;8),"",INDEX($C$1725:$J$1725,C2368))</f>
        <v/>
      </c>
      <c r="F2368" s="62">
        <f>IF(ISNUMBER(D2368),INDEX(Noten,MAX(1,MIN(COUNT(NGrenze),COUNT(NGrenze)+1-COUNTIF(NGrenze,"&lt;="&amp;D2368)))),"")</f>
        <v/>
      </c>
      <c r="G2368" s="62">
        <f>IF(AND(ISNUMBER(D2368),'Stammdaten'!$G27="aktiv",F2368&gt;=WarnNote),1,0)</f>
        <v/>
      </c>
      <c r="H2368" s="62">
        <f>IF(G2368=1,B2368,"")</f>
        <v/>
      </c>
    </row>
    <row r="2369">
      <c r="B2369" s="62" t="n">
        <v>23</v>
      </c>
      <c r="C2369" s="62">
        <f>IF(SUM($C$1726:$J$1726)=0,"",SUMPRODUCT(MAX(($C$1726:$J$1726&gt;0)*$C$1703:$J$1703)))</f>
        <v/>
      </c>
      <c r="D2369" s="64">
        <f>IF(OR(C2369="",C2369&lt;1,C2369&gt;8),"",INDEX($C$2251:$J$2251,C2369))</f>
        <v/>
      </c>
      <c r="E2369" s="62">
        <f>IF(OR(C2369="",C2369&lt;1,C2369&gt;8),"",INDEX($C$1726:$J$1726,C2369))</f>
        <v/>
      </c>
      <c r="F2369" s="62">
        <f>IF(ISNUMBER(D2369),INDEX(Noten,MAX(1,MIN(COUNT(NGrenze),COUNT(NGrenze)+1-COUNTIF(NGrenze,"&lt;="&amp;D2369)))),"")</f>
        <v/>
      </c>
      <c r="G2369" s="62">
        <f>IF(AND(ISNUMBER(D2369),'Stammdaten'!$G28="aktiv",F2369&gt;=WarnNote),1,0)</f>
        <v/>
      </c>
      <c r="H2369" s="62">
        <f>IF(G2369=1,B2369,"")</f>
        <v/>
      </c>
    </row>
    <row r="2370">
      <c r="B2370" s="62" t="n">
        <v>24</v>
      </c>
      <c r="C2370" s="62">
        <f>IF(SUM($C$1727:$J$1727)=0,"",SUMPRODUCT(MAX(($C$1727:$J$1727&gt;0)*$C$1703:$J$1703)))</f>
        <v/>
      </c>
      <c r="D2370" s="64">
        <f>IF(OR(C2370="",C2370&lt;1,C2370&gt;8),"",INDEX($C$2252:$J$2252,C2370))</f>
        <v/>
      </c>
      <c r="E2370" s="62">
        <f>IF(OR(C2370="",C2370&lt;1,C2370&gt;8),"",INDEX($C$1727:$J$1727,C2370))</f>
        <v/>
      </c>
      <c r="F2370" s="62">
        <f>IF(ISNUMBER(D2370),INDEX(Noten,MAX(1,MIN(COUNT(NGrenze),COUNT(NGrenze)+1-COUNTIF(NGrenze,"&lt;="&amp;D2370)))),"")</f>
        <v/>
      </c>
      <c r="G2370" s="62">
        <f>IF(AND(ISNUMBER(D2370),'Stammdaten'!$G29="aktiv",F2370&gt;=WarnNote),1,0)</f>
        <v/>
      </c>
      <c r="H2370" s="62">
        <f>IF(G2370=1,B2370,"")</f>
        <v/>
      </c>
    </row>
    <row r="2371">
      <c r="B2371" s="62" t="n">
        <v>25</v>
      </c>
      <c r="C2371" s="62">
        <f>IF(SUM($C$1728:$J$1728)=0,"",SUMPRODUCT(MAX(($C$1728:$J$1728&gt;0)*$C$1703:$J$1703)))</f>
        <v/>
      </c>
      <c r="D2371" s="64">
        <f>IF(OR(C2371="",C2371&lt;1,C2371&gt;8),"",INDEX($C$2253:$J$2253,C2371))</f>
        <v/>
      </c>
      <c r="E2371" s="62">
        <f>IF(OR(C2371="",C2371&lt;1,C2371&gt;8),"",INDEX($C$1728:$J$1728,C2371))</f>
        <v/>
      </c>
      <c r="F2371" s="62">
        <f>IF(ISNUMBER(D2371),INDEX(Noten,MAX(1,MIN(COUNT(NGrenze),COUNT(NGrenze)+1-COUNTIF(NGrenze,"&lt;="&amp;D2371)))),"")</f>
        <v/>
      </c>
      <c r="G2371" s="62">
        <f>IF(AND(ISNUMBER(D2371),'Stammdaten'!$G30="aktiv",F2371&gt;=WarnNote),1,0)</f>
        <v/>
      </c>
      <c r="H2371" s="62">
        <f>IF(G2371=1,B2371,"")</f>
        <v/>
      </c>
    </row>
    <row r="2372">
      <c r="B2372" s="62" t="n">
        <v>26</v>
      </c>
      <c r="C2372" s="62">
        <f>IF(SUM($C$1729:$J$1729)=0,"",SUMPRODUCT(MAX(($C$1729:$J$1729&gt;0)*$C$1703:$J$1703)))</f>
        <v/>
      </c>
      <c r="D2372" s="64">
        <f>IF(OR(C2372="",C2372&lt;1,C2372&gt;8),"",INDEX($C$2254:$J$2254,C2372))</f>
        <v/>
      </c>
      <c r="E2372" s="62">
        <f>IF(OR(C2372="",C2372&lt;1,C2372&gt;8),"",INDEX($C$1729:$J$1729,C2372))</f>
        <v/>
      </c>
      <c r="F2372" s="62">
        <f>IF(ISNUMBER(D2372),INDEX(Noten,MAX(1,MIN(COUNT(NGrenze),COUNT(NGrenze)+1-COUNTIF(NGrenze,"&lt;="&amp;D2372)))),"")</f>
        <v/>
      </c>
      <c r="G2372" s="62">
        <f>IF(AND(ISNUMBER(D2372),'Stammdaten'!$G31="aktiv",F2372&gt;=WarnNote),1,0)</f>
        <v/>
      </c>
      <c r="H2372" s="62">
        <f>IF(G2372=1,B2372,"")</f>
        <v/>
      </c>
    </row>
    <row r="2373">
      <c r="B2373" s="62" t="n">
        <v>27</v>
      </c>
      <c r="C2373" s="62">
        <f>IF(SUM($C$1730:$J$1730)=0,"",SUMPRODUCT(MAX(($C$1730:$J$1730&gt;0)*$C$1703:$J$1703)))</f>
        <v/>
      </c>
      <c r="D2373" s="64">
        <f>IF(OR(C2373="",C2373&lt;1,C2373&gt;8),"",INDEX($C$2255:$J$2255,C2373))</f>
        <v/>
      </c>
      <c r="E2373" s="62">
        <f>IF(OR(C2373="",C2373&lt;1,C2373&gt;8),"",INDEX($C$1730:$J$1730,C2373))</f>
        <v/>
      </c>
      <c r="F2373" s="62">
        <f>IF(ISNUMBER(D2373),INDEX(Noten,MAX(1,MIN(COUNT(NGrenze),COUNT(NGrenze)+1-COUNTIF(NGrenze,"&lt;="&amp;D2373)))),"")</f>
        <v/>
      </c>
      <c r="G2373" s="62">
        <f>IF(AND(ISNUMBER(D2373),'Stammdaten'!$G32="aktiv",F2373&gt;=WarnNote),1,0)</f>
        <v/>
      </c>
      <c r="H2373" s="62">
        <f>IF(G2373=1,B2373,"")</f>
        <v/>
      </c>
    </row>
    <row r="2374">
      <c r="B2374" s="62" t="n">
        <v>28</v>
      </c>
      <c r="C2374" s="62">
        <f>IF(SUM($C$1731:$J$1731)=0,"",SUMPRODUCT(MAX(($C$1731:$J$1731&gt;0)*$C$1703:$J$1703)))</f>
        <v/>
      </c>
      <c r="D2374" s="64">
        <f>IF(OR(C2374="",C2374&lt;1,C2374&gt;8),"",INDEX($C$2256:$J$2256,C2374))</f>
        <v/>
      </c>
      <c r="E2374" s="62">
        <f>IF(OR(C2374="",C2374&lt;1,C2374&gt;8),"",INDEX($C$1731:$J$1731,C2374))</f>
        <v/>
      </c>
      <c r="F2374" s="62">
        <f>IF(ISNUMBER(D2374),INDEX(Noten,MAX(1,MIN(COUNT(NGrenze),COUNT(NGrenze)+1-COUNTIF(NGrenze,"&lt;="&amp;D2374)))),"")</f>
        <v/>
      </c>
      <c r="G2374" s="62">
        <f>IF(AND(ISNUMBER(D2374),'Stammdaten'!$G33="aktiv",F2374&gt;=WarnNote),1,0)</f>
        <v/>
      </c>
      <c r="H2374" s="62">
        <f>IF(G2374=1,B2374,"")</f>
        <v/>
      </c>
    </row>
    <row r="2375">
      <c r="B2375" s="62" t="n">
        <v>29</v>
      </c>
      <c r="C2375" s="62">
        <f>IF(SUM($C$1732:$J$1732)=0,"",SUMPRODUCT(MAX(($C$1732:$J$1732&gt;0)*$C$1703:$J$1703)))</f>
        <v/>
      </c>
      <c r="D2375" s="64">
        <f>IF(OR(C2375="",C2375&lt;1,C2375&gt;8),"",INDEX($C$2257:$J$2257,C2375))</f>
        <v/>
      </c>
      <c r="E2375" s="62">
        <f>IF(OR(C2375="",C2375&lt;1,C2375&gt;8),"",INDEX($C$1732:$J$1732,C2375))</f>
        <v/>
      </c>
      <c r="F2375" s="62">
        <f>IF(ISNUMBER(D2375),INDEX(Noten,MAX(1,MIN(COUNT(NGrenze),COUNT(NGrenze)+1-COUNTIF(NGrenze,"&lt;="&amp;D2375)))),"")</f>
        <v/>
      </c>
      <c r="G2375" s="62">
        <f>IF(AND(ISNUMBER(D2375),'Stammdaten'!$G34="aktiv",F2375&gt;=WarnNote),1,0)</f>
        <v/>
      </c>
      <c r="H2375" s="62">
        <f>IF(G2375=1,B2375,"")</f>
        <v/>
      </c>
    </row>
    <row r="2376">
      <c r="B2376" s="62" t="n">
        <v>30</v>
      </c>
      <c r="C2376" s="62">
        <f>IF(SUM($C$1733:$J$1733)=0,"",SUMPRODUCT(MAX(($C$1733:$J$1733&gt;0)*$C$1703:$J$1703)))</f>
        <v/>
      </c>
      <c r="D2376" s="64">
        <f>IF(OR(C2376="",C2376&lt;1,C2376&gt;8),"",INDEX($C$2258:$J$2258,C2376))</f>
        <v/>
      </c>
      <c r="E2376" s="62">
        <f>IF(OR(C2376="",C2376&lt;1,C2376&gt;8),"",INDEX($C$1733:$J$1733,C2376))</f>
        <v/>
      </c>
      <c r="F2376" s="62">
        <f>IF(ISNUMBER(D2376),INDEX(Noten,MAX(1,MIN(COUNT(NGrenze),COUNT(NGrenze)+1-COUNTIF(NGrenze,"&lt;="&amp;D2376)))),"")</f>
        <v/>
      </c>
      <c r="G2376" s="62">
        <f>IF(AND(ISNUMBER(D2376),'Stammdaten'!$G35="aktiv",F2376&gt;=WarnNote),1,0)</f>
        <v/>
      </c>
      <c r="H2376" s="62">
        <f>IF(G2376=1,B2376,"")</f>
        <v/>
      </c>
    </row>
    <row r="2377">
      <c r="B2377" s="62" t="n">
        <v>31</v>
      </c>
      <c r="C2377" s="62">
        <f>IF(SUM($C$1734:$J$1734)=0,"",SUMPRODUCT(MAX(($C$1734:$J$1734&gt;0)*$C$1703:$J$1703)))</f>
        <v/>
      </c>
      <c r="D2377" s="64">
        <f>IF(OR(C2377="",C2377&lt;1,C2377&gt;8),"",INDEX($C$2259:$J$2259,C2377))</f>
        <v/>
      </c>
      <c r="E2377" s="62">
        <f>IF(OR(C2377="",C2377&lt;1,C2377&gt;8),"",INDEX($C$1734:$J$1734,C2377))</f>
        <v/>
      </c>
      <c r="F2377" s="62">
        <f>IF(ISNUMBER(D2377),INDEX(Noten,MAX(1,MIN(COUNT(NGrenze),COUNT(NGrenze)+1-COUNTIF(NGrenze,"&lt;="&amp;D2377)))),"")</f>
        <v/>
      </c>
      <c r="G2377" s="62">
        <f>IF(AND(ISNUMBER(D2377),'Stammdaten'!$G36="aktiv",F2377&gt;=WarnNote),1,0)</f>
        <v/>
      </c>
      <c r="H2377" s="62">
        <f>IF(G2377=1,B2377,"")</f>
        <v/>
      </c>
    </row>
    <row r="2378">
      <c r="B2378" s="62" t="n">
        <v>32</v>
      </c>
      <c r="C2378" s="62">
        <f>IF(SUM($C$1735:$J$1735)=0,"",SUMPRODUCT(MAX(($C$1735:$J$1735&gt;0)*$C$1703:$J$1703)))</f>
        <v/>
      </c>
      <c r="D2378" s="64">
        <f>IF(OR(C2378="",C2378&lt;1,C2378&gt;8),"",INDEX($C$2260:$J$2260,C2378))</f>
        <v/>
      </c>
      <c r="E2378" s="62">
        <f>IF(OR(C2378="",C2378&lt;1,C2378&gt;8),"",INDEX($C$1735:$J$1735,C2378))</f>
        <v/>
      </c>
      <c r="F2378" s="62">
        <f>IF(ISNUMBER(D2378),INDEX(Noten,MAX(1,MIN(COUNT(NGrenze),COUNT(NGrenze)+1-COUNTIF(NGrenze,"&lt;="&amp;D2378)))),"")</f>
        <v/>
      </c>
      <c r="G2378" s="62">
        <f>IF(AND(ISNUMBER(D2378),'Stammdaten'!$G37="aktiv",F2378&gt;=WarnNote),1,0)</f>
        <v/>
      </c>
      <c r="H2378" s="62">
        <f>IF(G2378=1,B2378,"")</f>
        <v/>
      </c>
    </row>
    <row r="2379">
      <c r="B2379" s="62" t="n">
        <v>33</v>
      </c>
      <c r="C2379" s="62">
        <f>IF(SUM($C$1736:$J$1736)=0,"",SUMPRODUCT(MAX(($C$1736:$J$1736&gt;0)*$C$1703:$J$1703)))</f>
        <v/>
      </c>
      <c r="D2379" s="64">
        <f>IF(OR(C2379="",C2379&lt;1,C2379&gt;8),"",INDEX($C$2261:$J$2261,C2379))</f>
        <v/>
      </c>
      <c r="E2379" s="62">
        <f>IF(OR(C2379="",C2379&lt;1,C2379&gt;8),"",INDEX($C$1736:$J$1736,C2379))</f>
        <v/>
      </c>
      <c r="F2379" s="62">
        <f>IF(ISNUMBER(D2379),INDEX(Noten,MAX(1,MIN(COUNT(NGrenze),COUNT(NGrenze)+1-COUNTIF(NGrenze,"&lt;="&amp;D2379)))),"")</f>
        <v/>
      </c>
      <c r="G2379" s="62">
        <f>IF(AND(ISNUMBER(D2379),'Stammdaten'!$G38="aktiv",F2379&gt;=WarnNote),1,0)</f>
        <v/>
      </c>
      <c r="H2379" s="62">
        <f>IF(G2379=1,B2379,"")</f>
        <v/>
      </c>
    </row>
    <row r="2380">
      <c r="B2380" s="62" t="n">
        <v>34</v>
      </c>
      <c r="C2380" s="62">
        <f>IF(SUM($C$1737:$J$1737)=0,"",SUMPRODUCT(MAX(($C$1737:$J$1737&gt;0)*$C$1703:$J$1703)))</f>
        <v/>
      </c>
      <c r="D2380" s="64">
        <f>IF(OR(C2380="",C2380&lt;1,C2380&gt;8),"",INDEX($C$2262:$J$2262,C2380))</f>
        <v/>
      </c>
      <c r="E2380" s="62">
        <f>IF(OR(C2380="",C2380&lt;1,C2380&gt;8),"",INDEX($C$1737:$J$1737,C2380))</f>
        <v/>
      </c>
      <c r="F2380" s="62">
        <f>IF(ISNUMBER(D2380),INDEX(Noten,MAX(1,MIN(COUNT(NGrenze),COUNT(NGrenze)+1-COUNTIF(NGrenze,"&lt;="&amp;D2380)))),"")</f>
        <v/>
      </c>
      <c r="G2380" s="62">
        <f>IF(AND(ISNUMBER(D2380),'Stammdaten'!$G39="aktiv",F2380&gt;=WarnNote),1,0)</f>
        <v/>
      </c>
      <c r="H2380" s="62">
        <f>IF(G2380=1,B2380,"")</f>
        <v/>
      </c>
    </row>
    <row r="2381">
      <c r="B2381" s="62" t="n">
        <v>35</v>
      </c>
      <c r="C2381" s="62">
        <f>IF(SUM($C$1738:$J$1738)=0,"",SUMPRODUCT(MAX(($C$1738:$J$1738&gt;0)*$C$1703:$J$1703)))</f>
        <v/>
      </c>
      <c r="D2381" s="64">
        <f>IF(OR(C2381="",C2381&lt;1,C2381&gt;8),"",INDEX($C$2263:$J$2263,C2381))</f>
        <v/>
      </c>
      <c r="E2381" s="62">
        <f>IF(OR(C2381="",C2381&lt;1,C2381&gt;8),"",INDEX($C$1738:$J$1738,C2381))</f>
        <v/>
      </c>
      <c r="F2381" s="62">
        <f>IF(ISNUMBER(D2381),INDEX(Noten,MAX(1,MIN(COUNT(NGrenze),COUNT(NGrenze)+1-COUNTIF(NGrenze,"&lt;="&amp;D2381)))),"")</f>
        <v/>
      </c>
      <c r="G2381" s="62">
        <f>IF(AND(ISNUMBER(D2381),'Stammdaten'!$G40="aktiv",F2381&gt;=WarnNote),1,0)</f>
        <v/>
      </c>
      <c r="H2381" s="62">
        <f>IF(G2381=1,B2381,"")</f>
        <v/>
      </c>
    </row>
    <row r="2382">
      <c r="B2382" s="62" t="n">
        <v>36</v>
      </c>
      <c r="C2382" s="62">
        <f>IF(SUM($C$1739:$J$1739)=0,"",SUMPRODUCT(MAX(($C$1739:$J$1739&gt;0)*$C$1703:$J$1703)))</f>
        <v/>
      </c>
      <c r="D2382" s="64">
        <f>IF(OR(C2382="",C2382&lt;1,C2382&gt;8),"",INDEX($C$2264:$J$2264,C2382))</f>
        <v/>
      </c>
      <c r="E2382" s="62">
        <f>IF(OR(C2382="",C2382&lt;1,C2382&gt;8),"",INDEX($C$1739:$J$1739,C2382))</f>
        <v/>
      </c>
      <c r="F2382" s="62">
        <f>IF(ISNUMBER(D2382),INDEX(Noten,MAX(1,MIN(COUNT(NGrenze),COUNT(NGrenze)+1-COUNTIF(NGrenze,"&lt;="&amp;D2382)))),"")</f>
        <v/>
      </c>
      <c r="G2382" s="62">
        <f>IF(AND(ISNUMBER(D2382),'Stammdaten'!$G41="aktiv",F2382&gt;=WarnNote),1,0)</f>
        <v/>
      </c>
      <c r="H2382" s="62">
        <f>IF(G2382=1,B2382,"")</f>
        <v/>
      </c>
    </row>
    <row r="2383">
      <c r="B2383" s="62" t="n">
        <v>37</v>
      </c>
      <c r="C2383" s="62">
        <f>IF(SUM($C$1740:$J$1740)=0,"",SUMPRODUCT(MAX(($C$1740:$J$1740&gt;0)*$C$1703:$J$1703)))</f>
        <v/>
      </c>
      <c r="D2383" s="64">
        <f>IF(OR(C2383="",C2383&lt;1,C2383&gt;8),"",INDEX($C$2265:$J$2265,C2383))</f>
        <v/>
      </c>
      <c r="E2383" s="62">
        <f>IF(OR(C2383="",C2383&lt;1,C2383&gt;8),"",INDEX($C$1740:$J$1740,C2383))</f>
        <v/>
      </c>
      <c r="F2383" s="62">
        <f>IF(ISNUMBER(D2383),INDEX(Noten,MAX(1,MIN(COUNT(NGrenze),COUNT(NGrenze)+1-COUNTIF(NGrenze,"&lt;="&amp;D2383)))),"")</f>
        <v/>
      </c>
      <c r="G2383" s="62">
        <f>IF(AND(ISNUMBER(D2383),'Stammdaten'!$G42="aktiv",F2383&gt;=WarnNote),1,0)</f>
        <v/>
      </c>
      <c r="H2383" s="62">
        <f>IF(G2383=1,B2383,"")</f>
        <v/>
      </c>
    </row>
    <row r="2384">
      <c r="B2384" s="62" t="n">
        <v>38</v>
      </c>
      <c r="C2384" s="62">
        <f>IF(SUM($C$1741:$J$1741)=0,"",SUMPRODUCT(MAX(($C$1741:$J$1741&gt;0)*$C$1703:$J$1703)))</f>
        <v/>
      </c>
      <c r="D2384" s="64">
        <f>IF(OR(C2384="",C2384&lt;1,C2384&gt;8),"",INDEX($C$2266:$J$2266,C2384))</f>
        <v/>
      </c>
      <c r="E2384" s="62">
        <f>IF(OR(C2384="",C2384&lt;1,C2384&gt;8),"",INDEX($C$1741:$J$1741,C2384))</f>
        <v/>
      </c>
      <c r="F2384" s="62">
        <f>IF(ISNUMBER(D2384),INDEX(Noten,MAX(1,MIN(COUNT(NGrenze),COUNT(NGrenze)+1-COUNTIF(NGrenze,"&lt;="&amp;D2384)))),"")</f>
        <v/>
      </c>
      <c r="G2384" s="62">
        <f>IF(AND(ISNUMBER(D2384),'Stammdaten'!$G43="aktiv",F2384&gt;=WarnNote),1,0)</f>
        <v/>
      </c>
      <c r="H2384" s="62">
        <f>IF(G2384=1,B2384,"")</f>
        <v/>
      </c>
    </row>
    <row r="2385">
      <c r="B2385" s="62" t="n">
        <v>39</v>
      </c>
      <c r="C2385" s="62">
        <f>IF(SUM($C$1742:$J$1742)=0,"",SUMPRODUCT(MAX(($C$1742:$J$1742&gt;0)*$C$1703:$J$1703)))</f>
        <v/>
      </c>
      <c r="D2385" s="64">
        <f>IF(OR(C2385="",C2385&lt;1,C2385&gt;8),"",INDEX($C$2267:$J$2267,C2385))</f>
        <v/>
      </c>
      <c r="E2385" s="62">
        <f>IF(OR(C2385="",C2385&lt;1,C2385&gt;8),"",INDEX($C$1742:$J$1742,C2385))</f>
        <v/>
      </c>
      <c r="F2385" s="62">
        <f>IF(ISNUMBER(D2385),INDEX(Noten,MAX(1,MIN(COUNT(NGrenze),COUNT(NGrenze)+1-COUNTIF(NGrenze,"&lt;="&amp;D2385)))),"")</f>
        <v/>
      </c>
      <c r="G2385" s="62">
        <f>IF(AND(ISNUMBER(D2385),'Stammdaten'!$G44="aktiv",F2385&gt;=WarnNote),1,0)</f>
        <v/>
      </c>
      <c r="H2385" s="62">
        <f>IF(G2385=1,B2385,"")</f>
        <v/>
      </c>
    </row>
    <row r="2386">
      <c r="B2386" s="62" t="n">
        <v>40</v>
      </c>
      <c r="C2386" s="62">
        <f>IF(SUM($C$1743:$J$1743)=0,"",SUMPRODUCT(MAX(($C$1743:$J$1743&gt;0)*$C$1703:$J$1703)))</f>
        <v/>
      </c>
      <c r="D2386" s="64">
        <f>IF(OR(C2386="",C2386&lt;1,C2386&gt;8),"",INDEX($C$2268:$J$2268,C2386))</f>
        <v/>
      </c>
      <c r="E2386" s="62">
        <f>IF(OR(C2386="",C2386&lt;1,C2386&gt;8),"",INDEX($C$1743:$J$1743,C2386))</f>
        <v/>
      </c>
      <c r="F2386" s="62">
        <f>IF(ISNUMBER(D2386),INDEX(Noten,MAX(1,MIN(COUNT(NGrenze),COUNT(NGrenze)+1-COUNTIF(NGrenze,"&lt;="&amp;D2386)))),"")</f>
        <v/>
      </c>
      <c r="G2386" s="62">
        <f>IF(AND(ISNUMBER(D2386),'Stammdaten'!$G45="aktiv",F2386&gt;=WarnNote),1,0)</f>
        <v/>
      </c>
      <c r="H2386" s="62">
        <f>IF(G2386=1,B2386,"")</f>
        <v/>
      </c>
    </row>
    <row r="2387">
      <c r="B2387" s="62" t="n">
        <v>41</v>
      </c>
      <c r="C2387" s="62">
        <f>IF(SUM($C$1744:$J$1744)=0,"",SUMPRODUCT(MAX(($C$1744:$J$1744&gt;0)*$C$1703:$J$1703)))</f>
        <v/>
      </c>
      <c r="D2387" s="64">
        <f>IF(OR(C2387="",C2387&lt;1,C2387&gt;8),"",INDEX($C$2269:$J$2269,C2387))</f>
        <v/>
      </c>
      <c r="E2387" s="62">
        <f>IF(OR(C2387="",C2387&lt;1,C2387&gt;8),"",INDEX($C$1744:$J$1744,C2387))</f>
        <v/>
      </c>
      <c r="F2387" s="62">
        <f>IF(ISNUMBER(D2387),INDEX(Noten,MAX(1,MIN(COUNT(NGrenze),COUNT(NGrenze)+1-COUNTIF(NGrenze,"&lt;="&amp;D2387)))),"")</f>
        <v/>
      </c>
      <c r="G2387" s="62">
        <f>IF(AND(ISNUMBER(D2387),'Stammdaten'!$G46="aktiv",F2387&gt;=WarnNote),1,0)</f>
        <v/>
      </c>
      <c r="H2387" s="62">
        <f>IF(G2387=1,B2387,"")</f>
        <v/>
      </c>
    </row>
    <row r="2388">
      <c r="B2388" s="62" t="n">
        <v>42</v>
      </c>
      <c r="C2388" s="62">
        <f>IF(SUM($C$1745:$J$1745)=0,"",SUMPRODUCT(MAX(($C$1745:$J$1745&gt;0)*$C$1703:$J$1703)))</f>
        <v/>
      </c>
      <c r="D2388" s="64">
        <f>IF(OR(C2388="",C2388&lt;1,C2388&gt;8),"",INDEX($C$2270:$J$2270,C2388))</f>
        <v/>
      </c>
      <c r="E2388" s="62">
        <f>IF(OR(C2388="",C2388&lt;1,C2388&gt;8),"",INDEX($C$1745:$J$1745,C2388))</f>
        <v/>
      </c>
      <c r="F2388" s="62">
        <f>IF(ISNUMBER(D2388),INDEX(Noten,MAX(1,MIN(COUNT(NGrenze),COUNT(NGrenze)+1-COUNTIF(NGrenze,"&lt;="&amp;D2388)))),"")</f>
        <v/>
      </c>
      <c r="G2388" s="62">
        <f>IF(AND(ISNUMBER(D2388),'Stammdaten'!$G47="aktiv",F2388&gt;=WarnNote),1,0)</f>
        <v/>
      </c>
      <c r="H2388" s="62">
        <f>IF(G2388=1,B2388,"")</f>
        <v/>
      </c>
    </row>
    <row r="2389">
      <c r="B2389" s="62" t="n">
        <v>43</v>
      </c>
      <c r="C2389" s="62">
        <f>IF(SUM($C$1746:$J$1746)=0,"",SUMPRODUCT(MAX(($C$1746:$J$1746&gt;0)*$C$1703:$J$1703)))</f>
        <v/>
      </c>
      <c r="D2389" s="64">
        <f>IF(OR(C2389="",C2389&lt;1,C2389&gt;8),"",INDEX($C$2271:$J$2271,C2389))</f>
        <v/>
      </c>
      <c r="E2389" s="62">
        <f>IF(OR(C2389="",C2389&lt;1,C2389&gt;8),"",INDEX($C$1746:$J$1746,C2389))</f>
        <v/>
      </c>
      <c r="F2389" s="62">
        <f>IF(ISNUMBER(D2389),INDEX(Noten,MAX(1,MIN(COUNT(NGrenze),COUNT(NGrenze)+1-COUNTIF(NGrenze,"&lt;="&amp;D2389)))),"")</f>
        <v/>
      </c>
      <c r="G2389" s="62">
        <f>IF(AND(ISNUMBER(D2389),'Stammdaten'!$G48="aktiv",F2389&gt;=WarnNote),1,0)</f>
        <v/>
      </c>
      <c r="H2389" s="62">
        <f>IF(G2389=1,B2389,"")</f>
        <v/>
      </c>
    </row>
    <row r="2390">
      <c r="B2390" s="62" t="n">
        <v>44</v>
      </c>
      <c r="C2390" s="62">
        <f>IF(SUM($C$1747:$J$1747)=0,"",SUMPRODUCT(MAX(($C$1747:$J$1747&gt;0)*$C$1703:$J$1703)))</f>
        <v/>
      </c>
      <c r="D2390" s="64">
        <f>IF(OR(C2390="",C2390&lt;1,C2390&gt;8),"",INDEX($C$2272:$J$2272,C2390))</f>
        <v/>
      </c>
      <c r="E2390" s="62">
        <f>IF(OR(C2390="",C2390&lt;1,C2390&gt;8),"",INDEX($C$1747:$J$1747,C2390))</f>
        <v/>
      </c>
      <c r="F2390" s="62">
        <f>IF(ISNUMBER(D2390),INDEX(Noten,MAX(1,MIN(COUNT(NGrenze),COUNT(NGrenze)+1-COUNTIF(NGrenze,"&lt;="&amp;D2390)))),"")</f>
        <v/>
      </c>
      <c r="G2390" s="62">
        <f>IF(AND(ISNUMBER(D2390),'Stammdaten'!$G49="aktiv",F2390&gt;=WarnNote),1,0)</f>
        <v/>
      </c>
      <c r="H2390" s="62">
        <f>IF(G2390=1,B2390,"")</f>
        <v/>
      </c>
    </row>
    <row r="2391">
      <c r="B2391" s="62" t="n">
        <v>45</v>
      </c>
      <c r="C2391" s="62">
        <f>IF(SUM($C$1748:$J$1748)=0,"",SUMPRODUCT(MAX(($C$1748:$J$1748&gt;0)*$C$1703:$J$1703)))</f>
        <v/>
      </c>
      <c r="D2391" s="64">
        <f>IF(OR(C2391="",C2391&lt;1,C2391&gt;8),"",INDEX($C$2273:$J$2273,C2391))</f>
        <v/>
      </c>
      <c r="E2391" s="62">
        <f>IF(OR(C2391="",C2391&lt;1,C2391&gt;8),"",INDEX($C$1748:$J$1748,C2391))</f>
        <v/>
      </c>
      <c r="F2391" s="62">
        <f>IF(ISNUMBER(D2391),INDEX(Noten,MAX(1,MIN(COUNT(NGrenze),COUNT(NGrenze)+1-COUNTIF(NGrenze,"&lt;="&amp;D2391)))),"")</f>
        <v/>
      </c>
      <c r="G2391" s="62">
        <f>IF(AND(ISNUMBER(D2391),'Stammdaten'!$G50="aktiv",F2391&gt;=WarnNote),1,0)</f>
        <v/>
      </c>
      <c r="H2391" s="62">
        <f>IF(G2391=1,B2391,"")</f>
        <v/>
      </c>
    </row>
    <row r="2392">
      <c r="B2392" s="62" t="n">
        <v>46</v>
      </c>
      <c r="C2392" s="62">
        <f>IF(SUM($C$1749:$J$1749)=0,"",SUMPRODUCT(MAX(($C$1749:$J$1749&gt;0)*$C$1703:$J$1703)))</f>
        <v/>
      </c>
      <c r="D2392" s="64">
        <f>IF(OR(C2392="",C2392&lt;1,C2392&gt;8),"",INDEX($C$2274:$J$2274,C2392))</f>
        <v/>
      </c>
      <c r="E2392" s="62">
        <f>IF(OR(C2392="",C2392&lt;1,C2392&gt;8),"",INDEX($C$1749:$J$1749,C2392))</f>
        <v/>
      </c>
      <c r="F2392" s="62">
        <f>IF(ISNUMBER(D2392),INDEX(Noten,MAX(1,MIN(COUNT(NGrenze),COUNT(NGrenze)+1-COUNTIF(NGrenze,"&lt;="&amp;D2392)))),"")</f>
        <v/>
      </c>
      <c r="G2392" s="62">
        <f>IF(AND(ISNUMBER(D2392),'Stammdaten'!$G51="aktiv",F2392&gt;=WarnNote),1,0)</f>
        <v/>
      </c>
      <c r="H2392" s="62">
        <f>IF(G2392=1,B2392,"")</f>
        <v/>
      </c>
    </row>
    <row r="2393">
      <c r="B2393" s="62" t="n">
        <v>47</v>
      </c>
      <c r="C2393" s="62">
        <f>IF(SUM($C$1750:$J$1750)=0,"",SUMPRODUCT(MAX(($C$1750:$J$1750&gt;0)*$C$1703:$J$1703)))</f>
        <v/>
      </c>
      <c r="D2393" s="64">
        <f>IF(OR(C2393="",C2393&lt;1,C2393&gt;8),"",INDEX($C$2275:$J$2275,C2393))</f>
        <v/>
      </c>
      <c r="E2393" s="62">
        <f>IF(OR(C2393="",C2393&lt;1,C2393&gt;8),"",INDEX($C$1750:$J$1750,C2393))</f>
        <v/>
      </c>
      <c r="F2393" s="62">
        <f>IF(ISNUMBER(D2393),INDEX(Noten,MAX(1,MIN(COUNT(NGrenze),COUNT(NGrenze)+1-COUNTIF(NGrenze,"&lt;="&amp;D2393)))),"")</f>
        <v/>
      </c>
      <c r="G2393" s="62">
        <f>IF(AND(ISNUMBER(D2393),'Stammdaten'!$G52="aktiv",F2393&gt;=WarnNote),1,0)</f>
        <v/>
      </c>
      <c r="H2393" s="62">
        <f>IF(G2393=1,B2393,"")</f>
        <v/>
      </c>
    </row>
    <row r="2394">
      <c r="B2394" s="62" t="n">
        <v>48</v>
      </c>
      <c r="C2394" s="62">
        <f>IF(SUM($C$1751:$J$1751)=0,"",SUMPRODUCT(MAX(($C$1751:$J$1751&gt;0)*$C$1703:$J$1703)))</f>
        <v/>
      </c>
      <c r="D2394" s="64">
        <f>IF(OR(C2394="",C2394&lt;1,C2394&gt;8),"",INDEX($C$2276:$J$2276,C2394))</f>
        <v/>
      </c>
      <c r="E2394" s="62">
        <f>IF(OR(C2394="",C2394&lt;1,C2394&gt;8),"",INDEX($C$1751:$J$1751,C2394))</f>
        <v/>
      </c>
      <c r="F2394" s="62">
        <f>IF(ISNUMBER(D2394),INDEX(Noten,MAX(1,MIN(COUNT(NGrenze),COUNT(NGrenze)+1-COUNTIF(NGrenze,"&lt;="&amp;D2394)))),"")</f>
        <v/>
      </c>
      <c r="G2394" s="62">
        <f>IF(AND(ISNUMBER(D2394),'Stammdaten'!$G53="aktiv",F2394&gt;=WarnNote),1,0)</f>
        <v/>
      </c>
      <c r="H2394" s="62">
        <f>IF(G2394=1,B2394,"")</f>
        <v/>
      </c>
    </row>
    <row r="2395">
      <c r="B2395" s="62" t="n">
        <v>49</v>
      </c>
      <c r="C2395" s="62">
        <f>IF(SUM($C$1752:$J$1752)=0,"",SUMPRODUCT(MAX(($C$1752:$J$1752&gt;0)*$C$1703:$J$1703)))</f>
        <v/>
      </c>
      <c r="D2395" s="64">
        <f>IF(OR(C2395="",C2395&lt;1,C2395&gt;8),"",INDEX($C$2277:$J$2277,C2395))</f>
        <v/>
      </c>
      <c r="E2395" s="62">
        <f>IF(OR(C2395="",C2395&lt;1,C2395&gt;8),"",INDEX($C$1752:$J$1752,C2395))</f>
        <v/>
      </c>
      <c r="F2395" s="62">
        <f>IF(ISNUMBER(D2395),INDEX(Noten,MAX(1,MIN(COUNT(NGrenze),COUNT(NGrenze)+1-COUNTIF(NGrenze,"&lt;="&amp;D2395)))),"")</f>
        <v/>
      </c>
      <c r="G2395" s="62">
        <f>IF(AND(ISNUMBER(D2395),'Stammdaten'!$G54="aktiv",F2395&gt;=WarnNote),1,0)</f>
        <v/>
      </c>
      <c r="H2395" s="62">
        <f>IF(G2395=1,B2395,"")</f>
        <v/>
      </c>
    </row>
    <row r="2396">
      <c r="B2396" s="62" t="n">
        <v>50</v>
      </c>
      <c r="C2396" s="62">
        <f>IF(SUM($C$1753:$J$1753)=0,"",SUMPRODUCT(MAX(($C$1753:$J$1753&gt;0)*$C$1703:$J$1703)))</f>
        <v/>
      </c>
      <c r="D2396" s="64">
        <f>IF(OR(C2396="",C2396&lt;1,C2396&gt;8),"",INDEX($C$2278:$J$2278,C2396))</f>
        <v/>
      </c>
      <c r="E2396" s="62">
        <f>IF(OR(C2396="",C2396&lt;1,C2396&gt;8),"",INDEX($C$1753:$J$1753,C2396))</f>
        <v/>
      </c>
      <c r="F2396" s="62">
        <f>IF(ISNUMBER(D2396),INDEX(Noten,MAX(1,MIN(COUNT(NGrenze),COUNT(NGrenze)+1-COUNTIF(NGrenze,"&lt;="&amp;D2396)))),"")</f>
        <v/>
      </c>
      <c r="G2396" s="62">
        <f>IF(AND(ISNUMBER(D2396),'Stammdaten'!$G55="aktiv",F2396&gt;=WarnNote),1,0)</f>
        <v/>
      </c>
      <c r="H2396" s="62">
        <f>IF(G2396=1,B2396,"")</f>
        <v/>
      </c>
    </row>
    <row r="2397">
      <c r="B2397" s="62" t="n">
        <v>51</v>
      </c>
      <c r="C2397" s="62">
        <f>IF(SUM($C$1754:$J$1754)=0,"",SUMPRODUCT(MAX(($C$1754:$J$1754&gt;0)*$C$1703:$J$1703)))</f>
        <v/>
      </c>
      <c r="D2397" s="64">
        <f>IF(OR(C2397="",C2397&lt;1,C2397&gt;8),"",INDEX($C$2279:$J$2279,C2397))</f>
        <v/>
      </c>
      <c r="E2397" s="62">
        <f>IF(OR(C2397="",C2397&lt;1,C2397&gt;8),"",INDEX($C$1754:$J$1754,C2397))</f>
        <v/>
      </c>
      <c r="F2397" s="62">
        <f>IF(ISNUMBER(D2397),INDEX(Noten,MAX(1,MIN(COUNT(NGrenze),COUNT(NGrenze)+1-COUNTIF(NGrenze,"&lt;="&amp;D2397)))),"")</f>
        <v/>
      </c>
      <c r="G2397" s="62">
        <f>IF(AND(ISNUMBER(D2397),'Stammdaten'!$G56="aktiv",F2397&gt;=WarnNote),1,0)</f>
        <v/>
      </c>
      <c r="H2397" s="62">
        <f>IF(G2397=1,B2397,"")</f>
        <v/>
      </c>
    </row>
    <row r="2398">
      <c r="B2398" s="62" t="n">
        <v>52</v>
      </c>
      <c r="C2398" s="62">
        <f>IF(SUM($C$1755:$J$1755)=0,"",SUMPRODUCT(MAX(($C$1755:$J$1755&gt;0)*$C$1703:$J$1703)))</f>
        <v/>
      </c>
      <c r="D2398" s="64">
        <f>IF(OR(C2398="",C2398&lt;1,C2398&gt;8),"",INDEX($C$2280:$J$2280,C2398))</f>
        <v/>
      </c>
      <c r="E2398" s="62">
        <f>IF(OR(C2398="",C2398&lt;1,C2398&gt;8),"",INDEX($C$1755:$J$1755,C2398))</f>
        <v/>
      </c>
      <c r="F2398" s="62">
        <f>IF(ISNUMBER(D2398),INDEX(Noten,MAX(1,MIN(COUNT(NGrenze),COUNT(NGrenze)+1-COUNTIF(NGrenze,"&lt;="&amp;D2398)))),"")</f>
        <v/>
      </c>
      <c r="G2398" s="62">
        <f>IF(AND(ISNUMBER(D2398),'Stammdaten'!$G57="aktiv",F2398&gt;=WarnNote),1,0)</f>
        <v/>
      </c>
      <c r="H2398" s="62">
        <f>IF(G2398=1,B2398,"")</f>
        <v/>
      </c>
    </row>
    <row r="2399">
      <c r="B2399" s="62" t="n">
        <v>53</v>
      </c>
      <c r="C2399" s="62">
        <f>IF(SUM($C$1756:$J$1756)=0,"",SUMPRODUCT(MAX(($C$1756:$J$1756&gt;0)*$C$1703:$J$1703)))</f>
        <v/>
      </c>
      <c r="D2399" s="64">
        <f>IF(OR(C2399="",C2399&lt;1,C2399&gt;8),"",INDEX($C$2281:$J$2281,C2399))</f>
        <v/>
      </c>
      <c r="E2399" s="62">
        <f>IF(OR(C2399="",C2399&lt;1,C2399&gt;8),"",INDEX($C$1756:$J$1756,C2399))</f>
        <v/>
      </c>
      <c r="F2399" s="62">
        <f>IF(ISNUMBER(D2399),INDEX(Noten,MAX(1,MIN(COUNT(NGrenze),COUNT(NGrenze)+1-COUNTIF(NGrenze,"&lt;="&amp;D2399)))),"")</f>
        <v/>
      </c>
      <c r="G2399" s="62">
        <f>IF(AND(ISNUMBER(D2399),'Stammdaten'!$G58="aktiv",F2399&gt;=WarnNote),1,0)</f>
        <v/>
      </c>
      <c r="H2399" s="62">
        <f>IF(G2399=1,B2399,"")</f>
        <v/>
      </c>
    </row>
    <row r="2400">
      <c r="B2400" s="62" t="n">
        <v>54</v>
      </c>
      <c r="C2400" s="62">
        <f>IF(SUM($C$1757:$J$1757)=0,"",SUMPRODUCT(MAX(($C$1757:$J$1757&gt;0)*$C$1703:$J$1703)))</f>
        <v/>
      </c>
      <c r="D2400" s="64">
        <f>IF(OR(C2400="",C2400&lt;1,C2400&gt;8),"",INDEX($C$2282:$J$2282,C2400))</f>
        <v/>
      </c>
      <c r="E2400" s="62">
        <f>IF(OR(C2400="",C2400&lt;1,C2400&gt;8),"",INDEX($C$1757:$J$1757,C2400))</f>
        <v/>
      </c>
      <c r="F2400" s="62">
        <f>IF(ISNUMBER(D2400),INDEX(Noten,MAX(1,MIN(COUNT(NGrenze),COUNT(NGrenze)+1-COUNTIF(NGrenze,"&lt;="&amp;D2400)))),"")</f>
        <v/>
      </c>
      <c r="G2400" s="62">
        <f>IF(AND(ISNUMBER(D2400),'Stammdaten'!$G59="aktiv",F2400&gt;=WarnNote),1,0)</f>
        <v/>
      </c>
      <c r="H2400" s="62">
        <f>IF(G2400=1,B2400,"")</f>
        <v/>
      </c>
    </row>
    <row r="2401">
      <c r="B2401" s="62" t="n">
        <v>55</v>
      </c>
      <c r="C2401" s="62">
        <f>IF(SUM($C$1758:$J$1758)=0,"",SUMPRODUCT(MAX(($C$1758:$J$1758&gt;0)*$C$1703:$J$1703)))</f>
        <v/>
      </c>
      <c r="D2401" s="64">
        <f>IF(OR(C2401="",C2401&lt;1,C2401&gt;8),"",INDEX($C$2283:$J$2283,C2401))</f>
        <v/>
      </c>
      <c r="E2401" s="62">
        <f>IF(OR(C2401="",C2401&lt;1,C2401&gt;8),"",INDEX($C$1758:$J$1758,C2401))</f>
        <v/>
      </c>
      <c r="F2401" s="62">
        <f>IF(ISNUMBER(D2401),INDEX(Noten,MAX(1,MIN(COUNT(NGrenze),COUNT(NGrenze)+1-COUNTIF(NGrenze,"&lt;="&amp;D2401)))),"")</f>
        <v/>
      </c>
      <c r="G2401" s="62">
        <f>IF(AND(ISNUMBER(D2401),'Stammdaten'!$G60="aktiv",F2401&gt;=WarnNote),1,0)</f>
        <v/>
      </c>
      <c r="H2401" s="62">
        <f>IF(G2401=1,B2401,"")</f>
        <v/>
      </c>
    </row>
    <row r="2402">
      <c r="B2402" s="62" t="n">
        <v>56</v>
      </c>
      <c r="C2402" s="62">
        <f>IF(SUM($C$1759:$J$1759)=0,"",SUMPRODUCT(MAX(($C$1759:$J$1759&gt;0)*$C$1703:$J$1703)))</f>
        <v/>
      </c>
      <c r="D2402" s="64">
        <f>IF(OR(C2402="",C2402&lt;1,C2402&gt;8),"",INDEX($C$2284:$J$2284,C2402))</f>
        <v/>
      </c>
      <c r="E2402" s="62">
        <f>IF(OR(C2402="",C2402&lt;1,C2402&gt;8),"",INDEX($C$1759:$J$1759,C2402))</f>
        <v/>
      </c>
      <c r="F2402" s="62">
        <f>IF(ISNUMBER(D2402),INDEX(Noten,MAX(1,MIN(COUNT(NGrenze),COUNT(NGrenze)+1-COUNTIF(NGrenze,"&lt;="&amp;D2402)))),"")</f>
        <v/>
      </c>
      <c r="G2402" s="62">
        <f>IF(AND(ISNUMBER(D2402),'Stammdaten'!$G61="aktiv",F2402&gt;=WarnNote),1,0)</f>
        <v/>
      </c>
      <c r="H2402" s="62">
        <f>IF(G2402=1,B2402,"")</f>
        <v/>
      </c>
    </row>
    <row r="2403">
      <c r="B2403" s="62" t="n">
        <v>57</v>
      </c>
      <c r="C2403" s="62">
        <f>IF(SUM($C$1760:$J$1760)=0,"",SUMPRODUCT(MAX(($C$1760:$J$1760&gt;0)*$C$1703:$J$1703)))</f>
        <v/>
      </c>
      <c r="D2403" s="64">
        <f>IF(OR(C2403="",C2403&lt;1,C2403&gt;8),"",INDEX($C$2285:$J$2285,C2403))</f>
        <v/>
      </c>
      <c r="E2403" s="62">
        <f>IF(OR(C2403="",C2403&lt;1,C2403&gt;8),"",INDEX($C$1760:$J$1760,C2403))</f>
        <v/>
      </c>
      <c r="F2403" s="62">
        <f>IF(ISNUMBER(D2403),INDEX(Noten,MAX(1,MIN(COUNT(NGrenze),COUNT(NGrenze)+1-COUNTIF(NGrenze,"&lt;="&amp;D2403)))),"")</f>
        <v/>
      </c>
      <c r="G2403" s="62">
        <f>IF(AND(ISNUMBER(D2403),'Stammdaten'!$G62="aktiv",F2403&gt;=WarnNote),1,0)</f>
        <v/>
      </c>
      <c r="H2403" s="62">
        <f>IF(G2403=1,B2403,"")</f>
        <v/>
      </c>
    </row>
    <row r="2404">
      <c r="B2404" s="62" t="n">
        <v>58</v>
      </c>
      <c r="C2404" s="62">
        <f>IF(SUM($C$1761:$J$1761)=0,"",SUMPRODUCT(MAX(($C$1761:$J$1761&gt;0)*$C$1703:$J$1703)))</f>
        <v/>
      </c>
      <c r="D2404" s="64">
        <f>IF(OR(C2404="",C2404&lt;1,C2404&gt;8),"",INDEX($C$2286:$J$2286,C2404))</f>
        <v/>
      </c>
      <c r="E2404" s="62">
        <f>IF(OR(C2404="",C2404&lt;1,C2404&gt;8),"",INDEX($C$1761:$J$1761,C2404))</f>
        <v/>
      </c>
      <c r="F2404" s="62">
        <f>IF(ISNUMBER(D2404),INDEX(Noten,MAX(1,MIN(COUNT(NGrenze),COUNT(NGrenze)+1-COUNTIF(NGrenze,"&lt;="&amp;D2404)))),"")</f>
        <v/>
      </c>
      <c r="G2404" s="62">
        <f>IF(AND(ISNUMBER(D2404),'Stammdaten'!$G63="aktiv",F2404&gt;=WarnNote),1,0)</f>
        <v/>
      </c>
      <c r="H2404" s="62">
        <f>IF(G2404=1,B2404,"")</f>
        <v/>
      </c>
    </row>
    <row r="2405">
      <c r="B2405" s="62" t="n">
        <v>59</v>
      </c>
      <c r="C2405" s="62">
        <f>IF(SUM($C$1762:$J$1762)=0,"",SUMPRODUCT(MAX(($C$1762:$J$1762&gt;0)*$C$1703:$J$1703)))</f>
        <v/>
      </c>
      <c r="D2405" s="64">
        <f>IF(OR(C2405="",C2405&lt;1,C2405&gt;8),"",INDEX($C$2287:$J$2287,C2405))</f>
        <v/>
      </c>
      <c r="E2405" s="62">
        <f>IF(OR(C2405="",C2405&lt;1,C2405&gt;8),"",INDEX($C$1762:$J$1762,C2405))</f>
        <v/>
      </c>
      <c r="F2405" s="62">
        <f>IF(ISNUMBER(D2405),INDEX(Noten,MAX(1,MIN(COUNT(NGrenze),COUNT(NGrenze)+1-COUNTIF(NGrenze,"&lt;="&amp;D2405)))),"")</f>
        <v/>
      </c>
      <c r="G2405" s="62">
        <f>IF(AND(ISNUMBER(D2405),'Stammdaten'!$G64="aktiv",F2405&gt;=WarnNote),1,0)</f>
        <v/>
      </c>
      <c r="H2405" s="62">
        <f>IF(G2405=1,B2405,"")</f>
        <v/>
      </c>
    </row>
    <row r="2406">
      <c r="B2406" s="62" t="n">
        <v>60</v>
      </c>
      <c r="C2406" s="62">
        <f>IF(SUM($C$1763:$J$1763)=0,"",SUMPRODUCT(MAX(($C$1763:$J$1763&gt;0)*$C$1703:$J$1703)))</f>
        <v/>
      </c>
      <c r="D2406" s="64">
        <f>IF(OR(C2406="",C2406&lt;1,C2406&gt;8),"",INDEX($C$2288:$J$2288,C2406))</f>
        <v/>
      </c>
      <c r="E2406" s="62">
        <f>IF(OR(C2406="",C2406&lt;1,C2406&gt;8),"",INDEX($C$1763:$J$1763,C2406))</f>
        <v/>
      </c>
      <c r="F2406" s="62">
        <f>IF(ISNUMBER(D2406),INDEX(Noten,MAX(1,MIN(COUNT(NGrenze),COUNT(NGrenze)+1-COUNTIF(NGrenze,"&lt;="&amp;D2406)))),"")</f>
        <v/>
      </c>
      <c r="G2406" s="62">
        <f>IF(AND(ISNUMBER(D2406),'Stammdaten'!$G65="aktiv",F2406&gt;=WarnNote),1,0)</f>
        <v/>
      </c>
      <c r="H2406" s="62">
        <f>IF(G2406=1,B2406,"")</f>
        <v/>
      </c>
    </row>
    <row r="2407">
      <c r="B2407" s="62" t="n">
        <v>61</v>
      </c>
      <c r="C2407" s="62">
        <f>IF(SUM($C$1764:$J$1764)=0,"",SUMPRODUCT(MAX(($C$1764:$J$1764&gt;0)*$C$1703:$J$1703)))</f>
        <v/>
      </c>
      <c r="D2407" s="64">
        <f>IF(OR(C2407="",C2407&lt;1,C2407&gt;8),"",INDEX($C$2289:$J$2289,C2407))</f>
        <v/>
      </c>
      <c r="E2407" s="62">
        <f>IF(OR(C2407="",C2407&lt;1,C2407&gt;8),"",INDEX($C$1764:$J$1764,C2407))</f>
        <v/>
      </c>
      <c r="F2407" s="62">
        <f>IF(ISNUMBER(D2407),INDEX(Noten,MAX(1,MIN(COUNT(NGrenze),COUNT(NGrenze)+1-COUNTIF(NGrenze,"&lt;="&amp;D2407)))),"")</f>
        <v/>
      </c>
      <c r="G2407" s="62">
        <f>IF(AND(ISNUMBER(D2407),'Stammdaten'!$G66="aktiv",F2407&gt;=WarnNote),1,0)</f>
        <v/>
      </c>
      <c r="H2407" s="62">
        <f>IF(G2407=1,B2407,"")</f>
        <v/>
      </c>
    </row>
    <row r="2408">
      <c r="B2408" s="62" t="n">
        <v>62</v>
      </c>
      <c r="C2408" s="62">
        <f>IF(SUM($C$1765:$J$1765)=0,"",SUMPRODUCT(MAX(($C$1765:$J$1765&gt;0)*$C$1703:$J$1703)))</f>
        <v/>
      </c>
      <c r="D2408" s="64">
        <f>IF(OR(C2408="",C2408&lt;1,C2408&gt;8),"",INDEX($C$2290:$J$2290,C2408))</f>
        <v/>
      </c>
      <c r="E2408" s="62">
        <f>IF(OR(C2408="",C2408&lt;1,C2408&gt;8),"",INDEX($C$1765:$J$1765,C2408))</f>
        <v/>
      </c>
      <c r="F2408" s="62">
        <f>IF(ISNUMBER(D2408),INDEX(Noten,MAX(1,MIN(COUNT(NGrenze),COUNT(NGrenze)+1-COUNTIF(NGrenze,"&lt;="&amp;D2408)))),"")</f>
        <v/>
      </c>
      <c r="G2408" s="62">
        <f>IF(AND(ISNUMBER(D2408),'Stammdaten'!$G67="aktiv",F2408&gt;=WarnNote),1,0)</f>
        <v/>
      </c>
      <c r="H2408" s="62">
        <f>IF(G2408=1,B2408,"")</f>
        <v/>
      </c>
    </row>
    <row r="2409">
      <c r="B2409" s="62" t="n">
        <v>63</v>
      </c>
      <c r="C2409" s="62">
        <f>IF(SUM($C$1766:$J$1766)=0,"",SUMPRODUCT(MAX(($C$1766:$J$1766&gt;0)*$C$1703:$J$1703)))</f>
        <v/>
      </c>
      <c r="D2409" s="64">
        <f>IF(OR(C2409="",C2409&lt;1,C2409&gt;8),"",INDEX($C$2291:$J$2291,C2409))</f>
        <v/>
      </c>
      <c r="E2409" s="62">
        <f>IF(OR(C2409="",C2409&lt;1,C2409&gt;8),"",INDEX($C$1766:$J$1766,C2409))</f>
        <v/>
      </c>
      <c r="F2409" s="62">
        <f>IF(ISNUMBER(D2409),INDEX(Noten,MAX(1,MIN(COUNT(NGrenze),COUNT(NGrenze)+1-COUNTIF(NGrenze,"&lt;="&amp;D2409)))),"")</f>
        <v/>
      </c>
      <c r="G2409" s="62">
        <f>IF(AND(ISNUMBER(D2409),'Stammdaten'!$G68="aktiv",F2409&gt;=WarnNote),1,0)</f>
        <v/>
      </c>
      <c r="H2409" s="62">
        <f>IF(G2409=1,B2409,"")</f>
        <v/>
      </c>
    </row>
    <row r="2410">
      <c r="B2410" s="62" t="n">
        <v>64</v>
      </c>
      <c r="C2410" s="62">
        <f>IF(SUM($C$1767:$J$1767)=0,"",SUMPRODUCT(MAX(($C$1767:$J$1767&gt;0)*$C$1703:$J$1703)))</f>
        <v/>
      </c>
      <c r="D2410" s="64">
        <f>IF(OR(C2410="",C2410&lt;1,C2410&gt;8),"",INDEX($C$2292:$J$2292,C2410))</f>
        <v/>
      </c>
      <c r="E2410" s="62">
        <f>IF(OR(C2410="",C2410&lt;1,C2410&gt;8),"",INDEX($C$1767:$J$1767,C2410))</f>
        <v/>
      </c>
      <c r="F2410" s="62">
        <f>IF(ISNUMBER(D2410),INDEX(Noten,MAX(1,MIN(COUNT(NGrenze),COUNT(NGrenze)+1-COUNTIF(NGrenze,"&lt;="&amp;D2410)))),"")</f>
        <v/>
      </c>
      <c r="G2410" s="62">
        <f>IF(AND(ISNUMBER(D2410),'Stammdaten'!$G69="aktiv",F2410&gt;=WarnNote),1,0)</f>
        <v/>
      </c>
      <c r="H2410" s="62">
        <f>IF(G2410=1,B2410,"")</f>
        <v/>
      </c>
    </row>
    <row r="2411">
      <c r="B2411" s="62" t="n">
        <v>65</v>
      </c>
      <c r="C2411" s="62">
        <f>IF(SUM($C$1768:$J$1768)=0,"",SUMPRODUCT(MAX(($C$1768:$J$1768&gt;0)*$C$1703:$J$1703)))</f>
        <v/>
      </c>
      <c r="D2411" s="64">
        <f>IF(OR(C2411="",C2411&lt;1,C2411&gt;8),"",INDEX($C$2293:$J$2293,C2411))</f>
        <v/>
      </c>
      <c r="E2411" s="62">
        <f>IF(OR(C2411="",C2411&lt;1,C2411&gt;8),"",INDEX($C$1768:$J$1768,C2411))</f>
        <v/>
      </c>
      <c r="F2411" s="62">
        <f>IF(ISNUMBER(D2411),INDEX(Noten,MAX(1,MIN(COUNT(NGrenze),COUNT(NGrenze)+1-COUNTIF(NGrenze,"&lt;="&amp;D2411)))),"")</f>
        <v/>
      </c>
      <c r="G2411" s="62">
        <f>IF(AND(ISNUMBER(D2411),'Stammdaten'!$G70="aktiv",F2411&gt;=WarnNote),1,0)</f>
        <v/>
      </c>
      <c r="H2411" s="62">
        <f>IF(G2411=1,B2411,"")</f>
        <v/>
      </c>
    </row>
    <row r="2412">
      <c r="B2412" s="62" t="n">
        <v>66</v>
      </c>
      <c r="C2412" s="62">
        <f>IF(SUM($C$1769:$J$1769)=0,"",SUMPRODUCT(MAX(($C$1769:$J$1769&gt;0)*$C$1703:$J$1703)))</f>
        <v/>
      </c>
      <c r="D2412" s="64">
        <f>IF(OR(C2412="",C2412&lt;1,C2412&gt;8),"",INDEX($C$2294:$J$2294,C2412))</f>
        <v/>
      </c>
      <c r="E2412" s="62">
        <f>IF(OR(C2412="",C2412&lt;1,C2412&gt;8),"",INDEX($C$1769:$J$1769,C2412))</f>
        <v/>
      </c>
      <c r="F2412" s="62">
        <f>IF(ISNUMBER(D2412),INDEX(Noten,MAX(1,MIN(COUNT(NGrenze),COUNT(NGrenze)+1-COUNTIF(NGrenze,"&lt;="&amp;D2412)))),"")</f>
        <v/>
      </c>
      <c r="G2412" s="62">
        <f>IF(AND(ISNUMBER(D2412),'Stammdaten'!$G71="aktiv",F2412&gt;=WarnNote),1,0)</f>
        <v/>
      </c>
      <c r="H2412" s="62">
        <f>IF(G2412=1,B2412,"")</f>
        <v/>
      </c>
    </row>
    <row r="2413">
      <c r="B2413" s="62" t="n">
        <v>67</v>
      </c>
      <c r="C2413" s="62">
        <f>IF(SUM($C$1770:$J$1770)=0,"",SUMPRODUCT(MAX(($C$1770:$J$1770&gt;0)*$C$1703:$J$1703)))</f>
        <v/>
      </c>
      <c r="D2413" s="64">
        <f>IF(OR(C2413="",C2413&lt;1,C2413&gt;8),"",INDEX($C$2295:$J$2295,C2413))</f>
        <v/>
      </c>
      <c r="E2413" s="62">
        <f>IF(OR(C2413="",C2413&lt;1,C2413&gt;8),"",INDEX($C$1770:$J$1770,C2413))</f>
        <v/>
      </c>
      <c r="F2413" s="62">
        <f>IF(ISNUMBER(D2413),INDEX(Noten,MAX(1,MIN(COUNT(NGrenze),COUNT(NGrenze)+1-COUNTIF(NGrenze,"&lt;="&amp;D2413)))),"")</f>
        <v/>
      </c>
      <c r="G2413" s="62">
        <f>IF(AND(ISNUMBER(D2413),'Stammdaten'!$G72="aktiv",F2413&gt;=WarnNote),1,0)</f>
        <v/>
      </c>
      <c r="H2413" s="62">
        <f>IF(G2413=1,B2413,"")</f>
        <v/>
      </c>
    </row>
    <row r="2414">
      <c r="B2414" s="62" t="n">
        <v>68</v>
      </c>
      <c r="C2414" s="62">
        <f>IF(SUM($C$1771:$J$1771)=0,"",SUMPRODUCT(MAX(($C$1771:$J$1771&gt;0)*$C$1703:$J$1703)))</f>
        <v/>
      </c>
      <c r="D2414" s="64">
        <f>IF(OR(C2414="",C2414&lt;1,C2414&gt;8),"",INDEX($C$2296:$J$2296,C2414))</f>
        <v/>
      </c>
      <c r="E2414" s="62">
        <f>IF(OR(C2414="",C2414&lt;1,C2414&gt;8),"",INDEX($C$1771:$J$1771,C2414))</f>
        <v/>
      </c>
      <c r="F2414" s="62">
        <f>IF(ISNUMBER(D2414),INDEX(Noten,MAX(1,MIN(COUNT(NGrenze),COUNT(NGrenze)+1-COUNTIF(NGrenze,"&lt;="&amp;D2414)))),"")</f>
        <v/>
      </c>
      <c r="G2414" s="62">
        <f>IF(AND(ISNUMBER(D2414),'Stammdaten'!$G73="aktiv",F2414&gt;=WarnNote),1,0)</f>
        <v/>
      </c>
      <c r="H2414" s="62">
        <f>IF(G2414=1,B2414,"")</f>
        <v/>
      </c>
    </row>
    <row r="2415">
      <c r="B2415" s="62" t="n">
        <v>69</v>
      </c>
      <c r="C2415" s="62">
        <f>IF(SUM($C$1772:$J$1772)=0,"",SUMPRODUCT(MAX(($C$1772:$J$1772&gt;0)*$C$1703:$J$1703)))</f>
        <v/>
      </c>
      <c r="D2415" s="64">
        <f>IF(OR(C2415="",C2415&lt;1,C2415&gt;8),"",INDEX($C$2297:$J$2297,C2415))</f>
        <v/>
      </c>
      <c r="E2415" s="62">
        <f>IF(OR(C2415="",C2415&lt;1,C2415&gt;8),"",INDEX($C$1772:$J$1772,C2415))</f>
        <v/>
      </c>
      <c r="F2415" s="62">
        <f>IF(ISNUMBER(D2415),INDEX(Noten,MAX(1,MIN(COUNT(NGrenze),COUNT(NGrenze)+1-COUNTIF(NGrenze,"&lt;="&amp;D2415)))),"")</f>
        <v/>
      </c>
      <c r="G2415" s="62">
        <f>IF(AND(ISNUMBER(D2415),'Stammdaten'!$G74="aktiv",F2415&gt;=WarnNote),1,0)</f>
        <v/>
      </c>
      <c r="H2415" s="62">
        <f>IF(G2415=1,B2415,"")</f>
        <v/>
      </c>
    </row>
    <row r="2416">
      <c r="B2416" s="62" t="n">
        <v>70</v>
      </c>
      <c r="C2416" s="62">
        <f>IF(SUM($C$1773:$J$1773)=0,"",SUMPRODUCT(MAX(($C$1773:$J$1773&gt;0)*$C$1703:$J$1703)))</f>
        <v/>
      </c>
      <c r="D2416" s="64">
        <f>IF(OR(C2416="",C2416&lt;1,C2416&gt;8),"",INDEX($C$2298:$J$2298,C2416))</f>
        <v/>
      </c>
      <c r="E2416" s="62">
        <f>IF(OR(C2416="",C2416&lt;1,C2416&gt;8),"",INDEX($C$1773:$J$1773,C2416))</f>
        <v/>
      </c>
      <c r="F2416" s="62">
        <f>IF(ISNUMBER(D2416),INDEX(Noten,MAX(1,MIN(COUNT(NGrenze),COUNT(NGrenze)+1-COUNTIF(NGrenze,"&lt;="&amp;D2416)))),"")</f>
        <v/>
      </c>
      <c r="G2416" s="62">
        <f>IF(AND(ISNUMBER(D2416),'Stammdaten'!$G75="aktiv",F2416&gt;=WarnNote),1,0)</f>
        <v/>
      </c>
      <c r="H2416" s="62">
        <f>IF(G2416=1,B2416,"")</f>
        <v/>
      </c>
    </row>
    <row r="2417">
      <c r="B2417" s="62" t="n">
        <v>71</v>
      </c>
      <c r="C2417" s="62">
        <f>IF(SUM($C$1774:$J$1774)=0,"",SUMPRODUCT(MAX(($C$1774:$J$1774&gt;0)*$C$1703:$J$1703)))</f>
        <v/>
      </c>
      <c r="D2417" s="64">
        <f>IF(OR(C2417="",C2417&lt;1,C2417&gt;8),"",INDEX($C$2299:$J$2299,C2417))</f>
        <v/>
      </c>
      <c r="E2417" s="62">
        <f>IF(OR(C2417="",C2417&lt;1,C2417&gt;8),"",INDEX($C$1774:$J$1774,C2417))</f>
        <v/>
      </c>
      <c r="F2417" s="62">
        <f>IF(ISNUMBER(D2417),INDEX(Noten,MAX(1,MIN(COUNT(NGrenze),COUNT(NGrenze)+1-COUNTIF(NGrenze,"&lt;="&amp;D2417)))),"")</f>
        <v/>
      </c>
      <c r="G2417" s="62">
        <f>IF(AND(ISNUMBER(D2417),'Stammdaten'!$G76="aktiv",F2417&gt;=WarnNote),1,0)</f>
        <v/>
      </c>
      <c r="H2417" s="62">
        <f>IF(G2417=1,B2417,"")</f>
        <v/>
      </c>
    </row>
    <row r="2418">
      <c r="B2418" s="62" t="n">
        <v>72</v>
      </c>
      <c r="C2418" s="62">
        <f>IF(SUM($C$1775:$J$1775)=0,"",SUMPRODUCT(MAX(($C$1775:$J$1775&gt;0)*$C$1703:$J$1703)))</f>
        <v/>
      </c>
      <c r="D2418" s="64">
        <f>IF(OR(C2418="",C2418&lt;1,C2418&gt;8),"",INDEX($C$2300:$J$2300,C2418))</f>
        <v/>
      </c>
      <c r="E2418" s="62">
        <f>IF(OR(C2418="",C2418&lt;1,C2418&gt;8),"",INDEX($C$1775:$J$1775,C2418))</f>
        <v/>
      </c>
      <c r="F2418" s="62">
        <f>IF(ISNUMBER(D2418),INDEX(Noten,MAX(1,MIN(COUNT(NGrenze),COUNT(NGrenze)+1-COUNTIF(NGrenze,"&lt;="&amp;D2418)))),"")</f>
        <v/>
      </c>
      <c r="G2418" s="62">
        <f>IF(AND(ISNUMBER(D2418),'Stammdaten'!$G77="aktiv",F2418&gt;=WarnNote),1,0)</f>
        <v/>
      </c>
      <c r="H2418" s="62">
        <f>IF(G2418=1,B2418,"")</f>
        <v/>
      </c>
    </row>
    <row r="2419">
      <c r="B2419" s="62" t="n">
        <v>73</v>
      </c>
      <c r="C2419" s="62">
        <f>IF(SUM($C$1776:$J$1776)=0,"",SUMPRODUCT(MAX(($C$1776:$J$1776&gt;0)*$C$1703:$J$1703)))</f>
        <v/>
      </c>
      <c r="D2419" s="64">
        <f>IF(OR(C2419="",C2419&lt;1,C2419&gt;8),"",INDEX($C$2301:$J$2301,C2419))</f>
        <v/>
      </c>
      <c r="E2419" s="62">
        <f>IF(OR(C2419="",C2419&lt;1,C2419&gt;8),"",INDEX($C$1776:$J$1776,C2419))</f>
        <v/>
      </c>
      <c r="F2419" s="62">
        <f>IF(ISNUMBER(D2419),INDEX(Noten,MAX(1,MIN(COUNT(NGrenze),COUNT(NGrenze)+1-COUNTIF(NGrenze,"&lt;="&amp;D2419)))),"")</f>
        <v/>
      </c>
      <c r="G2419" s="62">
        <f>IF(AND(ISNUMBER(D2419),'Stammdaten'!$G78="aktiv",F2419&gt;=WarnNote),1,0)</f>
        <v/>
      </c>
      <c r="H2419" s="62">
        <f>IF(G2419=1,B2419,"")</f>
        <v/>
      </c>
    </row>
    <row r="2420">
      <c r="B2420" s="62" t="n">
        <v>74</v>
      </c>
      <c r="C2420" s="62">
        <f>IF(SUM($C$1777:$J$1777)=0,"",SUMPRODUCT(MAX(($C$1777:$J$1777&gt;0)*$C$1703:$J$1703)))</f>
        <v/>
      </c>
      <c r="D2420" s="64">
        <f>IF(OR(C2420="",C2420&lt;1,C2420&gt;8),"",INDEX($C$2302:$J$2302,C2420))</f>
        <v/>
      </c>
      <c r="E2420" s="62">
        <f>IF(OR(C2420="",C2420&lt;1,C2420&gt;8),"",INDEX($C$1777:$J$1777,C2420))</f>
        <v/>
      </c>
      <c r="F2420" s="62">
        <f>IF(ISNUMBER(D2420),INDEX(Noten,MAX(1,MIN(COUNT(NGrenze),COUNT(NGrenze)+1-COUNTIF(NGrenze,"&lt;="&amp;D2420)))),"")</f>
        <v/>
      </c>
      <c r="G2420" s="62">
        <f>IF(AND(ISNUMBER(D2420),'Stammdaten'!$G79="aktiv",F2420&gt;=WarnNote),1,0)</f>
        <v/>
      </c>
      <c r="H2420" s="62">
        <f>IF(G2420=1,B2420,"")</f>
        <v/>
      </c>
    </row>
    <row r="2421">
      <c r="B2421" s="62" t="n">
        <v>75</v>
      </c>
      <c r="C2421" s="62">
        <f>IF(SUM($C$1778:$J$1778)=0,"",SUMPRODUCT(MAX(($C$1778:$J$1778&gt;0)*$C$1703:$J$1703)))</f>
        <v/>
      </c>
      <c r="D2421" s="64">
        <f>IF(OR(C2421="",C2421&lt;1,C2421&gt;8),"",INDEX($C$2303:$J$2303,C2421))</f>
        <v/>
      </c>
      <c r="E2421" s="62">
        <f>IF(OR(C2421="",C2421&lt;1,C2421&gt;8),"",INDEX($C$1778:$J$1778,C2421))</f>
        <v/>
      </c>
      <c r="F2421" s="62">
        <f>IF(ISNUMBER(D2421),INDEX(Noten,MAX(1,MIN(COUNT(NGrenze),COUNT(NGrenze)+1-COUNTIF(NGrenze,"&lt;="&amp;D2421)))),"")</f>
        <v/>
      </c>
      <c r="G2421" s="62">
        <f>IF(AND(ISNUMBER(D2421),'Stammdaten'!$G80="aktiv",F2421&gt;=WarnNote),1,0)</f>
        <v/>
      </c>
      <c r="H2421" s="62">
        <f>IF(G2421=1,B2421,"")</f>
        <v/>
      </c>
    </row>
    <row r="2422">
      <c r="B2422" s="62" t="n">
        <v>76</v>
      </c>
      <c r="C2422" s="62">
        <f>IF(SUM($C$1779:$J$1779)=0,"",SUMPRODUCT(MAX(($C$1779:$J$1779&gt;0)*$C$1703:$J$1703)))</f>
        <v/>
      </c>
      <c r="D2422" s="64">
        <f>IF(OR(C2422="",C2422&lt;1,C2422&gt;8),"",INDEX($C$2304:$J$2304,C2422))</f>
        <v/>
      </c>
      <c r="E2422" s="62">
        <f>IF(OR(C2422="",C2422&lt;1,C2422&gt;8),"",INDEX($C$1779:$J$1779,C2422))</f>
        <v/>
      </c>
      <c r="F2422" s="62">
        <f>IF(ISNUMBER(D2422),INDEX(Noten,MAX(1,MIN(COUNT(NGrenze),COUNT(NGrenze)+1-COUNTIF(NGrenze,"&lt;="&amp;D2422)))),"")</f>
        <v/>
      </c>
      <c r="G2422" s="62">
        <f>IF(AND(ISNUMBER(D2422),'Stammdaten'!$G81="aktiv",F2422&gt;=WarnNote),1,0)</f>
        <v/>
      </c>
      <c r="H2422" s="62">
        <f>IF(G2422=1,B2422,"")</f>
        <v/>
      </c>
    </row>
    <row r="2423">
      <c r="B2423" s="62" t="n">
        <v>77</v>
      </c>
      <c r="C2423" s="62">
        <f>IF(SUM($C$1780:$J$1780)=0,"",SUMPRODUCT(MAX(($C$1780:$J$1780&gt;0)*$C$1703:$J$1703)))</f>
        <v/>
      </c>
      <c r="D2423" s="64">
        <f>IF(OR(C2423="",C2423&lt;1,C2423&gt;8),"",INDEX($C$2305:$J$2305,C2423))</f>
        <v/>
      </c>
      <c r="E2423" s="62">
        <f>IF(OR(C2423="",C2423&lt;1,C2423&gt;8),"",INDEX($C$1780:$J$1780,C2423))</f>
        <v/>
      </c>
      <c r="F2423" s="62">
        <f>IF(ISNUMBER(D2423),INDEX(Noten,MAX(1,MIN(COUNT(NGrenze),COUNT(NGrenze)+1-COUNTIF(NGrenze,"&lt;="&amp;D2423)))),"")</f>
        <v/>
      </c>
      <c r="G2423" s="62">
        <f>IF(AND(ISNUMBER(D2423),'Stammdaten'!$G82="aktiv",F2423&gt;=WarnNote),1,0)</f>
        <v/>
      </c>
      <c r="H2423" s="62">
        <f>IF(G2423=1,B2423,"")</f>
        <v/>
      </c>
    </row>
    <row r="2424">
      <c r="B2424" s="62" t="n">
        <v>78</v>
      </c>
      <c r="C2424" s="62">
        <f>IF(SUM($C$1781:$J$1781)=0,"",SUMPRODUCT(MAX(($C$1781:$J$1781&gt;0)*$C$1703:$J$1703)))</f>
        <v/>
      </c>
      <c r="D2424" s="64">
        <f>IF(OR(C2424="",C2424&lt;1,C2424&gt;8),"",INDEX($C$2306:$J$2306,C2424))</f>
        <v/>
      </c>
      <c r="E2424" s="62">
        <f>IF(OR(C2424="",C2424&lt;1,C2424&gt;8),"",INDEX($C$1781:$J$1781,C2424))</f>
        <v/>
      </c>
      <c r="F2424" s="62">
        <f>IF(ISNUMBER(D2424),INDEX(Noten,MAX(1,MIN(COUNT(NGrenze),COUNT(NGrenze)+1-COUNTIF(NGrenze,"&lt;="&amp;D2424)))),"")</f>
        <v/>
      </c>
      <c r="G2424" s="62">
        <f>IF(AND(ISNUMBER(D2424),'Stammdaten'!$G83="aktiv",F2424&gt;=WarnNote),1,0)</f>
        <v/>
      </c>
      <c r="H2424" s="62">
        <f>IF(G2424=1,B2424,"")</f>
        <v/>
      </c>
    </row>
    <row r="2425">
      <c r="B2425" s="62" t="n">
        <v>79</v>
      </c>
      <c r="C2425" s="62">
        <f>IF(SUM($C$1782:$J$1782)=0,"",SUMPRODUCT(MAX(($C$1782:$J$1782&gt;0)*$C$1703:$J$1703)))</f>
        <v/>
      </c>
      <c r="D2425" s="64">
        <f>IF(OR(C2425="",C2425&lt;1,C2425&gt;8),"",INDEX($C$2307:$J$2307,C2425))</f>
        <v/>
      </c>
      <c r="E2425" s="62">
        <f>IF(OR(C2425="",C2425&lt;1,C2425&gt;8),"",INDEX($C$1782:$J$1782,C2425))</f>
        <v/>
      </c>
      <c r="F2425" s="62">
        <f>IF(ISNUMBER(D2425),INDEX(Noten,MAX(1,MIN(COUNT(NGrenze),COUNT(NGrenze)+1-COUNTIF(NGrenze,"&lt;="&amp;D2425)))),"")</f>
        <v/>
      </c>
      <c r="G2425" s="62">
        <f>IF(AND(ISNUMBER(D2425),'Stammdaten'!$G84="aktiv",F2425&gt;=WarnNote),1,0)</f>
        <v/>
      </c>
      <c r="H2425" s="62">
        <f>IF(G2425=1,B2425,"")</f>
        <v/>
      </c>
    </row>
    <row r="2426">
      <c r="B2426" s="62" t="n">
        <v>80</v>
      </c>
      <c r="C2426" s="62">
        <f>IF(SUM($C$1783:$J$1783)=0,"",SUMPRODUCT(MAX(($C$1783:$J$1783&gt;0)*$C$1703:$J$1703)))</f>
        <v/>
      </c>
      <c r="D2426" s="64">
        <f>IF(OR(C2426="",C2426&lt;1,C2426&gt;8),"",INDEX($C$2308:$J$2308,C2426))</f>
        <v/>
      </c>
      <c r="E2426" s="62">
        <f>IF(OR(C2426="",C2426&lt;1,C2426&gt;8),"",INDEX($C$1783:$J$1783,C2426))</f>
        <v/>
      </c>
      <c r="F2426" s="62">
        <f>IF(ISNUMBER(D2426),INDEX(Noten,MAX(1,MIN(COUNT(NGrenze),COUNT(NGrenze)+1-COUNTIF(NGrenze,"&lt;="&amp;D2426)))),"")</f>
        <v/>
      </c>
      <c r="G2426" s="62">
        <f>IF(AND(ISNUMBER(D2426),'Stammdaten'!$G85="aktiv",F2426&gt;=WarnNote),1,0)</f>
        <v/>
      </c>
      <c r="H2426" s="62">
        <f>IF(G2426=1,B2426,"")</f>
        <v/>
      </c>
    </row>
    <row r="2427">
      <c r="B2427" s="62" t="n">
        <v>81</v>
      </c>
      <c r="C2427" s="62">
        <f>IF(SUM($C$1784:$J$1784)=0,"",SUMPRODUCT(MAX(($C$1784:$J$1784&gt;0)*$C$1703:$J$1703)))</f>
        <v/>
      </c>
      <c r="D2427" s="64">
        <f>IF(OR(C2427="",C2427&lt;1,C2427&gt;8),"",INDEX($C$2309:$J$2309,C2427))</f>
        <v/>
      </c>
      <c r="E2427" s="62">
        <f>IF(OR(C2427="",C2427&lt;1,C2427&gt;8),"",INDEX($C$1784:$J$1784,C2427))</f>
        <v/>
      </c>
      <c r="F2427" s="62">
        <f>IF(ISNUMBER(D2427),INDEX(Noten,MAX(1,MIN(COUNT(NGrenze),COUNT(NGrenze)+1-COUNTIF(NGrenze,"&lt;="&amp;D2427)))),"")</f>
        <v/>
      </c>
      <c r="G2427" s="62">
        <f>IF(AND(ISNUMBER(D2427),'Stammdaten'!$G86="aktiv",F2427&gt;=WarnNote),1,0)</f>
        <v/>
      </c>
      <c r="H2427" s="62">
        <f>IF(G2427=1,B2427,"")</f>
        <v/>
      </c>
    </row>
    <row r="2428">
      <c r="B2428" s="62" t="n">
        <v>82</v>
      </c>
      <c r="C2428" s="62">
        <f>IF(SUM($C$1785:$J$1785)=0,"",SUMPRODUCT(MAX(($C$1785:$J$1785&gt;0)*$C$1703:$J$1703)))</f>
        <v/>
      </c>
      <c r="D2428" s="64">
        <f>IF(OR(C2428="",C2428&lt;1,C2428&gt;8),"",INDEX($C$2310:$J$2310,C2428))</f>
        <v/>
      </c>
      <c r="E2428" s="62">
        <f>IF(OR(C2428="",C2428&lt;1,C2428&gt;8),"",INDEX($C$1785:$J$1785,C2428))</f>
        <v/>
      </c>
      <c r="F2428" s="62">
        <f>IF(ISNUMBER(D2428),INDEX(Noten,MAX(1,MIN(COUNT(NGrenze),COUNT(NGrenze)+1-COUNTIF(NGrenze,"&lt;="&amp;D2428)))),"")</f>
        <v/>
      </c>
      <c r="G2428" s="62">
        <f>IF(AND(ISNUMBER(D2428),'Stammdaten'!$G87="aktiv",F2428&gt;=WarnNote),1,0)</f>
        <v/>
      </c>
      <c r="H2428" s="62">
        <f>IF(G2428=1,B2428,"")</f>
        <v/>
      </c>
    </row>
    <row r="2429">
      <c r="B2429" s="62" t="n">
        <v>83</v>
      </c>
      <c r="C2429" s="62">
        <f>IF(SUM($C$1786:$J$1786)=0,"",SUMPRODUCT(MAX(($C$1786:$J$1786&gt;0)*$C$1703:$J$1703)))</f>
        <v/>
      </c>
      <c r="D2429" s="64">
        <f>IF(OR(C2429="",C2429&lt;1,C2429&gt;8),"",INDEX($C$2311:$J$2311,C2429))</f>
        <v/>
      </c>
      <c r="E2429" s="62">
        <f>IF(OR(C2429="",C2429&lt;1,C2429&gt;8),"",INDEX($C$1786:$J$1786,C2429))</f>
        <v/>
      </c>
      <c r="F2429" s="62">
        <f>IF(ISNUMBER(D2429),INDEX(Noten,MAX(1,MIN(COUNT(NGrenze),COUNT(NGrenze)+1-COUNTIF(NGrenze,"&lt;="&amp;D2429)))),"")</f>
        <v/>
      </c>
      <c r="G2429" s="62">
        <f>IF(AND(ISNUMBER(D2429),'Stammdaten'!$G88="aktiv",F2429&gt;=WarnNote),1,0)</f>
        <v/>
      </c>
      <c r="H2429" s="62">
        <f>IF(G2429=1,B2429,"")</f>
        <v/>
      </c>
    </row>
    <row r="2430">
      <c r="B2430" s="62" t="n">
        <v>84</v>
      </c>
      <c r="C2430" s="62">
        <f>IF(SUM($C$1787:$J$1787)=0,"",SUMPRODUCT(MAX(($C$1787:$J$1787&gt;0)*$C$1703:$J$1703)))</f>
        <v/>
      </c>
      <c r="D2430" s="64">
        <f>IF(OR(C2430="",C2430&lt;1,C2430&gt;8),"",INDEX($C$2312:$J$2312,C2430))</f>
        <v/>
      </c>
      <c r="E2430" s="62">
        <f>IF(OR(C2430="",C2430&lt;1,C2430&gt;8),"",INDEX($C$1787:$J$1787,C2430))</f>
        <v/>
      </c>
      <c r="F2430" s="62">
        <f>IF(ISNUMBER(D2430),INDEX(Noten,MAX(1,MIN(COUNT(NGrenze),COUNT(NGrenze)+1-COUNTIF(NGrenze,"&lt;="&amp;D2430)))),"")</f>
        <v/>
      </c>
      <c r="G2430" s="62">
        <f>IF(AND(ISNUMBER(D2430),'Stammdaten'!$G89="aktiv",F2430&gt;=WarnNote),1,0)</f>
        <v/>
      </c>
      <c r="H2430" s="62">
        <f>IF(G2430=1,B2430,"")</f>
        <v/>
      </c>
    </row>
    <row r="2431">
      <c r="B2431" s="62" t="n">
        <v>85</v>
      </c>
      <c r="C2431" s="62">
        <f>IF(SUM($C$1788:$J$1788)=0,"",SUMPRODUCT(MAX(($C$1788:$J$1788&gt;0)*$C$1703:$J$1703)))</f>
        <v/>
      </c>
      <c r="D2431" s="64">
        <f>IF(OR(C2431="",C2431&lt;1,C2431&gt;8),"",INDEX($C$2313:$J$2313,C2431))</f>
        <v/>
      </c>
      <c r="E2431" s="62">
        <f>IF(OR(C2431="",C2431&lt;1,C2431&gt;8),"",INDEX($C$1788:$J$1788,C2431))</f>
        <v/>
      </c>
      <c r="F2431" s="62">
        <f>IF(ISNUMBER(D2431),INDEX(Noten,MAX(1,MIN(COUNT(NGrenze),COUNT(NGrenze)+1-COUNTIF(NGrenze,"&lt;="&amp;D2431)))),"")</f>
        <v/>
      </c>
      <c r="G2431" s="62">
        <f>IF(AND(ISNUMBER(D2431),'Stammdaten'!$G90="aktiv",F2431&gt;=WarnNote),1,0)</f>
        <v/>
      </c>
      <c r="H2431" s="62">
        <f>IF(G2431=1,B2431,"")</f>
        <v/>
      </c>
    </row>
    <row r="2432">
      <c r="B2432" s="62" t="n">
        <v>86</v>
      </c>
      <c r="C2432" s="62">
        <f>IF(SUM($C$1789:$J$1789)=0,"",SUMPRODUCT(MAX(($C$1789:$J$1789&gt;0)*$C$1703:$J$1703)))</f>
        <v/>
      </c>
      <c r="D2432" s="64">
        <f>IF(OR(C2432="",C2432&lt;1,C2432&gt;8),"",INDEX($C$2314:$J$2314,C2432))</f>
        <v/>
      </c>
      <c r="E2432" s="62">
        <f>IF(OR(C2432="",C2432&lt;1,C2432&gt;8),"",INDEX($C$1789:$J$1789,C2432))</f>
        <v/>
      </c>
      <c r="F2432" s="62">
        <f>IF(ISNUMBER(D2432),INDEX(Noten,MAX(1,MIN(COUNT(NGrenze),COUNT(NGrenze)+1-COUNTIF(NGrenze,"&lt;="&amp;D2432)))),"")</f>
        <v/>
      </c>
      <c r="G2432" s="62">
        <f>IF(AND(ISNUMBER(D2432),'Stammdaten'!$G91="aktiv",F2432&gt;=WarnNote),1,0)</f>
        <v/>
      </c>
      <c r="H2432" s="62">
        <f>IF(G2432=1,B2432,"")</f>
        <v/>
      </c>
    </row>
    <row r="2433">
      <c r="B2433" s="62" t="n">
        <v>87</v>
      </c>
      <c r="C2433" s="62">
        <f>IF(SUM($C$1790:$J$1790)=0,"",SUMPRODUCT(MAX(($C$1790:$J$1790&gt;0)*$C$1703:$J$1703)))</f>
        <v/>
      </c>
      <c r="D2433" s="64">
        <f>IF(OR(C2433="",C2433&lt;1,C2433&gt;8),"",INDEX($C$2315:$J$2315,C2433))</f>
        <v/>
      </c>
      <c r="E2433" s="62">
        <f>IF(OR(C2433="",C2433&lt;1,C2433&gt;8),"",INDEX($C$1790:$J$1790,C2433))</f>
        <v/>
      </c>
      <c r="F2433" s="62">
        <f>IF(ISNUMBER(D2433),INDEX(Noten,MAX(1,MIN(COUNT(NGrenze),COUNT(NGrenze)+1-COUNTIF(NGrenze,"&lt;="&amp;D2433)))),"")</f>
        <v/>
      </c>
      <c r="G2433" s="62">
        <f>IF(AND(ISNUMBER(D2433),'Stammdaten'!$G92="aktiv",F2433&gt;=WarnNote),1,0)</f>
        <v/>
      </c>
      <c r="H2433" s="62">
        <f>IF(G2433=1,B2433,"")</f>
        <v/>
      </c>
    </row>
    <row r="2434">
      <c r="B2434" s="62" t="n">
        <v>88</v>
      </c>
      <c r="C2434" s="62">
        <f>IF(SUM($C$1791:$J$1791)=0,"",SUMPRODUCT(MAX(($C$1791:$J$1791&gt;0)*$C$1703:$J$1703)))</f>
        <v/>
      </c>
      <c r="D2434" s="64">
        <f>IF(OR(C2434="",C2434&lt;1,C2434&gt;8),"",INDEX($C$2316:$J$2316,C2434))</f>
        <v/>
      </c>
      <c r="E2434" s="62">
        <f>IF(OR(C2434="",C2434&lt;1,C2434&gt;8),"",INDEX($C$1791:$J$1791,C2434))</f>
        <v/>
      </c>
      <c r="F2434" s="62">
        <f>IF(ISNUMBER(D2434),INDEX(Noten,MAX(1,MIN(COUNT(NGrenze),COUNT(NGrenze)+1-COUNTIF(NGrenze,"&lt;="&amp;D2434)))),"")</f>
        <v/>
      </c>
      <c r="G2434" s="62">
        <f>IF(AND(ISNUMBER(D2434),'Stammdaten'!$G93="aktiv",F2434&gt;=WarnNote),1,0)</f>
        <v/>
      </c>
      <c r="H2434" s="62">
        <f>IF(G2434=1,B2434,"")</f>
        <v/>
      </c>
    </row>
    <row r="2435">
      <c r="B2435" s="62" t="n">
        <v>89</v>
      </c>
      <c r="C2435" s="62">
        <f>IF(SUM($C$1792:$J$1792)=0,"",SUMPRODUCT(MAX(($C$1792:$J$1792&gt;0)*$C$1703:$J$1703)))</f>
        <v/>
      </c>
      <c r="D2435" s="64">
        <f>IF(OR(C2435="",C2435&lt;1,C2435&gt;8),"",INDEX($C$2317:$J$2317,C2435))</f>
        <v/>
      </c>
      <c r="E2435" s="62">
        <f>IF(OR(C2435="",C2435&lt;1,C2435&gt;8),"",INDEX($C$1792:$J$1792,C2435))</f>
        <v/>
      </c>
      <c r="F2435" s="62">
        <f>IF(ISNUMBER(D2435),INDEX(Noten,MAX(1,MIN(COUNT(NGrenze),COUNT(NGrenze)+1-COUNTIF(NGrenze,"&lt;="&amp;D2435)))),"")</f>
        <v/>
      </c>
      <c r="G2435" s="62">
        <f>IF(AND(ISNUMBER(D2435),'Stammdaten'!$G94="aktiv",F2435&gt;=WarnNote),1,0)</f>
        <v/>
      </c>
      <c r="H2435" s="62">
        <f>IF(G2435=1,B2435,"")</f>
        <v/>
      </c>
    </row>
    <row r="2436">
      <c r="B2436" s="62" t="n">
        <v>90</v>
      </c>
      <c r="C2436" s="62">
        <f>IF(SUM($C$1793:$J$1793)=0,"",SUMPRODUCT(MAX(($C$1793:$J$1793&gt;0)*$C$1703:$J$1703)))</f>
        <v/>
      </c>
      <c r="D2436" s="64">
        <f>IF(OR(C2436="",C2436&lt;1,C2436&gt;8),"",INDEX($C$2318:$J$2318,C2436))</f>
        <v/>
      </c>
      <c r="E2436" s="62">
        <f>IF(OR(C2436="",C2436&lt;1,C2436&gt;8),"",INDEX($C$1793:$J$1793,C2436))</f>
        <v/>
      </c>
      <c r="F2436" s="62">
        <f>IF(ISNUMBER(D2436),INDEX(Noten,MAX(1,MIN(COUNT(NGrenze),COUNT(NGrenze)+1-COUNTIF(NGrenze,"&lt;="&amp;D2436)))),"")</f>
        <v/>
      </c>
      <c r="G2436" s="62">
        <f>IF(AND(ISNUMBER(D2436),'Stammdaten'!$G95="aktiv",F2436&gt;=WarnNote),1,0)</f>
        <v/>
      </c>
      <c r="H2436" s="62">
        <f>IF(G2436=1,B2436,"")</f>
        <v/>
      </c>
    </row>
    <row r="2437">
      <c r="B2437" s="62" t="n">
        <v>91</v>
      </c>
      <c r="C2437" s="62">
        <f>IF(SUM($C$1794:$J$1794)=0,"",SUMPRODUCT(MAX(($C$1794:$J$1794&gt;0)*$C$1703:$J$1703)))</f>
        <v/>
      </c>
      <c r="D2437" s="64">
        <f>IF(OR(C2437="",C2437&lt;1,C2437&gt;8),"",INDEX($C$2319:$J$2319,C2437))</f>
        <v/>
      </c>
      <c r="E2437" s="62">
        <f>IF(OR(C2437="",C2437&lt;1,C2437&gt;8),"",INDEX($C$1794:$J$1794,C2437))</f>
        <v/>
      </c>
      <c r="F2437" s="62">
        <f>IF(ISNUMBER(D2437),INDEX(Noten,MAX(1,MIN(COUNT(NGrenze),COUNT(NGrenze)+1-COUNTIF(NGrenze,"&lt;="&amp;D2437)))),"")</f>
        <v/>
      </c>
      <c r="G2437" s="62">
        <f>IF(AND(ISNUMBER(D2437),'Stammdaten'!$G96="aktiv",F2437&gt;=WarnNote),1,0)</f>
        <v/>
      </c>
      <c r="H2437" s="62">
        <f>IF(G2437=1,B2437,"")</f>
        <v/>
      </c>
    </row>
    <row r="2438">
      <c r="B2438" s="62" t="n">
        <v>92</v>
      </c>
      <c r="C2438" s="62">
        <f>IF(SUM($C$1795:$J$1795)=0,"",SUMPRODUCT(MAX(($C$1795:$J$1795&gt;0)*$C$1703:$J$1703)))</f>
        <v/>
      </c>
      <c r="D2438" s="64">
        <f>IF(OR(C2438="",C2438&lt;1,C2438&gt;8),"",INDEX($C$2320:$J$2320,C2438))</f>
        <v/>
      </c>
      <c r="E2438" s="62">
        <f>IF(OR(C2438="",C2438&lt;1,C2438&gt;8),"",INDEX($C$1795:$J$1795,C2438))</f>
        <v/>
      </c>
      <c r="F2438" s="62">
        <f>IF(ISNUMBER(D2438),INDEX(Noten,MAX(1,MIN(COUNT(NGrenze),COUNT(NGrenze)+1-COUNTIF(NGrenze,"&lt;="&amp;D2438)))),"")</f>
        <v/>
      </c>
      <c r="G2438" s="62">
        <f>IF(AND(ISNUMBER(D2438),'Stammdaten'!$G97="aktiv",F2438&gt;=WarnNote),1,0)</f>
        <v/>
      </c>
      <c r="H2438" s="62">
        <f>IF(G2438=1,B2438,"")</f>
        <v/>
      </c>
    </row>
    <row r="2439">
      <c r="B2439" s="62" t="n">
        <v>93</v>
      </c>
      <c r="C2439" s="62">
        <f>IF(SUM($C$1796:$J$1796)=0,"",SUMPRODUCT(MAX(($C$1796:$J$1796&gt;0)*$C$1703:$J$1703)))</f>
        <v/>
      </c>
      <c r="D2439" s="64">
        <f>IF(OR(C2439="",C2439&lt;1,C2439&gt;8),"",INDEX($C$2321:$J$2321,C2439))</f>
        <v/>
      </c>
      <c r="E2439" s="62">
        <f>IF(OR(C2439="",C2439&lt;1,C2439&gt;8),"",INDEX($C$1796:$J$1796,C2439))</f>
        <v/>
      </c>
      <c r="F2439" s="62">
        <f>IF(ISNUMBER(D2439),INDEX(Noten,MAX(1,MIN(COUNT(NGrenze),COUNT(NGrenze)+1-COUNTIF(NGrenze,"&lt;="&amp;D2439)))),"")</f>
        <v/>
      </c>
      <c r="G2439" s="62">
        <f>IF(AND(ISNUMBER(D2439),'Stammdaten'!$G98="aktiv",F2439&gt;=WarnNote),1,0)</f>
        <v/>
      </c>
      <c r="H2439" s="62">
        <f>IF(G2439=1,B2439,"")</f>
        <v/>
      </c>
    </row>
    <row r="2440">
      <c r="B2440" s="62" t="n">
        <v>94</v>
      </c>
      <c r="C2440" s="62">
        <f>IF(SUM($C$1797:$J$1797)=0,"",SUMPRODUCT(MAX(($C$1797:$J$1797&gt;0)*$C$1703:$J$1703)))</f>
        <v/>
      </c>
      <c r="D2440" s="64">
        <f>IF(OR(C2440="",C2440&lt;1,C2440&gt;8),"",INDEX($C$2322:$J$2322,C2440))</f>
        <v/>
      </c>
      <c r="E2440" s="62">
        <f>IF(OR(C2440="",C2440&lt;1,C2440&gt;8),"",INDEX($C$1797:$J$1797,C2440))</f>
        <v/>
      </c>
      <c r="F2440" s="62">
        <f>IF(ISNUMBER(D2440),INDEX(Noten,MAX(1,MIN(COUNT(NGrenze),COUNT(NGrenze)+1-COUNTIF(NGrenze,"&lt;="&amp;D2440)))),"")</f>
        <v/>
      </c>
      <c r="G2440" s="62">
        <f>IF(AND(ISNUMBER(D2440),'Stammdaten'!$G99="aktiv",F2440&gt;=WarnNote),1,0)</f>
        <v/>
      </c>
      <c r="H2440" s="62">
        <f>IF(G2440=1,B2440,"")</f>
        <v/>
      </c>
    </row>
    <row r="2441">
      <c r="B2441" s="62" t="n">
        <v>95</v>
      </c>
      <c r="C2441" s="62">
        <f>IF(SUM($C$1798:$J$1798)=0,"",SUMPRODUCT(MAX(($C$1798:$J$1798&gt;0)*$C$1703:$J$1703)))</f>
        <v/>
      </c>
      <c r="D2441" s="64">
        <f>IF(OR(C2441="",C2441&lt;1,C2441&gt;8),"",INDEX($C$2323:$J$2323,C2441))</f>
        <v/>
      </c>
      <c r="E2441" s="62">
        <f>IF(OR(C2441="",C2441&lt;1,C2441&gt;8),"",INDEX($C$1798:$J$1798,C2441))</f>
        <v/>
      </c>
      <c r="F2441" s="62">
        <f>IF(ISNUMBER(D2441),INDEX(Noten,MAX(1,MIN(COUNT(NGrenze),COUNT(NGrenze)+1-COUNTIF(NGrenze,"&lt;="&amp;D2441)))),"")</f>
        <v/>
      </c>
      <c r="G2441" s="62">
        <f>IF(AND(ISNUMBER(D2441),'Stammdaten'!$G100="aktiv",F2441&gt;=WarnNote),1,0)</f>
        <v/>
      </c>
      <c r="H2441" s="62">
        <f>IF(G2441=1,B2441,"")</f>
        <v/>
      </c>
    </row>
    <row r="2442">
      <c r="B2442" s="62" t="n">
        <v>96</v>
      </c>
      <c r="C2442" s="62">
        <f>IF(SUM($C$1799:$J$1799)=0,"",SUMPRODUCT(MAX(($C$1799:$J$1799&gt;0)*$C$1703:$J$1703)))</f>
        <v/>
      </c>
      <c r="D2442" s="64">
        <f>IF(OR(C2442="",C2442&lt;1,C2442&gt;8),"",INDEX($C$2324:$J$2324,C2442))</f>
        <v/>
      </c>
      <c r="E2442" s="62">
        <f>IF(OR(C2442="",C2442&lt;1,C2442&gt;8),"",INDEX($C$1799:$J$1799,C2442))</f>
        <v/>
      </c>
      <c r="F2442" s="62">
        <f>IF(ISNUMBER(D2442),INDEX(Noten,MAX(1,MIN(COUNT(NGrenze),COUNT(NGrenze)+1-COUNTIF(NGrenze,"&lt;="&amp;D2442)))),"")</f>
        <v/>
      </c>
      <c r="G2442" s="62">
        <f>IF(AND(ISNUMBER(D2442),'Stammdaten'!$G101="aktiv",F2442&gt;=WarnNote),1,0)</f>
        <v/>
      </c>
      <c r="H2442" s="62">
        <f>IF(G2442=1,B2442,"")</f>
        <v/>
      </c>
    </row>
    <row r="2443">
      <c r="B2443" s="62" t="n">
        <v>97</v>
      </c>
      <c r="C2443" s="62">
        <f>IF(SUM($C$1800:$J$1800)=0,"",SUMPRODUCT(MAX(($C$1800:$J$1800&gt;0)*$C$1703:$J$1703)))</f>
        <v/>
      </c>
      <c r="D2443" s="64">
        <f>IF(OR(C2443="",C2443&lt;1,C2443&gt;8),"",INDEX($C$2325:$J$2325,C2443))</f>
        <v/>
      </c>
      <c r="E2443" s="62">
        <f>IF(OR(C2443="",C2443&lt;1,C2443&gt;8),"",INDEX($C$1800:$J$1800,C2443))</f>
        <v/>
      </c>
      <c r="F2443" s="62">
        <f>IF(ISNUMBER(D2443),INDEX(Noten,MAX(1,MIN(COUNT(NGrenze),COUNT(NGrenze)+1-COUNTIF(NGrenze,"&lt;="&amp;D2443)))),"")</f>
        <v/>
      </c>
      <c r="G2443" s="62">
        <f>IF(AND(ISNUMBER(D2443),'Stammdaten'!$G102="aktiv",F2443&gt;=WarnNote),1,0)</f>
        <v/>
      </c>
      <c r="H2443" s="62">
        <f>IF(G2443=1,B2443,"")</f>
        <v/>
      </c>
    </row>
    <row r="2444">
      <c r="B2444" s="62" t="n">
        <v>98</v>
      </c>
      <c r="C2444" s="62">
        <f>IF(SUM($C$1801:$J$1801)=0,"",SUMPRODUCT(MAX(($C$1801:$J$1801&gt;0)*$C$1703:$J$1703)))</f>
        <v/>
      </c>
      <c r="D2444" s="64">
        <f>IF(OR(C2444="",C2444&lt;1,C2444&gt;8),"",INDEX($C$2326:$J$2326,C2444))</f>
        <v/>
      </c>
      <c r="E2444" s="62">
        <f>IF(OR(C2444="",C2444&lt;1,C2444&gt;8),"",INDEX($C$1801:$J$1801,C2444))</f>
        <v/>
      </c>
      <c r="F2444" s="62">
        <f>IF(ISNUMBER(D2444),INDEX(Noten,MAX(1,MIN(COUNT(NGrenze),COUNT(NGrenze)+1-COUNTIF(NGrenze,"&lt;="&amp;D2444)))),"")</f>
        <v/>
      </c>
      <c r="G2444" s="62">
        <f>IF(AND(ISNUMBER(D2444),'Stammdaten'!$G103="aktiv",F2444&gt;=WarnNote),1,0)</f>
        <v/>
      </c>
      <c r="H2444" s="62">
        <f>IF(G2444=1,B2444,"")</f>
        <v/>
      </c>
    </row>
    <row r="2445">
      <c r="B2445" s="62" t="n">
        <v>99</v>
      </c>
      <c r="C2445" s="62">
        <f>IF(SUM($C$1802:$J$1802)=0,"",SUMPRODUCT(MAX(($C$1802:$J$1802&gt;0)*$C$1703:$J$1703)))</f>
        <v/>
      </c>
      <c r="D2445" s="64">
        <f>IF(OR(C2445="",C2445&lt;1,C2445&gt;8),"",INDEX($C$2327:$J$2327,C2445))</f>
        <v/>
      </c>
      <c r="E2445" s="62">
        <f>IF(OR(C2445="",C2445&lt;1,C2445&gt;8),"",INDEX($C$1802:$J$1802,C2445))</f>
        <v/>
      </c>
      <c r="F2445" s="62">
        <f>IF(ISNUMBER(D2445),INDEX(Noten,MAX(1,MIN(COUNT(NGrenze),COUNT(NGrenze)+1-COUNTIF(NGrenze,"&lt;="&amp;D2445)))),"")</f>
        <v/>
      </c>
      <c r="G2445" s="62">
        <f>IF(AND(ISNUMBER(D2445),'Stammdaten'!$G104="aktiv",F2445&gt;=WarnNote),1,0)</f>
        <v/>
      </c>
      <c r="H2445" s="62">
        <f>IF(G2445=1,B2445,"")</f>
        <v/>
      </c>
    </row>
    <row r="2446">
      <c r="B2446" s="62" t="n">
        <v>100</v>
      </c>
      <c r="C2446" s="62">
        <f>IF(SUM($C$1803:$J$1803)=0,"",SUMPRODUCT(MAX(($C$1803:$J$1803&gt;0)*$C$1703:$J$1703)))</f>
        <v/>
      </c>
      <c r="D2446" s="64">
        <f>IF(OR(C2446="",C2446&lt;1,C2446&gt;8),"",INDEX($C$2328:$J$2328,C2446))</f>
        <v/>
      </c>
      <c r="E2446" s="62">
        <f>IF(OR(C2446="",C2446&lt;1,C2446&gt;8),"",INDEX($C$1803:$J$1803,C2446))</f>
        <v/>
      </c>
      <c r="F2446" s="62">
        <f>IF(ISNUMBER(D2446),INDEX(Noten,MAX(1,MIN(COUNT(NGrenze),COUNT(NGrenze)+1-COUNTIF(NGrenze,"&lt;="&amp;D2446)))),"")</f>
        <v/>
      </c>
      <c r="G2446" s="62">
        <f>IF(AND(ISNUMBER(D2446),'Stammdaten'!$G105="aktiv",F2446&gt;=WarnNote),1,0)</f>
        <v/>
      </c>
      <c r="H2446" s="62">
        <f>IF(G2446=1,B2446,"")</f>
        <v/>
      </c>
    </row>
    <row r="2451">
      <c r="A2451" s="171" t="inlineStr">
        <is>
          <t>Auswahlliste Azubis (gefiltert)</t>
        </is>
      </c>
    </row>
    <row r="2452">
      <c r="C2452" s="62">
        <f>IF(AND('Stammdaten'!$B6&lt;&gt;"",'Stammdaten'!$G6="aktiv",OR('Azubi-Ansicht'!$C$4="(alle)",'Azubi-Ansicht'!$C$4="",'Stammdaten'!$D6='Azubi-Ansicht'!$C$4),OR('Azubi-Ansicht'!$H$4="(alle)",'Azubi-Ansicht'!$H$4="",'Stammdaten'!$E6='Azubi-Ansicht'!$H$4)),1,"")</f>
        <v/>
      </c>
      <c r="D2452" s="63">
        <f>IFERROR(INDEX('Stammdaten'!$J$6:$J$105,SMALL($C$2452:$C$2551,ROW()-2451)),"")</f>
        <v/>
      </c>
    </row>
    <row r="2453">
      <c r="C2453" s="62">
        <f>IF(AND('Stammdaten'!$B7&lt;&gt;"",'Stammdaten'!$G7="aktiv",OR('Azubi-Ansicht'!$C$4="(alle)",'Azubi-Ansicht'!$C$4="",'Stammdaten'!$D7='Azubi-Ansicht'!$C$4),OR('Azubi-Ansicht'!$H$4="(alle)",'Azubi-Ansicht'!$H$4="",'Stammdaten'!$E7='Azubi-Ansicht'!$H$4)),2,"")</f>
        <v/>
      </c>
      <c r="D2453" s="63">
        <f>IFERROR(INDEX('Stammdaten'!$J$6:$J$105,SMALL($C$2452:$C$2551,ROW()-2451)),"")</f>
        <v/>
      </c>
    </row>
    <row r="2454">
      <c r="C2454" s="62">
        <f>IF(AND('Stammdaten'!$B8&lt;&gt;"",'Stammdaten'!$G8="aktiv",OR('Azubi-Ansicht'!$C$4="(alle)",'Azubi-Ansicht'!$C$4="",'Stammdaten'!$D8='Azubi-Ansicht'!$C$4),OR('Azubi-Ansicht'!$H$4="(alle)",'Azubi-Ansicht'!$H$4="",'Stammdaten'!$E8='Azubi-Ansicht'!$H$4)),3,"")</f>
        <v/>
      </c>
      <c r="D2454" s="63">
        <f>IFERROR(INDEX('Stammdaten'!$J$6:$J$105,SMALL($C$2452:$C$2551,ROW()-2451)),"")</f>
        <v/>
      </c>
    </row>
    <row r="2455">
      <c r="C2455" s="62">
        <f>IF(AND('Stammdaten'!$B9&lt;&gt;"",'Stammdaten'!$G9="aktiv",OR('Azubi-Ansicht'!$C$4="(alle)",'Azubi-Ansicht'!$C$4="",'Stammdaten'!$D9='Azubi-Ansicht'!$C$4),OR('Azubi-Ansicht'!$H$4="(alle)",'Azubi-Ansicht'!$H$4="",'Stammdaten'!$E9='Azubi-Ansicht'!$H$4)),4,"")</f>
        <v/>
      </c>
      <c r="D2455" s="63">
        <f>IFERROR(INDEX('Stammdaten'!$J$6:$J$105,SMALL($C$2452:$C$2551,ROW()-2451)),"")</f>
        <v/>
      </c>
    </row>
    <row r="2456">
      <c r="C2456" s="62">
        <f>IF(AND('Stammdaten'!$B10&lt;&gt;"",'Stammdaten'!$G10="aktiv",OR('Azubi-Ansicht'!$C$4="(alle)",'Azubi-Ansicht'!$C$4="",'Stammdaten'!$D10='Azubi-Ansicht'!$C$4),OR('Azubi-Ansicht'!$H$4="(alle)",'Azubi-Ansicht'!$H$4="",'Stammdaten'!$E10='Azubi-Ansicht'!$H$4)),5,"")</f>
        <v/>
      </c>
      <c r="D2456" s="63">
        <f>IFERROR(INDEX('Stammdaten'!$J$6:$J$105,SMALL($C$2452:$C$2551,ROW()-2451)),"")</f>
        <v/>
      </c>
    </row>
    <row r="2457">
      <c r="C2457" s="62">
        <f>IF(AND('Stammdaten'!$B11&lt;&gt;"",'Stammdaten'!$G11="aktiv",OR('Azubi-Ansicht'!$C$4="(alle)",'Azubi-Ansicht'!$C$4="",'Stammdaten'!$D11='Azubi-Ansicht'!$C$4),OR('Azubi-Ansicht'!$H$4="(alle)",'Azubi-Ansicht'!$H$4="",'Stammdaten'!$E11='Azubi-Ansicht'!$H$4)),6,"")</f>
        <v/>
      </c>
      <c r="D2457" s="63">
        <f>IFERROR(INDEX('Stammdaten'!$J$6:$J$105,SMALL($C$2452:$C$2551,ROW()-2451)),"")</f>
        <v/>
      </c>
    </row>
    <row r="2458">
      <c r="C2458" s="62">
        <f>IF(AND('Stammdaten'!$B12&lt;&gt;"",'Stammdaten'!$G12="aktiv",OR('Azubi-Ansicht'!$C$4="(alle)",'Azubi-Ansicht'!$C$4="",'Stammdaten'!$D12='Azubi-Ansicht'!$C$4),OR('Azubi-Ansicht'!$H$4="(alle)",'Azubi-Ansicht'!$H$4="",'Stammdaten'!$E12='Azubi-Ansicht'!$H$4)),7,"")</f>
        <v/>
      </c>
      <c r="D2458" s="63">
        <f>IFERROR(INDEX('Stammdaten'!$J$6:$J$105,SMALL($C$2452:$C$2551,ROW()-2451)),"")</f>
        <v/>
      </c>
    </row>
    <row r="2459">
      <c r="C2459" s="62">
        <f>IF(AND('Stammdaten'!$B13&lt;&gt;"",'Stammdaten'!$G13="aktiv",OR('Azubi-Ansicht'!$C$4="(alle)",'Azubi-Ansicht'!$C$4="",'Stammdaten'!$D13='Azubi-Ansicht'!$C$4),OR('Azubi-Ansicht'!$H$4="(alle)",'Azubi-Ansicht'!$H$4="",'Stammdaten'!$E13='Azubi-Ansicht'!$H$4)),8,"")</f>
        <v/>
      </c>
      <c r="D2459" s="63">
        <f>IFERROR(INDEX('Stammdaten'!$J$6:$J$105,SMALL($C$2452:$C$2551,ROW()-2451)),"")</f>
        <v/>
      </c>
    </row>
    <row r="2460">
      <c r="C2460" s="62">
        <f>IF(AND('Stammdaten'!$B14&lt;&gt;"",'Stammdaten'!$G14="aktiv",OR('Azubi-Ansicht'!$C$4="(alle)",'Azubi-Ansicht'!$C$4="",'Stammdaten'!$D14='Azubi-Ansicht'!$C$4),OR('Azubi-Ansicht'!$H$4="(alle)",'Azubi-Ansicht'!$H$4="",'Stammdaten'!$E14='Azubi-Ansicht'!$H$4)),9,"")</f>
        <v/>
      </c>
      <c r="D2460" s="63">
        <f>IFERROR(INDEX('Stammdaten'!$J$6:$J$105,SMALL($C$2452:$C$2551,ROW()-2451)),"")</f>
        <v/>
      </c>
    </row>
    <row r="2461">
      <c r="C2461" s="62">
        <f>IF(AND('Stammdaten'!$B15&lt;&gt;"",'Stammdaten'!$G15="aktiv",OR('Azubi-Ansicht'!$C$4="(alle)",'Azubi-Ansicht'!$C$4="",'Stammdaten'!$D15='Azubi-Ansicht'!$C$4),OR('Azubi-Ansicht'!$H$4="(alle)",'Azubi-Ansicht'!$H$4="",'Stammdaten'!$E15='Azubi-Ansicht'!$H$4)),10,"")</f>
        <v/>
      </c>
      <c r="D2461" s="63">
        <f>IFERROR(INDEX('Stammdaten'!$J$6:$J$105,SMALL($C$2452:$C$2551,ROW()-2451)),"")</f>
        <v/>
      </c>
    </row>
    <row r="2462">
      <c r="C2462" s="62">
        <f>IF(AND('Stammdaten'!$B16&lt;&gt;"",'Stammdaten'!$G16="aktiv",OR('Azubi-Ansicht'!$C$4="(alle)",'Azubi-Ansicht'!$C$4="",'Stammdaten'!$D16='Azubi-Ansicht'!$C$4),OR('Azubi-Ansicht'!$H$4="(alle)",'Azubi-Ansicht'!$H$4="",'Stammdaten'!$E16='Azubi-Ansicht'!$H$4)),11,"")</f>
        <v/>
      </c>
      <c r="D2462" s="63">
        <f>IFERROR(INDEX('Stammdaten'!$J$6:$J$105,SMALL($C$2452:$C$2551,ROW()-2451)),"")</f>
        <v/>
      </c>
    </row>
    <row r="2463">
      <c r="C2463" s="62">
        <f>IF(AND('Stammdaten'!$B17&lt;&gt;"",'Stammdaten'!$G17="aktiv",OR('Azubi-Ansicht'!$C$4="(alle)",'Azubi-Ansicht'!$C$4="",'Stammdaten'!$D17='Azubi-Ansicht'!$C$4),OR('Azubi-Ansicht'!$H$4="(alle)",'Azubi-Ansicht'!$H$4="",'Stammdaten'!$E17='Azubi-Ansicht'!$H$4)),12,"")</f>
        <v/>
      </c>
      <c r="D2463" s="63">
        <f>IFERROR(INDEX('Stammdaten'!$J$6:$J$105,SMALL($C$2452:$C$2551,ROW()-2451)),"")</f>
        <v/>
      </c>
    </row>
    <row r="2464">
      <c r="C2464" s="62">
        <f>IF(AND('Stammdaten'!$B18&lt;&gt;"",'Stammdaten'!$G18="aktiv",OR('Azubi-Ansicht'!$C$4="(alle)",'Azubi-Ansicht'!$C$4="",'Stammdaten'!$D18='Azubi-Ansicht'!$C$4),OR('Azubi-Ansicht'!$H$4="(alle)",'Azubi-Ansicht'!$H$4="",'Stammdaten'!$E18='Azubi-Ansicht'!$H$4)),13,"")</f>
        <v/>
      </c>
      <c r="D2464" s="63">
        <f>IFERROR(INDEX('Stammdaten'!$J$6:$J$105,SMALL($C$2452:$C$2551,ROW()-2451)),"")</f>
        <v/>
      </c>
    </row>
    <row r="2465">
      <c r="C2465" s="62">
        <f>IF(AND('Stammdaten'!$B19&lt;&gt;"",'Stammdaten'!$G19="aktiv",OR('Azubi-Ansicht'!$C$4="(alle)",'Azubi-Ansicht'!$C$4="",'Stammdaten'!$D19='Azubi-Ansicht'!$C$4),OR('Azubi-Ansicht'!$H$4="(alle)",'Azubi-Ansicht'!$H$4="",'Stammdaten'!$E19='Azubi-Ansicht'!$H$4)),14,"")</f>
        <v/>
      </c>
      <c r="D2465" s="63">
        <f>IFERROR(INDEX('Stammdaten'!$J$6:$J$105,SMALL($C$2452:$C$2551,ROW()-2451)),"")</f>
        <v/>
      </c>
    </row>
    <row r="2466">
      <c r="C2466" s="62">
        <f>IF(AND('Stammdaten'!$B20&lt;&gt;"",'Stammdaten'!$G20="aktiv",OR('Azubi-Ansicht'!$C$4="(alle)",'Azubi-Ansicht'!$C$4="",'Stammdaten'!$D20='Azubi-Ansicht'!$C$4),OR('Azubi-Ansicht'!$H$4="(alle)",'Azubi-Ansicht'!$H$4="",'Stammdaten'!$E20='Azubi-Ansicht'!$H$4)),15,"")</f>
        <v/>
      </c>
      <c r="D2466" s="63">
        <f>IFERROR(INDEX('Stammdaten'!$J$6:$J$105,SMALL($C$2452:$C$2551,ROW()-2451)),"")</f>
        <v/>
      </c>
    </row>
    <row r="2467">
      <c r="C2467" s="62">
        <f>IF(AND('Stammdaten'!$B21&lt;&gt;"",'Stammdaten'!$G21="aktiv",OR('Azubi-Ansicht'!$C$4="(alle)",'Azubi-Ansicht'!$C$4="",'Stammdaten'!$D21='Azubi-Ansicht'!$C$4),OR('Azubi-Ansicht'!$H$4="(alle)",'Azubi-Ansicht'!$H$4="",'Stammdaten'!$E21='Azubi-Ansicht'!$H$4)),16,"")</f>
        <v/>
      </c>
      <c r="D2467" s="63">
        <f>IFERROR(INDEX('Stammdaten'!$J$6:$J$105,SMALL($C$2452:$C$2551,ROW()-2451)),"")</f>
        <v/>
      </c>
    </row>
    <row r="2468">
      <c r="C2468" s="62">
        <f>IF(AND('Stammdaten'!$B22&lt;&gt;"",'Stammdaten'!$G22="aktiv",OR('Azubi-Ansicht'!$C$4="(alle)",'Azubi-Ansicht'!$C$4="",'Stammdaten'!$D22='Azubi-Ansicht'!$C$4),OR('Azubi-Ansicht'!$H$4="(alle)",'Azubi-Ansicht'!$H$4="",'Stammdaten'!$E22='Azubi-Ansicht'!$H$4)),17,"")</f>
        <v/>
      </c>
      <c r="D2468" s="63">
        <f>IFERROR(INDEX('Stammdaten'!$J$6:$J$105,SMALL($C$2452:$C$2551,ROW()-2451)),"")</f>
        <v/>
      </c>
    </row>
    <row r="2469">
      <c r="C2469" s="62">
        <f>IF(AND('Stammdaten'!$B23&lt;&gt;"",'Stammdaten'!$G23="aktiv",OR('Azubi-Ansicht'!$C$4="(alle)",'Azubi-Ansicht'!$C$4="",'Stammdaten'!$D23='Azubi-Ansicht'!$C$4),OR('Azubi-Ansicht'!$H$4="(alle)",'Azubi-Ansicht'!$H$4="",'Stammdaten'!$E23='Azubi-Ansicht'!$H$4)),18,"")</f>
        <v/>
      </c>
      <c r="D2469" s="63">
        <f>IFERROR(INDEX('Stammdaten'!$J$6:$J$105,SMALL($C$2452:$C$2551,ROW()-2451)),"")</f>
        <v/>
      </c>
    </row>
    <row r="2470">
      <c r="C2470" s="62">
        <f>IF(AND('Stammdaten'!$B24&lt;&gt;"",'Stammdaten'!$G24="aktiv",OR('Azubi-Ansicht'!$C$4="(alle)",'Azubi-Ansicht'!$C$4="",'Stammdaten'!$D24='Azubi-Ansicht'!$C$4),OR('Azubi-Ansicht'!$H$4="(alle)",'Azubi-Ansicht'!$H$4="",'Stammdaten'!$E24='Azubi-Ansicht'!$H$4)),19,"")</f>
        <v/>
      </c>
      <c r="D2470" s="63">
        <f>IFERROR(INDEX('Stammdaten'!$J$6:$J$105,SMALL($C$2452:$C$2551,ROW()-2451)),"")</f>
        <v/>
      </c>
    </row>
    <row r="2471">
      <c r="C2471" s="62">
        <f>IF(AND('Stammdaten'!$B25&lt;&gt;"",'Stammdaten'!$G25="aktiv",OR('Azubi-Ansicht'!$C$4="(alle)",'Azubi-Ansicht'!$C$4="",'Stammdaten'!$D25='Azubi-Ansicht'!$C$4),OR('Azubi-Ansicht'!$H$4="(alle)",'Azubi-Ansicht'!$H$4="",'Stammdaten'!$E25='Azubi-Ansicht'!$H$4)),20,"")</f>
        <v/>
      </c>
      <c r="D2471" s="63">
        <f>IFERROR(INDEX('Stammdaten'!$J$6:$J$105,SMALL($C$2452:$C$2551,ROW()-2451)),"")</f>
        <v/>
      </c>
    </row>
    <row r="2472">
      <c r="C2472" s="62">
        <f>IF(AND('Stammdaten'!$B26&lt;&gt;"",'Stammdaten'!$G26="aktiv",OR('Azubi-Ansicht'!$C$4="(alle)",'Azubi-Ansicht'!$C$4="",'Stammdaten'!$D26='Azubi-Ansicht'!$C$4),OR('Azubi-Ansicht'!$H$4="(alle)",'Azubi-Ansicht'!$H$4="",'Stammdaten'!$E26='Azubi-Ansicht'!$H$4)),21,"")</f>
        <v/>
      </c>
      <c r="D2472" s="63">
        <f>IFERROR(INDEX('Stammdaten'!$J$6:$J$105,SMALL($C$2452:$C$2551,ROW()-2451)),"")</f>
        <v/>
      </c>
    </row>
    <row r="2473">
      <c r="C2473" s="62">
        <f>IF(AND('Stammdaten'!$B27&lt;&gt;"",'Stammdaten'!$G27="aktiv",OR('Azubi-Ansicht'!$C$4="(alle)",'Azubi-Ansicht'!$C$4="",'Stammdaten'!$D27='Azubi-Ansicht'!$C$4),OR('Azubi-Ansicht'!$H$4="(alle)",'Azubi-Ansicht'!$H$4="",'Stammdaten'!$E27='Azubi-Ansicht'!$H$4)),22,"")</f>
        <v/>
      </c>
      <c r="D2473" s="63">
        <f>IFERROR(INDEX('Stammdaten'!$J$6:$J$105,SMALL($C$2452:$C$2551,ROW()-2451)),"")</f>
        <v/>
      </c>
    </row>
    <row r="2474">
      <c r="C2474" s="62">
        <f>IF(AND('Stammdaten'!$B28&lt;&gt;"",'Stammdaten'!$G28="aktiv",OR('Azubi-Ansicht'!$C$4="(alle)",'Azubi-Ansicht'!$C$4="",'Stammdaten'!$D28='Azubi-Ansicht'!$C$4),OR('Azubi-Ansicht'!$H$4="(alle)",'Azubi-Ansicht'!$H$4="",'Stammdaten'!$E28='Azubi-Ansicht'!$H$4)),23,"")</f>
        <v/>
      </c>
      <c r="D2474" s="63">
        <f>IFERROR(INDEX('Stammdaten'!$J$6:$J$105,SMALL($C$2452:$C$2551,ROW()-2451)),"")</f>
        <v/>
      </c>
    </row>
    <row r="2475">
      <c r="C2475" s="62">
        <f>IF(AND('Stammdaten'!$B29&lt;&gt;"",'Stammdaten'!$G29="aktiv",OR('Azubi-Ansicht'!$C$4="(alle)",'Azubi-Ansicht'!$C$4="",'Stammdaten'!$D29='Azubi-Ansicht'!$C$4),OR('Azubi-Ansicht'!$H$4="(alle)",'Azubi-Ansicht'!$H$4="",'Stammdaten'!$E29='Azubi-Ansicht'!$H$4)),24,"")</f>
        <v/>
      </c>
      <c r="D2475" s="63">
        <f>IFERROR(INDEX('Stammdaten'!$J$6:$J$105,SMALL($C$2452:$C$2551,ROW()-2451)),"")</f>
        <v/>
      </c>
    </row>
    <row r="2476">
      <c r="C2476" s="62">
        <f>IF(AND('Stammdaten'!$B30&lt;&gt;"",'Stammdaten'!$G30="aktiv",OR('Azubi-Ansicht'!$C$4="(alle)",'Azubi-Ansicht'!$C$4="",'Stammdaten'!$D30='Azubi-Ansicht'!$C$4),OR('Azubi-Ansicht'!$H$4="(alle)",'Azubi-Ansicht'!$H$4="",'Stammdaten'!$E30='Azubi-Ansicht'!$H$4)),25,"")</f>
        <v/>
      </c>
      <c r="D2476" s="63">
        <f>IFERROR(INDEX('Stammdaten'!$J$6:$J$105,SMALL($C$2452:$C$2551,ROW()-2451)),"")</f>
        <v/>
      </c>
    </row>
    <row r="2477">
      <c r="C2477" s="62">
        <f>IF(AND('Stammdaten'!$B31&lt;&gt;"",'Stammdaten'!$G31="aktiv",OR('Azubi-Ansicht'!$C$4="(alle)",'Azubi-Ansicht'!$C$4="",'Stammdaten'!$D31='Azubi-Ansicht'!$C$4),OR('Azubi-Ansicht'!$H$4="(alle)",'Azubi-Ansicht'!$H$4="",'Stammdaten'!$E31='Azubi-Ansicht'!$H$4)),26,"")</f>
        <v/>
      </c>
      <c r="D2477" s="63">
        <f>IFERROR(INDEX('Stammdaten'!$J$6:$J$105,SMALL($C$2452:$C$2551,ROW()-2451)),"")</f>
        <v/>
      </c>
    </row>
    <row r="2478">
      <c r="C2478" s="62">
        <f>IF(AND('Stammdaten'!$B32&lt;&gt;"",'Stammdaten'!$G32="aktiv",OR('Azubi-Ansicht'!$C$4="(alle)",'Azubi-Ansicht'!$C$4="",'Stammdaten'!$D32='Azubi-Ansicht'!$C$4),OR('Azubi-Ansicht'!$H$4="(alle)",'Azubi-Ansicht'!$H$4="",'Stammdaten'!$E32='Azubi-Ansicht'!$H$4)),27,"")</f>
        <v/>
      </c>
      <c r="D2478" s="63">
        <f>IFERROR(INDEX('Stammdaten'!$J$6:$J$105,SMALL($C$2452:$C$2551,ROW()-2451)),"")</f>
        <v/>
      </c>
    </row>
    <row r="2479">
      <c r="C2479" s="62">
        <f>IF(AND('Stammdaten'!$B33&lt;&gt;"",'Stammdaten'!$G33="aktiv",OR('Azubi-Ansicht'!$C$4="(alle)",'Azubi-Ansicht'!$C$4="",'Stammdaten'!$D33='Azubi-Ansicht'!$C$4),OR('Azubi-Ansicht'!$H$4="(alle)",'Azubi-Ansicht'!$H$4="",'Stammdaten'!$E33='Azubi-Ansicht'!$H$4)),28,"")</f>
        <v/>
      </c>
      <c r="D2479" s="63">
        <f>IFERROR(INDEX('Stammdaten'!$J$6:$J$105,SMALL($C$2452:$C$2551,ROW()-2451)),"")</f>
        <v/>
      </c>
    </row>
    <row r="2480">
      <c r="C2480" s="62">
        <f>IF(AND('Stammdaten'!$B34&lt;&gt;"",'Stammdaten'!$G34="aktiv",OR('Azubi-Ansicht'!$C$4="(alle)",'Azubi-Ansicht'!$C$4="",'Stammdaten'!$D34='Azubi-Ansicht'!$C$4),OR('Azubi-Ansicht'!$H$4="(alle)",'Azubi-Ansicht'!$H$4="",'Stammdaten'!$E34='Azubi-Ansicht'!$H$4)),29,"")</f>
        <v/>
      </c>
      <c r="D2480" s="63">
        <f>IFERROR(INDEX('Stammdaten'!$J$6:$J$105,SMALL($C$2452:$C$2551,ROW()-2451)),"")</f>
        <v/>
      </c>
    </row>
    <row r="2481">
      <c r="C2481" s="62">
        <f>IF(AND('Stammdaten'!$B35&lt;&gt;"",'Stammdaten'!$G35="aktiv",OR('Azubi-Ansicht'!$C$4="(alle)",'Azubi-Ansicht'!$C$4="",'Stammdaten'!$D35='Azubi-Ansicht'!$C$4),OR('Azubi-Ansicht'!$H$4="(alle)",'Azubi-Ansicht'!$H$4="",'Stammdaten'!$E35='Azubi-Ansicht'!$H$4)),30,"")</f>
        <v/>
      </c>
      <c r="D2481" s="63">
        <f>IFERROR(INDEX('Stammdaten'!$J$6:$J$105,SMALL($C$2452:$C$2551,ROW()-2451)),"")</f>
        <v/>
      </c>
    </row>
    <row r="2482">
      <c r="C2482" s="62">
        <f>IF(AND('Stammdaten'!$B36&lt;&gt;"",'Stammdaten'!$G36="aktiv",OR('Azubi-Ansicht'!$C$4="(alle)",'Azubi-Ansicht'!$C$4="",'Stammdaten'!$D36='Azubi-Ansicht'!$C$4),OR('Azubi-Ansicht'!$H$4="(alle)",'Azubi-Ansicht'!$H$4="",'Stammdaten'!$E36='Azubi-Ansicht'!$H$4)),31,"")</f>
        <v/>
      </c>
      <c r="D2482" s="63">
        <f>IFERROR(INDEX('Stammdaten'!$J$6:$J$105,SMALL($C$2452:$C$2551,ROW()-2451)),"")</f>
        <v/>
      </c>
    </row>
    <row r="2483">
      <c r="C2483" s="62">
        <f>IF(AND('Stammdaten'!$B37&lt;&gt;"",'Stammdaten'!$G37="aktiv",OR('Azubi-Ansicht'!$C$4="(alle)",'Azubi-Ansicht'!$C$4="",'Stammdaten'!$D37='Azubi-Ansicht'!$C$4),OR('Azubi-Ansicht'!$H$4="(alle)",'Azubi-Ansicht'!$H$4="",'Stammdaten'!$E37='Azubi-Ansicht'!$H$4)),32,"")</f>
        <v/>
      </c>
      <c r="D2483" s="63">
        <f>IFERROR(INDEX('Stammdaten'!$J$6:$J$105,SMALL($C$2452:$C$2551,ROW()-2451)),"")</f>
        <v/>
      </c>
    </row>
    <row r="2484">
      <c r="C2484" s="62">
        <f>IF(AND('Stammdaten'!$B38&lt;&gt;"",'Stammdaten'!$G38="aktiv",OR('Azubi-Ansicht'!$C$4="(alle)",'Azubi-Ansicht'!$C$4="",'Stammdaten'!$D38='Azubi-Ansicht'!$C$4),OR('Azubi-Ansicht'!$H$4="(alle)",'Azubi-Ansicht'!$H$4="",'Stammdaten'!$E38='Azubi-Ansicht'!$H$4)),33,"")</f>
        <v/>
      </c>
      <c r="D2484" s="63">
        <f>IFERROR(INDEX('Stammdaten'!$J$6:$J$105,SMALL($C$2452:$C$2551,ROW()-2451)),"")</f>
        <v/>
      </c>
    </row>
    <row r="2485">
      <c r="C2485" s="62">
        <f>IF(AND('Stammdaten'!$B39&lt;&gt;"",'Stammdaten'!$G39="aktiv",OR('Azubi-Ansicht'!$C$4="(alle)",'Azubi-Ansicht'!$C$4="",'Stammdaten'!$D39='Azubi-Ansicht'!$C$4),OR('Azubi-Ansicht'!$H$4="(alle)",'Azubi-Ansicht'!$H$4="",'Stammdaten'!$E39='Azubi-Ansicht'!$H$4)),34,"")</f>
        <v/>
      </c>
      <c r="D2485" s="63">
        <f>IFERROR(INDEX('Stammdaten'!$J$6:$J$105,SMALL($C$2452:$C$2551,ROW()-2451)),"")</f>
        <v/>
      </c>
    </row>
    <row r="2486">
      <c r="C2486" s="62">
        <f>IF(AND('Stammdaten'!$B40&lt;&gt;"",'Stammdaten'!$G40="aktiv",OR('Azubi-Ansicht'!$C$4="(alle)",'Azubi-Ansicht'!$C$4="",'Stammdaten'!$D40='Azubi-Ansicht'!$C$4),OR('Azubi-Ansicht'!$H$4="(alle)",'Azubi-Ansicht'!$H$4="",'Stammdaten'!$E40='Azubi-Ansicht'!$H$4)),35,"")</f>
        <v/>
      </c>
      <c r="D2486" s="63">
        <f>IFERROR(INDEX('Stammdaten'!$J$6:$J$105,SMALL($C$2452:$C$2551,ROW()-2451)),"")</f>
        <v/>
      </c>
    </row>
    <row r="2487">
      <c r="C2487" s="62">
        <f>IF(AND('Stammdaten'!$B41&lt;&gt;"",'Stammdaten'!$G41="aktiv",OR('Azubi-Ansicht'!$C$4="(alle)",'Azubi-Ansicht'!$C$4="",'Stammdaten'!$D41='Azubi-Ansicht'!$C$4),OR('Azubi-Ansicht'!$H$4="(alle)",'Azubi-Ansicht'!$H$4="",'Stammdaten'!$E41='Azubi-Ansicht'!$H$4)),36,"")</f>
        <v/>
      </c>
      <c r="D2487" s="63">
        <f>IFERROR(INDEX('Stammdaten'!$J$6:$J$105,SMALL($C$2452:$C$2551,ROW()-2451)),"")</f>
        <v/>
      </c>
    </row>
    <row r="2488">
      <c r="C2488" s="62">
        <f>IF(AND('Stammdaten'!$B42&lt;&gt;"",'Stammdaten'!$G42="aktiv",OR('Azubi-Ansicht'!$C$4="(alle)",'Azubi-Ansicht'!$C$4="",'Stammdaten'!$D42='Azubi-Ansicht'!$C$4),OR('Azubi-Ansicht'!$H$4="(alle)",'Azubi-Ansicht'!$H$4="",'Stammdaten'!$E42='Azubi-Ansicht'!$H$4)),37,"")</f>
        <v/>
      </c>
      <c r="D2488" s="63">
        <f>IFERROR(INDEX('Stammdaten'!$J$6:$J$105,SMALL($C$2452:$C$2551,ROW()-2451)),"")</f>
        <v/>
      </c>
    </row>
    <row r="2489">
      <c r="C2489" s="62">
        <f>IF(AND('Stammdaten'!$B43&lt;&gt;"",'Stammdaten'!$G43="aktiv",OR('Azubi-Ansicht'!$C$4="(alle)",'Azubi-Ansicht'!$C$4="",'Stammdaten'!$D43='Azubi-Ansicht'!$C$4),OR('Azubi-Ansicht'!$H$4="(alle)",'Azubi-Ansicht'!$H$4="",'Stammdaten'!$E43='Azubi-Ansicht'!$H$4)),38,"")</f>
        <v/>
      </c>
      <c r="D2489" s="63">
        <f>IFERROR(INDEX('Stammdaten'!$J$6:$J$105,SMALL($C$2452:$C$2551,ROW()-2451)),"")</f>
        <v/>
      </c>
    </row>
    <row r="2490">
      <c r="C2490" s="62">
        <f>IF(AND('Stammdaten'!$B44&lt;&gt;"",'Stammdaten'!$G44="aktiv",OR('Azubi-Ansicht'!$C$4="(alle)",'Azubi-Ansicht'!$C$4="",'Stammdaten'!$D44='Azubi-Ansicht'!$C$4),OR('Azubi-Ansicht'!$H$4="(alle)",'Azubi-Ansicht'!$H$4="",'Stammdaten'!$E44='Azubi-Ansicht'!$H$4)),39,"")</f>
        <v/>
      </c>
      <c r="D2490" s="63">
        <f>IFERROR(INDEX('Stammdaten'!$J$6:$J$105,SMALL($C$2452:$C$2551,ROW()-2451)),"")</f>
        <v/>
      </c>
    </row>
    <row r="2491">
      <c r="C2491" s="62">
        <f>IF(AND('Stammdaten'!$B45&lt;&gt;"",'Stammdaten'!$G45="aktiv",OR('Azubi-Ansicht'!$C$4="(alle)",'Azubi-Ansicht'!$C$4="",'Stammdaten'!$D45='Azubi-Ansicht'!$C$4),OR('Azubi-Ansicht'!$H$4="(alle)",'Azubi-Ansicht'!$H$4="",'Stammdaten'!$E45='Azubi-Ansicht'!$H$4)),40,"")</f>
        <v/>
      </c>
      <c r="D2491" s="63">
        <f>IFERROR(INDEX('Stammdaten'!$J$6:$J$105,SMALL($C$2452:$C$2551,ROW()-2451)),"")</f>
        <v/>
      </c>
    </row>
    <row r="2492">
      <c r="C2492" s="62">
        <f>IF(AND('Stammdaten'!$B46&lt;&gt;"",'Stammdaten'!$G46="aktiv",OR('Azubi-Ansicht'!$C$4="(alle)",'Azubi-Ansicht'!$C$4="",'Stammdaten'!$D46='Azubi-Ansicht'!$C$4),OR('Azubi-Ansicht'!$H$4="(alle)",'Azubi-Ansicht'!$H$4="",'Stammdaten'!$E46='Azubi-Ansicht'!$H$4)),41,"")</f>
        <v/>
      </c>
      <c r="D2492" s="63">
        <f>IFERROR(INDEX('Stammdaten'!$J$6:$J$105,SMALL($C$2452:$C$2551,ROW()-2451)),"")</f>
        <v/>
      </c>
    </row>
    <row r="2493">
      <c r="C2493" s="62">
        <f>IF(AND('Stammdaten'!$B47&lt;&gt;"",'Stammdaten'!$G47="aktiv",OR('Azubi-Ansicht'!$C$4="(alle)",'Azubi-Ansicht'!$C$4="",'Stammdaten'!$D47='Azubi-Ansicht'!$C$4),OR('Azubi-Ansicht'!$H$4="(alle)",'Azubi-Ansicht'!$H$4="",'Stammdaten'!$E47='Azubi-Ansicht'!$H$4)),42,"")</f>
        <v/>
      </c>
      <c r="D2493" s="63">
        <f>IFERROR(INDEX('Stammdaten'!$J$6:$J$105,SMALL($C$2452:$C$2551,ROW()-2451)),"")</f>
        <v/>
      </c>
    </row>
    <row r="2494">
      <c r="C2494" s="62">
        <f>IF(AND('Stammdaten'!$B48&lt;&gt;"",'Stammdaten'!$G48="aktiv",OR('Azubi-Ansicht'!$C$4="(alle)",'Azubi-Ansicht'!$C$4="",'Stammdaten'!$D48='Azubi-Ansicht'!$C$4),OR('Azubi-Ansicht'!$H$4="(alle)",'Azubi-Ansicht'!$H$4="",'Stammdaten'!$E48='Azubi-Ansicht'!$H$4)),43,"")</f>
        <v/>
      </c>
      <c r="D2494" s="63">
        <f>IFERROR(INDEX('Stammdaten'!$J$6:$J$105,SMALL($C$2452:$C$2551,ROW()-2451)),"")</f>
        <v/>
      </c>
    </row>
    <row r="2495">
      <c r="C2495" s="62">
        <f>IF(AND('Stammdaten'!$B49&lt;&gt;"",'Stammdaten'!$G49="aktiv",OR('Azubi-Ansicht'!$C$4="(alle)",'Azubi-Ansicht'!$C$4="",'Stammdaten'!$D49='Azubi-Ansicht'!$C$4),OR('Azubi-Ansicht'!$H$4="(alle)",'Azubi-Ansicht'!$H$4="",'Stammdaten'!$E49='Azubi-Ansicht'!$H$4)),44,"")</f>
        <v/>
      </c>
      <c r="D2495" s="63">
        <f>IFERROR(INDEX('Stammdaten'!$J$6:$J$105,SMALL($C$2452:$C$2551,ROW()-2451)),"")</f>
        <v/>
      </c>
    </row>
    <row r="2496">
      <c r="C2496" s="62">
        <f>IF(AND('Stammdaten'!$B50&lt;&gt;"",'Stammdaten'!$G50="aktiv",OR('Azubi-Ansicht'!$C$4="(alle)",'Azubi-Ansicht'!$C$4="",'Stammdaten'!$D50='Azubi-Ansicht'!$C$4),OR('Azubi-Ansicht'!$H$4="(alle)",'Azubi-Ansicht'!$H$4="",'Stammdaten'!$E50='Azubi-Ansicht'!$H$4)),45,"")</f>
        <v/>
      </c>
      <c r="D2496" s="63">
        <f>IFERROR(INDEX('Stammdaten'!$J$6:$J$105,SMALL($C$2452:$C$2551,ROW()-2451)),"")</f>
        <v/>
      </c>
    </row>
    <row r="2497">
      <c r="C2497" s="62">
        <f>IF(AND('Stammdaten'!$B51&lt;&gt;"",'Stammdaten'!$G51="aktiv",OR('Azubi-Ansicht'!$C$4="(alle)",'Azubi-Ansicht'!$C$4="",'Stammdaten'!$D51='Azubi-Ansicht'!$C$4),OR('Azubi-Ansicht'!$H$4="(alle)",'Azubi-Ansicht'!$H$4="",'Stammdaten'!$E51='Azubi-Ansicht'!$H$4)),46,"")</f>
        <v/>
      </c>
      <c r="D2497" s="63">
        <f>IFERROR(INDEX('Stammdaten'!$J$6:$J$105,SMALL($C$2452:$C$2551,ROW()-2451)),"")</f>
        <v/>
      </c>
    </row>
    <row r="2498">
      <c r="C2498" s="62">
        <f>IF(AND('Stammdaten'!$B52&lt;&gt;"",'Stammdaten'!$G52="aktiv",OR('Azubi-Ansicht'!$C$4="(alle)",'Azubi-Ansicht'!$C$4="",'Stammdaten'!$D52='Azubi-Ansicht'!$C$4),OR('Azubi-Ansicht'!$H$4="(alle)",'Azubi-Ansicht'!$H$4="",'Stammdaten'!$E52='Azubi-Ansicht'!$H$4)),47,"")</f>
        <v/>
      </c>
      <c r="D2498" s="63">
        <f>IFERROR(INDEX('Stammdaten'!$J$6:$J$105,SMALL($C$2452:$C$2551,ROW()-2451)),"")</f>
        <v/>
      </c>
    </row>
    <row r="2499">
      <c r="C2499" s="62">
        <f>IF(AND('Stammdaten'!$B53&lt;&gt;"",'Stammdaten'!$G53="aktiv",OR('Azubi-Ansicht'!$C$4="(alle)",'Azubi-Ansicht'!$C$4="",'Stammdaten'!$D53='Azubi-Ansicht'!$C$4),OR('Azubi-Ansicht'!$H$4="(alle)",'Azubi-Ansicht'!$H$4="",'Stammdaten'!$E53='Azubi-Ansicht'!$H$4)),48,"")</f>
        <v/>
      </c>
      <c r="D2499" s="63">
        <f>IFERROR(INDEX('Stammdaten'!$J$6:$J$105,SMALL($C$2452:$C$2551,ROW()-2451)),"")</f>
        <v/>
      </c>
    </row>
    <row r="2500">
      <c r="C2500" s="62">
        <f>IF(AND('Stammdaten'!$B54&lt;&gt;"",'Stammdaten'!$G54="aktiv",OR('Azubi-Ansicht'!$C$4="(alle)",'Azubi-Ansicht'!$C$4="",'Stammdaten'!$D54='Azubi-Ansicht'!$C$4),OR('Azubi-Ansicht'!$H$4="(alle)",'Azubi-Ansicht'!$H$4="",'Stammdaten'!$E54='Azubi-Ansicht'!$H$4)),49,"")</f>
        <v/>
      </c>
      <c r="D2500" s="63">
        <f>IFERROR(INDEX('Stammdaten'!$J$6:$J$105,SMALL($C$2452:$C$2551,ROW()-2451)),"")</f>
        <v/>
      </c>
    </row>
    <row r="2501">
      <c r="C2501" s="62">
        <f>IF(AND('Stammdaten'!$B55&lt;&gt;"",'Stammdaten'!$G55="aktiv",OR('Azubi-Ansicht'!$C$4="(alle)",'Azubi-Ansicht'!$C$4="",'Stammdaten'!$D55='Azubi-Ansicht'!$C$4),OR('Azubi-Ansicht'!$H$4="(alle)",'Azubi-Ansicht'!$H$4="",'Stammdaten'!$E55='Azubi-Ansicht'!$H$4)),50,"")</f>
        <v/>
      </c>
      <c r="D2501" s="63">
        <f>IFERROR(INDEX('Stammdaten'!$J$6:$J$105,SMALL($C$2452:$C$2551,ROW()-2451)),"")</f>
        <v/>
      </c>
    </row>
    <row r="2502">
      <c r="C2502" s="62">
        <f>IF(AND('Stammdaten'!$B56&lt;&gt;"",'Stammdaten'!$G56="aktiv",OR('Azubi-Ansicht'!$C$4="(alle)",'Azubi-Ansicht'!$C$4="",'Stammdaten'!$D56='Azubi-Ansicht'!$C$4),OR('Azubi-Ansicht'!$H$4="(alle)",'Azubi-Ansicht'!$H$4="",'Stammdaten'!$E56='Azubi-Ansicht'!$H$4)),51,"")</f>
        <v/>
      </c>
      <c r="D2502" s="63">
        <f>IFERROR(INDEX('Stammdaten'!$J$6:$J$105,SMALL($C$2452:$C$2551,ROW()-2451)),"")</f>
        <v/>
      </c>
    </row>
    <row r="2503">
      <c r="C2503" s="62">
        <f>IF(AND('Stammdaten'!$B57&lt;&gt;"",'Stammdaten'!$G57="aktiv",OR('Azubi-Ansicht'!$C$4="(alle)",'Azubi-Ansicht'!$C$4="",'Stammdaten'!$D57='Azubi-Ansicht'!$C$4),OR('Azubi-Ansicht'!$H$4="(alle)",'Azubi-Ansicht'!$H$4="",'Stammdaten'!$E57='Azubi-Ansicht'!$H$4)),52,"")</f>
        <v/>
      </c>
      <c r="D2503" s="63">
        <f>IFERROR(INDEX('Stammdaten'!$J$6:$J$105,SMALL($C$2452:$C$2551,ROW()-2451)),"")</f>
        <v/>
      </c>
    </row>
    <row r="2504">
      <c r="C2504" s="62">
        <f>IF(AND('Stammdaten'!$B58&lt;&gt;"",'Stammdaten'!$G58="aktiv",OR('Azubi-Ansicht'!$C$4="(alle)",'Azubi-Ansicht'!$C$4="",'Stammdaten'!$D58='Azubi-Ansicht'!$C$4),OR('Azubi-Ansicht'!$H$4="(alle)",'Azubi-Ansicht'!$H$4="",'Stammdaten'!$E58='Azubi-Ansicht'!$H$4)),53,"")</f>
        <v/>
      </c>
      <c r="D2504" s="63">
        <f>IFERROR(INDEX('Stammdaten'!$J$6:$J$105,SMALL($C$2452:$C$2551,ROW()-2451)),"")</f>
        <v/>
      </c>
    </row>
    <row r="2505">
      <c r="C2505" s="62">
        <f>IF(AND('Stammdaten'!$B59&lt;&gt;"",'Stammdaten'!$G59="aktiv",OR('Azubi-Ansicht'!$C$4="(alle)",'Azubi-Ansicht'!$C$4="",'Stammdaten'!$D59='Azubi-Ansicht'!$C$4),OR('Azubi-Ansicht'!$H$4="(alle)",'Azubi-Ansicht'!$H$4="",'Stammdaten'!$E59='Azubi-Ansicht'!$H$4)),54,"")</f>
        <v/>
      </c>
      <c r="D2505" s="63">
        <f>IFERROR(INDEX('Stammdaten'!$J$6:$J$105,SMALL($C$2452:$C$2551,ROW()-2451)),"")</f>
        <v/>
      </c>
    </row>
    <row r="2506">
      <c r="C2506" s="62">
        <f>IF(AND('Stammdaten'!$B60&lt;&gt;"",'Stammdaten'!$G60="aktiv",OR('Azubi-Ansicht'!$C$4="(alle)",'Azubi-Ansicht'!$C$4="",'Stammdaten'!$D60='Azubi-Ansicht'!$C$4),OR('Azubi-Ansicht'!$H$4="(alle)",'Azubi-Ansicht'!$H$4="",'Stammdaten'!$E60='Azubi-Ansicht'!$H$4)),55,"")</f>
        <v/>
      </c>
      <c r="D2506" s="63">
        <f>IFERROR(INDEX('Stammdaten'!$J$6:$J$105,SMALL($C$2452:$C$2551,ROW()-2451)),"")</f>
        <v/>
      </c>
    </row>
    <row r="2507">
      <c r="C2507" s="62">
        <f>IF(AND('Stammdaten'!$B61&lt;&gt;"",'Stammdaten'!$G61="aktiv",OR('Azubi-Ansicht'!$C$4="(alle)",'Azubi-Ansicht'!$C$4="",'Stammdaten'!$D61='Azubi-Ansicht'!$C$4),OR('Azubi-Ansicht'!$H$4="(alle)",'Azubi-Ansicht'!$H$4="",'Stammdaten'!$E61='Azubi-Ansicht'!$H$4)),56,"")</f>
        <v/>
      </c>
      <c r="D2507" s="63">
        <f>IFERROR(INDEX('Stammdaten'!$J$6:$J$105,SMALL($C$2452:$C$2551,ROW()-2451)),"")</f>
        <v/>
      </c>
    </row>
    <row r="2508">
      <c r="C2508" s="62">
        <f>IF(AND('Stammdaten'!$B62&lt;&gt;"",'Stammdaten'!$G62="aktiv",OR('Azubi-Ansicht'!$C$4="(alle)",'Azubi-Ansicht'!$C$4="",'Stammdaten'!$D62='Azubi-Ansicht'!$C$4),OR('Azubi-Ansicht'!$H$4="(alle)",'Azubi-Ansicht'!$H$4="",'Stammdaten'!$E62='Azubi-Ansicht'!$H$4)),57,"")</f>
        <v/>
      </c>
      <c r="D2508" s="63">
        <f>IFERROR(INDEX('Stammdaten'!$J$6:$J$105,SMALL($C$2452:$C$2551,ROW()-2451)),"")</f>
        <v/>
      </c>
    </row>
    <row r="2509">
      <c r="C2509" s="62">
        <f>IF(AND('Stammdaten'!$B63&lt;&gt;"",'Stammdaten'!$G63="aktiv",OR('Azubi-Ansicht'!$C$4="(alle)",'Azubi-Ansicht'!$C$4="",'Stammdaten'!$D63='Azubi-Ansicht'!$C$4),OR('Azubi-Ansicht'!$H$4="(alle)",'Azubi-Ansicht'!$H$4="",'Stammdaten'!$E63='Azubi-Ansicht'!$H$4)),58,"")</f>
        <v/>
      </c>
      <c r="D2509" s="63">
        <f>IFERROR(INDEX('Stammdaten'!$J$6:$J$105,SMALL($C$2452:$C$2551,ROW()-2451)),"")</f>
        <v/>
      </c>
    </row>
    <row r="2510">
      <c r="C2510" s="62">
        <f>IF(AND('Stammdaten'!$B64&lt;&gt;"",'Stammdaten'!$G64="aktiv",OR('Azubi-Ansicht'!$C$4="(alle)",'Azubi-Ansicht'!$C$4="",'Stammdaten'!$D64='Azubi-Ansicht'!$C$4),OR('Azubi-Ansicht'!$H$4="(alle)",'Azubi-Ansicht'!$H$4="",'Stammdaten'!$E64='Azubi-Ansicht'!$H$4)),59,"")</f>
        <v/>
      </c>
      <c r="D2510" s="63">
        <f>IFERROR(INDEX('Stammdaten'!$J$6:$J$105,SMALL($C$2452:$C$2551,ROW()-2451)),"")</f>
        <v/>
      </c>
    </row>
    <row r="2511">
      <c r="C2511" s="62">
        <f>IF(AND('Stammdaten'!$B65&lt;&gt;"",'Stammdaten'!$G65="aktiv",OR('Azubi-Ansicht'!$C$4="(alle)",'Azubi-Ansicht'!$C$4="",'Stammdaten'!$D65='Azubi-Ansicht'!$C$4),OR('Azubi-Ansicht'!$H$4="(alle)",'Azubi-Ansicht'!$H$4="",'Stammdaten'!$E65='Azubi-Ansicht'!$H$4)),60,"")</f>
        <v/>
      </c>
      <c r="D2511" s="63">
        <f>IFERROR(INDEX('Stammdaten'!$J$6:$J$105,SMALL($C$2452:$C$2551,ROW()-2451)),"")</f>
        <v/>
      </c>
    </row>
    <row r="2512">
      <c r="C2512" s="62">
        <f>IF(AND('Stammdaten'!$B66&lt;&gt;"",'Stammdaten'!$G66="aktiv",OR('Azubi-Ansicht'!$C$4="(alle)",'Azubi-Ansicht'!$C$4="",'Stammdaten'!$D66='Azubi-Ansicht'!$C$4),OR('Azubi-Ansicht'!$H$4="(alle)",'Azubi-Ansicht'!$H$4="",'Stammdaten'!$E66='Azubi-Ansicht'!$H$4)),61,"")</f>
        <v/>
      </c>
      <c r="D2512" s="63">
        <f>IFERROR(INDEX('Stammdaten'!$J$6:$J$105,SMALL($C$2452:$C$2551,ROW()-2451)),"")</f>
        <v/>
      </c>
    </row>
    <row r="2513">
      <c r="C2513" s="62">
        <f>IF(AND('Stammdaten'!$B67&lt;&gt;"",'Stammdaten'!$G67="aktiv",OR('Azubi-Ansicht'!$C$4="(alle)",'Azubi-Ansicht'!$C$4="",'Stammdaten'!$D67='Azubi-Ansicht'!$C$4),OR('Azubi-Ansicht'!$H$4="(alle)",'Azubi-Ansicht'!$H$4="",'Stammdaten'!$E67='Azubi-Ansicht'!$H$4)),62,"")</f>
        <v/>
      </c>
      <c r="D2513" s="63">
        <f>IFERROR(INDEX('Stammdaten'!$J$6:$J$105,SMALL($C$2452:$C$2551,ROW()-2451)),"")</f>
        <v/>
      </c>
    </row>
    <row r="2514">
      <c r="C2514" s="62">
        <f>IF(AND('Stammdaten'!$B68&lt;&gt;"",'Stammdaten'!$G68="aktiv",OR('Azubi-Ansicht'!$C$4="(alle)",'Azubi-Ansicht'!$C$4="",'Stammdaten'!$D68='Azubi-Ansicht'!$C$4),OR('Azubi-Ansicht'!$H$4="(alle)",'Azubi-Ansicht'!$H$4="",'Stammdaten'!$E68='Azubi-Ansicht'!$H$4)),63,"")</f>
        <v/>
      </c>
      <c r="D2514" s="63">
        <f>IFERROR(INDEX('Stammdaten'!$J$6:$J$105,SMALL($C$2452:$C$2551,ROW()-2451)),"")</f>
        <v/>
      </c>
    </row>
    <row r="2515">
      <c r="C2515" s="62">
        <f>IF(AND('Stammdaten'!$B69&lt;&gt;"",'Stammdaten'!$G69="aktiv",OR('Azubi-Ansicht'!$C$4="(alle)",'Azubi-Ansicht'!$C$4="",'Stammdaten'!$D69='Azubi-Ansicht'!$C$4),OR('Azubi-Ansicht'!$H$4="(alle)",'Azubi-Ansicht'!$H$4="",'Stammdaten'!$E69='Azubi-Ansicht'!$H$4)),64,"")</f>
        <v/>
      </c>
      <c r="D2515" s="63">
        <f>IFERROR(INDEX('Stammdaten'!$J$6:$J$105,SMALL($C$2452:$C$2551,ROW()-2451)),"")</f>
        <v/>
      </c>
    </row>
    <row r="2516">
      <c r="C2516" s="62">
        <f>IF(AND('Stammdaten'!$B70&lt;&gt;"",'Stammdaten'!$G70="aktiv",OR('Azubi-Ansicht'!$C$4="(alle)",'Azubi-Ansicht'!$C$4="",'Stammdaten'!$D70='Azubi-Ansicht'!$C$4),OR('Azubi-Ansicht'!$H$4="(alle)",'Azubi-Ansicht'!$H$4="",'Stammdaten'!$E70='Azubi-Ansicht'!$H$4)),65,"")</f>
        <v/>
      </c>
      <c r="D2516" s="63">
        <f>IFERROR(INDEX('Stammdaten'!$J$6:$J$105,SMALL($C$2452:$C$2551,ROW()-2451)),"")</f>
        <v/>
      </c>
    </row>
    <row r="2517">
      <c r="C2517" s="62">
        <f>IF(AND('Stammdaten'!$B71&lt;&gt;"",'Stammdaten'!$G71="aktiv",OR('Azubi-Ansicht'!$C$4="(alle)",'Azubi-Ansicht'!$C$4="",'Stammdaten'!$D71='Azubi-Ansicht'!$C$4),OR('Azubi-Ansicht'!$H$4="(alle)",'Azubi-Ansicht'!$H$4="",'Stammdaten'!$E71='Azubi-Ansicht'!$H$4)),66,"")</f>
        <v/>
      </c>
      <c r="D2517" s="63">
        <f>IFERROR(INDEX('Stammdaten'!$J$6:$J$105,SMALL($C$2452:$C$2551,ROW()-2451)),"")</f>
        <v/>
      </c>
    </row>
    <row r="2518">
      <c r="C2518" s="62">
        <f>IF(AND('Stammdaten'!$B72&lt;&gt;"",'Stammdaten'!$G72="aktiv",OR('Azubi-Ansicht'!$C$4="(alle)",'Azubi-Ansicht'!$C$4="",'Stammdaten'!$D72='Azubi-Ansicht'!$C$4),OR('Azubi-Ansicht'!$H$4="(alle)",'Azubi-Ansicht'!$H$4="",'Stammdaten'!$E72='Azubi-Ansicht'!$H$4)),67,"")</f>
        <v/>
      </c>
      <c r="D2518" s="63">
        <f>IFERROR(INDEX('Stammdaten'!$J$6:$J$105,SMALL($C$2452:$C$2551,ROW()-2451)),"")</f>
        <v/>
      </c>
    </row>
    <row r="2519">
      <c r="C2519" s="62">
        <f>IF(AND('Stammdaten'!$B73&lt;&gt;"",'Stammdaten'!$G73="aktiv",OR('Azubi-Ansicht'!$C$4="(alle)",'Azubi-Ansicht'!$C$4="",'Stammdaten'!$D73='Azubi-Ansicht'!$C$4),OR('Azubi-Ansicht'!$H$4="(alle)",'Azubi-Ansicht'!$H$4="",'Stammdaten'!$E73='Azubi-Ansicht'!$H$4)),68,"")</f>
        <v/>
      </c>
      <c r="D2519" s="63">
        <f>IFERROR(INDEX('Stammdaten'!$J$6:$J$105,SMALL($C$2452:$C$2551,ROW()-2451)),"")</f>
        <v/>
      </c>
    </row>
    <row r="2520">
      <c r="C2520" s="62">
        <f>IF(AND('Stammdaten'!$B74&lt;&gt;"",'Stammdaten'!$G74="aktiv",OR('Azubi-Ansicht'!$C$4="(alle)",'Azubi-Ansicht'!$C$4="",'Stammdaten'!$D74='Azubi-Ansicht'!$C$4),OR('Azubi-Ansicht'!$H$4="(alle)",'Azubi-Ansicht'!$H$4="",'Stammdaten'!$E74='Azubi-Ansicht'!$H$4)),69,"")</f>
        <v/>
      </c>
      <c r="D2520" s="63">
        <f>IFERROR(INDEX('Stammdaten'!$J$6:$J$105,SMALL($C$2452:$C$2551,ROW()-2451)),"")</f>
        <v/>
      </c>
    </row>
    <row r="2521">
      <c r="C2521" s="62">
        <f>IF(AND('Stammdaten'!$B75&lt;&gt;"",'Stammdaten'!$G75="aktiv",OR('Azubi-Ansicht'!$C$4="(alle)",'Azubi-Ansicht'!$C$4="",'Stammdaten'!$D75='Azubi-Ansicht'!$C$4),OR('Azubi-Ansicht'!$H$4="(alle)",'Azubi-Ansicht'!$H$4="",'Stammdaten'!$E75='Azubi-Ansicht'!$H$4)),70,"")</f>
        <v/>
      </c>
      <c r="D2521" s="63">
        <f>IFERROR(INDEX('Stammdaten'!$J$6:$J$105,SMALL($C$2452:$C$2551,ROW()-2451)),"")</f>
        <v/>
      </c>
    </row>
    <row r="2522">
      <c r="C2522" s="62">
        <f>IF(AND('Stammdaten'!$B76&lt;&gt;"",'Stammdaten'!$G76="aktiv",OR('Azubi-Ansicht'!$C$4="(alle)",'Azubi-Ansicht'!$C$4="",'Stammdaten'!$D76='Azubi-Ansicht'!$C$4),OR('Azubi-Ansicht'!$H$4="(alle)",'Azubi-Ansicht'!$H$4="",'Stammdaten'!$E76='Azubi-Ansicht'!$H$4)),71,"")</f>
        <v/>
      </c>
      <c r="D2522" s="63">
        <f>IFERROR(INDEX('Stammdaten'!$J$6:$J$105,SMALL($C$2452:$C$2551,ROW()-2451)),"")</f>
        <v/>
      </c>
    </row>
    <row r="2523">
      <c r="C2523" s="62">
        <f>IF(AND('Stammdaten'!$B77&lt;&gt;"",'Stammdaten'!$G77="aktiv",OR('Azubi-Ansicht'!$C$4="(alle)",'Azubi-Ansicht'!$C$4="",'Stammdaten'!$D77='Azubi-Ansicht'!$C$4),OR('Azubi-Ansicht'!$H$4="(alle)",'Azubi-Ansicht'!$H$4="",'Stammdaten'!$E77='Azubi-Ansicht'!$H$4)),72,"")</f>
        <v/>
      </c>
      <c r="D2523" s="63">
        <f>IFERROR(INDEX('Stammdaten'!$J$6:$J$105,SMALL($C$2452:$C$2551,ROW()-2451)),"")</f>
        <v/>
      </c>
    </row>
    <row r="2524">
      <c r="C2524" s="62">
        <f>IF(AND('Stammdaten'!$B78&lt;&gt;"",'Stammdaten'!$G78="aktiv",OR('Azubi-Ansicht'!$C$4="(alle)",'Azubi-Ansicht'!$C$4="",'Stammdaten'!$D78='Azubi-Ansicht'!$C$4),OR('Azubi-Ansicht'!$H$4="(alle)",'Azubi-Ansicht'!$H$4="",'Stammdaten'!$E78='Azubi-Ansicht'!$H$4)),73,"")</f>
        <v/>
      </c>
      <c r="D2524" s="63">
        <f>IFERROR(INDEX('Stammdaten'!$J$6:$J$105,SMALL($C$2452:$C$2551,ROW()-2451)),"")</f>
        <v/>
      </c>
    </row>
    <row r="2525">
      <c r="C2525" s="62">
        <f>IF(AND('Stammdaten'!$B79&lt;&gt;"",'Stammdaten'!$G79="aktiv",OR('Azubi-Ansicht'!$C$4="(alle)",'Azubi-Ansicht'!$C$4="",'Stammdaten'!$D79='Azubi-Ansicht'!$C$4),OR('Azubi-Ansicht'!$H$4="(alle)",'Azubi-Ansicht'!$H$4="",'Stammdaten'!$E79='Azubi-Ansicht'!$H$4)),74,"")</f>
        <v/>
      </c>
      <c r="D2525" s="63">
        <f>IFERROR(INDEX('Stammdaten'!$J$6:$J$105,SMALL($C$2452:$C$2551,ROW()-2451)),"")</f>
        <v/>
      </c>
    </row>
    <row r="2526">
      <c r="C2526" s="62">
        <f>IF(AND('Stammdaten'!$B80&lt;&gt;"",'Stammdaten'!$G80="aktiv",OR('Azubi-Ansicht'!$C$4="(alle)",'Azubi-Ansicht'!$C$4="",'Stammdaten'!$D80='Azubi-Ansicht'!$C$4),OR('Azubi-Ansicht'!$H$4="(alle)",'Azubi-Ansicht'!$H$4="",'Stammdaten'!$E80='Azubi-Ansicht'!$H$4)),75,"")</f>
        <v/>
      </c>
      <c r="D2526" s="63">
        <f>IFERROR(INDEX('Stammdaten'!$J$6:$J$105,SMALL($C$2452:$C$2551,ROW()-2451)),"")</f>
        <v/>
      </c>
    </row>
    <row r="2527">
      <c r="C2527" s="62">
        <f>IF(AND('Stammdaten'!$B81&lt;&gt;"",'Stammdaten'!$G81="aktiv",OR('Azubi-Ansicht'!$C$4="(alle)",'Azubi-Ansicht'!$C$4="",'Stammdaten'!$D81='Azubi-Ansicht'!$C$4),OR('Azubi-Ansicht'!$H$4="(alle)",'Azubi-Ansicht'!$H$4="",'Stammdaten'!$E81='Azubi-Ansicht'!$H$4)),76,"")</f>
        <v/>
      </c>
      <c r="D2527" s="63">
        <f>IFERROR(INDEX('Stammdaten'!$J$6:$J$105,SMALL($C$2452:$C$2551,ROW()-2451)),"")</f>
        <v/>
      </c>
    </row>
    <row r="2528">
      <c r="C2528" s="62">
        <f>IF(AND('Stammdaten'!$B82&lt;&gt;"",'Stammdaten'!$G82="aktiv",OR('Azubi-Ansicht'!$C$4="(alle)",'Azubi-Ansicht'!$C$4="",'Stammdaten'!$D82='Azubi-Ansicht'!$C$4),OR('Azubi-Ansicht'!$H$4="(alle)",'Azubi-Ansicht'!$H$4="",'Stammdaten'!$E82='Azubi-Ansicht'!$H$4)),77,"")</f>
        <v/>
      </c>
      <c r="D2528" s="63">
        <f>IFERROR(INDEX('Stammdaten'!$J$6:$J$105,SMALL($C$2452:$C$2551,ROW()-2451)),"")</f>
        <v/>
      </c>
    </row>
    <row r="2529">
      <c r="C2529" s="62">
        <f>IF(AND('Stammdaten'!$B83&lt;&gt;"",'Stammdaten'!$G83="aktiv",OR('Azubi-Ansicht'!$C$4="(alle)",'Azubi-Ansicht'!$C$4="",'Stammdaten'!$D83='Azubi-Ansicht'!$C$4),OR('Azubi-Ansicht'!$H$4="(alle)",'Azubi-Ansicht'!$H$4="",'Stammdaten'!$E83='Azubi-Ansicht'!$H$4)),78,"")</f>
        <v/>
      </c>
      <c r="D2529" s="63">
        <f>IFERROR(INDEX('Stammdaten'!$J$6:$J$105,SMALL($C$2452:$C$2551,ROW()-2451)),"")</f>
        <v/>
      </c>
    </row>
    <row r="2530">
      <c r="C2530" s="62">
        <f>IF(AND('Stammdaten'!$B84&lt;&gt;"",'Stammdaten'!$G84="aktiv",OR('Azubi-Ansicht'!$C$4="(alle)",'Azubi-Ansicht'!$C$4="",'Stammdaten'!$D84='Azubi-Ansicht'!$C$4),OR('Azubi-Ansicht'!$H$4="(alle)",'Azubi-Ansicht'!$H$4="",'Stammdaten'!$E84='Azubi-Ansicht'!$H$4)),79,"")</f>
        <v/>
      </c>
      <c r="D2530" s="63">
        <f>IFERROR(INDEX('Stammdaten'!$J$6:$J$105,SMALL($C$2452:$C$2551,ROW()-2451)),"")</f>
        <v/>
      </c>
    </row>
    <row r="2531">
      <c r="C2531" s="62">
        <f>IF(AND('Stammdaten'!$B85&lt;&gt;"",'Stammdaten'!$G85="aktiv",OR('Azubi-Ansicht'!$C$4="(alle)",'Azubi-Ansicht'!$C$4="",'Stammdaten'!$D85='Azubi-Ansicht'!$C$4),OR('Azubi-Ansicht'!$H$4="(alle)",'Azubi-Ansicht'!$H$4="",'Stammdaten'!$E85='Azubi-Ansicht'!$H$4)),80,"")</f>
        <v/>
      </c>
      <c r="D2531" s="63">
        <f>IFERROR(INDEX('Stammdaten'!$J$6:$J$105,SMALL($C$2452:$C$2551,ROW()-2451)),"")</f>
        <v/>
      </c>
    </row>
    <row r="2532">
      <c r="C2532" s="62">
        <f>IF(AND('Stammdaten'!$B86&lt;&gt;"",'Stammdaten'!$G86="aktiv",OR('Azubi-Ansicht'!$C$4="(alle)",'Azubi-Ansicht'!$C$4="",'Stammdaten'!$D86='Azubi-Ansicht'!$C$4),OR('Azubi-Ansicht'!$H$4="(alle)",'Azubi-Ansicht'!$H$4="",'Stammdaten'!$E86='Azubi-Ansicht'!$H$4)),81,"")</f>
        <v/>
      </c>
      <c r="D2532" s="63">
        <f>IFERROR(INDEX('Stammdaten'!$J$6:$J$105,SMALL($C$2452:$C$2551,ROW()-2451)),"")</f>
        <v/>
      </c>
    </row>
    <row r="2533">
      <c r="C2533" s="62">
        <f>IF(AND('Stammdaten'!$B87&lt;&gt;"",'Stammdaten'!$G87="aktiv",OR('Azubi-Ansicht'!$C$4="(alle)",'Azubi-Ansicht'!$C$4="",'Stammdaten'!$D87='Azubi-Ansicht'!$C$4),OR('Azubi-Ansicht'!$H$4="(alle)",'Azubi-Ansicht'!$H$4="",'Stammdaten'!$E87='Azubi-Ansicht'!$H$4)),82,"")</f>
        <v/>
      </c>
      <c r="D2533" s="63">
        <f>IFERROR(INDEX('Stammdaten'!$J$6:$J$105,SMALL($C$2452:$C$2551,ROW()-2451)),"")</f>
        <v/>
      </c>
    </row>
    <row r="2534">
      <c r="C2534" s="62">
        <f>IF(AND('Stammdaten'!$B88&lt;&gt;"",'Stammdaten'!$G88="aktiv",OR('Azubi-Ansicht'!$C$4="(alle)",'Azubi-Ansicht'!$C$4="",'Stammdaten'!$D88='Azubi-Ansicht'!$C$4),OR('Azubi-Ansicht'!$H$4="(alle)",'Azubi-Ansicht'!$H$4="",'Stammdaten'!$E88='Azubi-Ansicht'!$H$4)),83,"")</f>
        <v/>
      </c>
      <c r="D2534" s="63">
        <f>IFERROR(INDEX('Stammdaten'!$J$6:$J$105,SMALL($C$2452:$C$2551,ROW()-2451)),"")</f>
        <v/>
      </c>
    </row>
    <row r="2535">
      <c r="C2535" s="62">
        <f>IF(AND('Stammdaten'!$B89&lt;&gt;"",'Stammdaten'!$G89="aktiv",OR('Azubi-Ansicht'!$C$4="(alle)",'Azubi-Ansicht'!$C$4="",'Stammdaten'!$D89='Azubi-Ansicht'!$C$4),OR('Azubi-Ansicht'!$H$4="(alle)",'Azubi-Ansicht'!$H$4="",'Stammdaten'!$E89='Azubi-Ansicht'!$H$4)),84,"")</f>
        <v/>
      </c>
      <c r="D2535" s="63">
        <f>IFERROR(INDEX('Stammdaten'!$J$6:$J$105,SMALL($C$2452:$C$2551,ROW()-2451)),"")</f>
        <v/>
      </c>
    </row>
    <row r="2536">
      <c r="C2536" s="62">
        <f>IF(AND('Stammdaten'!$B90&lt;&gt;"",'Stammdaten'!$G90="aktiv",OR('Azubi-Ansicht'!$C$4="(alle)",'Azubi-Ansicht'!$C$4="",'Stammdaten'!$D90='Azubi-Ansicht'!$C$4),OR('Azubi-Ansicht'!$H$4="(alle)",'Azubi-Ansicht'!$H$4="",'Stammdaten'!$E90='Azubi-Ansicht'!$H$4)),85,"")</f>
        <v/>
      </c>
      <c r="D2536" s="63">
        <f>IFERROR(INDEX('Stammdaten'!$J$6:$J$105,SMALL($C$2452:$C$2551,ROW()-2451)),"")</f>
        <v/>
      </c>
    </row>
    <row r="2537">
      <c r="C2537" s="62">
        <f>IF(AND('Stammdaten'!$B91&lt;&gt;"",'Stammdaten'!$G91="aktiv",OR('Azubi-Ansicht'!$C$4="(alle)",'Azubi-Ansicht'!$C$4="",'Stammdaten'!$D91='Azubi-Ansicht'!$C$4),OR('Azubi-Ansicht'!$H$4="(alle)",'Azubi-Ansicht'!$H$4="",'Stammdaten'!$E91='Azubi-Ansicht'!$H$4)),86,"")</f>
        <v/>
      </c>
      <c r="D2537" s="63">
        <f>IFERROR(INDEX('Stammdaten'!$J$6:$J$105,SMALL($C$2452:$C$2551,ROW()-2451)),"")</f>
        <v/>
      </c>
    </row>
    <row r="2538">
      <c r="C2538" s="62">
        <f>IF(AND('Stammdaten'!$B92&lt;&gt;"",'Stammdaten'!$G92="aktiv",OR('Azubi-Ansicht'!$C$4="(alle)",'Azubi-Ansicht'!$C$4="",'Stammdaten'!$D92='Azubi-Ansicht'!$C$4),OR('Azubi-Ansicht'!$H$4="(alle)",'Azubi-Ansicht'!$H$4="",'Stammdaten'!$E92='Azubi-Ansicht'!$H$4)),87,"")</f>
        <v/>
      </c>
      <c r="D2538" s="63">
        <f>IFERROR(INDEX('Stammdaten'!$J$6:$J$105,SMALL($C$2452:$C$2551,ROW()-2451)),"")</f>
        <v/>
      </c>
    </row>
    <row r="2539">
      <c r="C2539" s="62">
        <f>IF(AND('Stammdaten'!$B93&lt;&gt;"",'Stammdaten'!$G93="aktiv",OR('Azubi-Ansicht'!$C$4="(alle)",'Azubi-Ansicht'!$C$4="",'Stammdaten'!$D93='Azubi-Ansicht'!$C$4),OR('Azubi-Ansicht'!$H$4="(alle)",'Azubi-Ansicht'!$H$4="",'Stammdaten'!$E93='Azubi-Ansicht'!$H$4)),88,"")</f>
        <v/>
      </c>
      <c r="D2539" s="63">
        <f>IFERROR(INDEX('Stammdaten'!$J$6:$J$105,SMALL($C$2452:$C$2551,ROW()-2451)),"")</f>
        <v/>
      </c>
    </row>
    <row r="2540">
      <c r="C2540" s="62">
        <f>IF(AND('Stammdaten'!$B94&lt;&gt;"",'Stammdaten'!$G94="aktiv",OR('Azubi-Ansicht'!$C$4="(alle)",'Azubi-Ansicht'!$C$4="",'Stammdaten'!$D94='Azubi-Ansicht'!$C$4),OR('Azubi-Ansicht'!$H$4="(alle)",'Azubi-Ansicht'!$H$4="",'Stammdaten'!$E94='Azubi-Ansicht'!$H$4)),89,"")</f>
        <v/>
      </c>
      <c r="D2540" s="63">
        <f>IFERROR(INDEX('Stammdaten'!$J$6:$J$105,SMALL($C$2452:$C$2551,ROW()-2451)),"")</f>
        <v/>
      </c>
    </row>
    <row r="2541">
      <c r="C2541" s="62">
        <f>IF(AND('Stammdaten'!$B95&lt;&gt;"",'Stammdaten'!$G95="aktiv",OR('Azubi-Ansicht'!$C$4="(alle)",'Azubi-Ansicht'!$C$4="",'Stammdaten'!$D95='Azubi-Ansicht'!$C$4),OR('Azubi-Ansicht'!$H$4="(alle)",'Azubi-Ansicht'!$H$4="",'Stammdaten'!$E95='Azubi-Ansicht'!$H$4)),90,"")</f>
        <v/>
      </c>
      <c r="D2541" s="63">
        <f>IFERROR(INDEX('Stammdaten'!$J$6:$J$105,SMALL($C$2452:$C$2551,ROW()-2451)),"")</f>
        <v/>
      </c>
    </row>
    <row r="2542">
      <c r="C2542" s="62">
        <f>IF(AND('Stammdaten'!$B96&lt;&gt;"",'Stammdaten'!$G96="aktiv",OR('Azubi-Ansicht'!$C$4="(alle)",'Azubi-Ansicht'!$C$4="",'Stammdaten'!$D96='Azubi-Ansicht'!$C$4),OR('Azubi-Ansicht'!$H$4="(alle)",'Azubi-Ansicht'!$H$4="",'Stammdaten'!$E96='Azubi-Ansicht'!$H$4)),91,"")</f>
        <v/>
      </c>
      <c r="D2542" s="63">
        <f>IFERROR(INDEX('Stammdaten'!$J$6:$J$105,SMALL($C$2452:$C$2551,ROW()-2451)),"")</f>
        <v/>
      </c>
    </row>
    <row r="2543">
      <c r="C2543" s="62">
        <f>IF(AND('Stammdaten'!$B97&lt;&gt;"",'Stammdaten'!$G97="aktiv",OR('Azubi-Ansicht'!$C$4="(alle)",'Azubi-Ansicht'!$C$4="",'Stammdaten'!$D97='Azubi-Ansicht'!$C$4),OR('Azubi-Ansicht'!$H$4="(alle)",'Azubi-Ansicht'!$H$4="",'Stammdaten'!$E97='Azubi-Ansicht'!$H$4)),92,"")</f>
        <v/>
      </c>
      <c r="D2543" s="63">
        <f>IFERROR(INDEX('Stammdaten'!$J$6:$J$105,SMALL($C$2452:$C$2551,ROW()-2451)),"")</f>
        <v/>
      </c>
    </row>
    <row r="2544">
      <c r="C2544" s="62">
        <f>IF(AND('Stammdaten'!$B98&lt;&gt;"",'Stammdaten'!$G98="aktiv",OR('Azubi-Ansicht'!$C$4="(alle)",'Azubi-Ansicht'!$C$4="",'Stammdaten'!$D98='Azubi-Ansicht'!$C$4),OR('Azubi-Ansicht'!$H$4="(alle)",'Azubi-Ansicht'!$H$4="",'Stammdaten'!$E98='Azubi-Ansicht'!$H$4)),93,"")</f>
        <v/>
      </c>
      <c r="D2544" s="63">
        <f>IFERROR(INDEX('Stammdaten'!$J$6:$J$105,SMALL($C$2452:$C$2551,ROW()-2451)),"")</f>
        <v/>
      </c>
    </row>
    <row r="2545">
      <c r="C2545" s="62">
        <f>IF(AND('Stammdaten'!$B99&lt;&gt;"",'Stammdaten'!$G99="aktiv",OR('Azubi-Ansicht'!$C$4="(alle)",'Azubi-Ansicht'!$C$4="",'Stammdaten'!$D99='Azubi-Ansicht'!$C$4),OR('Azubi-Ansicht'!$H$4="(alle)",'Azubi-Ansicht'!$H$4="",'Stammdaten'!$E99='Azubi-Ansicht'!$H$4)),94,"")</f>
        <v/>
      </c>
      <c r="D2545" s="63">
        <f>IFERROR(INDEX('Stammdaten'!$J$6:$J$105,SMALL($C$2452:$C$2551,ROW()-2451)),"")</f>
        <v/>
      </c>
    </row>
    <row r="2546">
      <c r="C2546" s="62">
        <f>IF(AND('Stammdaten'!$B100&lt;&gt;"",'Stammdaten'!$G100="aktiv",OR('Azubi-Ansicht'!$C$4="(alle)",'Azubi-Ansicht'!$C$4="",'Stammdaten'!$D100='Azubi-Ansicht'!$C$4),OR('Azubi-Ansicht'!$H$4="(alle)",'Azubi-Ansicht'!$H$4="",'Stammdaten'!$E100='Azubi-Ansicht'!$H$4)),95,"")</f>
        <v/>
      </c>
      <c r="D2546" s="63">
        <f>IFERROR(INDEX('Stammdaten'!$J$6:$J$105,SMALL($C$2452:$C$2551,ROW()-2451)),"")</f>
        <v/>
      </c>
    </row>
    <row r="2547">
      <c r="C2547" s="62">
        <f>IF(AND('Stammdaten'!$B101&lt;&gt;"",'Stammdaten'!$G101="aktiv",OR('Azubi-Ansicht'!$C$4="(alle)",'Azubi-Ansicht'!$C$4="",'Stammdaten'!$D101='Azubi-Ansicht'!$C$4),OR('Azubi-Ansicht'!$H$4="(alle)",'Azubi-Ansicht'!$H$4="",'Stammdaten'!$E101='Azubi-Ansicht'!$H$4)),96,"")</f>
        <v/>
      </c>
      <c r="D2547" s="63">
        <f>IFERROR(INDEX('Stammdaten'!$J$6:$J$105,SMALL($C$2452:$C$2551,ROW()-2451)),"")</f>
        <v/>
      </c>
    </row>
    <row r="2548">
      <c r="C2548" s="62">
        <f>IF(AND('Stammdaten'!$B102&lt;&gt;"",'Stammdaten'!$G102="aktiv",OR('Azubi-Ansicht'!$C$4="(alle)",'Azubi-Ansicht'!$C$4="",'Stammdaten'!$D102='Azubi-Ansicht'!$C$4),OR('Azubi-Ansicht'!$H$4="(alle)",'Azubi-Ansicht'!$H$4="",'Stammdaten'!$E102='Azubi-Ansicht'!$H$4)),97,"")</f>
        <v/>
      </c>
      <c r="D2548" s="63">
        <f>IFERROR(INDEX('Stammdaten'!$J$6:$J$105,SMALL($C$2452:$C$2551,ROW()-2451)),"")</f>
        <v/>
      </c>
    </row>
    <row r="2549">
      <c r="C2549" s="62">
        <f>IF(AND('Stammdaten'!$B103&lt;&gt;"",'Stammdaten'!$G103="aktiv",OR('Azubi-Ansicht'!$C$4="(alle)",'Azubi-Ansicht'!$C$4="",'Stammdaten'!$D103='Azubi-Ansicht'!$C$4),OR('Azubi-Ansicht'!$H$4="(alle)",'Azubi-Ansicht'!$H$4="",'Stammdaten'!$E103='Azubi-Ansicht'!$H$4)),98,"")</f>
        <v/>
      </c>
      <c r="D2549" s="63">
        <f>IFERROR(INDEX('Stammdaten'!$J$6:$J$105,SMALL($C$2452:$C$2551,ROW()-2451)),"")</f>
        <v/>
      </c>
    </row>
    <row r="2550">
      <c r="C2550" s="62">
        <f>IF(AND('Stammdaten'!$B104&lt;&gt;"",'Stammdaten'!$G104="aktiv",OR('Azubi-Ansicht'!$C$4="(alle)",'Azubi-Ansicht'!$C$4="",'Stammdaten'!$D104='Azubi-Ansicht'!$C$4),OR('Azubi-Ansicht'!$H$4="(alle)",'Azubi-Ansicht'!$H$4="",'Stammdaten'!$E104='Azubi-Ansicht'!$H$4)),99,"")</f>
        <v/>
      </c>
      <c r="D2550" s="63">
        <f>IFERROR(INDEX('Stammdaten'!$J$6:$J$105,SMALL($C$2452:$C$2551,ROW()-2451)),"")</f>
        <v/>
      </c>
    </row>
    <row r="2551">
      <c r="C2551" s="62">
        <f>IF(AND('Stammdaten'!$B105&lt;&gt;"",'Stammdaten'!$G105="aktiv",OR('Azubi-Ansicht'!$C$4="(alle)",'Azubi-Ansicht'!$C$4="",'Stammdaten'!$D105='Azubi-Ansicht'!$C$4),OR('Azubi-Ansicht'!$H$4="(alle)",'Azubi-Ansicht'!$H$4="",'Stammdaten'!$E105='Azubi-Ansicht'!$H$4)),100,"")</f>
        <v/>
      </c>
      <c r="D2551" s="63">
        <f>IFERROR(INDEX('Stammdaten'!$J$6:$J$105,SMALL($C$2452:$C$2551,ROW()-2451)),"")</f>
        <v/>
      </c>
    </row>
    <row r="2556">
      <c r="A2556" s="171" t="inlineStr">
        <is>
          <t>Auswahlliste Azubis (alle aktiven)</t>
        </is>
      </c>
      <c r="B2556" s="62">
        <f>COUNT($C$2557:$C$2656)</f>
        <v/>
      </c>
    </row>
    <row r="2557">
      <c r="C2557" s="62">
        <f>IF(AND('Stammdaten'!$B6&lt;&gt;"",'Stammdaten'!$G6="aktiv"),1,"")</f>
        <v/>
      </c>
      <c r="D2557" s="63">
        <f>IFERROR(INDEX('Stammdaten'!$J$6:$J$105,SMALL($C$2557:$C$2656,ROW()-2556)),"")</f>
        <v/>
      </c>
    </row>
    <row r="2558">
      <c r="C2558" s="62">
        <f>IF(AND('Stammdaten'!$B7&lt;&gt;"",'Stammdaten'!$G7="aktiv"),2,"")</f>
        <v/>
      </c>
      <c r="D2558" s="63">
        <f>IFERROR(INDEX('Stammdaten'!$J$6:$J$105,SMALL($C$2557:$C$2656,ROW()-2556)),"")</f>
        <v/>
      </c>
    </row>
    <row r="2559">
      <c r="C2559" s="62">
        <f>IF(AND('Stammdaten'!$B8&lt;&gt;"",'Stammdaten'!$G8="aktiv"),3,"")</f>
        <v/>
      </c>
      <c r="D2559" s="63">
        <f>IFERROR(INDEX('Stammdaten'!$J$6:$J$105,SMALL($C$2557:$C$2656,ROW()-2556)),"")</f>
        <v/>
      </c>
    </row>
    <row r="2560">
      <c r="C2560" s="62">
        <f>IF(AND('Stammdaten'!$B9&lt;&gt;"",'Stammdaten'!$G9="aktiv"),4,"")</f>
        <v/>
      </c>
      <c r="D2560" s="63">
        <f>IFERROR(INDEX('Stammdaten'!$J$6:$J$105,SMALL($C$2557:$C$2656,ROW()-2556)),"")</f>
        <v/>
      </c>
    </row>
    <row r="2561">
      <c r="C2561" s="62">
        <f>IF(AND('Stammdaten'!$B10&lt;&gt;"",'Stammdaten'!$G10="aktiv"),5,"")</f>
        <v/>
      </c>
      <c r="D2561" s="63">
        <f>IFERROR(INDEX('Stammdaten'!$J$6:$J$105,SMALL($C$2557:$C$2656,ROW()-2556)),"")</f>
        <v/>
      </c>
    </row>
    <row r="2562">
      <c r="C2562" s="62">
        <f>IF(AND('Stammdaten'!$B11&lt;&gt;"",'Stammdaten'!$G11="aktiv"),6,"")</f>
        <v/>
      </c>
      <c r="D2562" s="63">
        <f>IFERROR(INDEX('Stammdaten'!$J$6:$J$105,SMALL($C$2557:$C$2656,ROW()-2556)),"")</f>
        <v/>
      </c>
    </row>
    <row r="2563">
      <c r="C2563" s="62">
        <f>IF(AND('Stammdaten'!$B12&lt;&gt;"",'Stammdaten'!$G12="aktiv"),7,"")</f>
        <v/>
      </c>
      <c r="D2563" s="63">
        <f>IFERROR(INDEX('Stammdaten'!$J$6:$J$105,SMALL($C$2557:$C$2656,ROW()-2556)),"")</f>
        <v/>
      </c>
    </row>
    <row r="2564">
      <c r="C2564" s="62">
        <f>IF(AND('Stammdaten'!$B13&lt;&gt;"",'Stammdaten'!$G13="aktiv"),8,"")</f>
        <v/>
      </c>
      <c r="D2564" s="63">
        <f>IFERROR(INDEX('Stammdaten'!$J$6:$J$105,SMALL($C$2557:$C$2656,ROW()-2556)),"")</f>
        <v/>
      </c>
    </row>
    <row r="2565">
      <c r="C2565" s="62">
        <f>IF(AND('Stammdaten'!$B14&lt;&gt;"",'Stammdaten'!$G14="aktiv"),9,"")</f>
        <v/>
      </c>
      <c r="D2565" s="63">
        <f>IFERROR(INDEX('Stammdaten'!$J$6:$J$105,SMALL($C$2557:$C$2656,ROW()-2556)),"")</f>
        <v/>
      </c>
    </row>
    <row r="2566">
      <c r="C2566" s="62">
        <f>IF(AND('Stammdaten'!$B15&lt;&gt;"",'Stammdaten'!$G15="aktiv"),10,"")</f>
        <v/>
      </c>
      <c r="D2566" s="63">
        <f>IFERROR(INDEX('Stammdaten'!$J$6:$J$105,SMALL($C$2557:$C$2656,ROW()-2556)),"")</f>
        <v/>
      </c>
    </row>
    <row r="2567">
      <c r="C2567" s="62">
        <f>IF(AND('Stammdaten'!$B16&lt;&gt;"",'Stammdaten'!$G16="aktiv"),11,"")</f>
        <v/>
      </c>
      <c r="D2567" s="63">
        <f>IFERROR(INDEX('Stammdaten'!$J$6:$J$105,SMALL($C$2557:$C$2656,ROW()-2556)),"")</f>
        <v/>
      </c>
    </row>
    <row r="2568">
      <c r="C2568" s="62">
        <f>IF(AND('Stammdaten'!$B17&lt;&gt;"",'Stammdaten'!$G17="aktiv"),12,"")</f>
        <v/>
      </c>
      <c r="D2568" s="63">
        <f>IFERROR(INDEX('Stammdaten'!$J$6:$J$105,SMALL($C$2557:$C$2656,ROW()-2556)),"")</f>
        <v/>
      </c>
    </row>
    <row r="2569">
      <c r="C2569" s="62">
        <f>IF(AND('Stammdaten'!$B18&lt;&gt;"",'Stammdaten'!$G18="aktiv"),13,"")</f>
        <v/>
      </c>
      <c r="D2569" s="63">
        <f>IFERROR(INDEX('Stammdaten'!$J$6:$J$105,SMALL($C$2557:$C$2656,ROW()-2556)),"")</f>
        <v/>
      </c>
    </row>
    <row r="2570">
      <c r="C2570" s="62">
        <f>IF(AND('Stammdaten'!$B19&lt;&gt;"",'Stammdaten'!$G19="aktiv"),14,"")</f>
        <v/>
      </c>
      <c r="D2570" s="63">
        <f>IFERROR(INDEX('Stammdaten'!$J$6:$J$105,SMALL($C$2557:$C$2656,ROW()-2556)),"")</f>
        <v/>
      </c>
    </row>
    <row r="2571">
      <c r="C2571" s="62">
        <f>IF(AND('Stammdaten'!$B20&lt;&gt;"",'Stammdaten'!$G20="aktiv"),15,"")</f>
        <v/>
      </c>
      <c r="D2571" s="63">
        <f>IFERROR(INDEX('Stammdaten'!$J$6:$J$105,SMALL($C$2557:$C$2656,ROW()-2556)),"")</f>
        <v/>
      </c>
    </row>
    <row r="2572">
      <c r="C2572" s="62">
        <f>IF(AND('Stammdaten'!$B21&lt;&gt;"",'Stammdaten'!$G21="aktiv"),16,"")</f>
        <v/>
      </c>
      <c r="D2572" s="63">
        <f>IFERROR(INDEX('Stammdaten'!$J$6:$J$105,SMALL($C$2557:$C$2656,ROW()-2556)),"")</f>
        <v/>
      </c>
    </row>
    <row r="2573">
      <c r="C2573" s="62">
        <f>IF(AND('Stammdaten'!$B22&lt;&gt;"",'Stammdaten'!$G22="aktiv"),17,"")</f>
        <v/>
      </c>
      <c r="D2573" s="63">
        <f>IFERROR(INDEX('Stammdaten'!$J$6:$J$105,SMALL($C$2557:$C$2656,ROW()-2556)),"")</f>
        <v/>
      </c>
    </row>
    <row r="2574">
      <c r="C2574" s="62">
        <f>IF(AND('Stammdaten'!$B23&lt;&gt;"",'Stammdaten'!$G23="aktiv"),18,"")</f>
        <v/>
      </c>
      <c r="D2574" s="63">
        <f>IFERROR(INDEX('Stammdaten'!$J$6:$J$105,SMALL($C$2557:$C$2656,ROW()-2556)),"")</f>
        <v/>
      </c>
    </row>
    <row r="2575">
      <c r="C2575" s="62">
        <f>IF(AND('Stammdaten'!$B24&lt;&gt;"",'Stammdaten'!$G24="aktiv"),19,"")</f>
        <v/>
      </c>
      <c r="D2575" s="63">
        <f>IFERROR(INDEX('Stammdaten'!$J$6:$J$105,SMALL($C$2557:$C$2656,ROW()-2556)),"")</f>
        <v/>
      </c>
    </row>
    <row r="2576">
      <c r="C2576" s="62">
        <f>IF(AND('Stammdaten'!$B25&lt;&gt;"",'Stammdaten'!$G25="aktiv"),20,"")</f>
        <v/>
      </c>
      <c r="D2576" s="63">
        <f>IFERROR(INDEX('Stammdaten'!$J$6:$J$105,SMALL($C$2557:$C$2656,ROW()-2556)),"")</f>
        <v/>
      </c>
    </row>
    <row r="2577">
      <c r="C2577" s="62">
        <f>IF(AND('Stammdaten'!$B26&lt;&gt;"",'Stammdaten'!$G26="aktiv"),21,"")</f>
        <v/>
      </c>
      <c r="D2577" s="63">
        <f>IFERROR(INDEX('Stammdaten'!$J$6:$J$105,SMALL($C$2557:$C$2656,ROW()-2556)),"")</f>
        <v/>
      </c>
    </row>
    <row r="2578">
      <c r="C2578" s="62">
        <f>IF(AND('Stammdaten'!$B27&lt;&gt;"",'Stammdaten'!$G27="aktiv"),22,"")</f>
        <v/>
      </c>
      <c r="D2578" s="63">
        <f>IFERROR(INDEX('Stammdaten'!$J$6:$J$105,SMALL($C$2557:$C$2656,ROW()-2556)),"")</f>
        <v/>
      </c>
    </row>
    <row r="2579">
      <c r="C2579" s="62">
        <f>IF(AND('Stammdaten'!$B28&lt;&gt;"",'Stammdaten'!$G28="aktiv"),23,"")</f>
        <v/>
      </c>
      <c r="D2579" s="63">
        <f>IFERROR(INDEX('Stammdaten'!$J$6:$J$105,SMALL($C$2557:$C$2656,ROW()-2556)),"")</f>
        <v/>
      </c>
    </row>
    <row r="2580">
      <c r="C2580" s="62">
        <f>IF(AND('Stammdaten'!$B29&lt;&gt;"",'Stammdaten'!$G29="aktiv"),24,"")</f>
        <v/>
      </c>
      <c r="D2580" s="63">
        <f>IFERROR(INDEX('Stammdaten'!$J$6:$J$105,SMALL($C$2557:$C$2656,ROW()-2556)),"")</f>
        <v/>
      </c>
    </row>
    <row r="2581">
      <c r="C2581" s="62">
        <f>IF(AND('Stammdaten'!$B30&lt;&gt;"",'Stammdaten'!$G30="aktiv"),25,"")</f>
        <v/>
      </c>
      <c r="D2581" s="63">
        <f>IFERROR(INDEX('Stammdaten'!$J$6:$J$105,SMALL($C$2557:$C$2656,ROW()-2556)),"")</f>
        <v/>
      </c>
    </row>
    <row r="2582">
      <c r="C2582" s="62">
        <f>IF(AND('Stammdaten'!$B31&lt;&gt;"",'Stammdaten'!$G31="aktiv"),26,"")</f>
        <v/>
      </c>
      <c r="D2582" s="63">
        <f>IFERROR(INDEX('Stammdaten'!$J$6:$J$105,SMALL($C$2557:$C$2656,ROW()-2556)),"")</f>
        <v/>
      </c>
    </row>
    <row r="2583">
      <c r="C2583" s="62">
        <f>IF(AND('Stammdaten'!$B32&lt;&gt;"",'Stammdaten'!$G32="aktiv"),27,"")</f>
        <v/>
      </c>
      <c r="D2583" s="63">
        <f>IFERROR(INDEX('Stammdaten'!$J$6:$J$105,SMALL($C$2557:$C$2656,ROW()-2556)),"")</f>
        <v/>
      </c>
    </row>
    <row r="2584">
      <c r="C2584" s="62">
        <f>IF(AND('Stammdaten'!$B33&lt;&gt;"",'Stammdaten'!$G33="aktiv"),28,"")</f>
        <v/>
      </c>
      <c r="D2584" s="63">
        <f>IFERROR(INDEX('Stammdaten'!$J$6:$J$105,SMALL($C$2557:$C$2656,ROW()-2556)),"")</f>
        <v/>
      </c>
    </row>
    <row r="2585">
      <c r="C2585" s="62">
        <f>IF(AND('Stammdaten'!$B34&lt;&gt;"",'Stammdaten'!$G34="aktiv"),29,"")</f>
        <v/>
      </c>
      <c r="D2585" s="63">
        <f>IFERROR(INDEX('Stammdaten'!$J$6:$J$105,SMALL($C$2557:$C$2656,ROW()-2556)),"")</f>
        <v/>
      </c>
    </row>
    <row r="2586">
      <c r="C2586" s="62">
        <f>IF(AND('Stammdaten'!$B35&lt;&gt;"",'Stammdaten'!$G35="aktiv"),30,"")</f>
        <v/>
      </c>
      <c r="D2586" s="63">
        <f>IFERROR(INDEX('Stammdaten'!$J$6:$J$105,SMALL($C$2557:$C$2656,ROW()-2556)),"")</f>
        <v/>
      </c>
    </row>
    <row r="2587">
      <c r="C2587" s="62">
        <f>IF(AND('Stammdaten'!$B36&lt;&gt;"",'Stammdaten'!$G36="aktiv"),31,"")</f>
        <v/>
      </c>
      <c r="D2587" s="63">
        <f>IFERROR(INDEX('Stammdaten'!$J$6:$J$105,SMALL($C$2557:$C$2656,ROW()-2556)),"")</f>
        <v/>
      </c>
    </row>
    <row r="2588">
      <c r="C2588" s="62">
        <f>IF(AND('Stammdaten'!$B37&lt;&gt;"",'Stammdaten'!$G37="aktiv"),32,"")</f>
        <v/>
      </c>
      <c r="D2588" s="63">
        <f>IFERROR(INDEX('Stammdaten'!$J$6:$J$105,SMALL($C$2557:$C$2656,ROW()-2556)),"")</f>
        <v/>
      </c>
    </row>
    <row r="2589">
      <c r="C2589" s="62">
        <f>IF(AND('Stammdaten'!$B38&lt;&gt;"",'Stammdaten'!$G38="aktiv"),33,"")</f>
        <v/>
      </c>
      <c r="D2589" s="63">
        <f>IFERROR(INDEX('Stammdaten'!$J$6:$J$105,SMALL($C$2557:$C$2656,ROW()-2556)),"")</f>
        <v/>
      </c>
    </row>
    <row r="2590">
      <c r="C2590" s="62">
        <f>IF(AND('Stammdaten'!$B39&lt;&gt;"",'Stammdaten'!$G39="aktiv"),34,"")</f>
        <v/>
      </c>
      <c r="D2590" s="63">
        <f>IFERROR(INDEX('Stammdaten'!$J$6:$J$105,SMALL($C$2557:$C$2656,ROW()-2556)),"")</f>
        <v/>
      </c>
    </row>
    <row r="2591">
      <c r="C2591" s="62">
        <f>IF(AND('Stammdaten'!$B40&lt;&gt;"",'Stammdaten'!$G40="aktiv"),35,"")</f>
        <v/>
      </c>
      <c r="D2591" s="63">
        <f>IFERROR(INDEX('Stammdaten'!$J$6:$J$105,SMALL($C$2557:$C$2656,ROW()-2556)),"")</f>
        <v/>
      </c>
    </row>
    <row r="2592">
      <c r="C2592" s="62">
        <f>IF(AND('Stammdaten'!$B41&lt;&gt;"",'Stammdaten'!$G41="aktiv"),36,"")</f>
        <v/>
      </c>
      <c r="D2592" s="63">
        <f>IFERROR(INDEX('Stammdaten'!$J$6:$J$105,SMALL($C$2557:$C$2656,ROW()-2556)),"")</f>
        <v/>
      </c>
    </row>
    <row r="2593">
      <c r="C2593" s="62">
        <f>IF(AND('Stammdaten'!$B42&lt;&gt;"",'Stammdaten'!$G42="aktiv"),37,"")</f>
        <v/>
      </c>
      <c r="D2593" s="63">
        <f>IFERROR(INDEX('Stammdaten'!$J$6:$J$105,SMALL($C$2557:$C$2656,ROW()-2556)),"")</f>
        <v/>
      </c>
    </row>
    <row r="2594">
      <c r="C2594" s="62">
        <f>IF(AND('Stammdaten'!$B43&lt;&gt;"",'Stammdaten'!$G43="aktiv"),38,"")</f>
        <v/>
      </c>
      <c r="D2594" s="63">
        <f>IFERROR(INDEX('Stammdaten'!$J$6:$J$105,SMALL($C$2557:$C$2656,ROW()-2556)),"")</f>
        <v/>
      </c>
    </row>
    <row r="2595">
      <c r="C2595" s="62">
        <f>IF(AND('Stammdaten'!$B44&lt;&gt;"",'Stammdaten'!$G44="aktiv"),39,"")</f>
        <v/>
      </c>
      <c r="D2595" s="63">
        <f>IFERROR(INDEX('Stammdaten'!$J$6:$J$105,SMALL($C$2557:$C$2656,ROW()-2556)),"")</f>
        <v/>
      </c>
    </row>
    <row r="2596">
      <c r="C2596" s="62">
        <f>IF(AND('Stammdaten'!$B45&lt;&gt;"",'Stammdaten'!$G45="aktiv"),40,"")</f>
        <v/>
      </c>
      <c r="D2596" s="63">
        <f>IFERROR(INDEX('Stammdaten'!$J$6:$J$105,SMALL($C$2557:$C$2656,ROW()-2556)),"")</f>
        <v/>
      </c>
    </row>
    <row r="2597">
      <c r="C2597" s="62">
        <f>IF(AND('Stammdaten'!$B46&lt;&gt;"",'Stammdaten'!$G46="aktiv"),41,"")</f>
        <v/>
      </c>
      <c r="D2597" s="63">
        <f>IFERROR(INDEX('Stammdaten'!$J$6:$J$105,SMALL($C$2557:$C$2656,ROW()-2556)),"")</f>
        <v/>
      </c>
    </row>
    <row r="2598">
      <c r="C2598" s="62">
        <f>IF(AND('Stammdaten'!$B47&lt;&gt;"",'Stammdaten'!$G47="aktiv"),42,"")</f>
        <v/>
      </c>
      <c r="D2598" s="63">
        <f>IFERROR(INDEX('Stammdaten'!$J$6:$J$105,SMALL($C$2557:$C$2656,ROW()-2556)),"")</f>
        <v/>
      </c>
    </row>
    <row r="2599">
      <c r="C2599" s="62">
        <f>IF(AND('Stammdaten'!$B48&lt;&gt;"",'Stammdaten'!$G48="aktiv"),43,"")</f>
        <v/>
      </c>
      <c r="D2599" s="63">
        <f>IFERROR(INDEX('Stammdaten'!$J$6:$J$105,SMALL($C$2557:$C$2656,ROW()-2556)),"")</f>
        <v/>
      </c>
    </row>
    <row r="2600">
      <c r="C2600" s="62">
        <f>IF(AND('Stammdaten'!$B49&lt;&gt;"",'Stammdaten'!$G49="aktiv"),44,"")</f>
        <v/>
      </c>
      <c r="D2600" s="63">
        <f>IFERROR(INDEX('Stammdaten'!$J$6:$J$105,SMALL($C$2557:$C$2656,ROW()-2556)),"")</f>
        <v/>
      </c>
    </row>
    <row r="2601">
      <c r="C2601" s="62">
        <f>IF(AND('Stammdaten'!$B50&lt;&gt;"",'Stammdaten'!$G50="aktiv"),45,"")</f>
        <v/>
      </c>
      <c r="D2601" s="63">
        <f>IFERROR(INDEX('Stammdaten'!$J$6:$J$105,SMALL($C$2557:$C$2656,ROW()-2556)),"")</f>
        <v/>
      </c>
    </row>
    <row r="2602">
      <c r="C2602" s="62">
        <f>IF(AND('Stammdaten'!$B51&lt;&gt;"",'Stammdaten'!$G51="aktiv"),46,"")</f>
        <v/>
      </c>
      <c r="D2602" s="63">
        <f>IFERROR(INDEX('Stammdaten'!$J$6:$J$105,SMALL($C$2557:$C$2656,ROW()-2556)),"")</f>
        <v/>
      </c>
    </row>
    <row r="2603">
      <c r="C2603" s="62">
        <f>IF(AND('Stammdaten'!$B52&lt;&gt;"",'Stammdaten'!$G52="aktiv"),47,"")</f>
        <v/>
      </c>
      <c r="D2603" s="63">
        <f>IFERROR(INDEX('Stammdaten'!$J$6:$J$105,SMALL($C$2557:$C$2656,ROW()-2556)),"")</f>
        <v/>
      </c>
    </row>
    <row r="2604">
      <c r="C2604" s="62">
        <f>IF(AND('Stammdaten'!$B53&lt;&gt;"",'Stammdaten'!$G53="aktiv"),48,"")</f>
        <v/>
      </c>
      <c r="D2604" s="63">
        <f>IFERROR(INDEX('Stammdaten'!$J$6:$J$105,SMALL($C$2557:$C$2656,ROW()-2556)),"")</f>
        <v/>
      </c>
    </row>
    <row r="2605">
      <c r="C2605" s="62">
        <f>IF(AND('Stammdaten'!$B54&lt;&gt;"",'Stammdaten'!$G54="aktiv"),49,"")</f>
        <v/>
      </c>
      <c r="D2605" s="63">
        <f>IFERROR(INDEX('Stammdaten'!$J$6:$J$105,SMALL($C$2557:$C$2656,ROW()-2556)),"")</f>
        <v/>
      </c>
    </row>
    <row r="2606">
      <c r="C2606" s="62">
        <f>IF(AND('Stammdaten'!$B55&lt;&gt;"",'Stammdaten'!$G55="aktiv"),50,"")</f>
        <v/>
      </c>
      <c r="D2606" s="63">
        <f>IFERROR(INDEX('Stammdaten'!$J$6:$J$105,SMALL($C$2557:$C$2656,ROW()-2556)),"")</f>
        <v/>
      </c>
    </row>
    <row r="2607">
      <c r="C2607" s="62">
        <f>IF(AND('Stammdaten'!$B56&lt;&gt;"",'Stammdaten'!$G56="aktiv"),51,"")</f>
        <v/>
      </c>
      <c r="D2607" s="63">
        <f>IFERROR(INDEX('Stammdaten'!$J$6:$J$105,SMALL($C$2557:$C$2656,ROW()-2556)),"")</f>
        <v/>
      </c>
    </row>
    <row r="2608">
      <c r="C2608" s="62">
        <f>IF(AND('Stammdaten'!$B57&lt;&gt;"",'Stammdaten'!$G57="aktiv"),52,"")</f>
        <v/>
      </c>
      <c r="D2608" s="63">
        <f>IFERROR(INDEX('Stammdaten'!$J$6:$J$105,SMALL($C$2557:$C$2656,ROW()-2556)),"")</f>
        <v/>
      </c>
    </row>
    <row r="2609">
      <c r="C2609" s="62">
        <f>IF(AND('Stammdaten'!$B58&lt;&gt;"",'Stammdaten'!$G58="aktiv"),53,"")</f>
        <v/>
      </c>
      <c r="D2609" s="63">
        <f>IFERROR(INDEX('Stammdaten'!$J$6:$J$105,SMALL($C$2557:$C$2656,ROW()-2556)),"")</f>
        <v/>
      </c>
    </row>
    <row r="2610">
      <c r="C2610" s="62">
        <f>IF(AND('Stammdaten'!$B59&lt;&gt;"",'Stammdaten'!$G59="aktiv"),54,"")</f>
        <v/>
      </c>
      <c r="D2610" s="63">
        <f>IFERROR(INDEX('Stammdaten'!$J$6:$J$105,SMALL($C$2557:$C$2656,ROW()-2556)),"")</f>
        <v/>
      </c>
    </row>
    <row r="2611">
      <c r="C2611" s="62">
        <f>IF(AND('Stammdaten'!$B60&lt;&gt;"",'Stammdaten'!$G60="aktiv"),55,"")</f>
        <v/>
      </c>
      <c r="D2611" s="63">
        <f>IFERROR(INDEX('Stammdaten'!$J$6:$J$105,SMALL($C$2557:$C$2656,ROW()-2556)),"")</f>
        <v/>
      </c>
    </row>
    <row r="2612">
      <c r="C2612" s="62">
        <f>IF(AND('Stammdaten'!$B61&lt;&gt;"",'Stammdaten'!$G61="aktiv"),56,"")</f>
        <v/>
      </c>
      <c r="D2612" s="63">
        <f>IFERROR(INDEX('Stammdaten'!$J$6:$J$105,SMALL($C$2557:$C$2656,ROW()-2556)),"")</f>
        <v/>
      </c>
    </row>
    <row r="2613">
      <c r="C2613" s="62">
        <f>IF(AND('Stammdaten'!$B62&lt;&gt;"",'Stammdaten'!$G62="aktiv"),57,"")</f>
        <v/>
      </c>
      <c r="D2613" s="63">
        <f>IFERROR(INDEX('Stammdaten'!$J$6:$J$105,SMALL($C$2557:$C$2656,ROW()-2556)),"")</f>
        <v/>
      </c>
    </row>
    <row r="2614">
      <c r="C2614" s="62">
        <f>IF(AND('Stammdaten'!$B63&lt;&gt;"",'Stammdaten'!$G63="aktiv"),58,"")</f>
        <v/>
      </c>
      <c r="D2614" s="63">
        <f>IFERROR(INDEX('Stammdaten'!$J$6:$J$105,SMALL($C$2557:$C$2656,ROW()-2556)),"")</f>
        <v/>
      </c>
    </row>
    <row r="2615">
      <c r="C2615" s="62">
        <f>IF(AND('Stammdaten'!$B64&lt;&gt;"",'Stammdaten'!$G64="aktiv"),59,"")</f>
        <v/>
      </c>
      <c r="D2615" s="63">
        <f>IFERROR(INDEX('Stammdaten'!$J$6:$J$105,SMALL($C$2557:$C$2656,ROW()-2556)),"")</f>
        <v/>
      </c>
    </row>
    <row r="2616">
      <c r="C2616" s="62">
        <f>IF(AND('Stammdaten'!$B65&lt;&gt;"",'Stammdaten'!$G65="aktiv"),60,"")</f>
        <v/>
      </c>
      <c r="D2616" s="63">
        <f>IFERROR(INDEX('Stammdaten'!$J$6:$J$105,SMALL($C$2557:$C$2656,ROW()-2556)),"")</f>
        <v/>
      </c>
    </row>
    <row r="2617">
      <c r="C2617" s="62">
        <f>IF(AND('Stammdaten'!$B66&lt;&gt;"",'Stammdaten'!$G66="aktiv"),61,"")</f>
        <v/>
      </c>
      <c r="D2617" s="63">
        <f>IFERROR(INDEX('Stammdaten'!$J$6:$J$105,SMALL($C$2557:$C$2656,ROW()-2556)),"")</f>
        <v/>
      </c>
    </row>
    <row r="2618">
      <c r="C2618" s="62">
        <f>IF(AND('Stammdaten'!$B67&lt;&gt;"",'Stammdaten'!$G67="aktiv"),62,"")</f>
        <v/>
      </c>
      <c r="D2618" s="63">
        <f>IFERROR(INDEX('Stammdaten'!$J$6:$J$105,SMALL($C$2557:$C$2656,ROW()-2556)),"")</f>
        <v/>
      </c>
    </row>
    <row r="2619">
      <c r="C2619" s="62">
        <f>IF(AND('Stammdaten'!$B68&lt;&gt;"",'Stammdaten'!$G68="aktiv"),63,"")</f>
        <v/>
      </c>
      <c r="D2619" s="63">
        <f>IFERROR(INDEX('Stammdaten'!$J$6:$J$105,SMALL($C$2557:$C$2656,ROW()-2556)),"")</f>
        <v/>
      </c>
    </row>
    <row r="2620">
      <c r="C2620" s="62">
        <f>IF(AND('Stammdaten'!$B69&lt;&gt;"",'Stammdaten'!$G69="aktiv"),64,"")</f>
        <v/>
      </c>
      <c r="D2620" s="63">
        <f>IFERROR(INDEX('Stammdaten'!$J$6:$J$105,SMALL($C$2557:$C$2656,ROW()-2556)),"")</f>
        <v/>
      </c>
    </row>
    <row r="2621">
      <c r="C2621" s="62">
        <f>IF(AND('Stammdaten'!$B70&lt;&gt;"",'Stammdaten'!$G70="aktiv"),65,"")</f>
        <v/>
      </c>
      <c r="D2621" s="63">
        <f>IFERROR(INDEX('Stammdaten'!$J$6:$J$105,SMALL($C$2557:$C$2656,ROW()-2556)),"")</f>
        <v/>
      </c>
    </row>
    <row r="2622">
      <c r="C2622" s="62">
        <f>IF(AND('Stammdaten'!$B71&lt;&gt;"",'Stammdaten'!$G71="aktiv"),66,"")</f>
        <v/>
      </c>
      <c r="D2622" s="63">
        <f>IFERROR(INDEX('Stammdaten'!$J$6:$J$105,SMALL($C$2557:$C$2656,ROW()-2556)),"")</f>
        <v/>
      </c>
    </row>
    <row r="2623">
      <c r="C2623" s="62">
        <f>IF(AND('Stammdaten'!$B72&lt;&gt;"",'Stammdaten'!$G72="aktiv"),67,"")</f>
        <v/>
      </c>
      <c r="D2623" s="63">
        <f>IFERROR(INDEX('Stammdaten'!$J$6:$J$105,SMALL($C$2557:$C$2656,ROW()-2556)),"")</f>
        <v/>
      </c>
    </row>
    <row r="2624">
      <c r="C2624" s="62">
        <f>IF(AND('Stammdaten'!$B73&lt;&gt;"",'Stammdaten'!$G73="aktiv"),68,"")</f>
        <v/>
      </c>
      <c r="D2624" s="63">
        <f>IFERROR(INDEX('Stammdaten'!$J$6:$J$105,SMALL($C$2557:$C$2656,ROW()-2556)),"")</f>
        <v/>
      </c>
    </row>
    <row r="2625">
      <c r="C2625" s="62">
        <f>IF(AND('Stammdaten'!$B74&lt;&gt;"",'Stammdaten'!$G74="aktiv"),69,"")</f>
        <v/>
      </c>
      <c r="D2625" s="63">
        <f>IFERROR(INDEX('Stammdaten'!$J$6:$J$105,SMALL($C$2557:$C$2656,ROW()-2556)),"")</f>
        <v/>
      </c>
    </row>
    <row r="2626">
      <c r="C2626" s="62">
        <f>IF(AND('Stammdaten'!$B75&lt;&gt;"",'Stammdaten'!$G75="aktiv"),70,"")</f>
        <v/>
      </c>
      <c r="D2626" s="63">
        <f>IFERROR(INDEX('Stammdaten'!$J$6:$J$105,SMALL($C$2557:$C$2656,ROW()-2556)),"")</f>
        <v/>
      </c>
    </row>
    <row r="2627">
      <c r="C2627" s="62">
        <f>IF(AND('Stammdaten'!$B76&lt;&gt;"",'Stammdaten'!$G76="aktiv"),71,"")</f>
        <v/>
      </c>
      <c r="D2627" s="63">
        <f>IFERROR(INDEX('Stammdaten'!$J$6:$J$105,SMALL($C$2557:$C$2656,ROW()-2556)),"")</f>
        <v/>
      </c>
    </row>
    <row r="2628">
      <c r="C2628" s="62">
        <f>IF(AND('Stammdaten'!$B77&lt;&gt;"",'Stammdaten'!$G77="aktiv"),72,"")</f>
        <v/>
      </c>
      <c r="D2628" s="63">
        <f>IFERROR(INDEX('Stammdaten'!$J$6:$J$105,SMALL($C$2557:$C$2656,ROW()-2556)),"")</f>
        <v/>
      </c>
    </row>
    <row r="2629">
      <c r="C2629" s="62">
        <f>IF(AND('Stammdaten'!$B78&lt;&gt;"",'Stammdaten'!$G78="aktiv"),73,"")</f>
        <v/>
      </c>
      <c r="D2629" s="63">
        <f>IFERROR(INDEX('Stammdaten'!$J$6:$J$105,SMALL($C$2557:$C$2656,ROW()-2556)),"")</f>
        <v/>
      </c>
    </row>
    <row r="2630">
      <c r="C2630" s="62">
        <f>IF(AND('Stammdaten'!$B79&lt;&gt;"",'Stammdaten'!$G79="aktiv"),74,"")</f>
        <v/>
      </c>
      <c r="D2630" s="63">
        <f>IFERROR(INDEX('Stammdaten'!$J$6:$J$105,SMALL($C$2557:$C$2656,ROW()-2556)),"")</f>
        <v/>
      </c>
    </row>
    <row r="2631">
      <c r="C2631" s="62">
        <f>IF(AND('Stammdaten'!$B80&lt;&gt;"",'Stammdaten'!$G80="aktiv"),75,"")</f>
        <v/>
      </c>
      <c r="D2631" s="63">
        <f>IFERROR(INDEX('Stammdaten'!$J$6:$J$105,SMALL($C$2557:$C$2656,ROW()-2556)),"")</f>
        <v/>
      </c>
    </row>
    <row r="2632">
      <c r="C2632" s="62">
        <f>IF(AND('Stammdaten'!$B81&lt;&gt;"",'Stammdaten'!$G81="aktiv"),76,"")</f>
        <v/>
      </c>
      <c r="D2632" s="63">
        <f>IFERROR(INDEX('Stammdaten'!$J$6:$J$105,SMALL($C$2557:$C$2656,ROW()-2556)),"")</f>
        <v/>
      </c>
    </row>
    <row r="2633">
      <c r="C2633" s="62">
        <f>IF(AND('Stammdaten'!$B82&lt;&gt;"",'Stammdaten'!$G82="aktiv"),77,"")</f>
        <v/>
      </c>
      <c r="D2633" s="63">
        <f>IFERROR(INDEX('Stammdaten'!$J$6:$J$105,SMALL($C$2557:$C$2656,ROW()-2556)),"")</f>
        <v/>
      </c>
    </row>
    <row r="2634">
      <c r="C2634" s="62">
        <f>IF(AND('Stammdaten'!$B83&lt;&gt;"",'Stammdaten'!$G83="aktiv"),78,"")</f>
        <v/>
      </c>
      <c r="D2634" s="63">
        <f>IFERROR(INDEX('Stammdaten'!$J$6:$J$105,SMALL($C$2557:$C$2656,ROW()-2556)),"")</f>
        <v/>
      </c>
    </row>
    <row r="2635">
      <c r="C2635" s="62">
        <f>IF(AND('Stammdaten'!$B84&lt;&gt;"",'Stammdaten'!$G84="aktiv"),79,"")</f>
        <v/>
      </c>
      <c r="D2635" s="63">
        <f>IFERROR(INDEX('Stammdaten'!$J$6:$J$105,SMALL($C$2557:$C$2656,ROW()-2556)),"")</f>
        <v/>
      </c>
    </row>
    <row r="2636">
      <c r="C2636" s="62">
        <f>IF(AND('Stammdaten'!$B85&lt;&gt;"",'Stammdaten'!$G85="aktiv"),80,"")</f>
        <v/>
      </c>
      <c r="D2636" s="63">
        <f>IFERROR(INDEX('Stammdaten'!$J$6:$J$105,SMALL($C$2557:$C$2656,ROW()-2556)),"")</f>
        <v/>
      </c>
    </row>
    <row r="2637">
      <c r="C2637" s="62">
        <f>IF(AND('Stammdaten'!$B86&lt;&gt;"",'Stammdaten'!$G86="aktiv"),81,"")</f>
        <v/>
      </c>
      <c r="D2637" s="63">
        <f>IFERROR(INDEX('Stammdaten'!$J$6:$J$105,SMALL($C$2557:$C$2656,ROW()-2556)),"")</f>
        <v/>
      </c>
    </row>
    <row r="2638">
      <c r="C2638" s="62">
        <f>IF(AND('Stammdaten'!$B87&lt;&gt;"",'Stammdaten'!$G87="aktiv"),82,"")</f>
        <v/>
      </c>
      <c r="D2638" s="63">
        <f>IFERROR(INDEX('Stammdaten'!$J$6:$J$105,SMALL($C$2557:$C$2656,ROW()-2556)),"")</f>
        <v/>
      </c>
    </row>
    <row r="2639">
      <c r="C2639" s="62">
        <f>IF(AND('Stammdaten'!$B88&lt;&gt;"",'Stammdaten'!$G88="aktiv"),83,"")</f>
        <v/>
      </c>
      <c r="D2639" s="63">
        <f>IFERROR(INDEX('Stammdaten'!$J$6:$J$105,SMALL($C$2557:$C$2656,ROW()-2556)),"")</f>
        <v/>
      </c>
    </row>
    <row r="2640">
      <c r="C2640" s="62">
        <f>IF(AND('Stammdaten'!$B89&lt;&gt;"",'Stammdaten'!$G89="aktiv"),84,"")</f>
        <v/>
      </c>
      <c r="D2640" s="63">
        <f>IFERROR(INDEX('Stammdaten'!$J$6:$J$105,SMALL($C$2557:$C$2656,ROW()-2556)),"")</f>
        <v/>
      </c>
    </row>
    <row r="2641">
      <c r="C2641" s="62">
        <f>IF(AND('Stammdaten'!$B90&lt;&gt;"",'Stammdaten'!$G90="aktiv"),85,"")</f>
        <v/>
      </c>
      <c r="D2641" s="63">
        <f>IFERROR(INDEX('Stammdaten'!$J$6:$J$105,SMALL($C$2557:$C$2656,ROW()-2556)),"")</f>
        <v/>
      </c>
    </row>
    <row r="2642">
      <c r="C2642" s="62">
        <f>IF(AND('Stammdaten'!$B91&lt;&gt;"",'Stammdaten'!$G91="aktiv"),86,"")</f>
        <v/>
      </c>
      <c r="D2642" s="63">
        <f>IFERROR(INDEX('Stammdaten'!$J$6:$J$105,SMALL($C$2557:$C$2656,ROW()-2556)),"")</f>
        <v/>
      </c>
    </row>
    <row r="2643">
      <c r="C2643" s="62">
        <f>IF(AND('Stammdaten'!$B92&lt;&gt;"",'Stammdaten'!$G92="aktiv"),87,"")</f>
        <v/>
      </c>
      <c r="D2643" s="63">
        <f>IFERROR(INDEX('Stammdaten'!$J$6:$J$105,SMALL($C$2557:$C$2656,ROW()-2556)),"")</f>
        <v/>
      </c>
    </row>
    <row r="2644">
      <c r="C2644" s="62">
        <f>IF(AND('Stammdaten'!$B93&lt;&gt;"",'Stammdaten'!$G93="aktiv"),88,"")</f>
        <v/>
      </c>
      <c r="D2644" s="63">
        <f>IFERROR(INDEX('Stammdaten'!$J$6:$J$105,SMALL($C$2557:$C$2656,ROW()-2556)),"")</f>
        <v/>
      </c>
    </row>
    <row r="2645">
      <c r="C2645" s="62">
        <f>IF(AND('Stammdaten'!$B94&lt;&gt;"",'Stammdaten'!$G94="aktiv"),89,"")</f>
        <v/>
      </c>
      <c r="D2645" s="63">
        <f>IFERROR(INDEX('Stammdaten'!$J$6:$J$105,SMALL($C$2557:$C$2656,ROW()-2556)),"")</f>
        <v/>
      </c>
    </row>
    <row r="2646">
      <c r="C2646" s="62">
        <f>IF(AND('Stammdaten'!$B95&lt;&gt;"",'Stammdaten'!$G95="aktiv"),90,"")</f>
        <v/>
      </c>
      <c r="D2646" s="63">
        <f>IFERROR(INDEX('Stammdaten'!$J$6:$J$105,SMALL($C$2557:$C$2656,ROW()-2556)),"")</f>
        <v/>
      </c>
    </row>
    <row r="2647">
      <c r="C2647" s="62">
        <f>IF(AND('Stammdaten'!$B96&lt;&gt;"",'Stammdaten'!$G96="aktiv"),91,"")</f>
        <v/>
      </c>
      <c r="D2647" s="63">
        <f>IFERROR(INDEX('Stammdaten'!$J$6:$J$105,SMALL($C$2557:$C$2656,ROW()-2556)),"")</f>
        <v/>
      </c>
    </row>
    <row r="2648">
      <c r="C2648" s="62">
        <f>IF(AND('Stammdaten'!$B97&lt;&gt;"",'Stammdaten'!$G97="aktiv"),92,"")</f>
        <v/>
      </c>
      <c r="D2648" s="63">
        <f>IFERROR(INDEX('Stammdaten'!$J$6:$J$105,SMALL($C$2557:$C$2656,ROW()-2556)),"")</f>
        <v/>
      </c>
    </row>
    <row r="2649">
      <c r="C2649" s="62">
        <f>IF(AND('Stammdaten'!$B98&lt;&gt;"",'Stammdaten'!$G98="aktiv"),93,"")</f>
        <v/>
      </c>
      <c r="D2649" s="63">
        <f>IFERROR(INDEX('Stammdaten'!$J$6:$J$105,SMALL($C$2557:$C$2656,ROW()-2556)),"")</f>
        <v/>
      </c>
    </row>
    <row r="2650">
      <c r="C2650" s="62">
        <f>IF(AND('Stammdaten'!$B99&lt;&gt;"",'Stammdaten'!$G99="aktiv"),94,"")</f>
        <v/>
      </c>
      <c r="D2650" s="63">
        <f>IFERROR(INDEX('Stammdaten'!$J$6:$J$105,SMALL($C$2557:$C$2656,ROW()-2556)),"")</f>
        <v/>
      </c>
    </row>
    <row r="2651">
      <c r="C2651" s="62">
        <f>IF(AND('Stammdaten'!$B100&lt;&gt;"",'Stammdaten'!$G100="aktiv"),95,"")</f>
        <v/>
      </c>
      <c r="D2651" s="63">
        <f>IFERROR(INDEX('Stammdaten'!$J$6:$J$105,SMALL($C$2557:$C$2656,ROW()-2556)),"")</f>
        <v/>
      </c>
    </row>
    <row r="2652">
      <c r="C2652" s="62">
        <f>IF(AND('Stammdaten'!$B101&lt;&gt;"",'Stammdaten'!$G101="aktiv"),96,"")</f>
        <v/>
      </c>
      <c r="D2652" s="63">
        <f>IFERROR(INDEX('Stammdaten'!$J$6:$J$105,SMALL($C$2557:$C$2656,ROW()-2556)),"")</f>
        <v/>
      </c>
    </row>
    <row r="2653">
      <c r="C2653" s="62">
        <f>IF(AND('Stammdaten'!$B102&lt;&gt;"",'Stammdaten'!$G102="aktiv"),97,"")</f>
        <v/>
      </c>
      <c r="D2653" s="63">
        <f>IFERROR(INDEX('Stammdaten'!$J$6:$J$105,SMALL($C$2557:$C$2656,ROW()-2556)),"")</f>
        <v/>
      </c>
    </row>
    <row r="2654">
      <c r="C2654" s="62">
        <f>IF(AND('Stammdaten'!$B103&lt;&gt;"",'Stammdaten'!$G103="aktiv"),98,"")</f>
        <v/>
      </c>
      <c r="D2654" s="63">
        <f>IFERROR(INDEX('Stammdaten'!$J$6:$J$105,SMALL($C$2557:$C$2656,ROW()-2556)),"")</f>
        <v/>
      </c>
    </row>
    <row r="2655">
      <c r="C2655" s="62">
        <f>IF(AND('Stammdaten'!$B104&lt;&gt;"",'Stammdaten'!$G104="aktiv"),99,"")</f>
        <v/>
      </c>
      <c r="D2655" s="63">
        <f>IFERROR(INDEX('Stammdaten'!$J$6:$J$105,SMALL($C$2557:$C$2656,ROW()-2556)),"")</f>
        <v/>
      </c>
    </row>
    <row r="2656">
      <c r="C2656" s="62">
        <f>IF(AND('Stammdaten'!$B105&lt;&gt;"",'Stammdaten'!$G105="aktiv"),100,"")</f>
        <v/>
      </c>
      <c r="D2656" s="63">
        <f>IFERROR(INDEX('Stammdaten'!$J$6:$J$105,SMALL($C$2557:$C$2656,ROW()-2556)),"")</f>
        <v/>
      </c>
    </row>
    <row r="2661">
      <c r="A2661" s="171" t="inlineStr">
        <is>
          <t>Auswahlliste Jahrgänge</t>
        </is>
      </c>
    </row>
    <row r="2662">
      <c r="C2662" s="62" t="inlineStr">
        <is>
          <t>(alle)</t>
        </is>
      </c>
    </row>
    <row r="2663">
      <c r="B2663" s="172">
        <f>IF(OR('Stammdaten'!$B6="",'Stammdaten'!$E6=""),"",IF(COUNTIF('Stammdaten'!$E$6:$E6,'Stammdaten'!$E6)=1,'Stammdaten'!$E6,""))</f>
        <v/>
      </c>
      <c r="C2663" s="172">
        <f>IFERROR(SMALL($B$2663:$B$2762,ROW()-2662),"")</f>
        <v/>
      </c>
    </row>
    <row r="2664">
      <c r="B2664" s="172">
        <f>IF(OR('Stammdaten'!$B7="",'Stammdaten'!$E7=""),"",IF(COUNTIF('Stammdaten'!$E$6:$E7,'Stammdaten'!$E7)=1,'Stammdaten'!$E7,""))</f>
        <v/>
      </c>
      <c r="C2664" s="172">
        <f>IFERROR(SMALL($B$2663:$B$2762,ROW()-2662),"")</f>
        <v/>
      </c>
    </row>
    <row r="2665">
      <c r="B2665" s="172">
        <f>IF(OR('Stammdaten'!$B8="",'Stammdaten'!$E8=""),"",IF(COUNTIF('Stammdaten'!$E$6:$E8,'Stammdaten'!$E8)=1,'Stammdaten'!$E8,""))</f>
        <v/>
      </c>
      <c r="C2665" s="172">
        <f>IFERROR(SMALL($B$2663:$B$2762,ROW()-2662),"")</f>
        <v/>
      </c>
    </row>
    <row r="2666">
      <c r="B2666" s="172">
        <f>IF(OR('Stammdaten'!$B9="",'Stammdaten'!$E9=""),"",IF(COUNTIF('Stammdaten'!$E$6:$E9,'Stammdaten'!$E9)=1,'Stammdaten'!$E9,""))</f>
        <v/>
      </c>
      <c r="C2666" s="172">
        <f>IFERROR(SMALL($B$2663:$B$2762,ROW()-2662),"")</f>
        <v/>
      </c>
    </row>
    <row r="2667">
      <c r="B2667" s="172">
        <f>IF(OR('Stammdaten'!$B10="",'Stammdaten'!$E10=""),"",IF(COUNTIF('Stammdaten'!$E$6:$E10,'Stammdaten'!$E10)=1,'Stammdaten'!$E10,""))</f>
        <v/>
      </c>
      <c r="C2667" s="172">
        <f>IFERROR(SMALL($B$2663:$B$2762,ROW()-2662),"")</f>
        <v/>
      </c>
    </row>
    <row r="2668">
      <c r="B2668" s="172">
        <f>IF(OR('Stammdaten'!$B11="",'Stammdaten'!$E11=""),"",IF(COUNTIF('Stammdaten'!$E$6:$E11,'Stammdaten'!$E11)=1,'Stammdaten'!$E11,""))</f>
        <v/>
      </c>
      <c r="C2668" s="172">
        <f>IFERROR(SMALL($B$2663:$B$2762,ROW()-2662),"")</f>
        <v/>
      </c>
    </row>
    <row r="2669">
      <c r="B2669" s="172">
        <f>IF(OR('Stammdaten'!$B12="",'Stammdaten'!$E12=""),"",IF(COUNTIF('Stammdaten'!$E$6:$E12,'Stammdaten'!$E12)=1,'Stammdaten'!$E12,""))</f>
        <v/>
      </c>
      <c r="C2669" s="172">
        <f>IFERROR(SMALL($B$2663:$B$2762,ROW()-2662),"")</f>
        <v/>
      </c>
    </row>
    <row r="2670">
      <c r="B2670" s="172">
        <f>IF(OR('Stammdaten'!$B13="",'Stammdaten'!$E13=""),"",IF(COUNTIF('Stammdaten'!$E$6:$E13,'Stammdaten'!$E13)=1,'Stammdaten'!$E13,""))</f>
        <v/>
      </c>
      <c r="C2670" s="172">
        <f>IFERROR(SMALL($B$2663:$B$2762,ROW()-2662),"")</f>
        <v/>
      </c>
    </row>
    <row r="2671">
      <c r="B2671" s="172">
        <f>IF(OR('Stammdaten'!$B14="",'Stammdaten'!$E14=""),"",IF(COUNTIF('Stammdaten'!$E$6:$E14,'Stammdaten'!$E14)=1,'Stammdaten'!$E14,""))</f>
        <v/>
      </c>
      <c r="C2671" s="172">
        <f>IFERROR(SMALL($B$2663:$B$2762,ROW()-2662),"")</f>
        <v/>
      </c>
    </row>
    <row r="2672">
      <c r="B2672" s="172">
        <f>IF(OR('Stammdaten'!$B15="",'Stammdaten'!$E15=""),"",IF(COUNTIF('Stammdaten'!$E$6:$E15,'Stammdaten'!$E15)=1,'Stammdaten'!$E15,""))</f>
        <v/>
      </c>
      <c r="C2672" s="172">
        <f>IFERROR(SMALL($B$2663:$B$2762,ROW()-2662),"")</f>
        <v/>
      </c>
    </row>
    <row r="2673">
      <c r="B2673" s="172">
        <f>IF(OR('Stammdaten'!$B16="",'Stammdaten'!$E16=""),"",IF(COUNTIF('Stammdaten'!$E$6:$E16,'Stammdaten'!$E16)=1,'Stammdaten'!$E16,""))</f>
        <v/>
      </c>
      <c r="C2673" s="172">
        <f>IFERROR(SMALL($B$2663:$B$2762,ROW()-2662),"")</f>
        <v/>
      </c>
    </row>
    <row r="2674">
      <c r="B2674" s="172">
        <f>IF(OR('Stammdaten'!$B17="",'Stammdaten'!$E17=""),"",IF(COUNTIF('Stammdaten'!$E$6:$E17,'Stammdaten'!$E17)=1,'Stammdaten'!$E17,""))</f>
        <v/>
      </c>
      <c r="C2674" s="172">
        <f>IFERROR(SMALL($B$2663:$B$2762,ROW()-2662),"")</f>
        <v/>
      </c>
    </row>
    <row r="2675">
      <c r="B2675" s="172">
        <f>IF(OR('Stammdaten'!$B18="",'Stammdaten'!$E18=""),"",IF(COUNTIF('Stammdaten'!$E$6:$E18,'Stammdaten'!$E18)=1,'Stammdaten'!$E18,""))</f>
        <v/>
      </c>
      <c r="C2675" s="172">
        <f>IFERROR(SMALL($B$2663:$B$2762,ROW()-2662),"")</f>
        <v/>
      </c>
    </row>
    <row r="2676">
      <c r="B2676" s="172">
        <f>IF(OR('Stammdaten'!$B19="",'Stammdaten'!$E19=""),"",IF(COUNTIF('Stammdaten'!$E$6:$E19,'Stammdaten'!$E19)=1,'Stammdaten'!$E19,""))</f>
        <v/>
      </c>
      <c r="C2676" s="172">
        <f>IFERROR(SMALL($B$2663:$B$2762,ROW()-2662),"")</f>
        <v/>
      </c>
    </row>
    <row r="2677">
      <c r="B2677" s="172">
        <f>IF(OR('Stammdaten'!$B20="",'Stammdaten'!$E20=""),"",IF(COUNTIF('Stammdaten'!$E$6:$E20,'Stammdaten'!$E20)=1,'Stammdaten'!$E20,""))</f>
        <v/>
      </c>
      <c r="C2677" s="172">
        <f>IFERROR(SMALL($B$2663:$B$2762,ROW()-2662),"")</f>
        <v/>
      </c>
    </row>
    <row r="2678">
      <c r="B2678" s="172">
        <f>IF(OR('Stammdaten'!$B21="",'Stammdaten'!$E21=""),"",IF(COUNTIF('Stammdaten'!$E$6:$E21,'Stammdaten'!$E21)=1,'Stammdaten'!$E21,""))</f>
        <v/>
      </c>
      <c r="C2678" s="172">
        <f>IFERROR(SMALL($B$2663:$B$2762,ROW()-2662),"")</f>
        <v/>
      </c>
    </row>
    <row r="2679">
      <c r="B2679" s="172">
        <f>IF(OR('Stammdaten'!$B22="",'Stammdaten'!$E22=""),"",IF(COUNTIF('Stammdaten'!$E$6:$E22,'Stammdaten'!$E22)=1,'Stammdaten'!$E22,""))</f>
        <v/>
      </c>
      <c r="C2679" s="172">
        <f>IFERROR(SMALL($B$2663:$B$2762,ROW()-2662),"")</f>
        <v/>
      </c>
    </row>
    <row r="2680">
      <c r="B2680" s="172">
        <f>IF(OR('Stammdaten'!$B23="",'Stammdaten'!$E23=""),"",IF(COUNTIF('Stammdaten'!$E$6:$E23,'Stammdaten'!$E23)=1,'Stammdaten'!$E23,""))</f>
        <v/>
      </c>
      <c r="C2680" s="172">
        <f>IFERROR(SMALL($B$2663:$B$2762,ROW()-2662),"")</f>
        <v/>
      </c>
    </row>
    <row r="2681">
      <c r="B2681" s="172">
        <f>IF(OR('Stammdaten'!$B24="",'Stammdaten'!$E24=""),"",IF(COUNTIF('Stammdaten'!$E$6:$E24,'Stammdaten'!$E24)=1,'Stammdaten'!$E24,""))</f>
        <v/>
      </c>
      <c r="C2681" s="172">
        <f>IFERROR(SMALL($B$2663:$B$2762,ROW()-2662),"")</f>
        <v/>
      </c>
    </row>
    <row r="2682">
      <c r="B2682" s="172">
        <f>IF(OR('Stammdaten'!$B25="",'Stammdaten'!$E25=""),"",IF(COUNTIF('Stammdaten'!$E$6:$E25,'Stammdaten'!$E25)=1,'Stammdaten'!$E25,""))</f>
        <v/>
      </c>
      <c r="C2682" s="172">
        <f>IFERROR(SMALL($B$2663:$B$2762,ROW()-2662),"")</f>
        <v/>
      </c>
    </row>
    <row r="2683">
      <c r="B2683" s="172">
        <f>IF(OR('Stammdaten'!$B26="",'Stammdaten'!$E26=""),"",IF(COUNTIF('Stammdaten'!$E$6:$E26,'Stammdaten'!$E26)=1,'Stammdaten'!$E26,""))</f>
        <v/>
      </c>
      <c r="C2683" s="172">
        <f>IFERROR(SMALL($B$2663:$B$2762,ROW()-2662),"")</f>
        <v/>
      </c>
    </row>
    <row r="2684">
      <c r="B2684" s="172">
        <f>IF(OR('Stammdaten'!$B27="",'Stammdaten'!$E27=""),"",IF(COUNTIF('Stammdaten'!$E$6:$E27,'Stammdaten'!$E27)=1,'Stammdaten'!$E27,""))</f>
        <v/>
      </c>
      <c r="C2684" s="172">
        <f>IFERROR(SMALL($B$2663:$B$2762,ROW()-2662),"")</f>
        <v/>
      </c>
    </row>
    <row r="2685">
      <c r="B2685" s="172">
        <f>IF(OR('Stammdaten'!$B28="",'Stammdaten'!$E28=""),"",IF(COUNTIF('Stammdaten'!$E$6:$E28,'Stammdaten'!$E28)=1,'Stammdaten'!$E28,""))</f>
        <v/>
      </c>
      <c r="C2685" s="172">
        <f>IFERROR(SMALL($B$2663:$B$2762,ROW()-2662),"")</f>
        <v/>
      </c>
    </row>
    <row r="2686">
      <c r="B2686" s="172">
        <f>IF(OR('Stammdaten'!$B29="",'Stammdaten'!$E29=""),"",IF(COUNTIF('Stammdaten'!$E$6:$E29,'Stammdaten'!$E29)=1,'Stammdaten'!$E29,""))</f>
        <v/>
      </c>
      <c r="C2686" s="172">
        <f>IFERROR(SMALL($B$2663:$B$2762,ROW()-2662),"")</f>
        <v/>
      </c>
    </row>
    <row r="2687">
      <c r="B2687" s="172">
        <f>IF(OR('Stammdaten'!$B30="",'Stammdaten'!$E30=""),"",IF(COUNTIF('Stammdaten'!$E$6:$E30,'Stammdaten'!$E30)=1,'Stammdaten'!$E30,""))</f>
        <v/>
      </c>
      <c r="C2687" s="172">
        <f>IFERROR(SMALL($B$2663:$B$2762,ROW()-2662),"")</f>
        <v/>
      </c>
    </row>
    <row r="2688">
      <c r="B2688" s="172">
        <f>IF(OR('Stammdaten'!$B31="",'Stammdaten'!$E31=""),"",IF(COUNTIF('Stammdaten'!$E$6:$E31,'Stammdaten'!$E31)=1,'Stammdaten'!$E31,""))</f>
        <v/>
      </c>
      <c r="C2688" s="172">
        <f>IFERROR(SMALL($B$2663:$B$2762,ROW()-2662),"")</f>
        <v/>
      </c>
    </row>
    <row r="2689">
      <c r="B2689" s="172">
        <f>IF(OR('Stammdaten'!$B32="",'Stammdaten'!$E32=""),"",IF(COUNTIF('Stammdaten'!$E$6:$E32,'Stammdaten'!$E32)=1,'Stammdaten'!$E32,""))</f>
        <v/>
      </c>
      <c r="C2689" s="172">
        <f>IFERROR(SMALL($B$2663:$B$2762,ROW()-2662),"")</f>
        <v/>
      </c>
    </row>
    <row r="2690">
      <c r="B2690" s="172">
        <f>IF(OR('Stammdaten'!$B33="",'Stammdaten'!$E33=""),"",IF(COUNTIF('Stammdaten'!$E$6:$E33,'Stammdaten'!$E33)=1,'Stammdaten'!$E33,""))</f>
        <v/>
      </c>
      <c r="C2690" s="172">
        <f>IFERROR(SMALL($B$2663:$B$2762,ROW()-2662),"")</f>
        <v/>
      </c>
    </row>
    <row r="2691">
      <c r="B2691" s="172">
        <f>IF(OR('Stammdaten'!$B34="",'Stammdaten'!$E34=""),"",IF(COUNTIF('Stammdaten'!$E$6:$E34,'Stammdaten'!$E34)=1,'Stammdaten'!$E34,""))</f>
        <v/>
      </c>
      <c r="C2691" s="172">
        <f>IFERROR(SMALL($B$2663:$B$2762,ROW()-2662),"")</f>
        <v/>
      </c>
    </row>
    <row r="2692">
      <c r="B2692" s="172">
        <f>IF(OR('Stammdaten'!$B35="",'Stammdaten'!$E35=""),"",IF(COUNTIF('Stammdaten'!$E$6:$E35,'Stammdaten'!$E35)=1,'Stammdaten'!$E35,""))</f>
        <v/>
      </c>
      <c r="C2692" s="172">
        <f>IFERROR(SMALL($B$2663:$B$2762,ROW()-2662),"")</f>
        <v/>
      </c>
    </row>
    <row r="2693">
      <c r="B2693" s="172">
        <f>IF(OR('Stammdaten'!$B36="",'Stammdaten'!$E36=""),"",IF(COUNTIF('Stammdaten'!$E$6:$E36,'Stammdaten'!$E36)=1,'Stammdaten'!$E36,""))</f>
        <v/>
      </c>
      <c r="C2693" s="172">
        <f>IFERROR(SMALL($B$2663:$B$2762,ROW()-2662),"")</f>
        <v/>
      </c>
    </row>
    <row r="2694">
      <c r="B2694" s="172">
        <f>IF(OR('Stammdaten'!$B37="",'Stammdaten'!$E37=""),"",IF(COUNTIF('Stammdaten'!$E$6:$E37,'Stammdaten'!$E37)=1,'Stammdaten'!$E37,""))</f>
        <v/>
      </c>
      <c r="C2694" s="172">
        <f>IFERROR(SMALL($B$2663:$B$2762,ROW()-2662),"")</f>
        <v/>
      </c>
    </row>
    <row r="2695">
      <c r="B2695" s="172">
        <f>IF(OR('Stammdaten'!$B38="",'Stammdaten'!$E38=""),"",IF(COUNTIF('Stammdaten'!$E$6:$E38,'Stammdaten'!$E38)=1,'Stammdaten'!$E38,""))</f>
        <v/>
      </c>
      <c r="C2695" s="172">
        <f>IFERROR(SMALL($B$2663:$B$2762,ROW()-2662),"")</f>
        <v/>
      </c>
    </row>
    <row r="2696">
      <c r="B2696" s="172">
        <f>IF(OR('Stammdaten'!$B39="",'Stammdaten'!$E39=""),"",IF(COUNTIF('Stammdaten'!$E$6:$E39,'Stammdaten'!$E39)=1,'Stammdaten'!$E39,""))</f>
        <v/>
      </c>
      <c r="C2696" s="172">
        <f>IFERROR(SMALL($B$2663:$B$2762,ROW()-2662),"")</f>
        <v/>
      </c>
    </row>
    <row r="2697">
      <c r="B2697" s="172">
        <f>IF(OR('Stammdaten'!$B40="",'Stammdaten'!$E40=""),"",IF(COUNTIF('Stammdaten'!$E$6:$E40,'Stammdaten'!$E40)=1,'Stammdaten'!$E40,""))</f>
        <v/>
      </c>
      <c r="C2697" s="172">
        <f>IFERROR(SMALL($B$2663:$B$2762,ROW()-2662),"")</f>
        <v/>
      </c>
    </row>
    <row r="2698">
      <c r="B2698" s="172">
        <f>IF(OR('Stammdaten'!$B41="",'Stammdaten'!$E41=""),"",IF(COUNTIF('Stammdaten'!$E$6:$E41,'Stammdaten'!$E41)=1,'Stammdaten'!$E41,""))</f>
        <v/>
      </c>
      <c r="C2698" s="172">
        <f>IFERROR(SMALL($B$2663:$B$2762,ROW()-2662),"")</f>
        <v/>
      </c>
    </row>
    <row r="2699">
      <c r="B2699" s="172">
        <f>IF(OR('Stammdaten'!$B42="",'Stammdaten'!$E42=""),"",IF(COUNTIF('Stammdaten'!$E$6:$E42,'Stammdaten'!$E42)=1,'Stammdaten'!$E42,""))</f>
        <v/>
      </c>
      <c r="C2699" s="172">
        <f>IFERROR(SMALL($B$2663:$B$2762,ROW()-2662),"")</f>
        <v/>
      </c>
    </row>
    <row r="2700">
      <c r="B2700" s="172">
        <f>IF(OR('Stammdaten'!$B43="",'Stammdaten'!$E43=""),"",IF(COUNTIF('Stammdaten'!$E$6:$E43,'Stammdaten'!$E43)=1,'Stammdaten'!$E43,""))</f>
        <v/>
      </c>
      <c r="C2700" s="172">
        <f>IFERROR(SMALL($B$2663:$B$2762,ROW()-2662),"")</f>
        <v/>
      </c>
    </row>
    <row r="2701">
      <c r="B2701" s="172">
        <f>IF(OR('Stammdaten'!$B44="",'Stammdaten'!$E44=""),"",IF(COUNTIF('Stammdaten'!$E$6:$E44,'Stammdaten'!$E44)=1,'Stammdaten'!$E44,""))</f>
        <v/>
      </c>
      <c r="C2701" s="172">
        <f>IFERROR(SMALL($B$2663:$B$2762,ROW()-2662),"")</f>
        <v/>
      </c>
    </row>
    <row r="2702">
      <c r="B2702" s="172">
        <f>IF(OR('Stammdaten'!$B45="",'Stammdaten'!$E45=""),"",IF(COUNTIF('Stammdaten'!$E$6:$E45,'Stammdaten'!$E45)=1,'Stammdaten'!$E45,""))</f>
        <v/>
      </c>
      <c r="C2702" s="172">
        <f>IFERROR(SMALL($B$2663:$B$2762,ROW()-2662),"")</f>
        <v/>
      </c>
    </row>
    <row r="2703">
      <c r="B2703" s="172">
        <f>IF(OR('Stammdaten'!$B46="",'Stammdaten'!$E46=""),"",IF(COUNTIF('Stammdaten'!$E$6:$E46,'Stammdaten'!$E46)=1,'Stammdaten'!$E46,""))</f>
        <v/>
      </c>
      <c r="C2703" s="172">
        <f>IFERROR(SMALL($B$2663:$B$2762,ROW()-2662),"")</f>
        <v/>
      </c>
    </row>
    <row r="2704">
      <c r="B2704" s="172">
        <f>IF(OR('Stammdaten'!$B47="",'Stammdaten'!$E47=""),"",IF(COUNTIF('Stammdaten'!$E$6:$E47,'Stammdaten'!$E47)=1,'Stammdaten'!$E47,""))</f>
        <v/>
      </c>
      <c r="C2704" s="172">
        <f>IFERROR(SMALL($B$2663:$B$2762,ROW()-2662),"")</f>
        <v/>
      </c>
    </row>
    <row r="2705">
      <c r="B2705" s="172">
        <f>IF(OR('Stammdaten'!$B48="",'Stammdaten'!$E48=""),"",IF(COUNTIF('Stammdaten'!$E$6:$E48,'Stammdaten'!$E48)=1,'Stammdaten'!$E48,""))</f>
        <v/>
      </c>
      <c r="C2705" s="172">
        <f>IFERROR(SMALL($B$2663:$B$2762,ROW()-2662),"")</f>
        <v/>
      </c>
    </row>
    <row r="2706">
      <c r="B2706" s="172">
        <f>IF(OR('Stammdaten'!$B49="",'Stammdaten'!$E49=""),"",IF(COUNTIF('Stammdaten'!$E$6:$E49,'Stammdaten'!$E49)=1,'Stammdaten'!$E49,""))</f>
        <v/>
      </c>
      <c r="C2706" s="172">
        <f>IFERROR(SMALL($B$2663:$B$2762,ROW()-2662),"")</f>
        <v/>
      </c>
    </row>
    <row r="2707">
      <c r="B2707" s="172">
        <f>IF(OR('Stammdaten'!$B50="",'Stammdaten'!$E50=""),"",IF(COUNTIF('Stammdaten'!$E$6:$E50,'Stammdaten'!$E50)=1,'Stammdaten'!$E50,""))</f>
        <v/>
      </c>
      <c r="C2707" s="172">
        <f>IFERROR(SMALL($B$2663:$B$2762,ROW()-2662),"")</f>
        <v/>
      </c>
    </row>
    <row r="2708">
      <c r="B2708" s="172">
        <f>IF(OR('Stammdaten'!$B51="",'Stammdaten'!$E51=""),"",IF(COUNTIF('Stammdaten'!$E$6:$E51,'Stammdaten'!$E51)=1,'Stammdaten'!$E51,""))</f>
        <v/>
      </c>
      <c r="C2708" s="172">
        <f>IFERROR(SMALL($B$2663:$B$2762,ROW()-2662),"")</f>
        <v/>
      </c>
    </row>
    <row r="2709">
      <c r="B2709" s="172">
        <f>IF(OR('Stammdaten'!$B52="",'Stammdaten'!$E52=""),"",IF(COUNTIF('Stammdaten'!$E$6:$E52,'Stammdaten'!$E52)=1,'Stammdaten'!$E52,""))</f>
        <v/>
      </c>
      <c r="C2709" s="172">
        <f>IFERROR(SMALL($B$2663:$B$2762,ROW()-2662),"")</f>
        <v/>
      </c>
    </row>
    <row r="2710">
      <c r="B2710" s="172">
        <f>IF(OR('Stammdaten'!$B53="",'Stammdaten'!$E53=""),"",IF(COUNTIF('Stammdaten'!$E$6:$E53,'Stammdaten'!$E53)=1,'Stammdaten'!$E53,""))</f>
        <v/>
      </c>
      <c r="C2710" s="172">
        <f>IFERROR(SMALL($B$2663:$B$2762,ROW()-2662),"")</f>
        <v/>
      </c>
    </row>
    <row r="2711">
      <c r="B2711" s="172">
        <f>IF(OR('Stammdaten'!$B54="",'Stammdaten'!$E54=""),"",IF(COUNTIF('Stammdaten'!$E$6:$E54,'Stammdaten'!$E54)=1,'Stammdaten'!$E54,""))</f>
        <v/>
      </c>
      <c r="C2711" s="172">
        <f>IFERROR(SMALL($B$2663:$B$2762,ROW()-2662),"")</f>
        <v/>
      </c>
    </row>
    <row r="2712">
      <c r="B2712" s="172">
        <f>IF(OR('Stammdaten'!$B55="",'Stammdaten'!$E55=""),"",IF(COUNTIF('Stammdaten'!$E$6:$E55,'Stammdaten'!$E55)=1,'Stammdaten'!$E55,""))</f>
        <v/>
      </c>
      <c r="C2712" s="172">
        <f>IFERROR(SMALL($B$2663:$B$2762,ROW()-2662),"")</f>
        <v/>
      </c>
    </row>
    <row r="2713">
      <c r="B2713" s="172">
        <f>IF(OR('Stammdaten'!$B56="",'Stammdaten'!$E56=""),"",IF(COUNTIF('Stammdaten'!$E$6:$E56,'Stammdaten'!$E56)=1,'Stammdaten'!$E56,""))</f>
        <v/>
      </c>
      <c r="C2713" s="172">
        <f>IFERROR(SMALL($B$2663:$B$2762,ROW()-2662),"")</f>
        <v/>
      </c>
    </row>
    <row r="2714">
      <c r="B2714" s="172">
        <f>IF(OR('Stammdaten'!$B57="",'Stammdaten'!$E57=""),"",IF(COUNTIF('Stammdaten'!$E$6:$E57,'Stammdaten'!$E57)=1,'Stammdaten'!$E57,""))</f>
        <v/>
      </c>
      <c r="C2714" s="172">
        <f>IFERROR(SMALL($B$2663:$B$2762,ROW()-2662),"")</f>
        <v/>
      </c>
    </row>
    <row r="2715">
      <c r="B2715" s="172">
        <f>IF(OR('Stammdaten'!$B58="",'Stammdaten'!$E58=""),"",IF(COUNTIF('Stammdaten'!$E$6:$E58,'Stammdaten'!$E58)=1,'Stammdaten'!$E58,""))</f>
        <v/>
      </c>
      <c r="C2715" s="172">
        <f>IFERROR(SMALL($B$2663:$B$2762,ROW()-2662),"")</f>
        <v/>
      </c>
    </row>
    <row r="2716">
      <c r="B2716" s="172">
        <f>IF(OR('Stammdaten'!$B59="",'Stammdaten'!$E59=""),"",IF(COUNTIF('Stammdaten'!$E$6:$E59,'Stammdaten'!$E59)=1,'Stammdaten'!$E59,""))</f>
        <v/>
      </c>
      <c r="C2716" s="172">
        <f>IFERROR(SMALL($B$2663:$B$2762,ROW()-2662),"")</f>
        <v/>
      </c>
    </row>
    <row r="2717">
      <c r="B2717" s="172">
        <f>IF(OR('Stammdaten'!$B60="",'Stammdaten'!$E60=""),"",IF(COUNTIF('Stammdaten'!$E$6:$E60,'Stammdaten'!$E60)=1,'Stammdaten'!$E60,""))</f>
        <v/>
      </c>
      <c r="C2717" s="172">
        <f>IFERROR(SMALL($B$2663:$B$2762,ROW()-2662),"")</f>
        <v/>
      </c>
    </row>
    <row r="2718">
      <c r="B2718" s="172">
        <f>IF(OR('Stammdaten'!$B61="",'Stammdaten'!$E61=""),"",IF(COUNTIF('Stammdaten'!$E$6:$E61,'Stammdaten'!$E61)=1,'Stammdaten'!$E61,""))</f>
        <v/>
      </c>
      <c r="C2718" s="172">
        <f>IFERROR(SMALL($B$2663:$B$2762,ROW()-2662),"")</f>
        <v/>
      </c>
    </row>
    <row r="2719">
      <c r="B2719" s="172">
        <f>IF(OR('Stammdaten'!$B62="",'Stammdaten'!$E62=""),"",IF(COUNTIF('Stammdaten'!$E$6:$E62,'Stammdaten'!$E62)=1,'Stammdaten'!$E62,""))</f>
        <v/>
      </c>
      <c r="C2719" s="172">
        <f>IFERROR(SMALL($B$2663:$B$2762,ROW()-2662),"")</f>
        <v/>
      </c>
    </row>
    <row r="2720">
      <c r="B2720" s="172">
        <f>IF(OR('Stammdaten'!$B63="",'Stammdaten'!$E63=""),"",IF(COUNTIF('Stammdaten'!$E$6:$E63,'Stammdaten'!$E63)=1,'Stammdaten'!$E63,""))</f>
        <v/>
      </c>
      <c r="C2720" s="172">
        <f>IFERROR(SMALL($B$2663:$B$2762,ROW()-2662),"")</f>
        <v/>
      </c>
    </row>
    <row r="2721">
      <c r="B2721" s="172">
        <f>IF(OR('Stammdaten'!$B64="",'Stammdaten'!$E64=""),"",IF(COUNTIF('Stammdaten'!$E$6:$E64,'Stammdaten'!$E64)=1,'Stammdaten'!$E64,""))</f>
        <v/>
      </c>
      <c r="C2721" s="172">
        <f>IFERROR(SMALL($B$2663:$B$2762,ROW()-2662),"")</f>
        <v/>
      </c>
    </row>
    <row r="2722">
      <c r="B2722" s="172">
        <f>IF(OR('Stammdaten'!$B65="",'Stammdaten'!$E65=""),"",IF(COUNTIF('Stammdaten'!$E$6:$E65,'Stammdaten'!$E65)=1,'Stammdaten'!$E65,""))</f>
        <v/>
      </c>
      <c r="C2722" s="172">
        <f>IFERROR(SMALL($B$2663:$B$2762,ROW()-2662),"")</f>
        <v/>
      </c>
    </row>
    <row r="2723">
      <c r="B2723" s="172">
        <f>IF(OR('Stammdaten'!$B66="",'Stammdaten'!$E66=""),"",IF(COUNTIF('Stammdaten'!$E$6:$E66,'Stammdaten'!$E66)=1,'Stammdaten'!$E66,""))</f>
        <v/>
      </c>
      <c r="C2723" s="172">
        <f>IFERROR(SMALL($B$2663:$B$2762,ROW()-2662),"")</f>
        <v/>
      </c>
    </row>
    <row r="2724">
      <c r="B2724" s="172">
        <f>IF(OR('Stammdaten'!$B67="",'Stammdaten'!$E67=""),"",IF(COUNTIF('Stammdaten'!$E$6:$E67,'Stammdaten'!$E67)=1,'Stammdaten'!$E67,""))</f>
        <v/>
      </c>
      <c r="C2724" s="172">
        <f>IFERROR(SMALL($B$2663:$B$2762,ROW()-2662),"")</f>
        <v/>
      </c>
    </row>
    <row r="2725">
      <c r="B2725" s="172">
        <f>IF(OR('Stammdaten'!$B68="",'Stammdaten'!$E68=""),"",IF(COUNTIF('Stammdaten'!$E$6:$E68,'Stammdaten'!$E68)=1,'Stammdaten'!$E68,""))</f>
        <v/>
      </c>
      <c r="C2725" s="172">
        <f>IFERROR(SMALL($B$2663:$B$2762,ROW()-2662),"")</f>
        <v/>
      </c>
    </row>
    <row r="2726">
      <c r="B2726" s="172">
        <f>IF(OR('Stammdaten'!$B69="",'Stammdaten'!$E69=""),"",IF(COUNTIF('Stammdaten'!$E$6:$E69,'Stammdaten'!$E69)=1,'Stammdaten'!$E69,""))</f>
        <v/>
      </c>
      <c r="C2726" s="172">
        <f>IFERROR(SMALL($B$2663:$B$2762,ROW()-2662),"")</f>
        <v/>
      </c>
    </row>
    <row r="2727">
      <c r="B2727" s="172">
        <f>IF(OR('Stammdaten'!$B70="",'Stammdaten'!$E70=""),"",IF(COUNTIF('Stammdaten'!$E$6:$E70,'Stammdaten'!$E70)=1,'Stammdaten'!$E70,""))</f>
        <v/>
      </c>
      <c r="C2727" s="172">
        <f>IFERROR(SMALL($B$2663:$B$2762,ROW()-2662),"")</f>
        <v/>
      </c>
    </row>
    <row r="2728">
      <c r="B2728" s="172">
        <f>IF(OR('Stammdaten'!$B71="",'Stammdaten'!$E71=""),"",IF(COUNTIF('Stammdaten'!$E$6:$E71,'Stammdaten'!$E71)=1,'Stammdaten'!$E71,""))</f>
        <v/>
      </c>
      <c r="C2728" s="172">
        <f>IFERROR(SMALL($B$2663:$B$2762,ROW()-2662),"")</f>
        <v/>
      </c>
    </row>
    <row r="2729">
      <c r="B2729" s="172">
        <f>IF(OR('Stammdaten'!$B72="",'Stammdaten'!$E72=""),"",IF(COUNTIF('Stammdaten'!$E$6:$E72,'Stammdaten'!$E72)=1,'Stammdaten'!$E72,""))</f>
        <v/>
      </c>
      <c r="C2729" s="172">
        <f>IFERROR(SMALL($B$2663:$B$2762,ROW()-2662),"")</f>
        <v/>
      </c>
    </row>
    <row r="2730">
      <c r="B2730" s="172">
        <f>IF(OR('Stammdaten'!$B73="",'Stammdaten'!$E73=""),"",IF(COUNTIF('Stammdaten'!$E$6:$E73,'Stammdaten'!$E73)=1,'Stammdaten'!$E73,""))</f>
        <v/>
      </c>
      <c r="C2730" s="172">
        <f>IFERROR(SMALL($B$2663:$B$2762,ROW()-2662),"")</f>
        <v/>
      </c>
    </row>
    <row r="2731">
      <c r="B2731" s="172">
        <f>IF(OR('Stammdaten'!$B74="",'Stammdaten'!$E74=""),"",IF(COUNTIF('Stammdaten'!$E$6:$E74,'Stammdaten'!$E74)=1,'Stammdaten'!$E74,""))</f>
        <v/>
      </c>
      <c r="C2731" s="172">
        <f>IFERROR(SMALL($B$2663:$B$2762,ROW()-2662),"")</f>
        <v/>
      </c>
    </row>
    <row r="2732">
      <c r="B2732" s="172">
        <f>IF(OR('Stammdaten'!$B75="",'Stammdaten'!$E75=""),"",IF(COUNTIF('Stammdaten'!$E$6:$E75,'Stammdaten'!$E75)=1,'Stammdaten'!$E75,""))</f>
        <v/>
      </c>
      <c r="C2732" s="172">
        <f>IFERROR(SMALL($B$2663:$B$2762,ROW()-2662),"")</f>
        <v/>
      </c>
    </row>
    <row r="2733">
      <c r="B2733" s="172">
        <f>IF(OR('Stammdaten'!$B76="",'Stammdaten'!$E76=""),"",IF(COUNTIF('Stammdaten'!$E$6:$E76,'Stammdaten'!$E76)=1,'Stammdaten'!$E76,""))</f>
        <v/>
      </c>
      <c r="C2733" s="172">
        <f>IFERROR(SMALL($B$2663:$B$2762,ROW()-2662),"")</f>
        <v/>
      </c>
    </row>
    <row r="2734">
      <c r="B2734" s="172">
        <f>IF(OR('Stammdaten'!$B77="",'Stammdaten'!$E77=""),"",IF(COUNTIF('Stammdaten'!$E$6:$E77,'Stammdaten'!$E77)=1,'Stammdaten'!$E77,""))</f>
        <v/>
      </c>
      <c r="C2734" s="172">
        <f>IFERROR(SMALL($B$2663:$B$2762,ROW()-2662),"")</f>
        <v/>
      </c>
    </row>
    <row r="2735">
      <c r="B2735" s="172">
        <f>IF(OR('Stammdaten'!$B78="",'Stammdaten'!$E78=""),"",IF(COUNTIF('Stammdaten'!$E$6:$E78,'Stammdaten'!$E78)=1,'Stammdaten'!$E78,""))</f>
        <v/>
      </c>
      <c r="C2735" s="172">
        <f>IFERROR(SMALL($B$2663:$B$2762,ROW()-2662),"")</f>
        <v/>
      </c>
    </row>
    <row r="2736">
      <c r="B2736" s="172">
        <f>IF(OR('Stammdaten'!$B79="",'Stammdaten'!$E79=""),"",IF(COUNTIF('Stammdaten'!$E$6:$E79,'Stammdaten'!$E79)=1,'Stammdaten'!$E79,""))</f>
        <v/>
      </c>
      <c r="C2736" s="172">
        <f>IFERROR(SMALL($B$2663:$B$2762,ROW()-2662),"")</f>
        <v/>
      </c>
    </row>
    <row r="2737">
      <c r="B2737" s="172">
        <f>IF(OR('Stammdaten'!$B80="",'Stammdaten'!$E80=""),"",IF(COUNTIF('Stammdaten'!$E$6:$E80,'Stammdaten'!$E80)=1,'Stammdaten'!$E80,""))</f>
        <v/>
      </c>
      <c r="C2737" s="172">
        <f>IFERROR(SMALL($B$2663:$B$2762,ROW()-2662),"")</f>
        <v/>
      </c>
    </row>
    <row r="2738">
      <c r="B2738" s="172">
        <f>IF(OR('Stammdaten'!$B81="",'Stammdaten'!$E81=""),"",IF(COUNTIF('Stammdaten'!$E$6:$E81,'Stammdaten'!$E81)=1,'Stammdaten'!$E81,""))</f>
        <v/>
      </c>
      <c r="C2738" s="172">
        <f>IFERROR(SMALL($B$2663:$B$2762,ROW()-2662),"")</f>
        <v/>
      </c>
    </row>
    <row r="2739">
      <c r="B2739" s="172">
        <f>IF(OR('Stammdaten'!$B82="",'Stammdaten'!$E82=""),"",IF(COUNTIF('Stammdaten'!$E$6:$E82,'Stammdaten'!$E82)=1,'Stammdaten'!$E82,""))</f>
        <v/>
      </c>
      <c r="C2739" s="172">
        <f>IFERROR(SMALL($B$2663:$B$2762,ROW()-2662),"")</f>
        <v/>
      </c>
    </row>
    <row r="2740">
      <c r="B2740" s="172">
        <f>IF(OR('Stammdaten'!$B83="",'Stammdaten'!$E83=""),"",IF(COUNTIF('Stammdaten'!$E$6:$E83,'Stammdaten'!$E83)=1,'Stammdaten'!$E83,""))</f>
        <v/>
      </c>
      <c r="C2740" s="172">
        <f>IFERROR(SMALL($B$2663:$B$2762,ROW()-2662),"")</f>
        <v/>
      </c>
    </row>
    <row r="2741">
      <c r="B2741" s="172">
        <f>IF(OR('Stammdaten'!$B84="",'Stammdaten'!$E84=""),"",IF(COUNTIF('Stammdaten'!$E$6:$E84,'Stammdaten'!$E84)=1,'Stammdaten'!$E84,""))</f>
        <v/>
      </c>
      <c r="C2741" s="172">
        <f>IFERROR(SMALL($B$2663:$B$2762,ROW()-2662),"")</f>
        <v/>
      </c>
    </row>
    <row r="2742">
      <c r="B2742" s="172">
        <f>IF(OR('Stammdaten'!$B85="",'Stammdaten'!$E85=""),"",IF(COUNTIF('Stammdaten'!$E$6:$E85,'Stammdaten'!$E85)=1,'Stammdaten'!$E85,""))</f>
        <v/>
      </c>
      <c r="C2742" s="172">
        <f>IFERROR(SMALL($B$2663:$B$2762,ROW()-2662),"")</f>
        <v/>
      </c>
    </row>
    <row r="2743">
      <c r="B2743" s="172">
        <f>IF(OR('Stammdaten'!$B86="",'Stammdaten'!$E86=""),"",IF(COUNTIF('Stammdaten'!$E$6:$E86,'Stammdaten'!$E86)=1,'Stammdaten'!$E86,""))</f>
        <v/>
      </c>
      <c r="C2743" s="172">
        <f>IFERROR(SMALL($B$2663:$B$2762,ROW()-2662),"")</f>
        <v/>
      </c>
    </row>
    <row r="2744">
      <c r="B2744" s="172">
        <f>IF(OR('Stammdaten'!$B87="",'Stammdaten'!$E87=""),"",IF(COUNTIF('Stammdaten'!$E$6:$E87,'Stammdaten'!$E87)=1,'Stammdaten'!$E87,""))</f>
        <v/>
      </c>
      <c r="C2744" s="172">
        <f>IFERROR(SMALL($B$2663:$B$2762,ROW()-2662),"")</f>
        <v/>
      </c>
    </row>
    <row r="2745">
      <c r="B2745" s="172">
        <f>IF(OR('Stammdaten'!$B88="",'Stammdaten'!$E88=""),"",IF(COUNTIF('Stammdaten'!$E$6:$E88,'Stammdaten'!$E88)=1,'Stammdaten'!$E88,""))</f>
        <v/>
      </c>
      <c r="C2745" s="172">
        <f>IFERROR(SMALL($B$2663:$B$2762,ROW()-2662),"")</f>
        <v/>
      </c>
    </row>
    <row r="2746">
      <c r="B2746" s="172">
        <f>IF(OR('Stammdaten'!$B89="",'Stammdaten'!$E89=""),"",IF(COUNTIF('Stammdaten'!$E$6:$E89,'Stammdaten'!$E89)=1,'Stammdaten'!$E89,""))</f>
        <v/>
      </c>
      <c r="C2746" s="172">
        <f>IFERROR(SMALL($B$2663:$B$2762,ROW()-2662),"")</f>
        <v/>
      </c>
    </row>
    <row r="2747">
      <c r="B2747" s="172">
        <f>IF(OR('Stammdaten'!$B90="",'Stammdaten'!$E90=""),"",IF(COUNTIF('Stammdaten'!$E$6:$E90,'Stammdaten'!$E90)=1,'Stammdaten'!$E90,""))</f>
        <v/>
      </c>
      <c r="C2747" s="172">
        <f>IFERROR(SMALL($B$2663:$B$2762,ROW()-2662),"")</f>
        <v/>
      </c>
    </row>
    <row r="2748">
      <c r="B2748" s="172">
        <f>IF(OR('Stammdaten'!$B91="",'Stammdaten'!$E91=""),"",IF(COUNTIF('Stammdaten'!$E$6:$E91,'Stammdaten'!$E91)=1,'Stammdaten'!$E91,""))</f>
        <v/>
      </c>
      <c r="C2748" s="172">
        <f>IFERROR(SMALL($B$2663:$B$2762,ROW()-2662),"")</f>
        <v/>
      </c>
    </row>
    <row r="2749">
      <c r="B2749" s="172">
        <f>IF(OR('Stammdaten'!$B92="",'Stammdaten'!$E92=""),"",IF(COUNTIF('Stammdaten'!$E$6:$E92,'Stammdaten'!$E92)=1,'Stammdaten'!$E92,""))</f>
        <v/>
      </c>
      <c r="C2749" s="172">
        <f>IFERROR(SMALL($B$2663:$B$2762,ROW()-2662),"")</f>
        <v/>
      </c>
    </row>
    <row r="2750">
      <c r="B2750" s="172">
        <f>IF(OR('Stammdaten'!$B93="",'Stammdaten'!$E93=""),"",IF(COUNTIF('Stammdaten'!$E$6:$E93,'Stammdaten'!$E93)=1,'Stammdaten'!$E93,""))</f>
        <v/>
      </c>
      <c r="C2750" s="172">
        <f>IFERROR(SMALL($B$2663:$B$2762,ROW()-2662),"")</f>
        <v/>
      </c>
    </row>
    <row r="2751">
      <c r="B2751" s="172">
        <f>IF(OR('Stammdaten'!$B94="",'Stammdaten'!$E94=""),"",IF(COUNTIF('Stammdaten'!$E$6:$E94,'Stammdaten'!$E94)=1,'Stammdaten'!$E94,""))</f>
        <v/>
      </c>
      <c r="C2751" s="172">
        <f>IFERROR(SMALL($B$2663:$B$2762,ROW()-2662),"")</f>
        <v/>
      </c>
    </row>
    <row r="2752">
      <c r="B2752" s="172">
        <f>IF(OR('Stammdaten'!$B95="",'Stammdaten'!$E95=""),"",IF(COUNTIF('Stammdaten'!$E$6:$E95,'Stammdaten'!$E95)=1,'Stammdaten'!$E95,""))</f>
        <v/>
      </c>
      <c r="C2752" s="172">
        <f>IFERROR(SMALL($B$2663:$B$2762,ROW()-2662),"")</f>
        <v/>
      </c>
    </row>
    <row r="2753">
      <c r="B2753" s="172">
        <f>IF(OR('Stammdaten'!$B96="",'Stammdaten'!$E96=""),"",IF(COUNTIF('Stammdaten'!$E$6:$E96,'Stammdaten'!$E96)=1,'Stammdaten'!$E96,""))</f>
        <v/>
      </c>
      <c r="C2753" s="172">
        <f>IFERROR(SMALL($B$2663:$B$2762,ROW()-2662),"")</f>
        <v/>
      </c>
    </row>
    <row r="2754">
      <c r="B2754" s="172">
        <f>IF(OR('Stammdaten'!$B97="",'Stammdaten'!$E97=""),"",IF(COUNTIF('Stammdaten'!$E$6:$E97,'Stammdaten'!$E97)=1,'Stammdaten'!$E97,""))</f>
        <v/>
      </c>
      <c r="C2754" s="172">
        <f>IFERROR(SMALL($B$2663:$B$2762,ROW()-2662),"")</f>
        <v/>
      </c>
    </row>
    <row r="2755">
      <c r="B2755" s="172">
        <f>IF(OR('Stammdaten'!$B98="",'Stammdaten'!$E98=""),"",IF(COUNTIF('Stammdaten'!$E$6:$E98,'Stammdaten'!$E98)=1,'Stammdaten'!$E98,""))</f>
        <v/>
      </c>
      <c r="C2755" s="172">
        <f>IFERROR(SMALL($B$2663:$B$2762,ROW()-2662),"")</f>
        <v/>
      </c>
    </row>
    <row r="2756">
      <c r="B2756" s="172">
        <f>IF(OR('Stammdaten'!$B99="",'Stammdaten'!$E99=""),"",IF(COUNTIF('Stammdaten'!$E$6:$E99,'Stammdaten'!$E99)=1,'Stammdaten'!$E99,""))</f>
        <v/>
      </c>
      <c r="C2756" s="172">
        <f>IFERROR(SMALL($B$2663:$B$2762,ROW()-2662),"")</f>
        <v/>
      </c>
    </row>
    <row r="2757">
      <c r="B2757" s="172">
        <f>IF(OR('Stammdaten'!$B100="",'Stammdaten'!$E100=""),"",IF(COUNTIF('Stammdaten'!$E$6:$E100,'Stammdaten'!$E100)=1,'Stammdaten'!$E100,""))</f>
        <v/>
      </c>
      <c r="C2757" s="172">
        <f>IFERROR(SMALL($B$2663:$B$2762,ROW()-2662),"")</f>
        <v/>
      </c>
    </row>
    <row r="2758">
      <c r="B2758" s="172">
        <f>IF(OR('Stammdaten'!$B101="",'Stammdaten'!$E101=""),"",IF(COUNTIF('Stammdaten'!$E$6:$E101,'Stammdaten'!$E101)=1,'Stammdaten'!$E101,""))</f>
        <v/>
      </c>
      <c r="C2758" s="172">
        <f>IFERROR(SMALL($B$2663:$B$2762,ROW()-2662),"")</f>
        <v/>
      </c>
    </row>
    <row r="2759">
      <c r="B2759" s="172">
        <f>IF(OR('Stammdaten'!$B102="",'Stammdaten'!$E102=""),"",IF(COUNTIF('Stammdaten'!$E$6:$E102,'Stammdaten'!$E102)=1,'Stammdaten'!$E102,""))</f>
        <v/>
      </c>
      <c r="C2759" s="172">
        <f>IFERROR(SMALL($B$2663:$B$2762,ROW()-2662),"")</f>
        <v/>
      </c>
    </row>
    <row r="2760">
      <c r="B2760" s="172">
        <f>IF(OR('Stammdaten'!$B103="",'Stammdaten'!$E103=""),"",IF(COUNTIF('Stammdaten'!$E$6:$E103,'Stammdaten'!$E103)=1,'Stammdaten'!$E103,""))</f>
        <v/>
      </c>
      <c r="C2760" s="172">
        <f>IFERROR(SMALL($B$2663:$B$2762,ROW()-2662),"")</f>
        <v/>
      </c>
    </row>
    <row r="2761">
      <c r="B2761" s="172">
        <f>IF(OR('Stammdaten'!$B104="",'Stammdaten'!$E104=""),"",IF(COUNTIF('Stammdaten'!$E$6:$E104,'Stammdaten'!$E104)=1,'Stammdaten'!$E104,""))</f>
        <v/>
      </c>
      <c r="C2761" s="172">
        <f>IFERROR(SMALL($B$2663:$B$2762,ROW()-2662),"")</f>
        <v/>
      </c>
    </row>
    <row r="2762">
      <c r="B2762" s="172">
        <f>IF(OR('Stammdaten'!$B105="",'Stammdaten'!$E105=""),"",IF(COUNTIF('Stammdaten'!$E$6:$E105,'Stammdaten'!$E105)=1,'Stammdaten'!$E105,""))</f>
        <v/>
      </c>
      <c r="C2762" s="172">
        <f>IFERROR(SMALL($B$2663:$B$2762,ROW()-2662),"")</f>
        <v/>
      </c>
    </row>
    <row r="2768">
      <c r="A2768" s="171" t="inlineStr">
        <is>
          <t>Auswahlliste Berufe</t>
        </is>
      </c>
    </row>
    <row r="2769">
      <c r="C2769" s="62" t="inlineStr">
        <is>
          <t>(alle)</t>
        </is>
      </c>
    </row>
    <row r="2770">
      <c r="C2770" s="63">
        <f>IF(INDEX(Berufe,1)="","",INDEX(Berufe,1))</f>
        <v/>
      </c>
    </row>
    <row r="2771">
      <c r="C2771" s="63">
        <f>IF(INDEX(Berufe,2)="","",INDEX(Berufe,2))</f>
        <v/>
      </c>
    </row>
    <row r="2772">
      <c r="C2772" s="63">
        <f>IF(INDEX(Berufe,3)="","",INDEX(Berufe,3))</f>
        <v/>
      </c>
    </row>
    <row r="2773">
      <c r="C2773" s="63">
        <f>IF(INDEX(Berufe,4)="","",INDEX(Berufe,4))</f>
        <v/>
      </c>
    </row>
    <row r="2774">
      <c r="C2774" s="63">
        <f>IF(INDEX(Berufe,5)="","",INDEX(Berufe,5))</f>
        <v/>
      </c>
    </row>
    <row r="2775">
      <c r="C2775" s="63">
        <f>IF(INDEX(Berufe,6)="","",INDEX(Berufe,6))</f>
        <v/>
      </c>
    </row>
    <row r="2776">
      <c r="C2776" s="63">
        <f>IF(INDEX(Berufe,7)="","",INDEX(Berufe,7))</f>
        <v/>
      </c>
    </row>
    <row r="2777">
      <c r="C2777" s="63">
        <f>IF(INDEX(Berufe,8)="","",INDEX(Berufe,8))</f>
        <v/>
      </c>
    </row>
    <row r="2778">
      <c r="C2778" s="63">
        <f>IF(INDEX(Berufe,9)="","",INDEX(Berufe,9))</f>
        <v/>
      </c>
    </row>
    <row r="2779">
      <c r="C2779" s="63">
        <f>IF(INDEX(Berufe,10)="","",INDEX(Berufe,10))</f>
        <v/>
      </c>
    </row>
  </sheetData>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Ausbildung</dc:creator>
  <dc:title xmlns:dc="http://purl.org/dc/elements/1.1/">Azubi-Leistungen</dc:title>
  <dc:description xmlns:dc="http://purl.org/dc/elements/1.1/">Erfassung und Auswertung der Leistungen von Auszubildenden</dc:description>
  <dcterms:created xmlns:dcterms="http://purl.org/dc/terms/" xmlns:xsi="http://www.w3.org/2001/XMLSchema-instance" xsi:type="dcterms:W3CDTF">2026-10-26T13:46:35Z</dcterms:created>
  <dcterms:modified xmlns:dcterms="http://purl.org/dc/terms/" xmlns:xsi="http://www.w3.org/2001/XMLSchema-instance" xsi:type="dcterms:W3CDTF">2026-10-26T13:46:47Z</dcterms:modified>
</cp:coreProperties>
</file>