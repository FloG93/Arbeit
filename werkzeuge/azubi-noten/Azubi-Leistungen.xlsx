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Azubi-Ansicht" sheetId="2" state="visible" r:id="rId2"/>
    <sheet xmlns:r="http://schemas.openxmlformats.org/officeDocument/2006/relationships" name="Gesprächsseite" sheetId="3" state="visible" r:id="rId3"/>
    <sheet xmlns:r="http://schemas.openxmlformats.org/officeDocument/2006/relationships" name="Halbjahr" sheetId="4" state="visible" r:id="rId4"/>
    <sheet xmlns:r="http://schemas.openxmlformats.org/officeDocument/2006/relationships" name="Übungen" sheetId="5" state="visible" r:id="rId5"/>
    <sheet xmlns:r="http://schemas.openxmlformats.org/officeDocument/2006/relationships" name="Stammdaten" sheetId="6" state="visible" r:id="rId6"/>
    <sheet xmlns:r="http://schemas.openxmlformats.org/officeDocument/2006/relationships" name="Einstellungen" sheetId="7" state="visible" r:id="rId7"/>
    <sheet xmlns:r="http://schemas.openxmlformats.org/officeDocument/2006/relationships" name="Anleitung" sheetId="8" state="visible" r:id="rId8"/>
    <sheet xmlns:r="http://schemas.openxmlformats.org/officeDocument/2006/relationships" name="Übung 01" sheetId="9" state="visible" r:id="rId9"/>
    <sheet xmlns:r="http://schemas.openxmlformats.org/officeDocument/2006/relationships" name="Übung 02" sheetId="10" state="visible" r:id="rId10"/>
    <sheet xmlns:r="http://schemas.openxmlformats.org/officeDocument/2006/relationships" name="Übung 03" sheetId="11" state="visible" r:id="rId11"/>
    <sheet xmlns:r="http://schemas.openxmlformats.org/officeDocument/2006/relationships" name="Übung 04" sheetId="12" state="visible" r:id="rId12"/>
    <sheet xmlns:r="http://schemas.openxmlformats.org/officeDocument/2006/relationships" name="Übung 05" sheetId="13" state="visible" r:id="rId13"/>
    <sheet xmlns:r="http://schemas.openxmlformats.org/officeDocument/2006/relationships" name="Übung 06" sheetId="14" state="visible" r:id="rId14"/>
    <sheet xmlns:r="http://schemas.openxmlformats.org/officeDocument/2006/relationships" name="Übung 07" sheetId="15" state="visible" r:id="rId15"/>
    <sheet xmlns:r="http://schemas.openxmlformats.org/officeDocument/2006/relationships" name="Übung 08" sheetId="16" state="visible" r:id="rId16"/>
    <sheet xmlns:r="http://schemas.openxmlformats.org/officeDocument/2006/relationships" name="Übung 09" sheetId="17" state="visible" r:id="rId17"/>
    <sheet xmlns:r="http://schemas.openxmlformats.org/officeDocument/2006/relationships" name="Übung 10" sheetId="18" state="visible" r:id="rId18"/>
    <sheet xmlns:r="http://schemas.openxmlformats.org/officeDocument/2006/relationships" name="Übung 11" sheetId="19" state="visible" r:id="rId19"/>
    <sheet xmlns:r="http://schemas.openxmlformats.org/officeDocument/2006/relationships" name="Übung 12" sheetId="20" state="visible" r:id="rId20"/>
    <sheet xmlns:r="http://schemas.openxmlformats.org/officeDocument/2006/relationships" name="Übung 13" sheetId="21" state="visible" r:id="rId21"/>
    <sheet xmlns:r="http://schemas.openxmlformats.org/officeDocument/2006/relationships" name="Übung 14" sheetId="22" state="visible" r:id="rId22"/>
    <sheet xmlns:r="http://schemas.openxmlformats.org/officeDocument/2006/relationships" name="Übung 15" sheetId="23" state="visible" r:id="rId23"/>
    <sheet xmlns:r="http://schemas.openxmlformats.org/officeDocument/2006/relationships" name="Übung 16" sheetId="24" state="visible" r:id="rId24"/>
    <sheet xmlns:r="http://schemas.openxmlformats.org/officeDocument/2006/relationships" name="Übung 17" sheetId="25" state="visible" r:id="rId25"/>
    <sheet xmlns:r="http://schemas.openxmlformats.org/officeDocument/2006/relationships" name="Übung 18" sheetId="26" state="visible" r:id="rId26"/>
    <sheet xmlns:r="http://schemas.openxmlformats.org/officeDocument/2006/relationships" name="Übung 19" sheetId="27" state="visible" r:id="rId27"/>
    <sheet xmlns:r="http://schemas.openxmlformats.org/officeDocument/2006/relationships" name="Übung 20" sheetId="28" state="visible" r:id="rId28"/>
    <sheet xmlns:r="http://schemas.openxmlformats.org/officeDocument/2006/relationships" name="Vorlage" sheetId="29" state="visible" r:id="rId29"/>
    <sheet xmlns:r="http://schemas.openxmlformats.org/officeDocument/2006/relationships" name="Daten" sheetId="30" state="hidden" r:id="rId30"/>
  </sheets>
  <definedNames>
    <definedName name="Noten">Einstellungen!$B$7:$B$12</definedName>
    <definedName name="NGrenze">Einstellungen!$C$7:$C$12</definedName>
    <definedName name="NText">Einstellungen!$D$7:$D$12</definedName>
    <definedName name="PktStd">Einstellungen!$C$16</definedName>
    <definedName name="SchwelleDB">Einstellungen!$C$17</definedName>
    <definedName name="GewAn">Einstellungen!$C$18</definedName>
    <definedName name="GewP">Einstellungen!$C$19</definedName>
    <definedName name="GewT">Einstellungen!$C$20</definedName>
    <definedName name="WdhStd">Einstellungen!$C$21</definedName>
    <definedName name="WarnNote">Einstellungen!$C$22</definedName>
    <definedName name="Berufe">Einstellungen!$B$25:$B$34</definedName>
    <definedName name="AzubiAuswahl">OFFSET(Daten!$D$660,0,0,MAX(1,Daten!$B$623),1)</definedName>
    <definedName name="AzubiAktiv">OFFSET(Daten!$D$820,0,0,MAX(1,Daten!$B$819),1)</definedName>
    <definedName name="JahrAuswahl">OFFSET(Daten!$C$690,0,0,1+COUNT(Daten!$B$691:$B$715),1)</definedName>
    <definedName name="BerufAuswahl">OFFSET(Daten!$C$720,0,0,1+COUNTIF(Berufe,"?*"),1)</definedName>
    <definedName name="HJAuswahl">Daten!$C$439:$J$439</definedName>
    <definedName name="_xlnm.Print_Area" localSheetId="0">'Start'!$A$1:$N$35</definedName>
    <definedName name="_xlnm.Print_Area" localSheetId="1">'Azubi-Ansicht'!$A$1:$M$75</definedName>
    <definedName name="_xlnm.Print_Area" localSheetId="2">'Gesprächsseite'!$A$3:$H$50</definedName>
    <definedName name="_xlnm.Print_Titles" localSheetId="3">'Halbjahr'!$1:$6</definedName>
    <definedName name="_xlnm.Print_Area" localSheetId="3">'Halbjahr'!$A$1:$P$36</definedName>
    <definedName name="_xlnm.Print_Titles" localSheetId="4">'Übungen'!$1:$5</definedName>
    <definedName name="_xlnm.Print_Area" localSheetId="4">'Übungen'!$A$1:$O$29</definedName>
    <definedName name="_xlnm.Print_Titles" localSheetId="5">'Stammdaten'!$1:$5</definedName>
    <definedName name="_xlnm.Print_Area" localSheetId="5">'Stammdaten'!$A$1:$K$33</definedName>
    <definedName name="_xlnm.Print_Area" localSheetId="6">'Einstellungen'!$A$1:$F$38</definedName>
    <definedName name="_xlnm.Print_Area" localSheetId="7">'Anleitung'!$A$3:$D$59</definedName>
    <definedName name="_xlnm.Print_Titles" localSheetId="8">'Übung 01'!$1:$10,'Übung 01'!$A:$D</definedName>
    <definedName name="_xlnm.Print_Area" localSheetId="8">'Übung 01'!$A$1:$AC$49</definedName>
    <definedName name="_xlnm.Print_Titles" localSheetId="9">'Übung 02'!$1:$10,'Übung 02'!$A:$D</definedName>
    <definedName name="_xlnm.Print_Area" localSheetId="9">'Übung 02'!$A$1:$AC$49</definedName>
    <definedName name="_xlnm.Print_Titles" localSheetId="10">'Übung 03'!$1:$10,'Übung 03'!$A:$D</definedName>
    <definedName name="_xlnm.Print_Area" localSheetId="10">'Übung 03'!$A$1:$AC$49</definedName>
    <definedName name="_xlnm.Print_Titles" localSheetId="11">'Übung 04'!$1:$10,'Übung 04'!$A:$D</definedName>
    <definedName name="_xlnm.Print_Area" localSheetId="11">'Übung 04'!$A$1:$AC$49</definedName>
    <definedName name="_xlnm.Print_Titles" localSheetId="12">'Übung 05'!$1:$10,'Übung 05'!$A:$D</definedName>
    <definedName name="_xlnm.Print_Area" localSheetId="12">'Übung 05'!$A$1:$AC$49</definedName>
    <definedName name="_xlnm.Print_Titles" localSheetId="13">'Übung 06'!$1:$10,'Übung 06'!$A:$D</definedName>
    <definedName name="_xlnm.Print_Area" localSheetId="13">'Übung 06'!$A$1:$AC$49</definedName>
    <definedName name="_xlnm.Print_Titles" localSheetId="14">'Übung 07'!$1:$10,'Übung 07'!$A:$D</definedName>
    <definedName name="_xlnm.Print_Area" localSheetId="14">'Übung 07'!$A$1:$AC$49</definedName>
    <definedName name="_xlnm.Print_Titles" localSheetId="15">'Übung 08'!$1:$10,'Übung 08'!$A:$D</definedName>
    <definedName name="_xlnm.Print_Area" localSheetId="15">'Übung 08'!$A$1:$AC$49</definedName>
    <definedName name="_xlnm.Print_Titles" localSheetId="16">'Übung 09'!$1:$10,'Übung 09'!$A:$D</definedName>
    <definedName name="_xlnm.Print_Area" localSheetId="16">'Übung 09'!$A$1:$AC$49</definedName>
    <definedName name="_xlnm.Print_Titles" localSheetId="17">'Übung 10'!$1:$10,'Übung 10'!$A:$D</definedName>
    <definedName name="_xlnm.Print_Area" localSheetId="17">'Übung 10'!$A$1:$AC$49</definedName>
    <definedName name="_xlnm.Print_Titles" localSheetId="18">'Übung 11'!$1:$10,'Übung 11'!$A:$D</definedName>
    <definedName name="_xlnm.Print_Area" localSheetId="18">'Übung 11'!$A$1:$AC$49</definedName>
    <definedName name="_xlnm.Print_Titles" localSheetId="19">'Übung 12'!$1:$10,'Übung 12'!$A:$D</definedName>
    <definedName name="_xlnm.Print_Area" localSheetId="19">'Übung 12'!$A$1:$AC$49</definedName>
    <definedName name="_xlnm.Print_Titles" localSheetId="20">'Übung 13'!$1:$10,'Übung 13'!$A:$D</definedName>
    <definedName name="_xlnm.Print_Area" localSheetId="20">'Übung 13'!$A$1:$AC$49</definedName>
    <definedName name="_xlnm.Print_Titles" localSheetId="21">'Übung 14'!$1:$10,'Übung 14'!$A:$D</definedName>
    <definedName name="_xlnm.Print_Area" localSheetId="21">'Übung 14'!$A$1:$AC$49</definedName>
    <definedName name="_xlnm.Print_Titles" localSheetId="22">'Übung 15'!$1:$10,'Übung 15'!$A:$D</definedName>
    <definedName name="_xlnm.Print_Area" localSheetId="22">'Übung 15'!$A$1:$AC$49</definedName>
    <definedName name="_xlnm.Print_Titles" localSheetId="23">'Übung 16'!$1:$10,'Übung 16'!$A:$D</definedName>
    <definedName name="_xlnm.Print_Area" localSheetId="23">'Übung 16'!$A$1:$AC$49</definedName>
    <definedName name="_xlnm.Print_Titles" localSheetId="24">'Übung 17'!$1:$10,'Übung 17'!$A:$D</definedName>
    <definedName name="_xlnm.Print_Area" localSheetId="24">'Übung 17'!$A$1:$AC$49</definedName>
    <definedName name="_xlnm.Print_Titles" localSheetId="25">'Übung 18'!$1:$10,'Übung 18'!$A:$D</definedName>
    <definedName name="_xlnm.Print_Area" localSheetId="25">'Übung 18'!$A$1:$AC$49</definedName>
    <definedName name="_xlnm.Print_Titles" localSheetId="26">'Übung 19'!$1:$10,'Übung 19'!$A:$D</definedName>
    <definedName name="_xlnm.Print_Area" localSheetId="26">'Übung 19'!$A$1:$AC$49</definedName>
    <definedName name="_xlnm.Print_Titles" localSheetId="27">'Übung 20'!$1:$10,'Übung 20'!$A:$D</definedName>
    <definedName name="_xlnm.Print_Area" localSheetId="27">'Übung 20'!$A$1:$AC$49</definedName>
    <definedName name="_xlnm.Print_Titles" localSheetId="28">'Vorlage'!$1:$10,'Vorlage'!$A:$D</definedName>
    <definedName name="_xlnm.Print_Area" localSheetId="28">'Vorlage'!$A$1:$AC$49</definedName>
  </definedNames>
  <calcPr calcId="124519" fullCalcOnLoad="1"/>
</workbook>
</file>

<file path=xl/styles.xml><?xml version="1.0" encoding="utf-8"?>
<styleSheet xmlns="http://schemas.openxmlformats.org/spreadsheetml/2006/main">
  <numFmts count="6">
    <numFmt numFmtId="164" formatCode="DD.MM.YYYY"/>
    <numFmt numFmtId="165" formatCode="0;0;&quot;–&quot;"/>
    <numFmt numFmtId="166" formatCode="0.##"/>
    <numFmt numFmtId="167" formatCode="0.0%"/>
    <numFmt numFmtId="168" formatCode="0.##;-0.##;&quot;&quot;"/>
    <numFmt numFmtId="169" formatCode="[=1]&quot;1 Fall&quot;;[=0]&quot;in Ordnung&quot;;0&quot; Fälle&quot;"/>
  </numFmts>
  <fonts count="50">
    <font>
      <name val="Calibri"/>
      <family val="2"/>
      <color theme="1"/>
      <sz val="11"/>
      <scheme val="minor"/>
    </font>
    <font>
      <name val="Arial"/>
      <b val="1"/>
      <color rgb="00FFFFFF"/>
      <sz val="20"/>
    </font>
    <font>
      <name val="Arial"/>
      <color rgb="00DCE4EF"/>
      <sz val="10"/>
    </font>
    <font>
      <name val="Arial"/>
      <b val="1"/>
      <color rgb="00FFFFFF"/>
      <sz val="11"/>
      <u val="single"/>
    </font>
    <font>
      <name val="Arial"/>
      <color rgb="006B7684"/>
      <sz val="9.5"/>
    </font>
    <font>
      <name val="Arial"/>
      <b val="1"/>
      <color rgb="0022395C"/>
      <sz val="13"/>
    </font>
    <font>
      <name val="Arial"/>
      <b val="1"/>
      <color rgb="00FFFFFF"/>
      <sz val="10"/>
    </font>
    <font>
      <name val="Arial"/>
      <b val="1"/>
      <color rgb="001C2733"/>
      <sz val="12"/>
    </font>
    <font>
      <name val="Arial"/>
      <color rgb="001C2733"/>
      <sz val="12"/>
    </font>
    <font>
      <name val="Arial"/>
      <color rgb="001C2733"/>
      <sz val="11"/>
    </font>
    <font>
      <name val="Arial"/>
      <color rgb="006B7684"/>
      <sz val="10"/>
    </font>
    <font>
      <name val="Arial"/>
      <b val="1"/>
      <color rgb="001C2733"/>
      <sz val="10"/>
    </font>
    <font>
      <name val="Arial"/>
      <b val="1"/>
      <color rgb="001C2733"/>
      <sz val="11"/>
    </font>
    <font>
      <name val="Arial"/>
      <color rgb="001C2733"/>
      <sz val="10"/>
    </font>
    <font>
      <name val="Arial"/>
      <b val="1"/>
      <color rgb="00FFFFFF"/>
      <sz val="10.5"/>
    </font>
    <font>
      <name val="Arial"/>
      <color rgb="003F5168"/>
      <sz val="11"/>
    </font>
    <font>
      <name val="Arial"/>
      <b val="1"/>
      <color rgb="003F5168"/>
      <sz val="11"/>
    </font>
    <font>
      <name val="Arial"/>
      <b val="1"/>
      <color rgb="000E7C86"/>
      <sz val="10.5"/>
      <u val="single"/>
    </font>
    <font>
      <name val="Arial"/>
      <color rgb="003F5168"/>
      <sz val="10.5"/>
    </font>
    <font>
      <name val="Arial"/>
      <b val="1"/>
      <color rgb="003F5168"/>
      <sz val="10.5"/>
    </font>
    <font>
      <name val="Arial"/>
      <b val="1"/>
      <color rgb="001C2733"/>
      <sz val="10.5"/>
    </font>
    <font>
      <name val="Arial"/>
      <b val="1"/>
      <color rgb="00FFFFFF"/>
      <sz val="16"/>
    </font>
    <font>
      <name val="Arial"/>
      <b val="1"/>
      <color rgb="00FFFFFF"/>
      <sz val="10"/>
      <u val="single"/>
    </font>
    <font>
      <name val="Arial"/>
      <b val="1"/>
      <color rgb="00FFFFFF"/>
      <sz val="9.5"/>
    </font>
    <font>
      <name val="Arial"/>
      <b val="1"/>
      <color rgb="0022395C"/>
      <sz val="10"/>
    </font>
    <font>
      <name val="Arial"/>
      <color rgb="006B7684"/>
      <sz val="9"/>
    </font>
    <font>
      <name val="Arial"/>
      <color rgb="0022395C"/>
      <sz val="10"/>
    </font>
    <font>
      <name val="Arial"/>
      <color rgb="003F5168"/>
      <sz val="10"/>
    </font>
    <font>
      <name val="Arial"/>
      <color rgb="006B7684"/>
      <sz val="8.5"/>
    </font>
    <font>
      <name val="Arial"/>
      <b val="1"/>
      <color rgb="003F5168"/>
      <sz val="10"/>
    </font>
    <font>
      <name val="Arial"/>
      <color rgb="001C2733"/>
      <sz val="9"/>
    </font>
    <font>
      <name val="Arial"/>
      <b val="1"/>
      <color rgb="001C2733"/>
      <sz val="9.5"/>
    </font>
    <font>
      <name val="Arial"/>
      <b val="1"/>
      <color rgb="00FFFFFF"/>
      <sz val="11"/>
    </font>
    <font>
      <name val="Arial"/>
      <b val="1"/>
      <color rgb="001C2733"/>
      <sz val="9"/>
    </font>
    <font>
      <name val="Arial"/>
      <b val="1"/>
      <color rgb="0022395C"/>
      <sz val="9"/>
    </font>
    <font>
      <name val="Arial"/>
      <b val="1"/>
      <color rgb="000E7C86"/>
      <sz val="11"/>
      <u val="single"/>
    </font>
    <font>
      <name val="Arial"/>
      <b val="1"/>
      <color rgb="0022395C"/>
      <sz val="22"/>
    </font>
    <font>
      <name val="Arial"/>
      <b val="1"/>
      <color rgb="00FFFFFF"/>
      <sz val="13"/>
    </font>
    <font>
      <name val="Arial"/>
      <b val="1"/>
      <color rgb="0022395C"/>
      <sz val="11"/>
    </font>
    <font>
      <name val="Arial"/>
      <b val="1"/>
      <color rgb="0022395C"/>
      <sz val="10.5"/>
    </font>
    <font>
      <name val="Arial"/>
      <i val="1"/>
      <color rgb="006B7684"/>
      <sz val="10"/>
    </font>
    <font>
      <name val="Arial"/>
      <b val="1"/>
      <color rgb="001C2733"/>
      <sz val="13"/>
    </font>
    <font>
      <name val="Arial"/>
      <i val="1"/>
      <color rgb="006B7684"/>
      <sz val="9.5"/>
    </font>
    <font>
      <name val="Arial"/>
      <color rgb="00C0392B"/>
      <sz val="10"/>
    </font>
    <font>
      <name val="Arial"/>
      <b val="1"/>
      <color rgb="0022395C"/>
      <sz val="11.5"/>
    </font>
    <font>
      <name val="Arial"/>
      <b val="1"/>
      <color rgb="0022395C"/>
      <sz val="12"/>
    </font>
    <font>
      <name val="Arial"/>
      <b val="1"/>
      <color rgb="001C2733"/>
      <sz val="11.5"/>
    </font>
    <font>
      <name val="Arial"/>
      <color rgb="001C2733"/>
      <sz val="10.5"/>
    </font>
    <font>
      <name val="Arial"/>
      <b val="1"/>
      <color rgb="0022395C"/>
      <sz val="12.5"/>
    </font>
    <font>
      <name val="Arial"/>
      <b val="1"/>
      <color rgb="000E7C86"/>
      <sz val="11"/>
    </font>
  </fonts>
  <fills count="16">
    <fill>
      <patternFill/>
    </fill>
    <fill>
      <patternFill patternType="gray125"/>
    </fill>
    <fill>
      <patternFill patternType="solid">
        <fgColor rgb="0022395C"/>
      </patternFill>
    </fill>
    <fill>
      <patternFill patternType="solid">
        <fgColor rgb="00F4F6F9"/>
      </patternFill>
    </fill>
    <fill>
      <patternFill patternType="solid">
        <fgColor rgb="0034557F"/>
      </patternFill>
    </fill>
    <fill>
      <patternFill patternType="solid">
        <fgColor rgb="00FFF8E1"/>
      </patternFill>
    </fill>
    <fill>
      <patternFill patternType="solid">
        <fgColor rgb="001E7B34"/>
      </patternFill>
    </fill>
    <fill>
      <patternFill patternType="solid">
        <fgColor rgb="00A8D08D"/>
      </patternFill>
    </fill>
    <fill>
      <patternFill patternType="solid">
        <fgColor rgb="00FFD966"/>
      </patternFill>
    </fill>
    <fill>
      <patternFill patternType="solid">
        <fgColor rgb="00F4A742"/>
      </patternFill>
    </fill>
    <fill>
      <patternFill patternType="solid">
        <fgColor rgb="00E03C31"/>
      </patternFill>
    </fill>
    <fill>
      <patternFill patternType="solid">
        <fgColor rgb="008E1B13"/>
      </patternFill>
    </fill>
    <fill>
      <patternFill patternType="solid">
        <fgColor rgb="00EDF1F6"/>
      </patternFill>
    </fill>
    <fill>
      <patternFill patternType="solid">
        <fgColor rgb="00FFFFFF"/>
      </patternFill>
    </fill>
    <fill>
      <patternFill patternType="solid">
        <fgColor rgb="000E7C86"/>
      </patternFill>
    </fill>
    <fill>
      <patternFill patternType="solid">
        <fgColor rgb="00DCE4EF"/>
      </patternFill>
    </fill>
  </fills>
  <borders count="25">
    <border>
      <left/>
      <right/>
      <top/>
      <bottom/>
      <diagonal/>
    </border>
    <border>
      <left style="thin">
        <color rgb="00FFFFFF"/>
      </left>
      <right style="thin">
        <color rgb="00FFFFFF"/>
      </right>
      <top style="thin">
        <color rgb="00FFFFFF"/>
      </top>
      <bottom style="thin">
        <color rgb="00FFFFFF"/>
      </bottom>
    </border>
    <border>
      <left style="thin">
        <color rgb="00E0C068"/>
      </left>
      <right style="thin">
        <color rgb="00E0C068"/>
      </right>
      <top style="thin">
        <color rgb="00E0C068"/>
      </top>
      <bottom style="thin">
        <color rgb="00E0C068"/>
      </bottom>
    </border>
    <border>
      <left style="thin">
        <color rgb="00D4DAE3"/>
      </left>
      <right style="thin">
        <color rgb="00D4DAE3"/>
      </right>
      <top style="thin">
        <color rgb="00D4DAE3"/>
      </top>
      <bottom style="thin">
        <color rgb="00D4DAE3"/>
      </bottom>
    </border>
    <border>
      <left style="thin">
        <color rgb="009AA7B8"/>
      </left>
      <right/>
      <top style="thin">
        <color rgb="009AA7B8"/>
      </top>
      <bottom/>
    </border>
    <border>
      <left/>
      <right/>
      <top style="thin">
        <color rgb="009AA7B8"/>
      </top>
      <bottom/>
    </border>
    <border>
      <left/>
      <right style="thin">
        <color rgb="009AA7B8"/>
      </right>
      <top style="thin">
        <color rgb="009AA7B8"/>
      </top>
      <bottom/>
    </border>
    <border>
      <left style="thin">
        <color rgb="009AA7B8"/>
      </left>
      <right/>
      <top/>
      <bottom/>
    </border>
    <border>
      <left/>
      <right/>
      <top/>
      <bottom/>
    </border>
    <border>
      <left/>
      <right style="thin">
        <color rgb="009AA7B8"/>
      </right>
      <top/>
      <bottom/>
    </border>
    <border>
      <left style="thin">
        <color rgb="009AA7B8"/>
      </left>
      <right/>
      <top/>
      <bottom style="thin">
        <color rgb="009AA7B8"/>
      </bottom>
    </border>
    <border>
      <left/>
      <right/>
      <top/>
      <bottom style="thin">
        <color rgb="009AA7B8"/>
      </bottom>
    </border>
    <border>
      <left/>
      <right style="thin">
        <color rgb="009AA7B8"/>
      </right>
      <top/>
      <bottom style="thin">
        <color rgb="009AA7B8"/>
      </bottom>
    </border>
    <border>
      <left/>
      <right/>
      <top style="thin">
        <color rgb="00D4DAE3"/>
      </top>
      <bottom/>
      <diagonal/>
    </border>
    <border>
      <left/>
      <right style="thin">
        <color rgb="00D4DAE3"/>
      </right>
      <top style="thin">
        <color rgb="00D4DAE3"/>
      </top>
      <bottom/>
      <diagonal/>
    </border>
    <border>
      <left/>
      <right/>
      <top style="thin">
        <color rgb="00D4DAE3"/>
      </top>
      <bottom style="thin">
        <color rgb="00D4DAE3"/>
      </bottom>
      <diagonal/>
    </border>
    <border>
      <left/>
      <right style="thin">
        <color rgb="00D4DAE3"/>
      </right>
      <top style="thin">
        <color rgb="00D4DAE3"/>
      </top>
      <bottom style="thin">
        <color rgb="00D4DAE3"/>
      </bottom>
      <diagonal/>
    </border>
    <border>
      <left style="thin">
        <color rgb="009AA7B8"/>
      </left>
      <right style="thin">
        <color rgb="00D4DAE3"/>
      </right>
      <top style="thin">
        <color rgb="009AA7B8"/>
      </top>
      <bottom style="thin">
        <color rgb="00D4DAE3"/>
      </bottom>
    </border>
    <border>
      <left style="thin">
        <color rgb="00D4DAE3"/>
      </left>
      <right style="thin">
        <color rgb="00D4DAE3"/>
      </right>
      <top style="thin">
        <color rgb="009AA7B8"/>
      </top>
      <bottom style="thin">
        <color rgb="00D4DAE3"/>
      </bottom>
    </border>
    <border>
      <left style="thin">
        <color rgb="009AA7B8"/>
      </left>
      <right style="thin">
        <color rgb="00D4DAE3"/>
      </right>
      <top style="thin">
        <color rgb="00D4DAE3"/>
      </top>
      <bottom style="thin">
        <color rgb="00D4DAE3"/>
      </bottom>
    </border>
    <border>
      <left style="thin">
        <color rgb="009AA7B8"/>
      </left>
      <right style="thin">
        <color rgb="00D4DAE3"/>
      </right>
      <top style="thin">
        <color rgb="00D4DAE3"/>
      </top>
      <bottom style="thin">
        <color rgb="009AA7B8"/>
      </bottom>
    </border>
    <border>
      <left style="thin">
        <color rgb="00D4DAE3"/>
      </left>
      <right style="thin">
        <color rgb="00D4DAE3"/>
      </right>
      <top style="thin">
        <color rgb="00D4DAE3"/>
      </top>
      <bottom style="thin">
        <color rgb="009AA7B8"/>
      </bottom>
    </border>
    <border>
      <left style="thin">
        <color rgb="00000000"/>
      </left>
      <right/>
      <top style="thin">
        <color rgb="00000000"/>
      </top>
      <bottom style="thin">
        <color rgb="00000000"/>
      </bottom>
    </border>
    <border>
      <left/>
      <right/>
      <top style="thin">
        <color rgb="00000000"/>
      </top>
      <bottom style="thin">
        <color rgb="00000000"/>
      </bottom>
    </border>
    <border>
      <left/>
      <right style="thin">
        <color rgb="00000000"/>
      </right>
      <top style="thin">
        <color rgb="00000000"/>
      </top>
      <bottom style="thin">
        <color rgb="00000000"/>
      </bottom>
    </border>
  </borders>
  <cellStyleXfs count="1">
    <xf numFmtId="0" fontId="0" fillId="0" borderId="0"/>
  </cellStyleXfs>
  <cellXfs count="166">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4" fillId="3" borderId="0" applyAlignment="1" pivotButton="0" quotePrefix="0" xfId="0">
      <alignment horizontal="left" vertical="center" wrapText="1"/>
    </xf>
    <xf numFmtId="0" fontId="35" fillId="3" borderId="3" applyAlignment="1" pivotButton="0" quotePrefix="0" xfId="0">
      <alignment horizontal="center" vertical="center"/>
    </xf>
    <xf numFmtId="0" fontId="0" fillId="0" borderId="15" pivotButton="0" quotePrefix="0" xfId="0"/>
    <xf numFmtId="0" fontId="0" fillId="0" borderId="16" pivotButton="0" quotePrefix="0" xfId="0"/>
    <xf numFmtId="0" fontId="32" fillId="4" borderId="1" applyAlignment="1" pivotButton="0" quotePrefix="0" xfId="0">
      <alignment horizontal="center" vertical="center"/>
    </xf>
    <xf numFmtId="1" fontId="36" fillId="13" borderId="4" applyAlignment="1" pivotButton="0" quotePrefix="0" xfId="0">
      <alignment horizontal="center" vertical="center"/>
    </xf>
    <xf numFmtId="0" fontId="0" fillId="0" borderId="6" pivotButton="0" quotePrefix="0" xfId="0"/>
    <xf numFmtId="167" fontId="36" fillId="13" borderId="4" applyAlignment="1" pivotButton="0" quotePrefix="0" xfId="0">
      <alignment horizontal="center" vertical="center"/>
    </xf>
    <xf numFmtId="0" fontId="37" fillId="6" borderId="0" applyAlignment="1" pivotButton="0" quotePrefix="0" xfId="0">
      <alignment horizontal="center" vertical="center" wrapText="1"/>
    </xf>
    <xf numFmtId="0" fontId="4" fillId="13" borderId="10" applyAlignment="1" pivotButton="0" quotePrefix="0" xfId="0">
      <alignment horizontal="center" vertical="center"/>
    </xf>
    <xf numFmtId="0" fontId="0" fillId="0" borderId="12" pivotButton="0" quotePrefix="0" xfId="0"/>
    <xf numFmtId="0" fontId="5" fillId="0" borderId="0" applyAlignment="1" pivotButton="0" quotePrefix="0" xfId="0">
      <alignment horizontal="left" vertical="center"/>
    </xf>
    <xf numFmtId="0" fontId="6" fillId="4" borderId="1" applyAlignment="1" pivotButton="0" quotePrefix="0" xfId="0">
      <alignment horizontal="center" vertical="center" wrapText="1"/>
    </xf>
    <xf numFmtId="0" fontId="13" fillId="13" borderId="3" applyAlignment="1" pivotButton="0" quotePrefix="0" xfId="0">
      <alignment horizontal="left" vertical="center" wrapText="1"/>
    </xf>
    <xf numFmtId="169" fontId="11" fillId="13" borderId="3" applyAlignment="1" pivotButton="0" quotePrefix="0" xfId="0">
      <alignment horizontal="center" vertical="center"/>
    </xf>
    <xf numFmtId="0" fontId="10" fillId="12" borderId="3" applyAlignment="1" pivotButton="0" quotePrefix="0" xfId="0">
      <alignment horizontal="center" vertical="center"/>
    </xf>
    <xf numFmtId="0" fontId="17" fillId="12" borderId="3" applyAlignment="1" pivotButton="0" quotePrefix="0" xfId="0">
      <alignment horizontal="left" vertical="center"/>
    </xf>
    <xf numFmtId="0" fontId="27" fillId="12" borderId="3" applyAlignment="1" pivotButton="0" quotePrefix="0" xfId="0">
      <alignment horizontal="center" vertical="center"/>
    </xf>
    <xf numFmtId="164" fontId="27" fillId="12" borderId="3" applyAlignment="1" pivotButton="0" quotePrefix="0" xfId="0">
      <alignment horizontal="center" vertical="center"/>
    </xf>
    <xf numFmtId="1" fontId="29" fillId="12" borderId="3" applyAlignment="1" pivotButton="0" quotePrefix="0" xfId="0">
      <alignment horizontal="center" vertical="center"/>
    </xf>
    <xf numFmtId="167" fontId="12" fillId="13" borderId="3" applyAlignment="1" pivotButton="0" quotePrefix="0" xfId="0">
      <alignment horizontal="center" vertical="center"/>
    </xf>
    <xf numFmtId="0" fontId="11" fillId="13" borderId="3" applyAlignment="1" pivotButton="0" quotePrefix="0" xfId="0">
      <alignment horizontal="center" vertical="center"/>
    </xf>
    <xf numFmtId="0" fontId="38" fillId="0" borderId="0" applyAlignment="1" pivotButton="0" quotePrefix="0" xfId="0">
      <alignment horizontal="left" vertical="center"/>
    </xf>
    <xf numFmtId="0" fontId="20" fillId="13" borderId="3" applyAlignment="1" pivotButton="0" quotePrefix="0" xfId="0">
      <alignment horizontal="left" vertical="center"/>
    </xf>
    <xf numFmtId="0" fontId="27" fillId="13" borderId="3" applyAlignment="1" pivotButton="0" quotePrefix="0" xfId="0">
      <alignment horizontal="center" vertical="center"/>
    </xf>
    <xf numFmtId="0" fontId="23" fillId="6" borderId="1" applyAlignment="1" pivotButton="0" quotePrefix="0" xfId="0">
      <alignment horizontal="center" vertical="center"/>
    </xf>
    <xf numFmtId="0" fontId="31" fillId="7" borderId="1" applyAlignment="1" pivotButton="0" quotePrefix="0" xfId="0">
      <alignment horizontal="center" vertical="center"/>
    </xf>
    <xf numFmtId="0" fontId="31" fillId="8" borderId="1" applyAlignment="1" pivotButton="0" quotePrefix="0" xfId="0">
      <alignment horizontal="center" vertical="center"/>
    </xf>
    <xf numFmtId="0" fontId="31" fillId="9" borderId="1"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13" fillId="3" borderId="4" applyAlignment="1" pivotButton="0" quotePrefix="0" xfId="0">
      <alignment horizontal="left" vertical="center" wrapText="1"/>
    </xf>
    <xf numFmtId="0" fontId="0" fillId="0" borderId="5" pivotButton="0" quotePrefix="0" xfId="0"/>
    <xf numFmtId="0" fontId="0" fillId="0" borderId="10" pivotButton="0" quotePrefix="0" xfId="0"/>
    <xf numFmtId="0" fontId="0" fillId="0" borderId="11" pivotButton="0" quotePrefix="0" xfId="0"/>
    <xf numFmtId="0" fontId="3" fillId="2" borderId="0" applyAlignment="1" pivotButton="0" quotePrefix="0" xfId="0">
      <alignment horizontal="center" vertical="center"/>
    </xf>
    <xf numFmtId="0" fontId="39" fillId="15" borderId="3" applyAlignment="1" pivotButton="0" quotePrefix="0" xfId="0">
      <alignment horizontal="left" vertical="center"/>
    </xf>
    <xf numFmtId="0" fontId="12" fillId="5" borderId="2" applyAlignment="1" pivotButton="0" quotePrefix="0" xfId="0">
      <alignment horizontal="left" vertical="center"/>
    </xf>
    <xf numFmtId="0" fontId="12" fillId="5" borderId="2" applyAlignment="1" pivotButton="0" quotePrefix="0" xfId="0">
      <alignment horizontal="center" vertical="center"/>
    </xf>
    <xf numFmtId="0" fontId="10" fillId="0" borderId="0" applyAlignment="1" pivotButton="0" quotePrefix="0" xfId="0">
      <alignment horizontal="left" vertical="center"/>
    </xf>
    <xf numFmtId="0" fontId="7" fillId="5" borderId="2" applyAlignment="1" pivotButton="0" quotePrefix="0" xfId="0">
      <alignment horizontal="left" vertical="center"/>
    </xf>
    <xf numFmtId="0" fontId="10" fillId="0" borderId="0" applyAlignment="1" pivotButton="0" quotePrefix="0" xfId="0">
      <alignment horizontal="left" vertical="center" wrapText="1"/>
    </xf>
    <xf numFmtId="0" fontId="4" fillId="13" borderId="4" applyAlignment="1" pivotButton="0" quotePrefix="0" xfId="0">
      <alignment horizontal="center" vertical="center" wrapText="1"/>
    </xf>
    <xf numFmtId="0" fontId="5" fillId="13" borderId="10" applyAlignment="1" pivotButton="0" quotePrefix="0" xfId="0">
      <alignment horizontal="center" vertical="center"/>
    </xf>
    <xf numFmtId="1" fontId="5" fillId="13" borderId="10" applyAlignment="1" pivotButton="0" quotePrefix="0" xfId="0">
      <alignment horizontal="center" vertical="center"/>
    </xf>
    <xf numFmtId="164" fontId="5" fillId="13" borderId="10" applyAlignment="1" pivotButton="0" quotePrefix="0" xfId="0">
      <alignment horizontal="center" vertical="center"/>
    </xf>
    <xf numFmtId="0" fontId="6" fillId="4" borderId="1" applyAlignment="1" pivotButton="0" quotePrefix="0" xfId="0">
      <alignment horizontal="center" vertical="center"/>
    </xf>
    <xf numFmtId="1" fontId="10" fillId="12" borderId="3" applyAlignment="1" pivotButton="0" quotePrefix="0" xfId="0">
      <alignment horizontal="center" vertical="center"/>
    </xf>
    <xf numFmtId="0" fontId="19" fillId="12" borderId="3" applyAlignment="1" pivotButton="0" quotePrefix="0" xfId="0">
      <alignment horizontal="left" vertical="center"/>
    </xf>
    <xf numFmtId="166" fontId="19" fillId="12" borderId="3" applyAlignment="1" pivotButton="0" quotePrefix="0" xfId="0">
      <alignment horizontal="center" vertical="center"/>
    </xf>
    <xf numFmtId="166" fontId="27" fillId="12" borderId="3" applyAlignment="1" pivotButton="0" quotePrefix="0" xfId="0">
      <alignment horizontal="center" vertical="center"/>
    </xf>
    <xf numFmtId="0" fontId="10" fillId="12" borderId="3" applyAlignment="1" pivotButton="0" quotePrefix="0" xfId="0">
      <alignment horizontal="left" vertical="center"/>
    </xf>
    <xf numFmtId="0" fontId="4" fillId="12" borderId="3" applyAlignment="1" pivotButton="0" quotePrefix="0" xfId="0">
      <alignment horizontal="left" vertical="center"/>
    </xf>
    <xf numFmtId="0" fontId="38" fillId="12" borderId="3" applyAlignment="1" pivotButton="0" quotePrefix="0" xfId="0">
      <alignment horizontal="center" vertical="center"/>
    </xf>
    <xf numFmtId="0" fontId="40" fillId="12" borderId="3" applyAlignment="1" pivotButton="0" quotePrefix="0" xfId="0">
      <alignment horizontal="left" vertical="center"/>
    </xf>
    <xf numFmtId="0" fontId="4" fillId="3" borderId="0" applyAlignment="1" pivotButton="0" quotePrefix="0" xfId="0">
      <alignment horizontal="left" vertical="center"/>
    </xf>
    <xf numFmtId="0" fontId="23" fillId="4" borderId="0" applyAlignment="1" pivotButton="0" quotePrefix="0" xfId="0">
      <alignment horizontal="center" vertical="center"/>
    </xf>
    <xf numFmtId="0" fontId="30" fillId="0" borderId="0" applyAlignment="1" pivotButton="0" quotePrefix="0" xfId="0">
      <alignment horizontal="center" vertical="center"/>
    </xf>
    <xf numFmtId="0" fontId="30" fillId="0" borderId="0" applyAlignment="1" pivotButton="0" quotePrefix="0" xfId="0">
      <alignment horizontal="left" vertical="center"/>
    </xf>
    <xf numFmtId="167" fontId="30" fillId="0" borderId="0" applyAlignment="1" pivotButton="0" quotePrefix="0" xfId="0">
      <alignment horizontal="center" vertical="center"/>
    </xf>
    <xf numFmtId="0" fontId="35" fillId="0" borderId="0" applyAlignment="1" pivotButton="0" quotePrefix="0" xfId="0">
      <alignment horizontal="left" vertical="center"/>
    </xf>
    <xf numFmtId="0" fontId="25" fillId="0" borderId="0" applyAlignment="1" pivotButton="0" quotePrefix="0" xfId="0">
      <alignment horizontal="left" vertical="center"/>
    </xf>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7" fillId="5" borderId="2" applyAlignment="1" pivotButton="0" quotePrefix="0" xfId="0">
      <alignment horizontal="center" vertical="center"/>
    </xf>
    <xf numFmtId="0" fontId="43" fillId="0" borderId="0" applyAlignment="1" pivotButton="0" quotePrefix="0" xfId="0">
      <alignment horizontal="left" vertical="center"/>
    </xf>
    <xf numFmtId="0" fontId="25" fillId="13" borderId="17" applyAlignment="1" pivotButton="0" quotePrefix="0" xfId="0">
      <alignment horizontal="center" vertical="center" wrapText="1"/>
    </xf>
    <xf numFmtId="0" fontId="25" fillId="13" borderId="18" applyAlignment="1" pivotButton="0" quotePrefix="0" xfId="0">
      <alignment horizontal="center" vertical="center" wrapText="1"/>
    </xf>
    <xf numFmtId="0" fontId="44" fillId="13" borderId="19" applyAlignment="1" pivotButton="0" quotePrefix="0" xfId="0">
      <alignment horizontal="center" vertical="center"/>
    </xf>
    <xf numFmtId="0" fontId="0" fillId="0" borderId="8" pivotButton="0" quotePrefix="0" xfId="0"/>
    <xf numFmtId="0" fontId="44" fillId="13" borderId="3" applyAlignment="1" pivotButton="0" quotePrefix="0" xfId="0">
      <alignment horizontal="center" vertical="center"/>
    </xf>
    <xf numFmtId="0" fontId="0" fillId="0" borderId="9" pivotButton="0" quotePrefix="0" xfId="0"/>
    <xf numFmtId="0" fontId="25" fillId="13" borderId="19" applyAlignment="1" pivotButton="0" quotePrefix="0" xfId="0">
      <alignment horizontal="center" vertical="center" wrapText="1"/>
    </xf>
    <xf numFmtId="0" fontId="25" fillId="13" borderId="3" applyAlignment="1" pivotButton="0" quotePrefix="0" xfId="0">
      <alignment horizontal="center" vertical="center" wrapText="1"/>
    </xf>
    <xf numFmtId="1" fontId="44" fillId="13" borderId="20" applyAlignment="1" pivotButton="0" quotePrefix="0" xfId="0">
      <alignment horizontal="center" vertical="center"/>
    </xf>
    <xf numFmtId="164" fontId="44" fillId="13" borderId="21" applyAlignment="1" pivotButton="0" quotePrefix="0" xfId="0">
      <alignment horizontal="center" vertical="center"/>
    </xf>
    <xf numFmtId="0" fontId="44" fillId="13" borderId="21" applyAlignment="1" pivotButton="0" quotePrefix="0" xfId="0">
      <alignment horizontal="center" vertical="center"/>
    </xf>
    <xf numFmtId="0" fontId="12" fillId="12" borderId="3" applyAlignment="1" pivotButton="0" quotePrefix="0" xfId="0">
      <alignment horizontal="left" vertical="center"/>
    </xf>
    <xf numFmtId="1" fontId="15" fillId="12" borderId="3" applyAlignment="1" pivotButton="0" quotePrefix="0" xfId="0">
      <alignment horizontal="center" vertical="center"/>
    </xf>
    <xf numFmtId="167" fontId="7" fillId="13" borderId="3" applyAlignment="1" pivotButton="0" quotePrefix="0" xfId="0">
      <alignment horizontal="center" vertical="center"/>
    </xf>
    <xf numFmtId="0" fontId="12" fillId="13" borderId="3" applyAlignment="1" pivotButton="0" quotePrefix="0" xfId="0">
      <alignment horizontal="center" vertical="center"/>
    </xf>
    <xf numFmtId="0" fontId="45" fillId="15" borderId="3" applyAlignment="1" pivotButton="0" quotePrefix="0" xfId="0">
      <alignment horizontal="left" vertical="center"/>
    </xf>
    <xf numFmtId="167" fontId="41" fillId="13" borderId="3" applyAlignment="1" pivotButton="0" quotePrefix="0" xfId="0">
      <alignment horizontal="center" vertical="center"/>
    </xf>
    <xf numFmtId="0" fontId="46" fillId="13" borderId="3" applyAlignment="1" pivotButton="0" quotePrefix="0" xfId="0">
      <alignment horizontal="center" vertical="center"/>
    </xf>
    <xf numFmtId="0" fontId="25" fillId="0" borderId="0" applyAlignment="1" pivotButton="0" quotePrefix="0" xfId="0">
      <alignment horizontal="center" vertical="center"/>
    </xf>
    <xf numFmtId="0" fontId="9" fillId="5" borderId="2" applyAlignment="1" pivotButton="0" quotePrefix="0" xfId="0">
      <alignment horizontal="left" vertical="top" wrapText="1"/>
    </xf>
    <xf numFmtId="0" fontId="0" fillId="0" borderId="22" pivotButton="0" quotePrefix="0" xfId="0"/>
    <xf numFmtId="0" fontId="0" fillId="0" borderId="23" pivotButton="0" quotePrefix="0" xfId="0"/>
    <xf numFmtId="0" fontId="0" fillId="0" borderId="24" pivotButton="0" quotePrefix="0" xfId="0"/>
    <xf numFmtId="0" fontId="24" fillId="0" borderId="0" applyAlignment="1" pivotButton="0" quotePrefix="0" xfId="0">
      <alignment horizontal="left" vertical="center"/>
    </xf>
    <xf numFmtId="0" fontId="25" fillId="3" borderId="0" applyAlignment="1" pivotButton="0" quotePrefix="0" xfId="0">
      <alignment horizontal="left" vertical="center" wrapText="1"/>
    </xf>
    <xf numFmtId="0" fontId="41" fillId="5" borderId="2" applyAlignment="1" pivotButton="0" quotePrefix="0" xfId="0">
      <alignment horizontal="center" vertical="center"/>
    </xf>
    <xf numFmtId="0" fontId="27" fillId="12" borderId="3" applyAlignment="1" pivotButton="0" quotePrefix="0" xfId="0">
      <alignment horizontal="left" vertical="center"/>
    </xf>
    <xf numFmtId="1" fontId="27" fillId="12" borderId="3" applyAlignment="1" pivotButton="0" quotePrefix="0" xfId="0">
      <alignment horizontal="center" vertical="center"/>
    </xf>
    <xf numFmtId="0" fontId="42" fillId="12" borderId="3" applyAlignment="1" pivotButton="0" quotePrefix="0" xfId="0">
      <alignment horizontal="left" vertical="center"/>
    </xf>
    <xf numFmtId="0" fontId="14" fillId="4" borderId="1" applyAlignment="1" pivotButton="0" quotePrefix="0" xfId="0">
      <alignment horizontal="center" vertical="center" wrapText="1"/>
    </xf>
    <xf numFmtId="0" fontId="17" fillId="12" borderId="3" applyAlignment="1" pivotButton="0" quotePrefix="0" xfId="0">
      <alignment horizontal="center" vertical="center"/>
    </xf>
    <xf numFmtId="0" fontId="18" fillId="12" borderId="3" applyAlignment="1" pivotButton="0" quotePrefix="0" xfId="0">
      <alignment horizontal="center" vertical="center"/>
    </xf>
    <xf numFmtId="164" fontId="18" fillId="12" borderId="3" applyAlignment="1" pivotButton="0" quotePrefix="0" xfId="0">
      <alignment horizontal="center" vertical="center"/>
    </xf>
    <xf numFmtId="166" fontId="18" fillId="12" borderId="3" applyAlignment="1" pivotButton="0" quotePrefix="0" xfId="0">
      <alignment horizontal="center" vertical="center"/>
    </xf>
    <xf numFmtId="0" fontId="18" fillId="12" borderId="3" applyAlignment="1" pivotButton="0" quotePrefix="0" xfId="0">
      <alignment horizontal="left" vertical="center"/>
    </xf>
    <xf numFmtId="1" fontId="18" fillId="12" borderId="3" applyAlignment="1" pivotButton="0" quotePrefix="0" xfId="0">
      <alignment horizontal="center" vertical="center"/>
    </xf>
    <xf numFmtId="1" fontId="19" fillId="12" borderId="3" applyAlignment="1" pivotButton="0" quotePrefix="0" xfId="0">
      <alignment horizontal="center" vertical="center"/>
    </xf>
    <xf numFmtId="0" fontId="20" fillId="13" borderId="3" applyAlignment="1" pivotButton="0" quotePrefix="0" xfId="0">
      <alignment horizontal="center" vertical="center"/>
    </xf>
    <xf numFmtId="0" fontId="4" fillId="12" borderId="3" applyAlignment="1" pivotButton="0" quotePrefix="0" xfId="0">
      <alignment horizontal="left" vertical="center" wrapText="1"/>
    </xf>
    <xf numFmtId="0" fontId="0" fillId="0" borderId="7" pivotButton="0" quotePrefix="0" xfId="0"/>
    <xf numFmtId="0" fontId="9" fillId="5" borderId="2" applyAlignment="1" pivotButton="0" quotePrefix="0" xfId="0">
      <alignment horizontal="left" vertical="center"/>
    </xf>
    <xf numFmtId="164" fontId="9" fillId="5" borderId="2" applyAlignment="1" pivotButton="0" quotePrefix="0" xfId="0">
      <alignment horizontal="center" vertical="center"/>
    </xf>
    <xf numFmtId="0" fontId="9" fillId="5" borderId="2" applyAlignment="1" pivotButton="0" quotePrefix="0" xfId="0">
      <alignment horizontal="center" vertical="center"/>
    </xf>
    <xf numFmtId="165" fontId="16" fillId="12" borderId="3" applyAlignment="1" pivotButton="0" quotePrefix="0" xfId="0">
      <alignment horizontal="center" vertical="center"/>
    </xf>
    <xf numFmtId="165" fontId="15" fillId="12" borderId="3" applyAlignment="1" pivotButton="0" quotePrefix="0" xfId="0">
      <alignment horizontal="center" vertical="center"/>
    </xf>
    <xf numFmtId="0" fontId="15" fillId="12" borderId="3" applyAlignment="1" pivotButton="0" quotePrefix="0" xfId="0">
      <alignment horizontal="left" vertical="center"/>
    </xf>
    <xf numFmtId="0" fontId="10" fillId="3" borderId="0" applyAlignment="1" pivotButton="0" quotePrefix="0" xfId="0">
      <alignment horizontal="left" vertical="center" wrapText="1"/>
    </xf>
    <xf numFmtId="9" fontId="8" fillId="5" borderId="2" applyAlignment="1" pivotButton="0" quotePrefix="0" xfId="0">
      <alignment horizontal="center" vertical="center"/>
    </xf>
    <xf numFmtId="0" fontId="6" fillId="6" borderId="1" applyAlignment="1" pivotButton="0" quotePrefix="0" xfId="0">
      <alignment horizontal="center" vertical="center"/>
    </xf>
    <xf numFmtId="0" fontId="10" fillId="0" borderId="3" applyAlignment="1" pivotButton="0" quotePrefix="0" xfId="0">
      <alignment horizontal="left" vertical="center"/>
    </xf>
    <xf numFmtId="0" fontId="11" fillId="7" borderId="1" applyAlignment="1" pivotButton="0" quotePrefix="0" xfId="0">
      <alignment horizontal="center" vertical="center"/>
    </xf>
    <xf numFmtId="0" fontId="11" fillId="8" borderId="1" applyAlignment="1" pivotButton="0" quotePrefix="0" xfId="0">
      <alignment horizontal="center" vertical="center"/>
    </xf>
    <xf numFmtId="0" fontId="11" fillId="9" borderId="1" applyAlignment="1" pivotButton="0" quotePrefix="0" xfId="0">
      <alignment horizontal="center" vertical="center"/>
    </xf>
    <xf numFmtId="0" fontId="6" fillId="10" borderId="1" applyAlignment="1" pivotButton="0" quotePrefix="0" xfId="0">
      <alignment horizontal="center" vertical="center"/>
    </xf>
    <xf numFmtId="0" fontId="6" fillId="11" borderId="1" applyAlignment="1" pivotButton="0" quotePrefix="0" xfId="0">
      <alignment horizontal="center" vertical="center"/>
    </xf>
    <xf numFmtId="0" fontId="12" fillId="0" borderId="3" applyAlignment="1" pivotButton="0" quotePrefix="0" xfId="0">
      <alignment horizontal="left" vertical="center"/>
    </xf>
    <xf numFmtId="1" fontId="7" fillId="5" borderId="2" applyAlignment="1" pivotButton="0" quotePrefix="0" xfId="0">
      <alignment horizontal="center" vertical="center"/>
    </xf>
    <xf numFmtId="0" fontId="4" fillId="0" borderId="3" applyAlignment="1" pivotButton="0" quotePrefix="0" xfId="0">
      <alignment horizontal="left" vertical="center" wrapText="1"/>
    </xf>
    <xf numFmtId="9" fontId="7" fillId="5" borderId="2" applyAlignment="1" pivotButton="0" quotePrefix="0" xfId="0">
      <alignment horizontal="center" vertical="center"/>
    </xf>
    <xf numFmtId="0" fontId="4" fillId="0" borderId="0" applyAlignment="1" pivotButton="0" quotePrefix="0" xfId="0">
      <alignment horizontal="left" vertical="center" wrapText="1"/>
    </xf>
    <xf numFmtId="0" fontId="47" fillId="3" borderId="4" applyAlignment="1" pivotButton="0" quotePrefix="0" xfId="0">
      <alignment horizontal="left" vertical="center" wrapText="1"/>
    </xf>
    <xf numFmtId="0" fontId="48" fillId="15" borderId="0" applyAlignment="1" pivotButton="0" quotePrefix="0" xfId="0">
      <alignment horizontal="left" vertical="center"/>
    </xf>
    <xf numFmtId="0" fontId="49" fillId="0" borderId="0" applyAlignment="1" pivotButton="0" quotePrefix="0" xfId="0">
      <alignment horizontal="center" vertical="center"/>
    </xf>
    <xf numFmtId="0" fontId="47" fillId="0" borderId="0" applyAlignment="1" pivotButton="0" quotePrefix="0" xfId="0">
      <alignment horizontal="left" vertical="center" wrapText="1"/>
    </xf>
    <xf numFmtId="0" fontId="21" fillId="2" borderId="0" applyAlignment="1" pivotButton="0" quotePrefix="0" xfId="0">
      <alignment horizontal="left" vertical="center" indent="1"/>
    </xf>
    <xf numFmtId="0" fontId="22" fillId="2" borderId="0" applyAlignment="1" pivotButton="0" quotePrefix="0" xfId="0">
      <alignment horizontal="center" vertical="center"/>
    </xf>
    <xf numFmtId="0" fontId="23" fillId="14" borderId="0" applyAlignment="1" pivotButton="0" quotePrefix="0" xfId="0">
      <alignment horizontal="left" vertical="center" indent="1"/>
    </xf>
    <xf numFmtId="0" fontId="24" fillId="15" borderId="3" applyAlignment="1" pivotButton="0" quotePrefix="0" xfId="0">
      <alignment horizontal="left" vertical="center"/>
    </xf>
    <xf numFmtId="0" fontId="16" fillId="12" borderId="3" applyAlignment="1" pivotButton="0" quotePrefix="0" xfId="0">
      <alignment horizontal="left" vertical="center"/>
    </xf>
    <xf numFmtId="0" fontId="20" fillId="5" borderId="2" applyAlignment="1" pivotButton="0" quotePrefix="0" xfId="0">
      <alignment horizontal="center" vertical="center"/>
    </xf>
    <xf numFmtId="164" fontId="20" fillId="5" borderId="2" applyAlignment="1" pivotButton="0" quotePrefix="0" xfId="0">
      <alignment horizontal="center" vertical="center"/>
    </xf>
    <xf numFmtId="0" fontId="20" fillId="5" borderId="2" applyAlignment="1" pivotButton="0" quotePrefix="0" xfId="0">
      <alignment horizontal="left" vertical="center"/>
    </xf>
    <xf numFmtId="166" fontId="20" fillId="5" borderId="2" applyAlignment="1" pivotButton="0" quotePrefix="0" xfId="0">
      <alignment horizontal="center" vertical="center"/>
    </xf>
    <xf numFmtId="0" fontId="16" fillId="12" borderId="3" applyAlignment="1" pivotButton="0" quotePrefix="0" xfId="0">
      <alignment horizontal="center" vertical="center" wrapText="1"/>
    </xf>
    <xf numFmtId="0" fontId="26" fillId="15" borderId="3" applyAlignment="1" pivotButton="0" quotePrefix="0" xfId="0">
      <alignment horizontal="left" vertical="center"/>
    </xf>
    <xf numFmtId="0" fontId="20" fillId="13" borderId="3" applyAlignment="1" pivotButton="0" quotePrefix="0" xfId="0">
      <alignment horizontal="center" vertical="center" wrapText="1"/>
    </xf>
    <xf numFmtId="0" fontId="6" fillId="2" borderId="1" applyAlignment="1" pivotButton="0" quotePrefix="0" xfId="0">
      <alignment horizontal="center" vertical="center" wrapText="1"/>
    </xf>
    <xf numFmtId="0" fontId="6" fillId="2" borderId="1" applyAlignment="1" pivotButton="0" quotePrefix="0" xfId="0">
      <alignment horizontal="center" vertical="center"/>
    </xf>
    <xf numFmtId="0" fontId="4" fillId="12" borderId="3" applyAlignment="1" pivotButton="0" quotePrefix="0" xfId="0">
      <alignment horizontal="center" vertical="center"/>
    </xf>
    <xf numFmtId="0" fontId="11" fillId="5" borderId="2" applyAlignment="1" pivotButton="0" quotePrefix="0" xfId="0">
      <alignment horizontal="left" vertical="center" wrapText="1"/>
    </xf>
    <xf numFmtId="0" fontId="28" fillId="5" borderId="2" applyAlignment="1" pivotButton="0" quotePrefix="0" xfId="0">
      <alignment horizontal="left" vertical="center" wrapText="1"/>
    </xf>
    <xf numFmtId="168" fontId="29" fillId="12" borderId="3" applyAlignment="1" pivotButton="0" quotePrefix="0" xfId="0">
      <alignment horizontal="center" vertical="center"/>
    </xf>
    <xf numFmtId="166" fontId="9" fillId="5" borderId="2" applyAlignment="1" pivotButton="0" quotePrefix="0" xfId="0">
      <alignment horizontal="center" vertical="center"/>
    </xf>
    <xf numFmtId="166" fontId="16" fillId="12" borderId="3" applyAlignment="1" pivotButton="0" quotePrefix="0" xfId="0">
      <alignment horizontal="center" vertical="center"/>
    </xf>
    <xf numFmtId="165" fontId="27" fillId="12" borderId="3" applyAlignment="1" pivotButton="0" quotePrefix="0" xfId="0">
      <alignment horizontal="center" vertical="center"/>
    </xf>
    <xf numFmtId="0" fontId="13" fillId="5" borderId="2" applyAlignment="1" pivotButton="0" quotePrefix="0" xfId="0">
      <alignment horizontal="center" vertical="center"/>
    </xf>
    <xf numFmtId="0" fontId="30" fillId="5" borderId="2" applyAlignment="1" pivotButton="0" quotePrefix="0" xfId="0">
      <alignment horizontal="left" vertical="center" wrapText="1"/>
    </xf>
    <xf numFmtId="0" fontId="4" fillId="3" borderId="3" applyAlignment="1" pivotButton="0" quotePrefix="0" xfId="0">
      <alignment horizontal="left" vertical="center"/>
    </xf>
    <xf numFmtId="0" fontId="28" fillId="3" borderId="0" applyAlignment="1" pivotButton="0" quotePrefix="0" xfId="0">
      <alignment horizontal="center" vertical="center"/>
    </xf>
    <xf numFmtId="0" fontId="32" fillId="2" borderId="0" applyAlignment="1" pivotButton="0" quotePrefix="0" xfId="0">
      <alignment horizontal="left" vertical="center"/>
    </xf>
    <xf numFmtId="0" fontId="33" fillId="0" borderId="0" applyAlignment="1" pivotButton="0" quotePrefix="0" xfId="0">
      <alignment horizontal="center" vertical="center"/>
    </xf>
    <xf numFmtId="164" fontId="30" fillId="0" borderId="0" applyAlignment="1" pivotButton="0" quotePrefix="0" xfId="0">
      <alignment horizontal="center" vertical="center"/>
    </xf>
    <xf numFmtId="0" fontId="34" fillId="0" borderId="0" applyAlignment="1" pivotButton="0" quotePrefix="0" xfId="0">
      <alignment horizontal="left" vertical="center"/>
    </xf>
    <xf numFmtId="1" fontId="30" fillId="0" borderId="0" applyAlignment="1" pivotButton="0" quotePrefix="0" xfId="0">
      <alignment horizontal="center" vertical="center"/>
    </xf>
    <xf numFmtId="167" fontId="33" fillId="0" borderId="0" applyAlignment="1" pivotButton="0" quotePrefix="0" xfId="0">
      <alignment horizontal="center" vertical="center"/>
    </xf>
    <xf numFmtId="0" fontId="25" fillId="0" borderId="0" pivotButton="0" quotePrefix="0" xfId="0"/>
  </cellXfs>
  <cellStyles count="1">
    <cellStyle name="Normal" xfId="0" builtinId="0" hidden="0"/>
  </cellStyles>
  <dxfs count="21">
    <dxf>
      <font>
        <name val="Arial"/>
        <b val="1"/>
        <color rgb="00FFFFFF"/>
        <sz val="13"/>
      </font>
      <fill>
        <patternFill patternType="solid">
          <fgColor rgb="00C0392B"/>
        </patternFill>
      </fill>
    </dxf>
    <dxf>
      <font>
        <name val="Arial"/>
        <b val="1"/>
        <color rgb="003A2A05"/>
        <sz val="13"/>
      </font>
      <fill>
        <patternFill patternType="solid">
          <fgColor rgb="00E8A33D"/>
        </patternFill>
      </fill>
    </dxf>
    <dxf>
      <font>
        <name val="Arial"/>
        <b val="1"/>
        <color rgb="00FFFFFF"/>
        <sz val="11"/>
      </font>
      <fill>
        <patternFill patternType="solid">
          <fgColor rgb="001E7B34"/>
        </patternFill>
      </fill>
    </dxf>
    <dxf>
      <font>
        <name val="Arial"/>
        <b val="1"/>
        <color rgb="001C2733"/>
        <sz val="11"/>
      </font>
      <fill>
        <patternFill patternType="solid">
          <fgColor rgb="00A8D08D"/>
        </patternFill>
      </fill>
    </dxf>
    <dxf>
      <font>
        <name val="Arial"/>
        <b val="1"/>
        <color rgb="001C2733"/>
        <sz val="11"/>
      </font>
      <fill>
        <patternFill patternType="solid">
          <fgColor rgb="00FFD966"/>
        </patternFill>
      </fill>
    </dxf>
    <dxf>
      <font>
        <name val="Arial"/>
        <b val="1"/>
        <color rgb="001C2733"/>
        <sz val="11"/>
      </font>
      <fill>
        <patternFill patternType="solid">
          <fgColor rgb="00F4A742"/>
        </patternFill>
      </fill>
    </dxf>
    <dxf>
      <font>
        <name val="Arial"/>
        <b val="1"/>
        <color rgb="00FFFFFF"/>
        <sz val="11"/>
      </font>
      <fill>
        <patternFill patternType="solid">
          <fgColor rgb="00E03C31"/>
        </patternFill>
      </fill>
    </dxf>
    <dxf>
      <font>
        <name val="Arial"/>
        <b val="1"/>
        <color rgb="00FFFFFF"/>
        <sz val="11"/>
      </font>
      <fill>
        <patternFill patternType="solid">
          <fgColor rgb="008E1B13"/>
        </patternFill>
      </fill>
    </dxf>
    <dxf>
      <font>
        <name val="Arial"/>
        <i val="1"/>
        <color rgb="00A6ADB8"/>
        <sz val="10"/>
      </font>
    </dxf>
    <dxf>
      <font>
        <name val="Arial"/>
        <b val="1"/>
        <color rgb="00FFFFFF"/>
        <sz val="10"/>
      </font>
      <fill>
        <patternFill patternType="solid">
          <fgColor rgb="00C0392B"/>
        </patternFill>
      </fill>
    </dxf>
    <dxf>
      <font>
        <name val="Arial"/>
        <color rgb="001E7B34"/>
        <sz val="10"/>
      </font>
      <fill>
        <patternFill patternType="solid">
          <fgColor rgb="00E3F1E6"/>
        </patternFill>
      </fill>
    </dxf>
    <dxf>
      <font>
        <name val="Arial"/>
        <b val="1"/>
        <color rgb="003A2A05"/>
        <sz val="10"/>
      </font>
      <fill>
        <patternFill patternType="solid">
          <fgColor rgb="00E8A33D"/>
        </patternFill>
      </fill>
    </dxf>
    <dxf>
      <font>
        <name val="Arial"/>
        <color rgb="00A0A8B4"/>
        <sz val="10.5"/>
      </font>
      <fill>
        <patternFill patternType="solid">
          <fgColor rgb="00E8EAED"/>
        </patternFill>
      </fill>
    </dxf>
    <dxf>
      <font>
        <name val="Arial"/>
        <b val="1"/>
        <color rgb="00C0392B"/>
        <sz val="11"/>
      </font>
      <fill>
        <patternFill patternType="solid">
          <fgColor rgb="00FDE3E1"/>
        </patternFill>
      </fill>
    </dxf>
    <dxf>
      <font>
        <name val="Arial"/>
        <i val="1"/>
        <color rgb="006B7684"/>
        <sz val="11"/>
      </font>
    </dxf>
    <dxf>
      <font>
        <name val="Arial"/>
        <b val="1"/>
        <color rgb="003A2A05"/>
        <sz val="9.5"/>
      </font>
      <fill>
        <patternFill patternType="solid">
          <fgColor rgb="00E8A33D"/>
        </patternFill>
      </fill>
    </dxf>
    <dxf>
      <font>
        <name val="Arial"/>
        <color rgb="00A6ADB8"/>
        <sz val="10"/>
      </font>
      <fill>
        <patternFill patternType="solid">
          <fgColor rgb="00E8EAED"/>
        </patternFill>
      </fill>
    </dxf>
    <dxf>
      <font>
        <name val="Arial"/>
        <color rgb="00C2C8D0"/>
        <sz val="10"/>
      </font>
      <fill>
        <patternFill patternType="solid">
          <fgColor rgb="00E8EAED"/>
        </patternFill>
      </fill>
    </dxf>
    <dxf>
      <font>
        <name val="Arial"/>
        <i val="1"/>
        <color rgb="006B7684"/>
        <sz val="10"/>
      </font>
      <fill>
        <patternFill patternType="solid">
          <fgColor rgb="00E3E7ED"/>
        </patternFill>
      </fill>
    </dxf>
    <dxf>
      <fill>
        <patternFill patternType="solid">
          <fgColor rgb="00FFF1D6"/>
        </patternFill>
      </fill>
    </dxf>
    <dxf>
      <font>
        <name val="Arial"/>
        <i val="1"/>
        <color rgb="0098A1AE"/>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Prozentwerte im Verlauf</a:t>
            </a:r>
          </a:p>
        </rich>
      </tx>
    </title>
    <plotArea>
      <lineChart>
        <grouping val="standard"/>
        <ser>
          <idx val="0"/>
          <order val="0"/>
          <tx>
            <strRef>
              <f>'Azubi-Ansicht'!C80</f>
            </strRef>
          </tx>
          <spPr>
            <a:ln xmlns:a="http://schemas.openxmlformats.org/drawingml/2006/main" w="28000">
              <a:solidFill>
                <a:srgbClr val="0E7C86"/>
              </a:solidFill>
              <a:prstDash val="solid"/>
            </a:ln>
          </spPr>
          <marker>
            <symbol val="circle"/>
            <size val="6"/>
            <spPr>
              <a:ln xmlns:a="http://schemas.openxmlformats.org/drawingml/2006/main">
                <a:prstDash val="solid"/>
              </a:ln>
            </spPr>
          </marker>
          <cat>
            <numRef>
              <f>'Azubi-Ansicht'!$B$81:$B$100</f>
            </numRef>
          </cat>
          <val>
            <numRef>
              <f>'Azubi-Ansicht'!$C$81:$C$100</f>
            </numRef>
          </val>
          <smooth val="0"/>
        </ser>
        <ser>
          <idx val="1"/>
          <order val="1"/>
          <tx>
            <strRef>
              <f>'Azubi-Ansicht'!D80</f>
            </strRef>
          </tx>
          <spPr>
            <a:ln xmlns:a="http://schemas.openxmlformats.org/drawingml/2006/main" w="28000">
              <a:solidFill>
                <a:srgbClr val="9AA7B8"/>
              </a:solidFill>
              <a:prstDash val="solid"/>
            </a:ln>
          </spPr>
          <marker>
            <symbol val="circle"/>
            <size val="6"/>
            <spPr>
              <a:ln xmlns:a="http://schemas.openxmlformats.org/drawingml/2006/main">
                <a:prstDash val="solid"/>
              </a:ln>
            </spPr>
          </marker>
          <cat>
            <numRef>
              <f>'Azubi-Ansicht'!$B$81:$B$100</f>
            </numRef>
          </cat>
          <val>
            <numRef>
              <f>'Azubi-Ansicht'!$D$81:$D$100</f>
            </numRef>
          </val>
          <smooth val="0"/>
        </ser>
        <axId val="10"/>
        <axId val="100"/>
      </lineChart>
      <catAx>
        <axId val="10"/>
        <scaling>
          <orientation val="minMax"/>
        </scaling>
        <axPos val="l"/>
        <majorTickMark val="none"/>
        <minorTickMark val="none"/>
        <crossAx val="100"/>
        <lblOffset val="100"/>
      </catAx>
      <valAx>
        <axId val="100"/>
        <scaling>
          <orientation val="minMax"/>
          <max val="1"/>
          <min val="0"/>
        </scaling>
        <axPos val="l"/>
        <majorGridlines/>
        <title>
          <tx>
            <rich>
              <a:bodyPr xmlns:a="http://schemas.openxmlformats.org/drawingml/2006/main"/>
              <a:p xmlns:a="http://schemas.openxmlformats.org/drawingml/2006/main">
                <a:pPr>
                  <a:defRPr/>
                </a:pPr>
                <a:r>
                  <a:t>Prozent</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56</row>
      <rowOff>0</rowOff>
    </from>
    <ext cx="86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2395C"/>
    <outlinePr summaryBelow="1" summaryRight="1"/>
    <pageSetUpPr fitToPage="1"/>
  </sheetPr>
  <dimension ref="A1:N35"/>
  <sheetViews>
    <sheetView showGridLines="0"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10" customWidth="1" min="3" max="3"/>
    <col width="11" customWidth="1" min="4" max="4"/>
    <col width="14" customWidth="1" min="5" max="5"/>
    <col width="10" customWidth="1" min="6" max="6"/>
    <col width="10" customWidth="1" min="7" max="7"/>
    <col width="16" customWidth="1" min="8" max="8"/>
    <col width="2" customWidth="1" min="9" max="9"/>
    <col width="16" customWidth="1" min="10" max="10"/>
    <col width="9" customWidth="1" min="11" max="11"/>
    <col width="9" customWidth="1" min="12" max="12"/>
    <col width="17" customWidth="1" min="13" max="13"/>
    <col width="2" customWidth="1" min="14" max="14"/>
  </cols>
  <sheetData>
    <row r="1" ht="34" customHeight="1">
      <c r="A1" s="1" t="inlineStr">
        <is>
          <t>Azubi-Leistungen</t>
        </is>
      </c>
      <c r="B1" s="2" t="n"/>
      <c r="C1" s="2" t="n"/>
      <c r="D1" s="2" t="n"/>
      <c r="E1" s="2" t="n"/>
      <c r="F1" s="2" t="n"/>
      <c r="G1" s="2" t="n"/>
      <c r="H1" s="2" t="n"/>
      <c r="I1" s="2" t="n"/>
      <c r="J1" s="2" t="n"/>
      <c r="K1" s="2" t="n"/>
      <c r="L1" s="2" t="n"/>
      <c r="M1" s="2" t="n"/>
      <c r="N1" s="2" t="n"/>
    </row>
    <row r="2" ht="18" customHeight="1">
      <c r="A2" s="3" t="inlineStr">
        <is>
          <t>Überblick über Übungen, Tests und den Leistungsstand – Startseite und Inhaltsverzeichnis</t>
        </is>
      </c>
      <c r="B2" s="2" t="n"/>
      <c r="C2" s="2" t="n"/>
      <c r="D2" s="2" t="n"/>
      <c r="E2" s="2" t="n"/>
      <c r="F2" s="2" t="n"/>
      <c r="G2" s="2" t="n"/>
      <c r="H2" s="2" t="n"/>
      <c r="I2" s="2" t="n"/>
      <c r="J2" s="2" t="n"/>
      <c r="K2" s="2" t="n"/>
      <c r="L2" s="2" t="n"/>
      <c r="M2" s="2" t="n"/>
      <c r="N2" s="2" t="n"/>
    </row>
    <row r="3" ht="24" customHeight="1">
      <c r="A3" s="4" t="inlineStr">
        <is>
          <t>Farben:  gelb = hier eintragen   ·   grau-blau = rechnet die Datei selbst   ·   „n.b.“ = nicht bewertet</t>
        </is>
      </c>
      <c r="J3" s="5" t="inlineStr">
        <is>
          <t>Kurzanleitung öffnen »</t>
        </is>
      </c>
      <c r="K3" s="6" t="n"/>
      <c r="L3" s="6" t="n"/>
      <c r="M3" s="6" t="n"/>
      <c r="N3" s="7" t="n"/>
    </row>
    <row r="4" ht="30" customHeight="1">
      <c r="A4" s="8" t="inlineStr">
        <is>
          <t>Azubi-Ansicht</t>
        </is>
      </c>
      <c r="C4" s="8" t="inlineStr">
        <is>
          <t>Gesprächsseite</t>
        </is>
      </c>
      <c r="E4" s="8" t="inlineStr">
        <is>
          <t>Halbjahr</t>
        </is>
      </c>
      <c r="G4" s="8" t="inlineStr">
        <is>
          <t>Übungen verwalten</t>
        </is>
      </c>
      <c r="J4" s="8" t="inlineStr">
        <is>
          <t>Stammdaten</t>
        </is>
      </c>
      <c r="L4" s="8" t="inlineStr">
        <is>
          <t>Einstellungen</t>
        </is>
      </c>
    </row>
    <row r="5" ht="8" customHeight="1"/>
    <row r="6" ht="34" customHeight="1">
      <c r="A6" s="9">
        <f>COUNTIF('Stammdaten'!$G$6:$G$30,"aktiv")</f>
        <v/>
      </c>
      <c r="B6" s="10" t="n"/>
      <c r="C6" s="9">
        <f>SUM(Daten!$C$5:$V$5)</f>
        <v/>
      </c>
      <c r="D6" s="10" t="n"/>
      <c r="E6" s="11">
        <f>IF(SUM(Daten!$C$410:$V$434)=0,"",SUMPRODUCT(Daten!$C$410:$V$434,Daten!$C$20:$V$44)/SUM(Daten!$C$410:$V$434))</f>
        <v/>
      </c>
      <c r="F6" s="10" t="n"/>
      <c r="G6" s="9">
        <f>SUM(Daten!$G$630:$G$654)</f>
        <v/>
      </c>
      <c r="H6" s="10" t="n"/>
      <c r="J6" s="12">
        <f>IF(SUM(Daten!$C$16:$V$16)+SUMPRODUCT((Daten!$C$5:$V$5=1)*(Daten!$C$7:$V$7=0))+SUMPRODUCT((Daten!$C$5:$V$5=1)*(Daten!$C$6:$V$6=""))+SUMPRODUCT((Daten!$C$5:$V$5=1)*(Daten!$C$13:$V$13=0))+SUMPRODUCT(('Stammdaten'!$B$6:$B$30&lt;&gt;"")*('Stammdaten'!$F$6:$F$30=""))+SUMPRODUCT(('Stammdaten'!$J$6:$J$30&lt;&gt;"")*(COUNTIF('Stammdaten'!$J$6:$J$30,'Stammdaten'!$J$6:$J$30&amp;"")&gt;1))&gt;0,"ROT - bitte die Punkte rechts unten klären",IF(SUM(Daten!$C$17:$V$17)+SUM(Daten!$C$18:$V$18)+SUMPRODUCT(('Stammdaten'!$B$6:$B$30&lt;&gt;"")*('Stammdaten'!$G$6:$G$30=""))&gt;0,"GELB - Kleinigkeiten fehlen noch","GRÜN - alle Angaben vollständig"))</f>
        <v/>
      </c>
    </row>
    <row r="7" ht="18" customHeight="1">
      <c r="A7" s="13" t="inlineStr">
        <is>
          <t>aktive Azubis</t>
        </is>
      </c>
      <c r="B7" s="14" t="n"/>
      <c r="C7" s="13" t="inlineStr">
        <is>
          <t>belegte Übungen</t>
        </is>
      </c>
      <c r="D7" s="14" t="n"/>
      <c r="E7" s="13" t="inlineStr">
        <is>
          <t>Ø aller Bewertungen</t>
        </is>
      </c>
      <c r="F7" s="14" t="n"/>
      <c r="G7" s="13" t="inlineStr">
        <is>
          <t>Azubis in der Warnübersicht</t>
        </is>
      </c>
      <c r="H7" s="14" t="n"/>
    </row>
    <row r="8" ht="10" customHeight="1"/>
    <row r="9" ht="28" customHeight="1">
      <c r="A9" s="15" t="inlineStr">
        <is>
          <t xml:space="preserve"> Übungen – Kennzahlen und Sprung zum Blatt</t>
        </is>
      </c>
      <c r="J9" s="15" t="inlineStr">
        <is>
          <t xml:space="preserve"> Datenprüfung</t>
        </is>
      </c>
    </row>
    <row r="10" ht="20" customHeight="1">
      <c r="A10" s="16" t="inlineStr">
        <is>
          <t>Nr.</t>
        </is>
      </c>
      <c r="B10" s="16" t="inlineStr">
        <is>
          <t>Übung (anklicken)</t>
        </is>
      </c>
      <c r="C10" s="16" t="inlineStr">
        <is>
          <t>Art</t>
        </is>
      </c>
      <c r="D10" s="16" t="inlineStr">
        <is>
          <t>Datum</t>
        </is>
      </c>
      <c r="E10" s="16" t="inlineStr">
        <is>
          <t>Status</t>
        </is>
      </c>
      <c r="F10" s="16" t="inlineStr">
        <is>
          <t>bewertet</t>
        </is>
      </c>
      <c r="G10" s="16" t="inlineStr">
        <is>
          <t>Ø Prozent</t>
        </is>
      </c>
      <c r="H10" s="16" t="inlineStr">
        <is>
          <t>Ø IHK-Note</t>
        </is>
      </c>
      <c r="J10" s="17" t="inlineStr">
        <is>
          <t>Azubis ohne Ausbildungsstart</t>
        </is>
      </c>
      <c r="M10" s="18">
        <f>SUMPRODUCT(('Stammdaten'!$B$6:$B$30&lt;&gt;"")*('Stammdaten'!$F$6:$F$30=""))</f>
        <v/>
      </c>
    </row>
    <row r="11" ht="20" customHeight="1">
      <c r="A11" s="19" t="n">
        <v>1</v>
      </c>
      <c r="B11" s="20">
        <f>IF('Übungen'!$C6="","(frei – Übung 01)",'Übungen'!$C6)</f>
        <v/>
      </c>
      <c r="C11" s="21">
        <f>IF('Übungen'!$C6="","",Daten!C$6)</f>
        <v/>
      </c>
      <c r="D11" s="22">
        <f>IF('Übungen'!$C6="","",IF(Daten!C$7=0,"",Daten!C$7))</f>
        <v/>
      </c>
      <c r="E11" s="21">
        <f>IF('Übungen'!$C6="","",Daten!C$8)</f>
        <v/>
      </c>
      <c r="F11" s="23">
        <f>'Übungen'!$L6</f>
        <v/>
      </c>
      <c r="G11" s="24">
        <f>'Übungen'!$M6</f>
        <v/>
      </c>
      <c r="H11" s="25">
        <f>'Übungen'!$N6</f>
        <v/>
      </c>
      <c r="J11" s="17" t="inlineStr">
        <is>
          <t>Azubis ohne Status</t>
        </is>
      </c>
      <c r="M11" s="18">
        <f>SUMPRODUCT(('Stammdaten'!$B$6:$B$30&lt;&gt;"")*('Stammdaten'!$G$6:$G$30=""))</f>
        <v/>
      </c>
    </row>
    <row r="12" ht="20" customHeight="1">
      <c r="A12" s="19" t="n">
        <v>2</v>
      </c>
      <c r="B12" s="20">
        <f>IF('Übungen'!$C7="","(frei – Übung 02)",'Übungen'!$C7)</f>
        <v/>
      </c>
      <c r="C12" s="21">
        <f>IF('Übungen'!$C7="","",Daten!D$6)</f>
        <v/>
      </c>
      <c r="D12" s="22">
        <f>IF('Übungen'!$C7="","",IF(Daten!D$7=0,"",Daten!D$7))</f>
        <v/>
      </c>
      <c r="E12" s="21">
        <f>IF('Übungen'!$C7="","",Daten!D$8)</f>
        <v/>
      </c>
      <c r="F12" s="23">
        <f>'Übungen'!$L7</f>
        <v/>
      </c>
      <c r="G12" s="24">
        <f>'Übungen'!$M7</f>
        <v/>
      </c>
      <c r="H12" s="25">
        <f>'Übungen'!$N7</f>
        <v/>
      </c>
      <c r="J12" s="17" t="inlineStr">
        <is>
          <t>Übungen ohne Datum</t>
        </is>
      </c>
      <c r="M12" s="18">
        <f>SUMPRODUCT((Daten!$C$5:$V$5=1)*(Daten!$C$7:$V$7=0))</f>
        <v/>
      </c>
    </row>
    <row r="13" ht="20" customHeight="1">
      <c r="A13" s="19" t="n">
        <v>3</v>
      </c>
      <c r="B13" s="20">
        <f>IF('Übungen'!$C8="","(frei – Übung 03)",'Übungen'!$C8)</f>
        <v/>
      </c>
      <c r="C13" s="21">
        <f>IF('Übungen'!$C8="","",Daten!E$6)</f>
        <v/>
      </c>
      <c r="D13" s="22">
        <f>IF('Übungen'!$C8="","",IF(Daten!E$7=0,"",Daten!E$7))</f>
        <v/>
      </c>
      <c r="E13" s="21">
        <f>IF('Übungen'!$C8="","",Daten!E$8)</f>
        <v/>
      </c>
      <c r="F13" s="23">
        <f>'Übungen'!$L8</f>
        <v/>
      </c>
      <c r="G13" s="24">
        <f>'Übungen'!$M8</f>
        <v/>
      </c>
      <c r="H13" s="25">
        <f>'Übungen'!$N8</f>
        <v/>
      </c>
      <c r="J13" s="17" t="inlineStr">
        <is>
          <t>Übungen ohne Art (Praxis/Theorie)</t>
        </is>
      </c>
      <c r="M13" s="18">
        <f>SUMPRODUCT((Daten!$C$5:$V$5=1)*(Daten!$C$6:$V$6=""))</f>
        <v/>
      </c>
    </row>
    <row r="14" ht="20" customHeight="1">
      <c r="A14" s="19" t="n">
        <v>4</v>
      </c>
      <c r="B14" s="20">
        <f>IF('Übungen'!$C9="","(frei – Übung 04)",'Übungen'!$C9)</f>
        <v/>
      </c>
      <c r="C14" s="21">
        <f>IF('Übungen'!$C9="","",Daten!F$6)</f>
        <v/>
      </c>
      <c r="D14" s="22">
        <f>IF('Übungen'!$C9="","",IF(Daten!F$7=0,"",Daten!F$7))</f>
        <v/>
      </c>
      <c r="E14" s="21">
        <f>IF('Übungen'!$C9="","",Daten!F$8)</f>
        <v/>
      </c>
      <c r="F14" s="23">
        <f>'Übungen'!$L9</f>
        <v/>
      </c>
      <c r="G14" s="24">
        <f>'Übungen'!$M9</f>
        <v/>
      </c>
      <c r="H14" s="25">
        <f>'Übungen'!$N9</f>
        <v/>
      </c>
      <c r="J14" s="17" t="inlineStr">
        <is>
          <t>Übungen ohne Bewertungsparameter</t>
        </is>
      </c>
      <c r="M14" s="18">
        <f>SUMPRODUCT((Daten!$C$5:$V$5=1)*(Daten!$C$13:$V$13=0))</f>
        <v/>
      </c>
    </row>
    <row r="15" ht="20" customHeight="1">
      <c r="A15" s="19" t="n">
        <v>5</v>
      </c>
      <c r="B15" s="20">
        <f>IF('Übungen'!$C10="","(frei – Übung 05)",'Übungen'!$C10)</f>
        <v/>
      </c>
      <c r="C15" s="21">
        <f>IF('Übungen'!$C10="","",Daten!G$6)</f>
        <v/>
      </c>
      <c r="D15" s="22">
        <f>IF('Übungen'!$C10="","",IF(Daten!G$7=0,"",Daten!G$7))</f>
        <v/>
      </c>
      <c r="E15" s="21">
        <f>IF('Übungen'!$C10="","",Daten!G$8)</f>
        <v/>
      </c>
      <c r="F15" s="23">
        <f>'Übungen'!$L10</f>
        <v/>
      </c>
      <c r="G15" s="24">
        <f>'Übungen'!$M10</f>
        <v/>
      </c>
      <c r="H15" s="25">
        <f>'Übungen'!$N10</f>
        <v/>
      </c>
      <c r="J15" s="17" t="inlineStr">
        <is>
          <t>angefangene, unvollständige Zeilen</t>
        </is>
      </c>
      <c r="M15" s="18">
        <f>SUM(Daten!$C$16:$V$16)</f>
        <v/>
      </c>
    </row>
    <row r="16" ht="20" customHeight="1">
      <c r="A16" s="19" t="n">
        <v>6</v>
      </c>
      <c r="B16" s="20">
        <f>IF('Übungen'!$C11="","(frei – Übung 06)",'Übungen'!$C11)</f>
        <v/>
      </c>
      <c r="C16" s="21">
        <f>IF('Übungen'!$C11="","",Daten!H$6)</f>
        <v/>
      </c>
      <c r="D16" s="22">
        <f>IF('Übungen'!$C11="","",IF(Daten!H$7=0,"",Daten!H$7))</f>
        <v/>
      </c>
      <c r="E16" s="21">
        <f>IF('Übungen'!$C11="","",Daten!H$8)</f>
        <v/>
      </c>
      <c r="F16" s="23">
        <f>'Übungen'!$L11</f>
        <v/>
      </c>
      <c r="G16" s="24">
        <f>'Übungen'!$M11</f>
        <v/>
      </c>
      <c r="H16" s="25">
        <f>'Übungen'!$N11</f>
        <v/>
      </c>
      <c r="J16" s="17" t="inlineStr">
        <is>
          <t>ganze Zeile „n.b.“ ohne Grund</t>
        </is>
      </c>
      <c r="M16" s="18">
        <f>SUM(Daten!$C$17:$V$17)</f>
        <v/>
      </c>
    </row>
    <row r="17" ht="20" customHeight="1">
      <c r="A17" s="19" t="n">
        <v>7</v>
      </c>
      <c r="B17" s="20">
        <f>IF('Übungen'!$C12="","(frei – Übung 07)",'Übungen'!$C12)</f>
        <v/>
      </c>
      <c r="C17" s="21">
        <f>IF('Übungen'!$C12="","",Daten!I$6)</f>
        <v/>
      </c>
      <c r="D17" s="22">
        <f>IF('Übungen'!$C12="","",IF(Daten!I$7=0,"",Daten!I$7))</f>
        <v/>
      </c>
      <c r="E17" s="21">
        <f>IF('Übungen'!$C12="","",Daten!I$8)</f>
        <v/>
      </c>
      <c r="F17" s="23">
        <f>'Übungen'!$L12</f>
        <v/>
      </c>
      <c r="G17" s="24">
        <f>'Übungen'!$M12</f>
        <v/>
      </c>
      <c r="H17" s="25">
        <f>'Übungen'!$N12</f>
        <v/>
      </c>
      <c r="J17" s="17" t="inlineStr">
        <is>
          <t>Übungen ohne Kürzel „Bewertet von“</t>
        </is>
      </c>
      <c r="M17" s="18">
        <f>SUM(Daten!$C$18:$V$18)</f>
        <v/>
      </c>
    </row>
    <row r="18" ht="20" customHeight="1">
      <c r="A18" s="19" t="n">
        <v>8</v>
      </c>
      <c r="B18" s="20">
        <f>IF('Übungen'!$C13="","(frei – Übung 08)",'Übungen'!$C13)</f>
        <v/>
      </c>
      <c r="C18" s="21">
        <f>IF('Übungen'!$C13="","",Daten!J$6)</f>
        <v/>
      </c>
      <c r="D18" s="22">
        <f>IF('Übungen'!$C13="","",IF(Daten!J$7=0,"",Daten!J$7))</f>
        <v/>
      </c>
      <c r="E18" s="21">
        <f>IF('Übungen'!$C13="","",Daten!J$8)</f>
        <v/>
      </c>
      <c r="F18" s="23">
        <f>'Übungen'!$L13</f>
        <v/>
      </c>
      <c r="G18" s="24">
        <f>'Übungen'!$M13</f>
        <v/>
      </c>
      <c r="H18" s="25">
        <f>'Übungen'!$N13</f>
        <v/>
      </c>
      <c r="J18" s="17" t="inlineStr">
        <is>
          <t>Azubis mit gleichem Namen</t>
        </is>
      </c>
      <c r="M18" s="18">
        <f>SUMPRODUCT(('Stammdaten'!$J$6:$J$30&lt;&gt;"")*(COUNTIF('Stammdaten'!$J$6:$J$30,'Stammdaten'!$J$6:$J$30&amp;"")&gt;1))</f>
        <v/>
      </c>
    </row>
    <row r="19" ht="20" customHeight="1">
      <c r="A19" s="19" t="n">
        <v>9</v>
      </c>
      <c r="B19" s="20">
        <f>IF('Übungen'!$C14="","(frei – Übung 09)",'Übungen'!$C14)</f>
        <v/>
      </c>
      <c r="C19" s="21">
        <f>IF('Übungen'!$C14="","",Daten!K$6)</f>
        <v/>
      </c>
      <c r="D19" s="22">
        <f>IF('Übungen'!$C14="","",IF(Daten!K$7=0,"",Daten!K$7))</f>
        <v/>
      </c>
      <c r="E19" s="21">
        <f>IF('Übungen'!$C14="","",Daten!K$8)</f>
        <v/>
      </c>
      <c r="F19" s="23">
        <f>'Übungen'!$L14</f>
        <v/>
      </c>
      <c r="G19" s="24">
        <f>'Übungen'!$M14</f>
        <v/>
      </c>
      <c r="H19" s="25">
        <f>'Übungen'!$N14</f>
        <v/>
      </c>
      <c r="J19" s="26">
        <f>" Warnübersicht – zuletzt Note "&amp;WarnNote&amp;" oder schlechter"</f>
        <v/>
      </c>
    </row>
    <row r="20" ht="20" customHeight="1">
      <c r="A20" s="19" t="n">
        <v>10</v>
      </c>
      <c r="B20" s="20">
        <f>IF('Übungen'!$C15="","(frei – Übung 10)",'Übungen'!$C15)</f>
        <v/>
      </c>
      <c r="C20" s="21">
        <f>IF('Übungen'!$C15="","",Daten!L$6)</f>
        <v/>
      </c>
      <c r="D20" s="22">
        <f>IF('Übungen'!$C15="","",IF(Daten!L$7=0,"",Daten!L$7))</f>
        <v/>
      </c>
      <c r="E20" s="21">
        <f>IF('Übungen'!$C15="","",Daten!L$8)</f>
        <v/>
      </c>
      <c r="F20" s="23">
        <f>'Übungen'!$L15</f>
        <v/>
      </c>
      <c r="G20" s="24">
        <f>'Übungen'!$M15</f>
        <v/>
      </c>
      <c r="H20" s="25">
        <f>'Übungen'!$N15</f>
        <v/>
      </c>
      <c r="J20" s="16" t="inlineStr">
        <is>
          <t>Azubi</t>
        </is>
      </c>
      <c r="K20" s="16" t="inlineStr">
        <is>
          <t>LJ / HJ</t>
        </is>
      </c>
      <c r="L20" s="16" t="inlineStr">
        <is>
          <t>Prozent</t>
        </is>
      </c>
      <c r="M20" s="16" t="inlineStr">
        <is>
          <t>IHK-Note</t>
        </is>
      </c>
    </row>
    <row r="21" ht="20" customHeight="1">
      <c r="A21" s="19" t="n">
        <v>11</v>
      </c>
      <c r="B21" s="20">
        <f>IF('Übungen'!$C16="","(frei – Übung 11)",'Übungen'!$C16)</f>
        <v/>
      </c>
      <c r="C21" s="21">
        <f>IF('Übungen'!$C16="","",Daten!M$6)</f>
        <v/>
      </c>
      <c r="D21" s="22">
        <f>IF('Übungen'!$C16="","",IF(Daten!M$7=0,"",Daten!M$7))</f>
        <v/>
      </c>
      <c r="E21" s="21">
        <f>IF('Übungen'!$C16="","",Daten!M$8)</f>
        <v/>
      </c>
      <c r="F21" s="23">
        <f>'Übungen'!$L16</f>
        <v/>
      </c>
      <c r="G21" s="24">
        <f>'Übungen'!$M16</f>
        <v/>
      </c>
      <c r="H21" s="25">
        <f>'Übungen'!$N16</f>
        <v/>
      </c>
      <c r="J21" s="27">
        <f>IF(IFERROR(SMALL(Daten!$H$630:$H$654,1),"")="","",INDEX('Stammdaten'!$J$6:$J$30,IFERROR(SMALL(Daten!$H$630:$H$654,1),"")))</f>
        <v/>
      </c>
      <c r="K21" s="28">
        <f>IF(IFERROR(SMALL(Daten!$H$630:$H$654,1),"")="","",INDEX('Stammdaten'!$H$6:$H$30,IFERROR(SMALL(Daten!$H$630:$H$654,1),""))&amp;" / "&amp;INDEX(Daten!$C$630:$C$654,IFERROR(SMALL(Daten!$H$630:$H$654,1),"")))</f>
        <v/>
      </c>
      <c r="L21" s="24">
        <f>IF(IFERROR(SMALL(Daten!$H$630:$H$654,1),"")="","",INDEX(Daten!$D$630:$D$654,IFERROR(SMALL(Daten!$H$630:$H$654,1),"")))</f>
        <v/>
      </c>
      <c r="M21" s="25">
        <f>IF($L21="","",INDEX(Noten,MAX(1,MIN(COUNT(NGrenze),COUNT(NGrenze)+1-COUNTIF(NGrenze,"&lt;="&amp;$L21))))&amp;" – "&amp;INDEX(NText,MAX(1,MIN(COUNT(NGrenze),COUNT(NGrenze)+1-COUNTIF(NGrenze,"&lt;="&amp;$L21)))))</f>
        <v/>
      </c>
    </row>
    <row r="22" ht="20" customHeight="1">
      <c r="A22" s="19" t="n">
        <v>12</v>
      </c>
      <c r="B22" s="20">
        <f>IF('Übungen'!$C17="","(frei – Übung 12)",'Übungen'!$C17)</f>
        <v/>
      </c>
      <c r="C22" s="21">
        <f>IF('Übungen'!$C17="","",Daten!N$6)</f>
        <v/>
      </c>
      <c r="D22" s="22">
        <f>IF('Übungen'!$C17="","",IF(Daten!N$7=0,"",Daten!N$7))</f>
        <v/>
      </c>
      <c r="E22" s="21">
        <f>IF('Übungen'!$C17="","",Daten!N$8)</f>
        <v/>
      </c>
      <c r="F22" s="23">
        <f>'Übungen'!$L17</f>
        <v/>
      </c>
      <c r="G22" s="24">
        <f>'Übungen'!$M17</f>
        <v/>
      </c>
      <c r="H22" s="25">
        <f>'Übungen'!$N17</f>
        <v/>
      </c>
      <c r="J22" s="27">
        <f>IF(IFERROR(SMALL(Daten!$H$630:$H$654,2),"")="","",INDEX('Stammdaten'!$J$6:$J$30,IFERROR(SMALL(Daten!$H$630:$H$654,2),"")))</f>
        <v/>
      </c>
      <c r="K22" s="28">
        <f>IF(IFERROR(SMALL(Daten!$H$630:$H$654,2),"")="","",INDEX('Stammdaten'!$H$6:$H$30,IFERROR(SMALL(Daten!$H$630:$H$654,2),""))&amp;" / "&amp;INDEX(Daten!$C$630:$C$654,IFERROR(SMALL(Daten!$H$630:$H$654,2),"")))</f>
        <v/>
      </c>
      <c r="L22" s="24">
        <f>IF(IFERROR(SMALL(Daten!$H$630:$H$654,2),"")="","",INDEX(Daten!$D$630:$D$654,IFERROR(SMALL(Daten!$H$630:$H$654,2),"")))</f>
        <v/>
      </c>
      <c r="M22" s="25">
        <f>IF($L22="","",INDEX(Noten,MAX(1,MIN(COUNT(NGrenze),COUNT(NGrenze)+1-COUNTIF(NGrenze,"&lt;="&amp;$L22))))&amp;" – "&amp;INDEX(NText,MAX(1,MIN(COUNT(NGrenze),COUNT(NGrenze)+1-COUNTIF(NGrenze,"&lt;="&amp;$L22)))))</f>
        <v/>
      </c>
    </row>
    <row r="23" ht="20" customHeight="1">
      <c r="A23" s="19" t="n">
        <v>13</v>
      </c>
      <c r="B23" s="20">
        <f>IF('Übungen'!$C18="","(frei – Übung 13)",'Übungen'!$C18)</f>
        <v/>
      </c>
      <c r="C23" s="21">
        <f>IF('Übungen'!$C18="","",Daten!O$6)</f>
        <v/>
      </c>
      <c r="D23" s="22">
        <f>IF('Übungen'!$C18="","",IF(Daten!O$7=0,"",Daten!O$7))</f>
        <v/>
      </c>
      <c r="E23" s="21">
        <f>IF('Übungen'!$C18="","",Daten!O$8)</f>
        <v/>
      </c>
      <c r="F23" s="23">
        <f>'Übungen'!$L18</f>
        <v/>
      </c>
      <c r="G23" s="24">
        <f>'Übungen'!$M18</f>
        <v/>
      </c>
      <c r="H23" s="25">
        <f>'Übungen'!$N18</f>
        <v/>
      </c>
      <c r="J23" s="27">
        <f>IF(IFERROR(SMALL(Daten!$H$630:$H$654,3),"")="","",INDEX('Stammdaten'!$J$6:$J$30,IFERROR(SMALL(Daten!$H$630:$H$654,3),"")))</f>
        <v/>
      </c>
      <c r="K23" s="28">
        <f>IF(IFERROR(SMALL(Daten!$H$630:$H$654,3),"")="","",INDEX('Stammdaten'!$H$6:$H$30,IFERROR(SMALL(Daten!$H$630:$H$654,3),""))&amp;" / "&amp;INDEX(Daten!$C$630:$C$654,IFERROR(SMALL(Daten!$H$630:$H$654,3),"")))</f>
        <v/>
      </c>
      <c r="L23" s="24">
        <f>IF(IFERROR(SMALL(Daten!$H$630:$H$654,3),"")="","",INDEX(Daten!$D$630:$D$654,IFERROR(SMALL(Daten!$H$630:$H$654,3),"")))</f>
        <v/>
      </c>
      <c r="M23" s="25">
        <f>IF($L23="","",INDEX(Noten,MAX(1,MIN(COUNT(NGrenze),COUNT(NGrenze)+1-COUNTIF(NGrenze,"&lt;="&amp;$L23))))&amp;" – "&amp;INDEX(NText,MAX(1,MIN(COUNT(NGrenze),COUNT(NGrenze)+1-COUNTIF(NGrenze,"&lt;="&amp;$L23)))))</f>
        <v/>
      </c>
    </row>
    <row r="24" ht="20" customHeight="1">
      <c r="A24" s="19" t="n">
        <v>14</v>
      </c>
      <c r="B24" s="20">
        <f>IF('Übungen'!$C19="","(frei – Übung 14)",'Übungen'!$C19)</f>
        <v/>
      </c>
      <c r="C24" s="21">
        <f>IF('Übungen'!$C19="","",Daten!P$6)</f>
        <v/>
      </c>
      <c r="D24" s="22">
        <f>IF('Übungen'!$C19="","",IF(Daten!P$7=0,"",Daten!P$7))</f>
        <v/>
      </c>
      <c r="E24" s="21">
        <f>IF('Übungen'!$C19="","",Daten!P$8)</f>
        <v/>
      </c>
      <c r="F24" s="23">
        <f>'Übungen'!$L19</f>
        <v/>
      </c>
      <c r="G24" s="24">
        <f>'Übungen'!$M19</f>
        <v/>
      </c>
      <c r="H24" s="25">
        <f>'Übungen'!$N19</f>
        <v/>
      </c>
      <c r="J24" s="27">
        <f>IF(IFERROR(SMALL(Daten!$H$630:$H$654,4),"")="","",INDEX('Stammdaten'!$J$6:$J$30,IFERROR(SMALL(Daten!$H$630:$H$654,4),"")))</f>
        <v/>
      </c>
      <c r="K24" s="28">
        <f>IF(IFERROR(SMALL(Daten!$H$630:$H$654,4),"")="","",INDEX('Stammdaten'!$H$6:$H$30,IFERROR(SMALL(Daten!$H$630:$H$654,4),""))&amp;" / "&amp;INDEX(Daten!$C$630:$C$654,IFERROR(SMALL(Daten!$H$630:$H$654,4),"")))</f>
        <v/>
      </c>
      <c r="L24" s="24">
        <f>IF(IFERROR(SMALL(Daten!$H$630:$H$654,4),"")="","",INDEX(Daten!$D$630:$D$654,IFERROR(SMALL(Daten!$H$630:$H$654,4),"")))</f>
        <v/>
      </c>
      <c r="M24" s="25">
        <f>IF($L24="","",INDEX(Noten,MAX(1,MIN(COUNT(NGrenze),COUNT(NGrenze)+1-COUNTIF(NGrenze,"&lt;="&amp;$L24))))&amp;" – "&amp;INDEX(NText,MAX(1,MIN(COUNT(NGrenze),COUNT(NGrenze)+1-COUNTIF(NGrenze,"&lt;="&amp;$L24)))))</f>
        <v/>
      </c>
    </row>
    <row r="25" ht="20" customHeight="1">
      <c r="A25" s="19" t="n">
        <v>15</v>
      </c>
      <c r="B25" s="20">
        <f>IF('Übungen'!$C20="","(frei – Übung 15)",'Übungen'!$C20)</f>
        <v/>
      </c>
      <c r="C25" s="21">
        <f>IF('Übungen'!$C20="","",Daten!Q$6)</f>
        <v/>
      </c>
      <c r="D25" s="22">
        <f>IF('Übungen'!$C20="","",IF(Daten!Q$7=0,"",Daten!Q$7))</f>
        <v/>
      </c>
      <c r="E25" s="21">
        <f>IF('Übungen'!$C20="","",Daten!Q$8)</f>
        <v/>
      </c>
      <c r="F25" s="23">
        <f>'Übungen'!$L20</f>
        <v/>
      </c>
      <c r="G25" s="24">
        <f>'Übungen'!$M20</f>
        <v/>
      </c>
      <c r="H25" s="25">
        <f>'Übungen'!$N20</f>
        <v/>
      </c>
      <c r="J25" s="27">
        <f>IF(IFERROR(SMALL(Daten!$H$630:$H$654,5),"")="","",INDEX('Stammdaten'!$J$6:$J$30,IFERROR(SMALL(Daten!$H$630:$H$654,5),"")))</f>
        <v/>
      </c>
      <c r="K25" s="28">
        <f>IF(IFERROR(SMALL(Daten!$H$630:$H$654,5),"")="","",INDEX('Stammdaten'!$H$6:$H$30,IFERROR(SMALL(Daten!$H$630:$H$654,5),""))&amp;" / "&amp;INDEX(Daten!$C$630:$C$654,IFERROR(SMALL(Daten!$H$630:$H$654,5),"")))</f>
        <v/>
      </c>
      <c r="L25" s="24">
        <f>IF(IFERROR(SMALL(Daten!$H$630:$H$654,5),"")="","",INDEX(Daten!$D$630:$D$654,IFERROR(SMALL(Daten!$H$630:$H$654,5),"")))</f>
        <v/>
      </c>
      <c r="M25" s="25">
        <f>IF($L25="","",INDEX(Noten,MAX(1,MIN(COUNT(NGrenze),COUNT(NGrenze)+1-COUNTIF(NGrenze,"&lt;="&amp;$L25))))&amp;" – "&amp;INDEX(NText,MAX(1,MIN(COUNT(NGrenze),COUNT(NGrenze)+1-COUNTIF(NGrenze,"&lt;="&amp;$L25)))))</f>
        <v/>
      </c>
    </row>
    <row r="26" ht="20" customHeight="1">
      <c r="A26" s="19" t="n">
        <v>16</v>
      </c>
      <c r="B26" s="20">
        <f>IF('Übungen'!$C21="","(frei – Übung 16)",'Übungen'!$C21)</f>
        <v/>
      </c>
      <c r="C26" s="21">
        <f>IF('Übungen'!$C21="","",Daten!R$6)</f>
        <v/>
      </c>
      <c r="D26" s="22">
        <f>IF('Übungen'!$C21="","",IF(Daten!R$7=0,"",Daten!R$7))</f>
        <v/>
      </c>
      <c r="E26" s="21">
        <f>IF('Übungen'!$C21="","",Daten!R$8)</f>
        <v/>
      </c>
      <c r="F26" s="23">
        <f>'Übungen'!$L21</f>
        <v/>
      </c>
      <c r="G26" s="24">
        <f>'Übungen'!$M21</f>
        <v/>
      </c>
      <c r="H26" s="25">
        <f>'Übungen'!$N21</f>
        <v/>
      </c>
      <c r="J26" s="27">
        <f>IF(IFERROR(SMALL(Daten!$H$630:$H$654,6),"")="","",INDEX('Stammdaten'!$J$6:$J$30,IFERROR(SMALL(Daten!$H$630:$H$654,6),"")))</f>
        <v/>
      </c>
      <c r="K26" s="28">
        <f>IF(IFERROR(SMALL(Daten!$H$630:$H$654,6),"")="","",INDEX('Stammdaten'!$H$6:$H$30,IFERROR(SMALL(Daten!$H$630:$H$654,6),""))&amp;" / "&amp;INDEX(Daten!$C$630:$C$654,IFERROR(SMALL(Daten!$H$630:$H$654,6),"")))</f>
        <v/>
      </c>
      <c r="L26" s="24">
        <f>IF(IFERROR(SMALL(Daten!$H$630:$H$654,6),"")="","",INDEX(Daten!$D$630:$D$654,IFERROR(SMALL(Daten!$H$630:$H$654,6),"")))</f>
        <v/>
      </c>
      <c r="M26" s="25">
        <f>IF($L26="","",INDEX(Noten,MAX(1,MIN(COUNT(NGrenze),COUNT(NGrenze)+1-COUNTIF(NGrenze,"&lt;="&amp;$L26))))&amp;" – "&amp;INDEX(NText,MAX(1,MIN(COUNT(NGrenze),COUNT(NGrenze)+1-COUNTIF(NGrenze,"&lt;="&amp;$L26)))))</f>
        <v/>
      </c>
    </row>
    <row r="27" ht="20" customHeight="1">
      <c r="A27" s="19" t="n">
        <v>17</v>
      </c>
      <c r="B27" s="20">
        <f>IF('Übungen'!$C22="","(frei – Übung 17)",'Übungen'!$C22)</f>
        <v/>
      </c>
      <c r="C27" s="21">
        <f>IF('Übungen'!$C22="","",Daten!S$6)</f>
        <v/>
      </c>
      <c r="D27" s="22">
        <f>IF('Übungen'!$C22="","",IF(Daten!S$7=0,"",Daten!S$7))</f>
        <v/>
      </c>
      <c r="E27" s="21">
        <f>IF('Übungen'!$C22="","",Daten!S$8)</f>
        <v/>
      </c>
      <c r="F27" s="23">
        <f>'Übungen'!$L22</f>
        <v/>
      </c>
      <c r="G27" s="24">
        <f>'Übungen'!$M22</f>
        <v/>
      </c>
      <c r="H27" s="25">
        <f>'Übungen'!$N22</f>
        <v/>
      </c>
      <c r="J27" s="27">
        <f>IF(IFERROR(SMALL(Daten!$H$630:$H$654,7),"")="","",INDEX('Stammdaten'!$J$6:$J$30,IFERROR(SMALL(Daten!$H$630:$H$654,7),"")))</f>
        <v/>
      </c>
      <c r="K27" s="28">
        <f>IF(IFERROR(SMALL(Daten!$H$630:$H$654,7),"")="","",INDEX('Stammdaten'!$H$6:$H$30,IFERROR(SMALL(Daten!$H$630:$H$654,7),""))&amp;" / "&amp;INDEX(Daten!$C$630:$C$654,IFERROR(SMALL(Daten!$H$630:$H$654,7),"")))</f>
        <v/>
      </c>
      <c r="L27" s="24">
        <f>IF(IFERROR(SMALL(Daten!$H$630:$H$654,7),"")="","",INDEX(Daten!$D$630:$D$654,IFERROR(SMALL(Daten!$H$630:$H$654,7),"")))</f>
        <v/>
      </c>
      <c r="M27" s="25">
        <f>IF($L27="","",INDEX(Noten,MAX(1,MIN(COUNT(NGrenze),COUNT(NGrenze)+1-COUNTIF(NGrenze,"&lt;="&amp;$L27))))&amp;" – "&amp;INDEX(NText,MAX(1,MIN(COUNT(NGrenze),COUNT(NGrenze)+1-COUNTIF(NGrenze,"&lt;="&amp;$L27)))))</f>
        <v/>
      </c>
    </row>
    <row r="28" ht="20" customHeight="1">
      <c r="A28" s="19" t="n">
        <v>18</v>
      </c>
      <c r="B28" s="20">
        <f>IF('Übungen'!$C23="","(frei – Übung 18)",'Übungen'!$C23)</f>
        <v/>
      </c>
      <c r="C28" s="21">
        <f>IF('Übungen'!$C23="","",Daten!T$6)</f>
        <v/>
      </c>
      <c r="D28" s="22">
        <f>IF('Übungen'!$C23="","",IF(Daten!T$7=0,"",Daten!T$7))</f>
        <v/>
      </c>
      <c r="E28" s="21">
        <f>IF('Übungen'!$C23="","",Daten!T$8)</f>
        <v/>
      </c>
      <c r="F28" s="23">
        <f>'Übungen'!$L23</f>
        <v/>
      </c>
      <c r="G28" s="24">
        <f>'Übungen'!$M23</f>
        <v/>
      </c>
      <c r="H28" s="25">
        <f>'Übungen'!$N23</f>
        <v/>
      </c>
      <c r="J28" s="27">
        <f>IF(IFERROR(SMALL(Daten!$H$630:$H$654,8),"")="","",INDEX('Stammdaten'!$J$6:$J$30,IFERROR(SMALL(Daten!$H$630:$H$654,8),"")))</f>
        <v/>
      </c>
      <c r="K28" s="28">
        <f>IF(IFERROR(SMALL(Daten!$H$630:$H$654,8),"")="","",INDEX('Stammdaten'!$H$6:$H$30,IFERROR(SMALL(Daten!$H$630:$H$654,8),""))&amp;" / "&amp;INDEX(Daten!$C$630:$C$654,IFERROR(SMALL(Daten!$H$630:$H$654,8),"")))</f>
        <v/>
      </c>
      <c r="L28" s="24">
        <f>IF(IFERROR(SMALL(Daten!$H$630:$H$654,8),"")="","",INDEX(Daten!$D$630:$D$654,IFERROR(SMALL(Daten!$H$630:$H$654,8),"")))</f>
        <v/>
      </c>
      <c r="M28" s="25">
        <f>IF($L28="","",INDEX(Noten,MAX(1,MIN(COUNT(NGrenze),COUNT(NGrenze)+1-COUNTIF(NGrenze,"&lt;="&amp;$L28))))&amp;" – "&amp;INDEX(NText,MAX(1,MIN(COUNT(NGrenze),COUNT(NGrenze)+1-COUNTIF(NGrenze,"&lt;="&amp;$L28)))))</f>
        <v/>
      </c>
    </row>
    <row r="29" ht="20" customHeight="1">
      <c r="A29" s="19" t="n">
        <v>19</v>
      </c>
      <c r="B29" s="20">
        <f>IF('Übungen'!$C24="","(frei – Übung 19)",'Übungen'!$C24)</f>
        <v/>
      </c>
      <c r="C29" s="21">
        <f>IF('Übungen'!$C24="","",Daten!U$6)</f>
        <v/>
      </c>
      <c r="D29" s="22">
        <f>IF('Übungen'!$C24="","",IF(Daten!U$7=0,"",Daten!U$7))</f>
        <v/>
      </c>
      <c r="E29" s="21">
        <f>IF('Übungen'!$C24="","",Daten!U$8)</f>
        <v/>
      </c>
      <c r="F29" s="23">
        <f>'Übungen'!$L24</f>
        <v/>
      </c>
      <c r="G29" s="24">
        <f>'Übungen'!$M24</f>
        <v/>
      </c>
      <c r="H29" s="25">
        <f>'Übungen'!$N24</f>
        <v/>
      </c>
      <c r="J29" s="27">
        <f>IF(IFERROR(SMALL(Daten!$H$630:$H$654,9),"")="","",INDEX('Stammdaten'!$J$6:$J$30,IFERROR(SMALL(Daten!$H$630:$H$654,9),"")))</f>
        <v/>
      </c>
      <c r="K29" s="28">
        <f>IF(IFERROR(SMALL(Daten!$H$630:$H$654,9),"")="","",INDEX('Stammdaten'!$H$6:$H$30,IFERROR(SMALL(Daten!$H$630:$H$654,9),""))&amp;" / "&amp;INDEX(Daten!$C$630:$C$654,IFERROR(SMALL(Daten!$H$630:$H$654,9),"")))</f>
        <v/>
      </c>
      <c r="L29" s="24">
        <f>IF(IFERROR(SMALL(Daten!$H$630:$H$654,9),"")="","",INDEX(Daten!$D$630:$D$654,IFERROR(SMALL(Daten!$H$630:$H$654,9),"")))</f>
        <v/>
      </c>
      <c r="M29" s="25">
        <f>IF($L29="","",INDEX(Noten,MAX(1,MIN(COUNT(NGrenze),COUNT(NGrenze)+1-COUNTIF(NGrenze,"&lt;="&amp;$L29))))&amp;" – "&amp;INDEX(NText,MAX(1,MIN(COUNT(NGrenze),COUNT(NGrenze)+1-COUNTIF(NGrenze,"&lt;="&amp;$L29)))))</f>
        <v/>
      </c>
    </row>
    <row r="30" ht="20" customHeight="1">
      <c r="A30" s="19" t="n">
        <v>20</v>
      </c>
      <c r="B30" s="20">
        <f>IF('Übungen'!$C25="","(frei – Übung 20)",'Übungen'!$C25)</f>
        <v/>
      </c>
      <c r="C30" s="21">
        <f>IF('Übungen'!$C25="","",Daten!V$6)</f>
        <v/>
      </c>
      <c r="D30" s="22">
        <f>IF('Übungen'!$C25="","",IF(Daten!V$7=0,"",Daten!V$7))</f>
        <v/>
      </c>
      <c r="E30" s="21">
        <f>IF('Übungen'!$C25="","",Daten!V$8)</f>
        <v/>
      </c>
      <c r="F30" s="23">
        <f>'Übungen'!$L25</f>
        <v/>
      </c>
      <c r="G30" s="24">
        <f>'Übungen'!$M25</f>
        <v/>
      </c>
      <c r="H30" s="25">
        <f>'Übungen'!$N25</f>
        <v/>
      </c>
      <c r="J30" s="27">
        <f>IF(IFERROR(SMALL(Daten!$H$630:$H$654,10),"")="","",INDEX('Stammdaten'!$J$6:$J$30,IFERROR(SMALL(Daten!$H$630:$H$654,10),"")))</f>
        <v/>
      </c>
      <c r="K30" s="28">
        <f>IF(IFERROR(SMALL(Daten!$H$630:$H$654,10),"")="","",INDEX('Stammdaten'!$H$6:$H$30,IFERROR(SMALL(Daten!$H$630:$H$654,10),""))&amp;" / "&amp;INDEX(Daten!$C$630:$C$654,IFERROR(SMALL(Daten!$H$630:$H$654,10),"")))</f>
        <v/>
      </c>
      <c r="L30" s="24">
        <f>IF(IFERROR(SMALL(Daten!$H$630:$H$654,10),"")="","",INDEX(Daten!$D$630:$D$654,IFERROR(SMALL(Daten!$H$630:$H$654,10),"")))</f>
        <v/>
      </c>
      <c r="M30" s="25">
        <f>IF($L30="","",INDEX(Noten,MAX(1,MIN(COUNT(NGrenze),COUNT(NGrenze)+1-COUNTIF(NGrenze,"&lt;="&amp;$L30))))&amp;" – "&amp;INDEX(NText,MAX(1,MIN(COUNT(NGrenze),COUNT(NGrenze)+1-COUNTIF(NGrenze,"&lt;="&amp;$L30)))))</f>
        <v/>
      </c>
    </row>
    <row r="31" ht="20" customHeight="1"/>
    <row r="32" ht="26" customHeight="1">
      <c r="A32" s="26" t="inlineStr">
        <is>
          <t xml:space="preserve"> Farblegende</t>
        </is>
      </c>
      <c r="C32" s="29">
        <f>INDEX(Noten,1)&amp;" – "&amp;INDEX(NText,1)&amp;" (ab "&amp;TEXT(INDEX(NGrenze,1)*100,"0")&amp;" %)"</f>
        <v/>
      </c>
      <c r="E32" s="30">
        <f>INDEX(Noten,2)&amp;" – "&amp;INDEX(NText,2)&amp;" (ab "&amp;TEXT(INDEX(NGrenze,2)*100,"0")&amp;" %)"</f>
        <v/>
      </c>
      <c r="G32" s="31">
        <f>INDEX(Noten,3)&amp;" – "&amp;INDEX(NText,3)&amp;" (ab "&amp;TEXT(INDEX(NGrenze,3)*100,"0")&amp;" %)"</f>
        <v/>
      </c>
      <c r="I32" s="32">
        <f>INDEX(Noten,4)&amp;" – "&amp;INDEX(NText,4)&amp;" (ab "&amp;TEXT(INDEX(NGrenze,4)*100,"0")&amp;" %)"</f>
        <v/>
      </c>
      <c r="K32" s="33">
        <f>INDEX(Noten,5)&amp;" – "&amp;INDEX(NText,5)&amp;" (ab "&amp;TEXT(INDEX(NGrenze,5)*100,"0")&amp;" %)"</f>
        <v/>
      </c>
      <c r="M32" s="34">
        <f>INDEX(Noten,6)&amp;" – "&amp;INDEX(NText,6)&amp;" (ab "&amp;TEXT(INDEX(NGrenze,6)*100,"0")&amp;" %)"</f>
        <v/>
      </c>
    </row>
    <row r="33" ht="8" customHeight="1"/>
    <row r="34" ht="22" customHeight="1">
      <c r="A34" s="35" t="inlineStr">
        <is>
          <t>Farbe und Zahl sagen immer dasselbe – die Datei bleibt in Schwarz-Weiß und für Farbenblinde lesbar. Die Prozentgrenzen stehen im Blatt „Einstellungen“; wer sie dort ändert, ändert die Einfärbung überall mit. Die Datei liegt auf SharePoint: frühere Stände holt man über Datei &gt; Informationen &gt; Versionsverlauf zurück. Die Warnübersicht rechts bezieht sich auf das zuletzt bewertete Halbjahr des jeweiligen Azubis.</t>
        </is>
      </c>
      <c r="B34" s="36" t="n"/>
      <c r="C34" s="36" t="n"/>
      <c r="D34" s="36" t="n"/>
      <c r="E34" s="36" t="n"/>
      <c r="F34" s="36" t="n"/>
      <c r="G34" s="36" t="n"/>
      <c r="H34" s="36" t="n"/>
      <c r="I34" s="36" t="n"/>
      <c r="J34" s="36" t="n"/>
      <c r="K34" s="36" t="n"/>
      <c r="L34" s="36" t="n"/>
      <c r="M34" s="36" t="n"/>
      <c r="N34" s="10" t="n"/>
    </row>
    <row r="35" ht="22" customHeight="1">
      <c r="A35" s="37" t="n"/>
      <c r="B35" s="38" t="n"/>
      <c r="C35" s="38" t="n"/>
      <c r="D35" s="38" t="n"/>
      <c r="E35" s="38" t="n"/>
      <c r="F35" s="38" t="n"/>
      <c r="G35" s="38" t="n"/>
      <c r="H35" s="38" t="n"/>
      <c r="I35" s="38" t="n"/>
      <c r="J35" s="38" t="n"/>
      <c r="K35" s="38" t="n"/>
      <c r="L35" s="38" t="n"/>
      <c r="M35" s="38" t="n"/>
      <c r="N35" s="14" t="n"/>
    </row>
  </sheetData>
  <mergeCells count="39">
    <mergeCell ref="A9:H9"/>
    <mergeCell ref="C6:D6"/>
    <mergeCell ref="J19:N19"/>
    <mergeCell ref="A6:B6"/>
    <mergeCell ref="J11:L11"/>
    <mergeCell ref="C4:D4"/>
    <mergeCell ref="E4:F4"/>
    <mergeCell ref="J9:N9"/>
    <mergeCell ref="J16:L16"/>
    <mergeCell ref="A7:B7"/>
    <mergeCell ref="G7:H7"/>
    <mergeCell ref="I32:J32"/>
    <mergeCell ref="K32:L32"/>
    <mergeCell ref="G6:H6"/>
    <mergeCell ref="J12:L12"/>
    <mergeCell ref="A1:J1"/>
    <mergeCell ref="A3:H3"/>
    <mergeCell ref="J4:K4"/>
    <mergeCell ref="E6:F6"/>
    <mergeCell ref="L4:M4"/>
    <mergeCell ref="A34:N35"/>
    <mergeCell ref="J18:L18"/>
    <mergeCell ref="A32:B32"/>
    <mergeCell ref="J17:L17"/>
    <mergeCell ref="A4:B4"/>
    <mergeCell ref="G4:H4"/>
    <mergeCell ref="J14:L14"/>
    <mergeCell ref="J3:N3"/>
    <mergeCell ref="C7:D7"/>
    <mergeCell ref="J10:L10"/>
    <mergeCell ref="E7:F7"/>
    <mergeCell ref="C32:D32"/>
    <mergeCell ref="J13:L13"/>
    <mergeCell ref="E32:F32"/>
    <mergeCell ref="G32:H32"/>
    <mergeCell ref="M32:N32"/>
    <mergeCell ref="J6:N7"/>
    <mergeCell ref="A2:J2"/>
    <mergeCell ref="J15:L15"/>
  </mergeCells>
  <conditionalFormatting sqref="J6:N7">
    <cfRule type="expression" priority="1" dxfId="0" stopIfTrue="1">
      <formula>LEFT($J$6,3)="ROT"</formula>
    </cfRule>
    <cfRule type="expression" priority="2" dxfId="1" stopIfTrue="1">
      <formula>LEFT($J$6,4)="GELB"</formula>
    </cfRule>
  </conditionalFormatting>
  <conditionalFormatting sqref="G11:H30">
    <cfRule type="expression" priority="3" dxfId="2" stopIfTrue="1">
      <formula>AND(ISNUMBER($G11),$G11&gt;=INDEX(NGrenze,1))</formula>
    </cfRule>
    <cfRule type="expression" priority="4" dxfId="3" stopIfTrue="1">
      <formula>AND(ISNUMBER($G11),$G11&gt;=INDEX(NGrenze,2))</formula>
    </cfRule>
    <cfRule type="expression" priority="5" dxfId="4" stopIfTrue="1">
      <formula>AND(ISNUMBER($G11),$G11&gt;=INDEX(NGrenze,3))</formula>
    </cfRule>
    <cfRule type="expression" priority="6" dxfId="5" stopIfTrue="1">
      <formula>AND(ISNUMBER($G11),$G11&gt;=INDEX(NGrenze,4))</formula>
    </cfRule>
    <cfRule type="expression" priority="7" dxfId="6" stopIfTrue="1">
      <formula>AND(ISNUMBER($G11),$G11&gt;=INDEX(NGrenze,5))</formula>
    </cfRule>
    <cfRule type="expression" priority="8" dxfId="7" stopIfTrue="1">
      <formula>AND(ISNUMBER($G11),$G11&gt;=INDEX(NGrenze,6))</formula>
    </cfRule>
  </conditionalFormatting>
  <conditionalFormatting sqref="A11:H30">
    <cfRule type="expression" priority="9" dxfId="8">
      <formula>'Übungen'!$C6=""</formula>
    </cfRule>
  </conditionalFormatting>
  <conditionalFormatting sqref="M10">
    <cfRule type="expression" priority="10" dxfId="9">
      <formula>$M10&gt;0</formula>
    </cfRule>
    <cfRule type="expression" priority="11" dxfId="10">
      <formula>$M10=0</formula>
    </cfRule>
  </conditionalFormatting>
  <conditionalFormatting sqref="M11">
    <cfRule type="expression" priority="12" dxfId="11">
      <formula>$M11&gt;0</formula>
    </cfRule>
    <cfRule type="expression" priority="13" dxfId="10">
      <formula>$M11=0</formula>
    </cfRule>
  </conditionalFormatting>
  <conditionalFormatting sqref="M12">
    <cfRule type="expression" priority="14" dxfId="9">
      <formula>$M12&gt;0</formula>
    </cfRule>
    <cfRule type="expression" priority="15" dxfId="10">
      <formula>$M12=0</formula>
    </cfRule>
  </conditionalFormatting>
  <conditionalFormatting sqref="M13">
    <cfRule type="expression" priority="16" dxfId="9">
      <formula>$M13&gt;0</formula>
    </cfRule>
    <cfRule type="expression" priority="17" dxfId="10">
      <formula>$M13=0</formula>
    </cfRule>
  </conditionalFormatting>
  <conditionalFormatting sqref="M14">
    <cfRule type="expression" priority="18" dxfId="9">
      <formula>$M14&gt;0</formula>
    </cfRule>
    <cfRule type="expression" priority="19" dxfId="10">
      <formula>$M14=0</formula>
    </cfRule>
  </conditionalFormatting>
  <conditionalFormatting sqref="M15">
    <cfRule type="expression" priority="20" dxfId="9">
      <formula>$M15&gt;0</formula>
    </cfRule>
    <cfRule type="expression" priority="21" dxfId="10">
      <formula>$M15=0</formula>
    </cfRule>
  </conditionalFormatting>
  <conditionalFormatting sqref="M16">
    <cfRule type="expression" priority="22" dxfId="11">
      <formula>$M16&gt;0</formula>
    </cfRule>
    <cfRule type="expression" priority="23" dxfId="10">
      <formula>$M16=0</formula>
    </cfRule>
  </conditionalFormatting>
  <conditionalFormatting sqref="M17">
    <cfRule type="expression" priority="24" dxfId="11">
      <formula>$M17&gt;0</formula>
    </cfRule>
    <cfRule type="expression" priority="25" dxfId="10">
      <formula>$M17=0</formula>
    </cfRule>
  </conditionalFormatting>
  <conditionalFormatting sqref="M18">
    <cfRule type="expression" priority="26" dxfId="9">
      <formula>$M18&gt;0</formula>
    </cfRule>
    <cfRule type="expression" priority="27" dxfId="10">
      <formula>$M18=0</formula>
    </cfRule>
  </conditionalFormatting>
  <conditionalFormatting sqref="L21:M30">
    <cfRule type="expression" priority="28" dxfId="2" stopIfTrue="1">
      <formula>AND(ISNUMBER($L21),$L21&gt;=INDEX(NGrenze,1))</formula>
    </cfRule>
    <cfRule type="expression" priority="29" dxfId="3" stopIfTrue="1">
      <formula>AND(ISNUMBER($L21),$L21&gt;=INDEX(NGrenze,2))</formula>
    </cfRule>
    <cfRule type="expression" priority="30" dxfId="4" stopIfTrue="1">
      <formula>AND(ISNUMBER($L21),$L21&gt;=INDEX(NGrenze,3))</formula>
    </cfRule>
    <cfRule type="expression" priority="31" dxfId="5" stopIfTrue="1">
      <formula>AND(ISNUMBER($L21),$L21&gt;=INDEX(NGrenze,4))</formula>
    </cfRule>
    <cfRule type="expression" priority="32" dxfId="6" stopIfTrue="1">
      <formula>AND(ISNUMBER($L21),$L21&gt;=INDEX(NGrenze,5))</formula>
    </cfRule>
    <cfRule type="expression" priority="33" dxfId="7" stopIfTrue="1">
      <formula>AND(ISNUMBER($L21),$L21&gt;=INDEX(NGrenze,6))</formula>
    </cfRule>
  </conditionalFormatting>
  <hyperlinks>
    <hyperlink ref="J3" location="Anleitung!A1"/>
    <hyperlink ref="A4" location="'Azubi-Ansicht'!A1"/>
    <hyperlink ref="C4" location="'Gesprächsseite'!A1"/>
    <hyperlink ref="E4" location="Halbjahr!A1"/>
    <hyperlink ref="G4" location="'Übungen'!A1"/>
    <hyperlink ref="J4" location="Stammdaten!A1"/>
    <hyperlink ref="L4" location="Einstellungen!A1"/>
    <hyperlink ref="B11" location="'Übung 01'!A1"/>
    <hyperlink ref="B12" location="'Übung 02'!A1"/>
    <hyperlink ref="B13" location="'Übung 03'!A1"/>
    <hyperlink ref="B14" location="'Übung 04'!A1"/>
    <hyperlink ref="B15" location="'Übung 05'!A1"/>
    <hyperlink ref="B16" location="'Übung 06'!A1"/>
    <hyperlink ref="B17" location="'Übung 07'!A1"/>
    <hyperlink ref="B18" location="'Übung 08'!A1"/>
    <hyperlink ref="B19" location="'Übung 09'!A1"/>
    <hyperlink ref="B20" location="'Übung 10'!A1"/>
    <hyperlink ref="B21" location="'Übung 11'!A1"/>
    <hyperlink ref="B22" location="'Übung 12'!A1"/>
    <hyperlink ref="B23" location="'Übung 13'!A1"/>
    <hyperlink ref="B24" location="'Übung 14'!A1"/>
    <hyperlink ref="B25" location="'Übung 15'!A1"/>
    <hyperlink ref="B26" location="'Übung 16'!A1"/>
    <hyperlink ref="B27" location="'Übung 17'!A1"/>
    <hyperlink ref="B28" location="'Übung 18'!A1"/>
    <hyperlink ref="B29" location="'Übung 19'!A1"/>
    <hyperlink ref="B30" location="'Übung 20'!A1"/>
  </hyperlinks>
  <pageMargins left="0.5" right="0.4" top="0.5" bottom="0.4" header="0.5" footer="0.5"/>
  <pageSetup orientation="landscape" paperSize="9" fitToHeight="0" fitToWidth="1"/>
</worksheet>
</file>

<file path=xl/worksheets/sheet2.xml><?xml version="1.0" encoding="utf-8"?>
<worksheet xmlns="http://schemas.openxmlformats.org/spreadsheetml/2006/main">
  <sheetPr>
    <tabColor rgb="0022395C"/>
    <outlinePr summaryBelow="1" summaryRight="1"/>
    <pageSetUpPr fitToPage="1"/>
  </sheetPr>
  <dimension ref="A1:M100"/>
  <sheetViews>
    <sheetView showGridLines="0" workbookViewId="0">
      <pane ySplit="5" topLeftCell="A6" activePane="bottomLeft" state="frozen"/>
      <selection pane="bottomLeft" activeCell="A1" sqref="A1"/>
    </sheetView>
  </sheetViews>
  <sheetFormatPr baseColWidth="8" defaultRowHeight="15"/>
  <cols>
    <col width="5" customWidth="1" min="1" max="1"/>
    <col width="28" customWidth="1" min="2" max="2"/>
    <col width="12" customWidth="1" min="3" max="3"/>
    <col width="13" customWidth="1" min="4" max="4"/>
    <col width="16" customWidth="1" min="5" max="5"/>
    <col width="13" customWidth="1" min="6" max="6"/>
    <col width="16" customWidth="1" min="7" max="7"/>
    <col width="13" customWidth="1" min="8" max="8"/>
    <col width="18" customWidth="1" min="9" max="9"/>
    <col width="19" customWidth="1" min="10" max="10"/>
    <col width="13" customWidth="1" min="11" max="11"/>
    <col width="24" customWidth="1" min="12" max="12"/>
    <col width="2" customWidth="1" min="13" max="13"/>
  </cols>
  <sheetData>
    <row r="1" ht="34" customHeight="1">
      <c r="A1" s="1" t="inlineStr">
        <is>
          <t>Azubi-Ansicht</t>
        </is>
      </c>
      <c r="B1" s="2" t="n"/>
      <c r="C1" s="2" t="n"/>
      <c r="D1" s="2" t="n"/>
      <c r="E1" s="2" t="n"/>
      <c r="F1" s="2" t="n"/>
      <c r="G1" s="2" t="n"/>
      <c r="H1" s="2" t="n"/>
      <c r="I1" s="2" t="n"/>
      <c r="J1" s="39" t="inlineStr">
        <is>
          <t>«  Zurück zur Startseite</t>
        </is>
      </c>
    </row>
    <row r="2" ht="18" customHeight="1">
      <c r="A2" s="3" t="inlineStr">
        <is>
          <t>Alles zu einem Azubi: laufende Projekte, bewertete Übungen, Halbjahre und Verlauf</t>
        </is>
      </c>
      <c r="B2" s="2" t="n"/>
      <c r="C2" s="2" t="n"/>
      <c r="D2" s="2" t="n"/>
      <c r="E2" s="2" t="n"/>
      <c r="F2" s="2" t="n"/>
      <c r="G2" s="2" t="n"/>
      <c r="H2" s="2" t="n"/>
      <c r="I2" s="2" t="n"/>
    </row>
    <row r="3" ht="24" customHeight="1">
      <c r="A3" s="4" t="inlineStr">
        <is>
          <t>Farben:  gelb = hier eintragen   ·   grau-blau = rechnet die Datei selbst   ·   „n.b.“ = nicht bewertet</t>
        </is>
      </c>
    </row>
    <row r="4" ht="26" customHeight="1">
      <c r="A4" s="40" t="inlineStr">
        <is>
          <t xml:space="preserve"> Filter Ausbildungsberuf</t>
        </is>
      </c>
      <c r="C4" s="41" t="inlineStr">
        <is>
          <t>(alle)</t>
        </is>
      </c>
      <c r="F4" s="40" t="inlineStr">
        <is>
          <t xml:space="preserve"> Filter Jahrgang</t>
        </is>
      </c>
      <c r="H4" s="42" t="inlineStr">
        <is>
          <t>(alle)</t>
        </is>
      </c>
      <c r="J4" s="43">
        <f>"Azubis im Filter: "&amp;Daten!$B$623</f>
        <v/>
      </c>
    </row>
    <row r="5" ht="26" customHeight="1">
      <c r="A5" s="40" t="inlineStr">
        <is>
          <t xml:space="preserve"> Azubi auswählen</t>
        </is>
      </c>
      <c r="C5" s="44" t="inlineStr">
        <is>
          <t>Berger, Lukas</t>
        </is>
      </c>
      <c r="F5" s="45">
        <f>IF(Daten!$B$619=0,"Bitte oben einen Azubi auswählen – die Liste zeigt nur aktive Azubis, die zum Filter passen.","Ausgewählt: "&amp;Daten!$B$618)</f>
        <v/>
      </c>
    </row>
    <row r="6" ht="8" customHeight="1"/>
    <row r="7" ht="18" customHeight="1">
      <c r="A7" s="46" t="inlineStr">
        <is>
          <t>Name, Vorname</t>
        </is>
      </c>
      <c r="B7" s="10" t="n"/>
      <c r="C7" s="46" t="inlineStr">
        <is>
          <t>Ausbildungsberuf</t>
        </is>
      </c>
      <c r="D7" s="36" t="n"/>
      <c r="E7" s="10" t="n"/>
      <c r="F7" s="46" t="inlineStr">
        <is>
          <t>Jahrgang</t>
        </is>
      </c>
      <c r="G7" s="10" t="n"/>
      <c r="H7" s="46" t="inlineStr">
        <is>
          <t>Ausbildungsstart</t>
        </is>
      </c>
      <c r="I7" s="10" t="n"/>
      <c r="J7" s="46" t="inlineStr">
        <is>
          <t>Lehrjahr</t>
        </is>
      </c>
      <c r="K7" s="10" t="n"/>
      <c r="L7" s="46" t="inlineStr">
        <is>
          <t>aktuelles Halbjahr</t>
        </is>
      </c>
      <c r="M7" s="10" t="n"/>
    </row>
    <row r="8" ht="30" customHeight="1">
      <c r="A8" s="47">
        <f>IF(Daten!$B$619=0,"–",INDEX('Stammdaten'!$J$6:$J$30,Daten!$B$619))</f>
        <v/>
      </c>
      <c r="B8" s="14" t="n"/>
      <c r="C8" s="47">
        <f>IF(Daten!$B$619=0,"–",INDEX('Stammdaten'!$D$6:$D$30,Daten!$B$619))</f>
        <v/>
      </c>
      <c r="D8" s="38" t="n"/>
      <c r="E8" s="14" t="n"/>
      <c r="F8" s="48">
        <f>IF(Daten!$B$619=0,"–",INDEX('Stammdaten'!$E$6:$E$30,Daten!$B$619))</f>
        <v/>
      </c>
      <c r="G8" s="14" t="n"/>
      <c r="H8" s="49">
        <f>IF(Daten!$B$619=0,"–",INDEX('Stammdaten'!$F$6:$F$30,Daten!$B$619))</f>
        <v/>
      </c>
      <c r="I8" s="14" t="n"/>
      <c r="J8" s="47">
        <f>IF(Daten!$B$619=0,"–",INDEX('Stammdaten'!$H$6:$H$30,Daten!$B$619))</f>
        <v/>
      </c>
      <c r="K8" s="14" t="n"/>
      <c r="L8" s="47">
        <f>IF(Daten!$B$619=0,"–",INDEX('Stammdaten'!$I$6:$I$30,Daten!$B$619))</f>
        <v/>
      </c>
      <c r="M8" s="14" t="n"/>
    </row>
    <row r="9" ht="10" customHeight="1"/>
    <row r="10" ht="28" customHeight="1">
      <c r="A10" s="15" t="inlineStr">
        <is>
          <t xml:space="preserve"> Aktuell laufende Projekte</t>
        </is>
      </c>
    </row>
    <row r="11" ht="28" customHeight="1">
      <c r="A11" s="16" t="inlineStr">
        <is>
          <t>Nr.</t>
        </is>
      </c>
      <c r="B11" s="16" t="inlineStr">
        <is>
          <t>Übung</t>
        </is>
      </c>
      <c r="C11" s="16" t="inlineStr">
        <is>
          <t>Art</t>
        </is>
      </c>
      <c r="D11" s="16" t="inlineStr">
        <is>
          <t>Datum</t>
        </is>
      </c>
      <c r="E11" s="16" t="inlineStr">
        <is>
          <t>Stand Punkte</t>
        </is>
      </c>
      <c r="F11" s="16" t="inlineStr">
        <is>
          <t>von max.</t>
        </is>
      </c>
      <c r="G11" s="16" t="inlineStr">
        <is>
          <t>Prozent</t>
        </is>
      </c>
      <c r="H11" s="16" t="inlineStr">
        <is>
          <t>Halbjahr</t>
        </is>
      </c>
      <c r="I11" s="50" t="inlineStr">
        <is>
          <t>Hinweis</t>
        </is>
      </c>
    </row>
    <row r="12" ht="20" customHeight="1">
      <c r="A12" s="51">
        <f>IFERROR(SMALL(Daten!$C$615:$V$615,1),"")</f>
        <v/>
      </c>
      <c r="B12" s="52">
        <f>IF($A12="","",INDEX(Daten!$C$4:$V$4,$A12))</f>
        <v/>
      </c>
      <c r="C12" s="21">
        <f>IF($A12="","",INDEX(Daten!$C$6:$V$6,$A12))</f>
        <v/>
      </c>
      <c r="D12" s="22">
        <f>IF($A12="","",IF(INDEX(Daten!$C$7:$V$7,$A12)=0,"",INDEX(Daten!$C$7:$V$7,$A12)))</f>
        <v/>
      </c>
      <c r="E12" s="53">
        <f>IF($A12="","",INDEX(Daten!$C$110:$V$134,Daten!$B$619,$A12))</f>
        <v/>
      </c>
      <c r="F12" s="54">
        <f>IF($A12="","",INDEX(Daten!$C$140:$V$164,Daten!$B$619,$A12))</f>
        <v/>
      </c>
      <c r="G12" s="24">
        <f>IF($A12="","",IF(INDEX(Daten!$C$50:$V$74,Daten!$B$619,$A12)=0,"",INDEX(Daten!$C$20:$V$44,Daten!$B$619,$A12)))</f>
        <v/>
      </c>
      <c r="H12" s="21">
        <f>IF($A12="","",IF(INDEX(Daten!$C$80:$V$104,Daten!$B$619,$A12)=0,"–",INDEX(Daten!$C$80:$V$104,Daten!$B$619,$A12)))</f>
        <v/>
      </c>
      <c r="I12" s="55">
        <f>IF($A12="","",IF(INDEX(Daten!$C$50:$V$74,Daten!$B$619,$A12)=1,"Zwischenstand – Übung läuft noch",IF(INDEX(Daten!$C$230:$V$254,Daten!$B$619,$A12)=0,"noch nichts eingetragen","nicht bewertet"&amp;IF(INDEX(Daten!$C$170:$V$194,Daten!$B$619,$A12)="",""," ("&amp;INDEX(Daten!$C$170:$V$194,Daten!$B$619,$A12)&amp;")"))))</f>
        <v/>
      </c>
    </row>
    <row r="13" ht="20" customHeight="1">
      <c r="A13" s="51">
        <f>IFERROR(SMALL(Daten!$C$615:$V$615,2),"")</f>
        <v/>
      </c>
      <c r="B13" s="52">
        <f>IF($A13="","",INDEX(Daten!$C$4:$V$4,$A13))</f>
        <v/>
      </c>
      <c r="C13" s="21">
        <f>IF($A13="","",INDEX(Daten!$C$6:$V$6,$A13))</f>
        <v/>
      </c>
      <c r="D13" s="22">
        <f>IF($A13="","",IF(INDEX(Daten!$C$7:$V$7,$A13)=0,"",INDEX(Daten!$C$7:$V$7,$A13)))</f>
        <v/>
      </c>
      <c r="E13" s="53">
        <f>IF($A13="","",INDEX(Daten!$C$110:$V$134,Daten!$B$619,$A13))</f>
        <v/>
      </c>
      <c r="F13" s="54">
        <f>IF($A13="","",INDEX(Daten!$C$140:$V$164,Daten!$B$619,$A13))</f>
        <v/>
      </c>
      <c r="G13" s="24">
        <f>IF($A13="","",IF(INDEX(Daten!$C$50:$V$74,Daten!$B$619,$A13)=0,"",INDEX(Daten!$C$20:$V$44,Daten!$B$619,$A13)))</f>
        <v/>
      </c>
      <c r="H13" s="21">
        <f>IF($A13="","",IF(INDEX(Daten!$C$80:$V$104,Daten!$B$619,$A13)=0,"–",INDEX(Daten!$C$80:$V$104,Daten!$B$619,$A13)))</f>
        <v/>
      </c>
      <c r="I13" s="55">
        <f>IF($A13="","",IF(INDEX(Daten!$C$50:$V$74,Daten!$B$619,$A13)=1,"Zwischenstand – Übung läuft noch",IF(INDEX(Daten!$C$230:$V$254,Daten!$B$619,$A13)=0,"noch nichts eingetragen","nicht bewertet"&amp;IF(INDEX(Daten!$C$170:$V$194,Daten!$B$619,$A13)="",""," ("&amp;INDEX(Daten!$C$170:$V$194,Daten!$B$619,$A13)&amp;")"))))</f>
        <v/>
      </c>
    </row>
    <row r="14" ht="20" customHeight="1">
      <c r="A14" s="51">
        <f>IFERROR(SMALL(Daten!$C$615:$V$615,3),"")</f>
        <v/>
      </c>
      <c r="B14" s="52">
        <f>IF($A14="","",INDEX(Daten!$C$4:$V$4,$A14))</f>
        <v/>
      </c>
      <c r="C14" s="21">
        <f>IF($A14="","",INDEX(Daten!$C$6:$V$6,$A14))</f>
        <v/>
      </c>
      <c r="D14" s="22">
        <f>IF($A14="","",IF(INDEX(Daten!$C$7:$V$7,$A14)=0,"",INDEX(Daten!$C$7:$V$7,$A14)))</f>
        <v/>
      </c>
      <c r="E14" s="53">
        <f>IF($A14="","",INDEX(Daten!$C$110:$V$134,Daten!$B$619,$A14))</f>
        <v/>
      </c>
      <c r="F14" s="54">
        <f>IF($A14="","",INDEX(Daten!$C$140:$V$164,Daten!$B$619,$A14))</f>
        <v/>
      </c>
      <c r="G14" s="24">
        <f>IF($A14="","",IF(INDEX(Daten!$C$50:$V$74,Daten!$B$619,$A14)=0,"",INDEX(Daten!$C$20:$V$44,Daten!$B$619,$A14)))</f>
        <v/>
      </c>
      <c r="H14" s="21">
        <f>IF($A14="","",IF(INDEX(Daten!$C$80:$V$104,Daten!$B$619,$A14)=0,"–",INDEX(Daten!$C$80:$V$104,Daten!$B$619,$A14)))</f>
        <v/>
      </c>
      <c r="I14" s="55">
        <f>IF($A14="","",IF(INDEX(Daten!$C$50:$V$74,Daten!$B$619,$A14)=1,"Zwischenstand – Übung läuft noch",IF(INDEX(Daten!$C$230:$V$254,Daten!$B$619,$A14)=0,"noch nichts eingetragen","nicht bewertet"&amp;IF(INDEX(Daten!$C$170:$V$194,Daten!$B$619,$A14)="",""," ("&amp;INDEX(Daten!$C$170:$V$194,Daten!$B$619,$A14)&amp;")"))))</f>
        <v/>
      </c>
    </row>
    <row r="15" ht="20" customHeight="1">
      <c r="A15" s="51">
        <f>IFERROR(SMALL(Daten!$C$615:$V$615,4),"")</f>
        <v/>
      </c>
      <c r="B15" s="52">
        <f>IF($A15="","",INDEX(Daten!$C$4:$V$4,$A15))</f>
        <v/>
      </c>
      <c r="C15" s="21">
        <f>IF($A15="","",INDEX(Daten!$C$6:$V$6,$A15))</f>
        <v/>
      </c>
      <c r="D15" s="22">
        <f>IF($A15="","",IF(INDEX(Daten!$C$7:$V$7,$A15)=0,"",INDEX(Daten!$C$7:$V$7,$A15)))</f>
        <v/>
      </c>
      <c r="E15" s="53">
        <f>IF($A15="","",INDEX(Daten!$C$110:$V$134,Daten!$B$619,$A15))</f>
        <v/>
      </c>
      <c r="F15" s="54">
        <f>IF($A15="","",INDEX(Daten!$C$140:$V$164,Daten!$B$619,$A15))</f>
        <v/>
      </c>
      <c r="G15" s="24">
        <f>IF($A15="","",IF(INDEX(Daten!$C$50:$V$74,Daten!$B$619,$A15)=0,"",INDEX(Daten!$C$20:$V$44,Daten!$B$619,$A15)))</f>
        <v/>
      </c>
      <c r="H15" s="21">
        <f>IF($A15="","",IF(INDEX(Daten!$C$80:$V$104,Daten!$B$619,$A15)=0,"–",INDEX(Daten!$C$80:$V$104,Daten!$B$619,$A15)))</f>
        <v/>
      </c>
      <c r="I15" s="55">
        <f>IF($A15="","",IF(INDEX(Daten!$C$50:$V$74,Daten!$B$619,$A15)=1,"Zwischenstand – Übung läuft noch",IF(INDEX(Daten!$C$230:$V$254,Daten!$B$619,$A15)=0,"noch nichts eingetragen","nicht bewertet"&amp;IF(INDEX(Daten!$C$170:$V$194,Daten!$B$619,$A15)="",""," ("&amp;INDEX(Daten!$C$170:$V$194,Daten!$B$619,$A15)&amp;")"))))</f>
        <v/>
      </c>
    </row>
    <row r="16" ht="20" customHeight="1">
      <c r="A16" s="51">
        <f>IFERROR(SMALL(Daten!$C$615:$V$615,5),"")</f>
        <v/>
      </c>
      <c r="B16" s="52">
        <f>IF($A16="","",INDEX(Daten!$C$4:$V$4,$A16))</f>
        <v/>
      </c>
      <c r="C16" s="21">
        <f>IF($A16="","",INDEX(Daten!$C$6:$V$6,$A16))</f>
        <v/>
      </c>
      <c r="D16" s="22">
        <f>IF($A16="","",IF(INDEX(Daten!$C$7:$V$7,$A16)=0,"",INDEX(Daten!$C$7:$V$7,$A16)))</f>
        <v/>
      </c>
      <c r="E16" s="53">
        <f>IF($A16="","",INDEX(Daten!$C$110:$V$134,Daten!$B$619,$A16))</f>
        <v/>
      </c>
      <c r="F16" s="54">
        <f>IF($A16="","",INDEX(Daten!$C$140:$V$164,Daten!$B$619,$A16))</f>
        <v/>
      </c>
      <c r="G16" s="24">
        <f>IF($A16="","",IF(INDEX(Daten!$C$50:$V$74,Daten!$B$619,$A16)=0,"",INDEX(Daten!$C$20:$V$44,Daten!$B$619,$A16)))</f>
        <v/>
      </c>
      <c r="H16" s="21">
        <f>IF($A16="","",IF(INDEX(Daten!$C$80:$V$104,Daten!$B$619,$A16)=0,"–",INDEX(Daten!$C$80:$V$104,Daten!$B$619,$A16)))</f>
        <v/>
      </c>
      <c r="I16" s="55">
        <f>IF($A16="","",IF(INDEX(Daten!$C$50:$V$74,Daten!$B$619,$A16)=1,"Zwischenstand – Übung läuft noch",IF(INDEX(Daten!$C$230:$V$254,Daten!$B$619,$A16)=0,"noch nichts eingetragen","nicht bewertet"&amp;IF(INDEX(Daten!$C$170:$V$194,Daten!$B$619,$A16)="",""," ("&amp;INDEX(Daten!$C$170:$V$194,Daten!$B$619,$A16)&amp;")"))))</f>
        <v/>
      </c>
    </row>
    <row r="17" ht="20" customHeight="1">
      <c r="A17" s="51">
        <f>IFERROR(SMALL(Daten!$C$615:$V$615,6),"")</f>
        <v/>
      </c>
      <c r="B17" s="52">
        <f>IF($A17="","",INDEX(Daten!$C$4:$V$4,$A17))</f>
        <v/>
      </c>
      <c r="C17" s="21">
        <f>IF($A17="","",INDEX(Daten!$C$6:$V$6,$A17))</f>
        <v/>
      </c>
      <c r="D17" s="22">
        <f>IF($A17="","",IF(INDEX(Daten!$C$7:$V$7,$A17)=0,"",INDEX(Daten!$C$7:$V$7,$A17)))</f>
        <v/>
      </c>
      <c r="E17" s="53">
        <f>IF($A17="","",INDEX(Daten!$C$110:$V$134,Daten!$B$619,$A17))</f>
        <v/>
      </c>
      <c r="F17" s="54">
        <f>IF($A17="","",INDEX(Daten!$C$140:$V$164,Daten!$B$619,$A17))</f>
        <v/>
      </c>
      <c r="G17" s="24">
        <f>IF($A17="","",IF(INDEX(Daten!$C$50:$V$74,Daten!$B$619,$A17)=0,"",INDEX(Daten!$C$20:$V$44,Daten!$B$619,$A17)))</f>
        <v/>
      </c>
      <c r="H17" s="21">
        <f>IF($A17="","",IF(INDEX(Daten!$C$80:$V$104,Daten!$B$619,$A17)=0,"–",INDEX(Daten!$C$80:$V$104,Daten!$B$619,$A17)))</f>
        <v/>
      </c>
      <c r="I17" s="55">
        <f>IF($A17="","",IF(INDEX(Daten!$C$50:$V$74,Daten!$B$619,$A17)=1,"Zwischenstand – Übung läuft noch",IF(INDEX(Daten!$C$230:$V$254,Daten!$B$619,$A17)=0,"noch nichts eingetragen","nicht bewertet"&amp;IF(INDEX(Daten!$C$170:$V$194,Daten!$B$619,$A17)="",""," ("&amp;INDEX(Daten!$C$170:$V$194,Daten!$B$619,$A17)&amp;")"))))</f>
        <v/>
      </c>
    </row>
    <row r="18" ht="10" customHeight="1"/>
    <row r="19" ht="28" customHeight="1">
      <c r="A19" s="15" t="inlineStr">
        <is>
          <t xml:space="preserve"> Übungen und Leistungen</t>
        </is>
      </c>
    </row>
    <row r="20" ht="30" customHeight="1">
      <c r="A20" s="16" t="inlineStr">
        <is>
          <t>Nr.</t>
        </is>
      </c>
      <c r="B20" s="16" t="inlineStr">
        <is>
          <t>Übung</t>
        </is>
      </c>
      <c r="C20" s="16" t="inlineStr">
        <is>
          <t>Art</t>
        </is>
      </c>
      <c r="D20" s="16" t="inlineStr">
        <is>
          <t>Datum</t>
        </is>
      </c>
      <c r="E20" s="16" t="inlineStr">
        <is>
          <t>Status</t>
        </is>
      </c>
      <c r="F20" s="16" t="inlineStr">
        <is>
          <t>Punkte</t>
        </is>
      </c>
      <c r="G20" s="16" t="inlineStr">
        <is>
          <t>von max.</t>
        </is>
      </c>
      <c r="H20" s="16" t="inlineStr">
        <is>
          <t>Prozent</t>
        </is>
      </c>
      <c r="I20" s="16" t="inlineStr">
        <is>
          <t>IHK-Note</t>
        </is>
      </c>
      <c r="J20" s="16" t="inlineStr">
        <is>
          <t>zählt?</t>
        </is>
      </c>
      <c r="K20" s="16" t="inlineStr">
        <is>
          <t>Grund</t>
        </is>
      </c>
      <c r="L20" s="16" t="inlineStr">
        <is>
          <t>Bemerkung</t>
        </is>
      </c>
    </row>
    <row r="21" ht="20" customHeight="1">
      <c r="A21" s="19" t="n">
        <v>1</v>
      </c>
      <c r="B21" s="52">
        <f>IF($A21="","",INDEX(Daten!$C$4:$V$4,$A21))</f>
        <v/>
      </c>
      <c r="C21" s="21">
        <f>IF($A21="","",INDEX(Daten!$C$6:$V$6,$A21))</f>
        <v/>
      </c>
      <c r="D21" s="22">
        <f>IF($A21="","",IF(INDEX(Daten!$C$7:$V$7,$A21)=0,"",INDEX(Daten!$C$7:$V$7,$A21)))</f>
        <v/>
      </c>
      <c r="E21" s="21">
        <f>IF($A21="","",INDEX(Daten!$C$8:$V$8,$A21))</f>
        <v/>
      </c>
      <c r="F21" s="53">
        <f>IF($A21="","",IF(INDEX(Daten!$C$50:$V$74,Daten!$B$619,$A21)=0,"",INDEX(Daten!$C$110:$V$134,Daten!$B$619,$A21)))</f>
        <v/>
      </c>
      <c r="G21" s="54">
        <f>IF($A21="","",IF(INDEX(Daten!$C$50:$V$74,Daten!$B$619,$A21)=0,"",INDEX(Daten!$C$140:$V$164,Daten!$B$619,$A21)))</f>
        <v/>
      </c>
      <c r="H21" s="24">
        <f>IF($A21="","",IF(INDEX(Daten!$C$50:$V$74,Daten!$B$619,$A21)=0,"",INDEX(Daten!$C$20:$V$44,Daten!$B$619,$A21)))</f>
        <v/>
      </c>
      <c r="I21" s="25">
        <f>IF($A21="","",IF(INDEX(Daten!$C$50:$V$74,Daten!$B$619,$A21)=1,INDEX(Noten,MAX(1,MIN(COUNT(NGrenze),COUNT(NGrenze)+1-COUNTIF(NGrenze,"&lt;="&amp;$H21))))&amp;" – "&amp;INDEX(NText,MAX(1,MIN(COUNT(NGrenze),COUNT(NGrenze)+1-COUNTIF(NGrenze,"&lt;="&amp;$H21)))),IF(INDEX(Daten!$C$230:$V$254,Daten!$B$619,$A21)=0,"","nicht bewertet"&amp;IF(INDEX(Daten!$C$170:$V$194,Daten!$B$619,$A21)="",""," ("&amp;INDEX(Daten!$C$170:$V$194,Daten!$B$619,$A21)&amp;")"))))</f>
        <v/>
      </c>
      <c r="J21" s="21">
        <f>IF($A21="","",IF(INDEX(Daten!$C$50:$V$74,Daten!$B$619,$A21)=0,"–",IF(INDEX(Daten!$C$790:$V$814,Daten!$B$619,$A21)=1,"ja",IF(INDEX(Daten!$C$380:$V$404,Daten!$B$619,$A21)=0,"nein (Wdh.)","noch nicht (läuft)"))))</f>
        <v/>
      </c>
      <c r="K21" s="21">
        <f>IF($A21="","",INDEX(Daten!$C$170:$V$194,Daten!$B$619,$A21))</f>
        <v/>
      </c>
      <c r="L21" s="56">
        <f>IF($A21="","",INDEX(Daten!$C$760:$V$784,Daten!$B$619,$A21))</f>
        <v/>
      </c>
    </row>
    <row r="22" ht="20" customHeight="1">
      <c r="A22" s="19" t="n">
        <v>2</v>
      </c>
      <c r="B22" s="52">
        <f>IF($A22="","",INDEX(Daten!$C$4:$V$4,$A22))</f>
        <v/>
      </c>
      <c r="C22" s="21">
        <f>IF($A22="","",INDEX(Daten!$C$6:$V$6,$A22))</f>
        <v/>
      </c>
      <c r="D22" s="22">
        <f>IF($A22="","",IF(INDEX(Daten!$C$7:$V$7,$A22)=0,"",INDEX(Daten!$C$7:$V$7,$A22)))</f>
        <v/>
      </c>
      <c r="E22" s="21">
        <f>IF($A22="","",INDEX(Daten!$C$8:$V$8,$A22))</f>
        <v/>
      </c>
      <c r="F22" s="53">
        <f>IF($A22="","",IF(INDEX(Daten!$C$50:$V$74,Daten!$B$619,$A22)=0,"",INDEX(Daten!$C$110:$V$134,Daten!$B$619,$A22)))</f>
        <v/>
      </c>
      <c r="G22" s="54">
        <f>IF($A22="","",IF(INDEX(Daten!$C$50:$V$74,Daten!$B$619,$A22)=0,"",INDEX(Daten!$C$140:$V$164,Daten!$B$619,$A22)))</f>
        <v/>
      </c>
      <c r="H22" s="24">
        <f>IF($A22="","",IF(INDEX(Daten!$C$50:$V$74,Daten!$B$619,$A22)=0,"",INDEX(Daten!$C$20:$V$44,Daten!$B$619,$A22)))</f>
        <v/>
      </c>
      <c r="I22" s="25">
        <f>IF($A22="","",IF(INDEX(Daten!$C$50:$V$74,Daten!$B$619,$A22)=1,INDEX(Noten,MAX(1,MIN(COUNT(NGrenze),COUNT(NGrenze)+1-COUNTIF(NGrenze,"&lt;="&amp;$H22))))&amp;" – "&amp;INDEX(NText,MAX(1,MIN(COUNT(NGrenze),COUNT(NGrenze)+1-COUNTIF(NGrenze,"&lt;="&amp;$H22)))),IF(INDEX(Daten!$C$230:$V$254,Daten!$B$619,$A22)=0,"","nicht bewertet"&amp;IF(INDEX(Daten!$C$170:$V$194,Daten!$B$619,$A22)="",""," ("&amp;INDEX(Daten!$C$170:$V$194,Daten!$B$619,$A22)&amp;")"))))</f>
        <v/>
      </c>
      <c r="J22" s="21">
        <f>IF($A22="","",IF(INDEX(Daten!$C$50:$V$74,Daten!$B$619,$A22)=0,"–",IF(INDEX(Daten!$C$790:$V$814,Daten!$B$619,$A22)=1,"ja",IF(INDEX(Daten!$C$380:$V$404,Daten!$B$619,$A22)=0,"nein (Wdh.)","noch nicht (läuft)"))))</f>
        <v/>
      </c>
      <c r="K22" s="21">
        <f>IF($A22="","",INDEX(Daten!$C$170:$V$194,Daten!$B$619,$A22))</f>
        <v/>
      </c>
      <c r="L22" s="56">
        <f>IF($A22="","",INDEX(Daten!$C$760:$V$784,Daten!$B$619,$A22))</f>
        <v/>
      </c>
    </row>
    <row r="23" ht="20" customHeight="1">
      <c r="A23" s="19" t="n">
        <v>3</v>
      </c>
      <c r="B23" s="52">
        <f>IF($A23="","",INDEX(Daten!$C$4:$V$4,$A23))</f>
        <v/>
      </c>
      <c r="C23" s="21">
        <f>IF($A23="","",INDEX(Daten!$C$6:$V$6,$A23))</f>
        <v/>
      </c>
      <c r="D23" s="22">
        <f>IF($A23="","",IF(INDEX(Daten!$C$7:$V$7,$A23)=0,"",INDEX(Daten!$C$7:$V$7,$A23)))</f>
        <v/>
      </c>
      <c r="E23" s="21">
        <f>IF($A23="","",INDEX(Daten!$C$8:$V$8,$A23))</f>
        <v/>
      </c>
      <c r="F23" s="53">
        <f>IF($A23="","",IF(INDEX(Daten!$C$50:$V$74,Daten!$B$619,$A23)=0,"",INDEX(Daten!$C$110:$V$134,Daten!$B$619,$A23)))</f>
        <v/>
      </c>
      <c r="G23" s="54">
        <f>IF($A23="","",IF(INDEX(Daten!$C$50:$V$74,Daten!$B$619,$A23)=0,"",INDEX(Daten!$C$140:$V$164,Daten!$B$619,$A23)))</f>
        <v/>
      </c>
      <c r="H23" s="24">
        <f>IF($A23="","",IF(INDEX(Daten!$C$50:$V$74,Daten!$B$619,$A23)=0,"",INDEX(Daten!$C$20:$V$44,Daten!$B$619,$A23)))</f>
        <v/>
      </c>
      <c r="I23" s="25">
        <f>IF($A23="","",IF(INDEX(Daten!$C$50:$V$74,Daten!$B$619,$A23)=1,INDEX(Noten,MAX(1,MIN(COUNT(NGrenze),COUNT(NGrenze)+1-COUNTIF(NGrenze,"&lt;="&amp;$H23))))&amp;" – "&amp;INDEX(NText,MAX(1,MIN(COUNT(NGrenze),COUNT(NGrenze)+1-COUNTIF(NGrenze,"&lt;="&amp;$H23)))),IF(INDEX(Daten!$C$230:$V$254,Daten!$B$619,$A23)=0,"","nicht bewertet"&amp;IF(INDEX(Daten!$C$170:$V$194,Daten!$B$619,$A23)="",""," ("&amp;INDEX(Daten!$C$170:$V$194,Daten!$B$619,$A23)&amp;")"))))</f>
        <v/>
      </c>
      <c r="J23" s="21">
        <f>IF($A23="","",IF(INDEX(Daten!$C$50:$V$74,Daten!$B$619,$A23)=0,"–",IF(INDEX(Daten!$C$790:$V$814,Daten!$B$619,$A23)=1,"ja",IF(INDEX(Daten!$C$380:$V$404,Daten!$B$619,$A23)=0,"nein (Wdh.)","noch nicht (läuft)"))))</f>
        <v/>
      </c>
      <c r="K23" s="21">
        <f>IF($A23="","",INDEX(Daten!$C$170:$V$194,Daten!$B$619,$A23))</f>
        <v/>
      </c>
      <c r="L23" s="56">
        <f>IF($A23="","",INDEX(Daten!$C$760:$V$784,Daten!$B$619,$A23))</f>
        <v/>
      </c>
    </row>
    <row r="24" ht="20" customHeight="1">
      <c r="A24" s="19" t="n">
        <v>4</v>
      </c>
      <c r="B24" s="52">
        <f>IF($A24="","",INDEX(Daten!$C$4:$V$4,$A24))</f>
        <v/>
      </c>
      <c r="C24" s="21">
        <f>IF($A24="","",INDEX(Daten!$C$6:$V$6,$A24))</f>
        <v/>
      </c>
      <c r="D24" s="22">
        <f>IF($A24="","",IF(INDEX(Daten!$C$7:$V$7,$A24)=0,"",INDEX(Daten!$C$7:$V$7,$A24)))</f>
        <v/>
      </c>
      <c r="E24" s="21">
        <f>IF($A24="","",INDEX(Daten!$C$8:$V$8,$A24))</f>
        <v/>
      </c>
      <c r="F24" s="53">
        <f>IF($A24="","",IF(INDEX(Daten!$C$50:$V$74,Daten!$B$619,$A24)=0,"",INDEX(Daten!$C$110:$V$134,Daten!$B$619,$A24)))</f>
        <v/>
      </c>
      <c r="G24" s="54">
        <f>IF($A24="","",IF(INDEX(Daten!$C$50:$V$74,Daten!$B$619,$A24)=0,"",INDEX(Daten!$C$140:$V$164,Daten!$B$619,$A24)))</f>
        <v/>
      </c>
      <c r="H24" s="24">
        <f>IF($A24="","",IF(INDEX(Daten!$C$50:$V$74,Daten!$B$619,$A24)=0,"",INDEX(Daten!$C$20:$V$44,Daten!$B$619,$A24)))</f>
        <v/>
      </c>
      <c r="I24" s="25">
        <f>IF($A24="","",IF(INDEX(Daten!$C$50:$V$74,Daten!$B$619,$A24)=1,INDEX(Noten,MAX(1,MIN(COUNT(NGrenze),COUNT(NGrenze)+1-COUNTIF(NGrenze,"&lt;="&amp;$H24))))&amp;" – "&amp;INDEX(NText,MAX(1,MIN(COUNT(NGrenze),COUNT(NGrenze)+1-COUNTIF(NGrenze,"&lt;="&amp;$H24)))),IF(INDEX(Daten!$C$230:$V$254,Daten!$B$619,$A24)=0,"","nicht bewertet"&amp;IF(INDEX(Daten!$C$170:$V$194,Daten!$B$619,$A24)="",""," ("&amp;INDEX(Daten!$C$170:$V$194,Daten!$B$619,$A24)&amp;")"))))</f>
        <v/>
      </c>
      <c r="J24" s="21">
        <f>IF($A24="","",IF(INDEX(Daten!$C$50:$V$74,Daten!$B$619,$A24)=0,"–",IF(INDEX(Daten!$C$790:$V$814,Daten!$B$619,$A24)=1,"ja",IF(INDEX(Daten!$C$380:$V$404,Daten!$B$619,$A24)=0,"nein (Wdh.)","noch nicht (läuft)"))))</f>
        <v/>
      </c>
      <c r="K24" s="21">
        <f>IF($A24="","",INDEX(Daten!$C$170:$V$194,Daten!$B$619,$A24))</f>
        <v/>
      </c>
      <c r="L24" s="56">
        <f>IF($A24="","",INDEX(Daten!$C$760:$V$784,Daten!$B$619,$A24))</f>
        <v/>
      </c>
    </row>
    <row r="25" ht="20" customHeight="1">
      <c r="A25" s="19" t="n">
        <v>5</v>
      </c>
      <c r="B25" s="52">
        <f>IF($A25="","",INDEX(Daten!$C$4:$V$4,$A25))</f>
        <v/>
      </c>
      <c r="C25" s="21">
        <f>IF($A25="","",INDEX(Daten!$C$6:$V$6,$A25))</f>
        <v/>
      </c>
      <c r="D25" s="22">
        <f>IF($A25="","",IF(INDEX(Daten!$C$7:$V$7,$A25)=0,"",INDEX(Daten!$C$7:$V$7,$A25)))</f>
        <v/>
      </c>
      <c r="E25" s="21">
        <f>IF($A25="","",INDEX(Daten!$C$8:$V$8,$A25))</f>
        <v/>
      </c>
      <c r="F25" s="53">
        <f>IF($A25="","",IF(INDEX(Daten!$C$50:$V$74,Daten!$B$619,$A25)=0,"",INDEX(Daten!$C$110:$V$134,Daten!$B$619,$A25)))</f>
        <v/>
      </c>
      <c r="G25" s="54">
        <f>IF($A25="","",IF(INDEX(Daten!$C$50:$V$74,Daten!$B$619,$A25)=0,"",INDEX(Daten!$C$140:$V$164,Daten!$B$619,$A25)))</f>
        <v/>
      </c>
      <c r="H25" s="24">
        <f>IF($A25="","",IF(INDEX(Daten!$C$50:$V$74,Daten!$B$619,$A25)=0,"",INDEX(Daten!$C$20:$V$44,Daten!$B$619,$A25)))</f>
        <v/>
      </c>
      <c r="I25" s="25">
        <f>IF($A25="","",IF(INDEX(Daten!$C$50:$V$74,Daten!$B$619,$A25)=1,INDEX(Noten,MAX(1,MIN(COUNT(NGrenze),COUNT(NGrenze)+1-COUNTIF(NGrenze,"&lt;="&amp;$H25))))&amp;" – "&amp;INDEX(NText,MAX(1,MIN(COUNT(NGrenze),COUNT(NGrenze)+1-COUNTIF(NGrenze,"&lt;="&amp;$H25)))),IF(INDEX(Daten!$C$230:$V$254,Daten!$B$619,$A25)=0,"","nicht bewertet"&amp;IF(INDEX(Daten!$C$170:$V$194,Daten!$B$619,$A25)="",""," ("&amp;INDEX(Daten!$C$170:$V$194,Daten!$B$619,$A25)&amp;")"))))</f>
        <v/>
      </c>
      <c r="J25" s="21">
        <f>IF($A25="","",IF(INDEX(Daten!$C$50:$V$74,Daten!$B$619,$A25)=0,"–",IF(INDEX(Daten!$C$790:$V$814,Daten!$B$619,$A25)=1,"ja",IF(INDEX(Daten!$C$380:$V$404,Daten!$B$619,$A25)=0,"nein (Wdh.)","noch nicht (läuft)"))))</f>
        <v/>
      </c>
      <c r="K25" s="21">
        <f>IF($A25="","",INDEX(Daten!$C$170:$V$194,Daten!$B$619,$A25))</f>
        <v/>
      </c>
      <c r="L25" s="56">
        <f>IF($A25="","",INDEX(Daten!$C$760:$V$784,Daten!$B$619,$A25))</f>
        <v/>
      </c>
    </row>
    <row r="26" ht="20" customHeight="1">
      <c r="A26" s="19" t="n">
        <v>6</v>
      </c>
      <c r="B26" s="52">
        <f>IF($A26="","",INDEX(Daten!$C$4:$V$4,$A26))</f>
        <v/>
      </c>
      <c r="C26" s="21">
        <f>IF($A26="","",INDEX(Daten!$C$6:$V$6,$A26))</f>
        <v/>
      </c>
      <c r="D26" s="22">
        <f>IF($A26="","",IF(INDEX(Daten!$C$7:$V$7,$A26)=0,"",INDEX(Daten!$C$7:$V$7,$A26)))</f>
        <v/>
      </c>
      <c r="E26" s="21">
        <f>IF($A26="","",INDEX(Daten!$C$8:$V$8,$A26))</f>
        <v/>
      </c>
      <c r="F26" s="53">
        <f>IF($A26="","",IF(INDEX(Daten!$C$50:$V$74,Daten!$B$619,$A26)=0,"",INDEX(Daten!$C$110:$V$134,Daten!$B$619,$A26)))</f>
        <v/>
      </c>
      <c r="G26" s="54">
        <f>IF($A26="","",IF(INDEX(Daten!$C$50:$V$74,Daten!$B$619,$A26)=0,"",INDEX(Daten!$C$140:$V$164,Daten!$B$619,$A26)))</f>
        <v/>
      </c>
      <c r="H26" s="24">
        <f>IF($A26="","",IF(INDEX(Daten!$C$50:$V$74,Daten!$B$619,$A26)=0,"",INDEX(Daten!$C$20:$V$44,Daten!$B$619,$A26)))</f>
        <v/>
      </c>
      <c r="I26" s="25">
        <f>IF($A26="","",IF(INDEX(Daten!$C$50:$V$74,Daten!$B$619,$A26)=1,INDEX(Noten,MAX(1,MIN(COUNT(NGrenze),COUNT(NGrenze)+1-COUNTIF(NGrenze,"&lt;="&amp;$H26))))&amp;" – "&amp;INDEX(NText,MAX(1,MIN(COUNT(NGrenze),COUNT(NGrenze)+1-COUNTIF(NGrenze,"&lt;="&amp;$H26)))),IF(INDEX(Daten!$C$230:$V$254,Daten!$B$619,$A26)=0,"","nicht bewertet"&amp;IF(INDEX(Daten!$C$170:$V$194,Daten!$B$619,$A26)="",""," ("&amp;INDEX(Daten!$C$170:$V$194,Daten!$B$619,$A26)&amp;")"))))</f>
        <v/>
      </c>
      <c r="J26" s="21">
        <f>IF($A26="","",IF(INDEX(Daten!$C$50:$V$74,Daten!$B$619,$A26)=0,"–",IF(INDEX(Daten!$C$790:$V$814,Daten!$B$619,$A26)=1,"ja",IF(INDEX(Daten!$C$380:$V$404,Daten!$B$619,$A26)=0,"nein (Wdh.)","noch nicht (läuft)"))))</f>
        <v/>
      </c>
      <c r="K26" s="21">
        <f>IF($A26="","",INDEX(Daten!$C$170:$V$194,Daten!$B$619,$A26))</f>
        <v/>
      </c>
      <c r="L26" s="56">
        <f>IF($A26="","",INDEX(Daten!$C$760:$V$784,Daten!$B$619,$A26))</f>
        <v/>
      </c>
    </row>
    <row r="27" ht="20" customHeight="1">
      <c r="A27" s="19" t="n">
        <v>7</v>
      </c>
      <c r="B27" s="52">
        <f>IF($A27="","",INDEX(Daten!$C$4:$V$4,$A27))</f>
        <v/>
      </c>
      <c r="C27" s="21">
        <f>IF($A27="","",INDEX(Daten!$C$6:$V$6,$A27))</f>
        <v/>
      </c>
      <c r="D27" s="22">
        <f>IF($A27="","",IF(INDEX(Daten!$C$7:$V$7,$A27)=0,"",INDEX(Daten!$C$7:$V$7,$A27)))</f>
        <v/>
      </c>
      <c r="E27" s="21">
        <f>IF($A27="","",INDEX(Daten!$C$8:$V$8,$A27))</f>
        <v/>
      </c>
      <c r="F27" s="53">
        <f>IF($A27="","",IF(INDEX(Daten!$C$50:$V$74,Daten!$B$619,$A27)=0,"",INDEX(Daten!$C$110:$V$134,Daten!$B$619,$A27)))</f>
        <v/>
      </c>
      <c r="G27" s="54">
        <f>IF($A27="","",IF(INDEX(Daten!$C$50:$V$74,Daten!$B$619,$A27)=0,"",INDEX(Daten!$C$140:$V$164,Daten!$B$619,$A27)))</f>
        <v/>
      </c>
      <c r="H27" s="24">
        <f>IF($A27="","",IF(INDEX(Daten!$C$50:$V$74,Daten!$B$619,$A27)=0,"",INDEX(Daten!$C$20:$V$44,Daten!$B$619,$A27)))</f>
        <v/>
      </c>
      <c r="I27" s="25">
        <f>IF($A27="","",IF(INDEX(Daten!$C$50:$V$74,Daten!$B$619,$A27)=1,INDEX(Noten,MAX(1,MIN(COUNT(NGrenze),COUNT(NGrenze)+1-COUNTIF(NGrenze,"&lt;="&amp;$H27))))&amp;" – "&amp;INDEX(NText,MAX(1,MIN(COUNT(NGrenze),COUNT(NGrenze)+1-COUNTIF(NGrenze,"&lt;="&amp;$H27)))),IF(INDEX(Daten!$C$230:$V$254,Daten!$B$619,$A27)=0,"","nicht bewertet"&amp;IF(INDEX(Daten!$C$170:$V$194,Daten!$B$619,$A27)="",""," ("&amp;INDEX(Daten!$C$170:$V$194,Daten!$B$619,$A27)&amp;")"))))</f>
        <v/>
      </c>
      <c r="J27" s="21">
        <f>IF($A27="","",IF(INDEX(Daten!$C$50:$V$74,Daten!$B$619,$A27)=0,"–",IF(INDEX(Daten!$C$790:$V$814,Daten!$B$619,$A27)=1,"ja",IF(INDEX(Daten!$C$380:$V$404,Daten!$B$619,$A27)=0,"nein (Wdh.)","noch nicht (läuft)"))))</f>
        <v/>
      </c>
      <c r="K27" s="21">
        <f>IF($A27="","",INDEX(Daten!$C$170:$V$194,Daten!$B$619,$A27))</f>
        <v/>
      </c>
      <c r="L27" s="56">
        <f>IF($A27="","",INDEX(Daten!$C$760:$V$784,Daten!$B$619,$A27))</f>
        <v/>
      </c>
    </row>
    <row r="28" ht="20" customHeight="1">
      <c r="A28" s="19" t="n">
        <v>8</v>
      </c>
      <c r="B28" s="52">
        <f>IF($A28="","",INDEX(Daten!$C$4:$V$4,$A28))</f>
        <v/>
      </c>
      <c r="C28" s="21">
        <f>IF($A28="","",INDEX(Daten!$C$6:$V$6,$A28))</f>
        <v/>
      </c>
      <c r="D28" s="22">
        <f>IF($A28="","",IF(INDEX(Daten!$C$7:$V$7,$A28)=0,"",INDEX(Daten!$C$7:$V$7,$A28)))</f>
        <v/>
      </c>
      <c r="E28" s="21">
        <f>IF($A28="","",INDEX(Daten!$C$8:$V$8,$A28))</f>
        <v/>
      </c>
      <c r="F28" s="53">
        <f>IF($A28="","",IF(INDEX(Daten!$C$50:$V$74,Daten!$B$619,$A28)=0,"",INDEX(Daten!$C$110:$V$134,Daten!$B$619,$A28)))</f>
        <v/>
      </c>
      <c r="G28" s="54">
        <f>IF($A28="","",IF(INDEX(Daten!$C$50:$V$74,Daten!$B$619,$A28)=0,"",INDEX(Daten!$C$140:$V$164,Daten!$B$619,$A28)))</f>
        <v/>
      </c>
      <c r="H28" s="24">
        <f>IF($A28="","",IF(INDEX(Daten!$C$50:$V$74,Daten!$B$619,$A28)=0,"",INDEX(Daten!$C$20:$V$44,Daten!$B$619,$A28)))</f>
        <v/>
      </c>
      <c r="I28" s="25">
        <f>IF($A28="","",IF(INDEX(Daten!$C$50:$V$74,Daten!$B$619,$A28)=1,INDEX(Noten,MAX(1,MIN(COUNT(NGrenze),COUNT(NGrenze)+1-COUNTIF(NGrenze,"&lt;="&amp;$H28))))&amp;" – "&amp;INDEX(NText,MAX(1,MIN(COUNT(NGrenze),COUNT(NGrenze)+1-COUNTIF(NGrenze,"&lt;="&amp;$H28)))),IF(INDEX(Daten!$C$230:$V$254,Daten!$B$619,$A28)=0,"","nicht bewertet"&amp;IF(INDEX(Daten!$C$170:$V$194,Daten!$B$619,$A28)="",""," ("&amp;INDEX(Daten!$C$170:$V$194,Daten!$B$619,$A28)&amp;")"))))</f>
        <v/>
      </c>
      <c r="J28" s="21">
        <f>IF($A28="","",IF(INDEX(Daten!$C$50:$V$74,Daten!$B$619,$A28)=0,"–",IF(INDEX(Daten!$C$790:$V$814,Daten!$B$619,$A28)=1,"ja",IF(INDEX(Daten!$C$380:$V$404,Daten!$B$619,$A28)=0,"nein (Wdh.)","noch nicht (läuft)"))))</f>
        <v/>
      </c>
      <c r="K28" s="21">
        <f>IF($A28="","",INDEX(Daten!$C$170:$V$194,Daten!$B$619,$A28))</f>
        <v/>
      </c>
      <c r="L28" s="56">
        <f>IF($A28="","",INDEX(Daten!$C$760:$V$784,Daten!$B$619,$A28))</f>
        <v/>
      </c>
    </row>
    <row r="29" ht="20" customHeight="1">
      <c r="A29" s="19" t="n">
        <v>9</v>
      </c>
      <c r="B29" s="52">
        <f>IF($A29="","",INDEX(Daten!$C$4:$V$4,$A29))</f>
        <v/>
      </c>
      <c r="C29" s="21">
        <f>IF($A29="","",INDEX(Daten!$C$6:$V$6,$A29))</f>
        <v/>
      </c>
      <c r="D29" s="22">
        <f>IF($A29="","",IF(INDEX(Daten!$C$7:$V$7,$A29)=0,"",INDEX(Daten!$C$7:$V$7,$A29)))</f>
        <v/>
      </c>
      <c r="E29" s="21">
        <f>IF($A29="","",INDEX(Daten!$C$8:$V$8,$A29))</f>
        <v/>
      </c>
      <c r="F29" s="53">
        <f>IF($A29="","",IF(INDEX(Daten!$C$50:$V$74,Daten!$B$619,$A29)=0,"",INDEX(Daten!$C$110:$V$134,Daten!$B$619,$A29)))</f>
        <v/>
      </c>
      <c r="G29" s="54">
        <f>IF($A29="","",IF(INDEX(Daten!$C$50:$V$74,Daten!$B$619,$A29)=0,"",INDEX(Daten!$C$140:$V$164,Daten!$B$619,$A29)))</f>
        <v/>
      </c>
      <c r="H29" s="24">
        <f>IF($A29="","",IF(INDEX(Daten!$C$50:$V$74,Daten!$B$619,$A29)=0,"",INDEX(Daten!$C$20:$V$44,Daten!$B$619,$A29)))</f>
        <v/>
      </c>
      <c r="I29" s="25">
        <f>IF($A29="","",IF(INDEX(Daten!$C$50:$V$74,Daten!$B$619,$A29)=1,INDEX(Noten,MAX(1,MIN(COUNT(NGrenze),COUNT(NGrenze)+1-COUNTIF(NGrenze,"&lt;="&amp;$H29))))&amp;" – "&amp;INDEX(NText,MAX(1,MIN(COUNT(NGrenze),COUNT(NGrenze)+1-COUNTIF(NGrenze,"&lt;="&amp;$H29)))),IF(INDEX(Daten!$C$230:$V$254,Daten!$B$619,$A29)=0,"","nicht bewertet"&amp;IF(INDEX(Daten!$C$170:$V$194,Daten!$B$619,$A29)="",""," ("&amp;INDEX(Daten!$C$170:$V$194,Daten!$B$619,$A29)&amp;")"))))</f>
        <v/>
      </c>
      <c r="J29" s="21">
        <f>IF($A29="","",IF(INDEX(Daten!$C$50:$V$74,Daten!$B$619,$A29)=0,"–",IF(INDEX(Daten!$C$790:$V$814,Daten!$B$619,$A29)=1,"ja",IF(INDEX(Daten!$C$380:$V$404,Daten!$B$619,$A29)=0,"nein (Wdh.)","noch nicht (läuft)"))))</f>
        <v/>
      </c>
      <c r="K29" s="21">
        <f>IF($A29="","",INDEX(Daten!$C$170:$V$194,Daten!$B$619,$A29))</f>
        <v/>
      </c>
      <c r="L29" s="56">
        <f>IF($A29="","",INDEX(Daten!$C$760:$V$784,Daten!$B$619,$A29))</f>
        <v/>
      </c>
    </row>
    <row r="30" ht="20" customHeight="1">
      <c r="A30" s="19" t="n">
        <v>10</v>
      </c>
      <c r="B30" s="52">
        <f>IF($A30="","",INDEX(Daten!$C$4:$V$4,$A30))</f>
        <v/>
      </c>
      <c r="C30" s="21">
        <f>IF($A30="","",INDEX(Daten!$C$6:$V$6,$A30))</f>
        <v/>
      </c>
      <c r="D30" s="22">
        <f>IF($A30="","",IF(INDEX(Daten!$C$7:$V$7,$A30)=0,"",INDEX(Daten!$C$7:$V$7,$A30)))</f>
        <v/>
      </c>
      <c r="E30" s="21">
        <f>IF($A30="","",INDEX(Daten!$C$8:$V$8,$A30))</f>
        <v/>
      </c>
      <c r="F30" s="53">
        <f>IF($A30="","",IF(INDEX(Daten!$C$50:$V$74,Daten!$B$619,$A30)=0,"",INDEX(Daten!$C$110:$V$134,Daten!$B$619,$A30)))</f>
        <v/>
      </c>
      <c r="G30" s="54">
        <f>IF($A30="","",IF(INDEX(Daten!$C$50:$V$74,Daten!$B$619,$A30)=0,"",INDEX(Daten!$C$140:$V$164,Daten!$B$619,$A30)))</f>
        <v/>
      </c>
      <c r="H30" s="24">
        <f>IF($A30="","",IF(INDEX(Daten!$C$50:$V$74,Daten!$B$619,$A30)=0,"",INDEX(Daten!$C$20:$V$44,Daten!$B$619,$A30)))</f>
        <v/>
      </c>
      <c r="I30" s="25">
        <f>IF($A30="","",IF(INDEX(Daten!$C$50:$V$74,Daten!$B$619,$A30)=1,INDEX(Noten,MAX(1,MIN(COUNT(NGrenze),COUNT(NGrenze)+1-COUNTIF(NGrenze,"&lt;="&amp;$H30))))&amp;" – "&amp;INDEX(NText,MAX(1,MIN(COUNT(NGrenze),COUNT(NGrenze)+1-COUNTIF(NGrenze,"&lt;="&amp;$H30)))),IF(INDEX(Daten!$C$230:$V$254,Daten!$B$619,$A30)=0,"","nicht bewertet"&amp;IF(INDEX(Daten!$C$170:$V$194,Daten!$B$619,$A30)="",""," ("&amp;INDEX(Daten!$C$170:$V$194,Daten!$B$619,$A30)&amp;")"))))</f>
        <v/>
      </c>
      <c r="J30" s="21">
        <f>IF($A30="","",IF(INDEX(Daten!$C$50:$V$74,Daten!$B$619,$A30)=0,"–",IF(INDEX(Daten!$C$790:$V$814,Daten!$B$619,$A30)=1,"ja",IF(INDEX(Daten!$C$380:$V$404,Daten!$B$619,$A30)=0,"nein (Wdh.)","noch nicht (läuft)"))))</f>
        <v/>
      </c>
      <c r="K30" s="21">
        <f>IF($A30="","",INDEX(Daten!$C$170:$V$194,Daten!$B$619,$A30))</f>
        <v/>
      </c>
      <c r="L30" s="56">
        <f>IF($A30="","",INDEX(Daten!$C$760:$V$784,Daten!$B$619,$A30))</f>
        <v/>
      </c>
    </row>
    <row r="31" ht="20" customHeight="1">
      <c r="A31" s="19" t="n">
        <v>11</v>
      </c>
      <c r="B31" s="52">
        <f>IF($A31="","",INDEX(Daten!$C$4:$V$4,$A31))</f>
        <v/>
      </c>
      <c r="C31" s="21">
        <f>IF($A31="","",INDEX(Daten!$C$6:$V$6,$A31))</f>
        <v/>
      </c>
      <c r="D31" s="22">
        <f>IF($A31="","",IF(INDEX(Daten!$C$7:$V$7,$A31)=0,"",INDEX(Daten!$C$7:$V$7,$A31)))</f>
        <v/>
      </c>
      <c r="E31" s="21">
        <f>IF($A31="","",INDEX(Daten!$C$8:$V$8,$A31))</f>
        <v/>
      </c>
      <c r="F31" s="53">
        <f>IF($A31="","",IF(INDEX(Daten!$C$50:$V$74,Daten!$B$619,$A31)=0,"",INDEX(Daten!$C$110:$V$134,Daten!$B$619,$A31)))</f>
        <v/>
      </c>
      <c r="G31" s="54">
        <f>IF($A31="","",IF(INDEX(Daten!$C$50:$V$74,Daten!$B$619,$A31)=0,"",INDEX(Daten!$C$140:$V$164,Daten!$B$619,$A31)))</f>
        <v/>
      </c>
      <c r="H31" s="24">
        <f>IF($A31="","",IF(INDEX(Daten!$C$50:$V$74,Daten!$B$619,$A31)=0,"",INDEX(Daten!$C$20:$V$44,Daten!$B$619,$A31)))</f>
        <v/>
      </c>
      <c r="I31" s="25">
        <f>IF($A31="","",IF(INDEX(Daten!$C$50:$V$74,Daten!$B$619,$A31)=1,INDEX(Noten,MAX(1,MIN(COUNT(NGrenze),COUNT(NGrenze)+1-COUNTIF(NGrenze,"&lt;="&amp;$H31))))&amp;" – "&amp;INDEX(NText,MAX(1,MIN(COUNT(NGrenze),COUNT(NGrenze)+1-COUNTIF(NGrenze,"&lt;="&amp;$H31)))),IF(INDEX(Daten!$C$230:$V$254,Daten!$B$619,$A31)=0,"","nicht bewertet"&amp;IF(INDEX(Daten!$C$170:$V$194,Daten!$B$619,$A31)="",""," ("&amp;INDEX(Daten!$C$170:$V$194,Daten!$B$619,$A31)&amp;")"))))</f>
        <v/>
      </c>
      <c r="J31" s="21">
        <f>IF($A31="","",IF(INDEX(Daten!$C$50:$V$74,Daten!$B$619,$A31)=0,"–",IF(INDEX(Daten!$C$790:$V$814,Daten!$B$619,$A31)=1,"ja",IF(INDEX(Daten!$C$380:$V$404,Daten!$B$619,$A31)=0,"nein (Wdh.)","noch nicht (läuft)"))))</f>
        <v/>
      </c>
      <c r="K31" s="21">
        <f>IF($A31="","",INDEX(Daten!$C$170:$V$194,Daten!$B$619,$A31))</f>
        <v/>
      </c>
      <c r="L31" s="56">
        <f>IF($A31="","",INDEX(Daten!$C$760:$V$784,Daten!$B$619,$A31))</f>
        <v/>
      </c>
    </row>
    <row r="32" ht="20" customHeight="1">
      <c r="A32" s="19" t="n">
        <v>12</v>
      </c>
      <c r="B32" s="52">
        <f>IF($A32="","",INDEX(Daten!$C$4:$V$4,$A32))</f>
        <v/>
      </c>
      <c r="C32" s="21">
        <f>IF($A32="","",INDEX(Daten!$C$6:$V$6,$A32))</f>
        <v/>
      </c>
      <c r="D32" s="22">
        <f>IF($A32="","",IF(INDEX(Daten!$C$7:$V$7,$A32)=0,"",INDEX(Daten!$C$7:$V$7,$A32)))</f>
        <v/>
      </c>
      <c r="E32" s="21">
        <f>IF($A32="","",INDEX(Daten!$C$8:$V$8,$A32))</f>
        <v/>
      </c>
      <c r="F32" s="53">
        <f>IF($A32="","",IF(INDEX(Daten!$C$50:$V$74,Daten!$B$619,$A32)=0,"",INDEX(Daten!$C$110:$V$134,Daten!$B$619,$A32)))</f>
        <v/>
      </c>
      <c r="G32" s="54">
        <f>IF($A32="","",IF(INDEX(Daten!$C$50:$V$74,Daten!$B$619,$A32)=0,"",INDEX(Daten!$C$140:$V$164,Daten!$B$619,$A32)))</f>
        <v/>
      </c>
      <c r="H32" s="24">
        <f>IF($A32="","",IF(INDEX(Daten!$C$50:$V$74,Daten!$B$619,$A32)=0,"",INDEX(Daten!$C$20:$V$44,Daten!$B$619,$A32)))</f>
        <v/>
      </c>
      <c r="I32" s="25">
        <f>IF($A32="","",IF(INDEX(Daten!$C$50:$V$74,Daten!$B$619,$A32)=1,INDEX(Noten,MAX(1,MIN(COUNT(NGrenze),COUNT(NGrenze)+1-COUNTIF(NGrenze,"&lt;="&amp;$H32))))&amp;" – "&amp;INDEX(NText,MAX(1,MIN(COUNT(NGrenze),COUNT(NGrenze)+1-COUNTIF(NGrenze,"&lt;="&amp;$H32)))),IF(INDEX(Daten!$C$230:$V$254,Daten!$B$619,$A32)=0,"","nicht bewertet"&amp;IF(INDEX(Daten!$C$170:$V$194,Daten!$B$619,$A32)="",""," ("&amp;INDEX(Daten!$C$170:$V$194,Daten!$B$619,$A32)&amp;")"))))</f>
        <v/>
      </c>
      <c r="J32" s="21">
        <f>IF($A32="","",IF(INDEX(Daten!$C$50:$V$74,Daten!$B$619,$A32)=0,"–",IF(INDEX(Daten!$C$790:$V$814,Daten!$B$619,$A32)=1,"ja",IF(INDEX(Daten!$C$380:$V$404,Daten!$B$619,$A32)=0,"nein (Wdh.)","noch nicht (läuft)"))))</f>
        <v/>
      </c>
      <c r="K32" s="21">
        <f>IF($A32="","",INDEX(Daten!$C$170:$V$194,Daten!$B$619,$A32))</f>
        <v/>
      </c>
      <c r="L32" s="56">
        <f>IF($A32="","",INDEX(Daten!$C$760:$V$784,Daten!$B$619,$A32))</f>
        <v/>
      </c>
    </row>
    <row r="33" ht="20" customHeight="1">
      <c r="A33" s="19" t="n">
        <v>13</v>
      </c>
      <c r="B33" s="52">
        <f>IF($A33="","",INDEX(Daten!$C$4:$V$4,$A33))</f>
        <v/>
      </c>
      <c r="C33" s="21">
        <f>IF($A33="","",INDEX(Daten!$C$6:$V$6,$A33))</f>
        <v/>
      </c>
      <c r="D33" s="22">
        <f>IF($A33="","",IF(INDEX(Daten!$C$7:$V$7,$A33)=0,"",INDEX(Daten!$C$7:$V$7,$A33)))</f>
        <v/>
      </c>
      <c r="E33" s="21">
        <f>IF($A33="","",INDEX(Daten!$C$8:$V$8,$A33))</f>
        <v/>
      </c>
      <c r="F33" s="53">
        <f>IF($A33="","",IF(INDEX(Daten!$C$50:$V$74,Daten!$B$619,$A33)=0,"",INDEX(Daten!$C$110:$V$134,Daten!$B$619,$A33)))</f>
        <v/>
      </c>
      <c r="G33" s="54">
        <f>IF($A33="","",IF(INDEX(Daten!$C$50:$V$74,Daten!$B$619,$A33)=0,"",INDEX(Daten!$C$140:$V$164,Daten!$B$619,$A33)))</f>
        <v/>
      </c>
      <c r="H33" s="24">
        <f>IF($A33="","",IF(INDEX(Daten!$C$50:$V$74,Daten!$B$619,$A33)=0,"",INDEX(Daten!$C$20:$V$44,Daten!$B$619,$A33)))</f>
        <v/>
      </c>
      <c r="I33" s="25">
        <f>IF($A33="","",IF(INDEX(Daten!$C$50:$V$74,Daten!$B$619,$A33)=1,INDEX(Noten,MAX(1,MIN(COUNT(NGrenze),COUNT(NGrenze)+1-COUNTIF(NGrenze,"&lt;="&amp;$H33))))&amp;" – "&amp;INDEX(NText,MAX(1,MIN(COUNT(NGrenze),COUNT(NGrenze)+1-COUNTIF(NGrenze,"&lt;="&amp;$H33)))),IF(INDEX(Daten!$C$230:$V$254,Daten!$B$619,$A33)=0,"","nicht bewertet"&amp;IF(INDEX(Daten!$C$170:$V$194,Daten!$B$619,$A33)="",""," ("&amp;INDEX(Daten!$C$170:$V$194,Daten!$B$619,$A33)&amp;")"))))</f>
        <v/>
      </c>
      <c r="J33" s="21">
        <f>IF($A33="","",IF(INDEX(Daten!$C$50:$V$74,Daten!$B$619,$A33)=0,"–",IF(INDEX(Daten!$C$790:$V$814,Daten!$B$619,$A33)=1,"ja",IF(INDEX(Daten!$C$380:$V$404,Daten!$B$619,$A33)=0,"nein (Wdh.)","noch nicht (läuft)"))))</f>
        <v/>
      </c>
      <c r="K33" s="21">
        <f>IF($A33="","",INDEX(Daten!$C$170:$V$194,Daten!$B$619,$A33))</f>
        <v/>
      </c>
      <c r="L33" s="56">
        <f>IF($A33="","",INDEX(Daten!$C$760:$V$784,Daten!$B$619,$A33))</f>
        <v/>
      </c>
    </row>
    <row r="34" ht="20" customHeight="1">
      <c r="A34" s="19" t="n">
        <v>14</v>
      </c>
      <c r="B34" s="52">
        <f>IF($A34="","",INDEX(Daten!$C$4:$V$4,$A34))</f>
        <v/>
      </c>
      <c r="C34" s="21">
        <f>IF($A34="","",INDEX(Daten!$C$6:$V$6,$A34))</f>
        <v/>
      </c>
      <c r="D34" s="22">
        <f>IF($A34="","",IF(INDEX(Daten!$C$7:$V$7,$A34)=0,"",INDEX(Daten!$C$7:$V$7,$A34)))</f>
        <v/>
      </c>
      <c r="E34" s="21">
        <f>IF($A34="","",INDEX(Daten!$C$8:$V$8,$A34))</f>
        <v/>
      </c>
      <c r="F34" s="53">
        <f>IF($A34="","",IF(INDEX(Daten!$C$50:$V$74,Daten!$B$619,$A34)=0,"",INDEX(Daten!$C$110:$V$134,Daten!$B$619,$A34)))</f>
        <v/>
      </c>
      <c r="G34" s="54">
        <f>IF($A34="","",IF(INDEX(Daten!$C$50:$V$74,Daten!$B$619,$A34)=0,"",INDEX(Daten!$C$140:$V$164,Daten!$B$619,$A34)))</f>
        <v/>
      </c>
      <c r="H34" s="24">
        <f>IF($A34="","",IF(INDEX(Daten!$C$50:$V$74,Daten!$B$619,$A34)=0,"",INDEX(Daten!$C$20:$V$44,Daten!$B$619,$A34)))</f>
        <v/>
      </c>
      <c r="I34" s="25">
        <f>IF($A34="","",IF(INDEX(Daten!$C$50:$V$74,Daten!$B$619,$A34)=1,INDEX(Noten,MAX(1,MIN(COUNT(NGrenze),COUNT(NGrenze)+1-COUNTIF(NGrenze,"&lt;="&amp;$H34))))&amp;" – "&amp;INDEX(NText,MAX(1,MIN(COUNT(NGrenze),COUNT(NGrenze)+1-COUNTIF(NGrenze,"&lt;="&amp;$H34)))),IF(INDEX(Daten!$C$230:$V$254,Daten!$B$619,$A34)=0,"","nicht bewertet"&amp;IF(INDEX(Daten!$C$170:$V$194,Daten!$B$619,$A34)="",""," ("&amp;INDEX(Daten!$C$170:$V$194,Daten!$B$619,$A34)&amp;")"))))</f>
        <v/>
      </c>
      <c r="J34" s="21">
        <f>IF($A34="","",IF(INDEX(Daten!$C$50:$V$74,Daten!$B$619,$A34)=0,"–",IF(INDEX(Daten!$C$790:$V$814,Daten!$B$619,$A34)=1,"ja",IF(INDEX(Daten!$C$380:$V$404,Daten!$B$619,$A34)=0,"nein (Wdh.)","noch nicht (läuft)"))))</f>
        <v/>
      </c>
      <c r="K34" s="21">
        <f>IF($A34="","",INDEX(Daten!$C$170:$V$194,Daten!$B$619,$A34))</f>
        <v/>
      </c>
      <c r="L34" s="56">
        <f>IF($A34="","",INDEX(Daten!$C$760:$V$784,Daten!$B$619,$A34))</f>
        <v/>
      </c>
    </row>
    <row r="35" ht="20" customHeight="1">
      <c r="A35" s="19" t="n">
        <v>15</v>
      </c>
      <c r="B35" s="52">
        <f>IF($A35="","",INDEX(Daten!$C$4:$V$4,$A35))</f>
        <v/>
      </c>
      <c r="C35" s="21">
        <f>IF($A35="","",INDEX(Daten!$C$6:$V$6,$A35))</f>
        <v/>
      </c>
      <c r="D35" s="22">
        <f>IF($A35="","",IF(INDEX(Daten!$C$7:$V$7,$A35)=0,"",INDEX(Daten!$C$7:$V$7,$A35)))</f>
        <v/>
      </c>
      <c r="E35" s="21">
        <f>IF($A35="","",INDEX(Daten!$C$8:$V$8,$A35))</f>
        <v/>
      </c>
      <c r="F35" s="53">
        <f>IF($A35="","",IF(INDEX(Daten!$C$50:$V$74,Daten!$B$619,$A35)=0,"",INDEX(Daten!$C$110:$V$134,Daten!$B$619,$A35)))</f>
        <v/>
      </c>
      <c r="G35" s="54">
        <f>IF($A35="","",IF(INDEX(Daten!$C$50:$V$74,Daten!$B$619,$A35)=0,"",INDEX(Daten!$C$140:$V$164,Daten!$B$619,$A35)))</f>
        <v/>
      </c>
      <c r="H35" s="24">
        <f>IF($A35="","",IF(INDEX(Daten!$C$50:$V$74,Daten!$B$619,$A35)=0,"",INDEX(Daten!$C$20:$V$44,Daten!$B$619,$A35)))</f>
        <v/>
      </c>
      <c r="I35" s="25">
        <f>IF($A35="","",IF(INDEX(Daten!$C$50:$V$74,Daten!$B$619,$A35)=1,INDEX(Noten,MAX(1,MIN(COUNT(NGrenze),COUNT(NGrenze)+1-COUNTIF(NGrenze,"&lt;="&amp;$H35))))&amp;" – "&amp;INDEX(NText,MAX(1,MIN(COUNT(NGrenze),COUNT(NGrenze)+1-COUNTIF(NGrenze,"&lt;="&amp;$H35)))),IF(INDEX(Daten!$C$230:$V$254,Daten!$B$619,$A35)=0,"","nicht bewertet"&amp;IF(INDEX(Daten!$C$170:$V$194,Daten!$B$619,$A35)="",""," ("&amp;INDEX(Daten!$C$170:$V$194,Daten!$B$619,$A35)&amp;")"))))</f>
        <v/>
      </c>
      <c r="J35" s="21">
        <f>IF($A35="","",IF(INDEX(Daten!$C$50:$V$74,Daten!$B$619,$A35)=0,"–",IF(INDEX(Daten!$C$790:$V$814,Daten!$B$619,$A35)=1,"ja",IF(INDEX(Daten!$C$380:$V$404,Daten!$B$619,$A35)=0,"nein (Wdh.)","noch nicht (läuft)"))))</f>
        <v/>
      </c>
      <c r="K35" s="21">
        <f>IF($A35="","",INDEX(Daten!$C$170:$V$194,Daten!$B$619,$A35))</f>
        <v/>
      </c>
      <c r="L35" s="56">
        <f>IF($A35="","",INDEX(Daten!$C$760:$V$784,Daten!$B$619,$A35))</f>
        <v/>
      </c>
    </row>
    <row r="36" ht="20" customHeight="1">
      <c r="A36" s="19" t="n">
        <v>16</v>
      </c>
      <c r="B36" s="52">
        <f>IF($A36="","",INDEX(Daten!$C$4:$V$4,$A36))</f>
        <v/>
      </c>
      <c r="C36" s="21">
        <f>IF($A36="","",INDEX(Daten!$C$6:$V$6,$A36))</f>
        <v/>
      </c>
      <c r="D36" s="22">
        <f>IF($A36="","",IF(INDEX(Daten!$C$7:$V$7,$A36)=0,"",INDEX(Daten!$C$7:$V$7,$A36)))</f>
        <v/>
      </c>
      <c r="E36" s="21">
        <f>IF($A36="","",INDEX(Daten!$C$8:$V$8,$A36))</f>
        <v/>
      </c>
      <c r="F36" s="53">
        <f>IF($A36="","",IF(INDEX(Daten!$C$50:$V$74,Daten!$B$619,$A36)=0,"",INDEX(Daten!$C$110:$V$134,Daten!$B$619,$A36)))</f>
        <v/>
      </c>
      <c r="G36" s="54">
        <f>IF($A36="","",IF(INDEX(Daten!$C$50:$V$74,Daten!$B$619,$A36)=0,"",INDEX(Daten!$C$140:$V$164,Daten!$B$619,$A36)))</f>
        <v/>
      </c>
      <c r="H36" s="24">
        <f>IF($A36="","",IF(INDEX(Daten!$C$50:$V$74,Daten!$B$619,$A36)=0,"",INDEX(Daten!$C$20:$V$44,Daten!$B$619,$A36)))</f>
        <v/>
      </c>
      <c r="I36" s="25">
        <f>IF($A36="","",IF(INDEX(Daten!$C$50:$V$74,Daten!$B$619,$A36)=1,INDEX(Noten,MAX(1,MIN(COUNT(NGrenze),COUNT(NGrenze)+1-COUNTIF(NGrenze,"&lt;="&amp;$H36))))&amp;" – "&amp;INDEX(NText,MAX(1,MIN(COUNT(NGrenze),COUNT(NGrenze)+1-COUNTIF(NGrenze,"&lt;="&amp;$H36)))),IF(INDEX(Daten!$C$230:$V$254,Daten!$B$619,$A36)=0,"","nicht bewertet"&amp;IF(INDEX(Daten!$C$170:$V$194,Daten!$B$619,$A36)="",""," ("&amp;INDEX(Daten!$C$170:$V$194,Daten!$B$619,$A36)&amp;")"))))</f>
        <v/>
      </c>
      <c r="J36" s="21">
        <f>IF($A36="","",IF(INDEX(Daten!$C$50:$V$74,Daten!$B$619,$A36)=0,"–",IF(INDEX(Daten!$C$790:$V$814,Daten!$B$619,$A36)=1,"ja",IF(INDEX(Daten!$C$380:$V$404,Daten!$B$619,$A36)=0,"nein (Wdh.)","noch nicht (läuft)"))))</f>
        <v/>
      </c>
      <c r="K36" s="21">
        <f>IF($A36="","",INDEX(Daten!$C$170:$V$194,Daten!$B$619,$A36))</f>
        <v/>
      </c>
      <c r="L36" s="56">
        <f>IF($A36="","",INDEX(Daten!$C$760:$V$784,Daten!$B$619,$A36))</f>
        <v/>
      </c>
    </row>
    <row r="37" ht="20" customHeight="1">
      <c r="A37" s="19" t="n">
        <v>17</v>
      </c>
      <c r="B37" s="52">
        <f>IF($A37="","",INDEX(Daten!$C$4:$V$4,$A37))</f>
        <v/>
      </c>
      <c r="C37" s="21">
        <f>IF($A37="","",INDEX(Daten!$C$6:$V$6,$A37))</f>
        <v/>
      </c>
      <c r="D37" s="22">
        <f>IF($A37="","",IF(INDEX(Daten!$C$7:$V$7,$A37)=0,"",INDEX(Daten!$C$7:$V$7,$A37)))</f>
        <v/>
      </c>
      <c r="E37" s="21">
        <f>IF($A37="","",INDEX(Daten!$C$8:$V$8,$A37))</f>
        <v/>
      </c>
      <c r="F37" s="53">
        <f>IF($A37="","",IF(INDEX(Daten!$C$50:$V$74,Daten!$B$619,$A37)=0,"",INDEX(Daten!$C$110:$V$134,Daten!$B$619,$A37)))</f>
        <v/>
      </c>
      <c r="G37" s="54">
        <f>IF($A37="","",IF(INDEX(Daten!$C$50:$V$74,Daten!$B$619,$A37)=0,"",INDEX(Daten!$C$140:$V$164,Daten!$B$619,$A37)))</f>
        <v/>
      </c>
      <c r="H37" s="24">
        <f>IF($A37="","",IF(INDEX(Daten!$C$50:$V$74,Daten!$B$619,$A37)=0,"",INDEX(Daten!$C$20:$V$44,Daten!$B$619,$A37)))</f>
        <v/>
      </c>
      <c r="I37" s="25">
        <f>IF($A37="","",IF(INDEX(Daten!$C$50:$V$74,Daten!$B$619,$A37)=1,INDEX(Noten,MAX(1,MIN(COUNT(NGrenze),COUNT(NGrenze)+1-COUNTIF(NGrenze,"&lt;="&amp;$H37))))&amp;" – "&amp;INDEX(NText,MAX(1,MIN(COUNT(NGrenze),COUNT(NGrenze)+1-COUNTIF(NGrenze,"&lt;="&amp;$H37)))),IF(INDEX(Daten!$C$230:$V$254,Daten!$B$619,$A37)=0,"","nicht bewertet"&amp;IF(INDEX(Daten!$C$170:$V$194,Daten!$B$619,$A37)="",""," ("&amp;INDEX(Daten!$C$170:$V$194,Daten!$B$619,$A37)&amp;")"))))</f>
        <v/>
      </c>
      <c r="J37" s="21">
        <f>IF($A37="","",IF(INDEX(Daten!$C$50:$V$74,Daten!$B$619,$A37)=0,"–",IF(INDEX(Daten!$C$790:$V$814,Daten!$B$619,$A37)=1,"ja",IF(INDEX(Daten!$C$380:$V$404,Daten!$B$619,$A37)=0,"nein (Wdh.)","noch nicht (läuft)"))))</f>
        <v/>
      </c>
      <c r="K37" s="21">
        <f>IF($A37="","",INDEX(Daten!$C$170:$V$194,Daten!$B$619,$A37))</f>
        <v/>
      </c>
      <c r="L37" s="56">
        <f>IF($A37="","",INDEX(Daten!$C$760:$V$784,Daten!$B$619,$A37))</f>
        <v/>
      </c>
    </row>
    <row r="38" ht="20" customHeight="1">
      <c r="A38" s="19" t="n">
        <v>18</v>
      </c>
      <c r="B38" s="52">
        <f>IF($A38="","",INDEX(Daten!$C$4:$V$4,$A38))</f>
        <v/>
      </c>
      <c r="C38" s="21">
        <f>IF($A38="","",INDEX(Daten!$C$6:$V$6,$A38))</f>
        <v/>
      </c>
      <c r="D38" s="22">
        <f>IF($A38="","",IF(INDEX(Daten!$C$7:$V$7,$A38)=0,"",INDEX(Daten!$C$7:$V$7,$A38)))</f>
        <v/>
      </c>
      <c r="E38" s="21">
        <f>IF($A38="","",INDEX(Daten!$C$8:$V$8,$A38))</f>
        <v/>
      </c>
      <c r="F38" s="53">
        <f>IF($A38="","",IF(INDEX(Daten!$C$50:$V$74,Daten!$B$619,$A38)=0,"",INDEX(Daten!$C$110:$V$134,Daten!$B$619,$A38)))</f>
        <v/>
      </c>
      <c r="G38" s="54">
        <f>IF($A38="","",IF(INDEX(Daten!$C$50:$V$74,Daten!$B$619,$A38)=0,"",INDEX(Daten!$C$140:$V$164,Daten!$B$619,$A38)))</f>
        <v/>
      </c>
      <c r="H38" s="24">
        <f>IF($A38="","",IF(INDEX(Daten!$C$50:$V$74,Daten!$B$619,$A38)=0,"",INDEX(Daten!$C$20:$V$44,Daten!$B$619,$A38)))</f>
        <v/>
      </c>
      <c r="I38" s="25">
        <f>IF($A38="","",IF(INDEX(Daten!$C$50:$V$74,Daten!$B$619,$A38)=1,INDEX(Noten,MAX(1,MIN(COUNT(NGrenze),COUNT(NGrenze)+1-COUNTIF(NGrenze,"&lt;="&amp;$H38))))&amp;" – "&amp;INDEX(NText,MAX(1,MIN(COUNT(NGrenze),COUNT(NGrenze)+1-COUNTIF(NGrenze,"&lt;="&amp;$H38)))),IF(INDEX(Daten!$C$230:$V$254,Daten!$B$619,$A38)=0,"","nicht bewertet"&amp;IF(INDEX(Daten!$C$170:$V$194,Daten!$B$619,$A38)="",""," ("&amp;INDEX(Daten!$C$170:$V$194,Daten!$B$619,$A38)&amp;")"))))</f>
        <v/>
      </c>
      <c r="J38" s="21">
        <f>IF($A38="","",IF(INDEX(Daten!$C$50:$V$74,Daten!$B$619,$A38)=0,"–",IF(INDEX(Daten!$C$790:$V$814,Daten!$B$619,$A38)=1,"ja",IF(INDEX(Daten!$C$380:$V$404,Daten!$B$619,$A38)=0,"nein (Wdh.)","noch nicht (läuft)"))))</f>
        <v/>
      </c>
      <c r="K38" s="21">
        <f>IF($A38="","",INDEX(Daten!$C$170:$V$194,Daten!$B$619,$A38))</f>
        <v/>
      </c>
      <c r="L38" s="56">
        <f>IF($A38="","",INDEX(Daten!$C$760:$V$784,Daten!$B$619,$A38))</f>
        <v/>
      </c>
    </row>
    <row r="39" ht="20" customHeight="1">
      <c r="A39" s="19" t="n">
        <v>19</v>
      </c>
      <c r="B39" s="52">
        <f>IF($A39="","",INDEX(Daten!$C$4:$V$4,$A39))</f>
        <v/>
      </c>
      <c r="C39" s="21">
        <f>IF($A39="","",INDEX(Daten!$C$6:$V$6,$A39))</f>
        <v/>
      </c>
      <c r="D39" s="22">
        <f>IF($A39="","",IF(INDEX(Daten!$C$7:$V$7,$A39)=0,"",INDEX(Daten!$C$7:$V$7,$A39)))</f>
        <v/>
      </c>
      <c r="E39" s="21">
        <f>IF($A39="","",INDEX(Daten!$C$8:$V$8,$A39))</f>
        <v/>
      </c>
      <c r="F39" s="53">
        <f>IF($A39="","",IF(INDEX(Daten!$C$50:$V$74,Daten!$B$619,$A39)=0,"",INDEX(Daten!$C$110:$V$134,Daten!$B$619,$A39)))</f>
        <v/>
      </c>
      <c r="G39" s="54">
        <f>IF($A39="","",IF(INDEX(Daten!$C$50:$V$74,Daten!$B$619,$A39)=0,"",INDEX(Daten!$C$140:$V$164,Daten!$B$619,$A39)))</f>
        <v/>
      </c>
      <c r="H39" s="24">
        <f>IF($A39="","",IF(INDEX(Daten!$C$50:$V$74,Daten!$B$619,$A39)=0,"",INDEX(Daten!$C$20:$V$44,Daten!$B$619,$A39)))</f>
        <v/>
      </c>
      <c r="I39" s="25">
        <f>IF($A39="","",IF(INDEX(Daten!$C$50:$V$74,Daten!$B$619,$A39)=1,INDEX(Noten,MAX(1,MIN(COUNT(NGrenze),COUNT(NGrenze)+1-COUNTIF(NGrenze,"&lt;="&amp;$H39))))&amp;" – "&amp;INDEX(NText,MAX(1,MIN(COUNT(NGrenze),COUNT(NGrenze)+1-COUNTIF(NGrenze,"&lt;="&amp;$H39)))),IF(INDEX(Daten!$C$230:$V$254,Daten!$B$619,$A39)=0,"","nicht bewertet"&amp;IF(INDEX(Daten!$C$170:$V$194,Daten!$B$619,$A39)="",""," ("&amp;INDEX(Daten!$C$170:$V$194,Daten!$B$619,$A39)&amp;")"))))</f>
        <v/>
      </c>
      <c r="J39" s="21">
        <f>IF($A39="","",IF(INDEX(Daten!$C$50:$V$74,Daten!$B$619,$A39)=0,"–",IF(INDEX(Daten!$C$790:$V$814,Daten!$B$619,$A39)=1,"ja",IF(INDEX(Daten!$C$380:$V$404,Daten!$B$619,$A39)=0,"nein (Wdh.)","noch nicht (läuft)"))))</f>
        <v/>
      </c>
      <c r="K39" s="21">
        <f>IF($A39="","",INDEX(Daten!$C$170:$V$194,Daten!$B$619,$A39))</f>
        <v/>
      </c>
      <c r="L39" s="56">
        <f>IF($A39="","",INDEX(Daten!$C$760:$V$784,Daten!$B$619,$A39))</f>
        <v/>
      </c>
    </row>
    <row r="40" ht="20" customHeight="1">
      <c r="A40" s="19" t="n">
        <v>20</v>
      </c>
      <c r="B40" s="52">
        <f>IF($A40="","",INDEX(Daten!$C$4:$V$4,$A40))</f>
        <v/>
      </c>
      <c r="C40" s="21">
        <f>IF($A40="","",INDEX(Daten!$C$6:$V$6,$A40))</f>
        <v/>
      </c>
      <c r="D40" s="22">
        <f>IF($A40="","",IF(INDEX(Daten!$C$7:$V$7,$A40)=0,"",INDEX(Daten!$C$7:$V$7,$A40)))</f>
        <v/>
      </c>
      <c r="E40" s="21">
        <f>IF($A40="","",INDEX(Daten!$C$8:$V$8,$A40))</f>
        <v/>
      </c>
      <c r="F40" s="53">
        <f>IF($A40="","",IF(INDEX(Daten!$C$50:$V$74,Daten!$B$619,$A40)=0,"",INDEX(Daten!$C$110:$V$134,Daten!$B$619,$A40)))</f>
        <v/>
      </c>
      <c r="G40" s="54">
        <f>IF($A40="","",IF(INDEX(Daten!$C$50:$V$74,Daten!$B$619,$A40)=0,"",INDEX(Daten!$C$140:$V$164,Daten!$B$619,$A40)))</f>
        <v/>
      </c>
      <c r="H40" s="24">
        <f>IF($A40="","",IF(INDEX(Daten!$C$50:$V$74,Daten!$B$619,$A40)=0,"",INDEX(Daten!$C$20:$V$44,Daten!$B$619,$A40)))</f>
        <v/>
      </c>
      <c r="I40" s="25">
        <f>IF($A40="","",IF(INDEX(Daten!$C$50:$V$74,Daten!$B$619,$A40)=1,INDEX(Noten,MAX(1,MIN(COUNT(NGrenze),COUNT(NGrenze)+1-COUNTIF(NGrenze,"&lt;="&amp;$H40))))&amp;" – "&amp;INDEX(NText,MAX(1,MIN(COUNT(NGrenze),COUNT(NGrenze)+1-COUNTIF(NGrenze,"&lt;="&amp;$H40)))),IF(INDEX(Daten!$C$230:$V$254,Daten!$B$619,$A40)=0,"","nicht bewertet"&amp;IF(INDEX(Daten!$C$170:$V$194,Daten!$B$619,$A40)="",""," ("&amp;INDEX(Daten!$C$170:$V$194,Daten!$B$619,$A40)&amp;")"))))</f>
        <v/>
      </c>
      <c r="J40" s="21">
        <f>IF($A40="","",IF(INDEX(Daten!$C$50:$V$74,Daten!$B$619,$A40)=0,"–",IF(INDEX(Daten!$C$790:$V$814,Daten!$B$619,$A40)=1,"ja",IF(INDEX(Daten!$C$380:$V$404,Daten!$B$619,$A40)=0,"nein (Wdh.)","noch nicht (läuft)"))))</f>
        <v/>
      </c>
      <c r="K40" s="21">
        <f>IF($A40="","",INDEX(Daten!$C$170:$V$194,Daten!$B$619,$A40))</f>
        <v/>
      </c>
      <c r="L40" s="56">
        <f>IF($A40="","",INDEX(Daten!$C$760:$V$784,Daten!$B$619,$A40))</f>
        <v/>
      </c>
    </row>
    <row r="41" ht="10" customHeight="1"/>
    <row r="42" ht="28" customHeight="1">
      <c r="A42" s="15" t="inlineStr">
        <is>
          <t xml:space="preserve"> Halbjahresauswertung für das Gespräch</t>
        </is>
      </c>
    </row>
    <row r="43" ht="30" customHeight="1">
      <c r="A43" s="16" t="inlineStr">
        <is>
          <t>HJ</t>
        </is>
      </c>
      <c r="B43" s="16" t="inlineStr">
        <is>
          <t>Zeitraum ab Ausbildungsstart</t>
        </is>
      </c>
      <c r="C43" s="16" t="inlineStr">
        <is>
          <t>Übungen</t>
        </is>
      </c>
      <c r="D43" s="16" t="inlineStr">
        <is>
          <t>Praxis %</t>
        </is>
      </c>
      <c r="E43" s="16" t="inlineStr">
        <is>
          <t>Praxis Note</t>
        </is>
      </c>
      <c r="F43" s="16" t="inlineStr">
        <is>
          <t>Theorie %</t>
        </is>
      </c>
      <c r="G43" s="16" t="inlineStr">
        <is>
          <t>Theorie Note</t>
        </is>
      </c>
      <c r="H43" s="16" t="inlineStr">
        <is>
          <t>Gesamt %</t>
        </is>
      </c>
      <c r="I43" s="16" t="inlineStr">
        <is>
          <t>Gesamt Note</t>
        </is>
      </c>
      <c r="J43" s="50" t="inlineStr">
        <is>
          <t>Hinweis</t>
        </is>
      </c>
    </row>
    <row r="44" ht="22" customHeight="1">
      <c r="A44" s="57" t="n">
        <v>1</v>
      </c>
      <c r="B44" s="56">
        <f>"Monat "&amp;(1-1)*6+1&amp;" bis "&amp;1*6</f>
        <v/>
      </c>
      <c r="C44" s="23">
        <f>IF(Daten!$B$619=0,"",INDEX(Daten!$C$440:$J$464,Daten!$B$619,1))</f>
        <v/>
      </c>
      <c r="D44" s="24">
        <f>IF(Daten!$B$619=0,"",INDEX(Daten!$C$530:$J$554,Daten!$B$619,1))</f>
        <v/>
      </c>
      <c r="E44" s="25">
        <f>IF(NOT(ISNUMBER(D44)),"",INDEX(Noten,MAX(1,MIN(COUNT(NGrenze),COUNT(NGrenze)+1-COUNTIF(NGrenze,"&lt;="&amp;D44))))&amp;" – "&amp;INDEX(NText,MAX(1,MIN(COUNT(NGrenze),COUNT(NGrenze)+1-COUNTIF(NGrenze,"&lt;="&amp;D44)))))</f>
        <v/>
      </c>
      <c r="F44" s="24">
        <f>IF(Daten!$B$619=0,"",INDEX(Daten!$C$560:$J$584,Daten!$B$619,1))</f>
        <v/>
      </c>
      <c r="G44" s="25">
        <f>IF(NOT(ISNUMBER(F44)),"",INDEX(Noten,MAX(1,MIN(COUNT(NGrenze),COUNT(NGrenze)+1-COUNTIF(NGrenze,"&lt;="&amp;F44))))&amp;" – "&amp;INDEX(NText,MAX(1,MIN(COUNT(NGrenze),COUNT(NGrenze)+1-COUNTIF(NGrenze,"&lt;="&amp;F44)))))</f>
        <v/>
      </c>
      <c r="H44" s="24">
        <f>IF(Daten!$B$619=0,"",INDEX(Daten!$C$590:$J$614,Daten!$B$619,1))</f>
        <v/>
      </c>
      <c r="I44" s="25">
        <f>IF(NOT(ISNUMBER(H44)),"",INDEX(Noten,MAX(1,MIN(COUNT(NGrenze),COUNT(NGrenze)+1-COUNTIF(NGrenze,"&lt;="&amp;H44))))&amp;" – "&amp;INDEX(NText,MAX(1,MIN(COUNT(NGrenze),COUNT(NGrenze)+1-COUNTIF(NGrenze,"&lt;="&amp;H44)))))</f>
        <v/>
      </c>
      <c r="J44" s="58">
        <f>IF(OR(Daten!$B$619=0,C44=""),"",IF(C44=0,"keine Bewertung in diesem Halbjahr",IF(C44&lt;SchwelleDB,"wenig Datenbasis ("&amp;C44&amp;" Übung"&amp;IF(C44=1,"","en")&amp;")","")))</f>
        <v/>
      </c>
    </row>
    <row r="45" ht="22" customHeight="1">
      <c r="A45" s="57" t="n">
        <v>2</v>
      </c>
      <c r="B45" s="56">
        <f>"Monat "&amp;(2-1)*6+1&amp;" bis "&amp;2*6</f>
        <v/>
      </c>
      <c r="C45" s="23">
        <f>IF(Daten!$B$619=0,"",INDEX(Daten!$C$440:$J$464,Daten!$B$619,2))</f>
        <v/>
      </c>
      <c r="D45" s="24">
        <f>IF(Daten!$B$619=0,"",INDEX(Daten!$C$530:$J$554,Daten!$B$619,2))</f>
        <v/>
      </c>
      <c r="E45" s="25">
        <f>IF(NOT(ISNUMBER(D45)),"",INDEX(Noten,MAX(1,MIN(COUNT(NGrenze),COUNT(NGrenze)+1-COUNTIF(NGrenze,"&lt;="&amp;D45))))&amp;" – "&amp;INDEX(NText,MAX(1,MIN(COUNT(NGrenze),COUNT(NGrenze)+1-COUNTIF(NGrenze,"&lt;="&amp;D45)))))</f>
        <v/>
      </c>
      <c r="F45" s="24">
        <f>IF(Daten!$B$619=0,"",INDEX(Daten!$C$560:$J$584,Daten!$B$619,2))</f>
        <v/>
      </c>
      <c r="G45" s="25">
        <f>IF(NOT(ISNUMBER(F45)),"",INDEX(Noten,MAX(1,MIN(COUNT(NGrenze),COUNT(NGrenze)+1-COUNTIF(NGrenze,"&lt;="&amp;F45))))&amp;" – "&amp;INDEX(NText,MAX(1,MIN(COUNT(NGrenze),COUNT(NGrenze)+1-COUNTIF(NGrenze,"&lt;="&amp;F45)))))</f>
        <v/>
      </c>
      <c r="H45" s="24">
        <f>IF(Daten!$B$619=0,"",INDEX(Daten!$C$590:$J$614,Daten!$B$619,2))</f>
        <v/>
      </c>
      <c r="I45" s="25">
        <f>IF(NOT(ISNUMBER(H45)),"",INDEX(Noten,MAX(1,MIN(COUNT(NGrenze),COUNT(NGrenze)+1-COUNTIF(NGrenze,"&lt;="&amp;H45))))&amp;" – "&amp;INDEX(NText,MAX(1,MIN(COUNT(NGrenze),COUNT(NGrenze)+1-COUNTIF(NGrenze,"&lt;="&amp;H45)))))</f>
        <v/>
      </c>
      <c r="J45" s="58">
        <f>IF(OR(Daten!$B$619=0,C45=""),"",IF(C45=0,"keine Bewertung in diesem Halbjahr",IF(C45&lt;SchwelleDB,"wenig Datenbasis ("&amp;C45&amp;" Übung"&amp;IF(C45=1,"","en")&amp;")","")))</f>
        <v/>
      </c>
    </row>
    <row r="46" ht="22" customHeight="1">
      <c r="A46" s="57" t="n">
        <v>3</v>
      </c>
      <c r="B46" s="56">
        <f>"Monat "&amp;(3-1)*6+1&amp;" bis "&amp;3*6</f>
        <v/>
      </c>
      <c r="C46" s="23">
        <f>IF(Daten!$B$619=0,"",INDEX(Daten!$C$440:$J$464,Daten!$B$619,3))</f>
        <v/>
      </c>
      <c r="D46" s="24">
        <f>IF(Daten!$B$619=0,"",INDEX(Daten!$C$530:$J$554,Daten!$B$619,3))</f>
        <v/>
      </c>
      <c r="E46" s="25">
        <f>IF(NOT(ISNUMBER(D46)),"",INDEX(Noten,MAX(1,MIN(COUNT(NGrenze),COUNT(NGrenze)+1-COUNTIF(NGrenze,"&lt;="&amp;D46))))&amp;" – "&amp;INDEX(NText,MAX(1,MIN(COUNT(NGrenze),COUNT(NGrenze)+1-COUNTIF(NGrenze,"&lt;="&amp;D46)))))</f>
        <v/>
      </c>
      <c r="F46" s="24">
        <f>IF(Daten!$B$619=0,"",INDEX(Daten!$C$560:$J$584,Daten!$B$619,3))</f>
        <v/>
      </c>
      <c r="G46" s="25">
        <f>IF(NOT(ISNUMBER(F46)),"",INDEX(Noten,MAX(1,MIN(COUNT(NGrenze),COUNT(NGrenze)+1-COUNTIF(NGrenze,"&lt;="&amp;F46))))&amp;" – "&amp;INDEX(NText,MAX(1,MIN(COUNT(NGrenze),COUNT(NGrenze)+1-COUNTIF(NGrenze,"&lt;="&amp;F46)))))</f>
        <v/>
      </c>
      <c r="H46" s="24">
        <f>IF(Daten!$B$619=0,"",INDEX(Daten!$C$590:$J$614,Daten!$B$619,3))</f>
        <v/>
      </c>
      <c r="I46" s="25">
        <f>IF(NOT(ISNUMBER(H46)),"",INDEX(Noten,MAX(1,MIN(COUNT(NGrenze),COUNT(NGrenze)+1-COUNTIF(NGrenze,"&lt;="&amp;H46))))&amp;" – "&amp;INDEX(NText,MAX(1,MIN(COUNT(NGrenze),COUNT(NGrenze)+1-COUNTIF(NGrenze,"&lt;="&amp;H46)))))</f>
        <v/>
      </c>
      <c r="J46" s="58">
        <f>IF(OR(Daten!$B$619=0,C46=""),"",IF(C46=0,"keine Bewertung in diesem Halbjahr",IF(C46&lt;SchwelleDB,"wenig Datenbasis ("&amp;C46&amp;" Übung"&amp;IF(C46=1,"","en")&amp;")","")))</f>
        <v/>
      </c>
    </row>
    <row r="47" ht="22" customHeight="1">
      <c r="A47" s="57" t="n">
        <v>4</v>
      </c>
      <c r="B47" s="56">
        <f>"Monat "&amp;(4-1)*6+1&amp;" bis "&amp;4*6</f>
        <v/>
      </c>
      <c r="C47" s="23">
        <f>IF(Daten!$B$619=0,"",INDEX(Daten!$C$440:$J$464,Daten!$B$619,4))</f>
        <v/>
      </c>
      <c r="D47" s="24">
        <f>IF(Daten!$B$619=0,"",INDEX(Daten!$C$530:$J$554,Daten!$B$619,4))</f>
        <v/>
      </c>
      <c r="E47" s="25">
        <f>IF(NOT(ISNUMBER(D47)),"",INDEX(Noten,MAX(1,MIN(COUNT(NGrenze),COUNT(NGrenze)+1-COUNTIF(NGrenze,"&lt;="&amp;D47))))&amp;" – "&amp;INDEX(NText,MAX(1,MIN(COUNT(NGrenze),COUNT(NGrenze)+1-COUNTIF(NGrenze,"&lt;="&amp;D47)))))</f>
        <v/>
      </c>
      <c r="F47" s="24">
        <f>IF(Daten!$B$619=0,"",INDEX(Daten!$C$560:$J$584,Daten!$B$619,4))</f>
        <v/>
      </c>
      <c r="G47" s="25">
        <f>IF(NOT(ISNUMBER(F47)),"",INDEX(Noten,MAX(1,MIN(COUNT(NGrenze),COUNT(NGrenze)+1-COUNTIF(NGrenze,"&lt;="&amp;F47))))&amp;" – "&amp;INDEX(NText,MAX(1,MIN(COUNT(NGrenze),COUNT(NGrenze)+1-COUNTIF(NGrenze,"&lt;="&amp;F47)))))</f>
        <v/>
      </c>
      <c r="H47" s="24">
        <f>IF(Daten!$B$619=0,"",INDEX(Daten!$C$590:$J$614,Daten!$B$619,4))</f>
        <v/>
      </c>
      <c r="I47" s="25">
        <f>IF(NOT(ISNUMBER(H47)),"",INDEX(Noten,MAX(1,MIN(COUNT(NGrenze),COUNT(NGrenze)+1-COUNTIF(NGrenze,"&lt;="&amp;H47))))&amp;" – "&amp;INDEX(NText,MAX(1,MIN(COUNT(NGrenze),COUNT(NGrenze)+1-COUNTIF(NGrenze,"&lt;="&amp;H47)))))</f>
        <v/>
      </c>
      <c r="J47" s="58">
        <f>IF(OR(Daten!$B$619=0,C47=""),"",IF(C47=0,"keine Bewertung in diesem Halbjahr",IF(C47&lt;SchwelleDB,"wenig Datenbasis ("&amp;C47&amp;" Übung"&amp;IF(C47=1,"","en")&amp;")","")))</f>
        <v/>
      </c>
    </row>
    <row r="48" ht="22" customHeight="1">
      <c r="A48" s="57" t="n">
        <v>5</v>
      </c>
      <c r="B48" s="56">
        <f>"Monat "&amp;(5-1)*6+1&amp;" bis "&amp;5*6</f>
        <v/>
      </c>
      <c r="C48" s="23">
        <f>IF(Daten!$B$619=0,"",INDEX(Daten!$C$440:$J$464,Daten!$B$619,5))</f>
        <v/>
      </c>
      <c r="D48" s="24">
        <f>IF(Daten!$B$619=0,"",INDEX(Daten!$C$530:$J$554,Daten!$B$619,5))</f>
        <v/>
      </c>
      <c r="E48" s="25">
        <f>IF(NOT(ISNUMBER(D48)),"",INDEX(Noten,MAX(1,MIN(COUNT(NGrenze),COUNT(NGrenze)+1-COUNTIF(NGrenze,"&lt;="&amp;D48))))&amp;" – "&amp;INDEX(NText,MAX(1,MIN(COUNT(NGrenze),COUNT(NGrenze)+1-COUNTIF(NGrenze,"&lt;="&amp;D48)))))</f>
        <v/>
      </c>
      <c r="F48" s="24">
        <f>IF(Daten!$B$619=0,"",INDEX(Daten!$C$560:$J$584,Daten!$B$619,5))</f>
        <v/>
      </c>
      <c r="G48" s="25">
        <f>IF(NOT(ISNUMBER(F48)),"",INDEX(Noten,MAX(1,MIN(COUNT(NGrenze),COUNT(NGrenze)+1-COUNTIF(NGrenze,"&lt;="&amp;F48))))&amp;" – "&amp;INDEX(NText,MAX(1,MIN(COUNT(NGrenze),COUNT(NGrenze)+1-COUNTIF(NGrenze,"&lt;="&amp;F48)))))</f>
        <v/>
      </c>
      <c r="H48" s="24">
        <f>IF(Daten!$B$619=0,"",INDEX(Daten!$C$590:$J$614,Daten!$B$619,5))</f>
        <v/>
      </c>
      <c r="I48" s="25">
        <f>IF(NOT(ISNUMBER(H48)),"",INDEX(Noten,MAX(1,MIN(COUNT(NGrenze),COUNT(NGrenze)+1-COUNTIF(NGrenze,"&lt;="&amp;H48))))&amp;" – "&amp;INDEX(NText,MAX(1,MIN(COUNT(NGrenze),COUNT(NGrenze)+1-COUNTIF(NGrenze,"&lt;="&amp;H48)))))</f>
        <v/>
      </c>
      <c r="J48" s="58">
        <f>IF(OR(Daten!$B$619=0,C48=""),"",IF(C48=0,"keine Bewertung in diesem Halbjahr",IF(C48&lt;SchwelleDB,"wenig Datenbasis ("&amp;C48&amp;" Übung"&amp;IF(C48=1,"","en")&amp;")","")))</f>
        <v/>
      </c>
    </row>
    <row r="49" ht="22" customHeight="1">
      <c r="A49" s="57" t="n">
        <v>6</v>
      </c>
      <c r="B49" s="56">
        <f>"Monat "&amp;(6-1)*6+1&amp;" bis "&amp;6*6</f>
        <v/>
      </c>
      <c r="C49" s="23">
        <f>IF(Daten!$B$619=0,"",INDEX(Daten!$C$440:$J$464,Daten!$B$619,6))</f>
        <v/>
      </c>
      <c r="D49" s="24">
        <f>IF(Daten!$B$619=0,"",INDEX(Daten!$C$530:$J$554,Daten!$B$619,6))</f>
        <v/>
      </c>
      <c r="E49" s="25">
        <f>IF(NOT(ISNUMBER(D49)),"",INDEX(Noten,MAX(1,MIN(COUNT(NGrenze),COUNT(NGrenze)+1-COUNTIF(NGrenze,"&lt;="&amp;D49))))&amp;" – "&amp;INDEX(NText,MAX(1,MIN(COUNT(NGrenze),COUNT(NGrenze)+1-COUNTIF(NGrenze,"&lt;="&amp;D49)))))</f>
        <v/>
      </c>
      <c r="F49" s="24">
        <f>IF(Daten!$B$619=0,"",INDEX(Daten!$C$560:$J$584,Daten!$B$619,6))</f>
        <v/>
      </c>
      <c r="G49" s="25">
        <f>IF(NOT(ISNUMBER(F49)),"",INDEX(Noten,MAX(1,MIN(COUNT(NGrenze),COUNT(NGrenze)+1-COUNTIF(NGrenze,"&lt;="&amp;F49))))&amp;" – "&amp;INDEX(NText,MAX(1,MIN(COUNT(NGrenze),COUNT(NGrenze)+1-COUNTIF(NGrenze,"&lt;="&amp;F49)))))</f>
        <v/>
      </c>
      <c r="H49" s="24">
        <f>IF(Daten!$B$619=0,"",INDEX(Daten!$C$590:$J$614,Daten!$B$619,6))</f>
        <v/>
      </c>
      <c r="I49" s="25">
        <f>IF(NOT(ISNUMBER(H49)),"",INDEX(Noten,MAX(1,MIN(COUNT(NGrenze),COUNT(NGrenze)+1-COUNTIF(NGrenze,"&lt;="&amp;H49))))&amp;" – "&amp;INDEX(NText,MAX(1,MIN(COUNT(NGrenze),COUNT(NGrenze)+1-COUNTIF(NGrenze,"&lt;="&amp;H49)))))</f>
        <v/>
      </c>
      <c r="J49" s="58">
        <f>IF(OR(Daten!$B$619=0,C49=""),"",IF(C49=0,"keine Bewertung in diesem Halbjahr",IF(C49&lt;SchwelleDB,"wenig Datenbasis ("&amp;C49&amp;" Übung"&amp;IF(C49=1,"","en")&amp;")","")))</f>
        <v/>
      </c>
    </row>
    <row r="50" ht="22" customHeight="1">
      <c r="A50" s="57" t="n">
        <v>7</v>
      </c>
      <c r="B50" s="56">
        <f>"Monat "&amp;(7-1)*6+1&amp;" bis "&amp;7*6</f>
        <v/>
      </c>
      <c r="C50" s="23">
        <f>IF(Daten!$B$619=0,"",INDEX(Daten!$C$440:$J$464,Daten!$B$619,7))</f>
        <v/>
      </c>
      <c r="D50" s="24">
        <f>IF(Daten!$B$619=0,"",INDEX(Daten!$C$530:$J$554,Daten!$B$619,7))</f>
        <v/>
      </c>
      <c r="E50" s="25">
        <f>IF(NOT(ISNUMBER(D50)),"",INDEX(Noten,MAX(1,MIN(COUNT(NGrenze),COUNT(NGrenze)+1-COUNTIF(NGrenze,"&lt;="&amp;D50))))&amp;" – "&amp;INDEX(NText,MAX(1,MIN(COUNT(NGrenze),COUNT(NGrenze)+1-COUNTIF(NGrenze,"&lt;="&amp;D50)))))</f>
        <v/>
      </c>
      <c r="F50" s="24">
        <f>IF(Daten!$B$619=0,"",INDEX(Daten!$C$560:$J$584,Daten!$B$619,7))</f>
        <v/>
      </c>
      <c r="G50" s="25">
        <f>IF(NOT(ISNUMBER(F50)),"",INDEX(Noten,MAX(1,MIN(COUNT(NGrenze),COUNT(NGrenze)+1-COUNTIF(NGrenze,"&lt;="&amp;F50))))&amp;" – "&amp;INDEX(NText,MAX(1,MIN(COUNT(NGrenze),COUNT(NGrenze)+1-COUNTIF(NGrenze,"&lt;="&amp;F50)))))</f>
        <v/>
      </c>
      <c r="H50" s="24">
        <f>IF(Daten!$B$619=0,"",INDEX(Daten!$C$590:$J$614,Daten!$B$619,7))</f>
        <v/>
      </c>
      <c r="I50" s="25">
        <f>IF(NOT(ISNUMBER(H50)),"",INDEX(Noten,MAX(1,MIN(COUNT(NGrenze),COUNT(NGrenze)+1-COUNTIF(NGrenze,"&lt;="&amp;H50))))&amp;" – "&amp;INDEX(NText,MAX(1,MIN(COUNT(NGrenze),COUNT(NGrenze)+1-COUNTIF(NGrenze,"&lt;="&amp;H50)))))</f>
        <v/>
      </c>
      <c r="J50" s="58">
        <f>IF(OR(Daten!$B$619=0,C50=""),"",IF(C50=0,"keine Bewertung in diesem Halbjahr",IF(C50&lt;SchwelleDB,"wenig Datenbasis ("&amp;C50&amp;" Übung"&amp;IF(C50=1,"","en")&amp;")","")))</f>
        <v/>
      </c>
    </row>
    <row r="51" ht="22" customHeight="1">
      <c r="A51" s="57" t="n">
        <v>8</v>
      </c>
      <c r="B51" s="56">
        <f>"Monat "&amp;(8-1)*6+1&amp;" bis "&amp;8*6</f>
        <v/>
      </c>
      <c r="C51" s="23">
        <f>IF(Daten!$B$619=0,"",INDEX(Daten!$C$440:$J$464,Daten!$B$619,8))</f>
        <v/>
      </c>
      <c r="D51" s="24">
        <f>IF(Daten!$B$619=0,"",INDEX(Daten!$C$530:$J$554,Daten!$B$619,8))</f>
        <v/>
      </c>
      <c r="E51" s="25">
        <f>IF(NOT(ISNUMBER(D51)),"",INDEX(Noten,MAX(1,MIN(COUNT(NGrenze),COUNT(NGrenze)+1-COUNTIF(NGrenze,"&lt;="&amp;D51))))&amp;" – "&amp;INDEX(NText,MAX(1,MIN(COUNT(NGrenze),COUNT(NGrenze)+1-COUNTIF(NGrenze,"&lt;="&amp;D51)))))</f>
        <v/>
      </c>
      <c r="F51" s="24">
        <f>IF(Daten!$B$619=0,"",INDEX(Daten!$C$560:$J$584,Daten!$B$619,8))</f>
        <v/>
      </c>
      <c r="G51" s="25">
        <f>IF(NOT(ISNUMBER(F51)),"",INDEX(Noten,MAX(1,MIN(COUNT(NGrenze),COUNT(NGrenze)+1-COUNTIF(NGrenze,"&lt;="&amp;F51))))&amp;" – "&amp;INDEX(NText,MAX(1,MIN(COUNT(NGrenze),COUNT(NGrenze)+1-COUNTIF(NGrenze,"&lt;="&amp;F51)))))</f>
        <v/>
      </c>
      <c r="H51" s="24">
        <f>IF(Daten!$B$619=0,"",INDEX(Daten!$C$590:$J$614,Daten!$B$619,8))</f>
        <v/>
      </c>
      <c r="I51" s="25">
        <f>IF(NOT(ISNUMBER(H51)),"",INDEX(Noten,MAX(1,MIN(COUNT(NGrenze),COUNT(NGrenze)+1-COUNTIF(NGrenze,"&lt;="&amp;H51))))&amp;" – "&amp;INDEX(NText,MAX(1,MIN(COUNT(NGrenze),COUNT(NGrenze)+1-COUNTIF(NGrenze,"&lt;="&amp;H51)))))</f>
        <v/>
      </c>
      <c r="J51" s="58">
        <f>IF(OR(Daten!$B$619=0,C51=""),"",IF(C51=0,"keine Bewertung in diesem Halbjahr",IF(C51&lt;SchwelleDB,"wenig Datenbasis ("&amp;C51&amp;" Übung"&amp;IF(C51=1,"","en")&amp;")","")))</f>
        <v/>
      </c>
    </row>
    <row r="52" ht="10" customHeight="1"/>
    <row r="53" ht="22" customHeight="1">
      <c r="A53" s="35" t="inlineStr">
        <is>
          <t>Das Halbjahr zählt ab dem Ausbildungsstart des Azubis, nicht ab Kalenderjahr. Übungen, bei denen der Azubi nicht bewertet wurde, fehlen hier bewusst – sie werden weder als 0 Punkte noch im Durchschnitt mitgerechnet. Wiederholungen zählen nach der Regel im Übungsblatt (Standard: die letzte Wertung). Übungen mit Status „laufend“ sind Zwischenstände und zählen erst, wenn der Status auf „abgeschlossen“ steht.</t>
        </is>
      </c>
      <c r="B53" s="36" t="n"/>
      <c r="C53" s="36" t="n"/>
      <c r="D53" s="36" t="n"/>
      <c r="E53" s="36" t="n"/>
      <c r="F53" s="36" t="n"/>
      <c r="G53" s="36" t="n"/>
      <c r="H53" s="36" t="n"/>
      <c r="I53" s="36" t="n"/>
      <c r="J53" s="36" t="n"/>
      <c r="K53" s="36" t="n"/>
      <c r="L53" s="36" t="n"/>
      <c r="M53" s="10" t="n"/>
    </row>
    <row r="54" ht="22" customHeight="1">
      <c r="A54" s="37" t="n"/>
      <c r="B54" s="38" t="n"/>
      <c r="C54" s="38" t="n"/>
      <c r="D54" s="38" t="n"/>
      <c r="E54" s="38" t="n"/>
      <c r="F54" s="38" t="n"/>
      <c r="G54" s="38" t="n"/>
      <c r="H54" s="38" t="n"/>
      <c r="I54" s="38" t="n"/>
      <c r="J54" s="38" t="n"/>
      <c r="K54" s="38" t="n"/>
      <c r="L54" s="38" t="n"/>
      <c r="M54" s="14" t="n"/>
    </row>
    <row r="55" ht="10" customHeight="1"/>
    <row r="56" ht="28" customHeight="1">
      <c r="A56" s="15" t="inlineStr">
        <is>
          <t xml:space="preserve"> Verlauf der Prozentwerte</t>
        </is>
      </c>
    </row>
    <row r="78">
      <c r="A78" s="59" t="inlineStr">
        <is>
          <t>Datenquelle für das Diagramm – bitte stehen lassen.</t>
        </is>
      </c>
    </row>
    <row r="80">
      <c r="A80" s="60" t="inlineStr">
        <is>
          <t>Nr.</t>
        </is>
      </c>
      <c r="B80" s="60" t="inlineStr">
        <is>
          <t>Übung</t>
        </is>
      </c>
      <c r="C80" s="60" t="inlineStr">
        <is>
          <t>Azubi</t>
        </is>
      </c>
      <c r="D80" s="60" t="inlineStr">
        <is>
          <t>Jahrgangsdurchschnitt</t>
        </is>
      </c>
    </row>
    <row r="81">
      <c r="A81" s="61">
        <f>IFERROR(SMALL(Daten!$C$616:$V$616,1),"")</f>
        <v/>
      </c>
      <c r="B81" s="62">
        <f>IF($A81="","",INDEX(Daten!$C$4:$V$4,$A81))</f>
        <v/>
      </c>
      <c r="C81" s="63">
        <f>IF($A81="",NA(),INDEX(Daten!$C$20:$V$44,Daten!$B$619,$A81))</f>
        <v/>
      </c>
      <c r="D81" s="63">
        <f>IF($A81="",NA(),IF(SUMPRODUCT(INDEX(Daten!$C$410:$V$434,0,$A81),(Daten!$B$20:$B$44=Daten!$B$617)*1)=0,NA(),SUMPRODUCT(INDEX(Daten!$C$410:$V$434,0,$A81),INDEX(Daten!$C$20:$V$44,0,$A81),(Daten!$B$20:$B$44=Daten!$B$617)*1)/SUMPRODUCT(INDEX(Daten!$C$410:$V$434,0,$A81),(Daten!$B$20:$B$44=Daten!$B$617)*1)))</f>
        <v/>
      </c>
    </row>
    <row r="82">
      <c r="A82" s="61">
        <f>IFERROR(SMALL(Daten!$C$616:$V$616,2),"")</f>
        <v/>
      </c>
      <c r="B82" s="62">
        <f>IF($A82="","",INDEX(Daten!$C$4:$V$4,$A82))</f>
        <v/>
      </c>
      <c r="C82" s="63">
        <f>IF($A82="",NA(),INDEX(Daten!$C$20:$V$44,Daten!$B$619,$A82))</f>
        <v/>
      </c>
      <c r="D82" s="63">
        <f>IF($A82="",NA(),IF(SUMPRODUCT(INDEX(Daten!$C$410:$V$434,0,$A82),(Daten!$B$20:$B$44=Daten!$B$617)*1)=0,NA(),SUMPRODUCT(INDEX(Daten!$C$410:$V$434,0,$A82),INDEX(Daten!$C$20:$V$44,0,$A82),(Daten!$B$20:$B$44=Daten!$B$617)*1)/SUMPRODUCT(INDEX(Daten!$C$410:$V$434,0,$A82),(Daten!$B$20:$B$44=Daten!$B$617)*1)))</f>
        <v/>
      </c>
    </row>
    <row r="83">
      <c r="A83" s="61">
        <f>IFERROR(SMALL(Daten!$C$616:$V$616,3),"")</f>
        <v/>
      </c>
      <c r="B83" s="62">
        <f>IF($A83="","",INDEX(Daten!$C$4:$V$4,$A83))</f>
        <v/>
      </c>
      <c r="C83" s="63">
        <f>IF($A83="",NA(),INDEX(Daten!$C$20:$V$44,Daten!$B$619,$A83))</f>
        <v/>
      </c>
      <c r="D83" s="63">
        <f>IF($A83="",NA(),IF(SUMPRODUCT(INDEX(Daten!$C$410:$V$434,0,$A83),(Daten!$B$20:$B$44=Daten!$B$617)*1)=0,NA(),SUMPRODUCT(INDEX(Daten!$C$410:$V$434,0,$A83),INDEX(Daten!$C$20:$V$44,0,$A83),(Daten!$B$20:$B$44=Daten!$B$617)*1)/SUMPRODUCT(INDEX(Daten!$C$410:$V$434,0,$A83),(Daten!$B$20:$B$44=Daten!$B$617)*1)))</f>
        <v/>
      </c>
    </row>
    <row r="84">
      <c r="A84" s="61">
        <f>IFERROR(SMALL(Daten!$C$616:$V$616,4),"")</f>
        <v/>
      </c>
      <c r="B84" s="62">
        <f>IF($A84="","",INDEX(Daten!$C$4:$V$4,$A84))</f>
        <v/>
      </c>
      <c r="C84" s="63">
        <f>IF($A84="",NA(),INDEX(Daten!$C$20:$V$44,Daten!$B$619,$A84))</f>
        <v/>
      </c>
      <c r="D84" s="63">
        <f>IF($A84="",NA(),IF(SUMPRODUCT(INDEX(Daten!$C$410:$V$434,0,$A84),(Daten!$B$20:$B$44=Daten!$B$617)*1)=0,NA(),SUMPRODUCT(INDEX(Daten!$C$410:$V$434,0,$A84),INDEX(Daten!$C$20:$V$44,0,$A84),(Daten!$B$20:$B$44=Daten!$B$617)*1)/SUMPRODUCT(INDEX(Daten!$C$410:$V$434,0,$A84),(Daten!$B$20:$B$44=Daten!$B$617)*1)))</f>
        <v/>
      </c>
    </row>
    <row r="85">
      <c r="A85" s="61">
        <f>IFERROR(SMALL(Daten!$C$616:$V$616,5),"")</f>
        <v/>
      </c>
      <c r="B85" s="62">
        <f>IF($A85="","",INDEX(Daten!$C$4:$V$4,$A85))</f>
        <v/>
      </c>
      <c r="C85" s="63">
        <f>IF($A85="",NA(),INDEX(Daten!$C$20:$V$44,Daten!$B$619,$A85))</f>
        <v/>
      </c>
      <c r="D85" s="63">
        <f>IF($A85="",NA(),IF(SUMPRODUCT(INDEX(Daten!$C$410:$V$434,0,$A85),(Daten!$B$20:$B$44=Daten!$B$617)*1)=0,NA(),SUMPRODUCT(INDEX(Daten!$C$410:$V$434,0,$A85),INDEX(Daten!$C$20:$V$44,0,$A85),(Daten!$B$20:$B$44=Daten!$B$617)*1)/SUMPRODUCT(INDEX(Daten!$C$410:$V$434,0,$A85),(Daten!$B$20:$B$44=Daten!$B$617)*1)))</f>
        <v/>
      </c>
    </row>
    <row r="86">
      <c r="A86" s="61">
        <f>IFERROR(SMALL(Daten!$C$616:$V$616,6),"")</f>
        <v/>
      </c>
      <c r="B86" s="62">
        <f>IF($A86="","",INDEX(Daten!$C$4:$V$4,$A86))</f>
        <v/>
      </c>
      <c r="C86" s="63">
        <f>IF($A86="",NA(),INDEX(Daten!$C$20:$V$44,Daten!$B$619,$A86))</f>
        <v/>
      </c>
      <c r="D86" s="63">
        <f>IF($A86="",NA(),IF(SUMPRODUCT(INDEX(Daten!$C$410:$V$434,0,$A86),(Daten!$B$20:$B$44=Daten!$B$617)*1)=0,NA(),SUMPRODUCT(INDEX(Daten!$C$410:$V$434,0,$A86),INDEX(Daten!$C$20:$V$44,0,$A86),(Daten!$B$20:$B$44=Daten!$B$617)*1)/SUMPRODUCT(INDEX(Daten!$C$410:$V$434,0,$A86),(Daten!$B$20:$B$44=Daten!$B$617)*1)))</f>
        <v/>
      </c>
    </row>
    <row r="87">
      <c r="A87" s="61">
        <f>IFERROR(SMALL(Daten!$C$616:$V$616,7),"")</f>
        <v/>
      </c>
      <c r="B87" s="62">
        <f>IF($A87="","",INDEX(Daten!$C$4:$V$4,$A87))</f>
        <v/>
      </c>
      <c r="C87" s="63">
        <f>IF($A87="",NA(),INDEX(Daten!$C$20:$V$44,Daten!$B$619,$A87))</f>
        <v/>
      </c>
      <c r="D87" s="63">
        <f>IF($A87="",NA(),IF(SUMPRODUCT(INDEX(Daten!$C$410:$V$434,0,$A87),(Daten!$B$20:$B$44=Daten!$B$617)*1)=0,NA(),SUMPRODUCT(INDEX(Daten!$C$410:$V$434,0,$A87),INDEX(Daten!$C$20:$V$44,0,$A87),(Daten!$B$20:$B$44=Daten!$B$617)*1)/SUMPRODUCT(INDEX(Daten!$C$410:$V$434,0,$A87),(Daten!$B$20:$B$44=Daten!$B$617)*1)))</f>
        <v/>
      </c>
    </row>
    <row r="88">
      <c r="A88" s="61">
        <f>IFERROR(SMALL(Daten!$C$616:$V$616,8),"")</f>
        <v/>
      </c>
      <c r="B88" s="62">
        <f>IF($A88="","",INDEX(Daten!$C$4:$V$4,$A88))</f>
        <v/>
      </c>
      <c r="C88" s="63">
        <f>IF($A88="",NA(),INDEX(Daten!$C$20:$V$44,Daten!$B$619,$A88))</f>
        <v/>
      </c>
      <c r="D88" s="63">
        <f>IF($A88="",NA(),IF(SUMPRODUCT(INDEX(Daten!$C$410:$V$434,0,$A88),(Daten!$B$20:$B$44=Daten!$B$617)*1)=0,NA(),SUMPRODUCT(INDEX(Daten!$C$410:$V$434,0,$A88),INDEX(Daten!$C$20:$V$44,0,$A88),(Daten!$B$20:$B$44=Daten!$B$617)*1)/SUMPRODUCT(INDEX(Daten!$C$410:$V$434,0,$A88),(Daten!$B$20:$B$44=Daten!$B$617)*1)))</f>
        <v/>
      </c>
    </row>
    <row r="89">
      <c r="A89" s="61">
        <f>IFERROR(SMALL(Daten!$C$616:$V$616,9),"")</f>
        <v/>
      </c>
      <c r="B89" s="62">
        <f>IF($A89="","",INDEX(Daten!$C$4:$V$4,$A89))</f>
        <v/>
      </c>
      <c r="C89" s="63">
        <f>IF($A89="",NA(),INDEX(Daten!$C$20:$V$44,Daten!$B$619,$A89))</f>
        <v/>
      </c>
      <c r="D89" s="63">
        <f>IF($A89="",NA(),IF(SUMPRODUCT(INDEX(Daten!$C$410:$V$434,0,$A89),(Daten!$B$20:$B$44=Daten!$B$617)*1)=0,NA(),SUMPRODUCT(INDEX(Daten!$C$410:$V$434,0,$A89),INDEX(Daten!$C$20:$V$44,0,$A89),(Daten!$B$20:$B$44=Daten!$B$617)*1)/SUMPRODUCT(INDEX(Daten!$C$410:$V$434,0,$A89),(Daten!$B$20:$B$44=Daten!$B$617)*1)))</f>
        <v/>
      </c>
    </row>
    <row r="90">
      <c r="A90" s="61">
        <f>IFERROR(SMALL(Daten!$C$616:$V$616,10),"")</f>
        <v/>
      </c>
      <c r="B90" s="62">
        <f>IF($A90="","",INDEX(Daten!$C$4:$V$4,$A90))</f>
        <v/>
      </c>
      <c r="C90" s="63">
        <f>IF($A90="",NA(),INDEX(Daten!$C$20:$V$44,Daten!$B$619,$A90))</f>
        <v/>
      </c>
      <c r="D90" s="63">
        <f>IF($A90="",NA(),IF(SUMPRODUCT(INDEX(Daten!$C$410:$V$434,0,$A90),(Daten!$B$20:$B$44=Daten!$B$617)*1)=0,NA(),SUMPRODUCT(INDEX(Daten!$C$410:$V$434,0,$A90),INDEX(Daten!$C$20:$V$44,0,$A90),(Daten!$B$20:$B$44=Daten!$B$617)*1)/SUMPRODUCT(INDEX(Daten!$C$410:$V$434,0,$A90),(Daten!$B$20:$B$44=Daten!$B$617)*1)))</f>
        <v/>
      </c>
    </row>
    <row r="91">
      <c r="A91" s="61">
        <f>IFERROR(SMALL(Daten!$C$616:$V$616,11),"")</f>
        <v/>
      </c>
      <c r="B91" s="62">
        <f>IF($A91="","",INDEX(Daten!$C$4:$V$4,$A91))</f>
        <v/>
      </c>
      <c r="C91" s="63">
        <f>IF($A91="",NA(),INDEX(Daten!$C$20:$V$44,Daten!$B$619,$A91))</f>
        <v/>
      </c>
      <c r="D91" s="63">
        <f>IF($A91="",NA(),IF(SUMPRODUCT(INDEX(Daten!$C$410:$V$434,0,$A91),(Daten!$B$20:$B$44=Daten!$B$617)*1)=0,NA(),SUMPRODUCT(INDEX(Daten!$C$410:$V$434,0,$A91),INDEX(Daten!$C$20:$V$44,0,$A91),(Daten!$B$20:$B$44=Daten!$B$617)*1)/SUMPRODUCT(INDEX(Daten!$C$410:$V$434,0,$A91),(Daten!$B$20:$B$44=Daten!$B$617)*1)))</f>
        <v/>
      </c>
    </row>
    <row r="92">
      <c r="A92" s="61">
        <f>IFERROR(SMALL(Daten!$C$616:$V$616,12),"")</f>
        <v/>
      </c>
      <c r="B92" s="62">
        <f>IF($A92="","",INDEX(Daten!$C$4:$V$4,$A92))</f>
        <v/>
      </c>
      <c r="C92" s="63">
        <f>IF($A92="",NA(),INDEX(Daten!$C$20:$V$44,Daten!$B$619,$A92))</f>
        <v/>
      </c>
      <c r="D92" s="63">
        <f>IF($A92="",NA(),IF(SUMPRODUCT(INDEX(Daten!$C$410:$V$434,0,$A92),(Daten!$B$20:$B$44=Daten!$B$617)*1)=0,NA(),SUMPRODUCT(INDEX(Daten!$C$410:$V$434,0,$A92),INDEX(Daten!$C$20:$V$44,0,$A92),(Daten!$B$20:$B$44=Daten!$B$617)*1)/SUMPRODUCT(INDEX(Daten!$C$410:$V$434,0,$A92),(Daten!$B$20:$B$44=Daten!$B$617)*1)))</f>
        <v/>
      </c>
    </row>
    <row r="93">
      <c r="A93" s="61">
        <f>IFERROR(SMALL(Daten!$C$616:$V$616,13),"")</f>
        <v/>
      </c>
      <c r="B93" s="62">
        <f>IF($A93="","",INDEX(Daten!$C$4:$V$4,$A93))</f>
        <v/>
      </c>
      <c r="C93" s="63">
        <f>IF($A93="",NA(),INDEX(Daten!$C$20:$V$44,Daten!$B$619,$A93))</f>
        <v/>
      </c>
      <c r="D93" s="63">
        <f>IF($A93="",NA(),IF(SUMPRODUCT(INDEX(Daten!$C$410:$V$434,0,$A93),(Daten!$B$20:$B$44=Daten!$B$617)*1)=0,NA(),SUMPRODUCT(INDEX(Daten!$C$410:$V$434,0,$A93),INDEX(Daten!$C$20:$V$44,0,$A93),(Daten!$B$20:$B$44=Daten!$B$617)*1)/SUMPRODUCT(INDEX(Daten!$C$410:$V$434,0,$A93),(Daten!$B$20:$B$44=Daten!$B$617)*1)))</f>
        <v/>
      </c>
    </row>
    <row r="94">
      <c r="A94" s="61">
        <f>IFERROR(SMALL(Daten!$C$616:$V$616,14),"")</f>
        <v/>
      </c>
      <c r="B94" s="62">
        <f>IF($A94="","",INDEX(Daten!$C$4:$V$4,$A94))</f>
        <v/>
      </c>
      <c r="C94" s="63">
        <f>IF($A94="",NA(),INDEX(Daten!$C$20:$V$44,Daten!$B$619,$A94))</f>
        <v/>
      </c>
      <c r="D94" s="63">
        <f>IF($A94="",NA(),IF(SUMPRODUCT(INDEX(Daten!$C$410:$V$434,0,$A94),(Daten!$B$20:$B$44=Daten!$B$617)*1)=0,NA(),SUMPRODUCT(INDEX(Daten!$C$410:$V$434,0,$A94),INDEX(Daten!$C$20:$V$44,0,$A94),(Daten!$B$20:$B$44=Daten!$B$617)*1)/SUMPRODUCT(INDEX(Daten!$C$410:$V$434,0,$A94),(Daten!$B$20:$B$44=Daten!$B$617)*1)))</f>
        <v/>
      </c>
    </row>
    <row r="95">
      <c r="A95" s="61">
        <f>IFERROR(SMALL(Daten!$C$616:$V$616,15),"")</f>
        <v/>
      </c>
      <c r="B95" s="62">
        <f>IF($A95="","",INDEX(Daten!$C$4:$V$4,$A95))</f>
        <v/>
      </c>
      <c r="C95" s="63">
        <f>IF($A95="",NA(),INDEX(Daten!$C$20:$V$44,Daten!$B$619,$A95))</f>
        <v/>
      </c>
      <c r="D95" s="63">
        <f>IF($A95="",NA(),IF(SUMPRODUCT(INDEX(Daten!$C$410:$V$434,0,$A95),(Daten!$B$20:$B$44=Daten!$B$617)*1)=0,NA(),SUMPRODUCT(INDEX(Daten!$C$410:$V$434,0,$A95),INDEX(Daten!$C$20:$V$44,0,$A95),(Daten!$B$20:$B$44=Daten!$B$617)*1)/SUMPRODUCT(INDEX(Daten!$C$410:$V$434,0,$A95),(Daten!$B$20:$B$44=Daten!$B$617)*1)))</f>
        <v/>
      </c>
    </row>
    <row r="96">
      <c r="A96" s="61">
        <f>IFERROR(SMALL(Daten!$C$616:$V$616,16),"")</f>
        <v/>
      </c>
      <c r="B96" s="62">
        <f>IF($A96="","",INDEX(Daten!$C$4:$V$4,$A96))</f>
        <v/>
      </c>
      <c r="C96" s="63">
        <f>IF($A96="",NA(),INDEX(Daten!$C$20:$V$44,Daten!$B$619,$A96))</f>
        <v/>
      </c>
      <c r="D96" s="63">
        <f>IF($A96="",NA(),IF(SUMPRODUCT(INDEX(Daten!$C$410:$V$434,0,$A96),(Daten!$B$20:$B$44=Daten!$B$617)*1)=0,NA(),SUMPRODUCT(INDEX(Daten!$C$410:$V$434,0,$A96),INDEX(Daten!$C$20:$V$44,0,$A96),(Daten!$B$20:$B$44=Daten!$B$617)*1)/SUMPRODUCT(INDEX(Daten!$C$410:$V$434,0,$A96),(Daten!$B$20:$B$44=Daten!$B$617)*1)))</f>
        <v/>
      </c>
    </row>
    <row r="97">
      <c r="A97" s="61">
        <f>IFERROR(SMALL(Daten!$C$616:$V$616,17),"")</f>
        <v/>
      </c>
      <c r="B97" s="62">
        <f>IF($A97="","",INDEX(Daten!$C$4:$V$4,$A97))</f>
        <v/>
      </c>
      <c r="C97" s="63">
        <f>IF($A97="",NA(),INDEX(Daten!$C$20:$V$44,Daten!$B$619,$A97))</f>
        <v/>
      </c>
      <c r="D97" s="63">
        <f>IF($A97="",NA(),IF(SUMPRODUCT(INDEX(Daten!$C$410:$V$434,0,$A97),(Daten!$B$20:$B$44=Daten!$B$617)*1)=0,NA(),SUMPRODUCT(INDEX(Daten!$C$410:$V$434,0,$A97),INDEX(Daten!$C$20:$V$44,0,$A97),(Daten!$B$20:$B$44=Daten!$B$617)*1)/SUMPRODUCT(INDEX(Daten!$C$410:$V$434,0,$A97),(Daten!$B$20:$B$44=Daten!$B$617)*1)))</f>
        <v/>
      </c>
    </row>
    <row r="98">
      <c r="A98" s="61">
        <f>IFERROR(SMALL(Daten!$C$616:$V$616,18),"")</f>
        <v/>
      </c>
      <c r="B98" s="62">
        <f>IF($A98="","",INDEX(Daten!$C$4:$V$4,$A98))</f>
        <v/>
      </c>
      <c r="C98" s="63">
        <f>IF($A98="",NA(),INDEX(Daten!$C$20:$V$44,Daten!$B$619,$A98))</f>
        <v/>
      </c>
      <c r="D98" s="63">
        <f>IF($A98="",NA(),IF(SUMPRODUCT(INDEX(Daten!$C$410:$V$434,0,$A98),(Daten!$B$20:$B$44=Daten!$B$617)*1)=0,NA(),SUMPRODUCT(INDEX(Daten!$C$410:$V$434,0,$A98),INDEX(Daten!$C$20:$V$44,0,$A98),(Daten!$B$20:$B$44=Daten!$B$617)*1)/SUMPRODUCT(INDEX(Daten!$C$410:$V$434,0,$A98),(Daten!$B$20:$B$44=Daten!$B$617)*1)))</f>
        <v/>
      </c>
    </row>
    <row r="99">
      <c r="A99" s="61">
        <f>IFERROR(SMALL(Daten!$C$616:$V$616,19),"")</f>
        <v/>
      </c>
      <c r="B99" s="62">
        <f>IF($A99="","",INDEX(Daten!$C$4:$V$4,$A99))</f>
        <v/>
      </c>
      <c r="C99" s="63">
        <f>IF($A99="",NA(),INDEX(Daten!$C$20:$V$44,Daten!$B$619,$A99))</f>
        <v/>
      </c>
      <c r="D99" s="63">
        <f>IF($A99="",NA(),IF(SUMPRODUCT(INDEX(Daten!$C$410:$V$434,0,$A99),(Daten!$B$20:$B$44=Daten!$B$617)*1)=0,NA(),SUMPRODUCT(INDEX(Daten!$C$410:$V$434,0,$A99),INDEX(Daten!$C$20:$V$44,0,$A99),(Daten!$B$20:$B$44=Daten!$B$617)*1)/SUMPRODUCT(INDEX(Daten!$C$410:$V$434,0,$A99),(Daten!$B$20:$B$44=Daten!$B$617)*1)))</f>
        <v/>
      </c>
    </row>
    <row r="100">
      <c r="A100" s="61">
        <f>IFERROR(SMALL(Daten!$C$616:$V$616,20),"")</f>
        <v/>
      </c>
      <c r="B100" s="62">
        <f>IF($A100="","",INDEX(Daten!$C$4:$V$4,$A100))</f>
        <v/>
      </c>
      <c r="C100" s="63">
        <f>IF($A100="",NA(),INDEX(Daten!$C$20:$V$44,Daten!$B$619,$A100))</f>
        <v/>
      </c>
      <c r="D100" s="63">
        <f>IF($A100="",NA(),IF(SUMPRODUCT(INDEX(Daten!$C$410:$V$434,0,$A100),(Daten!$B$20:$B$44=Daten!$B$617)*1)=0,NA(),SUMPRODUCT(INDEX(Daten!$C$410:$V$434,0,$A100),INDEX(Daten!$C$20:$V$44,0,$A100),(Daten!$B$20:$B$44=Daten!$B$617)*1)/SUMPRODUCT(INDEX(Daten!$C$410:$V$434,0,$A100),(Daten!$B$20:$B$44=Daten!$B$617)*1)))</f>
        <v/>
      </c>
    </row>
  </sheetData>
  <mergeCells count="46">
    <mergeCell ref="F4:G4"/>
    <mergeCell ref="L7:M7"/>
    <mergeCell ref="I15:M15"/>
    <mergeCell ref="J47:M47"/>
    <mergeCell ref="J43:M43"/>
    <mergeCell ref="J50:M50"/>
    <mergeCell ref="I11:M11"/>
    <mergeCell ref="J46:M46"/>
    <mergeCell ref="H4:I4"/>
    <mergeCell ref="J51:M51"/>
    <mergeCell ref="F7:G7"/>
    <mergeCell ref="A10:M10"/>
    <mergeCell ref="A19:M19"/>
    <mergeCell ref="A2:I2"/>
    <mergeCell ref="A7:B7"/>
    <mergeCell ref="J48:M48"/>
    <mergeCell ref="I16:M16"/>
    <mergeCell ref="C8:E8"/>
    <mergeCell ref="F5:M5"/>
    <mergeCell ref="J44:M44"/>
    <mergeCell ref="C7:E7"/>
    <mergeCell ref="L8:M8"/>
    <mergeCell ref="F8:G8"/>
    <mergeCell ref="I12:M12"/>
    <mergeCell ref="H7:I7"/>
    <mergeCell ref="J7:K7"/>
    <mergeCell ref="A5:B5"/>
    <mergeCell ref="A42:M42"/>
    <mergeCell ref="I14:M14"/>
    <mergeCell ref="A8:B8"/>
    <mergeCell ref="J49:M49"/>
    <mergeCell ref="I17:M17"/>
    <mergeCell ref="A4:B4"/>
    <mergeCell ref="J45:M45"/>
    <mergeCell ref="C5:E5"/>
    <mergeCell ref="A53:M54"/>
    <mergeCell ref="J4:M4"/>
    <mergeCell ref="A56:M56"/>
    <mergeCell ref="A1:I1"/>
    <mergeCell ref="C4:E4"/>
    <mergeCell ref="A3:M3"/>
    <mergeCell ref="I13:M13"/>
    <mergeCell ref="H8:I8"/>
    <mergeCell ref="A78:F78"/>
    <mergeCell ref="J8:K8"/>
    <mergeCell ref="J1:M2"/>
  </mergeCells>
  <conditionalFormatting sqref="H21:I40">
    <cfRule type="expression" priority="1" dxfId="2" stopIfTrue="1">
      <formula>AND(ISNUMBER($H21),$H21&gt;=INDEX(NGrenze,1))</formula>
    </cfRule>
    <cfRule type="expression" priority="2" dxfId="3" stopIfTrue="1">
      <formula>AND(ISNUMBER($H21),$H21&gt;=INDEX(NGrenze,2))</formula>
    </cfRule>
    <cfRule type="expression" priority="3" dxfId="4" stopIfTrue="1">
      <formula>AND(ISNUMBER($H21),$H21&gt;=INDEX(NGrenze,3))</formula>
    </cfRule>
    <cfRule type="expression" priority="4" dxfId="5" stopIfTrue="1">
      <formula>AND(ISNUMBER($H21),$H21&gt;=INDEX(NGrenze,4))</formula>
    </cfRule>
    <cfRule type="expression" priority="5" dxfId="6" stopIfTrue="1">
      <formula>AND(ISNUMBER($H21),$H21&gt;=INDEX(NGrenze,5))</formula>
    </cfRule>
    <cfRule type="expression" priority="6" dxfId="7" stopIfTrue="1">
      <formula>AND(ISNUMBER($H21),$H21&gt;=INDEX(NGrenze,6))</formula>
    </cfRule>
  </conditionalFormatting>
  <conditionalFormatting sqref="A21:L40">
    <cfRule type="expression" priority="7" dxfId="8">
      <formula>INDEX(Daten!$C$5:$V$5,$A21)=0</formula>
    </cfRule>
  </conditionalFormatting>
  <conditionalFormatting sqref="D44:E51">
    <cfRule type="expression" priority="8" dxfId="2" stopIfTrue="1">
      <formula>AND(ISNUMBER($D44),$D44&gt;=INDEX(NGrenze,1))</formula>
    </cfRule>
    <cfRule type="expression" priority="9" dxfId="3" stopIfTrue="1">
      <formula>AND(ISNUMBER($D44),$D44&gt;=INDEX(NGrenze,2))</formula>
    </cfRule>
    <cfRule type="expression" priority="10" dxfId="4" stopIfTrue="1">
      <formula>AND(ISNUMBER($D44),$D44&gt;=INDEX(NGrenze,3))</formula>
    </cfRule>
    <cfRule type="expression" priority="11" dxfId="5" stopIfTrue="1">
      <formula>AND(ISNUMBER($D44),$D44&gt;=INDEX(NGrenze,4))</formula>
    </cfRule>
    <cfRule type="expression" priority="12" dxfId="6" stopIfTrue="1">
      <formula>AND(ISNUMBER($D44),$D44&gt;=INDEX(NGrenze,5))</formula>
    </cfRule>
    <cfRule type="expression" priority="13" dxfId="7" stopIfTrue="1">
      <formula>AND(ISNUMBER($D44),$D44&gt;=INDEX(NGrenze,6))</formula>
    </cfRule>
  </conditionalFormatting>
  <conditionalFormatting sqref="F44:G51">
    <cfRule type="expression" priority="14" dxfId="2" stopIfTrue="1">
      <formula>AND(ISNUMBER($F44),$F44&gt;=INDEX(NGrenze,1))</formula>
    </cfRule>
    <cfRule type="expression" priority="15" dxfId="3" stopIfTrue="1">
      <formula>AND(ISNUMBER($F44),$F44&gt;=INDEX(NGrenze,2))</formula>
    </cfRule>
    <cfRule type="expression" priority="16" dxfId="4" stopIfTrue="1">
      <formula>AND(ISNUMBER($F44),$F44&gt;=INDEX(NGrenze,3))</formula>
    </cfRule>
    <cfRule type="expression" priority="17" dxfId="5" stopIfTrue="1">
      <formula>AND(ISNUMBER($F44),$F44&gt;=INDEX(NGrenze,4))</formula>
    </cfRule>
    <cfRule type="expression" priority="18" dxfId="6" stopIfTrue="1">
      <formula>AND(ISNUMBER($F44),$F44&gt;=INDEX(NGrenze,5))</formula>
    </cfRule>
    <cfRule type="expression" priority="19" dxfId="7" stopIfTrue="1">
      <formula>AND(ISNUMBER($F44),$F44&gt;=INDEX(NGrenze,6))</formula>
    </cfRule>
  </conditionalFormatting>
  <conditionalFormatting sqref="H44:I51">
    <cfRule type="expression" priority="20" dxfId="2" stopIfTrue="1">
      <formula>AND(ISNUMBER($H44),$H44&gt;=INDEX(NGrenze,1))</formula>
    </cfRule>
    <cfRule type="expression" priority="21" dxfId="3" stopIfTrue="1">
      <formula>AND(ISNUMBER($H44),$H44&gt;=INDEX(NGrenze,2))</formula>
    </cfRule>
    <cfRule type="expression" priority="22" dxfId="4" stopIfTrue="1">
      <formula>AND(ISNUMBER($H44),$H44&gt;=INDEX(NGrenze,3))</formula>
    </cfRule>
    <cfRule type="expression" priority="23" dxfId="5" stopIfTrue="1">
      <formula>AND(ISNUMBER($H44),$H44&gt;=INDEX(NGrenze,4))</formula>
    </cfRule>
    <cfRule type="expression" priority="24" dxfId="6" stopIfTrue="1">
      <formula>AND(ISNUMBER($H44),$H44&gt;=INDEX(NGrenze,5))</formula>
    </cfRule>
    <cfRule type="expression" priority="25" dxfId="7" stopIfTrue="1">
      <formula>AND(ISNUMBER($H44),$H44&gt;=INDEX(NGrenze,6))</formula>
    </cfRule>
  </conditionalFormatting>
  <dataValidations count="3">
    <dataValidation sqref="C4" showDropDown="0" showInputMessage="0" showErrorMessage="1" allowBlank="1" errorTitle="Beruf unbekannt" error="Bitte einen Beruf aus der Liste oder „(alle)“ wählen." type="list">
      <formula1>BerufAuswahl</formula1>
    </dataValidation>
    <dataValidation sqref="H4" showDropDown="0" showInputMessage="0" showErrorMessage="1" allowBlank="1" errorTitle="Jahrgang unbekannt" error="Bitte einen Jahrgang aus der Liste oder „(alle)“ wählen." type="list">
      <formula1>JahrAuswahl</formula1>
    </dataValidation>
    <dataValidation sqref="C5" showDropDown="0" showInputMessage="0" showErrorMessage="1" allowBlank="1" errorTitle="Azubi nicht in der Liste" error="Bitte einen Azubi aus der Liste wählen. Steht er nicht darin, Filter oben zurücksetzen oder den Status in den Stammdaten auf „aktiv“ stellen." type="list">
      <formula1>AzubiAuswahl</formula1>
    </dataValidation>
  </dataValidations>
  <hyperlinks>
    <hyperlink ref="J1" location="Start!A1"/>
  </hyperlinks>
  <pageMargins left="0.5" right="0.4" top="0.5" bottom="0.4" header="0.5" footer="0.5"/>
  <pageSetup orientation="landscape" paperSize="9" fitToHeight="0" fitToWidth="1"/>
  <drawing xmlns:r="http://schemas.openxmlformats.org/officeDocument/2006/relationships" r:id="rId1"/>
</worksheet>
</file>

<file path=xl/worksheets/sheet3.xml><?xml version="1.0" encoding="utf-8"?>
<worksheet xmlns="http://schemas.openxmlformats.org/spreadsheetml/2006/main">
  <sheetPr>
    <tabColor rgb="000E7C86"/>
    <outlinePr summaryBelow="1" summaryRight="1"/>
    <pageSetUpPr fitToPage="1"/>
  </sheetPr>
  <dimension ref="A1:H50"/>
  <sheetViews>
    <sheetView showGridLines="0" workbookViewId="0">
      <pane ySplit="6" topLeftCell="A7" activePane="bottomLeft" state="frozen"/>
      <selection pane="bottomLeft" activeCell="A1" sqref="A1"/>
    </sheetView>
  </sheetViews>
  <sheetFormatPr baseColWidth="8" defaultRowHeight="15"/>
  <cols>
    <col width="3" customWidth="1" min="1" max="1"/>
    <col width="18" customWidth="1" min="2" max="2"/>
    <col width="16" customWidth="1" min="3" max="3"/>
    <col width="12" customWidth="1" min="4" max="4"/>
    <col width="17" customWidth="1" min="5" max="5"/>
    <col width="13" customWidth="1" min="6" max="6"/>
    <col width="12" customWidth="1" min="7" max="7"/>
    <col width="3" customWidth="1" min="8" max="8"/>
  </cols>
  <sheetData>
    <row r="1" ht="22" customHeight="1">
      <c r="A1" s="64" t="inlineStr">
        <is>
          <t>«  Zurück zur Startseite</t>
        </is>
      </c>
      <c r="E1" s="65" t="inlineStr">
        <is>
          <t>Diese Seite ist für den Ausdruck gedacht: A4 hochkant, eine Seite.</t>
        </is>
      </c>
    </row>
    <row r="2" ht="20" customHeight="1">
      <c r="A2" s="4" t="inlineStr">
        <is>
          <t>Farben:  gelb = hier eintragen   ·   grau-blau = rechnet die Datei selbst   ·   „n.b.“ = nicht bewertet</t>
        </is>
      </c>
    </row>
    <row r="3" ht="32" customHeight="1">
      <c r="A3" s="66" t="inlineStr">
        <is>
          <t>Beurteilungsgespräch</t>
        </is>
      </c>
    </row>
    <row r="4" ht="18" customHeight="1">
      <c r="A4" s="67">
        <f>"Halbjahresgespräch · Halbjahr "&amp;Daten!$B$622&amp;" · Stand "&amp;RIGHT("0"&amp;DAY(TODAY()),2)&amp;"."&amp;RIGHT("0"&amp;MONTH(TODAY()),2)&amp;"."&amp;YEAR(TODAY())</f>
        <v/>
      </c>
    </row>
    <row r="5" ht="8" customHeight="1"/>
    <row r="6" ht="26" customHeight="1">
      <c r="A6" s="40" t="inlineStr">
        <is>
          <t xml:space="preserve"> Azubi</t>
        </is>
      </c>
      <c r="C6" s="44" t="inlineStr">
        <is>
          <t>Berger, Lukas</t>
        </is>
      </c>
      <c r="E6" s="40" t="inlineStr">
        <is>
          <t xml:space="preserve"> Halbjahr</t>
        </is>
      </c>
      <c r="F6" s="68" t="n">
        <v>4</v>
      </c>
      <c r="G6" s="69">
        <f>IF(Daten!$B$621=0,"bitte Azubi wählen","")</f>
        <v/>
      </c>
    </row>
    <row r="7" ht="10" customHeight="1"/>
    <row r="8" ht="16" customHeight="1">
      <c r="B8" s="70" t="inlineStr">
        <is>
          <t>Name, Vorname</t>
        </is>
      </c>
      <c r="C8" s="36" t="n"/>
      <c r="D8" s="71" t="inlineStr">
        <is>
          <t>Ausbildungsberuf</t>
        </is>
      </c>
      <c r="E8" s="36" t="n"/>
      <c r="F8" s="36" t="n"/>
      <c r="G8" s="10" t="n"/>
    </row>
    <row r="9" ht="24" customHeight="1">
      <c r="B9" s="72">
        <f>IF(Daten!$B$621=0,"–",INDEX('Stammdaten'!$J$6:$J$30,Daten!$B$621))</f>
        <v/>
      </c>
      <c r="C9" s="73" t="n"/>
      <c r="D9" s="74">
        <f>IF(Daten!$B$621=0,"–",INDEX('Stammdaten'!$D$6:$D$30,Daten!$B$621))</f>
        <v/>
      </c>
      <c r="E9" s="73" t="n"/>
      <c r="F9" s="73" t="n"/>
      <c r="G9" s="75" t="n"/>
    </row>
    <row r="10" ht="16" customHeight="1">
      <c r="B10" s="76" t="inlineStr">
        <is>
          <t>Jahrgang</t>
        </is>
      </c>
      <c r="C10" s="77" t="inlineStr">
        <is>
          <t>Ausbildungsstart</t>
        </is>
      </c>
      <c r="D10" s="77" t="inlineStr">
        <is>
          <t>Lehrjahr</t>
        </is>
      </c>
      <c r="E10" s="77" t="inlineStr">
        <is>
          <t>Halbjahr</t>
        </is>
      </c>
      <c r="F10" s="77" t="inlineStr">
        <is>
          <t>Status</t>
        </is>
      </c>
      <c r="G10" s="75" t="n"/>
    </row>
    <row r="11" ht="24" customHeight="1">
      <c r="B11" s="78">
        <f>IF(Daten!$B$621=0,"–",INDEX('Stammdaten'!$E$6:$E$30,Daten!$B$621))</f>
        <v/>
      </c>
      <c r="C11" s="79">
        <f>IF(Daten!$B$621=0,"–",INDEX('Stammdaten'!$F$6:$F$30,Daten!$B$621))</f>
        <v/>
      </c>
      <c r="D11" s="80">
        <f>IF(Daten!$B$621=0,"–",INDEX('Stammdaten'!$H$6:$H$30,Daten!$B$621))</f>
        <v/>
      </c>
      <c r="E11" s="80">
        <f>IF(Daten!$B$621=0,"–",Daten!$B$622)</f>
        <v/>
      </c>
      <c r="F11" s="80">
        <f>IF(Daten!$B$621=0,"–",INDEX('Stammdaten'!$G$6:$G$30,Daten!$B$621))</f>
        <v/>
      </c>
      <c r="G11" s="14" t="n"/>
    </row>
    <row r="12" ht="10" customHeight="1"/>
    <row r="13" ht="26" customHeight="1">
      <c r="A13" s="15" t="inlineStr">
        <is>
          <t xml:space="preserve"> Ergebnis des Halbjahres</t>
        </is>
      </c>
    </row>
    <row r="14" ht="24" customHeight="1">
      <c r="B14" s="16" t="inlineStr">
        <is>
          <t>Bereich</t>
        </is>
      </c>
      <c r="C14" s="16" t="inlineStr">
        <is>
          <t>gewertete Übungen</t>
        </is>
      </c>
      <c r="D14" s="16" t="inlineStr">
        <is>
          <t>Prozent</t>
        </is>
      </c>
      <c r="E14" s="16" t="inlineStr">
        <is>
          <t>IHK-Note</t>
        </is>
      </c>
      <c r="F14" s="50" t="inlineStr">
        <is>
          <t>Hinweis</t>
        </is>
      </c>
    </row>
    <row r="15" ht="24" customHeight="1">
      <c r="B15" s="81" t="inlineStr">
        <is>
          <t>Praxis</t>
        </is>
      </c>
      <c r="C15" s="82">
        <f>IF(OR(Daten!$B$621=0,Daten!$B$622&lt;1,Daten!$B$622&gt;8),"",INDEX(Daten!$C$470:$J$494,Daten!$B$621,Daten!$B$622))</f>
        <v/>
      </c>
      <c r="D15" s="83">
        <f>IF(OR(Daten!$B$621=0,Daten!$B$622&lt;1,Daten!$B$622&gt;8),"",INDEX(Daten!$C$530:$J$554,Daten!$B$621,Daten!$B$622))</f>
        <v/>
      </c>
      <c r="E15" s="84">
        <f>IF(NOT(ISNUMBER(D15)),"",INDEX(Noten,MAX(1,MIN(COUNT(NGrenze),COUNT(NGrenze)+1-COUNTIF(NGrenze,"&lt;="&amp;D15))))&amp;" – "&amp;INDEX(NText,MAX(1,MIN(COUNT(NGrenze),COUNT(NGrenze)+1-COUNTIF(NGrenze,"&lt;="&amp;D15)))))</f>
        <v/>
      </c>
      <c r="F15" s="58">
        <f>IF(C15="","",IF(C15=0,"in diesem Halbjahr nicht bewertet",IF(C15&lt;SchwelleDB,"wenig Datenbasis ("&amp;C15&amp;" Übung"&amp;IF(C15=1,"","en")&amp;")","")))</f>
        <v/>
      </c>
    </row>
    <row r="16" ht="24" customHeight="1">
      <c r="B16" s="81" t="inlineStr">
        <is>
          <t>Theorie</t>
        </is>
      </c>
      <c r="C16" s="82">
        <f>IF(OR(Daten!$B$621=0,Daten!$B$622&lt;1,Daten!$B$622&gt;8),"",INDEX(Daten!$C$500:$J$524,Daten!$B$621,Daten!$B$622))</f>
        <v/>
      </c>
      <c r="D16" s="83">
        <f>IF(OR(Daten!$B$621=0,Daten!$B$622&lt;1,Daten!$B$622&gt;8),"",INDEX(Daten!$C$560:$J$584,Daten!$B$621,Daten!$B$622))</f>
        <v/>
      </c>
      <c r="E16" s="84">
        <f>IF(NOT(ISNUMBER(D16)),"",INDEX(Noten,MAX(1,MIN(COUNT(NGrenze),COUNT(NGrenze)+1-COUNTIF(NGrenze,"&lt;="&amp;D16))))&amp;" – "&amp;INDEX(NText,MAX(1,MIN(COUNT(NGrenze),COUNT(NGrenze)+1-COUNTIF(NGrenze,"&lt;="&amp;D16)))))</f>
        <v/>
      </c>
      <c r="F16" s="58">
        <f>IF(C16="","",IF(C16=0,"in diesem Halbjahr nicht bewertet",IF(C16&lt;SchwelleDB,"wenig Datenbasis ("&amp;C16&amp;" Übung"&amp;IF(C16=1,"","en")&amp;")","")))</f>
        <v/>
      </c>
    </row>
    <row r="17" ht="24" customHeight="1">
      <c r="B17" s="85" t="inlineStr">
        <is>
          <t>Gesamt</t>
        </is>
      </c>
      <c r="C17" s="82">
        <f>IF(OR(Daten!$B$621=0,Daten!$B$622&lt;1,Daten!$B$622&gt;8),"",INDEX(Daten!$C$440:$J$464,Daten!$B$621,Daten!$B$622))</f>
        <v/>
      </c>
      <c r="D17" s="86">
        <f>IF(OR(Daten!$B$621=0,Daten!$B$622&lt;1,Daten!$B$622&gt;8),"",INDEX(Daten!$C$590:$J$614,Daten!$B$621,Daten!$B$622))</f>
        <v/>
      </c>
      <c r="E17" s="87">
        <f>IF(NOT(ISNUMBER(D17)),"",INDEX(Noten,MAX(1,MIN(COUNT(NGrenze),COUNT(NGrenze)+1-COUNTIF(NGrenze,"&lt;="&amp;D17))))&amp;" – "&amp;INDEX(NText,MAX(1,MIN(COUNT(NGrenze),COUNT(NGrenze)+1-COUNTIF(NGrenze,"&lt;="&amp;D17)))))</f>
        <v/>
      </c>
      <c r="F17" s="58">
        <f>IF(C17="","",IF(C17=0,"in diesem Halbjahr nicht bewertet",IF(C17&lt;SchwelleDB,"wenig Datenbasis ("&amp;C17&amp;" Übung"&amp;IF(C17=1,"","en")&amp;")","")))</f>
        <v/>
      </c>
    </row>
    <row r="18" ht="10" customHeight="1"/>
    <row r="19" ht="26" customHeight="1">
      <c r="A19" s="15" t="inlineStr">
        <is>
          <t xml:space="preserve"> Gewertete Übungen in diesem Halbjahr</t>
        </is>
      </c>
    </row>
    <row r="20" ht="26" customHeight="1">
      <c r="B20" s="50" t="inlineStr">
        <is>
          <t>Übung</t>
        </is>
      </c>
      <c r="D20" s="16" t="inlineStr">
        <is>
          <t>Art</t>
        </is>
      </c>
      <c r="E20" s="16" t="inlineStr">
        <is>
          <t>Datum</t>
        </is>
      </c>
      <c r="F20" s="16" t="inlineStr">
        <is>
          <t>Punkte</t>
        </is>
      </c>
      <c r="G20" s="50" t="inlineStr">
        <is>
          <t>Prozent</t>
        </is>
      </c>
    </row>
    <row r="21" ht="21" customHeight="1">
      <c r="A21" s="88">
        <f>IFERROR(SMALL(Daten!$C$614:$V$614,1),"")</f>
        <v/>
      </c>
      <c r="B21" s="52">
        <f>IF($A21="","",INDEX(Daten!$C$4:$V$4,$A21))</f>
        <v/>
      </c>
      <c r="D21" s="21">
        <f>IF($A21="","",INDEX(Daten!$C$6:$V$6,$A21))</f>
        <v/>
      </c>
      <c r="E21" s="22">
        <f>IF($A21="","",INDEX(Daten!$C$7:$V$7,$A21))</f>
        <v/>
      </c>
      <c r="F21" s="21">
        <f>IF($A21="","",INDEX(Daten!$C$110:$V$134,Daten!$B$621,$A21)&amp;" / "&amp;INDEX(Daten!$C$140:$V$164,Daten!$B$621,$A21))</f>
        <v/>
      </c>
      <c r="G21" s="24">
        <f>IF($A21="","",INDEX(Daten!$C$20:$V$44,Daten!$B$621,$A21))</f>
        <v/>
      </c>
    </row>
    <row r="22" ht="21" customHeight="1">
      <c r="A22" s="88">
        <f>IFERROR(SMALL(Daten!$C$614:$V$614,2),"")</f>
        <v/>
      </c>
      <c r="B22" s="52">
        <f>IF($A22="","",INDEX(Daten!$C$4:$V$4,$A22))</f>
        <v/>
      </c>
      <c r="D22" s="21">
        <f>IF($A22="","",INDEX(Daten!$C$6:$V$6,$A22))</f>
        <v/>
      </c>
      <c r="E22" s="22">
        <f>IF($A22="","",INDEX(Daten!$C$7:$V$7,$A22))</f>
        <v/>
      </c>
      <c r="F22" s="21">
        <f>IF($A22="","",INDEX(Daten!$C$110:$V$134,Daten!$B$621,$A22)&amp;" / "&amp;INDEX(Daten!$C$140:$V$164,Daten!$B$621,$A22))</f>
        <v/>
      </c>
      <c r="G22" s="24">
        <f>IF($A22="","",INDEX(Daten!$C$20:$V$44,Daten!$B$621,$A22))</f>
        <v/>
      </c>
    </row>
    <row r="23" ht="21" customHeight="1">
      <c r="A23" s="88">
        <f>IFERROR(SMALL(Daten!$C$614:$V$614,3),"")</f>
        <v/>
      </c>
      <c r="B23" s="52">
        <f>IF($A23="","",INDEX(Daten!$C$4:$V$4,$A23))</f>
        <v/>
      </c>
      <c r="D23" s="21">
        <f>IF($A23="","",INDEX(Daten!$C$6:$V$6,$A23))</f>
        <v/>
      </c>
      <c r="E23" s="22">
        <f>IF($A23="","",INDEX(Daten!$C$7:$V$7,$A23))</f>
        <v/>
      </c>
      <c r="F23" s="21">
        <f>IF($A23="","",INDEX(Daten!$C$110:$V$134,Daten!$B$621,$A23)&amp;" / "&amp;INDEX(Daten!$C$140:$V$164,Daten!$B$621,$A23))</f>
        <v/>
      </c>
      <c r="G23" s="24">
        <f>IF($A23="","",INDEX(Daten!$C$20:$V$44,Daten!$B$621,$A23))</f>
        <v/>
      </c>
    </row>
    <row r="24" ht="21" customHeight="1">
      <c r="A24" s="88">
        <f>IFERROR(SMALL(Daten!$C$614:$V$614,4),"")</f>
        <v/>
      </c>
      <c r="B24" s="52">
        <f>IF($A24="","",INDEX(Daten!$C$4:$V$4,$A24))</f>
        <v/>
      </c>
      <c r="D24" s="21">
        <f>IF($A24="","",INDEX(Daten!$C$6:$V$6,$A24))</f>
        <v/>
      </c>
      <c r="E24" s="22">
        <f>IF($A24="","",INDEX(Daten!$C$7:$V$7,$A24))</f>
        <v/>
      </c>
      <c r="F24" s="21">
        <f>IF($A24="","",INDEX(Daten!$C$110:$V$134,Daten!$B$621,$A24)&amp;" / "&amp;INDEX(Daten!$C$140:$V$164,Daten!$B$621,$A24))</f>
        <v/>
      </c>
      <c r="G24" s="24">
        <f>IF($A24="","",INDEX(Daten!$C$20:$V$44,Daten!$B$621,$A24))</f>
        <v/>
      </c>
    </row>
    <row r="25" ht="21" customHeight="1">
      <c r="A25" s="88">
        <f>IFERROR(SMALL(Daten!$C$614:$V$614,5),"")</f>
        <v/>
      </c>
      <c r="B25" s="52">
        <f>IF($A25="","",INDEX(Daten!$C$4:$V$4,$A25))</f>
        <v/>
      </c>
      <c r="D25" s="21">
        <f>IF($A25="","",INDEX(Daten!$C$6:$V$6,$A25))</f>
        <v/>
      </c>
      <c r="E25" s="22">
        <f>IF($A25="","",INDEX(Daten!$C$7:$V$7,$A25))</f>
        <v/>
      </c>
      <c r="F25" s="21">
        <f>IF($A25="","",INDEX(Daten!$C$110:$V$134,Daten!$B$621,$A25)&amp;" / "&amp;INDEX(Daten!$C$140:$V$164,Daten!$B$621,$A25))</f>
        <v/>
      </c>
      <c r="G25" s="24">
        <f>IF($A25="","",INDEX(Daten!$C$20:$V$44,Daten!$B$621,$A25))</f>
        <v/>
      </c>
    </row>
    <row r="26" ht="21" customHeight="1">
      <c r="A26" s="88">
        <f>IFERROR(SMALL(Daten!$C$614:$V$614,6),"")</f>
        <v/>
      </c>
      <c r="B26" s="52">
        <f>IF($A26="","",INDEX(Daten!$C$4:$V$4,$A26))</f>
        <v/>
      </c>
      <c r="D26" s="21">
        <f>IF($A26="","",INDEX(Daten!$C$6:$V$6,$A26))</f>
        <v/>
      </c>
      <c r="E26" s="22">
        <f>IF($A26="","",INDEX(Daten!$C$7:$V$7,$A26))</f>
        <v/>
      </c>
      <c r="F26" s="21">
        <f>IF($A26="","",INDEX(Daten!$C$110:$V$134,Daten!$B$621,$A26)&amp;" / "&amp;INDEX(Daten!$C$140:$V$164,Daten!$B$621,$A26))</f>
        <v/>
      </c>
      <c r="G26" s="24">
        <f>IF($A26="","",INDEX(Daten!$C$20:$V$44,Daten!$B$621,$A26))</f>
        <v/>
      </c>
    </row>
    <row r="27" ht="21" customHeight="1">
      <c r="A27" s="88">
        <f>IFERROR(SMALL(Daten!$C$614:$V$614,7),"")</f>
        <v/>
      </c>
      <c r="B27" s="52">
        <f>IF($A27="","",INDEX(Daten!$C$4:$V$4,$A27))</f>
        <v/>
      </c>
      <c r="D27" s="21">
        <f>IF($A27="","",INDEX(Daten!$C$6:$V$6,$A27))</f>
        <v/>
      </c>
      <c r="E27" s="22">
        <f>IF($A27="","",INDEX(Daten!$C$7:$V$7,$A27))</f>
        <v/>
      </c>
      <c r="F27" s="21">
        <f>IF($A27="","",INDEX(Daten!$C$110:$V$134,Daten!$B$621,$A27)&amp;" / "&amp;INDEX(Daten!$C$140:$V$164,Daten!$B$621,$A27))</f>
        <v/>
      </c>
      <c r="G27" s="24">
        <f>IF($A27="","",INDEX(Daten!$C$20:$V$44,Daten!$B$621,$A27))</f>
        <v/>
      </c>
    </row>
    <row r="28" ht="21" customHeight="1">
      <c r="A28" s="88">
        <f>IFERROR(SMALL(Daten!$C$614:$V$614,8),"")</f>
        <v/>
      </c>
      <c r="B28" s="52">
        <f>IF($A28="","",INDEX(Daten!$C$4:$V$4,$A28))</f>
        <v/>
      </c>
      <c r="D28" s="21">
        <f>IF($A28="","",INDEX(Daten!$C$6:$V$6,$A28))</f>
        <v/>
      </c>
      <c r="E28" s="22">
        <f>IF($A28="","",INDEX(Daten!$C$7:$V$7,$A28))</f>
        <v/>
      </c>
      <c r="F28" s="21">
        <f>IF($A28="","",INDEX(Daten!$C$110:$V$134,Daten!$B$621,$A28)&amp;" / "&amp;INDEX(Daten!$C$140:$V$164,Daten!$B$621,$A28))</f>
        <v/>
      </c>
      <c r="G28" s="24">
        <f>IF($A28="","",INDEX(Daten!$C$20:$V$44,Daten!$B$621,$A28))</f>
        <v/>
      </c>
    </row>
    <row r="29" ht="10" customHeight="1"/>
    <row r="30" ht="26" customHeight="1">
      <c r="A30" s="15" t="inlineStr">
        <is>
          <t xml:space="preserve"> Stärken</t>
        </is>
      </c>
    </row>
    <row r="31" ht="20" customHeight="1">
      <c r="B31" s="89" t="n"/>
    </row>
    <row r="32" ht="20" customHeight="1"/>
    <row r="33" ht="20" customHeight="1"/>
    <row r="34" ht="20" customHeight="1"/>
    <row r="36" ht="26" customHeight="1">
      <c r="A36" s="15" t="inlineStr">
        <is>
          <t xml:space="preserve"> Entwicklungsziele bis zum nächsten Gespräch</t>
        </is>
      </c>
    </row>
    <row r="37" ht="20" customHeight="1">
      <c r="B37" s="89" t="n"/>
    </row>
    <row r="38" ht="20" customHeight="1"/>
    <row r="39" ht="20" customHeight="1"/>
    <row r="40" ht="20" customHeight="1"/>
    <row r="42" ht="26" customHeight="1">
      <c r="A42" s="15" t="inlineStr">
        <is>
          <t xml:space="preserve"> Bestätigung</t>
        </is>
      </c>
    </row>
    <row r="43" ht="30" customHeight="1">
      <c r="B43" s="90" t="n"/>
      <c r="C43" s="91" t="n"/>
      <c r="D43" s="92" t="n"/>
      <c r="E43" s="90" t="n"/>
      <c r="F43" s="91" t="n"/>
      <c r="G43" s="92" t="n"/>
    </row>
    <row r="44" ht="16" customHeight="1">
      <c r="B44" s="65" t="inlineStr">
        <is>
          <t>Datum, Unterschrift Azubi</t>
        </is>
      </c>
      <c r="E44" s="65" t="inlineStr">
        <is>
          <t>Datum, Unterschrift Ausbilder/-in</t>
        </is>
      </c>
    </row>
    <row r="45" ht="10" customHeight="1"/>
    <row r="46" ht="20" customHeight="1">
      <c r="A46" s="93" t="inlineStr">
        <is>
          <t xml:space="preserve"> Farblegende</t>
        </is>
      </c>
      <c r="C46" s="29">
        <f>INDEX(Noten,1)&amp;" – "&amp;INDEX(NText,1)</f>
        <v/>
      </c>
      <c r="E46" s="30">
        <f>INDEX(Noten,2)&amp;" – "&amp;INDEX(NText,2)</f>
        <v/>
      </c>
      <c r="G46" s="31">
        <f>INDEX(Noten,3)&amp;" – "&amp;INDEX(NText,3)</f>
        <v/>
      </c>
    </row>
    <row r="47" ht="20" customHeight="1">
      <c r="C47" s="32">
        <f>INDEX(Noten,4)&amp;" – "&amp;INDEX(NText,4)</f>
        <v/>
      </c>
      <c r="E47" s="33">
        <f>INDEX(Noten,5)&amp;" – "&amp;INDEX(NText,5)</f>
        <v/>
      </c>
      <c r="G47" s="34">
        <f>INDEX(Noten,6)&amp;" – "&amp;INDEX(NText,6)</f>
        <v/>
      </c>
    </row>
    <row r="48" ht="13" customHeight="1">
      <c r="A48" s="94" t="inlineStr">
        <is>
          <t>Übungen, bei denen der Azubi nicht bewertet wurde (krank, Urlaub, Berufsschule), sind hier bewusst nicht enthalten – sie zählen weder als 0 Punkte noch im Durchschnitt. Bei einer Wiederholung zählt die im Übungsblatt eingestellte Wertung (Standard: die letzte).</t>
        </is>
      </c>
    </row>
    <row r="49" ht="13" customHeight="1"/>
    <row r="50" ht="13" customHeight="1"/>
  </sheetData>
  <mergeCells count="63">
    <mergeCell ref="G21:H21"/>
    <mergeCell ref="B37:G40"/>
    <mergeCell ref="F11:G11"/>
    <mergeCell ref="A30:H30"/>
    <mergeCell ref="C6:D6"/>
    <mergeCell ref="D9:G9"/>
    <mergeCell ref="A46:B47"/>
    <mergeCell ref="B25:C25"/>
    <mergeCell ref="F10:G10"/>
    <mergeCell ref="D8:G8"/>
    <mergeCell ref="G27:H27"/>
    <mergeCell ref="B22:C22"/>
    <mergeCell ref="A36:H36"/>
    <mergeCell ref="F17:H17"/>
    <mergeCell ref="G23:H23"/>
    <mergeCell ref="B44:D44"/>
    <mergeCell ref="B27:C27"/>
    <mergeCell ref="A6:B6"/>
    <mergeCell ref="A48:H50"/>
    <mergeCell ref="B21:C21"/>
    <mergeCell ref="C47:D47"/>
    <mergeCell ref="B23:C23"/>
    <mergeCell ref="D10"/>
    <mergeCell ref="G28:H28"/>
    <mergeCell ref="G6:H6"/>
    <mergeCell ref="B31:G34"/>
    <mergeCell ref="B8:C8"/>
    <mergeCell ref="A1:D1"/>
    <mergeCell ref="A3:H3"/>
    <mergeCell ref="C46:D46"/>
    <mergeCell ref="F14:H14"/>
    <mergeCell ref="G24:H24"/>
    <mergeCell ref="B43:D43"/>
    <mergeCell ref="E44:G44"/>
    <mergeCell ref="E46:F46"/>
    <mergeCell ref="A2:H2"/>
    <mergeCell ref="B11"/>
    <mergeCell ref="B28:C28"/>
    <mergeCell ref="A42:H42"/>
    <mergeCell ref="D11"/>
    <mergeCell ref="C10"/>
    <mergeCell ref="E10"/>
    <mergeCell ref="E1:H1"/>
    <mergeCell ref="B9:C9"/>
    <mergeCell ref="E43:G43"/>
    <mergeCell ref="G26:H26"/>
    <mergeCell ref="A4:H4"/>
    <mergeCell ref="F16:H16"/>
    <mergeCell ref="G20:H20"/>
    <mergeCell ref="B24:C24"/>
    <mergeCell ref="B26:C26"/>
    <mergeCell ref="G47:H47"/>
    <mergeCell ref="B20:C20"/>
    <mergeCell ref="G25:H25"/>
    <mergeCell ref="C11"/>
    <mergeCell ref="A13:H13"/>
    <mergeCell ref="A19:H19"/>
    <mergeCell ref="B10"/>
    <mergeCell ref="E11"/>
    <mergeCell ref="G22:H22"/>
    <mergeCell ref="G46:H46"/>
    <mergeCell ref="F15:H15"/>
    <mergeCell ref="E47:F47"/>
  </mergeCells>
  <conditionalFormatting sqref="D15:E15">
    <cfRule type="expression" priority="1" dxfId="2" stopIfTrue="1">
      <formula>AND(ISNUMBER($D15),$D15&gt;=INDEX(NGrenze,1))</formula>
    </cfRule>
    <cfRule type="expression" priority="2" dxfId="3" stopIfTrue="1">
      <formula>AND(ISNUMBER($D15),$D15&gt;=INDEX(NGrenze,2))</formula>
    </cfRule>
    <cfRule type="expression" priority="3" dxfId="4" stopIfTrue="1">
      <formula>AND(ISNUMBER($D15),$D15&gt;=INDEX(NGrenze,3))</formula>
    </cfRule>
    <cfRule type="expression" priority="4" dxfId="5" stopIfTrue="1">
      <formula>AND(ISNUMBER($D15),$D15&gt;=INDEX(NGrenze,4))</formula>
    </cfRule>
    <cfRule type="expression" priority="5" dxfId="6" stopIfTrue="1">
      <formula>AND(ISNUMBER($D15),$D15&gt;=INDEX(NGrenze,5))</formula>
    </cfRule>
    <cfRule type="expression" priority="6" dxfId="7" stopIfTrue="1">
      <formula>AND(ISNUMBER($D15),$D15&gt;=INDEX(NGrenze,6))</formula>
    </cfRule>
  </conditionalFormatting>
  <conditionalFormatting sqref="D16:E16">
    <cfRule type="expression" priority="7" dxfId="2" stopIfTrue="1">
      <formula>AND(ISNUMBER($D16),$D16&gt;=INDEX(NGrenze,1))</formula>
    </cfRule>
    <cfRule type="expression" priority="8" dxfId="3" stopIfTrue="1">
      <formula>AND(ISNUMBER($D16),$D16&gt;=INDEX(NGrenze,2))</formula>
    </cfRule>
    <cfRule type="expression" priority="9" dxfId="4" stopIfTrue="1">
      <formula>AND(ISNUMBER($D16),$D16&gt;=INDEX(NGrenze,3))</formula>
    </cfRule>
    <cfRule type="expression" priority="10" dxfId="5" stopIfTrue="1">
      <formula>AND(ISNUMBER($D16),$D16&gt;=INDEX(NGrenze,4))</formula>
    </cfRule>
    <cfRule type="expression" priority="11" dxfId="6" stopIfTrue="1">
      <formula>AND(ISNUMBER($D16),$D16&gt;=INDEX(NGrenze,5))</formula>
    </cfRule>
    <cfRule type="expression" priority="12" dxfId="7" stopIfTrue="1">
      <formula>AND(ISNUMBER($D16),$D16&gt;=INDEX(NGrenze,6))</formula>
    </cfRule>
  </conditionalFormatting>
  <conditionalFormatting sqref="D17:E17">
    <cfRule type="expression" priority="13" dxfId="2" stopIfTrue="1">
      <formula>AND(ISNUMBER($D17),$D17&gt;=INDEX(NGrenze,1))</formula>
    </cfRule>
    <cfRule type="expression" priority="14" dxfId="3" stopIfTrue="1">
      <formula>AND(ISNUMBER($D17),$D17&gt;=INDEX(NGrenze,2))</formula>
    </cfRule>
    <cfRule type="expression" priority="15" dxfId="4" stopIfTrue="1">
      <formula>AND(ISNUMBER($D17),$D17&gt;=INDEX(NGrenze,3))</formula>
    </cfRule>
    <cfRule type="expression" priority="16" dxfId="5" stopIfTrue="1">
      <formula>AND(ISNUMBER($D17),$D17&gt;=INDEX(NGrenze,4))</formula>
    </cfRule>
    <cfRule type="expression" priority="17" dxfId="6" stopIfTrue="1">
      <formula>AND(ISNUMBER($D17),$D17&gt;=INDEX(NGrenze,5))</formula>
    </cfRule>
    <cfRule type="expression" priority="18" dxfId="7" stopIfTrue="1">
      <formula>AND(ISNUMBER($D17),$D17&gt;=INDEX(NGrenze,6))</formula>
    </cfRule>
  </conditionalFormatting>
  <conditionalFormatting sqref="G21:H28">
    <cfRule type="expression" priority="19" dxfId="2" stopIfTrue="1">
      <formula>AND(ISNUMBER($G21),$G21&gt;=INDEX(NGrenze,1))</formula>
    </cfRule>
    <cfRule type="expression" priority="20" dxfId="3" stopIfTrue="1">
      <formula>AND(ISNUMBER($G21),$G21&gt;=INDEX(NGrenze,2))</formula>
    </cfRule>
    <cfRule type="expression" priority="21" dxfId="4" stopIfTrue="1">
      <formula>AND(ISNUMBER($G21),$G21&gt;=INDEX(NGrenze,3))</formula>
    </cfRule>
    <cfRule type="expression" priority="22" dxfId="5" stopIfTrue="1">
      <formula>AND(ISNUMBER($G21),$G21&gt;=INDEX(NGrenze,4))</formula>
    </cfRule>
    <cfRule type="expression" priority="23" dxfId="6" stopIfTrue="1">
      <formula>AND(ISNUMBER($G21),$G21&gt;=INDEX(NGrenze,5))</formula>
    </cfRule>
    <cfRule type="expression" priority="24" dxfId="7" stopIfTrue="1">
      <formula>AND(ISNUMBER($G21),$G21&gt;=INDEX(NGrenze,6))</formula>
    </cfRule>
  </conditionalFormatting>
  <dataValidations count="2">
    <dataValidation sqref="C6" showDropDown="0" showInputMessage="0" showErrorMessage="1" allowBlank="1" errorTitle="Azubi nicht in der Liste" error="Bitte einen aktiven Azubi aus der Liste wählen." type="list">
      <formula1>AzubiAktiv</formula1>
    </dataValidation>
    <dataValidation sqref="F6" showDropDown="0" showInputMessage="0" showErrorMessage="1" allowBlank="0" errorTitle="Halbjahr außerhalb des Bereichs" error="Bitte eine ganze Zahl von 1 bis 8 eingeben." type="whole" operator="between">
      <formula1>1</formula1>
      <formula2>8</formula2>
    </dataValidation>
  </dataValidations>
  <hyperlinks>
    <hyperlink ref="A1" location="Start!A1"/>
  </hyperlinks>
  <pageMargins left="0.6" right="0.5" top="0.6" bottom="0.5" header="0.5" footer="0.5"/>
  <pageSetup orientation="portrait" paperSize="9" fitToHeight="1" fitToWidth="1"/>
</worksheet>
</file>

<file path=xl/worksheets/sheet4.xml><?xml version="1.0" encoding="utf-8"?>
<worksheet xmlns="http://schemas.openxmlformats.org/spreadsheetml/2006/main">
  <sheetPr>
    <tabColor rgb="0022395C"/>
    <outlinePr summaryBelow="1" summaryRight="1"/>
    <pageSetUpPr fitToPage="1"/>
  </sheetPr>
  <dimension ref="A1:P36"/>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15" customWidth="1" min="3" max="3"/>
    <col width="28" customWidth="1" min="4" max="4"/>
    <col width="10" customWidth="1" min="5" max="5"/>
    <col width="8" customWidth="1" min="6" max="6"/>
    <col width="9" customWidth="1" min="7" max="7"/>
    <col width="10" customWidth="1" min="8" max="8"/>
    <col width="18" customWidth="1" min="9" max="9"/>
    <col width="9" customWidth="1" min="10" max="10"/>
    <col width="10" customWidth="1" min="11" max="11"/>
    <col width="18" customWidth="1" min="12" max="12"/>
    <col width="10" customWidth="1" min="13" max="13"/>
    <col width="18" customWidth="1" min="14" max="14"/>
    <col width="22" customWidth="1" min="15" max="15"/>
    <col width="2" customWidth="1" min="16" max="16"/>
  </cols>
  <sheetData>
    <row r="1" ht="34" customHeight="1">
      <c r="A1" s="1" t="inlineStr">
        <is>
          <t>Halbjahresauswertung</t>
        </is>
      </c>
      <c r="B1" s="2" t="n"/>
      <c r="C1" s="2" t="n"/>
      <c r="D1" s="2" t="n"/>
      <c r="E1" s="2" t="n"/>
      <c r="F1" s="2" t="n"/>
      <c r="G1" s="2" t="n"/>
      <c r="H1" s="2" t="n"/>
      <c r="I1" s="2" t="n"/>
      <c r="J1" s="2" t="n"/>
      <c r="K1" s="2" t="n"/>
      <c r="L1" s="2" t="n"/>
      <c r="M1" s="39" t="inlineStr">
        <is>
          <t>«  Zurück zur Startseite</t>
        </is>
      </c>
    </row>
    <row r="2" ht="18" customHeight="1">
      <c r="A2" s="3" t="inlineStr">
        <is>
          <t>Stand aller Azubis für ein Halbjahr – Grundlage für die Beurteilungsgespräche</t>
        </is>
      </c>
      <c r="B2" s="2" t="n"/>
      <c r="C2" s="2" t="n"/>
      <c r="D2" s="2" t="n"/>
      <c r="E2" s="2" t="n"/>
      <c r="F2" s="2" t="n"/>
      <c r="G2" s="2" t="n"/>
      <c r="H2" s="2" t="n"/>
      <c r="I2" s="2" t="n"/>
      <c r="J2" s="2" t="n"/>
      <c r="K2" s="2" t="n"/>
      <c r="L2" s="2" t="n"/>
    </row>
    <row r="3" ht="24" customHeight="1">
      <c r="A3" s="4" t="inlineStr">
        <is>
          <t>Farben:  gelb = hier eintragen   ·   grau-blau = rechnet die Datei selbst   ·   „n.b.“ = nicht bewertet</t>
        </is>
      </c>
    </row>
    <row r="4" ht="28" customHeight="1">
      <c r="A4" s="40" t="inlineStr">
        <is>
          <t xml:space="preserve"> Halbjahr auswählen</t>
        </is>
      </c>
      <c r="C4" s="95" t="n">
        <v>4</v>
      </c>
      <c r="D4" s="45">
        <f>"Halbjahr "&amp;$C$4&amp;" = Monat "&amp;($C$4-1)*6+1&amp;" bis "&amp;$C$4*6&amp;" nach dem jeweiligen Ausbildungsstart. Leere Zeilen bedeuten: in diesem Halbjahr wurde noch nichts bewertet."</f>
        <v/>
      </c>
    </row>
    <row r="5" ht="10" customHeight="1"/>
    <row r="6" ht="34" customHeight="1">
      <c r="A6" s="16" t="inlineStr">
        <is>
          <t>Nr.</t>
        </is>
      </c>
      <c r="B6" s="16" t="inlineStr">
        <is>
          <t>Name</t>
        </is>
      </c>
      <c r="C6" s="16" t="inlineStr">
        <is>
          <t>Vorname</t>
        </is>
      </c>
      <c r="D6" s="16" t="inlineStr">
        <is>
          <t>Ausbildungsberuf</t>
        </is>
      </c>
      <c r="E6" s="16" t="inlineStr">
        <is>
          <t>Jahrgang</t>
        </is>
      </c>
      <c r="F6" s="16" t="inlineStr">
        <is>
          <t>LJ</t>
        </is>
      </c>
      <c r="G6" s="16" t="inlineStr">
        <is>
          <t>Übungen</t>
        </is>
      </c>
      <c r="H6" s="16" t="inlineStr">
        <is>
          <t>Praxis %</t>
        </is>
      </c>
      <c r="I6" s="16" t="inlineStr">
        <is>
          <t>Praxis Note</t>
        </is>
      </c>
      <c r="J6" s="16" t="inlineStr">
        <is>
          <t>Theorie</t>
        </is>
      </c>
      <c r="K6" s="16" t="inlineStr">
        <is>
          <t>Theorie %</t>
        </is>
      </c>
      <c r="L6" s="16" t="inlineStr">
        <is>
          <t>Theorie Note</t>
        </is>
      </c>
      <c r="M6" s="16" t="inlineStr">
        <is>
          <t>Gesamt %</t>
        </is>
      </c>
      <c r="N6" s="16" t="inlineStr">
        <is>
          <t>Gesamt Note</t>
        </is>
      </c>
      <c r="O6" s="16" t="inlineStr">
        <is>
          <t>Hinweis</t>
        </is>
      </c>
    </row>
    <row r="7" ht="22" customHeight="1">
      <c r="A7" s="19">
        <f>IF('Stammdaten'!$B6="","",1)</f>
        <v/>
      </c>
      <c r="B7" s="52">
        <f>IF('Stammdaten'!$B6="","",'Stammdaten'!$B6)</f>
        <v/>
      </c>
      <c r="C7" s="96">
        <f>IF('Stammdaten'!$B6="","",'Stammdaten'!$C6)</f>
        <v/>
      </c>
      <c r="D7" s="96">
        <f>IF('Stammdaten'!$B6="","",'Stammdaten'!$D6)</f>
        <v/>
      </c>
      <c r="E7" s="97">
        <f>IF('Stammdaten'!$B6="","",'Stammdaten'!$E6)</f>
        <v/>
      </c>
      <c r="F7" s="21">
        <f>IF('Stammdaten'!$B6="","",'Stammdaten'!$H6)</f>
        <v/>
      </c>
      <c r="G7" s="23">
        <f>IF('Stammdaten'!$B6="","",INDEX(Daten!$C$440:$J$464,1,$C$4))</f>
        <v/>
      </c>
      <c r="H7" s="24">
        <f>IF('Stammdaten'!$B6="","",INDEX(Daten!$C$530:$J$554,1,$C$4))</f>
        <v/>
      </c>
      <c r="I7" s="25">
        <f>IF(NOT(ISNUMBER(H7)),"",INDEX(Noten,MAX(1,MIN(COUNT(NGrenze),COUNT(NGrenze)+1-COUNTIF(NGrenze,"&lt;="&amp;H7))))&amp;" – "&amp;INDEX(NText,MAX(1,MIN(COUNT(NGrenze),COUNT(NGrenze)+1-COUNTIF(NGrenze,"&lt;="&amp;H7)))))</f>
        <v/>
      </c>
      <c r="J7" s="97">
        <f>IF('Stammdaten'!$B6="","",INDEX(Daten!$C$500:$J$524,1,$C$4))</f>
        <v/>
      </c>
      <c r="K7" s="24">
        <f>IF('Stammdaten'!$B6="","",INDEX(Daten!$C$560:$J$584,1,$C$4))</f>
        <v/>
      </c>
      <c r="L7" s="25">
        <f>IF(NOT(ISNUMBER(K7)),"",INDEX(Noten,MAX(1,MIN(COUNT(NGrenze),COUNT(NGrenze)+1-COUNTIF(NGrenze,"&lt;="&amp;K7))))&amp;" – "&amp;INDEX(NText,MAX(1,MIN(COUNT(NGrenze),COUNT(NGrenze)+1-COUNTIF(NGrenze,"&lt;="&amp;K7)))))</f>
        <v/>
      </c>
      <c r="M7" s="24">
        <f>IF('Stammdaten'!$B6="","",INDEX(Daten!$C$590:$J$614,1,$C$4))</f>
        <v/>
      </c>
      <c r="N7" s="25">
        <f>IF(NOT(ISNUMBER(M7)),"",INDEX(Noten,MAX(1,MIN(COUNT(NGrenze),COUNT(NGrenze)+1-COUNTIF(NGrenze,"&lt;="&amp;M7))))&amp;" – "&amp;INDEX(NText,MAX(1,MIN(COUNT(NGrenze),COUNT(NGrenze)+1-COUNTIF(NGrenze,"&lt;="&amp;M7)))))</f>
        <v/>
      </c>
      <c r="O7" s="98">
        <f>IF($A7="","",IF($G7=0,"keine Bewertung",IF($G7&lt;SchwelleDB,"wenig Datenbasis","")))&amp;IF(AND($A7&lt;&gt;"",'Stammdaten'!$G6&lt;&gt;"aktiv")," · "&amp;'Stammdaten'!$G6,"")</f>
        <v/>
      </c>
    </row>
    <row r="8" ht="22" customHeight="1">
      <c r="A8" s="19">
        <f>IF('Stammdaten'!$B7="","",2)</f>
        <v/>
      </c>
      <c r="B8" s="52">
        <f>IF('Stammdaten'!$B7="","",'Stammdaten'!$B7)</f>
        <v/>
      </c>
      <c r="C8" s="96">
        <f>IF('Stammdaten'!$B7="","",'Stammdaten'!$C7)</f>
        <v/>
      </c>
      <c r="D8" s="96">
        <f>IF('Stammdaten'!$B7="","",'Stammdaten'!$D7)</f>
        <v/>
      </c>
      <c r="E8" s="97">
        <f>IF('Stammdaten'!$B7="","",'Stammdaten'!$E7)</f>
        <v/>
      </c>
      <c r="F8" s="21">
        <f>IF('Stammdaten'!$B7="","",'Stammdaten'!$H7)</f>
        <v/>
      </c>
      <c r="G8" s="23">
        <f>IF('Stammdaten'!$B7="","",INDEX(Daten!$C$440:$J$464,2,$C$4))</f>
        <v/>
      </c>
      <c r="H8" s="24">
        <f>IF('Stammdaten'!$B7="","",INDEX(Daten!$C$530:$J$554,2,$C$4))</f>
        <v/>
      </c>
      <c r="I8" s="25">
        <f>IF(NOT(ISNUMBER(H8)),"",INDEX(Noten,MAX(1,MIN(COUNT(NGrenze),COUNT(NGrenze)+1-COUNTIF(NGrenze,"&lt;="&amp;H8))))&amp;" – "&amp;INDEX(NText,MAX(1,MIN(COUNT(NGrenze),COUNT(NGrenze)+1-COUNTIF(NGrenze,"&lt;="&amp;H8)))))</f>
        <v/>
      </c>
      <c r="J8" s="97">
        <f>IF('Stammdaten'!$B7="","",INDEX(Daten!$C$500:$J$524,2,$C$4))</f>
        <v/>
      </c>
      <c r="K8" s="24">
        <f>IF('Stammdaten'!$B7="","",INDEX(Daten!$C$560:$J$584,2,$C$4))</f>
        <v/>
      </c>
      <c r="L8" s="25">
        <f>IF(NOT(ISNUMBER(K8)),"",INDEX(Noten,MAX(1,MIN(COUNT(NGrenze),COUNT(NGrenze)+1-COUNTIF(NGrenze,"&lt;="&amp;K8))))&amp;" – "&amp;INDEX(NText,MAX(1,MIN(COUNT(NGrenze),COUNT(NGrenze)+1-COUNTIF(NGrenze,"&lt;="&amp;K8)))))</f>
        <v/>
      </c>
      <c r="M8" s="24">
        <f>IF('Stammdaten'!$B7="","",INDEX(Daten!$C$590:$J$614,2,$C$4))</f>
        <v/>
      </c>
      <c r="N8" s="25">
        <f>IF(NOT(ISNUMBER(M8)),"",INDEX(Noten,MAX(1,MIN(COUNT(NGrenze),COUNT(NGrenze)+1-COUNTIF(NGrenze,"&lt;="&amp;M8))))&amp;" – "&amp;INDEX(NText,MAX(1,MIN(COUNT(NGrenze),COUNT(NGrenze)+1-COUNTIF(NGrenze,"&lt;="&amp;M8)))))</f>
        <v/>
      </c>
      <c r="O8" s="98">
        <f>IF($A8="","",IF($G8=0,"keine Bewertung",IF($G8&lt;SchwelleDB,"wenig Datenbasis","")))&amp;IF(AND($A8&lt;&gt;"",'Stammdaten'!$G7&lt;&gt;"aktiv")," · "&amp;'Stammdaten'!$G7,"")</f>
        <v/>
      </c>
    </row>
    <row r="9" ht="22" customHeight="1">
      <c r="A9" s="19">
        <f>IF('Stammdaten'!$B8="","",3)</f>
        <v/>
      </c>
      <c r="B9" s="52">
        <f>IF('Stammdaten'!$B8="","",'Stammdaten'!$B8)</f>
        <v/>
      </c>
      <c r="C9" s="96">
        <f>IF('Stammdaten'!$B8="","",'Stammdaten'!$C8)</f>
        <v/>
      </c>
      <c r="D9" s="96">
        <f>IF('Stammdaten'!$B8="","",'Stammdaten'!$D8)</f>
        <v/>
      </c>
      <c r="E9" s="97">
        <f>IF('Stammdaten'!$B8="","",'Stammdaten'!$E8)</f>
        <v/>
      </c>
      <c r="F9" s="21">
        <f>IF('Stammdaten'!$B8="","",'Stammdaten'!$H8)</f>
        <v/>
      </c>
      <c r="G9" s="23">
        <f>IF('Stammdaten'!$B8="","",INDEX(Daten!$C$440:$J$464,3,$C$4))</f>
        <v/>
      </c>
      <c r="H9" s="24">
        <f>IF('Stammdaten'!$B8="","",INDEX(Daten!$C$530:$J$554,3,$C$4))</f>
        <v/>
      </c>
      <c r="I9" s="25">
        <f>IF(NOT(ISNUMBER(H9)),"",INDEX(Noten,MAX(1,MIN(COUNT(NGrenze),COUNT(NGrenze)+1-COUNTIF(NGrenze,"&lt;="&amp;H9))))&amp;" – "&amp;INDEX(NText,MAX(1,MIN(COUNT(NGrenze),COUNT(NGrenze)+1-COUNTIF(NGrenze,"&lt;="&amp;H9)))))</f>
        <v/>
      </c>
      <c r="J9" s="97">
        <f>IF('Stammdaten'!$B8="","",INDEX(Daten!$C$500:$J$524,3,$C$4))</f>
        <v/>
      </c>
      <c r="K9" s="24">
        <f>IF('Stammdaten'!$B8="","",INDEX(Daten!$C$560:$J$584,3,$C$4))</f>
        <v/>
      </c>
      <c r="L9" s="25">
        <f>IF(NOT(ISNUMBER(K9)),"",INDEX(Noten,MAX(1,MIN(COUNT(NGrenze),COUNT(NGrenze)+1-COUNTIF(NGrenze,"&lt;="&amp;K9))))&amp;" – "&amp;INDEX(NText,MAX(1,MIN(COUNT(NGrenze),COUNT(NGrenze)+1-COUNTIF(NGrenze,"&lt;="&amp;K9)))))</f>
        <v/>
      </c>
      <c r="M9" s="24">
        <f>IF('Stammdaten'!$B8="","",INDEX(Daten!$C$590:$J$614,3,$C$4))</f>
        <v/>
      </c>
      <c r="N9" s="25">
        <f>IF(NOT(ISNUMBER(M9)),"",INDEX(Noten,MAX(1,MIN(COUNT(NGrenze),COUNT(NGrenze)+1-COUNTIF(NGrenze,"&lt;="&amp;M9))))&amp;" – "&amp;INDEX(NText,MAX(1,MIN(COUNT(NGrenze),COUNT(NGrenze)+1-COUNTIF(NGrenze,"&lt;="&amp;M9)))))</f>
        <v/>
      </c>
      <c r="O9" s="98">
        <f>IF($A9="","",IF($G9=0,"keine Bewertung",IF($G9&lt;SchwelleDB,"wenig Datenbasis","")))&amp;IF(AND($A9&lt;&gt;"",'Stammdaten'!$G8&lt;&gt;"aktiv")," · "&amp;'Stammdaten'!$G8,"")</f>
        <v/>
      </c>
    </row>
    <row r="10" ht="22" customHeight="1">
      <c r="A10" s="19">
        <f>IF('Stammdaten'!$B9="","",4)</f>
        <v/>
      </c>
      <c r="B10" s="52">
        <f>IF('Stammdaten'!$B9="","",'Stammdaten'!$B9)</f>
        <v/>
      </c>
      <c r="C10" s="96">
        <f>IF('Stammdaten'!$B9="","",'Stammdaten'!$C9)</f>
        <v/>
      </c>
      <c r="D10" s="96">
        <f>IF('Stammdaten'!$B9="","",'Stammdaten'!$D9)</f>
        <v/>
      </c>
      <c r="E10" s="97">
        <f>IF('Stammdaten'!$B9="","",'Stammdaten'!$E9)</f>
        <v/>
      </c>
      <c r="F10" s="21">
        <f>IF('Stammdaten'!$B9="","",'Stammdaten'!$H9)</f>
        <v/>
      </c>
      <c r="G10" s="23">
        <f>IF('Stammdaten'!$B9="","",INDEX(Daten!$C$440:$J$464,4,$C$4))</f>
        <v/>
      </c>
      <c r="H10" s="24">
        <f>IF('Stammdaten'!$B9="","",INDEX(Daten!$C$530:$J$554,4,$C$4))</f>
        <v/>
      </c>
      <c r="I10" s="25">
        <f>IF(NOT(ISNUMBER(H10)),"",INDEX(Noten,MAX(1,MIN(COUNT(NGrenze),COUNT(NGrenze)+1-COUNTIF(NGrenze,"&lt;="&amp;H10))))&amp;" – "&amp;INDEX(NText,MAX(1,MIN(COUNT(NGrenze),COUNT(NGrenze)+1-COUNTIF(NGrenze,"&lt;="&amp;H10)))))</f>
        <v/>
      </c>
      <c r="J10" s="97">
        <f>IF('Stammdaten'!$B9="","",INDEX(Daten!$C$500:$J$524,4,$C$4))</f>
        <v/>
      </c>
      <c r="K10" s="24">
        <f>IF('Stammdaten'!$B9="","",INDEX(Daten!$C$560:$J$584,4,$C$4))</f>
        <v/>
      </c>
      <c r="L10" s="25">
        <f>IF(NOT(ISNUMBER(K10)),"",INDEX(Noten,MAX(1,MIN(COUNT(NGrenze),COUNT(NGrenze)+1-COUNTIF(NGrenze,"&lt;="&amp;K10))))&amp;" – "&amp;INDEX(NText,MAX(1,MIN(COUNT(NGrenze),COUNT(NGrenze)+1-COUNTIF(NGrenze,"&lt;="&amp;K10)))))</f>
        <v/>
      </c>
      <c r="M10" s="24">
        <f>IF('Stammdaten'!$B9="","",INDEX(Daten!$C$590:$J$614,4,$C$4))</f>
        <v/>
      </c>
      <c r="N10" s="25">
        <f>IF(NOT(ISNUMBER(M10)),"",INDEX(Noten,MAX(1,MIN(COUNT(NGrenze),COUNT(NGrenze)+1-COUNTIF(NGrenze,"&lt;="&amp;M10))))&amp;" – "&amp;INDEX(NText,MAX(1,MIN(COUNT(NGrenze),COUNT(NGrenze)+1-COUNTIF(NGrenze,"&lt;="&amp;M10)))))</f>
        <v/>
      </c>
      <c r="O10" s="98">
        <f>IF($A10="","",IF($G10=0,"keine Bewertung",IF($G10&lt;SchwelleDB,"wenig Datenbasis","")))&amp;IF(AND($A10&lt;&gt;"",'Stammdaten'!$G9&lt;&gt;"aktiv")," · "&amp;'Stammdaten'!$G9,"")</f>
        <v/>
      </c>
    </row>
    <row r="11" ht="22" customHeight="1">
      <c r="A11" s="19">
        <f>IF('Stammdaten'!$B10="","",5)</f>
        <v/>
      </c>
      <c r="B11" s="52">
        <f>IF('Stammdaten'!$B10="","",'Stammdaten'!$B10)</f>
        <v/>
      </c>
      <c r="C11" s="96">
        <f>IF('Stammdaten'!$B10="","",'Stammdaten'!$C10)</f>
        <v/>
      </c>
      <c r="D11" s="96">
        <f>IF('Stammdaten'!$B10="","",'Stammdaten'!$D10)</f>
        <v/>
      </c>
      <c r="E11" s="97">
        <f>IF('Stammdaten'!$B10="","",'Stammdaten'!$E10)</f>
        <v/>
      </c>
      <c r="F11" s="21">
        <f>IF('Stammdaten'!$B10="","",'Stammdaten'!$H10)</f>
        <v/>
      </c>
      <c r="G11" s="23">
        <f>IF('Stammdaten'!$B10="","",INDEX(Daten!$C$440:$J$464,5,$C$4))</f>
        <v/>
      </c>
      <c r="H11" s="24">
        <f>IF('Stammdaten'!$B10="","",INDEX(Daten!$C$530:$J$554,5,$C$4))</f>
        <v/>
      </c>
      <c r="I11" s="25">
        <f>IF(NOT(ISNUMBER(H11)),"",INDEX(Noten,MAX(1,MIN(COUNT(NGrenze),COUNT(NGrenze)+1-COUNTIF(NGrenze,"&lt;="&amp;H11))))&amp;" – "&amp;INDEX(NText,MAX(1,MIN(COUNT(NGrenze),COUNT(NGrenze)+1-COUNTIF(NGrenze,"&lt;="&amp;H11)))))</f>
        <v/>
      </c>
      <c r="J11" s="97">
        <f>IF('Stammdaten'!$B10="","",INDEX(Daten!$C$500:$J$524,5,$C$4))</f>
        <v/>
      </c>
      <c r="K11" s="24">
        <f>IF('Stammdaten'!$B10="","",INDEX(Daten!$C$560:$J$584,5,$C$4))</f>
        <v/>
      </c>
      <c r="L11" s="25">
        <f>IF(NOT(ISNUMBER(K11)),"",INDEX(Noten,MAX(1,MIN(COUNT(NGrenze),COUNT(NGrenze)+1-COUNTIF(NGrenze,"&lt;="&amp;K11))))&amp;" – "&amp;INDEX(NText,MAX(1,MIN(COUNT(NGrenze),COUNT(NGrenze)+1-COUNTIF(NGrenze,"&lt;="&amp;K11)))))</f>
        <v/>
      </c>
      <c r="M11" s="24">
        <f>IF('Stammdaten'!$B10="","",INDEX(Daten!$C$590:$J$614,5,$C$4))</f>
        <v/>
      </c>
      <c r="N11" s="25">
        <f>IF(NOT(ISNUMBER(M11)),"",INDEX(Noten,MAX(1,MIN(COUNT(NGrenze),COUNT(NGrenze)+1-COUNTIF(NGrenze,"&lt;="&amp;M11))))&amp;" – "&amp;INDEX(NText,MAX(1,MIN(COUNT(NGrenze),COUNT(NGrenze)+1-COUNTIF(NGrenze,"&lt;="&amp;M11)))))</f>
        <v/>
      </c>
      <c r="O11" s="98">
        <f>IF($A11="","",IF($G11=0,"keine Bewertung",IF($G11&lt;SchwelleDB,"wenig Datenbasis","")))&amp;IF(AND($A11&lt;&gt;"",'Stammdaten'!$G10&lt;&gt;"aktiv")," · "&amp;'Stammdaten'!$G10,"")</f>
        <v/>
      </c>
    </row>
    <row r="12" ht="22" customHeight="1">
      <c r="A12" s="19">
        <f>IF('Stammdaten'!$B11="","",6)</f>
        <v/>
      </c>
      <c r="B12" s="52">
        <f>IF('Stammdaten'!$B11="","",'Stammdaten'!$B11)</f>
        <v/>
      </c>
      <c r="C12" s="96">
        <f>IF('Stammdaten'!$B11="","",'Stammdaten'!$C11)</f>
        <v/>
      </c>
      <c r="D12" s="96">
        <f>IF('Stammdaten'!$B11="","",'Stammdaten'!$D11)</f>
        <v/>
      </c>
      <c r="E12" s="97">
        <f>IF('Stammdaten'!$B11="","",'Stammdaten'!$E11)</f>
        <v/>
      </c>
      <c r="F12" s="21">
        <f>IF('Stammdaten'!$B11="","",'Stammdaten'!$H11)</f>
        <v/>
      </c>
      <c r="G12" s="23">
        <f>IF('Stammdaten'!$B11="","",INDEX(Daten!$C$440:$J$464,6,$C$4))</f>
        <v/>
      </c>
      <c r="H12" s="24">
        <f>IF('Stammdaten'!$B11="","",INDEX(Daten!$C$530:$J$554,6,$C$4))</f>
        <v/>
      </c>
      <c r="I12" s="25">
        <f>IF(NOT(ISNUMBER(H12)),"",INDEX(Noten,MAX(1,MIN(COUNT(NGrenze),COUNT(NGrenze)+1-COUNTIF(NGrenze,"&lt;="&amp;H12))))&amp;" – "&amp;INDEX(NText,MAX(1,MIN(COUNT(NGrenze),COUNT(NGrenze)+1-COUNTIF(NGrenze,"&lt;="&amp;H12)))))</f>
        <v/>
      </c>
      <c r="J12" s="97">
        <f>IF('Stammdaten'!$B11="","",INDEX(Daten!$C$500:$J$524,6,$C$4))</f>
        <v/>
      </c>
      <c r="K12" s="24">
        <f>IF('Stammdaten'!$B11="","",INDEX(Daten!$C$560:$J$584,6,$C$4))</f>
        <v/>
      </c>
      <c r="L12" s="25">
        <f>IF(NOT(ISNUMBER(K12)),"",INDEX(Noten,MAX(1,MIN(COUNT(NGrenze),COUNT(NGrenze)+1-COUNTIF(NGrenze,"&lt;="&amp;K12))))&amp;" – "&amp;INDEX(NText,MAX(1,MIN(COUNT(NGrenze),COUNT(NGrenze)+1-COUNTIF(NGrenze,"&lt;="&amp;K12)))))</f>
        <v/>
      </c>
      <c r="M12" s="24">
        <f>IF('Stammdaten'!$B11="","",INDEX(Daten!$C$590:$J$614,6,$C$4))</f>
        <v/>
      </c>
      <c r="N12" s="25">
        <f>IF(NOT(ISNUMBER(M12)),"",INDEX(Noten,MAX(1,MIN(COUNT(NGrenze),COUNT(NGrenze)+1-COUNTIF(NGrenze,"&lt;="&amp;M12))))&amp;" – "&amp;INDEX(NText,MAX(1,MIN(COUNT(NGrenze),COUNT(NGrenze)+1-COUNTIF(NGrenze,"&lt;="&amp;M12)))))</f>
        <v/>
      </c>
      <c r="O12" s="98">
        <f>IF($A12="","",IF($G12=0,"keine Bewertung",IF($G12&lt;SchwelleDB,"wenig Datenbasis","")))&amp;IF(AND($A12&lt;&gt;"",'Stammdaten'!$G11&lt;&gt;"aktiv")," · "&amp;'Stammdaten'!$G11,"")</f>
        <v/>
      </c>
    </row>
    <row r="13" ht="22" customHeight="1">
      <c r="A13" s="19">
        <f>IF('Stammdaten'!$B12="","",7)</f>
        <v/>
      </c>
      <c r="B13" s="52">
        <f>IF('Stammdaten'!$B12="","",'Stammdaten'!$B12)</f>
        <v/>
      </c>
      <c r="C13" s="96">
        <f>IF('Stammdaten'!$B12="","",'Stammdaten'!$C12)</f>
        <v/>
      </c>
      <c r="D13" s="96">
        <f>IF('Stammdaten'!$B12="","",'Stammdaten'!$D12)</f>
        <v/>
      </c>
      <c r="E13" s="97">
        <f>IF('Stammdaten'!$B12="","",'Stammdaten'!$E12)</f>
        <v/>
      </c>
      <c r="F13" s="21">
        <f>IF('Stammdaten'!$B12="","",'Stammdaten'!$H12)</f>
        <v/>
      </c>
      <c r="G13" s="23">
        <f>IF('Stammdaten'!$B12="","",INDEX(Daten!$C$440:$J$464,7,$C$4))</f>
        <v/>
      </c>
      <c r="H13" s="24">
        <f>IF('Stammdaten'!$B12="","",INDEX(Daten!$C$530:$J$554,7,$C$4))</f>
        <v/>
      </c>
      <c r="I13" s="25">
        <f>IF(NOT(ISNUMBER(H13)),"",INDEX(Noten,MAX(1,MIN(COUNT(NGrenze),COUNT(NGrenze)+1-COUNTIF(NGrenze,"&lt;="&amp;H13))))&amp;" – "&amp;INDEX(NText,MAX(1,MIN(COUNT(NGrenze),COUNT(NGrenze)+1-COUNTIF(NGrenze,"&lt;="&amp;H13)))))</f>
        <v/>
      </c>
      <c r="J13" s="97">
        <f>IF('Stammdaten'!$B12="","",INDEX(Daten!$C$500:$J$524,7,$C$4))</f>
        <v/>
      </c>
      <c r="K13" s="24">
        <f>IF('Stammdaten'!$B12="","",INDEX(Daten!$C$560:$J$584,7,$C$4))</f>
        <v/>
      </c>
      <c r="L13" s="25">
        <f>IF(NOT(ISNUMBER(K13)),"",INDEX(Noten,MAX(1,MIN(COUNT(NGrenze),COUNT(NGrenze)+1-COUNTIF(NGrenze,"&lt;="&amp;K13))))&amp;" – "&amp;INDEX(NText,MAX(1,MIN(COUNT(NGrenze),COUNT(NGrenze)+1-COUNTIF(NGrenze,"&lt;="&amp;K13)))))</f>
        <v/>
      </c>
      <c r="M13" s="24">
        <f>IF('Stammdaten'!$B12="","",INDEX(Daten!$C$590:$J$614,7,$C$4))</f>
        <v/>
      </c>
      <c r="N13" s="25">
        <f>IF(NOT(ISNUMBER(M13)),"",INDEX(Noten,MAX(1,MIN(COUNT(NGrenze),COUNT(NGrenze)+1-COUNTIF(NGrenze,"&lt;="&amp;M13))))&amp;" – "&amp;INDEX(NText,MAX(1,MIN(COUNT(NGrenze),COUNT(NGrenze)+1-COUNTIF(NGrenze,"&lt;="&amp;M13)))))</f>
        <v/>
      </c>
      <c r="O13" s="98">
        <f>IF($A13="","",IF($G13=0,"keine Bewertung",IF($G13&lt;SchwelleDB,"wenig Datenbasis","")))&amp;IF(AND($A13&lt;&gt;"",'Stammdaten'!$G12&lt;&gt;"aktiv")," · "&amp;'Stammdaten'!$G12,"")</f>
        <v/>
      </c>
    </row>
    <row r="14" ht="22" customHeight="1">
      <c r="A14" s="19">
        <f>IF('Stammdaten'!$B13="","",8)</f>
        <v/>
      </c>
      <c r="B14" s="52">
        <f>IF('Stammdaten'!$B13="","",'Stammdaten'!$B13)</f>
        <v/>
      </c>
      <c r="C14" s="96">
        <f>IF('Stammdaten'!$B13="","",'Stammdaten'!$C13)</f>
        <v/>
      </c>
      <c r="D14" s="96">
        <f>IF('Stammdaten'!$B13="","",'Stammdaten'!$D13)</f>
        <v/>
      </c>
      <c r="E14" s="97">
        <f>IF('Stammdaten'!$B13="","",'Stammdaten'!$E13)</f>
        <v/>
      </c>
      <c r="F14" s="21">
        <f>IF('Stammdaten'!$B13="","",'Stammdaten'!$H13)</f>
        <v/>
      </c>
      <c r="G14" s="23">
        <f>IF('Stammdaten'!$B13="","",INDEX(Daten!$C$440:$J$464,8,$C$4))</f>
        <v/>
      </c>
      <c r="H14" s="24">
        <f>IF('Stammdaten'!$B13="","",INDEX(Daten!$C$530:$J$554,8,$C$4))</f>
        <v/>
      </c>
      <c r="I14" s="25">
        <f>IF(NOT(ISNUMBER(H14)),"",INDEX(Noten,MAX(1,MIN(COUNT(NGrenze),COUNT(NGrenze)+1-COUNTIF(NGrenze,"&lt;="&amp;H14))))&amp;" – "&amp;INDEX(NText,MAX(1,MIN(COUNT(NGrenze),COUNT(NGrenze)+1-COUNTIF(NGrenze,"&lt;="&amp;H14)))))</f>
        <v/>
      </c>
      <c r="J14" s="97">
        <f>IF('Stammdaten'!$B13="","",INDEX(Daten!$C$500:$J$524,8,$C$4))</f>
        <v/>
      </c>
      <c r="K14" s="24">
        <f>IF('Stammdaten'!$B13="","",INDEX(Daten!$C$560:$J$584,8,$C$4))</f>
        <v/>
      </c>
      <c r="L14" s="25">
        <f>IF(NOT(ISNUMBER(K14)),"",INDEX(Noten,MAX(1,MIN(COUNT(NGrenze),COUNT(NGrenze)+1-COUNTIF(NGrenze,"&lt;="&amp;K14))))&amp;" – "&amp;INDEX(NText,MAX(1,MIN(COUNT(NGrenze),COUNT(NGrenze)+1-COUNTIF(NGrenze,"&lt;="&amp;K14)))))</f>
        <v/>
      </c>
      <c r="M14" s="24">
        <f>IF('Stammdaten'!$B13="","",INDEX(Daten!$C$590:$J$614,8,$C$4))</f>
        <v/>
      </c>
      <c r="N14" s="25">
        <f>IF(NOT(ISNUMBER(M14)),"",INDEX(Noten,MAX(1,MIN(COUNT(NGrenze),COUNT(NGrenze)+1-COUNTIF(NGrenze,"&lt;="&amp;M14))))&amp;" – "&amp;INDEX(NText,MAX(1,MIN(COUNT(NGrenze),COUNT(NGrenze)+1-COUNTIF(NGrenze,"&lt;="&amp;M14)))))</f>
        <v/>
      </c>
      <c r="O14" s="98">
        <f>IF($A14="","",IF($G14=0,"keine Bewertung",IF($G14&lt;SchwelleDB,"wenig Datenbasis","")))&amp;IF(AND($A14&lt;&gt;"",'Stammdaten'!$G13&lt;&gt;"aktiv")," · "&amp;'Stammdaten'!$G13,"")</f>
        <v/>
      </c>
    </row>
    <row r="15" ht="22" customHeight="1">
      <c r="A15" s="19">
        <f>IF('Stammdaten'!$B14="","",9)</f>
        <v/>
      </c>
      <c r="B15" s="52">
        <f>IF('Stammdaten'!$B14="","",'Stammdaten'!$B14)</f>
        <v/>
      </c>
      <c r="C15" s="96">
        <f>IF('Stammdaten'!$B14="","",'Stammdaten'!$C14)</f>
        <v/>
      </c>
      <c r="D15" s="96">
        <f>IF('Stammdaten'!$B14="","",'Stammdaten'!$D14)</f>
        <v/>
      </c>
      <c r="E15" s="97">
        <f>IF('Stammdaten'!$B14="","",'Stammdaten'!$E14)</f>
        <v/>
      </c>
      <c r="F15" s="21">
        <f>IF('Stammdaten'!$B14="","",'Stammdaten'!$H14)</f>
        <v/>
      </c>
      <c r="G15" s="23">
        <f>IF('Stammdaten'!$B14="","",INDEX(Daten!$C$440:$J$464,9,$C$4))</f>
        <v/>
      </c>
      <c r="H15" s="24">
        <f>IF('Stammdaten'!$B14="","",INDEX(Daten!$C$530:$J$554,9,$C$4))</f>
        <v/>
      </c>
      <c r="I15" s="25">
        <f>IF(NOT(ISNUMBER(H15)),"",INDEX(Noten,MAX(1,MIN(COUNT(NGrenze),COUNT(NGrenze)+1-COUNTIF(NGrenze,"&lt;="&amp;H15))))&amp;" – "&amp;INDEX(NText,MAX(1,MIN(COUNT(NGrenze),COUNT(NGrenze)+1-COUNTIF(NGrenze,"&lt;="&amp;H15)))))</f>
        <v/>
      </c>
      <c r="J15" s="97">
        <f>IF('Stammdaten'!$B14="","",INDEX(Daten!$C$500:$J$524,9,$C$4))</f>
        <v/>
      </c>
      <c r="K15" s="24">
        <f>IF('Stammdaten'!$B14="","",INDEX(Daten!$C$560:$J$584,9,$C$4))</f>
        <v/>
      </c>
      <c r="L15" s="25">
        <f>IF(NOT(ISNUMBER(K15)),"",INDEX(Noten,MAX(1,MIN(COUNT(NGrenze),COUNT(NGrenze)+1-COUNTIF(NGrenze,"&lt;="&amp;K15))))&amp;" – "&amp;INDEX(NText,MAX(1,MIN(COUNT(NGrenze),COUNT(NGrenze)+1-COUNTIF(NGrenze,"&lt;="&amp;K15)))))</f>
        <v/>
      </c>
      <c r="M15" s="24">
        <f>IF('Stammdaten'!$B14="","",INDEX(Daten!$C$590:$J$614,9,$C$4))</f>
        <v/>
      </c>
      <c r="N15" s="25">
        <f>IF(NOT(ISNUMBER(M15)),"",INDEX(Noten,MAX(1,MIN(COUNT(NGrenze),COUNT(NGrenze)+1-COUNTIF(NGrenze,"&lt;="&amp;M15))))&amp;" – "&amp;INDEX(NText,MAX(1,MIN(COUNT(NGrenze),COUNT(NGrenze)+1-COUNTIF(NGrenze,"&lt;="&amp;M15)))))</f>
        <v/>
      </c>
      <c r="O15" s="98">
        <f>IF($A15="","",IF($G15=0,"keine Bewertung",IF($G15&lt;SchwelleDB,"wenig Datenbasis","")))&amp;IF(AND($A15&lt;&gt;"",'Stammdaten'!$G14&lt;&gt;"aktiv")," · "&amp;'Stammdaten'!$G14,"")</f>
        <v/>
      </c>
    </row>
    <row r="16" ht="22" customHeight="1">
      <c r="A16" s="19">
        <f>IF('Stammdaten'!$B15="","",10)</f>
        <v/>
      </c>
      <c r="B16" s="52">
        <f>IF('Stammdaten'!$B15="","",'Stammdaten'!$B15)</f>
        <v/>
      </c>
      <c r="C16" s="96">
        <f>IF('Stammdaten'!$B15="","",'Stammdaten'!$C15)</f>
        <v/>
      </c>
      <c r="D16" s="96">
        <f>IF('Stammdaten'!$B15="","",'Stammdaten'!$D15)</f>
        <v/>
      </c>
      <c r="E16" s="97">
        <f>IF('Stammdaten'!$B15="","",'Stammdaten'!$E15)</f>
        <v/>
      </c>
      <c r="F16" s="21">
        <f>IF('Stammdaten'!$B15="","",'Stammdaten'!$H15)</f>
        <v/>
      </c>
      <c r="G16" s="23">
        <f>IF('Stammdaten'!$B15="","",INDEX(Daten!$C$440:$J$464,10,$C$4))</f>
        <v/>
      </c>
      <c r="H16" s="24">
        <f>IF('Stammdaten'!$B15="","",INDEX(Daten!$C$530:$J$554,10,$C$4))</f>
        <v/>
      </c>
      <c r="I16" s="25">
        <f>IF(NOT(ISNUMBER(H16)),"",INDEX(Noten,MAX(1,MIN(COUNT(NGrenze),COUNT(NGrenze)+1-COUNTIF(NGrenze,"&lt;="&amp;H16))))&amp;" – "&amp;INDEX(NText,MAX(1,MIN(COUNT(NGrenze),COUNT(NGrenze)+1-COUNTIF(NGrenze,"&lt;="&amp;H16)))))</f>
        <v/>
      </c>
      <c r="J16" s="97">
        <f>IF('Stammdaten'!$B15="","",INDEX(Daten!$C$500:$J$524,10,$C$4))</f>
        <v/>
      </c>
      <c r="K16" s="24">
        <f>IF('Stammdaten'!$B15="","",INDEX(Daten!$C$560:$J$584,10,$C$4))</f>
        <v/>
      </c>
      <c r="L16" s="25">
        <f>IF(NOT(ISNUMBER(K16)),"",INDEX(Noten,MAX(1,MIN(COUNT(NGrenze),COUNT(NGrenze)+1-COUNTIF(NGrenze,"&lt;="&amp;K16))))&amp;" – "&amp;INDEX(NText,MAX(1,MIN(COUNT(NGrenze),COUNT(NGrenze)+1-COUNTIF(NGrenze,"&lt;="&amp;K16)))))</f>
        <v/>
      </c>
      <c r="M16" s="24">
        <f>IF('Stammdaten'!$B15="","",INDEX(Daten!$C$590:$J$614,10,$C$4))</f>
        <v/>
      </c>
      <c r="N16" s="25">
        <f>IF(NOT(ISNUMBER(M16)),"",INDEX(Noten,MAX(1,MIN(COUNT(NGrenze),COUNT(NGrenze)+1-COUNTIF(NGrenze,"&lt;="&amp;M16))))&amp;" – "&amp;INDEX(NText,MAX(1,MIN(COUNT(NGrenze),COUNT(NGrenze)+1-COUNTIF(NGrenze,"&lt;="&amp;M16)))))</f>
        <v/>
      </c>
      <c r="O16" s="98">
        <f>IF($A16="","",IF($G16=0,"keine Bewertung",IF($G16&lt;SchwelleDB,"wenig Datenbasis","")))&amp;IF(AND($A16&lt;&gt;"",'Stammdaten'!$G15&lt;&gt;"aktiv")," · "&amp;'Stammdaten'!$G15,"")</f>
        <v/>
      </c>
    </row>
    <row r="17" ht="22" customHeight="1">
      <c r="A17" s="19">
        <f>IF('Stammdaten'!$B16="","",11)</f>
        <v/>
      </c>
      <c r="B17" s="52">
        <f>IF('Stammdaten'!$B16="","",'Stammdaten'!$B16)</f>
        <v/>
      </c>
      <c r="C17" s="96">
        <f>IF('Stammdaten'!$B16="","",'Stammdaten'!$C16)</f>
        <v/>
      </c>
      <c r="D17" s="96">
        <f>IF('Stammdaten'!$B16="","",'Stammdaten'!$D16)</f>
        <v/>
      </c>
      <c r="E17" s="97">
        <f>IF('Stammdaten'!$B16="","",'Stammdaten'!$E16)</f>
        <v/>
      </c>
      <c r="F17" s="21">
        <f>IF('Stammdaten'!$B16="","",'Stammdaten'!$H16)</f>
        <v/>
      </c>
      <c r="G17" s="23">
        <f>IF('Stammdaten'!$B16="","",INDEX(Daten!$C$440:$J$464,11,$C$4))</f>
        <v/>
      </c>
      <c r="H17" s="24">
        <f>IF('Stammdaten'!$B16="","",INDEX(Daten!$C$530:$J$554,11,$C$4))</f>
        <v/>
      </c>
      <c r="I17" s="25">
        <f>IF(NOT(ISNUMBER(H17)),"",INDEX(Noten,MAX(1,MIN(COUNT(NGrenze),COUNT(NGrenze)+1-COUNTIF(NGrenze,"&lt;="&amp;H17))))&amp;" – "&amp;INDEX(NText,MAX(1,MIN(COUNT(NGrenze),COUNT(NGrenze)+1-COUNTIF(NGrenze,"&lt;="&amp;H17)))))</f>
        <v/>
      </c>
      <c r="J17" s="97">
        <f>IF('Stammdaten'!$B16="","",INDEX(Daten!$C$500:$J$524,11,$C$4))</f>
        <v/>
      </c>
      <c r="K17" s="24">
        <f>IF('Stammdaten'!$B16="","",INDEX(Daten!$C$560:$J$584,11,$C$4))</f>
        <v/>
      </c>
      <c r="L17" s="25">
        <f>IF(NOT(ISNUMBER(K17)),"",INDEX(Noten,MAX(1,MIN(COUNT(NGrenze),COUNT(NGrenze)+1-COUNTIF(NGrenze,"&lt;="&amp;K17))))&amp;" – "&amp;INDEX(NText,MAX(1,MIN(COUNT(NGrenze),COUNT(NGrenze)+1-COUNTIF(NGrenze,"&lt;="&amp;K17)))))</f>
        <v/>
      </c>
      <c r="M17" s="24">
        <f>IF('Stammdaten'!$B16="","",INDEX(Daten!$C$590:$J$614,11,$C$4))</f>
        <v/>
      </c>
      <c r="N17" s="25">
        <f>IF(NOT(ISNUMBER(M17)),"",INDEX(Noten,MAX(1,MIN(COUNT(NGrenze),COUNT(NGrenze)+1-COUNTIF(NGrenze,"&lt;="&amp;M17))))&amp;" – "&amp;INDEX(NText,MAX(1,MIN(COUNT(NGrenze),COUNT(NGrenze)+1-COUNTIF(NGrenze,"&lt;="&amp;M17)))))</f>
        <v/>
      </c>
      <c r="O17" s="98">
        <f>IF($A17="","",IF($G17=0,"keine Bewertung",IF($G17&lt;SchwelleDB,"wenig Datenbasis","")))&amp;IF(AND($A17&lt;&gt;"",'Stammdaten'!$G16&lt;&gt;"aktiv")," · "&amp;'Stammdaten'!$G16,"")</f>
        <v/>
      </c>
    </row>
    <row r="18" ht="22" customHeight="1">
      <c r="A18" s="19">
        <f>IF('Stammdaten'!$B17="","",12)</f>
        <v/>
      </c>
      <c r="B18" s="52">
        <f>IF('Stammdaten'!$B17="","",'Stammdaten'!$B17)</f>
        <v/>
      </c>
      <c r="C18" s="96">
        <f>IF('Stammdaten'!$B17="","",'Stammdaten'!$C17)</f>
        <v/>
      </c>
      <c r="D18" s="96">
        <f>IF('Stammdaten'!$B17="","",'Stammdaten'!$D17)</f>
        <v/>
      </c>
      <c r="E18" s="97">
        <f>IF('Stammdaten'!$B17="","",'Stammdaten'!$E17)</f>
        <v/>
      </c>
      <c r="F18" s="21">
        <f>IF('Stammdaten'!$B17="","",'Stammdaten'!$H17)</f>
        <v/>
      </c>
      <c r="G18" s="23">
        <f>IF('Stammdaten'!$B17="","",INDEX(Daten!$C$440:$J$464,12,$C$4))</f>
        <v/>
      </c>
      <c r="H18" s="24">
        <f>IF('Stammdaten'!$B17="","",INDEX(Daten!$C$530:$J$554,12,$C$4))</f>
        <v/>
      </c>
      <c r="I18" s="25">
        <f>IF(NOT(ISNUMBER(H18)),"",INDEX(Noten,MAX(1,MIN(COUNT(NGrenze),COUNT(NGrenze)+1-COUNTIF(NGrenze,"&lt;="&amp;H18))))&amp;" – "&amp;INDEX(NText,MAX(1,MIN(COUNT(NGrenze),COUNT(NGrenze)+1-COUNTIF(NGrenze,"&lt;="&amp;H18)))))</f>
        <v/>
      </c>
      <c r="J18" s="97">
        <f>IF('Stammdaten'!$B17="","",INDEX(Daten!$C$500:$J$524,12,$C$4))</f>
        <v/>
      </c>
      <c r="K18" s="24">
        <f>IF('Stammdaten'!$B17="","",INDEX(Daten!$C$560:$J$584,12,$C$4))</f>
        <v/>
      </c>
      <c r="L18" s="25">
        <f>IF(NOT(ISNUMBER(K18)),"",INDEX(Noten,MAX(1,MIN(COUNT(NGrenze),COUNT(NGrenze)+1-COUNTIF(NGrenze,"&lt;="&amp;K18))))&amp;" – "&amp;INDEX(NText,MAX(1,MIN(COUNT(NGrenze),COUNT(NGrenze)+1-COUNTIF(NGrenze,"&lt;="&amp;K18)))))</f>
        <v/>
      </c>
      <c r="M18" s="24">
        <f>IF('Stammdaten'!$B17="","",INDEX(Daten!$C$590:$J$614,12,$C$4))</f>
        <v/>
      </c>
      <c r="N18" s="25">
        <f>IF(NOT(ISNUMBER(M18)),"",INDEX(Noten,MAX(1,MIN(COUNT(NGrenze),COUNT(NGrenze)+1-COUNTIF(NGrenze,"&lt;="&amp;M18))))&amp;" – "&amp;INDEX(NText,MAX(1,MIN(COUNT(NGrenze),COUNT(NGrenze)+1-COUNTIF(NGrenze,"&lt;="&amp;M18)))))</f>
        <v/>
      </c>
      <c r="O18" s="98">
        <f>IF($A18="","",IF($G18=0,"keine Bewertung",IF($G18&lt;SchwelleDB,"wenig Datenbasis","")))&amp;IF(AND($A18&lt;&gt;"",'Stammdaten'!$G17&lt;&gt;"aktiv")," · "&amp;'Stammdaten'!$G17,"")</f>
        <v/>
      </c>
    </row>
    <row r="19" ht="22" customHeight="1">
      <c r="A19" s="19">
        <f>IF('Stammdaten'!$B18="","",13)</f>
        <v/>
      </c>
      <c r="B19" s="52">
        <f>IF('Stammdaten'!$B18="","",'Stammdaten'!$B18)</f>
        <v/>
      </c>
      <c r="C19" s="96">
        <f>IF('Stammdaten'!$B18="","",'Stammdaten'!$C18)</f>
        <v/>
      </c>
      <c r="D19" s="96">
        <f>IF('Stammdaten'!$B18="","",'Stammdaten'!$D18)</f>
        <v/>
      </c>
      <c r="E19" s="97">
        <f>IF('Stammdaten'!$B18="","",'Stammdaten'!$E18)</f>
        <v/>
      </c>
      <c r="F19" s="21">
        <f>IF('Stammdaten'!$B18="","",'Stammdaten'!$H18)</f>
        <v/>
      </c>
      <c r="G19" s="23">
        <f>IF('Stammdaten'!$B18="","",INDEX(Daten!$C$440:$J$464,13,$C$4))</f>
        <v/>
      </c>
      <c r="H19" s="24">
        <f>IF('Stammdaten'!$B18="","",INDEX(Daten!$C$530:$J$554,13,$C$4))</f>
        <v/>
      </c>
      <c r="I19" s="25">
        <f>IF(NOT(ISNUMBER(H19)),"",INDEX(Noten,MAX(1,MIN(COUNT(NGrenze),COUNT(NGrenze)+1-COUNTIF(NGrenze,"&lt;="&amp;H19))))&amp;" – "&amp;INDEX(NText,MAX(1,MIN(COUNT(NGrenze),COUNT(NGrenze)+1-COUNTIF(NGrenze,"&lt;="&amp;H19)))))</f>
        <v/>
      </c>
      <c r="J19" s="97">
        <f>IF('Stammdaten'!$B18="","",INDEX(Daten!$C$500:$J$524,13,$C$4))</f>
        <v/>
      </c>
      <c r="K19" s="24">
        <f>IF('Stammdaten'!$B18="","",INDEX(Daten!$C$560:$J$584,13,$C$4))</f>
        <v/>
      </c>
      <c r="L19" s="25">
        <f>IF(NOT(ISNUMBER(K19)),"",INDEX(Noten,MAX(1,MIN(COUNT(NGrenze),COUNT(NGrenze)+1-COUNTIF(NGrenze,"&lt;="&amp;K19))))&amp;" – "&amp;INDEX(NText,MAX(1,MIN(COUNT(NGrenze),COUNT(NGrenze)+1-COUNTIF(NGrenze,"&lt;="&amp;K19)))))</f>
        <v/>
      </c>
      <c r="M19" s="24">
        <f>IF('Stammdaten'!$B18="","",INDEX(Daten!$C$590:$J$614,13,$C$4))</f>
        <v/>
      </c>
      <c r="N19" s="25">
        <f>IF(NOT(ISNUMBER(M19)),"",INDEX(Noten,MAX(1,MIN(COUNT(NGrenze),COUNT(NGrenze)+1-COUNTIF(NGrenze,"&lt;="&amp;M19))))&amp;" – "&amp;INDEX(NText,MAX(1,MIN(COUNT(NGrenze),COUNT(NGrenze)+1-COUNTIF(NGrenze,"&lt;="&amp;M19)))))</f>
        <v/>
      </c>
      <c r="O19" s="98">
        <f>IF($A19="","",IF($G19=0,"keine Bewertung",IF($G19&lt;SchwelleDB,"wenig Datenbasis","")))&amp;IF(AND($A19&lt;&gt;"",'Stammdaten'!$G18&lt;&gt;"aktiv")," · "&amp;'Stammdaten'!$G18,"")</f>
        <v/>
      </c>
    </row>
    <row r="20" ht="22" customHeight="1">
      <c r="A20" s="19">
        <f>IF('Stammdaten'!$B19="","",14)</f>
        <v/>
      </c>
      <c r="B20" s="52">
        <f>IF('Stammdaten'!$B19="","",'Stammdaten'!$B19)</f>
        <v/>
      </c>
      <c r="C20" s="96">
        <f>IF('Stammdaten'!$B19="","",'Stammdaten'!$C19)</f>
        <v/>
      </c>
      <c r="D20" s="96">
        <f>IF('Stammdaten'!$B19="","",'Stammdaten'!$D19)</f>
        <v/>
      </c>
      <c r="E20" s="97">
        <f>IF('Stammdaten'!$B19="","",'Stammdaten'!$E19)</f>
        <v/>
      </c>
      <c r="F20" s="21">
        <f>IF('Stammdaten'!$B19="","",'Stammdaten'!$H19)</f>
        <v/>
      </c>
      <c r="G20" s="23">
        <f>IF('Stammdaten'!$B19="","",INDEX(Daten!$C$440:$J$464,14,$C$4))</f>
        <v/>
      </c>
      <c r="H20" s="24">
        <f>IF('Stammdaten'!$B19="","",INDEX(Daten!$C$530:$J$554,14,$C$4))</f>
        <v/>
      </c>
      <c r="I20" s="25">
        <f>IF(NOT(ISNUMBER(H20)),"",INDEX(Noten,MAX(1,MIN(COUNT(NGrenze),COUNT(NGrenze)+1-COUNTIF(NGrenze,"&lt;="&amp;H20))))&amp;" – "&amp;INDEX(NText,MAX(1,MIN(COUNT(NGrenze),COUNT(NGrenze)+1-COUNTIF(NGrenze,"&lt;="&amp;H20)))))</f>
        <v/>
      </c>
      <c r="J20" s="97">
        <f>IF('Stammdaten'!$B19="","",INDEX(Daten!$C$500:$J$524,14,$C$4))</f>
        <v/>
      </c>
      <c r="K20" s="24">
        <f>IF('Stammdaten'!$B19="","",INDEX(Daten!$C$560:$J$584,14,$C$4))</f>
        <v/>
      </c>
      <c r="L20" s="25">
        <f>IF(NOT(ISNUMBER(K20)),"",INDEX(Noten,MAX(1,MIN(COUNT(NGrenze),COUNT(NGrenze)+1-COUNTIF(NGrenze,"&lt;="&amp;K20))))&amp;" – "&amp;INDEX(NText,MAX(1,MIN(COUNT(NGrenze),COUNT(NGrenze)+1-COUNTIF(NGrenze,"&lt;="&amp;K20)))))</f>
        <v/>
      </c>
      <c r="M20" s="24">
        <f>IF('Stammdaten'!$B19="","",INDEX(Daten!$C$590:$J$614,14,$C$4))</f>
        <v/>
      </c>
      <c r="N20" s="25">
        <f>IF(NOT(ISNUMBER(M20)),"",INDEX(Noten,MAX(1,MIN(COUNT(NGrenze),COUNT(NGrenze)+1-COUNTIF(NGrenze,"&lt;="&amp;M20))))&amp;" – "&amp;INDEX(NText,MAX(1,MIN(COUNT(NGrenze),COUNT(NGrenze)+1-COUNTIF(NGrenze,"&lt;="&amp;M20)))))</f>
        <v/>
      </c>
      <c r="O20" s="98">
        <f>IF($A20="","",IF($G20=0,"keine Bewertung",IF($G20&lt;SchwelleDB,"wenig Datenbasis","")))&amp;IF(AND($A20&lt;&gt;"",'Stammdaten'!$G19&lt;&gt;"aktiv")," · "&amp;'Stammdaten'!$G19,"")</f>
        <v/>
      </c>
    </row>
    <row r="21" ht="22" customHeight="1">
      <c r="A21" s="19">
        <f>IF('Stammdaten'!$B20="","",15)</f>
        <v/>
      </c>
      <c r="B21" s="52">
        <f>IF('Stammdaten'!$B20="","",'Stammdaten'!$B20)</f>
        <v/>
      </c>
      <c r="C21" s="96">
        <f>IF('Stammdaten'!$B20="","",'Stammdaten'!$C20)</f>
        <v/>
      </c>
      <c r="D21" s="96">
        <f>IF('Stammdaten'!$B20="","",'Stammdaten'!$D20)</f>
        <v/>
      </c>
      <c r="E21" s="97">
        <f>IF('Stammdaten'!$B20="","",'Stammdaten'!$E20)</f>
        <v/>
      </c>
      <c r="F21" s="21">
        <f>IF('Stammdaten'!$B20="","",'Stammdaten'!$H20)</f>
        <v/>
      </c>
      <c r="G21" s="23">
        <f>IF('Stammdaten'!$B20="","",INDEX(Daten!$C$440:$J$464,15,$C$4))</f>
        <v/>
      </c>
      <c r="H21" s="24">
        <f>IF('Stammdaten'!$B20="","",INDEX(Daten!$C$530:$J$554,15,$C$4))</f>
        <v/>
      </c>
      <c r="I21" s="25">
        <f>IF(NOT(ISNUMBER(H21)),"",INDEX(Noten,MAX(1,MIN(COUNT(NGrenze),COUNT(NGrenze)+1-COUNTIF(NGrenze,"&lt;="&amp;H21))))&amp;" – "&amp;INDEX(NText,MAX(1,MIN(COUNT(NGrenze),COUNT(NGrenze)+1-COUNTIF(NGrenze,"&lt;="&amp;H21)))))</f>
        <v/>
      </c>
      <c r="J21" s="97">
        <f>IF('Stammdaten'!$B20="","",INDEX(Daten!$C$500:$J$524,15,$C$4))</f>
        <v/>
      </c>
      <c r="K21" s="24">
        <f>IF('Stammdaten'!$B20="","",INDEX(Daten!$C$560:$J$584,15,$C$4))</f>
        <v/>
      </c>
      <c r="L21" s="25">
        <f>IF(NOT(ISNUMBER(K21)),"",INDEX(Noten,MAX(1,MIN(COUNT(NGrenze),COUNT(NGrenze)+1-COUNTIF(NGrenze,"&lt;="&amp;K21))))&amp;" – "&amp;INDEX(NText,MAX(1,MIN(COUNT(NGrenze),COUNT(NGrenze)+1-COUNTIF(NGrenze,"&lt;="&amp;K21)))))</f>
        <v/>
      </c>
      <c r="M21" s="24">
        <f>IF('Stammdaten'!$B20="","",INDEX(Daten!$C$590:$J$614,15,$C$4))</f>
        <v/>
      </c>
      <c r="N21" s="25">
        <f>IF(NOT(ISNUMBER(M21)),"",INDEX(Noten,MAX(1,MIN(COUNT(NGrenze),COUNT(NGrenze)+1-COUNTIF(NGrenze,"&lt;="&amp;M21))))&amp;" – "&amp;INDEX(NText,MAX(1,MIN(COUNT(NGrenze),COUNT(NGrenze)+1-COUNTIF(NGrenze,"&lt;="&amp;M21)))))</f>
        <v/>
      </c>
      <c r="O21" s="98">
        <f>IF($A21="","",IF($G21=0,"keine Bewertung",IF($G21&lt;SchwelleDB,"wenig Datenbasis","")))&amp;IF(AND($A21&lt;&gt;"",'Stammdaten'!$G20&lt;&gt;"aktiv")," · "&amp;'Stammdaten'!$G20,"")</f>
        <v/>
      </c>
    </row>
    <row r="22" ht="22" customHeight="1">
      <c r="A22" s="19">
        <f>IF('Stammdaten'!$B21="","",16)</f>
        <v/>
      </c>
      <c r="B22" s="52">
        <f>IF('Stammdaten'!$B21="","",'Stammdaten'!$B21)</f>
        <v/>
      </c>
      <c r="C22" s="96">
        <f>IF('Stammdaten'!$B21="","",'Stammdaten'!$C21)</f>
        <v/>
      </c>
      <c r="D22" s="96">
        <f>IF('Stammdaten'!$B21="","",'Stammdaten'!$D21)</f>
        <v/>
      </c>
      <c r="E22" s="97">
        <f>IF('Stammdaten'!$B21="","",'Stammdaten'!$E21)</f>
        <v/>
      </c>
      <c r="F22" s="21">
        <f>IF('Stammdaten'!$B21="","",'Stammdaten'!$H21)</f>
        <v/>
      </c>
      <c r="G22" s="23">
        <f>IF('Stammdaten'!$B21="","",INDEX(Daten!$C$440:$J$464,16,$C$4))</f>
        <v/>
      </c>
      <c r="H22" s="24">
        <f>IF('Stammdaten'!$B21="","",INDEX(Daten!$C$530:$J$554,16,$C$4))</f>
        <v/>
      </c>
      <c r="I22" s="25">
        <f>IF(NOT(ISNUMBER(H22)),"",INDEX(Noten,MAX(1,MIN(COUNT(NGrenze),COUNT(NGrenze)+1-COUNTIF(NGrenze,"&lt;="&amp;H22))))&amp;" – "&amp;INDEX(NText,MAX(1,MIN(COUNT(NGrenze),COUNT(NGrenze)+1-COUNTIF(NGrenze,"&lt;="&amp;H22)))))</f>
        <v/>
      </c>
      <c r="J22" s="97">
        <f>IF('Stammdaten'!$B21="","",INDEX(Daten!$C$500:$J$524,16,$C$4))</f>
        <v/>
      </c>
      <c r="K22" s="24">
        <f>IF('Stammdaten'!$B21="","",INDEX(Daten!$C$560:$J$584,16,$C$4))</f>
        <v/>
      </c>
      <c r="L22" s="25">
        <f>IF(NOT(ISNUMBER(K22)),"",INDEX(Noten,MAX(1,MIN(COUNT(NGrenze),COUNT(NGrenze)+1-COUNTIF(NGrenze,"&lt;="&amp;K22))))&amp;" – "&amp;INDEX(NText,MAX(1,MIN(COUNT(NGrenze),COUNT(NGrenze)+1-COUNTIF(NGrenze,"&lt;="&amp;K22)))))</f>
        <v/>
      </c>
      <c r="M22" s="24">
        <f>IF('Stammdaten'!$B21="","",INDEX(Daten!$C$590:$J$614,16,$C$4))</f>
        <v/>
      </c>
      <c r="N22" s="25">
        <f>IF(NOT(ISNUMBER(M22)),"",INDEX(Noten,MAX(1,MIN(COUNT(NGrenze),COUNT(NGrenze)+1-COUNTIF(NGrenze,"&lt;="&amp;M22))))&amp;" – "&amp;INDEX(NText,MAX(1,MIN(COUNT(NGrenze),COUNT(NGrenze)+1-COUNTIF(NGrenze,"&lt;="&amp;M22)))))</f>
        <v/>
      </c>
      <c r="O22" s="98">
        <f>IF($A22="","",IF($G22=0,"keine Bewertung",IF($G22&lt;SchwelleDB,"wenig Datenbasis","")))&amp;IF(AND($A22&lt;&gt;"",'Stammdaten'!$G21&lt;&gt;"aktiv")," · "&amp;'Stammdaten'!$G21,"")</f>
        <v/>
      </c>
    </row>
    <row r="23" ht="22" customHeight="1">
      <c r="A23" s="19">
        <f>IF('Stammdaten'!$B22="","",17)</f>
        <v/>
      </c>
      <c r="B23" s="52">
        <f>IF('Stammdaten'!$B22="","",'Stammdaten'!$B22)</f>
        <v/>
      </c>
      <c r="C23" s="96">
        <f>IF('Stammdaten'!$B22="","",'Stammdaten'!$C22)</f>
        <v/>
      </c>
      <c r="D23" s="96">
        <f>IF('Stammdaten'!$B22="","",'Stammdaten'!$D22)</f>
        <v/>
      </c>
      <c r="E23" s="97">
        <f>IF('Stammdaten'!$B22="","",'Stammdaten'!$E22)</f>
        <v/>
      </c>
      <c r="F23" s="21">
        <f>IF('Stammdaten'!$B22="","",'Stammdaten'!$H22)</f>
        <v/>
      </c>
      <c r="G23" s="23">
        <f>IF('Stammdaten'!$B22="","",INDEX(Daten!$C$440:$J$464,17,$C$4))</f>
        <v/>
      </c>
      <c r="H23" s="24">
        <f>IF('Stammdaten'!$B22="","",INDEX(Daten!$C$530:$J$554,17,$C$4))</f>
        <v/>
      </c>
      <c r="I23" s="25">
        <f>IF(NOT(ISNUMBER(H23)),"",INDEX(Noten,MAX(1,MIN(COUNT(NGrenze),COUNT(NGrenze)+1-COUNTIF(NGrenze,"&lt;="&amp;H23))))&amp;" – "&amp;INDEX(NText,MAX(1,MIN(COUNT(NGrenze),COUNT(NGrenze)+1-COUNTIF(NGrenze,"&lt;="&amp;H23)))))</f>
        <v/>
      </c>
      <c r="J23" s="97">
        <f>IF('Stammdaten'!$B22="","",INDEX(Daten!$C$500:$J$524,17,$C$4))</f>
        <v/>
      </c>
      <c r="K23" s="24">
        <f>IF('Stammdaten'!$B22="","",INDEX(Daten!$C$560:$J$584,17,$C$4))</f>
        <v/>
      </c>
      <c r="L23" s="25">
        <f>IF(NOT(ISNUMBER(K23)),"",INDEX(Noten,MAX(1,MIN(COUNT(NGrenze),COUNT(NGrenze)+1-COUNTIF(NGrenze,"&lt;="&amp;K23))))&amp;" – "&amp;INDEX(NText,MAX(1,MIN(COUNT(NGrenze),COUNT(NGrenze)+1-COUNTIF(NGrenze,"&lt;="&amp;K23)))))</f>
        <v/>
      </c>
      <c r="M23" s="24">
        <f>IF('Stammdaten'!$B22="","",INDEX(Daten!$C$590:$J$614,17,$C$4))</f>
        <v/>
      </c>
      <c r="N23" s="25">
        <f>IF(NOT(ISNUMBER(M23)),"",INDEX(Noten,MAX(1,MIN(COUNT(NGrenze),COUNT(NGrenze)+1-COUNTIF(NGrenze,"&lt;="&amp;M23))))&amp;" – "&amp;INDEX(NText,MAX(1,MIN(COUNT(NGrenze),COUNT(NGrenze)+1-COUNTIF(NGrenze,"&lt;="&amp;M23)))))</f>
        <v/>
      </c>
      <c r="O23" s="98">
        <f>IF($A23="","",IF($G23=0,"keine Bewertung",IF($G23&lt;SchwelleDB,"wenig Datenbasis","")))&amp;IF(AND($A23&lt;&gt;"",'Stammdaten'!$G22&lt;&gt;"aktiv")," · "&amp;'Stammdaten'!$G22,"")</f>
        <v/>
      </c>
    </row>
    <row r="24" ht="22" customHeight="1">
      <c r="A24" s="19">
        <f>IF('Stammdaten'!$B23="","",18)</f>
        <v/>
      </c>
      <c r="B24" s="52">
        <f>IF('Stammdaten'!$B23="","",'Stammdaten'!$B23)</f>
        <v/>
      </c>
      <c r="C24" s="96">
        <f>IF('Stammdaten'!$B23="","",'Stammdaten'!$C23)</f>
        <v/>
      </c>
      <c r="D24" s="96">
        <f>IF('Stammdaten'!$B23="","",'Stammdaten'!$D23)</f>
        <v/>
      </c>
      <c r="E24" s="97">
        <f>IF('Stammdaten'!$B23="","",'Stammdaten'!$E23)</f>
        <v/>
      </c>
      <c r="F24" s="21">
        <f>IF('Stammdaten'!$B23="","",'Stammdaten'!$H23)</f>
        <v/>
      </c>
      <c r="G24" s="23">
        <f>IF('Stammdaten'!$B23="","",INDEX(Daten!$C$440:$J$464,18,$C$4))</f>
        <v/>
      </c>
      <c r="H24" s="24">
        <f>IF('Stammdaten'!$B23="","",INDEX(Daten!$C$530:$J$554,18,$C$4))</f>
        <v/>
      </c>
      <c r="I24" s="25">
        <f>IF(NOT(ISNUMBER(H24)),"",INDEX(Noten,MAX(1,MIN(COUNT(NGrenze),COUNT(NGrenze)+1-COUNTIF(NGrenze,"&lt;="&amp;H24))))&amp;" – "&amp;INDEX(NText,MAX(1,MIN(COUNT(NGrenze),COUNT(NGrenze)+1-COUNTIF(NGrenze,"&lt;="&amp;H24)))))</f>
        <v/>
      </c>
      <c r="J24" s="97">
        <f>IF('Stammdaten'!$B23="","",INDEX(Daten!$C$500:$J$524,18,$C$4))</f>
        <v/>
      </c>
      <c r="K24" s="24">
        <f>IF('Stammdaten'!$B23="","",INDEX(Daten!$C$560:$J$584,18,$C$4))</f>
        <v/>
      </c>
      <c r="L24" s="25">
        <f>IF(NOT(ISNUMBER(K24)),"",INDEX(Noten,MAX(1,MIN(COUNT(NGrenze),COUNT(NGrenze)+1-COUNTIF(NGrenze,"&lt;="&amp;K24))))&amp;" – "&amp;INDEX(NText,MAX(1,MIN(COUNT(NGrenze),COUNT(NGrenze)+1-COUNTIF(NGrenze,"&lt;="&amp;K24)))))</f>
        <v/>
      </c>
      <c r="M24" s="24">
        <f>IF('Stammdaten'!$B23="","",INDEX(Daten!$C$590:$J$614,18,$C$4))</f>
        <v/>
      </c>
      <c r="N24" s="25">
        <f>IF(NOT(ISNUMBER(M24)),"",INDEX(Noten,MAX(1,MIN(COUNT(NGrenze),COUNT(NGrenze)+1-COUNTIF(NGrenze,"&lt;="&amp;M24))))&amp;" – "&amp;INDEX(NText,MAX(1,MIN(COUNT(NGrenze),COUNT(NGrenze)+1-COUNTIF(NGrenze,"&lt;="&amp;M24)))))</f>
        <v/>
      </c>
      <c r="O24" s="98">
        <f>IF($A24="","",IF($G24=0,"keine Bewertung",IF($G24&lt;SchwelleDB,"wenig Datenbasis","")))&amp;IF(AND($A24&lt;&gt;"",'Stammdaten'!$G23&lt;&gt;"aktiv")," · "&amp;'Stammdaten'!$G23,"")</f>
        <v/>
      </c>
    </row>
    <row r="25" ht="22" customHeight="1">
      <c r="A25" s="19">
        <f>IF('Stammdaten'!$B24="","",19)</f>
        <v/>
      </c>
      <c r="B25" s="52">
        <f>IF('Stammdaten'!$B24="","",'Stammdaten'!$B24)</f>
        <v/>
      </c>
      <c r="C25" s="96">
        <f>IF('Stammdaten'!$B24="","",'Stammdaten'!$C24)</f>
        <v/>
      </c>
      <c r="D25" s="96">
        <f>IF('Stammdaten'!$B24="","",'Stammdaten'!$D24)</f>
        <v/>
      </c>
      <c r="E25" s="97">
        <f>IF('Stammdaten'!$B24="","",'Stammdaten'!$E24)</f>
        <v/>
      </c>
      <c r="F25" s="21">
        <f>IF('Stammdaten'!$B24="","",'Stammdaten'!$H24)</f>
        <v/>
      </c>
      <c r="G25" s="23">
        <f>IF('Stammdaten'!$B24="","",INDEX(Daten!$C$440:$J$464,19,$C$4))</f>
        <v/>
      </c>
      <c r="H25" s="24">
        <f>IF('Stammdaten'!$B24="","",INDEX(Daten!$C$530:$J$554,19,$C$4))</f>
        <v/>
      </c>
      <c r="I25" s="25">
        <f>IF(NOT(ISNUMBER(H25)),"",INDEX(Noten,MAX(1,MIN(COUNT(NGrenze),COUNT(NGrenze)+1-COUNTIF(NGrenze,"&lt;="&amp;H25))))&amp;" – "&amp;INDEX(NText,MAX(1,MIN(COUNT(NGrenze),COUNT(NGrenze)+1-COUNTIF(NGrenze,"&lt;="&amp;H25)))))</f>
        <v/>
      </c>
      <c r="J25" s="97">
        <f>IF('Stammdaten'!$B24="","",INDEX(Daten!$C$500:$J$524,19,$C$4))</f>
        <v/>
      </c>
      <c r="K25" s="24">
        <f>IF('Stammdaten'!$B24="","",INDEX(Daten!$C$560:$J$584,19,$C$4))</f>
        <v/>
      </c>
      <c r="L25" s="25">
        <f>IF(NOT(ISNUMBER(K25)),"",INDEX(Noten,MAX(1,MIN(COUNT(NGrenze),COUNT(NGrenze)+1-COUNTIF(NGrenze,"&lt;="&amp;K25))))&amp;" – "&amp;INDEX(NText,MAX(1,MIN(COUNT(NGrenze),COUNT(NGrenze)+1-COUNTIF(NGrenze,"&lt;="&amp;K25)))))</f>
        <v/>
      </c>
      <c r="M25" s="24">
        <f>IF('Stammdaten'!$B24="","",INDEX(Daten!$C$590:$J$614,19,$C$4))</f>
        <v/>
      </c>
      <c r="N25" s="25">
        <f>IF(NOT(ISNUMBER(M25)),"",INDEX(Noten,MAX(1,MIN(COUNT(NGrenze),COUNT(NGrenze)+1-COUNTIF(NGrenze,"&lt;="&amp;M25))))&amp;" – "&amp;INDEX(NText,MAX(1,MIN(COUNT(NGrenze),COUNT(NGrenze)+1-COUNTIF(NGrenze,"&lt;="&amp;M25)))))</f>
        <v/>
      </c>
      <c r="O25" s="98">
        <f>IF($A25="","",IF($G25=0,"keine Bewertung",IF($G25&lt;SchwelleDB,"wenig Datenbasis","")))&amp;IF(AND($A25&lt;&gt;"",'Stammdaten'!$G24&lt;&gt;"aktiv")," · "&amp;'Stammdaten'!$G24,"")</f>
        <v/>
      </c>
    </row>
    <row r="26" ht="22" customHeight="1">
      <c r="A26" s="19">
        <f>IF('Stammdaten'!$B25="","",20)</f>
        <v/>
      </c>
      <c r="B26" s="52">
        <f>IF('Stammdaten'!$B25="","",'Stammdaten'!$B25)</f>
        <v/>
      </c>
      <c r="C26" s="96">
        <f>IF('Stammdaten'!$B25="","",'Stammdaten'!$C25)</f>
        <v/>
      </c>
      <c r="D26" s="96">
        <f>IF('Stammdaten'!$B25="","",'Stammdaten'!$D25)</f>
        <v/>
      </c>
      <c r="E26" s="97">
        <f>IF('Stammdaten'!$B25="","",'Stammdaten'!$E25)</f>
        <v/>
      </c>
      <c r="F26" s="21">
        <f>IF('Stammdaten'!$B25="","",'Stammdaten'!$H25)</f>
        <v/>
      </c>
      <c r="G26" s="23">
        <f>IF('Stammdaten'!$B25="","",INDEX(Daten!$C$440:$J$464,20,$C$4))</f>
        <v/>
      </c>
      <c r="H26" s="24">
        <f>IF('Stammdaten'!$B25="","",INDEX(Daten!$C$530:$J$554,20,$C$4))</f>
        <v/>
      </c>
      <c r="I26" s="25">
        <f>IF(NOT(ISNUMBER(H26)),"",INDEX(Noten,MAX(1,MIN(COUNT(NGrenze),COUNT(NGrenze)+1-COUNTIF(NGrenze,"&lt;="&amp;H26))))&amp;" – "&amp;INDEX(NText,MAX(1,MIN(COUNT(NGrenze),COUNT(NGrenze)+1-COUNTIF(NGrenze,"&lt;="&amp;H26)))))</f>
        <v/>
      </c>
      <c r="J26" s="97">
        <f>IF('Stammdaten'!$B25="","",INDEX(Daten!$C$500:$J$524,20,$C$4))</f>
        <v/>
      </c>
      <c r="K26" s="24">
        <f>IF('Stammdaten'!$B25="","",INDEX(Daten!$C$560:$J$584,20,$C$4))</f>
        <v/>
      </c>
      <c r="L26" s="25">
        <f>IF(NOT(ISNUMBER(K26)),"",INDEX(Noten,MAX(1,MIN(COUNT(NGrenze),COUNT(NGrenze)+1-COUNTIF(NGrenze,"&lt;="&amp;K26))))&amp;" – "&amp;INDEX(NText,MAX(1,MIN(COUNT(NGrenze),COUNT(NGrenze)+1-COUNTIF(NGrenze,"&lt;="&amp;K26)))))</f>
        <v/>
      </c>
      <c r="M26" s="24">
        <f>IF('Stammdaten'!$B25="","",INDEX(Daten!$C$590:$J$614,20,$C$4))</f>
        <v/>
      </c>
      <c r="N26" s="25">
        <f>IF(NOT(ISNUMBER(M26)),"",INDEX(Noten,MAX(1,MIN(COUNT(NGrenze),COUNT(NGrenze)+1-COUNTIF(NGrenze,"&lt;="&amp;M26))))&amp;" – "&amp;INDEX(NText,MAX(1,MIN(COUNT(NGrenze),COUNT(NGrenze)+1-COUNTIF(NGrenze,"&lt;="&amp;M26)))))</f>
        <v/>
      </c>
      <c r="O26" s="98">
        <f>IF($A26="","",IF($G26=0,"keine Bewertung",IF($G26&lt;SchwelleDB,"wenig Datenbasis","")))&amp;IF(AND($A26&lt;&gt;"",'Stammdaten'!$G25&lt;&gt;"aktiv")," · "&amp;'Stammdaten'!$G25,"")</f>
        <v/>
      </c>
    </row>
    <row r="27" ht="22" customHeight="1">
      <c r="A27" s="19">
        <f>IF('Stammdaten'!$B26="","",21)</f>
        <v/>
      </c>
      <c r="B27" s="52">
        <f>IF('Stammdaten'!$B26="","",'Stammdaten'!$B26)</f>
        <v/>
      </c>
      <c r="C27" s="96">
        <f>IF('Stammdaten'!$B26="","",'Stammdaten'!$C26)</f>
        <v/>
      </c>
      <c r="D27" s="96">
        <f>IF('Stammdaten'!$B26="","",'Stammdaten'!$D26)</f>
        <v/>
      </c>
      <c r="E27" s="97">
        <f>IF('Stammdaten'!$B26="","",'Stammdaten'!$E26)</f>
        <v/>
      </c>
      <c r="F27" s="21">
        <f>IF('Stammdaten'!$B26="","",'Stammdaten'!$H26)</f>
        <v/>
      </c>
      <c r="G27" s="23">
        <f>IF('Stammdaten'!$B26="","",INDEX(Daten!$C$440:$J$464,21,$C$4))</f>
        <v/>
      </c>
      <c r="H27" s="24">
        <f>IF('Stammdaten'!$B26="","",INDEX(Daten!$C$530:$J$554,21,$C$4))</f>
        <v/>
      </c>
      <c r="I27" s="25">
        <f>IF(NOT(ISNUMBER(H27)),"",INDEX(Noten,MAX(1,MIN(COUNT(NGrenze),COUNT(NGrenze)+1-COUNTIF(NGrenze,"&lt;="&amp;H27))))&amp;" – "&amp;INDEX(NText,MAX(1,MIN(COUNT(NGrenze),COUNT(NGrenze)+1-COUNTIF(NGrenze,"&lt;="&amp;H27)))))</f>
        <v/>
      </c>
      <c r="J27" s="97">
        <f>IF('Stammdaten'!$B26="","",INDEX(Daten!$C$500:$J$524,21,$C$4))</f>
        <v/>
      </c>
      <c r="K27" s="24">
        <f>IF('Stammdaten'!$B26="","",INDEX(Daten!$C$560:$J$584,21,$C$4))</f>
        <v/>
      </c>
      <c r="L27" s="25">
        <f>IF(NOT(ISNUMBER(K27)),"",INDEX(Noten,MAX(1,MIN(COUNT(NGrenze),COUNT(NGrenze)+1-COUNTIF(NGrenze,"&lt;="&amp;K27))))&amp;" – "&amp;INDEX(NText,MAX(1,MIN(COUNT(NGrenze),COUNT(NGrenze)+1-COUNTIF(NGrenze,"&lt;="&amp;K27)))))</f>
        <v/>
      </c>
      <c r="M27" s="24">
        <f>IF('Stammdaten'!$B26="","",INDEX(Daten!$C$590:$J$614,21,$C$4))</f>
        <v/>
      </c>
      <c r="N27" s="25">
        <f>IF(NOT(ISNUMBER(M27)),"",INDEX(Noten,MAX(1,MIN(COUNT(NGrenze),COUNT(NGrenze)+1-COUNTIF(NGrenze,"&lt;="&amp;M27))))&amp;" – "&amp;INDEX(NText,MAX(1,MIN(COUNT(NGrenze),COUNT(NGrenze)+1-COUNTIF(NGrenze,"&lt;="&amp;M27)))))</f>
        <v/>
      </c>
      <c r="O27" s="98">
        <f>IF($A27="","",IF($G27=0,"keine Bewertung",IF($G27&lt;SchwelleDB,"wenig Datenbasis","")))&amp;IF(AND($A27&lt;&gt;"",'Stammdaten'!$G26&lt;&gt;"aktiv")," · "&amp;'Stammdaten'!$G26,"")</f>
        <v/>
      </c>
    </row>
    <row r="28" ht="22" customHeight="1">
      <c r="A28" s="19">
        <f>IF('Stammdaten'!$B27="","",22)</f>
        <v/>
      </c>
      <c r="B28" s="52">
        <f>IF('Stammdaten'!$B27="","",'Stammdaten'!$B27)</f>
        <v/>
      </c>
      <c r="C28" s="96">
        <f>IF('Stammdaten'!$B27="","",'Stammdaten'!$C27)</f>
        <v/>
      </c>
      <c r="D28" s="96">
        <f>IF('Stammdaten'!$B27="","",'Stammdaten'!$D27)</f>
        <v/>
      </c>
      <c r="E28" s="97">
        <f>IF('Stammdaten'!$B27="","",'Stammdaten'!$E27)</f>
        <v/>
      </c>
      <c r="F28" s="21">
        <f>IF('Stammdaten'!$B27="","",'Stammdaten'!$H27)</f>
        <v/>
      </c>
      <c r="G28" s="23">
        <f>IF('Stammdaten'!$B27="","",INDEX(Daten!$C$440:$J$464,22,$C$4))</f>
        <v/>
      </c>
      <c r="H28" s="24">
        <f>IF('Stammdaten'!$B27="","",INDEX(Daten!$C$530:$J$554,22,$C$4))</f>
        <v/>
      </c>
      <c r="I28" s="25">
        <f>IF(NOT(ISNUMBER(H28)),"",INDEX(Noten,MAX(1,MIN(COUNT(NGrenze),COUNT(NGrenze)+1-COUNTIF(NGrenze,"&lt;="&amp;H28))))&amp;" – "&amp;INDEX(NText,MAX(1,MIN(COUNT(NGrenze),COUNT(NGrenze)+1-COUNTIF(NGrenze,"&lt;="&amp;H28)))))</f>
        <v/>
      </c>
      <c r="J28" s="97">
        <f>IF('Stammdaten'!$B27="","",INDEX(Daten!$C$500:$J$524,22,$C$4))</f>
        <v/>
      </c>
      <c r="K28" s="24">
        <f>IF('Stammdaten'!$B27="","",INDEX(Daten!$C$560:$J$584,22,$C$4))</f>
        <v/>
      </c>
      <c r="L28" s="25">
        <f>IF(NOT(ISNUMBER(K28)),"",INDEX(Noten,MAX(1,MIN(COUNT(NGrenze),COUNT(NGrenze)+1-COUNTIF(NGrenze,"&lt;="&amp;K28))))&amp;" – "&amp;INDEX(NText,MAX(1,MIN(COUNT(NGrenze),COUNT(NGrenze)+1-COUNTIF(NGrenze,"&lt;="&amp;K28)))))</f>
        <v/>
      </c>
      <c r="M28" s="24">
        <f>IF('Stammdaten'!$B27="","",INDEX(Daten!$C$590:$J$614,22,$C$4))</f>
        <v/>
      </c>
      <c r="N28" s="25">
        <f>IF(NOT(ISNUMBER(M28)),"",INDEX(Noten,MAX(1,MIN(COUNT(NGrenze),COUNT(NGrenze)+1-COUNTIF(NGrenze,"&lt;="&amp;M28))))&amp;" – "&amp;INDEX(NText,MAX(1,MIN(COUNT(NGrenze),COUNT(NGrenze)+1-COUNTIF(NGrenze,"&lt;="&amp;M28)))))</f>
        <v/>
      </c>
      <c r="O28" s="98">
        <f>IF($A28="","",IF($G28=0,"keine Bewertung",IF($G28&lt;SchwelleDB,"wenig Datenbasis","")))&amp;IF(AND($A28&lt;&gt;"",'Stammdaten'!$G27&lt;&gt;"aktiv")," · "&amp;'Stammdaten'!$G27,"")</f>
        <v/>
      </c>
    </row>
    <row r="29" ht="22" customHeight="1">
      <c r="A29" s="19">
        <f>IF('Stammdaten'!$B28="","",23)</f>
        <v/>
      </c>
      <c r="B29" s="52">
        <f>IF('Stammdaten'!$B28="","",'Stammdaten'!$B28)</f>
        <v/>
      </c>
      <c r="C29" s="96">
        <f>IF('Stammdaten'!$B28="","",'Stammdaten'!$C28)</f>
        <v/>
      </c>
      <c r="D29" s="96">
        <f>IF('Stammdaten'!$B28="","",'Stammdaten'!$D28)</f>
        <v/>
      </c>
      <c r="E29" s="97">
        <f>IF('Stammdaten'!$B28="","",'Stammdaten'!$E28)</f>
        <v/>
      </c>
      <c r="F29" s="21">
        <f>IF('Stammdaten'!$B28="","",'Stammdaten'!$H28)</f>
        <v/>
      </c>
      <c r="G29" s="23">
        <f>IF('Stammdaten'!$B28="","",INDEX(Daten!$C$440:$J$464,23,$C$4))</f>
        <v/>
      </c>
      <c r="H29" s="24">
        <f>IF('Stammdaten'!$B28="","",INDEX(Daten!$C$530:$J$554,23,$C$4))</f>
        <v/>
      </c>
      <c r="I29" s="25">
        <f>IF(NOT(ISNUMBER(H29)),"",INDEX(Noten,MAX(1,MIN(COUNT(NGrenze),COUNT(NGrenze)+1-COUNTIF(NGrenze,"&lt;="&amp;H29))))&amp;" – "&amp;INDEX(NText,MAX(1,MIN(COUNT(NGrenze),COUNT(NGrenze)+1-COUNTIF(NGrenze,"&lt;="&amp;H29)))))</f>
        <v/>
      </c>
      <c r="J29" s="97">
        <f>IF('Stammdaten'!$B28="","",INDEX(Daten!$C$500:$J$524,23,$C$4))</f>
        <v/>
      </c>
      <c r="K29" s="24">
        <f>IF('Stammdaten'!$B28="","",INDEX(Daten!$C$560:$J$584,23,$C$4))</f>
        <v/>
      </c>
      <c r="L29" s="25">
        <f>IF(NOT(ISNUMBER(K29)),"",INDEX(Noten,MAX(1,MIN(COUNT(NGrenze),COUNT(NGrenze)+1-COUNTIF(NGrenze,"&lt;="&amp;K29))))&amp;" – "&amp;INDEX(NText,MAX(1,MIN(COUNT(NGrenze),COUNT(NGrenze)+1-COUNTIF(NGrenze,"&lt;="&amp;K29)))))</f>
        <v/>
      </c>
      <c r="M29" s="24">
        <f>IF('Stammdaten'!$B28="","",INDEX(Daten!$C$590:$J$614,23,$C$4))</f>
        <v/>
      </c>
      <c r="N29" s="25">
        <f>IF(NOT(ISNUMBER(M29)),"",INDEX(Noten,MAX(1,MIN(COUNT(NGrenze),COUNT(NGrenze)+1-COUNTIF(NGrenze,"&lt;="&amp;M29))))&amp;" – "&amp;INDEX(NText,MAX(1,MIN(COUNT(NGrenze),COUNT(NGrenze)+1-COUNTIF(NGrenze,"&lt;="&amp;M29)))))</f>
        <v/>
      </c>
      <c r="O29" s="98">
        <f>IF($A29="","",IF($G29=0,"keine Bewertung",IF($G29&lt;SchwelleDB,"wenig Datenbasis","")))&amp;IF(AND($A29&lt;&gt;"",'Stammdaten'!$G28&lt;&gt;"aktiv")," · "&amp;'Stammdaten'!$G28,"")</f>
        <v/>
      </c>
    </row>
    <row r="30" ht="22" customHeight="1">
      <c r="A30" s="19">
        <f>IF('Stammdaten'!$B29="","",24)</f>
        <v/>
      </c>
      <c r="B30" s="52">
        <f>IF('Stammdaten'!$B29="","",'Stammdaten'!$B29)</f>
        <v/>
      </c>
      <c r="C30" s="96">
        <f>IF('Stammdaten'!$B29="","",'Stammdaten'!$C29)</f>
        <v/>
      </c>
      <c r="D30" s="96">
        <f>IF('Stammdaten'!$B29="","",'Stammdaten'!$D29)</f>
        <v/>
      </c>
      <c r="E30" s="97">
        <f>IF('Stammdaten'!$B29="","",'Stammdaten'!$E29)</f>
        <v/>
      </c>
      <c r="F30" s="21">
        <f>IF('Stammdaten'!$B29="","",'Stammdaten'!$H29)</f>
        <v/>
      </c>
      <c r="G30" s="23">
        <f>IF('Stammdaten'!$B29="","",INDEX(Daten!$C$440:$J$464,24,$C$4))</f>
        <v/>
      </c>
      <c r="H30" s="24">
        <f>IF('Stammdaten'!$B29="","",INDEX(Daten!$C$530:$J$554,24,$C$4))</f>
        <v/>
      </c>
      <c r="I30" s="25">
        <f>IF(NOT(ISNUMBER(H30)),"",INDEX(Noten,MAX(1,MIN(COUNT(NGrenze),COUNT(NGrenze)+1-COUNTIF(NGrenze,"&lt;="&amp;H30))))&amp;" – "&amp;INDEX(NText,MAX(1,MIN(COUNT(NGrenze),COUNT(NGrenze)+1-COUNTIF(NGrenze,"&lt;="&amp;H30)))))</f>
        <v/>
      </c>
      <c r="J30" s="97">
        <f>IF('Stammdaten'!$B29="","",INDEX(Daten!$C$500:$J$524,24,$C$4))</f>
        <v/>
      </c>
      <c r="K30" s="24">
        <f>IF('Stammdaten'!$B29="","",INDEX(Daten!$C$560:$J$584,24,$C$4))</f>
        <v/>
      </c>
      <c r="L30" s="25">
        <f>IF(NOT(ISNUMBER(K30)),"",INDEX(Noten,MAX(1,MIN(COUNT(NGrenze),COUNT(NGrenze)+1-COUNTIF(NGrenze,"&lt;="&amp;K30))))&amp;" – "&amp;INDEX(NText,MAX(1,MIN(COUNT(NGrenze),COUNT(NGrenze)+1-COUNTIF(NGrenze,"&lt;="&amp;K30)))))</f>
        <v/>
      </c>
      <c r="M30" s="24">
        <f>IF('Stammdaten'!$B29="","",INDEX(Daten!$C$590:$J$614,24,$C$4))</f>
        <v/>
      </c>
      <c r="N30" s="25">
        <f>IF(NOT(ISNUMBER(M30)),"",INDEX(Noten,MAX(1,MIN(COUNT(NGrenze),COUNT(NGrenze)+1-COUNTIF(NGrenze,"&lt;="&amp;M30))))&amp;" – "&amp;INDEX(NText,MAX(1,MIN(COUNT(NGrenze),COUNT(NGrenze)+1-COUNTIF(NGrenze,"&lt;="&amp;M30)))))</f>
        <v/>
      </c>
      <c r="O30" s="98">
        <f>IF($A30="","",IF($G30=0,"keine Bewertung",IF($G30&lt;SchwelleDB,"wenig Datenbasis","")))&amp;IF(AND($A30&lt;&gt;"",'Stammdaten'!$G29&lt;&gt;"aktiv")," · "&amp;'Stammdaten'!$G29,"")</f>
        <v/>
      </c>
    </row>
    <row r="31" ht="22" customHeight="1">
      <c r="A31" s="19">
        <f>IF('Stammdaten'!$B30="","",25)</f>
        <v/>
      </c>
      <c r="B31" s="52">
        <f>IF('Stammdaten'!$B30="","",'Stammdaten'!$B30)</f>
        <v/>
      </c>
      <c r="C31" s="96">
        <f>IF('Stammdaten'!$B30="","",'Stammdaten'!$C30)</f>
        <v/>
      </c>
      <c r="D31" s="96">
        <f>IF('Stammdaten'!$B30="","",'Stammdaten'!$D30)</f>
        <v/>
      </c>
      <c r="E31" s="97">
        <f>IF('Stammdaten'!$B30="","",'Stammdaten'!$E30)</f>
        <v/>
      </c>
      <c r="F31" s="21">
        <f>IF('Stammdaten'!$B30="","",'Stammdaten'!$H30)</f>
        <v/>
      </c>
      <c r="G31" s="23">
        <f>IF('Stammdaten'!$B30="","",INDEX(Daten!$C$440:$J$464,25,$C$4))</f>
        <v/>
      </c>
      <c r="H31" s="24">
        <f>IF('Stammdaten'!$B30="","",INDEX(Daten!$C$530:$J$554,25,$C$4))</f>
        <v/>
      </c>
      <c r="I31" s="25">
        <f>IF(NOT(ISNUMBER(H31)),"",INDEX(Noten,MAX(1,MIN(COUNT(NGrenze),COUNT(NGrenze)+1-COUNTIF(NGrenze,"&lt;="&amp;H31))))&amp;" – "&amp;INDEX(NText,MAX(1,MIN(COUNT(NGrenze),COUNT(NGrenze)+1-COUNTIF(NGrenze,"&lt;="&amp;H31)))))</f>
        <v/>
      </c>
      <c r="J31" s="97">
        <f>IF('Stammdaten'!$B30="","",INDEX(Daten!$C$500:$J$524,25,$C$4))</f>
        <v/>
      </c>
      <c r="K31" s="24">
        <f>IF('Stammdaten'!$B30="","",INDEX(Daten!$C$560:$J$584,25,$C$4))</f>
        <v/>
      </c>
      <c r="L31" s="25">
        <f>IF(NOT(ISNUMBER(K31)),"",INDEX(Noten,MAX(1,MIN(COUNT(NGrenze),COUNT(NGrenze)+1-COUNTIF(NGrenze,"&lt;="&amp;K31))))&amp;" – "&amp;INDEX(NText,MAX(1,MIN(COUNT(NGrenze),COUNT(NGrenze)+1-COUNTIF(NGrenze,"&lt;="&amp;K31)))))</f>
        <v/>
      </c>
      <c r="M31" s="24">
        <f>IF('Stammdaten'!$B30="","",INDEX(Daten!$C$590:$J$614,25,$C$4))</f>
        <v/>
      </c>
      <c r="N31" s="25">
        <f>IF(NOT(ISNUMBER(M31)),"",INDEX(Noten,MAX(1,MIN(COUNT(NGrenze),COUNT(NGrenze)+1-COUNTIF(NGrenze,"&lt;="&amp;M31))))&amp;" – "&amp;INDEX(NText,MAX(1,MIN(COUNT(NGrenze),COUNT(NGrenze)+1-COUNTIF(NGrenze,"&lt;="&amp;M31)))))</f>
        <v/>
      </c>
      <c r="O31" s="98">
        <f>IF($A31="","",IF($G31=0,"keine Bewertung",IF($G31&lt;SchwelleDB,"wenig Datenbasis","")))&amp;IF(AND($A31&lt;&gt;"",'Stammdaten'!$G30&lt;&gt;"aktiv")," · "&amp;'Stammdaten'!$G30,"")</f>
        <v/>
      </c>
    </row>
    <row r="32" ht="10" customHeight="1"/>
    <row r="33" ht="24" customHeight="1">
      <c r="A33" s="26" t="inlineStr">
        <is>
          <t xml:space="preserve"> Farblegende</t>
        </is>
      </c>
      <c r="H33" s="29">
        <f>INDEX(Noten,1)&amp;" – "&amp;INDEX(NText,1)&amp;" (ab "&amp;TEXT(INDEX(NGrenze,1)*100,"0")&amp;" %)"</f>
        <v/>
      </c>
      <c r="I33" s="30">
        <f>INDEX(Noten,2)&amp;" – "&amp;INDEX(NText,2)&amp;" (ab "&amp;TEXT(INDEX(NGrenze,2)*100,"0")&amp;" %)"</f>
        <v/>
      </c>
      <c r="J33" s="31">
        <f>INDEX(Noten,3)&amp;" – "&amp;INDEX(NText,3)&amp;" (ab "&amp;TEXT(INDEX(NGrenze,3)*100,"0")&amp;" %)"</f>
        <v/>
      </c>
      <c r="K33" s="32">
        <f>INDEX(Noten,4)&amp;" – "&amp;INDEX(NText,4)&amp;" (ab "&amp;TEXT(INDEX(NGrenze,4)*100,"0")&amp;" %)"</f>
        <v/>
      </c>
      <c r="L33" s="33">
        <f>INDEX(Noten,5)&amp;" – "&amp;INDEX(NText,5)&amp;" (ab "&amp;TEXT(INDEX(NGrenze,5)*100,"0")&amp;" %)"</f>
        <v/>
      </c>
      <c r="M33" s="34">
        <f>INDEX(Noten,6)&amp;" – "&amp;INDEX(NText,6)&amp;" (ab "&amp;TEXT(INDEX(NGrenze,6)*100,"0")&amp;" %)"</f>
        <v/>
      </c>
    </row>
    <row r="35" ht="22" customHeight="1">
      <c r="A35" s="35" t="inlineStr">
        <is>
          <t>Gesamt = Mittel der Prozentwerte aller gewerteten Übungen des Halbjahres, jede Übung mit ihrem Gewicht. Steht in den Einstellungen „Gewichtung Praxis/Theorie verwenden = ja“, werden stattdessen Praxis und Theorie getrennt gemittelt und mit den dort hinterlegten Gewichten zusammengezogen. Für das Gespräch: Blatt „Gesprächsseite“ öffnen, Azubi und Halbjahr wählen, ausdrucken.</t>
        </is>
      </c>
      <c r="B35" s="36" t="n"/>
      <c r="C35" s="36" t="n"/>
      <c r="D35" s="36" t="n"/>
      <c r="E35" s="36" t="n"/>
      <c r="F35" s="36" t="n"/>
      <c r="G35" s="36" t="n"/>
      <c r="H35" s="36" t="n"/>
      <c r="I35" s="36" t="n"/>
      <c r="J35" s="36" t="n"/>
      <c r="K35" s="36" t="n"/>
      <c r="L35" s="36" t="n"/>
      <c r="M35" s="36" t="n"/>
      <c r="N35" s="36" t="n"/>
      <c r="O35" s="36" t="n"/>
      <c r="P35" s="10" t="n"/>
    </row>
    <row r="36" ht="22" customHeight="1">
      <c r="A36" s="37" t="n"/>
      <c r="B36" s="38" t="n"/>
      <c r="C36" s="38" t="n"/>
      <c r="D36" s="38" t="n"/>
      <c r="E36" s="38" t="n"/>
      <c r="F36" s="38" t="n"/>
      <c r="G36" s="38" t="n"/>
      <c r="H36" s="38" t="n"/>
      <c r="I36" s="38" t="n"/>
      <c r="J36" s="38" t="n"/>
      <c r="K36" s="38" t="n"/>
      <c r="L36" s="38" t="n"/>
      <c r="M36" s="38" t="n"/>
      <c r="N36" s="38" t="n"/>
      <c r="O36" s="38" t="n"/>
      <c r="P36" s="14" t="n"/>
    </row>
  </sheetData>
  <mergeCells count="8">
    <mergeCell ref="A4:B4"/>
    <mergeCell ref="A2:L2"/>
    <mergeCell ref="D4:P4"/>
    <mergeCell ref="A35:P36"/>
    <mergeCell ref="A1:L1"/>
    <mergeCell ref="A3:P3"/>
    <mergeCell ref="A33:G33"/>
    <mergeCell ref="M1:P2"/>
  </mergeCells>
  <conditionalFormatting sqref="H7:I31">
    <cfRule type="expression" priority="1" dxfId="2" stopIfTrue="1">
      <formula>AND(ISNUMBER($H7),$H7&gt;=INDEX(NGrenze,1))</formula>
    </cfRule>
    <cfRule type="expression" priority="2" dxfId="3" stopIfTrue="1">
      <formula>AND(ISNUMBER($H7),$H7&gt;=INDEX(NGrenze,2))</formula>
    </cfRule>
    <cfRule type="expression" priority="3" dxfId="4" stopIfTrue="1">
      <formula>AND(ISNUMBER($H7),$H7&gt;=INDEX(NGrenze,3))</formula>
    </cfRule>
    <cfRule type="expression" priority="4" dxfId="5" stopIfTrue="1">
      <formula>AND(ISNUMBER($H7),$H7&gt;=INDEX(NGrenze,4))</formula>
    </cfRule>
    <cfRule type="expression" priority="5" dxfId="6" stopIfTrue="1">
      <formula>AND(ISNUMBER($H7),$H7&gt;=INDEX(NGrenze,5))</formula>
    </cfRule>
    <cfRule type="expression" priority="6" dxfId="7" stopIfTrue="1">
      <formula>AND(ISNUMBER($H7),$H7&gt;=INDEX(NGrenze,6))</formula>
    </cfRule>
  </conditionalFormatting>
  <conditionalFormatting sqref="K7:L31">
    <cfRule type="expression" priority="7" dxfId="2" stopIfTrue="1">
      <formula>AND(ISNUMBER($K7),$K7&gt;=INDEX(NGrenze,1))</formula>
    </cfRule>
    <cfRule type="expression" priority="8" dxfId="3" stopIfTrue="1">
      <formula>AND(ISNUMBER($K7),$K7&gt;=INDEX(NGrenze,2))</formula>
    </cfRule>
    <cfRule type="expression" priority="9" dxfId="4" stopIfTrue="1">
      <formula>AND(ISNUMBER($K7),$K7&gt;=INDEX(NGrenze,3))</formula>
    </cfRule>
    <cfRule type="expression" priority="10" dxfId="5" stopIfTrue="1">
      <formula>AND(ISNUMBER($K7),$K7&gt;=INDEX(NGrenze,4))</formula>
    </cfRule>
    <cfRule type="expression" priority="11" dxfId="6" stopIfTrue="1">
      <formula>AND(ISNUMBER($K7),$K7&gt;=INDEX(NGrenze,5))</formula>
    </cfRule>
    <cfRule type="expression" priority="12" dxfId="7" stopIfTrue="1">
      <formula>AND(ISNUMBER($K7),$K7&gt;=INDEX(NGrenze,6))</formula>
    </cfRule>
  </conditionalFormatting>
  <conditionalFormatting sqref="M7:N31">
    <cfRule type="expression" priority="13" dxfId="2" stopIfTrue="1">
      <formula>AND(ISNUMBER($M7),$M7&gt;=INDEX(NGrenze,1))</formula>
    </cfRule>
    <cfRule type="expression" priority="14" dxfId="3" stopIfTrue="1">
      <formula>AND(ISNUMBER($M7),$M7&gt;=INDEX(NGrenze,2))</formula>
    </cfRule>
    <cfRule type="expression" priority="15" dxfId="4" stopIfTrue="1">
      <formula>AND(ISNUMBER($M7),$M7&gt;=INDEX(NGrenze,3))</formula>
    </cfRule>
    <cfRule type="expression" priority="16" dxfId="5" stopIfTrue="1">
      <formula>AND(ISNUMBER($M7),$M7&gt;=INDEX(NGrenze,4))</formula>
    </cfRule>
    <cfRule type="expression" priority="17" dxfId="6" stopIfTrue="1">
      <formula>AND(ISNUMBER($M7),$M7&gt;=INDEX(NGrenze,5))</formula>
    </cfRule>
    <cfRule type="expression" priority="18" dxfId="7" stopIfTrue="1">
      <formula>AND(ISNUMBER($M7),$M7&gt;=INDEX(NGrenze,6))</formula>
    </cfRule>
  </conditionalFormatting>
  <conditionalFormatting sqref="A7:G31">
    <cfRule type="expression" priority="19" dxfId="8">
      <formula>'Stammdaten'!$G6&lt;&gt;"aktiv"</formula>
    </cfRule>
  </conditionalFormatting>
  <dataValidations count="1">
    <dataValidation sqref="C4" showDropDown="0" showInputMessage="1" showErrorMessage="1" allowBlank="0" errorTitle="Halbjahr außerhalb des Bereichs" error="Bitte eine ganze Zahl von 1 bis 8 eingeben." promptTitle="Halbjahr" prompt="1 = die ersten sechs Monate nach Ausbildungsstart, 2 = Monat 7 bis 12 usw." type="whole" operator="between">
      <formula1>1</formula1>
      <formula2>8</formula2>
    </dataValidation>
  </dataValidations>
  <hyperlinks>
    <hyperlink ref="M1" location="Start!A1"/>
  </hyperlinks>
  <pageMargins left="0.5" right="0.4" top="0.5" bottom="0.4" header="0.5" footer="0.5"/>
  <pageSetup orientation="landscape" paperSize="9" fitToHeight="0" fitToWidth="1"/>
</worksheet>
</file>

<file path=xl/worksheets/sheet5.xml><?xml version="1.0" encoding="utf-8"?>
<worksheet xmlns="http://schemas.openxmlformats.org/spreadsheetml/2006/main">
  <sheetPr>
    <tabColor rgb="0022395C"/>
    <outlinePr summaryBelow="1" summaryRight="1"/>
    <pageSetUpPr fitToPage="1"/>
  </sheetPr>
  <dimension ref="A1:P2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30" customWidth="1" min="3" max="3"/>
    <col width="11" customWidth="1" min="4" max="4"/>
    <col width="13" customWidth="1" min="5" max="5"/>
    <col width="15" customWidth="1" min="6" max="6"/>
    <col width="12" customWidth="1" min="7" max="7"/>
    <col width="9" customWidth="1" min="8" max="8"/>
    <col width="22" customWidth="1" min="9" max="9"/>
    <col width="11" customWidth="1" min="10" max="10"/>
    <col width="11" customWidth="1" min="11" max="11"/>
    <col width="11" customWidth="1" min="12" max="12"/>
    <col width="11" customWidth="1" min="13" max="13"/>
    <col width="20" customWidth="1" min="14" max="14"/>
    <col width="34" customWidth="1" min="15" max="15"/>
    <col width="3" customWidth="1" min="16" max="16"/>
  </cols>
  <sheetData>
    <row r="1" ht="34" customHeight="1">
      <c r="A1" s="1" t="inlineStr">
        <is>
          <t>Übungen verwalten</t>
        </is>
      </c>
      <c r="B1" s="2" t="n"/>
      <c r="C1" s="2" t="n"/>
      <c r="D1" s="2" t="n"/>
      <c r="E1" s="2" t="n"/>
      <c r="F1" s="2" t="n"/>
      <c r="G1" s="2" t="n"/>
      <c r="H1" s="2" t="n"/>
      <c r="I1" s="2" t="n"/>
      <c r="J1" s="2" t="n"/>
      <c r="K1" s="2" t="n"/>
      <c r="L1" s="2" t="n"/>
      <c r="M1" s="39" t="inlineStr">
        <is>
          <t>«  Zurück zur Startseite</t>
        </is>
      </c>
    </row>
    <row r="2" ht="18" customHeight="1">
      <c r="A2" s="3" t="inlineStr">
        <is>
          <t>Ein Name in Spalte „Übungsname“ schaltet das zugehörige Übungsblatt frei – alles Weitere wird dort eingetragen</t>
        </is>
      </c>
      <c r="B2" s="2" t="n"/>
      <c r="C2" s="2" t="n"/>
      <c r="D2" s="2" t="n"/>
      <c r="E2" s="2" t="n"/>
      <c r="F2" s="2" t="n"/>
      <c r="G2" s="2" t="n"/>
      <c r="H2" s="2" t="n"/>
      <c r="I2" s="2" t="n"/>
      <c r="J2" s="2" t="n"/>
      <c r="K2" s="2" t="n"/>
      <c r="L2" s="2" t="n"/>
    </row>
    <row r="3" ht="24" customHeight="1">
      <c r="A3" s="4" t="inlineStr">
        <is>
          <t>Farben:  gelb = hier eintragen   ·   grau-blau = rechnet die Datei selbst   ·   „n.b.“ = nicht bewertet</t>
        </is>
      </c>
    </row>
    <row r="4" ht="10" customHeight="1"/>
    <row r="5" ht="34" customHeight="1">
      <c r="A5" s="99" t="inlineStr">
        <is>
          <t>Nr.</t>
        </is>
      </c>
      <c r="B5" s="99" t="inlineStr">
        <is>
          <t>Blatt</t>
        </is>
      </c>
      <c r="C5" s="99" t="inlineStr">
        <is>
          <t>Übungsname</t>
        </is>
      </c>
      <c r="D5" s="99" t="inlineStr">
        <is>
          <t>Art</t>
        </is>
      </c>
      <c r="E5" s="99" t="inlineStr">
        <is>
          <t>Datum</t>
        </is>
      </c>
      <c r="F5" s="99" t="inlineStr">
        <is>
          <t>Status</t>
        </is>
      </c>
      <c r="G5" s="99" t="inlineStr">
        <is>
          <t>Bewertet von</t>
        </is>
      </c>
      <c r="H5" s="99" t="inlineStr">
        <is>
          <t>Gewicht</t>
        </is>
      </c>
      <c r="I5" s="99" t="inlineStr">
        <is>
          <t>Wiederholung von</t>
        </is>
      </c>
      <c r="J5" s="99" t="inlineStr">
        <is>
          <t>Parameter</t>
        </is>
      </c>
      <c r="K5" s="99" t="inlineStr">
        <is>
          <t>max. Pkt.</t>
        </is>
      </c>
      <c r="L5" s="99" t="inlineStr">
        <is>
          <t>bewertet</t>
        </is>
      </c>
      <c r="M5" s="99" t="inlineStr">
        <is>
          <t>Ø Prozent</t>
        </is>
      </c>
      <c r="N5" s="99" t="inlineStr">
        <is>
          <t>Ø Note</t>
        </is>
      </c>
      <c r="O5" s="99" t="inlineStr">
        <is>
          <t>Hinweis</t>
        </is>
      </c>
    </row>
    <row r="6" ht="22" customHeight="1">
      <c r="A6" s="19">
        <f>ROW()-5</f>
        <v/>
      </c>
      <c r="B6" s="100" t="inlineStr">
        <is>
          <t>Übung 01</t>
        </is>
      </c>
      <c r="C6" s="41" t="inlineStr">
        <is>
          <t>Bohren und Senken</t>
        </is>
      </c>
      <c r="D6" s="101">
        <f>IF($C6="","",IF('Übung 01'!$H$3="","— fehlt —",'Übung 01'!$H$3))</f>
        <v/>
      </c>
      <c r="E6" s="102">
        <f>IF(OR($C6="",'Übung 01'!$L$3=""),"",'Übung 01'!$L$3)</f>
        <v/>
      </c>
      <c r="F6" s="101">
        <f>IF($C6="","",IF('Übung 01'!$C$4="","— fehlt —",'Übung 01'!$C$4))</f>
        <v/>
      </c>
      <c r="G6" s="101">
        <f>IF($C6="","",'Übung 01'!$H$4)</f>
        <v/>
      </c>
      <c r="H6" s="103">
        <f>IF($C6="","",IF('Übung 01'!$L$4="",1,'Übung 01'!$L$4))</f>
        <v/>
      </c>
      <c r="I6" s="104">
        <f>IF(OR($C6="",'Übung 01'!$Q$4=""),"",'Übung 01'!$Q$4)</f>
        <v/>
      </c>
      <c r="J6" s="105">
        <f>IF($C6="","",COUNTIF('Übung 01'!$D$11:$D$35,"&gt;0"))</f>
        <v/>
      </c>
      <c r="K6" s="103">
        <f>IF($C6="","",SUM('Übung 01'!$D$11:$D$35))</f>
        <v/>
      </c>
      <c r="L6" s="106">
        <f>IF($C6="","",SUM(INDEX(Daten!$C$410:$V$434,0,1)))</f>
        <v/>
      </c>
      <c r="M6" s="24">
        <f>IF(OR($C6="",$L6=0),"",SUMPRODUCT(INDEX(Daten!$C$410:$V$434,0,1),INDEX(Daten!$C$20:$V$44,0,1))/$L6)</f>
        <v/>
      </c>
      <c r="N6" s="107">
        <f>IF($M6="","",INDEX(Noten,MAX(1,MIN(COUNT(NGrenze),COUNT(NGrenze)+1-COUNTIF(NGrenze,"&lt;="&amp;$M6))))&amp;" – "&amp;INDEX(NText,MAX(1,MIN(COUNT(NGrenze),COUNT(NGrenze)+1-COUNTIF(NGrenze,"&lt;="&amp;$M6)))))</f>
        <v/>
      </c>
      <c r="O6" s="108">
        <f>IF($C6="","frei",IF(LEN(IF('Übung 01'!$H$3="","Art fehlt. ","")&amp;IF('Übung 01'!$L$3="","Datum fehlt. ","")&amp;IF('Übung 01'!$C$4="","Status fehlt. ","")&amp;IF('Übung 01'!$H$4="","Kürzel fehlt. ","")&amp;IF(COUNTIF('Übung 01'!$D$11:$D$35,"&gt;0")=0,"Parameter fehlen. ",""))=0,"vollständig","Bitte ergänzen: "&amp;IF('Übung 01'!$H$3="","Art fehlt. ","")&amp;IF('Übung 01'!$L$3="","Datum fehlt. ","")&amp;IF('Übung 01'!$C$4="","Status fehlt. ","")&amp;IF('Übung 01'!$H$4="","Kürzel fehlt. ","")&amp;IF(COUNTIF('Übung 01'!$D$11:$D$35,"&gt;0")=0,"Parameter fehlen. ","")))</f>
        <v/>
      </c>
    </row>
    <row r="7" ht="22" customHeight="1">
      <c r="A7" s="19">
        <f>ROW()-5</f>
        <v/>
      </c>
      <c r="B7" s="100" t="inlineStr">
        <is>
          <t>Übung 02</t>
        </is>
      </c>
      <c r="C7" s="41" t="inlineStr">
        <is>
          <t>Grundlagen Elektrotechnik</t>
        </is>
      </c>
      <c r="D7" s="101">
        <f>IF($C7="","",IF('Übung 02'!$H$3="","— fehlt —",'Übung 02'!$H$3))</f>
        <v/>
      </c>
      <c r="E7" s="102">
        <f>IF(OR($C7="",'Übung 02'!$L$3=""),"",'Übung 02'!$L$3)</f>
        <v/>
      </c>
      <c r="F7" s="101">
        <f>IF($C7="","",IF('Übung 02'!$C$4="","— fehlt —",'Übung 02'!$C$4))</f>
        <v/>
      </c>
      <c r="G7" s="101">
        <f>IF($C7="","",'Übung 02'!$H$4)</f>
        <v/>
      </c>
      <c r="H7" s="103">
        <f>IF($C7="","",IF('Übung 02'!$L$4="",1,'Übung 02'!$L$4))</f>
        <v/>
      </c>
      <c r="I7" s="104">
        <f>IF(OR($C7="",'Übung 02'!$Q$4=""),"",'Übung 02'!$Q$4)</f>
        <v/>
      </c>
      <c r="J7" s="105">
        <f>IF($C7="","",COUNTIF('Übung 02'!$D$11:$D$35,"&gt;0"))</f>
        <v/>
      </c>
      <c r="K7" s="103">
        <f>IF($C7="","",SUM('Übung 02'!$D$11:$D$35))</f>
        <v/>
      </c>
      <c r="L7" s="106">
        <f>IF($C7="","",SUM(INDEX(Daten!$C$410:$V$434,0,2)))</f>
        <v/>
      </c>
      <c r="M7" s="24">
        <f>IF(OR($C7="",$L7=0),"",SUMPRODUCT(INDEX(Daten!$C$410:$V$434,0,2),INDEX(Daten!$C$20:$V$44,0,2))/$L7)</f>
        <v/>
      </c>
      <c r="N7" s="107">
        <f>IF($M7="","",INDEX(Noten,MAX(1,MIN(COUNT(NGrenze),COUNT(NGrenze)+1-COUNTIF(NGrenze,"&lt;="&amp;$M7))))&amp;" – "&amp;INDEX(NText,MAX(1,MIN(COUNT(NGrenze),COUNT(NGrenze)+1-COUNTIF(NGrenze,"&lt;="&amp;$M7)))))</f>
        <v/>
      </c>
      <c r="O7" s="108">
        <f>IF($C7="","frei",IF(LEN(IF('Übung 02'!$H$3="","Art fehlt. ","")&amp;IF('Übung 02'!$L$3="","Datum fehlt. ","")&amp;IF('Übung 02'!$C$4="","Status fehlt. ","")&amp;IF('Übung 02'!$H$4="","Kürzel fehlt. ","")&amp;IF(COUNTIF('Übung 02'!$D$11:$D$35,"&gt;0")=0,"Parameter fehlen. ",""))=0,"vollständig","Bitte ergänzen: "&amp;IF('Übung 02'!$H$3="","Art fehlt. ","")&amp;IF('Übung 02'!$L$3="","Datum fehlt. ","")&amp;IF('Übung 02'!$C$4="","Status fehlt. ","")&amp;IF('Übung 02'!$H$4="","Kürzel fehlt. ","")&amp;IF(COUNTIF('Übung 02'!$D$11:$D$35,"&gt;0")=0,"Parameter fehlen. ","")))</f>
        <v/>
      </c>
    </row>
    <row r="8" ht="22" customHeight="1">
      <c r="A8" s="19">
        <f>ROW()-5</f>
        <v/>
      </c>
      <c r="B8" s="100" t="inlineStr">
        <is>
          <t>Übung 03</t>
        </is>
      </c>
      <c r="C8" s="41" t="inlineStr">
        <is>
          <t>Leitungen verlegen</t>
        </is>
      </c>
      <c r="D8" s="101">
        <f>IF($C8="","",IF('Übung 03'!$H$3="","— fehlt —",'Übung 03'!$H$3))</f>
        <v/>
      </c>
      <c r="E8" s="102">
        <f>IF(OR($C8="",'Übung 03'!$L$3=""),"",'Übung 03'!$L$3)</f>
        <v/>
      </c>
      <c r="F8" s="101">
        <f>IF($C8="","",IF('Übung 03'!$C$4="","— fehlt —",'Übung 03'!$C$4))</f>
        <v/>
      </c>
      <c r="G8" s="101">
        <f>IF($C8="","",'Übung 03'!$H$4)</f>
        <v/>
      </c>
      <c r="H8" s="103">
        <f>IF($C8="","",IF('Übung 03'!$L$4="",1,'Übung 03'!$L$4))</f>
        <v/>
      </c>
      <c r="I8" s="104">
        <f>IF(OR($C8="",'Übung 03'!$Q$4=""),"",'Übung 03'!$Q$4)</f>
        <v/>
      </c>
      <c r="J8" s="105">
        <f>IF($C8="","",COUNTIF('Übung 03'!$D$11:$D$35,"&gt;0"))</f>
        <v/>
      </c>
      <c r="K8" s="103">
        <f>IF($C8="","",SUM('Übung 03'!$D$11:$D$35))</f>
        <v/>
      </c>
      <c r="L8" s="106">
        <f>IF($C8="","",SUM(INDEX(Daten!$C$410:$V$434,0,3)))</f>
        <v/>
      </c>
      <c r="M8" s="24">
        <f>IF(OR($C8="",$L8=0),"",SUMPRODUCT(INDEX(Daten!$C$410:$V$434,0,3),INDEX(Daten!$C$20:$V$44,0,3))/$L8)</f>
        <v/>
      </c>
      <c r="N8" s="107">
        <f>IF($M8="","",INDEX(Noten,MAX(1,MIN(COUNT(NGrenze),COUNT(NGrenze)+1-COUNTIF(NGrenze,"&lt;="&amp;$M8))))&amp;" – "&amp;INDEX(NText,MAX(1,MIN(COUNT(NGrenze),COUNT(NGrenze)+1-COUNTIF(NGrenze,"&lt;="&amp;$M8)))))</f>
        <v/>
      </c>
      <c r="O8" s="108">
        <f>IF($C8="","frei",IF(LEN(IF('Übung 03'!$H$3="","Art fehlt. ","")&amp;IF('Übung 03'!$L$3="","Datum fehlt. ","")&amp;IF('Übung 03'!$C$4="","Status fehlt. ","")&amp;IF('Übung 03'!$H$4="","Kürzel fehlt. ","")&amp;IF(COUNTIF('Übung 03'!$D$11:$D$35,"&gt;0")=0,"Parameter fehlen. ",""))=0,"vollständig","Bitte ergänzen: "&amp;IF('Übung 03'!$H$3="","Art fehlt. ","")&amp;IF('Übung 03'!$L$3="","Datum fehlt. ","")&amp;IF('Übung 03'!$C$4="","Status fehlt. ","")&amp;IF('Übung 03'!$H$4="","Kürzel fehlt. ","")&amp;IF(COUNTIF('Übung 03'!$D$11:$D$35,"&gt;0")=0,"Parameter fehlen. ","")))</f>
        <v/>
      </c>
    </row>
    <row r="9" ht="22" customHeight="1">
      <c r="A9" s="19">
        <f>ROW()-5</f>
        <v/>
      </c>
      <c r="B9" s="100" t="inlineStr">
        <is>
          <t>Übung 04</t>
        </is>
      </c>
      <c r="C9" s="41" t="inlineStr">
        <is>
          <t>Bohren und Senken – Nachholtermin</t>
        </is>
      </c>
      <c r="D9" s="101">
        <f>IF($C9="","",IF('Übung 04'!$H$3="","— fehlt —",'Übung 04'!$H$3))</f>
        <v/>
      </c>
      <c r="E9" s="102">
        <f>IF(OR($C9="",'Übung 04'!$L$3=""),"",'Übung 04'!$L$3)</f>
        <v/>
      </c>
      <c r="F9" s="101">
        <f>IF($C9="","",IF('Übung 04'!$C$4="","— fehlt —",'Übung 04'!$C$4))</f>
        <v/>
      </c>
      <c r="G9" s="101">
        <f>IF($C9="","",'Übung 04'!$H$4)</f>
        <v/>
      </c>
      <c r="H9" s="103">
        <f>IF($C9="","",IF('Übung 04'!$L$4="",1,'Übung 04'!$L$4))</f>
        <v/>
      </c>
      <c r="I9" s="104">
        <f>IF(OR($C9="",'Übung 04'!$Q$4=""),"",'Übung 04'!$Q$4)</f>
        <v/>
      </c>
      <c r="J9" s="105">
        <f>IF($C9="","",COUNTIF('Übung 04'!$D$11:$D$35,"&gt;0"))</f>
        <v/>
      </c>
      <c r="K9" s="103">
        <f>IF($C9="","",SUM('Übung 04'!$D$11:$D$35))</f>
        <v/>
      </c>
      <c r="L9" s="106">
        <f>IF($C9="","",SUM(INDEX(Daten!$C$410:$V$434,0,4)))</f>
        <v/>
      </c>
      <c r="M9" s="24">
        <f>IF(OR($C9="",$L9=0),"",SUMPRODUCT(INDEX(Daten!$C$410:$V$434,0,4),INDEX(Daten!$C$20:$V$44,0,4))/$L9)</f>
        <v/>
      </c>
      <c r="N9" s="107">
        <f>IF($M9="","",INDEX(Noten,MAX(1,MIN(COUNT(NGrenze),COUNT(NGrenze)+1-COUNTIF(NGrenze,"&lt;="&amp;$M9))))&amp;" – "&amp;INDEX(NText,MAX(1,MIN(COUNT(NGrenze),COUNT(NGrenze)+1-COUNTIF(NGrenze,"&lt;="&amp;$M9)))))</f>
        <v/>
      </c>
      <c r="O9" s="108">
        <f>IF($C9="","frei",IF(LEN(IF('Übung 04'!$H$3="","Art fehlt. ","")&amp;IF('Übung 04'!$L$3="","Datum fehlt. ","")&amp;IF('Übung 04'!$C$4="","Status fehlt. ","")&amp;IF('Übung 04'!$H$4="","Kürzel fehlt. ","")&amp;IF(COUNTIF('Übung 04'!$D$11:$D$35,"&gt;0")=0,"Parameter fehlen. ",""))=0,"vollständig","Bitte ergänzen: "&amp;IF('Übung 04'!$H$3="","Art fehlt. ","")&amp;IF('Übung 04'!$L$3="","Datum fehlt. ","")&amp;IF('Übung 04'!$C$4="","Status fehlt. ","")&amp;IF('Übung 04'!$H$4="","Kürzel fehlt. ","")&amp;IF(COUNTIF('Übung 04'!$D$11:$D$35,"&gt;0")=0,"Parameter fehlen. ","")))</f>
        <v/>
      </c>
    </row>
    <row r="10" ht="22" customHeight="1">
      <c r="A10" s="19">
        <f>ROW()-5</f>
        <v/>
      </c>
      <c r="B10" s="100" t="inlineStr">
        <is>
          <t>Übung 05</t>
        </is>
      </c>
      <c r="C10" s="41" t="n"/>
      <c r="D10" s="101">
        <f>IF($C10="","",IF('Übung 05'!$H$3="","— fehlt —",'Übung 05'!$H$3))</f>
        <v/>
      </c>
      <c r="E10" s="102">
        <f>IF(OR($C10="",'Übung 05'!$L$3=""),"",'Übung 05'!$L$3)</f>
        <v/>
      </c>
      <c r="F10" s="101">
        <f>IF($C10="","",IF('Übung 05'!$C$4="","— fehlt —",'Übung 05'!$C$4))</f>
        <v/>
      </c>
      <c r="G10" s="101">
        <f>IF($C10="","",'Übung 05'!$H$4)</f>
        <v/>
      </c>
      <c r="H10" s="103">
        <f>IF($C10="","",IF('Übung 05'!$L$4="",1,'Übung 05'!$L$4))</f>
        <v/>
      </c>
      <c r="I10" s="104">
        <f>IF(OR($C10="",'Übung 05'!$Q$4=""),"",'Übung 05'!$Q$4)</f>
        <v/>
      </c>
      <c r="J10" s="105">
        <f>IF($C10="","",COUNTIF('Übung 05'!$D$11:$D$35,"&gt;0"))</f>
        <v/>
      </c>
      <c r="K10" s="103">
        <f>IF($C10="","",SUM('Übung 05'!$D$11:$D$35))</f>
        <v/>
      </c>
      <c r="L10" s="106">
        <f>IF($C10="","",SUM(INDEX(Daten!$C$410:$V$434,0,5)))</f>
        <v/>
      </c>
      <c r="M10" s="24">
        <f>IF(OR($C10="",$L10=0),"",SUMPRODUCT(INDEX(Daten!$C$410:$V$434,0,5),INDEX(Daten!$C$20:$V$44,0,5))/$L10)</f>
        <v/>
      </c>
      <c r="N10" s="107">
        <f>IF($M10="","",INDEX(Noten,MAX(1,MIN(COUNT(NGrenze),COUNT(NGrenze)+1-COUNTIF(NGrenze,"&lt;="&amp;$M10))))&amp;" – "&amp;INDEX(NText,MAX(1,MIN(COUNT(NGrenze),COUNT(NGrenze)+1-COUNTIF(NGrenze,"&lt;="&amp;$M10)))))</f>
        <v/>
      </c>
      <c r="O10" s="108">
        <f>IF($C10="","frei",IF(LEN(IF('Übung 05'!$H$3="","Art fehlt. ","")&amp;IF('Übung 05'!$L$3="","Datum fehlt. ","")&amp;IF('Übung 05'!$C$4="","Status fehlt. ","")&amp;IF('Übung 05'!$H$4="","Kürzel fehlt. ","")&amp;IF(COUNTIF('Übung 05'!$D$11:$D$35,"&gt;0")=0,"Parameter fehlen. ",""))=0,"vollständig","Bitte ergänzen: "&amp;IF('Übung 05'!$H$3="","Art fehlt. ","")&amp;IF('Übung 05'!$L$3="","Datum fehlt. ","")&amp;IF('Übung 05'!$C$4="","Status fehlt. ","")&amp;IF('Übung 05'!$H$4="","Kürzel fehlt. ","")&amp;IF(COUNTIF('Übung 05'!$D$11:$D$35,"&gt;0")=0,"Parameter fehlen. ","")))</f>
        <v/>
      </c>
    </row>
    <row r="11" ht="22" customHeight="1">
      <c r="A11" s="19">
        <f>ROW()-5</f>
        <v/>
      </c>
      <c r="B11" s="100" t="inlineStr">
        <is>
          <t>Übung 06</t>
        </is>
      </c>
      <c r="C11" s="41" t="n"/>
      <c r="D11" s="101">
        <f>IF($C11="","",IF('Übung 06'!$H$3="","— fehlt —",'Übung 06'!$H$3))</f>
        <v/>
      </c>
      <c r="E11" s="102">
        <f>IF(OR($C11="",'Übung 06'!$L$3=""),"",'Übung 06'!$L$3)</f>
        <v/>
      </c>
      <c r="F11" s="101">
        <f>IF($C11="","",IF('Übung 06'!$C$4="","— fehlt —",'Übung 06'!$C$4))</f>
        <v/>
      </c>
      <c r="G11" s="101">
        <f>IF($C11="","",'Übung 06'!$H$4)</f>
        <v/>
      </c>
      <c r="H11" s="103">
        <f>IF($C11="","",IF('Übung 06'!$L$4="",1,'Übung 06'!$L$4))</f>
        <v/>
      </c>
      <c r="I11" s="104">
        <f>IF(OR($C11="",'Übung 06'!$Q$4=""),"",'Übung 06'!$Q$4)</f>
        <v/>
      </c>
      <c r="J11" s="105">
        <f>IF($C11="","",COUNTIF('Übung 06'!$D$11:$D$35,"&gt;0"))</f>
        <v/>
      </c>
      <c r="K11" s="103">
        <f>IF($C11="","",SUM('Übung 06'!$D$11:$D$35))</f>
        <v/>
      </c>
      <c r="L11" s="106">
        <f>IF($C11="","",SUM(INDEX(Daten!$C$410:$V$434,0,6)))</f>
        <v/>
      </c>
      <c r="M11" s="24">
        <f>IF(OR($C11="",$L11=0),"",SUMPRODUCT(INDEX(Daten!$C$410:$V$434,0,6),INDEX(Daten!$C$20:$V$44,0,6))/$L11)</f>
        <v/>
      </c>
      <c r="N11" s="107">
        <f>IF($M11="","",INDEX(Noten,MAX(1,MIN(COUNT(NGrenze),COUNT(NGrenze)+1-COUNTIF(NGrenze,"&lt;="&amp;$M11))))&amp;" – "&amp;INDEX(NText,MAX(1,MIN(COUNT(NGrenze),COUNT(NGrenze)+1-COUNTIF(NGrenze,"&lt;="&amp;$M11)))))</f>
        <v/>
      </c>
      <c r="O11" s="108">
        <f>IF($C11="","frei",IF(LEN(IF('Übung 06'!$H$3="","Art fehlt. ","")&amp;IF('Übung 06'!$L$3="","Datum fehlt. ","")&amp;IF('Übung 06'!$C$4="","Status fehlt. ","")&amp;IF('Übung 06'!$H$4="","Kürzel fehlt. ","")&amp;IF(COUNTIF('Übung 06'!$D$11:$D$35,"&gt;0")=0,"Parameter fehlen. ",""))=0,"vollständig","Bitte ergänzen: "&amp;IF('Übung 06'!$H$3="","Art fehlt. ","")&amp;IF('Übung 06'!$L$3="","Datum fehlt. ","")&amp;IF('Übung 06'!$C$4="","Status fehlt. ","")&amp;IF('Übung 06'!$H$4="","Kürzel fehlt. ","")&amp;IF(COUNTIF('Übung 06'!$D$11:$D$35,"&gt;0")=0,"Parameter fehlen. ","")))</f>
        <v/>
      </c>
    </row>
    <row r="12" ht="22" customHeight="1">
      <c r="A12" s="19">
        <f>ROW()-5</f>
        <v/>
      </c>
      <c r="B12" s="100" t="inlineStr">
        <is>
          <t>Übung 07</t>
        </is>
      </c>
      <c r="C12" s="41" t="n"/>
      <c r="D12" s="101">
        <f>IF($C12="","",IF('Übung 07'!$H$3="","— fehlt —",'Übung 07'!$H$3))</f>
        <v/>
      </c>
      <c r="E12" s="102">
        <f>IF(OR($C12="",'Übung 07'!$L$3=""),"",'Übung 07'!$L$3)</f>
        <v/>
      </c>
      <c r="F12" s="101">
        <f>IF($C12="","",IF('Übung 07'!$C$4="","— fehlt —",'Übung 07'!$C$4))</f>
        <v/>
      </c>
      <c r="G12" s="101">
        <f>IF($C12="","",'Übung 07'!$H$4)</f>
        <v/>
      </c>
      <c r="H12" s="103">
        <f>IF($C12="","",IF('Übung 07'!$L$4="",1,'Übung 07'!$L$4))</f>
        <v/>
      </c>
      <c r="I12" s="104">
        <f>IF(OR($C12="",'Übung 07'!$Q$4=""),"",'Übung 07'!$Q$4)</f>
        <v/>
      </c>
      <c r="J12" s="105">
        <f>IF($C12="","",COUNTIF('Übung 07'!$D$11:$D$35,"&gt;0"))</f>
        <v/>
      </c>
      <c r="K12" s="103">
        <f>IF($C12="","",SUM('Übung 07'!$D$11:$D$35))</f>
        <v/>
      </c>
      <c r="L12" s="106">
        <f>IF($C12="","",SUM(INDEX(Daten!$C$410:$V$434,0,7)))</f>
        <v/>
      </c>
      <c r="M12" s="24">
        <f>IF(OR($C12="",$L12=0),"",SUMPRODUCT(INDEX(Daten!$C$410:$V$434,0,7),INDEX(Daten!$C$20:$V$44,0,7))/$L12)</f>
        <v/>
      </c>
      <c r="N12" s="107">
        <f>IF($M12="","",INDEX(Noten,MAX(1,MIN(COUNT(NGrenze),COUNT(NGrenze)+1-COUNTIF(NGrenze,"&lt;="&amp;$M12))))&amp;" – "&amp;INDEX(NText,MAX(1,MIN(COUNT(NGrenze),COUNT(NGrenze)+1-COUNTIF(NGrenze,"&lt;="&amp;$M12)))))</f>
        <v/>
      </c>
      <c r="O12" s="108">
        <f>IF($C12="","frei",IF(LEN(IF('Übung 07'!$H$3="","Art fehlt. ","")&amp;IF('Übung 07'!$L$3="","Datum fehlt. ","")&amp;IF('Übung 07'!$C$4="","Status fehlt. ","")&amp;IF('Übung 07'!$H$4="","Kürzel fehlt. ","")&amp;IF(COUNTIF('Übung 07'!$D$11:$D$35,"&gt;0")=0,"Parameter fehlen. ",""))=0,"vollständig","Bitte ergänzen: "&amp;IF('Übung 07'!$H$3="","Art fehlt. ","")&amp;IF('Übung 07'!$L$3="","Datum fehlt. ","")&amp;IF('Übung 07'!$C$4="","Status fehlt. ","")&amp;IF('Übung 07'!$H$4="","Kürzel fehlt. ","")&amp;IF(COUNTIF('Übung 07'!$D$11:$D$35,"&gt;0")=0,"Parameter fehlen. ","")))</f>
        <v/>
      </c>
    </row>
    <row r="13" ht="22" customHeight="1">
      <c r="A13" s="19">
        <f>ROW()-5</f>
        <v/>
      </c>
      <c r="B13" s="100" t="inlineStr">
        <is>
          <t>Übung 08</t>
        </is>
      </c>
      <c r="C13" s="41" t="n"/>
      <c r="D13" s="101">
        <f>IF($C13="","",IF('Übung 08'!$H$3="","— fehlt —",'Übung 08'!$H$3))</f>
        <v/>
      </c>
      <c r="E13" s="102">
        <f>IF(OR($C13="",'Übung 08'!$L$3=""),"",'Übung 08'!$L$3)</f>
        <v/>
      </c>
      <c r="F13" s="101">
        <f>IF($C13="","",IF('Übung 08'!$C$4="","— fehlt —",'Übung 08'!$C$4))</f>
        <v/>
      </c>
      <c r="G13" s="101">
        <f>IF($C13="","",'Übung 08'!$H$4)</f>
        <v/>
      </c>
      <c r="H13" s="103">
        <f>IF($C13="","",IF('Übung 08'!$L$4="",1,'Übung 08'!$L$4))</f>
        <v/>
      </c>
      <c r="I13" s="104">
        <f>IF(OR($C13="",'Übung 08'!$Q$4=""),"",'Übung 08'!$Q$4)</f>
        <v/>
      </c>
      <c r="J13" s="105">
        <f>IF($C13="","",COUNTIF('Übung 08'!$D$11:$D$35,"&gt;0"))</f>
        <v/>
      </c>
      <c r="K13" s="103">
        <f>IF($C13="","",SUM('Übung 08'!$D$11:$D$35))</f>
        <v/>
      </c>
      <c r="L13" s="106">
        <f>IF($C13="","",SUM(INDEX(Daten!$C$410:$V$434,0,8)))</f>
        <v/>
      </c>
      <c r="M13" s="24">
        <f>IF(OR($C13="",$L13=0),"",SUMPRODUCT(INDEX(Daten!$C$410:$V$434,0,8),INDEX(Daten!$C$20:$V$44,0,8))/$L13)</f>
        <v/>
      </c>
      <c r="N13" s="107">
        <f>IF($M13="","",INDEX(Noten,MAX(1,MIN(COUNT(NGrenze),COUNT(NGrenze)+1-COUNTIF(NGrenze,"&lt;="&amp;$M13))))&amp;" – "&amp;INDEX(NText,MAX(1,MIN(COUNT(NGrenze),COUNT(NGrenze)+1-COUNTIF(NGrenze,"&lt;="&amp;$M13)))))</f>
        <v/>
      </c>
      <c r="O13" s="108">
        <f>IF($C13="","frei",IF(LEN(IF('Übung 08'!$H$3="","Art fehlt. ","")&amp;IF('Übung 08'!$L$3="","Datum fehlt. ","")&amp;IF('Übung 08'!$C$4="","Status fehlt. ","")&amp;IF('Übung 08'!$H$4="","Kürzel fehlt. ","")&amp;IF(COUNTIF('Übung 08'!$D$11:$D$35,"&gt;0")=0,"Parameter fehlen. ",""))=0,"vollständig","Bitte ergänzen: "&amp;IF('Übung 08'!$H$3="","Art fehlt. ","")&amp;IF('Übung 08'!$L$3="","Datum fehlt. ","")&amp;IF('Übung 08'!$C$4="","Status fehlt. ","")&amp;IF('Übung 08'!$H$4="","Kürzel fehlt. ","")&amp;IF(COUNTIF('Übung 08'!$D$11:$D$35,"&gt;0")=0,"Parameter fehlen. ","")))</f>
        <v/>
      </c>
    </row>
    <row r="14" ht="22" customHeight="1">
      <c r="A14" s="19">
        <f>ROW()-5</f>
        <v/>
      </c>
      <c r="B14" s="100" t="inlineStr">
        <is>
          <t>Übung 09</t>
        </is>
      </c>
      <c r="C14" s="41" t="n"/>
      <c r="D14" s="101">
        <f>IF($C14="","",IF('Übung 09'!$H$3="","— fehlt —",'Übung 09'!$H$3))</f>
        <v/>
      </c>
      <c r="E14" s="102">
        <f>IF(OR($C14="",'Übung 09'!$L$3=""),"",'Übung 09'!$L$3)</f>
        <v/>
      </c>
      <c r="F14" s="101">
        <f>IF($C14="","",IF('Übung 09'!$C$4="","— fehlt —",'Übung 09'!$C$4))</f>
        <v/>
      </c>
      <c r="G14" s="101">
        <f>IF($C14="","",'Übung 09'!$H$4)</f>
        <v/>
      </c>
      <c r="H14" s="103">
        <f>IF($C14="","",IF('Übung 09'!$L$4="",1,'Übung 09'!$L$4))</f>
        <v/>
      </c>
      <c r="I14" s="104">
        <f>IF(OR($C14="",'Übung 09'!$Q$4=""),"",'Übung 09'!$Q$4)</f>
        <v/>
      </c>
      <c r="J14" s="105">
        <f>IF($C14="","",COUNTIF('Übung 09'!$D$11:$D$35,"&gt;0"))</f>
        <v/>
      </c>
      <c r="K14" s="103">
        <f>IF($C14="","",SUM('Übung 09'!$D$11:$D$35))</f>
        <v/>
      </c>
      <c r="L14" s="106">
        <f>IF($C14="","",SUM(INDEX(Daten!$C$410:$V$434,0,9)))</f>
        <v/>
      </c>
      <c r="M14" s="24">
        <f>IF(OR($C14="",$L14=0),"",SUMPRODUCT(INDEX(Daten!$C$410:$V$434,0,9),INDEX(Daten!$C$20:$V$44,0,9))/$L14)</f>
        <v/>
      </c>
      <c r="N14" s="107">
        <f>IF($M14="","",INDEX(Noten,MAX(1,MIN(COUNT(NGrenze),COUNT(NGrenze)+1-COUNTIF(NGrenze,"&lt;="&amp;$M14))))&amp;" – "&amp;INDEX(NText,MAX(1,MIN(COUNT(NGrenze),COUNT(NGrenze)+1-COUNTIF(NGrenze,"&lt;="&amp;$M14)))))</f>
        <v/>
      </c>
      <c r="O14" s="108">
        <f>IF($C14="","frei",IF(LEN(IF('Übung 09'!$H$3="","Art fehlt. ","")&amp;IF('Übung 09'!$L$3="","Datum fehlt. ","")&amp;IF('Übung 09'!$C$4="","Status fehlt. ","")&amp;IF('Übung 09'!$H$4="","Kürzel fehlt. ","")&amp;IF(COUNTIF('Übung 09'!$D$11:$D$35,"&gt;0")=0,"Parameter fehlen. ",""))=0,"vollständig","Bitte ergänzen: "&amp;IF('Übung 09'!$H$3="","Art fehlt. ","")&amp;IF('Übung 09'!$L$3="","Datum fehlt. ","")&amp;IF('Übung 09'!$C$4="","Status fehlt. ","")&amp;IF('Übung 09'!$H$4="","Kürzel fehlt. ","")&amp;IF(COUNTIF('Übung 09'!$D$11:$D$35,"&gt;0")=0,"Parameter fehlen. ","")))</f>
        <v/>
      </c>
    </row>
    <row r="15" ht="22" customHeight="1">
      <c r="A15" s="19">
        <f>ROW()-5</f>
        <v/>
      </c>
      <c r="B15" s="100" t="inlineStr">
        <is>
          <t>Übung 10</t>
        </is>
      </c>
      <c r="C15" s="41" t="n"/>
      <c r="D15" s="101">
        <f>IF($C15="","",IF('Übung 10'!$H$3="","— fehlt —",'Übung 10'!$H$3))</f>
        <v/>
      </c>
      <c r="E15" s="102">
        <f>IF(OR($C15="",'Übung 10'!$L$3=""),"",'Übung 10'!$L$3)</f>
        <v/>
      </c>
      <c r="F15" s="101">
        <f>IF($C15="","",IF('Übung 10'!$C$4="","— fehlt —",'Übung 10'!$C$4))</f>
        <v/>
      </c>
      <c r="G15" s="101">
        <f>IF($C15="","",'Übung 10'!$H$4)</f>
        <v/>
      </c>
      <c r="H15" s="103">
        <f>IF($C15="","",IF('Übung 10'!$L$4="",1,'Übung 10'!$L$4))</f>
        <v/>
      </c>
      <c r="I15" s="104">
        <f>IF(OR($C15="",'Übung 10'!$Q$4=""),"",'Übung 10'!$Q$4)</f>
        <v/>
      </c>
      <c r="J15" s="105">
        <f>IF($C15="","",COUNTIF('Übung 10'!$D$11:$D$35,"&gt;0"))</f>
        <v/>
      </c>
      <c r="K15" s="103">
        <f>IF($C15="","",SUM('Übung 10'!$D$11:$D$35))</f>
        <v/>
      </c>
      <c r="L15" s="106">
        <f>IF($C15="","",SUM(INDEX(Daten!$C$410:$V$434,0,10)))</f>
        <v/>
      </c>
      <c r="M15" s="24">
        <f>IF(OR($C15="",$L15=0),"",SUMPRODUCT(INDEX(Daten!$C$410:$V$434,0,10),INDEX(Daten!$C$20:$V$44,0,10))/$L15)</f>
        <v/>
      </c>
      <c r="N15" s="107">
        <f>IF($M15="","",INDEX(Noten,MAX(1,MIN(COUNT(NGrenze),COUNT(NGrenze)+1-COUNTIF(NGrenze,"&lt;="&amp;$M15))))&amp;" – "&amp;INDEX(NText,MAX(1,MIN(COUNT(NGrenze),COUNT(NGrenze)+1-COUNTIF(NGrenze,"&lt;="&amp;$M15)))))</f>
        <v/>
      </c>
      <c r="O15" s="108">
        <f>IF($C15="","frei",IF(LEN(IF('Übung 10'!$H$3="","Art fehlt. ","")&amp;IF('Übung 10'!$L$3="","Datum fehlt. ","")&amp;IF('Übung 10'!$C$4="","Status fehlt. ","")&amp;IF('Übung 10'!$H$4="","Kürzel fehlt. ","")&amp;IF(COUNTIF('Übung 10'!$D$11:$D$35,"&gt;0")=0,"Parameter fehlen. ",""))=0,"vollständig","Bitte ergänzen: "&amp;IF('Übung 10'!$H$3="","Art fehlt. ","")&amp;IF('Übung 10'!$L$3="","Datum fehlt. ","")&amp;IF('Übung 10'!$C$4="","Status fehlt. ","")&amp;IF('Übung 10'!$H$4="","Kürzel fehlt. ","")&amp;IF(COUNTIF('Übung 10'!$D$11:$D$35,"&gt;0")=0,"Parameter fehlen. ","")))</f>
        <v/>
      </c>
    </row>
    <row r="16" ht="22" customHeight="1">
      <c r="A16" s="19">
        <f>ROW()-5</f>
        <v/>
      </c>
      <c r="B16" s="100" t="inlineStr">
        <is>
          <t>Übung 11</t>
        </is>
      </c>
      <c r="C16" s="41" t="n"/>
      <c r="D16" s="101">
        <f>IF($C16="","",IF('Übung 11'!$H$3="","— fehlt —",'Übung 11'!$H$3))</f>
        <v/>
      </c>
      <c r="E16" s="102">
        <f>IF(OR($C16="",'Übung 11'!$L$3=""),"",'Übung 11'!$L$3)</f>
        <v/>
      </c>
      <c r="F16" s="101">
        <f>IF($C16="","",IF('Übung 11'!$C$4="","— fehlt —",'Übung 11'!$C$4))</f>
        <v/>
      </c>
      <c r="G16" s="101">
        <f>IF($C16="","",'Übung 11'!$H$4)</f>
        <v/>
      </c>
      <c r="H16" s="103">
        <f>IF($C16="","",IF('Übung 11'!$L$4="",1,'Übung 11'!$L$4))</f>
        <v/>
      </c>
      <c r="I16" s="104">
        <f>IF(OR($C16="",'Übung 11'!$Q$4=""),"",'Übung 11'!$Q$4)</f>
        <v/>
      </c>
      <c r="J16" s="105">
        <f>IF($C16="","",COUNTIF('Übung 11'!$D$11:$D$35,"&gt;0"))</f>
        <v/>
      </c>
      <c r="K16" s="103">
        <f>IF($C16="","",SUM('Übung 11'!$D$11:$D$35))</f>
        <v/>
      </c>
      <c r="L16" s="106">
        <f>IF($C16="","",SUM(INDEX(Daten!$C$410:$V$434,0,11)))</f>
        <v/>
      </c>
      <c r="M16" s="24">
        <f>IF(OR($C16="",$L16=0),"",SUMPRODUCT(INDEX(Daten!$C$410:$V$434,0,11),INDEX(Daten!$C$20:$V$44,0,11))/$L16)</f>
        <v/>
      </c>
      <c r="N16" s="107">
        <f>IF($M16="","",INDEX(Noten,MAX(1,MIN(COUNT(NGrenze),COUNT(NGrenze)+1-COUNTIF(NGrenze,"&lt;="&amp;$M16))))&amp;" – "&amp;INDEX(NText,MAX(1,MIN(COUNT(NGrenze),COUNT(NGrenze)+1-COUNTIF(NGrenze,"&lt;="&amp;$M16)))))</f>
        <v/>
      </c>
      <c r="O16" s="108">
        <f>IF($C16="","frei",IF(LEN(IF('Übung 11'!$H$3="","Art fehlt. ","")&amp;IF('Übung 11'!$L$3="","Datum fehlt. ","")&amp;IF('Übung 11'!$C$4="","Status fehlt. ","")&amp;IF('Übung 11'!$H$4="","Kürzel fehlt. ","")&amp;IF(COUNTIF('Übung 11'!$D$11:$D$35,"&gt;0")=0,"Parameter fehlen. ",""))=0,"vollständig","Bitte ergänzen: "&amp;IF('Übung 11'!$H$3="","Art fehlt. ","")&amp;IF('Übung 11'!$L$3="","Datum fehlt. ","")&amp;IF('Übung 11'!$C$4="","Status fehlt. ","")&amp;IF('Übung 11'!$H$4="","Kürzel fehlt. ","")&amp;IF(COUNTIF('Übung 11'!$D$11:$D$35,"&gt;0")=0,"Parameter fehlen. ","")))</f>
        <v/>
      </c>
    </row>
    <row r="17" ht="22" customHeight="1">
      <c r="A17" s="19">
        <f>ROW()-5</f>
        <v/>
      </c>
      <c r="B17" s="100" t="inlineStr">
        <is>
          <t>Übung 12</t>
        </is>
      </c>
      <c r="C17" s="41" t="n"/>
      <c r="D17" s="101">
        <f>IF($C17="","",IF('Übung 12'!$H$3="","— fehlt —",'Übung 12'!$H$3))</f>
        <v/>
      </c>
      <c r="E17" s="102">
        <f>IF(OR($C17="",'Übung 12'!$L$3=""),"",'Übung 12'!$L$3)</f>
        <v/>
      </c>
      <c r="F17" s="101">
        <f>IF($C17="","",IF('Übung 12'!$C$4="","— fehlt —",'Übung 12'!$C$4))</f>
        <v/>
      </c>
      <c r="G17" s="101">
        <f>IF($C17="","",'Übung 12'!$H$4)</f>
        <v/>
      </c>
      <c r="H17" s="103">
        <f>IF($C17="","",IF('Übung 12'!$L$4="",1,'Übung 12'!$L$4))</f>
        <v/>
      </c>
      <c r="I17" s="104">
        <f>IF(OR($C17="",'Übung 12'!$Q$4=""),"",'Übung 12'!$Q$4)</f>
        <v/>
      </c>
      <c r="J17" s="105">
        <f>IF($C17="","",COUNTIF('Übung 12'!$D$11:$D$35,"&gt;0"))</f>
        <v/>
      </c>
      <c r="K17" s="103">
        <f>IF($C17="","",SUM('Übung 12'!$D$11:$D$35))</f>
        <v/>
      </c>
      <c r="L17" s="106">
        <f>IF($C17="","",SUM(INDEX(Daten!$C$410:$V$434,0,12)))</f>
        <v/>
      </c>
      <c r="M17" s="24">
        <f>IF(OR($C17="",$L17=0),"",SUMPRODUCT(INDEX(Daten!$C$410:$V$434,0,12),INDEX(Daten!$C$20:$V$44,0,12))/$L17)</f>
        <v/>
      </c>
      <c r="N17" s="107">
        <f>IF($M17="","",INDEX(Noten,MAX(1,MIN(COUNT(NGrenze),COUNT(NGrenze)+1-COUNTIF(NGrenze,"&lt;="&amp;$M17))))&amp;" – "&amp;INDEX(NText,MAX(1,MIN(COUNT(NGrenze),COUNT(NGrenze)+1-COUNTIF(NGrenze,"&lt;="&amp;$M17)))))</f>
        <v/>
      </c>
      <c r="O17" s="108">
        <f>IF($C17="","frei",IF(LEN(IF('Übung 12'!$H$3="","Art fehlt. ","")&amp;IF('Übung 12'!$L$3="","Datum fehlt. ","")&amp;IF('Übung 12'!$C$4="","Status fehlt. ","")&amp;IF('Übung 12'!$H$4="","Kürzel fehlt. ","")&amp;IF(COUNTIF('Übung 12'!$D$11:$D$35,"&gt;0")=0,"Parameter fehlen. ",""))=0,"vollständig","Bitte ergänzen: "&amp;IF('Übung 12'!$H$3="","Art fehlt. ","")&amp;IF('Übung 12'!$L$3="","Datum fehlt. ","")&amp;IF('Übung 12'!$C$4="","Status fehlt. ","")&amp;IF('Übung 12'!$H$4="","Kürzel fehlt. ","")&amp;IF(COUNTIF('Übung 12'!$D$11:$D$35,"&gt;0")=0,"Parameter fehlen. ","")))</f>
        <v/>
      </c>
    </row>
    <row r="18" ht="22" customHeight="1">
      <c r="A18" s="19">
        <f>ROW()-5</f>
        <v/>
      </c>
      <c r="B18" s="100" t="inlineStr">
        <is>
          <t>Übung 13</t>
        </is>
      </c>
      <c r="C18" s="41" t="n"/>
      <c r="D18" s="101">
        <f>IF($C18="","",IF('Übung 13'!$H$3="","— fehlt —",'Übung 13'!$H$3))</f>
        <v/>
      </c>
      <c r="E18" s="102">
        <f>IF(OR($C18="",'Übung 13'!$L$3=""),"",'Übung 13'!$L$3)</f>
        <v/>
      </c>
      <c r="F18" s="101">
        <f>IF($C18="","",IF('Übung 13'!$C$4="","— fehlt —",'Übung 13'!$C$4))</f>
        <v/>
      </c>
      <c r="G18" s="101">
        <f>IF($C18="","",'Übung 13'!$H$4)</f>
        <v/>
      </c>
      <c r="H18" s="103">
        <f>IF($C18="","",IF('Übung 13'!$L$4="",1,'Übung 13'!$L$4))</f>
        <v/>
      </c>
      <c r="I18" s="104">
        <f>IF(OR($C18="",'Übung 13'!$Q$4=""),"",'Übung 13'!$Q$4)</f>
        <v/>
      </c>
      <c r="J18" s="105">
        <f>IF($C18="","",COUNTIF('Übung 13'!$D$11:$D$35,"&gt;0"))</f>
        <v/>
      </c>
      <c r="K18" s="103">
        <f>IF($C18="","",SUM('Übung 13'!$D$11:$D$35))</f>
        <v/>
      </c>
      <c r="L18" s="106">
        <f>IF($C18="","",SUM(INDEX(Daten!$C$410:$V$434,0,13)))</f>
        <v/>
      </c>
      <c r="M18" s="24">
        <f>IF(OR($C18="",$L18=0),"",SUMPRODUCT(INDEX(Daten!$C$410:$V$434,0,13),INDEX(Daten!$C$20:$V$44,0,13))/$L18)</f>
        <v/>
      </c>
      <c r="N18" s="107">
        <f>IF($M18="","",INDEX(Noten,MAX(1,MIN(COUNT(NGrenze),COUNT(NGrenze)+1-COUNTIF(NGrenze,"&lt;="&amp;$M18))))&amp;" – "&amp;INDEX(NText,MAX(1,MIN(COUNT(NGrenze),COUNT(NGrenze)+1-COUNTIF(NGrenze,"&lt;="&amp;$M18)))))</f>
        <v/>
      </c>
      <c r="O18" s="108">
        <f>IF($C18="","frei",IF(LEN(IF('Übung 13'!$H$3="","Art fehlt. ","")&amp;IF('Übung 13'!$L$3="","Datum fehlt. ","")&amp;IF('Übung 13'!$C$4="","Status fehlt. ","")&amp;IF('Übung 13'!$H$4="","Kürzel fehlt. ","")&amp;IF(COUNTIF('Übung 13'!$D$11:$D$35,"&gt;0")=0,"Parameter fehlen. ",""))=0,"vollständig","Bitte ergänzen: "&amp;IF('Übung 13'!$H$3="","Art fehlt. ","")&amp;IF('Übung 13'!$L$3="","Datum fehlt. ","")&amp;IF('Übung 13'!$C$4="","Status fehlt. ","")&amp;IF('Übung 13'!$H$4="","Kürzel fehlt. ","")&amp;IF(COUNTIF('Übung 13'!$D$11:$D$35,"&gt;0")=0,"Parameter fehlen. ","")))</f>
        <v/>
      </c>
    </row>
    <row r="19" ht="22" customHeight="1">
      <c r="A19" s="19">
        <f>ROW()-5</f>
        <v/>
      </c>
      <c r="B19" s="100" t="inlineStr">
        <is>
          <t>Übung 14</t>
        </is>
      </c>
      <c r="C19" s="41" t="n"/>
      <c r="D19" s="101">
        <f>IF($C19="","",IF('Übung 14'!$H$3="","— fehlt —",'Übung 14'!$H$3))</f>
        <v/>
      </c>
      <c r="E19" s="102">
        <f>IF(OR($C19="",'Übung 14'!$L$3=""),"",'Übung 14'!$L$3)</f>
        <v/>
      </c>
      <c r="F19" s="101">
        <f>IF($C19="","",IF('Übung 14'!$C$4="","— fehlt —",'Übung 14'!$C$4))</f>
        <v/>
      </c>
      <c r="G19" s="101">
        <f>IF($C19="","",'Übung 14'!$H$4)</f>
        <v/>
      </c>
      <c r="H19" s="103">
        <f>IF($C19="","",IF('Übung 14'!$L$4="",1,'Übung 14'!$L$4))</f>
        <v/>
      </c>
      <c r="I19" s="104">
        <f>IF(OR($C19="",'Übung 14'!$Q$4=""),"",'Übung 14'!$Q$4)</f>
        <v/>
      </c>
      <c r="J19" s="105">
        <f>IF($C19="","",COUNTIF('Übung 14'!$D$11:$D$35,"&gt;0"))</f>
        <v/>
      </c>
      <c r="K19" s="103">
        <f>IF($C19="","",SUM('Übung 14'!$D$11:$D$35))</f>
        <v/>
      </c>
      <c r="L19" s="106">
        <f>IF($C19="","",SUM(INDEX(Daten!$C$410:$V$434,0,14)))</f>
        <v/>
      </c>
      <c r="M19" s="24">
        <f>IF(OR($C19="",$L19=0),"",SUMPRODUCT(INDEX(Daten!$C$410:$V$434,0,14),INDEX(Daten!$C$20:$V$44,0,14))/$L19)</f>
        <v/>
      </c>
      <c r="N19" s="107">
        <f>IF($M19="","",INDEX(Noten,MAX(1,MIN(COUNT(NGrenze),COUNT(NGrenze)+1-COUNTIF(NGrenze,"&lt;="&amp;$M19))))&amp;" – "&amp;INDEX(NText,MAX(1,MIN(COUNT(NGrenze),COUNT(NGrenze)+1-COUNTIF(NGrenze,"&lt;="&amp;$M19)))))</f>
        <v/>
      </c>
      <c r="O19" s="108">
        <f>IF($C19="","frei",IF(LEN(IF('Übung 14'!$H$3="","Art fehlt. ","")&amp;IF('Übung 14'!$L$3="","Datum fehlt. ","")&amp;IF('Übung 14'!$C$4="","Status fehlt. ","")&amp;IF('Übung 14'!$H$4="","Kürzel fehlt. ","")&amp;IF(COUNTIF('Übung 14'!$D$11:$D$35,"&gt;0")=0,"Parameter fehlen. ",""))=0,"vollständig","Bitte ergänzen: "&amp;IF('Übung 14'!$H$3="","Art fehlt. ","")&amp;IF('Übung 14'!$L$3="","Datum fehlt. ","")&amp;IF('Übung 14'!$C$4="","Status fehlt. ","")&amp;IF('Übung 14'!$H$4="","Kürzel fehlt. ","")&amp;IF(COUNTIF('Übung 14'!$D$11:$D$35,"&gt;0")=0,"Parameter fehlen. ","")))</f>
        <v/>
      </c>
    </row>
    <row r="20" ht="22" customHeight="1">
      <c r="A20" s="19">
        <f>ROW()-5</f>
        <v/>
      </c>
      <c r="B20" s="100" t="inlineStr">
        <is>
          <t>Übung 15</t>
        </is>
      </c>
      <c r="C20" s="41" t="n"/>
      <c r="D20" s="101">
        <f>IF($C20="","",IF('Übung 15'!$H$3="","— fehlt —",'Übung 15'!$H$3))</f>
        <v/>
      </c>
      <c r="E20" s="102">
        <f>IF(OR($C20="",'Übung 15'!$L$3=""),"",'Übung 15'!$L$3)</f>
        <v/>
      </c>
      <c r="F20" s="101">
        <f>IF($C20="","",IF('Übung 15'!$C$4="","— fehlt —",'Übung 15'!$C$4))</f>
        <v/>
      </c>
      <c r="G20" s="101">
        <f>IF($C20="","",'Übung 15'!$H$4)</f>
        <v/>
      </c>
      <c r="H20" s="103">
        <f>IF($C20="","",IF('Übung 15'!$L$4="",1,'Übung 15'!$L$4))</f>
        <v/>
      </c>
      <c r="I20" s="104">
        <f>IF(OR($C20="",'Übung 15'!$Q$4=""),"",'Übung 15'!$Q$4)</f>
        <v/>
      </c>
      <c r="J20" s="105">
        <f>IF($C20="","",COUNTIF('Übung 15'!$D$11:$D$35,"&gt;0"))</f>
        <v/>
      </c>
      <c r="K20" s="103">
        <f>IF($C20="","",SUM('Übung 15'!$D$11:$D$35))</f>
        <v/>
      </c>
      <c r="L20" s="106">
        <f>IF($C20="","",SUM(INDEX(Daten!$C$410:$V$434,0,15)))</f>
        <v/>
      </c>
      <c r="M20" s="24">
        <f>IF(OR($C20="",$L20=0),"",SUMPRODUCT(INDEX(Daten!$C$410:$V$434,0,15),INDEX(Daten!$C$20:$V$44,0,15))/$L20)</f>
        <v/>
      </c>
      <c r="N20" s="107">
        <f>IF($M20="","",INDEX(Noten,MAX(1,MIN(COUNT(NGrenze),COUNT(NGrenze)+1-COUNTIF(NGrenze,"&lt;="&amp;$M20))))&amp;" – "&amp;INDEX(NText,MAX(1,MIN(COUNT(NGrenze),COUNT(NGrenze)+1-COUNTIF(NGrenze,"&lt;="&amp;$M20)))))</f>
        <v/>
      </c>
      <c r="O20" s="108">
        <f>IF($C20="","frei",IF(LEN(IF('Übung 15'!$H$3="","Art fehlt. ","")&amp;IF('Übung 15'!$L$3="","Datum fehlt. ","")&amp;IF('Übung 15'!$C$4="","Status fehlt. ","")&amp;IF('Übung 15'!$H$4="","Kürzel fehlt. ","")&amp;IF(COUNTIF('Übung 15'!$D$11:$D$35,"&gt;0")=0,"Parameter fehlen. ",""))=0,"vollständig","Bitte ergänzen: "&amp;IF('Übung 15'!$H$3="","Art fehlt. ","")&amp;IF('Übung 15'!$L$3="","Datum fehlt. ","")&amp;IF('Übung 15'!$C$4="","Status fehlt. ","")&amp;IF('Übung 15'!$H$4="","Kürzel fehlt. ","")&amp;IF(COUNTIF('Übung 15'!$D$11:$D$35,"&gt;0")=0,"Parameter fehlen. ","")))</f>
        <v/>
      </c>
    </row>
    <row r="21" ht="22" customHeight="1">
      <c r="A21" s="19">
        <f>ROW()-5</f>
        <v/>
      </c>
      <c r="B21" s="100" t="inlineStr">
        <is>
          <t>Übung 16</t>
        </is>
      </c>
      <c r="C21" s="41" t="n"/>
      <c r="D21" s="101">
        <f>IF($C21="","",IF('Übung 16'!$H$3="","— fehlt —",'Übung 16'!$H$3))</f>
        <v/>
      </c>
      <c r="E21" s="102">
        <f>IF(OR($C21="",'Übung 16'!$L$3=""),"",'Übung 16'!$L$3)</f>
        <v/>
      </c>
      <c r="F21" s="101">
        <f>IF($C21="","",IF('Übung 16'!$C$4="","— fehlt —",'Übung 16'!$C$4))</f>
        <v/>
      </c>
      <c r="G21" s="101">
        <f>IF($C21="","",'Übung 16'!$H$4)</f>
        <v/>
      </c>
      <c r="H21" s="103">
        <f>IF($C21="","",IF('Übung 16'!$L$4="",1,'Übung 16'!$L$4))</f>
        <v/>
      </c>
      <c r="I21" s="104">
        <f>IF(OR($C21="",'Übung 16'!$Q$4=""),"",'Übung 16'!$Q$4)</f>
        <v/>
      </c>
      <c r="J21" s="105">
        <f>IF($C21="","",COUNTIF('Übung 16'!$D$11:$D$35,"&gt;0"))</f>
        <v/>
      </c>
      <c r="K21" s="103">
        <f>IF($C21="","",SUM('Übung 16'!$D$11:$D$35))</f>
        <v/>
      </c>
      <c r="L21" s="106">
        <f>IF($C21="","",SUM(INDEX(Daten!$C$410:$V$434,0,16)))</f>
        <v/>
      </c>
      <c r="M21" s="24">
        <f>IF(OR($C21="",$L21=0),"",SUMPRODUCT(INDEX(Daten!$C$410:$V$434,0,16),INDEX(Daten!$C$20:$V$44,0,16))/$L21)</f>
        <v/>
      </c>
      <c r="N21" s="107">
        <f>IF($M21="","",INDEX(Noten,MAX(1,MIN(COUNT(NGrenze),COUNT(NGrenze)+1-COUNTIF(NGrenze,"&lt;="&amp;$M21))))&amp;" – "&amp;INDEX(NText,MAX(1,MIN(COUNT(NGrenze),COUNT(NGrenze)+1-COUNTIF(NGrenze,"&lt;="&amp;$M21)))))</f>
        <v/>
      </c>
      <c r="O21" s="108">
        <f>IF($C21="","frei",IF(LEN(IF('Übung 16'!$H$3="","Art fehlt. ","")&amp;IF('Übung 16'!$L$3="","Datum fehlt. ","")&amp;IF('Übung 16'!$C$4="","Status fehlt. ","")&amp;IF('Übung 16'!$H$4="","Kürzel fehlt. ","")&amp;IF(COUNTIF('Übung 16'!$D$11:$D$35,"&gt;0")=0,"Parameter fehlen. ",""))=0,"vollständig","Bitte ergänzen: "&amp;IF('Übung 16'!$H$3="","Art fehlt. ","")&amp;IF('Übung 16'!$L$3="","Datum fehlt. ","")&amp;IF('Übung 16'!$C$4="","Status fehlt. ","")&amp;IF('Übung 16'!$H$4="","Kürzel fehlt. ","")&amp;IF(COUNTIF('Übung 16'!$D$11:$D$35,"&gt;0")=0,"Parameter fehlen. ","")))</f>
        <v/>
      </c>
    </row>
    <row r="22" ht="22" customHeight="1">
      <c r="A22" s="19">
        <f>ROW()-5</f>
        <v/>
      </c>
      <c r="B22" s="100" t="inlineStr">
        <is>
          <t>Übung 17</t>
        </is>
      </c>
      <c r="C22" s="41" t="n"/>
      <c r="D22" s="101">
        <f>IF($C22="","",IF('Übung 17'!$H$3="","— fehlt —",'Übung 17'!$H$3))</f>
        <v/>
      </c>
      <c r="E22" s="102">
        <f>IF(OR($C22="",'Übung 17'!$L$3=""),"",'Übung 17'!$L$3)</f>
        <v/>
      </c>
      <c r="F22" s="101">
        <f>IF($C22="","",IF('Übung 17'!$C$4="","— fehlt —",'Übung 17'!$C$4))</f>
        <v/>
      </c>
      <c r="G22" s="101">
        <f>IF($C22="","",'Übung 17'!$H$4)</f>
        <v/>
      </c>
      <c r="H22" s="103">
        <f>IF($C22="","",IF('Übung 17'!$L$4="",1,'Übung 17'!$L$4))</f>
        <v/>
      </c>
      <c r="I22" s="104">
        <f>IF(OR($C22="",'Übung 17'!$Q$4=""),"",'Übung 17'!$Q$4)</f>
        <v/>
      </c>
      <c r="J22" s="105">
        <f>IF($C22="","",COUNTIF('Übung 17'!$D$11:$D$35,"&gt;0"))</f>
        <v/>
      </c>
      <c r="K22" s="103">
        <f>IF($C22="","",SUM('Übung 17'!$D$11:$D$35))</f>
        <v/>
      </c>
      <c r="L22" s="106">
        <f>IF($C22="","",SUM(INDEX(Daten!$C$410:$V$434,0,17)))</f>
        <v/>
      </c>
      <c r="M22" s="24">
        <f>IF(OR($C22="",$L22=0),"",SUMPRODUCT(INDEX(Daten!$C$410:$V$434,0,17),INDEX(Daten!$C$20:$V$44,0,17))/$L22)</f>
        <v/>
      </c>
      <c r="N22" s="107">
        <f>IF($M22="","",INDEX(Noten,MAX(1,MIN(COUNT(NGrenze),COUNT(NGrenze)+1-COUNTIF(NGrenze,"&lt;="&amp;$M22))))&amp;" – "&amp;INDEX(NText,MAX(1,MIN(COUNT(NGrenze),COUNT(NGrenze)+1-COUNTIF(NGrenze,"&lt;="&amp;$M22)))))</f>
        <v/>
      </c>
      <c r="O22" s="108">
        <f>IF($C22="","frei",IF(LEN(IF('Übung 17'!$H$3="","Art fehlt. ","")&amp;IF('Übung 17'!$L$3="","Datum fehlt. ","")&amp;IF('Übung 17'!$C$4="","Status fehlt. ","")&amp;IF('Übung 17'!$H$4="","Kürzel fehlt. ","")&amp;IF(COUNTIF('Übung 17'!$D$11:$D$35,"&gt;0")=0,"Parameter fehlen. ",""))=0,"vollständig","Bitte ergänzen: "&amp;IF('Übung 17'!$H$3="","Art fehlt. ","")&amp;IF('Übung 17'!$L$3="","Datum fehlt. ","")&amp;IF('Übung 17'!$C$4="","Status fehlt. ","")&amp;IF('Übung 17'!$H$4="","Kürzel fehlt. ","")&amp;IF(COUNTIF('Übung 17'!$D$11:$D$35,"&gt;0")=0,"Parameter fehlen. ","")))</f>
        <v/>
      </c>
    </row>
    <row r="23" ht="22" customHeight="1">
      <c r="A23" s="19">
        <f>ROW()-5</f>
        <v/>
      </c>
      <c r="B23" s="100" t="inlineStr">
        <is>
          <t>Übung 18</t>
        </is>
      </c>
      <c r="C23" s="41" t="n"/>
      <c r="D23" s="101">
        <f>IF($C23="","",IF('Übung 18'!$H$3="","— fehlt —",'Übung 18'!$H$3))</f>
        <v/>
      </c>
      <c r="E23" s="102">
        <f>IF(OR($C23="",'Übung 18'!$L$3=""),"",'Übung 18'!$L$3)</f>
        <v/>
      </c>
      <c r="F23" s="101">
        <f>IF($C23="","",IF('Übung 18'!$C$4="","— fehlt —",'Übung 18'!$C$4))</f>
        <v/>
      </c>
      <c r="G23" s="101">
        <f>IF($C23="","",'Übung 18'!$H$4)</f>
        <v/>
      </c>
      <c r="H23" s="103">
        <f>IF($C23="","",IF('Übung 18'!$L$4="",1,'Übung 18'!$L$4))</f>
        <v/>
      </c>
      <c r="I23" s="104">
        <f>IF(OR($C23="",'Übung 18'!$Q$4=""),"",'Übung 18'!$Q$4)</f>
        <v/>
      </c>
      <c r="J23" s="105">
        <f>IF($C23="","",COUNTIF('Übung 18'!$D$11:$D$35,"&gt;0"))</f>
        <v/>
      </c>
      <c r="K23" s="103">
        <f>IF($C23="","",SUM('Übung 18'!$D$11:$D$35))</f>
        <v/>
      </c>
      <c r="L23" s="106">
        <f>IF($C23="","",SUM(INDEX(Daten!$C$410:$V$434,0,18)))</f>
        <v/>
      </c>
      <c r="M23" s="24">
        <f>IF(OR($C23="",$L23=0),"",SUMPRODUCT(INDEX(Daten!$C$410:$V$434,0,18),INDEX(Daten!$C$20:$V$44,0,18))/$L23)</f>
        <v/>
      </c>
      <c r="N23" s="107">
        <f>IF($M23="","",INDEX(Noten,MAX(1,MIN(COUNT(NGrenze),COUNT(NGrenze)+1-COUNTIF(NGrenze,"&lt;="&amp;$M23))))&amp;" – "&amp;INDEX(NText,MAX(1,MIN(COUNT(NGrenze),COUNT(NGrenze)+1-COUNTIF(NGrenze,"&lt;="&amp;$M23)))))</f>
        <v/>
      </c>
      <c r="O23" s="108">
        <f>IF($C23="","frei",IF(LEN(IF('Übung 18'!$H$3="","Art fehlt. ","")&amp;IF('Übung 18'!$L$3="","Datum fehlt. ","")&amp;IF('Übung 18'!$C$4="","Status fehlt. ","")&amp;IF('Übung 18'!$H$4="","Kürzel fehlt. ","")&amp;IF(COUNTIF('Übung 18'!$D$11:$D$35,"&gt;0")=0,"Parameter fehlen. ",""))=0,"vollständig","Bitte ergänzen: "&amp;IF('Übung 18'!$H$3="","Art fehlt. ","")&amp;IF('Übung 18'!$L$3="","Datum fehlt. ","")&amp;IF('Übung 18'!$C$4="","Status fehlt. ","")&amp;IF('Übung 18'!$H$4="","Kürzel fehlt. ","")&amp;IF(COUNTIF('Übung 18'!$D$11:$D$35,"&gt;0")=0,"Parameter fehlen. ","")))</f>
        <v/>
      </c>
    </row>
    <row r="24" ht="22" customHeight="1">
      <c r="A24" s="19">
        <f>ROW()-5</f>
        <v/>
      </c>
      <c r="B24" s="100" t="inlineStr">
        <is>
          <t>Übung 19</t>
        </is>
      </c>
      <c r="C24" s="41" t="n"/>
      <c r="D24" s="101">
        <f>IF($C24="","",IF('Übung 19'!$H$3="","— fehlt —",'Übung 19'!$H$3))</f>
        <v/>
      </c>
      <c r="E24" s="102">
        <f>IF(OR($C24="",'Übung 19'!$L$3=""),"",'Übung 19'!$L$3)</f>
        <v/>
      </c>
      <c r="F24" s="101">
        <f>IF($C24="","",IF('Übung 19'!$C$4="","— fehlt —",'Übung 19'!$C$4))</f>
        <v/>
      </c>
      <c r="G24" s="101">
        <f>IF($C24="","",'Übung 19'!$H$4)</f>
        <v/>
      </c>
      <c r="H24" s="103">
        <f>IF($C24="","",IF('Übung 19'!$L$4="",1,'Übung 19'!$L$4))</f>
        <v/>
      </c>
      <c r="I24" s="104">
        <f>IF(OR($C24="",'Übung 19'!$Q$4=""),"",'Übung 19'!$Q$4)</f>
        <v/>
      </c>
      <c r="J24" s="105">
        <f>IF($C24="","",COUNTIF('Übung 19'!$D$11:$D$35,"&gt;0"))</f>
        <v/>
      </c>
      <c r="K24" s="103">
        <f>IF($C24="","",SUM('Übung 19'!$D$11:$D$35))</f>
        <v/>
      </c>
      <c r="L24" s="106">
        <f>IF($C24="","",SUM(INDEX(Daten!$C$410:$V$434,0,19)))</f>
        <v/>
      </c>
      <c r="M24" s="24">
        <f>IF(OR($C24="",$L24=0),"",SUMPRODUCT(INDEX(Daten!$C$410:$V$434,0,19),INDEX(Daten!$C$20:$V$44,0,19))/$L24)</f>
        <v/>
      </c>
      <c r="N24" s="107">
        <f>IF($M24="","",INDEX(Noten,MAX(1,MIN(COUNT(NGrenze),COUNT(NGrenze)+1-COUNTIF(NGrenze,"&lt;="&amp;$M24))))&amp;" – "&amp;INDEX(NText,MAX(1,MIN(COUNT(NGrenze),COUNT(NGrenze)+1-COUNTIF(NGrenze,"&lt;="&amp;$M24)))))</f>
        <v/>
      </c>
      <c r="O24" s="108">
        <f>IF($C24="","frei",IF(LEN(IF('Übung 19'!$H$3="","Art fehlt. ","")&amp;IF('Übung 19'!$L$3="","Datum fehlt. ","")&amp;IF('Übung 19'!$C$4="","Status fehlt. ","")&amp;IF('Übung 19'!$H$4="","Kürzel fehlt. ","")&amp;IF(COUNTIF('Übung 19'!$D$11:$D$35,"&gt;0")=0,"Parameter fehlen. ",""))=0,"vollständig","Bitte ergänzen: "&amp;IF('Übung 19'!$H$3="","Art fehlt. ","")&amp;IF('Übung 19'!$L$3="","Datum fehlt. ","")&amp;IF('Übung 19'!$C$4="","Status fehlt. ","")&amp;IF('Übung 19'!$H$4="","Kürzel fehlt. ","")&amp;IF(COUNTIF('Übung 19'!$D$11:$D$35,"&gt;0")=0,"Parameter fehlen. ","")))</f>
        <v/>
      </c>
    </row>
    <row r="25" ht="22" customHeight="1">
      <c r="A25" s="19">
        <f>ROW()-5</f>
        <v/>
      </c>
      <c r="B25" s="100" t="inlineStr">
        <is>
          <t>Übung 20</t>
        </is>
      </c>
      <c r="C25" s="41" t="n"/>
      <c r="D25" s="101">
        <f>IF($C25="","",IF('Übung 20'!$H$3="","— fehlt —",'Übung 20'!$H$3))</f>
        <v/>
      </c>
      <c r="E25" s="102">
        <f>IF(OR($C25="",'Übung 20'!$L$3=""),"",'Übung 20'!$L$3)</f>
        <v/>
      </c>
      <c r="F25" s="101">
        <f>IF($C25="","",IF('Übung 20'!$C$4="","— fehlt —",'Übung 20'!$C$4))</f>
        <v/>
      </c>
      <c r="G25" s="101">
        <f>IF($C25="","",'Übung 20'!$H$4)</f>
        <v/>
      </c>
      <c r="H25" s="103">
        <f>IF($C25="","",IF('Übung 20'!$L$4="",1,'Übung 20'!$L$4))</f>
        <v/>
      </c>
      <c r="I25" s="104">
        <f>IF(OR($C25="",'Übung 20'!$Q$4=""),"",'Übung 20'!$Q$4)</f>
        <v/>
      </c>
      <c r="J25" s="105">
        <f>IF($C25="","",COUNTIF('Übung 20'!$D$11:$D$35,"&gt;0"))</f>
        <v/>
      </c>
      <c r="K25" s="103">
        <f>IF($C25="","",SUM('Übung 20'!$D$11:$D$35))</f>
        <v/>
      </c>
      <c r="L25" s="106">
        <f>IF($C25="","",SUM(INDEX(Daten!$C$410:$V$434,0,20)))</f>
        <v/>
      </c>
      <c r="M25" s="24">
        <f>IF(OR($C25="",$L25=0),"",SUMPRODUCT(INDEX(Daten!$C$410:$V$434,0,20),INDEX(Daten!$C$20:$V$44,0,20))/$L25)</f>
        <v/>
      </c>
      <c r="N25" s="107">
        <f>IF($M25="","",INDEX(Noten,MAX(1,MIN(COUNT(NGrenze),COUNT(NGrenze)+1-COUNTIF(NGrenze,"&lt;="&amp;$M25))))&amp;" – "&amp;INDEX(NText,MAX(1,MIN(COUNT(NGrenze),COUNT(NGrenze)+1-COUNTIF(NGrenze,"&lt;="&amp;$M25)))))</f>
        <v/>
      </c>
      <c r="O25" s="108">
        <f>IF($C25="","frei",IF(LEN(IF('Übung 20'!$H$3="","Art fehlt. ","")&amp;IF('Übung 20'!$L$3="","Datum fehlt. ","")&amp;IF('Übung 20'!$C$4="","Status fehlt. ","")&amp;IF('Übung 20'!$H$4="","Kürzel fehlt. ","")&amp;IF(COUNTIF('Übung 20'!$D$11:$D$35,"&gt;0")=0,"Parameter fehlen. ",""))=0,"vollständig","Bitte ergänzen: "&amp;IF('Übung 20'!$H$3="","Art fehlt. ","")&amp;IF('Übung 20'!$L$3="","Datum fehlt. ","")&amp;IF('Übung 20'!$C$4="","Status fehlt. ","")&amp;IF('Übung 20'!$H$4="","Kürzel fehlt. ","")&amp;IF(COUNTIF('Übung 20'!$D$11:$D$35,"&gt;0")=0,"Parameter fehlen. ","")))</f>
        <v/>
      </c>
    </row>
    <row r="27" ht="22" customHeight="1">
      <c r="A27" s="35" t="inlineStr">
        <is>
          <t>So legen Sie eine neue Übung an: 1. Hier in einer freien Zeile den Übungsnamen eintragen.  2. Auf den Blattnamen links klicken.  3. Dort Art, Datum, Status, Kürzel und die Bewertungsparameter mit Höchstpunktzahl eintragen.  4. Punkte je Azubi eintragen.  Werden mehr als 20 Übungen gebraucht, das Blatt „Vorlage“ kopieren (Rechtsklick auf den Blattreiter &gt; Verschieben oder kopieren &gt; Kopie erstellen).</t>
        </is>
      </c>
      <c r="B27" s="36" t="n"/>
      <c r="C27" s="36" t="n"/>
      <c r="D27" s="36" t="n"/>
      <c r="E27" s="36" t="n"/>
      <c r="F27" s="36" t="n"/>
      <c r="G27" s="36" t="n"/>
      <c r="H27" s="36" t="n"/>
      <c r="I27" s="36" t="n"/>
      <c r="J27" s="36" t="n"/>
      <c r="K27" s="36" t="n"/>
      <c r="L27" s="36" t="n"/>
      <c r="M27" s="36" t="n"/>
      <c r="N27" s="36" t="n"/>
      <c r="O27" s="10" t="n"/>
    </row>
    <row r="28" ht="22" customHeight="1">
      <c r="A28" s="109" t="n"/>
      <c r="B28" s="73" t="n"/>
      <c r="C28" s="73" t="n"/>
      <c r="D28" s="73" t="n"/>
      <c r="E28" s="73" t="n"/>
      <c r="F28" s="73" t="n"/>
      <c r="G28" s="73" t="n"/>
      <c r="H28" s="73" t="n"/>
      <c r="I28" s="73" t="n"/>
      <c r="J28" s="73" t="n"/>
      <c r="K28" s="73" t="n"/>
      <c r="L28" s="73" t="n"/>
      <c r="M28" s="73" t="n"/>
      <c r="N28" s="73" t="n"/>
      <c r="O28" s="75" t="n"/>
    </row>
    <row r="29" ht="22" customHeight="1">
      <c r="A29" s="37" t="n"/>
      <c r="B29" s="38" t="n"/>
      <c r="C29" s="38" t="n"/>
      <c r="D29" s="38" t="n"/>
      <c r="E29" s="38" t="n"/>
      <c r="F29" s="38" t="n"/>
      <c r="G29" s="38" t="n"/>
      <c r="H29" s="38" t="n"/>
      <c r="I29" s="38" t="n"/>
      <c r="J29" s="38" t="n"/>
      <c r="K29" s="38" t="n"/>
      <c r="L29" s="38" t="n"/>
      <c r="M29" s="38" t="n"/>
      <c r="N29" s="38" t="n"/>
      <c r="O29" s="14" t="n"/>
    </row>
  </sheetData>
  <mergeCells count="5">
    <mergeCell ref="A2:L2"/>
    <mergeCell ref="A1:L1"/>
    <mergeCell ref="A27:O29"/>
    <mergeCell ref="A3:P3"/>
    <mergeCell ref="M1:P2"/>
  </mergeCells>
  <conditionalFormatting sqref="M6:N25">
    <cfRule type="expression" priority="1" dxfId="2" stopIfTrue="1">
      <formula>AND(ISNUMBER($M6),$M6&gt;=INDEX(NGrenze,1))</formula>
    </cfRule>
    <cfRule type="expression" priority="2" dxfId="3" stopIfTrue="1">
      <formula>AND(ISNUMBER($M6),$M6&gt;=INDEX(NGrenze,2))</formula>
    </cfRule>
    <cfRule type="expression" priority="3" dxfId="4" stopIfTrue="1">
      <formula>AND(ISNUMBER($M6),$M6&gt;=INDEX(NGrenze,3))</formula>
    </cfRule>
    <cfRule type="expression" priority="4" dxfId="5" stopIfTrue="1">
      <formula>AND(ISNUMBER($M6),$M6&gt;=INDEX(NGrenze,4))</formula>
    </cfRule>
    <cfRule type="expression" priority="5" dxfId="6" stopIfTrue="1">
      <formula>AND(ISNUMBER($M6),$M6&gt;=INDEX(NGrenze,5))</formula>
    </cfRule>
    <cfRule type="expression" priority="6" dxfId="7" stopIfTrue="1">
      <formula>AND(ISNUMBER($M6),$M6&gt;=INDEX(NGrenze,6))</formula>
    </cfRule>
  </conditionalFormatting>
  <conditionalFormatting sqref="A6:O25">
    <cfRule type="expression" priority="7" dxfId="12">
      <formula>$C6=""</formula>
    </cfRule>
  </conditionalFormatting>
  <hyperlinks>
    <hyperlink ref="M1" location="Start!A1"/>
    <hyperlink ref="B6" location="'Übung 01'!A1"/>
    <hyperlink ref="B7" location="'Übung 02'!A1"/>
    <hyperlink ref="B8" location="'Übung 03'!A1"/>
    <hyperlink ref="B9" location="'Übung 04'!A1"/>
    <hyperlink ref="B10" location="'Übung 05'!A1"/>
    <hyperlink ref="B11" location="'Übung 06'!A1"/>
    <hyperlink ref="B12" location="'Übung 07'!A1"/>
    <hyperlink ref="B13" location="'Übung 08'!A1"/>
    <hyperlink ref="B14" location="'Übung 09'!A1"/>
    <hyperlink ref="B15" location="'Übung 10'!A1"/>
    <hyperlink ref="B16" location="'Übung 11'!A1"/>
    <hyperlink ref="B17" location="'Übung 12'!A1"/>
    <hyperlink ref="B18" location="'Übung 13'!A1"/>
    <hyperlink ref="B19" location="'Übung 14'!A1"/>
    <hyperlink ref="B20" location="'Übung 15'!A1"/>
    <hyperlink ref="B21" location="'Übung 16'!A1"/>
    <hyperlink ref="B22" location="'Übung 17'!A1"/>
    <hyperlink ref="B23" location="'Übung 18'!A1"/>
    <hyperlink ref="B24" location="'Übung 19'!A1"/>
    <hyperlink ref="B25" location="'Übung 20'!A1"/>
  </hyperlinks>
  <pageMargins left="0.5" right="0.4" top="0.5" bottom="0.4" header="0.5" footer="0.5"/>
  <pageSetup orientation="landscape" paperSize="9" fitToHeight="0" fitToWidth="1"/>
</worksheet>
</file>

<file path=xl/worksheets/sheet6.xml><?xml version="1.0" encoding="utf-8"?>
<worksheet xmlns="http://schemas.openxmlformats.org/spreadsheetml/2006/main">
  <sheetPr>
    <tabColor rgb="0022395C"/>
    <outlinePr summaryBelow="1" summaryRight="1"/>
    <pageSetUpPr fitToPage="1"/>
  </sheetPr>
  <dimension ref="A1:L3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6" customWidth="1" min="3" max="3"/>
    <col width="32" customWidth="1" min="4" max="4"/>
    <col width="10" customWidth="1" min="5" max="5"/>
    <col width="16" customWidth="1" min="6" max="6"/>
    <col width="15" customWidth="1" min="7" max="7"/>
    <col width="10" customWidth="1" min="8" max="8"/>
    <col width="10" customWidth="1" min="9" max="9"/>
    <col width="26" customWidth="1" min="10" max="10"/>
    <col width="30" customWidth="1" min="11" max="11"/>
    <col width="3" customWidth="1" min="12" max="12"/>
  </cols>
  <sheetData>
    <row r="1" ht="34" customHeight="1">
      <c r="A1" s="1" t="inlineStr">
        <is>
          <t>Azubi-Stammdaten</t>
        </is>
      </c>
      <c r="B1" s="2" t="n"/>
      <c r="C1" s="2" t="n"/>
      <c r="D1" s="2" t="n"/>
      <c r="E1" s="2" t="n"/>
      <c r="F1" s="2" t="n"/>
      <c r="G1" s="2" t="n"/>
      <c r="H1" s="2" t="n"/>
      <c r="I1" s="39" t="inlineStr">
        <is>
          <t>«  Zurück zur Startseite</t>
        </is>
      </c>
    </row>
    <row r="2" ht="18" customHeight="1">
      <c r="A2" s="3" t="inlineStr">
        <is>
          <t>Eine Zeile je Azubi – hier werden keine Daten gelöscht, ausgeschiedene Azubis bekommen nur einen anderen Status</t>
        </is>
      </c>
      <c r="B2" s="2" t="n"/>
      <c r="C2" s="2" t="n"/>
      <c r="D2" s="2" t="n"/>
      <c r="E2" s="2" t="n"/>
      <c r="F2" s="2" t="n"/>
      <c r="G2" s="2" t="n"/>
      <c r="H2" s="2" t="n"/>
    </row>
    <row r="3" ht="24" customHeight="1">
      <c r="A3" s="4" t="inlineStr">
        <is>
          <t>Farben:  gelb = hier eintragen   ·   grau-blau = rechnet die Datei selbst   ·   „n.b.“ = nicht bewertet</t>
        </is>
      </c>
    </row>
    <row r="4" ht="10" customHeight="1"/>
    <row r="5" ht="34" customHeight="1">
      <c r="A5" s="99" t="inlineStr">
        <is>
          <t>Nr.</t>
        </is>
      </c>
      <c r="B5" s="99" t="inlineStr">
        <is>
          <t>Name</t>
        </is>
      </c>
      <c r="C5" s="99" t="inlineStr">
        <is>
          <t>Vorname</t>
        </is>
      </c>
      <c r="D5" s="99" t="inlineStr">
        <is>
          <t>Ausbildungsberuf</t>
        </is>
      </c>
      <c r="E5" s="99" t="inlineStr">
        <is>
          <t>Jahrgang</t>
        </is>
      </c>
      <c r="F5" s="99" t="inlineStr">
        <is>
          <t>Ausbildungsstart</t>
        </is>
      </c>
      <c r="G5" s="99" t="inlineStr">
        <is>
          <t>Status</t>
        </is>
      </c>
      <c r="H5" s="99" t="inlineStr">
        <is>
          <t>Lehrjahr</t>
        </is>
      </c>
      <c r="I5" s="99" t="inlineStr">
        <is>
          <t>akt. HJ</t>
        </is>
      </c>
      <c r="J5" s="99" t="inlineStr">
        <is>
          <t>Anzeigename</t>
        </is>
      </c>
      <c r="K5" s="99" t="inlineStr">
        <is>
          <t>Bemerkung</t>
        </is>
      </c>
    </row>
    <row r="6" ht="22" customHeight="1">
      <c r="A6" s="19">
        <f>ROW()-5</f>
        <v/>
      </c>
      <c r="B6" s="110" t="inlineStr">
        <is>
          <t>Berger</t>
        </is>
      </c>
      <c r="C6" s="110" t="inlineStr">
        <is>
          <t>Lukas</t>
        </is>
      </c>
      <c r="D6" s="110" t="inlineStr">
        <is>
          <t>Elektroniker/-in für Betriebstechnik</t>
        </is>
      </c>
      <c r="E6" s="82">
        <f>IF($F6="","",YEAR($F6))</f>
        <v/>
      </c>
      <c r="F6" s="111" t="n">
        <v>45536</v>
      </c>
      <c r="G6" s="112" t="inlineStr">
        <is>
          <t>aktiv</t>
        </is>
      </c>
      <c r="H6" s="113">
        <f>IF(OR($B6="",$F6=""),"",IF(TODAY()&lt;$F6,0,INT(DATEDIF($F6,TODAY(),"m")/12)+1))</f>
        <v/>
      </c>
      <c r="I6" s="114">
        <f>IF(OR($B6="",$F6=""),"",IF(TODAY()&lt;$F6,0,INT(DATEDIF($F6,TODAY(),"m")/6)+1))</f>
        <v/>
      </c>
      <c r="J6" s="115">
        <f>IF($B6="","",$B6&amp;", "&amp;$C6)</f>
        <v/>
      </c>
      <c r="K6" s="110" t="n"/>
    </row>
    <row r="7" ht="22" customHeight="1">
      <c r="A7" s="19">
        <f>ROW()-5</f>
        <v/>
      </c>
      <c r="B7" s="110" t="inlineStr">
        <is>
          <t>Demir</t>
        </is>
      </c>
      <c r="C7" s="110" t="inlineStr">
        <is>
          <t>Elif</t>
        </is>
      </c>
      <c r="D7" s="110" t="inlineStr">
        <is>
          <t>Elektroniker/-in für Betriebstechnik</t>
        </is>
      </c>
      <c r="E7" s="82">
        <f>IF($F7="","",YEAR($F7))</f>
        <v/>
      </c>
      <c r="F7" s="111" t="n">
        <v>45536</v>
      </c>
      <c r="G7" s="112" t="inlineStr">
        <is>
          <t>aktiv</t>
        </is>
      </c>
      <c r="H7" s="113">
        <f>IF(OR($B7="",$F7=""),"",IF(TODAY()&lt;$F7,0,INT(DATEDIF($F7,TODAY(),"m")/12)+1))</f>
        <v/>
      </c>
      <c r="I7" s="114">
        <f>IF(OR($B7="",$F7=""),"",IF(TODAY()&lt;$F7,0,INT(DATEDIF($F7,TODAY(),"m")/6)+1))</f>
        <v/>
      </c>
      <c r="J7" s="115">
        <f>IF($B7="","",$B7&amp;", "&amp;$C7)</f>
        <v/>
      </c>
      <c r="K7" s="110" t="n"/>
    </row>
    <row r="8" ht="22" customHeight="1">
      <c r="A8" s="19">
        <f>ROW()-5</f>
        <v/>
      </c>
      <c r="B8" s="110" t="inlineStr">
        <is>
          <t>Hoffmann</t>
        </is>
      </c>
      <c r="C8" s="110" t="inlineStr">
        <is>
          <t>Jonas</t>
        </is>
      </c>
      <c r="D8" s="110" t="inlineStr">
        <is>
          <t>Industriemechaniker/-in</t>
        </is>
      </c>
      <c r="E8" s="82">
        <f>IF($F8="","",YEAR($F8))</f>
        <v/>
      </c>
      <c r="F8" s="111" t="n">
        <v>45901</v>
      </c>
      <c r="G8" s="112" t="inlineStr">
        <is>
          <t>aktiv</t>
        </is>
      </c>
      <c r="H8" s="113">
        <f>IF(OR($B8="",$F8=""),"",IF(TODAY()&lt;$F8,0,INT(DATEDIF($F8,TODAY(),"m")/12)+1))</f>
        <v/>
      </c>
      <c r="I8" s="114">
        <f>IF(OR($B8="",$F8=""),"",IF(TODAY()&lt;$F8,0,INT(DATEDIF($F8,TODAY(),"m")/6)+1))</f>
        <v/>
      </c>
      <c r="J8" s="115">
        <f>IF($B8="","",$B8&amp;", "&amp;$C8)</f>
        <v/>
      </c>
      <c r="K8" s="110" t="n"/>
    </row>
    <row r="9" ht="22" customHeight="1">
      <c r="A9" s="19">
        <f>ROW()-5</f>
        <v/>
      </c>
      <c r="B9" s="110" t="inlineStr">
        <is>
          <t>Novak</t>
        </is>
      </c>
      <c r="C9" s="110" t="inlineStr">
        <is>
          <t>Mira</t>
        </is>
      </c>
      <c r="D9" s="110" t="inlineStr">
        <is>
          <t>Industriemechaniker/-in</t>
        </is>
      </c>
      <c r="E9" s="82">
        <f>IF($F9="","",YEAR($F9))</f>
        <v/>
      </c>
      <c r="F9" s="111" t="n">
        <v>45901</v>
      </c>
      <c r="G9" s="112" t="inlineStr">
        <is>
          <t>aktiv</t>
        </is>
      </c>
      <c r="H9" s="113">
        <f>IF(OR($B9="",$F9=""),"",IF(TODAY()&lt;$F9,0,INT(DATEDIF($F9,TODAY(),"m")/12)+1))</f>
        <v/>
      </c>
      <c r="I9" s="114">
        <f>IF(OR($B9="",$F9=""),"",IF(TODAY()&lt;$F9,0,INT(DATEDIF($F9,TODAY(),"m")/6)+1))</f>
        <v/>
      </c>
      <c r="J9" s="115">
        <f>IF($B9="","",$B9&amp;", "&amp;$C9)</f>
        <v/>
      </c>
      <c r="K9" s="110" t="n"/>
    </row>
    <row r="10" ht="22" customHeight="1">
      <c r="A10" s="19">
        <f>ROW()-5</f>
        <v/>
      </c>
      <c r="B10" s="110" t="n"/>
      <c r="C10" s="110" t="n"/>
      <c r="D10" s="110" t="n"/>
      <c r="E10" s="82">
        <f>IF($F10="","",YEAR($F10))</f>
        <v/>
      </c>
      <c r="F10" s="111" t="n"/>
      <c r="G10" s="112" t="n"/>
      <c r="H10" s="113">
        <f>IF(OR($B10="",$F10=""),"",IF(TODAY()&lt;$F10,0,INT(DATEDIF($F10,TODAY(),"m")/12)+1))</f>
        <v/>
      </c>
      <c r="I10" s="114">
        <f>IF(OR($B10="",$F10=""),"",IF(TODAY()&lt;$F10,0,INT(DATEDIF($F10,TODAY(),"m")/6)+1))</f>
        <v/>
      </c>
      <c r="J10" s="115">
        <f>IF($B10="","",$B10&amp;", "&amp;$C10)</f>
        <v/>
      </c>
      <c r="K10" s="110" t="n"/>
    </row>
    <row r="11" ht="22" customHeight="1">
      <c r="A11" s="19">
        <f>ROW()-5</f>
        <v/>
      </c>
      <c r="B11" s="110" t="n"/>
      <c r="C11" s="110" t="n"/>
      <c r="D11" s="110" t="n"/>
      <c r="E11" s="82">
        <f>IF($F11="","",YEAR($F11))</f>
        <v/>
      </c>
      <c r="F11" s="111" t="n"/>
      <c r="G11" s="112" t="n"/>
      <c r="H11" s="113">
        <f>IF(OR($B11="",$F11=""),"",IF(TODAY()&lt;$F11,0,INT(DATEDIF($F11,TODAY(),"m")/12)+1))</f>
        <v/>
      </c>
      <c r="I11" s="114">
        <f>IF(OR($B11="",$F11=""),"",IF(TODAY()&lt;$F11,0,INT(DATEDIF($F11,TODAY(),"m")/6)+1))</f>
        <v/>
      </c>
      <c r="J11" s="115">
        <f>IF($B11="","",$B11&amp;", "&amp;$C11)</f>
        <v/>
      </c>
      <c r="K11" s="110" t="n"/>
    </row>
    <row r="12" ht="22" customHeight="1">
      <c r="A12" s="19">
        <f>ROW()-5</f>
        <v/>
      </c>
      <c r="B12" s="110" t="n"/>
      <c r="C12" s="110" t="n"/>
      <c r="D12" s="110" t="n"/>
      <c r="E12" s="82">
        <f>IF($F12="","",YEAR($F12))</f>
        <v/>
      </c>
      <c r="F12" s="111" t="n"/>
      <c r="G12" s="112" t="n"/>
      <c r="H12" s="113">
        <f>IF(OR($B12="",$F12=""),"",IF(TODAY()&lt;$F12,0,INT(DATEDIF($F12,TODAY(),"m")/12)+1))</f>
        <v/>
      </c>
      <c r="I12" s="114">
        <f>IF(OR($B12="",$F12=""),"",IF(TODAY()&lt;$F12,0,INT(DATEDIF($F12,TODAY(),"m")/6)+1))</f>
        <v/>
      </c>
      <c r="J12" s="115">
        <f>IF($B12="","",$B12&amp;", "&amp;$C12)</f>
        <v/>
      </c>
      <c r="K12" s="110" t="n"/>
    </row>
    <row r="13" ht="22" customHeight="1">
      <c r="A13" s="19">
        <f>ROW()-5</f>
        <v/>
      </c>
      <c r="B13" s="110" t="n"/>
      <c r="C13" s="110" t="n"/>
      <c r="D13" s="110" t="n"/>
      <c r="E13" s="82">
        <f>IF($F13="","",YEAR($F13))</f>
        <v/>
      </c>
      <c r="F13" s="111" t="n"/>
      <c r="G13" s="112" t="n"/>
      <c r="H13" s="113">
        <f>IF(OR($B13="",$F13=""),"",IF(TODAY()&lt;$F13,0,INT(DATEDIF($F13,TODAY(),"m")/12)+1))</f>
        <v/>
      </c>
      <c r="I13" s="114">
        <f>IF(OR($B13="",$F13=""),"",IF(TODAY()&lt;$F13,0,INT(DATEDIF($F13,TODAY(),"m")/6)+1))</f>
        <v/>
      </c>
      <c r="J13" s="115">
        <f>IF($B13="","",$B13&amp;", "&amp;$C13)</f>
        <v/>
      </c>
      <c r="K13" s="110" t="n"/>
    </row>
    <row r="14" ht="22" customHeight="1">
      <c r="A14" s="19">
        <f>ROW()-5</f>
        <v/>
      </c>
      <c r="B14" s="110" t="n"/>
      <c r="C14" s="110" t="n"/>
      <c r="D14" s="110" t="n"/>
      <c r="E14" s="82">
        <f>IF($F14="","",YEAR($F14))</f>
        <v/>
      </c>
      <c r="F14" s="111" t="n"/>
      <c r="G14" s="112" t="n"/>
      <c r="H14" s="113">
        <f>IF(OR($B14="",$F14=""),"",IF(TODAY()&lt;$F14,0,INT(DATEDIF($F14,TODAY(),"m")/12)+1))</f>
        <v/>
      </c>
      <c r="I14" s="114">
        <f>IF(OR($B14="",$F14=""),"",IF(TODAY()&lt;$F14,0,INT(DATEDIF($F14,TODAY(),"m")/6)+1))</f>
        <v/>
      </c>
      <c r="J14" s="115">
        <f>IF($B14="","",$B14&amp;", "&amp;$C14)</f>
        <v/>
      </c>
      <c r="K14" s="110" t="n"/>
    </row>
    <row r="15" ht="22" customHeight="1">
      <c r="A15" s="19">
        <f>ROW()-5</f>
        <v/>
      </c>
      <c r="B15" s="110" t="n"/>
      <c r="C15" s="110" t="n"/>
      <c r="D15" s="110" t="n"/>
      <c r="E15" s="82">
        <f>IF($F15="","",YEAR($F15))</f>
        <v/>
      </c>
      <c r="F15" s="111" t="n"/>
      <c r="G15" s="112" t="n"/>
      <c r="H15" s="113">
        <f>IF(OR($B15="",$F15=""),"",IF(TODAY()&lt;$F15,0,INT(DATEDIF($F15,TODAY(),"m")/12)+1))</f>
        <v/>
      </c>
      <c r="I15" s="114">
        <f>IF(OR($B15="",$F15=""),"",IF(TODAY()&lt;$F15,0,INT(DATEDIF($F15,TODAY(),"m")/6)+1))</f>
        <v/>
      </c>
      <c r="J15" s="115">
        <f>IF($B15="","",$B15&amp;", "&amp;$C15)</f>
        <v/>
      </c>
      <c r="K15" s="110" t="n"/>
    </row>
    <row r="16" ht="22" customHeight="1">
      <c r="A16" s="19">
        <f>ROW()-5</f>
        <v/>
      </c>
      <c r="B16" s="110" t="n"/>
      <c r="C16" s="110" t="n"/>
      <c r="D16" s="110" t="n"/>
      <c r="E16" s="82">
        <f>IF($F16="","",YEAR($F16))</f>
        <v/>
      </c>
      <c r="F16" s="111" t="n"/>
      <c r="G16" s="112" t="n"/>
      <c r="H16" s="113">
        <f>IF(OR($B16="",$F16=""),"",IF(TODAY()&lt;$F16,0,INT(DATEDIF($F16,TODAY(),"m")/12)+1))</f>
        <v/>
      </c>
      <c r="I16" s="114">
        <f>IF(OR($B16="",$F16=""),"",IF(TODAY()&lt;$F16,0,INT(DATEDIF($F16,TODAY(),"m")/6)+1))</f>
        <v/>
      </c>
      <c r="J16" s="115">
        <f>IF($B16="","",$B16&amp;", "&amp;$C16)</f>
        <v/>
      </c>
      <c r="K16" s="110" t="n"/>
    </row>
    <row r="17" ht="22" customHeight="1">
      <c r="A17" s="19">
        <f>ROW()-5</f>
        <v/>
      </c>
      <c r="B17" s="110" t="n"/>
      <c r="C17" s="110" t="n"/>
      <c r="D17" s="110" t="n"/>
      <c r="E17" s="82">
        <f>IF($F17="","",YEAR($F17))</f>
        <v/>
      </c>
      <c r="F17" s="111" t="n"/>
      <c r="G17" s="112" t="n"/>
      <c r="H17" s="113">
        <f>IF(OR($B17="",$F17=""),"",IF(TODAY()&lt;$F17,0,INT(DATEDIF($F17,TODAY(),"m")/12)+1))</f>
        <v/>
      </c>
      <c r="I17" s="114">
        <f>IF(OR($B17="",$F17=""),"",IF(TODAY()&lt;$F17,0,INT(DATEDIF($F17,TODAY(),"m")/6)+1))</f>
        <v/>
      </c>
      <c r="J17" s="115">
        <f>IF($B17="","",$B17&amp;", "&amp;$C17)</f>
        <v/>
      </c>
      <c r="K17" s="110" t="n"/>
    </row>
    <row r="18" ht="22" customHeight="1">
      <c r="A18" s="19">
        <f>ROW()-5</f>
        <v/>
      </c>
      <c r="B18" s="110" t="n"/>
      <c r="C18" s="110" t="n"/>
      <c r="D18" s="110" t="n"/>
      <c r="E18" s="82">
        <f>IF($F18="","",YEAR($F18))</f>
        <v/>
      </c>
      <c r="F18" s="111" t="n"/>
      <c r="G18" s="112" t="n"/>
      <c r="H18" s="113">
        <f>IF(OR($B18="",$F18=""),"",IF(TODAY()&lt;$F18,0,INT(DATEDIF($F18,TODAY(),"m")/12)+1))</f>
        <v/>
      </c>
      <c r="I18" s="114">
        <f>IF(OR($B18="",$F18=""),"",IF(TODAY()&lt;$F18,0,INT(DATEDIF($F18,TODAY(),"m")/6)+1))</f>
        <v/>
      </c>
      <c r="J18" s="115">
        <f>IF($B18="","",$B18&amp;", "&amp;$C18)</f>
        <v/>
      </c>
      <c r="K18" s="110" t="n"/>
    </row>
    <row r="19" ht="22" customHeight="1">
      <c r="A19" s="19">
        <f>ROW()-5</f>
        <v/>
      </c>
      <c r="B19" s="110" t="n"/>
      <c r="C19" s="110" t="n"/>
      <c r="D19" s="110" t="n"/>
      <c r="E19" s="82">
        <f>IF($F19="","",YEAR($F19))</f>
        <v/>
      </c>
      <c r="F19" s="111" t="n"/>
      <c r="G19" s="112" t="n"/>
      <c r="H19" s="113">
        <f>IF(OR($B19="",$F19=""),"",IF(TODAY()&lt;$F19,0,INT(DATEDIF($F19,TODAY(),"m")/12)+1))</f>
        <v/>
      </c>
      <c r="I19" s="114">
        <f>IF(OR($B19="",$F19=""),"",IF(TODAY()&lt;$F19,0,INT(DATEDIF($F19,TODAY(),"m")/6)+1))</f>
        <v/>
      </c>
      <c r="J19" s="115">
        <f>IF($B19="","",$B19&amp;", "&amp;$C19)</f>
        <v/>
      </c>
      <c r="K19" s="110" t="n"/>
    </row>
    <row r="20" ht="22" customHeight="1">
      <c r="A20" s="19">
        <f>ROW()-5</f>
        <v/>
      </c>
      <c r="B20" s="110" t="n"/>
      <c r="C20" s="110" t="n"/>
      <c r="D20" s="110" t="n"/>
      <c r="E20" s="82">
        <f>IF($F20="","",YEAR($F20))</f>
        <v/>
      </c>
      <c r="F20" s="111" t="n"/>
      <c r="G20" s="112" t="n"/>
      <c r="H20" s="113">
        <f>IF(OR($B20="",$F20=""),"",IF(TODAY()&lt;$F20,0,INT(DATEDIF($F20,TODAY(),"m")/12)+1))</f>
        <v/>
      </c>
      <c r="I20" s="114">
        <f>IF(OR($B20="",$F20=""),"",IF(TODAY()&lt;$F20,0,INT(DATEDIF($F20,TODAY(),"m")/6)+1))</f>
        <v/>
      </c>
      <c r="J20" s="115">
        <f>IF($B20="","",$B20&amp;", "&amp;$C20)</f>
        <v/>
      </c>
      <c r="K20" s="110" t="n"/>
    </row>
    <row r="21" ht="22" customHeight="1">
      <c r="A21" s="19">
        <f>ROW()-5</f>
        <v/>
      </c>
      <c r="B21" s="110" t="n"/>
      <c r="C21" s="110" t="n"/>
      <c r="D21" s="110" t="n"/>
      <c r="E21" s="82">
        <f>IF($F21="","",YEAR($F21))</f>
        <v/>
      </c>
      <c r="F21" s="111" t="n"/>
      <c r="G21" s="112" t="n"/>
      <c r="H21" s="113">
        <f>IF(OR($B21="",$F21=""),"",IF(TODAY()&lt;$F21,0,INT(DATEDIF($F21,TODAY(),"m")/12)+1))</f>
        <v/>
      </c>
      <c r="I21" s="114">
        <f>IF(OR($B21="",$F21=""),"",IF(TODAY()&lt;$F21,0,INT(DATEDIF($F21,TODAY(),"m")/6)+1))</f>
        <v/>
      </c>
      <c r="J21" s="115">
        <f>IF($B21="","",$B21&amp;", "&amp;$C21)</f>
        <v/>
      </c>
      <c r="K21" s="110" t="n"/>
    </row>
    <row r="22" ht="22" customHeight="1">
      <c r="A22" s="19">
        <f>ROW()-5</f>
        <v/>
      </c>
      <c r="B22" s="110" t="n"/>
      <c r="C22" s="110" t="n"/>
      <c r="D22" s="110" t="n"/>
      <c r="E22" s="82">
        <f>IF($F22="","",YEAR($F22))</f>
        <v/>
      </c>
      <c r="F22" s="111" t="n"/>
      <c r="G22" s="112" t="n"/>
      <c r="H22" s="113">
        <f>IF(OR($B22="",$F22=""),"",IF(TODAY()&lt;$F22,0,INT(DATEDIF($F22,TODAY(),"m")/12)+1))</f>
        <v/>
      </c>
      <c r="I22" s="114">
        <f>IF(OR($B22="",$F22=""),"",IF(TODAY()&lt;$F22,0,INT(DATEDIF($F22,TODAY(),"m")/6)+1))</f>
        <v/>
      </c>
      <c r="J22" s="115">
        <f>IF($B22="","",$B22&amp;", "&amp;$C22)</f>
        <v/>
      </c>
      <c r="K22" s="110" t="n"/>
    </row>
    <row r="23" ht="22" customHeight="1">
      <c r="A23" s="19">
        <f>ROW()-5</f>
        <v/>
      </c>
      <c r="B23" s="110" t="n"/>
      <c r="C23" s="110" t="n"/>
      <c r="D23" s="110" t="n"/>
      <c r="E23" s="82">
        <f>IF($F23="","",YEAR($F23))</f>
        <v/>
      </c>
      <c r="F23" s="111" t="n"/>
      <c r="G23" s="112" t="n"/>
      <c r="H23" s="113">
        <f>IF(OR($B23="",$F23=""),"",IF(TODAY()&lt;$F23,0,INT(DATEDIF($F23,TODAY(),"m")/12)+1))</f>
        <v/>
      </c>
      <c r="I23" s="114">
        <f>IF(OR($B23="",$F23=""),"",IF(TODAY()&lt;$F23,0,INT(DATEDIF($F23,TODAY(),"m")/6)+1))</f>
        <v/>
      </c>
      <c r="J23" s="115">
        <f>IF($B23="","",$B23&amp;", "&amp;$C23)</f>
        <v/>
      </c>
      <c r="K23" s="110" t="n"/>
    </row>
    <row r="24" ht="22" customHeight="1">
      <c r="A24" s="19">
        <f>ROW()-5</f>
        <v/>
      </c>
      <c r="B24" s="110" t="n"/>
      <c r="C24" s="110" t="n"/>
      <c r="D24" s="110" t="n"/>
      <c r="E24" s="82">
        <f>IF($F24="","",YEAR($F24))</f>
        <v/>
      </c>
      <c r="F24" s="111" t="n"/>
      <c r="G24" s="112" t="n"/>
      <c r="H24" s="113">
        <f>IF(OR($B24="",$F24=""),"",IF(TODAY()&lt;$F24,0,INT(DATEDIF($F24,TODAY(),"m")/12)+1))</f>
        <v/>
      </c>
      <c r="I24" s="114">
        <f>IF(OR($B24="",$F24=""),"",IF(TODAY()&lt;$F24,0,INT(DATEDIF($F24,TODAY(),"m")/6)+1))</f>
        <v/>
      </c>
      <c r="J24" s="115">
        <f>IF($B24="","",$B24&amp;", "&amp;$C24)</f>
        <v/>
      </c>
      <c r="K24" s="110" t="n"/>
    </row>
    <row r="25" ht="22" customHeight="1">
      <c r="A25" s="19">
        <f>ROW()-5</f>
        <v/>
      </c>
      <c r="B25" s="110" t="n"/>
      <c r="C25" s="110" t="n"/>
      <c r="D25" s="110" t="n"/>
      <c r="E25" s="82">
        <f>IF($F25="","",YEAR($F25))</f>
        <v/>
      </c>
      <c r="F25" s="111" t="n"/>
      <c r="G25" s="112" t="n"/>
      <c r="H25" s="113">
        <f>IF(OR($B25="",$F25=""),"",IF(TODAY()&lt;$F25,0,INT(DATEDIF($F25,TODAY(),"m")/12)+1))</f>
        <v/>
      </c>
      <c r="I25" s="114">
        <f>IF(OR($B25="",$F25=""),"",IF(TODAY()&lt;$F25,0,INT(DATEDIF($F25,TODAY(),"m")/6)+1))</f>
        <v/>
      </c>
      <c r="J25" s="115">
        <f>IF($B25="","",$B25&amp;", "&amp;$C25)</f>
        <v/>
      </c>
      <c r="K25" s="110" t="n"/>
    </row>
    <row r="26" ht="22" customHeight="1">
      <c r="A26" s="19">
        <f>ROW()-5</f>
        <v/>
      </c>
      <c r="B26" s="110" t="n"/>
      <c r="C26" s="110" t="n"/>
      <c r="D26" s="110" t="n"/>
      <c r="E26" s="82">
        <f>IF($F26="","",YEAR($F26))</f>
        <v/>
      </c>
      <c r="F26" s="111" t="n"/>
      <c r="G26" s="112" t="n"/>
      <c r="H26" s="113">
        <f>IF(OR($B26="",$F26=""),"",IF(TODAY()&lt;$F26,0,INT(DATEDIF($F26,TODAY(),"m")/12)+1))</f>
        <v/>
      </c>
      <c r="I26" s="114">
        <f>IF(OR($B26="",$F26=""),"",IF(TODAY()&lt;$F26,0,INT(DATEDIF($F26,TODAY(),"m")/6)+1))</f>
        <v/>
      </c>
      <c r="J26" s="115">
        <f>IF($B26="","",$B26&amp;", "&amp;$C26)</f>
        <v/>
      </c>
      <c r="K26" s="110" t="n"/>
    </row>
    <row r="27" ht="22" customHeight="1">
      <c r="A27" s="19">
        <f>ROW()-5</f>
        <v/>
      </c>
      <c r="B27" s="110" t="n"/>
      <c r="C27" s="110" t="n"/>
      <c r="D27" s="110" t="n"/>
      <c r="E27" s="82">
        <f>IF($F27="","",YEAR($F27))</f>
        <v/>
      </c>
      <c r="F27" s="111" t="n"/>
      <c r="G27" s="112" t="n"/>
      <c r="H27" s="113">
        <f>IF(OR($B27="",$F27=""),"",IF(TODAY()&lt;$F27,0,INT(DATEDIF($F27,TODAY(),"m")/12)+1))</f>
        <v/>
      </c>
      <c r="I27" s="114">
        <f>IF(OR($B27="",$F27=""),"",IF(TODAY()&lt;$F27,0,INT(DATEDIF($F27,TODAY(),"m")/6)+1))</f>
        <v/>
      </c>
      <c r="J27" s="115">
        <f>IF($B27="","",$B27&amp;", "&amp;$C27)</f>
        <v/>
      </c>
      <c r="K27" s="110" t="n"/>
    </row>
    <row r="28" ht="22" customHeight="1">
      <c r="A28" s="19">
        <f>ROW()-5</f>
        <v/>
      </c>
      <c r="B28" s="110" t="n"/>
      <c r="C28" s="110" t="n"/>
      <c r="D28" s="110" t="n"/>
      <c r="E28" s="82">
        <f>IF($F28="","",YEAR($F28))</f>
        <v/>
      </c>
      <c r="F28" s="111" t="n"/>
      <c r="G28" s="112" t="n"/>
      <c r="H28" s="113">
        <f>IF(OR($B28="",$F28=""),"",IF(TODAY()&lt;$F28,0,INT(DATEDIF($F28,TODAY(),"m")/12)+1))</f>
        <v/>
      </c>
      <c r="I28" s="114">
        <f>IF(OR($B28="",$F28=""),"",IF(TODAY()&lt;$F28,0,INT(DATEDIF($F28,TODAY(),"m")/6)+1))</f>
        <v/>
      </c>
      <c r="J28" s="115">
        <f>IF($B28="","",$B28&amp;", "&amp;$C28)</f>
        <v/>
      </c>
      <c r="K28" s="110" t="n"/>
    </row>
    <row r="29" ht="22" customHeight="1">
      <c r="A29" s="19">
        <f>ROW()-5</f>
        <v/>
      </c>
      <c r="B29" s="110" t="n"/>
      <c r="C29" s="110" t="n"/>
      <c r="D29" s="110" t="n"/>
      <c r="E29" s="82">
        <f>IF($F29="","",YEAR($F29))</f>
        <v/>
      </c>
      <c r="F29" s="111" t="n"/>
      <c r="G29" s="112" t="n"/>
      <c r="H29" s="113">
        <f>IF(OR($B29="",$F29=""),"",IF(TODAY()&lt;$F29,0,INT(DATEDIF($F29,TODAY(),"m")/12)+1))</f>
        <v/>
      </c>
      <c r="I29" s="114">
        <f>IF(OR($B29="",$F29=""),"",IF(TODAY()&lt;$F29,0,INT(DATEDIF($F29,TODAY(),"m")/6)+1))</f>
        <v/>
      </c>
      <c r="J29" s="115">
        <f>IF($B29="","",$B29&amp;", "&amp;$C29)</f>
        <v/>
      </c>
      <c r="K29" s="110" t="n"/>
    </row>
    <row r="30" ht="22" customHeight="1">
      <c r="A30" s="19">
        <f>ROW()-5</f>
        <v/>
      </c>
      <c r="B30" s="110" t="n"/>
      <c r="C30" s="110" t="n"/>
      <c r="D30" s="110" t="n"/>
      <c r="E30" s="82">
        <f>IF($F30="","",YEAR($F30))</f>
        <v/>
      </c>
      <c r="F30" s="111" t="n"/>
      <c r="G30" s="112" t="n"/>
      <c r="H30" s="113">
        <f>IF(OR($B30="",$F30=""),"",IF(TODAY()&lt;$F30,0,INT(DATEDIF($F30,TODAY(),"m")/12)+1))</f>
        <v/>
      </c>
      <c r="I30" s="114">
        <f>IF(OR($B30="",$F30=""),"",IF(TODAY()&lt;$F30,0,INT(DATEDIF($F30,TODAY(),"m")/6)+1))</f>
        <v/>
      </c>
      <c r="J30" s="115">
        <f>IF($B30="","",$B30&amp;", "&amp;$C30)</f>
        <v/>
      </c>
      <c r="K30" s="110" t="n"/>
    </row>
    <row r="32">
      <c r="A32" s="116" t="inlineStr">
        <is>
          <t>Mehr als 25 Azubis? Dann müssen die Übungsblätter mitwachsen – siehe Blatt „Anleitung“, Abschnitt 5. Ausgeschiedene Azubis bitte nicht löschen, sondern den Status ändern: alte Bewertungen bleiben so erhalten.</t>
        </is>
      </c>
    </row>
    <row r="33"/>
  </sheetData>
  <mergeCells count="5">
    <mergeCell ref="A2:H2"/>
    <mergeCell ref="A32:K33"/>
    <mergeCell ref="A1:H1"/>
    <mergeCell ref="A3:L3"/>
    <mergeCell ref="I1:L2"/>
  </mergeCells>
  <conditionalFormatting sqref="F6:F30">
    <cfRule type="expression" priority="1" dxfId="13">
      <formula>AND($B6&lt;&gt;"",$F6="")</formula>
    </cfRule>
  </conditionalFormatting>
  <conditionalFormatting sqref="J6:J30">
    <cfRule type="expression" priority="2" dxfId="13" stopIfTrue="1">
      <formula>AND($J6&lt;&gt;"",COUNTIF($J$6:$J$30,$J6&amp;"")&gt;1)</formula>
    </cfRule>
  </conditionalFormatting>
  <conditionalFormatting sqref="A6:K30">
    <cfRule type="expression" priority="3" dxfId="14">
      <formula>$G6="ausgeschieden"</formula>
    </cfRule>
  </conditionalFormatting>
  <dataValidations count="3">
    <dataValidation sqref="D6:D30" showDropDown="0" showInputMessage="0" showErrorMessage="1" allowBlank="1" errorTitle="Beruf nicht bekannt" error="Bitte einen Beruf aus der Liste wählen. Neue Berufe trägt man im Blatt „Einstellungen“ ein." type="list">
      <formula1>Berufe</formula1>
    </dataValidation>
    <dataValidation sqref="G6:G30" showDropDown="0" showInputMessage="1" showErrorMessage="1" allowBlank="1" errorTitle="Status nicht bekannt" error="Bitte aktiv, ausgeschieden oder fertig wählen." promptTitle="Status" prompt="aktiv = wird in Auswertungen gezeigt. ausgeschieden/fertig = Daten bleiben erhalten, erscheinen aber nicht mehr in den Auswahllisten." type="list">
      <formula1>"aktiv,ausgeschieden,fertig"</formula1>
    </dataValidation>
    <dataValidation sqref="F6:F30" showDropDown="0" showInputMessage="1" showErrorMessage="1" allowBlank="1" errorTitle="Datum nicht lesbar" error="Bitte ein Datum im Format TT.MM.JJJJ eingeben, z. B. 01.09.2025." promptTitle="Ausbildungsstart" prompt="In der Regel der 01.09. des Einstellungsjahres. Daraus berechnet die Datei Jahrgang, Lehrjahr und Halbjahr." type="date" operator="greaterThan">
      <formula1>DATE(1990,1,1)</formula1>
    </dataValidation>
  </dataValidations>
  <hyperlinks>
    <hyperlink ref="I1" location="Start!A1"/>
  </hyperlinks>
  <pageMargins left="0.5" right="0.4" top="0.5" bottom="0.4" header="0.5" footer="0.5"/>
  <pageSetup orientation="landscape" paperSize="9" fitToHeight="0" fitToWidth="1"/>
</worksheet>
</file>

<file path=xl/worksheets/sheet7.xml><?xml version="1.0" encoding="utf-8"?>
<worksheet xmlns="http://schemas.openxmlformats.org/spreadsheetml/2006/main">
  <sheetPr>
    <tabColor rgb="0034557F"/>
    <outlinePr summaryBelow="1" summaryRight="1"/>
    <pageSetUpPr fitToPage="1"/>
  </sheetPr>
  <dimension ref="A1:F38"/>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16" customWidth="1" min="3" max="3"/>
    <col width="22" customWidth="1" min="4" max="4"/>
    <col width="12" customWidth="1" min="5" max="5"/>
    <col width="46" customWidth="1" min="6" max="6"/>
  </cols>
  <sheetData>
    <row r="1" ht="34" customHeight="1">
      <c r="A1" s="1" t="inlineStr">
        <is>
          <t>Einstellungen</t>
        </is>
      </c>
      <c r="B1" s="2" t="n"/>
      <c r="C1" s="2" t="n"/>
      <c r="D1" s="2" t="n"/>
      <c r="E1" s="2" t="n"/>
      <c r="F1" s="39" t="inlineStr">
        <is>
          <t>«  Zurück zur Startseite</t>
        </is>
      </c>
    </row>
    <row r="2" ht="18" customHeight="1">
      <c r="A2" s="3" t="inlineStr">
        <is>
          <t>Zentrale Stellschrauben – wirken sofort in der ganzen Datei</t>
        </is>
      </c>
      <c r="B2" s="2" t="n"/>
      <c r="C2" s="2" t="n"/>
      <c r="D2" s="2" t="n"/>
      <c r="E2" s="2" t="n"/>
    </row>
    <row r="3" ht="24" customHeight="1">
      <c r="A3" s="4" t="inlineStr">
        <is>
          <t>Farben:  gelb = hier eintragen   ·   grau-blau = rechnet die Datei selbst   ·   „n.b.“ = nicht bewertet</t>
        </is>
      </c>
    </row>
    <row r="4" ht="10" customHeight="1"/>
    <row r="5" ht="26" customHeight="1">
      <c r="B5" s="15" t="inlineStr">
        <is>
          <t>Notenschlüssel (IHK)</t>
        </is>
      </c>
    </row>
    <row r="6" ht="22" customHeight="1">
      <c r="B6" s="50" t="inlineStr">
        <is>
          <t>Note</t>
        </is>
      </c>
      <c r="C6" s="50" t="inlineStr">
        <is>
          <t>ab Prozent</t>
        </is>
      </c>
      <c r="D6" s="50" t="inlineStr">
        <is>
          <t>Kurztext</t>
        </is>
      </c>
      <c r="E6" s="50" t="inlineStr">
        <is>
          <t>Farbe</t>
        </is>
      </c>
      <c r="F6" s="50" t="inlineStr">
        <is>
          <t>Bedeutung</t>
        </is>
      </c>
    </row>
    <row r="7" ht="22" customHeight="1">
      <c r="B7" s="68" t="n">
        <v>1</v>
      </c>
      <c r="C7" s="117" t="n">
        <v>0.92</v>
      </c>
      <c r="D7" s="110" t="inlineStr">
        <is>
          <t>sehr gut</t>
        </is>
      </c>
      <c r="E7" s="118" t="inlineStr">
        <is>
          <t>Note 1</t>
        </is>
      </c>
      <c r="F7" s="119" t="inlineStr">
        <is>
          <t>sehr gut – Spitzenleistung</t>
        </is>
      </c>
    </row>
    <row r="8" ht="22" customHeight="1">
      <c r="B8" s="68" t="n">
        <v>2</v>
      </c>
      <c r="C8" s="117" t="n">
        <v>0.8100000000000001</v>
      </c>
      <c r="D8" s="110" t="inlineStr">
        <is>
          <t>gut</t>
        </is>
      </c>
      <c r="E8" s="120" t="inlineStr">
        <is>
          <t>Note 2</t>
        </is>
      </c>
      <c r="F8" s="119" t="inlineStr">
        <is>
          <t>gut – sicher über Erwartung</t>
        </is>
      </c>
    </row>
    <row r="9" ht="22" customHeight="1">
      <c r="B9" s="68" t="n">
        <v>3</v>
      </c>
      <c r="C9" s="117" t="n">
        <v>0.67</v>
      </c>
      <c r="D9" s="110" t="inlineStr">
        <is>
          <t>befriedigend</t>
        </is>
      </c>
      <c r="E9" s="121" t="inlineStr">
        <is>
          <t>Note 3</t>
        </is>
      </c>
      <c r="F9" s="119" t="inlineStr">
        <is>
          <t>befriedigend – im Blick behalten</t>
        </is>
      </c>
    </row>
    <row r="10" ht="22" customHeight="1">
      <c r="B10" s="68" t="n">
        <v>4</v>
      </c>
      <c r="C10" s="117" t="n">
        <v>0.5</v>
      </c>
      <c r="D10" s="110" t="inlineStr">
        <is>
          <t>ausreichend</t>
        </is>
      </c>
      <c r="E10" s="122" t="inlineStr">
        <is>
          <t>Note 4</t>
        </is>
      </c>
      <c r="F10" s="119" t="inlineStr">
        <is>
          <t>ausreichend – gefährdet, Gespräch empfohlen</t>
        </is>
      </c>
    </row>
    <row r="11" ht="22" customHeight="1">
      <c r="B11" s="68" t="n">
        <v>5</v>
      </c>
      <c r="C11" s="117" t="n">
        <v>0.3</v>
      </c>
      <c r="D11" s="110" t="inlineStr">
        <is>
          <t>mangelhaft</t>
        </is>
      </c>
      <c r="E11" s="123" t="inlineStr">
        <is>
          <t>Note 5</t>
        </is>
      </c>
      <c r="F11" s="119" t="inlineStr">
        <is>
          <t>mangelhaft – nicht bestanden</t>
        </is>
      </c>
    </row>
    <row r="12" ht="22" customHeight="1">
      <c r="B12" s="68" t="n">
        <v>6</v>
      </c>
      <c r="C12" s="117" t="n">
        <v>0</v>
      </c>
      <c r="D12" s="110" t="inlineStr">
        <is>
          <t>ungenügend</t>
        </is>
      </c>
      <c r="E12" s="124" t="inlineStr">
        <is>
          <t>Note 6</t>
        </is>
      </c>
      <c r="F12" s="119" t="inlineStr">
        <is>
          <t>ungenügend – nicht bestanden</t>
        </is>
      </c>
    </row>
    <row r="13" ht="28" customHeight="1">
      <c r="B13" s="4" t="inlineStr">
        <is>
          <t>Die Grenzen gelten „ab“ (92 % → Note 1). Reihenfolge Note 1 oben bis Note 6 unten bitte beibehalten – alle Formeln und Farben lesen die Tabelle von oben nach unten.</t>
        </is>
      </c>
    </row>
    <row r="14" ht="10" customHeight="1"/>
    <row r="15" ht="26" customHeight="1">
      <c r="B15" s="15" t="inlineStr">
        <is>
          <t>Grundeinstellungen</t>
        </is>
      </c>
    </row>
    <row r="16" ht="30" customHeight="1">
      <c r="B16" s="125" t="inlineStr">
        <is>
          <t>Punkte je Parameter (Standard)</t>
        </is>
      </c>
      <c r="C16" s="126" t="n">
        <v>10</v>
      </c>
      <c r="D16" s="127" t="inlineStr">
        <is>
          <t>Wird auf neuen Übungsblättern als Höchstpunktzahl vorgeschlagen.</t>
        </is>
      </c>
    </row>
    <row r="17" ht="30" customHeight="1">
      <c r="B17" s="125" t="inlineStr">
        <is>
          <t>Schwelle „wenig Datenbasis“</t>
        </is>
      </c>
      <c r="C17" s="126" t="n">
        <v>3</v>
      </c>
      <c r="D17" s="127" t="inlineStr">
        <is>
          <t>Unter so vielen bewerteten Übungen erscheint neben der Halbjahresnote ein Vermerk. Die Berechnung ändert sich dadurch nicht.</t>
        </is>
      </c>
    </row>
    <row r="18" ht="30" customHeight="1">
      <c r="B18" s="125" t="inlineStr">
        <is>
          <t>Gewichtung Praxis/Theorie verwenden?</t>
        </is>
      </c>
      <c r="C18" s="68" t="inlineStr">
        <is>
          <t>nein</t>
        </is>
      </c>
      <c r="D18" s="127" t="inlineStr">
        <is>
          <t>nein = alle Übungen zählen gleich (Mittel der Prozentwerte). ja = Praxis und Theorie werden getrennt gemittelt und mit den Gewichten unten zusammengezogen.</t>
        </is>
      </c>
    </row>
    <row r="19" ht="30" customHeight="1">
      <c r="B19" s="125" t="inlineStr">
        <is>
          <t>Gewicht Praxis</t>
        </is>
      </c>
      <c r="C19" s="128" t="n">
        <v>0.7</v>
      </c>
      <c r="D19" s="127" t="inlineStr">
        <is>
          <t>Nur wirksam, wenn oben „ja“ steht.</t>
        </is>
      </c>
    </row>
    <row r="20" ht="30" customHeight="1">
      <c r="B20" s="125" t="inlineStr">
        <is>
          <t>Gewicht Theorie</t>
        </is>
      </c>
      <c r="C20" s="128" t="n">
        <v>0.3</v>
      </c>
      <c r="D20" s="127" t="inlineStr">
        <is>
          <t>Nur wirksam, wenn oben „ja“ steht.</t>
        </is>
      </c>
    </row>
    <row r="21" ht="30" customHeight="1">
      <c r="B21" s="125" t="inlineStr">
        <is>
          <t>Standard-Wertung bei Wiederholung</t>
        </is>
      </c>
      <c r="C21" s="68" t="inlineStr">
        <is>
          <t>letzte</t>
        </is>
      </c>
      <c r="D21" s="127" t="inlineStr">
        <is>
          <t>Gilt, solange auf dem Wiederholungsblatt beim Azubi nichts anderes steht: letzte / beste / keine.</t>
        </is>
      </c>
    </row>
    <row r="22" ht="30" customHeight="1">
      <c r="B22" s="125" t="inlineStr">
        <is>
          <t>Warnschwelle (Note ab …)</t>
        </is>
      </c>
      <c r="C22" s="126" t="n">
        <v>4</v>
      </c>
      <c r="D22" s="127" t="inlineStr">
        <is>
          <t>Ab dieser Halbjahresnote erscheint der Azubi in der Warnübersicht auf der Startseite.</t>
        </is>
      </c>
    </row>
    <row r="23" ht="10" customHeight="1"/>
    <row r="24" ht="26" customHeight="1">
      <c r="B24" s="15" t="inlineStr">
        <is>
          <t>Ausbildungsberufe (Auswahl in den Stammdaten)</t>
        </is>
      </c>
    </row>
    <row r="25" ht="20" customHeight="1">
      <c r="B25" s="110" t="inlineStr">
        <is>
          <t>Elektroniker/-in für Betriebstechnik</t>
        </is>
      </c>
      <c r="C25" s="129" t="inlineStr">
        <is>
          <t>Freie Zeilen bleiben leer – sie erscheinen dann als leerer Eintrag in der Auswahlliste.</t>
        </is>
      </c>
    </row>
    <row r="26" ht="20" customHeight="1">
      <c r="B26" s="110" t="inlineStr">
        <is>
          <t>Industriemechaniker/-in</t>
        </is>
      </c>
    </row>
    <row r="27" ht="20" customHeight="1">
      <c r="B27" s="110" t="inlineStr">
        <is>
          <t>Mechatroniker/-in</t>
        </is>
      </c>
    </row>
    <row r="28" ht="20" customHeight="1">
      <c r="B28" s="110" t="inlineStr">
        <is>
          <t>Fachkraft für Metalltechnik</t>
        </is>
      </c>
    </row>
    <row r="29" ht="20" customHeight="1">
      <c r="B29" s="110" t="n"/>
    </row>
    <row r="30" ht="20" customHeight="1">
      <c r="B30" s="110" t="n"/>
    </row>
    <row r="31" ht="20" customHeight="1">
      <c r="B31" s="110" t="n"/>
    </row>
    <row r="32" ht="20" customHeight="1">
      <c r="B32" s="110" t="n"/>
    </row>
    <row r="33" ht="20" customHeight="1">
      <c r="B33" s="110" t="n"/>
    </row>
    <row r="34" ht="20" customHeight="1">
      <c r="B34" s="110" t="n"/>
    </row>
    <row r="36" ht="22" customHeight="1">
      <c r="B36" s="35" t="inlineStr">
        <is>
          <t>Farben ändern: Die Prozentgrenzen oben wirken sofort auf alle Einfärbungen. Die Farbtöne selbst liegen in der bedingten Formatierung der Blätter (Start &gt; Bedingte Formatierung &gt; Regeln verwalten). Ohne Makros lässt sich ein Farbton nicht aus einer Zelle steuern – deshalb steht neben jeder Farbe immer auch die Note als Zahl mit Kurztext.</t>
        </is>
      </c>
      <c r="C36" s="36" t="n"/>
      <c r="D36" s="36" t="n"/>
      <c r="E36" s="36" t="n"/>
      <c r="F36" s="10" t="n"/>
    </row>
    <row r="37" ht="22" customHeight="1">
      <c r="B37" s="109" t="n"/>
      <c r="C37" s="73" t="n"/>
      <c r="D37" s="73" t="n"/>
      <c r="E37" s="73" t="n"/>
      <c r="F37" s="75" t="n"/>
    </row>
    <row r="38" ht="22" customHeight="1">
      <c r="B38" s="37" t="n"/>
      <c r="C38" s="38" t="n"/>
      <c r="D38" s="38" t="n"/>
      <c r="E38" s="38" t="n"/>
      <c r="F38" s="14" t="n"/>
    </row>
  </sheetData>
  <mergeCells count="17">
    <mergeCell ref="D21:F21"/>
    <mergeCell ref="D19:F19"/>
    <mergeCell ref="B24:F24"/>
    <mergeCell ref="A2:E2"/>
    <mergeCell ref="B15:F15"/>
    <mergeCell ref="D22:F22"/>
    <mergeCell ref="B5:F5"/>
    <mergeCell ref="D18:F18"/>
    <mergeCell ref="A1:E1"/>
    <mergeCell ref="D17:F17"/>
    <mergeCell ref="B36:F38"/>
    <mergeCell ref="F1:F2"/>
    <mergeCell ref="C25:F25"/>
    <mergeCell ref="A3:F3"/>
    <mergeCell ref="D20:F20"/>
    <mergeCell ref="D16:F16"/>
    <mergeCell ref="B13:F13"/>
  </mergeCells>
  <dataValidations count="2">
    <dataValidation sqref="C18" showDropDown="0" showInputMessage="0" showErrorMessage="0" allowBlank="0" type="list">
      <formula1>"ja,nein"</formula1>
    </dataValidation>
    <dataValidation sqref="C21" showDropDown="0" showInputMessage="0" showErrorMessage="0" allowBlank="0" type="list">
      <formula1>"letzte,beste,keine"</formula1>
    </dataValidation>
  </dataValidations>
  <hyperlinks>
    <hyperlink ref="F1" location="Start!A1"/>
  </hyperlinks>
  <pageMargins left="0.5" right="0.4" top="0.5" bottom="0.4" header="0.5" footer="0.5"/>
  <pageSetup orientation="portrait" paperSize="9" fitToHeight="0" fitToWidth="1"/>
</worksheet>
</file>

<file path=xl/worksheets/sheet8.xml><?xml version="1.0" encoding="utf-8"?>
<worksheet xmlns="http://schemas.openxmlformats.org/spreadsheetml/2006/main">
  <sheetPr>
    <tabColor rgb="0034557F"/>
    <outlinePr summaryBelow="1" summaryRight="1"/>
    <pageSetUpPr fitToPage="1"/>
  </sheetPr>
  <dimension ref="A1:D58"/>
  <sheetViews>
    <sheetView showGridLines="0" workbookViewId="0">
      <pane ySplit="3" topLeftCell="A4" activePane="bottomLeft" state="frozen"/>
      <selection pane="bottomLeft" activeCell="A1" sqref="A1"/>
    </sheetView>
  </sheetViews>
  <sheetFormatPr baseColWidth="8" defaultRowHeight="15"/>
  <cols>
    <col width="3" customWidth="1" min="1" max="1"/>
    <col width="5" customWidth="1" min="2" max="2"/>
    <col width="86" customWidth="1" min="3" max="3"/>
    <col width="3" customWidth="1" min="4" max="4"/>
  </cols>
  <sheetData>
    <row r="1" ht="22" customHeight="1">
      <c r="A1" s="64" t="inlineStr">
        <is>
          <t>«  Zurück zur Startseite</t>
        </is>
      </c>
    </row>
    <row r="2" ht="20" customHeight="1"/>
    <row r="3" ht="26" customHeight="1">
      <c r="A3" s="66" t="inlineStr">
        <is>
          <t>So arbeiten Sie mit dieser Datei</t>
        </is>
      </c>
    </row>
    <row r="4" ht="15" customHeight="1">
      <c r="B4" s="130" t="inlineStr">
        <is>
          <t>Gelb hinterlegte Felder werden ausgefüllt. Grau-blaue Felder rechnet die Datei selbst – dort bitte nichts hineinschreiben. Auf jedem Blatt oben rechts führt ein Link zurück zur Startseite.</t>
        </is>
      </c>
      <c r="C4" s="10" t="n"/>
    </row>
    <row r="5" ht="15" customHeight="1">
      <c r="B5" s="37" t="n"/>
      <c r="C5" s="14" t="n"/>
    </row>
    <row r="6" ht="7" customHeight="1"/>
    <row r="7" ht="22" customHeight="1">
      <c r="A7" s="131" t="inlineStr">
        <is>
          <t xml:space="preserve"> 1. Eine Note eintragen</t>
        </is>
      </c>
    </row>
    <row r="8" ht="18" customHeight="1">
      <c r="B8" s="132" t="inlineStr">
        <is>
          <t>1.</t>
        </is>
      </c>
      <c r="C8" s="133" t="inlineStr">
        <is>
          <t>Auf der Startseite in der Liste „Übungen“ auf den Namen der Übung klicken.</t>
        </is>
      </c>
    </row>
    <row r="9" ht="46" customHeight="1">
      <c r="B9" s="132" t="inlineStr">
        <is>
          <t>2.</t>
        </is>
      </c>
      <c r="C9" s="133" t="inlineStr">
        <is>
          <t>Der Azubi steht in einer Spalte, die Bewertungsparameter stehen untereinander. In seiner Spalte für jeden Parameter die Punkte eintragen – bei vielen Parametern einfach nach unten scrollen.</t>
        </is>
      </c>
    </row>
    <row r="10" ht="32" customHeight="1">
      <c r="B10" s="132" t="inlineStr">
        <is>
          <t>3.</t>
        </is>
      </c>
      <c r="C10" s="133" t="inlineStr">
        <is>
          <t>Punkte, Prozent und IHK-Note stehen oben über der Spalte, farbig hinterlegt. Der Kopfbereich bleibt beim Scrollen stehen, Sie sehen die Note also immer mitlaufen.</t>
        </is>
      </c>
    </row>
    <row r="11" ht="32" customHeight="1">
      <c r="B11" s="132" t="inlineStr">
        <is>
          <t>4.</t>
        </is>
      </c>
      <c r="C11" s="133" t="inlineStr">
        <is>
          <t>Ist die Übung fertig bewertet, oben im Kopf den Status auf „abgeschlossen“ stellen. Erst dann zählt sie für das Halbjahr.</t>
        </is>
      </c>
    </row>
    <row r="12" ht="7" customHeight="1"/>
    <row r="13" ht="22" customHeight="1">
      <c r="A13" s="131" t="inlineStr">
        <is>
          <t xml:space="preserve"> 2. Eine neue Übung anlegen</t>
        </is>
      </c>
    </row>
    <row r="14" ht="18" customHeight="1">
      <c r="B14" s="132" t="inlineStr">
        <is>
          <t>1.</t>
        </is>
      </c>
      <c r="C14" s="133" t="inlineStr">
        <is>
          <t>Startseite &gt; „Übungen verwalten“ öffnen.</t>
        </is>
      </c>
    </row>
    <row r="15" ht="32" customHeight="1">
      <c r="B15" s="132" t="inlineStr">
        <is>
          <t>2.</t>
        </is>
      </c>
      <c r="C15" s="133" t="inlineStr">
        <is>
          <t>In der ersten freien Zeile den Übungsnamen eintragen. Damit ist das zugehörige Blatt freigeschaltet.</t>
        </is>
      </c>
    </row>
    <row r="16" ht="18" customHeight="1">
      <c r="B16" s="132" t="inlineStr">
        <is>
          <t>3.</t>
        </is>
      </c>
      <c r="C16" s="133" t="inlineStr">
        <is>
          <t>Links in der Zeile auf den Blattnamen klicken.</t>
        </is>
      </c>
    </row>
    <row r="17" ht="32" customHeight="1">
      <c r="B17" s="132" t="inlineStr">
        <is>
          <t>4.</t>
        </is>
      </c>
      <c r="C17" s="133" t="inlineStr">
        <is>
          <t>Im Kopf des Blattes eintragen: Art (Praxis oder Theorie), Datum, Status und Ihr Kürzel bei „Bewertet von“.</t>
        </is>
      </c>
    </row>
    <row r="18" ht="60" customHeight="1">
      <c r="B18" s="132" t="inlineStr">
        <is>
          <t>5.</t>
        </is>
      </c>
      <c r="C18" s="133" t="inlineStr">
        <is>
          <t>Untereinander in der Spalte „Bewertungsparameter“ die Prüfpunkte eintragen, daneben den Bewertungshorizont (zum Beispiel „10 von 10 Bohrungen korrekt“). Die Höchstpunktzahl in Spalte D steht automatisch auf dem Wert aus den Einstellungen und kann überschrieben werden. Platz ist für 25 Parameter.</t>
        </is>
      </c>
    </row>
    <row r="19" ht="7" customHeight="1"/>
    <row r="20" ht="22" customHeight="1">
      <c r="A20" s="131" t="inlineStr">
        <is>
          <t xml:space="preserve"> 3. Einen Azubi aufnehmen</t>
        </is>
      </c>
    </row>
    <row r="21" ht="18" customHeight="1">
      <c r="B21" s="132" t="inlineStr">
        <is>
          <t>1.</t>
        </is>
      </c>
      <c r="C21" s="133" t="inlineStr">
        <is>
          <t>Startseite &gt; „Stammdaten“ öffnen.</t>
        </is>
      </c>
    </row>
    <row r="22" ht="32" customHeight="1">
      <c r="B22" s="132" t="inlineStr">
        <is>
          <t>2.</t>
        </is>
      </c>
      <c r="C22" s="133" t="inlineStr">
        <is>
          <t>In der ersten freien Zeile Name, Vorname, Beruf und Ausbildungsstart (meist der 01.09.) eintragen, Status „aktiv“.</t>
        </is>
      </c>
    </row>
    <row r="23" ht="32" customHeight="1">
      <c r="B23" s="132" t="inlineStr">
        <is>
          <t>3.</t>
        </is>
      </c>
      <c r="C23" s="133" t="inlineStr">
        <is>
          <t>Jahrgang, Lehrjahr und Halbjahr berechnet die Datei selbst. Der neue Azubi erscheint sofort auf allen Übungsblättern.</t>
        </is>
      </c>
    </row>
    <row r="24" ht="32" customHeight="1">
      <c r="B24" s="132" t="inlineStr">
        <is>
          <t>4.</t>
        </is>
      </c>
      <c r="C24" s="133" t="inlineStr">
        <is>
          <t>Verlässt jemand die Ausbildung: nichts löschen, nur den Status auf „ausgeschieden“ oder „fertig“ setzen. Alle bisherigen Bewertungen bleiben erhalten.</t>
        </is>
      </c>
    </row>
    <row r="25" ht="7" customHeight="1"/>
    <row r="26" ht="22" customHeight="1">
      <c r="A26" s="131" t="inlineStr">
        <is>
          <t xml:space="preserve"> 4. Nicht-Teilnahme eintragen</t>
        </is>
      </c>
    </row>
    <row r="27" ht="32" customHeight="1">
      <c r="B27" s="132" t="inlineStr">
        <is>
          <t>1.</t>
        </is>
      </c>
      <c r="C27" s="133" t="inlineStr">
        <is>
          <t>War ein Azubi bei einzelnen Prüfpunkten nicht dabei: in das Punktefeld „n.b.“ schreiben. Dieser Punkt fällt dann aus Summe und Höchstpunktzahl heraus.</t>
        </is>
      </c>
    </row>
    <row r="28" ht="32" customHeight="1">
      <c r="B28" s="132" t="inlineStr">
        <is>
          <t>2.</t>
        </is>
      </c>
      <c r="C28" s="133" t="inlineStr">
        <is>
          <t>War er bei der ganzen Übung nicht dabei: in alle Punktefelder seiner Spalte „n.b.“ schreiben.</t>
        </is>
      </c>
    </row>
    <row r="29" ht="32" customHeight="1">
      <c r="B29" s="132" t="inlineStr">
        <is>
          <t>3.</t>
        </is>
      </c>
      <c r="C29" s="133" t="inlineStr">
        <is>
          <t>Unter dem Parameterblock in der Zeile „Grund (n.b.)“ krank, Urlaub, Berufsschule oder sonstiges wählen; eine Zeile tiefer steht „Bemerkung“ für eine Notiz.</t>
        </is>
      </c>
    </row>
    <row r="30" ht="32" customHeight="1">
      <c r="B30" s="132" t="inlineStr">
        <is>
          <t>4.</t>
        </is>
      </c>
      <c r="C30" s="133" t="inlineStr">
        <is>
          <t>Die Übung zählt für diesen Azubi dann nirgends mit – weder als 0 Punkte noch im Durchschnitt, in der Halbjahresnote oder in der Warnübersicht.</t>
        </is>
      </c>
    </row>
    <row r="31" ht="7" customHeight="1"/>
    <row r="32" ht="22" customHeight="1">
      <c r="A32" s="131" t="inlineStr">
        <is>
          <t xml:space="preserve"> 5. Eine frühere Version zurückholen (SharePoint)</t>
        </is>
      </c>
    </row>
    <row r="33" ht="32" customHeight="1">
      <c r="B33" s="132" t="inlineStr">
        <is>
          <t>1.</t>
        </is>
      </c>
      <c r="C33" s="133" t="inlineStr">
        <is>
          <t>Ist etwas durcheinandergeraten, ist nichts verloren: SharePoint speichert jede Version.</t>
        </is>
      </c>
    </row>
    <row r="34" ht="32" customHeight="1">
      <c r="B34" s="132" t="inlineStr">
        <is>
          <t>2.</t>
        </is>
      </c>
      <c r="C34" s="133" t="inlineStr">
        <is>
          <t>In Excel: Datei &gt; Informationen &gt; Versionsverlauf. Im Browser: rechte Maustaste auf die Datei &gt; Versionsverlauf.</t>
        </is>
      </c>
    </row>
    <row r="35" ht="18" customHeight="1">
      <c r="B35" s="132" t="inlineStr">
        <is>
          <t>3.</t>
        </is>
      </c>
      <c r="C35" s="133" t="inlineStr">
        <is>
          <t>Die gewünschte Version anklicken, ansehen und bei Bedarf „Wiederherstellen“ wählen.</t>
        </is>
      </c>
    </row>
    <row r="36" ht="7" customHeight="1"/>
    <row r="37" ht="22" customHeight="1">
      <c r="A37" s="131" t="inlineStr">
        <is>
          <t xml:space="preserve"> 6. Nachholen und Wiederholen</t>
        </is>
      </c>
    </row>
    <row r="38" ht="18" customHeight="1">
      <c r="B38" s="132" t="inlineStr">
        <is>
          <t>1.</t>
        </is>
      </c>
      <c r="C38" s="133" t="inlineStr">
        <is>
          <t>Den Nachholtermin als ganz normale neue Übung anlegen (Schritt 2).</t>
        </is>
      </c>
    </row>
    <row r="39" ht="18" customHeight="1">
      <c r="B39" s="132" t="inlineStr">
        <is>
          <t>2.</t>
        </is>
      </c>
      <c r="C39" s="133" t="inlineStr">
        <is>
          <t>Im Kopf dieses Blattes bei „Wiederholung von“ die ursprüngliche Übung auswählen.</t>
        </is>
      </c>
    </row>
    <row r="40" ht="46" customHeight="1">
      <c r="B40" s="132" t="inlineStr">
        <is>
          <t>3.</t>
        </is>
      </c>
      <c r="C40" s="133" t="inlineStr">
        <is>
          <t>Standardmäßig zählt die letzte Wertung. Soll bei einem einzelnen Azubi die beste zählen oder gar keine Wiederholungswertung, in seiner Spalte unten in der Zeile „Wertung bei Wiederholung“ beste oder keine wählen.</t>
        </is>
      </c>
    </row>
    <row r="41" ht="18" customHeight="1">
      <c r="B41" s="132" t="inlineStr">
        <is>
          <t>4.</t>
        </is>
      </c>
      <c r="C41" s="133" t="inlineStr">
        <is>
          <t>In der Azubi-Ansicht zeigt die Spalte „zählt?“, welcher Versuch gewertet wird.</t>
        </is>
      </c>
    </row>
    <row r="42" ht="7" customHeight="1"/>
    <row r="43" ht="22" customHeight="1">
      <c r="A43" s="131" t="inlineStr">
        <is>
          <t xml:space="preserve"> 7. Das Halbjahresgespräch vorbereiten</t>
        </is>
      </c>
    </row>
    <row r="44" ht="18" customHeight="1">
      <c r="B44" s="132" t="inlineStr">
        <is>
          <t>1.</t>
        </is>
      </c>
      <c r="C44" s="133" t="inlineStr">
        <is>
          <t>Startseite &gt; „Gesprächsseite“ öffnen, oben Azubi und Halbjahr wählen.</t>
        </is>
      </c>
    </row>
    <row r="45" ht="18" customHeight="1">
      <c r="B45" s="132" t="inlineStr">
        <is>
          <t>2.</t>
        </is>
      </c>
      <c r="C45" s="133" t="inlineStr">
        <is>
          <t>Die Seite ist für A4 hochkant eingerichtet: Datei &gt; Drucken genügt.</t>
        </is>
      </c>
    </row>
    <row r="46" ht="60" customHeight="1">
      <c r="B46" s="132" t="inlineStr">
        <is>
          <t>3.</t>
        </is>
      </c>
      <c r="C46" s="133" t="inlineStr">
        <is>
          <t>Wichtig beim gleichzeitigen Arbeiten: Die Auswahlfelder oben auf der Gesprächsseite, in der Azubi-Ansicht und im Blatt „Halbjahr“ sind für alle dieselben Zellen. Stellt ein Kollege dort gerade jemand anderen ein, ändert sich Ihre Ansicht mit. Vor dem Drucken deshalb bitte kurz prüfen, ob oben noch der richtige Name steht.</t>
        </is>
      </c>
    </row>
    <row r="47" ht="18" customHeight="1">
      <c r="B47" s="132" t="inlineStr">
        <is>
          <t>4.</t>
        </is>
      </c>
      <c r="C47" s="133" t="inlineStr">
        <is>
          <t>Ein Überblick über alle Azubis eines Halbjahres steht auf dem Blatt „Halbjahr“.</t>
        </is>
      </c>
    </row>
    <row r="48" ht="7" customHeight="1"/>
    <row r="49" ht="22" customHeight="1">
      <c r="A49" s="131" t="inlineStr">
        <is>
          <t xml:space="preserve"> 8. Wenn der Platz nicht reicht</t>
        </is>
      </c>
    </row>
    <row r="50" ht="46" customHeight="1">
      <c r="B50" s="132" t="inlineStr">
        <is>
          <t>1.</t>
        </is>
      </c>
      <c r="C50" s="133" t="inlineStr">
        <is>
          <t>Mehr als 20 Übungen: Blattreiter „Vorlage“ mit der rechten Maustaste anklicken &gt; Verschieben oder kopieren &gt; Kopie erstellen. Auf dem kopierten Blatt wird der Übungsname von Hand eingetragen; in den Auswertungen erscheint es nicht automatisch.</t>
        </is>
      </c>
    </row>
    <row r="51" ht="32" customHeight="1">
      <c r="B51" s="132" t="inlineStr">
        <is>
          <t>2.</t>
        </is>
      </c>
      <c r="C51" s="133" t="inlineStr">
        <is>
          <t>Mehr als 25 Azubis: bitte kurz Bescheid geben – dafür muss die Datei einmal neu erzeugt werden.</t>
        </is>
      </c>
    </row>
    <row r="52" ht="7" customHeight="1"/>
    <row r="53" ht="22" customHeight="1">
      <c r="A53" s="131" t="inlineStr">
        <is>
          <t xml:space="preserve"> 9. Was die Farben bedeuten</t>
        </is>
      </c>
    </row>
    <row r="54" ht="32" customHeight="1">
      <c r="B54" s="132" t="inlineStr">
        <is>
          <t>1.</t>
        </is>
      </c>
      <c r="C54" s="133" t="inlineStr">
        <is>
          <t>Die Einfärbung folgt dem IHK-Notenschlüssel: dunkelgrün = Note 1, hellgrün = 2, gelb = 3, orange = 4, rot = 5, dunkelrot = 6.</t>
        </is>
      </c>
    </row>
    <row r="55" ht="32" customHeight="1">
      <c r="B55" s="132" t="inlineStr">
        <is>
          <t>2.</t>
        </is>
      </c>
      <c r="C55" s="133" t="inlineStr">
        <is>
          <t>Neben der Farbe steht immer die Note als Zahl mit Kurztext – der Ausdruck in Schwarz-Weiß bleibt damit lesbar.</t>
        </is>
      </c>
    </row>
    <row r="56" ht="32" customHeight="1">
      <c r="B56" s="132" t="inlineStr">
        <is>
          <t>3.</t>
        </is>
      </c>
      <c r="C56" s="133" t="inlineStr">
        <is>
          <t>Die Prozentgrenzen stehen im Blatt „Einstellungen“. Wer sie dort ändert, ändert die Einfärbung in der ganzen Datei mit.</t>
        </is>
      </c>
    </row>
    <row r="57" ht="15" customHeight="1">
      <c r="B57" s="130" t="inlineStr">
        <is>
          <t>Die Datei enthält keine Makros. Mehrere Kollegen können sie gleichzeitig bearbeiten, auch in Excel im Browser.</t>
        </is>
      </c>
      <c r="C57" s="10" t="n"/>
    </row>
    <row r="58" ht="15" customHeight="1">
      <c r="B58" s="37" t="n"/>
      <c r="C58" s="14" t="n"/>
    </row>
  </sheetData>
  <mergeCells count="13">
    <mergeCell ref="B57:C58"/>
    <mergeCell ref="A1:D1"/>
    <mergeCell ref="A37:D37"/>
    <mergeCell ref="A53:D53"/>
    <mergeCell ref="A3:D3"/>
    <mergeCell ref="A20:D20"/>
    <mergeCell ref="A26:D26"/>
    <mergeCell ref="A7:D7"/>
    <mergeCell ref="A43:D43"/>
    <mergeCell ref="A49:D49"/>
    <mergeCell ref="A32:D32"/>
    <mergeCell ref="A13:D13"/>
    <mergeCell ref="B4:C5"/>
  </mergeCells>
  <hyperlinks>
    <hyperlink ref="A1" location="Start!A1"/>
  </hyperlinks>
  <pageMargins left="0.75" right="0.75" top="1" bottom="1" header="0.5" footer="0.5"/>
  <pageSetup orientation="portrait" paperSize="9" fitToHeight="0" fitToWidth="1"/>
  <rowBreaks count="1" manualBreakCount="1">
    <brk id="35" min="0" max="16383" man="1"/>
  </rowBreaks>
</worksheet>
</file>

<file path=xl/worksheets/sheet9.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01</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6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IF('Übungen'!$C6="","",'Übungen'!$C6)</f>
        <v/>
      </c>
      <c r="F3" s="137" t="inlineStr">
        <is>
          <t xml:space="preserve"> Art</t>
        </is>
      </c>
      <c r="H3" s="139" t="inlineStr">
        <is>
          <t>Praxis</t>
        </is>
      </c>
      <c r="J3" s="137" t="inlineStr">
        <is>
          <t xml:space="preserve"> Datum</t>
        </is>
      </c>
      <c r="L3" s="140" t="n">
        <v>46093</v>
      </c>
      <c r="N3" s="65" t="inlineStr">
        <is>
          <t>Bewertungsparameter untereinander, Azubis nebeneinander – zum Eintragen nach unten scrollen.</t>
        </is>
      </c>
    </row>
    <row r="4" ht="18" customHeight="1">
      <c r="A4" s="137" t="inlineStr">
        <is>
          <t xml:space="preserve"> Status</t>
        </is>
      </c>
      <c r="C4" s="141" t="inlineStr">
        <is>
          <t>abgeschlossen</t>
        </is>
      </c>
      <c r="F4" s="137" t="inlineStr">
        <is>
          <t xml:space="preserve"> Bewertet von</t>
        </is>
      </c>
      <c r="H4" s="139" t="inlineStr">
        <is>
          <t>MS</t>
        </is>
      </c>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inlineStr">
        <is>
          <t>Maßhaltigkeit</t>
        </is>
      </c>
      <c r="C11" s="150" t="inlineStr">
        <is>
          <t>Alle Maße in Toleranz ±0,1 mm</t>
        </is>
      </c>
      <c r="D11" s="151">
        <f>IF($B11="",0,PktStd)</f>
        <v/>
      </c>
      <c r="E11" s="152" t="n">
        <v>9</v>
      </c>
      <c r="F11" s="152" t="n">
        <v>10</v>
      </c>
      <c r="G11" s="152" t="inlineStr">
        <is>
          <t>n.b.</t>
        </is>
      </c>
      <c r="H11" s="152" t="n">
        <v>6</v>
      </c>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inlineStr">
        <is>
          <t>Bohrungen korrekt</t>
        </is>
      </c>
      <c r="C12" s="150" t="inlineStr">
        <is>
          <t>10 von 10 Bohrungen korrekt</t>
        </is>
      </c>
      <c r="D12" s="151">
        <f>IF($B12="",0,PktStd)</f>
        <v/>
      </c>
      <c r="E12" s="152" t="n">
        <v>10</v>
      </c>
      <c r="F12" s="152" t="n">
        <v>10</v>
      </c>
      <c r="G12" s="152" t="inlineStr">
        <is>
          <t>n.b.</t>
        </is>
      </c>
      <c r="H12" s="152" t="n">
        <v>5</v>
      </c>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inlineStr">
        <is>
          <t>Senkungen</t>
        </is>
      </c>
      <c r="C13" s="150" t="inlineStr">
        <is>
          <t>Senkwinkel und Tiefe gleichmäßig</t>
        </is>
      </c>
      <c r="D13" s="151">
        <f>IF($B13="",0,PktStd)</f>
        <v/>
      </c>
      <c r="E13" s="152" t="n">
        <v>8</v>
      </c>
      <c r="F13" s="152" t="n">
        <v>9</v>
      </c>
      <c r="G13" s="152" t="inlineStr">
        <is>
          <t>n.b.</t>
        </is>
      </c>
      <c r="H13" s="152" t="n">
        <v>7</v>
      </c>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inlineStr">
        <is>
          <t>Oberfläche</t>
        </is>
      </c>
      <c r="C14" s="150" t="inlineStr">
        <is>
          <t>Grat entfernt, keine Riefen</t>
        </is>
      </c>
      <c r="D14" s="151">
        <f>IF($B14="",0,PktStd)</f>
        <v/>
      </c>
      <c r="E14" s="152" t="n">
        <v>7</v>
      </c>
      <c r="F14" s="152" t="n">
        <v>9</v>
      </c>
      <c r="G14" s="152" t="inlineStr">
        <is>
          <t>n.b.</t>
        </is>
      </c>
      <c r="H14" s="152" t="n">
        <v>6</v>
      </c>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inlineStr">
        <is>
          <t>Arbeitssicherheit</t>
        </is>
      </c>
      <c r="C15" s="150" t="inlineStr">
        <is>
          <t>PSA getragen, Maschine gesichert</t>
        </is>
      </c>
      <c r="D15" s="151">
        <f>IF($B15="",0,PktStd)</f>
        <v/>
      </c>
      <c r="E15" s="152" t="n">
        <v>10</v>
      </c>
      <c r="F15" s="152" t="n">
        <v>10</v>
      </c>
      <c r="G15" s="152" t="inlineStr">
        <is>
          <t>n.b.</t>
        </is>
      </c>
      <c r="H15" s="152" t="n">
        <v>8</v>
      </c>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inlineStr">
        <is>
          <t>krank</t>
        </is>
      </c>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inlineStr">
        <is>
          <t>Sauber gearbeitet, etwas langsam.</t>
        </is>
      </c>
      <c r="F41" s="156" t="inlineStr">
        <is>
          <t>Vorbildlich.</t>
        </is>
      </c>
      <c r="G41" s="156" t="inlineStr">
        <is>
          <t>Nachholtermin vereinbart.</t>
        </is>
      </c>
      <c r="H41" s="156" t="inlineStr">
        <is>
          <t>Bohrbild üben, Sicherheit war in Ordnung.</t>
        </is>
      </c>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0.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02</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7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IF('Übungen'!$C7="","",'Übungen'!$C7)</f>
        <v/>
      </c>
      <c r="F3" s="137" t="inlineStr">
        <is>
          <t xml:space="preserve"> Art</t>
        </is>
      </c>
      <c r="H3" s="139" t="inlineStr">
        <is>
          <t>Theorie</t>
        </is>
      </c>
      <c r="J3" s="137" t="inlineStr">
        <is>
          <t xml:space="preserve"> Datum</t>
        </is>
      </c>
      <c r="L3" s="140" t="n">
        <v>46136</v>
      </c>
      <c r="N3" s="65" t="inlineStr">
        <is>
          <t>Bewertungsparameter untereinander, Azubis nebeneinander – zum Eintragen nach unten scrollen.</t>
        </is>
      </c>
    </row>
    <row r="4" ht="18" customHeight="1">
      <c r="A4" s="137" t="inlineStr">
        <is>
          <t xml:space="preserve"> Status</t>
        </is>
      </c>
      <c r="C4" s="141" t="inlineStr">
        <is>
          <t>abgeschlossen</t>
        </is>
      </c>
      <c r="F4" s="137" t="inlineStr">
        <is>
          <t xml:space="preserve"> Bewertet von</t>
        </is>
      </c>
      <c r="H4" s="139" t="inlineStr">
        <is>
          <t>AB</t>
        </is>
      </c>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inlineStr">
        <is>
          <t>Ohmsches Gesetz</t>
        </is>
      </c>
      <c r="C11" s="150" t="inlineStr">
        <is>
          <t>6 von 6 Aufgaben richtig</t>
        </is>
      </c>
      <c r="D11" s="151">
        <f>IF($B11="",0,PktStd)</f>
        <v/>
      </c>
      <c r="E11" s="152" t="n">
        <v>8</v>
      </c>
      <c r="F11" s="152" t="n">
        <v>9</v>
      </c>
      <c r="G11" s="152" t="n">
        <v>7</v>
      </c>
      <c r="H11" s="152" t="n">
        <v>5</v>
      </c>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inlineStr">
        <is>
          <t>Reihenschaltung</t>
        </is>
      </c>
      <c r="C12" s="150" t="inlineStr">
        <is>
          <t>5 von 5 Aufgaben richtig</t>
        </is>
      </c>
      <c r="D12" s="151">
        <f>IF($B12="",0,PktStd)</f>
        <v/>
      </c>
      <c r="E12" s="152" t="n">
        <v>9</v>
      </c>
      <c r="F12" s="152" t="n">
        <v>10</v>
      </c>
      <c r="G12" s="152" t="n">
        <v>6</v>
      </c>
      <c r="H12" s="152" t="n">
        <v>6</v>
      </c>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inlineStr">
        <is>
          <t>Parallelschaltung</t>
        </is>
      </c>
      <c r="C13" s="150" t="inlineStr">
        <is>
          <t>5 von 5 Aufgaben richtig</t>
        </is>
      </c>
      <c r="D13" s="151">
        <f>IF($B13="",0,PktStd)</f>
        <v/>
      </c>
      <c r="E13" s="152" t="n">
        <v>7</v>
      </c>
      <c r="F13" s="152" t="n">
        <v>9</v>
      </c>
      <c r="G13" s="152" t="n">
        <v>8</v>
      </c>
      <c r="H13" s="152" t="inlineStr">
        <is>
          <t>n.b.</t>
        </is>
      </c>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inlineStr">
        <is>
          <t>Leistungsberechnung</t>
        </is>
      </c>
      <c r="C14" s="150" t="inlineStr">
        <is>
          <t>10 von 10 Aufgaben richtig</t>
        </is>
      </c>
      <c r="D14" s="151" t="n">
        <v>20</v>
      </c>
      <c r="E14" s="152" t="n">
        <v>15</v>
      </c>
      <c r="F14" s="152" t="n">
        <v>18</v>
      </c>
      <c r="G14" s="152" t="n">
        <v>12</v>
      </c>
      <c r="H14" s="152" t="n">
        <v>10</v>
      </c>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inlineStr">
        <is>
          <t>Berufsschule</t>
        </is>
      </c>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inlineStr">
        <is>
          <t>Leistungsberechnung wiederholen.</t>
        </is>
      </c>
      <c r="H41" s="156" t="inlineStr">
        <is>
          <t>Aufgabenteil fiel wegen Berufsschule aus.</t>
        </is>
      </c>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1.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03</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8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IF('Übungen'!$C8="","",'Übungen'!$C8)</f>
        <v/>
      </c>
      <c r="F3" s="137" t="inlineStr">
        <is>
          <t xml:space="preserve"> Art</t>
        </is>
      </c>
      <c r="H3" s="139" t="inlineStr">
        <is>
          <t>Praxis</t>
        </is>
      </c>
      <c r="J3" s="137" t="inlineStr">
        <is>
          <t xml:space="preserve"> Datum</t>
        </is>
      </c>
      <c r="L3" s="140" t="n">
        <v>46297</v>
      </c>
      <c r="N3" s="65" t="inlineStr">
        <is>
          <t>Bewertungsparameter untereinander, Azubis nebeneinander – zum Eintragen nach unten scrollen.</t>
        </is>
      </c>
    </row>
    <row r="4" ht="18" customHeight="1">
      <c r="A4" s="137" t="inlineStr">
        <is>
          <t xml:space="preserve"> Status</t>
        </is>
      </c>
      <c r="C4" s="141" t="inlineStr">
        <is>
          <t>laufend</t>
        </is>
      </c>
      <c r="F4" s="137" t="inlineStr">
        <is>
          <t xml:space="preserve"> Bewertet von</t>
        </is>
      </c>
      <c r="H4" s="139" t="inlineStr">
        <is>
          <t>MS</t>
        </is>
      </c>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inlineStr">
        <is>
          <t>Verlegeart</t>
        </is>
      </c>
      <c r="C11" s="150" t="inlineStr">
        <is>
          <t>Vorgabe eingehalten</t>
        </is>
      </c>
      <c r="D11" s="151">
        <f>IF($B11="",0,PktStd)</f>
        <v/>
      </c>
      <c r="E11" s="152" t="n">
        <v>10</v>
      </c>
      <c r="F11" s="152" t="n">
        <v>8</v>
      </c>
      <c r="G11" s="152" t="n">
        <v>6</v>
      </c>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inlineStr">
        <is>
          <t>Befestigung</t>
        </is>
      </c>
      <c r="C12" s="150" t="inlineStr">
        <is>
          <t>Abstände nach Vorgabe</t>
        </is>
      </c>
      <c r="D12" s="151">
        <f>IF($B12="",0,PktStd)</f>
        <v/>
      </c>
      <c r="E12" s="152" t="n">
        <v>9</v>
      </c>
      <c r="F12" s="152" t="n">
        <v>8</v>
      </c>
      <c r="G12" s="152" t="n">
        <v>5</v>
      </c>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inlineStr">
        <is>
          <t>Biegeradien</t>
        </is>
      </c>
      <c r="C13" s="150" t="inlineStr">
        <is>
          <t>Mindestradien eingehalten</t>
        </is>
      </c>
      <c r="D13" s="151">
        <f>IF($B13="",0,PktStd)</f>
        <v/>
      </c>
      <c r="E13" s="152" t="n">
        <v>9</v>
      </c>
      <c r="F13" s="152" t="n">
        <v>9</v>
      </c>
      <c r="G13" s="152" t="n">
        <v>6</v>
      </c>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inlineStr">
        <is>
          <t>Ordnung/Sauberkeit</t>
        </is>
      </c>
      <c r="C14" s="150" t="inlineStr">
        <is>
          <t>Arbeitsplatz aufgeräumt</t>
        </is>
      </c>
      <c r="D14" s="151">
        <f>IF($B14="",0,PktStd)</f>
        <v/>
      </c>
      <c r="E14" s="152" t="n">
        <v>10</v>
      </c>
      <c r="F14" s="152" t="n">
        <v>8</v>
      </c>
      <c r="G14" s="152" t="n">
        <v>6</v>
      </c>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inlineStr">
        <is>
          <t>Nach der Krankheit noch unsicher.</t>
        </is>
      </c>
      <c r="H41" s="156" t="inlineStr">
        <is>
          <t>Noch nicht bewertet.</t>
        </is>
      </c>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2.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04</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9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IF('Übungen'!$C9="","",'Übungen'!$C9)</f>
        <v/>
      </c>
      <c r="F3" s="137" t="inlineStr">
        <is>
          <t xml:space="preserve"> Art</t>
        </is>
      </c>
      <c r="H3" s="139" t="inlineStr">
        <is>
          <t>Praxis</t>
        </is>
      </c>
      <c r="J3" s="137" t="inlineStr">
        <is>
          <t xml:space="preserve"> Datum</t>
        </is>
      </c>
      <c r="L3" s="140" t="n">
        <v>46182</v>
      </c>
      <c r="N3" s="65" t="inlineStr">
        <is>
          <t>Bewertungsparameter untereinander, Azubis nebeneinander – zum Eintragen nach unten scrollen.</t>
        </is>
      </c>
    </row>
    <row r="4" ht="18" customHeight="1">
      <c r="A4" s="137" t="inlineStr">
        <is>
          <t xml:space="preserve"> Status</t>
        </is>
      </c>
      <c r="C4" s="141" t="inlineStr">
        <is>
          <t>abgeschlossen</t>
        </is>
      </c>
      <c r="F4" s="137" t="inlineStr">
        <is>
          <t xml:space="preserve"> Bewertet von</t>
        </is>
      </c>
      <c r="H4" s="139" t="inlineStr">
        <is>
          <t>MS</t>
        </is>
      </c>
      <c r="J4" s="137" t="inlineStr">
        <is>
          <t xml:space="preserve"> Gewicht</t>
        </is>
      </c>
      <c r="L4" s="142" t="n">
        <v>1</v>
      </c>
      <c r="N4" s="137" t="inlineStr">
        <is>
          <t xml:space="preserve"> Wiederholung von</t>
        </is>
      </c>
      <c r="Q4" s="141" t="inlineStr">
        <is>
          <t>Bohren und Senken</t>
        </is>
      </c>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inlineStr">
        <is>
          <t>Maßhaltigkeit</t>
        </is>
      </c>
      <c r="C11" s="150" t="inlineStr">
        <is>
          <t>Alle Maße in Toleranz ±0,1 mm</t>
        </is>
      </c>
      <c r="D11" s="151">
        <f>IF($B11="",0,PktStd)</f>
        <v/>
      </c>
      <c r="E11" s="152" t="n"/>
      <c r="F11" s="152" t="n"/>
      <c r="G11" s="152" t="n">
        <v>8</v>
      </c>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inlineStr">
        <is>
          <t>Bohrungen korrekt</t>
        </is>
      </c>
      <c r="C12" s="150" t="inlineStr">
        <is>
          <t>10 von 10 Bohrungen korrekt</t>
        </is>
      </c>
      <c r="D12" s="151">
        <f>IF($B12="",0,PktStd)</f>
        <v/>
      </c>
      <c r="E12" s="152" t="n"/>
      <c r="F12" s="152" t="n"/>
      <c r="G12" s="152" t="n">
        <v>9</v>
      </c>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inlineStr">
        <is>
          <t>Senkungen</t>
        </is>
      </c>
      <c r="C13" s="150" t="inlineStr">
        <is>
          <t>Senkwinkel und Tiefe gleichmäßig</t>
        </is>
      </c>
      <c r="D13" s="151">
        <f>IF($B13="",0,PktStd)</f>
        <v/>
      </c>
      <c r="E13" s="152" t="n"/>
      <c r="F13" s="152" t="n"/>
      <c r="G13" s="152" t="n">
        <v>8</v>
      </c>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inlineStr">
        <is>
          <t>Oberfläche</t>
        </is>
      </c>
      <c r="C14" s="150" t="inlineStr">
        <is>
          <t>Grat entfernt, keine Riefen</t>
        </is>
      </c>
      <c r="D14" s="151">
        <f>IF($B14="",0,PktStd)</f>
        <v/>
      </c>
      <c r="E14" s="152" t="n"/>
      <c r="F14" s="152" t="n"/>
      <c r="G14" s="152" t="n">
        <v>7</v>
      </c>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inlineStr">
        <is>
          <t>Arbeitssicherheit</t>
        </is>
      </c>
      <c r="C15" s="150" t="inlineStr">
        <is>
          <t>PSA getragen, Maschine gesichert</t>
        </is>
      </c>
      <c r="D15" s="151">
        <f>IF($B15="",0,PktStd)</f>
        <v/>
      </c>
      <c r="E15" s="152" t="n"/>
      <c r="F15" s="152" t="n"/>
      <c r="G15" s="152" t="n">
        <v>9</v>
      </c>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inlineStr">
        <is>
          <t>Nachholtermin nach Krankheit.</t>
        </is>
      </c>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3.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05</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10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IF('Übungen'!$C10="","",'Übungen'!$C10)</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4.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06</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11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IF('Übungen'!$C11="","",'Übungen'!$C11)</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5.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07</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12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IF('Übungen'!$C12="","",'Übungen'!$C12)</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6.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08</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13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IF('Übungen'!$C13="","",'Übungen'!$C13)</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7.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09</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14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IF('Übungen'!$C14="","",'Übungen'!$C14)</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8.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10</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15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IF('Übungen'!$C15="","",'Übungen'!$C15)</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9.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11</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16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IF('Übungen'!$C16="","",'Übungen'!$C16)</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0.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12</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17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IF('Übungen'!$C17="","",'Übungen'!$C17)</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1.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13</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18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IF('Übungen'!$C18="","",'Übungen'!$C18)</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2.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14</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19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IF('Übungen'!$C19="","",'Übungen'!$C19)</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3.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15</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20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IF('Übungen'!$C20="","",'Übungen'!$C20)</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4.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16</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21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IF('Übungen'!$C21="","",'Übungen'!$C21)</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5.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17</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22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IF('Übungen'!$C22="","",'Übungen'!$C22)</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6.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18</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23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IF('Übungen'!$C23="","",'Übungen'!$C23)</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7.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19</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24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IF('Übungen'!$C24="","",'Übungen'!$C24)</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8.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Übung 20</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IF($C$3="","FREI – noch nicht belegt. Zum Freischalten im Blatt ›Übungen verwalten‹ in Zeile 25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7" t="inlineStr">
        <is>
          <t xml:space="preserve"> Übungsname</t>
        </is>
      </c>
      <c r="C3" s="138">
        <f>IF('Übungen'!$C25="","",'Übungen'!$C25)</f>
        <v/>
      </c>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9.xml><?xml version="1.0" encoding="utf-8"?>
<worksheet xmlns="http://schemas.openxmlformats.org/spreadsheetml/2006/main">
  <sheetPr>
    <tabColor rgb="0034557F"/>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4" t="inlineStr">
        <is>
          <t>Vorlage für weitere Übungen</t>
        </is>
      </c>
      <c r="B1" s="2" t="n"/>
      <c r="C1" s="2" t="n"/>
      <c r="D1" s="2" t="n"/>
      <c r="E1" s="2" t="n"/>
      <c r="F1" s="2" t="n"/>
      <c r="G1" s="2" t="n"/>
      <c r="H1" s="2" t="n"/>
      <c r="I1" s="2" t="n"/>
      <c r="J1" s="2" t="n"/>
      <c r="K1" s="2" t="n"/>
      <c r="L1" s="2" t="n"/>
      <c r="M1" s="135" t="inlineStr">
        <is>
          <t>«  Zurück zur Startseite</t>
        </is>
      </c>
      <c r="R1" s="2" t="n"/>
      <c r="S1" s="2" t="n"/>
      <c r="T1" s="2" t="n"/>
      <c r="U1" s="2" t="n"/>
      <c r="V1" s="2" t="n"/>
      <c r="W1" s="2" t="n"/>
      <c r="X1" s="2" t="n"/>
      <c r="Y1" s="2" t="n"/>
      <c r="Z1" s="2" t="n"/>
      <c r="AA1" s="2" t="n"/>
      <c r="AB1" s="2" t="n"/>
      <c r="AC1" s="2" t="n"/>
    </row>
    <row r="2" ht="16" customHeight="1">
      <c r="A2" s="136">
        <f>"VORLAGE – dieses Blatt wird in keiner Auswertung mitgezählt. Für eine 21. Übung: Blattreiter rechts anklicken &gt; Verschieben oder kopieren &gt; Kopie erstellen."</f>
        <v/>
      </c>
    </row>
    <row r="3" ht="18" customHeight="1">
      <c r="A3" s="137" t="inlineStr">
        <is>
          <t xml:space="preserve"> Übungsname</t>
        </is>
      </c>
      <c r="C3" s="141" t="n"/>
      <c r="F3" s="137" t="inlineStr">
        <is>
          <t xml:space="preserve"> Art</t>
        </is>
      </c>
      <c r="H3" s="139" t="n"/>
      <c r="J3" s="137" t="inlineStr">
        <is>
          <t xml:space="preserve"> Datum</t>
        </is>
      </c>
      <c r="L3" s="140" t="n"/>
      <c r="N3" s="65" t="inlineStr">
        <is>
          <t>Bewertungsparameter untereinander, Azubis nebeneinander – zum Eintragen nach unten scrollen.</t>
        </is>
      </c>
    </row>
    <row r="4" ht="18" customHeight="1">
      <c r="A4" s="137" t="inlineStr">
        <is>
          <t xml:space="preserve"> Status</t>
        </is>
      </c>
      <c r="C4" s="141" t="n"/>
      <c r="F4" s="137" t="inlineStr">
        <is>
          <t xml:space="preserve"> Bewertet von</t>
        </is>
      </c>
      <c r="H4" s="139" t="n"/>
      <c r="J4" s="137" t="inlineStr">
        <is>
          <t xml:space="preserve"> Gewicht</t>
        </is>
      </c>
      <c r="L4" s="142" t="n">
        <v>1</v>
      </c>
      <c r="N4" s="137" t="inlineStr">
        <is>
          <t xml:space="preserve"> Wiederholung von</t>
        </is>
      </c>
      <c r="Q4" s="141" t="n"/>
      <c r="T4" s="65" t="inlineStr">
        <is>
          <t>Nur ausfüllen, wenn dies der Nachhol- oder Wiederholtermin einer anderen Übung ist.</t>
        </is>
      </c>
    </row>
    <row r="5" ht="20" customHeight="1">
      <c r="A5" s="137" t="inlineStr">
        <is>
          <t xml:space="preserve"> Name</t>
        </is>
      </c>
      <c r="E5" s="143">
        <f>IF('Stammdaten'!$B6="","",'Stammdaten'!$B6)</f>
        <v/>
      </c>
      <c r="F5" s="143">
        <f>IF('Stammdaten'!$B7="","",'Stammdaten'!$B7)</f>
        <v/>
      </c>
      <c r="G5" s="143">
        <f>IF('Stammdaten'!$B8="","",'Stammdaten'!$B8)</f>
        <v/>
      </c>
      <c r="H5" s="143">
        <f>IF('Stammdaten'!$B9="","",'Stammdaten'!$B9)</f>
        <v/>
      </c>
      <c r="I5" s="143">
        <f>IF('Stammdaten'!$B10="","",'Stammdaten'!$B10)</f>
        <v/>
      </c>
      <c r="J5" s="143">
        <f>IF('Stammdaten'!$B11="","",'Stammdaten'!$B11)</f>
        <v/>
      </c>
      <c r="K5" s="143">
        <f>IF('Stammdaten'!$B12="","",'Stammdaten'!$B12)</f>
        <v/>
      </c>
      <c r="L5" s="143">
        <f>IF('Stammdaten'!$B13="","",'Stammdaten'!$B13)</f>
        <v/>
      </c>
      <c r="M5" s="143">
        <f>IF('Stammdaten'!$B14="","",'Stammdaten'!$B14)</f>
        <v/>
      </c>
      <c r="N5" s="143">
        <f>IF('Stammdaten'!$B15="","",'Stammdaten'!$B15)</f>
        <v/>
      </c>
      <c r="O5" s="143">
        <f>IF('Stammdaten'!$B16="","",'Stammdaten'!$B16)</f>
        <v/>
      </c>
      <c r="P5" s="143">
        <f>IF('Stammdaten'!$B17="","",'Stammdaten'!$B17)</f>
        <v/>
      </c>
      <c r="Q5" s="143">
        <f>IF('Stammdaten'!$B18="","",'Stammdaten'!$B18)</f>
        <v/>
      </c>
      <c r="R5" s="143">
        <f>IF('Stammdaten'!$B19="","",'Stammdaten'!$B19)</f>
        <v/>
      </c>
      <c r="S5" s="143">
        <f>IF('Stammdaten'!$B20="","",'Stammdaten'!$B20)</f>
        <v/>
      </c>
      <c r="T5" s="143">
        <f>IF('Stammdaten'!$B21="","",'Stammdaten'!$B21)</f>
        <v/>
      </c>
      <c r="U5" s="143">
        <f>IF('Stammdaten'!$B22="","",'Stammdaten'!$B22)</f>
        <v/>
      </c>
      <c r="V5" s="143">
        <f>IF('Stammdaten'!$B23="","",'Stammdaten'!$B23)</f>
        <v/>
      </c>
      <c r="W5" s="143">
        <f>IF('Stammdaten'!$B24="","",'Stammdaten'!$B24)</f>
        <v/>
      </c>
      <c r="X5" s="143">
        <f>IF('Stammdaten'!$B25="","",'Stammdaten'!$B25)</f>
        <v/>
      </c>
      <c r="Y5" s="143">
        <f>IF('Stammdaten'!$B26="","",'Stammdaten'!$B26)</f>
        <v/>
      </c>
      <c r="Z5" s="143">
        <f>IF('Stammdaten'!$B27="","",'Stammdaten'!$B27)</f>
        <v/>
      </c>
      <c r="AA5" s="143">
        <f>IF('Stammdaten'!$B28="","",'Stammdaten'!$B28)</f>
        <v/>
      </c>
      <c r="AB5" s="143">
        <f>IF('Stammdaten'!$B29="","",'Stammdaten'!$B29)</f>
        <v/>
      </c>
      <c r="AC5" s="143">
        <f>IF('Stammdaten'!$B30="","",'Stammdaten'!$B30)</f>
        <v/>
      </c>
    </row>
    <row r="6" ht="15" customHeight="1">
      <c r="A6" s="144" t="inlineStr">
        <is>
          <t xml:space="preserve"> Vorname</t>
        </is>
      </c>
      <c r="E6" s="21">
        <f>IF('Stammdaten'!$B6="","",'Stammdaten'!$C6)</f>
        <v/>
      </c>
      <c r="F6" s="21">
        <f>IF('Stammdaten'!$B7="","",'Stammdaten'!$C7)</f>
        <v/>
      </c>
      <c r="G6" s="21">
        <f>IF('Stammdaten'!$B8="","",'Stammdaten'!$C8)</f>
        <v/>
      </c>
      <c r="H6" s="21">
        <f>IF('Stammdaten'!$B9="","",'Stammdaten'!$C9)</f>
        <v/>
      </c>
      <c r="I6" s="21">
        <f>IF('Stammdaten'!$B10="","",'Stammdaten'!$C10)</f>
        <v/>
      </c>
      <c r="J6" s="21">
        <f>IF('Stammdaten'!$B11="","",'Stammdaten'!$C11)</f>
        <v/>
      </c>
      <c r="K6" s="21">
        <f>IF('Stammdaten'!$B12="","",'Stammdaten'!$C12)</f>
        <v/>
      </c>
      <c r="L6" s="21">
        <f>IF('Stammdaten'!$B13="","",'Stammdaten'!$C13)</f>
        <v/>
      </c>
      <c r="M6" s="21">
        <f>IF('Stammdaten'!$B14="","",'Stammdaten'!$C14)</f>
        <v/>
      </c>
      <c r="N6" s="21">
        <f>IF('Stammdaten'!$B15="","",'Stammdaten'!$C15)</f>
        <v/>
      </c>
      <c r="O6" s="21">
        <f>IF('Stammdaten'!$B16="","",'Stammdaten'!$C16)</f>
        <v/>
      </c>
      <c r="P6" s="21">
        <f>IF('Stammdaten'!$B17="","",'Stammdaten'!$C17)</f>
        <v/>
      </c>
      <c r="Q6" s="21">
        <f>IF('Stammdaten'!$B18="","",'Stammdaten'!$C18)</f>
        <v/>
      </c>
      <c r="R6" s="21">
        <f>IF('Stammdaten'!$B19="","",'Stammdaten'!$C19)</f>
        <v/>
      </c>
      <c r="S6" s="21">
        <f>IF('Stammdaten'!$B20="","",'Stammdaten'!$C20)</f>
        <v/>
      </c>
      <c r="T6" s="21">
        <f>IF('Stammdaten'!$B21="","",'Stammdaten'!$C21)</f>
        <v/>
      </c>
      <c r="U6" s="21">
        <f>IF('Stammdaten'!$B22="","",'Stammdaten'!$C22)</f>
        <v/>
      </c>
      <c r="V6" s="21">
        <f>IF('Stammdaten'!$B23="","",'Stammdaten'!$C23)</f>
        <v/>
      </c>
      <c r="W6" s="21">
        <f>IF('Stammdaten'!$B24="","",'Stammdaten'!$C24)</f>
        <v/>
      </c>
      <c r="X6" s="21">
        <f>IF('Stammdaten'!$B25="","",'Stammdaten'!$C25)</f>
        <v/>
      </c>
      <c r="Y6" s="21">
        <f>IF('Stammdaten'!$B26="","",'Stammdaten'!$C26)</f>
        <v/>
      </c>
      <c r="Z6" s="21">
        <f>IF('Stammdaten'!$B27="","",'Stammdaten'!$C27)</f>
        <v/>
      </c>
      <c r="AA6" s="21">
        <f>IF('Stammdaten'!$B28="","",'Stammdaten'!$C28)</f>
        <v/>
      </c>
      <c r="AB6" s="21">
        <f>IF('Stammdaten'!$B29="","",'Stammdaten'!$C29)</f>
        <v/>
      </c>
      <c r="AC6" s="21">
        <f>IF('Stammdaten'!$B30="","",'Stammdaten'!$C30)</f>
        <v/>
      </c>
    </row>
    <row r="7" ht="15" customHeight="1">
      <c r="A7" s="144"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7"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7" t="inlineStr">
        <is>
          <t xml:space="preserve"> IHK-Note</t>
        </is>
      </c>
      <c r="E9" s="145">
        <f>IF(E$5="","",IF(COUNT(E$11:E$35)&gt;0,INDEX(Noten,MAX(1,MIN(COUNT(NGrenze),COUNT(NGrenze)+1-COUNTIF(NGrenze,"&lt;="&amp;E$8))))&amp;" – "&amp;INDEX(NText,MAX(1,MIN(COUNT(NGrenze),COUNT(NGrenze)+1-COUNTIF(NGrenze,"&lt;="&amp;E$8)))),IF(COUNTIF(E$11:E$35,"n.b.")&gt;0,"n.b."&amp;IF(E$40=""," (Grund fehlt)"," ("&amp;E$40&amp;")"),"")))</f>
        <v/>
      </c>
      <c r="F9" s="145">
        <f>IF(F$5="","",IF(COUNT(F$11:F$35)&gt;0,INDEX(Noten,MAX(1,MIN(COUNT(NGrenze),COUNT(NGrenze)+1-COUNTIF(NGrenze,"&lt;="&amp;F$8))))&amp;" – "&amp;INDEX(NText,MAX(1,MIN(COUNT(NGrenze),COUNT(NGrenze)+1-COUNTIF(NGrenze,"&lt;="&amp;F$8)))),IF(COUNTIF(F$11:F$35,"n.b.")&gt;0,"n.b."&amp;IF(F$40=""," (Grund fehlt)"," ("&amp;F$40&amp;")"),"")))</f>
        <v/>
      </c>
      <c r="G9" s="145">
        <f>IF(G$5="","",IF(COUNT(G$11:G$35)&gt;0,INDEX(Noten,MAX(1,MIN(COUNT(NGrenze),COUNT(NGrenze)+1-COUNTIF(NGrenze,"&lt;="&amp;G$8))))&amp;" – "&amp;INDEX(NText,MAX(1,MIN(COUNT(NGrenze),COUNT(NGrenze)+1-COUNTIF(NGrenze,"&lt;="&amp;G$8)))),IF(COUNTIF(G$11:G$35,"n.b.")&gt;0,"n.b."&amp;IF(G$40=""," (Grund fehlt)"," ("&amp;G$40&amp;")"),"")))</f>
        <v/>
      </c>
      <c r="H9" s="145">
        <f>IF(H$5="","",IF(COUNT(H$11:H$35)&gt;0,INDEX(Noten,MAX(1,MIN(COUNT(NGrenze),COUNT(NGrenze)+1-COUNTIF(NGrenze,"&lt;="&amp;H$8))))&amp;" – "&amp;INDEX(NText,MAX(1,MIN(COUNT(NGrenze),COUNT(NGrenze)+1-COUNTIF(NGrenze,"&lt;="&amp;H$8)))),IF(COUNTIF(H$11:H$35,"n.b.")&gt;0,"n.b."&amp;IF(H$40=""," (Grund fehlt)"," ("&amp;H$40&amp;")"),"")))</f>
        <v/>
      </c>
      <c r="I9" s="145">
        <f>IF(I$5="","",IF(COUNT(I$11:I$35)&gt;0,INDEX(Noten,MAX(1,MIN(COUNT(NGrenze),COUNT(NGrenze)+1-COUNTIF(NGrenze,"&lt;="&amp;I$8))))&amp;" – "&amp;INDEX(NText,MAX(1,MIN(COUNT(NGrenze),COUNT(NGrenze)+1-COUNTIF(NGrenze,"&lt;="&amp;I$8)))),IF(COUNTIF(I$11:I$35,"n.b.")&gt;0,"n.b."&amp;IF(I$40=""," (Grund fehlt)"," ("&amp;I$40&amp;")"),"")))</f>
        <v/>
      </c>
      <c r="J9" s="145">
        <f>IF(J$5="","",IF(COUNT(J$11:J$35)&gt;0,INDEX(Noten,MAX(1,MIN(COUNT(NGrenze),COUNT(NGrenze)+1-COUNTIF(NGrenze,"&lt;="&amp;J$8))))&amp;" – "&amp;INDEX(NText,MAX(1,MIN(COUNT(NGrenze),COUNT(NGrenze)+1-COUNTIF(NGrenze,"&lt;="&amp;J$8)))),IF(COUNTIF(J$11:J$35,"n.b.")&gt;0,"n.b."&amp;IF(J$40=""," (Grund fehlt)"," ("&amp;J$40&amp;")"),"")))</f>
        <v/>
      </c>
      <c r="K9" s="145">
        <f>IF(K$5="","",IF(COUNT(K$11:K$35)&gt;0,INDEX(Noten,MAX(1,MIN(COUNT(NGrenze),COUNT(NGrenze)+1-COUNTIF(NGrenze,"&lt;="&amp;K$8))))&amp;" – "&amp;INDEX(NText,MAX(1,MIN(COUNT(NGrenze),COUNT(NGrenze)+1-COUNTIF(NGrenze,"&lt;="&amp;K$8)))),IF(COUNTIF(K$11:K$35,"n.b.")&gt;0,"n.b."&amp;IF(K$40=""," (Grund fehlt)"," ("&amp;K$40&amp;")"),"")))</f>
        <v/>
      </c>
      <c r="L9" s="145">
        <f>IF(L$5="","",IF(COUNT(L$11:L$35)&gt;0,INDEX(Noten,MAX(1,MIN(COUNT(NGrenze),COUNT(NGrenze)+1-COUNTIF(NGrenze,"&lt;="&amp;L$8))))&amp;" – "&amp;INDEX(NText,MAX(1,MIN(COUNT(NGrenze),COUNT(NGrenze)+1-COUNTIF(NGrenze,"&lt;="&amp;L$8)))),IF(COUNTIF(L$11:L$35,"n.b.")&gt;0,"n.b."&amp;IF(L$40=""," (Grund fehlt)"," ("&amp;L$40&amp;")"),"")))</f>
        <v/>
      </c>
      <c r="M9" s="145">
        <f>IF(M$5="","",IF(COUNT(M$11:M$35)&gt;0,INDEX(Noten,MAX(1,MIN(COUNT(NGrenze),COUNT(NGrenze)+1-COUNTIF(NGrenze,"&lt;="&amp;M$8))))&amp;" – "&amp;INDEX(NText,MAX(1,MIN(COUNT(NGrenze),COUNT(NGrenze)+1-COUNTIF(NGrenze,"&lt;="&amp;M$8)))),IF(COUNTIF(M$11:M$35,"n.b.")&gt;0,"n.b."&amp;IF(M$40=""," (Grund fehlt)"," ("&amp;M$40&amp;")"),"")))</f>
        <v/>
      </c>
      <c r="N9" s="145">
        <f>IF(N$5="","",IF(COUNT(N$11:N$35)&gt;0,INDEX(Noten,MAX(1,MIN(COUNT(NGrenze),COUNT(NGrenze)+1-COUNTIF(NGrenze,"&lt;="&amp;N$8))))&amp;" – "&amp;INDEX(NText,MAX(1,MIN(COUNT(NGrenze),COUNT(NGrenze)+1-COUNTIF(NGrenze,"&lt;="&amp;N$8)))),IF(COUNTIF(N$11:N$35,"n.b.")&gt;0,"n.b."&amp;IF(N$40=""," (Grund fehlt)"," ("&amp;N$40&amp;")"),"")))</f>
        <v/>
      </c>
      <c r="O9" s="145">
        <f>IF(O$5="","",IF(COUNT(O$11:O$35)&gt;0,INDEX(Noten,MAX(1,MIN(COUNT(NGrenze),COUNT(NGrenze)+1-COUNTIF(NGrenze,"&lt;="&amp;O$8))))&amp;" – "&amp;INDEX(NText,MAX(1,MIN(COUNT(NGrenze),COUNT(NGrenze)+1-COUNTIF(NGrenze,"&lt;="&amp;O$8)))),IF(COUNTIF(O$11:O$35,"n.b.")&gt;0,"n.b."&amp;IF(O$40=""," (Grund fehlt)"," ("&amp;O$40&amp;")"),"")))</f>
        <v/>
      </c>
      <c r="P9" s="145">
        <f>IF(P$5="","",IF(COUNT(P$11:P$35)&gt;0,INDEX(Noten,MAX(1,MIN(COUNT(NGrenze),COUNT(NGrenze)+1-COUNTIF(NGrenze,"&lt;="&amp;P$8))))&amp;" – "&amp;INDEX(NText,MAX(1,MIN(COUNT(NGrenze),COUNT(NGrenze)+1-COUNTIF(NGrenze,"&lt;="&amp;P$8)))),IF(COUNTIF(P$11:P$35,"n.b.")&gt;0,"n.b."&amp;IF(P$40=""," (Grund fehlt)"," ("&amp;P$40&amp;")"),"")))</f>
        <v/>
      </c>
      <c r="Q9" s="145">
        <f>IF(Q$5="","",IF(COUNT(Q$11:Q$35)&gt;0,INDEX(Noten,MAX(1,MIN(COUNT(NGrenze),COUNT(NGrenze)+1-COUNTIF(NGrenze,"&lt;="&amp;Q$8))))&amp;" – "&amp;INDEX(NText,MAX(1,MIN(COUNT(NGrenze),COUNT(NGrenze)+1-COUNTIF(NGrenze,"&lt;="&amp;Q$8)))),IF(COUNTIF(Q$11:Q$35,"n.b.")&gt;0,"n.b."&amp;IF(Q$40=""," (Grund fehlt)"," ("&amp;Q$40&amp;")"),"")))</f>
        <v/>
      </c>
      <c r="R9" s="145">
        <f>IF(R$5="","",IF(COUNT(R$11:R$35)&gt;0,INDEX(Noten,MAX(1,MIN(COUNT(NGrenze),COUNT(NGrenze)+1-COUNTIF(NGrenze,"&lt;="&amp;R$8))))&amp;" – "&amp;INDEX(NText,MAX(1,MIN(COUNT(NGrenze),COUNT(NGrenze)+1-COUNTIF(NGrenze,"&lt;="&amp;R$8)))),IF(COUNTIF(R$11:R$35,"n.b.")&gt;0,"n.b."&amp;IF(R$40=""," (Grund fehlt)"," ("&amp;R$40&amp;")"),"")))</f>
        <v/>
      </c>
      <c r="S9" s="145">
        <f>IF(S$5="","",IF(COUNT(S$11:S$35)&gt;0,INDEX(Noten,MAX(1,MIN(COUNT(NGrenze),COUNT(NGrenze)+1-COUNTIF(NGrenze,"&lt;="&amp;S$8))))&amp;" – "&amp;INDEX(NText,MAX(1,MIN(COUNT(NGrenze),COUNT(NGrenze)+1-COUNTIF(NGrenze,"&lt;="&amp;S$8)))),IF(COUNTIF(S$11:S$35,"n.b.")&gt;0,"n.b."&amp;IF(S$40=""," (Grund fehlt)"," ("&amp;S$40&amp;")"),"")))</f>
        <v/>
      </c>
      <c r="T9" s="145">
        <f>IF(T$5="","",IF(COUNT(T$11:T$35)&gt;0,INDEX(Noten,MAX(1,MIN(COUNT(NGrenze),COUNT(NGrenze)+1-COUNTIF(NGrenze,"&lt;="&amp;T$8))))&amp;" – "&amp;INDEX(NText,MAX(1,MIN(COUNT(NGrenze),COUNT(NGrenze)+1-COUNTIF(NGrenze,"&lt;="&amp;T$8)))),IF(COUNTIF(T$11:T$35,"n.b.")&gt;0,"n.b."&amp;IF(T$40=""," (Grund fehlt)"," ("&amp;T$40&amp;")"),"")))</f>
        <v/>
      </c>
      <c r="U9" s="145">
        <f>IF(U$5="","",IF(COUNT(U$11:U$35)&gt;0,INDEX(Noten,MAX(1,MIN(COUNT(NGrenze),COUNT(NGrenze)+1-COUNTIF(NGrenze,"&lt;="&amp;U$8))))&amp;" – "&amp;INDEX(NText,MAX(1,MIN(COUNT(NGrenze),COUNT(NGrenze)+1-COUNTIF(NGrenze,"&lt;="&amp;U$8)))),IF(COUNTIF(U$11:U$35,"n.b.")&gt;0,"n.b."&amp;IF(U$40=""," (Grund fehlt)"," ("&amp;U$40&amp;")"),"")))</f>
        <v/>
      </c>
      <c r="V9" s="145">
        <f>IF(V$5="","",IF(COUNT(V$11:V$35)&gt;0,INDEX(Noten,MAX(1,MIN(COUNT(NGrenze),COUNT(NGrenze)+1-COUNTIF(NGrenze,"&lt;="&amp;V$8))))&amp;" – "&amp;INDEX(NText,MAX(1,MIN(COUNT(NGrenze),COUNT(NGrenze)+1-COUNTIF(NGrenze,"&lt;="&amp;V$8)))),IF(COUNTIF(V$11:V$35,"n.b.")&gt;0,"n.b."&amp;IF(V$40=""," (Grund fehlt)"," ("&amp;V$40&amp;")"),"")))</f>
        <v/>
      </c>
      <c r="W9" s="145">
        <f>IF(W$5="","",IF(COUNT(W$11:W$35)&gt;0,INDEX(Noten,MAX(1,MIN(COUNT(NGrenze),COUNT(NGrenze)+1-COUNTIF(NGrenze,"&lt;="&amp;W$8))))&amp;" – "&amp;INDEX(NText,MAX(1,MIN(COUNT(NGrenze),COUNT(NGrenze)+1-COUNTIF(NGrenze,"&lt;="&amp;W$8)))),IF(COUNTIF(W$11:W$35,"n.b.")&gt;0,"n.b."&amp;IF(W$40=""," (Grund fehlt)"," ("&amp;W$40&amp;")"),"")))</f>
        <v/>
      </c>
      <c r="X9" s="145">
        <f>IF(X$5="","",IF(COUNT(X$11:X$35)&gt;0,INDEX(Noten,MAX(1,MIN(COUNT(NGrenze),COUNT(NGrenze)+1-COUNTIF(NGrenze,"&lt;="&amp;X$8))))&amp;" – "&amp;INDEX(NText,MAX(1,MIN(COUNT(NGrenze),COUNT(NGrenze)+1-COUNTIF(NGrenze,"&lt;="&amp;X$8)))),IF(COUNTIF(X$11:X$35,"n.b.")&gt;0,"n.b."&amp;IF(X$40=""," (Grund fehlt)"," ("&amp;X$40&amp;")"),"")))</f>
        <v/>
      </c>
      <c r="Y9" s="145">
        <f>IF(Y$5="","",IF(COUNT(Y$11:Y$35)&gt;0,INDEX(Noten,MAX(1,MIN(COUNT(NGrenze),COUNT(NGrenze)+1-COUNTIF(NGrenze,"&lt;="&amp;Y$8))))&amp;" – "&amp;INDEX(NText,MAX(1,MIN(COUNT(NGrenze),COUNT(NGrenze)+1-COUNTIF(NGrenze,"&lt;="&amp;Y$8)))),IF(COUNTIF(Y$11:Y$35,"n.b.")&gt;0,"n.b."&amp;IF(Y$40=""," (Grund fehlt)"," ("&amp;Y$40&amp;")"),"")))</f>
        <v/>
      </c>
      <c r="Z9" s="145">
        <f>IF(Z$5="","",IF(COUNT(Z$11:Z$35)&gt;0,INDEX(Noten,MAX(1,MIN(COUNT(NGrenze),COUNT(NGrenze)+1-COUNTIF(NGrenze,"&lt;="&amp;Z$8))))&amp;" – "&amp;INDEX(NText,MAX(1,MIN(COUNT(NGrenze),COUNT(NGrenze)+1-COUNTIF(NGrenze,"&lt;="&amp;Z$8)))),IF(COUNTIF(Z$11:Z$35,"n.b.")&gt;0,"n.b."&amp;IF(Z$40=""," (Grund fehlt)"," ("&amp;Z$40&amp;")"),"")))</f>
        <v/>
      </c>
      <c r="AA9" s="145">
        <f>IF(AA$5="","",IF(COUNT(AA$11:AA$35)&gt;0,INDEX(Noten,MAX(1,MIN(COUNT(NGrenze),COUNT(NGrenze)+1-COUNTIF(NGrenze,"&lt;="&amp;AA$8))))&amp;" – "&amp;INDEX(NText,MAX(1,MIN(COUNT(NGrenze),COUNT(NGrenze)+1-COUNTIF(NGrenze,"&lt;="&amp;AA$8)))),IF(COUNTIF(AA$11:AA$35,"n.b.")&gt;0,"n.b."&amp;IF(AA$40=""," (Grund fehlt)"," ("&amp;AA$40&amp;")"),"")))</f>
        <v/>
      </c>
      <c r="AB9" s="145">
        <f>IF(AB$5="","",IF(COUNT(AB$11:AB$35)&gt;0,INDEX(Noten,MAX(1,MIN(COUNT(NGrenze),COUNT(NGrenze)+1-COUNTIF(NGrenze,"&lt;="&amp;AB$8))))&amp;" – "&amp;INDEX(NText,MAX(1,MIN(COUNT(NGrenze),COUNT(NGrenze)+1-COUNTIF(NGrenze,"&lt;="&amp;AB$8)))),IF(COUNTIF(AB$11:AB$35,"n.b.")&gt;0,"n.b."&amp;IF(AB$40=""," (Grund fehlt)"," ("&amp;AB$40&amp;")"),"")))</f>
        <v/>
      </c>
      <c r="AC9" s="145">
        <f>IF(AC$5="","",IF(COUNT(AC$11:AC$35)&gt;0,INDEX(Noten,MAX(1,MIN(COUNT(NGrenze),COUNT(NGrenze)+1-COUNTIF(NGrenze,"&lt;="&amp;AC$8))))&amp;" – "&amp;INDEX(NText,MAX(1,MIN(COUNT(NGrenze),COUNT(NGrenze)+1-COUNTIF(NGrenze,"&lt;="&amp;AC$8)))),IF(COUNTIF(AC$11:AC$35,"n.b.")&gt;0,"n.b."&amp;IF(AC$40=""," (Grund fehlt)"," ("&amp;AC$40&amp;")"),"")))</f>
        <v/>
      </c>
    </row>
    <row r="10" ht="24" customHeight="1">
      <c r="A10" s="146" t="inlineStr">
        <is>
          <t>Nr.</t>
        </is>
      </c>
      <c r="B10" s="146" t="inlineStr">
        <is>
          <t>Bewertungsparameter</t>
        </is>
      </c>
      <c r="C10" s="146" t="inlineStr">
        <is>
          <t>Bewertungshorizont</t>
        </is>
      </c>
      <c r="D10" s="146" t="inlineStr">
        <is>
          <t>max. Pkt.</t>
        </is>
      </c>
      <c r="E10" s="147" t="inlineStr">
        <is>
          <t>Punkte je Azubi eintragen – „n.b.“ für nicht bewertet</t>
        </is>
      </c>
    </row>
    <row r="11" ht="24" customHeight="1">
      <c r="A11" s="148">
        <f>IF($B11="","",ROW()-10)</f>
        <v/>
      </c>
      <c r="B11" s="149" t="n"/>
      <c r="C11" s="150" t="n"/>
      <c r="D11" s="151">
        <f>IF($B11="",0,PktStd)</f>
        <v/>
      </c>
      <c r="E11" s="152" t="n"/>
      <c r="F11" s="152" t="n"/>
      <c r="G11" s="152" t="n"/>
      <c r="H11" s="152" t="n"/>
      <c r="I11" s="152" t="n"/>
      <c r="J11" s="152" t="n"/>
      <c r="K11" s="152" t="n"/>
      <c r="L11" s="152" t="n"/>
      <c r="M11" s="152" t="n"/>
      <c r="N11" s="152" t="n"/>
      <c r="O11" s="152" t="n"/>
      <c r="P11" s="152" t="n"/>
      <c r="Q11" s="152" t="n"/>
      <c r="R11" s="152" t="n"/>
      <c r="S11" s="152" t="n"/>
      <c r="T11" s="152" t="n"/>
      <c r="U11" s="152" t="n"/>
      <c r="V11" s="152" t="n"/>
      <c r="W11" s="152" t="n"/>
      <c r="X11" s="152" t="n"/>
      <c r="Y11" s="152" t="n"/>
      <c r="Z11" s="152" t="n"/>
      <c r="AA11" s="152" t="n"/>
      <c r="AB11" s="152" t="n"/>
      <c r="AC11" s="152" t="n"/>
    </row>
    <row r="12" ht="24" customHeight="1">
      <c r="A12" s="148">
        <f>IF($B12="","",ROW()-10)</f>
        <v/>
      </c>
      <c r="B12" s="149" t="n"/>
      <c r="C12" s="150" t="n"/>
      <c r="D12" s="151">
        <f>IF($B12="",0,PktStd)</f>
        <v/>
      </c>
      <c r="E12" s="152" t="n"/>
      <c r="F12" s="152" t="n"/>
      <c r="G12" s="152" t="n"/>
      <c r="H12" s="152" t="n"/>
      <c r="I12" s="152" t="n"/>
      <c r="J12" s="152" t="n"/>
      <c r="K12" s="152" t="n"/>
      <c r="L12" s="152" t="n"/>
      <c r="M12" s="152" t="n"/>
      <c r="N12" s="152" t="n"/>
      <c r="O12" s="152" t="n"/>
      <c r="P12" s="152" t="n"/>
      <c r="Q12" s="152" t="n"/>
      <c r="R12" s="152" t="n"/>
      <c r="S12" s="152" t="n"/>
      <c r="T12" s="152" t="n"/>
      <c r="U12" s="152" t="n"/>
      <c r="V12" s="152" t="n"/>
      <c r="W12" s="152" t="n"/>
      <c r="X12" s="152" t="n"/>
      <c r="Y12" s="152" t="n"/>
      <c r="Z12" s="152" t="n"/>
      <c r="AA12" s="152" t="n"/>
      <c r="AB12" s="152" t="n"/>
      <c r="AC12" s="152" t="n"/>
    </row>
    <row r="13" ht="24" customHeight="1">
      <c r="A13" s="148">
        <f>IF($B13="","",ROW()-10)</f>
        <v/>
      </c>
      <c r="B13" s="149" t="n"/>
      <c r="C13" s="150" t="n"/>
      <c r="D13" s="151">
        <f>IF($B13="",0,PktStd)</f>
        <v/>
      </c>
      <c r="E13" s="152" t="n"/>
      <c r="F13" s="152" t="n"/>
      <c r="G13" s="152" t="n"/>
      <c r="H13" s="152" t="n"/>
      <c r="I13" s="152" t="n"/>
      <c r="J13" s="152" t="n"/>
      <c r="K13" s="152" t="n"/>
      <c r="L13" s="152" t="n"/>
      <c r="M13" s="152" t="n"/>
      <c r="N13" s="152" t="n"/>
      <c r="O13" s="152" t="n"/>
      <c r="P13" s="152" t="n"/>
      <c r="Q13" s="152" t="n"/>
      <c r="R13" s="152" t="n"/>
      <c r="S13" s="152" t="n"/>
      <c r="T13" s="152" t="n"/>
      <c r="U13" s="152" t="n"/>
      <c r="V13" s="152" t="n"/>
      <c r="W13" s="152" t="n"/>
      <c r="X13" s="152" t="n"/>
      <c r="Y13" s="152" t="n"/>
      <c r="Z13" s="152" t="n"/>
      <c r="AA13" s="152" t="n"/>
      <c r="AB13" s="152" t="n"/>
      <c r="AC13" s="152" t="n"/>
    </row>
    <row r="14" ht="24" customHeight="1">
      <c r="A14" s="148">
        <f>IF($B14="","",ROW()-10)</f>
        <v/>
      </c>
      <c r="B14" s="149" t="n"/>
      <c r="C14" s="150" t="n"/>
      <c r="D14" s="151">
        <f>IF($B14="",0,PktStd)</f>
        <v/>
      </c>
      <c r="E14" s="152" t="n"/>
      <c r="F14" s="152" t="n"/>
      <c r="G14" s="152" t="n"/>
      <c r="H14" s="152" t="n"/>
      <c r="I14" s="152" t="n"/>
      <c r="J14" s="152" t="n"/>
      <c r="K14" s="152" t="n"/>
      <c r="L14" s="152" t="n"/>
      <c r="M14" s="152" t="n"/>
      <c r="N14" s="152" t="n"/>
      <c r="O14" s="152" t="n"/>
      <c r="P14" s="152" t="n"/>
      <c r="Q14" s="152" t="n"/>
      <c r="R14" s="152" t="n"/>
      <c r="S14" s="152" t="n"/>
      <c r="T14" s="152" t="n"/>
      <c r="U14" s="152" t="n"/>
      <c r="V14" s="152" t="n"/>
      <c r="W14" s="152" t="n"/>
      <c r="X14" s="152" t="n"/>
      <c r="Y14" s="152" t="n"/>
      <c r="Z14" s="152" t="n"/>
      <c r="AA14" s="152" t="n"/>
      <c r="AB14" s="152" t="n"/>
      <c r="AC14" s="152" t="n"/>
    </row>
    <row r="15" ht="24" customHeight="1">
      <c r="A15" s="148">
        <f>IF($B15="","",ROW()-10)</f>
        <v/>
      </c>
      <c r="B15" s="149" t="n"/>
      <c r="C15" s="150" t="n"/>
      <c r="D15" s="151">
        <f>IF($B15="",0,PktStd)</f>
        <v/>
      </c>
      <c r="E15" s="152" t="n"/>
      <c r="F15" s="152" t="n"/>
      <c r="G15" s="152" t="n"/>
      <c r="H15" s="152" t="n"/>
      <c r="I15" s="152" t="n"/>
      <c r="J15" s="152" t="n"/>
      <c r="K15" s="152" t="n"/>
      <c r="L15" s="152" t="n"/>
      <c r="M15" s="152" t="n"/>
      <c r="N15" s="152" t="n"/>
      <c r="O15" s="152" t="n"/>
      <c r="P15" s="152" t="n"/>
      <c r="Q15" s="152" t="n"/>
      <c r="R15" s="152" t="n"/>
      <c r="S15" s="152" t="n"/>
      <c r="T15" s="152" t="n"/>
      <c r="U15" s="152" t="n"/>
      <c r="V15" s="152" t="n"/>
      <c r="W15" s="152" t="n"/>
      <c r="X15" s="152" t="n"/>
      <c r="Y15" s="152" t="n"/>
      <c r="Z15" s="152" t="n"/>
      <c r="AA15" s="152" t="n"/>
      <c r="AB15" s="152" t="n"/>
      <c r="AC15" s="152" t="n"/>
    </row>
    <row r="16" ht="24" customHeight="1">
      <c r="A16" s="148">
        <f>IF($B16="","",ROW()-10)</f>
        <v/>
      </c>
      <c r="B16" s="149" t="n"/>
      <c r="C16" s="150" t="n"/>
      <c r="D16" s="151">
        <f>IF($B16="",0,PktStd)</f>
        <v/>
      </c>
      <c r="E16" s="152" t="n"/>
      <c r="F16" s="152" t="n"/>
      <c r="G16" s="152" t="n"/>
      <c r="H16" s="152" t="n"/>
      <c r="I16" s="152" t="n"/>
      <c r="J16" s="152" t="n"/>
      <c r="K16" s="152" t="n"/>
      <c r="L16" s="152" t="n"/>
      <c r="M16" s="152" t="n"/>
      <c r="N16" s="152" t="n"/>
      <c r="O16" s="152" t="n"/>
      <c r="P16" s="152" t="n"/>
      <c r="Q16" s="152" t="n"/>
      <c r="R16" s="152" t="n"/>
      <c r="S16" s="152" t="n"/>
      <c r="T16" s="152" t="n"/>
      <c r="U16" s="152" t="n"/>
      <c r="V16" s="152" t="n"/>
      <c r="W16" s="152" t="n"/>
      <c r="X16" s="152" t="n"/>
      <c r="Y16" s="152" t="n"/>
      <c r="Z16" s="152" t="n"/>
      <c r="AA16" s="152" t="n"/>
      <c r="AB16" s="152" t="n"/>
      <c r="AC16" s="152" t="n"/>
    </row>
    <row r="17" ht="24" customHeight="1">
      <c r="A17" s="148">
        <f>IF($B17="","",ROW()-10)</f>
        <v/>
      </c>
      <c r="B17" s="149" t="n"/>
      <c r="C17" s="150" t="n"/>
      <c r="D17" s="151">
        <f>IF($B17="",0,PktStd)</f>
        <v/>
      </c>
      <c r="E17" s="152" t="n"/>
      <c r="F17" s="152" t="n"/>
      <c r="G17" s="152" t="n"/>
      <c r="H17" s="152" t="n"/>
      <c r="I17" s="152" t="n"/>
      <c r="J17" s="152" t="n"/>
      <c r="K17" s="152" t="n"/>
      <c r="L17" s="152" t="n"/>
      <c r="M17" s="152" t="n"/>
      <c r="N17" s="152" t="n"/>
      <c r="O17" s="152" t="n"/>
      <c r="P17" s="152" t="n"/>
      <c r="Q17" s="152" t="n"/>
      <c r="R17" s="152" t="n"/>
      <c r="S17" s="152" t="n"/>
      <c r="T17" s="152" t="n"/>
      <c r="U17" s="152" t="n"/>
      <c r="V17" s="152" t="n"/>
      <c r="W17" s="152" t="n"/>
      <c r="X17" s="152" t="n"/>
      <c r="Y17" s="152" t="n"/>
      <c r="Z17" s="152" t="n"/>
      <c r="AA17" s="152" t="n"/>
      <c r="AB17" s="152" t="n"/>
      <c r="AC17" s="152" t="n"/>
    </row>
    <row r="18" ht="24" customHeight="1">
      <c r="A18" s="148">
        <f>IF($B18="","",ROW()-10)</f>
        <v/>
      </c>
      <c r="B18" s="149" t="n"/>
      <c r="C18" s="150" t="n"/>
      <c r="D18" s="151">
        <f>IF($B18="",0,PktStd)</f>
        <v/>
      </c>
      <c r="E18" s="152" t="n"/>
      <c r="F18" s="152" t="n"/>
      <c r="G18" s="152" t="n"/>
      <c r="H18" s="152" t="n"/>
      <c r="I18" s="152" t="n"/>
      <c r="J18" s="152" t="n"/>
      <c r="K18" s="152" t="n"/>
      <c r="L18" s="152" t="n"/>
      <c r="M18" s="152" t="n"/>
      <c r="N18" s="152" t="n"/>
      <c r="O18" s="152" t="n"/>
      <c r="P18" s="152" t="n"/>
      <c r="Q18" s="152" t="n"/>
      <c r="R18" s="152" t="n"/>
      <c r="S18" s="152" t="n"/>
      <c r="T18" s="152" t="n"/>
      <c r="U18" s="152" t="n"/>
      <c r="V18" s="152" t="n"/>
      <c r="W18" s="152" t="n"/>
      <c r="X18" s="152" t="n"/>
      <c r="Y18" s="152" t="n"/>
      <c r="Z18" s="152" t="n"/>
      <c r="AA18" s="152" t="n"/>
      <c r="AB18" s="152" t="n"/>
      <c r="AC18" s="152" t="n"/>
    </row>
    <row r="19" ht="24" customHeight="1">
      <c r="A19" s="148">
        <f>IF($B19="","",ROW()-10)</f>
        <v/>
      </c>
      <c r="B19" s="149" t="n"/>
      <c r="C19" s="150" t="n"/>
      <c r="D19" s="151">
        <f>IF($B19="",0,PktStd)</f>
        <v/>
      </c>
      <c r="E19" s="152" t="n"/>
      <c r="F19" s="152" t="n"/>
      <c r="G19" s="152" t="n"/>
      <c r="H19" s="152" t="n"/>
      <c r="I19" s="152" t="n"/>
      <c r="J19" s="152" t="n"/>
      <c r="K19" s="152" t="n"/>
      <c r="L19" s="152" t="n"/>
      <c r="M19" s="152" t="n"/>
      <c r="N19" s="152" t="n"/>
      <c r="O19" s="152" t="n"/>
      <c r="P19" s="152" t="n"/>
      <c r="Q19" s="152" t="n"/>
      <c r="R19" s="152" t="n"/>
      <c r="S19" s="152" t="n"/>
      <c r="T19" s="152" t="n"/>
      <c r="U19" s="152" t="n"/>
      <c r="V19" s="152" t="n"/>
      <c r="W19" s="152" t="n"/>
      <c r="X19" s="152" t="n"/>
      <c r="Y19" s="152" t="n"/>
      <c r="Z19" s="152" t="n"/>
      <c r="AA19" s="152" t="n"/>
      <c r="AB19" s="152" t="n"/>
      <c r="AC19" s="152" t="n"/>
    </row>
    <row r="20" ht="24" customHeight="1">
      <c r="A20" s="148">
        <f>IF($B20="","",ROW()-10)</f>
        <v/>
      </c>
      <c r="B20" s="149" t="n"/>
      <c r="C20" s="150" t="n"/>
      <c r="D20" s="151">
        <f>IF($B20="",0,PktStd)</f>
        <v/>
      </c>
      <c r="E20" s="152" t="n"/>
      <c r="F20" s="152" t="n"/>
      <c r="G20" s="152" t="n"/>
      <c r="H20" s="152" t="n"/>
      <c r="I20" s="152" t="n"/>
      <c r="J20" s="152" t="n"/>
      <c r="K20" s="152" t="n"/>
      <c r="L20" s="152" t="n"/>
      <c r="M20" s="152" t="n"/>
      <c r="N20" s="152" t="n"/>
      <c r="O20" s="152" t="n"/>
      <c r="P20" s="152" t="n"/>
      <c r="Q20" s="152" t="n"/>
      <c r="R20" s="152" t="n"/>
      <c r="S20" s="152" t="n"/>
      <c r="T20" s="152" t="n"/>
      <c r="U20" s="152" t="n"/>
      <c r="V20" s="152" t="n"/>
      <c r="W20" s="152" t="n"/>
      <c r="X20" s="152" t="n"/>
      <c r="Y20" s="152" t="n"/>
      <c r="Z20" s="152" t="n"/>
      <c r="AA20" s="152" t="n"/>
      <c r="AB20" s="152" t="n"/>
      <c r="AC20" s="152" t="n"/>
    </row>
    <row r="21" ht="24" customHeight="1">
      <c r="A21" s="148">
        <f>IF($B21="","",ROW()-10)</f>
        <v/>
      </c>
      <c r="B21" s="149" t="n"/>
      <c r="C21" s="150" t="n"/>
      <c r="D21" s="151">
        <f>IF($B21="",0,PktStd)</f>
        <v/>
      </c>
      <c r="E21" s="152" t="n"/>
      <c r="F21" s="152" t="n"/>
      <c r="G21" s="152" t="n"/>
      <c r="H21" s="152" t="n"/>
      <c r="I21" s="152" t="n"/>
      <c r="J21" s="152" t="n"/>
      <c r="K21" s="152" t="n"/>
      <c r="L21" s="152" t="n"/>
      <c r="M21" s="152" t="n"/>
      <c r="N21" s="152" t="n"/>
      <c r="O21" s="152" t="n"/>
      <c r="P21" s="152" t="n"/>
      <c r="Q21" s="152" t="n"/>
      <c r="R21" s="152" t="n"/>
      <c r="S21" s="152" t="n"/>
      <c r="T21" s="152" t="n"/>
      <c r="U21" s="152" t="n"/>
      <c r="V21" s="152" t="n"/>
      <c r="W21" s="152" t="n"/>
      <c r="X21" s="152" t="n"/>
      <c r="Y21" s="152" t="n"/>
      <c r="Z21" s="152" t="n"/>
      <c r="AA21" s="152" t="n"/>
      <c r="AB21" s="152" t="n"/>
      <c r="AC21" s="152" t="n"/>
    </row>
    <row r="22" ht="24" customHeight="1">
      <c r="A22" s="148">
        <f>IF($B22="","",ROW()-10)</f>
        <v/>
      </c>
      <c r="B22" s="149" t="n"/>
      <c r="C22" s="150" t="n"/>
      <c r="D22" s="151">
        <f>IF($B22="",0,PktStd)</f>
        <v/>
      </c>
      <c r="E22" s="152" t="n"/>
      <c r="F22" s="152" t="n"/>
      <c r="G22" s="152" t="n"/>
      <c r="H22" s="152" t="n"/>
      <c r="I22" s="152" t="n"/>
      <c r="J22" s="152" t="n"/>
      <c r="K22" s="152" t="n"/>
      <c r="L22" s="152" t="n"/>
      <c r="M22" s="152" t="n"/>
      <c r="N22" s="152" t="n"/>
      <c r="O22" s="152" t="n"/>
      <c r="P22" s="152" t="n"/>
      <c r="Q22" s="152" t="n"/>
      <c r="R22" s="152" t="n"/>
      <c r="S22" s="152" t="n"/>
      <c r="T22" s="152" t="n"/>
      <c r="U22" s="152" t="n"/>
      <c r="V22" s="152" t="n"/>
      <c r="W22" s="152" t="n"/>
      <c r="X22" s="152" t="n"/>
      <c r="Y22" s="152" t="n"/>
      <c r="Z22" s="152" t="n"/>
      <c r="AA22" s="152" t="n"/>
      <c r="AB22" s="152" t="n"/>
      <c r="AC22" s="152" t="n"/>
    </row>
    <row r="23" ht="24" customHeight="1">
      <c r="A23" s="148">
        <f>IF($B23="","",ROW()-10)</f>
        <v/>
      </c>
      <c r="B23" s="149" t="n"/>
      <c r="C23" s="150" t="n"/>
      <c r="D23" s="151">
        <f>IF($B23="",0,PktStd)</f>
        <v/>
      </c>
      <c r="E23" s="152" t="n"/>
      <c r="F23" s="152" t="n"/>
      <c r="G23" s="152" t="n"/>
      <c r="H23" s="152" t="n"/>
      <c r="I23" s="152" t="n"/>
      <c r="J23" s="152" t="n"/>
      <c r="K23" s="152" t="n"/>
      <c r="L23" s="152" t="n"/>
      <c r="M23" s="152" t="n"/>
      <c r="N23" s="152" t="n"/>
      <c r="O23" s="152" t="n"/>
      <c r="P23" s="152" t="n"/>
      <c r="Q23" s="152" t="n"/>
      <c r="R23" s="152" t="n"/>
      <c r="S23" s="152" t="n"/>
      <c r="T23" s="152" t="n"/>
      <c r="U23" s="152" t="n"/>
      <c r="V23" s="152" t="n"/>
      <c r="W23" s="152" t="n"/>
      <c r="X23" s="152" t="n"/>
      <c r="Y23" s="152" t="n"/>
      <c r="Z23" s="152" t="n"/>
      <c r="AA23" s="152" t="n"/>
      <c r="AB23" s="152" t="n"/>
      <c r="AC23" s="152" t="n"/>
    </row>
    <row r="24" ht="24" customHeight="1">
      <c r="A24" s="148">
        <f>IF($B24="","",ROW()-10)</f>
        <v/>
      </c>
      <c r="B24" s="149" t="n"/>
      <c r="C24" s="150" t="n"/>
      <c r="D24" s="151">
        <f>IF($B24="",0,PktStd)</f>
        <v/>
      </c>
      <c r="E24" s="152" t="n"/>
      <c r="F24" s="152" t="n"/>
      <c r="G24" s="152" t="n"/>
      <c r="H24" s="152" t="n"/>
      <c r="I24" s="152" t="n"/>
      <c r="J24" s="152" t="n"/>
      <c r="K24" s="152" t="n"/>
      <c r="L24" s="152" t="n"/>
      <c r="M24" s="152" t="n"/>
      <c r="N24" s="152" t="n"/>
      <c r="O24" s="152" t="n"/>
      <c r="P24" s="152" t="n"/>
      <c r="Q24" s="152" t="n"/>
      <c r="R24" s="152" t="n"/>
      <c r="S24" s="152" t="n"/>
      <c r="T24" s="152" t="n"/>
      <c r="U24" s="152" t="n"/>
      <c r="V24" s="152" t="n"/>
      <c r="W24" s="152" t="n"/>
      <c r="X24" s="152" t="n"/>
      <c r="Y24" s="152" t="n"/>
      <c r="Z24" s="152" t="n"/>
      <c r="AA24" s="152" t="n"/>
      <c r="AB24" s="152" t="n"/>
      <c r="AC24" s="152" t="n"/>
    </row>
    <row r="25" ht="24" customHeight="1">
      <c r="A25" s="148">
        <f>IF($B25="","",ROW()-10)</f>
        <v/>
      </c>
      <c r="B25" s="149" t="n"/>
      <c r="C25" s="150" t="n"/>
      <c r="D25" s="151">
        <f>IF($B25="",0,PktStd)</f>
        <v/>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52" t="n"/>
      <c r="Z25" s="152" t="n"/>
      <c r="AA25" s="152" t="n"/>
      <c r="AB25" s="152" t="n"/>
      <c r="AC25" s="152" t="n"/>
    </row>
    <row r="26" ht="24" customHeight="1">
      <c r="A26" s="148">
        <f>IF($B26="","",ROW()-10)</f>
        <v/>
      </c>
      <c r="B26" s="149" t="n"/>
      <c r="C26" s="150" t="n"/>
      <c r="D26" s="151">
        <f>IF($B26="",0,PktStd)</f>
        <v/>
      </c>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52" t="n"/>
      <c r="Z26" s="152" t="n"/>
      <c r="AA26" s="152" t="n"/>
      <c r="AB26" s="152" t="n"/>
      <c r="AC26" s="152" t="n"/>
    </row>
    <row r="27" ht="24" customHeight="1">
      <c r="A27" s="148">
        <f>IF($B27="","",ROW()-10)</f>
        <v/>
      </c>
      <c r="B27" s="149" t="n"/>
      <c r="C27" s="150" t="n"/>
      <c r="D27" s="151">
        <f>IF($B27="",0,PktStd)</f>
        <v/>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52" t="n"/>
      <c r="Z27" s="152" t="n"/>
      <c r="AA27" s="152" t="n"/>
      <c r="AB27" s="152" t="n"/>
      <c r="AC27" s="152" t="n"/>
    </row>
    <row r="28" ht="24" customHeight="1">
      <c r="A28" s="148">
        <f>IF($B28="","",ROW()-10)</f>
        <v/>
      </c>
      <c r="B28" s="149" t="n"/>
      <c r="C28" s="150" t="n"/>
      <c r="D28" s="151">
        <f>IF($B28="",0,PktStd)</f>
        <v/>
      </c>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52" t="n"/>
      <c r="Z28" s="152" t="n"/>
      <c r="AA28" s="152" t="n"/>
      <c r="AB28" s="152" t="n"/>
      <c r="AC28" s="152" t="n"/>
    </row>
    <row r="29" ht="24" customHeight="1">
      <c r="A29" s="148">
        <f>IF($B29="","",ROW()-10)</f>
        <v/>
      </c>
      <c r="B29" s="149" t="n"/>
      <c r="C29" s="150" t="n"/>
      <c r="D29" s="151">
        <f>IF($B29="",0,PktStd)</f>
        <v/>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52" t="n"/>
      <c r="Z29" s="152" t="n"/>
      <c r="AA29" s="152" t="n"/>
      <c r="AB29" s="152" t="n"/>
      <c r="AC29" s="152" t="n"/>
    </row>
    <row r="30" ht="24" customHeight="1">
      <c r="A30" s="148">
        <f>IF($B30="","",ROW()-10)</f>
        <v/>
      </c>
      <c r="B30" s="149" t="n"/>
      <c r="C30" s="150" t="n"/>
      <c r="D30" s="151">
        <f>IF($B30="",0,PktStd)</f>
        <v/>
      </c>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52" t="n"/>
      <c r="Z30" s="152" t="n"/>
      <c r="AA30" s="152" t="n"/>
      <c r="AB30" s="152" t="n"/>
      <c r="AC30" s="152" t="n"/>
    </row>
    <row r="31" ht="24" customHeight="1">
      <c r="A31" s="148">
        <f>IF($B31="","",ROW()-10)</f>
        <v/>
      </c>
      <c r="B31" s="149" t="n"/>
      <c r="C31" s="150" t="n"/>
      <c r="D31" s="151">
        <f>IF($B31="",0,PktStd)</f>
        <v/>
      </c>
      <c r="E31" s="152" t="n"/>
      <c r="F31" s="152" t="n"/>
      <c r="G31" s="152" t="n"/>
      <c r="H31" s="152" t="n"/>
      <c r="I31" s="152" t="n"/>
      <c r="J31" s="152" t="n"/>
      <c r="K31" s="152" t="n"/>
      <c r="L31" s="152" t="n"/>
      <c r="M31" s="152" t="n"/>
      <c r="N31" s="152" t="n"/>
      <c r="O31" s="152" t="n"/>
      <c r="P31" s="152" t="n"/>
      <c r="Q31" s="152" t="n"/>
      <c r="R31" s="152" t="n"/>
      <c r="S31" s="152" t="n"/>
      <c r="T31" s="152" t="n"/>
      <c r="U31" s="152" t="n"/>
      <c r="V31" s="152" t="n"/>
      <c r="W31" s="152" t="n"/>
      <c r="X31" s="152" t="n"/>
      <c r="Y31" s="152" t="n"/>
      <c r="Z31" s="152" t="n"/>
      <c r="AA31" s="152" t="n"/>
      <c r="AB31" s="152" t="n"/>
      <c r="AC31" s="152" t="n"/>
    </row>
    <row r="32" ht="24" customHeight="1">
      <c r="A32" s="148">
        <f>IF($B32="","",ROW()-10)</f>
        <v/>
      </c>
      <c r="B32" s="149" t="n"/>
      <c r="C32" s="150" t="n"/>
      <c r="D32" s="151">
        <f>IF($B32="",0,PktStd)</f>
        <v/>
      </c>
      <c r="E32" s="152" t="n"/>
      <c r="F32" s="152" t="n"/>
      <c r="G32" s="152" t="n"/>
      <c r="H32" s="152" t="n"/>
      <c r="I32" s="152" t="n"/>
      <c r="J32" s="152" t="n"/>
      <c r="K32" s="152" t="n"/>
      <c r="L32" s="152" t="n"/>
      <c r="M32" s="152" t="n"/>
      <c r="N32" s="152" t="n"/>
      <c r="O32" s="152" t="n"/>
      <c r="P32" s="152" t="n"/>
      <c r="Q32" s="152" t="n"/>
      <c r="R32" s="152" t="n"/>
      <c r="S32" s="152" t="n"/>
      <c r="T32" s="152" t="n"/>
      <c r="U32" s="152" t="n"/>
      <c r="V32" s="152" t="n"/>
      <c r="W32" s="152" t="n"/>
      <c r="X32" s="152" t="n"/>
      <c r="Y32" s="152" t="n"/>
      <c r="Z32" s="152" t="n"/>
      <c r="AA32" s="152" t="n"/>
      <c r="AB32" s="152" t="n"/>
      <c r="AC32" s="152" t="n"/>
    </row>
    <row r="33" ht="24" customHeight="1">
      <c r="A33" s="148">
        <f>IF($B33="","",ROW()-10)</f>
        <v/>
      </c>
      <c r="B33" s="149" t="n"/>
      <c r="C33" s="150" t="n"/>
      <c r="D33" s="151">
        <f>IF($B33="",0,PktStd)</f>
        <v/>
      </c>
      <c r="E33" s="152" t="n"/>
      <c r="F33" s="152" t="n"/>
      <c r="G33" s="152" t="n"/>
      <c r="H33" s="152" t="n"/>
      <c r="I33" s="152" t="n"/>
      <c r="J33" s="152" t="n"/>
      <c r="K33" s="152" t="n"/>
      <c r="L33" s="152" t="n"/>
      <c r="M33" s="152" t="n"/>
      <c r="N33" s="152" t="n"/>
      <c r="O33" s="152" t="n"/>
      <c r="P33" s="152" t="n"/>
      <c r="Q33" s="152" t="n"/>
      <c r="R33" s="152" t="n"/>
      <c r="S33" s="152" t="n"/>
      <c r="T33" s="152" t="n"/>
      <c r="U33" s="152" t="n"/>
      <c r="V33" s="152" t="n"/>
      <c r="W33" s="152" t="n"/>
      <c r="X33" s="152" t="n"/>
      <c r="Y33" s="152" t="n"/>
      <c r="Z33" s="152" t="n"/>
      <c r="AA33" s="152" t="n"/>
      <c r="AB33" s="152" t="n"/>
      <c r="AC33" s="152" t="n"/>
    </row>
    <row r="34" ht="24" customHeight="1">
      <c r="A34" s="148">
        <f>IF($B34="","",ROW()-10)</f>
        <v/>
      </c>
      <c r="B34" s="149" t="n"/>
      <c r="C34" s="150" t="n"/>
      <c r="D34" s="151">
        <f>IF($B34="",0,PktStd)</f>
        <v/>
      </c>
      <c r="E34" s="152" t="n"/>
      <c r="F34" s="152" t="n"/>
      <c r="G34" s="152" t="n"/>
      <c r="H34" s="152" t="n"/>
      <c r="I34" s="152" t="n"/>
      <c r="J34" s="152" t="n"/>
      <c r="K34" s="152" t="n"/>
      <c r="L34" s="152" t="n"/>
      <c r="M34" s="152" t="n"/>
      <c r="N34" s="152" t="n"/>
      <c r="O34" s="152" t="n"/>
      <c r="P34" s="152" t="n"/>
      <c r="Q34" s="152" t="n"/>
      <c r="R34" s="152" t="n"/>
      <c r="S34" s="152" t="n"/>
      <c r="T34" s="152" t="n"/>
      <c r="U34" s="152" t="n"/>
      <c r="V34" s="152" t="n"/>
      <c r="W34" s="152" t="n"/>
      <c r="X34" s="152" t="n"/>
      <c r="Y34" s="152" t="n"/>
      <c r="Z34" s="152" t="n"/>
      <c r="AA34" s="152" t="n"/>
      <c r="AB34" s="152" t="n"/>
      <c r="AC34" s="152" t="n"/>
    </row>
    <row r="35" ht="24" customHeight="1">
      <c r="A35" s="148">
        <f>IF($B35="","",ROW()-10)</f>
        <v/>
      </c>
      <c r="B35" s="149" t="n"/>
      <c r="C35" s="150" t="n"/>
      <c r="D35" s="151">
        <f>IF($B35="",0,PktStd)</f>
        <v/>
      </c>
      <c r="E35" s="152" t="n"/>
      <c r="F35" s="152" t="n"/>
      <c r="G35" s="152" t="n"/>
      <c r="H35" s="152" t="n"/>
      <c r="I35" s="152" t="n"/>
      <c r="J35" s="152" t="n"/>
      <c r="K35" s="152" t="n"/>
      <c r="L35" s="152" t="n"/>
      <c r="M35" s="152" t="n"/>
      <c r="N35" s="152" t="n"/>
      <c r="O35" s="152" t="n"/>
      <c r="P35" s="152" t="n"/>
      <c r="Q35" s="152" t="n"/>
      <c r="R35" s="152" t="n"/>
      <c r="S35" s="152" t="n"/>
      <c r="T35" s="152" t="n"/>
      <c r="U35" s="152" t="n"/>
      <c r="V35" s="152" t="n"/>
      <c r="W35" s="152" t="n"/>
      <c r="X35" s="152" t="n"/>
      <c r="Y35" s="152" t="n"/>
      <c r="Z35" s="152" t="n"/>
      <c r="AA35" s="152" t="n"/>
      <c r="AB35" s="152" t="n"/>
      <c r="AC35" s="152" t="n"/>
    </row>
    <row r="37" ht="20" customHeight="1">
      <c r="A37" s="137" t="inlineStr">
        <is>
          <t xml:space="preserve"> Summe</t>
        </is>
      </c>
      <c r="E37" s="153">
        <f>IF(OR(E$5="",COUNT(E$11:E$35)=0),"",SUM(E$11:E$35))</f>
        <v/>
      </c>
      <c r="F37" s="153">
        <f>IF(OR(F$5="",COUNT(F$11:F$35)=0),"",SUM(F$11:F$35))</f>
        <v/>
      </c>
      <c r="G37" s="153">
        <f>IF(OR(G$5="",COUNT(G$11:G$35)=0),"",SUM(G$11:G$35))</f>
        <v/>
      </c>
      <c r="H37" s="153">
        <f>IF(OR(H$5="",COUNT(H$11:H$35)=0),"",SUM(H$11:H$35))</f>
        <v/>
      </c>
      <c r="I37" s="153">
        <f>IF(OR(I$5="",COUNT(I$11:I$35)=0),"",SUM(I$11:I$35))</f>
        <v/>
      </c>
      <c r="J37" s="153">
        <f>IF(OR(J$5="",COUNT(J$11:J$35)=0),"",SUM(J$11:J$35))</f>
        <v/>
      </c>
      <c r="K37" s="153">
        <f>IF(OR(K$5="",COUNT(K$11:K$35)=0),"",SUM(K$11:K$35))</f>
        <v/>
      </c>
      <c r="L37" s="153">
        <f>IF(OR(L$5="",COUNT(L$11:L$35)=0),"",SUM(L$11:L$35))</f>
        <v/>
      </c>
      <c r="M37" s="153">
        <f>IF(OR(M$5="",COUNT(M$11:M$35)=0),"",SUM(M$11:M$35))</f>
        <v/>
      </c>
      <c r="N37" s="153">
        <f>IF(OR(N$5="",COUNT(N$11:N$35)=0),"",SUM(N$11:N$35))</f>
        <v/>
      </c>
      <c r="O37" s="153">
        <f>IF(OR(O$5="",COUNT(O$11:O$35)=0),"",SUM(O$11:O$35))</f>
        <v/>
      </c>
      <c r="P37" s="153">
        <f>IF(OR(P$5="",COUNT(P$11:P$35)=0),"",SUM(P$11:P$35))</f>
        <v/>
      </c>
      <c r="Q37" s="153">
        <f>IF(OR(Q$5="",COUNT(Q$11:Q$35)=0),"",SUM(Q$11:Q$35))</f>
        <v/>
      </c>
      <c r="R37" s="153">
        <f>IF(OR(R$5="",COUNT(R$11:R$35)=0),"",SUM(R$11:R$35))</f>
        <v/>
      </c>
      <c r="S37" s="153">
        <f>IF(OR(S$5="",COUNT(S$11:S$35)=0),"",SUM(S$11:S$35))</f>
        <v/>
      </c>
      <c r="T37" s="153">
        <f>IF(OR(T$5="",COUNT(T$11:T$35)=0),"",SUM(T$11:T$35))</f>
        <v/>
      </c>
      <c r="U37" s="153">
        <f>IF(OR(U$5="",COUNT(U$11:U$35)=0),"",SUM(U$11:U$35))</f>
        <v/>
      </c>
      <c r="V37" s="153">
        <f>IF(OR(V$5="",COUNT(V$11:V$35)=0),"",SUM(V$11:V$35))</f>
        <v/>
      </c>
      <c r="W37" s="153">
        <f>IF(OR(W$5="",COUNT(W$11:W$35)=0),"",SUM(W$11:W$35))</f>
        <v/>
      </c>
      <c r="X37" s="153">
        <f>IF(OR(X$5="",COUNT(X$11:X$35)=0),"",SUM(X$11:X$35))</f>
        <v/>
      </c>
      <c r="Y37" s="153">
        <f>IF(OR(Y$5="",COUNT(Y$11:Y$35)=0),"",SUM(Y$11:Y$35))</f>
        <v/>
      </c>
      <c r="Z37" s="153">
        <f>IF(OR(Z$5="",COUNT(Z$11:Z$35)=0),"",SUM(Z$11:Z$35))</f>
        <v/>
      </c>
      <c r="AA37" s="153">
        <f>IF(OR(AA$5="",COUNT(AA$11:AA$35)=0),"",SUM(AA$11:AA$35))</f>
        <v/>
      </c>
      <c r="AB37" s="153">
        <f>IF(OR(AB$5="",COUNT(AB$11:AB$35)=0),"",SUM(AB$11:AB$35))</f>
        <v/>
      </c>
      <c r="AC37" s="153">
        <f>IF(OR(AC$5="",COUNT(AC$11:AC$35)=0),"",SUM(AC$11:AC$35))</f>
        <v/>
      </c>
    </row>
    <row r="38" ht="20" customHeight="1">
      <c r="A38" s="144"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4" t="inlineStr">
        <is>
          <t xml:space="preserve"> Halbjahr</t>
        </is>
      </c>
      <c r="E39" s="154">
        <f>IF(E$5="","",IF(OR($L$3="",'Stammdaten'!$F6=""),0,IF($L$3&lt;'Stammdaten'!$F6,0,INT(DATEDIF('Stammdaten'!$F6,$L$3,"m")/6)+1)))</f>
        <v/>
      </c>
      <c r="F39" s="154">
        <f>IF(F$5="","",IF(OR($L$3="",'Stammdaten'!$F7=""),0,IF($L$3&lt;'Stammdaten'!$F7,0,INT(DATEDIF('Stammdaten'!$F7,$L$3,"m")/6)+1)))</f>
        <v/>
      </c>
      <c r="G39" s="154">
        <f>IF(G$5="","",IF(OR($L$3="",'Stammdaten'!$F8=""),0,IF($L$3&lt;'Stammdaten'!$F8,0,INT(DATEDIF('Stammdaten'!$F8,$L$3,"m")/6)+1)))</f>
        <v/>
      </c>
      <c r="H39" s="154">
        <f>IF(H$5="","",IF(OR($L$3="",'Stammdaten'!$F9=""),0,IF($L$3&lt;'Stammdaten'!$F9,0,INT(DATEDIF('Stammdaten'!$F9,$L$3,"m")/6)+1)))</f>
        <v/>
      </c>
      <c r="I39" s="154">
        <f>IF(I$5="","",IF(OR($L$3="",'Stammdaten'!$F10=""),0,IF($L$3&lt;'Stammdaten'!$F10,0,INT(DATEDIF('Stammdaten'!$F10,$L$3,"m")/6)+1)))</f>
        <v/>
      </c>
      <c r="J39" s="154">
        <f>IF(J$5="","",IF(OR($L$3="",'Stammdaten'!$F11=""),0,IF($L$3&lt;'Stammdaten'!$F11,0,INT(DATEDIF('Stammdaten'!$F11,$L$3,"m")/6)+1)))</f>
        <v/>
      </c>
      <c r="K39" s="154">
        <f>IF(K$5="","",IF(OR($L$3="",'Stammdaten'!$F12=""),0,IF($L$3&lt;'Stammdaten'!$F12,0,INT(DATEDIF('Stammdaten'!$F12,$L$3,"m")/6)+1)))</f>
        <v/>
      </c>
      <c r="L39" s="154">
        <f>IF(L$5="","",IF(OR($L$3="",'Stammdaten'!$F13=""),0,IF($L$3&lt;'Stammdaten'!$F13,0,INT(DATEDIF('Stammdaten'!$F13,$L$3,"m")/6)+1)))</f>
        <v/>
      </c>
      <c r="M39" s="154">
        <f>IF(M$5="","",IF(OR($L$3="",'Stammdaten'!$F14=""),0,IF($L$3&lt;'Stammdaten'!$F14,0,INT(DATEDIF('Stammdaten'!$F14,$L$3,"m")/6)+1)))</f>
        <v/>
      </c>
      <c r="N39" s="154">
        <f>IF(N$5="","",IF(OR($L$3="",'Stammdaten'!$F15=""),0,IF($L$3&lt;'Stammdaten'!$F15,0,INT(DATEDIF('Stammdaten'!$F15,$L$3,"m")/6)+1)))</f>
        <v/>
      </c>
      <c r="O39" s="154">
        <f>IF(O$5="","",IF(OR($L$3="",'Stammdaten'!$F16=""),0,IF($L$3&lt;'Stammdaten'!$F16,0,INT(DATEDIF('Stammdaten'!$F16,$L$3,"m")/6)+1)))</f>
        <v/>
      </c>
      <c r="P39" s="154">
        <f>IF(P$5="","",IF(OR($L$3="",'Stammdaten'!$F17=""),0,IF($L$3&lt;'Stammdaten'!$F17,0,INT(DATEDIF('Stammdaten'!$F17,$L$3,"m")/6)+1)))</f>
        <v/>
      </c>
      <c r="Q39" s="154">
        <f>IF(Q$5="","",IF(OR($L$3="",'Stammdaten'!$F18=""),0,IF($L$3&lt;'Stammdaten'!$F18,0,INT(DATEDIF('Stammdaten'!$F18,$L$3,"m")/6)+1)))</f>
        <v/>
      </c>
      <c r="R39" s="154">
        <f>IF(R$5="","",IF(OR($L$3="",'Stammdaten'!$F19=""),0,IF($L$3&lt;'Stammdaten'!$F19,0,INT(DATEDIF('Stammdaten'!$F19,$L$3,"m")/6)+1)))</f>
        <v/>
      </c>
      <c r="S39" s="154">
        <f>IF(S$5="","",IF(OR($L$3="",'Stammdaten'!$F20=""),0,IF($L$3&lt;'Stammdaten'!$F20,0,INT(DATEDIF('Stammdaten'!$F20,$L$3,"m")/6)+1)))</f>
        <v/>
      </c>
      <c r="T39" s="154">
        <f>IF(T$5="","",IF(OR($L$3="",'Stammdaten'!$F21=""),0,IF($L$3&lt;'Stammdaten'!$F21,0,INT(DATEDIF('Stammdaten'!$F21,$L$3,"m")/6)+1)))</f>
        <v/>
      </c>
      <c r="U39" s="154">
        <f>IF(U$5="","",IF(OR($L$3="",'Stammdaten'!$F22=""),0,IF($L$3&lt;'Stammdaten'!$F22,0,INT(DATEDIF('Stammdaten'!$F22,$L$3,"m")/6)+1)))</f>
        <v/>
      </c>
      <c r="V39" s="154">
        <f>IF(V$5="","",IF(OR($L$3="",'Stammdaten'!$F23=""),0,IF($L$3&lt;'Stammdaten'!$F23,0,INT(DATEDIF('Stammdaten'!$F23,$L$3,"m")/6)+1)))</f>
        <v/>
      </c>
      <c r="W39" s="154">
        <f>IF(W$5="","",IF(OR($L$3="",'Stammdaten'!$F24=""),0,IF($L$3&lt;'Stammdaten'!$F24,0,INT(DATEDIF('Stammdaten'!$F24,$L$3,"m")/6)+1)))</f>
        <v/>
      </c>
      <c r="X39" s="154">
        <f>IF(X$5="","",IF(OR($L$3="",'Stammdaten'!$F25=""),0,IF($L$3&lt;'Stammdaten'!$F25,0,INT(DATEDIF('Stammdaten'!$F25,$L$3,"m")/6)+1)))</f>
        <v/>
      </c>
      <c r="Y39" s="154">
        <f>IF(Y$5="","",IF(OR($L$3="",'Stammdaten'!$F26=""),0,IF($L$3&lt;'Stammdaten'!$F26,0,INT(DATEDIF('Stammdaten'!$F26,$L$3,"m")/6)+1)))</f>
        <v/>
      </c>
      <c r="Z39" s="154">
        <f>IF(Z$5="","",IF(OR($L$3="",'Stammdaten'!$F27=""),0,IF($L$3&lt;'Stammdaten'!$F27,0,INT(DATEDIF('Stammdaten'!$F27,$L$3,"m")/6)+1)))</f>
        <v/>
      </c>
      <c r="AA39" s="154">
        <f>IF(AA$5="","",IF(OR($L$3="",'Stammdaten'!$F28=""),0,IF($L$3&lt;'Stammdaten'!$F28,0,INT(DATEDIF('Stammdaten'!$F28,$L$3,"m")/6)+1)))</f>
        <v/>
      </c>
      <c r="AB39" s="154">
        <f>IF(AB$5="","",IF(OR($L$3="",'Stammdaten'!$F29=""),0,IF($L$3&lt;'Stammdaten'!$F29,0,INT(DATEDIF('Stammdaten'!$F29,$L$3,"m")/6)+1)))</f>
        <v/>
      </c>
      <c r="AC39" s="154">
        <f>IF(AC$5="","",IF(OR($L$3="",'Stammdaten'!$F30=""),0,IF($L$3&lt;'Stammdaten'!$F30,0,INT(DATEDIF('Stammdaten'!$F30,$L$3,"m")/6)+1)))</f>
        <v/>
      </c>
    </row>
    <row r="40" ht="20" customHeight="1">
      <c r="A40" s="144" t="inlineStr">
        <is>
          <t xml:space="preserve"> Grund (n.b.)</t>
        </is>
      </c>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row>
    <row r="41" ht="34" customHeight="1">
      <c r="A41" s="144" t="inlineStr">
        <is>
          <t xml:space="preserve"> Bemerkung</t>
        </is>
      </c>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row>
    <row r="42" ht="20" customHeight="1">
      <c r="A42" s="144" t="inlineStr">
        <is>
          <t xml:space="preserve"> Wertung bei Wiederholung</t>
        </is>
      </c>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row>
    <row r="43" ht="20" customHeight="1">
      <c r="A43" s="157" t="inlineStr">
        <is>
          <t xml:space="preserve"> Status des Azubis</t>
        </is>
      </c>
      <c r="E43" s="158">
        <f>IF('Stammdaten'!$B6="","",'Stammdaten'!$G6)</f>
        <v/>
      </c>
      <c r="F43" s="158">
        <f>IF('Stammdaten'!$B7="","",'Stammdaten'!$G7)</f>
        <v/>
      </c>
      <c r="G43" s="158">
        <f>IF('Stammdaten'!$B8="","",'Stammdaten'!$G8)</f>
        <v/>
      </c>
      <c r="H43" s="158">
        <f>IF('Stammdaten'!$B9="","",'Stammdaten'!$G9)</f>
        <v/>
      </c>
      <c r="I43" s="158">
        <f>IF('Stammdaten'!$B10="","",'Stammdaten'!$G10)</f>
        <v/>
      </c>
      <c r="J43" s="158">
        <f>IF('Stammdaten'!$B11="","",'Stammdaten'!$G11)</f>
        <v/>
      </c>
      <c r="K43" s="158">
        <f>IF('Stammdaten'!$B12="","",'Stammdaten'!$G12)</f>
        <v/>
      </c>
      <c r="L43" s="158">
        <f>IF('Stammdaten'!$B13="","",'Stammdaten'!$G13)</f>
        <v/>
      </c>
      <c r="M43" s="158">
        <f>IF('Stammdaten'!$B14="","",'Stammdaten'!$G14)</f>
        <v/>
      </c>
      <c r="N43" s="158">
        <f>IF('Stammdaten'!$B15="","",'Stammdaten'!$G15)</f>
        <v/>
      </c>
      <c r="O43" s="158">
        <f>IF('Stammdaten'!$B16="","",'Stammdaten'!$G16)</f>
        <v/>
      </c>
      <c r="P43" s="158">
        <f>IF('Stammdaten'!$B17="","",'Stammdaten'!$G17)</f>
        <v/>
      </c>
      <c r="Q43" s="158">
        <f>IF('Stammdaten'!$B18="","",'Stammdaten'!$G18)</f>
        <v/>
      </c>
      <c r="R43" s="158">
        <f>IF('Stammdaten'!$B19="","",'Stammdaten'!$G19)</f>
        <v/>
      </c>
      <c r="S43" s="158">
        <f>IF('Stammdaten'!$B20="","",'Stammdaten'!$G20)</f>
        <v/>
      </c>
      <c r="T43" s="158">
        <f>IF('Stammdaten'!$B21="","",'Stammdaten'!$G21)</f>
        <v/>
      </c>
      <c r="U43" s="158">
        <f>IF('Stammdaten'!$B22="","",'Stammdaten'!$G22)</f>
        <v/>
      </c>
      <c r="V43" s="158">
        <f>IF('Stammdaten'!$B23="","",'Stammdaten'!$G23)</f>
        <v/>
      </c>
      <c r="W43" s="158">
        <f>IF('Stammdaten'!$B24="","",'Stammdaten'!$G24)</f>
        <v/>
      </c>
      <c r="X43" s="158">
        <f>IF('Stammdaten'!$B25="","",'Stammdaten'!$G25)</f>
        <v/>
      </c>
      <c r="Y43" s="158">
        <f>IF('Stammdaten'!$B26="","",'Stammdaten'!$G26)</f>
        <v/>
      </c>
      <c r="Z43" s="158">
        <f>IF('Stammdaten'!$B27="","",'Stammdaten'!$G27)</f>
        <v/>
      </c>
      <c r="AA43" s="158">
        <f>IF('Stammdaten'!$B28="","",'Stammdaten'!$G28)</f>
        <v/>
      </c>
      <c r="AB43" s="158">
        <f>IF('Stammdaten'!$B29="","",'Stammdaten'!$G29)</f>
        <v/>
      </c>
      <c r="AC43" s="158">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E5:AC42">
    <cfRule type="expression" priority="1" dxfId="17" stopIfTrue="1">
      <formula>E$5=""</formula>
    </cfRule>
  </conditionalFormatting>
  <conditionalFormatting sqref="A11:AC35">
    <cfRule type="expression" priority="2" dxfId="17" stopIfTrue="1">
      <formula>$B11=""</formula>
    </cfRule>
  </conditionalFormatting>
  <conditionalFormatting sqref="E8:AC9">
    <cfRule type="expression" priority="3" dxfId="2" stopIfTrue="1">
      <formula>AND(ISNUMBER(E$8),E$8&gt;=INDEX(NGrenze,1))</formula>
    </cfRule>
    <cfRule type="expression" priority="4" dxfId="3" stopIfTrue="1">
      <formula>AND(ISNUMBER(E$8),E$8&gt;=INDEX(NGrenze,2))</formula>
    </cfRule>
    <cfRule type="expression" priority="5" dxfId="4" stopIfTrue="1">
      <formula>AND(ISNUMBER(E$8),E$8&gt;=INDEX(NGrenze,3))</formula>
    </cfRule>
    <cfRule type="expression" priority="6" dxfId="5" stopIfTrue="1">
      <formula>AND(ISNUMBER(E$8),E$8&gt;=INDEX(NGrenze,4))</formula>
    </cfRule>
    <cfRule type="expression" priority="7" dxfId="6" stopIfTrue="1">
      <formula>AND(ISNUMBER(E$8),E$8&gt;=INDEX(NGrenze,5))</formula>
    </cfRule>
    <cfRule type="expression" priority="8" dxfId="7" stopIfTrue="1">
      <formula>AND(ISNUMBER(E$8),E$8&gt;=INDEX(NGrenze,6))</formula>
    </cfRule>
  </conditionalFormatting>
  <conditionalFormatting sqref="E11:AC35">
    <cfRule type="expression" priority="9" dxfId="18" stopIfTrue="1">
      <formula>EXACT(E11,"n.b.")</formula>
    </cfRule>
    <cfRule type="expression" priority="10" dxfId="13">
      <formula>AND(ISNUMBER(E11),E11&gt;$D11)</formula>
    </cfRule>
  </conditionalFormatting>
  <conditionalFormatting sqref="E5:AC6">
    <cfRule type="expression" priority="11" dxfId="19">
      <formula>AND(E$5&lt;&gt;"",COUNT(E$11:E$35)+COUNTIF(E$11:E$35,"n.b.")&gt;0,COUNT(E$11:E$35)+COUNTIF(E$11:E$35,"n.b.")&lt;COUNTIF($D$11:$D$35,"&gt;0"))</formula>
    </cfRule>
    <cfRule type="expression" priority="12" dxfId="20">
      <formula>AND(E$5&lt;&gt;"",E$43&lt;&gt;"aktiv")</formula>
    </cfRule>
  </conditionalFormatting>
  <dataValidations count="8">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30.xml><?xml version="1.0" encoding="utf-8"?>
<worksheet xmlns="http://schemas.openxmlformats.org/spreadsheetml/2006/main">
  <sheetPr>
    <tabColor rgb="008A94A6"/>
    <outlinePr summaryBelow="1" summaryRight="1"/>
    <pageSetUpPr/>
  </sheetPr>
  <dimension ref="A1:V844"/>
  <sheetViews>
    <sheetView showGridLines="0" workbookViewId="0">
      <selection activeCell="A1" sqref="A1"/>
    </sheetView>
  </sheetViews>
  <sheetFormatPr baseColWidth="8" defaultRowHeight="15"/>
  <cols>
    <col width="7" customWidth="1" min="1" max="1"/>
    <col width="9"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6" customHeight="1">
      <c r="A1" s="159" t="inlineStr">
        <is>
          <t>Technisches Rechenblatt – bitte nichts von Hand ändern. Alle Werte entstehen aus den Übungsblättern und den Stammdaten.</t>
        </is>
      </c>
    </row>
    <row r="3">
      <c r="A3" s="65" t="inlineStr">
        <is>
          <t>Nr.</t>
        </is>
      </c>
      <c r="C3" s="160" t="n">
        <v>1</v>
      </c>
      <c r="D3" s="160" t="n">
        <v>2</v>
      </c>
      <c r="E3" s="160" t="n">
        <v>3</v>
      </c>
      <c r="F3" s="160" t="n">
        <v>4</v>
      </c>
      <c r="G3" s="160" t="n">
        <v>5</v>
      </c>
      <c r="H3" s="160" t="n">
        <v>6</v>
      </c>
      <c r="I3" s="160" t="n">
        <v>7</v>
      </c>
      <c r="J3" s="160" t="n">
        <v>8</v>
      </c>
      <c r="K3" s="160" t="n">
        <v>9</v>
      </c>
      <c r="L3" s="160" t="n">
        <v>10</v>
      </c>
      <c r="M3" s="160" t="n">
        <v>11</v>
      </c>
      <c r="N3" s="160" t="n">
        <v>12</v>
      </c>
      <c r="O3" s="160" t="n">
        <v>13</v>
      </c>
      <c r="P3" s="160" t="n">
        <v>14</v>
      </c>
      <c r="Q3" s="160" t="n">
        <v>15</v>
      </c>
      <c r="R3" s="160" t="n">
        <v>16</v>
      </c>
      <c r="S3" s="160" t="n">
        <v>17</v>
      </c>
      <c r="T3" s="160" t="n">
        <v>18</v>
      </c>
      <c r="U3" s="160" t="n">
        <v>19</v>
      </c>
      <c r="V3" s="160" t="n">
        <v>20</v>
      </c>
    </row>
    <row r="4">
      <c r="A4" s="65" t="inlineStr">
        <is>
          <t>Übungsname</t>
        </is>
      </c>
      <c r="C4" s="62">
        <f>IF('Übungen'!$C6="","",'Übungen'!$C6)</f>
        <v/>
      </c>
      <c r="D4" s="62">
        <f>IF('Übungen'!$C7="","",'Übungen'!$C7)</f>
        <v/>
      </c>
      <c r="E4" s="62">
        <f>IF('Übungen'!$C8="","",'Übungen'!$C8)</f>
        <v/>
      </c>
      <c r="F4" s="62">
        <f>IF('Übungen'!$C9="","",'Übungen'!$C9)</f>
        <v/>
      </c>
      <c r="G4" s="62">
        <f>IF('Übungen'!$C10="","",'Übungen'!$C10)</f>
        <v/>
      </c>
      <c r="H4" s="62">
        <f>IF('Übungen'!$C11="","",'Übungen'!$C11)</f>
        <v/>
      </c>
      <c r="I4" s="62">
        <f>IF('Übungen'!$C12="","",'Übungen'!$C12)</f>
        <v/>
      </c>
      <c r="J4" s="62">
        <f>IF('Übungen'!$C13="","",'Übungen'!$C13)</f>
        <v/>
      </c>
      <c r="K4" s="62">
        <f>IF('Übungen'!$C14="","",'Übungen'!$C14)</f>
        <v/>
      </c>
      <c r="L4" s="62">
        <f>IF('Übungen'!$C15="","",'Übungen'!$C15)</f>
        <v/>
      </c>
      <c r="M4" s="62">
        <f>IF('Übungen'!$C16="","",'Übungen'!$C16)</f>
        <v/>
      </c>
      <c r="N4" s="62">
        <f>IF('Übungen'!$C17="","",'Übungen'!$C17)</f>
        <v/>
      </c>
      <c r="O4" s="62">
        <f>IF('Übungen'!$C18="","",'Übungen'!$C18)</f>
        <v/>
      </c>
      <c r="P4" s="62">
        <f>IF('Übungen'!$C19="","",'Übungen'!$C19)</f>
        <v/>
      </c>
      <c r="Q4" s="62">
        <f>IF('Übungen'!$C20="","",'Übungen'!$C20)</f>
        <v/>
      </c>
      <c r="R4" s="62">
        <f>IF('Übungen'!$C21="","",'Übungen'!$C21)</f>
        <v/>
      </c>
      <c r="S4" s="62">
        <f>IF('Übungen'!$C22="","",'Übungen'!$C22)</f>
        <v/>
      </c>
      <c r="T4" s="62">
        <f>IF('Übungen'!$C23="","",'Übungen'!$C23)</f>
        <v/>
      </c>
      <c r="U4" s="62">
        <f>IF('Übungen'!$C24="","",'Übungen'!$C24)</f>
        <v/>
      </c>
      <c r="V4" s="62">
        <f>IF('Übungen'!$C25="","",'Übungen'!$C25)</f>
        <v/>
      </c>
    </row>
    <row r="5">
      <c r="A5" s="65" t="inlineStr">
        <is>
          <t>belegt</t>
        </is>
      </c>
      <c r="C5" s="61">
        <f>IF(C4="",0,1)</f>
        <v/>
      </c>
      <c r="D5" s="61">
        <f>IF(D4="",0,1)</f>
        <v/>
      </c>
      <c r="E5" s="61">
        <f>IF(E4="",0,1)</f>
        <v/>
      </c>
      <c r="F5" s="61">
        <f>IF(F4="",0,1)</f>
        <v/>
      </c>
      <c r="G5" s="61">
        <f>IF(G4="",0,1)</f>
        <v/>
      </c>
      <c r="H5" s="61">
        <f>IF(H4="",0,1)</f>
        <v/>
      </c>
      <c r="I5" s="61">
        <f>IF(I4="",0,1)</f>
        <v/>
      </c>
      <c r="J5" s="61">
        <f>IF(J4="",0,1)</f>
        <v/>
      </c>
      <c r="K5" s="61">
        <f>IF(K4="",0,1)</f>
        <v/>
      </c>
      <c r="L5" s="61">
        <f>IF(L4="",0,1)</f>
        <v/>
      </c>
      <c r="M5" s="61">
        <f>IF(M4="",0,1)</f>
        <v/>
      </c>
      <c r="N5" s="61">
        <f>IF(N4="",0,1)</f>
        <v/>
      </c>
      <c r="O5" s="61">
        <f>IF(O4="",0,1)</f>
        <v/>
      </c>
      <c r="P5" s="61">
        <f>IF(P4="",0,1)</f>
        <v/>
      </c>
      <c r="Q5" s="61">
        <f>IF(Q4="",0,1)</f>
        <v/>
      </c>
      <c r="R5" s="61">
        <f>IF(R4="",0,1)</f>
        <v/>
      </c>
      <c r="S5" s="61">
        <f>IF(S4="",0,1)</f>
        <v/>
      </c>
      <c r="T5" s="61">
        <f>IF(T4="",0,1)</f>
        <v/>
      </c>
      <c r="U5" s="61">
        <f>IF(U4="",0,1)</f>
        <v/>
      </c>
      <c r="V5" s="61">
        <f>IF(V4="",0,1)</f>
        <v/>
      </c>
    </row>
    <row r="6">
      <c r="A6" s="65" t="inlineStr">
        <is>
          <t>Art</t>
        </is>
      </c>
      <c r="C6" s="61">
        <f>IF(C5=0,"",'Übung 01'!$H$3)</f>
        <v/>
      </c>
      <c r="D6" s="61">
        <f>IF(D5=0,"",'Übung 02'!$H$3)</f>
        <v/>
      </c>
      <c r="E6" s="61">
        <f>IF(E5=0,"",'Übung 03'!$H$3)</f>
        <v/>
      </c>
      <c r="F6" s="61">
        <f>IF(F5=0,"",'Übung 04'!$H$3)</f>
        <v/>
      </c>
      <c r="G6" s="61">
        <f>IF(G5=0,"",'Übung 05'!$H$3)</f>
        <v/>
      </c>
      <c r="H6" s="61">
        <f>IF(H5=0,"",'Übung 06'!$H$3)</f>
        <v/>
      </c>
      <c r="I6" s="61">
        <f>IF(I5=0,"",'Übung 07'!$H$3)</f>
        <v/>
      </c>
      <c r="J6" s="61">
        <f>IF(J5=0,"",'Übung 08'!$H$3)</f>
        <v/>
      </c>
      <c r="K6" s="61">
        <f>IF(K5=0,"",'Übung 09'!$H$3)</f>
        <v/>
      </c>
      <c r="L6" s="61">
        <f>IF(L5=0,"",'Übung 10'!$H$3)</f>
        <v/>
      </c>
      <c r="M6" s="61">
        <f>IF(M5=0,"",'Übung 11'!$H$3)</f>
        <v/>
      </c>
      <c r="N6" s="61">
        <f>IF(N5=0,"",'Übung 12'!$H$3)</f>
        <v/>
      </c>
      <c r="O6" s="61">
        <f>IF(O5=0,"",'Übung 13'!$H$3)</f>
        <v/>
      </c>
      <c r="P6" s="61">
        <f>IF(P5=0,"",'Übung 14'!$H$3)</f>
        <v/>
      </c>
      <c r="Q6" s="61">
        <f>IF(Q5=0,"",'Übung 15'!$H$3)</f>
        <v/>
      </c>
      <c r="R6" s="61">
        <f>IF(R5=0,"",'Übung 16'!$H$3)</f>
        <v/>
      </c>
      <c r="S6" s="61">
        <f>IF(S5=0,"",'Übung 17'!$H$3)</f>
        <v/>
      </c>
      <c r="T6" s="61">
        <f>IF(T5=0,"",'Übung 18'!$H$3)</f>
        <v/>
      </c>
      <c r="U6" s="61">
        <f>IF(U5=0,"",'Übung 19'!$H$3)</f>
        <v/>
      </c>
      <c r="V6" s="61">
        <f>IF(V5=0,"",'Übung 20'!$H$3)</f>
        <v/>
      </c>
    </row>
    <row r="7">
      <c r="A7" s="65" t="inlineStr">
        <is>
          <t>Datum</t>
        </is>
      </c>
      <c r="C7" s="161">
        <f>IF(OR(C5=0,'Übung 01'!$L$3=""),0,'Übung 01'!$L$3)</f>
        <v/>
      </c>
      <c r="D7" s="161">
        <f>IF(OR(D5=0,'Übung 02'!$L$3=""),0,'Übung 02'!$L$3)</f>
        <v/>
      </c>
      <c r="E7" s="161">
        <f>IF(OR(E5=0,'Übung 03'!$L$3=""),0,'Übung 03'!$L$3)</f>
        <v/>
      </c>
      <c r="F7" s="161">
        <f>IF(OR(F5=0,'Übung 04'!$L$3=""),0,'Übung 04'!$L$3)</f>
        <v/>
      </c>
      <c r="G7" s="161">
        <f>IF(OR(G5=0,'Übung 05'!$L$3=""),0,'Übung 05'!$L$3)</f>
        <v/>
      </c>
      <c r="H7" s="161">
        <f>IF(OR(H5=0,'Übung 06'!$L$3=""),0,'Übung 06'!$L$3)</f>
        <v/>
      </c>
      <c r="I7" s="161">
        <f>IF(OR(I5=0,'Übung 07'!$L$3=""),0,'Übung 07'!$L$3)</f>
        <v/>
      </c>
      <c r="J7" s="161">
        <f>IF(OR(J5=0,'Übung 08'!$L$3=""),0,'Übung 08'!$L$3)</f>
        <v/>
      </c>
      <c r="K7" s="161">
        <f>IF(OR(K5=0,'Übung 09'!$L$3=""),0,'Übung 09'!$L$3)</f>
        <v/>
      </c>
      <c r="L7" s="161">
        <f>IF(OR(L5=0,'Übung 10'!$L$3=""),0,'Übung 10'!$L$3)</f>
        <v/>
      </c>
      <c r="M7" s="161">
        <f>IF(OR(M5=0,'Übung 11'!$L$3=""),0,'Übung 11'!$L$3)</f>
        <v/>
      </c>
      <c r="N7" s="161">
        <f>IF(OR(N5=0,'Übung 12'!$L$3=""),0,'Übung 12'!$L$3)</f>
        <v/>
      </c>
      <c r="O7" s="161">
        <f>IF(OR(O5=0,'Übung 13'!$L$3=""),0,'Übung 13'!$L$3)</f>
        <v/>
      </c>
      <c r="P7" s="161">
        <f>IF(OR(P5=0,'Übung 14'!$L$3=""),0,'Übung 14'!$L$3)</f>
        <v/>
      </c>
      <c r="Q7" s="161">
        <f>IF(OR(Q5=0,'Übung 15'!$L$3=""),0,'Übung 15'!$L$3)</f>
        <v/>
      </c>
      <c r="R7" s="161">
        <f>IF(OR(R5=0,'Übung 16'!$L$3=""),0,'Übung 16'!$L$3)</f>
        <v/>
      </c>
      <c r="S7" s="161">
        <f>IF(OR(S5=0,'Übung 17'!$L$3=""),0,'Übung 17'!$L$3)</f>
        <v/>
      </c>
      <c r="T7" s="161">
        <f>IF(OR(T5=0,'Übung 18'!$L$3=""),0,'Übung 18'!$L$3)</f>
        <v/>
      </c>
      <c r="U7" s="161">
        <f>IF(OR(U5=0,'Übung 19'!$L$3=""),0,'Übung 19'!$L$3)</f>
        <v/>
      </c>
      <c r="V7" s="161">
        <f>IF(OR(V5=0,'Übung 20'!$L$3=""),0,'Übung 20'!$L$3)</f>
        <v/>
      </c>
    </row>
    <row r="8">
      <c r="A8" s="65" t="inlineStr">
        <is>
          <t>Status</t>
        </is>
      </c>
      <c r="C8" s="61">
        <f>IF(C5=0,"",'Übung 01'!$C$4)</f>
        <v/>
      </c>
      <c r="D8" s="61">
        <f>IF(D5=0,"",'Übung 02'!$C$4)</f>
        <v/>
      </c>
      <c r="E8" s="61">
        <f>IF(E5=0,"",'Übung 03'!$C$4)</f>
        <v/>
      </c>
      <c r="F8" s="61">
        <f>IF(F5=0,"",'Übung 04'!$C$4)</f>
        <v/>
      </c>
      <c r="G8" s="61">
        <f>IF(G5=0,"",'Übung 05'!$C$4)</f>
        <v/>
      </c>
      <c r="H8" s="61">
        <f>IF(H5=0,"",'Übung 06'!$C$4)</f>
        <v/>
      </c>
      <c r="I8" s="61">
        <f>IF(I5=0,"",'Übung 07'!$C$4)</f>
        <v/>
      </c>
      <c r="J8" s="61">
        <f>IF(J5=0,"",'Übung 08'!$C$4)</f>
        <v/>
      </c>
      <c r="K8" s="61">
        <f>IF(K5=0,"",'Übung 09'!$C$4)</f>
        <v/>
      </c>
      <c r="L8" s="61">
        <f>IF(L5=0,"",'Übung 10'!$C$4)</f>
        <v/>
      </c>
      <c r="M8" s="61">
        <f>IF(M5=0,"",'Übung 11'!$C$4)</f>
        <v/>
      </c>
      <c r="N8" s="61">
        <f>IF(N5=0,"",'Übung 12'!$C$4)</f>
        <v/>
      </c>
      <c r="O8" s="61">
        <f>IF(O5=0,"",'Übung 13'!$C$4)</f>
        <v/>
      </c>
      <c r="P8" s="61">
        <f>IF(P5=0,"",'Übung 14'!$C$4)</f>
        <v/>
      </c>
      <c r="Q8" s="61">
        <f>IF(Q5=0,"",'Übung 15'!$C$4)</f>
        <v/>
      </c>
      <c r="R8" s="61">
        <f>IF(R5=0,"",'Übung 16'!$C$4)</f>
        <v/>
      </c>
      <c r="S8" s="61">
        <f>IF(S5=0,"",'Übung 17'!$C$4)</f>
        <v/>
      </c>
      <c r="T8" s="61">
        <f>IF(T5=0,"",'Übung 18'!$C$4)</f>
        <v/>
      </c>
      <c r="U8" s="61">
        <f>IF(U5=0,"",'Übung 19'!$C$4)</f>
        <v/>
      </c>
      <c r="V8" s="61">
        <f>IF(V5=0,"",'Übung 20'!$C$4)</f>
        <v/>
      </c>
    </row>
    <row r="9">
      <c r="A9" s="65" t="inlineStr">
        <is>
          <t>Gewicht</t>
        </is>
      </c>
      <c r="C9" s="61">
        <f>IF(C5=0,0,IF('Übung 01'!$L$4="",1,'Übung 01'!$L$4))</f>
        <v/>
      </c>
      <c r="D9" s="61">
        <f>IF(D5=0,0,IF('Übung 02'!$L$4="",1,'Übung 02'!$L$4))</f>
        <v/>
      </c>
      <c r="E9" s="61">
        <f>IF(E5=0,0,IF('Übung 03'!$L$4="",1,'Übung 03'!$L$4))</f>
        <v/>
      </c>
      <c r="F9" s="61">
        <f>IF(F5=0,0,IF('Übung 04'!$L$4="",1,'Übung 04'!$L$4))</f>
        <v/>
      </c>
      <c r="G9" s="61">
        <f>IF(G5=0,0,IF('Übung 05'!$L$4="",1,'Übung 05'!$L$4))</f>
        <v/>
      </c>
      <c r="H9" s="61">
        <f>IF(H5=0,0,IF('Übung 06'!$L$4="",1,'Übung 06'!$L$4))</f>
        <v/>
      </c>
      <c r="I9" s="61">
        <f>IF(I5=0,0,IF('Übung 07'!$L$4="",1,'Übung 07'!$L$4))</f>
        <v/>
      </c>
      <c r="J9" s="61">
        <f>IF(J5=0,0,IF('Übung 08'!$L$4="",1,'Übung 08'!$L$4))</f>
        <v/>
      </c>
      <c r="K9" s="61">
        <f>IF(K5=0,0,IF('Übung 09'!$L$4="",1,'Übung 09'!$L$4))</f>
        <v/>
      </c>
      <c r="L9" s="61">
        <f>IF(L5=0,0,IF('Übung 10'!$L$4="",1,'Übung 10'!$L$4))</f>
        <v/>
      </c>
      <c r="M9" s="61">
        <f>IF(M5=0,0,IF('Übung 11'!$L$4="",1,'Übung 11'!$L$4))</f>
        <v/>
      </c>
      <c r="N9" s="61">
        <f>IF(N5=0,0,IF('Übung 12'!$L$4="",1,'Übung 12'!$L$4))</f>
        <v/>
      </c>
      <c r="O9" s="61">
        <f>IF(O5=0,0,IF('Übung 13'!$L$4="",1,'Übung 13'!$L$4))</f>
        <v/>
      </c>
      <c r="P9" s="61">
        <f>IF(P5=0,0,IF('Übung 14'!$L$4="",1,'Übung 14'!$L$4))</f>
        <v/>
      </c>
      <c r="Q9" s="61">
        <f>IF(Q5=0,0,IF('Übung 15'!$L$4="",1,'Übung 15'!$L$4))</f>
        <v/>
      </c>
      <c r="R9" s="61">
        <f>IF(R5=0,0,IF('Übung 16'!$L$4="",1,'Übung 16'!$L$4))</f>
        <v/>
      </c>
      <c r="S9" s="61">
        <f>IF(S5=0,0,IF('Übung 17'!$L$4="",1,'Übung 17'!$L$4))</f>
        <v/>
      </c>
      <c r="T9" s="61">
        <f>IF(T5=0,0,IF('Übung 18'!$L$4="",1,'Übung 18'!$L$4))</f>
        <v/>
      </c>
      <c r="U9" s="61">
        <f>IF(U5=0,0,IF('Übung 19'!$L$4="",1,'Übung 19'!$L$4))</f>
        <v/>
      </c>
      <c r="V9" s="61">
        <f>IF(V5=0,0,IF('Übung 20'!$L$4="",1,'Übung 20'!$L$4))</f>
        <v/>
      </c>
    </row>
    <row r="10">
      <c r="A10" s="65" t="inlineStr">
        <is>
          <t>Wdh. von</t>
        </is>
      </c>
      <c r="C10" s="62">
        <f>IF(C5=0,"",'Übung 01'!$Q$4)</f>
        <v/>
      </c>
      <c r="D10" s="62">
        <f>IF(D5=0,"",'Übung 02'!$Q$4)</f>
        <v/>
      </c>
      <c r="E10" s="62">
        <f>IF(E5=0,"",'Übung 03'!$Q$4)</f>
        <v/>
      </c>
      <c r="F10" s="62">
        <f>IF(F5=0,"",'Übung 04'!$Q$4)</f>
        <v/>
      </c>
      <c r="G10" s="62">
        <f>IF(G5=0,"",'Übung 05'!$Q$4)</f>
        <v/>
      </c>
      <c r="H10" s="62">
        <f>IF(H5=0,"",'Übung 06'!$Q$4)</f>
        <v/>
      </c>
      <c r="I10" s="62">
        <f>IF(I5=0,"",'Übung 07'!$Q$4)</f>
        <v/>
      </c>
      <c r="J10" s="62">
        <f>IF(J5=0,"",'Übung 08'!$Q$4)</f>
        <v/>
      </c>
      <c r="K10" s="62">
        <f>IF(K5=0,"",'Übung 09'!$Q$4)</f>
        <v/>
      </c>
      <c r="L10" s="62">
        <f>IF(L5=0,"",'Übung 10'!$Q$4)</f>
        <v/>
      </c>
      <c r="M10" s="62">
        <f>IF(M5=0,"",'Übung 11'!$Q$4)</f>
        <v/>
      </c>
      <c r="N10" s="62">
        <f>IF(N5=0,"",'Übung 12'!$Q$4)</f>
        <v/>
      </c>
      <c r="O10" s="62">
        <f>IF(O5=0,"",'Übung 13'!$Q$4)</f>
        <v/>
      </c>
      <c r="P10" s="62">
        <f>IF(P5=0,"",'Übung 14'!$Q$4)</f>
        <v/>
      </c>
      <c r="Q10" s="62">
        <f>IF(Q5=0,"",'Übung 15'!$Q$4)</f>
        <v/>
      </c>
      <c r="R10" s="62">
        <f>IF(R5=0,"",'Übung 16'!$Q$4)</f>
        <v/>
      </c>
      <c r="S10" s="62">
        <f>IF(S5=0,"",'Übung 17'!$Q$4)</f>
        <v/>
      </c>
      <c r="T10" s="62">
        <f>IF(T5=0,"",'Übung 18'!$Q$4)</f>
        <v/>
      </c>
      <c r="U10" s="62">
        <f>IF(U5=0,"",'Übung 19'!$Q$4)</f>
        <v/>
      </c>
      <c r="V10" s="62">
        <f>IF(V5=0,"",'Übung 20'!$Q$4)</f>
        <v/>
      </c>
    </row>
    <row r="11">
      <c r="A11" s="65" t="inlineStr">
        <is>
          <t>Wdh.-Index</t>
        </is>
      </c>
      <c r="C11" s="61">
        <f>IF(C10="",0,IFERROR(MATCH(C10,$C$4:$V$4,0),0))</f>
        <v/>
      </c>
      <c r="D11" s="61">
        <f>IF(D10="",0,IFERROR(MATCH(D10,$C$4:$V$4,0),0))</f>
        <v/>
      </c>
      <c r="E11" s="61">
        <f>IF(E10="",0,IFERROR(MATCH(E10,$C$4:$V$4,0),0))</f>
        <v/>
      </c>
      <c r="F11" s="61">
        <f>IF(F10="",0,IFERROR(MATCH(F10,$C$4:$V$4,0),0))</f>
        <v/>
      </c>
      <c r="G11" s="61">
        <f>IF(G10="",0,IFERROR(MATCH(G10,$C$4:$V$4,0),0))</f>
        <v/>
      </c>
      <c r="H11" s="61">
        <f>IF(H10="",0,IFERROR(MATCH(H10,$C$4:$V$4,0),0))</f>
        <v/>
      </c>
      <c r="I11" s="61">
        <f>IF(I10="",0,IFERROR(MATCH(I10,$C$4:$V$4,0),0))</f>
        <v/>
      </c>
      <c r="J11" s="61">
        <f>IF(J10="",0,IFERROR(MATCH(J10,$C$4:$V$4,0),0))</f>
        <v/>
      </c>
      <c r="K11" s="61">
        <f>IF(K10="",0,IFERROR(MATCH(K10,$C$4:$V$4,0),0))</f>
        <v/>
      </c>
      <c r="L11" s="61">
        <f>IF(L10="",0,IFERROR(MATCH(L10,$C$4:$V$4,0),0))</f>
        <v/>
      </c>
      <c r="M11" s="61">
        <f>IF(M10="",0,IFERROR(MATCH(M10,$C$4:$V$4,0),0))</f>
        <v/>
      </c>
      <c r="N11" s="61">
        <f>IF(N10="",0,IFERROR(MATCH(N10,$C$4:$V$4,0),0))</f>
        <v/>
      </c>
      <c r="O11" s="61">
        <f>IF(O10="",0,IFERROR(MATCH(O10,$C$4:$V$4,0),0))</f>
        <v/>
      </c>
      <c r="P11" s="61">
        <f>IF(P10="",0,IFERROR(MATCH(P10,$C$4:$V$4,0),0))</f>
        <v/>
      </c>
      <c r="Q11" s="61">
        <f>IF(Q10="",0,IFERROR(MATCH(Q10,$C$4:$V$4,0),0))</f>
        <v/>
      </c>
      <c r="R11" s="61">
        <f>IF(R10="",0,IFERROR(MATCH(R10,$C$4:$V$4,0),0))</f>
        <v/>
      </c>
      <c r="S11" s="61">
        <f>IF(S10="",0,IFERROR(MATCH(S10,$C$4:$V$4,0),0))</f>
        <v/>
      </c>
      <c r="T11" s="61">
        <f>IF(T10="",0,IFERROR(MATCH(T10,$C$4:$V$4,0),0))</f>
        <v/>
      </c>
      <c r="U11" s="61">
        <f>IF(U10="",0,IFERROR(MATCH(U10,$C$4:$V$4,0),0))</f>
        <v/>
      </c>
      <c r="V11" s="61">
        <f>IF(V10="",0,IFERROR(MATCH(V10,$C$4:$V$4,0),0))</f>
        <v/>
      </c>
    </row>
    <row r="12">
      <c r="A12" s="65" t="inlineStr">
        <is>
          <t>Gruppenkopf</t>
        </is>
      </c>
      <c r="C12" s="61">
        <f>IF(C11=0,C3,IF(INDEX($C$11:$V$11,C11)=0,C11,INDEX($C$11:$V$11,C11)))</f>
        <v/>
      </c>
      <c r="D12" s="61">
        <f>IF(D11=0,D3,IF(INDEX($C$11:$V$11,D11)=0,D11,INDEX($C$11:$V$11,D11)))</f>
        <v/>
      </c>
      <c r="E12" s="61">
        <f>IF(E11=0,E3,IF(INDEX($C$11:$V$11,E11)=0,E11,INDEX($C$11:$V$11,E11)))</f>
        <v/>
      </c>
      <c r="F12" s="61">
        <f>IF(F11=0,F3,IF(INDEX($C$11:$V$11,F11)=0,F11,INDEX($C$11:$V$11,F11)))</f>
        <v/>
      </c>
      <c r="G12" s="61">
        <f>IF(G11=0,G3,IF(INDEX($C$11:$V$11,G11)=0,G11,INDEX($C$11:$V$11,G11)))</f>
        <v/>
      </c>
      <c r="H12" s="61">
        <f>IF(H11=0,H3,IF(INDEX($C$11:$V$11,H11)=0,H11,INDEX($C$11:$V$11,H11)))</f>
        <v/>
      </c>
      <c r="I12" s="61">
        <f>IF(I11=0,I3,IF(INDEX($C$11:$V$11,I11)=0,I11,INDEX($C$11:$V$11,I11)))</f>
        <v/>
      </c>
      <c r="J12" s="61">
        <f>IF(J11=0,J3,IF(INDEX($C$11:$V$11,J11)=0,J11,INDEX($C$11:$V$11,J11)))</f>
        <v/>
      </c>
      <c r="K12" s="61">
        <f>IF(K11=0,K3,IF(INDEX($C$11:$V$11,K11)=0,K11,INDEX($C$11:$V$11,K11)))</f>
        <v/>
      </c>
      <c r="L12" s="61">
        <f>IF(L11=0,L3,IF(INDEX($C$11:$V$11,L11)=0,L11,INDEX($C$11:$V$11,L11)))</f>
        <v/>
      </c>
      <c r="M12" s="61">
        <f>IF(M11=0,M3,IF(INDEX($C$11:$V$11,M11)=0,M11,INDEX($C$11:$V$11,M11)))</f>
        <v/>
      </c>
      <c r="N12" s="61">
        <f>IF(N11=0,N3,IF(INDEX($C$11:$V$11,N11)=0,N11,INDEX($C$11:$V$11,N11)))</f>
        <v/>
      </c>
      <c r="O12" s="61">
        <f>IF(O11=0,O3,IF(INDEX($C$11:$V$11,O11)=0,O11,INDEX($C$11:$V$11,O11)))</f>
        <v/>
      </c>
      <c r="P12" s="61">
        <f>IF(P11=0,P3,IF(INDEX($C$11:$V$11,P11)=0,P11,INDEX($C$11:$V$11,P11)))</f>
        <v/>
      </c>
      <c r="Q12" s="61">
        <f>IF(Q11=0,Q3,IF(INDEX($C$11:$V$11,Q11)=0,Q11,INDEX($C$11:$V$11,Q11)))</f>
        <v/>
      </c>
      <c r="R12" s="61">
        <f>IF(R11=0,R3,IF(INDEX($C$11:$V$11,R11)=0,R11,INDEX($C$11:$V$11,R11)))</f>
        <v/>
      </c>
      <c r="S12" s="61">
        <f>IF(S11=0,S3,IF(INDEX($C$11:$V$11,S11)=0,S11,INDEX($C$11:$V$11,S11)))</f>
        <v/>
      </c>
      <c r="T12" s="61">
        <f>IF(T11=0,T3,IF(INDEX($C$11:$V$11,T11)=0,T11,INDEX($C$11:$V$11,T11)))</f>
        <v/>
      </c>
      <c r="U12" s="61">
        <f>IF(U11=0,U3,IF(INDEX($C$11:$V$11,U11)=0,U11,INDEX($C$11:$V$11,U11)))</f>
        <v/>
      </c>
      <c r="V12" s="61">
        <f>IF(V11=0,V3,IF(INDEX($C$11:$V$11,V11)=0,V11,INDEX($C$11:$V$11,V11)))</f>
        <v/>
      </c>
    </row>
    <row r="13">
      <c r="A13" s="65" t="inlineStr">
        <is>
          <t>Parameter</t>
        </is>
      </c>
      <c r="C13" s="61">
        <f>IF(C5=0,0,COUNTIF('Übung 01'!$D$11:$D$35,"&gt;0"))</f>
        <v/>
      </c>
      <c r="D13" s="61">
        <f>IF(D5=0,0,COUNTIF('Übung 02'!$D$11:$D$35,"&gt;0"))</f>
        <v/>
      </c>
      <c r="E13" s="61">
        <f>IF(E5=0,0,COUNTIF('Übung 03'!$D$11:$D$35,"&gt;0"))</f>
        <v/>
      </c>
      <c r="F13" s="61">
        <f>IF(F5=0,0,COUNTIF('Übung 04'!$D$11:$D$35,"&gt;0"))</f>
        <v/>
      </c>
      <c r="G13" s="61">
        <f>IF(G5=0,0,COUNTIF('Übung 05'!$D$11:$D$35,"&gt;0"))</f>
        <v/>
      </c>
      <c r="H13" s="61">
        <f>IF(H5=0,0,COUNTIF('Übung 06'!$D$11:$D$35,"&gt;0"))</f>
        <v/>
      </c>
      <c r="I13" s="61">
        <f>IF(I5=0,0,COUNTIF('Übung 07'!$D$11:$D$35,"&gt;0"))</f>
        <v/>
      </c>
      <c r="J13" s="61">
        <f>IF(J5=0,0,COUNTIF('Übung 08'!$D$11:$D$35,"&gt;0"))</f>
        <v/>
      </c>
      <c r="K13" s="61">
        <f>IF(K5=0,0,COUNTIF('Übung 09'!$D$11:$D$35,"&gt;0"))</f>
        <v/>
      </c>
      <c r="L13" s="61">
        <f>IF(L5=0,0,COUNTIF('Übung 10'!$D$11:$D$35,"&gt;0"))</f>
        <v/>
      </c>
      <c r="M13" s="61">
        <f>IF(M5=0,0,COUNTIF('Übung 11'!$D$11:$D$35,"&gt;0"))</f>
        <v/>
      </c>
      <c r="N13" s="61">
        <f>IF(N5=0,0,COUNTIF('Übung 12'!$D$11:$D$35,"&gt;0"))</f>
        <v/>
      </c>
      <c r="O13" s="61">
        <f>IF(O5=0,0,COUNTIF('Übung 13'!$D$11:$D$35,"&gt;0"))</f>
        <v/>
      </c>
      <c r="P13" s="61">
        <f>IF(P5=0,0,COUNTIF('Übung 14'!$D$11:$D$35,"&gt;0"))</f>
        <v/>
      </c>
      <c r="Q13" s="61">
        <f>IF(Q5=0,0,COUNTIF('Übung 15'!$D$11:$D$35,"&gt;0"))</f>
        <v/>
      </c>
      <c r="R13" s="61">
        <f>IF(R5=0,0,COUNTIF('Übung 16'!$D$11:$D$35,"&gt;0"))</f>
        <v/>
      </c>
      <c r="S13" s="61">
        <f>IF(S5=0,0,COUNTIF('Übung 17'!$D$11:$D$35,"&gt;0"))</f>
        <v/>
      </c>
      <c r="T13" s="61">
        <f>IF(T5=0,0,COUNTIF('Übung 18'!$D$11:$D$35,"&gt;0"))</f>
        <v/>
      </c>
      <c r="U13" s="61">
        <f>IF(U5=0,0,COUNTIF('Übung 19'!$D$11:$D$35,"&gt;0"))</f>
        <v/>
      </c>
      <c r="V13" s="61">
        <f>IF(V5=0,0,COUNTIF('Übung 20'!$D$11:$D$35,"&gt;0"))</f>
        <v/>
      </c>
    </row>
    <row r="14">
      <c r="A14" s="65" t="inlineStr">
        <is>
          <t>letzte Wdh.</t>
        </is>
      </c>
      <c r="C14" s="61">
        <f>SUMPRODUCT(MAX(($C$12:$V$12=C$12)*($C$11:$V$11&gt;0)*$C$3:$V$3))</f>
        <v/>
      </c>
      <c r="D14" s="61">
        <f>SUMPRODUCT(MAX(($C$12:$V$12=D$12)*($C$11:$V$11&gt;0)*$C$3:$V$3))</f>
        <v/>
      </c>
      <c r="E14" s="61">
        <f>SUMPRODUCT(MAX(($C$12:$V$12=E$12)*($C$11:$V$11&gt;0)*$C$3:$V$3))</f>
        <v/>
      </c>
      <c r="F14" s="61">
        <f>SUMPRODUCT(MAX(($C$12:$V$12=F$12)*($C$11:$V$11&gt;0)*$C$3:$V$3))</f>
        <v/>
      </c>
      <c r="G14" s="61">
        <f>SUMPRODUCT(MAX(($C$12:$V$12=G$12)*($C$11:$V$11&gt;0)*$C$3:$V$3))</f>
        <v/>
      </c>
      <c r="H14" s="61">
        <f>SUMPRODUCT(MAX(($C$12:$V$12=H$12)*($C$11:$V$11&gt;0)*$C$3:$V$3))</f>
        <v/>
      </c>
      <c r="I14" s="61">
        <f>SUMPRODUCT(MAX(($C$12:$V$12=I$12)*($C$11:$V$11&gt;0)*$C$3:$V$3))</f>
        <v/>
      </c>
      <c r="J14" s="61">
        <f>SUMPRODUCT(MAX(($C$12:$V$12=J$12)*($C$11:$V$11&gt;0)*$C$3:$V$3))</f>
        <v/>
      </c>
      <c r="K14" s="61">
        <f>SUMPRODUCT(MAX(($C$12:$V$12=K$12)*($C$11:$V$11&gt;0)*$C$3:$V$3))</f>
        <v/>
      </c>
      <c r="L14" s="61">
        <f>SUMPRODUCT(MAX(($C$12:$V$12=L$12)*($C$11:$V$11&gt;0)*$C$3:$V$3))</f>
        <v/>
      </c>
      <c r="M14" s="61">
        <f>SUMPRODUCT(MAX(($C$12:$V$12=M$12)*($C$11:$V$11&gt;0)*$C$3:$V$3))</f>
        <v/>
      </c>
      <c r="N14" s="61">
        <f>SUMPRODUCT(MAX(($C$12:$V$12=N$12)*($C$11:$V$11&gt;0)*$C$3:$V$3))</f>
        <v/>
      </c>
      <c r="O14" s="61">
        <f>SUMPRODUCT(MAX(($C$12:$V$12=O$12)*($C$11:$V$11&gt;0)*$C$3:$V$3))</f>
        <v/>
      </c>
      <c r="P14" s="61">
        <f>SUMPRODUCT(MAX(($C$12:$V$12=P$12)*($C$11:$V$11&gt;0)*$C$3:$V$3))</f>
        <v/>
      </c>
      <c r="Q14" s="61">
        <f>SUMPRODUCT(MAX(($C$12:$V$12=Q$12)*($C$11:$V$11&gt;0)*$C$3:$V$3))</f>
        <v/>
      </c>
      <c r="R14" s="61">
        <f>SUMPRODUCT(MAX(($C$12:$V$12=R$12)*($C$11:$V$11&gt;0)*$C$3:$V$3))</f>
        <v/>
      </c>
      <c r="S14" s="61">
        <f>SUMPRODUCT(MAX(($C$12:$V$12=S$12)*($C$11:$V$11&gt;0)*$C$3:$V$3))</f>
        <v/>
      </c>
      <c r="T14" s="61">
        <f>SUMPRODUCT(MAX(($C$12:$V$12=T$12)*($C$11:$V$11&gt;0)*$C$3:$V$3))</f>
        <v/>
      </c>
      <c r="U14" s="61">
        <f>SUMPRODUCT(MAX(($C$12:$V$12=U$12)*($C$11:$V$11&gt;0)*$C$3:$V$3))</f>
        <v/>
      </c>
      <c r="V14" s="61">
        <f>SUMPRODUCT(MAX(($C$12:$V$12=V$12)*($C$11:$V$11&gt;0)*$C$3:$V$3))</f>
        <v/>
      </c>
    </row>
    <row r="15">
      <c r="A15" s="65" t="inlineStr">
        <is>
          <t>Gruppengröße</t>
        </is>
      </c>
      <c r="C15" s="61">
        <f>SUMPRODUCT(($C$12:$V$12=C$12)*($C$5:$V$5=1))</f>
        <v/>
      </c>
      <c r="D15" s="61">
        <f>SUMPRODUCT(($C$12:$V$12=D$12)*($C$5:$V$5=1))</f>
        <v/>
      </c>
      <c r="E15" s="61">
        <f>SUMPRODUCT(($C$12:$V$12=E$12)*($C$5:$V$5=1))</f>
        <v/>
      </c>
      <c r="F15" s="61">
        <f>SUMPRODUCT(($C$12:$V$12=F$12)*($C$5:$V$5=1))</f>
        <v/>
      </c>
      <c r="G15" s="61">
        <f>SUMPRODUCT(($C$12:$V$12=G$12)*($C$5:$V$5=1))</f>
        <v/>
      </c>
      <c r="H15" s="61">
        <f>SUMPRODUCT(($C$12:$V$12=H$12)*($C$5:$V$5=1))</f>
        <v/>
      </c>
      <c r="I15" s="61">
        <f>SUMPRODUCT(($C$12:$V$12=I$12)*($C$5:$V$5=1))</f>
        <v/>
      </c>
      <c r="J15" s="61">
        <f>SUMPRODUCT(($C$12:$V$12=J$12)*($C$5:$V$5=1))</f>
        <v/>
      </c>
      <c r="K15" s="61">
        <f>SUMPRODUCT(($C$12:$V$12=K$12)*($C$5:$V$5=1))</f>
        <v/>
      </c>
      <c r="L15" s="61">
        <f>SUMPRODUCT(($C$12:$V$12=L$12)*($C$5:$V$5=1))</f>
        <v/>
      </c>
      <c r="M15" s="61">
        <f>SUMPRODUCT(($C$12:$V$12=M$12)*($C$5:$V$5=1))</f>
        <v/>
      </c>
      <c r="N15" s="61">
        <f>SUMPRODUCT(($C$12:$V$12=N$12)*($C$5:$V$5=1))</f>
        <v/>
      </c>
      <c r="O15" s="61">
        <f>SUMPRODUCT(($C$12:$V$12=O$12)*($C$5:$V$5=1))</f>
        <v/>
      </c>
      <c r="P15" s="61">
        <f>SUMPRODUCT(($C$12:$V$12=P$12)*($C$5:$V$5=1))</f>
        <v/>
      </c>
      <c r="Q15" s="61">
        <f>SUMPRODUCT(($C$12:$V$12=Q$12)*($C$5:$V$5=1))</f>
        <v/>
      </c>
      <c r="R15" s="61">
        <f>SUMPRODUCT(($C$12:$V$12=R$12)*($C$5:$V$5=1))</f>
        <v/>
      </c>
      <c r="S15" s="61">
        <f>SUMPRODUCT(($C$12:$V$12=S$12)*($C$5:$V$5=1))</f>
        <v/>
      </c>
      <c r="T15" s="61">
        <f>SUMPRODUCT(($C$12:$V$12=T$12)*($C$5:$V$5=1))</f>
        <v/>
      </c>
      <c r="U15" s="61">
        <f>SUMPRODUCT(($C$12:$V$12=U$12)*($C$5:$V$5=1))</f>
        <v/>
      </c>
      <c r="V15" s="61">
        <f>SUMPRODUCT(($C$12:$V$12=V$12)*($C$5:$V$5=1))</f>
        <v/>
      </c>
    </row>
    <row r="16">
      <c r="A16" s="65" t="inlineStr">
        <is>
          <t>unvollständig</t>
        </is>
      </c>
      <c r="C16" s="61">
        <f>SUMPRODUCT(($C$230:$C$254&gt;0)*($C$230:$C$254&lt;C$13)*$A$20:$A$44)</f>
        <v/>
      </c>
      <c r="D16" s="61">
        <f>SUMPRODUCT(($D$230:$D$254&gt;0)*($D$230:$D$254&lt;D$13)*$A$20:$A$44)</f>
        <v/>
      </c>
      <c r="E16" s="61">
        <f>SUMPRODUCT(($E$230:$E$254&gt;0)*($E$230:$E$254&lt;E$13)*$A$20:$A$44)</f>
        <v/>
      </c>
      <c r="F16" s="61">
        <f>SUMPRODUCT(($F$230:$F$254&gt;0)*($F$230:$F$254&lt;F$13)*$A$20:$A$44)</f>
        <v/>
      </c>
      <c r="G16" s="61">
        <f>SUMPRODUCT(($G$230:$G$254&gt;0)*($G$230:$G$254&lt;G$13)*$A$20:$A$44)</f>
        <v/>
      </c>
      <c r="H16" s="61">
        <f>SUMPRODUCT(($H$230:$H$254&gt;0)*($H$230:$H$254&lt;H$13)*$A$20:$A$44)</f>
        <v/>
      </c>
      <c r="I16" s="61">
        <f>SUMPRODUCT(($I$230:$I$254&gt;0)*($I$230:$I$254&lt;I$13)*$A$20:$A$44)</f>
        <v/>
      </c>
      <c r="J16" s="61">
        <f>SUMPRODUCT(($J$230:$J$254&gt;0)*($J$230:$J$254&lt;J$13)*$A$20:$A$44)</f>
        <v/>
      </c>
      <c r="K16" s="61">
        <f>SUMPRODUCT(($K$230:$K$254&gt;0)*($K$230:$K$254&lt;K$13)*$A$20:$A$44)</f>
        <v/>
      </c>
      <c r="L16" s="61">
        <f>SUMPRODUCT(($L$230:$L$254&gt;0)*($L$230:$L$254&lt;L$13)*$A$20:$A$44)</f>
        <v/>
      </c>
      <c r="M16" s="61">
        <f>SUMPRODUCT(($M$230:$M$254&gt;0)*($M$230:$M$254&lt;M$13)*$A$20:$A$44)</f>
        <v/>
      </c>
      <c r="N16" s="61">
        <f>SUMPRODUCT(($N$230:$N$254&gt;0)*($N$230:$N$254&lt;N$13)*$A$20:$A$44)</f>
        <v/>
      </c>
      <c r="O16" s="61">
        <f>SUMPRODUCT(($O$230:$O$254&gt;0)*($O$230:$O$254&lt;O$13)*$A$20:$A$44)</f>
        <v/>
      </c>
      <c r="P16" s="61">
        <f>SUMPRODUCT(($P$230:$P$254&gt;0)*($P$230:$P$254&lt;P$13)*$A$20:$A$44)</f>
        <v/>
      </c>
      <c r="Q16" s="61">
        <f>SUMPRODUCT(($Q$230:$Q$254&gt;0)*($Q$230:$Q$254&lt;Q$13)*$A$20:$A$44)</f>
        <v/>
      </c>
      <c r="R16" s="61">
        <f>SUMPRODUCT(($R$230:$R$254&gt;0)*($R$230:$R$254&lt;R$13)*$A$20:$A$44)</f>
        <v/>
      </c>
      <c r="S16" s="61">
        <f>SUMPRODUCT(($S$230:$S$254&gt;0)*($S$230:$S$254&lt;S$13)*$A$20:$A$44)</f>
        <v/>
      </c>
      <c r="T16" s="61">
        <f>SUMPRODUCT(($T$230:$T$254&gt;0)*($T$230:$T$254&lt;T$13)*$A$20:$A$44)</f>
        <v/>
      </c>
      <c r="U16" s="61">
        <f>SUMPRODUCT(($U$230:$U$254&gt;0)*($U$230:$U$254&lt;U$13)*$A$20:$A$44)</f>
        <v/>
      </c>
      <c r="V16" s="61">
        <f>SUMPRODUCT(($V$230:$V$254&gt;0)*($V$230:$V$254&lt;V$13)*$A$20:$A$44)</f>
        <v/>
      </c>
    </row>
    <row r="17">
      <c r="A17" s="65" t="inlineStr">
        <is>
          <t>n.b. ohne Grund</t>
        </is>
      </c>
      <c r="C17" s="61">
        <f>SUMPRODUCT((C$13&gt;0)*($C$230:$C$254=C$13)*($C$50:$C$74=0)*($C$170:$C$194="")*$A$20:$A$44)</f>
        <v/>
      </c>
      <c r="D17" s="61">
        <f>SUMPRODUCT((D$13&gt;0)*($D$230:$D$254=D$13)*($D$50:$D$74=0)*($D$170:$D$194="")*$A$20:$A$44)</f>
        <v/>
      </c>
      <c r="E17" s="61">
        <f>SUMPRODUCT((E$13&gt;0)*($E$230:$E$254=E$13)*($E$50:$E$74=0)*($E$170:$E$194="")*$A$20:$A$44)</f>
        <v/>
      </c>
      <c r="F17" s="61">
        <f>SUMPRODUCT((F$13&gt;0)*($F$230:$F$254=F$13)*($F$50:$F$74=0)*($F$170:$F$194="")*$A$20:$A$44)</f>
        <v/>
      </c>
      <c r="G17" s="61">
        <f>SUMPRODUCT((G$13&gt;0)*($G$230:$G$254=G$13)*($G$50:$G$74=0)*($G$170:$G$194="")*$A$20:$A$44)</f>
        <v/>
      </c>
      <c r="H17" s="61">
        <f>SUMPRODUCT((H$13&gt;0)*($H$230:$H$254=H$13)*($H$50:$H$74=0)*($H$170:$H$194="")*$A$20:$A$44)</f>
        <v/>
      </c>
      <c r="I17" s="61">
        <f>SUMPRODUCT((I$13&gt;0)*($I$230:$I$254=I$13)*($I$50:$I$74=0)*($I$170:$I$194="")*$A$20:$A$44)</f>
        <v/>
      </c>
      <c r="J17" s="61">
        <f>SUMPRODUCT((J$13&gt;0)*($J$230:$J$254=J$13)*($J$50:$J$74=0)*($J$170:$J$194="")*$A$20:$A$44)</f>
        <v/>
      </c>
      <c r="K17" s="61">
        <f>SUMPRODUCT((K$13&gt;0)*($K$230:$K$254=K$13)*($K$50:$K$74=0)*($K$170:$K$194="")*$A$20:$A$44)</f>
        <v/>
      </c>
      <c r="L17" s="61">
        <f>SUMPRODUCT((L$13&gt;0)*($L$230:$L$254=L$13)*($L$50:$L$74=0)*($L$170:$L$194="")*$A$20:$A$44)</f>
        <v/>
      </c>
      <c r="M17" s="61">
        <f>SUMPRODUCT((M$13&gt;0)*($M$230:$M$254=M$13)*($M$50:$M$74=0)*($M$170:$M$194="")*$A$20:$A$44)</f>
        <v/>
      </c>
      <c r="N17" s="61">
        <f>SUMPRODUCT((N$13&gt;0)*($N$230:$N$254=N$13)*($N$50:$N$74=0)*($N$170:$N$194="")*$A$20:$A$44)</f>
        <v/>
      </c>
      <c r="O17" s="61">
        <f>SUMPRODUCT((O$13&gt;0)*($O$230:$O$254=O$13)*($O$50:$O$74=0)*($O$170:$O$194="")*$A$20:$A$44)</f>
        <v/>
      </c>
      <c r="P17" s="61">
        <f>SUMPRODUCT((P$13&gt;0)*($P$230:$P$254=P$13)*($P$50:$P$74=0)*($P$170:$P$194="")*$A$20:$A$44)</f>
        <v/>
      </c>
      <c r="Q17" s="61">
        <f>SUMPRODUCT((Q$13&gt;0)*($Q$230:$Q$254=Q$13)*($Q$50:$Q$74=0)*($Q$170:$Q$194="")*$A$20:$A$44)</f>
        <v/>
      </c>
      <c r="R17" s="61">
        <f>SUMPRODUCT((R$13&gt;0)*($R$230:$R$254=R$13)*($R$50:$R$74=0)*($R$170:$R$194="")*$A$20:$A$44)</f>
        <v/>
      </c>
      <c r="S17" s="61">
        <f>SUMPRODUCT((S$13&gt;0)*($S$230:$S$254=S$13)*($S$50:$S$74=0)*($S$170:$S$194="")*$A$20:$A$44)</f>
        <v/>
      </c>
      <c r="T17" s="61">
        <f>SUMPRODUCT((T$13&gt;0)*($T$230:$T$254=T$13)*($T$50:$T$74=0)*($T$170:$T$194="")*$A$20:$A$44)</f>
        <v/>
      </c>
      <c r="U17" s="61">
        <f>SUMPRODUCT((U$13&gt;0)*($U$230:$U$254=U$13)*($U$50:$U$74=0)*($U$170:$U$194="")*$A$20:$A$44)</f>
        <v/>
      </c>
      <c r="V17" s="61">
        <f>SUMPRODUCT((V$13&gt;0)*($V$230:$V$254=V$13)*($V$50:$V$74=0)*($V$170:$V$194="")*$A$20:$A$44)</f>
        <v/>
      </c>
    </row>
    <row r="18">
      <c r="A18" s="65" t="inlineStr">
        <is>
          <t>ohne Kürzel</t>
        </is>
      </c>
      <c r="C18" s="61">
        <f>IF(C5=0,0,IF('Übung 01'!$H$4="",1,0))</f>
        <v/>
      </c>
      <c r="D18" s="61">
        <f>IF(D5=0,0,IF('Übung 02'!$H$4="",1,0))</f>
        <v/>
      </c>
      <c r="E18" s="61">
        <f>IF(E5=0,0,IF('Übung 03'!$H$4="",1,0))</f>
        <v/>
      </c>
      <c r="F18" s="61">
        <f>IF(F5=0,0,IF('Übung 04'!$H$4="",1,0))</f>
        <v/>
      </c>
      <c r="G18" s="61">
        <f>IF(G5=0,0,IF('Übung 05'!$H$4="",1,0))</f>
        <v/>
      </c>
      <c r="H18" s="61">
        <f>IF(H5=0,0,IF('Übung 06'!$H$4="",1,0))</f>
        <v/>
      </c>
      <c r="I18" s="61">
        <f>IF(I5=0,0,IF('Übung 07'!$H$4="",1,0))</f>
        <v/>
      </c>
      <c r="J18" s="61">
        <f>IF(J5=0,0,IF('Übung 08'!$H$4="",1,0))</f>
        <v/>
      </c>
      <c r="K18" s="61">
        <f>IF(K5=0,0,IF('Übung 09'!$H$4="",1,0))</f>
        <v/>
      </c>
      <c r="L18" s="61">
        <f>IF(L5=0,0,IF('Übung 10'!$H$4="",1,0))</f>
        <v/>
      </c>
      <c r="M18" s="61">
        <f>IF(M5=0,0,IF('Übung 11'!$H$4="",1,0))</f>
        <v/>
      </c>
      <c r="N18" s="61">
        <f>IF(N5=0,0,IF('Übung 12'!$H$4="",1,0))</f>
        <v/>
      </c>
      <c r="O18" s="61">
        <f>IF(O5=0,0,IF('Übung 13'!$H$4="",1,0))</f>
        <v/>
      </c>
      <c r="P18" s="61">
        <f>IF(P5=0,0,IF('Übung 14'!$H$4="",1,0))</f>
        <v/>
      </c>
      <c r="Q18" s="61">
        <f>IF(Q5=0,0,IF('Übung 15'!$H$4="",1,0))</f>
        <v/>
      </c>
      <c r="R18" s="61">
        <f>IF(R5=0,0,IF('Übung 16'!$H$4="",1,0))</f>
        <v/>
      </c>
      <c r="S18" s="61">
        <f>IF(S5=0,0,IF('Übung 17'!$H$4="",1,0))</f>
        <v/>
      </c>
      <c r="T18" s="61">
        <f>IF(T5=0,0,IF('Übung 18'!$H$4="",1,0))</f>
        <v/>
      </c>
      <c r="U18" s="61">
        <f>IF(U5=0,0,IF('Übung 19'!$H$4="",1,0))</f>
        <v/>
      </c>
      <c r="V18" s="61">
        <f>IF(V5=0,0,IF('Übung 20'!$H$4="",1,0))</f>
        <v/>
      </c>
    </row>
    <row r="19">
      <c r="A19" s="162" t="inlineStr">
        <is>
          <t>Prozent</t>
        </is>
      </c>
    </row>
    <row r="20">
      <c r="A20" s="61">
        <f>IF('Stammdaten'!$G6="aktiv",1,0)</f>
        <v/>
      </c>
      <c r="B20" s="163">
        <f>IF('Stammdaten'!$E6="",0,'Stammdaten'!$E6)</f>
        <v/>
      </c>
      <c r="C20" s="63">
        <f>IF(ISNUMBER('Übung 01'!E$8),'Übung 01'!E$8,0)</f>
        <v/>
      </c>
      <c r="D20" s="63">
        <f>IF(ISNUMBER('Übung 02'!E$8),'Übung 02'!E$8,0)</f>
        <v/>
      </c>
      <c r="E20" s="63">
        <f>IF(ISNUMBER('Übung 03'!E$8),'Übung 03'!E$8,0)</f>
        <v/>
      </c>
      <c r="F20" s="63">
        <f>IF(ISNUMBER('Übung 04'!E$8),'Übung 04'!E$8,0)</f>
        <v/>
      </c>
      <c r="G20" s="63">
        <f>IF(ISNUMBER('Übung 05'!E$8),'Übung 05'!E$8,0)</f>
        <v/>
      </c>
      <c r="H20" s="63">
        <f>IF(ISNUMBER('Übung 06'!E$8),'Übung 06'!E$8,0)</f>
        <v/>
      </c>
      <c r="I20" s="63">
        <f>IF(ISNUMBER('Übung 07'!E$8),'Übung 07'!E$8,0)</f>
        <v/>
      </c>
      <c r="J20" s="63">
        <f>IF(ISNUMBER('Übung 08'!E$8),'Übung 08'!E$8,0)</f>
        <v/>
      </c>
      <c r="K20" s="63">
        <f>IF(ISNUMBER('Übung 09'!E$8),'Übung 09'!E$8,0)</f>
        <v/>
      </c>
      <c r="L20" s="63">
        <f>IF(ISNUMBER('Übung 10'!E$8),'Übung 10'!E$8,0)</f>
        <v/>
      </c>
      <c r="M20" s="63">
        <f>IF(ISNUMBER('Übung 11'!E$8),'Übung 11'!E$8,0)</f>
        <v/>
      </c>
      <c r="N20" s="63">
        <f>IF(ISNUMBER('Übung 12'!E$8),'Übung 12'!E$8,0)</f>
        <v/>
      </c>
      <c r="O20" s="63">
        <f>IF(ISNUMBER('Übung 13'!E$8),'Übung 13'!E$8,0)</f>
        <v/>
      </c>
      <c r="P20" s="63">
        <f>IF(ISNUMBER('Übung 14'!E$8),'Übung 14'!E$8,0)</f>
        <v/>
      </c>
      <c r="Q20" s="63">
        <f>IF(ISNUMBER('Übung 15'!E$8),'Übung 15'!E$8,0)</f>
        <v/>
      </c>
      <c r="R20" s="63">
        <f>IF(ISNUMBER('Übung 16'!E$8),'Übung 16'!E$8,0)</f>
        <v/>
      </c>
      <c r="S20" s="63">
        <f>IF(ISNUMBER('Übung 17'!E$8),'Übung 17'!E$8,0)</f>
        <v/>
      </c>
      <c r="T20" s="63">
        <f>IF(ISNUMBER('Übung 18'!E$8),'Übung 18'!E$8,0)</f>
        <v/>
      </c>
      <c r="U20" s="63">
        <f>IF(ISNUMBER('Übung 19'!E$8),'Übung 19'!E$8,0)</f>
        <v/>
      </c>
      <c r="V20" s="63">
        <f>IF(ISNUMBER('Übung 20'!E$8),'Übung 20'!E$8,0)</f>
        <v/>
      </c>
    </row>
    <row r="21">
      <c r="A21" s="61">
        <f>IF('Stammdaten'!$G7="aktiv",1,0)</f>
        <v/>
      </c>
      <c r="B21" s="163">
        <f>IF('Stammdaten'!$E7="",0,'Stammdaten'!$E7)</f>
        <v/>
      </c>
      <c r="C21" s="63">
        <f>IF(ISNUMBER('Übung 01'!F$8),'Übung 01'!F$8,0)</f>
        <v/>
      </c>
      <c r="D21" s="63">
        <f>IF(ISNUMBER('Übung 02'!F$8),'Übung 02'!F$8,0)</f>
        <v/>
      </c>
      <c r="E21" s="63">
        <f>IF(ISNUMBER('Übung 03'!F$8),'Übung 03'!F$8,0)</f>
        <v/>
      </c>
      <c r="F21" s="63">
        <f>IF(ISNUMBER('Übung 04'!F$8),'Übung 04'!F$8,0)</f>
        <v/>
      </c>
      <c r="G21" s="63">
        <f>IF(ISNUMBER('Übung 05'!F$8),'Übung 05'!F$8,0)</f>
        <v/>
      </c>
      <c r="H21" s="63">
        <f>IF(ISNUMBER('Übung 06'!F$8),'Übung 06'!F$8,0)</f>
        <v/>
      </c>
      <c r="I21" s="63">
        <f>IF(ISNUMBER('Übung 07'!F$8),'Übung 07'!F$8,0)</f>
        <v/>
      </c>
      <c r="J21" s="63">
        <f>IF(ISNUMBER('Übung 08'!F$8),'Übung 08'!F$8,0)</f>
        <v/>
      </c>
      <c r="K21" s="63">
        <f>IF(ISNUMBER('Übung 09'!F$8),'Übung 09'!F$8,0)</f>
        <v/>
      </c>
      <c r="L21" s="63">
        <f>IF(ISNUMBER('Übung 10'!F$8),'Übung 10'!F$8,0)</f>
        <v/>
      </c>
      <c r="M21" s="63">
        <f>IF(ISNUMBER('Übung 11'!F$8),'Übung 11'!F$8,0)</f>
        <v/>
      </c>
      <c r="N21" s="63">
        <f>IF(ISNUMBER('Übung 12'!F$8),'Übung 12'!F$8,0)</f>
        <v/>
      </c>
      <c r="O21" s="63">
        <f>IF(ISNUMBER('Übung 13'!F$8),'Übung 13'!F$8,0)</f>
        <v/>
      </c>
      <c r="P21" s="63">
        <f>IF(ISNUMBER('Übung 14'!F$8),'Übung 14'!F$8,0)</f>
        <v/>
      </c>
      <c r="Q21" s="63">
        <f>IF(ISNUMBER('Übung 15'!F$8),'Übung 15'!F$8,0)</f>
        <v/>
      </c>
      <c r="R21" s="63">
        <f>IF(ISNUMBER('Übung 16'!F$8),'Übung 16'!F$8,0)</f>
        <v/>
      </c>
      <c r="S21" s="63">
        <f>IF(ISNUMBER('Übung 17'!F$8),'Übung 17'!F$8,0)</f>
        <v/>
      </c>
      <c r="T21" s="63">
        <f>IF(ISNUMBER('Übung 18'!F$8),'Übung 18'!F$8,0)</f>
        <v/>
      </c>
      <c r="U21" s="63">
        <f>IF(ISNUMBER('Übung 19'!F$8),'Übung 19'!F$8,0)</f>
        <v/>
      </c>
      <c r="V21" s="63">
        <f>IF(ISNUMBER('Übung 20'!F$8),'Übung 20'!F$8,0)</f>
        <v/>
      </c>
    </row>
    <row r="22">
      <c r="A22" s="61">
        <f>IF('Stammdaten'!$G8="aktiv",1,0)</f>
        <v/>
      </c>
      <c r="B22" s="163">
        <f>IF('Stammdaten'!$E8="",0,'Stammdaten'!$E8)</f>
        <v/>
      </c>
      <c r="C22" s="63">
        <f>IF(ISNUMBER('Übung 01'!G$8),'Übung 01'!G$8,0)</f>
        <v/>
      </c>
      <c r="D22" s="63">
        <f>IF(ISNUMBER('Übung 02'!G$8),'Übung 02'!G$8,0)</f>
        <v/>
      </c>
      <c r="E22" s="63">
        <f>IF(ISNUMBER('Übung 03'!G$8),'Übung 03'!G$8,0)</f>
        <v/>
      </c>
      <c r="F22" s="63">
        <f>IF(ISNUMBER('Übung 04'!G$8),'Übung 04'!G$8,0)</f>
        <v/>
      </c>
      <c r="G22" s="63">
        <f>IF(ISNUMBER('Übung 05'!G$8),'Übung 05'!G$8,0)</f>
        <v/>
      </c>
      <c r="H22" s="63">
        <f>IF(ISNUMBER('Übung 06'!G$8),'Übung 06'!G$8,0)</f>
        <v/>
      </c>
      <c r="I22" s="63">
        <f>IF(ISNUMBER('Übung 07'!G$8),'Übung 07'!G$8,0)</f>
        <v/>
      </c>
      <c r="J22" s="63">
        <f>IF(ISNUMBER('Übung 08'!G$8),'Übung 08'!G$8,0)</f>
        <v/>
      </c>
      <c r="K22" s="63">
        <f>IF(ISNUMBER('Übung 09'!G$8),'Übung 09'!G$8,0)</f>
        <v/>
      </c>
      <c r="L22" s="63">
        <f>IF(ISNUMBER('Übung 10'!G$8),'Übung 10'!G$8,0)</f>
        <v/>
      </c>
      <c r="M22" s="63">
        <f>IF(ISNUMBER('Übung 11'!G$8),'Übung 11'!G$8,0)</f>
        <v/>
      </c>
      <c r="N22" s="63">
        <f>IF(ISNUMBER('Übung 12'!G$8),'Übung 12'!G$8,0)</f>
        <v/>
      </c>
      <c r="O22" s="63">
        <f>IF(ISNUMBER('Übung 13'!G$8),'Übung 13'!G$8,0)</f>
        <v/>
      </c>
      <c r="P22" s="63">
        <f>IF(ISNUMBER('Übung 14'!G$8),'Übung 14'!G$8,0)</f>
        <v/>
      </c>
      <c r="Q22" s="63">
        <f>IF(ISNUMBER('Übung 15'!G$8),'Übung 15'!G$8,0)</f>
        <v/>
      </c>
      <c r="R22" s="63">
        <f>IF(ISNUMBER('Übung 16'!G$8),'Übung 16'!G$8,0)</f>
        <v/>
      </c>
      <c r="S22" s="63">
        <f>IF(ISNUMBER('Übung 17'!G$8),'Übung 17'!G$8,0)</f>
        <v/>
      </c>
      <c r="T22" s="63">
        <f>IF(ISNUMBER('Übung 18'!G$8),'Übung 18'!G$8,0)</f>
        <v/>
      </c>
      <c r="U22" s="63">
        <f>IF(ISNUMBER('Übung 19'!G$8),'Übung 19'!G$8,0)</f>
        <v/>
      </c>
      <c r="V22" s="63">
        <f>IF(ISNUMBER('Übung 20'!G$8),'Übung 20'!G$8,0)</f>
        <v/>
      </c>
    </row>
    <row r="23">
      <c r="A23" s="61">
        <f>IF('Stammdaten'!$G9="aktiv",1,0)</f>
        <v/>
      </c>
      <c r="B23" s="163">
        <f>IF('Stammdaten'!$E9="",0,'Stammdaten'!$E9)</f>
        <v/>
      </c>
      <c r="C23" s="63">
        <f>IF(ISNUMBER('Übung 01'!H$8),'Übung 01'!H$8,0)</f>
        <v/>
      </c>
      <c r="D23" s="63">
        <f>IF(ISNUMBER('Übung 02'!H$8),'Übung 02'!H$8,0)</f>
        <v/>
      </c>
      <c r="E23" s="63">
        <f>IF(ISNUMBER('Übung 03'!H$8),'Übung 03'!H$8,0)</f>
        <v/>
      </c>
      <c r="F23" s="63">
        <f>IF(ISNUMBER('Übung 04'!H$8),'Übung 04'!H$8,0)</f>
        <v/>
      </c>
      <c r="G23" s="63">
        <f>IF(ISNUMBER('Übung 05'!H$8),'Übung 05'!H$8,0)</f>
        <v/>
      </c>
      <c r="H23" s="63">
        <f>IF(ISNUMBER('Übung 06'!H$8),'Übung 06'!H$8,0)</f>
        <v/>
      </c>
      <c r="I23" s="63">
        <f>IF(ISNUMBER('Übung 07'!H$8),'Übung 07'!H$8,0)</f>
        <v/>
      </c>
      <c r="J23" s="63">
        <f>IF(ISNUMBER('Übung 08'!H$8),'Übung 08'!H$8,0)</f>
        <v/>
      </c>
      <c r="K23" s="63">
        <f>IF(ISNUMBER('Übung 09'!H$8),'Übung 09'!H$8,0)</f>
        <v/>
      </c>
      <c r="L23" s="63">
        <f>IF(ISNUMBER('Übung 10'!H$8),'Übung 10'!H$8,0)</f>
        <v/>
      </c>
      <c r="M23" s="63">
        <f>IF(ISNUMBER('Übung 11'!H$8),'Übung 11'!H$8,0)</f>
        <v/>
      </c>
      <c r="N23" s="63">
        <f>IF(ISNUMBER('Übung 12'!H$8),'Übung 12'!H$8,0)</f>
        <v/>
      </c>
      <c r="O23" s="63">
        <f>IF(ISNUMBER('Übung 13'!H$8),'Übung 13'!H$8,0)</f>
        <v/>
      </c>
      <c r="P23" s="63">
        <f>IF(ISNUMBER('Übung 14'!H$8),'Übung 14'!H$8,0)</f>
        <v/>
      </c>
      <c r="Q23" s="63">
        <f>IF(ISNUMBER('Übung 15'!H$8),'Übung 15'!H$8,0)</f>
        <v/>
      </c>
      <c r="R23" s="63">
        <f>IF(ISNUMBER('Übung 16'!H$8),'Übung 16'!H$8,0)</f>
        <v/>
      </c>
      <c r="S23" s="63">
        <f>IF(ISNUMBER('Übung 17'!H$8),'Übung 17'!H$8,0)</f>
        <v/>
      </c>
      <c r="T23" s="63">
        <f>IF(ISNUMBER('Übung 18'!H$8),'Übung 18'!H$8,0)</f>
        <v/>
      </c>
      <c r="U23" s="63">
        <f>IF(ISNUMBER('Übung 19'!H$8),'Übung 19'!H$8,0)</f>
        <v/>
      </c>
      <c r="V23" s="63">
        <f>IF(ISNUMBER('Übung 20'!H$8),'Übung 20'!H$8,0)</f>
        <v/>
      </c>
    </row>
    <row r="24">
      <c r="A24" s="61">
        <f>IF('Stammdaten'!$G10="aktiv",1,0)</f>
        <v/>
      </c>
      <c r="B24" s="163">
        <f>IF('Stammdaten'!$E10="",0,'Stammdaten'!$E10)</f>
        <v/>
      </c>
      <c r="C24" s="63">
        <f>IF(ISNUMBER('Übung 01'!I$8),'Übung 01'!I$8,0)</f>
        <v/>
      </c>
      <c r="D24" s="63">
        <f>IF(ISNUMBER('Übung 02'!I$8),'Übung 02'!I$8,0)</f>
        <v/>
      </c>
      <c r="E24" s="63">
        <f>IF(ISNUMBER('Übung 03'!I$8),'Übung 03'!I$8,0)</f>
        <v/>
      </c>
      <c r="F24" s="63">
        <f>IF(ISNUMBER('Übung 04'!I$8),'Übung 04'!I$8,0)</f>
        <v/>
      </c>
      <c r="G24" s="63">
        <f>IF(ISNUMBER('Übung 05'!I$8),'Übung 05'!I$8,0)</f>
        <v/>
      </c>
      <c r="H24" s="63">
        <f>IF(ISNUMBER('Übung 06'!I$8),'Übung 06'!I$8,0)</f>
        <v/>
      </c>
      <c r="I24" s="63">
        <f>IF(ISNUMBER('Übung 07'!I$8),'Übung 07'!I$8,0)</f>
        <v/>
      </c>
      <c r="J24" s="63">
        <f>IF(ISNUMBER('Übung 08'!I$8),'Übung 08'!I$8,0)</f>
        <v/>
      </c>
      <c r="K24" s="63">
        <f>IF(ISNUMBER('Übung 09'!I$8),'Übung 09'!I$8,0)</f>
        <v/>
      </c>
      <c r="L24" s="63">
        <f>IF(ISNUMBER('Übung 10'!I$8),'Übung 10'!I$8,0)</f>
        <v/>
      </c>
      <c r="M24" s="63">
        <f>IF(ISNUMBER('Übung 11'!I$8),'Übung 11'!I$8,0)</f>
        <v/>
      </c>
      <c r="N24" s="63">
        <f>IF(ISNUMBER('Übung 12'!I$8),'Übung 12'!I$8,0)</f>
        <v/>
      </c>
      <c r="O24" s="63">
        <f>IF(ISNUMBER('Übung 13'!I$8),'Übung 13'!I$8,0)</f>
        <v/>
      </c>
      <c r="P24" s="63">
        <f>IF(ISNUMBER('Übung 14'!I$8),'Übung 14'!I$8,0)</f>
        <v/>
      </c>
      <c r="Q24" s="63">
        <f>IF(ISNUMBER('Übung 15'!I$8),'Übung 15'!I$8,0)</f>
        <v/>
      </c>
      <c r="R24" s="63">
        <f>IF(ISNUMBER('Übung 16'!I$8),'Übung 16'!I$8,0)</f>
        <v/>
      </c>
      <c r="S24" s="63">
        <f>IF(ISNUMBER('Übung 17'!I$8),'Übung 17'!I$8,0)</f>
        <v/>
      </c>
      <c r="T24" s="63">
        <f>IF(ISNUMBER('Übung 18'!I$8),'Übung 18'!I$8,0)</f>
        <v/>
      </c>
      <c r="U24" s="63">
        <f>IF(ISNUMBER('Übung 19'!I$8),'Übung 19'!I$8,0)</f>
        <v/>
      </c>
      <c r="V24" s="63">
        <f>IF(ISNUMBER('Übung 20'!I$8),'Übung 20'!I$8,0)</f>
        <v/>
      </c>
    </row>
    <row r="25">
      <c r="A25" s="61">
        <f>IF('Stammdaten'!$G11="aktiv",1,0)</f>
        <v/>
      </c>
      <c r="B25" s="163">
        <f>IF('Stammdaten'!$E11="",0,'Stammdaten'!$E11)</f>
        <v/>
      </c>
      <c r="C25" s="63">
        <f>IF(ISNUMBER('Übung 01'!J$8),'Übung 01'!J$8,0)</f>
        <v/>
      </c>
      <c r="D25" s="63">
        <f>IF(ISNUMBER('Übung 02'!J$8),'Übung 02'!J$8,0)</f>
        <v/>
      </c>
      <c r="E25" s="63">
        <f>IF(ISNUMBER('Übung 03'!J$8),'Übung 03'!J$8,0)</f>
        <v/>
      </c>
      <c r="F25" s="63">
        <f>IF(ISNUMBER('Übung 04'!J$8),'Übung 04'!J$8,0)</f>
        <v/>
      </c>
      <c r="G25" s="63">
        <f>IF(ISNUMBER('Übung 05'!J$8),'Übung 05'!J$8,0)</f>
        <v/>
      </c>
      <c r="H25" s="63">
        <f>IF(ISNUMBER('Übung 06'!J$8),'Übung 06'!J$8,0)</f>
        <v/>
      </c>
      <c r="I25" s="63">
        <f>IF(ISNUMBER('Übung 07'!J$8),'Übung 07'!J$8,0)</f>
        <v/>
      </c>
      <c r="J25" s="63">
        <f>IF(ISNUMBER('Übung 08'!J$8),'Übung 08'!J$8,0)</f>
        <v/>
      </c>
      <c r="K25" s="63">
        <f>IF(ISNUMBER('Übung 09'!J$8),'Übung 09'!J$8,0)</f>
        <v/>
      </c>
      <c r="L25" s="63">
        <f>IF(ISNUMBER('Übung 10'!J$8),'Übung 10'!J$8,0)</f>
        <v/>
      </c>
      <c r="M25" s="63">
        <f>IF(ISNUMBER('Übung 11'!J$8),'Übung 11'!J$8,0)</f>
        <v/>
      </c>
      <c r="N25" s="63">
        <f>IF(ISNUMBER('Übung 12'!J$8),'Übung 12'!J$8,0)</f>
        <v/>
      </c>
      <c r="O25" s="63">
        <f>IF(ISNUMBER('Übung 13'!J$8),'Übung 13'!J$8,0)</f>
        <v/>
      </c>
      <c r="P25" s="63">
        <f>IF(ISNUMBER('Übung 14'!J$8),'Übung 14'!J$8,0)</f>
        <v/>
      </c>
      <c r="Q25" s="63">
        <f>IF(ISNUMBER('Übung 15'!J$8),'Übung 15'!J$8,0)</f>
        <v/>
      </c>
      <c r="R25" s="63">
        <f>IF(ISNUMBER('Übung 16'!J$8),'Übung 16'!J$8,0)</f>
        <v/>
      </c>
      <c r="S25" s="63">
        <f>IF(ISNUMBER('Übung 17'!J$8),'Übung 17'!J$8,0)</f>
        <v/>
      </c>
      <c r="T25" s="63">
        <f>IF(ISNUMBER('Übung 18'!J$8),'Übung 18'!J$8,0)</f>
        <v/>
      </c>
      <c r="U25" s="63">
        <f>IF(ISNUMBER('Übung 19'!J$8),'Übung 19'!J$8,0)</f>
        <v/>
      </c>
      <c r="V25" s="63">
        <f>IF(ISNUMBER('Übung 20'!J$8),'Übung 20'!J$8,0)</f>
        <v/>
      </c>
    </row>
    <row r="26">
      <c r="A26" s="61">
        <f>IF('Stammdaten'!$G12="aktiv",1,0)</f>
        <v/>
      </c>
      <c r="B26" s="163">
        <f>IF('Stammdaten'!$E12="",0,'Stammdaten'!$E12)</f>
        <v/>
      </c>
      <c r="C26" s="63">
        <f>IF(ISNUMBER('Übung 01'!K$8),'Übung 01'!K$8,0)</f>
        <v/>
      </c>
      <c r="D26" s="63">
        <f>IF(ISNUMBER('Übung 02'!K$8),'Übung 02'!K$8,0)</f>
        <v/>
      </c>
      <c r="E26" s="63">
        <f>IF(ISNUMBER('Übung 03'!K$8),'Übung 03'!K$8,0)</f>
        <v/>
      </c>
      <c r="F26" s="63">
        <f>IF(ISNUMBER('Übung 04'!K$8),'Übung 04'!K$8,0)</f>
        <v/>
      </c>
      <c r="G26" s="63">
        <f>IF(ISNUMBER('Übung 05'!K$8),'Übung 05'!K$8,0)</f>
        <v/>
      </c>
      <c r="H26" s="63">
        <f>IF(ISNUMBER('Übung 06'!K$8),'Übung 06'!K$8,0)</f>
        <v/>
      </c>
      <c r="I26" s="63">
        <f>IF(ISNUMBER('Übung 07'!K$8),'Übung 07'!K$8,0)</f>
        <v/>
      </c>
      <c r="J26" s="63">
        <f>IF(ISNUMBER('Übung 08'!K$8),'Übung 08'!K$8,0)</f>
        <v/>
      </c>
      <c r="K26" s="63">
        <f>IF(ISNUMBER('Übung 09'!K$8),'Übung 09'!K$8,0)</f>
        <v/>
      </c>
      <c r="L26" s="63">
        <f>IF(ISNUMBER('Übung 10'!K$8),'Übung 10'!K$8,0)</f>
        <v/>
      </c>
      <c r="M26" s="63">
        <f>IF(ISNUMBER('Übung 11'!K$8),'Übung 11'!K$8,0)</f>
        <v/>
      </c>
      <c r="N26" s="63">
        <f>IF(ISNUMBER('Übung 12'!K$8),'Übung 12'!K$8,0)</f>
        <v/>
      </c>
      <c r="O26" s="63">
        <f>IF(ISNUMBER('Übung 13'!K$8),'Übung 13'!K$8,0)</f>
        <v/>
      </c>
      <c r="P26" s="63">
        <f>IF(ISNUMBER('Übung 14'!K$8),'Übung 14'!K$8,0)</f>
        <v/>
      </c>
      <c r="Q26" s="63">
        <f>IF(ISNUMBER('Übung 15'!K$8),'Übung 15'!K$8,0)</f>
        <v/>
      </c>
      <c r="R26" s="63">
        <f>IF(ISNUMBER('Übung 16'!K$8),'Übung 16'!K$8,0)</f>
        <v/>
      </c>
      <c r="S26" s="63">
        <f>IF(ISNUMBER('Übung 17'!K$8),'Übung 17'!K$8,0)</f>
        <v/>
      </c>
      <c r="T26" s="63">
        <f>IF(ISNUMBER('Übung 18'!K$8),'Übung 18'!K$8,0)</f>
        <v/>
      </c>
      <c r="U26" s="63">
        <f>IF(ISNUMBER('Übung 19'!K$8),'Übung 19'!K$8,0)</f>
        <v/>
      </c>
      <c r="V26" s="63">
        <f>IF(ISNUMBER('Übung 20'!K$8),'Übung 20'!K$8,0)</f>
        <v/>
      </c>
    </row>
    <row r="27">
      <c r="A27" s="61">
        <f>IF('Stammdaten'!$G13="aktiv",1,0)</f>
        <v/>
      </c>
      <c r="B27" s="163">
        <f>IF('Stammdaten'!$E13="",0,'Stammdaten'!$E13)</f>
        <v/>
      </c>
      <c r="C27" s="63">
        <f>IF(ISNUMBER('Übung 01'!L$8),'Übung 01'!L$8,0)</f>
        <v/>
      </c>
      <c r="D27" s="63">
        <f>IF(ISNUMBER('Übung 02'!L$8),'Übung 02'!L$8,0)</f>
        <v/>
      </c>
      <c r="E27" s="63">
        <f>IF(ISNUMBER('Übung 03'!L$8),'Übung 03'!L$8,0)</f>
        <v/>
      </c>
      <c r="F27" s="63">
        <f>IF(ISNUMBER('Übung 04'!L$8),'Übung 04'!L$8,0)</f>
        <v/>
      </c>
      <c r="G27" s="63">
        <f>IF(ISNUMBER('Übung 05'!L$8),'Übung 05'!L$8,0)</f>
        <v/>
      </c>
      <c r="H27" s="63">
        <f>IF(ISNUMBER('Übung 06'!L$8),'Übung 06'!L$8,0)</f>
        <v/>
      </c>
      <c r="I27" s="63">
        <f>IF(ISNUMBER('Übung 07'!L$8),'Übung 07'!L$8,0)</f>
        <v/>
      </c>
      <c r="J27" s="63">
        <f>IF(ISNUMBER('Übung 08'!L$8),'Übung 08'!L$8,0)</f>
        <v/>
      </c>
      <c r="K27" s="63">
        <f>IF(ISNUMBER('Übung 09'!L$8),'Übung 09'!L$8,0)</f>
        <v/>
      </c>
      <c r="L27" s="63">
        <f>IF(ISNUMBER('Übung 10'!L$8),'Übung 10'!L$8,0)</f>
        <v/>
      </c>
      <c r="M27" s="63">
        <f>IF(ISNUMBER('Übung 11'!L$8),'Übung 11'!L$8,0)</f>
        <v/>
      </c>
      <c r="N27" s="63">
        <f>IF(ISNUMBER('Übung 12'!L$8),'Übung 12'!L$8,0)</f>
        <v/>
      </c>
      <c r="O27" s="63">
        <f>IF(ISNUMBER('Übung 13'!L$8),'Übung 13'!L$8,0)</f>
        <v/>
      </c>
      <c r="P27" s="63">
        <f>IF(ISNUMBER('Übung 14'!L$8),'Übung 14'!L$8,0)</f>
        <v/>
      </c>
      <c r="Q27" s="63">
        <f>IF(ISNUMBER('Übung 15'!L$8),'Übung 15'!L$8,0)</f>
        <v/>
      </c>
      <c r="R27" s="63">
        <f>IF(ISNUMBER('Übung 16'!L$8),'Übung 16'!L$8,0)</f>
        <v/>
      </c>
      <c r="S27" s="63">
        <f>IF(ISNUMBER('Übung 17'!L$8),'Übung 17'!L$8,0)</f>
        <v/>
      </c>
      <c r="T27" s="63">
        <f>IF(ISNUMBER('Übung 18'!L$8),'Übung 18'!L$8,0)</f>
        <v/>
      </c>
      <c r="U27" s="63">
        <f>IF(ISNUMBER('Übung 19'!L$8),'Übung 19'!L$8,0)</f>
        <v/>
      </c>
      <c r="V27" s="63">
        <f>IF(ISNUMBER('Übung 20'!L$8),'Übung 20'!L$8,0)</f>
        <v/>
      </c>
    </row>
    <row r="28">
      <c r="A28" s="61">
        <f>IF('Stammdaten'!$G14="aktiv",1,0)</f>
        <v/>
      </c>
      <c r="B28" s="163">
        <f>IF('Stammdaten'!$E14="",0,'Stammdaten'!$E14)</f>
        <v/>
      </c>
      <c r="C28" s="63">
        <f>IF(ISNUMBER('Übung 01'!M$8),'Übung 01'!M$8,0)</f>
        <v/>
      </c>
      <c r="D28" s="63">
        <f>IF(ISNUMBER('Übung 02'!M$8),'Übung 02'!M$8,0)</f>
        <v/>
      </c>
      <c r="E28" s="63">
        <f>IF(ISNUMBER('Übung 03'!M$8),'Übung 03'!M$8,0)</f>
        <v/>
      </c>
      <c r="F28" s="63">
        <f>IF(ISNUMBER('Übung 04'!M$8),'Übung 04'!M$8,0)</f>
        <v/>
      </c>
      <c r="G28" s="63">
        <f>IF(ISNUMBER('Übung 05'!M$8),'Übung 05'!M$8,0)</f>
        <v/>
      </c>
      <c r="H28" s="63">
        <f>IF(ISNUMBER('Übung 06'!M$8),'Übung 06'!M$8,0)</f>
        <v/>
      </c>
      <c r="I28" s="63">
        <f>IF(ISNUMBER('Übung 07'!M$8),'Übung 07'!M$8,0)</f>
        <v/>
      </c>
      <c r="J28" s="63">
        <f>IF(ISNUMBER('Übung 08'!M$8),'Übung 08'!M$8,0)</f>
        <v/>
      </c>
      <c r="K28" s="63">
        <f>IF(ISNUMBER('Übung 09'!M$8),'Übung 09'!M$8,0)</f>
        <v/>
      </c>
      <c r="L28" s="63">
        <f>IF(ISNUMBER('Übung 10'!M$8),'Übung 10'!M$8,0)</f>
        <v/>
      </c>
      <c r="M28" s="63">
        <f>IF(ISNUMBER('Übung 11'!M$8),'Übung 11'!M$8,0)</f>
        <v/>
      </c>
      <c r="N28" s="63">
        <f>IF(ISNUMBER('Übung 12'!M$8),'Übung 12'!M$8,0)</f>
        <v/>
      </c>
      <c r="O28" s="63">
        <f>IF(ISNUMBER('Übung 13'!M$8),'Übung 13'!M$8,0)</f>
        <v/>
      </c>
      <c r="P28" s="63">
        <f>IF(ISNUMBER('Übung 14'!M$8),'Übung 14'!M$8,0)</f>
        <v/>
      </c>
      <c r="Q28" s="63">
        <f>IF(ISNUMBER('Übung 15'!M$8),'Übung 15'!M$8,0)</f>
        <v/>
      </c>
      <c r="R28" s="63">
        <f>IF(ISNUMBER('Übung 16'!M$8),'Übung 16'!M$8,0)</f>
        <v/>
      </c>
      <c r="S28" s="63">
        <f>IF(ISNUMBER('Übung 17'!M$8),'Übung 17'!M$8,0)</f>
        <v/>
      </c>
      <c r="T28" s="63">
        <f>IF(ISNUMBER('Übung 18'!M$8),'Übung 18'!M$8,0)</f>
        <v/>
      </c>
      <c r="U28" s="63">
        <f>IF(ISNUMBER('Übung 19'!M$8),'Übung 19'!M$8,0)</f>
        <v/>
      </c>
      <c r="V28" s="63">
        <f>IF(ISNUMBER('Übung 20'!M$8),'Übung 20'!M$8,0)</f>
        <v/>
      </c>
    </row>
    <row r="29">
      <c r="A29" s="61">
        <f>IF('Stammdaten'!$G15="aktiv",1,0)</f>
        <v/>
      </c>
      <c r="B29" s="163">
        <f>IF('Stammdaten'!$E15="",0,'Stammdaten'!$E15)</f>
        <v/>
      </c>
      <c r="C29" s="63">
        <f>IF(ISNUMBER('Übung 01'!N$8),'Übung 01'!N$8,0)</f>
        <v/>
      </c>
      <c r="D29" s="63">
        <f>IF(ISNUMBER('Übung 02'!N$8),'Übung 02'!N$8,0)</f>
        <v/>
      </c>
      <c r="E29" s="63">
        <f>IF(ISNUMBER('Übung 03'!N$8),'Übung 03'!N$8,0)</f>
        <v/>
      </c>
      <c r="F29" s="63">
        <f>IF(ISNUMBER('Übung 04'!N$8),'Übung 04'!N$8,0)</f>
        <v/>
      </c>
      <c r="G29" s="63">
        <f>IF(ISNUMBER('Übung 05'!N$8),'Übung 05'!N$8,0)</f>
        <v/>
      </c>
      <c r="H29" s="63">
        <f>IF(ISNUMBER('Übung 06'!N$8),'Übung 06'!N$8,0)</f>
        <v/>
      </c>
      <c r="I29" s="63">
        <f>IF(ISNUMBER('Übung 07'!N$8),'Übung 07'!N$8,0)</f>
        <v/>
      </c>
      <c r="J29" s="63">
        <f>IF(ISNUMBER('Übung 08'!N$8),'Übung 08'!N$8,0)</f>
        <v/>
      </c>
      <c r="K29" s="63">
        <f>IF(ISNUMBER('Übung 09'!N$8),'Übung 09'!N$8,0)</f>
        <v/>
      </c>
      <c r="L29" s="63">
        <f>IF(ISNUMBER('Übung 10'!N$8),'Übung 10'!N$8,0)</f>
        <v/>
      </c>
      <c r="M29" s="63">
        <f>IF(ISNUMBER('Übung 11'!N$8),'Übung 11'!N$8,0)</f>
        <v/>
      </c>
      <c r="N29" s="63">
        <f>IF(ISNUMBER('Übung 12'!N$8),'Übung 12'!N$8,0)</f>
        <v/>
      </c>
      <c r="O29" s="63">
        <f>IF(ISNUMBER('Übung 13'!N$8),'Übung 13'!N$8,0)</f>
        <v/>
      </c>
      <c r="P29" s="63">
        <f>IF(ISNUMBER('Übung 14'!N$8),'Übung 14'!N$8,0)</f>
        <v/>
      </c>
      <c r="Q29" s="63">
        <f>IF(ISNUMBER('Übung 15'!N$8),'Übung 15'!N$8,0)</f>
        <v/>
      </c>
      <c r="R29" s="63">
        <f>IF(ISNUMBER('Übung 16'!N$8),'Übung 16'!N$8,0)</f>
        <v/>
      </c>
      <c r="S29" s="63">
        <f>IF(ISNUMBER('Übung 17'!N$8),'Übung 17'!N$8,0)</f>
        <v/>
      </c>
      <c r="T29" s="63">
        <f>IF(ISNUMBER('Übung 18'!N$8),'Übung 18'!N$8,0)</f>
        <v/>
      </c>
      <c r="U29" s="63">
        <f>IF(ISNUMBER('Übung 19'!N$8),'Übung 19'!N$8,0)</f>
        <v/>
      </c>
      <c r="V29" s="63">
        <f>IF(ISNUMBER('Übung 20'!N$8),'Übung 20'!N$8,0)</f>
        <v/>
      </c>
    </row>
    <row r="30">
      <c r="A30" s="61">
        <f>IF('Stammdaten'!$G16="aktiv",1,0)</f>
        <v/>
      </c>
      <c r="B30" s="163">
        <f>IF('Stammdaten'!$E16="",0,'Stammdaten'!$E16)</f>
        <v/>
      </c>
      <c r="C30" s="63">
        <f>IF(ISNUMBER('Übung 01'!O$8),'Übung 01'!O$8,0)</f>
        <v/>
      </c>
      <c r="D30" s="63">
        <f>IF(ISNUMBER('Übung 02'!O$8),'Übung 02'!O$8,0)</f>
        <v/>
      </c>
      <c r="E30" s="63">
        <f>IF(ISNUMBER('Übung 03'!O$8),'Übung 03'!O$8,0)</f>
        <v/>
      </c>
      <c r="F30" s="63">
        <f>IF(ISNUMBER('Übung 04'!O$8),'Übung 04'!O$8,0)</f>
        <v/>
      </c>
      <c r="G30" s="63">
        <f>IF(ISNUMBER('Übung 05'!O$8),'Übung 05'!O$8,0)</f>
        <v/>
      </c>
      <c r="H30" s="63">
        <f>IF(ISNUMBER('Übung 06'!O$8),'Übung 06'!O$8,0)</f>
        <v/>
      </c>
      <c r="I30" s="63">
        <f>IF(ISNUMBER('Übung 07'!O$8),'Übung 07'!O$8,0)</f>
        <v/>
      </c>
      <c r="J30" s="63">
        <f>IF(ISNUMBER('Übung 08'!O$8),'Übung 08'!O$8,0)</f>
        <v/>
      </c>
      <c r="K30" s="63">
        <f>IF(ISNUMBER('Übung 09'!O$8),'Übung 09'!O$8,0)</f>
        <v/>
      </c>
      <c r="L30" s="63">
        <f>IF(ISNUMBER('Übung 10'!O$8),'Übung 10'!O$8,0)</f>
        <v/>
      </c>
      <c r="M30" s="63">
        <f>IF(ISNUMBER('Übung 11'!O$8),'Übung 11'!O$8,0)</f>
        <v/>
      </c>
      <c r="N30" s="63">
        <f>IF(ISNUMBER('Übung 12'!O$8),'Übung 12'!O$8,0)</f>
        <v/>
      </c>
      <c r="O30" s="63">
        <f>IF(ISNUMBER('Übung 13'!O$8),'Übung 13'!O$8,0)</f>
        <v/>
      </c>
      <c r="P30" s="63">
        <f>IF(ISNUMBER('Übung 14'!O$8),'Übung 14'!O$8,0)</f>
        <v/>
      </c>
      <c r="Q30" s="63">
        <f>IF(ISNUMBER('Übung 15'!O$8),'Übung 15'!O$8,0)</f>
        <v/>
      </c>
      <c r="R30" s="63">
        <f>IF(ISNUMBER('Übung 16'!O$8),'Übung 16'!O$8,0)</f>
        <v/>
      </c>
      <c r="S30" s="63">
        <f>IF(ISNUMBER('Übung 17'!O$8),'Übung 17'!O$8,0)</f>
        <v/>
      </c>
      <c r="T30" s="63">
        <f>IF(ISNUMBER('Übung 18'!O$8),'Übung 18'!O$8,0)</f>
        <v/>
      </c>
      <c r="U30" s="63">
        <f>IF(ISNUMBER('Übung 19'!O$8),'Übung 19'!O$8,0)</f>
        <v/>
      </c>
      <c r="V30" s="63">
        <f>IF(ISNUMBER('Übung 20'!O$8),'Übung 20'!O$8,0)</f>
        <v/>
      </c>
    </row>
    <row r="31">
      <c r="A31" s="61">
        <f>IF('Stammdaten'!$G17="aktiv",1,0)</f>
        <v/>
      </c>
      <c r="B31" s="163">
        <f>IF('Stammdaten'!$E17="",0,'Stammdaten'!$E17)</f>
        <v/>
      </c>
      <c r="C31" s="63">
        <f>IF(ISNUMBER('Übung 01'!P$8),'Übung 01'!P$8,0)</f>
        <v/>
      </c>
      <c r="D31" s="63">
        <f>IF(ISNUMBER('Übung 02'!P$8),'Übung 02'!P$8,0)</f>
        <v/>
      </c>
      <c r="E31" s="63">
        <f>IF(ISNUMBER('Übung 03'!P$8),'Übung 03'!P$8,0)</f>
        <v/>
      </c>
      <c r="F31" s="63">
        <f>IF(ISNUMBER('Übung 04'!P$8),'Übung 04'!P$8,0)</f>
        <v/>
      </c>
      <c r="G31" s="63">
        <f>IF(ISNUMBER('Übung 05'!P$8),'Übung 05'!P$8,0)</f>
        <v/>
      </c>
      <c r="H31" s="63">
        <f>IF(ISNUMBER('Übung 06'!P$8),'Übung 06'!P$8,0)</f>
        <v/>
      </c>
      <c r="I31" s="63">
        <f>IF(ISNUMBER('Übung 07'!P$8),'Übung 07'!P$8,0)</f>
        <v/>
      </c>
      <c r="J31" s="63">
        <f>IF(ISNUMBER('Übung 08'!P$8),'Übung 08'!P$8,0)</f>
        <v/>
      </c>
      <c r="K31" s="63">
        <f>IF(ISNUMBER('Übung 09'!P$8),'Übung 09'!P$8,0)</f>
        <v/>
      </c>
      <c r="L31" s="63">
        <f>IF(ISNUMBER('Übung 10'!P$8),'Übung 10'!P$8,0)</f>
        <v/>
      </c>
      <c r="M31" s="63">
        <f>IF(ISNUMBER('Übung 11'!P$8),'Übung 11'!P$8,0)</f>
        <v/>
      </c>
      <c r="N31" s="63">
        <f>IF(ISNUMBER('Übung 12'!P$8),'Übung 12'!P$8,0)</f>
        <v/>
      </c>
      <c r="O31" s="63">
        <f>IF(ISNUMBER('Übung 13'!P$8),'Übung 13'!P$8,0)</f>
        <v/>
      </c>
      <c r="P31" s="63">
        <f>IF(ISNUMBER('Übung 14'!P$8),'Übung 14'!P$8,0)</f>
        <v/>
      </c>
      <c r="Q31" s="63">
        <f>IF(ISNUMBER('Übung 15'!P$8),'Übung 15'!P$8,0)</f>
        <v/>
      </c>
      <c r="R31" s="63">
        <f>IF(ISNUMBER('Übung 16'!P$8),'Übung 16'!P$8,0)</f>
        <v/>
      </c>
      <c r="S31" s="63">
        <f>IF(ISNUMBER('Übung 17'!P$8),'Übung 17'!P$8,0)</f>
        <v/>
      </c>
      <c r="T31" s="63">
        <f>IF(ISNUMBER('Übung 18'!P$8),'Übung 18'!P$8,0)</f>
        <v/>
      </c>
      <c r="U31" s="63">
        <f>IF(ISNUMBER('Übung 19'!P$8),'Übung 19'!P$8,0)</f>
        <v/>
      </c>
      <c r="V31" s="63">
        <f>IF(ISNUMBER('Übung 20'!P$8),'Übung 20'!P$8,0)</f>
        <v/>
      </c>
    </row>
    <row r="32">
      <c r="A32" s="61">
        <f>IF('Stammdaten'!$G18="aktiv",1,0)</f>
        <v/>
      </c>
      <c r="B32" s="163">
        <f>IF('Stammdaten'!$E18="",0,'Stammdaten'!$E18)</f>
        <v/>
      </c>
      <c r="C32" s="63">
        <f>IF(ISNUMBER('Übung 01'!Q$8),'Übung 01'!Q$8,0)</f>
        <v/>
      </c>
      <c r="D32" s="63">
        <f>IF(ISNUMBER('Übung 02'!Q$8),'Übung 02'!Q$8,0)</f>
        <v/>
      </c>
      <c r="E32" s="63">
        <f>IF(ISNUMBER('Übung 03'!Q$8),'Übung 03'!Q$8,0)</f>
        <v/>
      </c>
      <c r="F32" s="63">
        <f>IF(ISNUMBER('Übung 04'!Q$8),'Übung 04'!Q$8,0)</f>
        <v/>
      </c>
      <c r="G32" s="63">
        <f>IF(ISNUMBER('Übung 05'!Q$8),'Übung 05'!Q$8,0)</f>
        <v/>
      </c>
      <c r="H32" s="63">
        <f>IF(ISNUMBER('Übung 06'!Q$8),'Übung 06'!Q$8,0)</f>
        <v/>
      </c>
      <c r="I32" s="63">
        <f>IF(ISNUMBER('Übung 07'!Q$8),'Übung 07'!Q$8,0)</f>
        <v/>
      </c>
      <c r="J32" s="63">
        <f>IF(ISNUMBER('Übung 08'!Q$8),'Übung 08'!Q$8,0)</f>
        <v/>
      </c>
      <c r="K32" s="63">
        <f>IF(ISNUMBER('Übung 09'!Q$8),'Übung 09'!Q$8,0)</f>
        <v/>
      </c>
      <c r="L32" s="63">
        <f>IF(ISNUMBER('Übung 10'!Q$8),'Übung 10'!Q$8,0)</f>
        <v/>
      </c>
      <c r="M32" s="63">
        <f>IF(ISNUMBER('Übung 11'!Q$8),'Übung 11'!Q$8,0)</f>
        <v/>
      </c>
      <c r="N32" s="63">
        <f>IF(ISNUMBER('Übung 12'!Q$8),'Übung 12'!Q$8,0)</f>
        <v/>
      </c>
      <c r="O32" s="63">
        <f>IF(ISNUMBER('Übung 13'!Q$8),'Übung 13'!Q$8,0)</f>
        <v/>
      </c>
      <c r="P32" s="63">
        <f>IF(ISNUMBER('Übung 14'!Q$8),'Übung 14'!Q$8,0)</f>
        <v/>
      </c>
      <c r="Q32" s="63">
        <f>IF(ISNUMBER('Übung 15'!Q$8),'Übung 15'!Q$8,0)</f>
        <v/>
      </c>
      <c r="R32" s="63">
        <f>IF(ISNUMBER('Übung 16'!Q$8),'Übung 16'!Q$8,0)</f>
        <v/>
      </c>
      <c r="S32" s="63">
        <f>IF(ISNUMBER('Übung 17'!Q$8),'Übung 17'!Q$8,0)</f>
        <v/>
      </c>
      <c r="T32" s="63">
        <f>IF(ISNUMBER('Übung 18'!Q$8),'Übung 18'!Q$8,0)</f>
        <v/>
      </c>
      <c r="U32" s="63">
        <f>IF(ISNUMBER('Übung 19'!Q$8),'Übung 19'!Q$8,0)</f>
        <v/>
      </c>
      <c r="V32" s="63">
        <f>IF(ISNUMBER('Übung 20'!Q$8),'Übung 20'!Q$8,0)</f>
        <v/>
      </c>
    </row>
    <row r="33">
      <c r="A33" s="61">
        <f>IF('Stammdaten'!$G19="aktiv",1,0)</f>
        <v/>
      </c>
      <c r="B33" s="163">
        <f>IF('Stammdaten'!$E19="",0,'Stammdaten'!$E19)</f>
        <v/>
      </c>
      <c r="C33" s="63">
        <f>IF(ISNUMBER('Übung 01'!R$8),'Übung 01'!R$8,0)</f>
        <v/>
      </c>
      <c r="D33" s="63">
        <f>IF(ISNUMBER('Übung 02'!R$8),'Übung 02'!R$8,0)</f>
        <v/>
      </c>
      <c r="E33" s="63">
        <f>IF(ISNUMBER('Übung 03'!R$8),'Übung 03'!R$8,0)</f>
        <v/>
      </c>
      <c r="F33" s="63">
        <f>IF(ISNUMBER('Übung 04'!R$8),'Übung 04'!R$8,0)</f>
        <v/>
      </c>
      <c r="G33" s="63">
        <f>IF(ISNUMBER('Übung 05'!R$8),'Übung 05'!R$8,0)</f>
        <v/>
      </c>
      <c r="H33" s="63">
        <f>IF(ISNUMBER('Übung 06'!R$8),'Übung 06'!R$8,0)</f>
        <v/>
      </c>
      <c r="I33" s="63">
        <f>IF(ISNUMBER('Übung 07'!R$8),'Übung 07'!R$8,0)</f>
        <v/>
      </c>
      <c r="J33" s="63">
        <f>IF(ISNUMBER('Übung 08'!R$8),'Übung 08'!R$8,0)</f>
        <v/>
      </c>
      <c r="K33" s="63">
        <f>IF(ISNUMBER('Übung 09'!R$8),'Übung 09'!R$8,0)</f>
        <v/>
      </c>
      <c r="L33" s="63">
        <f>IF(ISNUMBER('Übung 10'!R$8),'Übung 10'!R$8,0)</f>
        <v/>
      </c>
      <c r="M33" s="63">
        <f>IF(ISNUMBER('Übung 11'!R$8),'Übung 11'!R$8,0)</f>
        <v/>
      </c>
      <c r="N33" s="63">
        <f>IF(ISNUMBER('Übung 12'!R$8),'Übung 12'!R$8,0)</f>
        <v/>
      </c>
      <c r="O33" s="63">
        <f>IF(ISNUMBER('Übung 13'!R$8),'Übung 13'!R$8,0)</f>
        <v/>
      </c>
      <c r="P33" s="63">
        <f>IF(ISNUMBER('Übung 14'!R$8),'Übung 14'!R$8,0)</f>
        <v/>
      </c>
      <c r="Q33" s="63">
        <f>IF(ISNUMBER('Übung 15'!R$8),'Übung 15'!R$8,0)</f>
        <v/>
      </c>
      <c r="R33" s="63">
        <f>IF(ISNUMBER('Übung 16'!R$8),'Übung 16'!R$8,0)</f>
        <v/>
      </c>
      <c r="S33" s="63">
        <f>IF(ISNUMBER('Übung 17'!R$8),'Übung 17'!R$8,0)</f>
        <v/>
      </c>
      <c r="T33" s="63">
        <f>IF(ISNUMBER('Übung 18'!R$8),'Übung 18'!R$8,0)</f>
        <v/>
      </c>
      <c r="U33" s="63">
        <f>IF(ISNUMBER('Übung 19'!R$8),'Übung 19'!R$8,0)</f>
        <v/>
      </c>
      <c r="V33" s="63">
        <f>IF(ISNUMBER('Übung 20'!R$8),'Übung 20'!R$8,0)</f>
        <v/>
      </c>
    </row>
    <row r="34">
      <c r="A34" s="61">
        <f>IF('Stammdaten'!$G20="aktiv",1,0)</f>
        <v/>
      </c>
      <c r="B34" s="163">
        <f>IF('Stammdaten'!$E20="",0,'Stammdaten'!$E20)</f>
        <v/>
      </c>
      <c r="C34" s="63">
        <f>IF(ISNUMBER('Übung 01'!S$8),'Übung 01'!S$8,0)</f>
        <v/>
      </c>
      <c r="D34" s="63">
        <f>IF(ISNUMBER('Übung 02'!S$8),'Übung 02'!S$8,0)</f>
        <v/>
      </c>
      <c r="E34" s="63">
        <f>IF(ISNUMBER('Übung 03'!S$8),'Übung 03'!S$8,0)</f>
        <v/>
      </c>
      <c r="F34" s="63">
        <f>IF(ISNUMBER('Übung 04'!S$8),'Übung 04'!S$8,0)</f>
        <v/>
      </c>
      <c r="G34" s="63">
        <f>IF(ISNUMBER('Übung 05'!S$8),'Übung 05'!S$8,0)</f>
        <v/>
      </c>
      <c r="H34" s="63">
        <f>IF(ISNUMBER('Übung 06'!S$8),'Übung 06'!S$8,0)</f>
        <v/>
      </c>
      <c r="I34" s="63">
        <f>IF(ISNUMBER('Übung 07'!S$8),'Übung 07'!S$8,0)</f>
        <v/>
      </c>
      <c r="J34" s="63">
        <f>IF(ISNUMBER('Übung 08'!S$8),'Übung 08'!S$8,0)</f>
        <v/>
      </c>
      <c r="K34" s="63">
        <f>IF(ISNUMBER('Übung 09'!S$8),'Übung 09'!S$8,0)</f>
        <v/>
      </c>
      <c r="L34" s="63">
        <f>IF(ISNUMBER('Übung 10'!S$8),'Übung 10'!S$8,0)</f>
        <v/>
      </c>
      <c r="M34" s="63">
        <f>IF(ISNUMBER('Übung 11'!S$8),'Übung 11'!S$8,0)</f>
        <v/>
      </c>
      <c r="N34" s="63">
        <f>IF(ISNUMBER('Übung 12'!S$8),'Übung 12'!S$8,0)</f>
        <v/>
      </c>
      <c r="O34" s="63">
        <f>IF(ISNUMBER('Übung 13'!S$8),'Übung 13'!S$8,0)</f>
        <v/>
      </c>
      <c r="P34" s="63">
        <f>IF(ISNUMBER('Übung 14'!S$8),'Übung 14'!S$8,0)</f>
        <v/>
      </c>
      <c r="Q34" s="63">
        <f>IF(ISNUMBER('Übung 15'!S$8),'Übung 15'!S$8,0)</f>
        <v/>
      </c>
      <c r="R34" s="63">
        <f>IF(ISNUMBER('Übung 16'!S$8),'Übung 16'!S$8,0)</f>
        <v/>
      </c>
      <c r="S34" s="63">
        <f>IF(ISNUMBER('Übung 17'!S$8),'Übung 17'!S$8,0)</f>
        <v/>
      </c>
      <c r="T34" s="63">
        <f>IF(ISNUMBER('Übung 18'!S$8),'Übung 18'!S$8,0)</f>
        <v/>
      </c>
      <c r="U34" s="63">
        <f>IF(ISNUMBER('Übung 19'!S$8),'Übung 19'!S$8,0)</f>
        <v/>
      </c>
      <c r="V34" s="63">
        <f>IF(ISNUMBER('Übung 20'!S$8),'Übung 20'!S$8,0)</f>
        <v/>
      </c>
    </row>
    <row r="35">
      <c r="A35" s="61">
        <f>IF('Stammdaten'!$G21="aktiv",1,0)</f>
        <v/>
      </c>
      <c r="B35" s="163">
        <f>IF('Stammdaten'!$E21="",0,'Stammdaten'!$E21)</f>
        <v/>
      </c>
      <c r="C35" s="63">
        <f>IF(ISNUMBER('Übung 01'!T$8),'Übung 01'!T$8,0)</f>
        <v/>
      </c>
      <c r="D35" s="63">
        <f>IF(ISNUMBER('Übung 02'!T$8),'Übung 02'!T$8,0)</f>
        <v/>
      </c>
      <c r="E35" s="63">
        <f>IF(ISNUMBER('Übung 03'!T$8),'Übung 03'!T$8,0)</f>
        <v/>
      </c>
      <c r="F35" s="63">
        <f>IF(ISNUMBER('Übung 04'!T$8),'Übung 04'!T$8,0)</f>
        <v/>
      </c>
      <c r="G35" s="63">
        <f>IF(ISNUMBER('Übung 05'!T$8),'Übung 05'!T$8,0)</f>
        <v/>
      </c>
      <c r="H35" s="63">
        <f>IF(ISNUMBER('Übung 06'!T$8),'Übung 06'!T$8,0)</f>
        <v/>
      </c>
      <c r="I35" s="63">
        <f>IF(ISNUMBER('Übung 07'!T$8),'Übung 07'!T$8,0)</f>
        <v/>
      </c>
      <c r="J35" s="63">
        <f>IF(ISNUMBER('Übung 08'!T$8),'Übung 08'!T$8,0)</f>
        <v/>
      </c>
      <c r="K35" s="63">
        <f>IF(ISNUMBER('Übung 09'!T$8),'Übung 09'!T$8,0)</f>
        <v/>
      </c>
      <c r="L35" s="63">
        <f>IF(ISNUMBER('Übung 10'!T$8),'Übung 10'!T$8,0)</f>
        <v/>
      </c>
      <c r="M35" s="63">
        <f>IF(ISNUMBER('Übung 11'!T$8),'Übung 11'!T$8,0)</f>
        <v/>
      </c>
      <c r="N35" s="63">
        <f>IF(ISNUMBER('Übung 12'!T$8),'Übung 12'!T$8,0)</f>
        <v/>
      </c>
      <c r="O35" s="63">
        <f>IF(ISNUMBER('Übung 13'!T$8),'Übung 13'!T$8,0)</f>
        <v/>
      </c>
      <c r="P35" s="63">
        <f>IF(ISNUMBER('Übung 14'!T$8),'Übung 14'!T$8,0)</f>
        <v/>
      </c>
      <c r="Q35" s="63">
        <f>IF(ISNUMBER('Übung 15'!T$8),'Übung 15'!T$8,0)</f>
        <v/>
      </c>
      <c r="R35" s="63">
        <f>IF(ISNUMBER('Übung 16'!T$8),'Übung 16'!T$8,0)</f>
        <v/>
      </c>
      <c r="S35" s="63">
        <f>IF(ISNUMBER('Übung 17'!T$8),'Übung 17'!T$8,0)</f>
        <v/>
      </c>
      <c r="T35" s="63">
        <f>IF(ISNUMBER('Übung 18'!T$8),'Übung 18'!T$8,0)</f>
        <v/>
      </c>
      <c r="U35" s="63">
        <f>IF(ISNUMBER('Übung 19'!T$8),'Übung 19'!T$8,0)</f>
        <v/>
      </c>
      <c r="V35" s="63">
        <f>IF(ISNUMBER('Übung 20'!T$8),'Übung 20'!T$8,0)</f>
        <v/>
      </c>
    </row>
    <row r="36">
      <c r="A36" s="61">
        <f>IF('Stammdaten'!$G22="aktiv",1,0)</f>
        <v/>
      </c>
      <c r="B36" s="163">
        <f>IF('Stammdaten'!$E22="",0,'Stammdaten'!$E22)</f>
        <v/>
      </c>
      <c r="C36" s="63">
        <f>IF(ISNUMBER('Übung 01'!U$8),'Übung 01'!U$8,0)</f>
        <v/>
      </c>
      <c r="D36" s="63">
        <f>IF(ISNUMBER('Übung 02'!U$8),'Übung 02'!U$8,0)</f>
        <v/>
      </c>
      <c r="E36" s="63">
        <f>IF(ISNUMBER('Übung 03'!U$8),'Übung 03'!U$8,0)</f>
        <v/>
      </c>
      <c r="F36" s="63">
        <f>IF(ISNUMBER('Übung 04'!U$8),'Übung 04'!U$8,0)</f>
        <v/>
      </c>
      <c r="G36" s="63">
        <f>IF(ISNUMBER('Übung 05'!U$8),'Übung 05'!U$8,0)</f>
        <v/>
      </c>
      <c r="H36" s="63">
        <f>IF(ISNUMBER('Übung 06'!U$8),'Übung 06'!U$8,0)</f>
        <v/>
      </c>
      <c r="I36" s="63">
        <f>IF(ISNUMBER('Übung 07'!U$8),'Übung 07'!U$8,0)</f>
        <v/>
      </c>
      <c r="J36" s="63">
        <f>IF(ISNUMBER('Übung 08'!U$8),'Übung 08'!U$8,0)</f>
        <v/>
      </c>
      <c r="K36" s="63">
        <f>IF(ISNUMBER('Übung 09'!U$8),'Übung 09'!U$8,0)</f>
        <v/>
      </c>
      <c r="L36" s="63">
        <f>IF(ISNUMBER('Übung 10'!U$8),'Übung 10'!U$8,0)</f>
        <v/>
      </c>
      <c r="M36" s="63">
        <f>IF(ISNUMBER('Übung 11'!U$8),'Übung 11'!U$8,0)</f>
        <v/>
      </c>
      <c r="N36" s="63">
        <f>IF(ISNUMBER('Übung 12'!U$8),'Übung 12'!U$8,0)</f>
        <v/>
      </c>
      <c r="O36" s="63">
        <f>IF(ISNUMBER('Übung 13'!U$8),'Übung 13'!U$8,0)</f>
        <v/>
      </c>
      <c r="P36" s="63">
        <f>IF(ISNUMBER('Übung 14'!U$8),'Übung 14'!U$8,0)</f>
        <v/>
      </c>
      <c r="Q36" s="63">
        <f>IF(ISNUMBER('Übung 15'!U$8),'Übung 15'!U$8,0)</f>
        <v/>
      </c>
      <c r="R36" s="63">
        <f>IF(ISNUMBER('Übung 16'!U$8),'Übung 16'!U$8,0)</f>
        <v/>
      </c>
      <c r="S36" s="63">
        <f>IF(ISNUMBER('Übung 17'!U$8),'Übung 17'!U$8,0)</f>
        <v/>
      </c>
      <c r="T36" s="63">
        <f>IF(ISNUMBER('Übung 18'!U$8),'Übung 18'!U$8,0)</f>
        <v/>
      </c>
      <c r="U36" s="63">
        <f>IF(ISNUMBER('Übung 19'!U$8),'Übung 19'!U$8,0)</f>
        <v/>
      </c>
      <c r="V36" s="63">
        <f>IF(ISNUMBER('Übung 20'!U$8),'Übung 20'!U$8,0)</f>
        <v/>
      </c>
    </row>
    <row r="37">
      <c r="A37" s="61">
        <f>IF('Stammdaten'!$G23="aktiv",1,0)</f>
        <v/>
      </c>
      <c r="B37" s="163">
        <f>IF('Stammdaten'!$E23="",0,'Stammdaten'!$E23)</f>
        <v/>
      </c>
      <c r="C37" s="63">
        <f>IF(ISNUMBER('Übung 01'!V$8),'Übung 01'!V$8,0)</f>
        <v/>
      </c>
      <c r="D37" s="63">
        <f>IF(ISNUMBER('Übung 02'!V$8),'Übung 02'!V$8,0)</f>
        <v/>
      </c>
      <c r="E37" s="63">
        <f>IF(ISNUMBER('Übung 03'!V$8),'Übung 03'!V$8,0)</f>
        <v/>
      </c>
      <c r="F37" s="63">
        <f>IF(ISNUMBER('Übung 04'!V$8),'Übung 04'!V$8,0)</f>
        <v/>
      </c>
      <c r="G37" s="63">
        <f>IF(ISNUMBER('Übung 05'!V$8),'Übung 05'!V$8,0)</f>
        <v/>
      </c>
      <c r="H37" s="63">
        <f>IF(ISNUMBER('Übung 06'!V$8),'Übung 06'!V$8,0)</f>
        <v/>
      </c>
      <c r="I37" s="63">
        <f>IF(ISNUMBER('Übung 07'!V$8),'Übung 07'!V$8,0)</f>
        <v/>
      </c>
      <c r="J37" s="63">
        <f>IF(ISNUMBER('Übung 08'!V$8),'Übung 08'!V$8,0)</f>
        <v/>
      </c>
      <c r="K37" s="63">
        <f>IF(ISNUMBER('Übung 09'!V$8),'Übung 09'!V$8,0)</f>
        <v/>
      </c>
      <c r="L37" s="63">
        <f>IF(ISNUMBER('Übung 10'!V$8),'Übung 10'!V$8,0)</f>
        <v/>
      </c>
      <c r="M37" s="63">
        <f>IF(ISNUMBER('Übung 11'!V$8),'Übung 11'!V$8,0)</f>
        <v/>
      </c>
      <c r="N37" s="63">
        <f>IF(ISNUMBER('Übung 12'!V$8),'Übung 12'!V$8,0)</f>
        <v/>
      </c>
      <c r="O37" s="63">
        <f>IF(ISNUMBER('Übung 13'!V$8),'Übung 13'!V$8,0)</f>
        <v/>
      </c>
      <c r="P37" s="63">
        <f>IF(ISNUMBER('Übung 14'!V$8),'Übung 14'!V$8,0)</f>
        <v/>
      </c>
      <c r="Q37" s="63">
        <f>IF(ISNUMBER('Übung 15'!V$8),'Übung 15'!V$8,0)</f>
        <v/>
      </c>
      <c r="R37" s="63">
        <f>IF(ISNUMBER('Übung 16'!V$8),'Übung 16'!V$8,0)</f>
        <v/>
      </c>
      <c r="S37" s="63">
        <f>IF(ISNUMBER('Übung 17'!V$8),'Übung 17'!V$8,0)</f>
        <v/>
      </c>
      <c r="T37" s="63">
        <f>IF(ISNUMBER('Übung 18'!V$8),'Übung 18'!V$8,0)</f>
        <v/>
      </c>
      <c r="U37" s="63">
        <f>IF(ISNUMBER('Übung 19'!V$8),'Übung 19'!V$8,0)</f>
        <v/>
      </c>
      <c r="V37" s="63">
        <f>IF(ISNUMBER('Übung 20'!V$8),'Übung 20'!V$8,0)</f>
        <v/>
      </c>
    </row>
    <row r="38">
      <c r="A38" s="61">
        <f>IF('Stammdaten'!$G24="aktiv",1,0)</f>
        <v/>
      </c>
      <c r="B38" s="163">
        <f>IF('Stammdaten'!$E24="",0,'Stammdaten'!$E24)</f>
        <v/>
      </c>
      <c r="C38" s="63">
        <f>IF(ISNUMBER('Übung 01'!W$8),'Übung 01'!W$8,0)</f>
        <v/>
      </c>
      <c r="D38" s="63">
        <f>IF(ISNUMBER('Übung 02'!W$8),'Übung 02'!W$8,0)</f>
        <v/>
      </c>
      <c r="E38" s="63">
        <f>IF(ISNUMBER('Übung 03'!W$8),'Übung 03'!W$8,0)</f>
        <v/>
      </c>
      <c r="F38" s="63">
        <f>IF(ISNUMBER('Übung 04'!W$8),'Übung 04'!W$8,0)</f>
        <v/>
      </c>
      <c r="G38" s="63">
        <f>IF(ISNUMBER('Übung 05'!W$8),'Übung 05'!W$8,0)</f>
        <v/>
      </c>
      <c r="H38" s="63">
        <f>IF(ISNUMBER('Übung 06'!W$8),'Übung 06'!W$8,0)</f>
        <v/>
      </c>
      <c r="I38" s="63">
        <f>IF(ISNUMBER('Übung 07'!W$8),'Übung 07'!W$8,0)</f>
        <v/>
      </c>
      <c r="J38" s="63">
        <f>IF(ISNUMBER('Übung 08'!W$8),'Übung 08'!W$8,0)</f>
        <v/>
      </c>
      <c r="K38" s="63">
        <f>IF(ISNUMBER('Übung 09'!W$8),'Übung 09'!W$8,0)</f>
        <v/>
      </c>
      <c r="L38" s="63">
        <f>IF(ISNUMBER('Übung 10'!W$8),'Übung 10'!W$8,0)</f>
        <v/>
      </c>
      <c r="M38" s="63">
        <f>IF(ISNUMBER('Übung 11'!W$8),'Übung 11'!W$8,0)</f>
        <v/>
      </c>
      <c r="N38" s="63">
        <f>IF(ISNUMBER('Übung 12'!W$8),'Übung 12'!W$8,0)</f>
        <v/>
      </c>
      <c r="O38" s="63">
        <f>IF(ISNUMBER('Übung 13'!W$8),'Übung 13'!W$8,0)</f>
        <v/>
      </c>
      <c r="P38" s="63">
        <f>IF(ISNUMBER('Übung 14'!W$8),'Übung 14'!W$8,0)</f>
        <v/>
      </c>
      <c r="Q38" s="63">
        <f>IF(ISNUMBER('Übung 15'!W$8),'Übung 15'!W$8,0)</f>
        <v/>
      </c>
      <c r="R38" s="63">
        <f>IF(ISNUMBER('Übung 16'!W$8),'Übung 16'!W$8,0)</f>
        <v/>
      </c>
      <c r="S38" s="63">
        <f>IF(ISNUMBER('Übung 17'!W$8),'Übung 17'!W$8,0)</f>
        <v/>
      </c>
      <c r="T38" s="63">
        <f>IF(ISNUMBER('Übung 18'!W$8),'Übung 18'!W$8,0)</f>
        <v/>
      </c>
      <c r="U38" s="63">
        <f>IF(ISNUMBER('Übung 19'!W$8),'Übung 19'!W$8,0)</f>
        <v/>
      </c>
      <c r="V38" s="63">
        <f>IF(ISNUMBER('Übung 20'!W$8),'Übung 20'!W$8,0)</f>
        <v/>
      </c>
    </row>
    <row r="39">
      <c r="A39" s="61">
        <f>IF('Stammdaten'!$G25="aktiv",1,0)</f>
        <v/>
      </c>
      <c r="B39" s="163">
        <f>IF('Stammdaten'!$E25="",0,'Stammdaten'!$E25)</f>
        <v/>
      </c>
      <c r="C39" s="63">
        <f>IF(ISNUMBER('Übung 01'!X$8),'Übung 01'!X$8,0)</f>
        <v/>
      </c>
      <c r="D39" s="63">
        <f>IF(ISNUMBER('Übung 02'!X$8),'Übung 02'!X$8,0)</f>
        <v/>
      </c>
      <c r="E39" s="63">
        <f>IF(ISNUMBER('Übung 03'!X$8),'Übung 03'!X$8,0)</f>
        <v/>
      </c>
      <c r="F39" s="63">
        <f>IF(ISNUMBER('Übung 04'!X$8),'Übung 04'!X$8,0)</f>
        <v/>
      </c>
      <c r="G39" s="63">
        <f>IF(ISNUMBER('Übung 05'!X$8),'Übung 05'!X$8,0)</f>
        <v/>
      </c>
      <c r="H39" s="63">
        <f>IF(ISNUMBER('Übung 06'!X$8),'Übung 06'!X$8,0)</f>
        <v/>
      </c>
      <c r="I39" s="63">
        <f>IF(ISNUMBER('Übung 07'!X$8),'Übung 07'!X$8,0)</f>
        <v/>
      </c>
      <c r="J39" s="63">
        <f>IF(ISNUMBER('Übung 08'!X$8),'Übung 08'!X$8,0)</f>
        <v/>
      </c>
      <c r="K39" s="63">
        <f>IF(ISNUMBER('Übung 09'!X$8),'Übung 09'!X$8,0)</f>
        <v/>
      </c>
      <c r="L39" s="63">
        <f>IF(ISNUMBER('Übung 10'!X$8),'Übung 10'!X$8,0)</f>
        <v/>
      </c>
      <c r="M39" s="63">
        <f>IF(ISNUMBER('Übung 11'!X$8),'Übung 11'!X$8,0)</f>
        <v/>
      </c>
      <c r="N39" s="63">
        <f>IF(ISNUMBER('Übung 12'!X$8),'Übung 12'!X$8,0)</f>
        <v/>
      </c>
      <c r="O39" s="63">
        <f>IF(ISNUMBER('Übung 13'!X$8),'Übung 13'!X$8,0)</f>
        <v/>
      </c>
      <c r="P39" s="63">
        <f>IF(ISNUMBER('Übung 14'!X$8),'Übung 14'!X$8,0)</f>
        <v/>
      </c>
      <c r="Q39" s="63">
        <f>IF(ISNUMBER('Übung 15'!X$8),'Übung 15'!X$8,0)</f>
        <v/>
      </c>
      <c r="R39" s="63">
        <f>IF(ISNUMBER('Übung 16'!X$8),'Übung 16'!X$8,0)</f>
        <v/>
      </c>
      <c r="S39" s="63">
        <f>IF(ISNUMBER('Übung 17'!X$8),'Übung 17'!X$8,0)</f>
        <v/>
      </c>
      <c r="T39" s="63">
        <f>IF(ISNUMBER('Übung 18'!X$8),'Übung 18'!X$8,0)</f>
        <v/>
      </c>
      <c r="U39" s="63">
        <f>IF(ISNUMBER('Übung 19'!X$8),'Übung 19'!X$8,0)</f>
        <v/>
      </c>
      <c r="V39" s="63">
        <f>IF(ISNUMBER('Übung 20'!X$8),'Übung 20'!X$8,0)</f>
        <v/>
      </c>
    </row>
    <row r="40">
      <c r="A40" s="61">
        <f>IF('Stammdaten'!$G26="aktiv",1,0)</f>
        <v/>
      </c>
      <c r="B40" s="163">
        <f>IF('Stammdaten'!$E26="",0,'Stammdaten'!$E26)</f>
        <v/>
      </c>
      <c r="C40" s="63">
        <f>IF(ISNUMBER('Übung 01'!Y$8),'Übung 01'!Y$8,0)</f>
        <v/>
      </c>
      <c r="D40" s="63">
        <f>IF(ISNUMBER('Übung 02'!Y$8),'Übung 02'!Y$8,0)</f>
        <v/>
      </c>
      <c r="E40" s="63">
        <f>IF(ISNUMBER('Übung 03'!Y$8),'Übung 03'!Y$8,0)</f>
        <v/>
      </c>
      <c r="F40" s="63">
        <f>IF(ISNUMBER('Übung 04'!Y$8),'Übung 04'!Y$8,0)</f>
        <v/>
      </c>
      <c r="G40" s="63">
        <f>IF(ISNUMBER('Übung 05'!Y$8),'Übung 05'!Y$8,0)</f>
        <v/>
      </c>
      <c r="H40" s="63">
        <f>IF(ISNUMBER('Übung 06'!Y$8),'Übung 06'!Y$8,0)</f>
        <v/>
      </c>
      <c r="I40" s="63">
        <f>IF(ISNUMBER('Übung 07'!Y$8),'Übung 07'!Y$8,0)</f>
        <v/>
      </c>
      <c r="J40" s="63">
        <f>IF(ISNUMBER('Übung 08'!Y$8),'Übung 08'!Y$8,0)</f>
        <v/>
      </c>
      <c r="K40" s="63">
        <f>IF(ISNUMBER('Übung 09'!Y$8),'Übung 09'!Y$8,0)</f>
        <v/>
      </c>
      <c r="L40" s="63">
        <f>IF(ISNUMBER('Übung 10'!Y$8),'Übung 10'!Y$8,0)</f>
        <v/>
      </c>
      <c r="M40" s="63">
        <f>IF(ISNUMBER('Übung 11'!Y$8),'Übung 11'!Y$8,0)</f>
        <v/>
      </c>
      <c r="N40" s="63">
        <f>IF(ISNUMBER('Übung 12'!Y$8),'Übung 12'!Y$8,0)</f>
        <v/>
      </c>
      <c r="O40" s="63">
        <f>IF(ISNUMBER('Übung 13'!Y$8),'Übung 13'!Y$8,0)</f>
        <v/>
      </c>
      <c r="P40" s="63">
        <f>IF(ISNUMBER('Übung 14'!Y$8),'Übung 14'!Y$8,0)</f>
        <v/>
      </c>
      <c r="Q40" s="63">
        <f>IF(ISNUMBER('Übung 15'!Y$8),'Übung 15'!Y$8,0)</f>
        <v/>
      </c>
      <c r="R40" s="63">
        <f>IF(ISNUMBER('Übung 16'!Y$8),'Übung 16'!Y$8,0)</f>
        <v/>
      </c>
      <c r="S40" s="63">
        <f>IF(ISNUMBER('Übung 17'!Y$8),'Übung 17'!Y$8,0)</f>
        <v/>
      </c>
      <c r="T40" s="63">
        <f>IF(ISNUMBER('Übung 18'!Y$8),'Übung 18'!Y$8,0)</f>
        <v/>
      </c>
      <c r="U40" s="63">
        <f>IF(ISNUMBER('Übung 19'!Y$8),'Übung 19'!Y$8,0)</f>
        <v/>
      </c>
      <c r="V40" s="63">
        <f>IF(ISNUMBER('Übung 20'!Y$8),'Übung 20'!Y$8,0)</f>
        <v/>
      </c>
    </row>
    <row r="41">
      <c r="A41" s="61">
        <f>IF('Stammdaten'!$G27="aktiv",1,0)</f>
        <v/>
      </c>
      <c r="B41" s="163">
        <f>IF('Stammdaten'!$E27="",0,'Stammdaten'!$E27)</f>
        <v/>
      </c>
      <c r="C41" s="63">
        <f>IF(ISNUMBER('Übung 01'!Z$8),'Übung 01'!Z$8,0)</f>
        <v/>
      </c>
      <c r="D41" s="63">
        <f>IF(ISNUMBER('Übung 02'!Z$8),'Übung 02'!Z$8,0)</f>
        <v/>
      </c>
      <c r="E41" s="63">
        <f>IF(ISNUMBER('Übung 03'!Z$8),'Übung 03'!Z$8,0)</f>
        <v/>
      </c>
      <c r="F41" s="63">
        <f>IF(ISNUMBER('Übung 04'!Z$8),'Übung 04'!Z$8,0)</f>
        <v/>
      </c>
      <c r="G41" s="63">
        <f>IF(ISNUMBER('Übung 05'!Z$8),'Übung 05'!Z$8,0)</f>
        <v/>
      </c>
      <c r="H41" s="63">
        <f>IF(ISNUMBER('Übung 06'!Z$8),'Übung 06'!Z$8,0)</f>
        <v/>
      </c>
      <c r="I41" s="63">
        <f>IF(ISNUMBER('Übung 07'!Z$8),'Übung 07'!Z$8,0)</f>
        <v/>
      </c>
      <c r="J41" s="63">
        <f>IF(ISNUMBER('Übung 08'!Z$8),'Übung 08'!Z$8,0)</f>
        <v/>
      </c>
      <c r="K41" s="63">
        <f>IF(ISNUMBER('Übung 09'!Z$8),'Übung 09'!Z$8,0)</f>
        <v/>
      </c>
      <c r="L41" s="63">
        <f>IF(ISNUMBER('Übung 10'!Z$8),'Übung 10'!Z$8,0)</f>
        <v/>
      </c>
      <c r="M41" s="63">
        <f>IF(ISNUMBER('Übung 11'!Z$8),'Übung 11'!Z$8,0)</f>
        <v/>
      </c>
      <c r="N41" s="63">
        <f>IF(ISNUMBER('Übung 12'!Z$8),'Übung 12'!Z$8,0)</f>
        <v/>
      </c>
      <c r="O41" s="63">
        <f>IF(ISNUMBER('Übung 13'!Z$8),'Übung 13'!Z$8,0)</f>
        <v/>
      </c>
      <c r="P41" s="63">
        <f>IF(ISNUMBER('Übung 14'!Z$8),'Übung 14'!Z$8,0)</f>
        <v/>
      </c>
      <c r="Q41" s="63">
        <f>IF(ISNUMBER('Übung 15'!Z$8),'Übung 15'!Z$8,0)</f>
        <v/>
      </c>
      <c r="R41" s="63">
        <f>IF(ISNUMBER('Übung 16'!Z$8),'Übung 16'!Z$8,0)</f>
        <v/>
      </c>
      <c r="S41" s="63">
        <f>IF(ISNUMBER('Übung 17'!Z$8),'Übung 17'!Z$8,0)</f>
        <v/>
      </c>
      <c r="T41" s="63">
        <f>IF(ISNUMBER('Übung 18'!Z$8),'Übung 18'!Z$8,0)</f>
        <v/>
      </c>
      <c r="U41" s="63">
        <f>IF(ISNUMBER('Übung 19'!Z$8),'Übung 19'!Z$8,0)</f>
        <v/>
      </c>
      <c r="V41" s="63">
        <f>IF(ISNUMBER('Übung 20'!Z$8),'Übung 20'!Z$8,0)</f>
        <v/>
      </c>
    </row>
    <row r="42">
      <c r="A42" s="61">
        <f>IF('Stammdaten'!$G28="aktiv",1,0)</f>
        <v/>
      </c>
      <c r="B42" s="163">
        <f>IF('Stammdaten'!$E28="",0,'Stammdaten'!$E28)</f>
        <v/>
      </c>
      <c r="C42" s="63">
        <f>IF(ISNUMBER('Übung 01'!AA$8),'Übung 01'!AA$8,0)</f>
        <v/>
      </c>
      <c r="D42" s="63">
        <f>IF(ISNUMBER('Übung 02'!AA$8),'Übung 02'!AA$8,0)</f>
        <v/>
      </c>
      <c r="E42" s="63">
        <f>IF(ISNUMBER('Übung 03'!AA$8),'Übung 03'!AA$8,0)</f>
        <v/>
      </c>
      <c r="F42" s="63">
        <f>IF(ISNUMBER('Übung 04'!AA$8),'Übung 04'!AA$8,0)</f>
        <v/>
      </c>
      <c r="G42" s="63">
        <f>IF(ISNUMBER('Übung 05'!AA$8),'Übung 05'!AA$8,0)</f>
        <v/>
      </c>
      <c r="H42" s="63">
        <f>IF(ISNUMBER('Übung 06'!AA$8),'Übung 06'!AA$8,0)</f>
        <v/>
      </c>
      <c r="I42" s="63">
        <f>IF(ISNUMBER('Übung 07'!AA$8),'Übung 07'!AA$8,0)</f>
        <v/>
      </c>
      <c r="J42" s="63">
        <f>IF(ISNUMBER('Übung 08'!AA$8),'Übung 08'!AA$8,0)</f>
        <v/>
      </c>
      <c r="K42" s="63">
        <f>IF(ISNUMBER('Übung 09'!AA$8),'Übung 09'!AA$8,0)</f>
        <v/>
      </c>
      <c r="L42" s="63">
        <f>IF(ISNUMBER('Übung 10'!AA$8),'Übung 10'!AA$8,0)</f>
        <v/>
      </c>
      <c r="M42" s="63">
        <f>IF(ISNUMBER('Übung 11'!AA$8),'Übung 11'!AA$8,0)</f>
        <v/>
      </c>
      <c r="N42" s="63">
        <f>IF(ISNUMBER('Übung 12'!AA$8),'Übung 12'!AA$8,0)</f>
        <v/>
      </c>
      <c r="O42" s="63">
        <f>IF(ISNUMBER('Übung 13'!AA$8),'Übung 13'!AA$8,0)</f>
        <v/>
      </c>
      <c r="P42" s="63">
        <f>IF(ISNUMBER('Übung 14'!AA$8),'Übung 14'!AA$8,0)</f>
        <v/>
      </c>
      <c r="Q42" s="63">
        <f>IF(ISNUMBER('Übung 15'!AA$8),'Übung 15'!AA$8,0)</f>
        <v/>
      </c>
      <c r="R42" s="63">
        <f>IF(ISNUMBER('Übung 16'!AA$8),'Übung 16'!AA$8,0)</f>
        <v/>
      </c>
      <c r="S42" s="63">
        <f>IF(ISNUMBER('Übung 17'!AA$8),'Übung 17'!AA$8,0)</f>
        <v/>
      </c>
      <c r="T42" s="63">
        <f>IF(ISNUMBER('Übung 18'!AA$8),'Übung 18'!AA$8,0)</f>
        <v/>
      </c>
      <c r="U42" s="63">
        <f>IF(ISNUMBER('Übung 19'!AA$8),'Übung 19'!AA$8,0)</f>
        <v/>
      </c>
      <c r="V42" s="63">
        <f>IF(ISNUMBER('Übung 20'!AA$8),'Übung 20'!AA$8,0)</f>
        <v/>
      </c>
    </row>
    <row r="43">
      <c r="A43" s="61">
        <f>IF('Stammdaten'!$G29="aktiv",1,0)</f>
        <v/>
      </c>
      <c r="B43" s="163">
        <f>IF('Stammdaten'!$E29="",0,'Stammdaten'!$E29)</f>
        <v/>
      </c>
      <c r="C43" s="63">
        <f>IF(ISNUMBER('Übung 01'!AB$8),'Übung 01'!AB$8,0)</f>
        <v/>
      </c>
      <c r="D43" s="63">
        <f>IF(ISNUMBER('Übung 02'!AB$8),'Übung 02'!AB$8,0)</f>
        <v/>
      </c>
      <c r="E43" s="63">
        <f>IF(ISNUMBER('Übung 03'!AB$8),'Übung 03'!AB$8,0)</f>
        <v/>
      </c>
      <c r="F43" s="63">
        <f>IF(ISNUMBER('Übung 04'!AB$8),'Übung 04'!AB$8,0)</f>
        <v/>
      </c>
      <c r="G43" s="63">
        <f>IF(ISNUMBER('Übung 05'!AB$8),'Übung 05'!AB$8,0)</f>
        <v/>
      </c>
      <c r="H43" s="63">
        <f>IF(ISNUMBER('Übung 06'!AB$8),'Übung 06'!AB$8,0)</f>
        <v/>
      </c>
      <c r="I43" s="63">
        <f>IF(ISNUMBER('Übung 07'!AB$8),'Übung 07'!AB$8,0)</f>
        <v/>
      </c>
      <c r="J43" s="63">
        <f>IF(ISNUMBER('Übung 08'!AB$8),'Übung 08'!AB$8,0)</f>
        <v/>
      </c>
      <c r="K43" s="63">
        <f>IF(ISNUMBER('Übung 09'!AB$8),'Übung 09'!AB$8,0)</f>
        <v/>
      </c>
      <c r="L43" s="63">
        <f>IF(ISNUMBER('Übung 10'!AB$8),'Übung 10'!AB$8,0)</f>
        <v/>
      </c>
      <c r="M43" s="63">
        <f>IF(ISNUMBER('Übung 11'!AB$8),'Übung 11'!AB$8,0)</f>
        <v/>
      </c>
      <c r="N43" s="63">
        <f>IF(ISNUMBER('Übung 12'!AB$8),'Übung 12'!AB$8,0)</f>
        <v/>
      </c>
      <c r="O43" s="63">
        <f>IF(ISNUMBER('Übung 13'!AB$8),'Übung 13'!AB$8,0)</f>
        <v/>
      </c>
      <c r="P43" s="63">
        <f>IF(ISNUMBER('Übung 14'!AB$8),'Übung 14'!AB$8,0)</f>
        <v/>
      </c>
      <c r="Q43" s="63">
        <f>IF(ISNUMBER('Übung 15'!AB$8),'Übung 15'!AB$8,0)</f>
        <v/>
      </c>
      <c r="R43" s="63">
        <f>IF(ISNUMBER('Übung 16'!AB$8),'Übung 16'!AB$8,0)</f>
        <v/>
      </c>
      <c r="S43" s="63">
        <f>IF(ISNUMBER('Übung 17'!AB$8),'Übung 17'!AB$8,0)</f>
        <v/>
      </c>
      <c r="T43" s="63">
        <f>IF(ISNUMBER('Übung 18'!AB$8),'Übung 18'!AB$8,0)</f>
        <v/>
      </c>
      <c r="U43" s="63">
        <f>IF(ISNUMBER('Übung 19'!AB$8),'Übung 19'!AB$8,0)</f>
        <v/>
      </c>
      <c r="V43" s="63">
        <f>IF(ISNUMBER('Übung 20'!AB$8),'Übung 20'!AB$8,0)</f>
        <v/>
      </c>
    </row>
    <row r="44">
      <c r="A44" s="61">
        <f>IF('Stammdaten'!$G30="aktiv",1,0)</f>
        <v/>
      </c>
      <c r="B44" s="163">
        <f>IF('Stammdaten'!$E30="",0,'Stammdaten'!$E30)</f>
        <v/>
      </c>
      <c r="C44" s="63">
        <f>IF(ISNUMBER('Übung 01'!AC$8),'Übung 01'!AC$8,0)</f>
        <v/>
      </c>
      <c r="D44" s="63">
        <f>IF(ISNUMBER('Übung 02'!AC$8),'Übung 02'!AC$8,0)</f>
        <v/>
      </c>
      <c r="E44" s="63">
        <f>IF(ISNUMBER('Übung 03'!AC$8),'Übung 03'!AC$8,0)</f>
        <v/>
      </c>
      <c r="F44" s="63">
        <f>IF(ISNUMBER('Übung 04'!AC$8),'Übung 04'!AC$8,0)</f>
        <v/>
      </c>
      <c r="G44" s="63">
        <f>IF(ISNUMBER('Übung 05'!AC$8),'Übung 05'!AC$8,0)</f>
        <v/>
      </c>
      <c r="H44" s="63">
        <f>IF(ISNUMBER('Übung 06'!AC$8),'Übung 06'!AC$8,0)</f>
        <v/>
      </c>
      <c r="I44" s="63">
        <f>IF(ISNUMBER('Übung 07'!AC$8),'Übung 07'!AC$8,0)</f>
        <v/>
      </c>
      <c r="J44" s="63">
        <f>IF(ISNUMBER('Übung 08'!AC$8),'Übung 08'!AC$8,0)</f>
        <v/>
      </c>
      <c r="K44" s="63">
        <f>IF(ISNUMBER('Übung 09'!AC$8),'Übung 09'!AC$8,0)</f>
        <v/>
      </c>
      <c r="L44" s="63">
        <f>IF(ISNUMBER('Übung 10'!AC$8),'Übung 10'!AC$8,0)</f>
        <v/>
      </c>
      <c r="M44" s="63">
        <f>IF(ISNUMBER('Übung 11'!AC$8),'Übung 11'!AC$8,0)</f>
        <v/>
      </c>
      <c r="N44" s="63">
        <f>IF(ISNUMBER('Übung 12'!AC$8),'Übung 12'!AC$8,0)</f>
        <v/>
      </c>
      <c r="O44" s="63">
        <f>IF(ISNUMBER('Übung 13'!AC$8),'Übung 13'!AC$8,0)</f>
        <v/>
      </c>
      <c r="P44" s="63">
        <f>IF(ISNUMBER('Übung 14'!AC$8),'Übung 14'!AC$8,0)</f>
        <v/>
      </c>
      <c r="Q44" s="63">
        <f>IF(ISNUMBER('Übung 15'!AC$8),'Übung 15'!AC$8,0)</f>
        <v/>
      </c>
      <c r="R44" s="63">
        <f>IF(ISNUMBER('Übung 16'!AC$8),'Übung 16'!AC$8,0)</f>
        <v/>
      </c>
      <c r="S44" s="63">
        <f>IF(ISNUMBER('Übung 17'!AC$8),'Übung 17'!AC$8,0)</f>
        <v/>
      </c>
      <c r="T44" s="63">
        <f>IF(ISNUMBER('Übung 18'!AC$8),'Übung 18'!AC$8,0)</f>
        <v/>
      </c>
      <c r="U44" s="63">
        <f>IF(ISNUMBER('Übung 19'!AC$8),'Übung 19'!AC$8,0)</f>
        <v/>
      </c>
      <c r="V44" s="63">
        <f>IF(ISNUMBER('Übung 20'!AC$8),'Übung 20'!AC$8,0)</f>
        <v/>
      </c>
    </row>
    <row r="49">
      <c r="A49" s="162" t="inlineStr">
        <is>
          <t>bewertet</t>
        </is>
      </c>
    </row>
    <row r="50">
      <c r="C50" s="61">
        <f>IF(ISNUMBER('Übung 01'!E$8),1,0)</f>
        <v/>
      </c>
      <c r="D50" s="61">
        <f>IF(ISNUMBER('Übung 02'!E$8),1,0)</f>
        <v/>
      </c>
      <c r="E50" s="61">
        <f>IF(ISNUMBER('Übung 03'!E$8),1,0)</f>
        <v/>
      </c>
      <c r="F50" s="61">
        <f>IF(ISNUMBER('Übung 04'!E$8),1,0)</f>
        <v/>
      </c>
      <c r="G50" s="61">
        <f>IF(ISNUMBER('Übung 05'!E$8),1,0)</f>
        <v/>
      </c>
      <c r="H50" s="61">
        <f>IF(ISNUMBER('Übung 06'!E$8),1,0)</f>
        <v/>
      </c>
      <c r="I50" s="61">
        <f>IF(ISNUMBER('Übung 07'!E$8),1,0)</f>
        <v/>
      </c>
      <c r="J50" s="61">
        <f>IF(ISNUMBER('Übung 08'!E$8),1,0)</f>
        <v/>
      </c>
      <c r="K50" s="61">
        <f>IF(ISNUMBER('Übung 09'!E$8),1,0)</f>
        <v/>
      </c>
      <c r="L50" s="61">
        <f>IF(ISNUMBER('Übung 10'!E$8),1,0)</f>
        <v/>
      </c>
      <c r="M50" s="61">
        <f>IF(ISNUMBER('Übung 11'!E$8),1,0)</f>
        <v/>
      </c>
      <c r="N50" s="61">
        <f>IF(ISNUMBER('Übung 12'!E$8),1,0)</f>
        <v/>
      </c>
      <c r="O50" s="61">
        <f>IF(ISNUMBER('Übung 13'!E$8),1,0)</f>
        <v/>
      </c>
      <c r="P50" s="61">
        <f>IF(ISNUMBER('Übung 14'!E$8),1,0)</f>
        <v/>
      </c>
      <c r="Q50" s="61">
        <f>IF(ISNUMBER('Übung 15'!E$8),1,0)</f>
        <v/>
      </c>
      <c r="R50" s="61">
        <f>IF(ISNUMBER('Übung 16'!E$8),1,0)</f>
        <v/>
      </c>
      <c r="S50" s="61">
        <f>IF(ISNUMBER('Übung 17'!E$8),1,0)</f>
        <v/>
      </c>
      <c r="T50" s="61">
        <f>IF(ISNUMBER('Übung 18'!E$8),1,0)</f>
        <v/>
      </c>
      <c r="U50" s="61">
        <f>IF(ISNUMBER('Übung 19'!E$8),1,0)</f>
        <v/>
      </c>
      <c r="V50" s="61">
        <f>IF(ISNUMBER('Übung 20'!E$8),1,0)</f>
        <v/>
      </c>
    </row>
    <row r="51">
      <c r="C51" s="61">
        <f>IF(ISNUMBER('Übung 01'!F$8),1,0)</f>
        <v/>
      </c>
      <c r="D51" s="61">
        <f>IF(ISNUMBER('Übung 02'!F$8),1,0)</f>
        <v/>
      </c>
      <c r="E51" s="61">
        <f>IF(ISNUMBER('Übung 03'!F$8),1,0)</f>
        <v/>
      </c>
      <c r="F51" s="61">
        <f>IF(ISNUMBER('Übung 04'!F$8),1,0)</f>
        <v/>
      </c>
      <c r="G51" s="61">
        <f>IF(ISNUMBER('Übung 05'!F$8),1,0)</f>
        <v/>
      </c>
      <c r="H51" s="61">
        <f>IF(ISNUMBER('Übung 06'!F$8),1,0)</f>
        <v/>
      </c>
      <c r="I51" s="61">
        <f>IF(ISNUMBER('Übung 07'!F$8),1,0)</f>
        <v/>
      </c>
      <c r="J51" s="61">
        <f>IF(ISNUMBER('Übung 08'!F$8),1,0)</f>
        <v/>
      </c>
      <c r="K51" s="61">
        <f>IF(ISNUMBER('Übung 09'!F$8),1,0)</f>
        <v/>
      </c>
      <c r="L51" s="61">
        <f>IF(ISNUMBER('Übung 10'!F$8),1,0)</f>
        <v/>
      </c>
      <c r="M51" s="61">
        <f>IF(ISNUMBER('Übung 11'!F$8),1,0)</f>
        <v/>
      </c>
      <c r="N51" s="61">
        <f>IF(ISNUMBER('Übung 12'!F$8),1,0)</f>
        <v/>
      </c>
      <c r="O51" s="61">
        <f>IF(ISNUMBER('Übung 13'!F$8),1,0)</f>
        <v/>
      </c>
      <c r="P51" s="61">
        <f>IF(ISNUMBER('Übung 14'!F$8),1,0)</f>
        <v/>
      </c>
      <c r="Q51" s="61">
        <f>IF(ISNUMBER('Übung 15'!F$8),1,0)</f>
        <v/>
      </c>
      <c r="R51" s="61">
        <f>IF(ISNUMBER('Übung 16'!F$8),1,0)</f>
        <v/>
      </c>
      <c r="S51" s="61">
        <f>IF(ISNUMBER('Übung 17'!F$8),1,0)</f>
        <v/>
      </c>
      <c r="T51" s="61">
        <f>IF(ISNUMBER('Übung 18'!F$8),1,0)</f>
        <v/>
      </c>
      <c r="U51" s="61">
        <f>IF(ISNUMBER('Übung 19'!F$8),1,0)</f>
        <v/>
      </c>
      <c r="V51" s="61">
        <f>IF(ISNUMBER('Übung 20'!F$8),1,0)</f>
        <v/>
      </c>
    </row>
    <row r="52">
      <c r="C52" s="61">
        <f>IF(ISNUMBER('Übung 01'!G$8),1,0)</f>
        <v/>
      </c>
      <c r="D52" s="61">
        <f>IF(ISNUMBER('Übung 02'!G$8),1,0)</f>
        <v/>
      </c>
      <c r="E52" s="61">
        <f>IF(ISNUMBER('Übung 03'!G$8),1,0)</f>
        <v/>
      </c>
      <c r="F52" s="61">
        <f>IF(ISNUMBER('Übung 04'!G$8),1,0)</f>
        <v/>
      </c>
      <c r="G52" s="61">
        <f>IF(ISNUMBER('Übung 05'!G$8),1,0)</f>
        <v/>
      </c>
      <c r="H52" s="61">
        <f>IF(ISNUMBER('Übung 06'!G$8),1,0)</f>
        <v/>
      </c>
      <c r="I52" s="61">
        <f>IF(ISNUMBER('Übung 07'!G$8),1,0)</f>
        <v/>
      </c>
      <c r="J52" s="61">
        <f>IF(ISNUMBER('Übung 08'!G$8),1,0)</f>
        <v/>
      </c>
      <c r="K52" s="61">
        <f>IF(ISNUMBER('Übung 09'!G$8),1,0)</f>
        <v/>
      </c>
      <c r="L52" s="61">
        <f>IF(ISNUMBER('Übung 10'!G$8),1,0)</f>
        <v/>
      </c>
      <c r="M52" s="61">
        <f>IF(ISNUMBER('Übung 11'!G$8),1,0)</f>
        <v/>
      </c>
      <c r="N52" s="61">
        <f>IF(ISNUMBER('Übung 12'!G$8),1,0)</f>
        <v/>
      </c>
      <c r="O52" s="61">
        <f>IF(ISNUMBER('Übung 13'!G$8),1,0)</f>
        <v/>
      </c>
      <c r="P52" s="61">
        <f>IF(ISNUMBER('Übung 14'!G$8),1,0)</f>
        <v/>
      </c>
      <c r="Q52" s="61">
        <f>IF(ISNUMBER('Übung 15'!G$8),1,0)</f>
        <v/>
      </c>
      <c r="R52" s="61">
        <f>IF(ISNUMBER('Übung 16'!G$8),1,0)</f>
        <v/>
      </c>
      <c r="S52" s="61">
        <f>IF(ISNUMBER('Übung 17'!G$8),1,0)</f>
        <v/>
      </c>
      <c r="T52" s="61">
        <f>IF(ISNUMBER('Übung 18'!G$8),1,0)</f>
        <v/>
      </c>
      <c r="U52" s="61">
        <f>IF(ISNUMBER('Übung 19'!G$8),1,0)</f>
        <v/>
      </c>
      <c r="V52" s="61">
        <f>IF(ISNUMBER('Übung 20'!G$8),1,0)</f>
        <v/>
      </c>
    </row>
    <row r="53">
      <c r="C53" s="61">
        <f>IF(ISNUMBER('Übung 01'!H$8),1,0)</f>
        <v/>
      </c>
      <c r="D53" s="61">
        <f>IF(ISNUMBER('Übung 02'!H$8),1,0)</f>
        <v/>
      </c>
      <c r="E53" s="61">
        <f>IF(ISNUMBER('Übung 03'!H$8),1,0)</f>
        <v/>
      </c>
      <c r="F53" s="61">
        <f>IF(ISNUMBER('Übung 04'!H$8),1,0)</f>
        <v/>
      </c>
      <c r="G53" s="61">
        <f>IF(ISNUMBER('Übung 05'!H$8),1,0)</f>
        <v/>
      </c>
      <c r="H53" s="61">
        <f>IF(ISNUMBER('Übung 06'!H$8),1,0)</f>
        <v/>
      </c>
      <c r="I53" s="61">
        <f>IF(ISNUMBER('Übung 07'!H$8),1,0)</f>
        <v/>
      </c>
      <c r="J53" s="61">
        <f>IF(ISNUMBER('Übung 08'!H$8),1,0)</f>
        <v/>
      </c>
      <c r="K53" s="61">
        <f>IF(ISNUMBER('Übung 09'!H$8),1,0)</f>
        <v/>
      </c>
      <c r="L53" s="61">
        <f>IF(ISNUMBER('Übung 10'!H$8),1,0)</f>
        <v/>
      </c>
      <c r="M53" s="61">
        <f>IF(ISNUMBER('Übung 11'!H$8),1,0)</f>
        <v/>
      </c>
      <c r="N53" s="61">
        <f>IF(ISNUMBER('Übung 12'!H$8),1,0)</f>
        <v/>
      </c>
      <c r="O53" s="61">
        <f>IF(ISNUMBER('Übung 13'!H$8),1,0)</f>
        <v/>
      </c>
      <c r="P53" s="61">
        <f>IF(ISNUMBER('Übung 14'!H$8),1,0)</f>
        <v/>
      </c>
      <c r="Q53" s="61">
        <f>IF(ISNUMBER('Übung 15'!H$8),1,0)</f>
        <v/>
      </c>
      <c r="R53" s="61">
        <f>IF(ISNUMBER('Übung 16'!H$8),1,0)</f>
        <v/>
      </c>
      <c r="S53" s="61">
        <f>IF(ISNUMBER('Übung 17'!H$8),1,0)</f>
        <v/>
      </c>
      <c r="T53" s="61">
        <f>IF(ISNUMBER('Übung 18'!H$8),1,0)</f>
        <v/>
      </c>
      <c r="U53" s="61">
        <f>IF(ISNUMBER('Übung 19'!H$8),1,0)</f>
        <v/>
      </c>
      <c r="V53" s="61">
        <f>IF(ISNUMBER('Übung 20'!H$8),1,0)</f>
        <v/>
      </c>
    </row>
    <row r="54">
      <c r="C54" s="61">
        <f>IF(ISNUMBER('Übung 01'!I$8),1,0)</f>
        <v/>
      </c>
      <c r="D54" s="61">
        <f>IF(ISNUMBER('Übung 02'!I$8),1,0)</f>
        <v/>
      </c>
      <c r="E54" s="61">
        <f>IF(ISNUMBER('Übung 03'!I$8),1,0)</f>
        <v/>
      </c>
      <c r="F54" s="61">
        <f>IF(ISNUMBER('Übung 04'!I$8),1,0)</f>
        <v/>
      </c>
      <c r="G54" s="61">
        <f>IF(ISNUMBER('Übung 05'!I$8),1,0)</f>
        <v/>
      </c>
      <c r="H54" s="61">
        <f>IF(ISNUMBER('Übung 06'!I$8),1,0)</f>
        <v/>
      </c>
      <c r="I54" s="61">
        <f>IF(ISNUMBER('Übung 07'!I$8),1,0)</f>
        <v/>
      </c>
      <c r="J54" s="61">
        <f>IF(ISNUMBER('Übung 08'!I$8),1,0)</f>
        <v/>
      </c>
      <c r="K54" s="61">
        <f>IF(ISNUMBER('Übung 09'!I$8),1,0)</f>
        <v/>
      </c>
      <c r="L54" s="61">
        <f>IF(ISNUMBER('Übung 10'!I$8),1,0)</f>
        <v/>
      </c>
      <c r="M54" s="61">
        <f>IF(ISNUMBER('Übung 11'!I$8),1,0)</f>
        <v/>
      </c>
      <c r="N54" s="61">
        <f>IF(ISNUMBER('Übung 12'!I$8),1,0)</f>
        <v/>
      </c>
      <c r="O54" s="61">
        <f>IF(ISNUMBER('Übung 13'!I$8),1,0)</f>
        <v/>
      </c>
      <c r="P54" s="61">
        <f>IF(ISNUMBER('Übung 14'!I$8),1,0)</f>
        <v/>
      </c>
      <c r="Q54" s="61">
        <f>IF(ISNUMBER('Übung 15'!I$8),1,0)</f>
        <v/>
      </c>
      <c r="R54" s="61">
        <f>IF(ISNUMBER('Übung 16'!I$8),1,0)</f>
        <v/>
      </c>
      <c r="S54" s="61">
        <f>IF(ISNUMBER('Übung 17'!I$8),1,0)</f>
        <v/>
      </c>
      <c r="T54" s="61">
        <f>IF(ISNUMBER('Übung 18'!I$8),1,0)</f>
        <v/>
      </c>
      <c r="U54" s="61">
        <f>IF(ISNUMBER('Übung 19'!I$8),1,0)</f>
        <v/>
      </c>
      <c r="V54" s="61">
        <f>IF(ISNUMBER('Übung 20'!I$8),1,0)</f>
        <v/>
      </c>
    </row>
    <row r="55">
      <c r="C55" s="61">
        <f>IF(ISNUMBER('Übung 01'!J$8),1,0)</f>
        <v/>
      </c>
      <c r="D55" s="61">
        <f>IF(ISNUMBER('Übung 02'!J$8),1,0)</f>
        <v/>
      </c>
      <c r="E55" s="61">
        <f>IF(ISNUMBER('Übung 03'!J$8),1,0)</f>
        <v/>
      </c>
      <c r="F55" s="61">
        <f>IF(ISNUMBER('Übung 04'!J$8),1,0)</f>
        <v/>
      </c>
      <c r="G55" s="61">
        <f>IF(ISNUMBER('Übung 05'!J$8),1,0)</f>
        <v/>
      </c>
      <c r="H55" s="61">
        <f>IF(ISNUMBER('Übung 06'!J$8),1,0)</f>
        <v/>
      </c>
      <c r="I55" s="61">
        <f>IF(ISNUMBER('Übung 07'!J$8),1,0)</f>
        <v/>
      </c>
      <c r="J55" s="61">
        <f>IF(ISNUMBER('Übung 08'!J$8),1,0)</f>
        <v/>
      </c>
      <c r="K55" s="61">
        <f>IF(ISNUMBER('Übung 09'!J$8),1,0)</f>
        <v/>
      </c>
      <c r="L55" s="61">
        <f>IF(ISNUMBER('Übung 10'!J$8),1,0)</f>
        <v/>
      </c>
      <c r="M55" s="61">
        <f>IF(ISNUMBER('Übung 11'!J$8),1,0)</f>
        <v/>
      </c>
      <c r="N55" s="61">
        <f>IF(ISNUMBER('Übung 12'!J$8),1,0)</f>
        <v/>
      </c>
      <c r="O55" s="61">
        <f>IF(ISNUMBER('Übung 13'!J$8),1,0)</f>
        <v/>
      </c>
      <c r="P55" s="61">
        <f>IF(ISNUMBER('Übung 14'!J$8),1,0)</f>
        <v/>
      </c>
      <c r="Q55" s="61">
        <f>IF(ISNUMBER('Übung 15'!J$8),1,0)</f>
        <v/>
      </c>
      <c r="R55" s="61">
        <f>IF(ISNUMBER('Übung 16'!J$8),1,0)</f>
        <v/>
      </c>
      <c r="S55" s="61">
        <f>IF(ISNUMBER('Übung 17'!J$8),1,0)</f>
        <v/>
      </c>
      <c r="T55" s="61">
        <f>IF(ISNUMBER('Übung 18'!J$8),1,0)</f>
        <v/>
      </c>
      <c r="U55" s="61">
        <f>IF(ISNUMBER('Übung 19'!J$8),1,0)</f>
        <v/>
      </c>
      <c r="V55" s="61">
        <f>IF(ISNUMBER('Übung 20'!J$8),1,0)</f>
        <v/>
      </c>
    </row>
    <row r="56">
      <c r="C56" s="61">
        <f>IF(ISNUMBER('Übung 01'!K$8),1,0)</f>
        <v/>
      </c>
      <c r="D56" s="61">
        <f>IF(ISNUMBER('Übung 02'!K$8),1,0)</f>
        <v/>
      </c>
      <c r="E56" s="61">
        <f>IF(ISNUMBER('Übung 03'!K$8),1,0)</f>
        <v/>
      </c>
      <c r="F56" s="61">
        <f>IF(ISNUMBER('Übung 04'!K$8),1,0)</f>
        <v/>
      </c>
      <c r="G56" s="61">
        <f>IF(ISNUMBER('Übung 05'!K$8),1,0)</f>
        <v/>
      </c>
      <c r="H56" s="61">
        <f>IF(ISNUMBER('Übung 06'!K$8),1,0)</f>
        <v/>
      </c>
      <c r="I56" s="61">
        <f>IF(ISNUMBER('Übung 07'!K$8),1,0)</f>
        <v/>
      </c>
      <c r="J56" s="61">
        <f>IF(ISNUMBER('Übung 08'!K$8),1,0)</f>
        <v/>
      </c>
      <c r="K56" s="61">
        <f>IF(ISNUMBER('Übung 09'!K$8),1,0)</f>
        <v/>
      </c>
      <c r="L56" s="61">
        <f>IF(ISNUMBER('Übung 10'!K$8),1,0)</f>
        <v/>
      </c>
      <c r="M56" s="61">
        <f>IF(ISNUMBER('Übung 11'!K$8),1,0)</f>
        <v/>
      </c>
      <c r="N56" s="61">
        <f>IF(ISNUMBER('Übung 12'!K$8),1,0)</f>
        <v/>
      </c>
      <c r="O56" s="61">
        <f>IF(ISNUMBER('Übung 13'!K$8),1,0)</f>
        <v/>
      </c>
      <c r="P56" s="61">
        <f>IF(ISNUMBER('Übung 14'!K$8),1,0)</f>
        <v/>
      </c>
      <c r="Q56" s="61">
        <f>IF(ISNUMBER('Übung 15'!K$8),1,0)</f>
        <v/>
      </c>
      <c r="R56" s="61">
        <f>IF(ISNUMBER('Übung 16'!K$8),1,0)</f>
        <v/>
      </c>
      <c r="S56" s="61">
        <f>IF(ISNUMBER('Übung 17'!K$8),1,0)</f>
        <v/>
      </c>
      <c r="T56" s="61">
        <f>IF(ISNUMBER('Übung 18'!K$8),1,0)</f>
        <v/>
      </c>
      <c r="U56" s="61">
        <f>IF(ISNUMBER('Übung 19'!K$8),1,0)</f>
        <v/>
      </c>
      <c r="V56" s="61">
        <f>IF(ISNUMBER('Übung 20'!K$8),1,0)</f>
        <v/>
      </c>
    </row>
    <row r="57">
      <c r="C57" s="61">
        <f>IF(ISNUMBER('Übung 01'!L$8),1,0)</f>
        <v/>
      </c>
      <c r="D57" s="61">
        <f>IF(ISNUMBER('Übung 02'!L$8),1,0)</f>
        <v/>
      </c>
      <c r="E57" s="61">
        <f>IF(ISNUMBER('Übung 03'!L$8),1,0)</f>
        <v/>
      </c>
      <c r="F57" s="61">
        <f>IF(ISNUMBER('Übung 04'!L$8),1,0)</f>
        <v/>
      </c>
      <c r="G57" s="61">
        <f>IF(ISNUMBER('Übung 05'!L$8),1,0)</f>
        <v/>
      </c>
      <c r="H57" s="61">
        <f>IF(ISNUMBER('Übung 06'!L$8),1,0)</f>
        <v/>
      </c>
      <c r="I57" s="61">
        <f>IF(ISNUMBER('Übung 07'!L$8),1,0)</f>
        <v/>
      </c>
      <c r="J57" s="61">
        <f>IF(ISNUMBER('Übung 08'!L$8),1,0)</f>
        <v/>
      </c>
      <c r="K57" s="61">
        <f>IF(ISNUMBER('Übung 09'!L$8),1,0)</f>
        <v/>
      </c>
      <c r="L57" s="61">
        <f>IF(ISNUMBER('Übung 10'!L$8),1,0)</f>
        <v/>
      </c>
      <c r="M57" s="61">
        <f>IF(ISNUMBER('Übung 11'!L$8),1,0)</f>
        <v/>
      </c>
      <c r="N57" s="61">
        <f>IF(ISNUMBER('Übung 12'!L$8),1,0)</f>
        <v/>
      </c>
      <c r="O57" s="61">
        <f>IF(ISNUMBER('Übung 13'!L$8),1,0)</f>
        <v/>
      </c>
      <c r="P57" s="61">
        <f>IF(ISNUMBER('Übung 14'!L$8),1,0)</f>
        <v/>
      </c>
      <c r="Q57" s="61">
        <f>IF(ISNUMBER('Übung 15'!L$8),1,0)</f>
        <v/>
      </c>
      <c r="R57" s="61">
        <f>IF(ISNUMBER('Übung 16'!L$8),1,0)</f>
        <v/>
      </c>
      <c r="S57" s="61">
        <f>IF(ISNUMBER('Übung 17'!L$8),1,0)</f>
        <v/>
      </c>
      <c r="T57" s="61">
        <f>IF(ISNUMBER('Übung 18'!L$8),1,0)</f>
        <v/>
      </c>
      <c r="U57" s="61">
        <f>IF(ISNUMBER('Übung 19'!L$8),1,0)</f>
        <v/>
      </c>
      <c r="V57" s="61">
        <f>IF(ISNUMBER('Übung 20'!L$8),1,0)</f>
        <v/>
      </c>
    </row>
    <row r="58">
      <c r="C58" s="61">
        <f>IF(ISNUMBER('Übung 01'!M$8),1,0)</f>
        <v/>
      </c>
      <c r="D58" s="61">
        <f>IF(ISNUMBER('Übung 02'!M$8),1,0)</f>
        <v/>
      </c>
      <c r="E58" s="61">
        <f>IF(ISNUMBER('Übung 03'!M$8),1,0)</f>
        <v/>
      </c>
      <c r="F58" s="61">
        <f>IF(ISNUMBER('Übung 04'!M$8),1,0)</f>
        <v/>
      </c>
      <c r="G58" s="61">
        <f>IF(ISNUMBER('Übung 05'!M$8),1,0)</f>
        <v/>
      </c>
      <c r="H58" s="61">
        <f>IF(ISNUMBER('Übung 06'!M$8),1,0)</f>
        <v/>
      </c>
      <c r="I58" s="61">
        <f>IF(ISNUMBER('Übung 07'!M$8),1,0)</f>
        <v/>
      </c>
      <c r="J58" s="61">
        <f>IF(ISNUMBER('Übung 08'!M$8),1,0)</f>
        <v/>
      </c>
      <c r="K58" s="61">
        <f>IF(ISNUMBER('Übung 09'!M$8),1,0)</f>
        <v/>
      </c>
      <c r="L58" s="61">
        <f>IF(ISNUMBER('Übung 10'!M$8),1,0)</f>
        <v/>
      </c>
      <c r="M58" s="61">
        <f>IF(ISNUMBER('Übung 11'!M$8),1,0)</f>
        <v/>
      </c>
      <c r="N58" s="61">
        <f>IF(ISNUMBER('Übung 12'!M$8),1,0)</f>
        <v/>
      </c>
      <c r="O58" s="61">
        <f>IF(ISNUMBER('Übung 13'!M$8),1,0)</f>
        <v/>
      </c>
      <c r="P58" s="61">
        <f>IF(ISNUMBER('Übung 14'!M$8),1,0)</f>
        <v/>
      </c>
      <c r="Q58" s="61">
        <f>IF(ISNUMBER('Übung 15'!M$8),1,0)</f>
        <v/>
      </c>
      <c r="R58" s="61">
        <f>IF(ISNUMBER('Übung 16'!M$8),1,0)</f>
        <v/>
      </c>
      <c r="S58" s="61">
        <f>IF(ISNUMBER('Übung 17'!M$8),1,0)</f>
        <v/>
      </c>
      <c r="T58" s="61">
        <f>IF(ISNUMBER('Übung 18'!M$8),1,0)</f>
        <v/>
      </c>
      <c r="U58" s="61">
        <f>IF(ISNUMBER('Übung 19'!M$8),1,0)</f>
        <v/>
      </c>
      <c r="V58" s="61">
        <f>IF(ISNUMBER('Übung 20'!M$8),1,0)</f>
        <v/>
      </c>
    </row>
    <row r="59">
      <c r="C59" s="61">
        <f>IF(ISNUMBER('Übung 01'!N$8),1,0)</f>
        <v/>
      </c>
      <c r="D59" s="61">
        <f>IF(ISNUMBER('Übung 02'!N$8),1,0)</f>
        <v/>
      </c>
      <c r="E59" s="61">
        <f>IF(ISNUMBER('Übung 03'!N$8),1,0)</f>
        <v/>
      </c>
      <c r="F59" s="61">
        <f>IF(ISNUMBER('Übung 04'!N$8),1,0)</f>
        <v/>
      </c>
      <c r="G59" s="61">
        <f>IF(ISNUMBER('Übung 05'!N$8),1,0)</f>
        <v/>
      </c>
      <c r="H59" s="61">
        <f>IF(ISNUMBER('Übung 06'!N$8),1,0)</f>
        <v/>
      </c>
      <c r="I59" s="61">
        <f>IF(ISNUMBER('Übung 07'!N$8),1,0)</f>
        <v/>
      </c>
      <c r="J59" s="61">
        <f>IF(ISNUMBER('Übung 08'!N$8),1,0)</f>
        <v/>
      </c>
      <c r="K59" s="61">
        <f>IF(ISNUMBER('Übung 09'!N$8),1,0)</f>
        <v/>
      </c>
      <c r="L59" s="61">
        <f>IF(ISNUMBER('Übung 10'!N$8),1,0)</f>
        <v/>
      </c>
      <c r="M59" s="61">
        <f>IF(ISNUMBER('Übung 11'!N$8),1,0)</f>
        <v/>
      </c>
      <c r="N59" s="61">
        <f>IF(ISNUMBER('Übung 12'!N$8),1,0)</f>
        <v/>
      </c>
      <c r="O59" s="61">
        <f>IF(ISNUMBER('Übung 13'!N$8),1,0)</f>
        <v/>
      </c>
      <c r="P59" s="61">
        <f>IF(ISNUMBER('Übung 14'!N$8),1,0)</f>
        <v/>
      </c>
      <c r="Q59" s="61">
        <f>IF(ISNUMBER('Übung 15'!N$8),1,0)</f>
        <v/>
      </c>
      <c r="R59" s="61">
        <f>IF(ISNUMBER('Übung 16'!N$8),1,0)</f>
        <v/>
      </c>
      <c r="S59" s="61">
        <f>IF(ISNUMBER('Übung 17'!N$8),1,0)</f>
        <v/>
      </c>
      <c r="T59" s="61">
        <f>IF(ISNUMBER('Übung 18'!N$8),1,0)</f>
        <v/>
      </c>
      <c r="U59" s="61">
        <f>IF(ISNUMBER('Übung 19'!N$8),1,0)</f>
        <v/>
      </c>
      <c r="V59" s="61">
        <f>IF(ISNUMBER('Übung 20'!N$8),1,0)</f>
        <v/>
      </c>
    </row>
    <row r="60">
      <c r="C60" s="61">
        <f>IF(ISNUMBER('Übung 01'!O$8),1,0)</f>
        <v/>
      </c>
      <c r="D60" s="61">
        <f>IF(ISNUMBER('Übung 02'!O$8),1,0)</f>
        <v/>
      </c>
      <c r="E60" s="61">
        <f>IF(ISNUMBER('Übung 03'!O$8),1,0)</f>
        <v/>
      </c>
      <c r="F60" s="61">
        <f>IF(ISNUMBER('Übung 04'!O$8),1,0)</f>
        <v/>
      </c>
      <c r="G60" s="61">
        <f>IF(ISNUMBER('Übung 05'!O$8),1,0)</f>
        <v/>
      </c>
      <c r="H60" s="61">
        <f>IF(ISNUMBER('Übung 06'!O$8),1,0)</f>
        <v/>
      </c>
      <c r="I60" s="61">
        <f>IF(ISNUMBER('Übung 07'!O$8),1,0)</f>
        <v/>
      </c>
      <c r="J60" s="61">
        <f>IF(ISNUMBER('Übung 08'!O$8),1,0)</f>
        <v/>
      </c>
      <c r="K60" s="61">
        <f>IF(ISNUMBER('Übung 09'!O$8),1,0)</f>
        <v/>
      </c>
      <c r="L60" s="61">
        <f>IF(ISNUMBER('Übung 10'!O$8),1,0)</f>
        <v/>
      </c>
      <c r="M60" s="61">
        <f>IF(ISNUMBER('Übung 11'!O$8),1,0)</f>
        <v/>
      </c>
      <c r="N60" s="61">
        <f>IF(ISNUMBER('Übung 12'!O$8),1,0)</f>
        <v/>
      </c>
      <c r="O60" s="61">
        <f>IF(ISNUMBER('Übung 13'!O$8),1,0)</f>
        <v/>
      </c>
      <c r="P60" s="61">
        <f>IF(ISNUMBER('Übung 14'!O$8),1,0)</f>
        <v/>
      </c>
      <c r="Q60" s="61">
        <f>IF(ISNUMBER('Übung 15'!O$8),1,0)</f>
        <v/>
      </c>
      <c r="R60" s="61">
        <f>IF(ISNUMBER('Übung 16'!O$8),1,0)</f>
        <v/>
      </c>
      <c r="S60" s="61">
        <f>IF(ISNUMBER('Übung 17'!O$8),1,0)</f>
        <v/>
      </c>
      <c r="T60" s="61">
        <f>IF(ISNUMBER('Übung 18'!O$8),1,0)</f>
        <v/>
      </c>
      <c r="U60" s="61">
        <f>IF(ISNUMBER('Übung 19'!O$8),1,0)</f>
        <v/>
      </c>
      <c r="V60" s="61">
        <f>IF(ISNUMBER('Übung 20'!O$8),1,0)</f>
        <v/>
      </c>
    </row>
    <row r="61">
      <c r="C61" s="61">
        <f>IF(ISNUMBER('Übung 01'!P$8),1,0)</f>
        <v/>
      </c>
      <c r="D61" s="61">
        <f>IF(ISNUMBER('Übung 02'!P$8),1,0)</f>
        <v/>
      </c>
      <c r="E61" s="61">
        <f>IF(ISNUMBER('Übung 03'!P$8),1,0)</f>
        <v/>
      </c>
      <c r="F61" s="61">
        <f>IF(ISNUMBER('Übung 04'!P$8),1,0)</f>
        <v/>
      </c>
      <c r="G61" s="61">
        <f>IF(ISNUMBER('Übung 05'!P$8),1,0)</f>
        <v/>
      </c>
      <c r="H61" s="61">
        <f>IF(ISNUMBER('Übung 06'!P$8),1,0)</f>
        <v/>
      </c>
      <c r="I61" s="61">
        <f>IF(ISNUMBER('Übung 07'!P$8),1,0)</f>
        <v/>
      </c>
      <c r="J61" s="61">
        <f>IF(ISNUMBER('Übung 08'!P$8),1,0)</f>
        <v/>
      </c>
      <c r="K61" s="61">
        <f>IF(ISNUMBER('Übung 09'!P$8),1,0)</f>
        <v/>
      </c>
      <c r="L61" s="61">
        <f>IF(ISNUMBER('Übung 10'!P$8),1,0)</f>
        <v/>
      </c>
      <c r="M61" s="61">
        <f>IF(ISNUMBER('Übung 11'!P$8),1,0)</f>
        <v/>
      </c>
      <c r="N61" s="61">
        <f>IF(ISNUMBER('Übung 12'!P$8),1,0)</f>
        <v/>
      </c>
      <c r="O61" s="61">
        <f>IF(ISNUMBER('Übung 13'!P$8),1,0)</f>
        <v/>
      </c>
      <c r="P61" s="61">
        <f>IF(ISNUMBER('Übung 14'!P$8),1,0)</f>
        <v/>
      </c>
      <c r="Q61" s="61">
        <f>IF(ISNUMBER('Übung 15'!P$8),1,0)</f>
        <v/>
      </c>
      <c r="R61" s="61">
        <f>IF(ISNUMBER('Übung 16'!P$8),1,0)</f>
        <v/>
      </c>
      <c r="S61" s="61">
        <f>IF(ISNUMBER('Übung 17'!P$8),1,0)</f>
        <v/>
      </c>
      <c r="T61" s="61">
        <f>IF(ISNUMBER('Übung 18'!P$8),1,0)</f>
        <v/>
      </c>
      <c r="U61" s="61">
        <f>IF(ISNUMBER('Übung 19'!P$8),1,0)</f>
        <v/>
      </c>
      <c r="V61" s="61">
        <f>IF(ISNUMBER('Übung 20'!P$8),1,0)</f>
        <v/>
      </c>
    </row>
    <row r="62">
      <c r="C62" s="61">
        <f>IF(ISNUMBER('Übung 01'!Q$8),1,0)</f>
        <v/>
      </c>
      <c r="D62" s="61">
        <f>IF(ISNUMBER('Übung 02'!Q$8),1,0)</f>
        <v/>
      </c>
      <c r="E62" s="61">
        <f>IF(ISNUMBER('Übung 03'!Q$8),1,0)</f>
        <v/>
      </c>
      <c r="F62" s="61">
        <f>IF(ISNUMBER('Übung 04'!Q$8),1,0)</f>
        <v/>
      </c>
      <c r="G62" s="61">
        <f>IF(ISNUMBER('Übung 05'!Q$8),1,0)</f>
        <v/>
      </c>
      <c r="H62" s="61">
        <f>IF(ISNUMBER('Übung 06'!Q$8),1,0)</f>
        <v/>
      </c>
      <c r="I62" s="61">
        <f>IF(ISNUMBER('Übung 07'!Q$8),1,0)</f>
        <v/>
      </c>
      <c r="J62" s="61">
        <f>IF(ISNUMBER('Übung 08'!Q$8),1,0)</f>
        <v/>
      </c>
      <c r="K62" s="61">
        <f>IF(ISNUMBER('Übung 09'!Q$8),1,0)</f>
        <v/>
      </c>
      <c r="L62" s="61">
        <f>IF(ISNUMBER('Übung 10'!Q$8),1,0)</f>
        <v/>
      </c>
      <c r="M62" s="61">
        <f>IF(ISNUMBER('Übung 11'!Q$8),1,0)</f>
        <v/>
      </c>
      <c r="N62" s="61">
        <f>IF(ISNUMBER('Übung 12'!Q$8),1,0)</f>
        <v/>
      </c>
      <c r="O62" s="61">
        <f>IF(ISNUMBER('Übung 13'!Q$8),1,0)</f>
        <v/>
      </c>
      <c r="P62" s="61">
        <f>IF(ISNUMBER('Übung 14'!Q$8),1,0)</f>
        <v/>
      </c>
      <c r="Q62" s="61">
        <f>IF(ISNUMBER('Übung 15'!Q$8),1,0)</f>
        <v/>
      </c>
      <c r="R62" s="61">
        <f>IF(ISNUMBER('Übung 16'!Q$8),1,0)</f>
        <v/>
      </c>
      <c r="S62" s="61">
        <f>IF(ISNUMBER('Übung 17'!Q$8),1,0)</f>
        <v/>
      </c>
      <c r="T62" s="61">
        <f>IF(ISNUMBER('Übung 18'!Q$8),1,0)</f>
        <v/>
      </c>
      <c r="U62" s="61">
        <f>IF(ISNUMBER('Übung 19'!Q$8),1,0)</f>
        <v/>
      </c>
      <c r="V62" s="61">
        <f>IF(ISNUMBER('Übung 20'!Q$8),1,0)</f>
        <v/>
      </c>
    </row>
    <row r="63">
      <c r="C63" s="61">
        <f>IF(ISNUMBER('Übung 01'!R$8),1,0)</f>
        <v/>
      </c>
      <c r="D63" s="61">
        <f>IF(ISNUMBER('Übung 02'!R$8),1,0)</f>
        <v/>
      </c>
      <c r="E63" s="61">
        <f>IF(ISNUMBER('Übung 03'!R$8),1,0)</f>
        <v/>
      </c>
      <c r="F63" s="61">
        <f>IF(ISNUMBER('Übung 04'!R$8),1,0)</f>
        <v/>
      </c>
      <c r="G63" s="61">
        <f>IF(ISNUMBER('Übung 05'!R$8),1,0)</f>
        <v/>
      </c>
      <c r="H63" s="61">
        <f>IF(ISNUMBER('Übung 06'!R$8),1,0)</f>
        <v/>
      </c>
      <c r="I63" s="61">
        <f>IF(ISNUMBER('Übung 07'!R$8),1,0)</f>
        <v/>
      </c>
      <c r="J63" s="61">
        <f>IF(ISNUMBER('Übung 08'!R$8),1,0)</f>
        <v/>
      </c>
      <c r="K63" s="61">
        <f>IF(ISNUMBER('Übung 09'!R$8),1,0)</f>
        <v/>
      </c>
      <c r="L63" s="61">
        <f>IF(ISNUMBER('Übung 10'!R$8),1,0)</f>
        <v/>
      </c>
      <c r="M63" s="61">
        <f>IF(ISNUMBER('Übung 11'!R$8),1,0)</f>
        <v/>
      </c>
      <c r="N63" s="61">
        <f>IF(ISNUMBER('Übung 12'!R$8),1,0)</f>
        <v/>
      </c>
      <c r="O63" s="61">
        <f>IF(ISNUMBER('Übung 13'!R$8),1,0)</f>
        <v/>
      </c>
      <c r="P63" s="61">
        <f>IF(ISNUMBER('Übung 14'!R$8),1,0)</f>
        <v/>
      </c>
      <c r="Q63" s="61">
        <f>IF(ISNUMBER('Übung 15'!R$8),1,0)</f>
        <v/>
      </c>
      <c r="R63" s="61">
        <f>IF(ISNUMBER('Übung 16'!R$8),1,0)</f>
        <v/>
      </c>
      <c r="S63" s="61">
        <f>IF(ISNUMBER('Übung 17'!R$8),1,0)</f>
        <v/>
      </c>
      <c r="T63" s="61">
        <f>IF(ISNUMBER('Übung 18'!R$8),1,0)</f>
        <v/>
      </c>
      <c r="U63" s="61">
        <f>IF(ISNUMBER('Übung 19'!R$8),1,0)</f>
        <v/>
      </c>
      <c r="V63" s="61">
        <f>IF(ISNUMBER('Übung 20'!R$8),1,0)</f>
        <v/>
      </c>
    </row>
    <row r="64">
      <c r="C64" s="61">
        <f>IF(ISNUMBER('Übung 01'!S$8),1,0)</f>
        <v/>
      </c>
      <c r="D64" s="61">
        <f>IF(ISNUMBER('Übung 02'!S$8),1,0)</f>
        <v/>
      </c>
      <c r="E64" s="61">
        <f>IF(ISNUMBER('Übung 03'!S$8),1,0)</f>
        <v/>
      </c>
      <c r="F64" s="61">
        <f>IF(ISNUMBER('Übung 04'!S$8),1,0)</f>
        <v/>
      </c>
      <c r="G64" s="61">
        <f>IF(ISNUMBER('Übung 05'!S$8),1,0)</f>
        <v/>
      </c>
      <c r="H64" s="61">
        <f>IF(ISNUMBER('Übung 06'!S$8),1,0)</f>
        <v/>
      </c>
      <c r="I64" s="61">
        <f>IF(ISNUMBER('Übung 07'!S$8),1,0)</f>
        <v/>
      </c>
      <c r="J64" s="61">
        <f>IF(ISNUMBER('Übung 08'!S$8),1,0)</f>
        <v/>
      </c>
      <c r="K64" s="61">
        <f>IF(ISNUMBER('Übung 09'!S$8),1,0)</f>
        <v/>
      </c>
      <c r="L64" s="61">
        <f>IF(ISNUMBER('Übung 10'!S$8),1,0)</f>
        <v/>
      </c>
      <c r="M64" s="61">
        <f>IF(ISNUMBER('Übung 11'!S$8),1,0)</f>
        <v/>
      </c>
      <c r="N64" s="61">
        <f>IF(ISNUMBER('Übung 12'!S$8),1,0)</f>
        <v/>
      </c>
      <c r="O64" s="61">
        <f>IF(ISNUMBER('Übung 13'!S$8),1,0)</f>
        <v/>
      </c>
      <c r="P64" s="61">
        <f>IF(ISNUMBER('Übung 14'!S$8),1,0)</f>
        <v/>
      </c>
      <c r="Q64" s="61">
        <f>IF(ISNUMBER('Übung 15'!S$8),1,0)</f>
        <v/>
      </c>
      <c r="R64" s="61">
        <f>IF(ISNUMBER('Übung 16'!S$8),1,0)</f>
        <v/>
      </c>
      <c r="S64" s="61">
        <f>IF(ISNUMBER('Übung 17'!S$8),1,0)</f>
        <v/>
      </c>
      <c r="T64" s="61">
        <f>IF(ISNUMBER('Übung 18'!S$8),1,0)</f>
        <v/>
      </c>
      <c r="U64" s="61">
        <f>IF(ISNUMBER('Übung 19'!S$8),1,0)</f>
        <v/>
      </c>
      <c r="V64" s="61">
        <f>IF(ISNUMBER('Übung 20'!S$8),1,0)</f>
        <v/>
      </c>
    </row>
    <row r="65">
      <c r="C65" s="61">
        <f>IF(ISNUMBER('Übung 01'!T$8),1,0)</f>
        <v/>
      </c>
      <c r="D65" s="61">
        <f>IF(ISNUMBER('Übung 02'!T$8),1,0)</f>
        <v/>
      </c>
      <c r="E65" s="61">
        <f>IF(ISNUMBER('Übung 03'!T$8),1,0)</f>
        <v/>
      </c>
      <c r="F65" s="61">
        <f>IF(ISNUMBER('Übung 04'!T$8),1,0)</f>
        <v/>
      </c>
      <c r="G65" s="61">
        <f>IF(ISNUMBER('Übung 05'!T$8),1,0)</f>
        <v/>
      </c>
      <c r="H65" s="61">
        <f>IF(ISNUMBER('Übung 06'!T$8),1,0)</f>
        <v/>
      </c>
      <c r="I65" s="61">
        <f>IF(ISNUMBER('Übung 07'!T$8),1,0)</f>
        <v/>
      </c>
      <c r="J65" s="61">
        <f>IF(ISNUMBER('Übung 08'!T$8),1,0)</f>
        <v/>
      </c>
      <c r="K65" s="61">
        <f>IF(ISNUMBER('Übung 09'!T$8),1,0)</f>
        <v/>
      </c>
      <c r="L65" s="61">
        <f>IF(ISNUMBER('Übung 10'!T$8),1,0)</f>
        <v/>
      </c>
      <c r="M65" s="61">
        <f>IF(ISNUMBER('Übung 11'!T$8),1,0)</f>
        <v/>
      </c>
      <c r="N65" s="61">
        <f>IF(ISNUMBER('Übung 12'!T$8),1,0)</f>
        <v/>
      </c>
      <c r="O65" s="61">
        <f>IF(ISNUMBER('Übung 13'!T$8),1,0)</f>
        <v/>
      </c>
      <c r="P65" s="61">
        <f>IF(ISNUMBER('Übung 14'!T$8),1,0)</f>
        <v/>
      </c>
      <c r="Q65" s="61">
        <f>IF(ISNUMBER('Übung 15'!T$8),1,0)</f>
        <v/>
      </c>
      <c r="R65" s="61">
        <f>IF(ISNUMBER('Übung 16'!T$8),1,0)</f>
        <v/>
      </c>
      <c r="S65" s="61">
        <f>IF(ISNUMBER('Übung 17'!T$8),1,0)</f>
        <v/>
      </c>
      <c r="T65" s="61">
        <f>IF(ISNUMBER('Übung 18'!T$8),1,0)</f>
        <v/>
      </c>
      <c r="U65" s="61">
        <f>IF(ISNUMBER('Übung 19'!T$8),1,0)</f>
        <v/>
      </c>
      <c r="V65" s="61">
        <f>IF(ISNUMBER('Übung 20'!T$8),1,0)</f>
        <v/>
      </c>
    </row>
    <row r="66">
      <c r="C66" s="61">
        <f>IF(ISNUMBER('Übung 01'!U$8),1,0)</f>
        <v/>
      </c>
      <c r="D66" s="61">
        <f>IF(ISNUMBER('Übung 02'!U$8),1,0)</f>
        <v/>
      </c>
      <c r="E66" s="61">
        <f>IF(ISNUMBER('Übung 03'!U$8),1,0)</f>
        <v/>
      </c>
      <c r="F66" s="61">
        <f>IF(ISNUMBER('Übung 04'!U$8),1,0)</f>
        <v/>
      </c>
      <c r="G66" s="61">
        <f>IF(ISNUMBER('Übung 05'!U$8),1,0)</f>
        <v/>
      </c>
      <c r="H66" s="61">
        <f>IF(ISNUMBER('Übung 06'!U$8),1,0)</f>
        <v/>
      </c>
      <c r="I66" s="61">
        <f>IF(ISNUMBER('Übung 07'!U$8),1,0)</f>
        <v/>
      </c>
      <c r="J66" s="61">
        <f>IF(ISNUMBER('Übung 08'!U$8),1,0)</f>
        <v/>
      </c>
      <c r="K66" s="61">
        <f>IF(ISNUMBER('Übung 09'!U$8),1,0)</f>
        <v/>
      </c>
      <c r="L66" s="61">
        <f>IF(ISNUMBER('Übung 10'!U$8),1,0)</f>
        <v/>
      </c>
      <c r="M66" s="61">
        <f>IF(ISNUMBER('Übung 11'!U$8),1,0)</f>
        <v/>
      </c>
      <c r="N66" s="61">
        <f>IF(ISNUMBER('Übung 12'!U$8),1,0)</f>
        <v/>
      </c>
      <c r="O66" s="61">
        <f>IF(ISNUMBER('Übung 13'!U$8),1,0)</f>
        <v/>
      </c>
      <c r="P66" s="61">
        <f>IF(ISNUMBER('Übung 14'!U$8),1,0)</f>
        <v/>
      </c>
      <c r="Q66" s="61">
        <f>IF(ISNUMBER('Übung 15'!U$8),1,0)</f>
        <v/>
      </c>
      <c r="R66" s="61">
        <f>IF(ISNUMBER('Übung 16'!U$8),1,0)</f>
        <v/>
      </c>
      <c r="S66" s="61">
        <f>IF(ISNUMBER('Übung 17'!U$8),1,0)</f>
        <v/>
      </c>
      <c r="T66" s="61">
        <f>IF(ISNUMBER('Übung 18'!U$8),1,0)</f>
        <v/>
      </c>
      <c r="U66" s="61">
        <f>IF(ISNUMBER('Übung 19'!U$8),1,0)</f>
        <v/>
      </c>
      <c r="V66" s="61">
        <f>IF(ISNUMBER('Übung 20'!U$8),1,0)</f>
        <v/>
      </c>
    </row>
    <row r="67">
      <c r="C67" s="61">
        <f>IF(ISNUMBER('Übung 01'!V$8),1,0)</f>
        <v/>
      </c>
      <c r="D67" s="61">
        <f>IF(ISNUMBER('Übung 02'!V$8),1,0)</f>
        <v/>
      </c>
      <c r="E67" s="61">
        <f>IF(ISNUMBER('Übung 03'!V$8),1,0)</f>
        <v/>
      </c>
      <c r="F67" s="61">
        <f>IF(ISNUMBER('Übung 04'!V$8),1,0)</f>
        <v/>
      </c>
      <c r="G67" s="61">
        <f>IF(ISNUMBER('Übung 05'!V$8),1,0)</f>
        <v/>
      </c>
      <c r="H67" s="61">
        <f>IF(ISNUMBER('Übung 06'!V$8),1,0)</f>
        <v/>
      </c>
      <c r="I67" s="61">
        <f>IF(ISNUMBER('Übung 07'!V$8),1,0)</f>
        <v/>
      </c>
      <c r="J67" s="61">
        <f>IF(ISNUMBER('Übung 08'!V$8),1,0)</f>
        <v/>
      </c>
      <c r="K67" s="61">
        <f>IF(ISNUMBER('Übung 09'!V$8),1,0)</f>
        <v/>
      </c>
      <c r="L67" s="61">
        <f>IF(ISNUMBER('Übung 10'!V$8),1,0)</f>
        <v/>
      </c>
      <c r="M67" s="61">
        <f>IF(ISNUMBER('Übung 11'!V$8),1,0)</f>
        <v/>
      </c>
      <c r="N67" s="61">
        <f>IF(ISNUMBER('Übung 12'!V$8),1,0)</f>
        <v/>
      </c>
      <c r="O67" s="61">
        <f>IF(ISNUMBER('Übung 13'!V$8),1,0)</f>
        <v/>
      </c>
      <c r="P67" s="61">
        <f>IF(ISNUMBER('Übung 14'!V$8),1,0)</f>
        <v/>
      </c>
      <c r="Q67" s="61">
        <f>IF(ISNUMBER('Übung 15'!V$8),1,0)</f>
        <v/>
      </c>
      <c r="R67" s="61">
        <f>IF(ISNUMBER('Übung 16'!V$8),1,0)</f>
        <v/>
      </c>
      <c r="S67" s="61">
        <f>IF(ISNUMBER('Übung 17'!V$8),1,0)</f>
        <v/>
      </c>
      <c r="T67" s="61">
        <f>IF(ISNUMBER('Übung 18'!V$8),1,0)</f>
        <v/>
      </c>
      <c r="U67" s="61">
        <f>IF(ISNUMBER('Übung 19'!V$8),1,0)</f>
        <v/>
      </c>
      <c r="V67" s="61">
        <f>IF(ISNUMBER('Übung 20'!V$8),1,0)</f>
        <v/>
      </c>
    </row>
    <row r="68">
      <c r="C68" s="61">
        <f>IF(ISNUMBER('Übung 01'!W$8),1,0)</f>
        <v/>
      </c>
      <c r="D68" s="61">
        <f>IF(ISNUMBER('Übung 02'!W$8),1,0)</f>
        <v/>
      </c>
      <c r="E68" s="61">
        <f>IF(ISNUMBER('Übung 03'!W$8),1,0)</f>
        <v/>
      </c>
      <c r="F68" s="61">
        <f>IF(ISNUMBER('Übung 04'!W$8),1,0)</f>
        <v/>
      </c>
      <c r="G68" s="61">
        <f>IF(ISNUMBER('Übung 05'!W$8),1,0)</f>
        <v/>
      </c>
      <c r="H68" s="61">
        <f>IF(ISNUMBER('Übung 06'!W$8),1,0)</f>
        <v/>
      </c>
      <c r="I68" s="61">
        <f>IF(ISNUMBER('Übung 07'!W$8),1,0)</f>
        <v/>
      </c>
      <c r="J68" s="61">
        <f>IF(ISNUMBER('Übung 08'!W$8),1,0)</f>
        <v/>
      </c>
      <c r="K68" s="61">
        <f>IF(ISNUMBER('Übung 09'!W$8),1,0)</f>
        <v/>
      </c>
      <c r="L68" s="61">
        <f>IF(ISNUMBER('Übung 10'!W$8),1,0)</f>
        <v/>
      </c>
      <c r="M68" s="61">
        <f>IF(ISNUMBER('Übung 11'!W$8),1,0)</f>
        <v/>
      </c>
      <c r="N68" s="61">
        <f>IF(ISNUMBER('Übung 12'!W$8),1,0)</f>
        <v/>
      </c>
      <c r="O68" s="61">
        <f>IF(ISNUMBER('Übung 13'!W$8),1,0)</f>
        <v/>
      </c>
      <c r="P68" s="61">
        <f>IF(ISNUMBER('Übung 14'!W$8),1,0)</f>
        <v/>
      </c>
      <c r="Q68" s="61">
        <f>IF(ISNUMBER('Übung 15'!W$8),1,0)</f>
        <v/>
      </c>
      <c r="R68" s="61">
        <f>IF(ISNUMBER('Übung 16'!W$8),1,0)</f>
        <v/>
      </c>
      <c r="S68" s="61">
        <f>IF(ISNUMBER('Übung 17'!W$8),1,0)</f>
        <v/>
      </c>
      <c r="T68" s="61">
        <f>IF(ISNUMBER('Übung 18'!W$8),1,0)</f>
        <v/>
      </c>
      <c r="U68" s="61">
        <f>IF(ISNUMBER('Übung 19'!W$8),1,0)</f>
        <v/>
      </c>
      <c r="V68" s="61">
        <f>IF(ISNUMBER('Übung 20'!W$8),1,0)</f>
        <v/>
      </c>
    </row>
    <row r="69">
      <c r="C69" s="61">
        <f>IF(ISNUMBER('Übung 01'!X$8),1,0)</f>
        <v/>
      </c>
      <c r="D69" s="61">
        <f>IF(ISNUMBER('Übung 02'!X$8),1,0)</f>
        <v/>
      </c>
      <c r="E69" s="61">
        <f>IF(ISNUMBER('Übung 03'!X$8),1,0)</f>
        <v/>
      </c>
      <c r="F69" s="61">
        <f>IF(ISNUMBER('Übung 04'!X$8),1,0)</f>
        <v/>
      </c>
      <c r="G69" s="61">
        <f>IF(ISNUMBER('Übung 05'!X$8),1,0)</f>
        <v/>
      </c>
      <c r="H69" s="61">
        <f>IF(ISNUMBER('Übung 06'!X$8),1,0)</f>
        <v/>
      </c>
      <c r="I69" s="61">
        <f>IF(ISNUMBER('Übung 07'!X$8),1,0)</f>
        <v/>
      </c>
      <c r="J69" s="61">
        <f>IF(ISNUMBER('Übung 08'!X$8),1,0)</f>
        <v/>
      </c>
      <c r="K69" s="61">
        <f>IF(ISNUMBER('Übung 09'!X$8),1,0)</f>
        <v/>
      </c>
      <c r="L69" s="61">
        <f>IF(ISNUMBER('Übung 10'!X$8),1,0)</f>
        <v/>
      </c>
      <c r="M69" s="61">
        <f>IF(ISNUMBER('Übung 11'!X$8),1,0)</f>
        <v/>
      </c>
      <c r="N69" s="61">
        <f>IF(ISNUMBER('Übung 12'!X$8),1,0)</f>
        <v/>
      </c>
      <c r="O69" s="61">
        <f>IF(ISNUMBER('Übung 13'!X$8),1,0)</f>
        <v/>
      </c>
      <c r="P69" s="61">
        <f>IF(ISNUMBER('Übung 14'!X$8),1,0)</f>
        <v/>
      </c>
      <c r="Q69" s="61">
        <f>IF(ISNUMBER('Übung 15'!X$8),1,0)</f>
        <v/>
      </c>
      <c r="R69" s="61">
        <f>IF(ISNUMBER('Übung 16'!X$8),1,0)</f>
        <v/>
      </c>
      <c r="S69" s="61">
        <f>IF(ISNUMBER('Übung 17'!X$8),1,0)</f>
        <v/>
      </c>
      <c r="T69" s="61">
        <f>IF(ISNUMBER('Übung 18'!X$8),1,0)</f>
        <v/>
      </c>
      <c r="U69" s="61">
        <f>IF(ISNUMBER('Übung 19'!X$8),1,0)</f>
        <v/>
      </c>
      <c r="V69" s="61">
        <f>IF(ISNUMBER('Übung 20'!X$8),1,0)</f>
        <v/>
      </c>
    </row>
    <row r="70">
      <c r="C70" s="61">
        <f>IF(ISNUMBER('Übung 01'!Y$8),1,0)</f>
        <v/>
      </c>
      <c r="D70" s="61">
        <f>IF(ISNUMBER('Übung 02'!Y$8),1,0)</f>
        <v/>
      </c>
      <c r="E70" s="61">
        <f>IF(ISNUMBER('Übung 03'!Y$8),1,0)</f>
        <v/>
      </c>
      <c r="F70" s="61">
        <f>IF(ISNUMBER('Übung 04'!Y$8),1,0)</f>
        <v/>
      </c>
      <c r="G70" s="61">
        <f>IF(ISNUMBER('Übung 05'!Y$8),1,0)</f>
        <v/>
      </c>
      <c r="H70" s="61">
        <f>IF(ISNUMBER('Übung 06'!Y$8),1,0)</f>
        <v/>
      </c>
      <c r="I70" s="61">
        <f>IF(ISNUMBER('Übung 07'!Y$8),1,0)</f>
        <v/>
      </c>
      <c r="J70" s="61">
        <f>IF(ISNUMBER('Übung 08'!Y$8),1,0)</f>
        <v/>
      </c>
      <c r="K70" s="61">
        <f>IF(ISNUMBER('Übung 09'!Y$8),1,0)</f>
        <v/>
      </c>
      <c r="L70" s="61">
        <f>IF(ISNUMBER('Übung 10'!Y$8),1,0)</f>
        <v/>
      </c>
      <c r="M70" s="61">
        <f>IF(ISNUMBER('Übung 11'!Y$8),1,0)</f>
        <v/>
      </c>
      <c r="N70" s="61">
        <f>IF(ISNUMBER('Übung 12'!Y$8),1,0)</f>
        <v/>
      </c>
      <c r="O70" s="61">
        <f>IF(ISNUMBER('Übung 13'!Y$8),1,0)</f>
        <v/>
      </c>
      <c r="P70" s="61">
        <f>IF(ISNUMBER('Übung 14'!Y$8),1,0)</f>
        <v/>
      </c>
      <c r="Q70" s="61">
        <f>IF(ISNUMBER('Übung 15'!Y$8),1,0)</f>
        <v/>
      </c>
      <c r="R70" s="61">
        <f>IF(ISNUMBER('Übung 16'!Y$8),1,0)</f>
        <v/>
      </c>
      <c r="S70" s="61">
        <f>IF(ISNUMBER('Übung 17'!Y$8),1,0)</f>
        <v/>
      </c>
      <c r="T70" s="61">
        <f>IF(ISNUMBER('Übung 18'!Y$8),1,0)</f>
        <v/>
      </c>
      <c r="U70" s="61">
        <f>IF(ISNUMBER('Übung 19'!Y$8),1,0)</f>
        <v/>
      </c>
      <c r="V70" s="61">
        <f>IF(ISNUMBER('Übung 20'!Y$8),1,0)</f>
        <v/>
      </c>
    </row>
    <row r="71">
      <c r="C71" s="61">
        <f>IF(ISNUMBER('Übung 01'!Z$8),1,0)</f>
        <v/>
      </c>
      <c r="D71" s="61">
        <f>IF(ISNUMBER('Übung 02'!Z$8),1,0)</f>
        <v/>
      </c>
      <c r="E71" s="61">
        <f>IF(ISNUMBER('Übung 03'!Z$8),1,0)</f>
        <v/>
      </c>
      <c r="F71" s="61">
        <f>IF(ISNUMBER('Übung 04'!Z$8),1,0)</f>
        <v/>
      </c>
      <c r="G71" s="61">
        <f>IF(ISNUMBER('Übung 05'!Z$8),1,0)</f>
        <v/>
      </c>
      <c r="H71" s="61">
        <f>IF(ISNUMBER('Übung 06'!Z$8),1,0)</f>
        <v/>
      </c>
      <c r="I71" s="61">
        <f>IF(ISNUMBER('Übung 07'!Z$8),1,0)</f>
        <v/>
      </c>
      <c r="J71" s="61">
        <f>IF(ISNUMBER('Übung 08'!Z$8),1,0)</f>
        <v/>
      </c>
      <c r="K71" s="61">
        <f>IF(ISNUMBER('Übung 09'!Z$8),1,0)</f>
        <v/>
      </c>
      <c r="L71" s="61">
        <f>IF(ISNUMBER('Übung 10'!Z$8),1,0)</f>
        <v/>
      </c>
      <c r="M71" s="61">
        <f>IF(ISNUMBER('Übung 11'!Z$8),1,0)</f>
        <v/>
      </c>
      <c r="N71" s="61">
        <f>IF(ISNUMBER('Übung 12'!Z$8),1,0)</f>
        <v/>
      </c>
      <c r="O71" s="61">
        <f>IF(ISNUMBER('Übung 13'!Z$8),1,0)</f>
        <v/>
      </c>
      <c r="P71" s="61">
        <f>IF(ISNUMBER('Übung 14'!Z$8),1,0)</f>
        <v/>
      </c>
      <c r="Q71" s="61">
        <f>IF(ISNUMBER('Übung 15'!Z$8),1,0)</f>
        <v/>
      </c>
      <c r="R71" s="61">
        <f>IF(ISNUMBER('Übung 16'!Z$8),1,0)</f>
        <v/>
      </c>
      <c r="S71" s="61">
        <f>IF(ISNUMBER('Übung 17'!Z$8),1,0)</f>
        <v/>
      </c>
      <c r="T71" s="61">
        <f>IF(ISNUMBER('Übung 18'!Z$8),1,0)</f>
        <v/>
      </c>
      <c r="U71" s="61">
        <f>IF(ISNUMBER('Übung 19'!Z$8),1,0)</f>
        <v/>
      </c>
      <c r="V71" s="61">
        <f>IF(ISNUMBER('Übung 20'!Z$8),1,0)</f>
        <v/>
      </c>
    </row>
    <row r="72">
      <c r="C72" s="61">
        <f>IF(ISNUMBER('Übung 01'!AA$8),1,0)</f>
        <v/>
      </c>
      <c r="D72" s="61">
        <f>IF(ISNUMBER('Übung 02'!AA$8),1,0)</f>
        <v/>
      </c>
      <c r="E72" s="61">
        <f>IF(ISNUMBER('Übung 03'!AA$8),1,0)</f>
        <v/>
      </c>
      <c r="F72" s="61">
        <f>IF(ISNUMBER('Übung 04'!AA$8),1,0)</f>
        <v/>
      </c>
      <c r="G72" s="61">
        <f>IF(ISNUMBER('Übung 05'!AA$8),1,0)</f>
        <v/>
      </c>
      <c r="H72" s="61">
        <f>IF(ISNUMBER('Übung 06'!AA$8),1,0)</f>
        <v/>
      </c>
      <c r="I72" s="61">
        <f>IF(ISNUMBER('Übung 07'!AA$8),1,0)</f>
        <v/>
      </c>
      <c r="J72" s="61">
        <f>IF(ISNUMBER('Übung 08'!AA$8),1,0)</f>
        <v/>
      </c>
      <c r="K72" s="61">
        <f>IF(ISNUMBER('Übung 09'!AA$8),1,0)</f>
        <v/>
      </c>
      <c r="L72" s="61">
        <f>IF(ISNUMBER('Übung 10'!AA$8),1,0)</f>
        <v/>
      </c>
      <c r="M72" s="61">
        <f>IF(ISNUMBER('Übung 11'!AA$8),1,0)</f>
        <v/>
      </c>
      <c r="N72" s="61">
        <f>IF(ISNUMBER('Übung 12'!AA$8),1,0)</f>
        <v/>
      </c>
      <c r="O72" s="61">
        <f>IF(ISNUMBER('Übung 13'!AA$8),1,0)</f>
        <v/>
      </c>
      <c r="P72" s="61">
        <f>IF(ISNUMBER('Übung 14'!AA$8),1,0)</f>
        <v/>
      </c>
      <c r="Q72" s="61">
        <f>IF(ISNUMBER('Übung 15'!AA$8),1,0)</f>
        <v/>
      </c>
      <c r="R72" s="61">
        <f>IF(ISNUMBER('Übung 16'!AA$8),1,0)</f>
        <v/>
      </c>
      <c r="S72" s="61">
        <f>IF(ISNUMBER('Übung 17'!AA$8),1,0)</f>
        <v/>
      </c>
      <c r="T72" s="61">
        <f>IF(ISNUMBER('Übung 18'!AA$8),1,0)</f>
        <v/>
      </c>
      <c r="U72" s="61">
        <f>IF(ISNUMBER('Übung 19'!AA$8),1,0)</f>
        <v/>
      </c>
      <c r="V72" s="61">
        <f>IF(ISNUMBER('Übung 20'!AA$8),1,0)</f>
        <v/>
      </c>
    </row>
    <row r="73">
      <c r="C73" s="61">
        <f>IF(ISNUMBER('Übung 01'!AB$8),1,0)</f>
        <v/>
      </c>
      <c r="D73" s="61">
        <f>IF(ISNUMBER('Übung 02'!AB$8),1,0)</f>
        <v/>
      </c>
      <c r="E73" s="61">
        <f>IF(ISNUMBER('Übung 03'!AB$8),1,0)</f>
        <v/>
      </c>
      <c r="F73" s="61">
        <f>IF(ISNUMBER('Übung 04'!AB$8),1,0)</f>
        <v/>
      </c>
      <c r="G73" s="61">
        <f>IF(ISNUMBER('Übung 05'!AB$8),1,0)</f>
        <v/>
      </c>
      <c r="H73" s="61">
        <f>IF(ISNUMBER('Übung 06'!AB$8),1,0)</f>
        <v/>
      </c>
      <c r="I73" s="61">
        <f>IF(ISNUMBER('Übung 07'!AB$8),1,0)</f>
        <v/>
      </c>
      <c r="J73" s="61">
        <f>IF(ISNUMBER('Übung 08'!AB$8),1,0)</f>
        <v/>
      </c>
      <c r="K73" s="61">
        <f>IF(ISNUMBER('Übung 09'!AB$8),1,0)</f>
        <v/>
      </c>
      <c r="L73" s="61">
        <f>IF(ISNUMBER('Übung 10'!AB$8),1,0)</f>
        <v/>
      </c>
      <c r="M73" s="61">
        <f>IF(ISNUMBER('Übung 11'!AB$8),1,0)</f>
        <v/>
      </c>
      <c r="N73" s="61">
        <f>IF(ISNUMBER('Übung 12'!AB$8),1,0)</f>
        <v/>
      </c>
      <c r="O73" s="61">
        <f>IF(ISNUMBER('Übung 13'!AB$8),1,0)</f>
        <v/>
      </c>
      <c r="P73" s="61">
        <f>IF(ISNUMBER('Übung 14'!AB$8),1,0)</f>
        <v/>
      </c>
      <c r="Q73" s="61">
        <f>IF(ISNUMBER('Übung 15'!AB$8),1,0)</f>
        <v/>
      </c>
      <c r="R73" s="61">
        <f>IF(ISNUMBER('Übung 16'!AB$8),1,0)</f>
        <v/>
      </c>
      <c r="S73" s="61">
        <f>IF(ISNUMBER('Übung 17'!AB$8),1,0)</f>
        <v/>
      </c>
      <c r="T73" s="61">
        <f>IF(ISNUMBER('Übung 18'!AB$8),1,0)</f>
        <v/>
      </c>
      <c r="U73" s="61">
        <f>IF(ISNUMBER('Übung 19'!AB$8),1,0)</f>
        <v/>
      </c>
      <c r="V73" s="61">
        <f>IF(ISNUMBER('Übung 20'!AB$8),1,0)</f>
        <v/>
      </c>
    </row>
    <row r="74">
      <c r="C74" s="61">
        <f>IF(ISNUMBER('Übung 01'!AC$8),1,0)</f>
        <v/>
      </c>
      <c r="D74" s="61">
        <f>IF(ISNUMBER('Übung 02'!AC$8),1,0)</f>
        <v/>
      </c>
      <c r="E74" s="61">
        <f>IF(ISNUMBER('Übung 03'!AC$8),1,0)</f>
        <v/>
      </c>
      <c r="F74" s="61">
        <f>IF(ISNUMBER('Übung 04'!AC$8),1,0)</f>
        <v/>
      </c>
      <c r="G74" s="61">
        <f>IF(ISNUMBER('Übung 05'!AC$8),1,0)</f>
        <v/>
      </c>
      <c r="H74" s="61">
        <f>IF(ISNUMBER('Übung 06'!AC$8),1,0)</f>
        <v/>
      </c>
      <c r="I74" s="61">
        <f>IF(ISNUMBER('Übung 07'!AC$8),1,0)</f>
        <v/>
      </c>
      <c r="J74" s="61">
        <f>IF(ISNUMBER('Übung 08'!AC$8),1,0)</f>
        <v/>
      </c>
      <c r="K74" s="61">
        <f>IF(ISNUMBER('Übung 09'!AC$8),1,0)</f>
        <v/>
      </c>
      <c r="L74" s="61">
        <f>IF(ISNUMBER('Übung 10'!AC$8),1,0)</f>
        <v/>
      </c>
      <c r="M74" s="61">
        <f>IF(ISNUMBER('Übung 11'!AC$8),1,0)</f>
        <v/>
      </c>
      <c r="N74" s="61">
        <f>IF(ISNUMBER('Übung 12'!AC$8),1,0)</f>
        <v/>
      </c>
      <c r="O74" s="61">
        <f>IF(ISNUMBER('Übung 13'!AC$8),1,0)</f>
        <v/>
      </c>
      <c r="P74" s="61">
        <f>IF(ISNUMBER('Übung 14'!AC$8),1,0)</f>
        <v/>
      </c>
      <c r="Q74" s="61">
        <f>IF(ISNUMBER('Übung 15'!AC$8),1,0)</f>
        <v/>
      </c>
      <c r="R74" s="61">
        <f>IF(ISNUMBER('Übung 16'!AC$8),1,0)</f>
        <v/>
      </c>
      <c r="S74" s="61">
        <f>IF(ISNUMBER('Übung 17'!AC$8),1,0)</f>
        <v/>
      </c>
      <c r="T74" s="61">
        <f>IF(ISNUMBER('Übung 18'!AC$8),1,0)</f>
        <v/>
      </c>
      <c r="U74" s="61">
        <f>IF(ISNUMBER('Übung 19'!AC$8),1,0)</f>
        <v/>
      </c>
      <c r="V74" s="61">
        <f>IF(ISNUMBER('Übung 20'!AC$8),1,0)</f>
        <v/>
      </c>
    </row>
    <row r="79">
      <c r="A79" s="162" t="inlineStr">
        <is>
          <t>Halbjahr</t>
        </is>
      </c>
    </row>
    <row r="80">
      <c r="C80" s="61">
        <f>IF(ISNUMBER('Übung 01'!E$39),'Übung 01'!E$39,0)</f>
        <v/>
      </c>
      <c r="D80" s="61">
        <f>IF(ISNUMBER('Übung 02'!E$39),'Übung 02'!E$39,0)</f>
        <v/>
      </c>
      <c r="E80" s="61">
        <f>IF(ISNUMBER('Übung 03'!E$39),'Übung 03'!E$39,0)</f>
        <v/>
      </c>
      <c r="F80" s="61">
        <f>IF(ISNUMBER('Übung 04'!E$39),'Übung 04'!E$39,0)</f>
        <v/>
      </c>
      <c r="G80" s="61">
        <f>IF(ISNUMBER('Übung 05'!E$39),'Übung 05'!E$39,0)</f>
        <v/>
      </c>
      <c r="H80" s="61">
        <f>IF(ISNUMBER('Übung 06'!E$39),'Übung 06'!E$39,0)</f>
        <v/>
      </c>
      <c r="I80" s="61">
        <f>IF(ISNUMBER('Übung 07'!E$39),'Übung 07'!E$39,0)</f>
        <v/>
      </c>
      <c r="J80" s="61">
        <f>IF(ISNUMBER('Übung 08'!E$39),'Übung 08'!E$39,0)</f>
        <v/>
      </c>
      <c r="K80" s="61">
        <f>IF(ISNUMBER('Übung 09'!E$39),'Übung 09'!E$39,0)</f>
        <v/>
      </c>
      <c r="L80" s="61">
        <f>IF(ISNUMBER('Übung 10'!E$39),'Übung 10'!E$39,0)</f>
        <v/>
      </c>
      <c r="M80" s="61">
        <f>IF(ISNUMBER('Übung 11'!E$39),'Übung 11'!E$39,0)</f>
        <v/>
      </c>
      <c r="N80" s="61">
        <f>IF(ISNUMBER('Übung 12'!E$39),'Übung 12'!E$39,0)</f>
        <v/>
      </c>
      <c r="O80" s="61">
        <f>IF(ISNUMBER('Übung 13'!E$39),'Übung 13'!E$39,0)</f>
        <v/>
      </c>
      <c r="P80" s="61">
        <f>IF(ISNUMBER('Übung 14'!E$39),'Übung 14'!E$39,0)</f>
        <v/>
      </c>
      <c r="Q80" s="61">
        <f>IF(ISNUMBER('Übung 15'!E$39),'Übung 15'!E$39,0)</f>
        <v/>
      </c>
      <c r="R80" s="61">
        <f>IF(ISNUMBER('Übung 16'!E$39),'Übung 16'!E$39,0)</f>
        <v/>
      </c>
      <c r="S80" s="61">
        <f>IF(ISNUMBER('Übung 17'!E$39),'Übung 17'!E$39,0)</f>
        <v/>
      </c>
      <c r="T80" s="61">
        <f>IF(ISNUMBER('Übung 18'!E$39),'Übung 18'!E$39,0)</f>
        <v/>
      </c>
      <c r="U80" s="61">
        <f>IF(ISNUMBER('Übung 19'!E$39),'Übung 19'!E$39,0)</f>
        <v/>
      </c>
      <c r="V80" s="61">
        <f>IF(ISNUMBER('Übung 20'!E$39),'Übung 20'!E$39,0)</f>
        <v/>
      </c>
    </row>
    <row r="81">
      <c r="C81" s="61">
        <f>IF(ISNUMBER('Übung 01'!F$39),'Übung 01'!F$39,0)</f>
        <v/>
      </c>
      <c r="D81" s="61">
        <f>IF(ISNUMBER('Übung 02'!F$39),'Übung 02'!F$39,0)</f>
        <v/>
      </c>
      <c r="E81" s="61">
        <f>IF(ISNUMBER('Übung 03'!F$39),'Übung 03'!F$39,0)</f>
        <v/>
      </c>
      <c r="F81" s="61">
        <f>IF(ISNUMBER('Übung 04'!F$39),'Übung 04'!F$39,0)</f>
        <v/>
      </c>
      <c r="G81" s="61">
        <f>IF(ISNUMBER('Übung 05'!F$39),'Übung 05'!F$39,0)</f>
        <v/>
      </c>
      <c r="H81" s="61">
        <f>IF(ISNUMBER('Übung 06'!F$39),'Übung 06'!F$39,0)</f>
        <v/>
      </c>
      <c r="I81" s="61">
        <f>IF(ISNUMBER('Übung 07'!F$39),'Übung 07'!F$39,0)</f>
        <v/>
      </c>
      <c r="J81" s="61">
        <f>IF(ISNUMBER('Übung 08'!F$39),'Übung 08'!F$39,0)</f>
        <v/>
      </c>
      <c r="K81" s="61">
        <f>IF(ISNUMBER('Übung 09'!F$39),'Übung 09'!F$39,0)</f>
        <v/>
      </c>
      <c r="L81" s="61">
        <f>IF(ISNUMBER('Übung 10'!F$39),'Übung 10'!F$39,0)</f>
        <v/>
      </c>
      <c r="M81" s="61">
        <f>IF(ISNUMBER('Übung 11'!F$39),'Übung 11'!F$39,0)</f>
        <v/>
      </c>
      <c r="N81" s="61">
        <f>IF(ISNUMBER('Übung 12'!F$39),'Übung 12'!F$39,0)</f>
        <v/>
      </c>
      <c r="O81" s="61">
        <f>IF(ISNUMBER('Übung 13'!F$39),'Übung 13'!F$39,0)</f>
        <v/>
      </c>
      <c r="P81" s="61">
        <f>IF(ISNUMBER('Übung 14'!F$39),'Übung 14'!F$39,0)</f>
        <v/>
      </c>
      <c r="Q81" s="61">
        <f>IF(ISNUMBER('Übung 15'!F$39),'Übung 15'!F$39,0)</f>
        <v/>
      </c>
      <c r="R81" s="61">
        <f>IF(ISNUMBER('Übung 16'!F$39),'Übung 16'!F$39,0)</f>
        <v/>
      </c>
      <c r="S81" s="61">
        <f>IF(ISNUMBER('Übung 17'!F$39),'Übung 17'!F$39,0)</f>
        <v/>
      </c>
      <c r="T81" s="61">
        <f>IF(ISNUMBER('Übung 18'!F$39),'Übung 18'!F$39,0)</f>
        <v/>
      </c>
      <c r="U81" s="61">
        <f>IF(ISNUMBER('Übung 19'!F$39),'Übung 19'!F$39,0)</f>
        <v/>
      </c>
      <c r="V81" s="61">
        <f>IF(ISNUMBER('Übung 20'!F$39),'Übung 20'!F$39,0)</f>
        <v/>
      </c>
    </row>
    <row r="82">
      <c r="C82" s="61">
        <f>IF(ISNUMBER('Übung 01'!G$39),'Übung 01'!G$39,0)</f>
        <v/>
      </c>
      <c r="D82" s="61">
        <f>IF(ISNUMBER('Übung 02'!G$39),'Übung 02'!G$39,0)</f>
        <v/>
      </c>
      <c r="E82" s="61">
        <f>IF(ISNUMBER('Übung 03'!G$39),'Übung 03'!G$39,0)</f>
        <v/>
      </c>
      <c r="F82" s="61">
        <f>IF(ISNUMBER('Übung 04'!G$39),'Übung 04'!G$39,0)</f>
        <v/>
      </c>
      <c r="G82" s="61">
        <f>IF(ISNUMBER('Übung 05'!G$39),'Übung 05'!G$39,0)</f>
        <v/>
      </c>
      <c r="H82" s="61">
        <f>IF(ISNUMBER('Übung 06'!G$39),'Übung 06'!G$39,0)</f>
        <v/>
      </c>
      <c r="I82" s="61">
        <f>IF(ISNUMBER('Übung 07'!G$39),'Übung 07'!G$39,0)</f>
        <v/>
      </c>
      <c r="J82" s="61">
        <f>IF(ISNUMBER('Übung 08'!G$39),'Übung 08'!G$39,0)</f>
        <v/>
      </c>
      <c r="K82" s="61">
        <f>IF(ISNUMBER('Übung 09'!G$39),'Übung 09'!G$39,0)</f>
        <v/>
      </c>
      <c r="L82" s="61">
        <f>IF(ISNUMBER('Übung 10'!G$39),'Übung 10'!G$39,0)</f>
        <v/>
      </c>
      <c r="M82" s="61">
        <f>IF(ISNUMBER('Übung 11'!G$39),'Übung 11'!G$39,0)</f>
        <v/>
      </c>
      <c r="N82" s="61">
        <f>IF(ISNUMBER('Übung 12'!G$39),'Übung 12'!G$39,0)</f>
        <v/>
      </c>
      <c r="O82" s="61">
        <f>IF(ISNUMBER('Übung 13'!G$39),'Übung 13'!G$39,0)</f>
        <v/>
      </c>
      <c r="P82" s="61">
        <f>IF(ISNUMBER('Übung 14'!G$39),'Übung 14'!G$39,0)</f>
        <v/>
      </c>
      <c r="Q82" s="61">
        <f>IF(ISNUMBER('Übung 15'!G$39),'Übung 15'!G$39,0)</f>
        <v/>
      </c>
      <c r="R82" s="61">
        <f>IF(ISNUMBER('Übung 16'!G$39),'Übung 16'!G$39,0)</f>
        <v/>
      </c>
      <c r="S82" s="61">
        <f>IF(ISNUMBER('Übung 17'!G$39),'Übung 17'!G$39,0)</f>
        <v/>
      </c>
      <c r="T82" s="61">
        <f>IF(ISNUMBER('Übung 18'!G$39),'Übung 18'!G$39,0)</f>
        <v/>
      </c>
      <c r="U82" s="61">
        <f>IF(ISNUMBER('Übung 19'!G$39),'Übung 19'!G$39,0)</f>
        <v/>
      </c>
      <c r="V82" s="61">
        <f>IF(ISNUMBER('Übung 20'!G$39),'Übung 20'!G$39,0)</f>
        <v/>
      </c>
    </row>
    <row r="83">
      <c r="C83" s="61">
        <f>IF(ISNUMBER('Übung 01'!H$39),'Übung 01'!H$39,0)</f>
        <v/>
      </c>
      <c r="D83" s="61">
        <f>IF(ISNUMBER('Übung 02'!H$39),'Übung 02'!H$39,0)</f>
        <v/>
      </c>
      <c r="E83" s="61">
        <f>IF(ISNUMBER('Übung 03'!H$39),'Übung 03'!H$39,0)</f>
        <v/>
      </c>
      <c r="F83" s="61">
        <f>IF(ISNUMBER('Übung 04'!H$39),'Übung 04'!H$39,0)</f>
        <v/>
      </c>
      <c r="G83" s="61">
        <f>IF(ISNUMBER('Übung 05'!H$39),'Übung 05'!H$39,0)</f>
        <v/>
      </c>
      <c r="H83" s="61">
        <f>IF(ISNUMBER('Übung 06'!H$39),'Übung 06'!H$39,0)</f>
        <v/>
      </c>
      <c r="I83" s="61">
        <f>IF(ISNUMBER('Übung 07'!H$39),'Übung 07'!H$39,0)</f>
        <v/>
      </c>
      <c r="J83" s="61">
        <f>IF(ISNUMBER('Übung 08'!H$39),'Übung 08'!H$39,0)</f>
        <v/>
      </c>
      <c r="K83" s="61">
        <f>IF(ISNUMBER('Übung 09'!H$39),'Übung 09'!H$39,0)</f>
        <v/>
      </c>
      <c r="L83" s="61">
        <f>IF(ISNUMBER('Übung 10'!H$39),'Übung 10'!H$39,0)</f>
        <v/>
      </c>
      <c r="M83" s="61">
        <f>IF(ISNUMBER('Übung 11'!H$39),'Übung 11'!H$39,0)</f>
        <v/>
      </c>
      <c r="N83" s="61">
        <f>IF(ISNUMBER('Übung 12'!H$39),'Übung 12'!H$39,0)</f>
        <v/>
      </c>
      <c r="O83" s="61">
        <f>IF(ISNUMBER('Übung 13'!H$39),'Übung 13'!H$39,0)</f>
        <v/>
      </c>
      <c r="P83" s="61">
        <f>IF(ISNUMBER('Übung 14'!H$39),'Übung 14'!H$39,0)</f>
        <v/>
      </c>
      <c r="Q83" s="61">
        <f>IF(ISNUMBER('Übung 15'!H$39),'Übung 15'!H$39,0)</f>
        <v/>
      </c>
      <c r="R83" s="61">
        <f>IF(ISNUMBER('Übung 16'!H$39),'Übung 16'!H$39,0)</f>
        <v/>
      </c>
      <c r="S83" s="61">
        <f>IF(ISNUMBER('Übung 17'!H$39),'Übung 17'!H$39,0)</f>
        <v/>
      </c>
      <c r="T83" s="61">
        <f>IF(ISNUMBER('Übung 18'!H$39),'Übung 18'!H$39,0)</f>
        <v/>
      </c>
      <c r="U83" s="61">
        <f>IF(ISNUMBER('Übung 19'!H$39),'Übung 19'!H$39,0)</f>
        <v/>
      </c>
      <c r="V83" s="61">
        <f>IF(ISNUMBER('Übung 20'!H$39),'Übung 20'!H$39,0)</f>
        <v/>
      </c>
    </row>
    <row r="84">
      <c r="C84" s="61">
        <f>IF(ISNUMBER('Übung 01'!I$39),'Übung 01'!I$39,0)</f>
        <v/>
      </c>
      <c r="D84" s="61">
        <f>IF(ISNUMBER('Übung 02'!I$39),'Übung 02'!I$39,0)</f>
        <v/>
      </c>
      <c r="E84" s="61">
        <f>IF(ISNUMBER('Übung 03'!I$39),'Übung 03'!I$39,0)</f>
        <v/>
      </c>
      <c r="F84" s="61">
        <f>IF(ISNUMBER('Übung 04'!I$39),'Übung 04'!I$39,0)</f>
        <v/>
      </c>
      <c r="G84" s="61">
        <f>IF(ISNUMBER('Übung 05'!I$39),'Übung 05'!I$39,0)</f>
        <v/>
      </c>
      <c r="H84" s="61">
        <f>IF(ISNUMBER('Übung 06'!I$39),'Übung 06'!I$39,0)</f>
        <v/>
      </c>
      <c r="I84" s="61">
        <f>IF(ISNUMBER('Übung 07'!I$39),'Übung 07'!I$39,0)</f>
        <v/>
      </c>
      <c r="J84" s="61">
        <f>IF(ISNUMBER('Übung 08'!I$39),'Übung 08'!I$39,0)</f>
        <v/>
      </c>
      <c r="K84" s="61">
        <f>IF(ISNUMBER('Übung 09'!I$39),'Übung 09'!I$39,0)</f>
        <v/>
      </c>
      <c r="L84" s="61">
        <f>IF(ISNUMBER('Übung 10'!I$39),'Übung 10'!I$39,0)</f>
        <v/>
      </c>
      <c r="M84" s="61">
        <f>IF(ISNUMBER('Übung 11'!I$39),'Übung 11'!I$39,0)</f>
        <v/>
      </c>
      <c r="N84" s="61">
        <f>IF(ISNUMBER('Übung 12'!I$39),'Übung 12'!I$39,0)</f>
        <v/>
      </c>
      <c r="O84" s="61">
        <f>IF(ISNUMBER('Übung 13'!I$39),'Übung 13'!I$39,0)</f>
        <v/>
      </c>
      <c r="P84" s="61">
        <f>IF(ISNUMBER('Übung 14'!I$39),'Übung 14'!I$39,0)</f>
        <v/>
      </c>
      <c r="Q84" s="61">
        <f>IF(ISNUMBER('Übung 15'!I$39),'Übung 15'!I$39,0)</f>
        <v/>
      </c>
      <c r="R84" s="61">
        <f>IF(ISNUMBER('Übung 16'!I$39),'Übung 16'!I$39,0)</f>
        <v/>
      </c>
      <c r="S84" s="61">
        <f>IF(ISNUMBER('Übung 17'!I$39),'Übung 17'!I$39,0)</f>
        <v/>
      </c>
      <c r="T84" s="61">
        <f>IF(ISNUMBER('Übung 18'!I$39),'Übung 18'!I$39,0)</f>
        <v/>
      </c>
      <c r="U84" s="61">
        <f>IF(ISNUMBER('Übung 19'!I$39),'Übung 19'!I$39,0)</f>
        <v/>
      </c>
      <c r="V84" s="61">
        <f>IF(ISNUMBER('Übung 20'!I$39),'Übung 20'!I$39,0)</f>
        <v/>
      </c>
    </row>
    <row r="85">
      <c r="C85" s="61">
        <f>IF(ISNUMBER('Übung 01'!J$39),'Übung 01'!J$39,0)</f>
        <v/>
      </c>
      <c r="D85" s="61">
        <f>IF(ISNUMBER('Übung 02'!J$39),'Übung 02'!J$39,0)</f>
        <v/>
      </c>
      <c r="E85" s="61">
        <f>IF(ISNUMBER('Übung 03'!J$39),'Übung 03'!J$39,0)</f>
        <v/>
      </c>
      <c r="F85" s="61">
        <f>IF(ISNUMBER('Übung 04'!J$39),'Übung 04'!J$39,0)</f>
        <v/>
      </c>
      <c r="G85" s="61">
        <f>IF(ISNUMBER('Übung 05'!J$39),'Übung 05'!J$39,0)</f>
        <v/>
      </c>
      <c r="H85" s="61">
        <f>IF(ISNUMBER('Übung 06'!J$39),'Übung 06'!J$39,0)</f>
        <v/>
      </c>
      <c r="I85" s="61">
        <f>IF(ISNUMBER('Übung 07'!J$39),'Übung 07'!J$39,0)</f>
        <v/>
      </c>
      <c r="J85" s="61">
        <f>IF(ISNUMBER('Übung 08'!J$39),'Übung 08'!J$39,0)</f>
        <v/>
      </c>
      <c r="K85" s="61">
        <f>IF(ISNUMBER('Übung 09'!J$39),'Übung 09'!J$39,0)</f>
        <v/>
      </c>
      <c r="L85" s="61">
        <f>IF(ISNUMBER('Übung 10'!J$39),'Übung 10'!J$39,0)</f>
        <v/>
      </c>
      <c r="M85" s="61">
        <f>IF(ISNUMBER('Übung 11'!J$39),'Übung 11'!J$39,0)</f>
        <v/>
      </c>
      <c r="N85" s="61">
        <f>IF(ISNUMBER('Übung 12'!J$39),'Übung 12'!J$39,0)</f>
        <v/>
      </c>
      <c r="O85" s="61">
        <f>IF(ISNUMBER('Übung 13'!J$39),'Übung 13'!J$39,0)</f>
        <v/>
      </c>
      <c r="P85" s="61">
        <f>IF(ISNUMBER('Übung 14'!J$39),'Übung 14'!J$39,0)</f>
        <v/>
      </c>
      <c r="Q85" s="61">
        <f>IF(ISNUMBER('Übung 15'!J$39),'Übung 15'!J$39,0)</f>
        <v/>
      </c>
      <c r="R85" s="61">
        <f>IF(ISNUMBER('Übung 16'!J$39),'Übung 16'!J$39,0)</f>
        <v/>
      </c>
      <c r="S85" s="61">
        <f>IF(ISNUMBER('Übung 17'!J$39),'Übung 17'!J$39,0)</f>
        <v/>
      </c>
      <c r="T85" s="61">
        <f>IF(ISNUMBER('Übung 18'!J$39),'Übung 18'!J$39,0)</f>
        <v/>
      </c>
      <c r="U85" s="61">
        <f>IF(ISNUMBER('Übung 19'!J$39),'Übung 19'!J$39,0)</f>
        <v/>
      </c>
      <c r="V85" s="61">
        <f>IF(ISNUMBER('Übung 20'!J$39),'Übung 20'!J$39,0)</f>
        <v/>
      </c>
    </row>
    <row r="86">
      <c r="C86" s="61">
        <f>IF(ISNUMBER('Übung 01'!K$39),'Übung 01'!K$39,0)</f>
        <v/>
      </c>
      <c r="D86" s="61">
        <f>IF(ISNUMBER('Übung 02'!K$39),'Übung 02'!K$39,0)</f>
        <v/>
      </c>
      <c r="E86" s="61">
        <f>IF(ISNUMBER('Übung 03'!K$39),'Übung 03'!K$39,0)</f>
        <v/>
      </c>
      <c r="F86" s="61">
        <f>IF(ISNUMBER('Übung 04'!K$39),'Übung 04'!K$39,0)</f>
        <v/>
      </c>
      <c r="G86" s="61">
        <f>IF(ISNUMBER('Übung 05'!K$39),'Übung 05'!K$39,0)</f>
        <v/>
      </c>
      <c r="H86" s="61">
        <f>IF(ISNUMBER('Übung 06'!K$39),'Übung 06'!K$39,0)</f>
        <v/>
      </c>
      <c r="I86" s="61">
        <f>IF(ISNUMBER('Übung 07'!K$39),'Übung 07'!K$39,0)</f>
        <v/>
      </c>
      <c r="J86" s="61">
        <f>IF(ISNUMBER('Übung 08'!K$39),'Übung 08'!K$39,0)</f>
        <v/>
      </c>
      <c r="K86" s="61">
        <f>IF(ISNUMBER('Übung 09'!K$39),'Übung 09'!K$39,0)</f>
        <v/>
      </c>
      <c r="L86" s="61">
        <f>IF(ISNUMBER('Übung 10'!K$39),'Übung 10'!K$39,0)</f>
        <v/>
      </c>
      <c r="M86" s="61">
        <f>IF(ISNUMBER('Übung 11'!K$39),'Übung 11'!K$39,0)</f>
        <v/>
      </c>
      <c r="N86" s="61">
        <f>IF(ISNUMBER('Übung 12'!K$39),'Übung 12'!K$39,0)</f>
        <v/>
      </c>
      <c r="O86" s="61">
        <f>IF(ISNUMBER('Übung 13'!K$39),'Übung 13'!K$39,0)</f>
        <v/>
      </c>
      <c r="P86" s="61">
        <f>IF(ISNUMBER('Übung 14'!K$39),'Übung 14'!K$39,0)</f>
        <v/>
      </c>
      <c r="Q86" s="61">
        <f>IF(ISNUMBER('Übung 15'!K$39),'Übung 15'!K$39,0)</f>
        <v/>
      </c>
      <c r="R86" s="61">
        <f>IF(ISNUMBER('Übung 16'!K$39),'Übung 16'!K$39,0)</f>
        <v/>
      </c>
      <c r="S86" s="61">
        <f>IF(ISNUMBER('Übung 17'!K$39),'Übung 17'!K$39,0)</f>
        <v/>
      </c>
      <c r="T86" s="61">
        <f>IF(ISNUMBER('Übung 18'!K$39),'Übung 18'!K$39,0)</f>
        <v/>
      </c>
      <c r="U86" s="61">
        <f>IF(ISNUMBER('Übung 19'!K$39),'Übung 19'!K$39,0)</f>
        <v/>
      </c>
      <c r="V86" s="61">
        <f>IF(ISNUMBER('Übung 20'!K$39),'Übung 20'!K$39,0)</f>
        <v/>
      </c>
    </row>
    <row r="87">
      <c r="C87" s="61">
        <f>IF(ISNUMBER('Übung 01'!L$39),'Übung 01'!L$39,0)</f>
        <v/>
      </c>
      <c r="D87" s="61">
        <f>IF(ISNUMBER('Übung 02'!L$39),'Übung 02'!L$39,0)</f>
        <v/>
      </c>
      <c r="E87" s="61">
        <f>IF(ISNUMBER('Übung 03'!L$39),'Übung 03'!L$39,0)</f>
        <v/>
      </c>
      <c r="F87" s="61">
        <f>IF(ISNUMBER('Übung 04'!L$39),'Übung 04'!L$39,0)</f>
        <v/>
      </c>
      <c r="G87" s="61">
        <f>IF(ISNUMBER('Übung 05'!L$39),'Übung 05'!L$39,0)</f>
        <v/>
      </c>
      <c r="H87" s="61">
        <f>IF(ISNUMBER('Übung 06'!L$39),'Übung 06'!L$39,0)</f>
        <v/>
      </c>
      <c r="I87" s="61">
        <f>IF(ISNUMBER('Übung 07'!L$39),'Übung 07'!L$39,0)</f>
        <v/>
      </c>
      <c r="J87" s="61">
        <f>IF(ISNUMBER('Übung 08'!L$39),'Übung 08'!L$39,0)</f>
        <v/>
      </c>
      <c r="K87" s="61">
        <f>IF(ISNUMBER('Übung 09'!L$39),'Übung 09'!L$39,0)</f>
        <v/>
      </c>
      <c r="L87" s="61">
        <f>IF(ISNUMBER('Übung 10'!L$39),'Übung 10'!L$39,0)</f>
        <v/>
      </c>
      <c r="M87" s="61">
        <f>IF(ISNUMBER('Übung 11'!L$39),'Übung 11'!L$39,0)</f>
        <v/>
      </c>
      <c r="N87" s="61">
        <f>IF(ISNUMBER('Übung 12'!L$39),'Übung 12'!L$39,0)</f>
        <v/>
      </c>
      <c r="O87" s="61">
        <f>IF(ISNUMBER('Übung 13'!L$39),'Übung 13'!L$39,0)</f>
        <v/>
      </c>
      <c r="P87" s="61">
        <f>IF(ISNUMBER('Übung 14'!L$39),'Übung 14'!L$39,0)</f>
        <v/>
      </c>
      <c r="Q87" s="61">
        <f>IF(ISNUMBER('Übung 15'!L$39),'Übung 15'!L$39,0)</f>
        <v/>
      </c>
      <c r="R87" s="61">
        <f>IF(ISNUMBER('Übung 16'!L$39),'Übung 16'!L$39,0)</f>
        <v/>
      </c>
      <c r="S87" s="61">
        <f>IF(ISNUMBER('Übung 17'!L$39),'Übung 17'!L$39,0)</f>
        <v/>
      </c>
      <c r="T87" s="61">
        <f>IF(ISNUMBER('Übung 18'!L$39),'Übung 18'!L$39,0)</f>
        <v/>
      </c>
      <c r="U87" s="61">
        <f>IF(ISNUMBER('Übung 19'!L$39),'Übung 19'!L$39,0)</f>
        <v/>
      </c>
      <c r="V87" s="61">
        <f>IF(ISNUMBER('Übung 20'!L$39),'Übung 20'!L$39,0)</f>
        <v/>
      </c>
    </row>
    <row r="88">
      <c r="C88" s="61">
        <f>IF(ISNUMBER('Übung 01'!M$39),'Übung 01'!M$39,0)</f>
        <v/>
      </c>
      <c r="D88" s="61">
        <f>IF(ISNUMBER('Übung 02'!M$39),'Übung 02'!M$39,0)</f>
        <v/>
      </c>
      <c r="E88" s="61">
        <f>IF(ISNUMBER('Übung 03'!M$39),'Übung 03'!M$39,0)</f>
        <v/>
      </c>
      <c r="F88" s="61">
        <f>IF(ISNUMBER('Übung 04'!M$39),'Übung 04'!M$39,0)</f>
        <v/>
      </c>
      <c r="G88" s="61">
        <f>IF(ISNUMBER('Übung 05'!M$39),'Übung 05'!M$39,0)</f>
        <v/>
      </c>
      <c r="H88" s="61">
        <f>IF(ISNUMBER('Übung 06'!M$39),'Übung 06'!M$39,0)</f>
        <v/>
      </c>
      <c r="I88" s="61">
        <f>IF(ISNUMBER('Übung 07'!M$39),'Übung 07'!M$39,0)</f>
        <v/>
      </c>
      <c r="J88" s="61">
        <f>IF(ISNUMBER('Übung 08'!M$39),'Übung 08'!M$39,0)</f>
        <v/>
      </c>
      <c r="K88" s="61">
        <f>IF(ISNUMBER('Übung 09'!M$39),'Übung 09'!M$39,0)</f>
        <v/>
      </c>
      <c r="L88" s="61">
        <f>IF(ISNUMBER('Übung 10'!M$39),'Übung 10'!M$39,0)</f>
        <v/>
      </c>
      <c r="M88" s="61">
        <f>IF(ISNUMBER('Übung 11'!M$39),'Übung 11'!M$39,0)</f>
        <v/>
      </c>
      <c r="N88" s="61">
        <f>IF(ISNUMBER('Übung 12'!M$39),'Übung 12'!M$39,0)</f>
        <v/>
      </c>
      <c r="O88" s="61">
        <f>IF(ISNUMBER('Übung 13'!M$39),'Übung 13'!M$39,0)</f>
        <v/>
      </c>
      <c r="P88" s="61">
        <f>IF(ISNUMBER('Übung 14'!M$39),'Übung 14'!M$39,0)</f>
        <v/>
      </c>
      <c r="Q88" s="61">
        <f>IF(ISNUMBER('Übung 15'!M$39),'Übung 15'!M$39,0)</f>
        <v/>
      </c>
      <c r="R88" s="61">
        <f>IF(ISNUMBER('Übung 16'!M$39),'Übung 16'!M$39,0)</f>
        <v/>
      </c>
      <c r="S88" s="61">
        <f>IF(ISNUMBER('Übung 17'!M$39),'Übung 17'!M$39,0)</f>
        <v/>
      </c>
      <c r="T88" s="61">
        <f>IF(ISNUMBER('Übung 18'!M$39),'Übung 18'!M$39,0)</f>
        <v/>
      </c>
      <c r="U88" s="61">
        <f>IF(ISNUMBER('Übung 19'!M$39),'Übung 19'!M$39,0)</f>
        <v/>
      </c>
      <c r="V88" s="61">
        <f>IF(ISNUMBER('Übung 20'!M$39),'Übung 20'!M$39,0)</f>
        <v/>
      </c>
    </row>
    <row r="89">
      <c r="C89" s="61">
        <f>IF(ISNUMBER('Übung 01'!N$39),'Übung 01'!N$39,0)</f>
        <v/>
      </c>
      <c r="D89" s="61">
        <f>IF(ISNUMBER('Übung 02'!N$39),'Übung 02'!N$39,0)</f>
        <v/>
      </c>
      <c r="E89" s="61">
        <f>IF(ISNUMBER('Übung 03'!N$39),'Übung 03'!N$39,0)</f>
        <v/>
      </c>
      <c r="F89" s="61">
        <f>IF(ISNUMBER('Übung 04'!N$39),'Übung 04'!N$39,0)</f>
        <v/>
      </c>
      <c r="G89" s="61">
        <f>IF(ISNUMBER('Übung 05'!N$39),'Übung 05'!N$39,0)</f>
        <v/>
      </c>
      <c r="H89" s="61">
        <f>IF(ISNUMBER('Übung 06'!N$39),'Übung 06'!N$39,0)</f>
        <v/>
      </c>
      <c r="I89" s="61">
        <f>IF(ISNUMBER('Übung 07'!N$39),'Übung 07'!N$39,0)</f>
        <v/>
      </c>
      <c r="J89" s="61">
        <f>IF(ISNUMBER('Übung 08'!N$39),'Übung 08'!N$39,0)</f>
        <v/>
      </c>
      <c r="K89" s="61">
        <f>IF(ISNUMBER('Übung 09'!N$39),'Übung 09'!N$39,0)</f>
        <v/>
      </c>
      <c r="L89" s="61">
        <f>IF(ISNUMBER('Übung 10'!N$39),'Übung 10'!N$39,0)</f>
        <v/>
      </c>
      <c r="M89" s="61">
        <f>IF(ISNUMBER('Übung 11'!N$39),'Übung 11'!N$39,0)</f>
        <v/>
      </c>
      <c r="N89" s="61">
        <f>IF(ISNUMBER('Übung 12'!N$39),'Übung 12'!N$39,0)</f>
        <v/>
      </c>
      <c r="O89" s="61">
        <f>IF(ISNUMBER('Übung 13'!N$39),'Übung 13'!N$39,0)</f>
        <v/>
      </c>
      <c r="P89" s="61">
        <f>IF(ISNUMBER('Übung 14'!N$39),'Übung 14'!N$39,0)</f>
        <v/>
      </c>
      <c r="Q89" s="61">
        <f>IF(ISNUMBER('Übung 15'!N$39),'Übung 15'!N$39,0)</f>
        <v/>
      </c>
      <c r="R89" s="61">
        <f>IF(ISNUMBER('Übung 16'!N$39),'Übung 16'!N$39,0)</f>
        <v/>
      </c>
      <c r="S89" s="61">
        <f>IF(ISNUMBER('Übung 17'!N$39),'Übung 17'!N$39,0)</f>
        <v/>
      </c>
      <c r="T89" s="61">
        <f>IF(ISNUMBER('Übung 18'!N$39),'Übung 18'!N$39,0)</f>
        <v/>
      </c>
      <c r="U89" s="61">
        <f>IF(ISNUMBER('Übung 19'!N$39),'Übung 19'!N$39,0)</f>
        <v/>
      </c>
      <c r="V89" s="61">
        <f>IF(ISNUMBER('Übung 20'!N$39),'Übung 20'!N$39,0)</f>
        <v/>
      </c>
    </row>
    <row r="90">
      <c r="C90" s="61">
        <f>IF(ISNUMBER('Übung 01'!O$39),'Übung 01'!O$39,0)</f>
        <v/>
      </c>
      <c r="D90" s="61">
        <f>IF(ISNUMBER('Übung 02'!O$39),'Übung 02'!O$39,0)</f>
        <v/>
      </c>
      <c r="E90" s="61">
        <f>IF(ISNUMBER('Übung 03'!O$39),'Übung 03'!O$39,0)</f>
        <v/>
      </c>
      <c r="F90" s="61">
        <f>IF(ISNUMBER('Übung 04'!O$39),'Übung 04'!O$39,0)</f>
        <v/>
      </c>
      <c r="G90" s="61">
        <f>IF(ISNUMBER('Übung 05'!O$39),'Übung 05'!O$39,0)</f>
        <v/>
      </c>
      <c r="H90" s="61">
        <f>IF(ISNUMBER('Übung 06'!O$39),'Übung 06'!O$39,0)</f>
        <v/>
      </c>
      <c r="I90" s="61">
        <f>IF(ISNUMBER('Übung 07'!O$39),'Übung 07'!O$39,0)</f>
        <v/>
      </c>
      <c r="J90" s="61">
        <f>IF(ISNUMBER('Übung 08'!O$39),'Übung 08'!O$39,0)</f>
        <v/>
      </c>
      <c r="K90" s="61">
        <f>IF(ISNUMBER('Übung 09'!O$39),'Übung 09'!O$39,0)</f>
        <v/>
      </c>
      <c r="L90" s="61">
        <f>IF(ISNUMBER('Übung 10'!O$39),'Übung 10'!O$39,0)</f>
        <v/>
      </c>
      <c r="M90" s="61">
        <f>IF(ISNUMBER('Übung 11'!O$39),'Übung 11'!O$39,0)</f>
        <v/>
      </c>
      <c r="N90" s="61">
        <f>IF(ISNUMBER('Übung 12'!O$39),'Übung 12'!O$39,0)</f>
        <v/>
      </c>
      <c r="O90" s="61">
        <f>IF(ISNUMBER('Übung 13'!O$39),'Übung 13'!O$39,0)</f>
        <v/>
      </c>
      <c r="P90" s="61">
        <f>IF(ISNUMBER('Übung 14'!O$39),'Übung 14'!O$39,0)</f>
        <v/>
      </c>
      <c r="Q90" s="61">
        <f>IF(ISNUMBER('Übung 15'!O$39),'Übung 15'!O$39,0)</f>
        <v/>
      </c>
      <c r="R90" s="61">
        <f>IF(ISNUMBER('Übung 16'!O$39),'Übung 16'!O$39,0)</f>
        <v/>
      </c>
      <c r="S90" s="61">
        <f>IF(ISNUMBER('Übung 17'!O$39),'Übung 17'!O$39,0)</f>
        <v/>
      </c>
      <c r="T90" s="61">
        <f>IF(ISNUMBER('Übung 18'!O$39),'Übung 18'!O$39,0)</f>
        <v/>
      </c>
      <c r="U90" s="61">
        <f>IF(ISNUMBER('Übung 19'!O$39),'Übung 19'!O$39,0)</f>
        <v/>
      </c>
      <c r="V90" s="61">
        <f>IF(ISNUMBER('Übung 20'!O$39),'Übung 20'!O$39,0)</f>
        <v/>
      </c>
    </row>
    <row r="91">
      <c r="C91" s="61">
        <f>IF(ISNUMBER('Übung 01'!P$39),'Übung 01'!P$39,0)</f>
        <v/>
      </c>
      <c r="D91" s="61">
        <f>IF(ISNUMBER('Übung 02'!P$39),'Übung 02'!P$39,0)</f>
        <v/>
      </c>
      <c r="E91" s="61">
        <f>IF(ISNUMBER('Übung 03'!P$39),'Übung 03'!P$39,0)</f>
        <v/>
      </c>
      <c r="F91" s="61">
        <f>IF(ISNUMBER('Übung 04'!P$39),'Übung 04'!P$39,0)</f>
        <v/>
      </c>
      <c r="G91" s="61">
        <f>IF(ISNUMBER('Übung 05'!P$39),'Übung 05'!P$39,0)</f>
        <v/>
      </c>
      <c r="H91" s="61">
        <f>IF(ISNUMBER('Übung 06'!P$39),'Übung 06'!P$39,0)</f>
        <v/>
      </c>
      <c r="I91" s="61">
        <f>IF(ISNUMBER('Übung 07'!P$39),'Übung 07'!P$39,0)</f>
        <v/>
      </c>
      <c r="J91" s="61">
        <f>IF(ISNUMBER('Übung 08'!P$39),'Übung 08'!P$39,0)</f>
        <v/>
      </c>
      <c r="K91" s="61">
        <f>IF(ISNUMBER('Übung 09'!P$39),'Übung 09'!P$39,0)</f>
        <v/>
      </c>
      <c r="L91" s="61">
        <f>IF(ISNUMBER('Übung 10'!P$39),'Übung 10'!P$39,0)</f>
        <v/>
      </c>
      <c r="M91" s="61">
        <f>IF(ISNUMBER('Übung 11'!P$39),'Übung 11'!P$39,0)</f>
        <v/>
      </c>
      <c r="N91" s="61">
        <f>IF(ISNUMBER('Übung 12'!P$39),'Übung 12'!P$39,0)</f>
        <v/>
      </c>
      <c r="O91" s="61">
        <f>IF(ISNUMBER('Übung 13'!P$39),'Übung 13'!P$39,0)</f>
        <v/>
      </c>
      <c r="P91" s="61">
        <f>IF(ISNUMBER('Übung 14'!P$39),'Übung 14'!P$39,0)</f>
        <v/>
      </c>
      <c r="Q91" s="61">
        <f>IF(ISNUMBER('Übung 15'!P$39),'Übung 15'!P$39,0)</f>
        <v/>
      </c>
      <c r="R91" s="61">
        <f>IF(ISNUMBER('Übung 16'!P$39),'Übung 16'!P$39,0)</f>
        <v/>
      </c>
      <c r="S91" s="61">
        <f>IF(ISNUMBER('Übung 17'!P$39),'Übung 17'!P$39,0)</f>
        <v/>
      </c>
      <c r="T91" s="61">
        <f>IF(ISNUMBER('Übung 18'!P$39),'Übung 18'!P$39,0)</f>
        <v/>
      </c>
      <c r="U91" s="61">
        <f>IF(ISNUMBER('Übung 19'!P$39),'Übung 19'!P$39,0)</f>
        <v/>
      </c>
      <c r="V91" s="61">
        <f>IF(ISNUMBER('Übung 20'!P$39),'Übung 20'!P$39,0)</f>
        <v/>
      </c>
    </row>
    <row r="92">
      <c r="C92" s="61">
        <f>IF(ISNUMBER('Übung 01'!Q$39),'Übung 01'!Q$39,0)</f>
        <v/>
      </c>
      <c r="D92" s="61">
        <f>IF(ISNUMBER('Übung 02'!Q$39),'Übung 02'!Q$39,0)</f>
        <v/>
      </c>
      <c r="E92" s="61">
        <f>IF(ISNUMBER('Übung 03'!Q$39),'Übung 03'!Q$39,0)</f>
        <v/>
      </c>
      <c r="F92" s="61">
        <f>IF(ISNUMBER('Übung 04'!Q$39),'Übung 04'!Q$39,0)</f>
        <v/>
      </c>
      <c r="G92" s="61">
        <f>IF(ISNUMBER('Übung 05'!Q$39),'Übung 05'!Q$39,0)</f>
        <v/>
      </c>
      <c r="H92" s="61">
        <f>IF(ISNUMBER('Übung 06'!Q$39),'Übung 06'!Q$39,0)</f>
        <v/>
      </c>
      <c r="I92" s="61">
        <f>IF(ISNUMBER('Übung 07'!Q$39),'Übung 07'!Q$39,0)</f>
        <v/>
      </c>
      <c r="J92" s="61">
        <f>IF(ISNUMBER('Übung 08'!Q$39),'Übung 08'!Q$39,0)</f>
        <v/>
      </c>
      <c r="K92" s="61">
        <f>IF(ISNUMBER('Übung 09'!Q$39),'Übung 09'!Q$39,0)</f>
        <v/>
      </c>
      <c r="L92" s="61">
        <f>IF(ISNUMBER('Übung 10'!Q$39),'Übung 10'!Q$39,0)</f>
        <v/>
      </c>
      <c r="M92" s="61">
        <f>IF(ISNUMBER('Übung 11'!Q$39),'Übung 11'!Q$39,0)</f>
        <v/>
      </c>
      <c r="N92" s="61">
        <f>IF(ISNUMBER('Übung 12'!Q$39),'Übung 12'!Q$39,0)</f>
        <v/>
      </c>
      <c r="O92" s="61">
        <f>IF(ISNUMBER('Übung 13'!Q$39),'Übung 13'!Q$39,0)</f>
        <v/>
      </c>
      <c r="P92" s="61">
        <f>IF(ISNUMBER('Übung 14'!Q$39),'Übung 14'!Q$39,0)</f>
        <v/>
      </c>
      <c r="Q92" s="61">
        <f>IF(ISNUMBER('Übung 15'!Q$39),'Übung 15'!Q$39,0)</f>
        <v/>
      </c>
      <c r="R92" s="61">
        <f>IF(ISNUMBER('Übung 16'!Q$39),'Übung 16'!Q$39,0)</f>
        <v/>
      </c>
      <c r="S92" s="61">
        <f>IF(ISNUMBER('Übung 17'!Q$39),'Übung 17'!Q$39,0)</f>
        <v/>
      </c>
      <c r="T92" s="61">
        <f>IF(ISNUMBER('Übung 18'!Q$39),'Übung 18'!Q$39,0)</f>
        <v/>
      </c>
      <c r="U92" s="61">
        <f>IF(ISNUMBER('Übung 19'!Q$39),'Übung 19'!Q$39,0)</f>
        <v/>
      </c>
      <c r="V92" s="61">
        <f>IF(ISNUMBER('Übung 20'!Q$39),'Übung 20'!Q$39,0)</f>
        <v/>
      </c>
    </row>
    <row r="93">
      <c r="C93" s="61">
        <f>IF(ISNUMBER('Übung 01'!R$39),'Übung 01'!R$39,0)</f>
        <v/>
      </c>
      <c r="D93" s="61">
        <f>IF(ISNUMBER('Übung 02'!R$39),'Übung 02'!R$39,0)</f>
        <v/>
      </c>
      <c r="E93" s="61">
        <f>IF(ISNUMBER('Übung 03'!R$39),'Übung 03'!R$39,0)</f>
        <v/>
      </c>
      <c r="F93" s="61">
        <f>IF(ISNUMBER('Übung 04'!R$39),'Übung 04'!R$39,0)</f>
        <v/>
      </c>
      <c r="G93" s="61">
        <f>IF(ISNUMBER('Übung 05'!R$39),'Übung 05'!R$39,0)</f>
        <v/>
      </c>
      <c r="H93" s="61">
        <f>IF(ISNUMBER('Übung 06'!R$39),'Übung 06'!R$39,0)</f>
        <v/>
      </c>
      <c r="I93" s="61">
        <f>IF(ISNUMBER('Übung 07'!R$39),'Übung 07'!R$39,0)</f>
        <v/>
      </c>
      <c r="J93" s="61">
        <f>IF(ISNUMBER('Übung 08'!R$39),'Übung 08'!R$39,0)</f>
        <v/>
      </c>
      <c r="K93" s="61">
        <f>IF(ISNUMBER('Übung 09'!R$39),'Übung 09'!R$39,0)</f>
        <v/>
      </c>
      <c r="L93" s="61">
        <f>IF(ISNUMBER('Übung 10'!R$39),'Übung 10'!R$39,0)</f>
        <v/>
      </c>
      <c r="M93" s="61">
        <f>IF(ISNUMBER('Übung 11'!R$39),'Übung 11'!R$39,0)</f>
        <v/>
      </c>
      <c r="N93" s="61">
        <f>IF(ISNUMBER('Übung 12'!R$39),'Übung 12'!R$39,0)</f>
        <v/>
      </c>
      <c r="O93" s="61">
        <f>IF(ISNUMBER('Übung 13'!R$39),'Übung 13'!R$39,0)</f>
        <v/>
      </c>
      <c r="P93" s="61">
        <f>IF(ISNUMBER('Übung 14'!R$39),'Übung 14'!R$39,0)</f>
        <v/>
      </c>
      <c r="Q93" s="61">
        <f>IF(ISNUMBER('Übung 15'!R$39),'Übung 15'!R$39,0)</f>
        <v/>
      </c>
      <c r="R93" s="61">
        <f>IF(ISNUMBER('Übung 16'!R$39),'Übung 16'!R$39,0)</f>
        <v/>
      </c>
      <c r="S93" s="61">
        <f>IF(ISNUMBER('Übung 17'!R$39),'Übung 17'!R$39,0)</f>
        <v/>
      </c>
      <c r="T93" s="61">
        <f>IF(ISNUMBER('Übung 18'!R$39),'Übung 18'!R$39,0)</f>
        <v/>
      </c>
      <c r="U93" s="61">
        <f>IF(ISNUMBER('Übung 19'!R$39),'Übung 19'!R$39,0)</f>
        <v/>
      </c>
      <c r="V93" s="61">
        <f>IF(ISNUMBER('Übung 20'!R$39),'Übung 20'!R$39,0)</f>
        <v/>
      </c>
    </row>
    <row r="94">
      <c r="C94" s="61">
        <f>IF(ISNUMBER('Übung 01'!S$39),'Übung 01'!S$39,0)</f>
        <v/>
      </c>
      <c r="D94" s="61">
        <f>IF(ISNUMBER('Übung 02'!S$39),'Übung 02'!S$39,0)</f>
        <v/>
      </c>
      <c r="E94" s="61">
        <f>IF(ISNUMBER('Übung 03'!S$39),'Übung 03'!S$39,0)</f>
        <v/>
      </c>
      <c r="F94" s="61">
        <f>IF(ISNUMBER('Übung 04'!S$39),'Übung 04'!S$39,0)</f>
        <v/>
      </c>
      <c r="G94" s="61">
        <f>IF(ISNUMBER('Übung 05'!S$39),'Übung 05'!S$39,0)</f>
        <v/>
      </c>
      <c r="H94" s="61">
        <f>IF(ISNUMBER('Übung 06'!S$39),'Übung 06'!S$39,0)</f>
        <v/>
      </c>
      <c r="I94" s="61">
        <f>IF(ISNUMBER('Übung 07'!S$39),'Übung 07'!S$39,0)</f>
        <v/>
      </c>
      <c r="J94" s="61">
        <f>IF(ISNUMBER('Übung 08'!S$39),'Übung 08'!S$39,0)</f>
        <v/>
      </c>
      <c r="K94" s="61">
        <f>IF(ISNUMBER('Übung 09'!S$39),'Übung 09'!S$39,0)</f>
        <v/>
      </c>
      <c r="L94" s="61">
        <f>IF(ISNUMBER('Übung 10'!S$39),'Übung 10'!S$39,0)</f>
        <v/>
      </c>
      <c r="M94" s="61">
        <f>IF(ISNUMBER('Übung 11'!S$39),'Übung 11'!S$39,0)</f>
        <v/>
      </c>
      <c r="N94" s="61">
        <f>IF(ISNUMBER('Übung 12'!S$39),'Übung 12'!S$39,0)</f>
        <v/>
      </c>
      <c r="O94" s="61">
        <f>IF(ISNUMBER('Übung 13'!S$39),'Übung 13'!S$39,0)</f>
        <v/>
      </c>
      <c r="P94" s="61">
        <f>IF(ISNUMBER('Übung 14'!S$39),'Übung 14'!S$39,0)</f>
        <v/>
      </c>
      <c r="Q94" s="61">
        <f>IF(ISNUMBER('Übung 15'!S$39),'Übung 15'!S$39,0)</f>
        <v/>
      </c>
      <c r="R94" s="61">
        <f>IF(ISNUMBER('Übung 16'!S$39),'Übung 16'!S$39,0)</f>
        <v/>
      </c>
      <c r="S94" s="61">
        <f>IF(ISNUMBER('Übung 17'!S$39),'Übung 17'!S$39,0)</f>
        <v/>
      </c>
      <c r="T94" s="61">
        <f>IF(ISNUMBER('Übung 18'!S$39),'Übung 18'!S$39,0)</f>
        <v/>
      </c>
      <c r="U94" s="61">
        <f>IF(ISNUMBER('Übung 19'!S$39),'Übung 19'!S$39,0)</f>
        <v/>
      </c>
      <c r="V94" s="61">
        <f>IF(ISNUMBER('Übung 20'!S$39),'Übung 20'!S$39,0)</f>
        <v/>
      </c>
    </row>
    <row r="95">
      <c r="C95" s="61">
        <f>IF(ISNUMBER('Übung 01'!T$39),'Übung 01'!T$39,0)</f>
        <v/>
      </c>
      <c r="D95" s="61">
        <f>IF(ISNUMBER('Übung 02'!T$39),'Übung 02'!T$39,0)</f>
        <v/>
      </c>
      <c r="E95" s="61">
        <f>IF(ISNUMBER('Übung 03'!T$39),'Übung 03'!T$39,0)</f>
        <v/>
      </c>
      <c r="F95" s="61">
        <f>IF(ISNUMBER('Übung 04'!T$39),'Übung 04'!T$39,0)</f>
        <v/>
      </c>
      <c r="G95" s="61">
        <f>IF(ISNUMBER('Übung 05'!T$39),'Übung 05'!T$39,0)</f>
        <v/>
      </c>
      <c r="H95" s="61">
        <f>IF(ISNUMBER('Übung 06'!T$39),'Übung 06'!T$39,0)</f>
        <v/>
      </c>
      <c r="I95" s="61">
        <f>IF(ISNUMBER('Übung 07'!T$39),'Übung 07'!T$39,0)</f>
        <v/>
      </c>
      <c r="J95" s="61">
        <f>IF(ISNUMBER('Übung 08'!T$39),'Übung 08'!T$39,0)</f>
        <v/>
      </c>
      <c r="K95" s="61">
        <f>IF(ISNUMBER('Übung 09'!T$39),'Übung 09'!T$39,0)</f>
        <v/>
      </c>
      <c r="L95" s="61">
        <f>IF(ISNUMBER('Übung 10'!T$39),'Übung 10'!T$39,0)</f>
        <v/>
      </c>
      <c r="M95" s="61">
        <f>IF(ISNUMBER('Übung 11'!T$39),'Übung 11'!T$39,0)</f>
        <v/>
      </c>
      <c r="N95" s="61">
        <f>IF(ISNUMBER('Übung 12'!T$39),'Übung 12'!T$39,0)</f>
        <v/>
      </c>
      <c r="O95" s="61">
        <f>IF(ISNUMBER('Übung 13'!T$39),'Übung 13'!T$39,0)</f>
        <v/>
      </c>
      <c r="P95" s="61">
        <f>IF(ISNUMBER('Übung 14'!T$39),'Übung 14'!T$39,0)</f>
        <v/>
      </c>
      <c r="Q95" s="61">
        <f>IF(ISNUMBER('Übung 15'!T$39),'Übung 15'!T$39,0)</f>
        <v/>
      </c>
      <c r="R95" s="61">
        <f>IF(ISNUMBER('Übung 16'!T$39),'Übung 16'!T$39,0)</f>
        <v/>
      </c>
      <c r="S95" s="61">
        <f>IF(ISNUMBER('Übung 17'!T$39),'Übung 17'!T$39,0)</f>
        <v/>
      </c>
      <c r="T95" s="61">
        <f>IF(ISNUMBER('Übung 18'!T$39),'Übung 18'!T$39,0)</f>
        <v/>
      </c>
      <c r="U95" s="61">
        <f>IF(ISNUMBER('Übung 19'!T$39),'Übung 19'!T$39,0)</f>
        <v/>
      </c>
      <c r="V95" s="61">
        <f>IF(ISNUMBER('Übung 20'!T$39),'Übung 20'!T$39,0)</f>
        <v/>
      </c>
    </row>
    <row r="96">
      <c r="C96" s="61">
        <f>IF(ISNUMBER('Übung 01'!U$39),'Übung 01'!U$39,0)</f>
        <v/>
      </c>
      <c r="D96" s="61">
        <f>IF(ISNUMBER('Übung 02'!U$39),'Übung 02'!U$39,0)</f>
        <v/>
      </c>
      <c r="E96" s="61">
        <f>IF(ISNUMBER('Übung 03'!U$39),'Übung 03'!U$39,0)</f>
        <v/>
      </c>
      <c r="F96" s="61">
        <f>IF(ISNUMBER('Übung 04'!U$39),'Übung 04'!U$39,0)</f>
        <v/>
      </c>
      <c r="G96" s="61">
        <f>IF(ISNUMBER('Übung 05'!U$39),'Übung 05'!U$39,0)</f>
        <v/>
      </c>
      <c r="H96" s="61">
        <f>IF(ISNUMBER('Übung 06'!U$39),'Übung 06'!U$39,0)</f>
        <v/>
      </c>
      <c r="I96" s="61">
        <f>IF(ISNUMBER('Übung 07'!U$39),'Übung 07'!U$39,0)</f>
        <v/>
      </c>
      <c r="J96" s="61">
        <f>IF(ISNUMBER('Übung 08'!U$39),'Übung 08'!U$39,0)</f>
        <v/>
      </c>
      <c r="K96" s="61">
        <f>IF(ISNUMBER('Übung 09'!U$39),'Übung 09'!U$39,0)</f>
        <v/>
      </c>
      <c r="L96" s="61">
        <f>IF(ISNUMBER('Übung 10'!U$39),'Übung 10'!U$39,0)</f>
        <v/>
      </c>
      <c r="M96" s="61">
        <f>IF(ISNUMBER('Übung 11'!U$39),'Übung 11'!U$39,0)</f>
        <v/>
      </c>
      <c r="N96" s="61">
        <f>IF(ISNUMBER('Übung 12'!U$39),'Übung 12'!U$39,0)</f>
        <v/>
      </c>
      <c r="O96" s="61">
        <f>IF(ISNUMBER('Übung 13'!U$39),'Übung 13'!U$39,0)</f>
        <v/>
      </c>
      <c r="P96" s="61">
        <f>IF(ISNUMBER('Übung 14'!U$39),'Übung 14'!U$39,0)</f>
        <v/>
      </c>
      <c r="Q96" s="61">
        <f>IF(ISNUMBER('Übung 15'!U$39),'Übung 15'!U$39,0)</f>
        <v/>
      </c>
      <c r="R96" s="61">
        <f>IF(ISNUMBER('Übung 16'!U$39),'Übung 16'!U$39,0)</f>
        <v/>
      </c>
      <c r="S96" s="61">
        <f>IF(ISNUMBER('Übung 17'!U$39),'Übung 17'!U$39,0)</f>
        <v/>
      </c>
      <c r="T96" s="61">
        <f>IF(ISNUMBER('Übung 18'!U$39),'Übung 18'!U$39,0)</f>
        <v/>
      </c>
      <c r="U96" s="61">
        <f>IF(ISNUMBER('Übung 19'!U$39),'Übung 19'!U$39,0)</f>
        <v/>
      </c>
      <c r="V96" s="61">
        <f>IF(ISNUMBER('Übung 20'!U$39),'Übung 20'!U$39,0)</f>
        <v/>
      </c>
    </row>
    <row r="97">
      <c r="C97" s="61">
        <f>IF(ISNUMBER('Übung 01'!V$39),'Übung 01'!V$39,0)</f>
        <v/>
      </c>
      <c r="D97" s="61">
        <f>IF(ISNUMBER('Übung 02'!V$39),'Übung 02'!V$39,0)</f>
        <v/>
      </c>
      <c r="E97" s="61">
        <f>IF(ISNUMBER('Übung 03'!V$39),'Übung 03'!V$39,0)</f>
        <v/>
      </c>
      <c r="F97" s="61">
        <f>IF(ISNUMBER('Übung 04'!V$39),'Übung 04'!V$39,0)</f>
        <v/>
      </c>
      <c r="G97" s="61">
        <f>IF(ISNUMBER('Übung 05'!V$39),'Übung 05'!V$39,0)</f>
        <v/>
      </c>
      <c r="H97" s="61">
        <f>IF(ISNUMBER('Übung 06'!V$39),'Übung 06'!V$39,0)</f>
        <v/>
      </c>
      <c r="I97" s="61">
        <f>IF(ISNUMBER('Übung 07'!V$39),'Übung 07'!V$39,0)</f>
        <v/>
      </c>
      <c r="J97" s="61">
        <f>IF(ISNUMBER('Übung 08'!V$39),'Übung 08'!V$39,0)</f>
        <v/>
      </c>
      <c r="K97" s="61">
        <f>IF(ISNUMBER('Übung 09'!V$39),'Übung 09'!V$39,0)</f>
        <v/>
      </c>
      <c r="L97" s="61">
        <f>IF(ISNUMBER('Übung 10'!V$39),'Übung 10'!V$39,0)</f>
        <v/>
      </c>
      <c r="M97" s="61">
        <f>IF(ISNUMBER('Übung 11'!V$39),'Übung 11'!V$39,0)</f>
        <v/>
      </c>
      <c r="N97" s="61">
        <f>IF(ISNUMBER('Übung 12'!V$39),'Übung 12'!V$39,0)</f>
        <v/>
      </c>
      <c r="O97" s="61">
        <f>IF(ISNUMBER('Übung 13'!V$39),'Übung 13'!V$39,0)</f>
        <v/>
      </c>
      <c r="P97" s="61">
        <f>IF(ISNUMBER('Übung 14'!V$39),'Übung 14'!V$39,0)</f>
        <v/>
      </c>
      <c r="Q97" s="61">
        <f>IF(ISNUMBER('Übung 15'!V$39),'Übung 15'!V$39,0)</f>
        <v/>
      </c>
      <c r="R97" s="61">
        <f>IF(ISNUMBER('Übung 16'!V$39),'Übung 16'!V$39,0)</f>
        <v/>
      </c>
      <c r="S97" s="61">
        <f>IF(ISNUMBER('Übung 17'!V$39),'Übung 17'!V$39,0)</f>
        <v/>
      </c>
      <c r="T97" s="61">
        <f>IF(ISNUMBER('Übung 18'!V$39),'Übung 18'!V$39,0)</f>
        <v/>
      </c>
      <c r="U97" s="61">
        <f>IF(ISNUMBER('Übung 19'!V$39),'Übung 19'!V$39,0)</f>
        <v/>
      </c>
      <c r="V97" s="61">
        <f>IF(ISNUMBER('Übung 20'!V$39),'Übung 20'!V$39,0)</f>
        <v/>
      </c>
    </row>
    <row r="98">
      <c r="C98" s="61">
        <f>IF(ISNUMBER('Übung 01'!W$39),'Übung 01'!W$39,0)</f>
        <v/>
      </c>
      <c r="D98" s="61">
        <f>IF(ISNUMBER('Übung 02'!W$39),'Übung 02'!W$39,0)</f>
        <v/>
      </c>
      <c r="E98" s="61">
        <f>IF(ISNUMBER('Übung 03'!W$39),'Übung 03'!W$39,0)</f>
        <v/>
      </c>
      <c r="F98" s="61">
        <f>IF(ISNUMBER('Übung 04'!W$39),'Übung 04'!W$39,0)</f>
        <v/>
      </c>
      <c r="G98" s="61">
        <f>IF(ISNUMBER('Übung 05'!W$39),'Übung 05'!W$39,0)</f>
        <v/>
      </c>
      <c r="H98" s="61">
        <f>IF(ISNUMBER('Übung 06'!W$39),'Übung 06'!W$39,0)</f>
        <v/>
      </c>
      <c r="I98" s="61">
        <f>IF(ISNUMBER('Übung 07'!W$39),'Übung 07'!W$39,0)</f>
        <v/>
      </c>
      <c r="J98" s="61">
        <f>IF(ISNUMBER('Übung 08'!W$39),'Übung 08'!W$39,0)</f>
        <v/>
      </c>
      <c r="K98" s="61">
        <f>IF(ISNUMBER('Übung 09'!W$39),'Übung 09'!W$39,0)</f>
        <v/>
      </c>
      <c r="L98" s="61">
        <f>IF(ISNUMBER('Übung 10'!W$39),'Übung 10'!W$39,0)</f>
        <v/>
      </c>
      <c r="M98" s="61">
        <f>IF(ISNUMBER('Übung 11'!W$39),'Übung 11'!W$39,0)</f>
        <v/>
      </c>
      <c r="N98" s="61">
        <f>IF(ISNUMBER('Übung 12'!W$39),'Übung 12'!W$39,0)</f>
        <v/>
      </c>
      <c r="O98" s="61">
        <f>IF(ISNUMBER('Übung 13'!W$39),'Übung 13'!W$39,0)</f>
        <v/>
      </c>
      <c r="P98" s="61">
        <f>IF(ISNUMBER('Übung 14'!W$39),'Übung 14'!W$39,0)</f>
        <v/>
      </c>
      <c r="Q98" s="61">
        <f>IF(ISNUMBER('Übung 15'!W$39),'Übung 15'!W$39,0)</f>
        <v/>
      </c>
      <c r="R98" s="61">
        <f>IF(ISNUMBER('Übung 16'!W$39),'Übung 16'!W$39,0)</f>
        <v/>
      </c>
      <c r="S98" s="61">
        <f>IF(ISNUMBER('Übung 17'!W$39),'Übung 17'!W$39,0)</f>
        <v/>
      </c>
      <c r="T98" s="61">
        <f>IF(ISNUMBER('Übung 18'!W$39),'Übung 18'!W$39,0)</f>
        <v/>
      </c>
      <c r="U98" s="61">
        <f>IF(ISNUMBER('Übung 19'!W$39),'Übung 19'!W$39,0)</f>
        <v/>
      </c>
      <c r="V98" s="61">
        <f>IF(ISNUMBER('Übung 20'!W$39),'Übung 20'!W$39,0)</f>
        <v/>
      </c>
    </row>
    <row r="99">
      <c r="C99" s="61">
        <f>IF(ISNUMBER('Übung 01'!X$39),'Übung 01'!X$39,0)</f>
        <v/>
      </c>
      <c r="D99" s="61">
        <f>IF(ISNUMBER('Übung 02'!X$39),'Übung 02'!X$39,0)</f>
        <v/>
      </c>
      <c r="E99" s="61">
        <f>IF(ISNUMBER('Übung 03'!X$39),'Übung 03'!X$39,0)</f>
        <v/>
      </c>
      <c r="F99" s="61">
        <f>IF(ISNUMBER('Übung 04'!X$39),'Übung 04'!X$39,0)</f>
        <v/>
      </c>
      <c r="G99" s="61">
        <f>IF(ISNUMBER('Übung 05'!X$39),'Übung 05'!X$39,0)</f>
        <v/>
      </c>
      <c r="H99" s="61">
        <f>IF(ISNUMBER('Übung 06'!X$39),'Übung 06'!X$39,0)</f>
        <v/>
      </c>
      <c r="I99" s="61">
        <f>IF(ISNUMBER('Übung 07'!X$39),'Übung 07'!X$39,0)</f>
        <v/>
      </c>
      <c r="J99" s="61">
        <f>IF(ISNUMBER('Übung 08'!X$39),'Übung 08'!X$39,0)</f>
        <v/>
      </c>
      <c r="K99" s="61">
        <f>IF(ISNUMBER('Übung 09'!X$39),'Übung 09'!X$39,0)</f>
        <v/>
      </c>
      <c r="L99" s="61">
        <f>IF(ISNUMBER('Übung 10'!X$39),'Übung 10'!X$39,0)</f>
        <v/>
      </c>
      <c r="M99" s="61">
        <f>IF(ISNUMBER('Übung 11'!X$39),'Übung 11'!X$39,0)</f>
        <v/>
      </c>
      <c r="N99" s="61">
        <f>IF(ISNUMBER('Übung 12'!X$39),'Übung 12'!X$39,0)</f>
        <v/>
      </c>
      <c r="O99" s="61">
        <f>IF(ISNUMBER('Übung 13'!X$39),'Übung 13'!X$39,0)</f>
        <v/>
      </c>
      <c r="P99" s="61">
        <f>IF(ISNUMBER('Übung 14'!X$39),'Übung 14'!X$39,0)</f>
        <v/>
      </c>
      <c r="Q99" s="61">
        <f>IF(ISNUMBER('Übung 15'!X$39),'Übung 15'!X$39,0)</f>
        <v/>
      </c>
      <c r="R99" s="61">
        <f>IF(ISNUMBER('Übung 16'!X$39),'Übung 16'!X$39,0)</f>
        <v/>
      </c>
      <c r="S99" s="61">
        <f>IF(ISNUMBER('Übung 17'!X$39),'Übung 17'!X$39,0)</f>
        <v/>
      </c>
      <c r="T99" s="61">
        <f>IF(ISNUMBER('Übung 18'!X$39),'Übung 18'!X$39,0)</f>
        <v/>
      </c>
      <c r="U99" s="61">
        <f>IF(ISNUMBER('Übung 19'!X$39),'Übung 19'!X$39,0)</f>
        <v/>
      </c>
      <c r="V99" s="61">
        <f>IF(ISNUMBER('Übung 20'!X$39),'Übung 20'!X$39,0)</f>
        <v/>
      </c>
    </row>
    <row r="100">
      <c r="C100" s="61">
        <f>IF(ISNUMBER('Übung 01'!Y$39),'Übung 01'!Y$39,0)</f>
        <v/>
      </c>
      <c r="D100" s="61">
        <f>IF(ISNUMBER('Übung 02'!Y$39),'Übung 02'!Y$39,0)</f>
        <v/>
      </c>
      <c r="E100" s="61">
        <f>IF(ISNUMBER('Übung 03'!Y$39),'Übung 03'!Y$39,0)</f>
        <v/>
      </c>
      <c r="F100" s="61">
        <f>IF(ISNUMBER('Übung 04'!Y$39),'Übung 04'!Y$39,0)</f>
        <v/>
      </c>
      <c r="G100" s="61">
        <f>IF(ISNUMBER('Übung 05'!Y$39),'Übung 05'!Y$39,0)</f>
        <v/>
      </c>
      <c r="H100" s="61">
        <f>IF(ISNUMBER('Übung 06'!Y$39),'Übung 06'!Y$39,0)</f>
        <v/>
      </c>
      <c r="I100" s="61">
        <f>IF(ISNUMBER('Übung 07'!Y$39),'Übung 07'!Y$39,0)</f>
        <v/>
      </c>
      <c r="J100" s="61">
        <f>IF(ISNUMBER('Übung 08'!Y$39),'Übung 08'!Y$39,0)</f>
        <v/>
      </c>
      <c r="K100" s="61">
        <f>IF(ISNUMBER('Übung 09'!Y$39),'Übung 09'!Y$39,0)</f>
        <v/>
      </c>
      <c r="L100" s="61">
        <f>IF(ISNUMBER('Übung 10'!Y$39),'Übung 10'!Y$39,0)</f>
        <v/>
      </c>
      <c r="M100" s="61">
        <f>IF(ISNUMBER('Übung 11'!Y$39),'Übung 11'!Y$39,0)</f>
        <v/>
      </c>
      <c r="N100" s="61">
        <f>IF(ISNUMBER('Übung 12'!Y$39),'Übung 12'!Y$39,0)</f>
        <v/>
      </c>
      <c r="O100" s="61">
        <f>IF(ISNUMBER('Übung 13'!Y$39),'Übung 13'!Y$39,0)</f>
        <v/>
      </c>
      <c r="P100" s="61">
        <f>IF(ISNUMBER('Übung 14'!Y$39),'Übung 14'!Y$39,0)</f>
        <v/>
      </c>
      <c r="Q100" s="61">
        <f>IF(ISNUMBER('Übung 15'!Y$39),'Übung 15'!Y$39,0)</f>
        <v/>
      </c>
      <c r="R100" s="61">
        <f>IF(ISNUMBER('Übung 16'!Y$39),'Übung 16'!Y$39,0)</f>
        <v/>
      </c>
      <c r="S100" s="61">
        <f>IF(ISNUMBER('Übung 17'!Y$39),'Übung 17'!Y$39,0)</f>
        <v/>
      </c>
      <c r="T100" s="61">
        <f>IF(ISNUMBER('Übung 18'!Y$39),'Übung 18'!Y$39,0)</f>
        <v/>
      </c>
      <c r="U100" s="61">
        <f>IF(ISNUMBER('Übung 19'!Y$39),'Übung 19'!Y$39,0)</f>
        <v/>
      </c>
      <c r="V100" s="61">
        <f>IF(ISNUMBER('Übung 20'!Y$39),'Übung 20'!Y$39,0)</f>
        <v/>
      </c>
    </row>
    <row r="101">
      <c r="C101" s="61">
        <f>IF(ISNUMBER('Übung 01'!Z$39),'Übung 01'!Z$39,0)</f>
        <v/>
      </c>
      <c r="D101" s="61">
        <f>IF(ISNUMBER('Übung 02'!Z$39),'Übung 02'!Z$39,0)</f>
        <v/>
      </c>
      <c r="E101" s="61">
        <f>IF(ISNUMBER('Übung 03'!Z$39),'Übung 03'!Z$39,0)</f>
        <v/>
      </c>
      <c r="F101" s="61">
        <f>IF(ISNUMBER('Übung 04'!Z$39),'Übung 04'!Z$39,0)</f>
        <v/>
      </c>
      <c r="G101" s="61">
        <f>IF(ISNUMBER('Übung 05'!Z$39),'Übung 05'!Z$39,0)</f>
        <v/>
      </c>
      <c r="H101" s="61">
        <f>IF(ISNUMBER('Übung 06'!Z$39),'Übung 06'!Z$39,0)</f>
        <v/>
      </c>
      <c r="I101" s="61">
        <f>IF(ISNUMBER('Übung 07'!Z$39),'Übung 07'!Z$39,0)</f>
        <v/>
      </c>
      <c r="J101" s="61">
        <f>IF(ISNUMBER('Übung 08'!Z$39),'Übung 08'!Z$39,0)</f>
        <v/>
      </c>
      <c r="K101" s="61">
        <f>IF(ISNUMBER('Übung 09'!Z$39),'Übung 09'!Z$39,0)</f>
        <v/>
      </c>
      <c r="L101" s="61">
        <f>IF(ISNUMBER('Übung 10'!Z$39),'Übung 10'!Z$39,0)</f>
        <v/>
      </c>
      <c r="M101" s="61">
        <f>IF(ISNUMBER('Übung 11'!Z$39),'Übung 11'!Z$39,0)</f>
        <v/>
      </c>
      <c r="N101" s="61">
        <f>IF(ISNUMBER('Übung 12'!Z$39),'Übung 12'!Z$39,0)</f>
        <v/>
      </c>
      <c r="O101" s="61">
        <f>IF(ISNUMBER('Übung 13'!Z$39),'Übung 13'!Z$39,0)</f>
        <v/>
      </c>
      <c r="P101" s="61">
        <f>IF(ISNUMBER('Übung 14'!Z$39),'Übung 14'!Z$39,0)</f>
        <v/>
      </c>
      <c r="Q101" s="61">
        <f>IF(ISNUMBER('Übung 15'!Z$39),'Übung 15'!Z$39,0)</f>
        <v/>
      </c>
      <c r="R101" s="61">
        <f>IF(ISNUMBER('Übung 16'!Z$39),'Übung 16'!Z$39,0)</f>
        <v/>
      </c>
      <c r="S101" s="61">
        <f>IF(ISNUMBER('Übung 17'!Z$39),'Übung 17'!Z$39,0)</f>
        <v/>
      </c>
      <c r="T101" s="61">
        <f>IF(ISNUMBER('Übung 18'!Z$39),'Übung 18'!Z$39,0)</f>
        <v/>
      </c>
      <c r="U101" s="61">
        <f>IF(ISNUMBER('Übung 19'!Z$39),'Übung 19'!Z$39,0)</f>
        <v/>
      </c>
      <c r="V101" s="61">
        <f>IF(ISNUMBER('Übung 20'!Z$39),'Übung 20'!Z$39,0)</f>
        <v/>
      </c>
    </row>
    <row r="102">
      <c r="C102" s="61">
        <f>IF(ISNUMBER('Übung 01'!AA$39),'Übung 01'!AA$39,0)</f>
        <v/>
      </c>
      <c r="D102" s="61">
        <f>IF(ISNUMBER('Übung 02'!AA$39),'Übung 02'!AA$39,0)</f>
        <v/>
      </c>
      <c r="E102" s="61">
        <f>IF(ISNUMBER('Übung 03'!AA$39),'Übung 03'!AA$39,0)</f>
        <v/>
      </c>
      <c r="F102" s="61">
        <f>IF(ISNUMBER('Übung 04'!AA$39),'Übung 04'!AA$39,0)</f>
        <v/>
      </c>
      <c r="G102" s="61">
        <f>IF(ISNUMBER('Übung 05'!AA$39),'Übung 05'!AA$39,0)</f>
        <v/>
      </c>
      <c r="H102" s="61">
        <f>IF(ISNUMBER('Übung 06'!AA$39),'Übung 06'!AA$39,0)</f>
        <v/>
      </c>
      <c r="I102" s="61">
        <f>IF(ISNUMBER('Übung 07'!AA$39),'Übung 07'!AA$39,0)</f>
        <v/>
      </c>
      <c r="J102" s="61">
        <f>IF(ISNUMBER('Übung 08'!AA$39),'Übung 08'!AA$39,0)</f>
        <v/>
      </c>
      <c r="K102" s="61">
        <f>IF(ISNUMBER('Übung 09'!AA$39),'Übung 09'!AA$39,0)</f>
        <v/>
      </c>
      <c r="L102" s="61">
        <f>IF(ISNUMBER('Übung 10'!AA$39),'Übung 10'!AA$39,0)</f>
        <v/>
      </c>
      <c r="M102" s="61">
        <f>IF(ISNUMBER('Übung 11'!AA$39),'Übung 11'!AA$39,0)</f>
        <v/>
      </c>
      <c r="N102" s="61">
        <f>IF(ISNUMBER('Übung 12'!AA$39),'Übung 12'!AA$39,0)</f>
        <v/>
      </c>
      <c r="O102" s="61">
        <f>IF(ISNUMBER('Übung 13'!AA$39),'Übung 13'!AA$39,0)</f>
        <v/>
      </c>
      <c r="P102" s="61">
        <f>IF(ISNUMBER('Übung 14'!AA$39),'Übung 14'!AA$39,0)</f>
        <v/>
      </c>
      <c r="Q102" s="61">
        <f>IF(ISNUMBER('Übung 15'!AA$39),'Übung 15'!AA$39,0)</f>
        <v/>
      </c>
      <c r="R102" s="61">
        <f>IF(ISNUMBER('Übung 16'!AA$39),'Übung 16'!AA$39,0)</f>
        <v/>
      </c>
      <c r="S102" s="61">
        <f>IF(ISNUMBER('Übung 17'!AA$39),'Übung 17'!AA$39,0)</f>
        <v/>
      </c>
      <c r="T102" s="61">
        <f>IF(ISNUMBER('Übung 18'!AA$39),'Übung 18'!AA$39,0)</f>
        <v/>
      </c>
      <c r="U102" s="61">
        <f>IF(ISNUMBER('Übung 19'!AA$39),'Übung 19'!AA$39,0)</f>
        <v/>
      </c>
      <c r="V102" s="61">
        <f>IF(ISNUMBER('Übung 20'!AA$39),'Übung 20'!AA$39,0)</f>
        <v/>
      </c>
    </row>
    <row r="103">
      <c r="C103" s="61">
        <f>IF(ISNUMBER('Übung 01'!AB$39),'Übung 01'!AB$39,0)</f>
        <v/>
      </c>
      <c r="D103" s="61">
        <f>IF(ISNUMBER('Übung 02'!AB$39),'Übung 02'!AB$39,0)</f>
        <v/>
      </c>
      <c r="E103" s="61">
        <f>IF(ISNUMBER('Übung 03'!AB$39),'Übung 03'!AB$39,0)</f>
        <v/>
      </c>
      <c r="F103" s="61">
        <f>IF(ISNUMBER('Übung 04'!AB$39),'Übung 04'!AB$39,0)</f>
        <v/>
      </c>
      <c r="G103" s="61">
        <f>IF(ISNUMBER('Übung 05'!AB$39),'Übung 05'!AB$39,0)</f>
        <v/>
      </c>
      <c r="H103" s="61">
        <f>IF(ISNUMBER('Übung 06'!AB$39),'Übung 06'!AB$39,0)</f>
        <v/>
      </c>
      <c r="I103" s="61">
        <f>IF(ISNUMBER('Übung 07'!AB$39),'Übung 07'!AB$39,0)</f>
        <v/>
      </c>
      <c r="J103" s="61">
        <f>IF(ISNUMBER('Übung 08'!AB$39),'Übung 08'!AB$39,0)</f>
        <v/>
      </c>
      <c r="K103" s="61">
        <f>IF(ISNUMBER('Übung 09'!AB$39),'Übung 09'!AB$39,0)</f>
        <v/>
      </c>
      <c r="L103" s="61">
        <f>IF(ISNUMBER('Übung 10'!AB$39),'Übung 10'!AB$39,0)</f>
        <v/>
      </c>
      <c r="M103" s="61">
        <f>IF(ISNUMBER('Übung 11'!AB$39),'Übung 11'!AB$39,0)</f>
        <v/>
      </c>
      <c r="N103" s="61">
        <f>IF(ISNUMBER('Übung 12'!AB$39),'Übung 12'!AB$39,0)</f>
        <v/>
      </c>
      <c r="O103" s="61">
        <f>IF(ISNUMBER('Übung 13'!AB$39),'Übung 13'!AB$39,0)</f>
        <v/>
      </c>
      <c r="P103" s="61">
        <f>IF(ISNUMBER('Übung 14'!AB$39),'Übung 14'!AB$39,0)</f>
        <v/>
      </c>
      <c r="Q103" s="61">
        <f>IF(ISNUMBER('Übung 15'!AB$39),'Übung 15'!AB$39,0)</f>
        <v/>
      </c>
      <c r="R103" s="61">
        <f>IF(ISNUMBER('Übung 16'!AB$39),'Übung 16'!AB$39,0)</f>
        <v/>
      </c>
      <c r="S103" s="61">
        <f>IF(ISNUMBER('Übung 17'!AB$39),'Übung 17'!AB$39,0)</f>
        <v/>
      </c>
      <c r="T103" s="61">
        <f>IF(ISNUMBER('Übung 18'!AB$39),'Übung 18'!AB$39,0)</f>
        <v/>
      </c>
      <c r="U103" s="61">
        <f>IF(ISNUMBER('Übung 19'!AB$39),'Übung 19'!AB$39,0)</f>
        <v/>
      </c>
      <c r="V103" s="61">
        <f>IF(ISNUMBER('Übung 20'!AB$39),'Übung 20'!AB$39,0)</f>
        <v/>
      </c>
    </row>
    <row r="104">
      <c r="C104" s="61">
        <f>IF(ISNUMBER('Übung 01'!AC$39),'Übung 01'!AC$39,0)</f>
        <v/>
      </c>
      <c r="D104" s="61">
        <f>IF(ISNUMBER('Übung 02'!AC$39),'Übung 02'!AC$39,0)</f>
        <v/>
      </c>
      <c r="E104" s="61">
        <f>IF(ISNUMBER('Übung 03'!AC$39),'Übung 03'!AC$39,0)</f>
        <v/>
      </c>
      <c r="F104" s="61">
        <f>IF(ISNUMBER('Übung 04'!AC$39),'Übung 04'!AC$39,0)</f>
        <v/>
      </c>
      <c r="G104" s="61">
        <f>IF(ISNUMBER('Übung 05'!AC$39),'Übung 05'!AC$39,0)</f>
        <v/>
      </c>
      <c r="H104" s="61">
        <f>IF(ISNUMBER('Übung 06'!AC$39),'Übung 06'!AC$39,0)</f>
        <v/>
      </c>
      <c r="I104" s="61">
        <f>IF(ISNUMBER('Übung 07'!AC$39),'Übung 07'!AC$39,0)</f>
        <v/>
      </c>
      <c r="J104" s="61">
        <f>IF(ISNUMBER('Übung 08'!AC$39),'Übung 08'!AC$39,0)</f>
        <v/>
      </c>
      <c r="K104" s="61">
        <f>IF(ISNUMBER('Übung 09'!AC$39),'Übung 09'!AC$39,0)</f>
        <v/>
      </c>
      <c r="L104" s="61">
        <f>IF(ISNUMBER('Übung 10'!AC$39),'Übung 10'!AC$39,0)</f>
        <v/>
      </c>
      <c r="M104" s="61">
        <f>IF(ISNUMBER('Übung 11'!AC$39),'Übung 11'!AC$39,0)</f>
        <v/>
      </c>
      <c r="N104" s="61">
        <f>IF(ISNUMBER('Übung 12'!AC$39),'Übung 12'!AC$39,0)</f>
        <v/>
      </c>
      <c r="O104" s="61">
        <f>IF(ISNUMBER('Übung 13'!AC$39),'Übung 13'!AC$39,0)</f>
        <v/>
      </c>
      <c r="P104" s="61">
        <f>IF(ISNUMBER('Übung 14'!AC$39),'Übung 14'!AC$39,0)</f>
        <v/>
      </c>
      <c r="Q104" s="61">
        <f>IF(ISNUMBER('Übung 15'!AC$39),'Übung 15'!AC$39,0)</f>
        <v/>
      </c>
      <c r="R104" s="61">
        <f>IF(ISNUMBER('Übung 16'!AC$39),'Übung 16'!AC$39,0)</f>
        <v/>
      </c>
      <c r="S104" s="61">
        <f>IF(ISNUMBER('Übung 17'!AC$39),'Übung 17'!AC$39,0)</f>
        <v/>
      </c>
      <c r="T104" s="61">
        <f>IF(ISNUMBER('Übung 18'!AC$39),'Übung 18'!AC$39,0)</f>
        <v/>
      </c>
      <c r="U104" s="61">
        <f>IF(ISNUMBER('Übung 19'!AC$39),'Übung 19'!AC$39,0)</f>
        <v/>
      </c>
      <c r="V104" s="61">
        <f>IF(ISNUMBER('Übung 20'!AC$39),'Übung 20'!AC$39,0)</f>
        <v/>
      </c>
    </row>
    <row r="109">
      <c r="A109" s="162" t="inlineStr">
        <is>
          <t>Punkte</t>
        </is>
      </c>
    </row>
    <row r="110">
      <c r="C110" s="61">
        <f>IF(ISNUMBER('Übung 01'!E$37),'Übung 01'!E$37,0)</f>
        <v/>
      </c>
      <c r="D110" s="61">
        <f>IF(ISNUMBER('Übung 02'!E$37),'Übung 02'!E$37,0)</f>
        <v/>
      </c>
      <c r="E110" s="61">
        <f>IF(ISNUMBER('Übung 03'!E$37),'Übung 03'!E$37,0)</f>
        <v/>
      </c>
      <c r="F110" s="61">
        <f>IF(ISNUMBER('Übung 04'!E$37),'Übung 04'!E$37,0)</f>
        <v/>
      </c>
      <c r="G110" s="61">
        <f>IF(ISNUMBER('Übung 05'!E$37),'Übung 05'!E$37,0)</f>
        <v/>
      </c>
      <c r="H110" s="61">
        <f>IF(ISNUMBER('Übung 06'!E$37),'Übung 06'!E$37,0)</f>
        <v/>
      </c>
      <c r="I110" s="61">
        <f>IF(ISNUMBER('Übung 07'!E$37),'Übung 07'!E$37,0)</f>
        <v/>
      </c>
      <c r="J110" s="61">
        <f>IF(ISNUMBER('Übung 08'!E$37),'Übung 08'!E$37,0)</f>
        <v/>
      </c>
      <c r="K110" s="61">
        <f>IF(ISNUMBER('Übung 09'!E$37),'Übung 09'!E$37,0)</f>
        <v/>
      </c>
      <c r="L110" s="61">
        <f>IF(ISNUMBER('Übung 10'!E$37),'Übung 10'!E$37,0)</f>
        <v/>
      </c>
      <c r="M110" s="61">
        <f>IF(ISNUMBER('Übung 11'!E$37),'Übung 11'!E$37,0)</f>
        <v/>
      </c>
      <c r="N110" s="61">
        <f>IF(ISNUMBER('Übung 12'!E$37),'Übung 12'!E$37,0)</f>
        <v/>
      </c>
      <c r="O110" s="61">
        <f>IF(ISNUMBER('Übung 13'!E$37),'Übung 13'!E$37,0)</f>
        <v/>
      </c>
      <c r="P110" s="61">
        <f>IF(ISNUMBER('Übung 14'!E$37),'Übung 14'!E$37,0)</f>
        <v/>
      </c>
      <c r="Q110" s="61">
        <f>IF(ISNUMBER('Übung 15'!E$37),'Übung 15'!E$37,0)</f>
        <v/>
      </c>
      <c r="R110" s="61">
        <f>IF(ISNUMBER('Übung 16'!E$37),'Übung 16'!E$37,0)</f>
        <v/>
      </c>
      <c r="S110" s="61">
        <f>IF(ISNUMBER('Übung 17'!E$37),'Übung 17'!E$37,0)</f>
        <v/>
      </c>
      <c r="T110" s="61">
        <f>IF(ISNUMBER('Übung 18'!E$37),'Übung 18'!E$37,0)</f>
        <v/>
      </c>
      <c r="U110" s="61">
        <f>IF(ISNUMBER('Übung 19'!E$37),'Übung 19'!E$37,0)</f>
        <v/>
      </c>
      <c r="V110" s="61">
        <f>IF(ISNUMBER('Übung 20'!E$37),'Übung 20'!E$37,0)</f>
        <v/>
      </c>
    </row>
    <row r="111">
      <c r="C111" s="61">
        <f>IF(ISNUMBER('Übung 01'!F$37),'Übung 01'!F$37,0)</f>
        <v/>
      </c>
      <c r="D111" s="61">
        <f>IF(ISNUMBER('Übung 02'!F$37),'Übung 02'!F$37,0)</f>
        <v/>
      </c>
      <c r="E111" s="61">
        <f>IF(ISNUMBER('Übung 03'!F$37),'Übung 03'!F$37,0)</f>
        <v/>
      </c>
      <c r="F111" s="61">
        <f>IF(ISNUMBER('Übung 04'!F$37),'Übung 04'!F$37,0)</f>
        <v/>
      </c>
      <c r="G111" s="61">
        <f>IF(ISNUMBER('Übung 05'!F$37),'Übung 05'!F$37,0)</f>
        <v/>
      </c>
      <c r="H111" s="61">
        <f>IF(ISNUMBER('Übung 06'!F$37),'Übung 06'!F$37,0)</f>
        <v/>
      </c>
      <c r="I111" s="61">
        <f>IF(ISNUMBER('Übung 07'!F$37),'Übung 07'!F$37,0)</f>
        <v/>
      </c>
      <c r="J111" s="61">
        <f>IF(ISNUMBER('Übung 08'!F$37),'Übung 08'!F$37,0)</f>
        <v/>
      </c>
      <c r="K111" s="61">
        <f>IF(ISNUMBER('Übung 09'!F$37),'Übung 09'!F$37,0)</f>
        <v/>
      </c>
      <c r="L111" s="61">
        <f>IF(ISNUMBER('Übung 10'!F$37),'Übung 10'!F$37,0)</f>
        <v/>
      </c>
      <c r="M111" s="61">
        <f>IF(ISNUMBER('Übung 11'!F$37),'Übung 11'!F$37,0)</f>
        <v/>
      </c>
      <c r="N111" s="61">
        <f>IF(ISNUMBER('Übung 12'!F$37),'Übung 12'!F$37,0)</f>
        <v/>
      </c>
      <c r="O111" s="61">
        <f>IF(ISNUMBER('Übung 13'!F$37),'Übung 13'!F$37,0)</f>
        <v/>
      </c>
      <c r="P111" s="61">
        <f>IF(ISNUMBER('Übung 14'!F$37),'Übung 14'!F$37,0)</f>
        <v/>
      </c>
      <c r="Q111" s="61">
        <f>IF(ISNUMBER('Übung 15'!F$37),'Übung 15'!F$37,0)</f>
        <v/>
      </c>
      <c r="R111" s="61">
        <f>IF(ISNUMBER('Übung 16'!F$37),'Übung 16'!F$37,0)</f>
        <v/>
      </c>
      <c r="S111" s="61">
        <f>IF(ISNUMBER('Übung 17'!F$37),'Übung 17'!F$37,0)</f>
        <v/>
      </c>
      <c r="T111" s="61">
        <f>IF(ISNUMBER('Übung 18'!F$37),'Übung 18'!F$37,0)</f>
        <v/>
      </c>
      <c r="U111" s="61">
        <f>IF(ISNUMBER('Übung 19'!F$37),'Übung 19'!F$37,0)</f>
        <v/>
      </c>
      <c r="V111" s="61">
        <f>IF(ISNUMBER('Übung 20'!F$37),'Übung 20'!F$37,0)</f>
        <v/>
      </c>
    </row>
    <row r="112">
      <c r="C112" s="61">
        <f>IF(ISNUMBER('Übung 01'!G$37),'Übung 01'!G$37,0)</f>
        <v/>
      </c>
      <c r="D112" s="61">
        <f>IF(ISNUMBER('Übung 02'!G$37),'Übung 02'!G$37,0)</f>
        <v/>
      </c>
      <c r="E112" s="61">
        <f>IF(ISNUMBER('Übung 03'!G$37),'Übung 03'!G$37,0)</f>
        <v/>
      </c>
      <c r="F112" s="61">
        <f>IF(ISNUMBER('Übung 04'!G$37),'Übung 04'!G$37,0)</f>
        <v/>
      </c>
      <c r="G112" s="61">
        <f>IF(ISNUMBER('Übung 05'!G$37),'Übung 05'!G$37,0)</f>
        <v/>
      </c>
      <c r="H112" s="61">
        <f>IF(ISNUMBER('Übung 06'!G$37),'Übung 06'!G$37,0)</f>
        <v/>
      </c>
      <c r="I112" s="61">
        <f>IF(ISNUMBER('Übung 07'!G$37),'Übung 07'!G$37,0)</f>
        <v/>
      </c>
      <c r="J112" s="61">
        <f>IF(ISNUMBER('Übung 08'!G$37),'Übung 08'!G$37,0)</f>
        <v/>
      </c>
      <c r="K112" s="61">
        <f>IF(ISNUMBER('Übung 09'!G$37),'Übung 09'!G$37,0)</f>
        <v/>
      </c>
      <c r="L112" s="61">
        <f>IF(ISNUMBER('Übung 10'!G$37),'Übung 10'!G$37,0)</f>
        <v/>
      </c>
      <c r="M112" s="61">
        <f>IF(ISNUMBER('Übung 11'!G$37),'Übung 11'!G$37,0)</f>
        <v/>
      </c>
      <c r="N112" s="61">
        <f>IF(ISNUMBER('Übung 12'!G$37),'Übung 12'!G$37,0)</f>
        <v/>
      </c>
      <c r="O112" s="61">
        <f>IF(ISNUMBER('Übung 13'!G$37),'Übung 13'!G$37,0)</f>
        <v/>
      </c>
      <c r="P112" s="61">
        <f>IF(ISNUMBER('Übung 14'!G$37),'Übung 14'!G$37,0)</f>
        <v/>
      </c>
      <c r="Q112" s="61">
        <f>IF(ISNUMBER('Übung 15'!G$37),'Übung 15'!G$37,0)</f>
        <v/>
      </c>
      <c r="R112" s="61">
        <f>IF(ISNUMBER('Übung 16'!G$37),'Übung 16'!G$37,0)</f>
        <v/>
      </c>
      <c r="S112" s="61">
        <f>IF(ISNUMBER('Übung 17'!G$37),'Übung 17'!G$37,0)</f>
        <v/>
      </c>
      <c r="T112" s="61">
        <f>IF(ISNUMBER('Übung 18'!G$37),'Übung 18'!G$37,0)</f>
        <v/>
      </c>
      <c r="U112" s="61">
        <f>IF(ISNUMBER('Übung 19'!G$37),'Übung 19'!G$37,0)</f>
        <v/>
      </c>
      <c r="V112" s="61">
        <f>IF(ISNUMBER('Übung 20'!G$37),'Übung 20'!G$37,0)</f>
        <v/>
      </c>
    </row>
    <row r="113">
      <c r="C113" s="61">
        <f>IF(ISNUMBER('Übung 01'!H$37),'Übung 01'!H$37,0)</f>
        <v/>
      </c>
      <c r="D113" s="61">
        <f>IF(ISNUMBER('Übung 02'!H$37),'Übung 02'!H$37,0)</f>
        <v/>
      </c>
      <c r="E113" s="61">
        <f>IF(ISNUMBER('Übung 03'!H$37),'Übung 03'!H$37,0)</f>
        <v/>
      </c>
      <c r="F113" s="61">
        <f>IF(ISNUMBER('Übung 04'!H$37),'Übung 04'!H$37,0)</f>
        <v/>
      </c>
      <c r="G113" s="61">
        <f>IF(ISNUMBER('Übung 05'!H$37),'Übung 05'!H$37,0)</f>
        <v/>
      </c>
      <c r="H113" s="61">
        <f>IF(ISNUMBER('Übung 06'!H$37),'Übung 06'!H$37,0)</f>
        <v/>
      </c>
      <c r="I113" s="61">
        <f>IF(ISNUMBER('Übung 07'!H$37),'Übung 07'!H$37,0)</f>
        <v/>
      </c>
      <c r="J113" s="61">
        <f>IF(ISNUMBER('Übung 08'!H$37),'Übung 08'!H$37,0)</f>
        <v/>
      </c>
      <c r="K113" s="61">
        <f>IF(ISNUMBER('Übung 09'!H$37),'Übung 09'!H$37,0)</f>
        <v/>
      </c>
      <c r="L113" s="61">
        <f>IF(ISNUMBER('Übung 10'!H$37),'Übung 10'!H$37,0)</f>
        <v/>
      </c>
      <c r="M113" s="61">
        <f>IF(ISNUMBER('Übung 11'!H$37),'Übung 11'!H$37,0)</f>
        <v/>
      </c>
      <c r="N113" s="61">
        <f>IF(ISNUMBER('Übung 12'!H$37),'Übung 12'!H$37,0)</f>
        <v/>
      </c>
      <c r="O113" s="61">
        <f>IF(ISNUMBER('Übung 13'!H$37),'Übung 13'!H$37,0)</f>
        <v/>
      </c>
      <c r="P113" s="61">
        <f>IF(ISNUMBER('Übung 14'!H$37),'Übung 14'!H$37,0)</f>
        <v/>
      </c>
      <c r="Q113" s="61">
        <f>IF(ISNUMBER('Übung 15'!H$37),'Übung 15'!H$37,0)</f>
        <v/>
      </c>
      <c r="R113" s="61">
        <f>IF(ISNUMBER('Übung 16'!H$37),'Übung 16'!H$37,0)</f>
        <v/>
      </c>
      <c r="S113" s="61">
        <f>IF(ISNUMBER('Übung 17'!H$37),'Übung 17'!H$37,0)</f>
        <v/>
      </c>
      <c r="T113" s="61">
        <f>IF(ISNUMBER('Übung 18'!H$37),'Übung 18'!H$37,0)</f>
        <v/>
      </c>
      <c r="U113" s="61">
        <f>IF(ISNUMBER('Übung 19'!H$37),'Übung 19'!H$37,0)</f>
        <v/>
      </c>
      <c r="V113" s="61">
        <f>IF(ISNUMBER('Übung 20'!H$37),'Übung 20'!H$37,0)</f>
        <v/>
      </c>
    </row>
    <row r="114">
      <c r="C114" s="61">
        <f>IF(ISNUMBER('Übung 01'!I$37),'Übung 01'!I$37,0)</f>
        <v/>
      </c>
      <c r="D114" s="61">
        <f>IF(ISNUMBER('Übung 02'!I$37),'Übung 02'!I$37,0)</f>
        <v/>
      </c>
      <c r="E114" s="61">
        <f>IF(ISNUMBER('Übung 03'!I$37),'Übung 03'!I$37,0)</f>
        <v/>
      </c>
      <c r="F114" s="61">
        <f>IF(ISNUMBER('Übung 04'!I$37),'Übung 04'!I$37,0)</f>
        <v/>
      </c>
      <c r="G114" s="61">
        <f>IF(ISNUMBER('Übung 05'!I$37),'Übung 05'!I$37,0)</f>
        <v/>
      </c>
      <c r="H114" s="61">
        <f>IF(ISNUMBER('Übung 06'!I$37),'Übung 06'!I$37,0)</f>
        <v/>
      </c>
      <c r="I114" s="61">
        <f>IF(ISNUMBER('Übung 07'!I$37),'Übung 07'!I$37,0)</f>
        <v/>
      </c>
      <c r="J114" s="61">
        <f>IF(ISNUMBER('Übung 08'!I$37),'Übung 08'!I$37,0)</f>
        <v/>
      </c>
      <c r="K114" s="61">
        <f>IF(ISNUMBER('Übung 09'!I$37),'Übung 09'!I$37,0)</f>
        <v/>
      </c>
      <c r="L114" s="61">
        <f>IF(ISNUMBER('Übung 10'!I$37),'Übung 10'!I$37,0)</f>
        <v/>
      </c>
      <c r="M114" s="61">
        <f>IF(ISNUMBER('Übung 11'!I$37),'Übung 11'!I$37,0)</f>
        <v/>
      </c>
      <c r="N114" s="61">
        <f>IF(ISNUMBER('Übung 12'!I$37),'Übung 12'!I$37,0)</f>
        <v/>
      </c>
      <c r="O114" s="61">
        <f>IF(ISNUMBER('Übung 13'!I$37),'Übung 13'!I$37,0)</f>
        <v/>
      </c>
      <c r="P114" s="61">
        <f>IF(ISNUMBER('Übung 14'!I$37),'Übung 14'!I$37,0)</f>
        <v/>
      </c>
      <c r="Q114" s="61">
        <f>IF(ISNUMBER('Übung 15'!I$37),'Übung 15'!I$37,0)</f>
        <v/>
      </c>
      <c r="R114" s="61">
        <f>IF(ISNUMBER('Übung 16'!I$37),'Übung 16'!I$37,0)</f>
        <v/>
      </c>
      <c r="S114" s="61">
        <f>IF(ISNUMBER('Übung 17'!I$37),'Übung 17'!I$37,0)</f>
        <v/>
      </c>
      <c r="T114" s="61">
        <f>IF(ISNUMBER('Übung 18'!I$37),'Übung 18'!I$37,0)</f>
        <v/>
      </c>
      <c r="U114" s="61">
        <f>IF(ISNUMBER('Übung 19'!I$37),'Übung 19'!I$37,0)</f>
        <v/>
      </c>
      <c r="V114" s="61">
        <f>IF(ISNUMBER('Übung 20'!I$37),'Übung 20'!I$37,0)</f>
        <v/>
      </c>
    </row>
    <row r="115">
      <c r="C115" s="61">
        <f>IF(ISNUMBER('Übung 01'!J$37),'Übung 01'!J$37,0)</f>
        <v/>
      </c>
      <c r="D115" s="61">
        <f>IF(ISNUMBER('Übung 02'!J$37),'Übung 02'!J$37,0)</f>
        <v/>
      </c>
      <c r="E115" s="61">
        <f>IF(ISNUMBER('Übung 03'!J$37),'Übung 03'!J$37,0)</f>
        <v/>
      </c>
      <c r="F115" s="61">
        <f>IF(ISNUMBER('Übung 04'!J$37),'Übung 04'!J$37,0)</f>
        <v/>
      </c>
      <c r="G115" s="61">
        <f>IF(ISNUMBER('Übung 05'!J$37),'Übung 05'!J$37,0)</f>
        <v/>
      </c>
      <c r="H115" s="61">
        <f>IF(ISNUMBER('Übung 06'!J$37),'Übung 06'!J$37,0)</f>
        <v/>
      </c>
      <c r="I115" s="61">
        <f>IF(ISNUMBER('Übung 07'!J$37),'Übung 07'!J$37,0)</f>
        <v/>
      </c>
      <c r="J115" s="61">
        <f>IF(ISNUMBER('Übung 08'!J$37),'Übung 08'!J$37,0)</f>
        <v/>
      </c>
      <c r="K115" s="61">
        <f>IF(ISNUMBER('Übung 09'!J$37),'Übung 09'!J$37,0)</f>
        <v/>
      </c>
      <c r="L115" s="61">
        <f>IF(ISNUMBER('Übung 10'!J$37),'Übung 10'!J$37,0)</f>
        <v/>
      </c>
      <c r="M115" s="61">
        <f>IF(ISNUMBER('Übung 11'!J$37),'Übung 11'!J$37,0)</f>
        <v/>
      </c>
      <c r="N115" s="61">
        <f>IF(ISNUMBER('Übung 12'!J$37),'Übung 12'!J$37,0)</f>
        <v/>
      </c>
      <c r="O115" s="61">
        <f>IF(ISNUMBER('Übung 13'!J$37),'Übung 13'!J$37,0)</f>
        <v/>
      </c>
      <c r="P115" s="61">
        <f>IF(ISNUMBER('Übung 14'!J$37),'Übung 14'!J$37,0)</f>
        <v/>
      </c>
      <c r="Q115" s="61">
        <f>IF(ISNUMBER('Übung 15'!J$37),'Übung 15'!J$37,0)</f>
        <v/>
      </c>
      <c r="R115" s="61">
        <f>IF(ISNUMBER('Übung 16'!J$37),'Übung 16'!J$37,0)</f>
        <v/>
      </c>
      <c r="S115" s="61">
        <f>IF(ISNUMBER('Übung 17'!J$37),'Übung 17'!J$37,0)</f>
        <v/>
      </c>
      <c r="T115" s="61">
        <f>IF(ISNUMBER('Übung 18'!J$37),'Übung 18'!J$37,0)</f>
        <v/>
      </c>
      <c r="U115" s="61">
        <f>IF(ISNUMBER('Übung 19'!J$37),'Übung 19'!J$37,0)</f>
        <v/>
      </c>
      <c r="V115" s="61">
        <f>IF(ISNUMBER('Übung 20'!J$37),'Übung 20'!J$37,0)</f>
        <v/>
      </c>
    </row>
    <row r="116">
      <c r="C116" s="61">
        <f>IF(ISNUMBER('Übung 01'!K$37),'Übung 01'!K$37,0)</f>
        <v/>
      </c>
      <c r="D116" s="61">
        <f>IF(ISNUMBER('Übung 02'!K$37),'Übung 02'!K$37,0)</f>
        <v/>
      </c>
      <c r="E116" s="61">
        <f>IF(ISNUMBER('Übung 03'!K$37),'Übung 03'!K$37,0)</f>
        <v/>
      </c>
      <c r="F116" s="61">
        <f>IF(ISNUMBER('Übung 04'!K$37),'Übung 04'!K$37,0)</f>
        <v/>
      </c>
      <c r="G116" s="61">
        <f>IF(ISNUMBER('Übung 05'!K$37),'Übung 05'!K$37,0)</f>
        <v/>
      </c>
      <c r="H116" s="61">
        <f>IF(ISNUMBER('Übung 06'!K$37),'Übung 06'!K$37,0)</f>
        <v/>
      </c>
      <c r="I116" s="61">
        <f>IF(ISNUMBER('Übung 07'!K$37),'Übung 07'!K$37,0)</f>
        <v/>
      </c>
      <c r="J116" s="61">
        <f>IF(ISNUMBER('Übung 08'!K$37),'Übung 08'!K$37,0)</f>
        <v/>
      </c>
      <c r="K116" s="61">
        <f>IF(ISNUMBER('Übung 09'!K$37),'Übung 09'!K$37,0)</f>
        <v/>
      </c>
      <c r="L116" s="61">
        <f>IF(ISNUMBER('Übung 10'!K$37),'Übung 10'!K$37,0)</f>
        <v/>
      </c>
      <c r="M116" s="61">
        <f>IF(ISNUMBER('Übung 11'!K$37),'Übung 11'!K$37,0)</f>
        <v/>
      </c>
      <c r="N116" s="61">
        <f>IF(ISNUMBER('Übung 12'!K$37),'Übung 12'!K$37,0)</f>
        <v/>
      </c>
      <c r="O116" s="61">
        <f>IF(ISNUMBER('Übung 13'!K$37),'Übung 13'!K$37,0)</f>
        <v/>
      </c>
      <c r="P116" s="61">
        <f>IF(ISNUMBER('Übung 14'!K$37),'Übung 14'!K$37,0)</f>
        <v/>
      </c>
      <c r="Q116" s="61">
        <f>IF(ISNUMBER('Übung 15'!K$37),'Übung 15'!K$37,0)</f>
        <v/>
      </c>
      <c r="R116" s="61">
        <f>IF(ISNUMBER('Übung 16'!K$37),'Übung 16'!K$37,0)</f>
        <v/>
      </c>
      <c r="S116" s="61">
        <f>IF(ISNUMBER('Übung 17'!K$37),'Übung 17'!K$37,0)</f>
        <v/>
      </c>
      <c r="T116" s="61">
        <f>IF(ISNUMBER('Übung 18'!K$37),'Übung 18'!K$37,0)</f>
        <v/>
      </c>
      <c r="U116" s="61">
        <f>IF(ISNUMBER('Übung 19'!K$37),'Übung 19'!K$37,0)</f>
        <v/>
      </c>
      <c r="V116" s="61">
        <f>IF(ISNUMBER('Übung 20'!K$37),'Übung 20'!K$37,0)</f>
        <v/>
      </c>
    </row>
    <row r="117">
      <c r="C117" s="61">
        <f>IF(ISNUMBER('Übung 01'!L$37),'Übung 01'!L$37,0)</f>
        <v/>
      </c>
      <c r="D117" s="61">
        <f>IF(ISNUMBER('Übung 02'!L$37),'Übung 02'!L$37,0)</f>
        <v/>
      </c>
      <c r="E117" s="61">
        <f>IF(ISNUMBER('Übung 03'!L$37),'Übung 03'!L$37,0)</f>
        <v/>
      </c>
      <c r="F117" s="61">
        <f>IF(ISNUMBER('Übung 04'!L$37),'Übung 04'!L$37,0)</f>
        <v/>
      </c>
      <c r="G117" s="61">
        <f>IF(ISNUMBER('Übung 05'!L$37),'Übung 05'!L$37,0)</f>
        <v/>
      </c>
      <c r="H117" s="61">
        <f>IF(ISNUMBER('Übung 06'!L$37),'Übung 06'!L$37,0)</f>
        <v/>
      </c>
      <c r="I117" s="61">
        <f>IF(ISNUMBER('Übung 07'!L$37),'Übung 07'!L$37,0)</f>
        <v/>
      </c>
      <c r="J117" s="61">
        <f>IF(ISNUMBER('Übung 08'!L$37),'Übung 08'!L$37,0)</f>
        <v/>
      </c>
      <c r="K117" s="61">
        <f>IF(ISNUMBER('Übung 09'!L$37),'Übung 09'!L$37,0)</f>
        <v/>
      </c>
      <c r="L117" s="61">
        <f>IF(ISNUMBER('Übung 10'!L$37),'Übung 10'!L$37,0)</f>
        <v/>
      </c>
      <c r="M117" s="61">
        <f>IF(ISNUMBER('Übung 11'!L$37),'Übung 11'!L$37,0)</f>
        <v/>
      </c>
      <c r="N117" s="61">
        <f>IF(ISNUMBER('Übung 12'!L$37),'Übung 12'!L$37,0)</f>
        <v/>
      </c>
      <c r="O117" s="61">
        <f>IF(ISNUMBER('Übung 13'!L$37),'Übung 13'!L$37,0)</f>
        <v/>
      </c>
      <c r="P117" s="61">
        <f>IF(ISNUMBER('Übung 14'!L$37),'Übung 14'!L$37,0)</f>
        <v/>
      </c>
      <c r="Q117" s="61">
        <f>IF(ISNUMBER('Übung 15'!L$37),'Übung 15'!L$37,0)</f>
        <v/>
      </c>
      <c r="R117" s="61">
        <f>IF(ISNUMBER('Übung 16'!L$37),'Übung 16'!L$37,0)</f>
        <v/>
      </c>
      <c r="S117" s="61">
        <f>IF(ISNUMBER('Übung 17'!L$37),'Übung 17'!L$37,0)</f>
        <v/>
      </c>
      <c r="T117" s="61">
        <f>IF(ISNUMBER('Übung 18'!L$37),'Übung 18'!L$37,0)</f>
        <v/>
      </c>
      <c r="U117" s="61">
        <f>IF(ISNUMBER('Übung 19'!L$37),'Übung 19'!L$37,0)</f>
        <v/>
      </c>
      <c r="V117" s="61">
        <f>IF(ISNUMBER('Übung 20'!L$37),'Übung 20'!L$37,0)</f>
        <v/>
      </c>
    </row>
    <row r="118">
      <c r="C118" s="61">
        <f>IF(ISNUMBER('Übung 01'!M$37),'Übung 01'!M$37,0)</f>
        <v/>
      </c>
      <c r="D118" s="61">
        <f>IF(ISNUMBER('Übung 02'!M$37),'Übung 02'!M$37,0)</f>
        <v/>
      </c>
      <c r="E118" s="61">
        <f>IF(ISNUMBER('Übung 03'!M$37),'Übung 03'!M$37,0)</f>
        <v/>
      </c>
      <c r="F118" s="61">
        <f>IF(ISNUMBER('Übung 04'!M$37),'Übung 04'!M$37,0)</f>
        <v/>
      </c>
      <c r="G118" s="61">
        <f>IF(ISNUMBER('Übung 05'!M$37),'Übung 05'!M$37,0)</f>
        <v/>
      </c>
      <c r="H118" s="61">
        <f>IF(ISNUMBER('Übung 06'!M$37),'Übung 06'!M$37,0)</f>
        <v/>
      </c>
      <c r="I118" s="61">
        <f>IF(ISNUMBER('Übung 07'!M$37),'Übung 07'!M$37,0)</f>
        <v/>
      </c>
      <c r="J118" s="61">
        <f>IF(ISNUMBER('Übung 08'!M$37),'Übung 08'!M$37,0)</f>
        <v/>
      </c>
      <c r="K118" s="61">
        <f>IF(ISNUMBER('Übung 09'!M$37),'Übung 09'!M$37,0)</f>
        <v/>
      </c>
      <c r="L118" s="61">
        <f>IF(ISNUMBER('Übung 10'!M$37),'Übung 10'!M$37,0)</f>
        <v/>
      </c>
      <c r="M118" s="61">
        <f>IF(ISNUMBER('Übung 11'!M$37),'Übung 11'!M$37,0)</f>
        <v/>
      </c>
      <c r="N118" s="61">
        <f>IF(ISNUMBER('Übung 12'!M$37),'Übung 12'!M$37,0)</f>
        <v/>
      </c>
      <c r="O118" s="61">
        <f>IF(ISNUMBER('Übung 13'!M$37),'Übung 13'!M$37,0)</f>
        <v/>
      </c>
      <c r="P118" s="61">
        <f>IF(ISNUMBER('Übung 14'!M$37),'Übung 14'!M$37,0)</f>
        <v/>
      </c>
      <c r="Q118" s="61">
        <f>IF(ISNUMBER('Übung 15'!M$37),'Übung 15'!M$37,0)</f>
        <v/>
      </c>
      <c r="R118" s="61">
        <f>IF(ISNUMBER('Übung 16'!M$37),'Übung 16'!M$37,0)</f>
        <v/>
      </c>
      <c r="S118" s="61">
        <f>IF(ISNUMBER('Übung 17'!M$37),'Übung 17'!M$37,0)</f>
        <v/>
      </c>
      <c r="T118" s="61">
        <f>IF(ISNUMBER('Übung 18'!M$37),'Übung 18'!M$37,0)</f>
        <v/>
      </c>
      <c r="U118" s="61">
        <f>IF(ISNUMBER('Übung 19'!M$37),'Übung 19'!M$37,0)</f>
        <v/>
      </c>
      <c r="V118" s="61">
        <f>IF(ISNUMBER('Übung 20'!M$37),'Übung 20'!M$37,0)</f>
        <v/>
      </c>
    </row>
    <row r="119">
      <c r="C119" s="61">
        <f>IF(ISNUMBER('Übung 01'!N$37),'Übung 01'!N$37,0)</f>
        <v/>
      </c>
      <c r="D119" s="61">
        <f>IF(ISNUMBER('Übung 02'!N$37),'Übung 02'!N$37,0)</f>
        <v/>
      </c>
      <c r="E119" s="61">
        <f>IF(ISNUMBER('Übung 03'!N$37),'Übung 03'!N$37,0)</f>
        <v/>
      </c>
      <c r="F119" s="61">
        <f>IF(ISNUMBER('Übung 04'!N$37),'Übung 04'!N$37,0)</f>
        <v/>
      </c>
      <c r="G119" s="61">
        <f>IF(ISNUMBER('Übung 05'!N$37),'Übung 05'!N$37,0)</f>
        <v/>
      </c>
      <c r="H119" s="61">
        <f>IF(ISNUMBER('Übung 06'!N$37),'Übung 06'!N$37,0)</f>
        <v/>
      </c>
      <c r="I119" s="61">
        <f>IF(ISNUMBER('Übung 07'!N$37),'Übung 07'!N$37,0)</f>
        <v/>
      </c>
      <c r="J119" s="61">
        <f>IF(ISNUMBER('Übung 08'!N$37),'Übung 08'!N$37,0)</f>
        <v/>
      </c>
      <c r="K119" s="61">
        <f>IF(ISNUMBER('Übung 09'!N$37),'Übung 09'!N$37,0)</f>
        <v/>
      </c>
      <c r="L119" s="61">
        <f>IF(ISNUMBER('Übung 10'!N$37),'Übung 10'!N$37,0)</f>
        <v/>
      </c>
      <c r="M119" s="61">
        <f>IF(ISNUMBER('Übung 11'!N$37),'Übung 11'!N$37,0)</f>
        <v/>
      </c>
      <c r="N119" s="61">
        <f>IF(ISNUMBER('Übung 12'!N$37),'Übung 12'!N$37,0)</f>
        <v/>
      </c>
      <c r="O119" s="61">
        <f>IF(ISNUMBER('Übung 13'!N$37),'Übung 13'!N$37,0)</f>
        <v/>
      </c>
      <c r="P119" s="61">
        <f>IF(ISNUMBER('Übung 14'!N$37),'Übung 14'!N$37,0)</f>
        <v/>
      </c>
      <c r="Q119" s="61">
        <f>IF(ISNUMBER('Übung 15'!N$37),'Übung 15'!N$37,0)</f>
        <v/>
      </c>
      <c r="R119" s="61">
        <f>IF(ISNUMBER('Übung 16'!N$37),'Übung 16'!N$37,0)</f>
        <v/>
      </c>
      <c r="S119" s="61">
        <f>IF(ISNUMBER('Übung 17'!N$37),'Übung 17'!N$37,0)</f>
        <v/>
      </c>
      <c r="T119" s="61">
        <f>IF(ISNUMBER('Übung 18'!N$37),'Übung 18'!N$37,0)</f>
        <v/>
      </c>
      <c r="U119" s="61">
        <f>IF(ISNUMBER('Übung 19'!N$37),'Übung 19'!N$37,0)</f>
        <v/>
      </c>
      <c r="V119" s="61">
        <f>IF(ISNUMBER('Übung 20'!N$37),'Übung 20'!N$37,0)</f>
        <v/>
      </c>
    </row>
    <row r="120">
      <c r="C120" s="61">
        <f>IF(ISNUMBER('Übung 01'!O$37),'Übung 01'!O$37,0)</f>
        <v/>
      </c>
      <c r="D120" s="61">
        <f>IF(ISNUMBER('Übung 02'!O$37),'Übung 02'!O$37,0)</f>
        <v/>
      </c>
      <c r="E120" s="61">
        <f>IF(ISNUMBER('Übung 03'!O$37),'Übung 03'!O$37,0)</f>
        <v/>
      </c>
      <c r="F120" s="61">
        <f>IF(ISNUMBER('Übung 04'!O$37),'Übung 04'!O$37,0)</f>
        <v/>
      </c>
      <c r="G120" s="61">
        <f>IF(ISNUMBER('Übung 05'!O$37),'Übung 05'!O$37,0)</f>
        <v/>
      </c>
      <c r="H120" s="61">
        <f>IF(ISNUMBER('Übung 06'!O$37),'Übung 06'!O$37,0)</f>
        <v/>
      </c>
      <c r="I120" s="61">
        <f>IF(ISNUMBER('Übung 07'!O$37),'Übung 07'!O$37,0)</f>
        <v/>
      </c>
      <c r="J120" s="61">
        <f>IF(ISNUMBER('Übung 08'!O$37),'Übung 08'!O$37,0)</f>
        <v/>
      </c>
      <c r="K120" s="61">
        <f>IF(ISNUMBER('Übung 09'!O$37),'Übung 09'!O$37,0)</f>
        <v/>
      </c>
      <c r="L120" s="61">
        <f>IF(ISNUMBER('Übung 10'!O$37),'Übung 10'!O$37,0)</f>
        <v/>
      </c>
      <c r="M120" s="61">
        <f>IF(ISNUMBER('Übung 11'!O$37),'Übung 11'!O$37,0)</f>
        <v/>
      </c>
      <c r="N120" s="61">
        <f>IF(ISNUMBER('Übung 12'!O$37),'Übung 12'!O$37,0)</f>
        <v/>
      </c>
      <c r="O120" s="61">
        <f>IF(ISNUMBER('Übung 13'!O$37),'Übung 13'!O$37,0)</f>
        <v/>
      </c>
      <c r="P120" s="61">
        <f>IF(ISNUMBER('Übung 14'!O$37),'Übung 14'!O$37,0)</f>
        <v/>
      </c>
      <c r="Q120" s="61">
        <f>IF(ISNUMBER('Übung 15'!O$37),'Übung 15'!O$37,0)</f>
        <v/>
      </c>
      <c r="R120" s="61">
        <f>IF(ISNUMBER('Übung 16'!O$37),'Übung 16'!O$37,0)</f>
        <v/>
      </c>
      <c r="S120" s="61">
        <f>IF(ISNUMBER('Übung 17'!O$37),'Übung 17'!O$37,0)</f>
        <v/>
      </c>
      <c r="T120" s="61">
        <f>IF(ISNUMBER('Übung 18'!O$37),'Übung 18'!O$37,0)</f>
        <v/>
      </c>
      <c r="U120" s="61">
        <f>IF(ISNUMBER('Übung 19'!O$37),'Übung 19'!O$37,0)</f>
        <v/>
      </c>
      <c r="V120" s="61">
        <f>IF(ISNUMBER('Übung 20'!O$37),'Übung 20'!O$37,0)</f>
        <v/>
      </c>
    </row>
    <row r="121">
      <c r="C121" s="61">
        <f>IF(ISNUMBER('Übung 01'!P$37),'Übung 01'!P$37,0)</f>
        <v/>
      </c>
      <c r="D121" s="61">
        <f>IF(ISNUMBER('Übung 02'!P$37),'Übung 02'!P$37,0)</f>
        <v/>
      </c>
      <c r="E121" s="61">
        <f>IF(ISNUMBER('Übung 03'!P$37),'Übung 03'!P$37,0)</f>
        <v/>
      </c>
      <c r="F121" s="61">
        <f>IF(ISNUMBER('Übung 04'!P$37),'Übung 04'!P$37,0)</f>
        <v/>
      </c>
      <c r="G121" s="61">
        <f>IF(ISNUMBER('Übung 05'!P$37),'Übung 05'!P$37,0)</f>
        <v/>
      </c>
      <c r="H121" s="61">
        <f>IF(ISNUMBER('Übung 06'!P$37),'Übung 06'!P$37,0)</f>
        <v/>
      </c>
      <c r="I121" s="61">
        <f>IF(ISNUMBER('Übung 07'!P$37),'Übung 07'!P$37,0)</f>
        <v/>
      </c>
      <c r="J121" s="61">
        <f>IF(ISNUMBER('Übung 08'!P$37),'Übung 08'!P$37,0)</f>
        <v/>
      </c>
      <c r="K121" s="61">
        <f>IF(ISNUMBER('Übung 09'!P$37),'Übung 09'!P$37,0)</f>
        <v/>
      </c>
      <c r="L121" s="61">
        <f>IF(ISNUMBER('Übung 10'!P$37),'Übung 10'!P$37,0)</f>
        <v/>
      </c>
      <c r="M121" s="61">
        <f>IF(ISNUMBER('Übung 11'!P$37),'Übung 11'!P$37,0)</f>
        <v/>
      </c>
      <c r="N121" s="61">
        <f>IF(ISNUMBER('Übung 12'!P$37),'Übung 12'!P$37,0)</f>
        <v/>
      </c>
      <c r="O121" s="61">
        <f>IF(ISNUMBER('Übung 13'!P$37),'Übung 13'!P$37,0)</f>
        <v/>
      </c>
      <c r="P121" s="61">
        <f>IF(ISNUMBER('Übung 14'!P$37),'Übung 14'!P$37,0)</f>
        <v/>
      </c>
      <c r="Q121" s="61">
        <f>IF(ISNUMBER('Übung 15'!P$37),'Übung 15'!P$37,0)</f>
        <v/>
      </c>
      <c r="R121" s="61">
        <f>IF(ISNUMBER('Übung 16'!P$37),'Übung 16'!P$37,0)</f>
        <v/>
      </c>
      <c r="S121" s="61">
        <f>IF(ISNUMBER('Übung 17'!P$37),'Übung 17'!P$37,0)</f>
        <v/>
      </c>
      <c r="T121" s="61">
        <f>IF(ISNUMBER('Übung 18'!P$37),'Übung 18'!P$37,0)</f>
        <v/>
      </c>
      <c r="U121" s="61">
        <f>IF(ISNUMBER('Übung 19'!P$37),'Übung 19'!P$37,0)</f>
        <v/>
      </c>
      <c r="V121" s="61">
        <f>IF(ISNUMBER('Übung 20'!P$37),'Übung 20'!P$37,0)</f>
        <v/>
      </c>
    </row>
    <row r="122">
      <c r="C122" s="61">
        <f>IF(ISNUMBER('Übung 01'!Q$37),'Übung 01'!Q$37,0)</f>
        <v/>
      </c>
      <c r="D122" s="61">
        <f>IF(ISNUMBER('Übung 02'!Q$37),'Übung 02'!Q$37,0)</f>
        <v/>
      </c>
      <c r="E122" s="61">
        <f>IF(ISNUMBER('Übung 03'!Q$37),'Übung 03'!Q$37,0)</f>
        <v/>
      </c>
      <c r="F122" s="61">
        <f>IF(ISNUMBER('Übung 04'!Q$37),'Übung 04'!Q$37,0)</f>
        <v/>
      </c>
      <c r="G122" s="61">
        <f>IF(ISNUMBER('Übung 05'!Q$37),'Übung 05'!Q$37,0)</f>
        <v/>
      </c>
      <c r="H122" s="61">
        <f>IF(ISNUMBER('Übung 06'!Q$37),'Übung 06'!Q$37,0)</f>
        <v/>
      </c>
      <c r="I122" s="61">
        <f>IF(ISNUMBER('Übung 07'!Q$37),'Übung 07'!Q$37,0)</f>
        <v/>
      </c>
      <c r="J122" s="61">
        <f>IF(ISNUMBER('Übung 08'!Q$37),'Übung 08'!Q$37,0)</f>
        <v/>
      </c>
      <c r="K122" s="61">
        <f>IF(ISNUMBER('Übung 09'!Q$37),'Übung 09'!Q$37,0)</f>
        <v/>
      </c>
      <c r="L122" s="61">
        <f>IF(ISNUMBER('Übung 10'!Q$37),'Übung 10'!Q$37,0)</f>
        <v/>
      </c>
      <c r="M122" s="61">
        <f>IF(ISNUMBER('Übung 11'!Q$37),'Übung 11'!Q$37,0)</f>
        <v/>
      </c>
      <c r="N122" s="61">
        <f>IF(ISNUMBER('Übung 12'!Q$37),'Übung 12'!Q$37,0)</f>
        <v/>
      </c>
      <c r="O122" s="61">
        <f>IF(ISNUMBER('Übung 13'!Q$37),'Übung 13'!Q$37,0)</f>
        <v/>
      </c>
      <c r="P122" s="61">
        <f>IF(ISNUMBER('Übung 14'!Q$37),'Übung 14'!Q$37,0)</f>
        <v/>
      </c>
      <c r="Q122" s="61">
        <f>IF(ISNUMBER('Übung 15'!Q$37),'Übung 15'!Q$37,0)</f>
        <v/>
      </c>
      <c r="R122" s="61">
        <f>IF(ISNUMBER('Übung 16'!Q$37),'Übung 16'!Q$37,0)</f>
        <v/>
      </c>
      <c r="S122" s="61">
        <f>IF(ISNUMBER('Übung 17'!Q$37),'Übung 17'!Q$37,0)</f>
        <v/>
      </c>
      <c r="T122" s="61">
        <f>IF(ISNUMBER('Übung 18'!Q$37),'Übung 18'!Q$37,0)</f>
        <v/>
      </c>
      <c r="U122" s="61">
        <f>IF(ISNUMBER('Übung 19'!Q$37),'Übung 19'!Q$37,0)</f>
        <v/>
      </c>
      <c r="V122" s="61">
        <f>IF(ISNUMBER('Übung 20'!Q$37),'Übung 20'!Q$37,0)</f>
        <v/>
      </c>
    </row>
    <row r="123">
      <c r="C123" s="61">
        <f>IF(ISNUMBER('Übung 01'!R$37),'Übung 01'!R$37,0)</f>
        <v/>
      </c>
      <c r="D123" s="61">
        <f>IF(ISNUMBER('Übung 02'!R$37),'Übung 02'!R$37,0)</f>
        <v/>
      </c>
      <c r="E123" s="61">
        <f>IF(ISNUMBER('Übung 03'!R$37),'Übung 03'!R$37,0)</f>
        <v/>
      </c>
      <c r="F123" s="61">
        <f>IF(ISNUMBER('Übung 04'!R$37),'Übung 04'!R$37,0)</f>
        <v/>
      </c>
      <c r="G123" s="61">
        <f>IF(ISNUMBER('Übung 05'!R$37),'Übung 05'!R$37,0)</f>
        <v/>
      </c>
      <c r="H123" s="61">
        <f>IF(ISNUMBER('Übung 06'!R$37),'Übung 06'!R$37,0)</f>
        <v/>
      </c>
      <c r="I123" s="61">
        <f>IF(ISNUMBER('Übung 07'!R$37),'Übung 07'!R$37,0)</f>
        <v/>
      </c>
      <c r="J123" s="61">
        <f>IF(ISNUMBER('Übung 08'!R$37),'Übung 08'!R$37,0)</f>
        <v/>
      </c>
      <c r="K123" s="61">
        <f>IF(ISNUMBER('Übung 09'!R$37),'Übung 09'!R$37,0)</f>
        <v/>
      </c>
      <c r="L123" s="61">
        <f>IF(ISNUMBER('Übung 10'!R$37),'Übung 10'!R$37,0)</f>
        <v/>
      </c>
      <c r="M123" s="61">
        <f>IF(ISNUMBER('Übung 11'!R$37),'Übung 11'!R$37,0)</f>
        <v/>
      </c>
      <c r="N123" s="61">
        <f>IF(ISNUMBER('Übung 12'!R$37),'Übung 12'!R$37,0)</f>
        <v/>
      </c>
      <c r="O123" s="61">
        <f>IF(ISNUMBER('Übung 13'!R$37),'Übung 13'!R$37,0)</f>
        <v/>
      </c>
      <c r="P123" s="61">
        <f>IF(ISNUMBER('Übung 14'!R$37),'Übung 14'!R$37,0)</f>
        <v/>
      </c>
      <c r="Q123" s="61">
        <f>IF(ISNUMBER('Übung 15'!R$37),'Übung 15'!R$37,0)</f>
        <v/>
      </c>
      <c r="R123" s="61">
        <f>IF(ISNUMBER('Übung 16'!R$37),'Übung 16'!R$37,0)</f>
        <v/>
      </c>
      <c r="S123" s="61">
        <f>IF(ISNUMBER('Übung 17'!R$37),'Übung 17'!R$37,0)</f>
        <v/>
      </c>
      <c r="T123" s="61">
        <f>IF(ISNUMBER('Übung 18'!R$37),'Übung 18'!R$37,0)</f>
        <v/>
      </c>
      <c r="U123" s="61">
        <f>IF(ISNUMBER('Übung 19'!R$37),'Übung 19'!R$37,0)</f>
        <v/>
      </c>
      <c r="V123" s="61">
        <f>IF(ISNUMBER('Übung 20'!R$37),'Übung 20'!R$37,0)</f>
        <v/>
      </c>
    </row>
    <row r="124">
      <c r="C124" s="61">
        <f>IF(ISNUMBER('Übung 01'!S$37),'Übung 01'!S$37,0)</f>
        <v/>
      </c>
      <c r="D124" s="61">
        <f>IF(ISNUMBER('Übung 02'!S$37),'Übung 02'!S$37,0)</f>
        <v/>
      </c>
      <c r="E124" s="61">
        <f>IF(ISNUMBER('Übung 03'!S$37),'Übung 03'!S$37,0)</f>
        <v/>
      </c>
      <c r="F124" s="61">
        <f>IF(ISNUMBER('Übung 04'!S$37),'Übung 04'!S$37,0)</f>
        <v/>
      </c>
      <c r="G124" s="61">
        <f>IF(ISNUMBER('Übung 05'!S$37),'Übung 05'!S$37,0)</f>
        <v/>
      </c>
      <c r="H124" s="61">
        <f>IF(ISNUMBER('Übung 06'!S$37),'Übung 06'!S$37,0)</f>
        <v/>
      </c>
      <c r="I124" s="61">
        <f>IF(ISNUMBER('Übung 07'!S$37),'Übung 07'!S$37,0)</f>
        <v/>
      </c>
      <c r="J124" s="61">
        <f>IF(ISNUMBER('Übung 08'!S$37),'Übung 08'!S$37,0)</f>
        <v/>
      </c>
      <c r="K124" s="61">
        <f>IF(ISNUMBER('Übung 09'!S$37),'Übung 09'!S$37,0)</f>
        <v/>
      </c>
      <c r="L124" s="61">
        <f>IF(ISNUMBER('Übung 10'!S$37),'Übung 10'!S$37,0)</f>
        <v/>
      </c>
      <c r="M124" s="61">
        <f>IF(ISNUMBER('Übung 11'!S$37),'Übung 11'!S$37,0)</f>
        <v/>
      </c>
      <c r="N124" s="61">
        <f>IF(ISNUMBER('Übung 12'!S$37),'Übung 12'!S$37,0)</f>
        <v/>
      </c>
      <c r="O124" s="61">
        <f>IF(ISNUMBER('Übung 13'!S$37),'Übung 13'!S$37,0)</f>
        <v/>
      </c>
      <c r="P124" s="61">
        <f>IF(ISNUMBER('Übung 14'!S$37),'Übung 14'!S$37,0)</f>
        <v/>
      </c>
      <c r="Q124" s="61">
        <f>IF(ISNUMBER('Übung 15'!S$37),'Übung 15'!S$37,0)</f>
        <v/>
      </c>
      <c r="R124" s="61">
        <f>IF(ISNUMBER('Übung 16'!S$37),'Übung 16'!S$37,0)</f>
        <v/>
      </c>
      <c r="S124" s="61">
        <f>IF(ISNUMBER('Übung 17'!S$37),'Übung 17'!S$37,0)</f>
        <v/>
      </c>
      <c r="T124" s="61">
        <f>IF(ISNUMBER('Übung 18'!S$37),'Übung 18'!S$37,0)</f>
        <v/>
      </c>
      <c r="U124" s="61">
        <f>IF(ISNUMBER('Übung 19'!S$37),'Übung 19'!S$37,0)</f>
        <v/>
      </c>
      <c r="V124" s="61">
        <f>IF(ISNUMBER('Übung 20'!S$37),'Übung 20'!S$37,0)</f>
        <v/>
      </c>
    </row>
    <row r="125">
      <c r="C125" s="61">
        <f>IF(ISNUMBER('Übung 01'!T$37),'Übung 01'!T$37,0)</f>
        <v/>
      </c>
      <c r="D125" s="61">
        <f>IF(ISNUMBER('Übung 02'!T$37),'Übung 02'!T$37,0)</f>
        <v/>
      </c>
      <c r="E125" s="61">
        <f>IF(ISNUMBER('Übung 03'!T$37),'Übung 03'!T$37,0)</f>
        <v/>
      </c>
      <c r="F125" s="61">
        <f>IF(ISNUMBER('Übung 04'!T$37),'Übung 04'!T$37,0)</f>
        <v/>
      </c>
      <c r="G125" s="61">
        <f>IF(ISNUMBER('Übung 05'!T$37),'Übung 05'!T$37,0)</f>
        <v/>
      </c>
      <c r="H125" s="61">
        <f>IF(ISNUMBER('Übung 06'!T$37),'Übung 06'!T$37,0)</f>
        <v/>
      </c>
      <c r="I125" s="61">
        <f>IF(ISNUMBER('Übung 07'!T$37),'Übung 07'!T$37,0)</f>
        <v/>
      </c>
      <c r="J125" s="61">
        <f>IF(ISNUMBER('Übung 08'!T$37),'Übung 08'!T$37,0)</f>
        <v/>
      </c>
      <c r="K125" s="61">
        <f>IF(ISNUMBER('Übung 09'!T$37),'Übung 09'!T$37,0)</f>
        <v/>
      </c>
      <c r="L125" s="61">
        <f>IF(ISNUMBER('Übung 10'!T$37),'Übung 10'!T$37,0)</f>
        <v/>
      </c>
      <c r="M125" s="61">
        <f>IF(ISNUMBER('Übung 11'!T$37),'Übung 11'!T$37,0)</f>
        <v/>
      </c>
      <c r="N125" s="61">
        <f>IF(ISNUMBER('Übung 12'!T$37),'Übung 12'!T$37,0)</f>
        <v/>
      </c>
      <c r="O125" s="61">
        <f>IF(ISNUMBER('Übung 13'!T$37),'Übung 13'!T$37,0)</f>
        <v/>
      </c>
      <c r="P125" s="61">
        <f>IF(ISNUMBER('Übung 14'!T$37),'Übung 14'!T$37,0)</f>
        <v/>
      </c>
      <c r="Q125" s="61">
        <f>IF(ISNUMBER('Übung 15'!T$37),'Übung 15'!T$37,0)</f>
        <v/>
      </c>
      <c r="R125" s="61">
        <f>IF(ISNUMBER('Übung 16'!T$37),'Übung 16'!T$37,0)</f>
        <v/>
      </c>
      <c r="S125" s="61">
        <f>IF(ISNUMBER('Übung 17'!T$37),'Übung 17'!T$37,0)</f>
        <v/>
      </c>
      <c r="T125" s="61">
        <f>IF(ISNUMBER('Übung 18'!T$37),'Übung 18'!T$37,0)</f>
        <v/>
      </c>
      <c r="U125" s="61">
        <f>IF(ISNUMBER('Übung 19'!T$37),'Übung 19'!T$37,0)</f>
        <v/>
      </c>
      <c r="V125" s="61">
        <f>IF(ISNUMBER('Übung 20'!T$37),'Übung 20'!T$37,0)</f>
        <v/>
      </c>
    </row>
    <row r="126">
      <c r="C126" s="61">
        <f>IF(ISNUMBER('Übung 01'!U$37),'Übung 01'!U$37,0)</f>
        <v/>
      </c>
      <c r="D126" s="61">
        <f>IF(ISNUMBER('Übung 02'!U$37),'Übung 02'!U$37,0)</f>
        <v/>
      </c>
      <c r="E126" s="61">
        <f>IF(ISNUMBER('Übung 03'!U$37),'Übung 03'!U$37,0)</f>
        <v/>
      </c>
      <c r="F126" s="61">
        <f>IF(ISNUMBER('Übung 04'!U$37),'Übung 04'!U$37,0)</f>
        <v/>
      </c>
      <c r="G126" s="61">
        <f>IF(ISNUMBER('Übung 05'!U$37),'Übung 05'!U$37,0)</f>
        <v/>
      </c>
      <c r="H126" s="61">
        <f>IF(ISNUMBER('Übung 06'!U$37),'Übung 06'!U$37,0)</f>
        <v/>
      </c>
      <c r="I126" s="61">
        <f>IF(ISNUMBER('Übung 07'!U$37),'Übung 07'!U$37,0)</f>
        <v/>
      </c>
      <c r="J126" s="61">
        <f>IF(ISNUMBER('Übung 08'!U$37),'Übung 08'!U$37,0)</f>
        <v/>
      </c>
      <c r="K126" s="61">
        <f>IF(ISNUMBER('Übung 09'!U$37),'Übung 09'!U$37,0)</f>
        <v/>
      </c>
      <c r="L126" s="61">
        <f>IF(ISNUMBER('Übung 10'!U$37),'Übung 10'!U$37,0)</f>
        <v/>
      </c>
      <c r="M126" s="61">
        <f>IF(ISNUMBER('Übung 11'!U$37),'Übung 11'!U$37,0)</f>
        <v/>
      </c>
      <c r="N126" s="61">
        <f>IF(ISNUMBER('Übung 12'!U$37),'Übung 12'!U$37,0)</f>
        <v/>
      </c>
      <c r="O126" s="61">
        <f>IF(ISNUMBER('Übung 13'!U$37),'Übung 13'!U$37,0)</f>
        <v/>
      </c>
      <c r="P126" s="61">
        <f>IF(ISNUMBER('Übung 14'!U$37),'Übung 14'!U$37,0)</f>
        <v/>
      </c>
      <c r="Q126" s="61">
        <f>IF(ISNUMBER('Übung 15'!U$37),'Übung 15'!U$37,0)</f>
        <v/>
      </c>
      <c r="R126" s="61">
        <f>IF(ISNUMBER('Übung 16'!U$37),'Übung 16'!U$37,0)</f>
        <v/>
      </c>
      <c r="S126" s="61">
        <f>IF(ISNUMBER('Übung 17'!U$37),'Übung 17'!U$37,0)</f>
        <v/>
      </c>
      <c r="T126" s="61">
        <f>IF(ISNUMBER('Übung 18'!U$37),'Übung 18'!U$37,0)</f>
        <v/>
      </c>
      <c r="U126" s="61">
        <f>IF(ISNUMBER('Übung 19'!U$37),'Übung 19'!U$37,0)</f>
        <v/>
      </c>
      <c r="V126" s="61">
        <f>IF(ISNUMBER('Übung 20'!U$37),'Übung 20'!U$37,0)</f>
        <v/>
      </c>
    </row>
    <row r="127">
      <c r="C127" s="61">
        <f>IF(ISNUMBER('Übung 01'!V$37),'Übung 01'!V$37,0)</f>
        <v/>
      </c>
      <c r="D127" s="61">
        <f>IF(ISNUMBER('Übung 02'!V$37),'Übung 02'!V$37,0)</f>
        <v/>
      </c>
      <c r="E127" s="61">
        <f>IF(ISNUMBER('Übung 03'!V$37),'Übung 03'!V$37,0)</f>
        <v/>
      </c>
      <c r="F127" s="61">
        <f>IF(ISNUMBER('Übung 04'!V$37),'Übung 04'!V$37,0)</f>
        <v/>
      </c>
      <c r="G127" s="61">
        <f>IF(ISNUMBER('Übung 05'!V$37),'Übung 05'!V$37,0)</f>
        <v/>
      </c>
      <c r="H127" s="61">
        <f>IF(ISNUMBER('Übung 06'!V$37),'Übung 06'!V$37,0)</f>
        <v/>
      </c>
      <c r="I127" s="61">
        <f>IF(ISNUMBER('Übung 07'!V$37),'Übung 07'!V$37,0)</f>
        <v/>
      </c>
      <c r="J127" s="61">
        <f>IF(ISNUMBER('Übung 08'!V$37),'Übung 08'!V$37,0)</f>
        <v/>
      </c>
      <c r="K127" s="61">
        <f>IF(ISNUMBER('Übung 09'!V$37),'Übung 09'!V$37,0)</f>
        <v/>
      </c>
      <c r="L127" s="61">
        <f>IF(ISNUMBER('Übung 10'!V$37),'Übung 10'!V$37,0)</f>
        <v/>
      </c>
      <c r="M127" s="61">
        <f>IF(ISNUMBER('Übung 11'!V$37),'Übung 11'!V$37,0)</f>
        <v/>
      </c>
      <c r="N127" s="61">
        <f>IF(ISNUMBER('Übung 12'!V$37),'Übung 12'!V$37,0)</f>
        <v/>
      </c>
      <c r="O127" s="61">
        <f>IF(ISNUMBER('Übung 13'!V$37),'Übung 13'!V$37,0)</f>
        <v/>
      </c>
      <c r="P127" s="61">
        <f>IF(ISNUMBER('Übung 14'!V$37),'Übung 14'!V$37,0)</f>
        <v/>
      </c>
      <c r="Q127" s="61">
        <f>IF(ISNUMBER('Übung 15'!V$37),'Übung 15'!V$37,0)</f>
        <v/>
      </c>
      <c r="R127" s="61">
        <f>IF(ISNUMBER('Übung 16'!V$37),'Übung 16'!V$37,0)</f>
        <v/>
      </c>
      <c r="S127" s="61">
        <f>IF(ISNUMBER('Übung 17'!V$37),'Übung 17'!V$37,0)</f>
        <v/>
      </c>
      <c r="T127" s="61">
        <f>IF(ISNUMBER('Übung 18'!V$37),'Übung 18'!V$37,0)</f>
        <v/>
      </c>
      <c r="U127" s="61">
        <f>IF(ISNUMBER('Übung 19'!V$37),'Übung 19'!V$37,0)</f>
        <v/>
      </c>
      <c r="V127" s="61">
        <f>IF(ISNUMBER('Übung 20'!V$37),'Übung 20'!V$37,0)</f>
        <v/>
      </c>
    </row>
    <row r="128">
      <c r="C128" s="61">
        <f>IF(ISNUMBER('Übung 01'!W$37),'Übung 01'!W$37,0)</f>
        <v/>
      </c>
      <c r="D128" s="61">
        <f>IF(ISNUMBER('Übung 02'!W$37),'Übung 02'!W$37,0)</f>
        <v/>
      </c>
      <c r="E128" s="61">
        <f>IF(ISNUMBER('Übung 03'!W$37),'Übung 03'!W$37,0)</f>
        <v/>
      </c>
      <c r="F128" s="61">
        <f>IF(ISNUMBER('Übung 04'!W$37),'Übung 04'!W$37,0)</f>
        <v/>
      </c>
      <c r="G128" s="61">
        <f>IF(ISNUMBER('Übung 05'!W$37),'Übung 05'!W$37,0)</f>
        <v/>
      </c>
      <c r="H128" s="61">
        <f>IF(ISNUMBER('Übung 06'!W$37),'Übung 06'!W$37,0)</f>
        <v/>
      </c>
      <c r="I128" s="61">
        <f>IF(ISNUMBER('Übung 07'!W$37),'Übung 07'!W$37,0)</f>
        <v/>
      </c>
      <c r="J128" s="61">
        <f>IF(ISNUMBER('Übung 08'!W$37),'Übung 08'!W$37,0)</f>
        <v/>
      </c>
      <c r="K128" s="61">
        <f>IF(ISNUMBER('Übung 09'!W$37),'Übung 09'!W$37,0)</f>
        <v/>
      </c>
      <c r="L128" s="61">
        <f>IF(ISNUMBER('Übung 10'!W$37),'Übung 10'!W$37,0)</f>
        <v/>
      </c>
      <c r="M128" s="61">
        <f>IF(ISNUMBER('Übung 11'!W$37),'Übung 11'!W$37,0)</f>
        <v/>
      </c>
      <c r="N128" s="61">
        <f>IF(ISNUMBER('Übung 12'!W$37),'Übung 12'!W$37,0)</f>
        <v/>
      </c>
      <c r="O128" s="61">
        <f>IF(ISNUMBER('Übung 13'!W$37),'Übung 13'!W$37,0)</f>
        <v/>
      </c>
      <c r="P128" s="61">
        <f>IF(ISNUMBER('Übung 14'!W$37),'Übung 14'!W$37,0)</f>
        <v/>
      </c>
      <c r="Q128" s="61">
        <f>IF(ISNUMBER('Übung 15'!W$37),'Übung 15'!W$37,0)</f>
        <v/>
      </c>
      <c r="R128" s="61">
        <f>IF(ISNUMBER('Übung 16'!W$37),'Übung 16'!W$37,0)</f>
        <v/>
      </c>
      <c r="S128" s="61">
        <f>IF(ISNUMBER('Übung 17'!W$37),'Übung 17'!W$37,0)</f>
        <v/>
      </c>
      <c r="T128" s="61">
        <f>IF(ISNUMBER('Übung 18'!W$37),'Übung 18'!W$37,0)</f>
        <v/>
      </c>
      <c r="U128" s="61">
        <f>IF(ISNUMBER('Übung 19'!W$37),'Übung 19'!W$37,0)</f>
        <v/>
      </c>
      <c r="V128" s="61">
        <f>IF(ISNUMBER('Übung 20'!W$37),'Übung 20'!W$37,0)</f>
        <v/>
      </c>
    </row>
    <row r="129">
      <c r="C129" s="61">
        <f>IF(ISNUMBER('Übung 01'!X$37),'Übung 01'!X$37,0)</f>
        <v/>
      </c>
      <c r="D129" s="61">
        <f>IF(ISNUMBER('Übung 02'!X$37),'Übung 02'!X$37,0)</f>
        <v/>
      </c>
      <c r="E129" s="61">
        <f>IF(ISNUMBER('Übung 03'!X$37),'Übung 03'!X$37,0)</f>
        <v/>
      </c>
      <c r="F129" s="61">
        <f>IF(ISNUMBER('Übung 04'!X$37),'Übung 04'!X$37,0)</f>
        <v/>
      </c>
      <c r="G129" s="61">
        <f>IF(ISNUMBER('Übung 05'!X$37),'Übung 05'!X$37,0)</f>
        <v/>
      </c>
      <c r="H129" s="61">
        <f>IF(ISNUMBER('Übung 06'!X$37),'Übung 06'!X$37,0)</f>
        <v/>
      </c>
      <c r="I129" s="61">
        <f>IF(ISNUMBER('Übung 07'!X$37),'Übung 07'!X$37,0)</f>
        <v/>
      </c>
      <c r="J129" s="61">
        <f>IF(ISNUMBER('Übung 08'!X$37),'Übung 08'!X$37,0)</f>
        <v/>
      </c>
      <c r="K129" s="61">
        <f>IF(ISNUMBER('Übung 09'!X$37),'Übung 09'!X$37,0)</f>
        <v/>
      </c>
      <c r="L129" s="61">
        <f>IF(ISNUMBER('Übung 10'!X$37),'Übung 10'!X$37,0)</f>
        <v/>
      </c>
      <c r="M129" s="61">
        <f>IF(ISNUMBER('Übung 11'!X$37),'Übung 11'!X$37,0)</f>
        <v/>
      </c>
      <c r="N129" s="61">
        <f>IF(ISNUMBER('Übung 12'!X$37),'Übung 12'!X$37,0)</f>
        <v/>
      </c>
      <c r="O129" s="61">
        <f>IF(ISNUMBER('Übung 13'!X$37),'Übung 13'!X$37,0)</f>
        <v/>
      </c>
      <c r="P129" s="61">
        <f>IF(ISNUMBER('Übung 14'!X$37),'Übung 14'!X$37,0)</f>
        <v/>
      </c>
      <c r="Q129" s="61">
        <f>IF(ISNUMBER('Übung 15'!X$37),'Übung 15'!X$37,0)</f>
        <v/>
      </c>
      <c r="R129" s="61">
        <f>IF(ISNUMBER('Übung 16'!X$37),'Übung 16'!X$37,0)</f>
        <v/>
      </c>
      <c r="S129" s="61">
        <f>IF(ISNUMBER('Übung 17'!X$37),'Übung 17'!X$37,0)</f>
        <v/>
      </c>
      <c r="T129" s="61">
        <f>IF(ISNUMBER('Übung 18'!X$37),'Übung 18'!X$37,0)</f>
        <v/>
      </c>
      <c r="U129" s="61">
        <f>IF(ISNUMBER('Übung 19'!X$37),'Übung 19'!X$37,0)</f>
        <v/>
      </c>
      <c r="V129" s="61">
        <f>IF(ISNUMBER('Übung 20'!X$37),'Übung 20'!X$37,0)</f>
        <v/>
      </c>
    </row>
    <row r="130">
      <c r="C130" s="61">
        <f>IF(ISNUMBER('Übung 01'!Y$37),'Übung 01'!Y$37,0)</f>
        <v/>
      </c>
      <c r="D130" s="61">
        <f>IF(ISNUMBER('Übung 02'!Y$37),'Übung 02'!Y$37,0)</f>
        <v/>
      </c>
      <c r="E130" s="61">
        <f>IF(ISNUMBER('Übung 03'!Y$37),'Übung 03'!Y$37,0)</f>
        <v/>
      </c>
      <c r="F130" s="61">
        <f>IF(ISNUMBER('Übung 04'!Y$37),'Übung 04'!Y$37,0)</f>
        <v/>
      </c>
      <c r="G130" s="61">
        <f>IF(ISNUMBER('Übung 05'!Y$37),'Übung 05'!Y$37,0)</f>
        <v/>
      </c>
      <c r="H130" s="61">
        <f>IF(ISNUMBER('Übung 06'!Y$37),'Übung 06'!Y$37,0)</f>
        <v/>
      </c>
      <c r="I130" s="61">
        <f>IF(ISNUMBER('Übung 07'!Y$37),'Übung 07'!Y$37,0)</f>
        <v/>
      </c>
      <c r="J130" s="61">
        <f>IF(ISNUMBER('Übung 08'!Y$37),'Übung 08'!Y$37,0)</f>
        <v/>
      </c>
      <c r="K130" s="61">
        <f>IF(ISNUMBER('Übung 09'!Y$37),'Übung 09'!Y$37,0)</f>
        <v/>
      </c>
      <c r="L130" s="61">
        <f>IF(ISNUMBER('Übung 10'!Y$37),'Übung 10'!Y$37,0)</f>
        <v/>
      </c>
      <c r="M130" s="61">
        <f>IF(ISNUMBER('Übung 11'!Y$37),'Übung 11'!Y$37,0)</f>
        <v/>
      </c>
      <c r="N130" s="61">
        <f>IF(ISNUMBER('Übung 12'!Y$37),'Übung 12'!Y$37,0)</f>
        <v/>
      </c>
      <c r="O130" s="61">
        <f>IF(ISNUMBER('Übung 13'!Y$37),'Übung 13'!Y$37,0)</f>
        <v/>
      </c>
      <c r="P130" s="61">
        <f>IF(ISNUMBER('Übung 14'!Y$37),'Übung 14'!Y$37,0)</f>
        <v/>
      </c>
      <c r="Q130" s="61">
        <f>IF(ISNUMBER('Übung 15'!Y$37),'Übung 15'!Y$37,0)</f>
        <v/>
      </c>
      <c r="R130" s="61">
        <f>IF(ISNUMBER('Übung 16'!Y$37),'Übung 16'!Y$37,0)</f>
        <v/>
      </c>
      <c r="S130" s="61">
        <f>IF(ISNUMBER('Übung 17'!Y$37),'Übung 17'!Y$37,0)</f>
        <v/>
      </c>
      <c r="T130" s="61">
        <f>IF(ISNUMBER('Übung 18'!Y$37),'Übung 18'!Y$37,0)</f>
        <v/>
      </c>
      <c r="U130" s="61">
        <f>IF(ISNUMBER('Übung 19'!Y$37),'Übung 19'!Y$37,0)</f>
        <v/>
      </c>
      <c r="V130" s="61">
        <f>IF(ISNUMBER('Übung 20'!Y$37),'Übung 20'!Y$37,0)</f>
        <v/>
      </c>
    </row>
    <row r="131">
      <c r="C131" s="61">
        <f>IF(ISNUMBER('Übung 01'!Z$37),'Übung 01'!Z$37,0)</f>
        <v/>
      </c>
      <c r="D131" s="61">
        <f>IF(ISNUMBER('Übung 02'!Z$37),'Übung 02'!Z$37,0)</f>
        <v/>
      </c>
      <c r="E131" s="61">
        <f>IF(ISNUMBER('Übung 03'!Z$37),'Übung 03'!Z$37,0)</f>
        <v/>
      </c>
      <c r="F131" s="61">
        <f>IF(ISNUMBER('Übung 04'!Z$37),'Übung 04'!Z$37,0)</f>
        <v/>
      </c>
      <c r="G131" s="61">
        <f>IF(ISNUMBER('Übung 05'!Z$37),'Übung 05'!Z$37,0)</f>
        <v/>
      </c>
      <c r="H131" s="61">
        <f>IF(ISNUMBER('Übung 06'!Z$37),'Übung 06'!Z$37,0)</f>
        <v/>
      </c>
      <c r="I131" s="61">
        <f>IF(ISNUMBER('Übung 07'!Z$37),'Übung 07'!Z$37,0)</f>
        <v/>
      </c>
      <c r="J131" s="61">
        <f>IF(ISNUMBER('Übung 08'!Z$37),'Übung 08'!Z$37,0)</f>
        <v/>
      </c>
      <c r="K131" s="61">
        <f>IF(ISNUMBER('Übung 09'!Z$37),'Übung 09'!Z$37,0)</f>
        <v/>
      </c>
      <c r="L131" s="61">
        <f>IF(ISNUMBER('Übung 10'!Z$37),'Übung 10'!Z$37,0)</f>
        <v/>
      </c>
      <c r="M131" s="61">
        <f>IF(ISNUMBER('Übung 11'!Z$37),'Übung 11'!Z$37,0)</f>
        <v/>
      </c>
      <c r="N131" s="61">
        <f>IF(ISNUMBER('Übung 12'!Z$37),'Übung 12'!Z$37,0)</f>
        <v/>
      </c>
      <c r="O131" s="61">
        <f>IF(ISNUMBER('Übung 13'!Z$37),'Übung 13'!Z$37,0)</f>
        <v/>
      </c>
      <c r="P131" s="61">
        <f>IF(ISNUMBER('Übung 14'!Z$37),'Übung 14'!Z$37,0)</f>
        <v/>
      </c>
      <c r="Q131" s="61">
        <f>IF(ISNUMBER('Übung 15'!Z$37),'Übung 15'!Z$37,0)</f>
        <v/>
      </c>
      <c r="R131" s="61">
        <f>IF(ISNUMBER('Übung 16'!Z$37),'Übung 16'!Z$37,0)</f>
        <v/>
      </c>
      <c r="S131" s="61">
        <f>IF(ISNUMBER('Übung 17'!Z$37),'Übung 17'!Z$37,0)</f>
        <v/>
      </c>
      <c r="T131" s="61">
        <f>IF(ISNUMBER('Übung 18'!Z$37),'Übung 18'!Z$37,0)</f>
        <v/>
      </c>
      <c r="U131" s="61">
        <f>IF(ISNUMBER('Übung 19'!Z$37),'Übung 19'!Z$37,0)</f>
        <v/>
      </c>
      <c r="V131" s="61">
        <f>IF(ISNUMBER('Übung 20'!Z$37),'Übung 20'!Z$37,0)</f>
        <v/>
      </c>
    </row>
    <row r="132">
      <c r="C132" s="61">
        <f>IF(ISNUMBER('Übung 01'!AA$37),'Übung 01'!AA$37,0)</f>
        <v/>
      </c>
      <c r="D132" s="61">
        <f>IF(ISNUMBER('Übung 02'!AA$37),'Übung 02'!AA$37,0)</f>
        <v/>
      </c>
      <c r="E132" s="61">
        <f>IF(ISNUMBER('Übung 03'!AA$37),'Übung 03'!AA$37,0)</f>
        <v/>
      </c>
      <c r="F132" s="61">
        <f>IF(ISNUMBER('Übung 04'!AA$37),'Übung 04'!AA$37,0)</f>
        <v/>
      </c>
      <c r="G132" s="61">
        <f>IF(ISNUMBER('Übung 05'!AA$37),'Übung 05'!AA$37,0)</f>
        <v/>
      </c>
      <c r="H132" s="61">
        <f>IF(ISNUMBER('Übung 06'!AA$37),'Übung 06'!AA$37,0)</f>
        <v/>
      </c>
      <c r="I132" s="61">
        <f>IF(ISNUMBER('Übung 07'!AA$37),'Übung 07'!AA$37,0)</f>
        <v/>
      </c>
      <c r="J132" s="61">
        <f>IF(ISNUMBER('Übung 08'!AA$37),'Übung 08'!AA$37,0)</f>
        <v/>
      </c>
      <c r="K132" s="61">
        <f>IF(ISNUMBER('Übung 09'!AA$37),'Übung 09'!AA$37,0)</f>
        <v/>
      </c>
      <c r="L132" s="61">
        <f>IF(ISNUMBER('Übung 10'!AA$37),'Übung 10'!AA$37,0)</f>
        <v/>
      </c>
      <c r="M132" s="61">
        <f>IF(ISNUMBER('Übung 11'!AA$37),'Übung 11'!AA$37,0)</f>
        <v/>
      </c>
      <c r="N132" s="61">
        <f>IF(ISNUMBER('Übung 12'!AA$37),'Übung 12'!AA$37,0)</f>
        <v/>
      </c>
      <c r="O132" s="61">
        <f>IF(ISNUMBER('Übung 13'!AA$37),'Übung 13'!AA$37,0)</f>
        <v/>
      </c>
      <c r="P132" s="61">
        <f>IF(ISNUMBER('Übung 14'!AA$37),'Übung 14'!AA$37,0)</f>
        <v/>
      </c>
      <c r="Q132" s="61">
        <f>IF(ISNUMBER('Übung 15'!AA$37),'Übung 15'!AA$37,0)</f>
        <v/>
      </c>
      <c r="R132" s="61">
        <f>IF(ISNUMBER('Übung 16'!AA$37),'Übung 16'!AA$37,0)</f>
        <v/>
      </c>
      <c r="S132" s="61">
        <f>IF(ISNUMBER('Übung 17'!AA$37),'Übung 17'!AA$37,0)</f>
        <v/>
      </c>
      <c r="T132" s="61">
        <f>IF(ISNUMBER('Übung 18'!AA$37),'Übung 18'!AA$37,0)</f>
        <v/>
      </c>
      <c r="U132" s="61">
        <f>IF(ISNUMBER('Übung 19'!AA$37),'Übung 19'!AA$37,0)</f>
        <v/>
      </c>
      <c r="V132" s="61">
        <f>IF(ISNUMBER('Übung 20'!AA$37),'Übung 20'!AA$37,0)</f>
        <v/>
      </c>
    </row>
    <row r="133">
      <c r="C133" s="61">
        <f>IF(ISNUMBER('Übung 01'!AB$37),'Übung 01'!AB$37,0)</f>
        <v/>
      </c>
      <c r="D133" s="61">
        <f>IF(ISNUMBER('Übung 02'!AB$37),'Übung 02'!AB$37,0)</f>
        <v/>
      </c>
      <c r="E133" s="61">
        <f>IF(ISNUMBER('Übung 03'!AB$37),'Übung 03'!AB$37,0)</f>
        <v/>
      </c>
      <c r="F133" s="61">
        <f>IF(ISNUMBER('Übung 04'!AB$37),'Übung 04'!AB$37,0)</f>
        <v/>
      </c>
      <c r="G133" s="61">
        <f>IF(ISNUMBER('Übung 05'!AB$37),'Übung 05'!AB$37,0)</f>
        <v/>
      </c>
      <c r="H133" s="61">
        <f>IF(ISNUMBER('Übung 06'!AB$37),'Übung 06'!AB$37,0)</f>
        <v/>
      </c>
      <c r="I133" s="61">
        <f>IF(ISNUMBER('Übung 07'!AB$37),'Übung 07'!AB$37,0)</f>
        <v/>
      </c>
      <c r="J133" s="61">
        <f>IF(ISNUMBER('Übung 08'!AB$37),'Übung 08'!AB$37,0)</f>
        <v/>
      </c>
      <c r="K133" s="61">
        <f>IF(ISNUMBER('Übung 09'!AB$37),'Übung 09'!AB$37,0)</f>
        <v/>
      </c>
      <c r="L133" s="61">
        <f>IF(ISNUMBER('Übung 10'!AB$37),'Übung 10'!AB$37,0)</f>
        <v/>
      </c>
      <c r="M133" s="61">
        <f>IF(ISNUMBER('Übung 11'!AB$37),'Übung 11'!AB$37,0)</f>
        <v/>
      </c>
      <c r="N133" s="61">
        <f>IF(ISNUMBER('Übung 12'!AB$37),'Übung 12'!AB$37,0)</f>
        <v/>
      </c>
      <c r="O133" s="61">
        <f>IF(ISNUMBER('Übung 13'!AB$37),'Übung 13'!AB$37,0)</f>
        <v/>
      </c>
      <c r="P133" s="61">
        <f>IF(ISNUMBER('Übung 14'!AB$37),'Übung 14'!AB$37,0)</f>
        <v/>
      </c>
      <c r="Q133" s="61">
        <f>IF(ISNUMBER('Übung 15'!AB$37),'Übung 15'!AB$37,0)</f>
        <v/>
      </c>
      <c r="R133" s="61">
        <f>IF(ISNUMBER('Übung 16'!AB$37),'Übung 16'!AB$37,0)</f>
        <v/>
      </c>
      <c r="S133" s="61">
        <f>IF(ISNUMBER('Übung 17'!AB$37),'Übung 17'!AB$37,0)</f>
        <v/>
      </c>
      <c r="T133" s="61">
        <f>IF(ISNUMBER('Übung 18'!AB$37),'Übung 18'!AB$37,0)</f>
        <v/>
      </c>
      <c r="U133" s="61">
        <f>IF(ISNUMBER('Übung 19'!AB$37),'Übung 19'!AB$37,0)</f>
        <v/>
      </c>
      <c r="V133" s="61">
        <f>IF(ISNUMBER('Übung 20'!AB$37),'Übung 20'!AB$37,0)</f>
        <v/>
      </c>
    </row>
    <row r="134">
      <c r="C134" s="61">
        <f>IF(ISNUMBER('Übung 01'!AC$37),'Übung 01'!AC$37,0)</f>
        <v/>
      </c>
      <c r="D134" s="61">
        <f>IF(ISNUMBER('Übung 02'!AC$37),'Übung 02'!AC$37,0)</f>
        <v/>
      </c>
      <c r="E134" s="61">
        <f>IF(ISNUMBER('Übung 03'!AC$37),'Übung 03'!AC$37,0)</f>
        <v/>
      </c>
      <c r="F134" s="61">
        <f>IF(ISNUMBER('Übung 04'!AC$37),'Übung 04'!AC$37,0)</f>
        <v/>
      </c>
      <c r="G134" s="61">
        <f>IF(ISNUMBER('Übung 05'!AC$37),'Übung 05'!AC$37,0)</f>
        <v/>
      </c>
      <c r="H134" s="61">
        <f>IF(ISNUMBER('Übung 06'!AC$37),'Übung 06'!AC$37,0)</f>
        <v/>
      </c>
      <c r="I134" s="61">
        <f>IF(ISNUMBER('Übung 07'!AC$37),'Übung 07'!AC$37,0)</f>
        <v/>
      </c>
      <c r="J134" s="61">
        <f>IF(ISNUMBER('Übung 08'!AC$37),'Übung 08'!AC$37,0)</f>
        <v/>
      </c>
      <c r="K134" s="61">
        <f>IF(ISNUMBER('Übung 09'!AC$37),'Übung 09'!AC$37,0)</f>
        <v/>
      </c>
      <c r="L134" s="61">
        <f>IF(ISNUMBER('Übung 10'!AC$37),'Übung 10'!AC$37,0)</f>
        <v/>
      </c>
      <c r="M134" s="61">
        <f>IF(ISNUMBER('Übung 11'!AC$37),'Übung 11'!AC$37,0)</f>
        <v/>
      </c>
      <c r="N134" s="61">
        <f>IF(ISNUMBER('Übung 12'!AC$37),'Übung 12'!AC$37,0)</f>
        <v/>
      </c>
      <c r="O134" s="61">
        <f>IF(ISNUMBER('Übung 13'!AC$37),'Übung 13'!AC$37,0)</f>
        <v/>
      </c>
      <c r="P134" s="61">
        <f>IF(ISNUMBER('Übung 14'!AC$37),'Übung 14'!AC$37,0)</f>
        <v/>
      </c>
      <c r="Q134" s="61">
        <f>IF(ISNUMBER('Übung 15'!AC$37),'Übung 15'!AC$37,0)</f>
        <v/>
      </c>
      <c r="R134" s="61">
        <f>IF(ISNUMBER('Übung 16'!AC$37),'Übung 16'!AC$37,0)</f>
        <v/>
      </c>
      <c r="S134" s="61">
        <f>IF(ISNUMBER('Übung 17'!AC$37),'Übung 17'!AC$37,0)</f>
        <v/>
      </c>
      <c r="T134" s="61">
        <f>IF(ISNUMBER('Übung 18'!AC$37),'Übung 18'!AC$37,0)</f>
        <v/>
      </c>
      <c r="U134" s="61">
        <f>IF(ISNUMBER('Übung 19'!AC$37),'Übung 19'!AC$37,0)</f>
        <v/>
      </c>
      <c r="V134" s="61">
        <f>IF(ISNUMBER('Übung 20'!AC$37),'Übung 20'!AC$37,0)</f>
        <v/>
      </c>
    </row>
    <row r="139">
      <c r="A139" s="162" t="inlineStr">
        <is>
          <t>max. Punkte</t>
        </is>
      </c>
    </row>
    <row r="140">
      <c r="C140" s="61">
        <f>IF(ISNUMBER('Übung 01'!E$38),'Übung 01'!E$38,0)</f>
        <v/>
      </c>
      <c r="D140" s="61">
        <f>IF(ISNUMBER('Übung 02'!E$38),'Übung 02'!E$38,0)</f>
        <v/>
      </c>
      <c r="E140" s="61">
        <f>IF(ISNUMBER('Übung 03'!E$38),'Übung 03'!E$38,0)</f>
        <v/>
      </c>
      <c r="F140" s="61">
        <f>IF(ISNUMBER('Übung 04'!E$38),'Übung 04'!E$38,0)</f>
        <v/>
      </c>
      <c r="G140" s="61">
        <f>IF(ISNUMBER('Übung 05'!E$38),'Übung 05'!E$38,0)</f>
        <v/>
      </c>
      <c r="H140" s="61">
        <f>IF(ISNUMBER('Übung 06'!E$38),'Übung 06'!E$38,0)</f>
        <v/>
      </c>
      <c r="I140" s="61">
        <f>IF(ISNUMBER('Übung 07'!E$38),'Übung 07'!E$38,0)</f>
        <v/>
      </c>
      <c r="J140" s="61">
        <f>IF(ISNUMBER('Übung 08'!E$38),'Übung 08'!E$38,0)</f>
        <v/>
      </c>
      <c r="K140" s="61">
        <f>IF(ISNUMBER('Übung 09'!E$38),'Übung 09'!E$38,0)</f>
        <v/>
      </c>
      <c r="L140" s="61">
        <f>IF(ISNUMBER('Übung 10'!E$38),'Übung 10'!E$38,0)</f>
        <v/>
      </c>
      <c r="M140" s="61">
        <f>IF(ISNUMBER('Übung 11'!E$38),'Übung 11'!E$38,0)</f>
        <v/>
      </c>
      <c r="N140" s="61">
        <f>IF(ISNUMBER('Übung 12'!E$38),'Übung 12'!E$38,0)</f>
        <v/>
      </c>
      <c r="O140" s="61">
        <f>IF(ISNUMBER('Übung 13'!E$38),'Übung 13'!E$38,0)</f>
        <v/>
      </c>
      <c r="P140" s="61">
        <f>IF(ISNUMBER('Übung 14'!E$38),'Übung 14'!E$38,0)</f>
        <v/>
      </c>
      <c r="Q140" s="61">
        <f>IF(ISNUMBER('Übung 15'!E$38),'Übung 15'!E$38,0)</f>
        <v/>
      </c>
      <c r="R140" s="61">
        <f>IF(ISNUMBER('Übung 16'!E$38),'Übung 16'!E$38,0)</f>
        <v/>
      </c>
      <c r="S140" s="61">
        <f>IF(ISNUMBER('Übung 17'!E$38),'Übung 17'!E$38,0)</f>
        <v/>
      </c>
      <c r="T140" s="61">
        <f>IF(ISNUMBER('Übung 18'!E$38),'Übung 18'!E$38,0)</f>
        <v/>
      </c>
      <c r="U140" s="61">
        <f>IF(ISNUMBER('Übung 19'!E$38),'Übung 19'!E$38,0)</f>
        <v/>
      </c>
      <c r="V140" s="61">
        <f>IF(ISNUMBER('Übung 20'!E$38),'Übung 20'!E$38,0)</f>
        <v/>
      </c>
    </row>
    <row r="141">
      <c r="C141" s="61">
        <f>IF(ISNUMBER('Übung 01'!F$38),'Übung 01'!F$38,0)</f>
        <v/>
      </c>
      <c r="D141" s="61">
        <f>IF(ISNUMBER('Übung 02'!F$38),'Übung 02'!F$38,0)</f>
        <v/>
      </c>
      <c r="E141" s="61">
        <f>IF(ISNUMBER('Übung 03'!F$38),'Übung 03'!F$38,0)</f>
        <v/>
      </c>
      <c r="F141" s="61">
        <f>IF(ISNUMBER('Übung 04'!F$38),'Übung 04'!F$38,0)</f>
        <v/>
      </c>
      <c r="G141" s="61">
        <f>IF(ISNUMBER('Übung 05'!F$38),'Übung 05'!F$38,0)</f>
        <v/>
      </c>
      <c r="H141" s="61">
        <f>IF(ISNUMBER('Übung 06'!F$38),'Übung 06'!F$38,0)</f>
        <v/>
      </c>
      <c r="I141" s="61">
        <f>IF(ISNUMBER('Übung 07'!F$38),'Übung 07'!F$38,0)</f>
        <v/>
      </c>
      <c r="J141" s="61">
        <f>IF(ISNUMBER('Übung 08'!F$38),'Übung 08'!F$38,0)</f>
        <v/>
      </c>
      <c r="K141" s="61">
        <f>IF(ISNUMBER('Übung 09'!F$38),'Übung 09'!F$38,0)</f>
        <v/>
      </c>
      <c r="L141" s="61">
        <f>IF(ISNUMBER('Übung 10'!F$38),'Übung 10'!F$38,0)</f>
        <v/>
      </c>
      <c r="M141" s="61">
        <f>IF(ISNUMBER('Übung 11'!F$38),'Übung 11'!F$38,0)</f>
        <v/>
      </c>
      <c r="N141" s="61">
        <f>IF(ISNUMBER('Übung 12'!F$38),'Übung 12'!F$38,0)</f>
        <v/>
      </c>
      <c r="O141" s="61">
        <f>IF(ISNUMBER('Übung 13'!F$38),'Übung 13'!F$38,0)</f>
        <v/>
      </c>
      <c r="P141" s="61">
        <f>IF(ISNUMBER('Übung 14'!F$38),'Übung 14'!F$38,0)</f>
        <v/>
      </c>
      <c r="Q141" s="61">
        <f>IF(ISNUMBER('Übung 15'!F$38),'Übung 15'!F$38,0)</f>
        <v/>
      </c>
      <c r="R141" s="61">
        <f>IF(ISNUMBER('Übung 16'!F$38),'Übung 16'!F$38,0)</f>
        <v/>
      </c>
      <c r="S141" s="61">
        <f>IF(ISNUMBER('Übung 17'!F$38),'Übung 17'!F$38,0)</f>
        <v/>
      </c>
      <c r="T141" s="61">
        <f>IF(ISNUMBER('Übung 18'!F$38),'Übung 18'!F$38,0)</f>
        <v/>
      </c>
      <c r="U141" s="61">
        <f>IF(ISNUMBER('Übung 19'!F$38),'Übung 19'!F$38,0)</f>
        <v/>
      </c>
      <c r="V141" s="61">
        <f>IF(ISNUMBER('Übung 20'!F$38),'Übung 20'!F$38,0)</f>
        <v/>
      </c>
    </row>
    <row r="142">
      <c r="C142" s="61">
        <f>IF(ISNUMBER('Übung 01'!G$38),'Übung 01'!G$38,0)</f>
        <v/>
      </c>
      <c r="D142" s="61">
        <f>IF(ISNUMBER('Übung 02'!G$38),'Übung 02'!G$38,0)</f>
        <v/>
      </c>
      <c r="E142" s="61">
        <f>IF(ISNUMBER('Übung 03'!G$38),'Übung 03'!G$38,0)</f>
        <v/>
      </c>
      <c r="F142" s="61">
        <f>IF(ISNUMBER('Übung 04'!G$38),'Übung 04'!G$38,0)</f>
        <v/>
      </c>
      <c r="G142" s="61">
        <f>IF(ISNUMBER('Übung 05'!G$38),'Übung 05'!G$38,0)</f>
        <v/>
      </c>
      <c r="H142" s="61">
        <f>IF(ISNUMBER('Übung 06'!G$38),'Übung 06'!G$38,0)</f>
        <v/>
      </c>
      <c r="I142" s="61">
        <f>IF(ISNUMBER('Übung 07'!G$38),'Übung 07'!G$38,0)</f>
        <v/>
      </c>
      <c r="J142" s="61">
        <f>IF(ISNUMBER('Übung 08'!G$38),'Übung 08'!G$38,0)</f>
        <v/>
      </c>
      <c r="K142" s="61">
        <f>IF(ISNUMBER('Übung 09'!G$38),'Übung 09'!G$38,0)</f>
        <v/>
      </c>
      <c r="L142" s="61">
        <f>IF(ISNUMBER('Übung 10'!G$38),'Übung 10'!G$38,0)</f>
        <v/>
      </c>
      <c r="M142" s="61">
        <f>IF(ISNUMBER('Übung 11'!G$38),'Übung 11'!G$38,0)</f>
        <v/>
      </c>
      <c r="N142" s="61">
        <f>IF(ISNUMBER('Übung 12'!G$38),'Übung 12'!G$38,0)</f>
        <v/>
      </c>
      <c r="O142" s="61">
        <f>IF(ISNUMBER('Übung 13'!G$38),'Übung 13'!G$38,0)</f>
        <v/>
      </c>
      <c r="P142" s="61">
        <f>IF(ISNUMBER('Übung 14'!G$38),'Übung 14'!G$38,0)</f>
        <v/>
      </c>
      <c r="Q142" s="61">
        <f>IF(ISNUMBER('Übung 15'!G$38),'Übung 15'!G$38,0)</f>
        <v/>
      </c>
      <c r="R142" s="61">
        <f>IF(ISNUMBER('Übung 16'!G$38),'Übung 16'!G$38,0)</f>
        <v/>
      </c>
      <c r="S142" s="61">
        <f>IF(ISNUMBER('Übung 17'!G$38),'Übung 17'!G$38,0)</f>
        <v/>
      </c>
      <c r="T142" s="61">
        <f>IF(ISNUMBER('Übung 18'!G$38),'Übung 18'!G$38,0)</f>
        <v/>
      </c>
      <c r="U142" s="61">
        <f>IF(ISNUMBER('Übung 19'!G$38),'Übung 19'!G$38,0)</f>
        <v/>
      </c>
      <c r="V142" s="61">
        <f>IF(ISNUMBER('Übung 20'!G$38),'Übung 20'!G$38,0)</f>
        <v/>
      </c>
    </row>
    <row r="143">
      <c r="C143" s="61">
        <f>IF(ISNUMBER('Übung 01'!H$38),'Übung 01'!H$38,0)</f>
        <v/>
      </c>
      <c r="D143" s="61">
        <f>IF(ISNUMBER('Übung 02'!H$38),'Übung 02'!H$38,0)</f>
        <v/>
      </c>
      <c r="E143" s="61">
        <f>IF(ISNUMBER('Übung 03'!H$38),'Übung 03'!H$38,0)</f>
        <v/>
      </c>
      <c r="F143" s="61">
        <f>IF(ISNUMBER('Übung 04'!H$38),'Übung 04'!H$38,0)</f>
        <v/>
      </c>
      <c r="G143" s="61">
        <f>IF(ISNUMBER('Übung 05'!H$38),'Übung 05'!H$38,0)</f>
        <v/>
      </c>
      <c r="H143" s="61">
        <f>IF(ISNUMBER('Übung 06'!H$38),'Übung 06'!H$38,0)</f>
        <v/>
      </c>
      <c r="I143" s="61">
        <f>IF(ISNUMBER('Übung 07'!H$38),'Übung 07'!H$38,0)</f>
        <v/>
      </c>
      <c r="J143" s="61">
        <f>IF(ISNUMBER('Übung 08'!H$38),'Übung 08'!H$38,0)</f>
        <v/>
      </c>
      <c r="K143" s="61">
        <f>IF(ISNUMBER('Übung 09'!H$38),'Übung 09'!H$38,0)</f>
        <v/>
      </c>
      <c r="L143" s="61">
        <f>IF(ISNUMBER('Übung 10'!H$38),'Übung 10'!H$38,0)</f>
        <v/>
      </c>
      <c r="M143" s="61">
        <f>IF(ISNUMBER('Übung 11'!H$38),'Übung 11'!H$38,0)</f>
        <v/>
      </c>
      <c r="N143" s="61">
        <f>IF(ISNUMBER('Übung 12'!H$38),'Übung 12'!H$38,0)</f>
        <v/>
      </c>
      <c r="O143" s="61">
        <f>IF(ISNUMBER('Übung 13'!H$38),'Übung 13'!H$38,0)</f>
        <v/>
      </c>
      <c r="P143" s="61">
        <f>IF(ISNUMBER('Übung 14'!H$38),'Übung 14'!H$38,0)</f>
        <v/>
      </c>
      <c r="Q143" s="61">
        <f>IF(ISNUMBER('Übung 15'!H$38),'Übung 15'!H$38,0)</f>
        <v/>
      </c>
      <c r="R143" s="61">
        <f>IF(ISNUMBER('Übung 16'!H$38),'Übung 16'!H$38,0)</f>
        <v/>
      </c>
      <c r="S143" s="61">
        <f>IF(ISNUMBER('Übung 17'!H$38),'Übung 17'!H$38,0)</f>
        <v/>
      </c>
      <c r="T143" s="61">
        <f>IF(ISNUMBER('Übung 18'!H$38),'Übung 18'!H$38,0)</f>
        <v/>
      </c>
      <c r="U143" s="61">
        <f>IF(ISNUMBER('Übung 19'!H$38),'Übung 19'!H$38,0)</f>
        <v/>
      </c>
      <c r="V143" s="61">
        <f>IF(ISNUMBER('Übung 20'!H$38),'Übung 20'!H$38,0)</f>
        <v/>
      </c>
    </row>
    <row r="144">
      <c r="C144" s="61">
        <f>IF(ISNUMBER('Übung 01'!I$38),'Übung 01'!I$38,0)</f>
        <v/>
      </c>
      <c r="D144" s="61">
        <f>IF(ISNUMBER('Übung 02'!I$38),'Übung 02'!I$38,0)</f>
        <v/>
      </c>
      <c r="E144" s="61">
        <f>IF(ISNUMBER('Übung 03'!I$38),'Übung 03'!I$38,0)</f>
        <v/>
      </c>
      <c r="F144" s="61">
        <f>IF(ISNUMBER('Übung 04'!I$38),'Übung 04'!I$38,0)</f>
        <v/>
      </c>
      <c r="G144" s="61">
        <f>IF(ISNUMBER('Übung 05'!I$38),'Übung 05'!I$38,0)</f>
        <v/>
      </c>
      <c r="H144" s="61">
        <f>IF(ISNUMBER('Übung 06'!I$38),'Übung 06'!I$38,0)</f>
        <v/>
      </c>
      <c r="I144" s="61">
        <f>IF(ISNUMBER('Übung 07'!I$38),'Übung 07'!I$38,0)</f>
        <v/>
      </c>
      <c r="J144" s="61">
        <f>IF(ISNUMBER('Übung 08'!I$38),'Übung 08'!I$38,0)</f>
        <v/>
      </c>
      <c r="K144" s="61">
        <f>IF(ISNUMBER('Übung 09'!I$38),'Übung 09'!I$38,0)</f>
        <v/>
      </c>
      <c r="L144" s="61">
        <f>IF(ISNUMBER('Übung 10'!I$38),'Übung 10'!I$38,0)</f>
        <v/>
      </c>
      <c r="M144" s="61">
        <f>IF(ISNUMBER('Übung 11'!I$38),'Übung 11'!I$38,0)</f>
        <v/>
      </c>
      <c r="N144" s="61">
        <f>IF(ISNUMBER('Übung 12'!I$38),'Übung 12'!I$38,0)</f>
        <v/>
      </c>
      <c r="O144" s="61">
        <f>IF(ISNUMBER('Übung 13'!I$38),'Übung 13'!I$38,0)</f>
        <v/>
      </c>
      <c r="P144" s="61">
        <f>IF(ISNUMBER('Übung 14'!I$38),'Übung 14'!I$38,0)</f>
        <v/>
      </c>
      <c r="Q144" s="61">
        <f>IF(ISNUMBER('Übung 15'!I$38),'Übung 15'!I$38,0)</f>
        <v/>
      </c>
      <c r="R144" s="61">
        <f>IF(ISNUMBER('Übung 16'!I$38),'Übung 16'!I$38,0)</f>
        <v/>
      </c>
      <c r="S144" s="61">
        <f>IF(ISNUMBER('Übung 17'!I$38),'Übung 17'!I$38,0)</f>
        <v/>
      </c>
      <c r="T144" s="61">
        <f>IF(ISNUMBER('Übung 18'!I$38),'Übung 18'!I$38,0)</f>
        <v/>
      </c>
      <c r="U144" s="61">
        <f>IF(ISNUMBER('Übung 19'!I$38),'Übung 19'!I$38,0)</f>
        <v/>
      </c>
      <c r="V144" s="61">
        <f>IF(ISNUMBER('Übung 20'!I$38),'Übung 20'!I$38,0)</f>
        <v/>
      </c>
    </row>
    <row r="145">
      <c r="C145" s="61">
        <f>IF(ISNUMBER('Übung 01'!J$38),'Übung 01'!J$38,0)</f>
        <v/>
      </c>
      <c r="D145" s="61">
        <f>IF(ISNUMBER('Übung 02'!J$38),'Übung 02'!J$38,0)</f>
        <v/>
      </c>
      <c r="E145" s="61">
        <f>IF(ISNUMBER('Übung 03'!J$38),'Übung 03'!J$38,0)</f>
        <v/>
      </c>
      <c r="F145" s="61">
        <f>IF(ISNUMBER('Übung 04'!J$38),'Übung 04'!J$38,0)</f>
        <v/>
      </c>
      <c r="G145" s="61">
        <f>IF(ISNUMBER('Übung 05'!J$38),'Übung 05'!J$38,0)</f>
        <v/>
      </c>
      <c r="H145" s="61">
        <f>IF(ISNUMBER('Übung 06'!J$38),'Übung 06'!J$38,0)</f>
        <v/>
      </c>
      <c r="I145" s="61">
        <f>IF(ISNUMBER('Übung 07'!J$38),'Übung 07'!J$38,0)</f>
        <v/>
      </c>
      <c r="J145" s="61">
        <f>IF(ISNUMBER('Übung 08'!J$38),'Übung 08'!J$38,0)</f>
        <v/>
      </c>
      <c r="K145" s="61">
        <f>IF(ISNUMBER('Übung 09'!J$38),'Übung 09'!J$38,0)</f>
        <v/>
      </c>
      <c r="L145" s="61">
        <f>IF(ISNUMBER('Übung 10'!J$38),'Übung 10'!J$38,0)</f>
        <v/>
      </c>
      <c r="M145" s="61">
        <f>IF(ISNUMBER('Übung 11'!J$38),'Übung 11'!J$38,0)</f>
        <v/>
      </c>
      <c r="N145" s="61">
        <f>IF(ISNUMBER('Übung 12'!J$38),'Übung 12'!J$38,0)</f>
        <v/>
      </c>
      <c r="O145" s="61">
        <f>IF(ISNUMBER('Übung 13'!J$38),'Übung 13'!J$38,0)</f>
        <v/>
      </c>
      <c r="P145" s="61">
        <f>IF(ISNUMBER('Übung 14'!J$38),'Übung 14'!J$38,0)</f>
        <v/>
      </c>
      <c r="Q145" s="61">
        <f>IF(ISNUMBER('Übung 15'!J$38),'Übung 15'!J$38,0)</f>
        <v/>
      </c>
      <c r="R145" s="61">
        <f>IF(ISNUMBER('Übung 16'!J$38),'Übung 16'!J$38,0)</f>
        <v/>
      </c>
      <c r="S145" s="61">
        <f>IF(ISNUMBER('Übung 17'!J$38),'Übung 17'!J$38,0)</f>
        <v/>
      </c>
      <c r="T145" s="61">
        <f>IF(ISNUMBER('Übung 18'!J$38),'Übung 18'!J$38,0)</f>
        <v/>
      </c>
      <c r="U145" s="61">
        <f>IF(ISNUMBER('Übung 19'!J$38),'Übung 19'!J$38,0)</f>
        <v/>
      </c>
      <c r="V145" s="61">
        <f>IF(ISNUMBER('Übung 20'!J$38),'Übung 20'!J$38,0)</f>
        <v/>
      </c>
    </row>
    <row r="146">
      <c r="C146" s="61">
        <f>IF(ISNUMBER('Übung 01'!K$38),'Übung 01'!K$38,0)</f>
        <v/>
      </c>
      <c r="D146" s="61">
        <f>IF(ISNUMBER('Übung 02'!K$38),'Übung 02'!K$38,0)</f>
        <v/>
      </c>
      <c r="E146" s="61">
        <f>IF(ISNUMBER('Übung 03'!K$38),'Übung 03'!K$38,0)</f>
        <v/>
      </c>
      <c r="F146" s="61">
        <f>IF(ISNUMBER('Übung 04'!K$38),'Übung 04'!K$38,0)</f>
        <v/>
      </c>
      <c r="G146" s="61">
        <f>IF(ISNUMBER('Übung 05'!K$38),'Übung 05'!K$38,0)</f>
        <v/>
      </c>
      <c r="H146" s="61">
        <f>IF(ISNUMBER('Übung 06'!K$38),'Übung 06'!K$38,0)</f>
        <v/>
      </c>
      <c r="I146" s="61">
        <f>IF(ISNUMBER('Übung 07'!K$38),'Übung 07'!K$38,0)</f>
        <v/>
      </c>
      <c r="J146" s="61">
        <f>IF(ISNUMBER('Übung 08'!K$38),'Übung 08'!K$38,0)</f>
        <v/>
      </c>
      <c r="K146" s="61">
        <f>IF(ISNUMBER('Übung 09'!K$38),'Übung 09'!K$38,0)</f>
        <v/>
      </c>
      <c r="L146" s="61">
        <f>IF(ISNUMBER('Übung 10'!K$38),'Übung 10'!K$38,0)</f>
        <v/>
      </c>
      <c r="M146" s="61">
        <f>IF(ISNUMBER('Übung 11'!K$38),'Übung 11'!K$38,0)</f>
        <v/>
      </c>
      <c r="N146" s="61">
        <f>IF(ISNUMBER('Übung 12'!K$38),'Übung 12'!K$38,0)</f>
        <v/>
      </c>
      <c r="O146" s="61">
        <f>IF(ISNUMBER('Übung 13'!K$38),'Übung 13'!K$38,0)</f>
        <v/>
      </c>
      <c r="P146" s="61">
        <f>IF(ISNUMBER('Übung 14'!K$38),'Übung 14'!K$38,0)</f>
        <v/>
      </c>
      <c r="Q146" s="61">
        <f>IF(ISNUMBER('Übung 15'!K$38),'Übung 15'!K$38,0)</f>
        <v/>
      </c>
      <c r="R146" s="61">
        <f>IF(ISNUMBER('Übung 16'!K$38),'Übung 16'!K$38,0)</f>
        <v/>
      </c>
      <c r="S146" s="61">
        <f>IF(ISNUMBER('Übung 17'!K$38),'Übung 17'!K$38,0)</f>
        <v/>
      </c>
      <c r="T146" s="61">
        <f>IF(ISNUMBER('Übung 18'!K$38),'Übung 18'!K$38,0)</f>
        <v/>
      </c>
      <c r="U146" s="61">
        <f>IF(ISNUMBER('Übung 19'!K$38),'Übung 19'!K$38,0)</f>
        <v/>
      </c>
      <c r="V146" s="61">
        <f>IF(ISNUMBER('Übung 20'!K$38),'Übung 20'!K$38,0)</f>
        <v/>
      </c>
    </row>
    <row r="147">
      <c r="C147" s="61">
        <f>IF(ISNUMBER('Übung 01'!L$38),'Übung 01'!L$38,0)</f>
        <v/>
      </c>
      <c r="D147" s="61">
        <f>IF(ISNUMBER('Übung 02'!L$38),'Übung 02'!L$38,0)</f>
        <v/>
      </c>
      <c r="E147" s="61">
        <f>IF(ISNUMBER('Übung 03'!L$38),'Übung 03'!L$38,0)</f>
        <v/>
      </c>
      <c r="F147" s="61">
        <f>IF(ISNUMBER('Übung 04'!L$38),'Übung 04'!L$38,0)</f>
        <v/>
      </c>
      <c r="G147" s="61">
        <f>IF(ISNUMBER('Übung 05'!L$38),'Übung 05'!L$38,0)</f>
        <v/>
      </c>
      <c r="H147" s="61">
        <f>IF(ISNUMBER('Übung 06'!L$38),'Übung 06'!L$38,0)</f>
        <v/>
      </c>
      <c r="I147" s="61">
        <f>IF(ISNUMBER('Übung 07'!L$38),'Übung 07'!L$38,0)</f>
        <v/>
      </c>
      <c r="J147" s="61">
        <f>IF(ISNUMBER('Übung 08'!L$38),'Übung 08'!L$38,0)</f>
        <v/>
      </c>
      <c r="K147" s="61">
        <f>IF(ISNUMBER('Übung 09'!L$38),'Übung 09'!L$38,0)</f>
        <v/>
      </c>
      <c r="L147" s="61">
        <f>IF(ISNUMBER('Übung 10'!L$38),'Übung 10'!L$38,0)</f>
        <v/>
      </c>
      <c r="M147" s="61">
        <f>IF(ISNUMBER('Übung 11'!L$38),'Übung 11'!L$38,0)</f>
        <v/>
      </c>
      <c r="N147" s="61">
        <f>IF(ISNUMBER('Übung 12'!L$38),'Übung 12'!L$38,0)</f>
        <v/>
      </c>
      <c r="O147" s="61">
        <f>IF(ISNUMBER('Übung 13'!L$38),'Übung 13'!L$38,0)</f>
        <v/>
      </c>
      <c r="P147" s="61">
        <f>IF(ISNUMBER('Übung 14'!L$38),'Übung 14'!L$38,0)</f>
        <v/>
      </c>
      <c r="Q147" s="61">
        <f>IF(ISNUMBER('Übung 15'!L$38),'Übung 15'!L$38,0)</f>
        <v/>
      </c>
      <c r="R147" s="61">
        <f>IF(ISNUMBER('Übung 16'!L$38),'Übung 16'!L$38,0)</f>
        <v/>
      </c>
      <c r="S147" s="61">
        <f>IF(ISNUMBER('Übung 17'!L$38),'Übung 17'!L$38,0)</f>
        <v/>
      </c>
      <c r="T147" s="61">
        <f>IF(ISNUMBER('Übung 18'!L$38),'Übung 18'!L$38,0)</f>
        <v/>
      </c>
      <c r="U147" s="61">
        <f>IF(ISNUMBER('Übung 19'!L$38),'Übung 19'!L$38,0)</f>
        <v/>
      </c>
      <c r="V147" s="61">
        <f>IF(ISNUMBER('Übung 20'!L$38),'Übung 20'!L$38,0)</f>
        <v/>
      </c>
    </row>
    <row r="148">
      <c r="C148" s="61">
        <f>IF(ISNUMBER('Übung 01'!M$38),'Übung 01'!M$38,0)</f>
        <v/>
      </c>
      <c r="D148" s="61">
        <f>IF(ISNUMBER('Übung 02'!M$38),'Übung 02'!M$38,0)</f>
        <v/>
      </c>
      <c r="E148" s="61">
        <f>IF(ISNUMBER('Übung 03'!M$38),'Übung 03'!M$38,0)</f>
        <v/>
      </c>
      <c r="F148" s="61">
        <f>IF(ISNUMBER('Übung 04'!M$38),'Übung 04'!M$38,0)</f>
        <v/>
      </c>
      <c r="G148" s="61">
        <f>IF(ISNUMBER('Übung 05'!M$38),'Übung 05'!M$38,0)</f>
        <v/>
      </c>
      <c r="H148" s="61">
        <f>IF(ISNUMBER('Übung 06'!M$38),'Übung 06'!M$38,0)</f>
        <v/>
      </c>
      <c r="I148" s="61">
        <f>IF(ISNUMBER('Übung 07'!M$38),'Übung 07'!M$38,0)</f>
        <v/>
      </c>
      <c r="J148" s="61">
        <f>IF(ISNUMBER('Übung 08'!M$38),'Übung 08'!M$38,0)</f>
        <v/>
      </c>
      <c r="K148" s="61">
        <f>IF(ISNUMBER('Übung 09'!M$38),'Übung 09'!M$38,0)</f>
        <v/>
      </c>
      <c r="L148" s="61">
        <f>IF(ISNUMBER('Übung 10'!M$38),'Übung 10'!M$38,0)</f>
        <v/>
      </c>
      <c r="M148" s="61">
        <f>IF(ISNUMBER('Übung 11'!M$38),'Übung 11'!M$38,0)</f>
        <v/>
      </c>
      <c r="N148" s="61">
        <f>IF(ISNUMBER('Übung 12'!M$38),'Übung 12'!M$38,0)</f>
        <v/>
      </c>
      <c r="O148" s="61">
        <f>IF(ISNUMBER('Übung 13'!M$38),'Übung 13'!M$38,0)</f>
        <v/>
      </c>
      <c r="P148" s="61">
        <f>IF(ISNUMBER('Übung 14'!M$38),'Übung 14'!M$38,0)</f>
        <v/>
      </c>
      <c r="Q148" s="61">
        <f>IF(ISNUMBER('Übung 15'!M$38),'Übung 15'!M$38,0)</f>
        <v/>
      </c>
      <c r="R148" s="61">
        <f>IF(ISNUMBER('Übung 16'!M$38),'Übung 16'!M$38,0)</f>
        <v/>
      </c>
      <c r="S148" s="61">
        <f>IF(ISNUMBER('Übung 17'!M$38),'Übung 17'!M$38,0)</f>
        <v/>
      </c>
      <c r="T148" s="61">
        <f>IF(ISNUMBER('Übung 18'!M$38),'Übung 18'!M$38,0)</f>
        <v/>
      </c>
      <c r="U148" s="61">
        <f>IF(ISNUMBER('Übung 19'!M$38),'Übung 19'!M$38,0)</f>
        <v/>
      </c>
      <c r="V148" s="61">
        <f>IF(ISNUMBER('Übung 20'!M$38),'Übung 20'!M$38,0)</f>
        <v/>
      </c>
    </row>
    <row r="149">
      <c r="C149" s="61">
        <f>IF(ISNUMBER('Übung 01'!N$38),'Übung 01'!N$38,0)</f>
        <v/>
      </c>
      <c r="D149" s="61">
        <f>IF(ISNUMBER('Übung 02'!N$38),'Übung 02'!N$38,0)</f>
        <v/>
      </c>
      <c r="E149" s="61">
        <f>IF(ISNUMBER('Übung 03'!N$38),'Übung 03'!N$38,0)</f>
        <v/>
      </c>
      <c r="F149" s="61">
        <f>IF(ISNUMBER('Übung 04'!N$38),'Übung 04'!N$38,0)</f>
        <v/>
      </c>
      <c r="G149" s="61">
        <f>IF(ISNUMBER('Übung 05'!N$38),'Übung 05'!N$38,0)</f>
        <v/>
      </c>
      <c r="H149" s="61">
        <f>IF(ISNUMBER('Übung 06'!N$38),'Übung 06'!N$38,0)</f>
        <v/>
      </c>
      <c r="I149" s="61">
        <f>IF(ISNUMBER('Übung 07'!N$38),'Übung 07'!N$38,0)</f>
        <v/>
      </c>
      <c r="J149" s="61">
        <f>IF(ISNUMBER('Übung 08'!N$38),'Übung 08'!N$38,0)</f>
        <v/>
      </c>
      <c r="K149" s="61">
        <f>IF(ISNUMBER('Übung 09'!N$38),'Übung 09'!N$38,0)</f>
        <v/>
      </c>
      <c r="L149" s="61">
        <f>IF(ISNUMBER('Übung 10'!N$38),'Übung 10'!N$38,0)</f>
        <v/>
      </c>
      <c r="M149" s="61">
        <f>IF(ISNUMBER('Übung 11'!N$38),'Übung 11'!N$38,0)</f>
        <v/>
      </c>
      <c r="N149" s="61">
        <f>IF(ISNUMBER('Übung 12'!N$38),'Übung 12'!N$38,0)</f>
        <v/>
      </c>
      <c r="O149" s="61">
        <f>IF(ISNUMBER('Übung 13'!N$38),'Übung 13'!N$38,0)</f>
        <v/>
      </c>
      <c r="P149" s="61">
        <f>IF(ISNUMBER('Übung 14'!N$38),'Übung 14'!N$38,0)</f>
        <v/>
      </c>
      <c r="Q149" s="61">
        <f>IF(ISNUMBER('Übung 15'!N$38),'Übung 15'!N$38,0)</f>
        <v/>
      </c>
      <c r="R149" s="61">
        <f>IF(ISNUMBER('Übung 16'!N$38),'Übung 16'!N$38,0)</f>
        <v/>
      </c>
      <c r="S149" s="61">
        <f>IF(ISNUMBER('Übung 17'!N$38),'Übung 17'!N$38,0)</f>
        <v/>
      </c>
      <c r="T149" s="61">
        <f>IF(ISNUMBER('Übung 18'!N$38),'Übung 18'!N$38,0)</f>
        <v/>
      </c>
      <c r="U149" s="61">
        <f>IF(ISNUMBER('Übung 19'!N$38),'Übung 19'!N$38,0)</f>
        <v/>
      </c>
      <c r="V149" s="61">
        <f>IF(ISNUMBER('Übung 20'!N$38),'Übung 20'!N$38,0)</f>
        <v/>
      </c>
    </row>
    <row r="150">
      <c r="C150" s="61">
        <f>IF(ISNUMBER('Übung 01'!O$38),'Übung 01'!O$38,0)</f>
        <v/>
      </c>
      <c r="D150" s="61">
        <f>IF(ISNUMBER('Übung 02'!O$38),'Übung 02'!O$38,0)</f>
        <v/>
      </c>
      <c r="E150" s="61">
        <f>IF(ISNUMBER('Übung 03'!O$38),'Übung 03'!O$38,0)</f>
        <v/>
      </c>
      <c r="F150" s="61">
        <f>IF(ISNUMBER('Übung 04'!O$38),'Übung 04'!O$38,0)</f>
        <v/>
      </c>
      <c r="G150" s="61">
        <f>IF(ISNUMBER('Übung 05'!O$38),'Übung 05'!O$38,0)</f>
        <v/>
      </c>
      <c r="H150" s="61">
        <f>IF(ISNUMBER('Übung 06'!O$38),'Übung 06'!O$38,0)</f>
        <v/>
      </c>
      <c r="I150" s="61">
        <f>IF(ISNUMBER('Übung 07'!O$38),'Übung 07'!O$38,0)</f>
        <v/>
      </c>
      <c r="J150" s="61">
        <f>IF(ISNUMBER('Übung 08'!O$38),'Übung 08'!O$38,0)</f>
        <v/>
      </c>
      <c r="K150" s="61">
        <f>IF(ISNUMBER('Übung 09'!O$38),'Übung 09'!O$38,0)</f>
        <v/>
      </c>
      <c r="L150" s="61">
        <f>IF(ISNUMBER('Übung 10'!O$38),'Übung 10'!O$38,0)</f>
        <v/>
      </c>
      <c r="M150" s="61">
        <f>IF(ISNUMBER('Übung 11'!O$38),'Übung 11'!O$38,0)</f>
        <v/>
      </c>
      <c r="N150" s="61">
        <f>IF(ISNUMBER('Übung 12'!O$38),'Übung 12'!O$38,0)</f>
        <v/>
      </c>
      <c r="O150" s="61">
        <f>IF(ISNUMBER('Übung 13'!O$38),'Übung 13'!O$38,0)</f>
        <v/>
      </c>
      <c r="P150" s="61">
        <f>IF(ISNUMBER('Übung 14'!O$38),'Übung 14'!O$38,0)</f>
        <v/>
      </c>
      <c r="Q150" s="61">
        <f>IF(ISNUMBER('Übung 15'!O$38),'Übung 15'!O$38,0)</f>
        <v/>
      </c>
      <c r="R150" s="61">
        <f>IF(ISNUMBER('Übung 16'!O$38),'Übung 16'!O$38,0)</f>
        <v/>
      </c>
      <c r="S150" s="61">
        <f>IF(ISNUMBER('Übung 17'!O$38),'Übung 17'!O$38,0)</f>
        <v/>
      </c>
      <c r="T150" s="61">
        <f>IF(ISNUMBER('Übung 18'!O$38),'Übung 18'!O$38,0)</f>
        <v/>
      </c>
      <c r="U150" s="61">
        <f>IF(ISNUMBER('Übung 19'!O$38),'Übung 19'!O$38,0)</f>
        <v/>
      </c>
      <c r="V150" s="61">
        <f>IF(ISNUMBER('Übung 20'!O$38),'Übung 20'!O$38,0)</f>
        <v/>
      </c>
    </row>
    <row r="151">
      <c r="C151" s="61">
        <f>IF(ISNUMBER('Übung 01'!P$38),'Übung 01'!P$38,0)</f>
        <v/>
      </c>
      <c r="D151" s="61">
        <f>IF(ISNUMBER('Übung 02'!P$38),'Übung 02'!P$38,0)</f>
        <v/>
      </c>
      <c r="E151" s="61">
        <f>IF(ISNUMBER('Übung 03'!P$38),'Übung 03'!P$38,0)</f>
        <v/>
      </c>
      <c r="F151" s="61">
        <f>IF(ISNUMBER('Übung 04'!P$38),'Übung 04'!P$38,0)</f>
        <v/>
      </c>
      <c r="G151" s="61">
        <f>IF(ISNUMBER('Übung 05'!P$38),'Übung 05'!P$38,0)</f>
        <v/>
      </c>
      <c r="H151" s="61">
        <f>IF(ISNUMBER('Übung 06'!P$38),'Übung 06'!P$38,0)</f>
        <v/>
      </c>
      <c r="I151" s="61">
        <f>IF(ISNUMBER('Übung 07'!P$38),'Übung 07'!P$38,0)</f>
        <v/>
      </c>
      <c r="J151" s="61">
        <f>IF(ISNUMBER('Übung 08'!P$38),'Übung 08'!P$38,0)</f>
        <v/>
      </c>
      <c r="K151" s="61">
        <f>IF(ISNUMBER('Übung 09'!P$38),'Übung 09'!P$38,0)</f>
        <v/>
      </c>
      <c r="L151" s="61">
        <f>IF(ISNUMBER('Übung 10'!P$38),'Übung 10'!P$38,0)</f>
        <v/>
      </c>
      <c r="M151" s="61">
        <f>IF(ISNUMBER('Übung 11'!P$38),'Übung 11'!P$38,0)</f>
        <v/>
      </c>
      <c r="N151" s="61">
        <f>IF(ISNUMBER('Übung 12'!P$38),'Übung 12'!P$38,0)</f>
        <v/>
      </c>
      <c r="O151" s="61">
        <f>IF(ISNUMBER('Übung 13'!P$38),'Übung 13'!P$38,0)</f>
        <v/>
      </c>
      <c r="P151" s="61">
        <f>IF(ISNUMBER('Übung 14'!P$38),'Übung 14'!P$38,0)</f>
        <v/>
      </c>
      <c r="Q151" s="61">
        <f>IF(ISNUMBER('Übung 15'!P$38),'Übung 15'!P$38,0)</f>
        <v/>
      </c>
      <c r="R151" s="61">
        <f>IF(ISNUMBER('Übung 16'!P$38),'Übung 16'!P$38,0)</f>
        <v/>
      </c>
      <c r="S151" s="61">
        <f>IF(ISNUMBER('Übung 17'!P$38),'Übung 17'!P$38,0)</f>
        <v/>
      </c>
      <c r="T151" s="61">
        <f>IF(ISNUMBER('Übung 18'!P$38),'Übung 18'!P$38,0)</f>
        <v/>
      </c>
      <c r="U151" s="61">
        <f>IF(ISNUMBER('Übung 19'!P$38),'Übung 19'!P$38,0)</f>
        <v/>
      </c>
      <c r="V151" s="61">
        <f>IF(ISNUMBER('Übung 20'!P$38),'Übung 20'!P$38,0)</f>
        <v/>
      </c>
    </row>
    <row r="152">
      <c r="C152" s="61">
        <f>IF(ISNUMBER('Übung 01'!Q$38),'Übung 01'!Q$38,0)</f>
        <v/>
      </c>
      <c r="D152" s="61">
        <f>IF(ISNUMBER('Übung 02'!Q$38),'Übung 02'!Q$38,0)</f>
        <v/>
      </c>
      <c r="E152" s="61">
        <f>IF(ISNUMBER('Übung 03'!Q$38),'Übung 03'!Q$38,0)</f>
        <v/>
      </c>
      <c r="F152" s="61">
        <f>IF(ISNUMBER('Übung 04'!Q$38),'Übung 04'!Q$38,0)</f>
        <v/>
      </c>
      <c r="G152" s="61">
        <f>IF(ISNUMBER('Übung 05'!Q$38),'Übung 05'!Q$38,0)</f>
        <v/>
      </c>
      <c r="H152" s="61">
        <f>IF(ISNUMBER('Übung 06'!Q$38),'Übung 06'!Q$38,0)</f>
        <v/>
      </c>
      <c r="I152" s="61">
        <f>IF(ISNUMBER('Übung 07'!Q$38),'Übung 07'!Q$38,0)</f>
        <v/>
      </c>
      <c r="J152" s="61">
        <f>IF(ISNUMBER('Übung 08'!Q$38),'Übung 08'!Q$38,0)</f>
        <v/>
      </c>
      <c r="K152" s="61">
        <f>IF(ISNUMBER('Übung 09'!Q$38),'Übung 09'!Q$38,0)</f>
        <v/>
      </c>
      <c r="L152" s="61">
        <f>IF(ISNUMBER('Übung 10'!Q$38),'Übung 10'!Q$38,0)</f>
        <v/>
      </c>
      <c r="M152" s="61">
        <f>IF(ISNUMBER('Übung 11'!Q$38),'Übung 11'!Q$38,0)</f>
        <v/>
      </c>
      <c r="N152" s="61">
        <f>IF(ISNUMBER('Übung 12'!Q$38),'Übung 12'!Q$38,0)</f>
        <v/>
      </c>
      <c r="O152" s="61">
        <f>IF(ISNUMBER('Übung 13'!Q$38),'Übung 13'!Q$38,0)</f>
        <v/>
      </c>
      <c r="P152" s="61">
        <f>IF(ISNUMBER('Übung 14'!Q$38),'Übung 14'!Q$38,0)</f>
        <v/>
      </c>
      <c r="Q152" s="61">
        <f>IF(ISNUMBER('Übung 15'!Q$38),'Übung 15'!Q$38,0)</f>
        <v/>
      </c>
      <c r="R152" s="61">
        <f>IF(ISNUMBER('Übung 16'!Q$38),'Übung 16'!Q$38,0)</f>
        <v/>
      </c>
      <c r="S152" s="61">
        <f>IF(ISNUMBER('Übung 17'!Q$38),'Übung 17'!Q$38,0)</f>
        <v/>
      </c>
      <c r="T152" s="61">
        <f>IF(ISNUMBER('Übung 18'!Q$38),'Übung 18'!Q$38,0)</f>
        <v/>
      </c>
      <c r="U152" s="61">
        <f>IF(ISNUMBER('Übung 19'!Q$38),'Übung 19'!Q$38,0)</f>
        <v/>
      </c>
      <c r="V152" s="61">
        <f>IF(ISNUMBER('Übung 20'!Q$38),'Übung 20'!Q$38,0)</f>
        <v/>
      </c>
    </row>
    <row r="153">
      <c r="C153" s="61">
        <f>IF(ISNUMBER('Übung 01'!R$38),'Übung 01'!R$38,0)</f>
        <v/>
      </c>
      <c r="D153" s="61">
        <f>IF(ISNUMBER('Übung 02'!R$38),'Übung 02'!R$38,0)</f>
        <v/>
      </c>
      <c r="E153" s="61">
        <f>IF(ISNUMBER('Übung 03'!R$38),'Übung 03'!R$38,0)</f>
        <v/>
      </c>
      <c r="F153" s="61">
        <f>IF(ISNUMBER('Übung 04'!R$38),'Übung 04'!R$38,0)</f>
        <v/>
      </c>
      <c r="G153" s="61">
        <f>IF(ISNUMBER('Übung 05'!R$38),'Übung 05'!R$38,0)</f>
        <v/>
      </c>
      <c r="H153" s="61">
        <f>IF(ISNUMBER('Übung 06'!R$38),'Übung 06'!R$38,0)</f>
        <v/>
      </c>
      <c r="I153" s="61">
        <f>IF(ISNUMBER('Übung 07'!R$38),'Übung 07'!R$38,0)</f>
        <v/>
      </c>
      <c r="J153" s="61">
        <f>IF(ISNUMBER('Übung 08'!R$38),'Übung 08'!R$38,0)</f>
        <v/>
      </c>
      <c r="K153" s="61">
        <f>IF(ISNUMBER('Übung 09'!R$38),'Übung 09'!R$38,0)</f>
        <v/>
      </c>
      <c r="L153" s="61">
        <f>IF(ISNUMBER('Übung 10'!R$38),'Übung 10'!R$38,0)</f>
        <v/>
      </c>
      <c r="M153" s="61">
        <f>IF(ISNUMBER('Übung 11'!R$38),'Übung 11'!R$38,0)</f>
        <v/>
      </c>
      <c r="N153" s="61">
        <f>IF(ISNUMBER('Übung 12'!R$38),'Übung 12'!R$38,0)</f>
        <v/>
      </c>
      <c r="O153" s="61">
        <f>IF(ISNUMBER('Übung 13'!R$38),'Übung 13'!R$38,0)</f>
        <v/>
      </c>
      <c r="P153" s="61">
        <f>IF(ISNUMBER('Übung 14'!R$38),'Übung 14'!R$38,0)</f>
        <v/>
      </c>
      <c r="Q153" s="61">
        <f>IF(ISNUMBER('Übung 15'!R$38),'Übung 15'!R$38,0)</f>
        <v/>
      </c>
      <c r="R153" s="61">
        <f>IF(ISNUMBER('Übung 16'!R$38),'Übung 16'!R$38,0)</f>
        <v/>
      </c>
      <c r="S153" s="61">
        <f>IF(ISNUMBER('Übung 17'!R$38),'Übung 17'!R$38,0)</f>
        <v/>
      </c>
      <c r="T153" s="61">
        <f>IF(ISNUMBER('Übung 18'!R$38),'Übung 18'!R$38,0)</f>
        <v/>
      </c>
      <c r="U153" s="61">
        <f>IF(ISNUMBER('Übung 19'!R$38),'Übung 19'!R$38,0)</f>
        <v/>
      </c>
      <c r="V153" s="61">
        <f>IF(ISNUMBER('Übung 20'!R$38),'Übung 20'!R$38,0)</f>
        <v/>
      </c>
    </row>
    <row r="154">
      <c r="C154" s="61">
        <f>IF(ISNUMBER('Übung 01'!S$38),'Übung 01'!S$38,0)</f>
        <v/>
      </c>
      <c r="D154" s="61">
        <f>IF(ISNUMBER('Übung 02'!S$38),'Übung 02'!S$38,0)</f>
        <v/>
      </c>
      <c r="E154" s="61">
        <f>IF(ISNUMBER('Übung 03'!S$38),'Übung 03'!S$38,0)</f>
        <v/>
      </c>
      <c r="F154" s="61">
        <f>IF(ISNUMBER('Übung 04'!S$38),'Übung 04'!S$38,0)</f>
        <v/>
      </c>
      <c r="G154" s="61">
        <f>IF(ISNUMBER('Übung 05'!S$38),'Übung 05'!S$38,0)</f>
        <v/>
      </c>
      <c r="H154" s="61">
        <f>IF(ISNUMBER('Übung 06'!S$38),'Übung 06'!S$38,0)</f>
        <v/>
      </c>
      <c r="I154" s="61">
        <f>IF(ISNUMBER('Übung 07'!S$38),'Übung 07'!S$38,0)</f>
        <v/>
      </c>
      <c r="J154" s="61">
        <f>IF(ISNUMBER('Übung 08'!S$38),'Übung 08'!S$38,0)</f>
        <v/>
      </c>
      <c r="K154" s="61">
        <f>IF(ISNUMBER('Übung 09'!S$38),'Übung 09'!S$38,0)</f>
        <v/>
      </c>
      <c r="L154" s="61">
        <f>IF(ISNUMBER('Übung 10'!S$38),'Übung 10'!S$38,0)</f>
        <v/>
      </c>
      <c r="M154" s="61">
        <f>IF(ISNUMBER('Übung 11'!S$38),'Übung 11'!S$38,0)</f>
        <v/>
      </c>
      <c r="N154" s="61">
        <f>IF(ISNUMBER('Übung 12'!S$38),'Übung 12'!S$38,0)</f>
        <v/>
      </c>
      <c r="O154" s="61">
        <f>IF(ISNUMBER('Übung 13'!S$38),'Übung 13'!S$38,0)</f>
        <v/>
      </c>
      <c r="P154" s="61">
        <f>IF(ISNUMBER('Übung 14'!S$38),'Übung 14'!S$38,0)</f>
        <v/>
      </c>
      <c r="Q154" s="61">
        <f>IF(ISNUMBER('Übung 15'!S$38),'Übung 15'!S$38,0)</f>
        <v/>
      </c>
      <c r="R154" s="61">
        <f>IF(ISNUMBER('Übung 16'!S$38),'Übung 16'!S$38,0)</f>
        <v/>
      </c>
      <c r="S154" s="61">
        <f>IF(ISNUMBER('Übung 17'!S$38),'Übung 17'!S$38,0)</f>
        <v/>
      </c>
      <c r="T154" s="61">
        <f>IF(ISNUMBER('Übung 18'!S$38),'Übung 18'!S$38,0)</f>
        <v/>
      </c>
      <c r="U154" s="61">
        <f>IF(ISNUMBER('Übung 19'!S$38),'Übung 19'!S$38,0)</f>
        <v/>
      </c>
      <c r="V154" s="61">
        <f>IF(ISNUMBER('Übung 20'!S$38),'Übung 20'!S$38,0)</f>
        <v/>
      </c>
    </row>
    <row r="155">
      <c r="C155" s="61">
        <f>IF(ISNUMBER('Übung 01'!T$38),'Übung 01'!T$38,0)</f>
        <v/>
      </c>
      <c r="D155" s="61">
        <f>IF(ISNUMBER('Übung 02'!T$38),'Übung 02'!T$38,0)</f>
        <v/>
      </c>
      <c r="E155" s="61">
        <f>IF(ISNUMBER('Übung 03'!T$38),'Übung 03'!T$38,0)</f>
        <v/>
      </c>
      <c r="F155" s="61">
        <f>IF(ISNUMBER('Übung 04'!T$38),'Übung 04'!T$38,0)</f>
        <v/>
      </c>
      <c r="G155" s="61">
        <f>IF(ISNUMBER('Übung 05'!T$38),'Übung 05'!T$38,0)</f>
        <v/>
      </c>
      <c r="H155" s="61">
        <f>IF(ISNUMBER('Übung 06'!T$38),'Übung 06'!T$38,0)</f>
        <v/>
      </c>
      <c r="I155" s="61">
        <f>IF(ISNUMBER('Übung 07'!T$38),'Übung 07'!T$38,0)</f>
        <v/>
      </c>
      <c r="J155" s="61">
        <f>IF(ISNUMBER('Übung 08'!T$38),'Übung 08'!T$38,0)</f>
        <v/>
      </c>
      <c r="K155" s="61">
        <f>IF(ISNUMBER('Übung 09'!T$38),'Übung 09'!T$38,0)</f>
        <v/>
      </c>
      <c r="L155" s="61">
        <f>IF(ISNUMBER('Übung 10'!T$38),'Übung 10'!T$38,0)</f>
        <v/>
      </c>
      <c r="M155" s="61">
        <f>IF(ISNUMBER('Übung 11'!T$38),'Übung 11'!T$38,0)</f>
        <v/>
      </c>
      <c r="N155" s="61">
        <f>IF(ISNUMBER('Übung 12'!T$38),'Übung 12'!T$38,0)</f>
        <v/>
      </c>
      <c r="O155" s="61">
        <f>IF(ISNUMBER('Übung 13'!T$38),'Übung 13'!T$38,0)</f>
        <v/>
      </c>
      <c r="P155" s="61">
        <f>IF(ISNUMBER('Übung 14'!T$38),'Übung 14'!T$38,0)</f>
        <v/>
      </c>
      <c r="Q155" s="61">
        <f>IF(ISNUMBER('Übung 15'!T$38),'Übung 15'!T$38,0)</f>
        <v/>
      </c>
      <c r="R155" s="61">
        <f>IF(ISNUMBER('Übung 16'!T$38),'Übung 16'!T$38,0)</f>
        <v/>
      </c>
      <c r="S155" s="61">
        <f>IF(ISNUMBER('Übung 17'!T$38),'Übung 17'!T$38,0)</f>
        <v/>
      </c>
      <c r="T155" s="61">
        <f>IF(ISNUMBER('Übung 18'!T$38),'Übung 18'!T$38,0)</f>
        <v/>
      </c>
      <c r="U155" s="61">
        <f>IF(ISNUMBER('Übung 19'!T$38),'Übung 19'!T$38,0)</f>
        <v/>
      </c>
      <c r="V155" s="61">
        <f>IF(ISNUMBER('Übung 20'!T$38),'Übung 20'!T$38,0)</f>
        <v/>
      </c>
    </row>
    <row r="156">
      <c r="C156" s="61">
        <f>IF(ISNUMBER('Übung 01'!U$38),'Übung 01'!U$38,0)</f>
        <v/>
      </c>
      <c r="D156" s="61">
        <f>IF(ISNUMBER('Übung 02'!U$38),'Übung 02'!U$38,0)</f>
        <v/>
      </c>
      <c r="E156" s="61">
        <f>IF(ISNUMBER('Übung 03'!U$38),'Übung 03'!U$38,0)</f>
        <v/>
      </c>
      <c r="F156" s="61">
        <f>IF(ISNUMBER('Übung 04'!U$38),'Übung 04'!U$38,0)</f>
        <v/>
      </c>
      <c r="G156" s="61">
        <f>IF(ISNUMBER('Übung 05'!U$38),'Übung 05'!U$38,0)</f>
        <v/>
      </c>
      <c r="H156" s="61">
        <f>IF(ISNUMBER('Übung 06'!U$38),'Übung 06'!U$38,0)</f>
        <v/>
      </c>
      <c r="I156" s="61">
        <f>IF(ISNUMBER('Übung 07'!U$38),'Übung 07'!U$38,0)</f>
        <v/>
      </c>
      <c r="J156" s="61">
        <f>IF(ISNUMBER('Übung 08'!U$38),'Übung 08'!U$38,0)</f>
        <v/>
      </c>
      <c r="K156" s="61">
        <f>IF(ISNUMBER('Übung 09'!U$38),'Übung 09'!U$38,0)</f>
        <v/>
      </c>
      <c r="L156" s="61">
        <f>IF(ISNUMBER('Übung 10'!U$38),'Übung 10'!U$38,0)</f>
        <v/>
      </c>
      <c r="M156" s="61">
        <f>IF(ISNUMBER('Übung 11'!U$38),'Übung 11'!U$38,0)</f>
        <v/>
      </c>
      <c r="N156" s="61">
        <f>IF(ISNUMBER('Übung 12'!U$38),'Übung 12'!U$38,0)</f>
        <v/>
      </c>
      <c r="O156" s="61">
        <f>IF(ISNUMBER('Übung 13'!U$38),'Übung 13'!U$38,0)</f>
        <v/>
      </c>
      <c r="P156" s="61">
        <f>IF(ISNUMBER('Übung 14'!U$38),'Übung 14'!U$38,0)</f>
        <v/>
      </c>
      <c r="Q156" s="61">
        <f>IF(ISNUMBER('Übung 15'!U$38),'Übung 15'!U$38,0)</f>
        <v/>
      </c>
      <c r="R156" s="61">
        <f>IF(ISNUMBER('Übung 16'!U$38),'Übung 16'!U$38,0)</f>
        <v/>
      </c>
      <c r="S156" s="61">
        <f>IF(ISNUMBER('Übung 17'!U$38),'Übung 17'!U$38,0)</f>
        <v/>
      </c>
      <c r="T156" s="61">
        <f>IF(ISNUMBER('Übung 18'!U$38),'Übung 18'!U$38,0)</f>
        <v/>
      </c>
      <c r="U156" s="61">
        <f>IF(ISNUMBER('Übung 19'!U$38),'Übung 19'!U$38,0)</f>
        <v/>
      </c>
      <c r="V156" s="61">
        <f>IF(ISNUMBER('Übung 20'!U$38),'Übung 20'!U$38,0)</f>
        <v/>
      </c>
    </row>
    <row r="157">
      <c r="C157" s="61">
        <f>IF(ISNUMBER('Übung 01'!V$38),'Übung 01'!V$38,0)</f>
        <v/>
      </c>
      <c r="D157" s="61">
        <f>IF(ISNUMBER('Übung 02'!V$38),'Übung 02'!V$38,0)</f>
        <v/>
      </c>
      <c r="E157" s="61">
        <f>IF(ISNUMBER('Übung 03'!V$38),'Übung 03'!V$38,0)</f>
        <v/>
      </c>
      <c r="F157" s="61">
        <f>IF(ISNUMBER('Übung 04'!V$38),'Übung 04'!V$38,0)</f>
        <v/>
      </c>
      <c r="G157" s="61">
        <f>IF(ISNUMBER('Übung 05'!V$38),'Übung 05'!V$38,0)</f>
        <v/>
      </c>
      <c r="H157" s="61">
        <f>IF(ISNUMBER('Übung 06'!V$38),'Übung 06'!V$38,0)</f>
        <v/>
      </c>
      <c r="I157" s="61">
        <f>IF(ISNUMBER('Übung 07'!V$38),'Übung 07'!V$38,0)</f>
        <v/>
      </c>
      <c r="J157" s="61">
        <f>IF(ISNUMBER('Übung 08'!V$38),'Übung 08'!V$38,0)</f>
        <v/>
      </c>
      <c r="K157" s="61">
        <f>IF(ISNUMBER('Übung 09'!V$38),'Übung 09'!V$38,0)</f>
        <v/>
      </c>
      <c r="L157" s="61">
        <f>IF(ISNUMBER('Übung 10'!V$38),'Übung 10'!V$38,0)</f>
        <v/>
      </c>
      <c r="M157" s="61">
        <f>IF(ISNUMBER('Übung 11'!V$38),'Übung 11'!V$38,0)</f>
        <v/>
      </c>
      <c r="N157" s="61">
        <f>IF(ISNUMBER('Übung 12'!V$38),'Übung 12'!V$38,0)</f>
        <v/>
      </c>
      <c r="O157" s="61">
        <f>IF(ISNUMBER('Übung 13'!V$38),'Übung 13'!V$38,0)</f>
        <v/>
      </c>
      <c r="P157" s="61">
        <f>IF(ISNUMBER('Übung 14'!V$38),'Übung 14'!V$38,0)</f>
        <v/>
      </c>
      <c r="Q157" s="61">
        <f>IF(ISNUMBER('Übung 15'!V$38),'Übung 15'!V$38,0)</f>
        <v/>
      </c>
      <c r="R157" s="61">
        <f>IF(ISNUMBER('Übung 16'!V$38),'Übung 16'!V$38,0)</f>
        <v/>
      </c>
      <c r="S157" s="61">
        <f>IF(ISNUMBER('Übung 17'!V$38),'Übung 17'!V$38,0)</f>
        <v/>
      </c>
      <c r="T157" s="61">
        <f>IF(ISNUMBER('Übung 18'!V$38),'Übung 18'!V$38,0)</f>
        <v/>
      </c>
      <c r="U157" s="61">
        <f>IF(ISNUMBER('Übung 19'!V$38),'Übung 19'!V$38,0)</f>
        <v/>
      </c>
      <c r="V157" s="61">
        <f>IF(ISNUMBER('Übung 20'!V$38),'Übung 20'!V$38,0)</f>
        <v/>
      </c>
    </row>
    <row r="158">
      <c r="C158" s="61">
        <f>IF(ISNUMBER('Übung 01'!W$38),'Übung 01'!W$38,0)</f>
        <v/>
      </c>
      <c r="D158" s="61">
        <f>IF(ISNUMBER('Übung 02'!W$38),'Übung 02'!W$38,0)</f>
        <v/>
      </c>
      <c r="E158" s="61">
        <f>IF(ISNUMBER('Übung 03'!W$38),'Übung 03'!W$38,0)</f>
        <v/>
      </c>
      <c r="F158" s="61">
        <f>IF(ISNUMBER('Übung 04'!W$38),'Übung 04'!W$38,0)</f>
        <v/>
      </c>
      <c r="G158" s="61">
        <f>IF(ISNUMBER('Übung 05'!W$38),'Übung 05'!W$38,0)</f>
        <v/>
      </c>
      <c r="H158" s="61">
        <f>IF(ISNUMBER('Übung 06'!W$38),'Übung 06'!W$38,0)</f>
        <v/>
      </c>
      <c r="I158" s="61">
        <f>IF(ISNUMBER('Übung 07'!W$38),'Übung 07'!W$38,0)</f>
        <v/>
      </c>
      <c r="J158" s="61">
        <f>IF(ISNUMBER('Übung 08'!W$38),'Übung 08'!W$38,0)</f>
        <v/>
      </c>
      <c r="K158" s="61">
        <f>IF(ISNUMBER('Übung 09'!W$38),'Übung 09'!W$38,0)</f>
        <v/>
      </c>
      <c r="L158" s="61">
        <f>IF(ISNUMBER('Übung 10'!W$38),'Übung 10'!W$38,0)</f>
        <v/>
      </c>
      <c r="M158" s="61">
        <f>IF(ISNUMBER('Übung 11'!W$38),'Übung 11'!W$38,0)</f>
        <v/>
      </c>
      <c r="N158" s="61">
        <f>IF(ISNUMBER('Übung 12'!W$38),'Übung 12'!W$38,0)</f>
        <v/>
      </c>
      <c r="O158" s="61">
        <f>IF(ISNUMBER('Übung 13'!W$38),'Übung 13'!W$38,0)</f>
        <v/>
      </c>
      <c r="P158" s="61">
        <f>IF(ISNUMBER('Übung 14'!W$38),'Übung 14'!W$38,0)</f>
        <v/>
      </c>
      <c r="Q158" s="61">
        <f>IF(ISNUMBER('Übung 15'!W$38),'Übung 15'!W$38,0)</f>
        <v/>
      </c>
      <c r="R158" s="61">
        <f>IF(ISNUMBER('Übung 16'!W$38),'Übung 16'!W$38,0)</f>
        <v/>
      </c>
      <c r="S158" s="61">
        <f>IF(ISNUMBER('Übung 17'!W$38),'Übung 17'!W$38,0)</f>
        <v/>
      </c>
      <c r="T158" s="61">
        <f>IF(ISNUMBER('Übung 18'!W$38),'Übung 18'!W$38,0)</f>
        <v/>
      </c>
      <c r="U158" s="61">
        <f>IF(ISNUMBER('Übung 19'!W$38),'Übung 19'!W$38,0)</f>
        <v/>
      </c>
      <c r="V158" s="61">
        <f>IF(ISNUMBER('Übung 20'!W$38),'Übung 20'!W$38,0)</f>
        <v/>
      </c>
    </row>
    <row r="159">
      <c r="C159" s="61">
        <f>IF(ISNUMBER('Übung 01'!X$38),'Übung 01'!X$38,0)</f>
        <v/>
      </c>
      <c r="D159" s="61">
        <f>IF(ISNUMBER('Übung 02'!X$38),'Übung 02'!X$38,0)</f>
        <v/>
      </c>
      <c r="E159" s="61">
        <f>IF(ISNUMBER('Übung 03'!X$38),'Übung 03'!X$38,0)</f>
        <v/>
      </c>
      <c r="F159" s="61">
        <f>IF(ISNUMBER('Übung 04'!X$38),'Übung 04'!X$38,0)</f>
        <v/>
      </c>
      <c r="G159" s="61">
        <f>IF(ISNUMBER('Übung 05'!X$38),'Übung 05'!X$38,0)</f>
        <v/>
      </c>
      <c r="H159" s="61">
        <f>IF(ISNUMBER('Übung 06'!X$38),'Übung 06'!X$38,0)</f>
        <v/>
      </c>
      <c r="I159" s="61">
        <f>IF(ISNUMBER('Übung 07'!X$38),'Übung 07'!X$38,0)</f>
        <v/>
      </c>
      <c r="J159" s="61">
        <f>IF(ISNUMBER('Übung 08'!X$38),'Übung 08'!X$38,0)</f>
        <v/>
      </c>
      <c r="K159" s="61">
        <f>IF(ISNUMBER('Übung 09'!X$38),'Übung 09'!X$38,0)</f>
        <v/>
      </c>
      <c r="L159" s="61">
        <f>IF(ISNUMBER('Übung 10'!X$38),'Übung 10'!X$38,0)</f>
        <v/>
      </c>
      <c r="M159" s="61">
        <f>IF(ISNUMBER('Übung 11'!X$38),'Übung 11'!X$38,0)</f>
        <v/>
      </c>
      <c r="N159" s="61">
        <f>IF(ISNUMBER('Übung 12'!X$38),'Übung 12'!X$38,0)</f>
        <v/>
      </c>
      <c r="O159" s="61">
        <f>IF(ISNUMBER('Übung 13'!X$38),'Übung 13'!X$38,0)</f>
        <v/>
      </c>
      <c r="P159" s="61">
        <f>IF(ISNUMBER('Übung 14'!X$38),'Übung 14'!X$38,0)</f>
        <v/>
      </c>
      <c r="Q159" s="61">
        <f>IF(ISNUMBER('Übung 15'!X$38),'Übung 15'!X$38,0)</f>
        <v/>
      </c>
      <c r="R159" s="61">
        <f>IF(ISNUMBER('Übung 16'!X$38),'Übung 16'!X$38,0)</f>
        <v/>
      </c>
      <c r="S159" s="61">
        <f>IF(ISNUMBER('Übung 17'!X$38),'Übung 17'!X$38,0)</f>
        <v/>
      </c>
      <c r="T159" s="61">
        <f>IF(ISNUMBER('Übung 18'!X$38),'Übung 18'!X$38,0)</f>
        <v/>
      </c>
      <c r="U159" s="61">
        <f>IF(ISNUMBER('Übung 19'!X$38),'Übung 19'!X$38,0)</f>
        <v/>
      </c>
      <c r="V159" s="61">
        <f>IF(ISNUMBER('Übung 20'!X$38),'Übung 20'!X$38,0)</f>
        <v/>
      </c>
    </row>
    <row r="160">
      <c r="C160" s="61">
        <f>IF(ISNUMBER('Übung 01'!Y$38),'Übung 01'!Y$38,0)</f>
        <v/>
      </c>
      <c r="D160" s="61">
        <f>IF(ISNUMBER('Übung 02'!Y$38),'Übung 02'!Y$38,0)</f>
        <v/>
      </c>
      <c r="E160" s="61">
        <f>IF(ISNUMBER('Übung 03'!Y$38),'Übung 03'!Y$38,0)</f>
        <v/>
      </c>
      <c r="F160" s="61">
        <f>IF(ISNUMBER('Übung 04'!Y$38),'Übung 04'!Y$38,0)</f>
        <v/>
      </c>
      <c r="G160" s="61">
        <f>IF(ISNUMBER('Übung 05'!Y$38),'Übung 05'!Y$38,0)</f>
        <v/>
      </c>
      <c r="H160" s="61">
        <f>IF(ISNUMBER('Übung 06'!Y$38),'Übung 06'!Y$38,0)</f>
        <v/>
      </c>
      <c r="I160" s="61">
        <f>IF(ISNUMBER('Übung 07'!Y$38),'Übung 07'!Y$38,0)</f>
        <v/>
      </c>
      <c r="J160" s="61">
        <f>IF(ISNUMBER('Übung 08'!Y$38),'Übung 08'!Y$38,0)</f>
        <v/>
      </c>
      <c r="K160" s="61">
        <f>IF(ISNUMBER('Übung 09'!Y$38),'Übung 09'!Y$38,0)</f>
        <v/>
      </c>
      <c r="L160" s="61">
        <f>IF(ISNUMBER('Übung 10'!Y$38),'Übung 10'!Y$38,0)</f>
        <v/>
      </c>
      <c r="M160" s="61">
        <f>IF(ISNUMBER('Übung 11'!Y$38),'Übung 11'!Y$38,0)</f>
        <v/>
      </c>
      <c r="N160" s="61">
        <f>IF(ISNUMBER('Übung 12'!Y$38),'Übung 12'!Y$38,0)</f>
        <v/>
      </c>
      <c r="O160" s="61">
        <f>IF(ISNUMBER('Übung 13'!Y$38),'Übung 13'!Y$38,0)</f>
        <v/>
      </c>
      <c r="P160" s="61">
        <f>IF(ISNUMBER('Übung 14'!Y$38),'Übung 14'!Y$38,0)</f>
        <v/>
      </c>
      <c r="Q160" s="61">
        <f>IF(ISNUMBER('Übung 15'!Y$38),'Übung 15'!Y$38,0)</f>
        <v/>
      </c>
      <c r="R160" s="61">
        <f>IF(ISNUMBER('Übung 16'!Y$38),'Übung 16'!Y$38,0)</f>
        <v/>
      </c>
      <c r="S160" s="61">
        <f>IF(ISNUMBER('Übung 17'!Y$38),'Übung 17'!Y$38,0)</f>
        <v/>
      </c>
      <c r="T160" s="61">
        <f>IF(ISNUMBER('Übung 18'!Y$38),'Übung 18'!Y$38,0)</f>
        <v/>
      </c>
      <c r="U160" s="61">
        <f>IF(ISNUMBER('Übung 19'!Y$38),'Übung 19'!Y$38,0)</f>
        <v/>
      </c>
      <c r="V160" s="61">
        <f>IF(ISNUMBER('Übung 20'!Y$38),'Übung 20'!Y$38,0)</f>
        <v/>
      </c>
    </row>
    <row r="161">
      <c r="C161" s="61">
        <f>IF(ISNUMBER('Übung 01'!Z$38),'Übung 01'!Z$38,0)</f>
        <v/>
      </c>
      <c r="D161" s="61">
        <f>IF(ISNUMBER('Übung 02'!Z$38),'Übung 02'!Z$38,0)</f>
        <v/>
      </c>
      <c r="E161" s="61">
        <f>IF(ISNUMBER('Übung 03'!Z$38),'Übung 03'!Z$38,0)</f>
        <v/>
      </c>
      <c r="F161" s="61">
        <f>IF(ISNUMBER('Übung 04'!Z$38),'Übung 04'!Z$38,0)</f>
        <v/>
      </c>
      <c r="G161" s="61">
        <f>IF(ISNUMBER('Übung 05'!Z$38),'Übung 05'!Z$38,0)</f>
        <v/>
      </c>
      <c r="H161" s="61">
        <f>IF(ISNUMBER('Übung 06'!Z$38),'Übung 06'!Z$38,0)</f>
        <v/>
      </c>
      <c r="I161" s="61">
        <f>IF(ISNUMBER('Übung 07'!Z$38),'Übung 07'!Z$38,0)</f>
        <v/>
      </c>
      <c r="J161" s="61">
        <f>IF(ISNUMBER('Übung 08'!Z$38),'Übung 08'!Z$38,0)</f>
        <v/>
      </c>
      <c r="K161" s="61">
        <f>IF(ISNUMBER('Übung 09'!Z$38),'Übung 09'!Z$38,0)</f>
        <v/>
      </c>
      <c r="L161" s="61">
        <f>IF(ISNUMBER('Übung 10'!Z$38),'Übung 10'!Z$38,0)</f>
        <v/>
      </c>
      <c r="M161" s="61">
        <f>IF(ISNUMBER('Übung 11'!Z$38),'Übung 11'!Z$38,0)</f>
        <v/>
      </c>
      <c r="N161" s="61">
        <f>IF(ISNUMBER('Übung 12'!Z$38),'Übung 12'!Z$38,0)</f>
        <v/>
      </c>
      <c r="O161" s="61">
        <f>IF(ISNUMBER('Übung 13'!Z$38),'Übung 13'!Z$38,0)</f>
        <v/>
      </c>
      <c r="P161" s="61">
        <f>IF(ISNUMBER('Übung 14'!Z$38),'Übung 14'!Z$38,0)</f>
        <v/>
      </c>
      <c r="Q161" s="61">
        <f>IF(ISNUMBER('Übung 15'!Z$38),'Übung 15'!Z$38,0)</f>
        <v/>
      </c>
      <c r="R161" s="61">
        <f>IF(ISNUMBER('Übung 16'!Z$38),'Übung 16'!Z$38,0)</f>
        <v/>
      </c>
      <c r="S161" s="61">
        <f>IF(ISNUMBER('Übung 17'!Z$38),'Übung 17'!Z$38,0)</f>
        <v/>
      </c>
      <c r="T161" s="61">
        <f>IF(ISNUMBER('Übung 18'!Z$38),'Übung 18'!Z$38,0)</f>
        <v/>
      </c>
      <c r="U161" s="61">
        <f>IF(ISNUMBER('Übung 19'!Z$38),'Übung 19'!Z$38,0)</f>
        <v/>
      </c>
      <c r="V161" s="61">
        <f>IF(ISNUMBER('Übung 20'!Z$38),'Übung 20'!Z$38,0)</f>
        <v/>
      </c>
    </row>
    <row r="162">
      <c r="C162" s="61">
        <f>IF(ISNUMBER('Übung 01'!AA$38),'Übung 01'!AA$38,0)</f>
        <v/>
      </c>
      <c r="D162" s="61">
        <f>IF(ISNUMBER('Übung 02'!AA$38),'Übung 02'!AA$38,0)</f>
        <v/>
      </c>
      <c r="E162" s="61">
        <f>IF(ISNUMBER('Übung 03'!AA$38),'Übung 03'!AA$38,0)</f>
        <v/>
      </c>
      <c r="F162" s="61">
        <f>IF(ISNUMBER('Übung 04'!AA$38),'Übung 04'!AA$38,0)</f>
        <v/>
      </c>
      <c r="G162" s="61">
        <f>IF(ISNUMBER('Übung 05'!AA$38),'Übung 05'!AA$38,0)</f>
        <v/>
      </c>
      <c r="H162" s="61">
        <f>IF(ISNUMBER('Übung 06'!AA$38),'Übung 06'!AA$38,0)</f>
        <v/>
      </c>
      <c r="I162" s="61">
        <f>IF(ISNUMBER('Übung 07'!AA$38),'Übung 07'!AA$38,0)</f>
        <v/>
      </c>
      <c r="J162" s="61">
        <f>IF(ISNUMBER('Übung 08'!AA$38),'Übung 08'!AA$38,0)</f>
        <v/>
      </c>
      <c r="K162" s="61">
        <f>IF(ISNUMBER('Übung 09'!AA$38),'Übung 09'!AA$38,0)</f>
        <v/>
      </c>
      <c r="L162" s="61">
        <f>IF(ISNUMBER('Übung 10'!AA$38),'Übung 10'!AA$38,0)</f>
        <v/>
      </c>
      <c r="M162" s="61">
        <f>IF(ISNUMBER('Übung 11'!AA$38),'Übung 11'!AA$38,0)</f>
        <v/>
      </c>
      <c r="N162" s="61">
        <f>IF(ISNUMBER('Übung 12'!AA$38),'Übung 12'!AA$38,0)</f>
        <v/>
      </c>
      <c r="O162" s="61">
        <f>IF(ISNUMBER('Übung 13'!AA$38),'Übung 13'!AA$38,0)</f>
        <v/>
      </c>
      <c r="P162" s="61">
        <f>IF(ISNUMBER('Übung 14'!AA$38),'Übung 14'!AA$38,0)</f>
        <v/>
      </c>
      <c r="Q162" s="61">
        <f>IF(ISNUMBER('Übung 15'!AA$38),'Übung 15'!AA$38,0)</f>
        <v/>
      </c>
      <c r="R162" s="61">
        <f>IF(ISNUMBER('Übung 16'!AA$38),'Übung 16'!AA$38,0)</f>
        <v/>
      </c>
      <c r="S162" s="61">
        <f>IF(ISNUMBER('Übung 17'!AA$38),'Übung 17'!AA$38,0)</f>
        <v/>
      </c>
      <c r="T162" s="61">
        <f>IF(ISNUMBER('Übung 18'!AA$38),'Übung 18'!AA$38,0)</f>
        <v/>
      </c>
      <c r="U162" s="61">
        <f>IF(ISNUMBER('Übung 19'!AA$38),'Übung 19'!AA$38,0)</f>
        <v/>
      </c>
      <c r="V162" s="61">
        <f>IF(ISNUMBER('Übung 20'!AA$38),'Übung 20'!AA$38,0)</f>
        <v/>
      </c>
    </row>
    <row r="163">
      <c r="C163" s="61">
        <f>IF(ISNUMBER('Übung 01'!AB$38),'Übung 01'!AB$38,0)</f>
        <v/>
      </c>
      <c r="D163" s="61">
        <f>IF(ISNUMBER('Übung 02'!AB$38),'Übung 02'!AB$38,0)</f>
        <v/>
      </c>
      <c r="E163" s="61">
        <f>IF(ISNUMBER('Übung 03'!AB$38),'Übung 03'!AB$38,0)</f>
        <v/>
      </c>
      <c r="F163" s="61">
        <f>IF(ISNUMBER('Übung 04'!AB$38),'Übung 04'!AB$38,0)</f>
        <v/>
      </c>
      <c r="G163" s="61">
        <f>IF(ISNUMBER('Übung 05'!AB$38),'Übung 05'!AB$38,0)</f>
        <v/>
      </c>
      <c r="H163" s="61">
        <f>IF(ISNUMBER('Übung 06'!AB$38),'Übung 06'!AB$38,0)</f>
        <v/>
      </c>
      <c r="I163" s="61">
        <f>IF(ISNUMBER('Übung 07'!AB$38),'Übung 07'!AB$38,0)</f>
        <v/>
      </c>
      <c r="J163" s="61">
        <f>IF(ISNUMBER('Übung 08'!AB$38),'Übung 08'!AB$38,0)</f>
        <v/>
      </c>
      <c r="K163" s="61">
        <f>IF(ISNUMBER('Übung 09'!AB$38),'Übung 09'!AB$38,0)</f>
        <v/>
      </c>
      <c r="L163" s="61">
        <f>IF(ISNUMBER('Übung 10'!AB$38),'Übung 10'!AB$38,0)</f>
        <v/>
      </c>
      <c r="M163" s="61">
        <f>IF(ISNUMBER('Übung 11'!AB$38),'Übung 11'!AB$38,0)</f>
        <v/>
      </c>
      <c r="N163" s="61">
        <f>IF(ISNUMBER('Übung 12'!AB$38),'Übung 12'!AB$38,0)</f>
        <v/>
      </c>
      <c r="O163" s="61">
        <f>IF(ISNUMBER('Übung 13'!AB$38),'Übung 13'!AB$38,0)</f>
        <v/>
      </c>
      <c r="P163" s="61">
        <f>IF(ISNUMBER('Übung 14'!AB$38),'Übung 14'!AB$38,0)</f>
        <v/>
      </c>
      <c r="Q163" s="61">
        <f>IF(ISNUMBER('Übung 15'!AB$38),'Übung 15'!AB$38,0)</f>
        <v/>
      </c>
      <c r="R163" s="61">
        <f>IF(ISNUMBER('Übung 16'!AB$38),'Übung 16'!AB$38,0)</f>
        <v/>
      </c>
      <c r="S163" s="61">
        <f>IF(ISNUMBER('Übung 17'!AB$38),'Übung 17'!AB$38,0)</f>
        <v/>
      </c>
      <c r="T163" s="61">
        <f>IF(ISNUMBER('Übung 18'!AB$38),'Übung 18'!AB$38,0)</f>
        <v/>
      </c>
      <c r="U163" s="61">
        <f>IF(ISNUMBER('Übung 19'!AB$38),'Übung 19'!AB$38,0)</f>
        <v/>
      </c>
      <c r="V163" s="61">
        <f>IF(ISNUMBER('Übung 20'!AB$38),'Übung 20'!AB$38,0)</f>
        <v/>
      </c>
    </row>
    <row r="164">
      <c r="C164" s="61">
        <f>IF(ISNUMBER('Übung 01'!AC$38),'Übung 01'!AC$38,0)</f>
        <v/>
      </c>
      <c r="D164" s="61">
        <f>IF(ISNUMBER('Übung 02'!AC$38),'Übung 02'!AC$38,0)</f>
        <v/>
      </c>
      <c r="E164" s="61">
        <f>IF(ISNUMBER('Übung 03'!AC$38),'Übung 03'!AC$38,0)</f>
        <v/>
      </c>
      <c r="F164" s="61">
        <f>IF(ISNUMBER('Übung 04'!AC$38),'Übung 04'!AC$38,0)</f>
        <v/>
      </c>
      <c r="G164" s="61">
        <f>IF(ISNUMBER('Übung 05'!AC$38),'Übung 05'!AC$38,0)</f>
        <v/>
      </c>
      <c r="H164" s="61">
        <f>IF(ISNUMBER('Übung 06'!AC$38),'Übung 06'!AC$38,0)</f>
        <v/>
      </c>
      <c r="I164" s="61">
        <f>IF(ISNUMBER('Übung 07'!AC$38),'Übung 07'!AC$38,0)</f>
        <v/>
      </c>
      <c r="J164" s="61">
        <f>IF(ISNUMBER('Übung 08'!AC$38),'Übung 08'!AC$38,0)</f>
        <v/>
      </c>
      <c r="K164" s="61">
        <f>IF(ISNUMBER('Übung 09'!AC$38),'Übung 09'!AC$38,0)</f>
        <v/>
      </c>
      <c r="L164" s="61">
        <f>IF(ISNUMBER('Übung 10'!AC$38),'Übung 10'!AC$38,0)</f>
        <v/>
      </c>
      <c r="M164" s="61">
        <f>IF(ISNUMBER('Übung 11'!AC$38),'Übung 11'!AC$38,0)</f>
        <v/>
      </c>
      <c r="N164" s="61">
        <f>IF(ISNUMBER('Übung 12'!AC$38),'Übung 12'!AC$38,0)</f>
        <v/>
      </c>
      <c r="O164" s="61">
        <f>IF(ISNUMBER('Übung 13'!AC$38),'Übung 13'!AC$38,0)</f>
        <v/>
      </c>
      <c r="P164" s="61">
        <f>IF(ISNUMBER('Übung 14'!AC$38),'Übung 14'!AC$38,0)</f>
        <v/>
      </c>
      <c r="Q164" s="61">
        <f>IF(ISNUMBER('Übung 15'!AC$38),'Übung 15'!AC$38,0)</f>
        <v/>
      </c>
      <c r="R164" s="61">
        <f>IF(ISNUMBER('Übung 16'!AC$38),'Übung 16'!AC$38,0)</f>
        <v/>
      </c>
      <c r="S164" s="61">
        <f>IF(ISNUMBER('Übung 17'!AC$38),'Übung 17'!AC$38,0)</f>
        <v/>
      </c>
      <c r="T164" s="61">
        <f>IF(ISNUMBER('Übung 18'!AC$38),'Übung 18'!AC$38,0)</f>
        <v/>
      </c>
      <c r="U164" s="61">
        <f>IF(ISNUMBER('Übung 19'!AC$38),'Übung 19'!AC$38,0)</f>
        <v/>
      </c>
      <c r="V164" s="61">
        <f>IF(ISNUMBER('Übung 20'!AC$38),'Übung 20'!AC$38,0)</f>
        <v/>
      </c>
    </row>
    <row r="169">
      <c r="A169" s="162" t="inlineStr">
        <is>
          <t>Grund</t>
        </is>
      </c>
    </row>
    <row r="170">
      <c r="C170" s="61">
        <f>IF('Übung 01'!E$40="","",'Übung 01'!E$40)</f>
        <v/>
      </c>
      <c r="D170" s="61">
        <f>IF('Übung 02'!E$40="","",'Übung 02'!E$40)</f>
        <v/>
      </c>
      <c r="E170" s="61">
        <f>IF('Übung 03'!E$40="","",'Übung 03'!E$40)</f>
        <v/>
      </c>
      <c r="F170" s="61">
        <f>IF('Übung 04'!E$40="","",'Übung 04'!E$40)</f>
        <v/>
      </c>
      <c r="G170" s="61">
        <f>IF('Übung 05'!E$40="","",'Übung 05'!E$40)</f>
        <v/>
      </c>
      <c r="H170" s="61">
        <f>IF('Übung 06'!E$40="","",'Übung 06'!E$40)</f>
        <v/>
      </c>
      <c r="I170" s="61">
        <f>IF('Übung 07'!E$40="","",'Übung 07'!E$40)</f>
        <v/>
      </c>
      <c r="J170" s="61">
        <f>IF('Übung 08'!E$40="","",'Übung 08'!E$40)</f>
        <v/>
      </c>
      <c r="K170" s="61">
        <f>IF('Übung 09'!E$40="","",'Übung 09'!E$40)</f>
        <v/>
      </c>
      <c r="L170" s="61">
        <f>IF('Übung 10'!E$40="","",'Übung 10'!E$40)</f>
        <v/>
      </c>
      <c r="M170" s="61">
        <f>IF('Übung 11'!E$40="","",'Übung 11'!E$40)</f>
        <v/>
      </c>
      <c r="N170" s="61">
        <f>IF('Übung 12'!E$40="","",'Übung 12'!E$40)</f>
        <v/>
      </c>
      <c r="O170" s="61">
        <f>IF('Übung 13'!E$40="","",'Übung 13'!E$40)</f>
        <v/>
      </c>
      <c r="P170" s="61">
        <f>IF('Übung 14'!E$40="","",'Übung 14'!E$40)</f>
        <v/>
      </c>
      <c r="Q170" s="61">
        <f>IF('Übung 15'!E$40="","",'Übung 15'!E$40)</f>
        <v/>
      </c>
      <c r="R170" s="61">
        <f>IF('Übung 16'!E$40="","",'Übung 16'!E$40)</f>
        <v/>
      </c>
      <c r="S170" s="61">
        <f>IF('Übung 17'!E$40="","",'Übung 17'!E$40)</f>
        <v/>
      </c>
      <c r="T170" s="61">
        <f>IF('Übung 18'!E$40="","",'Übung 18'!E$40)</f>
        <v/>
      </c>
      <c r="U170" s="61">
        <f>IF('Übung 19'!E$40="","",'Übung 19'!E$40)</f>
        <v/>
      </c>
      <c r="V170" s="61">
        <f>IF('Übung 20'!E$40="","",'Übung 20'!E$40)</f>
        <v/>
      </c>
    </row>
    <row r="171">
      <c r="C171" s="61">
        <f>IF('Übung 01'!F$40="","",'Übung 01'!F$40)</f>
        <v/>
      </c>
      <c r="D171" s="61">
        <f>IF('Übung 02'!F$40="","",'Übung 02'!F$40)</f>
        <v/>
      </c>
      <c r="E171" s="61">
        <f>IF('Übung 03'!F$40="","",'Übung 03'!F$40)</f>
        <v/>
      </c>
      <c r="F171" s="61">
        <f>IF('Übung 04'!F$40="","",'Übung 04'!F$40)</f>
        <v/>
      </c>
      <c r="G171" s="61">
        <f>IF('Übung 05'!F$40="","",'Übung 05'!F$40)</f>
        <v/>
      </c>
      <c r="H171" s="61">
        <f>IF('Übung 06'!F$40="","",'Übung 06'!F$40)</f>
        <v/>
      </c>
      <c r="I171" s="61">
        <f>IF('Übung 07'!F$40="","",'Übung 07'!F$40)</f>
        <v/>
      </c>
      <c r="J171" s="61">
        <f>IF('Übung 08'!F$40="","",'Übung 08'!F$40)</f>
        <v/>
      </c>
      <c r="K171" s="61">
        <f>IF('Übung 09'!F$40="","",'Übung 09'!F$40)</f>
        <v/>
      </c>
      <c r="L171" s="61">
        <f>IF('Übung 10'!F$40="","",'Übung 10'!F$40)</f>
        <v/>
      </c>
      <c r="M171" s="61">
        <f>IF('Übung 11'!F$40="","",'Übung 11'!F$40)</f>
        <v/>
      </c>
      <c r="N171" s="61">
        <f>IF('Übung 12'!F$40="","",'Übung 12'!F$40)</f>
        <v/>
      </c>
      <c r="O171" s="61">
        <f>IF('Übung 13'!F$40="","",'Übung 13'!F$40)</f>
        <v/>
      </c>
      <c r="P171" s="61">
        <f>IF('Übung 14'!F$40="","",'Übung 14'!F$40)</f>
        <v/>
      </c>
      <c r="Q171" s="61">
        <f>IF('Übung 15'!F$40="","",'Übung 15'!F$40)</f>
        <v/>
      </c>
      <c r="R171" s="61">
        <f>IF('Übung 16'!F$40="","",'Übung 16'!F$40)</f>
        <v/>
      </c>
      <c r="S171" s="61">
        <f>IF('Übung 17'!F$40="","",'Übung 17'!F$40)</f>
        <v/>
      </c>
      <c r="T171" s="61">
        <f>IF('Übung 18'!F$40="","",'Übung 18'!F$40)</f>
        <v/>
      </c>
      <c r="U171" s="61">
        <f>IF('Übung 19'!F$40="","",'Übung 19'!F$40)</f>
        <v/>
      </c>
      <c r="V171" s="61">
        <f>IF('Übung 20'!F$40="","",'Übung 20'!F$40)</f>
        <v/>
      </c>
    </row>
    <row r="172">
      <c r="C172" s="61">
        <f>IF('Übung 01'!G$40="","",'Übung 01'!G$40)</f>
        <v/>
      </c>
      <c r="D172" s="61">
        <f>IF('Übung 02'!G$40="","",'Übung 02'!G$40)</f>
        <v/>
      </c>
      <c r="E172" s="61">
        <f>IF('Übung 03'!G$40="","",'Übung 03'!G$40)</f>
        <v/>
      </c>
      <c r="F172" s="61">
        <f>IF('Übung 04'!G$40="","",'Übung 04'!G$40)</f>
        <v/>
      </c>
      <c r="G172" s="61">
        <f>IF('Übung 05'!G$40="","",'Übung 05'!G$40)</f>
        <v/>
      </c>
      <c r="H172" s="61">
        <f>IF('Übung 06'!G$40="","",'Übung 06'!G$40)</f>
        <v/>
      </c>
      <c r="I172" s="61">
        <f>IF('Übung 07'!G$40="","",'Übung 07'!G$40)</f>
        <v/>
      </c>
      <c r="J172" s="61">
        <f>IF('Übung 08'!G$40="","",'Übung 08'!G$40)</f>
        <v/>
      </c>
      <c r="K172" s="61">
        <f>IF('Übung 09'!G$40="","",'Übung 09'!G$40)</f>
        <v/>
      </c>
      <c r="L172" s="61">
        <f>IF('Übung 10'!G$40="","",'Übung 10'!G$40)</f>
        <v/>
      </c>
      <c r="M172" s="61">
        <f>IF('Übung 11'!G$40="","",'Übung 11'!G$40)</f>
        <v/>
      </c>
      <c r="N172" s="61">
        <f>IF('Übung 12'!G$40="","",'Übung 12'!G$40)</f>
        <v/>
      </c>
      <c r="O172" s="61">
        <f>IF('Übung 13'!G$40="","",'Übung 13'!G$40)</f>
        <v/>
      </c>
      <c r="P172" s="61">
        <f>IF('Übung 14'!G$40="","",'Übung 14'!G$40)</f>
        <v/>
      </c>
      <c r="Q172" s="61">
        <f>IF('Übung 15'!G$40="","",'Übung 15'!G$40)</f>
        <v/>
      </c>
      <c r="R172" s="61">
        <f>IF('Übung 16'!G$40="","",'Übung 16'!G$40)</f>
        <v/>
      </c>
      <c r="S172" s="61">
        <f>IF('Übung 17'!G$40="","",'Übung 17'!G$40)</f>
        <v/>
      </c>
      <c r="T172" s="61">
        <f>IF('Übung 18'!G$40="","",'Übung 18'!G$40)</f>
        <v/>
      </c>
      <c r="U172" s="61">
        <f>IF('Übung 19'!G$40="","",'Übung 19'!G$40)</f>
        <v/>
      </c>
      <c r="V172" s="61">
        <f>IF('Übung 20'!G$40="","",'Übung 20'!G$40)</f>
        <v/>
      </c>
    </row>
    <row r="173">
      <c r="C173" s="61">
        <f>IF('Übung 01'!H$40="","",'Übung 01'!H$40)</f>
        <v/>
      </c>
      <c r="D173" s="61">
        <f>IF('Übung 02'!H$40="","",'Übung 02'!H$40)</f>
        <v/>
      </c>
      <c r="E173" s="61">
        <f>IF('Übung 03'!H$40="","",'Übung 03'!H$40)</f>
        <v/>
      </c>
      <c r="F173" s="61">
        <f>IF('Übung 04'!H$40="","",'Übung 04'!H$40)</f>
        <v/>
      </c>
      <c r="G173" s="61">
        <f>IF('Übung 05'!H$40="","",'Übung 05'!H$40)</f>
        <v/>
      </c>
      <c r="H173" s="61">
        <f>IF('Übung 06'!H$40="","",'Übung 06'!H$40)</f>
        <v/>
      </c>
      <c r="I173" s="61">
        <f>IF('Übung 07'!H$40="","",'Übung 07'!H$40)</f>
        <v/>
      </c>
      <c r="J173" s="61">
        <f>IF('Übung 08'!H$40="","",'Übung 08'!H$40)</f>
        <v/>
      </c>
      <c r="K173" s="61">
        <f>IF('Übung 09'!H$40="","",'Übung 09'!H$40)</f>
        <v/>
      </c>
      <c r="L173" s="61">
        <f>IF('Übung 10'!H$40="","",'Übung 10'!H$40)</f>
        <v/>
      </c>
      <c r="M173" s="61">
        <f>IF('Übung 11'!H$40="","",'Übung 11'!H$40)</f>
        <v/>
      </c>
      <c r="N173" s="61">
        <f>IF('Übung 12'!H$40="","",'Übung 12'!H$40)</f>
        <v/>
      </c>
      <c r="O173" s="61">
        <f>IF('Übung 13'!H$40="","",'Übung 13'!H$40)</f>
        <v/>
      </c>
      <c r="P173" s="61">
        <f>IF('Übung 14'!H$40="","",'Übung 14'!H$40)</f>
        <v/>
      </c>
      <c r="Q173" s="61">
        <f>IF('Übung 15'!H$40="","",'Übung 15'!H$40)</f>
        <v/>
      </c>
      <c r="R173" s="61">
        <f>IF('Übung 16'!H$40="","",'Übung 16'!H$40)</f>
        <v/>
      </c>
      <c r="S173" s="61">
        <f>IF('Übung 17'!H$40="","",'Übung 17'!H$40)</f>
        <v/>
      </c>
      <c r="T173" s="61">
        <f>IF('Übung 18'!H$40="","",'Übung 18'!H$40)</f>
        <v/>
      </c>
      <c r="U173" s="61">
        <f>IF('Übung 19'!H$40="","",'Übung 19'!H$40)</f>
        <v/>
      </c>
      <c r="V173" s="61">
        <f>IF('Übung 20'!H$40="","",'Übung 20'!H$40)</f>
        <v/>
      </c>
    </row>
    <row r="174">
      <c r="C174" s="61">
        <f>IF('Übung 01'!I$40="","",'Übung 01'!I$40)</f>
        <v/>
      </c>
      <c r="D174" s="61">
        <f>IF('Übung 02'!I$40="","",'Übung 02'!I$40)</f>
        <v/>
      </c>
      <c r="E174" s="61">
        <f>IF('Übung 03'!I$40="","",'Übung 03'!I$40)</f>
        <v/>
      </c>
      <c r="F174" s="61">
        <f>IF('Übung 04'!I$40="","",'Übung 04'!I$40)</f>
        <v/>
      </c>
      <c r="G174" s="61">
        <f>IF('Übung 05'!I$40="","",'Übung 05'!I$40)</f>
        <v/>
      </c>
      <c r="H174" s="61">
        <f>IF('Übung 06'!I$40="","",'Übung 06'!I$40)</f>
        <v/>
      </c>
      <c r="I174" s="61">
        <f>IF('Übung 07'!I$40="","",'Übung 07'!I$40)</f>
        <v/>
      </c>
      <c r="J174" s="61">
        <f>IF('Übung 08'!I$40="","",'Übung 08'!I$40)</f>
        <v/>
      </c>
      <c r="K174" s="61">
        <f>IF('Übung 09'!I$40="","",'Übung 09'!I$40)</f>
        <v/>
      </c>
      <c r="L174" s="61">
        <f>IF('Übung 10'!I$40="","",'Übung 10'!I$40)</f>
        <v/>
      </c>
      <c r="M174" s="61">
        <f>IF('Übung 11'!I$40="","",'Übung 11'!I$40)</f>
        <v/>
      </c>
      <c r="N174" s="61">
        <f>IF('Übung 12'!I$40="","",'Übung 12'!I$40)</f>
        <v/>
      </c>
      <c r="O174" s="61">
        <f>IF('Übung 13'!I$40="","",'Übung 13'!I$40)</f>
        <v/>
      </c>
      <c r="P174" s="61">
        <f>IF('Übung 14'!I$40="","",'Übung 14'!I$40)</f>
        <v/>
      </c>
      <c r="Q174" s="61">
        <f>IF('Übung 15'!I$40="","",'Übung 15'!I$40)</f>
        <v/>
      </c>
      <c r="R174" s="61">
        <f>IF('Übung 16'!I$40="","",'Übung 16'!I$40)</f>
        <v/>
      </c>
      <c r="S174" s="61">
        <f>IF('Übung 17'!I$40="","",'Übung 17'!I$40)</f>
        <v/>
      </c>
      <c r="T174" s="61">
        <f>IF('Übung 18'!I$40="","",'Übung 18'!I$40)</f>
        <v/>
      </c>
      <c r="U174" s="61">
        <f>IF('Übung 19'!I$40="","",'Übung 19'!I$40)</f>
        <v/>
      </c>
      <c r="V174" s="61">
        <f>IF('Übung 20'!I$40="","",'Übung 20'!I$40)</f>
        <v/>
      </c>
    </row>
    <row r="175">
      <c r="C175" s="61">
        <f>IF('Übung 01'!J$40="","",'Übung 01'!J$40)</f>
        <v/>
      </c>
      <c r="D175" s="61">
        <f>IF('Übung 02'!J$40="","",'Übung 02'!J$40)</f>
        <v/>
      </c>
      <c r="E175" s="61">
        <f>IF('Übung 03'!J$40="","",'Übung 03'!J$40)</f>
        <v/>
      </c>
      <c r="F175" s="61">
        <f>IF('Übung 04'!J$40="","",'Übung 04'!J$40)</f>
        <v/>
      </c>
      <c r="G175" s="61">
        <f>IF('Übung 05'!J$40="","",'Übung 05'!J$40)</f>
        <v/>
      </c>
      <c r="H175" s="61">
        <f>IF('Übung 06'!J$40="","",'Übung 06'!J$40)</f>
        <v/>
      </c>
      <c r="I175" s="61">
        <f>IF('Übung 07'!J$40="","",'Übung 07'!J$40)</f>
        <v/>
      </c>
      <c r="J175" s="61">
        <f>IF('Übung 08'!J$40="","",'Übung 08'!J$40)</f>
        <v/>
      </c>
      <c r="K175" s="61">
        <f>IF('Übung 09'!J$40="","",'Übung 09'!J$40)</f>
        <v/>
      </c>
      <c r="L175" s="61">
        <f>IF('Übung 10'!J$40="","",'Übung 10'!J$40)</f>
        <v/>
      </c>
      <c r="M175" s="61">
        <f>IF('Übung 11'!J$40="","",'Übung 11'!J$40)</f>
        <v/>
      </c>
      <c r="N175" s="61">
        <f>IF('Übung 12'!J$40="","",'Übung 12'!J$40)</f>
        <v/>
      </c>
      <c r="O175" s="61">
        <f>IF('Übung 13'!J$40="","",'Übung 13'!J$40)</f>
        <v/>
      </c>
      <c r="P175" s="61">
        <f>IF('Übung 14'!J$40="","",'Übung 14'!J$40)</f>
        <v/>
      </c>
      <c r="Q175" s="61">
        <f>IF('Übung 15'!J$40="","",'Übung 15'!J$40)</f>
        <v/>
      </c>
      <c r="R175" s="61">
        <f>IF('Übung 16'!J$40="","",'Übung 16'!J$40)</f>
        <v/>
      </c>
      <c r="S175" s="61">
        <f>IF('Übung 17'!J$40="","",'Übung 17'!J$40)</f>
        <v/>
      </c>
      <c r="T175" s="61">
        <f>IF('Übung 18'!J$40="","",'Übung 18'!J$40)</f>
        <v/>
      </c>
      <c r="U175" s="61">
        <f>IF('Übung 19'!J$40="","",'Übung 19'!J$40)</f>
        <v/>
      </c>
      <c r="V175" s="61">
        <f>IF('Übung 20'!J$40="","",'Übung 20'!J$40)</f>
        <v/>
      </c>
    </row>
    <row r="176">
      <c r="C176" s="61">
        <f>IF('Übung 01'!K$40="","",'Übung 01'!K$40)</f>
        <v/>
      </c>
      <c r="D176" s="61">
        <f>IF('Übung 02'!K$40="","",'Übung 02'!K$40)</f>
        <v/>
      </c>
      <c r="E176" s="61">
        <f>IF('Übung 03'!K$40="","",'Übung 03'!K$40)</f>
        <v/>
      </c>
      <c r="F176" s="61">
        <f>IF('Übung 04'!K$40="","",'Übung 04'!K$40)</f>
        <v/>
      </c>
      <c r="G176" s="61">
        <f>IF('Übung 05'!K$40="","",'Übung 05'!K$40)</f>
        <v/>
      </c>
      <c r="H176" s="61">
        <f>IF('Übung 06'!K$40="","",'Übung 06'!K$40)</f>
        <v/>
      </c>
      <c r="I176" s="61">
        <f>IF('Übung 07'!K$40="","",'Übung 07'!K$40)</f>
        <v/>
      </c>
      <c r="J176" s="61">
        <f>IF('Übung 08'!K$40="","",'Übung 08'!K$40)</f>
        <v/>
      </c>
      <c r="K176" s="61">
        <f>IF('Übung 09'!K$40="","",'Übung 09'!K$40)</f>
        <v/>
      </c>
      <c r="L176" s="61">
        <f>IF('Übung 10'!K$40="","",'Übung 10'!K$40)</f>
        <v/>
      </c>
      <c r="M176" s="61">
        <f>IF('Übung 11'!K$40="","",'Übung 11'!K$40)</f>
        <v/>
      </c>
      <c r="N176" s="61">
        <f>IF('Übung 12'!K$40="","",'Übung 12'!K$40)</f>
        <v/>
      </c>
      <c r="O176" s="61">
        <f>IF('Übung 13'!K$40="","",'Übung 13'!K$40)</f>
        <v/>
      </c>
      <c r="P176" s="61">
        <f>IF('Übung 14'!K$40="","",'Übung 14'!K$40)</f>
        <v/>
      </c>
      <c r="Q176" s="61">
        <f>IF('Übung 15'!K$40="","",'Übung 15'!K$40)</f>
        <v/>
      </c>
      <c r="R176" s="61">
        <f>IF('Übung 16'!K$40="","",'Übung 16'!K$40)</f>
        <v/>
      </c>
      <c r="S176" s="61">
        <f>IF('Übung 17'!K$40="","",'Übung 17'!K$40)</f>
        <v/>
      </c>
      <c r="T176" s="61">
        <f>IF('Übung 18'!K$40="","",'Übung 18'!K$40)</f>
        <v/>
      </c>
      <c r="U176" s="61">
        <f>IF('Übung 19'!K$40="","",'Übung 19'!K$40)</f>
        <v/>
      </c>
      <c r="V176" s="61">
        <f>IF('Übung 20'!K$40="","",'Übung 20'!K$40)</f>
        <v/>
      </c>
    </row>
    <row r="177">
      <c r="C177" s="61">
        <f>IF('Übung 01'!L$40="","",'Übung 01'!L$40)</f>
        <v/>
      </c>
      <c r="D177" s="61">
        <f>IF('Übung 02'!L$40="","",'Übung 02'!L$40)</f>
        <v/>
      </c>
      <c r="E177" s="61">
        <f>IF('Übung 03'!L$40="","",'Übung 03'!L$40)</f>
        <v/>
      </c>
      <c r="F177" s="61">
        <f>IF('Übung 04'!L$40="","",'Übung 04'!L$40)</f>
        <v/>
      </c>
      <c r="G177" s="61">
        <f>IF('Übung 05'!L$40="","",'Übung 05'!L$40)</f>
        <v/>
      </c>
      <c r="H177" s="61">
        <f>IF('Übung 06'!L$40="","",'Übung 06'!L$40)</f>
        <v/>
      </c>
      <c r="I177" s="61">
        <f>IF('Übung 07'!L$40="","",'Übung 07'!L$40)</f>
        <v/>
      </c>
      <c r="J177" s="61">
        <f>IF('Übung 08'!L$40="","",'Übung 08'!L$40)</f>
        <v/>
      </c>
      <c r="K177" s="61">
        <f>IF('Übung 09'!L$40="","",'Übung 09'!L$40)</f>
        <v/>
      </c>
      <c r="L177" s="61">
        <f>IF('Übung 10'!L$40="","",'Übung 10'!L$40)</f>
        <v/>
      </c>
      <c r="M177" s="61">
        <f>IF('Übung 11'!L$40="","",'Übung 11'!L$40)</f>
        <v/>
      </c>
      <c r="N177" s="61">
        <f>IF('Übung 12'!L$40="","",'Übung 12'!L$40)</f>
        <v/>
      </c>
      <c r="O177" s="61">
        <f>IF('Übung 13'!L$40="","",'Übung 13'!L$40)</f>
        <v/>
      </c>
      <c r="P177" s="61">
        <f>IF('Übung 14'!L$40="","",'Übung 14'!L$40)</f>
        <v/>
      </c>
      <c r="Q177" s="61">
        <f>IF('Übung 15'!L$40="","",'Übung 15'!L$40)</f>
        <v/>
      </c>
      <c r="R177" s="61">
        <f>IF('Übung 16'!L$40="","",'Übung 16'!L$40)</f>
        <v/>
      </c>
      <c r="S177" s="61">
        <f>IF('Übung 17'!L$40="","",'Übung 17'!L$40)</f>
        <v/>
      </c>
      <c r="T177" s="61">
        <f>IF('Übung 18'!L$40="","",'Übung 18'!L$40)</f>
        <v/>
      </c>
      <c r="U177" s="61">
        <f>IF('Übung 19'!L$40="","",'Übung 19'!L$40)</f>
        <v/>
      </c>
      <c r="V177" s="61">
        <f>IF('Übung 20'!L$40="","",'Übung 20'!L$40)</f>
        <v/>
      </c>
    </row>
    <row r="178">
      <c r="C178" s="61">
        <f>IF('Übung 01'!M$40="","",'Übung 01'!M$40)</f>
        <v/>
      </c>
      <c r="D178" s="61">
        <f>IF('Übung 02'!M$40="","",'Übung 02'!M$40)</f>
        <v/>
      </c>
      <c r="E178" s="61">
        <f>IF('Übung 03'!M$40="","",'Übung 03'!M$40)</f>
        <v/>
      </c>
      <c r="F178" s="61">
        <f>IF('Übung 04'!M$40="","",'Übung 04'!M$40)</f>
        <v/>
      </c>
      <c r="G178" s="61">
        <f>IF('Übung 05'!M$40="","",'Übung 05'!M$40)</f>
        <v/>
      </c>
      <c r="H178" s="61">
        <f>IF('Übung 06'!M$40="","",'Übung 06'!M$40)</f>
        <v/>
      </c>
      <c r="I178" s="61">
        <f>IF('Übung 07'!M$40="","",'Übung 07'!M$40)</f>
        <v/>
      </c>
      <c r="J178" s="61">
        <f>IF('Übung 08'!M$40="","",'Übung 08'!M$40)</f>
        <v/>
      </c>
      <c r="K178" s="61">
        <f>IF('Übung 09'!M$40="","",'Übung 09'!M$40)</f>
        <v/>
      </c>
      <c r="L178" s="61">
        <f>IF('Übung 10'!M$40="","",'Übung 10'!M$40)</f>
        <v/>
      </c>
      <c r="M178" s="61">
        <f>IF('Übung 11'!M$40="","",'Übung 11'!M$40)</f>
        <v/>
      </c>
      <c r="N178" s="61">
        <f>IF('Übung 12'!M$40="","",'Übung 12'!M$40)</f>
        <v/>
      </c>
      <c r="O178" s="61">
        <f>IF('Übung 13'!M$40="","",'Übung 13'!M$40)</f>
        <v/>
      </c>
      <c r="P178" s="61">
        <f>IF('Übung 14'!M$40="","",'Übung 14'!M$40)</f>
        <v/>
      </c>
      <c r="Q178" s="61">
        <f>IF('Übung 15'!M$40="","",'Übung 15'!M$40)</f>
        <v/>
      </c>
      <c r="R178" s="61">
        <f>IF('Übung 16'!M$40="","",'Übung 16'!M$40)</f>
        <v/>
      </c>
      <c r="S178" s="61">
        <f>IF('Übung 17'!M$40="","",'Übung 17'!M$40)</f>
        <v/>
      </c>
      <c r="T178" s="61">
        <f>IF('Übung 18'!M$40="","",'Übung 18'!M$40)</f>
        <v/>
      </c>
      <c r="U178" s="61">
        <f>IF('Übung 19'!M$40="","",'Übung 19'!M$40)</f>
        <v/>
      </c>
      <c r="V178" s="61">
        <f>IF('Übung 20'!M$40="","",'Übung 20'!M$40)</f>
        <v/>
      </c>
    </row>
    <row r="179">
      <c r="C179" s="61">
        <f>IF('Übung 01'!N$40="","",'Übung 01'!N$40)</f>
        <v/>
      </c>
      <c r="D179" s="61">
        <f>IF('Übung 02'!N$40="","",'Übung 02'!N$40)</f>
        <v/>
      </c>
      <c r="E179" s="61">
        <f>IF('Übung 03'!N$40="","",'Übung 03'!N$40)</f>
        <v/>
      </c>
      <c r="F179" s="61">
        <f>IF('Übung 04'!N$40="","",'Übung 04'!N$40)</f>
        <v/>
      </c>
      <c r="G179" s="61">
        <f>IF('Übung 05'!N$40="","",'Übung 05'!N$40)</f>
        <v/>
      </c>
      <c r="H179" s="61">
        <f>IF('Übung 06'!N$40="","",'Übung 06'!N$40)</f>
        <v/>
      </c>
      <c r="I179" s="61">
        <f>IF('Übung 07'!N$40="","",'Übung 07'!N$40)</f>
        <v/>
      </c>
      <c r="J179" s="61">
        <f>IF('Übung 08'!N$40="","",'Übung 08'!N$40)</f>
        <v/>
      </c>
      <c r="K179" s="61">
        <f>IF('Übung 09'!N$40="","",'Übung 09'!N$40)</f>
        <v/>
      </c>
      <c r="L179" s="61">
        <f>IF('Übung 10'!N$40="","",'Übung 10'!N$40)</f>
        <v/>
      </c>
      <c r="M179" s="61">
        <f>IF('Übung 11'!N$40="","",'Übung 11'!N$40)</f>
        <v/>
      </c>
      <c r="N179" s="61">
        <f>IF('Übung 12'!N$40="","",'Übung 12'!N$40)</f>
        <v/>
      </c>
      <c r="O179" s="61">
        <f>IF('Übung 13'!N$40="","",'Übung 13'!N$40)</f>
        <v/>
      </c>
      <c r="P179" s="61">
        <f>IF('Übung 14'!N$40="","",'Übung 14'!N$40)</f>
        <v/>
      </c>
      <c r="Q179" s="61">
        <f>IF('Übung 15'!N$40="","",'Übung 15'!N$40)</f>
        <v/>
      </c>
      <c r="R179" s="61">
        <f>IF('Übung 16'!N$40="","",'Übung 16'!N$40)</f>
        <v/>
      </c>
      <c r="S179" s="61">
        <f>IF('Übung 17'!N$40="","",'Übung 17'!N$40)</f>
        <v/>
      </c>
      <c r="T179" s="61">
        <f>IF('Übung 18'!N$40="","",'Übung 18'!N$40)</f>
        <v/>
      </c>
      <c r="U179" s="61">
        <f>IF('Übung 19'!N$40="","",'Übung 19'!N$40)</f>
        <v/>
      </c>
      <c r="V179" s="61">
        <f>IF('Übung 20'!N$40="","",'Übung 20'!N$40)</f>
        <v/>
      </c>
    </row>
    <row r="180">
      <c r="C180" s="61">
        <f>IF('Übung 01'!O$40="","",'Übung 01'!O$40)</f>
        <v/>
      </c>
      <c r="D180" s="61">
        <f>IF('Übung 02'!O$40="","",'Übung 02'!O$40)</f>
        <v/>
      </c>
      <c r="E180" s="61">
        <f>IF('Übung 03'!O$40="","",'Übung 03'!O$40)</f>
        <v/>
      </c>
      <c r="F180" s="61">
        <f>IF('Übung 04'!O$40="","",'Übung 04'!O$40)</f>
        <v/>
      </c>
      <c r="G180" s="61">
        <f>IF('Übung 05'!O$40="","",'Übung 05'!O$40)</f>
        <v/>
      </c>
      <c r="H180" s="61">
        <f>IF('Übung 06'!O$40="","",'Übung 06'!O$40)</f>
        <v/>
      </c>
      <c r="I180" s="61">
        <f>IF('Übung 07'!O$40="","",'Übung 07'!O$40)</f>
        <v/>
      </c>
      <c r="J180" s="61">
        <f>IF('Übung 08'!O$40="","",'Übung 08'!O$40)</f>
        <v/>
      </c>
      <c r="K180" s="61">
        <f>IF('Übung 09'!O$40="","",'Übung 09'!O$40)</f>
        <v/>
      </c>
      <c r="L180" s="61">
        <f>IF('Übung 10'!O$40="","",'Übung 10'!O$40)</f>
        <v/>
      </c>
      <c r="M180" s="61">
        <f>IF('Übung 11'!O$40="","",'Übung 11'!O$40)</f>
        <v/>
      </c>
      <c r="N180" s="61">
        <f>IF('Übung 12'!O$40="","",'Übung 12'!O$40)</f>
        <v/>
      </c>
      <c r="O180" s="61">
        <f>IF('Übung 13'!O$40="","",'Übung 13'!O$40)</f>
        <v/>
      </c>
      <c r="P180" s="61">
        <f>IF('Übung 14'!O$40="","",'Übung 14'!O$40)</f>
        <v/>
      </c>
      <c r="Q180" s="61">
        <f>IF('Übung 15'!O$40="","",'Übung 15'!O$40)</f>
        <v/>
      </c>
      <c r="R180" s="61">
        <f>IF('Übung 16'!O$40="","",'Übung 16'!O$40)</f>
        <v/>
      </c>
      <c r="S180" s="61">
        <f>IF('Übung 17'!O$40="","",'Übung 17'!O$40)</f>
        <v/>
      </c>
      <c r="T180" s="61">
        <f>IF('Übung 18'!O$40="","",'Übung 18'!O$40)</f>
        <v/>
      </c>
      <c r="U180" s="61">
        <f>IF('Übung 19'!O$40="","",'Übung 19'!O$40)</f>
        <v/>
      </c>
      <c r="V180" s="61">
        <f>IF('Übung 20'!O$40="","",'Übung 20'!O$40)</f>
        <v/>
      </c>
    </row>
    <row r="181">
      <c r="C181" s="61">
        <f>IF('Übung 01'!P$40="","",'Übung 01'!P$40)</f>
        <v/>
      </c>
      <c r="D181" s="61">
        <f>IF('Übung 02'!P$40="","",'Übung 02'!P$40)</f>
        <v/>
      </c>
      <c r="E181" s="61">
        <f>IF('Übung 03'!P$40="","",'Übung 03'!P$40)</f>
        <v/>
      </c>
      <c r="F181" s="61">
        <f>IF('Übung 04'!P$40="","",'Übung 04'!P$40)</f>
        <v/>
      </c>
      <c r="G181" s="61">
        <f>IF('Übung 05'!P$40="","",'Übung 05'!P$40)</f>
        <v/>
      </c>
      <c r="H181" s="61">
        <f>IF('Übung 06'!P$40="","",'Übung 06'!P$40)</f>
        <v/>
      </c>
      <c r="I181" s="61">
        <f>IF('Übung 07'!P$40="","",'Übung 07'!P$40)</f>
        <v/>
      </c>
      <c r="J181" s="61">
        <f>IF('Übung 08'!P$40="","",'Übung 08'!P$40)</f>
        <v/>
      </c>
      <c r="K181" s="61">
        <f>IF('Übung 09'!P$40="","",'Übung 09'!P$40)</f>
        <v/>
      </c>
      <c r="L181" s="61">
        <f>IF('Übung 10'!P$40="","",'Übung 10'!P$40)</f>
        <v/>
      </c>
      <c r="M181" s="61">
        <f>IF('Übung 11'!P$40="","",'Übung 11'!P$40)</f>
        <v/>
      </c>
      <c r="N181" s="61">
        <f>IF('Übung 12'!P$40="","",'Übung 12'!P$40)</f>
        <v/>
      </c>
      <c r="O181" s="61">
        <f>IF('Übung 13'!P$40="","",'Übung 13'!P$40)</f>
        <v/>
      </c>
      <c r="P181" s="61">
        <f>IF('Übung 14'!P$40="","",'Übung 14'!P$40)</f>
        <v/>
      </c>
      <c r="Q181" s="61">
        <f>IF('Übung 15'!P$40="","",'Übung 15'!P$40)</f>
        <v/>
      </c>
      <c r="R181" s="61">
        <f>IF('Übung 16'!P$40="","",'Übung 16'!P$40)</f>
        <v/>
      </c>
      <c r="S181" s="61">
        <f>IF('Übung 17'!P$40="","",'Übung 17'!P$40)</f>
        <v/>
      </c>
      <c r="T181" s="61">
        <f>IF('Übung 18'!P$40="","",'Übung 18'!P$40)</f>
        <v/>
      </c>
      <c r="U181" s="61">
        <f>IF('Übung 19'!P$40="","",'Übung 19'!P$40)</f>
        <v/>
      </c>
      <c r="V181" s="61">
        <f>IF('Übung 20'!P$40="","",'Übung 20'!P$40)</f>
        <v/>
      </c>
    </row>
    <row r="182">
      <c r="C182" s="61">
        <f>IF('Übung 01'!Q$40="","",'Übung 01'!Q$40)</f>
        <v/>
      </c>
      <c r="D182" s="61">
        <f>IF('Übung 02'!Q$40="","",'Übung 02'!Q$40)</f>
        <v/>
      </c>
      <c r="E182" s="61">
        <f>IF('Übung 03'!Q$40="","",'Übung 03'!Q$40)</f>
        <v/>
      </c>
      <c r="F182" s="61">
        <f>IF('Übung 04'!Q$40="","",'Übung 04'!Q$40)</f>
        <v/>
      </c>
      <c r="G182" s="61">
        <f>IF('Übung 05'!Q$40="","",'Übung 05'!Q$40)</f>
        <v/>
      </c>
      <c r="H182" s="61">
        <f>IF('Übung 06'!Q$40="","",'Übung 06'!Q$40)</f>
        <v/>
      </c>
      <c r="I182" s="61">
        <f>IF('Übung 07'!Q$40="","",'Übung 07'!Q$40)</f>
        <v/>
      </c>
      <c r="J182" s="61">
        <f>IF('Übung 08'!Q$40="","",'Übung 08'!Q$40)</f>
        <v/>
      </c>
      <c r="K182" s="61">
        <f>IF('Übung 09'!Q$40="","",'Übung 09'!Q$40)</f>
        <v/>
      </c>
      <c r="L182" s="61">
        <f>IF('Übung 10'!Q$40="","",'Übung 10'!Q$40)</f>
        <v/>
      </c>
      <c r="M182" s="61">
        <f>IF('Übung 11'!Q$40="","",'Übung 11'!Q$40)</f>
        <v/>
      </c>
      <c r="N182" s="61">
        <f>IF('Übung 12'!Q$40="","",'Übung 12'!Q$40)</f>
        <v/>
      </c>
      <c r="O182" s="61">
        <f>IF('Übung 13'!Q$40="","",'Übung 13'!Q$40)</f>
        <v/>
      </c>
      <c r="P182" s="61">
        <f>IF('Übung 14'!Q$40="","",'Übung 14'!Q$40)</f>
        <v/>
      </c>
      <c r="Q182" s="61">
        <f>IF('Übung 15'!Q$40="","",'Übung 15'!Q$40)</f>
        <v/>
      </c>
      <c r="R182" s="61">
        <f>IF('Übung 16'!Q$40="","",'Übung 16'!Q$40)</f>
        <v/>
      </c>
      <c r="S182" s="61">
        <f>IF('Übung 17'!Q$40="","",'Übung 17'!Q$40)</f>
        <v/>
      </c>
      <c r="T182" s="61">
        <f>IF('Übung 18'!Q$40="","",'Übung 18'!Q$40)</f>
        <v/>
      </c>
      <c r="U182" s="61">
        <f>IF('Übung 19'!Q$40="","",'Übung 19'!Q$40)</f>
        <v/>
      </c>
      <c r="V182" s="61">
        <f>IF('Übung 20'!Q$40="","",'Übung 20'!Q$40)</f>
        <v/>
      </c>
    </row>
    <row r="183">
      <c r="C183" s="61">
        <f>IF('Übung 01'!R$40="","",'Übung 01'!R$40)</f>
        <v/>
      </c>
      <c r="D183" s="61">
        <f>IF('Übung 02'!R$40="","",'Übung 02'!R$40)</f>
        <v/>
      </c>
      <c r="E183" s="61">
        <f>IF('Übung 03'!R$40="","",'Übung 03'!R$40)</f>
        <v/>
      </c>
      <c r="F183" s="61">
        <f>IF('Übung 04'!R$40="","",'Übung 04'!R$40)</f>
        <v/>
      </c>
      <c r="G183" s="61">
        <f>IF('Übung 05'!R$40="","",'Übung 05'!R$40)</f>
        <v/>
      </c>
      <c r="H183" s="61">
        <f>IF('Übung 06'!R$40="","",'Übung 06'!R$40)</f>
        <v/>
      </c>
      <c r="I183" s="61">
        <f>IF('Übung 07'!R$40="","",'Übung 07'!R$40)</f>
        <v/>
      </c>
      <c r="J183" s="61">
        <f>IF('Übung 08'!R$40="","",'Übung 08'!R$40)</f>
        <v/>
      </c>
      <c r="K183" s="61">
        <f>IF('Übung 09'!R$40="","",'Übung 09'!R$40)</f>
        <v/>
      </c>
      <c r="L183" s="61">
        <f>IF('Übung 10'!R$40="","",'Übung 10'!R$40)</f>
        <v/>
      </c>
      <c r="M183" s="61">
        <f>IF('Übung 11'!R$40="","",'Übung 11'!R$40)</f>
        <v/>
      </c>
      <c r="N183" s="61">
        <f>IF('Übung 12'!R$40="","",'Übung 12'!R$40)</f>
        <v/>
      </c>
      <c r="O183" s="61">
        <f>IF('Übung 13'!R$40="","",'Übung 13'!R$40)</f>
        <v/>
      </c>
      <c r="P183" s="61">
        <f>IF('Übung 14'!R$40="","",'Übung 14'!R$40)</f>
        <v/>
      </c>
      <c r="Q183" s="61">
        <f>IF('Übung 15'!R$40="","",'Übung 15'!R$40)</f>
        <v/>
      </c>
      <c r="R183" s="61">
        <f>IF('Übung 16'!R$40="","",'Übung 16'!R$40)</f>
        <v/>
      </c>
      <c r="S183" s="61">
        <f>IF('Übung 17'!R$40="","",'Übung 17'!R$40)</f>
        <v/>
      </c>
      <c r="T183" s="61">
        <f>IF('Übung 18'!R$40="","",'Übung 18'!R$40)</f>
        <v/>
      </c>
      <c r="U183" s="61">
        <f>IF('Übung 19'!R$40="","",'Übung 19'!R$40)</f>
        <v/>
      </c>
      <c r="V183" s="61">
        <f>IF('Übung 20'!R$40="","",'Übung 20'!R$40)</f>
        <v/>
      </c>
    </row>
    <row r="184">
      <c r="C184" s="61">
        <f>IF('Übung 01'!S$40="","",'Übung 01'!S$40)</f>
        <v/>
      </c>
      <c r="D184" s="61">
        <f>IF('Übung 02'!S$40="","",'Übung 02'!S$40)</f>
        <v/>
      </c>
      <c r="E184" s="61">
        <f>IF('Übung 03'!S$40="","",'Übung 03'!S$40)</f>
        <v/>
      </c>
      <c r="F184" s="61">
        <f>IF('Übung 04'!S$40="","",'Übung 04'!S$40)</f>
        <v/>
      </c>
      <c r="G184" s="61">
        <f>IF('Übung 05'!S$40="","",'Übung 05'!S$40)</f>
        <v/>
      </c>
      <c r="H184" s="61">
        <f>IF('Übung 06'!S$40="","",'Übung 06'!S$40)</f>
        <v/>
      </c>
      <c r="I184" s="61">
        <f>IF('Übung 07'!S$40="","",'Übung 07'!S$40)</f>
        <v/>
      </c>
      <c r="J184" s="61">
        <f>IF('Übung 08'!S$40="","",'Übung 08'!S$40)</f>
        <v/>
      </c>
      <c r="K184" s="61">
        <f>IF('Übung 09'!S$40="","",'Übung 09'!S$40)</f>
        <v/>
      </c>
      <c r="L184" s="61">
        <f>IF('Übung 10'!S$40="","",'Übung 10'!S$40)</f>
        <v/>
      </c>
      <c r="M184" s="61">
        <f>IF('Übung 11'!S$40="","",'Übung 11'!S$40)</f>
        <v/>
      </c>
      <c r="N184" s="61">
        <f>IF('Übung 12'!S$40="","",'Übung 12'!S$40)</f>
        <v/>
      </c>
      <c r="O184" s="61">
        <f>IF('Übung 13'!S$40="","",'Übung 13'!S$40)</f>
        <v/>
      </c>
      <c r="P184" s="61">
        <f>IF('Übung 14'!S$40="","",'Übung 14'!S$40)</f>
        <v/>
      </c>
      <c r="Q184" s="61">
        <f>IF('Übung 15'!S$40="","",'Übung 15'!S$40)</f>
        <v/>
      </c>
      <c r="R184" s="61">
        <f>IF('Übung 16'!S$40="","",'Übung 16'!S$40)</f>
        <v/>
      </c>
      <c r="S184" s="61">
        <f>IF('Übung 17'!S$40="","",'Übung 17'!S$40)</f>
        <v/>
      </c>
      <c r="T184" s="61">
        <f>IF('Übung 18'!S$40="","",'Übung 18'!S$40)</f>
        <v/>
      </c>
      <c r="U184" s="61">
        <f>IF('Übung 19'!S$40="","",'Übung 19'!S$40)</f>
        <v/>
      </c>
      <c r="V184" s="61">
        <f>IF('Übung 20'!S$40="","",'Übung 20'!S$40)</f>
        <v/>
      </c>
    </row>
    <row r="185">
      <c r="C185" s="61">
        <f>IF('Übung 01'!T$40="","",'Übung 01'!T$40)</f>
        <v/>
      </c>
      <c r="D185" s="61">
        <f>IF('Übung 02'!T$40="","",'Übung 02'!T$40)</f>
        <v/>
      </c>
      <c r="E185" s="61">
        <f>IF('Übung 03'!T$40="","",'Übung 03'!T$40)</f>
        <v/>
      </c>
      <c r="F185" s="61">
        <f>IF('Übung 04'!T$40="","",'Übung 04'!T$40)</f>
        <v/>
      </c>
      <c r="G185" s="61">
        <f>IF('Übung 05'!T$40="","",'Übung 05'!T$40)</f>
        <v/>
      </c>
      <c r="H185" s="61">
        <f>IF('Übung 06'!T$40="","",'Übung 06'!T$40)</f>
        <v/>
      </c>
      <c r="I185" s="61">
        <f>IF('Übung 07'!T$40="","",'Übung 07'!T$40)</f>
        <v/>
      </c>
      <c r="J185" s="61">
        <f>IF('Übung 08'!T$40="","",'Übung 08'!T$40)</f>
        <v/>
      </c>
      <c r="K185" s="61">
        <f>IF('Übung 09'!T$40="","",'Übung 09'!T$40)</f>
        <v/>
      </c>
      <c r="L185" s="61">
        <f>IF('Übung 10'!T$40="","",'Übung 10'!T$40)</f>
        <v/>
      </c>
      <c r="M185" s="61">
        <f>IF('Übung 11'!T$40="","",'Übung 11'!T$40)</f>
        <v/>
      </c>
      <c r="N185" s="61">
        <f>IF('Übung 12'!T$40="","",'Übung 12'!T$40)</f>
        <v/>
      </c>
      <c r="O185" s="61">
        <f>IF('Übung 13'!T$40="","",'Übung 13'!T$40)</f>
        <v/>
      </c>
      <c r="P185" s="61">
        <f>IF('Übung 14'!T$40="","",'Übung 14'!T$40)</f>
        <v/>
      </c>
      <c r="Q185" s="61">
        <f>IF('Übung 15'!T$40="","",'Übung 15'!T$40)</f>
        <v/>
      </c>
      <c r="R185" s="61">
        <f>IF('Übung 16'!T$40="","",'Übung 16'!T$40)</f>
        <v/>
      </c>
      <c r="S185" s="61">
        <f>IF('Übung 17'!T$40="","",'Übung 17'!T$40)</f>
        <v/>
      </c>
      <c r="T185" s="61">
        <f>IF('Übung 18'!T$40="","",'Übung 18'!T$40)</f>
        <v/>
      </c>
      <c r="U185" s="61">
        <f>IF('Übung 19'!T$40="","",'Übung 19'!T$40)</f>
        <v/>
      </c>
      <c r="V185" s="61">
        <f>IF('Übung 20'!T$40="","",'Übung 20'!T$40)</f>
        <v/>
      </c>
    </row>
    <row r="186">
      <c r="C186" s="61">
        <f>IF('Übung 01'!U$40="","",'Übung 01'!U$40)</f>
        <v/>
      </c>
      <c r="D186" s="61">
        <f>IF('Übung 02'!U$40="","",'Übung 02'!U$40)</f>
        <v/>
      </c>
      <c r="E186" s="61">
        <f>IF('Übung 03'!U$40="","",'Übung 03'!U$40)</f>
        <v/>
      </c>
      <c r="F186" s="61">
        <f>IF('Übung 04'!U$40="","",'Übung 04'!U$40)</f>
        <v/>
      </c>
      <c r="G186" s="61">
        <f>IF('Übung 05'!U$40="","",'Übung 05'!U$40)</f>
        <v/>
      </c>
      <c r="H186" s="61">
        <f>IF('Übung 06'!U$40="","",'Übung 06'!U$40)</f>
        <v/>
      </c>
      <c r="I186" s="61">
        <f>IF('Übung 07'!U$40="","",'Übung 07'!U$40)</f>
        <v/>
      </c>
      <c r="J186" s="61">
        <f>IF('Übung 08'!U$40="","",'Übung 08'!U$40)</f>
        <v/>
      </c>
      <c r="K186" s="61">
        <f>IF('Übung 09'!U$40="","",'Übung 09'!U$40)</f>
        <v/>
      </c>
      <c r="L186" s="61">
        <f>IF('Übung 10'!U$40="","",'Übung 10'!U$40)</f>
        <v/>
      </c>
      <c r="M186" s="61">
        <f>IF('Übung 11'!U$40="","",'Übung 11'!U$40)</f>
        <v/>
      </c>
      <c r="N186" s="61">
        <f>IF('Übung 12'!U$40="","",'Übung 12'!U$40)</f>
        <v/>
      </c>
      <c r="O186" s="61">
        <f>IF('Übung 13'!U$40="","",'Übung 13'!U$40)</f>
        <v/>
      </c>
      <c r="P186" s="61">
        <f>IF('Übung 14'!U$40="","",'Übung 14'!U$40)</f>
        <v/>
      </c>
      <c r="Q186" s="61">
        <f>IF('Übung 15'!U$40="","",'Übung 15'!U$40)</f>
        <v/>
      </c>
      <c r="R186" s="61">
        <f>IF('Übung 16'!U$40="","",'Übung 16'!U$40)</f>
        <v/>
      </c>
      <c r="S186" s="61">
        <f>IF('Übung 17'!U$40="","",'Übung 17'!U$40)</f>
        <v/>
      </c>
      <c r="T186" s="61">
        <f>IF('Übung 18'!U$40="","",'Übung 18'!U$40)</f>
        <v/>
      </c>
      <c r="U186" s="61">
        <f>IF('Übung 19'!U$40="","",'Übung 19'!U$40)</f>
        <v/>
      </c>
      <c r="V186" s="61">
        <f>IF('Übung 20'!U$40="","",'Übung 20'!U$40)</f>
        <v/>
      </c>
    </row>
    <row r="187">
      <c r="C187" s="61">
        <f>IF('Übung 01'!V$40="","",'Übung 01'!V$40)</f>
        <v/>
      </c>
      <c r="D187" s="61">
        <f>IF('Übung 02'!V$40="","",'Übung 02'!V$40)</f>
        <v/>
      </c>
      <c r="E187" s="61">
        <f>IF('Übung 03'!V$40="","",'Übung 03'!V$40)</f>
        <v/>
      </c>
      <c r="F187" s="61">
        <f>IF('Übung 04'!V$40="","",'Übung 04'!V$40)</f>
        <v/>
      </c>
      <c r="G187" s="61">
        <f>IF('Übung 05'!V$40="","",'Übung 05'!V$40)</f>
        <v/>
      </c>
      <c r="H187" s="61">
        <f>IF('Übung 06'!V$40="","",'Übung 06'!V$40)</f>
        <v/>
      </c>
      <c r="I187" s="61">
        <f>IF('Übung 07'!V$40="","",'Übung 07'!V$40)</f>
        <v/>
      </c>
      <c r="J187" s="61">
        <f>IF('Übung 08'!V$40="","",'Übung 08'!V$40)</f>
        <v/>
      </c>
      <c r="K187" s="61">
        <f>IF('Übung 09'!V$40="","",'Übung 09'!V$40)</f>
        <v/>
      </c>
      <c r="L187" s="61">
        <f>IF('Übung 10'!V$40="","",'Übung 10'!V$40)</f>
        <v/>
      </c>
      <c r="M187" s="61">
        <f>IF('Übung 11'!V$40="","",'Übung 11'!V$40)</f>
        <v/>
      </c>
      <c r="N187" s="61">
        <f>IF('Übung 12'!V$40="","",'Übung 12'!V$40)</f>
        <v/>
      </c>
      <c r="O187" s="61">
        <f>IF('Übung 13'!V$40="","",'Übung 13'!V$40)</f>
        <v/>
      </c>
      <c r="P187" s="61">
        <f>IF('Übung 14'!V$40="","",'Übung 14'!V$40)</f>
        <v/>
      </c>
      <c r="Q187" s="61">
        <f>IF('Übung 15'!V$40="","",'Übung 15'!V$40)</f>
        <v/>
      </c>
      <c r="R187" s="61">
        <f>IF('Übung 16'!V$40="","",'Übung 16'!V$40)</f>
        <v/>
      </c>
      <c r="S187" s="61">
        <f>IF('Übung 17'!V$40="","",'Übung 17'!V$40)</f>
        <v/>
      </c>
      <c r="T187" s="61">
        <f>IF('Übung 18'!V$40="","",'Übung 18'!V$40)</f>
        <v/>
      </c>
      <c r="U187" s="61">
        <f>IF('Übung 19'!V$40="","",'Übung 19'!V$40)</f>
        <v/>
      </c>
      <c r="V187" s="61">
        <f>IF('Übung 20'!V$40="","",'Übung 20'!V$40)</f>
        <v/>
      </c>
    </row>
    <row r="188">
      <c r="C188" s="61">
        <f>IF('Übung 01'!W$40="","",'Übung 01'!W$40)</f>
        <v/>
      </c>
      <c r="D188" s="61">
        <f>IF('Übung 02'!W$40="","",'Übung 02'!W$40)</f>
        <v/>
      </c>
      <c r="E188" s="61">
        <f>IF('Übung 03'!W$40="","",'Übung 03'!W$40)</f>
        <v/>
      </c>
      <c r="F188" s="61">
        <f>IF('Übung 04'!W$40="","",'Übung 04'!W$40)</f>
        <v/>
      </c>
      <c r="G188" s="61">
        <f>IF('Übung 05'!W$40="","",'Übung 05'!W$40)</f>
        <v/>
      </c>
      <c r="H188" s="61">
        <f>IF('Übung 06'!W$40="","",'Übung 06'!W$40)</f>
        <v/>
      </c>
      <c r="I188" s="61">
        <f>IF('Übung 07'!W$40="","",'Übung 07'!W$40)</f>
        <v/>
      </c>
      <c r="J188" s="61">
        <f>IF('Übung 08'!W$40="","",'Übung 08'!W$40)</f>
        <v/>
      </c>
      <c r="K188" s="61">
        <f>IF('Übung 09'!W$40="","",'Übung 09'!W$40)</f>
        <v/>
      </c>
      <c r="L188" s="61">
        <f>IF('Übung 10'!W$40="","",'Übung 10'!W$40)</f>
        <v/>
      </c>
      <c r="M188" s="61">
        <f>IF('Übung 11'!W$40="","",'Übung 11'!W$40)</f>
        <v/>
      </c>
      <c r="N188" s="61">
        <f>IF('Übung 12'!W$40="","",'Übung 12'!W$40)</f>
        <v/>
      </c>
      <c r="O188" s="61">
        <f>IF('Übung 13'!W$40="","",'Übung 13'!W$40)</f>
        <v/>
      </c>
      <c r="P188" s="61">
        <f>IF('Übung 14'!W$40="","",'Übung 14'!W$40)</f>
        <v/>
      </c>
      <c r="Q188" s="61">
        <f>IF('Übung 15'!W$40="","",'Übung 15'!W$40)</f>
        <v/>
      </c>
      <c r="R188" s="61">
        <f>IF('Übung 16'!W$40="","",'Übung 16'!W$40)</f>
        <v/>
      </c>
      <c r="S188" s="61">
        <f>IF('Übung 17'!W$40="","",'Übung 17'!W$40)</f>
        <v/>
      </c>
      <c r="T188" s="61">
        <f>IF('Übung 18'!W$40="","",'Übung 18'!W$40)</f>
        <v/>
      </c>
      <c r="U188" s="61">
        <f>IF('Übung 19'!W$40="","",'Übung 19'!W$40)</f>
        <v/>
      </c>
      <c r="V188" s="61">
        <f>IF('Übung 20'!W$40="","",'Übung 20'!W$40)</f>
        <v/>
      </c>
    </row>
    <row r="189">
      <c r="C189" s="61">
        <f>IF('Übung 01'!X$40="","",'Übung 01'!X$40)</f>
        <v/>
      </c>
      <c r="D189" s="61">
        <f>IF('Übung 02'!X$40="","",'Übung 02'!X$40)</f>
        <v/>
      </c>
      <c r="E189" s="61">
        <f>IF('Übung 03'!X$40="","",'Übung 03'!X$40)</f>
        <v/>
      </c>
      <c r="F189" s="61">
        <f>IF('Übung 04'!X$40="","",'Übung 04'!X$40)</f>
        <v/>
      </c>
      <c r="G189" s="61">
        <f>IF('Übung 05'!X$40="","",'Übung 05'!X$40)</f>
        <v/>
      </c>
      <c r="H189" s="61">
        <f>IF('Übung 06'!X$40="","",'Übung 06'!X$40)</f>
        <v/>
      </c>
      <c r="I189" s="61">
        <f>IF('Übung 07'!X$40="","",'Übung 07'!X$40)</f>
        <v/>
      </c>
      <c r="J189" s="61">
        <f>IF('Übung 08'!X$40="","",'Übung 08'!X$40)</f>
        <v/>
      </c>
      <c r="K189" s="61">
        <f>IF('Übung 09'!X$40="","",'Übung 09'!X$40)</f>
        <v/>
      </c>
      <c r="L189" s="61">
        <f>IF('Übung 10'!X$40="","",'Übung 10'!X$40)</f>
        <v/>
      </c>
      <c r="M189" s="61">
        <f>IF('Übung 11'!X$40="","",'Übung 11'!X$40)</f>
        <v/>
      </c>
      <c r="N189" s="61">
        <f>IF('Übung 12'!X$40="","",'Übung 12'!X$40)</f>
        <v/>
      </c>
      <c r="O189" s="61">
        <f>IF('Übung 13'!X$40="","",'Übung 13'!X$40)</f>
        <v/>
      </c>
      <c r="P189" s="61">
        <f>IF('Übung 14'!X$40="","",'Übung 14'!X$40)</f>
        <v/>
      </c>
      <c r="Q189" s="61">
        <f>IF('Übung 15'!X$40="","",'Übung 15'!X$40)</f>
        <v/>
      </c>
      <c r="R189" s="61">
        <f>IF('Übung 16'!X$40="","",'Übung 16'!X$40)</f>
        <v/>
      </c>
      <c r="S189" s="61">
        <f>IF('Übung 17'!X$40="","",'Übung 17'!X$40)</f>
        <v/>
      </c>
      <c r="T189" s="61">
        <f>IF('Übung 18'!X$40="","",'Übung 18'!X$40)</f>
        <v/>
      </c>
      <c r="U189" s="61">
        <f>IF('Übung 19'!X$40="","",'Übung 19'!X$40)</f>
        <v/>
      </c>
      <c r="V189" s="61">
        <f>IF('Übung 20'!X$40="","",'Übung 20'!X$40)</f>
        <v/>
      </c>
    </row>
    <row r="190">
      <c r="C190" s="61">
        <f>IF('Übung 01'!Y$40="","",'Übung 01'!Y$40)</f>
        <v/>
      </c>
      <c r="D190" s="61">
        <f>IF('Übung 02'!Y$40="","",'Übung 02'!Y$40)</f>
        <v/>
      </c>
      <c r="E190" s="61">
        <f>IF('Übung 03'!Y$40="","",'Übung 03'!Y$40)</f>
        <v/>
      </c>
      <c r="F190" s="61">
        <f>IF('Übung 04'!Y$40="","",'Übung 04'!Y$40)</f>
        <v/>
      </c>
      <c r="G190" s="61">
        <f>IF('Übung 05'!Y$40="","",'Übung 05'!Y$40)</f>
        <v/>
      </c>
      <c r="H190" s="61">
        <f>IF('Übung 06'!Y$40="","",'Übung 06'!Y$40)</f>
        <v/>
      </c>
      <c r="I190" s="61">
        <f>IF('Übung 07'!Y$40="","",'Übung 07'!Y$40)</f>
        <v/>
      </c>
      <c r="J190" s="61">
        <f>IF('Übung 08'!Y$40="","",'Übung 08'!Y$40)</f>
        <v/>
      </c>
      <c r="K190" s="61">
        <f>IF('Übung 09'!Y$40="","",'Übung 09'!Y$40)</f>
        <v/>
      </c>
      <c r="L190" s="61">
        <f>IF('Übung 10'!Y$40="","",'Übung 10'!Y$40)</f>
        <v/>
      </c>
      <c r="M190" s="61">
        <f>IF('Übung 11'!Y$40="","",'Übung 11'!Y$40)</f>
        <v/>
      </c>
      <c r="N190" s="61">
        <f>IF('Übung 12'!Y$40="","",'Übung 12'!Y$40)</f>
        <v/>
      </c>
      <c r="O190" s="61">
        <f>IF('Übung 13'!Y$40="","",'Übung 13'!Y$40)</f>
        <v/>
      </c>
      <c r="P190" s="61">
        <f>IF('Übung 14'!Y$40="","",'Übung 14'!Y$40)</f>
        <v/>
      </c>
      <c r="Q190" s="61">
        <f>IF('Übung 15'!Y$40="","",'Übung 15'!Y$40)</f>
        <v/>
      </c>
      <c r="R190" s="61">
        <f>IF('Übung 16'!Y$40="","",'Übung 16'!Y$40)</f>
        <v/>
      </c>
      <c r="S190" s="61">
        <f>IF('Übung 17'!Y$40="","",'Übung 17'!Y$40)</f>
        <v/>
      </c>
      <c r="T190" s="61">
        <f>IF('Übung 18'!Y$40="","",'Übung 18'!Y$40)</f>
        <v/>
      </c>
      <c r="U190" s="61">
        <f>IF('Übung 19'!Y$40="","",'Übung 19'!Y$40)</f>
        <v/>
      </c>
      <c r="V190" s="61">
        <f>IF('Übung 20'!Y$40="","",'Übung 20'!Y$40)</f>
        <v/>
      </c>
    </row>
    <row r="191">
      <c r="C191" s="61">
        <f>IF('Übung 01'!Z$40="","",'Übung 01'!Z$40)</f>
        <v/>
      </c>
      <c r="D191" s="61">
        <f>IF('Übung 02'!Z$40="","",'Übung 02'!Z$40)</f>
        <v/>
      </c>
      <c r="E191" s="61">
        <f>IF('Übung 03'!Z$40="","",'Übung 03'!Z$40)</f>
        <v/>
      </c>
      <c r="F191" s="61">
        <f>IF('Übung 04'!Z$40="","",'Übung 04'!Z$40)</f>
        <v/>
      </c>
      <c r="G191" s="61">
        <f>IF('Übung 05'!Z$40="","",'Übung 05'!Z$40)</f>
        <v/>
      </c>
      <c r="H191" s="61">
        <f>IF('Übung 06'!Z$40="","",'Übung 06'!Z$40)</f>
        <v/>
      </c>
      <c r="I191" s="61">
        <f>IF('Übung 07'!Z$40="","",'Übung 07'!Z$40)</f>
        <v/>
      </c>
      <c r="J191" s="61">
        <f>IF('Übung 08'!Z$40="","",'Übung 08'!Z$40)</f>
        <v/>
      </c>
      <c r="K191" s="61">
        <f>IF('Übung 09'!Z$40="","",'Übung 09'!Z$40)</f>
        <v/>
      </c>
      <c r="L191" s="61">
        <f>IF('Übung 10'!Z$40="","",'Übung 10'!Z$40)</f>
        <v/>
      </c>
      <c r="M191" s="61">
        <f>IF('Übung 11'!Z$40="","",'Übung 11'!Z$40)</f>
        <v/>
      </c>
      <c r="N191" s="61">
        <f>IF('Übung 12'!Z$40="","",'Übung 12'!Z$40)</f>
        <v/>
      </c>
      <c r="O191" s="61">
        <f>IF('Übung 13'!Z$40="","",'Übung 13'!Z$40)</f>
        <v/>
      </c>
      <c r="P191" s="61">
        <f>IF('Übung 14'!Z$40="","",'Übung 14'!Z$40)</f>
        <v/>
      </c>
      <c r="Q191" s="61">
        <f>IF('Übung 15'!Z$40="","",'Übung 15'!Z$40)</f>
        <v/>
      </c>
      <c r="R191" s="61">
        <f>IF('Übung 16'!Z$40="","",'Übung 16'!Z$40)</f>
        <v/>
      </c>
      <c r="S191" s="61">
        <f>IF('Übung 17'!Z$40="","",'Übung 17'!Z$40)</f>
        <v/>
      </c>
      <c r="T191" s="61">
        <f>IF('Übung 18'!Z$40="","",'Übung 18'!Z$40)</f>
        <v/>
      </c>
      <c r="U191" s="61">
        <f>IF('Übung 19'!Z$40="","",'Übung 19'!Z$40)</f>
        <v/>
      </c>
      <c r="V191" s="61">
        <f>IF('Übung 20'!Z$40="","",'Übung 20'!Z$40)</f>
        <v/>
      </c>
    </row>
    <row r="192">
      <c r="C192" s="61">
        <f>IF('Übung 01'!AA$40="","",'Übung 01'!AA$40)</f>
        <v/>
      </c>
      <c r="D192" s="61">
        <f>IF('Übung 02'!AA$40="","",'Übung 02'!AA$40)</f>
        <v/>
      </c>
      <c r="E192" s="61">
        <f>IF('Übung 03'!AA$40="","",'Übung 03'!AA$40)</f>
        <v/>
      </c>
      <c r="F192" s="61">
        <f>IF('Übung 04'!AA$40="","",'Übung 04'!AA$40)</f>
        <v/>
      </c>
      <c r="G192" s="61">
        <f>IF('Übung 05'!AA$40="","",'Übung 05'!AA$40)</f>
        <v/>
      </c>
      <c r="H192" s="61">
        <f>IF('Übung 06'!AA$40="","",'Übung 06'!AA$40)</f>
        <v/>
      </c>
      <c r="I192" s="61">
        <f>IF('Übung 07'!AA$40="","",'Übung 07'!AA$40)</f>
        <v/>
      </c>
      <c r="J192" s="61">
        <f>IF('Übung 08'!AA$40="","",'Übung 08'!AA$40)</f>
        <v/>
      </c>
      <c r="K192" s="61">
        <f>IF('Übung 09'!AA$40="","",'Übung 09'!AA$40)</f>
        <v/>
      </c>
      <c r="L192" s="61">
        <f>IF('Übung 10'!AA$40="","",'Übung 10'!AA$40)</f>
        <v/>
      </c>
      <c r="M192" s="61">
        <f>IF('Übung 11'!AA$40="","",'Übung 11'!AA$40)</f>
        <v/>
      </c>
      <c r="N192" s="61">
        <f>IF('Übung 12'!AA$40="","",'Übung 12'!AA$40)</f>
        <v/>
      </c>
      <c r="O192" s="61">
        <f>IF('Übung 13'!AA$40="","",'Übung 13'!AA$40)</f>
        <v/>
      </c>
      <c r="P192" s="61">
        <f>IF('Übung 14'!AA$40="","",'Übung 14'!AA$40)</f>
        <v/>
      </c>
      <c r="Q192" s="61">
        <f>IF('Übung 15'!AA$40="","",'Übung 15'!AA$40)</f>
        <v/>
      </c>
      <c r="R192" s="61">
        <f>IF('Übung 16'!AA$40="","",'Übung 16'!AA$40)</f>
        <v/>
      </c>
      <c r="S192" s="61">
        <f>IF('Übung 17'!AA$40="","",'Übung 17'!AA$40)</f>
        <v/>
      </c>
      <c r="T192" s="61">
        <f>IF('Übung 18'!AA$40="","",'Übung 18'!AA$40)</f>
        <v/>
      </c>
      <c r="U192" s="61">
        <f>IF('Übung 19'!AA$40="","",'Übung 19'!AA$40)</f>
        <v/>
      </c>
      <c r="V192" s="61">
        <f>IF('Übung 20'!AA$40="","",'Übung 20'!AA$40)</f>
        <v/>
      </c>
    </row>
    <row r="193">
      <c r="C193" s="61">
        <f>IF('Übung 01'!AB$40="","",'Übung 01'!AB$40)</f>
        <v/>
      </c>
      <c r="D193" s="61">
        <f>IF('Übung 02'!AB$40="","",'Übung 02'!AB$40)</f>
        <v/>
      </c>
      <c r="E193" s="61">
        <f>IF('Übung 03'!AB$40="","",'Übung 03'!AB$40)</f>
        <v/>
      </c>
      <c r="F193" s="61">
        <f>IF('Übung 04'!AB$40="","",'Übung 04'!AB$40)</f>
        <v/>
      </c>
      <c r="G193" s="61">
        <f>IF('Übung 05'!AB$40="","",'Übung 05'!AB$40)</f>
        <v/>
      </c>
      <c r="H193" s="61">
        <f>IF('Übung 06'!AB$40="","",'Übung 06'!AB$40)</f>
        <v/>
      </c>
      <c r="I193" s="61">
        <f>IF('Übung 07'!AB$40="","",'Übung 07'!AB$40)</f>
        <v/>
      </c>
      <c r="J193" s="61">
        <f>IF('Übung 08'!AB$40="","",'Übung 08'!AB$40)</f>
        <v/>
      </c>
      <c r="K193" s="61">
        <f>IF('Übung 09'!AB$40="","",'Übung 09'!AB$40)</f>
        <v/>
      </c>
      <c r="L193" s="61">
        <f>IF('Übung 10'!AB$40="","",'Übung 10'!AB$40)</f>
        <v/>
      </c>
      <c r="M193" s="61">
        <f>IF('Übung 11'!AB$40="","",'Übung 11'!AB$40)</f>
        <v/>
      </c>
      <c r="N193" s="61">
        <f>IF('Übung 12'!AB$40="","",'Übung 12'!AB$40)</f>
        <v/>
      </c>
      <c r="O193" s="61">
        <f>IF('Übung 13'!AB$40="","",'Übung 13'!AB$40)</f>
        <v/>
      </c>
      <c r="P193" s="61">
        <f>IF('Übung 14'!AB$40="","",'Übung 14'!AB$40)</f>
        <v/>
      </c>
      <c r="Q193" s="61">
        <f>IF('Übung 15'!AB$40="","",'Übung 15'!AB$40)</f>
        <v/>
      </c>
      <c r="R193" s="61">
        <f>IF('Übung 16'!AB$40="","",'Übung 16'!AB$40)</f>
        <v/>
      </c>
      <c r="S193" s="61">
        <f>IF('Übung 17'!AB$40="","",'Übung 17'!AB$40)</f>
        <v/>
      </c>
      <c r="T193" s="61">
        <f>IF('Übung 18'!AB$40="","",'Übung 18'!AB$40)</f>
        <v/>
      </c>
      <c r="U193" s="61">
        <f>IF('Übung 19'!AB$40="","",'Übung 19'!AB$40)</f>
        <v/>
      </c>
      <c r="V193" s="61">
        <f>IF('Übung 20'!AB$40="","",'Übung 20'!AB$40)</f>
        <v/>
      </c>
    </row>
    <row r="194">
      <c r="C194" s="61">
        <f>IF('Übung 01'!AC$40="","",'Übung 01'!AC$40)</f>
        <v/>
      </c>
      <c r="D194" s="61">
        <f>IF('Übung 02'!AC$40="","",'Übung 02'!AC$40)</f>
        <v/>
      </c>
      <c r="E194" s="61">
        <f>IF('Übung 03'!AC$40="","",'Übung 03'!AC$40)</f>
        <v/>
      </c>
      <c r="F194" s="61">
        <f>IF('Übung 04'!AC$40="","",'Übung 04'!AC$40)</f>
        <v/>
      </c>
      <c r="G194" s="61">
        <f>IF('Übung 05'!AC$40="","",'Übung 05'!AC$40)</f>
        <v/>
      </c>
      <c r="H194" s="61">
        <f>IF('Übung 06'!AC$40="","",'Übung 06'!AC$40)</f>
        <v/>
      </c>
      <c r="I194" s="61">
        <f>IF('Übung 07'!AC$40="","",'Übung 07'!AC$40)</f>
        <v/>
      </c>
      <c r="J194" s="61">
        <f>IF('Übung 08'!AC$40="","",'Übung 08'!AC$40)</f>
        <v/>
      </c>
      <c r="K194" s="61">
        <f>IF('Übung 09'!AC$40="","",'Übung 09'!AC$40)</f>
        <v/>
      </c>
      <c r="L194" s="61">
        <f>IF('Übung 10'!AC$40="","",'Übung 10'!AC$40)</f>
        <v/>
      </c>
      <c r="M194" s="61">
        <f>IF('Übung 11'!AC$40="","",'Übung 11'!AC$40)</f>
        <v/>
      </c>
      <c r="N194" s="61">
        <f>IF('Übung 12'!AC$40="","",'Übung 12'!AC$40)</f>
        <v/>
      </c>
      <c r="O194" s="61">
        <f>IF('Übung 13'!AC$40="","",'Übung 13'!AC$40)</f>
        <v/>
      </c>
      <c r="P194" s="61">
        <f>IF('Übung 14'!AC$40="","",'Übung 14'!AC$40)</f>
        <v/>
      </c>
      <c r="Q194" s="61">
        <f>IF('Übung 15'!AC$40="","",'Übung 15'!AC$40)</f>
        <v/>
      </c>
      <c r="R194" s="61">
        <f>IF('Übung 16'!AC$40="","",'Übung 16'!AC$40)</f>
        <v/>
      </c>
      <c r="S194" s="61">
        <f>IF('Übung 17'!AC$40="","",'Übung 17'!AC$40)</f>
        <v/>
      </c>
      <c r="T194" s="61">
        <f>IF('Übung 18'!AC$40="","",'Übung 18'!AC$40)</f>
        <v/>
      </c>
      <c r="U194" s="61">
        <f>IF('Übung 19'!AC$40="","",'Übung 19'!AC$40)</f>
        <v/>
      </c>
      <c r="V194" s="61">
        <f>IF('Übung 20'!AC$40="","",'Übung 20'!AC$40)</f>
        <v/>
      </c>
    </row>
    <row r="199">
      <c r="A199" s="162" t="inlineStr">
        <is>
          <t>Wertung Wdh.</t>
        </is>
      </c>
    </row>
    <row r="200">
      <c r="C200" s="61">
        <f>IF('Übung 01'!E$42="","",'Übung 01'!E$42)</f>
        <v/>
      </c>
      <c r="D200" s="61">
        <f>IF('Übung 02'!E$42="","",'Übung 02'!E$42)</f>
        <v/>
      </c>
      <c r="E200" s="61">
        <f>IF('Übung 03'!E$42="","",'Übung 03'!E$42)</f>
        <v/>
      </c>
      <c r="F200" s="61">
        <f>IF('Übung 04'!E$42="","",'Übung 04'!E$42)</f>
        <v/>
      </c>
      <c r="G200" s="61">
        <f>IF('Übung 05'!E$42="","",'Übung 05'!E$42)</f>
        <v/>
      </c>
      <c r="H200" s="61">
        <f>IF('Übung 06'!E$42="","",'Übung 06'!E$42)</f>
        <v/>
      </c>
      <c r="I200" s="61">
        <f>IF('Übung 07'!E$42="","",'Übung 07'!E$42)</f>
        <v/>
      </c>
      <c r="J200" s="61">
        <f>IF('Übung 08'!E$42="","",'Übung 08'!E$42)</f>
        <v/>
      </c>
      <c r="K200" s="61">
        <f>IF('Übung 09'!E$42="","",'Übung 09'!E$42)</f>
        <v/>
      </c>
      <c r="L200" s="61">
        <f>IF('Übung 10'!E$42="","",'Übung 10'!E$42)</f>
        <v/>
      </c>
      <c r="M200" s="61">
        <f>IF('Übung 11'!E$42="","",'Übung 11'!E$42)</f>
        <v/>
      </c>
      <c r="N200" s="61">
        <f>IF('Übung 12'!E$42="","",'Übung 12'!E$42)</f>
        <v/>
      </c>
      <c r="O200" s="61">
        <f>IF('Übung 13'!E$42="","",'Übung 13'!E$42)</f>
        <v/>
      </c>
      <c r="P200" s="61">
        <f>IF('Übung 14'!E$42="","",'Übung 14'!E$42)</f>
        <v/>
      </c>
      <c r="Q200" s="61">
        <f>IF('Übung 15'!E$42="","",'Übung 15'!E$42)</f>
        <v/>
      </c>
      <c r="R200" s="61">
        <f>IF('Übung 16'!E$42="","",'Übung 16'!E$42)</f>
        <v/>
      </c>
      <c r="S200" s="61">
        <f>IF('Übung 17'!E$42="","",'Übung 17'!E$42)</f>
        <v/>
      </c>
      <c r="T200" s="61">
        <f>IF('Übung 18'!E$42="","",'Übung 18'!E$42)</f>
        <v/>
      </c>
      <c r="U200" s="61">
        <f>IF('Übung 19'!E$42="","",'Übung 19'!E$42)</f>
        <v/>
      </c>
      <c r="V200" s="61">
        <f>IF('Übung 20'!E$42="","",'Übung 20'!E$42)</f>
        <v/>
      </c>
    </row>
    <row r="201">
      <c r="C201" s="61">
        <f>IF('Übung 01'!F$42="","",'Übung 01'!F$42)</f>
        <v/>
      </c>
      <c r="D201" s="61">
        <f>IF('Übung 02'!F$42="","",'Übung 02'!F$42)</f>
        <v/>
      </c>
      <c r="E201" s="61">
        <f>IF('Übung 03'!F$42="","",'Übung 03'!F$42)</f>
        <v/>
      </c>
      <c r="F201" s="61">
        <f>IF('Übung 04'!F$42="","",'Übung 04'!F$42)</f>
        <v/>
      </c>
      <c r="G201" s="61">
        <f>IF('Übung 05'!F$42="","",'Übung 05'!F$42)</f>
        <v/>
      </c>
      <c r="H201" s="61">
        <f>IF('Übung 06'!F$42="","",'Übung 06'!F$42)</f>
        <v/>
      </c>
      <c r="I201" s="61">
        <f>IF('Übung 07'!F$42="","",'Übung 07'!F$42)</f>
        <v/>
      </c>
      <c r="J201" s="61">
        <f>IF('Übung 08'!F$42="","",'Übung 08'!F$42)</f>
        <v/>
      </c>
      <c r="K201" s="61">
        <f>IF('Übung 09'!F$42="","",'Übung 09'!F$42)</f>
        <v/>
      </c>
      <c r="L201" s="61">
        <f>IF('Übung 10'!F$42="","",'Übung 10'!F$42)</f>
        <v/>
      </c>
      <c r="M201" s="61">
        <f>IF('Übung 11'!F$42="","",'Übung 11'!F$42)</f>
        <v/>
      </c>
      <c r="N201" s="61">
        <f>IF('Übung 12'!F$42="","",'Übung 12'!F$42)</f>
        <v/>
      </c>
      <c r="O201" s="61">
        <f>IF('Übung 13'!F$42="","",'Übung 13'!F$42)</f>
        <v/>
      </c>
      <c r="P201" s="61">
        <f>IF('Übung 14'!F$42="","",'Übung 14'!F$42)</f>
        <v/>
      </c>
      <c r="Q201" s="61">
        <f>IF('Übung 15'!F$42="","",'Übung 15'!F$42)</f>
        <v/>
      </c>
      <c r="R201" s="61">
        <f>IF('Übung 16'!F$42="","",'Übung 16'!F$42)</f>
        <v/>
      </c>
      <c r="S201" s="61">
        <f>IF('Übung 17'!F$42="","",'Übung 17'!F$42)</f>
        <v/>
      </c>
      <c r="T201" s="61">
        <f>IF('Übung 18'!F$42="","",'Übung 18'!F$42)</f>
        <v/>
      </c>
      <c r="U201" s="61">
        <f>IF('Übung 19'!F$42="","",'Übung 19'!F$42)</f>
        <v/>
      </c>
      <c r="V201" s="61">
        <f>IF('Übung 20'!F$42="","",'Übung 20'!F$42)</f>
        <v/>
      </c>
    </row>
    <row r="202">
      <c r="C202" s="61">
        <f>IF('Übung 01'!G$42="","",'Übung 01'!G$42)</f>
        <v/>
      </c>
      <c r="D202" s="61">
        <f>IF('Übung 02'!G$42="","",'Übung 02'!G$42)</f>
        <v/>
      </c>
      <c r="E202" s="61">
        <f>IF('Übung 03'!G$42="","",'Übung 03'!G$42)</f>
        <v/>
      </c>
      <c r="F202" s="61">
        <f>IF('Übung 04'!G$42="","",'Übung 04'!G$42)</f>
        <v/>
      </c>
      <c r="G202" s="61">
        <f>IF('Übung 05'!G$42="","",'Übung 05'!G$42)</f>
        <v/>
      </c>
      <c r="H202" s="61">
        <f>IF('Übung 06'!G$42="","",'Übung 06'!G$42)</f>
        <v/>
      </c>
      <c r="I202" s="61">
        <f>IF('Übung 07'!G$42="","",'Übung 07'!G$42)</f>
        <v/>
      </c>
      <c r="J202" s="61">
        <f>IF('Übung 08'!G$42="","",'Übung 08'!G$42)</f>
        <v/>
      </c>
      <c r="K202" s="61">
        <f>IF('Übung 09'!G$42="","",'Übung 09'!G$42)</f>
        <v/>
      </c>
      <c r="L202" s="61">
        <f>IF('Übung 10'!G$42="","",'Übung 10'!G$42)</f>
        <v/>
      </c>
      <c r="M202" s="61">
        <f>IF('Übung 11'!G$42="","",'Übung 11'!G$42)</f>
        <v/>
      </c>
      <c r="N202" s="61">
        <f>IF('Übung 12'!G$42="","",'Übung 12'!G$42)</f>
        <v/>
      </c>
      <c r="O202" s="61">
        <f>IF('Übung 13'!G$42="","",'Übung 13'!G$42)</f>
        <v/>
      </c>
      <c r="P202" s="61">
        <f>IF('Übung 14'!G$42="","",'Übung 14'!G$42)</f>
        <v/>
      </c>
      <c r="Q202" s="61">
        <f>IF('Übung 15'!G$42="","",'Übung 15'!G$42)</f>
        <v/>
      </c>
      <c r="R202" s="61">
        <f>IF('Übung 16'!G$42="","",'Übung 16'!G$42)</f>
        <v/>
      </c>
      <c r="S202" s="61">
        <f>IF('Übung 17'!G$42="","",'Übung 17'!G$42)</f>
        <v/>
      </c>
      <c r="T202" s="61">
        <f>IF('Übung 18'!G$42="","",'Übung 18'!G$42)</f>
        <v/>
      </c>
      <c r="U202" s="61">
        <f>IF('Übung 19'!G$42="","",'Übung 19'!G$42)</f>
        <v/>
      </c>
      <c r="V202" s="61">
        <f>IF('Übung 20'!G$42="","",'Übung 20'!G$42)</f>
        <v/>
      </c>
    </row>
    <row r="203">
      <c r="C203" s="61">
        <f>IF('Übung 01'!H$42="","",'Übung 01'!H$42)</f>
        <v/>
      </c>
      <c r="D203" s="61">
        <f>IF('Übung 02'!H$42="","",'Übung 02'!H$42)</f>
        <v/>
      </c>
      <c r="E203" s="61">
        <f>IF('Übung 03'!H$42="","",'Übung 03'!H$42)</f>
        <v/>
      </c>
      <c r="F203" s="61">
        <f>IF('Übung 04'!H$42="","",'Übung 04'!H$42)</f>
        <v/>
      </c>
      <c r="G203" s="61">
        <f>IF('Übung 05'!H$42="","",'Übung 05'!H$42)</f>
        <v/>
      </c>
      <c r="H203" s="61">
        <f>IF('Übung 06'!H$42="","",'Übung 06'!H$42)</f>
        <v/>
      </c>
      <c r="I203" s="61">
        <f>IF('Übung 07'!H$42="","",'Übung 07'!H$42)</f>
        <v/>
      </c>
      <c r="J203" s="61">
        <f>IF('Übung 08'!H$42="","",'Übung 08'!H$42)</f>
        <v/>
      </c>
      <c r="K203" s="61">
        <f>IF('Übung 09'!H$42="","",'Übung 09'!H$42)</f>
        <v/>
      </c>
      <c r="L203" s="61">
        <f>IF('Übung 10'!H$42="","",'Übung 10'!H$42)</f>
        <v/>
      </c>
      <c r="M203" s="61">
        <f>IF('Übung 11'!H$42="","",'Übung 11'!H$42)</f>
        <v/>
      </c>
      <c r="N203" s="61">
        <f>IF('Übung 12'!H$42="","",'Übung 12'!H$42)</f>
        <v/>
      </c>
      <c r="O203" s="61">
        <f>IF('Übung 13'!H$42="","",'Übung 13'!H$42)</f>
        <v/>
      </c>
      <c r="P203" s="61">
        <f>IF('Übung 14'!H$42="","",'Übung 14'!H$42)</f>
        <v/>
      </c>
      <c r="Q203" s="61">
        <f>IF('Übung 15'!H$42="","",'Übung 15'!H$42)</f>
        <v/>
      </c>
      <c r="R203" s="61">
        <f>IF('Übung 16'!H$42="","",'Übung 16'!H$42)</f>
        <v/>
      </c>
      <c r="S203" s="61">
        <f>IF('Übung 17'!H$42="","",'Übung 17'!H$42)</f>
        <v/>
      </c>
      <c r="T203" s="61">
        <f>IF('Übung 18'!H$42="","",'Übung 18'!H$42)</f>
        <v/>
      </c>
      <c r="U203" s="61">
        <f>IF('Übung 19'!H$42="","",'Übung 19'!H$42)</f>
        <v/>
      </c>
      <c r="V203" s="61">
        <f>IF('Übung 20'!H$42="","",'Übung 20'!H$42)</f>
        <v/>
      </c>
    </row>
    <row r="204">
      <c r="C204" s="61">
        <f>IF('Übung 01'!I$42="","",'Übung 01'!I$42)</f>
        <v/>
      </c>
      <c r="D204" s="61">
        <f>IF('Übung 02'!I$42="","",'Übung 02'!I$42)</f>
        <v/>
      </c>
      <c r="E204" s="61">
        <f>IF('Übung 03'!I$42="","",'Übung 03'!I$42)</f>
        <v/>
      </c>
      <c r="F204" s="61">
        <f>IF('Übung 04'!I$42="","",'Übung 04'!I$42)</f>
        <v/>
      </c>
      <c r="G204" s="61">
        <f>IF('Übung 05'!I$42="","",'Übung 05'!I$42)</f>
        <v/>
      </c>
      <c r="H204" s="61">
        <f>IF('Übung 06'!I$42="","",'Übung 06'!I$42)</f>
        <v/>
      </c>
      <c r="I204" s="61">
        <f>IF('Übung 07'!I$42="","",'Übung 07'!I$42)</f>
        <v/>
      </c>
      <c r="J204" s="61">
        <f>IF('Übung 08'!I$42="","",'Übung 08'!I$42)</f>
        <v/>
      </c>
      <c r="K204" s="61">
        <f>IF('Übung 09'!I$42="","",'Übung 09'!I$42)</f>
        <v/>
      </c>
      <c r="L204" s="61">
        <f>IF('Übung 10'!I$42="","",'Übung 10'!I$42)</f>
        <v/>
      </c>
      <c r="M204" s="61">
        <f>IF('Übung 11'!I$42="","",'Übung 11'!I$42)</f>
        <v/>
      </c>
      <c r="N204" s="61">
        <f>IF('Übung 12'!I$42="","",'Übung 12'!I$42)</f>
        <v/>
      </c>
      <c r="O204" s="61">
        <f>IF('Übung 13'!I$42="","",'Übung 13'!I$42)</f>
        <v/>
      </c>
      <c r="P204" s="61">
        <f>IF('Übung 14'!I$42="","",'Übung 14'!I$42)</f>
        <v/>
      </c>
      <c r="Q204" s="61">
        <f>IF('Übung 15'!I$42="","",'Übung 15'!I$42)</f>
        <v/>
      </c>
      <c r="R204" s="61">
        <f>IF('Übung 16'!I$42="","",'Übung 16'!I$42)</f>
        <v/>
      </c>
      <c r="S204" s="61">
        <f>IF('Übung 17'!I$42="","",'Übung 17'!I$42)</f>
        <v/>
      </c>
      <c r="T204" s="61">
        <f>IF('Übung 18'!I$42="","",'Übung 18'!I$42)</f>
        <v/>
      </c>
      <c r="U204" s="61">
        <f>IF('Übung 19'!I$42="","",'Übung 19'!I$42)</f>
        <v/>
      </c>
      <c r="V204" s="61">
        <f>IF('Übung 20'!I$42="","",'Übung 20'!I$42)</f>
        <v/>
      </c>
    </row>
    <row r="205">
      <c r="C205" s="61">
        <f>IF('Übung 01'!J$42="","",'Übung 01'!J$42)</f>
        <v/>
      </c>
      <c r="D205" s="61">
        <f>IF('Übung 02'!J$42="","",'Übung 02'!J$42)</f>
        <v/>
      </c>
      <c r="E205" s="61">
        <f>IF('Übung 03'!J$42="","",'Übung 03'!J$42)</f>
        <v/>
      </c>
      <c r="F205" s="61">
        <f>IF('Übung 04'!J$42="","",'Übung 04'!J$42)</f>
        <v/>
      </c>
      <c r="G205" s="61">
        <f>IF('Übung 05'!J$42="","",'Übung 05'!J$42)</f>
        <v/>
      </c>
      <c r="H205" s="61">
        <f>IF('Übung 06'!J$42="","",'Übung 06'!J$42)</f>
        <v/>
      </c>
      <c r="I205" s="61">
        <f>IF('Übung 07'!J$42="","",'Übung 07'!J$42)</f>
        <v/>
      </c>
      <c r="J205" s="61">
        <f>IF('Übung 08'!J$42="","",'Übung 08'!J$42)</f>
        <v/>
      </c>
      <c r="K205" s="61">
        <f>IF('Übung 09'!J$42="","",'Übung 09'!J$42)</f>
        <v/>
      </c>
      <c r="L205" s="61">
        <f>IF('Übung 10'!J$42="","",'Übung 10'!J$42)</f>
        <v/>
      </c>
      <c r="M205" s="61">
        <f>IF('Übung 11'!J$42="","",'Übung 11'!J$42)</f>
        <v/>
      </c>
      <c r="N205" s="61">
        <f>IF('Übung 12'!J$42="","",'Übung 12'!J$42)</f>
        <v/>
      </c>
      <c r="O205" s="61">
        <f>IF('Übung 13'!J$42="","",'Übung 13'!J$42)</f>
        <v/>
      </c>
      <c r="P205" s="61">
        <f>IF('Übung 14'!J$42="","",'Übung 14'!J$42)</f>
        <v/>
      </c>
      <c r="Q205" s="61">
        <f>IF('Übung 15'!J$42="","",'Übung 15'!J$42)</f>
        <v/>
      </c>
      <c r="R205" s="61">
        <f>IF('Übung 16'!J$42="","",'Übung 16'!J$42)</f>
        <v/>
      </c>
      <c r="S205" s="61">
        <f>IF('Übung 17'!J$42="","",'Übung 17'!J$42)</f>
        <v/>
      </c>
      <c r="T205" s="61">
        <f>IF('Übung 18'!J$42="","",'Übung 18'!J$42)</f>
        <v/>
      </c>
      <c r="U205" s="61">
        <f>IF('Übung 19'!J$42="","",'Übung 19'!J$42)</f>
        <v/>
      </c>
      <c r="V205" s="61">
        <f>IF('Übung 20'!J$42="","",'Übung 20'!J$42)</f>
        <v/>
      </c>
    </row>
    <row r="206">
      <c r="C206" s="61">
        <f>IF('Übung 01'!K$42="","",'Übung 01'!K$42)</f>
        <v/>
      </c>
      <c r="D206" s="61">
        <f>IF('Übung 02'!K$42="","",'Übung 02'!K$42)</f>
        <v/>
      </c>
      <c r="E206" s="61">
        <f>IF('Übung 03'!K$42="","",'Übung 03'!K$42)</f>
        <v/>
      </c>
      <c r="F206" s="61">
        <f>IF('Übung 04'!K$42="","",'Übung 04'!K$42)</f>
        <v/>
      </c>
      <c r="G206" s="61">
        <f>IF('Übung 05'!K$42="","",'Übung 05'!K$42)</f>
        <v/>
      </c>
      <c r="H206" s="61">
        <f>IF('Übung 06'!K$42="","",'Übung 06'!K$42)</f>
        <v/>
      </c>
      <c r="I206" s="61">
        <f>IF('Übung 07'!K$42="","",'Übung 07'!K$42)</f>
        <v/>
      </c>
      <c r="J206" s="61">
        <f>IF('Übung 08'!K$42="","",'Übung 08'!K$42)</f>
        <v/>
      </c>
      <c r="K206" s="61">
        <f>IF('Übung 09'!K$42="","",'Übung 09'!K$42)</f>
        <v/>
      </c>
      <c r="L206" s="61">
        <f>IF('Übung 10'!K$42="","",'Übung 10'!K$42)</f>
        <v/>
      </c>
      <c r="M206" s="61">
        <f>IF('Übung 11'!K$42="","",'Übung 11'!K$42)</f>
        <v/>
      </c>
      <c r="N206" s="61">
        <f>IF('Übung 12'!K$42="","",'Übung 12'!K$42)</f>
        <v/>
      </c>
      <c r="O206" s="61">
        <f>IF('Übung 13'!K$42="","",'Übung 13'!K$42)</f>
        <v/>
      </c>
      <c r="P206" s="61">
        <f>IF('Übung 14'!K$42="","",'Übung 14'!K$42)</f>
        <v/>
      </c>
      <c r="Q206" s="61">
        <f>IF('Übung 15'!K$42="","",'Übung 15'!K$42)</f>
        <v/>
      </c>
      <c r="R206" s="61">
        <f>IF('Übung 16'!K$42="","",'Übung 16'!K$42)</f>
        <v/>
      </c>
      <c r="S206" s="61">
        <f>IF('Übung 17'!K$42="","",'Übung 17'!K$42)</f>
        <v/>
      </c>
      <c r="T206" s="61">
        <f>IF('Übung 18'!K$42="","",'Übung 18'!K$42)</f>
        <v/>
      </c>
      <c r="U206" s="61">
        <f>IF('Übung 19'!K$42="","",'Übung 19'!K$42)</f>
        <v/>
      </c>
      <c r="V206" s="61">
        <f>IF('Übung 20'!K$42="","",'Übung 20'!K$42)</f>
        <v/>
      </c>
    </row>
    <row r="207">
      <c r="C207" s="61">
        <f>IF('Übung 01'!L$42="","",'Übung 01'!L$42)</f>
        <v/>
      </c>
      <c r="D207" s="61">
        <f>IF('Übung 02'!L$42="","",'Übung 02'!L$42)</f>
        <v/>
      </c>
      <c r="E207" s="61">
        <f>IF('Übung 03'!L$42="","",'Übung 03'!L$42)</f>
        <v/>
      </c>
      <c r="F207" s="61">
        <f>IF('Übung 04'!L$42="","",'Übung 04'!L$42)</f>
        <v/>
      </c>
      <c r="G207" s="61">
        <f>IF('Übung 05'!L$42="","",'Übung 05'!L$42)</f>
        <v/>
      </c>
      <c r="H207" s="61">
        <f>IF('Übung 06'!L$42="","",'Übung 06'!L$42)</f>
        <v/>
      </c>
      <c r="I207" s="61">
        <f>IF('Übung 07'!L$42="","",'Übung 07'!L$42)</f>
        <v/>
      </c>
      <c r="J207" s="61">
        <f>IF('Übung 08'!L$42="","",'Übung 08'!L$42)</f>
        <v/>
      </c>
      <c r="K207" s="61">
        <f>IF('Übung 09'!L$42="","",'Übung 09'!L$42)</f>
        <v/>
      </c>
      <c r="L207" s="61">
        <f>IF('Übung 10'!L$42="","",'Übung 10'!L$42)</f>
        <v/>
      </c>
      <c r="M207" s="61">
        <f>IF('Übung 11'!L$42="","",'Übung 11'!L$42)</f>
        <v/>
      </c>
      <c r="N207" s="61">
        <f>IF('Übung 12'!L$42="","",'Übung 12'!L$42)</f>
        <v/>
      </c>
      <c r="O207" s="61">
        <f>IF('Übung 13'!L$42="","",'Übung 13'!L$42)</f>
        <v/>
      </c>
      <c r="P207" s="61">
        <f>IF('Übung 14'!L$42="","",'Übung 14'!L$42)</f>
        <v/>
      </c>
      <c r="Q207" s="61">
        <f>IF('Übung 15'!L$42="","",'Übung 15'!L$42)</f>
        <v/>
      </c>
      <c r="R207" s="61">
        <f>IF('Übung 16'!L$42="","",'Übung 16'!L$42)</f>
        <v/>
      </c>
      <c r="S207" s="61">
        <f>IF('Übung 17'!L$42="","",'Übung 17'!L$42)</f>
        <v/>
      </c>
      <c r="T207" s="61">
        <f>IF('Übung 18'!L$42="","",'Übung 18'!L$42)</f>
        <v/>
      </c>
      <c r="U207" s="61">
        <f>IF('Übung 19'!L$42="","",'Übung 19'!L$42)</f>
        <v/>
      </c>
      <c r="V207" s="61">
        <f>IF('Übung 20'!L$42="","",'Übung 20'!L$42)</f>
        <v/>
      </c>
    </row>
    <row r="208">
      <c r="C208" s="61">
        <f>IF('Übung 01'!M$42="","",'Übung 01'!M$42)</f>
        <v/>
      </c>
      <c r="D208" s="61">
        <f>IF('Übung 02'!M$42="","",'Übung 02'!M$42)</f>
        <v/>
      </c>
      <c r="E208" s="61">
        <f>IF('Übung 03'!M$42="","",'Übung 03'!M$42)</f>
        <v/>
      </c>
      <c r="F208" s="61">
        <f>IF('Übung 04'!M$42="","",'Übung 04'!M$42)</f>
        <v/>
      </c>
      <c r="G208" s="61">
        <f>IF('Übung 05'!M$42="","",'Übung 05'!M$42)</f>
        <v/>
      </c>
      <c r="H208" s="61">
        <f>IF('Übung 06'!M$42="","",'Übung 06'!M$42)</f>
        <v/>
      </c>
      <c r="I208" s="61">
        <f>IF('Übung 07'!M$42="","",'Übung 07'!M$42)</f>
        <v/>
      </c>
      <c r="J208" s="61">
        <f>IF('Übung 08'!M$42="","",'Übung 08'!M$42)</f>
        <v/>
      </c>
      <c r="K208" s="61">
        <f>IF('Übung 09'!M$42="","",'Übung 09'!M$42)</f>
        <v/>
      </c>
      <c r="L208" s="61">
        <f>IF('Übung 10'!M$42="","",'Übung 10'!M$42)</f>
        <v/>
      </c>
      <c r="M208" s="61">
        <f>IF('Übung 11'!M$42="","",'Übung 11'!M$42)</f>
        <v/>
      </c>
      <c r="N208" s="61">
        <f>IF('Übung 12'!M$42="","",'Übung 12'!M$42)</f>
        <v/>
      </c>
      <c r="O208" s="61">
        <f>IF('Übung 13'!M$42="","",'Übung 13'!M$42)</f>
        <v/>
      </c>
      <c r="P208" s="61">
        <f>IF('Übung 14'!M$42="","",'Übung 14'!M$42)</f>
        <v/>
      </c>
      <c r="Q208" s="61">
        <f>IF('Übung 15'!M$42="","",'Übung 15'!M$42)</f>
        <v/>
      </c>
      <c r="R208" s="61">
        <f>IF('Übung 16'!M$42="","",'Übung 16'!M$42)</f>
        <v/>
      </c>
      <c r="S208" s="61">
        <f>IF('Übung 17'!M$42="","",'Übung 17'!M$42)</f>
        <v/>
      </c>
      <c r="T208" s="61">
        <f>IF('Übung 18'!M$42="","",'Übung 18'!M$42)</f>
        <v/>
      </c>
      <c r="U208" s="61">
        <f>IF('Übung 19'!M$42="","",'Übung 19'!M$42)</f>
        <v/>
      </c>
      <c r="V208" s="61">
        <f>IF('Übung 20'!M$42="","",'Übung 20'!M$42)</f>
        <v/>
      </c>
    </row>
    <row r="209">
      <c r="C209" s="61">
        <f>IF('Übung 01'!N$42="","",'Übung 01'!N$42)</f>
        <v/>
      </c>
      <c r="D209" s="61">
        <f>IF('Übung 02'!N$42="","",'Übung 02'!N$42)</f>
        <v/>
      </c>
      <c r="E209" s="61">
        <f>IF('Übung 03'!N$42="","",'Übung 03'!N$42)</f>
        <v/>
      </c>
      <c r="F209" s="61">
        <f>IF('Übung 04'!N$42="","",'Übung 04'!N$42)</f>
        <v/>
      </c>
      <c r="G209" s="61">
        <f>IF('Übung 05'!N$42="","",'Übung 05'!N$42)</f>
        <v/>
      </c>
      <c r="H209" s="61">
        <f>IF('Übung 06'!N$42="","",'Übung 06'!N$42)</f>
        <v/>
      </c>
      <c r="I209" s="61">
        <f>IF('Übung 07'!N$42="","",'Übung 07'!N$42)</f>
        <v/>
      </c>
      <c r="J209" s="61">
        <f>IF('Übung 08'!N$42="","",'Übung 08'!N$42)</f>
        <v/>
      </c>
      <c r="K209" s="61">
        <f>IF('Übung 09'!N$42="","",'Übung 09'!N$42)</f>
        <v/>
      </c>
      <c r="L209" s="61">
        <f>IF('Übung 10'!N$42="","",'Übung 10'!N$42)</f>
        <v/>
      </c>
      <c r="M209" s="61">
        <f>IF('Übung 11'!N$42="","",'Übung 11'!N$42)</f>
        <v/>
      </c>
      <c r="N209" s="61">
        <f>IF('Übung 12'!N$42="","",'Übung 12'!N$42)</f>
        <v/>
      </c>
      <c r="O209" s="61">
        <f>IF('Übung 13'!N$42="","",'Übung 13'!N$42)</f>
        <v/>
      </c>
      <c r="P209" s="61">
        <f>IF('Übung 14'!N$42="","",'Übung 14'!N$42)</f>
        <v/>
      </c>
      <c r="Q209" s="61">
        <f>IF('Übung 15'!N$42="","",'Übung 15'!N$42)</f>
        <v/>
      </c>
      <c r="R209" s="61">
        <f>IF('Übung 16'!N$42="","",'Übung 16'!N$42)</f>
        <v/>
      </c>
      <c r="S209" s="61">
        <f>IF('Übung 17'!N$42="","",'Übung 17'!N$42)</f>
        <v/>
      </c>
      <c r="T209" s="61">
        <f>IF('Übung 18'!N$42="","",'Übung 18'!N$42)</f>
        <v/>
      </c>
      <c r="U209" s="61">
        <f>IF('Übung 19'!N$42="","",'Übung 19'!N$42)</f>
        <v/>
      </c>
      <c r="V209" s="61">
        <f>IF('Übung 20'!N$42="","",'Übung 20'!N$42)</f>
        <v/>
      </c>
    </row>
    <row r="210">
      <c r="C210" s="61">
        <f>IF('Übung 01'!O$42="","",'Übung 01'!O$42)</f>
        <v/>
      </c>
      <c r="D210" s="61">
        <f>IF('Übung 02'!O$42="","",'Übung 02'!O$42)</f>
        <v/>
      </c>
      <c r="E210" s="61">
        <f>IF('Übung 03'!O$42="","",'Übung 03'!O$42)</f>
        <v/>
      </c>
      <c r="F210" s="61">
        <f>IF('Übung 04'!O$42="","",'Übung 04'!O$42)</f>
        <v/>
      </c>
      <c r="G210" s="61">
        <f>IF('Übung 05'!O$42="","",'Übung 05'!O$42)</f>
        <v/>
      </c>
      <c r="H210" s="61">
        <f>IF('Übung 06'!O$42="","",'Übung 06'!O$42)</f>
        <v/>
      </c>
      <c r="I210" s="61">
        <f>IF('Übung 07'!O$42="","",'Übung 07'!O$42)</f>
        <v/>
      </c>
      <c r="J210" s="61">
        <f>IF('Übung 08'!O$42="","",'Übung 08'!O$42)</f>
        <v/>
      </c>
      <c r="K210" s="61">
        <f>IF('Übung 09'!O$42="","",'Übung 09'!O$42)</f>
        <v/>
      </c>
      <c r="L210" s="61">
        <f>IF('Übung 10'!O$42="","",'Übung 10'!O$42)</f>
        <v/>
      </c>
      <c r="M210" s="61">
        <f>IF('Übung 11'!O$42="","",'Übung 11'!O$42)</f>
        <v/>
      </c>
      <c r="N210" s="61">
        <f>IF('Übung 12'!O$42="","",'Übung 12'!O$42)</f>
        <v/>
      </c>
      <c r="O210" s="61">
        <f>IF('Übung 13'!O$42="","",'Übung 13'!O$42)</f>
        <v/>
      </c>
      <c r="P210" s="61">
        <f>IF('Übung 14'!O$42="","",'Übung 14'!O$42)</f>
        <v/>
      </c>
      <c r="Q210" s="61">
        <f>IF('Übung 15'!O$42="","",'Übung 15'!O$42)</f>
        <v/>
      </c>
      <c r="R210" s="61">
        <f>IF('Übung 16'!O$42="","",'Übung 16'!O$42)</f>
        <v/>
      </c>
      <c r="S210" s="61">
        <f>IF('Übung 17'!O$42="","",'Übung 17'!O$42)</f>
        <v/>
      </c>
      <c r="T210" s="61">
        <f>IF('Übung 18'!O$42="","",'Übung 18'!O$42)</f>
        <v/>
      </c>
      <c r="U210" s="61">
        <f>IF('Übung 19'!O$42="","",'Übung 19'!O$42)</f>
        <v/>
      </c>
      <c r="V210" s="61">
        <f>IF('Übung 20'!O$42="","",'Übung 20'!O$42)</f>
        <v/>
      </c>
    </row>
    <row r="211">
      <c r="C211" s="61">
        <f>IF('Übung 01'!P$42="","",'Übung 01'!P$42)</f>
        <v/>
      </c>
      <c r="D211" s="61">
        <f>IF('Übung 02'!P$42="","",'Übung 02'!P$42)</f>
        <v/>
      </c>
      <c r="E211" s="61">
        <f>IF('Übung 03'!P$42="","",'Übung 03'!P$42)</f>
        <v/>
      </c>
      <c r="F211" s="61">
        <f>IF('Übung 04'!P$42="","",'Übung 04'!P$42)</f>
        <v/>
      </c>
      <c r="G211" s="61">
        <f>IF('Übung 05'!P$42="","",'Übung 05'!P$42)</f>
        <v/>
      </c>
      <c r="H211" s="61">
        <f>IF('Übung 06'!P$42="","",'Übung 06'!P$42)</f>
        <v/>
      </c>
      <c r="I211" s="61">
        <f>IF('Übung 07'!P$42="","",'Übung 07'!P$42)</f>
        <v/>
      </c>
      <c r="J211" s="61">
        <f>IF('Übung 08'!P$42="","",'Übung 08'!P$42)</f>
        <v/>
      </c>
      <c r="K211" s="61">
        <f>IF('Übung 09'!P$42="","",'Übung 09'!P$42)</f>
        <v/>
      </c>
      <c r="L211" s="61">
        <f>IF('Übung 10'!P$42="","",'Übung 10'!P$42)</f>
        <v/>
      </c>
      <c r="M211" s="61">
        <f>IF('Übung 11'!P$42="","",'Übung 11'!P$42)</f>
        <v/>
      </c>
      <c r="N211" s="61">
        <f>IF('Übung 12'!P$42="","",'Übung 12'!P$42)</f>
        <v/>
      </c>
      <c r="O211" s="61">
        <f>IF('Übung 13'!P$42="","",'Übung 13'!P$42)</f>
        <v/>
      </c>
      <c r="P211" s="61">
        <f>IF('Übung 14'!P$42="","",'Übung 14'!P$42)</f>
        <v/>
      </c>
      <c r="Q211" s="61">
        <f>IF('Übung 15'!P$42="","",'Übung 15'!P$42)</f>
        <v/>
      </c>
      <c r="R211" s="61">
        <f>IF('Übung 16'!P$42="","",'Übung 16'!P$42)</f>
        <v/>
      </c>
      <c r="S211" s="61">
        <f>IF('Übung 17'!P$42="","",'Übung 17'!P$42)</f>
        <v/>
      </c>
      <c r="T211" s="61">
        <f>IF('Übung 18'!P$42="","",'Übung 18'!P$42)</f>
        <v/>
      </c>
      <c r="U211" s="61">
        <f>IF('Übung 19'!P$42="","",'Übung 19'!P$42)</f>
        <v/>
      </c>
      <c r="V211" s="61">
        <f>IF('Übung 20'!P$42="","",'Übung 20'!P$42)</f>
        <v/>
      </c>
    </row>
    <row r="212">
      <c r="C212" s="61">
        <f>IF('Übung 01'!Q$42="","",'Übung 01'!Q$42)</f>
        <v/>
      </c>
      <c r="D212" s="61">
        <f>IF('Übung 02'!Q$42="","",'Übung 02'!Q$42)</f>
        <v/>
      </c>
      <c r="E212" s="61">
        <f>IF('Übung 03'!Q$42="","",'Übung 03'!Q$42)</f>
        <v/>
      </c>
      <c r="F212" s="61">
        <f>IF('Übung 04'!Q$42="","",'Übung 04'!Q$42)</f>
        <v/>
      </c>
      <c r="G212" s="61">
        <f>IF('Übung 05'!Q$42="","",'Übung 05'!Q$42)</f>
        <v/>
      </c>
      <c r="H212" s="61">
        <f>IF('Übung 06'!Q$42="","",'Übung 06'!Q$42)</f>
        <v/>
      </c>
      <c r="I212" s="61">
        <f>IF('Übung 07'!Q$42="","",'Übung 07'!Q$42)</f>
        <v/>
      </c>
      <c r="J212" s="61">
        <f>IF('Übung 08'!Q$42="","",'Übung 08'!Q$42)</f>
        <v/>
      </c>
      <c r="K212" s="61">
        <f>IF('Übung 09'!Q$42="","",'Übung 09'!Q$42)</f>
        <v/>
      </c>
      <c r="L212" s="61">
        <f>IF('Übung 10'!Q$42="","",'Übung 10'!Q$42)</f>
        <v/>
      </c>
      <c r="M212" s="61">
        <f>IF('Übung 11'!Q$42="","",'Übung 11'!Q$42)</f>
        <v/>
      </c>
      <c r="N212" s="61">
        <f>IF('Übung 12'!Q$42="","",'Übung 12'!Q$42)</f>
        <v/>
      </c>
      <c r="O212" s="61">
        <f>IF('Übung 13'!Q$42="","",'Übung 13'!Q$42)</f>
        <v/>
      </c>
      <c r="P212" s="61">
        <f>IF('Übung 14'!Q$42="","",'Übung 14'!Q$42)</f>
        <v/>
      </c>
      <c r="Q212" s="61">
        <f>IF('Übung 15'!Q$42="","",'Übung 15'!Q$42)</f>
        <v/>
      </c>
      <c r="R212" s="61">
        <f>IF('Übung 16'!Q$42="","",'Übung 16'!Q$42)</f>
        <v/>
      </c>
      <c r="S212" s="61">
        <f>IF('Übung 17'!Q$42="","",'Übung 17'!Q$42)</f>
        <v/>
      </c>
      <c r="T212" s="61">
        <f>IF('Übung 18'!Q$42="","",'Übung 18'!Q$42)</f>
        <v/>
      </c>
      <c r="U212" s="61">
        <f>IF('Übung 19'!Q$42="","",'Übung 19'!Q$42)</f>
        <v/>
      </c>
      <c r="V212" s="61">
        <f>IF('Übung 20'!Q$42="","",'Übung 20'!Q$42)</f>
        <v/>
      </c>
    </row>
    <row r="213">
      <c r="C213" s="61">
        <f>IF('Übung 01'!R$42="","",'Übung 01'!R$42)</f>
        <v/>
      </c>
      <c r="D213" s="61">
        <f>IF('Übung 02'!R$42="","",'Übung 02'!R$42)</f>
        <v/>
      </c>
      <c r="E213" s="61">
        <f>IF('Übung 03'!R$42="","",'Übung 03'!R$42)</f>
        <v/>
      </c>
      <c r="F213" s="61">
        <f>IF('Übung 04'!R$42="","",'Übung 04'!R$42)</f>
        <v/>
      </c>
      <c r="G213" s="61">
        <f>IF('Übung 05'!R$42="","",'Übung 05'!R$42)</f>
        <v/>
      </c>
      <c r="H213" s="61">
        <f>IF('Übung 06'!R$42="","",'Übung 06'!R$42)</f>
        <v/>
      </c>
      <c r="I213" s="61">
        <f>IF('Übung 07'!R$42="","",'Übung 07'!R$42)</f>
        <v/>
      </c>
      <c r="J213" s="61">
        <f>IF('Übung 08'!R$42="","",'Übung 08'!R$42)</f>
        <v/>
      </c>
      <c r="K213" s="61">
        <f>IF('Übung 09'!R$42="","",'Übung 09'!R$42)</f>
        <v/>
      </c>
      <c r="L213" s="61">
        <f>IF('Übung 10'!R$42="","",'Übung 10'!R$42)</f>
        <v/>
      </c>
      <c r="M213" s="61">
        <f>IF('Übung 11'!R$42="","",'Übung 11'!R$42)</f>
        <v/>
      </c>
      <c r="N213" s="61">
        <f>IF('Übung 12'!R$42="","",'Übung 12'!R$42)</f>
        <v/>
      </c>
      <c r="O213" s="61">
        <f>IF('Übung 13'!R$42="","",'Übung 13'!R$42)</f>
        <v/>
      </c>
      <c r="P213" s="61">
        <f>IF('Übung 14'!R$42="","",'Übung 14'!R$42)</f>
        <v/>
      </c>
      <c r="Q213" s="61">
        <f>IF('Übung 15'!R$42="","",'Übung 15'!R$42)</f>
        <v/>
      </c>
      <c r="R213" s="61">
        <f>IF('Übung 16'!R$42="","",'Übung 16'!R$42)</f>
        <v/>
      </c>
      <c r="S213" s="61">
        <f>IF('Übung 17'!R$42="","",'Übung 17'!R$42)</f>
        <v/>
      </c>
      <c r="T213" s="61">
        <f>IF('Übung 18'!R$42="","",'Übung 18'!R$42)</f>
        <v/>
      </c>
      <c r="U213" s="61">
        <f>IF('Übung 19'!R$42="","",'Übung 19'!R$42)</f>
        <v/>
      </c>
      <c r="V213" s="61">
        <f>IF('Übung 20'!R$42="","",'Übung 20'!R$42)</f>
        <v/>
      </c>
    </row>
    <row r="214">
      <c r="C214" s="61">
        <f>IF('Übung 01'!S$42="","",'Übung 01'!S$42)</f>
        <v/>
      </c>
      <c r="D214" s="61">
        <f>IF('Übung 02'!S$42="","",'Übung 02'!S$42)</f>
        <v/>
      </c>
      <c r="E214" s="61">
        <f>IF('Übung 03'!S$42="","",'Übung 03'!S$42)</f>
        <v/>
      </c>
      <c r="F214" s="61">
        <f>IF('Übung 04'!S$42="","",'Übung 04'!S$42)</f>
        <v/>
      </c>
      <c r="G214" s="61">
        <f>IF('Übung 05'!S$42="","",'Übung 05'!S$42)</f>
        <v/>
      </c>
      <c r="H214" s="61">
        <f>IF('Übung 06'!S$42="","",'Übung 06'!S$42)</f>
        <v/>
      </c>
      <c r="I214" s="61">
        <f>IF('Übung 07'!S$42="","",'Übung 07'!S$42)</f>
        <v/>
      </c>
      <c r="J214" s="61">
        <f>IF('Übung 08'!S$42="","",'Übung 08'!S$42)</f>
        <v/>
      </c>
      <c r="K214" s="61">
        <f>IF('Übung 09'!S$42="","",'Übung 09'!S$42)</f>
        <v/>
      </c>
      <c r="L214" s="61">
        <f>IF('Übung 10'!S$42="","",'Übung 10'!S$42)</f>
        <v/>
      </c>
      <c r="M214" s="61">
        <f>IF('Übung 11'!S$42="","",'Übung 11'!S$42)</f>
        <v/>
      </c>
      <c r="N214" s="61">
        <f>IF('Übung 12'!S$42="","",'Übung 12'!S$42)</f>
        <v/>
      </c>
      <c r="O214" s="61">
        <f>IF('Übung 13'!S$42="","",'Übung 13'!S$42)</f>
        <v/>
      </c>
      <c r="P214" s="61">
        <f>IF('Übung 14'!S$42="","",'Übung 14'!S$42)</f>
        <v/>
      </c>
      <c r="Q214" s="61">
        <f>IF('Übung 15'!S$42="","",'Übung 15'!S$42)</f>
        <v/>
      </c>
      <c r="R214" s="61">
        <f>IF('Übung 16'!S$42="","",'Übung 16'!S$42)</f>
        <v/>
      </c>
      <c r="S214" s="61">
        <f>IF('Übung 17'!S$42="","",'Übung 17'!S$42)</f>
        <v/>
      </c>
      <c r="T214" s="61">
        <f>IF('Übung 18'!S$42="","",'Übung 18'!S$42)</f>
        <v/>
      </c>
      <c r="U214" s="61">
        <f>IF('Übung 19'!S$42="","",'Übung 19'!S$42)</f>
        <v/>
      </c>
      <c r="V214" s="61">
        <f>IF('Übung 20'!S$42="","",'Übung 20'!S$42)</f>
        <v/>
      </c>
    </row>
    <row r="215">
      <c r="C215" s="61">
        <f>IF('Übung 01'!T$42="","",'Übung 01'!T$42)</f>
        <v/>
      </c>
      <c r="D215" s="61">
        <f>IF('Übung 02'!T$42="","",'Übung 02'!T$42)</f>
        <v/>
      </c>
      <c r="E215" s="61">
        <f>IF('Übung 03'!T$42="","",'Übung 03'!T$42)</f>
        <v/>
      </c>
      <c r="F215" s="61">
        <f>IF('Übung 04'!T$42="","",'Übung 04'!T$42)</f>
        <v/>
      </c>
      <c r="G215" s="61">
        <f>IF('Übung 05'!T$42="","",'Übung 05'!T$42)</f>
        <v/>
      </c>
      <c r="H215" s="61">
        <f>IF('Übung 06'!T$42="","",'Übung 06'!T$42)</f>
        <v/>
      </c>
      <c r="I215" s="61">
        <f>IF('Übung 07'!T$42="","",'Übung 07'!T$42)</f>
        <v/>
      </c>
      <c r="J215" s="61">
        <f>IF('Übung 08'!T$42="","",'Übung 08'!T$42)</f>
        <v/>
      </c>
      <c r="K215" s="61">
        <f>IF('Übung 09'!T$42="","",'Übung 09'!T$42)</f>
        <v/>
      </c>
      <c r="L215" s="61">
        <f>IF('Übung 10'!T$42="","",'Übung 10'!T$42)</f>
        <v/>
      </c>
      <c r="M215" s="61">
        <f>IF('Übung 11'!T$42="","",'Übung 11'!T$42)</f>
        <v/>
      </c>
      <c r="N215" s="61">
        <f>IF('Übung 12'!T$42="","",'Übung 12'!T$42)</f>
        <v/>
      </c>
      <c r="O215" s="61">
        <f>IF('Übung 13'!T$42="","",'Übung 13'!T$42)</f>
        <v/>
      </c>
      <c r="P215" s="61">
        <f>IF('Übung 14'!T$42="","",'Übung 14'!T$42)</f>
        <v/>
      </c>
      <c r="Q215" s="61">
        <f>IF('Übung 15'!T$42="","",'Übung 15'!T$42)</f>
        <v/>
      </c>
      <c r="R215" s="61">
        <f>IF('Übung 16'!T$42="","",'Übung 16'!T$42)</f>
        <v/>
      </c>
      <c r="S215" s="61">
        <f>IF('Übung 17'!T$42="","",'Übung 17'!T$42)</f>
        <v/>
      </c>
      <c r="T215" s="61">
        <f>IF('Übung 18'!T$42="","",'Übung 18'!T$42)</f>
        <v/>
      </c>
      <c r="U215" s="61">
        <f>IF('Übung 19'!T$42="","",'Übung 19'!T$42)</f>
        <v/>
      </c>
      <c r="V215" s="61">
        <f>IF('Übung 20'!T$42="","",'Übung 20'!T$42)</f>
        <v/>
      </c>
    </row>
    <row r="216">
      <c r="C216" s="61">
        <f>IF('Übung 01'!U$42="","",'Übung 01'!U$42)</f>
        <v/>
      </c>
      <c r="D216" s="61">
        <f>IF('Übung 02'!U$42="","",'Übung 02'!U$42)</f>
        <v/>
      </c>
      <c r="E216" s="61">
        <f>IF('Übung 03'!U$42="","",'Übung 03'!U$42)</f>
        <v/>
      </c>
      <c r="F216" s="61">
        <f>IF('Übung 04'!U$42="","",'Übung 04'!U$42)</f>
        <v/>
      </c>
      <c r="G216" s="61">
        <f>IF('Übung 05'!U$42="","",'Übung 05'!U$42)</f>
        <v/>
      </c>
      <c r="H216" s="61">
        <f>IF('Übung 06'!U$42="","",'Übung 06'!U$42)</f>
        <v/>
      </c>
      <c r="I216" s="61">
        <f>IF('Übung 07'!U$42="","",'Übung 07'!U$42)</f>
        <v/>
      </c>
      <c r="J216" s="61">
        <f>IF('Übung 08'!U$42="","",'Übung 08'!U$42)</f>
        <v/>
      </c>
      <c r="K216" s="61">
        <f>IF('Übung 09'!U$42="","",'Übung 09'!U$42)</f>
        <v/>
      </c>
      <c r="L216" s="61">
        <f>IF('Übung 10'!U$42="","",'Übung 10'!U$42)</f>
        <v/>
      </c>
      <c r="M216" s="61">
        <f>IF('Übung 11'!U$42="","",'Übung 11'!U$42)</f>
        <v/>
      </c>
      <c r="N216" s="61">
        <f>IF('Übung 12'!U$42="","",'Übung 12'!U$42)</f>
        <v/>
      </c>
      <c r="O216" s="61">
        <f>IF('Übung 13'!U$42="","",'Übung 13'!U$42)</f>
        <v/>
      </c>
      <c r="P216" s="61">
        <f>IF('Übung 14'!U$42="","",'Übung 14'!U$42)</f>
        <v/>
      </c>
      <c r="Q216" s="61">
        <f>IF('Übung 15'!U$42="","",'Übung 15'!U$42)</f>
        <v/>
      </c>
      <c r="R216" s="61">
        <f>IF('Übung 16'!U$42="","",'Übung 16'!U$42)</f>
        <v/>
      </c>
      <c r="S216" s="61">
        <f>IF('Übung 17'!U$42="","",'Übung 17'!U$42)</f>
        <v/>
      </c>
      <c r="T216" s="61">
        <f>IF('Übung 18'!U$42="","",'Übung 18'!U$42)</f>
        <v/>
      </c>
      <c r="U216" s="61">
        <f>IF('Übung 19'!U$42="","",'Übung 19'!U$42)</f>
        <v/>
      </c>
      <c r="V216" s="61">
        <f>IF('Übung 20'!U$42="","",'Übung 20'!U$42)</f>
        <v/>
      </c>
    </row>
    <row r="217">
      <c r="C217" s="61">
        <f>IF('Übung 01'!V$42="","",'Übung 01'!V$42)</f>
        <v/>
      </c>
      <c r="D217" s="61">
        <f>IF('Übung 02'!V$42="","",'Übung 02'!V$42)</f>
        <v/>
      </c>
      <c r="E217" s="61">
        <f>IF('Übung 03'!V$42="","",'Übung 03'!V$42)</f>
        <v/>
      </c>
      <c r="F217" s="61">
        <f>IF('Übung 04'!V$42="","",'Übung 04'!V$42)</f>
        <v/>
      </c>
      <c r="G217" s="61">
        <f>IF('Übung 05'!V$42="","",'Übung 05'!V$42)</f>
        <v/>
      </c>
      <c r="H217" s="61">
        <f>IF('Übung 06'!V$42="","",'Übung 06'!V$42)</f>
        <v/>
      </c>
      <c r="I217" s="61">
        <f>IF('Übung 07'!V$42="","",'Übung 07'!V$42)</f>
        <v/>
      </c>
      <c r="J217" s="61">
        <f>IF('Übung 08'!V$42="","",'Übung 08'!V$42)</f>
        <v/>
      </c>
      <c r="K217" s="61">
        <f>IF('Übung 09'!V$42="","",'Übung 09'!V$42)</f>
        <v/>
      </c>
      <c r="L217" s="61">
        <f>IF('Übung 10'!V$42="","",'Übung 10'!V$42)</f>
        <v/>
      </c>
      <c r="M217" s="61">
        <f>IF('Übung 11'!V$42="","",'Übung 11'!V$42)</f>
        <v/>
      </c>
      <c r="N217" s="61">
        <f>IF('Übung 12'!V$42="","",'Übung 12'!V$42)</f>
        <v/>
      </c>
      <c r="O217" s="61">
        <f>IF('Übung 13'!V$42="","",'Übung 13'!V$42)</f>
        <v/>
      </c>
      <c r="P217" s="61">
        <f>IF('Übung 14'!V$42="","",'Übung 14'!V$42)</f>
        <v/>
      </c>
      <c r="Q217" s="61">
        <f>IF('Übung 15'!V$42="","",'Übung 15'!V$42)</f>
        <v/>
      </c>
      <c r="R217" s="61">
        <f>IF('Übung 16'!V$42="","",'Übung 16'!V$42)</f>
        <v/>
      </c>
      <c r="S217" s="61">
        <f>IF('Übung 17'!V$42="","",'Übung 17'!V$42)</f>
        <v/>
      </c>
      <c r="T217" s="61">
        <f>IF('Übung 18'!V$42="","",'Übung 18'!V$42)</f>
        <v/>
      </c>
      <c r="U217" s="61">
        <f>IF('Übung 19'!V$42="","",'Übung 19'!V$42)</f>
        <v/>
      </c>
      <c r="V217" s="61">
        <f>IF('Übung 20'!V$42="","",'Übung 20'!V$42)</f>
        <v/>
      </c>
    </row>
    <row r="218">
      <c r="C218" s="61">
        <f>IF('Übung 01'!W$42="","",'Übung 01'!W$42)</f>
        <v/>
      </c>
      <c r="D218" s="61">
        <f>IF('Übung 02'!W$42="","",'Übung 02'!W$42)</f>
        <v/>
      </c>
      <c r="E218" s="61">
        <f>IF('Übung 03'!W$42="","",'Übung 03'!W$42)</f>
        <v/>
      </c>
      <c r="F218" s="61">
        <f>IF('Übung 04'!W$42="","",'Übung 04'!W$42)</f>
        <v/>
      </c>
      <c r="G218" s="61">
        <f>IF('Übung 05'!W$42="","",'Übung 05'!W$42)</f>
        <v/>
      </c>
      <c r="H218" s="61">
        <f>IF('Übung 06'!W$42="","",'Übung 06'!W$42)</f>
        <v/>
      </c>
      <c r="I218" s="61">
        <f>IF('Übung 07'!W$42="","",'Übung 07'!W$42)</f>
        <v/>
      </c>
      <c r="J218" s="61">
        <f>IF('Übung 08'!W$42="","",'Übung 08'!W$42)</f>
        <v/>
      </c>
      <c r="K218" s="61">
        <f>IF('Übung 09'!W$42="","",'Übung 09'!W$42)</f>
        <v/>
      </c>
      <c r="L218" s="61">
        <f>IF('Übung 10'!W$42="","",'Übung 10'!W$42)</f>
        <v/>
      </c>
      <c r="M218" s="61">
        <f>IF('Übung 11'!W$42="","",'Übung 11'!W$42)</f>
        <v/>
      </c>
      <c r="N218" s="61">
        <f>IF('Übung 12'!W$42="","",'Übung 12'!W$42)</f>
        <v/>
      </c>
      <c r="O218" s="61">
        <f>IF('Übung 13'!W$42="","",'Übung 13'!W$42)</f>
        <v/>
      </c>
      <c r="P218" s="61">
        <f>IF('Übung 14'!W$42="","",'Übung 14'!W$42)</f>
        <v/>
      </c>
      <c r="Q218" s="61">
        <f>IF('Übung 15'!W$42="","",'Übung 15'!W$42)</f>
        <v/>
      </c>
      <c r="R218" s="61">
        <f>IF('Übung 16'!W$42="","",'Übung 16'!W$42)</f>
        <v/>
      </c>
      <c r="S218" s="61">
        <f>IF('Übung 17'!W$42="","",'Übung 17'!W$42)</f>
        <v/>
      </c>
      <c r="T218" s="61">
        <f>IF('Übung 18'!W$42="","",'Übung 18'!W$42)</f>
        <v/>
      </c>
      <c r="U218" s="61">
        <f>IF('Übung 19'!W$42="","",'Übung 19'!W$42)</f>
        <v/>
      </c>
      <c r="V218" s="61">
        <f>IF('Übung 20'!W$42="","",'Übung 20'!W$42)</f>
        <v/>
      </c>
    </row>
    <row r="219">
      <c r="C219" s="61">
        <f>IF('Übung 01'!X$42="","",'Übung 01'!X$42)</f>
        <v/>
      </c>
      <c r="D219" s="61">
        <f>IF('Übung 02'!X$42="","",'Übung 02'!X$42)</f>
        <v/>
      </c>
      <c r="E219" s="61">
        <f>IF('Übung 03'!X$42="","",'Übung 03'!X$42)</f>
        <v/>
      </c>
      <c r="F219" s="61">
        <f>IF('Übung 04'!X$42="","",'Übung 04'!X$42)</f>
        <v/>
      </c>
      <c r="G219" s="61">
        <f>IF('Übung 05'!X$42="","",'Übung 05'!X$42)</f>
        <v/>
      </c>
      <c r="H219" s="61">
        <f>IF('Übung 06'!X$42="","",'Übung 06'!X$42)</f>
        <v/>
      </c>
      <c r="I219" s="61">
        <f>IF('Übung 07'!X$42="","",'Übung 07'!X$42)</f>
        <v/>
      </c>
      <c r="J219" s="61">
        <f>IF('Übung 08'!X$42="","",'Übung 08'!X$42)</f>
        <v/>
      </c>
      <c r="K219" s="61">
        <f>IF('Übung 09'!X$42="","",'Übung 09'!X$42)</f>
        <v/>
      </c>
      <c r="L219" s="61">
        <f>IF('Übung 10'!X$42="","",'Übung 10'!X$42)</f>
        <v/>
      </c>
      <c r="M219" s="61">
        <f>IF('Übung 11'!X$42="","",'Übung 11'!X$42)</f>
        <v/>
      </c>
      <c r="N219" s="61">
        <f>IF('Übung 12'!X$42="","",'Übung 12'!X$42)</f>
        <v/>
      </c>
      <c r="O219" s="61">
        <f>IF('Übung 13'!X$42="","",'Übung 13'!X$42)</f>
        <v/>
      </c>
      <c r="P219" s="61">
        <f>IF('Übung 14'!X$42="","",'Übung 14'!X$42)</f>
        <v/>
      </c>
      <c r="Q219" s="61">
        <f>IF('Übung 15'!X$42="","",'Übung 15'!X$42)</f>
        <v/>
      </c>
      <c r="R219" s="61">
        <f>IF('Übung 16'!X$42="","",'Übung 16'!X$42)</f>
        <v/>
      </c>
      <c r="S219" s="61">
        <f>IF('Übung 17'!X$42="","",'Übung 17'!X$42)</f>
        <v/>
      </c>
      <c r="T219" s="61">
        <f>IF('Übung 18'!X$42="","",'Übung 18'!X$42)</f>
        <v/>
      </c>
      <c r="U219" s="61">
        <f>IF('Übung 19'!X$42="","",'Übung 19'!X$42)</f>
        <v/>
      </c>
      <c r="V219" s="61">
        <f>IF('Übung 20'!X$42="","",'Übung 20'!X$42)</f>
        <v/>
      </c>
    </row>
    <row r="220">
      <c r="C220" s="61">
        <f>IF('Übung 01'!Y$42="","",'Übung 01'!Y$42)</f>
        <v/>
      </c>
      <c r="D220" s="61">
        <f>IF('Übung 02'!Y$42="","",'Übung 02'!Y$42)</f>
        <v/>
      </c>
      <c r="E220" s="61">
        <f>IF('Übung 03'!Y$42="","",'Übung 03'!Y$42)</f>
        <v/>
      </c>
      <c r="F220" s="61">
        <f>IF('Übung 04'!Y$42="","",'Übung 04'!Y$42)</f>
        <v/>
      </c>
      <c r="G220" s="61">
        <f>IF('Übung 05'!Y$42="","",'Übung 05'!Y$42)</f>
        <v/>
      </c>
      <c r="H220" s="61">
        <f>IF('Übung 06'!Y$42="","",'Übung 06'!Y$42)</f>
        <v/>
      </c>
      <c r="I220" s="61">
        <f>IF('Übung 07'!Y$42="","",'Übung 07'!Y$42)</f>
        <v/>
      </c>
      <c r="J220" s="61">
        <f>IF('Übung 08'!Y$42="","",'Übung 08'!Y$42)</f>
        <v/>
      </c>
      <c r="K220" s="61">
        <f>IF('Übung 09'!Y$42="","",'Übung 09'!Y$42)</f>
        <v/>
      </c>
      <c r="L220" s="61">
        <f>IF('Übung 10'!Y$42="","",'Übung 10'!Y$42)</f>
        <v/>
      </c>
      <c r="M220" s="61">
        <f>IF('Übung 11'!Y$42="","",'Übung 11'!Y$42)</f>
        <v/>
      </c>
      <c r="N220" s="61">
        <f>IF('Übung 12'!Y$42="","",'Übung 12'!Y$42)</f>
        <v/>
      </c>
      <c r="O220" s="61">
        <f>IF('Übung 13'!Y$42="","",'Übung 13'!Y$42)</f>
        <v/>
      </c>
      <c r="P220" s="61">
        <f>IF('Übung 14'!Y$42="","",'Übung 14'!Y$42)</f>
        <v/>
      </c>
      <c r="Q220" s="61">
        <f>IF('Übung 15'!Y$42="","",'Übung 15'!Y$42)</f>
        <v/>
      </c>
      <c r="R220" s="61">
        <f>IF('Übung 16'!Y$42="","",'Übung 16'!Y$42)</f>
        <v/>
      </c>
      <c r="S220" s="61">
        <f>IF('Übung 17'!Y$42="","",'Übung 17'!Y$42)</f>
        <v/>
      </c>
      <c r="T220" s="61">
        <f>IF('Übung 18'!Y$42="","",'Übung 18'!Y$42)</f>
        <v/>
      </c>
      <c r="U220" s="61">
        <f>IF('Übung 19'!Y$42="","",'Übung 19'!Y$42)</f>
        <v/>
      </c>
      <c r="V220" s="61">
        <f>IF('Übung 20'!Y$42="","",'Übung 20'!Y$42)</f>
        <v/>
      </c>
    </row>
    <row r="221">
      <c r="C221" s="61">
        <f>IF('Übung 01'!Z$42="","",'Übung 01'!Z$42)</f>
        <v/>
      </c>
      <c r="D221" s="61">
        <f>IF('Übung 02'!Z$42="","",'Übung 02'!Z$42)</f>
        <v/>
      </c>
      <c r="E221" s="61">
        <f>IF('Übung 03'!Z$42="","",'Übung 03'!Z$42)</f>
        <v/>
      </c>
      <c r="F221" s="61">
        <f>IF('Übung 04'!Z$42="","",'Übung 04'!Z$42)</f>
        <v/>
      </c>
      <c r="G221" s="61">
        <f>IF('Übung 05'!Z$42="","",'Übung 05'!Z$42)</f>
        <v/>
      </c>
      <c r="H221" s="61">
        <f>IF('Übung 06'!Z$42="","",'Übung 06'!Z$42)</f>
        <v/>
      </c>
      <c r="I221" s="61">
        <f>IF('Übung 07'!Z$42="","",'Übung 07'!Z$42)</f>
        <v/>
      </c>
      <c r="J221" s="61">
        <f>IF('Übung 08'!Z$42="","",'Übung 08'!Z$42)</f>
        <v/>
      </c>
      <c r="K221" s="61">
        <f>IF('Übung 09'!Z$42="","",'Übung 09'!Z$42)</f>
        <v/>
      </c>
      <c r="L221" s="61">
        <f>IF('Übung 10'!Z$42="","",'Übung 10'!Z$42)</f>
        <v/>
      </c>
      <c r="M221" s="61">
        <f>IF('Übung 11'!Z$42="","",'Übung 11'!Z$42)</f>
        <v/>
      </c>
      <c r="N221" s="61">
        <f>IF('Übung 12'!Z$42="","",'Übung 12'!Z$42)</f>
        <v/>
      </c>
      <c r="O221" s="61">
        <f>IF('Übung 13'!Z$42="","",'Übung 13'!Z$42)</f>
        <v/>
      </c>
      <c r="P221" s="61">
        <f>IF('Übung 14'!Z$42="","",'Übung 14'!Z$42)</f>
        <v/>
      </c>
      <c r="Q221" s="61">
        <f>IF('Übung 15'!Z$42="","",'Übung 15'!Z$42)</f>
        <v/>
      </c>
      <c r="R221" s="61">
        <f>IF('Übung 16'!Z$42="","",'Übung 16'!Z$42)</f>
        <v/>
      </c>
      <c r="S221" s="61">
        <f>IF('Übung 17'!Z$42="","",'Übung 17'!Z$42)</f>
        <v/>
      </c>
      <c r="T221" s="61">
        <f>IF('Übung 18'!Z$42="","",'Übung 18'!Z$42)</f>
        <v/>
      </c>
      <c r="U221" s="61">
        <f>IF('Übung 19'!Z$42="","",'Übung 19'!Z$42)</f>
        <v/>
      </c>
      <c r="V221" s="61">
        <f>IF('Übung 20'!Z$42="","",'Übung 20'!Z$42)</f>
        <v/>
      </c>
    </row>
    <row r="222">
      <c r="C222" s="61">
        <f>IF('Übung 01'!AA$42="","",'Übung 01'!AA$42)</f>
        <v/>
      </c>
      <c r="D222" s="61">
        <f>IF('Übung 02'!AA$42="","",'Übung 02'!AA$42)</f>
        <v/>
      </c>
      <c r="E222" s="61">
        <f>IF('Übung 03'!AA$42="","",'Übung 03'!AA$42)</f>
        <v/>
      </c>
      <c r="F222" s="61">
        <f>IF('Übung 04'!AA$42="","",'Übung 04'!AA$42)</f>
        <v/>
      </c>
      <c r="G222" s="61">
        <f>IF('Übung 05'!AA$42="","",'Übung 05'!AA$42)</f>
        <v/>
      </c>
      <c r="H222" s="61">
        <f>IF('Übung 06'!AA$42="","",'Übung 06'!AA$42)</f>
        <v/>
      </c>
      <c r="I222" s="61">
        <f>IF('Übung 07'!AA$42="","",'Übung 07'!AA$42)</f>
        <v/>
      </c>
      <c r="J222" s="61">
        <f>IF('Übung 08'!AA$42="","",'Übung 08'!AA$42)</f>
        <v/>
      </c>
      <c r="K222" s="61">
        <f>IF('Übung 09'!AA$42="","",'Übung 09'!AA$42)</f>
        <v/>
      </c>
      <c r="L222" s="61">
        <f>IF('Übung 10'!AA$42="","",'Übung 10'!AA$42)</f>
        <v/>
      </c>
      <c r="M222" s="61">
        <f>IF('Übung 11'!AA$42="","",'Übung 11'!AA$42)</f>
        <v/>
      </c>
      <c r="N222" s="61">
        <f>IF('Übung 12'!AA$42="","",'Übung 12'!AA$42)</f>
        <v/>
      </c>
      <c r="O222" s="61">
        <f>IF('Übung 13'!AA$42="","",'Übung 13'!AA$42)</f>
        <v/>
      </c>
      <c r="P222" s="61">
        <f>IF('Übung 14'!AA$42="","",'Übung 14'!AA$42)</f>
        <v/>
      </c>
      <c r="Q222" s="61">
        <f>IF('Übung 15'!AA$42="","",'Übung 15'!AA$42)</f>
        <v/>
      </c>
      <c r="R222" s="61">
        <f>IF('Übung 16'!AA$42="","",'Übung 16'!AA$42)</f>
        <v/>
      </c>
      <c r="S222" s="61">
        <f>IF('Übung 17'!AA$42="","",'Übung 17'!AA$42)</f>
        <v/>
      </c>
      <c r="T222" s="61">
        <f>IF('Übung 18'!AA$42="","",'Übung 18'!AA$42)</f>
        <v/>
      </c>
      <c r="U222" s="61">
        <f>IF('Übung 19'!AA$42="","",'Übung 19'!AA$42)</f>
        <v/>
      </c>
      <c r="V222" s="61">
        <f>IF('Übung 20'!AA$42="","",'Übung 20'!AA$42)</f>
        <v/>
      </c>
    </row>
    <row r="223">
      <c r="C223" s="61">
        <f>IF('Übung 01'!AB$42="","",'Übung 01'!AB$42)</f>
        <v/>
      </c>
      <c r="D223" s="61">
        <f>IF('Übung 02'!AB$42="","",'Übung 02'!AB$42)</f>
        <v/>
      </c>
      <c r="E223" s="61">
        <f>IF('Übung 03'!AB$42="","",'Übung 03'!AB$42)</f>
        <v/>
      </c>
      <c r="F223" s="61">
        <f>IF('Übung 04'!AB$42="","",'Übung 04'!AB$42)</f>
        <v/>
      </c>
      <c r="G223" s="61">
        <f>IF('Übung 05'!AB$42="","",'Übung 05'!AB$42)</f>
        <v/>
      </c>
      <c r="H223" s="61">
        <f>IF('Übung 06'!AB$42="","",'Übung 06'!AB$42)</f>
        <v/>
      </c>
      <c r="I223" s="61">
        <f>IF('Übung 07'!AB$42="","",'Übung 07'!AB$42)</f>
        <v/>
      </c>
      <c r="J223" s="61">
        <f>IF('Übung 08'!AB$42="","",'Übung 08'!AB$42)</f>
        <v/>
      </c>
      <c r="K223" s="61">
        <f>IF('Übung 09'!AB$42="","",'Übung 09'!AB$42)</f>
        <v/>
      </c>
      <c r="L223" s="61">
        <f>IF('Übung 10'!AB$42="","",'Übung 10'!AB$42)</f>
        <v/>
      </c>
      <c r="M223" s="61">
        <f>IF('Übung 11'!AB$42="","",'Übung 11'!AB$42)</f>
        <v/>
      </c>
      <c r="N223" s="61">
        <f>IF('Übung 12'!AB$42="","",'Übung 12'!AB$42)</f>
        <v/>
      </c>
      <c r="O223" s="61">
        <f>IF('Übung 13'!AB$42="","",'Übung 13'!AB$42)</f>
        <v/>
      </c>
      <c r="P223" s="61">
        <f>IF('Übung 14'!AB$42="","",'Übung 14'!AB$42)</f>
        <v/>
      </c>
      <c r="Q223" s="61">
        <f>IF('Übung 15'!AB$42="","",'Übung 15'!AB$42)</f>
        <v/>
      </c>
      <c r="R223" s="61">
        <f>IF('Übung 16'!AB$42="","",'Übung 16'!AB$42)</f>
        <v/>
      </c>
      <c r="S223" s="61">
        <f>IF('Übung 17'!AB$42="","",'Übung 17'!AB$42)</f>
        <v/>
      </c>
      <c r="T223" s="61">
        <f>IF('Übung 18'!AB$42="","",'Übung 18'!AB$42)</f>
        <v/>
      </c>
      <c r="U223" s="61">
        <f>IF('Übung 19'!AB$42="","",'Übung 19'!AB$42)</f>
        <v/>
      </c>
      <c r="V223" s="61">
        <f>IF('Übung 20'!AB$42="","",'Übung 20'!AB$42)</f>
        <v/>
      </c>
    </row>
    <row r="224">
      <c r="C224" s="61">
        <f>IF('Übung 01'!AC$42="","",'Übung 01'!AC$42)</f>
        <v/>
      </c>
      <c r="D224" s="61">
        <f>IF('Übung 02'!AC$42="","",'Übung 02'!AC$42)</f>
        <v/>
      </c>
      <c r="E224" s="61">
        <f>IF('Übung 03'!AC$42="","",'Übung 03'!AC$42)</f>
        <v/>
      </c>
      <c r="F224" s="61">
        <f>IF('Übung 04'!AC$42="","",'Übung 04'!AC$42)</f>
        <v/>
      </c>
      <c r="G224" s="61">
        <f>IF('Übung 05'!AC$42="","",'Übung 05'!AC$42)</f>
        <v/>
      </c>
      <c r="H224" s="61">
        <f>IF('Übung 06'!AC$42="","",'Übung 06'!AC$42)</f>
        <v/>
      </c>
      <c r="I224" s="61">
        <f>IF('Übung 07'!AC$42="","",'Übung 07'!AC$42)</f>
        <v/>
      </c>
      <c r="J224" s="61">
        <f>IF('Übung 08'!AC$42="","",'Übung 08'!AC$42)</f>
        <v/>
      </c>
      <c r="K224" s="61">
        <f>IF('Übung 09'!AC$42="","",'Übung 09'!AC$42)</f>
        <v/>
      </c>
      <c r="L224" s="61">
        <f>IF('Übung 10'!AC$42="","",'Übung 10'!AC$42)</f>
        <v/>
      </c>
      <c r="M224" s="61">
        <f>IF('Übung 11'!AC$42="","",'Übung 11'!AC$42)</f>
        <v/>
      </c>
      <c r="N224" s="61">
        <f>IF('Übung 12'!AC$42="","",'Übung 12'!AC$42)</f>
        <v/>
      </c>
      <c r="O224" s="61">
        <f>IF('Übung 13'!AC$42="","",'Übung 13'!AC$42)</f>
        <v/>
      </c>
      <c r="P224" s="61">
        <f>IF('Übung 14'!AC$42="","",'Übung 14'!AC$42)</f>
        <v/>
      </c>
      <c r="Q224" s="61">
        <f>IF('Übung 15'!AC$42="","",'Übung 15'!AC$42)</f>
        <v/>
      </c>
      <c r="R224" s="61">
        <f>IF('Übung 16'!AC$42="","",'Übung 16'!AC$42)</f>
        <v/>
      </c>
      <c r="S224" s="61">
        <f>IF('Übung 17'!AC$42="","",'Übung 17'!AC$42)</f>
        <v/>
      </c>
      <c r="T224" s="61">
        <f>IF('Übung 18'!AC$42="","",'Übung 18'!AC$42)</f>
        <v/>
      </c>
      <c r="U224" s="61">
        <f>IF('Übung 19'!AC$42="","",'Übung 19'!AC$42)</f>
        <v/>
      </c>
      <c r="V224" s="61">
        <f>IF('Übung 20'!AC$42="","",'Übung 20'!AC$42)</f>
        <v/>
      </c>
    </row>
    <row r="229">
      <c r="A229" s="162" t="inlineStr">
        <is>
          <t>Felder gefüllt</t>
        </is>
      </c>
    </row>
    <row r="230">
      <c r="C230" s="61">
        <f>COUNT('Übung 01'!E$11:E$35)+COUNTIF('Übung 01'!E$11:E$35,"n.b.")</f>
        <v/>
      </c>
      <c r="D230" s="61">
        <f>COUNT('Übung 02'!E$11:E$35)+COUNTIF('Übung 02'!E$11:E$35,"n.b.")</f>
        <v/>
      </c>
      <c r="E230" s="61">
        <f>COUNT('Übung 03'!E$11:E$35)+COUNTIF('Übung 03'!E$11:E$35,"n.b.")</f>
        <v/>
      </c>
      <c r="F230" s="61">
        <f>COUNT('Übung 04'!E$11:E$35)+COUNTIF('Übung 04'!E$11:E$35,"n.b.")</f>
        <v/>
      </c>
      <c r="G230" s="61">
        <f>COUNT('Übung 05'!E$11:E$35)+COUNTIF('Übung 05'!E$11:E$35,"n.b.")</f>
        <v/>
      </c>
      <c r="H230" s="61">
        <f>COUNT('Übung 06'!E$11:E$35)+COUNTIF('Übung 06'!E$11:E$35,"n.b.")</f>
        <v/>
      </c>
      <c r="I230" s="61">
        <f>COUNT('Übung 07'!E$11:E$35)+COUNTIF('Übung 07'!E$11:E$35,"n.b.")</f>
        <v/>
      </c>
      <c r="J230" s="61">
        <f>COUNT('Übung 08'!E$11:E$35)+COUNTIF('Übung 08'!E$11:E$35,"n.b.")</f>
        <v/>
      </c>
      <c r="K230" s="61">
        <f>COUNT('Übung 09'!E$11:E$35)+COUNTIF('Übung 09'!E$11:E$35,"n.b.")</f>
        <v/>
      </c>
      <c r="L230" s="61">
        <f>COUNT('Übung 10'!E$11:E$35)+COUNTIF('Übung 10'!E$11:E$35,"n.b.")</f>
        <v/>
      </c>
      <c r="M230" s="61">
        <f>COUNT('Übung 11'!E$11:E$35)+COUNTIF('Übung 11'!E$11:E$35,"n.b.")</f>
        <v/>
      </c>
      <c r="N230" s="61">
        <f>COUNT('Übung 12'!E$11:E$35)+COUNTIF('Übung 12'!E$11:E$35,"n.b.")</f>
        <v/>
      </c>
      <c r="O230" s="61">
        <f>COUNT('Übung 13'!E$11:E$35)+COUNTIF('Übung 13'!E$11:E$35,"n.b.")</f>
        <v/>
      </c>
      <c r="P230" s="61">
        <f>COUNT('Übung 14'!E$11:E$35)+COUNTIF('Übung 14'!E$11:E$35,"n.b.")</f>
        <v/>
      </c>
      <c r="Q230" s="61">
        <f>COUNT('Übung 15'!E$11:E$35)+COUNTIF('Übung 15'!E$11:E$35,"n.b.")</f>
        <v/>
      </c>
      <c r="R230" s="61">
        <f>COUNT('Übung 16'!E$11:E$35)+COUNTIF('Übung 16'!E$11:E$35,"n.b.")</f>
        <v/>
      </c>
      <c r="S230" s="61">
        <f>COUNT('Übung 17'!E$11:E$35)+COUNTIF('Übung 17'!E$11:E$35,"n.b.")</f>
        <v/>
      </c>
      <c r="T230" s="61">
        <f>COUNT('Übung 18'!E$11:E$35)+COUNTIF('Übung 18'!E$11:E$35,"n.b.")</f>
        <v/>
      </c>
      <c r="U230" s="61">
        <f>COUNT('Übung 19'!E$11:E$35)+COUNTIF('Übung 19'!E$11:E$35,"n.b.")</f>
        <v/>
      </c>
      <c r="V230" s="61">
        <f>COUNT('Übung 20'!E$11:E$35)+COUNTIF('Übung 20'!E$11:E$35,"n.b.")</f>
        <v/>
      </c>
    </row>
    <row r="231">
      <c r="C231" s="61">
        <f>COUNT('Übung 01'!F$11:F$35)+COUNTIF('Übung 01'!F$11:F$35,"n.b.")</f>
        <v/>
      </c>
      <c r="D231" s="61">
        <f>COUNT('Übung 02'!F$11:F$35)+COUNTIF('Übung 02'!F$11:F$35,"n.b.")</f>
        <v/>
      </c>
      <c r="E231" s="61">
        <f>COUNT('Übung 03'!F$11:F$35)+COUNTIF('Übung 03'!F$11:F$35,"n.b.")</f>
        <v/>
      </c>
      <c r="F231" s="61">
        <f>COUNT('Übung 04'!F$11:F$35)+COUNTIF('Übung 04'!F$11:F$35,"n.b.")</f>
        <v/>
      </c>
      <c r="G231" s="61">
        <f>COUNT('Übung 05'!F$11:F$35)+COUNTIF('Übung 05'!F$11:F$35,"n.b.")</f>
        <v/>
      </c>
      <c r="H231" s="61">
        <f>COUNT('Übung 06'!F$11:F$35)+COUNTIF('Übung 06'!F$11:F$35,"n.b.")</f>
        <v/>
      </c>
      <c r="I231" s="61">
        <f>COUNT('Übung 07'!F$11:F$35)+COUNTIF('Übung 07'!F$11:F$35,"n.b.")</f>
        <v/>
      </c>
      <c r="J231" s="61">
        <f>COUNT('Übung 08'!F$11:F$35)+COUNTIF('Übung 08'!F$11:F$35,"n.b.")</f>
        <v/>
      </c>
      <c r="K231" s="61">
        <f>COUNT('Übung 09'!F$11:F$35)+COUNTIF('Übung 09'!F$11:F$35,"n.b.")</f>
        <v/>
      </c>
      <c r="L231" s="61">
        <f>COUNT('Übung 10'!F$11:F$35)+COUNTIF('Übung 10'!F$11:F$35,"n.b.")</f>
        <v/>
      </c>
      <c r="M231" s="61">
        <f>COUNT('Übung 11'!F$11:F$35)+COUNTIF('Übung 11'!F$11:F$35,"n.b.")</f>
        <v/>
      </c>
      <c r="N231" s="61">
        <f>COUNT('Übung 12'!F$11:F$35)+COUNTIF('Übung 12'!F$11:F$35,"n.b.")</f>
        <v/>
      </c>
      <c r="O231" s="61">
        <f>COUNT('Übung 13'!F$11:F$35)+COUNTIF('Übung 13'!F$11:F$35,"n.b.")</f>
        <v/>
      </c>
      <c r="P231" s="61">
        <f>COUNT('Übung 14'!F$11:F$35)+COUNTIF('Übung 14'!F$11:F$35,"n.b.")</f>
        <v/>
      </c>
      <c r="Q231" s="61">
        <f>COUNT('Übung 15'!F$11:F$35)+COUNTIF('Übung 15'!F$11:F$35,"n.b.")</f>
        <v/>
      </c>
      <c r="R231" s="61">
        <f>COUNT('Übung 16'!F$11:F$35)+COUNTIF('Übung 16'!F$11:F$35,"n.b.")</f>
        <v/>
      </c>
      <c r="S231" s="61">
        <f>COUNT('Übung 17'!F$11:F$35)+COUNTIF('Übung 17'!F$11:F$35,"n.b.")</f>
        <v/>
      </c>
      <c r="T231" s="61">
        <f>COUNT('Übung 18'!F$11:F$35)+COUNTIF('Übung 18'!F$11:F$35,"n.b.")</f>
        <v/>
      </c>
      <c r="U231" s="61">
        <f>COUNT('Übung 19'!F$11:F$35)+COUNTIF('Übung 19'!F$11:F$35,"n.b.")</f>
        <v/>
      </c>
      <c r="V231" s="61">
        <f>COUNT('Übung 20'!F$11:F$35)+COUNTIF('Übung 20'!F$11:F$35,"n.b.")</f>
        <v/>
      </c>
    </row>
    <row r="232">
      <c r="C232" s="61">
        <f>COUNT('Übung 01'!G$11:G$35)+COUNTIF('Übung 01'!G$11:G$35,"n.b.")</f>
        <v/>
      </c>
      <c r="D232" s="61">
        <f>COUNT('Übung 02'!G$11:G$35)+COUNTIF('Übung 02'!G$11:G$35,"n.b.")</f>
        <v/>
      </c>
      <c r="E232" s="61">
        <f>COUNT('Übung 03'!G$11:G$35)+COUNTIF('Übung 03'!G$11:G$35,"n.b.")</f>
        <v/>
      </c>
      <c r="F232" s="61">
        <f>COUNT('Übung 04'!G$11:G$35)+COUNTIF('Übung 04'!G$11:G$35,"n.b.")</f>
        <v/>
      </c>
      <c r="G232" s="61">
        <f>COUNT('Übung 05'!G$11:G$35)+COUNTIF('Übung 05'!G$11:G$35,"n.b.")</f>
        <v/>
      </c>
      <c r="H232" s="61">
        <f>COUNT('Übung 06'!G$11:G$35)+COUNTIF('Übung 06'!G$11:G$35,"n.b.")</f>
        <v/>
      </c>
      <c r="I232" s="61">
        <f>COUNT('Übung 07'!G$11:G$35)+COUNTIF('Übung 07'!G$11:G$35,"n.b.")</f>
        <v/>
      </c>
      <c r="J232" s="61">
        <f>COUNT('Übung 08'!G$11:G$35)+COUNTIF('Übung 08'!G$11:G$35,"n.b.")</f>
        <v/>
      </c>
      <c r="K232" s="61">
        <f>COUNT('Übung 09'!G$11:G$35)+COUNTIF('Übung 09'!G$11:G$35,"n.b.")</f>
        <v/>
      </c>
      <c r="L232" s="61">
        <f>COUNT('Übung 10'!G$11:G$35)+COUNTIF('Übung 10'!G$11:G$35,"n.b.")</f>
        <v/>
      </c>
      <c r="M232" s="61">
        <f>COUNT('Übung 11'!G$11:G$35)+COUNTIF('Übung 11'!G$11:G$35,"n.b.")</f>
        <v/>
      </c>
      <c r="N232" s="61">
        <f>COUNT('Übung 12'!G$11:G$35)+COUNTIF('Übung 12'!G$11:G$35,"n.b.")</f>
        <v/>
      </c>
      <c r="O232" s="61">
        <f>COUNT('Übung 13'!G$11:G$35)+COUNTIF('Übung 13'!G$11:G$35,"n.b.")</f>
        <v/>
      </c>
      <c r="P232" s="61">
        <f>COUNT('Übung 14'!G$11:G$35)+COUNTIF('Übung 14'!G$11:G$35,"n.b.")</f>
        <v/>
      </c>
      <c r="Q232" s="61">
        <f>COUNT('Übung 15'!G$11:G$35)+COUNTIF('Übung 15'!G$11:G$35,"n.b.")</f>
        <v/>
      </c>
      <c r="R232" s="61">
        <f>COUNT('Übung 16'!G$11:G$35)+COUNTIF('Übung 16'!G$11:G$35,"n.b.")</f>
        <v/>
      </c>
      <c r="S232" s="61">
        <f>COUNT('Übung 17'!G$11:G$35)+COUNTIF('Übung 17'!G$11:G$35,"n.b.")</f>
        <v/>
      </c>
      <c r="T232" s="61">
        <f>COUNT('Übung 18'!G$11:G$35)+COUNTIF('Übung 18'!G$11:G$35,"n.b.")</f>
        <v/>
      </c>
      <c r="U232" s="61">
        <f>COUNT('Übung 19'!G$11:G$35)+COUNTIF('Übung 19'!G$11:G$35,"n.b.")</f>
        <v/>
      </c>
      <c r="V232" s="61">
        <f>COUNT('Übung 20'!G$11:G$35)+COUNTIF('Übung 20'!G$11:G$35,"n.b.")</f>
        <v/>
      </c>
    </row>
    <row r="233">
      <c r="C233" s="61">
        <f>COUNT('Übung 01'!H$11:H$35)+COUNTIF('Übung 01'!H$11:H$35,"n.b.")</f>
        <v/>
      </c>
      <c r="D233" s="61">
        <f>COUNT('Übung 02'!H$11:H$35)+COUNTIF('Übung 02'!H$11:H$35,"n.b.")</f>
        <v/>
      </c>
      <c r="E233" s="61">
        <f>COUNT('Übung 03'!H$11:H$35)+COUNTIF('Übung 03'!H$11:H$35,"n.b.")</f>
        <v/>
      </c>
      <c r="F233" s="61">
        <f>COUNT('Übung 04'!H$11:H$35)+COUNTIF('Übung 04'!H$11:H$35,"n.b.")</f>
        <v/>
      </c>
      <c r="G233" s="61">
        <f>COUNT('Übung 05'!H$11:H$35)+COUNTIF('Übung 05'!H$11:H$35,"n.b.")</f>
        <v/>
      </c>
      <c r="H233" s="61">
        <f>COUNT('Übung 06'!H$11:H$35)+COUNTIF('Übung 06'!H$11:H$35,"n.b.")</f>
        <v/>
      </c>
      <c r="I233" s="61">
        <f>COUNT('Übung 07'!H$11:H$35)+COUNTIF('Übung 07'!H$11:H$35,"n.b.")</f>
        <v/>
      </c>
      <c r="J233" s="61">
        <f>COUNT('Übung 08'!H$11:H$35)+COUNTIF('Übung 08'!H$11:H$35,"n.b.")</f>
        <v/>
      </c>
      <c r="K233" s="61">
        <f>COUNT('Übung 09'!H$11:H$35)+COUNTIF('Übung 09'!H$11:H$35,"n.b.")</f>
        <v/>
      </c>
      <c r="L233" s="61">
        <f>COUNT('Übung 10'!H$11:H$35)+COUNTIF('Übung 10'!H$11:H$35,"n.b.")</f>
        <v/>
      </c>
      <c r="M233" s="61">
        <f>COUNT('Übung 11'!H$11:H$35)+COUNTIF('Übung 11'!H$11:H$35,"n.b.")</f>
        <v/>
      </c>
      <c r="N233" s="61">
        <f>COUNT('Übung 12'!H$11:H$35)+COUNTIF('Übung 12'!H$11:H$35,"n.b.")</f>
        <v/>
      </c>
      <c r="O233" s="61">
        <f>COUNT('Übung 13'!H$11:H$35)+COUNTIF('Übung 13'!H$11:H$35,"n.b.")</f>
        <v/>
      </c>
      <c r="P233" s="61">
        <f>COUNT('Übung 14'!H$11:H$35)+COUNTIF('Übung 14'!H$11:H$35,"n.b.")</f>
        <v/>
      </c>
      <c r="Q233" s="61">
        <f>COUNT('Übung 15'!H$11:H$35)+COUNTIF('Übung 15'!H$11:H$35,"n.b.")</f>
        <v/>
      </c>
      <c r="R233" s="61">
        <f>COUNT('Übung 16'!H$11:H$35)+COUNTIF('Übung 16'!H$11:H$35,"n.b.")</f>
        <v/>
      </c>
      <c r="S233" s="61">
        <f>COUNT('Übung 17'!H$11:H$35)+COUNTIF('Übung 17'!H$11:H$35,"n.b.")</f>
        <v/>
      </c>
      <c r="T233" s="61">
        <f>COUNT('Übung 18'!H$11:H$35)+COUNTIF('Übung 18'!H$11:H$35,"n.b.")</f>
        <v/>
      </c>
      <c r="U233" s="61">
        <f>COUNT('Übung 19'!H$11:H$35)+COUNTIF('Übung 19'!H$11:H$35,"n.b.")</f>
        <v/>
      </c>
      <c r="V233" s="61">
        <f>COUNT('Übung 20'!H$11:H$35)+COUNTIF('Übung 20'!H$11:H$35,"n.b.")</f>
        <v/>
      </c>
    </row>
    <row r="234">
      <c r="C234" s="61">
        <f>COUNT('Übung 01'!I$11:I$35)+COUNTIF('Übung 01'!I$11:I$35,"n.b.")</f>
        <v/>
      </c>
      <c r="D234" s="61">
        <f>COUNT('Übung 02'!I$11:I$35)+COUNTIF('Übung 02'!I$11:I$35,"n.b.")</f>
        <v/>
      </c>
      <c r="E234" s="61">
        <f>COUNT('Übung 03'!I$11:I$35)+COUNTIF('Übung 03'!I$11:I$35,"n.b.")</f>
        <v/>
      </c>
      <c r="F234" s="61">
        <f>COUNT('Übung 04'!I$11:I$35)+COUNTIF('Übung 04'!I$11:I$35,"n.b.")</f>
        <v/>
      </c>
      <c r="G234" s="61">
        <f>COUNT('Übung 05'!I$11:I$35)+COUNTIF('Übung 05'!I$11:I$35,"n.b.")</f>
        <v/>
      </c>
      <c r="H234" s="61">
        <f>COUNT('Übung 06'!I$11:I$35)+COUNTIF('Übung 06'!I$11:I$35,"n.b.")</f>
        <v/>
      </c>
      <c r="I234" s="61">
        <f>COUNT('Übung 07'!I$11:I$35)+COUNTIF('Übung 07'!I$11:I$35,"n.b.")</f>
        <v/>
      </c>
      <c r="J234" s="61">
        <f>COUNT('Übung 08'!I$11:I$35)+COUNTIF('Übung 08'!I$11:I$35,"n.b.")</f>
        <v/>
      </c>
      <c r="K234" s="61">
        <f>COUNT('Übung 09'!I$11:I$35)+COUNTIF('Übung 09'!I$11:I$35,"n.b.")</f>
        <v/>
      </c>
      <c r="L234" s="61">
        <f>COUNT('Übung 10'!I$11:I$35)+COUNTIF('Übung 10'!I$11:I$35,"n.b.")</f>
        <v/>
      </c>
      <c r="M234" s="61">
        <f>COUNT('Übung 11'!I$11:I$35)+COUNTIF('Übung 11'!I$11:I$35,"n.b.")</f>
        <v/>
      </c>
      <c r="N234" s="61">
        <f>COUNT('Übung 12'!I$11:I$35)+COUNTIF('Übung 12'!I$11:I$35,"n.b.")</f>
        <v/>
      </c>
      <c r="O234" s="61">
        <f>COUNT('Übung 13'!I$11:I$35)+COUNTIF('Übung 13'!I$11:I$35,"n.b.")</f>
        <v/>
      </c>
      <c r="P234" s="61">
        <f>COUNT('Übung 14'!I$11:I$35)+COUNTIF('Übung 14'!I$11:I$35,"n.b.")</f>
        <v/>
      </c>
      <c r="Q234" s="61">
        <f>COUNT('Übung 15'!I$11:I$35)+COUNTIF('Übung 15'!I$11:I$35,"n.b.")</f>
        <v/>
      </c>
      <c r="R234" s="61">
        <f>COUNT('Übung 16'!I$11:I$35)+COUNTIF('Übung 16'!I$11:I$35,"n.b.")</f>
        <v/>
      </c>
      <c r="S234" s="61">
        <f>COUNT('Übung 17'!I$11:I$35)+COUNTIF('Übung 17'!I$11:I$35,"n.b.")</f>
        <v/>
      </c>
      <c r="T234" s="61">
        <f>COUNT('Übung 18'!I$11:I$35)+COUNTIF('Übung 18'!I$11:I$35,"n.b.")</f>
        <v/>
      </c>
      <c r="U234" s="61">
        <f>COUNT('Übung 19'!I$11:I$35)+COUNTIF('Übung 19'!I$11:I$35,"n.b.")</f>
        <v/>
      </c>
      <c r="V234" s="61">
        <f>COUNT('Übung 20'!I$11:I$35)+COUNTIF('Übung 20'!I$11:I$35,"n.b.")</f>
        <v/>
      </c>
    </row>
    <row r="235">
      <c r="C235" s="61">
        <f>COUNT('Übung 01'!J$11:J$35)+COUNTIF('Übung 01'!J$11:J$35,"n.b.")</f>
        <v/>
      </c>
      <c r="D235" s="61">
        <f>COUNT('Übung 02'!J$11:J$35)+COUNTIF('Übung 02'!J$11:J$35,"n.b.")</f>
        <v/>
      </c>
      <c r="E235" s="61">
        <f>COUNT('Übung 03'!J$11:J$35)+COUNTIF('Übung 03'!J$11:J$35,"n.b.")</f>
        <v/>
      </c>
      <c r="F235" s="61">
        <f>COUNT('Übung 04'!J$11:J$35)+COUNTIF('Übung 04'!J$11:J$35,"n.b.")</f>
        <v/>
      </c>
      <c r="G235" s="61">
        <f>COUNT('Übung 05'!J$11:J$35)+COUNTIF('Übung 05'!J$11:J$35,"n.b.")</f>
        <v/>
      </c>
      <c r="H235" s="61">
        <f>COUNT('Übung 06'!J$11:J$35)+COUNTIF('Übung 06'!J$11:J$35,"n.b.")</f>
        <v/>
      </c>
      <c r="I235" s="61">
        <f>COUNT('Übung 07'!J$11:J$35)+COUNTIF('Übung 07'!J$11:J$35,"n.b.")</f>
        <v/>
      </c>
      <c r="J235" s="61">
        <f>COUNT('Übung 08'!J$11:J$35)+COUNTIF('Übung 08'!J$11:J$35,"n.b.")</f>
        <v/>
      </c>
      <c r="K235" s="61">
        <f>COUNT('Übung 09'!J$11:J$35)+COUNTIF('Übung 09'!J$11:J$35,"n.b.")</f>
        <v/>
      </c>
      <c r="L235" s="61">
        <f>COUNT('Übung 10'!J$11:J$35)+COUNTIF('Übung 10'!J$11:J$35,"n.b.")</f>
        <v/>
      </c>
      <c r="M235" s="61">
        <f>COUNT('Übung 11'!J$11:J$35)+COUNTIF('Übung 11'!J$11:J$35,"n.b.")</f>
        <v/>
      </c>
      <c r="N235" s="61">
        <f>COUNT('Übung 12'!J$11:J$35)+COUNTIF('Übung 12'!J$11:J$35,"n.b.")</f>
        <v/>
      </c>
      <c r="O235" s="61">
        <f>COUNT('Übung 13'!J$11:J$35)+COUNTIF('Übung 13'!J$11:J$35,"n.b.")</f>
        <v/>
      </c>
      <c r="P235" s="61">
        <f>COUNT('Übung 14'!J$11:J$35)+COUNTIF('Übung 14'!J$11:J$35,"n.b.")</f>
        <v/>
      </c>
      <c r="Q235" s="61">
        <f>COUNT('Übung 15'!J$11:J$35)+COUNTIF('Übung 15'!J$11:J$35,"n.b.")</f>
        <v/>
      </c>
      <c r="R235" s="61">
        <f>COUNT('Übung 16'!J$11:J$35)+COUNTIF('Übung 16'!J$11:J$35,"n.b.")</f>
        <v/>
      </c>
      <c r="S235" s="61">
        <f>COUNT('Übung 17'!J$11:J$35)+COUNTIF('Übung 17'!J$11:J$35,"n.b.")</f>
        <v/>
      </c>
      <c r="T235" s="61">
        <f>COUNT('Übung 18'!J$11:J$35)+COUNTIF('Übung 18'!J$11:J$35,"n.b.")</f>
        <v/>
      </c>
      <c r="U235" s="61">
        <f>COUNT('Übung 19'!J$11:J$35)+COUNTIF('Übung 19'!J$11:J$35,"n.b.")</f>
        <v/>
      </c>
      <c r="V235" s="61">
        <f>COUNT('Übung 20'!J$11:J$35)+COUNTIF('Übung 20'!J$11:J$35,"n.b.")</f>
        <v/>
      </c>
    </row>
    <row r="236">
      <c r="C236" s="61">
        <f>COUNT('Übung 01'!K$11:K$35)+COUNTIF('Übung 01'!K$11:K$35,"n.b.")</f>
        <v/>
      </c>
      <c r="D236" s="61">
        <f>COUNT('Übung 02'!K$11:K$35)+COUNTIF('Übung 02'!K$11:K$35,"n.b.")</f>
        <v/>
      </c>
      <c r="E236" s="61">
        <f>COUNT('Übung 03'!K$11:K$35)+COUNTIF('Übung 03'!K$11:K$35,"n.b.")</f>
        <v/>
      </c>
      <c r="F236" s="61">
        <f>COUNT('Übung 04'!K$11:K$35)+COUNTIF('Übung 04'!K$11:K$35,"n.b.")</f>
        <v/>
      </c>
      <c r="G236" s="61">
        <f>COUNT('Übung 05'!K$11:K$35)+COUNTIF('Übung 05'!K$11:K$35,"n.b.")</f>
        <v/>
      </c>
      <c r="H236" s="61">
        <f>COUNT('Übung 06'!K$11:K$35)+COUNTIF('Übung 06'!K$11:K$35,"n.b.")</f>
        <v/>
      </c>
      <c r="I236" s="61">
        <f>COUNT('Übung 07'!K$11:K$35)+COUNTIF('Übung 07'!K$11:K$35,"n.b.")</f>
        <v/>
      </c>
      <c r="J236" s="61">
        <f>COUNT('Übung 08'!K$11:K$35)+COUNTIF('Übung 08'!K$11:K$35,"n.b.")</f>
        <v/>
      </c>
      <c r="K236" s="61">
        <f>COUNT('Übung 09'!K$11:K$35)+COUNTIF('Übung 09'!K$11:K$35,"n.b.")</f>
        <v/>
      </c>
      <c r="L236" s="61">
        <f>COUNT('Übung 10'!K$11:K$35)+COUNTIF('Übung 10'!K$11:K$35,"n.b.")</f>
        <v/>
      </c>
      <c r="M236" s="61">
        <f>COUNT('Übung 11'!K$11:K$35)+COUNTIF('Übung 11'!K$11:K$35,"n.b.")</f>
        <v/>
      </c>
      <c r="N236" s="61">
        <f>COUNT('Übung 12'!K$11:K$35)+COUNTIF('Übung 12'!K$11:K$35,"n.b.")</f>
        <v/>
      </c>
      <c r="O236" s="61">
        <f>COUNT('Übung 13'!K$11:K$35)+COUNTIF('Übung 13'!K$11:K$35,"n.b.")</f>
        <v/>
      </c>
      <c r="P236" s="61">
        <f>COUNT('Übung 14'!K$11:K$35)+COUNTIF('Übung 14'!K$11:K$35,"n.b.")</f>
        <v/>
      </c>
      <c r="Q236" s="61">
        <f>COUNT('Übung 15'!K$11:K$35)+COUNTIF('Übung 15'!K$11:K$35,"n.b.")</f>
        <v/>
      </c>
      <c r="R236" s="61">
        <f>COUNT('Übung 16'!K$11:K$35)+COUNTIF('Übung 16'!K$11:K$35,"n.b.")</f>
        <v/>
      </c>
      <c r="S236" s="61">
        <f>COUNT('Übung 17'!K$11:K$35)+COUNTIF('Übung 17'!K$11:K$35,"n.b.")</f>
        <v/>
      </c>
      <c r="T236" s="61">
        <f>COUNT('Übung 18'!K$11:K$35)+COUNTIF('Übung 18'!K$11:K$35,"n.b.")</f>
        <v/>
      </c>
      <c r="U236" s="61">
        <f>COUNT('Übung 19'!K$11:K$35)+COUNTIF('Übung 19'!K$11:K$35,"n.b.")</f>
        <v/>
      </c>
      <c r="V236" s="61">
        <f>COUNT('Übung 20'!K$11:K$35)+COUNTIF('Übung 20'!K$11:K$35,"n.b.")</f>
        <v/>
      </c>
    </row>
    <row r="237">
      <c r="C237" s="61">
        <f>COUNT('Übung 01'!L$11:L$35)+COUNTIF('Übung 01'!L$11:L$35,"n.b.")</f>
        <v/>
      </c>
      <c r="D237" s="61">
        <f>COUNT('Übung 02'!L$11:L$35)+COUNTIF('Übung 02'!L$11:L$35,"n.b.")</f>
        <v/>
      </c>
      <c r="E237" s="61">
        <f>COUNT('Übung 03'!L$11:L$35)+COUNTIF('Übung 03'!L$11:L$35,"n.b.")</f>
        <v/>
      </c>
      <c r="F237" s="61">
        <f>COUNT('Übung 04'!L$11:L$35)+COUNTIF('Übung 04'!L$11:L$35,"n.b.")</f>
        <v/>
      </c>
      <c r="G237" s="61">
        <f>COUNT('Übung 05'!L$11:L$35)+COUNTIF('Übung 05'!L$11:L$35,"n.b.")</f>
        <v/>
      </c>
      <c r="H237" s="61">
        <f>COUNT('Übung 06'!L$11:L$35)+COUNTIF('Übung 06'!L$11:L$35,"n.b.")</f>
        <v/>
      </c>
      <c r="I237" s="61">
        <f>COUNT('Übung 07'!L$11:L$35)+COUNTIF('Übung 07'!L$11:L$35,"n.b.")</f>
        <v/>
      </c>
      <c r="J237" s="61">
        <f>COUNT('Übung 08'!L$11:L$35)+COUNTIF('Übung 08'!L$11:L$35,"n.b.")</f>
        <v/>
      </c>
      <c r="K237" s="61">
        <f>COUNT('Übung 09'!L$11:L$35)+COUNTIF('Übung 09'!L$11:L$35,"n.b.")</f>
        <v/>
      </c>
      <c r="L237" s="61">
        <f>COUNT('Übung 10'!L$11:L$35)+COUNTIF('Übung 10'!L$11:L$35,"n.b.")</f>
        <v/>
      </c>
      <c r="M237" s="61">
        <f>COUNT('Übung 11'!L$11:L$35)+COUNTIF('Übung 11'!L$11:L$35,"n.b.")</f>
        <v/>
      </c>
      <c r="N237" s="61">
        <f>COUNT('Übung 12'!L$11:L$35)+COUNTIF('Übung 12'!L$11:L$35,"n.b.")</f>
        <v/>
      </c>
      <c r="O237" s="61">
        <f>COUNT('Übung 13'!L$11:L$35)+COUNTIF('Übung 13'!L$11:L$35,"n.b.")</f>
        <v/>
      </c>
      <c r="P237" s="61">
        <f>COUNT('Übung 14'!L$11:L$35)+COUNTIF('Übung 14'!L$11:L$35,"n.b.")</f>
        <v/>
      </c>
      <c r="Q237" s="61">
        <f>COUNT('Übung 15'!L$11:L$35)+COUNTIF('Übung 15'!L$11:L$35,"n.b.")</f>
        <v/>
      </c>
      <c r="R237" s="61">
        <f>COUNT('Übung 16'!L$11:L$35)+COUNTIF('Übung 16'!L$11:L$35,"n.b.")</f>
        <v/>
      </c>
      <c r="S237" s="61">
        <f>COUNT('Übung 17'!L$11:L$35)+COUNTIF('Übung 17'!L$11:L$35,"n.b.")</f>
        <v/>
      </c>
      <c r="T237" s="61">
        <f>COUNT('Übung 18'!L$11:L$35)+COUNTIF('Übung 18'!L$11:L$35,"n.b.")</f>
        <v/>
      </c>
      <c r="U237" s="61">
        <f>COUNT('Übung 19'!L$11:L$35)+COUNTIF('Übung 19'!L$11:L$35,"n.b.")</f>
        <v/>
      </c>
      <c r="V237" s="61">
        <f>COUNT('Übung 20'!L$11:L$35)+COUNTIF('Übung 20'!L$11:L$35,"n.b.")</f>
        <v/>
      </c>
    </row>
    <row r="238">
      <c r="C238" s="61">
        <f>COUNT('Übung 01'!M$11:M$35)+COUNTIF('Übung 01'!M$11:M$35,"n.b.")</f>
        <v/>
      </c>
      <c r="D238" s="61">
        <f>COUNT('Übung 02'!M$11:M$35)+COUNTIF('Übung 02'!M$11:M$35,"n.b.")</f>
        <v/>
      </c>
      <c r="E238" s="61">
        <f>COUNT('Übung 03'!M$11:M$35)+COUNTIF('Übung 03'!M$11:M$35,"n.b.")</f>
        <v/>
      </c>
      <c r="F238" s="61">
        <f>COUNT('Übung 04'!M$11:M$35)+COUNTIF('Übung 04'!M$11:M$35,"n.b.")</f>
        <v/>
      </c>
      <c r="G238" s="61">
        <f>COUNT('Übung 05'!M$11:M$35)+COUNTIF('Übung 05'!M$11:M$35,"n.b.")</f>
        <v/>
      </c>
      <c r="H238" s="61">
        <f>COUNT('Übung 06'!M$11:M$35)+COUNTIF('Übung 06'!M$11:M$35,"n.b.")</f>
        <v/>
      </c>
      <c r="I238" s="61">
        <f>COUNT('Übung 07'!M$11:M$35)+COUNTIF('Übung 07'!M$11:M$35,"n.b.")</f>
        <v/>
      </c>
      <c r="J238" s="61">
        <f>COUNT('Übung 08'!M$11:M$35)+COUNTIF('Übung 08'!M$11:M$35,"n.b.")</f>
        <v/>
      </c>
      <c r="K238" s="61">
        <f>COUNT('Übung 09'!M$11:M$35)+COUNTIF('Übung 09'!M$11:M$35,"n.b.")</f>
        <v/>
      </c>
      <c r="L238" s="61">
        <f>COUNT('Übung 10'!M$11:M$35)+COUNTIF('Übung 10'!M$11:M$35,"n.b.")</f>
        <v/>
      </c>
      <c r="M238" s="61">
        <f>COUNT('Übung 11'!M$11:M$35)+COUNTIF('Übung 11'!M$11:M$35,"n.b.")</f>
        <v/>
      </c>
      <c r="N238" s="61">
        <f>COUNT('Übung 12'!M$11:M$35)+COUNTIF('Übung 12'!M$11:M$35,"n.b.")</f>
        <v/>
      </c>
      <c r="O238" s="61">
        <f>COUNT('Übung 13'!M$11:M$35)+COUNTIF('Übung 13'!M$11:M$35,"n.b.")</f>
        <v/>
      </c>
      <c r="P238" s="61">
        <f>COUNT('Übung 14'!M$11:M$35)+COUNTIF('Übung 14'!M$11:M$35,"n.b.")</f>
        <v/>
      </c>
      <c r="Q238" s="61">
        <f>COUNT('Übung 15'!M$11:M$35)+COUNTIF('Übung 15'!M$11:M$35,"n.b.")</f>
        <v/>
      </c>
      <c r="R238" s="61">
        <f>COUNT('Übung 16'!M$11:M$35)+COUNTIF('Übung 16'!M$11:M$35,"n.b.")</f>
        <v/>
      </c>
      <c r="S238" s="61">
        <f>COUNT('Übung 17'!M$11:M$35)+COUNTIF('Übung 17'!M$11:M$35,"n.b.")</f>
        <v/>
      </c>
      <c r="T238" s="61">
        <f>COUNT('Übung 18'!M$11:M$35)+COUNTIF('Übung 18'!M$11:M$35,"n.b.")</f>
        <v/>
      </c>
      <c r="U238" s="61">
        <f>COUNT('Übung 19'!M$11:M$35)+COUNTIF('Übung 19'!M$11:M$35,"n.b.")</f>
        <v/>
      </c>
      <c r="V238" s="61">
        <f>COUNT('Übung 20'!M$11:M$35)+COUNTIF('Übung 20'!M$11:M$35,"n.b.")</f>
        <v/>
      </c>
    </row>
    <row r="239">
      <c r="C239" s="61">
        <f>COUNT('Übung 01'!N$11:N$35)+COUNTIF('Übung 01'!N$11:N$35,"n.b.")</f>
        <v/>
      </c>
      <c r="D239" s="61">
        <f>COUNT('Übung 02'!N$11:N$35)+COUNTIF('Übung 02'!N$11:N$35,"n.b.")</f>
        <v/>
      </c>
      <c r="E239" s="61">
        <f>COUNT('Übung 03'!N$11:N$35)+COUNTIF('Übung 03'!N$11:N$35,"n.b.")</f>
        <v/>
      </c>
      <c r="F239" s="61">
        <f>COUNT('Übung 04'!N$11:N$35)+COUNTIF('Übung 04'!N$11:N$35,"n.b.")</f>
        <v/>
      </c>
      <c r="G239" s="61">
        <f>COUNT('Übung 05'!N$11:N$35)+COUNTIF('Übung 05'!N$11:N$35,"n.b.")</f>
        <v/>
      </c>
      <c r="H239" s="61">
        <f>COUNT('Übung 06'!N$11:N$35)+COUNTIF('Übung 06'!N$11:N$35,"n.b.")</f>
        <v/>
      </c>
      <c r="I239" s="61">
        <f>COUNT('Übung 07'!N$11:N$35)+COUNTIF('Übung 07'!N$11:N$35,"n.b.")</f>
        <v/>
      </c>
      <c r="J239" s="61">
        <f>COUNT('Übung 08'!N$11:N$35)+COUNTIF('Übung 08'!N$11:N$35,"n.b.")</f>
        <v/>
      </c>
      <c r="K239" s="61">
        <f>COUNT('Übung 09'!N$11:N$35)+COUNTIF('Übung 09'!N$11:N$35,"n.b.")</f>
        <v/>
      </c>
      <c r="L239" s="61">
        <f>COUNT('Übung 10'!N$11:N$35)+COUNTIF('Übung 10'!N$11:N$35,"n.b.")</f>
        <v/>
      </c>
      <c r="M239" s="61">
        <f>COUNT('Übung 11'!N$11:N$35)+COUNTIF('Übung 11'!N$11:N$35,"n.b.")</f>
        <v/>
      </c>
      <c r="N239" s="61">
        <f>COUNT('Übung 12'!N$11:N$35)+COUNTIF('Übung 12'!N$11:N$35,"n.b.")</f>
        <v/>
      </c>
      <c r="O239" s="61">
        <f>COUNT('Übung 13'!N$11:N$35)+COUNTIF('Übung 13'!N$11:N$35,"n.b.")</f>
        <v/>
      </c>
      <c r="P239" s="61">
        <f>COUNT('Übung 14'!N$11:N$35)+COUNTIF('Übung 14'!N$11:N$35,"n.b.")</f>
        <v/>
      </c>
      <c r="Q239" s="61">
        <f>COUNT('Übung 15'!N$11:N$35)+COUNTIF('Übung 15'!N$11:N$35,"n.b.")</f>
        <v/>
      </c>
      <c r="R239" s="61">
        <f>COUNT('Übung 16'!N$11:N$35)+COUNTIF('Übung 16'!N$11:N$35,"n.b.")</f>
        <v/>
      </c>
      <c r="S239" s="61">
        <f>COUNT('Übung 17'!N$11:N$35)+COUNTIF('Übung 17'!N$11:N$35,"n.b.")</f>
        <v/>
      </c>
      <c r="T239" s="61">
        <f>COUNT('Übung 18'!N$11:N$35)+COUNTIF('Übung 18'!N$11:N$35,"n.b.")</f>
        <v/>
      </c>
      <c r="U239" s="61">
        <f>COUNT('Übung 19'!N$11:N$35)+COUNTIF('Übung 19'!N$11:N$35,"n.b.")</f>
        <v/>
      </c>
      <c r="V239" s="61">
        <f>COUNT('Übung 20'!N$11:N$35)+COUNTIF('Übung 20'!N$11:N$35,"n.b.")</f>
        <v/>
      </c>
    </row>
    <row r="240">
      <c r="C240" s="61">
        <f>COUNT('Übung 01'!O$11:O$35)+COUNTIF('Übung 01'!O$11:O$35,"n.b.")</f>
        <v/>
      </c>
      <c r="D240" s="61">
        <f>COUNT('Übung 02'!O$11:O$35)+COUNTIF('Übung 02'!O$11:O$35,"n.b.")</f>
        <v/>
      </c>
      <c r="E240" s="61">
        <f>COUNT('Übung 03'!O$11:O$35)+COUNTIF('Übung 03'!O$11:O$35,"n.b.")</f>
        <v/>
      </c>
      <c r="F240" s="61">
        <f>COUNT('Übung 04'!O$11:O$35)+COUNTIF('Übung 04'!O$11:O$35,"n.b.")</f>
        <v/>
      </c>
      <c r="G240" s="61">
        <f>COUNT('Übung 05'!O$11:O$35)+COUNTIF('Übung 05'!O$11:O$35,"n.b.")</f>
        <v/>
      </c>
      <c r="H240" s="61">
        <f>COUNT('Übung 06'!O$11:O$35)+COUNTIF('Übung 06'!O$11:O$35,"n.b.")</f>
        <v/>
      </c>
      <c r="I240" s="61">
        <f>COUNT('Übung 07'!O$11:O$35)+COUNTIF('Übung 07'!O$11:O$35,"n.b.")</f>
        <v/>
      </c>
      <c r="J240" s="61">
        <f>COUNT('Übung 08'!O$11:O$35)+COUNTIF('Übung 08'!O$11:O$35,"n.b.")</f>
        <v/>
      </c>
      <c r="K240" s="61">
        <f>COUNT('Übung 09'!O$11:O$35)+COUNTIF('Übung 09'!O$11:O$35,"n.b.")</f>
        <v/>
      </c>
      <c r="L240" s="61">
        <f>COUNT('Übung 10'!O$11:O$35)+COUNTIF('Übung 10'!O$11:O$35,"n.b.")</f>
        <v/>
      </c>
      <c r="M240" s="61">
        <f>COUNT('Übung 11'!O$11:O$35)+COUNTIF('Übung 11'!O$11:O$35,"n.b.")</f>
        <v/>
      </c>
      <c r="N240" s="61">
        <f>COUNT('Übung 12'!O$11:O$35)+COUNTIF('Übung 12'!O$11:O$35,"n.b.")</f>
        <v/>
      </c>
      <c r="O240" s="61">
        <f>COUNT('Übung 13'!O$11:O$35)+COUNTIF('Übung 13'!O$11:O$35,"n.b.")</f>
        <v/>
      </c>
      <c r="P240" s="61">
        <f>COUNT('Übung 14'!O$11:O$35)+COUNTIF('Übung 14'!O$11:O$35,"n.b.")</f>
        <v/>
      </c>
      <c r="Q240" s="61">
        <f>COUNT('Übung 15'!O$11:O$35)+COUNTIF('Übung 15'!O$11:O$35,"n.b.")</f>
        <v/>
      </c>
      <c r="R240" s="61">
        <f>COUNT('Übung 16'!O$11:O$35)+COUNTIF('Übung 16'!O$11:O$35,"n.b.")</f>
        <v/>
      </c>
      <c r="S240" s="61">
        <f>COUNT('Übung 17'!O$11:O$35)+COUNTIF('Übung 17'!O$11:O$35,"n.b.")</f>
        <v/>
      </c>
      <c r="T240" s="61">
        <f>COUNT('Übung 18'!O$11:O$35)+COUNTIF('Übung 18'!O$11:O$35,"n.b.")</f>
        <v/>
      </c>
      <c r="U240" s="61">
        <f>COUNT('Übung 19'!O$11:O$35)+COUNTIF('Übung 19'!O$11:O$35,"n.b.")</f>
        <v/>
      </c>
      <c r="V240" s="61">
        <f>COUNT('Übung 20'!O$11:O$35)+COUNTIF('Übung 20'!O$11:O$35,"n.b.")</f>
        <v/>
      </c>
    </row>
    <row r="241">
      <c r="C241" s="61">
        <f>COUNT('Übung 01'!P$11:P$35)+COUNTIF('Übung 01'!P$11:P$35,"n.b.")</f>
        <v/>
      </c>
      <c r="D241" s="61">
        <f>COUNT('Übung 02'!P$11:P$35)+COUNTIF('Übung 02'!P$11:P$35,"n.b.")</f>
        <v/>
      </c>
      <c r="E241" s="61">
        <f>COUNT('Übung 03'!P$11:P$35)+COUNTIF('Übung 03'!P$11:P$35,"n.b.")</f>
        <v/>
      </c>
      <c r="F241" s="61">
        <f>COUNT('Übung 04'!P$11:P$35)+COUNTIF('Übung 04'!P$11:P$35,"n.b.")</f>
        <v/>
      </c>
      <c r="G241" s="61">
        <f>COUNT('Übung 05'!P$11:P$35)+COUNTIF('Übung 05'!P$11:P$35,"n.b.")</f>
        <v/>
      </c>
      <c r="H241" s="61">
        <f>COUNT('Übung 06'!P$11:P$35)+COUNTIF('Übung 06'!P$11:P$35,"n.b.")</f>
        <v/>
      </c>
      <c r="I241" s="61">
        <f>COUNT('Übung 07'!P$11:P$35)+COUNTIF('Übung 07'!P$11:P$35,"n.b.")</f>
        <v/>
      </c>
      <c r="J241" s="61">
        <f>COUNT('Übung 08'!P$11:P$35)+COUNTIF('Übung 08'!P$11:P$35,"n.b.")</f>
        <v/>
      </c>
      <c r="K241" s="61">
        <f>COUNT('Übung 09'!P$11:P$35)+COUNTIF('Übung 09'!P$11:P$35,"n.b.")</f>
        <v/>
      </c>
      <c r="L241" s="61">
        <f>COUNT('Übung 10'!P$11:P$35)+COUNTIF('Übung 10'!P$11:P$35,"n.b.")</f>
        <v/>
      </c>
      <c r="M241" s="61">
        <f>COUNT('Übung 11'!P$11:P$35)+COUNTIF('Übung 11'!P$11:P$35,"n.b.")</f>
        <v/>
      </c>
      <c r="N241" s="61">
        <f>COUNT('Übung 12'!P$11:P$35)+COUNTIF('Übung 12'!P$11:P$35,"n.b.")</f>
        <v/>
      </c>
      <c r="O241" s="61">
        <f>COUNT('Übung 13'!P$11:P$35)+COUNTIF('Übung 13'!P$11:P$35,"n.b.")</f>
        <v/>
      </c>
      <c r="P241" s="61">
        <f>COUNT('Übung 14'!P$11:P$35)+COUNTIF('Übung 14'!P$11:P$35,"n.b.")</f>
        <v/>
      </c>
      <c r="Q241" s="61">
        <f>COUNT('Übung 15'!P$11:P$35)+COUNTIF('Übung 15'!P$11:P$35,"n.b.")</f>
        <v/>
      </c>
      <c r="R241" s="61">
        <f>COUNT('Übung 16'!P$11:P$35)+COUNTIF('Übung 16'!P$11:P$35,"n.b.")</f>
        <v/>
      </c>
      <c r="S241" s="61">
        <f>COUNT('Übung 17'!P$11:P$35)+COUNTIF('Übung 17'!P$11:P$35,"n.b.")</f>
        <v/>
      </c>
      <c r="T241" s="61">
        <f>COUNT('Übung 18'!P$11:P$35)+COUNTIF('Übung 18'!P$11:P$35,"n.b.")</f>
        <v/>
      </c>
      <c r="U241" s="61">
        <f>COUNT('Übung 19'!P$11:P$35)+COUNTIF('Übung 19'!P$11:P$35,"n.b.")</f>
        <v/>
      </c>
      <c r="V241" s="61">
        <f>COUNT('Übung 20'!P$11:P$35)+COUNTIF('Übung 20'!P$11:P$35,"n.b.")</f>
        <v/>
      </c>
    </row>
    <row r="242">
      <c r="C242" s="61">
        <f>COUNT('Übung 01'!Q$11:Q$35)+COUNTIF('Übung 01'!Q$11:Q$35,"n.b.")</f>
        <v/>
      </c>
      <c r="D242" s="61">
        <f>COUNT('Übung 02'!Q$11:Q$35)+COUNTIF('Übung 02'!Q$11:Q$35,"n.b.")</f>
        <v/>
      </c>
      <c r="E242" s="61">
        <f>COUNT('Übung 03'!Q$11:Q$35)+COUNTIF('Übung 03'!Q$11:Q$35,"n.b.")</f>
        <v/>
      </c>
      <c r="F242" s="61">
        <f>COUNT('Übung 04'!Q$11:Q$35)+COUNTIF('Übung 04'!Q$11:Q$35,"n.b.")</f>
        <v/>
      </c>
      <c r="G242" s="61">
        <f>COUNT('Übung 05'!Q$11:Q$35)+COUNTIF('Übung 05'!Q$11:Q$35,"n.b.")</f>
        <v/>
      </c>
      <c r="H242" s="61">
        <f>COUNT('Übung 06'!Q$11:Q$35)+COUNTIF('Übung 06'!Q$11:Q$35,"n.b.")</f>
        <v/>
      </c>
      <c r="I242" s="61">
        <f>COUNT('Übung 07'!Q$11:Q$35)+COUNTIF('Übung 07'!Q$11:Q$35,"n.b.")</f>
        <v/>
      </c>
      <c r="J242" s="61">
        <f>COUNT('Übung 08'!Q$11:Q$35)+COUNTIF('Übung 08'!Q$11:Q$35,"n.b.")</f>
        <v/>
      </c>
      <c r="K242" s="61">
        <f>COUNT('Übung 09'!Q$11:Q$35)+COUNTIF('Übung 09'!Q$11:Q$35,"n.b.")</f>
        <v/>
      </c>
      <c r="L242" s="61">
        <f>COUNT('Übung 10'!Q$11:Q$35)+COUNTIF('Übung 10'!Q$11:Q$35,"n.b.")</f>
        <v/>
      </c>
      <c r="M242" s="61">
        <f>COUNT('Übung 11'!Q$11:Q$35)+COUNTIF('Übung 11'!Q$11:Q$35,"n.b.")</f>
        <v/>
      </c>
      <c r="N242" s="61">
        <f>COUNT('Übung 12'!Q$11:Q$35)+COUNTIF('Übung 12'!Q$11:Q$35,"n.b.")</f>
        <v/>
      </c>
      <c r="O242" s="61">
        <f>COUNT('Übung 13'!Q$11:Q$35)+COUNTIF('Übung 13'!Q$11:Q$35,"n.b.")</f>
        <v/>
      </c>
      <c r="P242" s="61">
        <f>COUNT('Übung 14'!Q$11:Q$35)+COUNTIF('Übung 14'!Q$11:Q$35,"n.b.")</f>
        <v/>
      </c>
      <c r="Q242" s="61">
        <f>COUNT('Übung 15'!Q$11:Q$35)+COUNTIF('Übung 15'!Q$11:Q$35,"n.b.")</f>
        <v/>
      </c>
      <c r="R242" s="61">
        <f>COUNT('Übung 16'!Q$11:Q$35)+COUNTIF('Übung 16'!Q$11:Q$35,"n.b.")</f>
        <v/>
      </c>
      <c r="S242" s="61">
        <f>COUNT('Übung 17'!Q$11:Q$35)+COUNTIF('Übung 17'!Q$11:Q$35,"n.b.")</f>
        <v/>
      </c>
      <c r="T242" s="61">
        <f>COUNT('Übung 18'!Q$11:Q$35)+COUNTIF('Übung 18'!Q$11:Q$35,"n.b.")</f>
        <v/>
      </c>
      <c r="U242" s="61">
        <f>COUNT('Übung 19'!Q$11:Q$35)+COUNTIF('Übung 19'!Q$11:Q$35,"n.b.")</f>
        <v/>
      </c>
      <c r="V242" s="61">
        <f>COUNT('Übung 20'!Q$11:Q$35)+COUNTIF('Übung 20'!Q$11:Q$35,"n.b.")</f>
        <v/>
      </c>
    </row>
    <row r="243">
      <c r="C243" s="61">
        <f>COUNT('Übung 01'!R$11:R$35)+COUNTIF('Übung 01'!R$11:R$35,"n.b.")</f>
        <v/>
      </c>
      <c r="D243" s="61">
        <f>COUNT('Übung 02'!R$11:R$35)+COUNTIF('Übung 02'!R$11:R$35,"n.b.")</f>
        <v/>
      </c>
      <c r="E243" s="61">
        <f>COUNT('Übung 03'!R$11:R$35)+COUNTIF('Übung 03'!R$11:R$35,"n.b.")</f>
        <v/>
      </c>
      <c r="F243" s="61">
        <f>COUNT('Übung 04'!R$11:R$35)+COUNTIF('Übung 04'!R$11:R$35,"n.b.")</f>
        <v/>
      </c>
      <c r="G243" s="61">
        <f>COUNT('Übung 05'!R$11:R$35)+COUNTIF('Übung 05'!R$11:R$35,"n.b.")</f>
        <v/>
      </c>
      <c r="H243" s="61">
        <f>COUNT('Übung 06'!R$11:R$35)+COUNTIF('Übung 06'!R$11:R$35,"n.b.")</f>
        <v/>
      </c>
      <c r="I243" s="61">
        <f>COUNT('Übung 07'!R$11:R$35)+COUNTIF('Übung 07'!R$11:R$35,"n.b.")</f>
        <v/>
      </c>
      <c r="J243" s="61">
        <f>COUNT('Übung 08'!R$11:R$35)+COUNTIF('Übung 08'!R$11:R$35,"n.b.")</f>
        <v/>
      </c>
      <c r="K243" s="61">
        <f>COUNT('Übung 09'!R$11:R$35)+COUNTIF('Übung 09'!R$11:R$35,"n.b.")</f>
        <v/>
      </c>
      <c r="L243" s="61">
        <f>COUNT('Übung 10'!R$11:R$35)+COUNTIF('Übung 10'!R$11:R$35,"n.b.")</f>
        <v/>
      </c>
      <c r="M243" s="61">
        <f>COUNT('Übung 11'!R$11:R$35)+COUNTIF('Übung 11'!R$11:R$35,"n.b.")</f>
        <v/>
      </c>
      <c r="N243" s="61">
        <f>COUNT('Übung 12'!R$11:R$35)+COUNTIF('Übung 12'!R$11:R$35,"n.b.")</f>
        <v/>
      </c>
      <c r="O243" s="61">
        <f>COUNT('Übung 13'!R$11:R$35)+COUNTIF('Übung 13'!R$11:R$35,"n.b.")</f>
        <v/>
      </c>
      <c r="P243" s="61">
        <f>COUNT('Übung 14'!R$11:R$35)+COUNTIF('Übung 14'!R$11:R$35,"n.b.")</f>
        <v/>
      </c>
      <c r="Q243" s="61">
        <f>COUNT('Übung 15'!R$11:R$35)+COUNTIF('Übung 15'!R$11:R$35,"n.b.")</f>
        <v/>
      </c>
      <c r="R243" s="61">
        <f>COUNT('Übung 16'!R$11:R$35)+COUNTIF('Übung 16'!R$11:R$35,"n.b.")</f>
        <v/>
      </c>
      <c r="S243" s="61">
        <f>COUNT('Übung 17'!R$11:R$35)+COUNTIF('Übung 17'!R$11:R$35,"n.b.")</f>
        <v/>
      </c>
      <c r="T243" s="61">
        <f>COUNT('Übung 18'!R$11:R$35)+COUNTIF('Übung 18'!R$11:R$35,"n.b.")</f>
        <v/>
      </c>
      <c r="U243" s="61">
        <f>COUNT('Übung 19'!R$11:R$35)+COUNTIF('Übung 19'!R$11:R$35,"n.b.")</f>
        <v/>
      </c>
      <c r="V243" s="61">
        <f>COUNT('Übung 20'!R$11:R$35)+COUNTIF('Übung 20'!R$11:R$35,"n.b.")</f>
        <v/>
      </c>
    </row>
    <row r="244">
      <c r="C244" s="61">
        <f>COUNT('Übung 01'!S$11:S$35)+COUNTIF('Übung 01'!S$11:S$35,"n.b.")</f>
        <v/>
      </c>
      <c r="D244" s="61">
        <f>COUNT('Übung 02'!S$11:S$35)+COUNTIF('Übung 02'!S$11:S$35,"n.b.")</f>
        <v/>
      </c>
      <c r="E244" s="61">
        <f>COUNT('Übung 03'!S$11:S$35)+COUNTIF('Übung 03'!S$11:S$35,"n.b.")</f>
        <v/>
      </c>
      <c r="F244" s="61">
        <f>COUNT('Übung 04'!S$11:S$35)+COUNTIF('Übung 04'!S$11:S$35,"n.b.")</f>
        <v/>
      </c>
      <c r="G244" s="61">
        <f>COUNT('Übung 05'!S$11:S$35)+COUNTIF('Übung 05'!S$11:S$35,"n.b.")</f>
        <v/>
      </c>
      <c r="H244" s="61">
        <f>COUNT('Übung 06'!S$11:S$35)+COUNTIF('Übung 06'!S$11:S$35,"n.b.")</f>
        <v/>
      </c>
      <c r="I244" s="61">
        <f>COUNT('Übung 07'!S$11:S$35)+COUNTIF('Übung 07'!S$11:S$35,"n.b.")</f>
        <v/>
      </c>
      <c r="J244" s="61">
        <f>COUNT('Übung 08'!S$11:S$35)+COUNTIF('Übung 08'!S$11:S$35,"n.b.")</f>
        <v/>
      </c>
      <c r="K244" s="61">
        <f>COUNT('Übung 09'!S$11:S$35)+COUNTIF('Übung 09'!S$11:S$35,"n.b.")</f>
        <v/>
      </c>
      <c r="L244" s="61">
        <f>COUNT('Übung 10'!S$11:S$35)+COUNTIF('Übung 10'!S$11:S$35,"n.b.")</f>
        <v/>
      </c>
      <c r="M244" s="61">
        <f>COUNT('Übung 11'!S$11:S$35)+COUNTIF('Übung 11'!S$11:S$35,"n.b.")</f>
        <v/>
      </c>
      <c r="N244" s="61">
        <f>COUNT('Übung 12'!S$11:S$35)+COUNTIF('Übung 12'!S$11:S$35,"n.b.")</f>
        <v/>
      </c>
      <c r="O244" s="61">
        <f>COUNT('Übung 13'!S$11:S$35)+COUNTIF('Übung 13'!S$11:S$35,"n.b.")</f>
        <v/>
      </c>
      <c r="P244" s="61">
        <f>COUNT('Übung 14'!S$11:S$35)+COUNTIF('Übung 14'!S$11:S$35,"n.b.")</f>
        <v/>
      </c>
      <c r="Q244" s="61">
        <f>COUNT('Übung 15'!S$11:S$35)+COUNTIF('Übung 15'!S$11:S$35,"n.b.")</f>
        <v/>
      </c>
      <c r="R244" s="61">
        <f>COUNT('Übung 16'!S$11:S$35)+COUNTIF('Übung 16'!S$11:S$35,"n.b.")</f>
        <v/>
      </c>
      <c r="S244" s="61">
        <f>COUNT('Übung 17'!S$11:S$35)+COUNTIF('Übung 17'!S$11:S$35,"n.b.")</f>
        <v/>
      </c>
      <c r="T244" s="61">
        <f>COUNT('Übung 18'!S$11:S$35)+COUNTIF('Übung 18'!S$11:S$35,"n.b.")</f>
        <v/>
      </c>
      <c r="U244" s="61">
        <f>COUNT('Übung 19'!S$11:S$35)+COUNTIF('Übung 19'!S$11:S$35,"n.b.")</f>
        <v/>
      </c>
      <c r="V244" s="61">
        <f>COUNT('Übung 20'!S$11:S$35)+COUNTIF('Übung 20'!S$11:S$35,"n.b.")</f>
        <v/>
      </c>
    </row>
    <row r="245">
      <c r="C245" s="61">
        <f>COUNT('Übung 01'!T$11:T$35)+COUNTIF('Übung 01'!T$11:T$35,"n.b.")</f>
        <v/>
      </c>
      <c r="D245" s="61">
        <f>COUNT('Übung 02'!T$11:T$35)+COUNTIF('Übung 02'!T$11:T$35,"n.b.")</f>
        <v/>
      </c>
      <c r="E245" s="61">
        <f>COUNT('Übung 03'!T$11:T$35)+COUNTIF('Übung 03'!T$11:T$35,"n.b.")</f>
        <v/>
      </c>
      <c r="F245" s="61">
        <f>COUNT('Übung 04'!T$11:T$35)+COUNTIF('Übung 04'!T$11:T$35,"n.b.")</f>
        <v/>
      </c>
      <c r="G245" s="61">
        <f>COUNT('Übung 05'!T$11:T$35)+COUNTIF('Übung 05'!T$11:T$35,"n.b.")</f>
        <v/>
      </c>
      <c r="H245" s="61">
        <f>COUNT('Übung 06'!T$11:T$35)+COUNTIF('Übung 06'!T$11:T$35,"n.b.")</f>
        <v/>
      </c>
      <c r="I245" s="61">
        <f>COUNT('Übung 07'!T$11:T$35)+COUNTIF('Übung 07'!T$11:T$35,"n.b.")</f>
        <v/>
      </c>
      <c r="J245" s="61">
        <f>COUNT('Übung 08'!T$11:T$35)+COUNTIF('Übung 08'!T$11:T$35,"n.b.")</f>
        <v/>
      </c>
      <c r="K245" s="61">
        <f>COUNT('Übung 09'!T$11:T$35)+COUNTIF('Übung 09'!T$11:T$35,"n.b.")</f>
        <v/>
      </c>
      <c r="L245" s="61">
        <f>COUNT('Übung 10'!T$11:T$35)+COUNTIF('Übung 10'!T$11:T$35,"n.b.")</f>
        <v/>
      </c>
      <c r="M245" s="61">
        <f>COUNT('Übung 11'!T$11:T$35)+COUNTIF('Übung 11'!T$11:T$35,"n.b.")</f>
        <v/>
      </c>
      <c r="N245" s="61">
        <f>COUNT('Übung 12'!T$11:T$35)+COUNTIF('Übung 12'!T$11:T$35,"n.b.")</f>
        <v/>
      </c>
      <c r="O245" s="61">
        <f>COUNT('Übung 13'!T$11:T$35)+COUNTIF('Übung 13'!T$11:T$35,"n.b.")</f>
        <v/>
      </c>
      <c r="P245" s="61">
        <f>COUNT('Übung 14'!T$11:T$35)+COUNTIF('Übung 14'!T$11:T$35,"n.b.")</f>
        <v/>
      </c>
      <c r="Q245" s="61">
        <f>COUNT('Übung 15'!T$11:T$35)+COUNTIF('Übung 15'!T$11:T$35,"n.b.")</f>
        <v/>
      </c>
      <c r="R245" s="61">
        <f>COUNT('Übung 16'!T$11:T$35)+COUNTIF('Übung 16'!T$11:T$35,"n.b.")</f>
        <v/>
      </c>
      <c r="S245" s="61">
        <f>COUNT('Übung 17'!T$11:T$35)+COUNTIF('Übung 17'!T$11:T$35,"n.b.")</f>
        <v/>
      </c>
      <c r="T245" s="61">
        <f>COUNT('Übung 18'!T$11:T$35)+COUNTIF('Übung 18'!T$11:T$35,"n.b.")</f>
        <v/>
      </c>
      <c r="U245" s="61">
        <f>COUNT('Übung 19'!T$11:T$35)+COUNTIF('Übung 19'!T$11:T$35,"n.b.")</f>
        <v/>
      </c>
      <c r="V245" s="61">
        <f>COUNT('Übung 20'!T$11:T$35)+COUNTIF('Übung 20'!T$11:T$35,"n.b.")</f>
        <v/>
      </c>
    </row>
    <row r="246">
      <c r="C246" s="61">
        <f>COUNT('Übung 01'!U$11:U$35)+COUNTIF('Übung 01'!U$11:U$35,"n.b.")</f>
        <v/>
      </c>
      <c r="D246" s="61">
        <f>COUNT('Übung 02'!U$11:U$35)+COUNTIF('Übung 02'!U$11:U$35,"n.b.")</f>
        <v/>
      </c>
      <c r="E246" s="61">
        <f>COUNT('Übung 03'!U$11:U$35)+COUNTIF('Übung 03'!U$11:U$35,"n.b.")</f>
        <v/>
      </c>
      <c r="F246" s="61">
        <f>COUNT('Übung 04'!U$11:U$35)+COUNTIF('Übung 04'!U$11:U$35,"n.b.")</f>
        <v/>
      </c>
      <c r="G246" s="61">
        <f>COUNT('Übung 05'!U$11:U$35)+COUNTIF('Übung 05'!U$11:U$35,"n.b.")</f>
        <v/>
      </c>
      <c r="H246" s="61">
        <f>COUNT('Übung 06'!U$11:U$35)+COUNTIF('Übung 06'!U$11:U$35,"n.b.")</f>
        <v/>
      </c>
      <c r="I246" s="61">
        <f>COUNT('Übung 07'!U$11:U$35)+COUNTIF('Übung 07'!U$11:U$35,"n.b.")</f>
        <v/>
      </c>
      <c r="J246" s="61">
        <f>COUNT('Übung 08'!U$11:U$35)+COUNTIF('Übung 08'!U$11:U$35,"n.b.")</f>
        <v/>
      </c>
      <c r="K246" s="61">
        <f>COUNT('Übung 09'!U$11:U$35)+COUNTIF('Übung 09'!U$11:U$35,"n.b.")</f>
        <v/>
      </c>
      <c r="L246" s="61">
        <f>COUNT('Übung 10'!U$11:U$35)+COUNTIF('Übung 10'!U$11:U$35,"n.b.")</f>
        <v/>
      </c>
      <c r="M246" s="61">
        <f>COUNT('Übung 11'!U$11:U$35)+COUNTIF('Übung 11'!U$11:U$35,"n.b.")</f>
        <v/>
      </c>
      <c r="N246" s="61">
        <f>COUNT('Übung 12'!U$11:U$35)+COUNTIF('Übung 12'!U$11:U$35,"n.b.")</f>
        <v/>
      </c>
      <c r="O246" s="61">
        <f>COUNT('Übung 13'!U$11:U$35)+COUNTIF('Übung 13'!U$11:U$35,"n.b.")</f>
        <v/>
      </c>
      <c r="P246" s="61">
        <f>COUNT('Übung 14'!U$11:U$35)+COUNTIF('Übung 14'!U$11:U$35,"n.b.")</f>
        <v/>
      </c>
      <c r="Q246" s="61">
        <f>COUNT('Übung 15'!U$11:U$35)+COUNTIF('Übung 15'!U$11:U$35,"n.b.")</f>
        <v/>
      </c>
      <c r="R246" s="61">
        <f>COUNT('Übung 16'!U$11:U$35)+COUNTIF('Übung 16'!U$11:U$35,"n.b.")</f>
        <v/>
      </c>
      <c r="S246" s="61">
        <f>COUNT('Übung 17'!U$11:U$35)+COUNTIF('Übung 17'!U$11:U$35,"n.b.")</f>
        <v/>
      </c>
      <c r="T246" s="61">
        <f>COUNT('Übung 18'!U$11:U$35)+COUNTIF('Übung 18'!U$11:U$35,"n.b.")</f>
        <v/>
      </c>
      <c r="U246" s="61">
        <f>COUNT('Übung 19'!U$11:U$35)+COUNTIF('Übung 19'!U$11:U$35,"n.b.")</f>
        <v/>
      </c>
      <c r="V246" s="61">
        <f>COUNT('Übung 20'!U$11:U$35)+COUNTIF('Übung 20'!U$11:U$35,"n.b.")</f>
        <v/>
      </c>
    </row>
    <row r="247">
      <c r="C247" s="61">
        <f>COUNT('Übung 01'!V$11:V$35)+COUNTIF('Übung 01'!V$11:V$35,"n.b.")</f>
        <v/>
      </c>
      <c r="D247" s="61">
        <f>COUNT('Übung 02'!V$11:V$35)+COUNTIF('Übung 02'!V$11:V$35,"n.b.")</f>
        <v/>
      </c>
      <c r="E247" s="61">
        <f>COUNT('Übung 03'!V$11:V$35)+COUNTIF('Übung 03'!V$11:V$35,"n.b.")</f>
        <v/>
      </c>
      <c r="F247" s="61">
        <f>COUNT('Übung 04'!V$11:V$35)+COUNTIF('Übung 04'!V$11:V$35,"n.b.")</f>
        <v/>
      </c>
      <c r="G247" s="61">
        <f>COUNT('Übung 05'!V$11:V$35)+COUNTIF('Übung 05'!V$11:V$35,"n.b.")</f>
        <v/>
      </c>
      <c r="H247" s="61">
        <f>COUNT('Übung 06'!V$11:V$35)+COUNTIF('Übung 06'!V$11:V$35,"n.b.")</f>
        <v/>
      </c>
      <c r="I247" s="61">
        <f>COUNT('Übung 07'!V$11:V$35)+COUNTIF('Übung 07'!V$11:V$35,"n.b.")</f>
        <v/>
      </c>
      <c r="J247" s="61">
        <f>COUNT('Übung 08'!V$11:V$35)+COUNTIF('Übung 08'!V$11:V$35,"n.b.")</f>
        <v/>
      </c>
      <c r="K247" s="61">
        <f>COUNT('Übung 09'!V$11:V$35)+COUNTIF('Übung 09'!V$11:V$35,"n.b.")</f>
        <v/>
      </c>
      <c r="L247" s="61">
        <f>COUNT('Übung 10'!V$11:V$35)+COUNTIF('Übung 10'!V$11:V$35,"n.b.")</f>
        <v/>
      </c>
      <c r="M247" s="61">
        <f>COUNT('Übung 11'!V$11:V$35)+COUNTIF('Übung 11'!V$11:V$35,"n.b.")</f>
        <v/>
      </c>
      <c r="N247" s="61">
        <f>COUNT('Übung 12'!V$11:V$35)+COUNTIF('Übung 12'!V$11:V$35,"n.b.")</f>
        <v/>
      </c>
      <c r="O247" s="61">
        <f>COUNT('Übung 13'!V$11:V$35)+COUNTIF('Übung 13'!V$11:V$35,"n.b.")</f>
        <v/>
      </c>
      <c r="P247" s="61">
        <f>COUNT('Übung 14'!V$11:V$35)+COUNTIF('Übung 14'!V$11:V$35,"n.b.")</f>
        <v/>
      </c>
      <c r="Q247" s="61">
        <f>COUNT('Übung 15'!V$11:V$35)+COUNTIF('Übung 15'!V$11:V$35,"n.b.")</f>
        <v/>
      </c>
      <c r="R247" s="61">
        <f>COUNT('Übung 16'!V$11:V$35)+COUNTIF('Übung 16'!V$11:V$35,"n.b.")</f>
        <v/>
      </c>
      <c r="S247" s="61">
        <f>COUNT('Übung 17'!V$11:V$35)+COUNTIF('Übung 17'!V$11:V$35,"n.b.")</f>
        <v/>
      </c>
      <c r="T247" s="61">
        <f>COUNT('Übung 18'!V$11:V$35)+COUNTIF('Übung 18'!V$11:V$35,"n.b.")</f>
        <v/>
      </c>
      <c r="U247" s="61">
        <f>COUNT('Übung 19'!V$11:V$35)+COUNTIF('Übung 19'!V$11:V$35,"n.b.")</f>
        <v/>
      </c>
      <c r="V247" s="61">
        <f>COUNT('Übung 20'!V$11:V$35)+COUNTIF('Übung 20'!V$11:V$35,"n.b.")</f>
        <v/>
      </c>
    </row>
    <row r="248">
      <c r="C248" s="61">
        <f>COUNT('Übung 01'!W$11:W$35)+COUNTIF('Übung 01'!W$11:W$35,"n.b.")</f>
        <v/>
      </c>
      <c r="D248" s="61">
        <f>COUNT('Übung 02'!W$11:W$35)+COUNTIF('Übung 02'!W$11:W$35,"n.b.")</f>
        <v/>
      </c>
      <c r="E248" s="61">
        <f>COUNT('Übung 03'!W$11:W$35)+COUNTIF('Übung 03'!W$11:W$35,"n.b.")</f>
        <v/>
      </c>
      <c r="F248" s="61">
        <f>COUNT('Übung 04'!W$11:W$35)+COUNTIF('Übung 04'!W$11:W$35,"n.b.")</f>
        <v/>
      </c>
      <c r="G248" s="61">
        <f>COUNT('Übung 05'!W$11:W$35)+COUNTIF('Übung 05'!W$11:W$35,"n.b.")</f>
        <v/>
      </c>
      <c r="H248" s="61">
        <f>COUNT('Übung 06'!W$11:W$35)+COUNTIF('Übung 06'!W$11:W$35,"n.b.")</f>
        <v/>
      </c>
      <c r="I248" s="61">
        <f>COUNT('Übung 07'!W$11:W$35)+COUNTIF('Übung 07'!W$11:W$35,"n.b.")</f>
        <v/>
      </c>
      <c r="J248" s="61">
        <f>COUNT('Übung 08'!W$11:W$35)+COUNTIF('Übung 08'!W$11:W$35,"n.b.")</f>
        <v/>
      </c>
      <c r="K248" s="61">
        <f>COUNT('Übung 09'!W$11:W$35)+COUNTIF('Übung 09'!W$11:W$35,"n.b.")</f>
        <v/>
      </c>
      <c r="L248" s="61">
        <f>COUNT('Übung 10'!W$11:W$35)+COUNTIF('Übung 10'!W$11:W$35,"n.b.")</f>
        <v/>
      </c>
      <c r="M248" s="61">
        <f>COUNT('Übung 11'!W$11:W$35)+COUNTIF('Übung 11'!W$11:W$35,"n.b.")</f>
        <v/>
      </c>
      <c r="N248" s="61">
        <f>COUNT('Übung 12'!W$11:W$35)+COUNTIF('Übung 12'!W$11:W$35,"n.b.")</f>
        <v/>
      </c>
      <c r="O248" s="61">
        <f>COUNT('Übung 13'!W$11:W$35)+COUNTIF('Übung 13'!W$11:W$35,"n.b.")</f>
        <v/>
      </c>
      <c r="P248" s="61">
        <f>COUNT('Übung 14'!W$11:W$35)+COUNTIF('Übung 14'!W$11:W$35,"n.b.")</f>
        <v/>
      </c>
      <c r="Q248" s="61">
        <f>COUNT('Übung 15'!W$11:W$35)+COUNTIF('Übung 15'!W$11:W$35,"n.b.")</f>
        <v/>
      </c>
      <c r="R248" s="61">
        <f>COUNT('Übung 16'!W$11:W$35)+COUNTIF('Übung 16'!W$11:W$35,"n.b.")</f>
        <v/>
      </c>
      <c r="S248" s="61">
        <f>COUNT('Übung 17'!W$11:W$35)+COUNTIF('Übung 17'!W$11:W$35,"n.b.")</f>
        <v/>
      </c>
      <c r="T248" s="61">
        <f>COUNT('Übung 18'!W$11:W$35)+COUNTIF('Übung 18'!W$11:W$35,"n.b.")</f>
        <v/>
      </c>
      <c r="U248" s="61">
        <f>COUNT('Übung 19'!W$11:W$35)+COUNTIF('Übung 19'!W$11:W$35,"n.b.")</f>
        <v/>
      </c>
      <c r="V248" s="61">
        <f>COUNT('Übung 20'!W$11:W$35)+COUNTIF('Übung 20'!W$11:W$35,"n.b.")</f>
        <v/>
      </c>
    </row>
    <row r="249">
      <c r="C249" s="61">
        <f>COUNT('Übung 01'!X$11:X$35)+COUNTIF('Übung 01'!X$11:X$35,"n.b.")</f>
        <v/>
      </c>
      <c r="D249" s="61">
        <f>COUNT('Übung 02'!X$11:X$35)+COUNTIF('Übung 02'!X$11:X$35,"n.b.")</f>
        <v/>
      </c>
      <c r="E249" s="61">
        <f>COUNT('Übung 03'!X$11:X$35)+COUNTIF('Übung 03'!X$11:X$35,"n.b.")</f>
        <v/>
      </c>
      <c r="F249" s="61">
        <f>COUNT('Übung 04'!X$11:X$35)+COUNTIF('Übung 04'!X$11:X$35,"n.b.")</f>
        <v/>
      </c>
      <c r="G249" s="61">
        <f>COUNT('Übung 05'!X$11:X$35)+COUNTIF('Übung 05'!X$11:X$35,"n.b.")</f>
        <v/>
      </c>
      <c r="H249" s="61">
        <f>COUNT('Übung 06'!X$11:X$35)+COUNTIF('Übung 06'!X$11:X$35,"n.b.")</f>
        <v/>
      </c>
      <c r="I249" s="61">
        <f>COUNT('Übung 07'!X$11:X$35)+COUNTIF('Übung 07'!X$11:X$35,"n.b.")</f>
        <v/>
      </c>
      <c r="J249" s="61">
        <f>COUNT('Übung 08'!X$11:X$35)+COUNTIF('Übung 08'!X$11:X$35,"n.b.")</f>
        <v/>
      </c>
      <c r="K249" s="61">
        <f>COUNT('Übung 09'!X$11:X$35)+COUNTIF('Übung 09'!X$11:X$35,"n.b.")</f>
        <v/>
      </c>
      <c r="L249" s="61">
        <f>COUNT('Übung 10'!X$11:X$35)+COUNTIF('Übung 10'!X$11:X$35,"n.b.")</f>
        <v/>
      </c>
      <c r="M249" s="61">
        <f>COUNT('Übung 11'!X$11:X$35)+COUNTIF('Übung 11'!X$11:X$35,"n.b.")</f>
        <v/>
      </c>
      <c r="N249" s="61">
        <f>COUNT('Übung 12'!X$11:X$35)+COUNTIF('Übung 12'!X$11:X$35,"n.b.")</f>
        <v/>
      </c>
      <c r="O249" s="61">
        <f>COUNT('Übung 13'!X$11:X$35)+COUNTIF('Übung 13'!X$11:X$35,"n.b.")</f>
        <v/>
      </c>
      <c r="P249" s="61">
        <f>COUNT('Übung 14'!X$11:X$35)+COUNTIF('Übung 14'!X$11:X$35,"n.b.")</f>
        <v/>
      </c>
      <c r="Q249" s="61">
        <f>COUNT('Übung 15'!X$11:X$35)+COUNTIF('Übung 15'!X$11:X$35,"n.b.")</f>
        <v/>
      </c>
      <c r="R249" s="61">
        <f>COUNT('Übung 16'!X$11:X$35)+COUNTIF('Übung 16'!X$11:X$35,"n.b.")</f>
        <v/>
      </c>
      <c r="S249" s="61">
        <f>COUNT('Übung 17'!X$11:X$35)+COUNTIF('Übung 17'!X$11:X$35,"n.b.")</f>
        <v/>
      </c>
      <c r="T249" s="61">
        <f>COUNT('Übung 18'!X$11:X$35)+COUNTIF('Übung 18'!X$11:X$35,"n.b.")</f>
        <v/>
      </c>
      <c r="U249" s="61">
        <f>COUNT('Übung 19'!X$11:X$35)+COUNTIF('Übung 19'!X$11:X$35,"n.b.")</f>
        <v/>
      </c>
      <c r="V249" s="61">
        <f>COUNT('Übung 20'!X$11:X$35)+COUNTIF('Übung 20'!X$11:X$35,"n.b.")</f>
        <v/>
      </c>
    </row>
    <row r="250">
      <c r="C250" s="61">
        <f>COUNT('Übung 01'!Y$11:Y$35)+COUNTIF('Übung 01'!Y$11:Y$35,"n.b.")</f>
        <v/>
      </c>
      <c r="D250" s="61">
        <f>COUNT('Übung 02'!Y$11:Y$35)+COUNTIF('Übung 02'!Y$11:Y$35,"n.b.")</f>
        <v/>
      </c>
      <c r="E250" s="61">
        <f>COUNT('Übung 03'!Y$11:Y$35)+COUNTIF('Übung 03'!Y$11:Y$35,"n.b.")</f>
        <v/>
      </c>
      <c r="F250" s="61">
        <f>COUNT('Übung 04'!Y$11:Y$35)+COUNTIF('Übung 04'!Y$11:Y$35,"n.b.")</f>
        <v/>
      </c>
      <c r="G250" s="61">
        <f>COUNT('Übung 05'!Y$11:Y$35)+COUNTIF('Übung 05'!Y$11:Y$35,"n.b.")</f>
        <v/>
      </c>
      <c r="H250" s="61">
        <f>COUNT('Übung 06'!Y$11:Y$35)+COUNTIF('Übung 06'!Y$11:Y$35,"n.b.")</f>
        <v/>
      </c>
      <c r="I250" s="61">
        <f>COUNT('Übung 07'!Y$11:Y$35)+COUNTIF('Übung 07'!Y$11:Y$35,"n.b.")</f>
        <v/>
      </c>
      <c r="J250" s="61">
        <f>COUNT('Übung 08'!Y$11:Y$35)+COUNTIF('Übung 08'!Y$11:Y$35,"n.b.")</f>
        <v/>
      </c>
      <c r="K250" s="61">
        <f>COUNT('Übung 09'!Y$11:Y$35)+COUNTIF('Übung 09'!Y$11:Y$35,"n.b.")</f>
        <v/>
      </c>
      <c r="L250" s="61">
        <f>COUNT('Übung 10'!Y$11:Y$35)+COUNTIF('Übung 10'!Y$11:Y$35,"n.b.")</f>
        <v/>
      </c>
      <c r="M250" s="61">
        <f>COUNT('Übung 11'!Y$11:Y$35)+COUNTIF('Übung 11'!Y$11:Y$35,"n.b.")</f>
        <v/>
      </c>
      <c r="N250" s="61">
        <f>COUNT('Übung 12'!Y$11:Y$35)+COUNTIF('Übung 12'!Y$11:Y$35,"n.b.")</f>
        <v/>
      </c>
      <c r="O250" s="61">
        <f>COUNT('Übung 13'!Y$11:Y$35)+COUNTIF('Übung 13'!Y$11:Y$35,"n.b.")</f>
        <v/>
      </c>
      <c r="P250" s="61">
        <f>COUNT('Übung 14'!Y$11:Y$35)+COUNTIF('Übung 14'!Y$11:Y$35,"n.b.")</f>
        <v/>
      </c>
      <c r="Q250" s="61">
        <f>COUNT('Übung 15'!Y$11:Y$35)+COUNTIF('Übung 15'!Y$11:Y$35,"n.b.")</f>
        <v/>
      </c>
      <c r="R250" s="61">
        <f>COUNT('Übung 16'!Y$11:Y$35)+COUNTIF('Übung 16'!Y$11:Y$35,"n.b.")</f>
        <v/>
      </c>
      <c r="S250" s="61">
        <f>COUNT('Übung 17'!Y$11:Y$35)+COUNTIF('Übung 17'!Y$11:Y$35,"n.b.")</f>
        <v/>
      </c>
      <c r="T250" s="61">
        <f>COUNT('Übung 18'!Y$11:Y$35)+COUNTIF('Übung 18'!Y$11:Y$35,"n.b.")</f>
        <v/>
      </c>
      <c r="U250" s="61">
        <f>COUNT('Übung 19'!Y$11:Y$35)+COUNTIF('Übung 19'!Y$11:Y$35,"n.b.")</f>
        <v/>
      </c>
      <c r="V250" s="61">
        <f>COUNT('Übung 20'!Y$11:Y$35)+COUNTIF('Übung 20'!Y$11:Y$35,"n.b.")</f>
        <v/>
      </c>
    </row>
    <row r="251">
      <c r="C251" s="61">
        <f>COUNT('Übung 01'!Z$11:Z$35)+COUNTIF('Übung 01'!Z$11:Z$35,"n.b.")</f>
        <v/>
      </c>
      <c r="D251" s="61">
        <f>COUNT('Übung 02'!Z$11:Z$35)+COUNTIF('Übung 02'!Z$11:Z$35,"n.b.")</f>
        <v/>
      </c>
      <c r="E251" s="61">
        <f>COUNT('Übung 03'!Z$11:Z$35)+COUNTIF('Übung 03'!Z$11:Z$35,"n.b.")</f>
        <v/>
      </c>
      <c r="F251" s="61">
        <f>COUNT('Übung 04'!Z$11:Z$35)+COUNTIF('Übung 04'!Z$11:Z$35,"n.b.")</f>
        <v/>
      </c>
      <c r="G251" s="61">
        <f>COUNT('Übung 05'!Z$11:Z$35)+COUNTIF('Übung 05'!Z$11:Z$35,"n.b.")</f>
        <v/>
      </c>
      <c r="H251" s="61">
        <f>COUNT('Übung 06'!Z$11:Z$35)+COUNTIF('Übung 06'!Z$11:Z$35,"n.b.")</f>
        <v/>
      </c>
      <c r="I251" s="61">
        <f>COUNT('Übung 07'!Z$11:Z$35)+COUNTIF('Übung 07'!Z$11:Z$35,"n.b.")</f>
        <v/>
      </c>
      <c r="J251" s="61">
        <f>COUNT('Übung 08'!Z$11:Z$35)+COUNTIF('Übung 08'!Z$11:Z$35,"n.b.")</f>
        <v/>
      </c>
      <c r="K251" s="61">
        <f>COUNT('Übung 09'!Z$11:Z$35)+COUNTIF('Übung 09'!Z$11:Z$35,"n.b.")</f>
        <v/>
      </c>
      <c r="L251" s="61">
        <f>COUNT('Übung 10'!Z$11:Z$35)+COUNTIF('Übung 10'!Z$11:Z$35,"n.b.")</f>
        <v/>
      </c>
      <c r="M251" s="61">
        <f>COUNT('Übung 11'!Z$11:Z$35)+COUNTIF('Übung 11'!Z$11:Z$35,"n.b.")</f>
        <v/>
      </c>
      <c r="N251" s="61">
        <f>COUNT('Übung 12'!Z$11:Z$35)+COUNTIF('Übung 12'!Z$11:Z$35,"n.b.")</f>
        <v/>
      </c>
      <c r="O251" s="61">
        <f>COUNT('Übung 13'!Z$11:Z$35)+COUNTIF('Übung 13'!Z$11:Z$35,"n.b.")</f>
        <v/>
      </c>
      <c r="P251" s="61">
        <f>COUNT('Übung 14'!Z$11:Z$35)+COUNTIF('Übung 14'!Z$11:Z$35,"n.b.")</f>
        <v/>
      </c>
      <c r="Q251" s="61">
        <f>COUNT('Übung 15'!Z$11:Z$35)+COUNTIF('Übung 15'!Z$11:Z$35,"n.b.")</f>
        <v/>
      </c>
      <c r="R251" s="61">
        <f>COUNT('Übung 16'!Z$11:Z$35)+COUNTIF('Übung 16'!Z$11:Z$35,"n.b.")</f>
        <v/>
      </c>
      <c r="S251" s="61">
        <f>COUNT('Übung 17'!Z$11:Z$35)+COUNTIF('Übung 17'!Z$11:Z$35,"n.b.")</f>
        <v/>
      </c>
      <c r="T251" s="61">
        <f>COUNT('Übung 18'!Z$11:Z$35)+COUNTIF('Übung 18'!Z$11:Z$35,"n.b.")</f>
        <v/>
      </c>
      <c r="U251" s="61">
        <f>COUNT('Übung 19'!Z$11:Z$35)+COUNTIF('Übung 19'!Z$11:Z$35,"n.b.")</f>
        <v/>
      </c>
      <c r="V251" s="61">
        <f>COUNT('Übung 20'!Z$11:Z$35)+COUNTIF('Übung 20'!Z$11:Z$35,"n.b.")</f>
        <v/>
      </c>
    </row>
    <row r="252">
      <c r="C252" s="61">
        <f>COUNT('Übung 01'!AA$11:AA$35)+COUNTIF('Übung 01'!AA$11:AA$35,"n.b.")</f>
        <v/>
      </c>
      <c r="D252" s="61">
        <f>COUNT('Übung 02'!AA$11:AA$35)+COUNTIF('Übung 02'!AA$11:AA$35,"n.b.")</f>
        <v/>
      </c>
      <c r="E252" s="61">
        <f>COUNT('Übung 03'!AA$11:AA$35)+COUNTIF('Übung 03'!AA$11:AA$35,"n.b.")</f>
        <v/>
      </c>
      <c r="F252" s="61">
        <f>COUNT('Übung 04'!AA$11:AA$35)+COUNTIF('Übung 04'!AA$11:AA$35,"n.b.")</f>
        <v/>
      </c>
      <c r="G252" s="61">
        <f>COUNT('Übung 05'!AA$11:AA$35)+COUNTIF('Übung 05'!AA$11:AA$35,"n.b.")</f>
        <v/>
      </c>
      <c r="H252" s="61">
        <f>COUNT('Übung 06'!AA$11:AA$35)+COUNTIF('Übung 06'!AA$11:AA$35,"n.b.")</f>
        <v/>
      </c>
      <c r="I252" s="61">
        <f>COUNT('Übung 07'!AA$11:AA$35)+COUNTIF('Übung 07'!AA$11:AA$35,"n.b.")</f>
        <v/>
      </c>
      <c r="J252" s="61">
        <f>COUNT('Übung 08'!AA$11:AA$35)+COUNTIF('Übung 08'!AA$11:AA$35,"n.b.")</f>
        <v/>
      </c>
      <c r="K252" s="61">
        <f>COUNT('Übung 09'!AA$11:AA$35)+COUNTIF('Übung 09'!AA$11:AA$35,"n.b.")</f>
        <v/>
      </c>
      <c r="L252" s="61">
        <f>COUNT('Übung 10'!AA$11:AA$35)+COUNTIF('Übung 10'!AA$11:AA$35,"n.b.")</f>
        <v/>
      </c>
      <c r="M252" s="61">
        <f>COUNT('Übung 11'!AA$11:AA$35)+COUNTIF('Übung 11'!AA$11:AA$35,"n.b.")</f>
        <v/>
      </c>
      <c r="N252" s="61">
        <f>COUNT('Übung 12'!AA$11:AA$35)+COUNTIF('Übung 12'!AA$11:AA$35,"n.b.")</f>
        <v/>
      </c>
      <c r="O252" s="61">
        <f>COUNT('Übung 13'!AA$11:AA$35)+COUNTIF('Übung 13'!AA$11:AA$35,"n.b.")</f>
        <v/>
      </c>
      <c r="P252" s="61">
        <f>COUNT('Übung 14'!AA$11:AA$35)+COUNTIF('Übung 14'!AA$11:AA$35,"n.b.")</f>
        <v/>
      </c>
      <c r="Q252" s="61">
        <f>COUNT('Übung 15'!AA$11:AA$35)+COUNTIF('Übung 15'!AA$11:AA$35,"n.b.")</f>
        <v/>
      </c>
      <c r="R252" s="61">
        <f>COUNT('Übung 16'!AA$11:AA$35)+COUNTIF('Übung 16'!AA$11:AA$35,"n.b.")</f>
        <v/>
      </c>
      <c r="S252" s="61">
        <f>COUNT('Übung 17'!AA$11:AA$35)+COUNTIF('Übung 17'!AA$11:AA$35,"n.b.")</f>
        <v/>
      </c>
      <c r="T252" s="61">
        <f>COUNT('Übung 18'!AA$11:AA$35)+COUNTIF('Übung 18'!AA$11:AA$35,"n.b.")</f>
        <v/>
      </c>
      <c r="U252" s="61">
        <f>COUNT('Übung 19'!AA$11:AA$35)+COUNTIF('Übung 19'!AA$11:AA$35,"n.b.")</f>
        <v/>
      </c>
      <c r="V252" s="61">
        <f>COUNT('Übung 20'!AA$11:AA$35)+COUNTIF('Übung 20'!AA$11:AA$35,"n.b.")</f>
        <v/>
      </c>
    </row>
    <row r="253">
      <c r="C253" s="61">
        <f>COUNT('Übung 01'!AB$11:AB$35)+COUNTIF('Übung 01'!AB$11:AB$35,"n.b.")</f>
        <v/>
      </c>
      <c r="D253" s="61">
        <f>COUNT('Übung 02'!AB$11:AB$35)+COUNTIF('Übung 02'!AB$11:AB$35,"n.b.")</f>
        <v/>
      </c>
      <c r="E253" s="61">
        <f>COUNT('Übung 03'!AB$11:AB$35)+COUNTIF('Übung 03'!AB$11:AB$35,"n.b.")</f>
        <v/>
      </c>
      <c r="F253" s="61">
        <f>COUNT('Übung 04'!AB$11:AB$35)+COUNTIF('Übung 04'!AB$11:AB$35,"n.b.")</f>
        <v/>
      </c>
      <c r="G253" s="61">
        <f>COUNT('Übung 05'!AB$11:AB$35)+COUNTIF('Übung 05'!AB$11:AB$35,"n.b.")</f>
        <v/>
      </c>
      <c r="H253" s="61">
        <f>COUNT('Übung 06'!AB$11:AB$35)+COUNTIF('Übung 06'!AB$11:AB$35,"n.b.")</f>
        <v/>
      </c>
      <c r="I253" s="61">
        <f>COUNT('Übung 07'!AB$11:AB$35)+COUNTIF('Übung 07'!AB$11:AB$35,"n.b.")</f>
        <v/>
      </c>
      <c r="J253" s="61">
        <f>COUNT('Übung 08'!AB$11:AB$35)+COUNTIF('Übung 08'!AB$11:AB$35,"n.b.")</f>
        <v/>
      </c>
      <c r="K253" s="61">
        <f>COUNT('Übung 09'!AB$11:AB$35)+COUNTIF('Übung 09'!AB$11:AB$35,"n.b.")</f>
        <v/>
      </c>
      <c r="L253" s="61">
        <f>COUNT('Übung 10'!AB$11:AB$35)+COUNTIF('Übung 10'!AB$11:AB$35,"n.b.")</f>
        <v/>
      </c>
      <c r="M253" s="61">
        <f>COUNT('Übung 11'!AB$11:AB$35)+COUNTIF('Übung 11'!AB$11:AB$35,"n.b.")</f>
        <v/>
      </c>
      <c r="N253" s="61">
        <f>COUNT('Übung 12'!AB$11:AB$35)+COUNTIF('Übung 12'!AB$11:AB$35,"n.b.")</f>
        <v/>
      </c>
      <c r="O253" s="61">
        <f>COUNT('Übung 13'!AB$11:AB$35)+COUNTIF('Übung 13'!AB$11:AB$35,"n.b.")</f>
        <v/>
      </c>
      <c r="P253" s="61">
        <f>COUNT('Übung 14'!AB$11:AB$35)+COUNTIF('Übung 14'!AB$11:AB$35,"n.b.")</f>
        <v/>
      </c>
      <c r="Q253" s="61">
        <f>COUNT('Übung 15'!AB$11:AB$35)+COUNTIF('Übung 15'!AB$11:AB$35,"n.b.")</f>
        <v/>
      </c>
      <c r="R253" s="61">
        <f>COUNT('Übung 16'!AB$11:AB$35)+COUNTIF('Übung 16'!AB$11:AB$35,"n.b.")</f>
        <v/>
      </c>
      <c r="S253" s="61">
        <f>COUNT('Übung 17'!AB$11:AB$35)+COUNTIF('Übung 17'!AB$11:AB$35,"n.b.")</f>
        <v/>
      </c>
      <c r="T253" s="61">
        <f>COUNT('Übung 18'!AB$11:AB$35)+COUNTIF('Übung 18'!AB$11:AB$35,"n.b.")</f>
        <v/>
      </c>
      <c r="U253" s="61">
        <f>COUNT('Übung 19'!AB$11:AB$35)+COUNTIF('Übung 19'!AB$11:AB$35,"n.b.")</f>
        <v/>
      </c>
      <c r="V253" s="61">
        <f>COUNT('Übung 20'!AB$11:AB$35)+COUNTIF('Übung 20'!AB$11:AB$35,"n.b.")</f>
        <v/>
      </c>
    </row>
    <row r="254">
      <c r="C254" s="61">
        <f>COUNT('Übung 01'!AC$11:AC$35)+COUNTIF('Übung 01'!AC$11:AC$35,"n.b.")</f>
        <v/>
      </c>
      <c r="D254" s="61">
        <f>COUNT('Übung 02'!AC$11:AC$35)+COUNTIF('Übung 02'!AC$11:AC$35,"n.b.")</f>
        <v/>
      </c>
      <c r="E254" s="61">
        <f>COUNT('Übung 03'!AC$11:AC$35)+COUNTIF('Übung 03'!AC$11:AC$35,"n.b.")</f>
        <v/>
      </c>
      <c r="F254" s="61">
        <f>COUNT('Übung 04'!AC$11:AC$35)+COUNTIF('Übung 04'!AC$11:AC$35,"n.b.")</f>
        <v/>
      </c>
      <c r="G254" s="61">
        <f>COUNT('Übung 05'!AC$11:AC$35)+COUNTIF('Übung 05'!AC$11:AC$35,"n.b.")</f>
        <v/>
      </c>
      <c r="H254" s="61">
        <f>COUNT('Übung 06'!AC$11:AC$35)+COUNTIF('Übung 06'!AC$11:AC$35,"n.b.")</f>
        <v/>
      </c>
      <c r="I254" s="61">
        <f>COUNT('Übung 07'!AC$11:AC$35)+COUNTIF('Übung 07'!AC$11:AC$35,"n.b.")</f>
        <v/>
      </c>
      <c r="J254" s="61">
        <f>COUNT('Übung 08'!AC$11:AC$35)+COUNTIF('Übung 08'!AC$11:AC$35,"n.b.")</f>
        <v/>
      </c>
      <c r="K254" s="61">
        <f>COUNT('Übung 09'!AC$11:AC$35)+COUNTIF('Übung 09'!AC$11:AC$35,"n.b.")</f>
        <v/>
      </c>
      <c r="L254" s="61">
        <f>COUNT('Übung 10'!AC$11:AC$35)+COUNTIF('Übung 10'!AC$11:AC$35,"n.b.")</f>
        <v/>
      </c>
      <c r="M254" s="61">
        <f>COUNT('Übung 11'!AC$11:AC$35)+COUNTIF('Übung 11'!AC$11:AC$35,"n.b.")</f>
        <v/>
      </c>
      <c r="N254" s="61">
        <f>COUNT('Übung 12'!AC$11:AC$35)+COUNTIF('Übung 12'!AC$11:AC$35,"n.b.")</f>
        <v/>
      </c>
      <c r="O254" s="61">
        <f>COUNT('Übung 13'!AC$11:AC$35)+COUNTIF('Übung 13'!AC$11:AC$35,"n.b.")</f>
        <v/>
      </c>
      <c r="P254" s="61">
        <f>COUNT('Übung 14'!AC$11:AC$35)+COUNTIF('Übung 14'!AC$11:AC$35,"n.b.")</f>
        <v/>
      </c>
      <c r="Q254" s="61">
        <f>COUNT('Übung 15'!AC$11:AC$35)+COUNTIF('Übung 15'!AC$11:AC$35,"n.b.")</f>
        <v/>
      </c>
      <c r="R254" s="61">
        <f>COUNT('Übung 16'!AC$11:AC$35)+COUNTIF('Übung 16'!AC$11:AC$35,"n.b.")</f>
        <v/>
      </c>
      <c r="S254" s="61">
        <f>COUNT('Übung 17'!AC$11:AC$35)+COUNTIF('Übung 17'!AC$11:AC$35,"n.b.")</f>
        <v/>
      </c>
      <c r="T254" s="61">
        <f>COUNT('Übung 18'!AC$11:AC$35)+COUNTIF('Übung 18'!AC$11:AC$35,"n.b.")</f>
        <v/>
      </c>
      <c r="U254" s="61">
        <f>COUNT('Übung 19'!AC$11:AC$35)+COUNTIF('Übung 19'!AC$11:AC$35,"n.b.")</f>
        <v/>
      </c>
      <c r="V254" s="61">
        <f>COUNT('Übung 20'!AC$11:AC$35)+COUNTIF('Übung 20'!AC$11:AC$35,"n.b.")</f>
        <v/>
      </c>
    </row>
    <row r="259">
      <c r="A259" s="162" t="inlineStr">
        <is>
          <t>letzte bewertete der Gruppe</t>
        </is>
      </c>
    </row>
    <row r="260">
      <c r="C260" s="61">
        <f>SUMPRODUCT(MAX(($C$12:$V$12=C$12)*($C$50:$V$50)*$C$3:$V$3))</f>
        <v/>
      </c>
      <c r="D260" s="61">
        <f>SUMPRODUCT(MAX(($C$12:$V$12=D$12)*($C$50:$V$50)*$C$3:$V$3))</f>
        <v/>
      </c>
      <c r="E260" s="61">
        <f>SUMPRODUCT(MAX(($C$12:$V$12=E$12)*($C$50:$V$50)*$C$3:$V$3))</f>
        <v/>
      </c>
      <c r="F260" s="61">
        <f>SUMPRODUCT(MAX(($C$12:$V$12=F$12)*($C$50:$V$50)*$C$3:$V$3))</f>
        <v/>
      </c>
      <c r="G260" s="61">
        <f>SUMPRODUCT(MAX(($C$12:$V$12=G$12)*($C$50:$V$50)*$C$3:$V$3))</f>
        <v/>
      </c>
      <c r="H260" s="61">
        <f>SUMPRODUCT(MAX(($C$12:$V$12=H$12)*($C$50:$V$50)*$C$3:$V$3))</f>
        <v/>
      </c>
      <c r="I260" s="61">
        <f>SUMPRODUCT(MAX(($C$12:$V$12=I$12)*($C$50:$V$50)*$C$3:$V$3))</f>
        <v/>
      </c>
      <c r="J260" s="61">
        <f>SUMPRODUCT(MAX(($C$12:$V$12=J$12)*($C$50:$V$50)*$C$3:$V$3))</f>
        <v/>
      </c>
      <c r="K260" s="61">
        <f>SUMPRODUCT(MAX(($C$12:$V$12=K$12)*($C$50:$V$50)*$C$3:$V$3))</f>
        <v/>
      </c>
      <c r="L260" s="61">
        <f>SUMPRODUCT(MAX(($C$12:$V$12=L$12)*($C$50:$V$50)*$C$3:$V$3))</f>
        <v/>
      </c>
      <c r="M260" s="61">
        <f>SUMPRODUCT(MAX(($C$12:$V$12=M$12)*($C$50:$V$50)*$C$3:$V$3))</f>
        <v/>
      </c>
      <c r="N260" s="61">
        <f>SUMPRODUCT(MAX(($C$12:$V$12=N$12)*($C$50:$V$50)*$C$3:$V$3))</f>
        <v/>
      </c>
      <c r="O260" s="61">
        <f>SUMPRODUCT(MAX(($C$12:$V$12=O$12)*($C$50:$V$50)*$C$3:$V$3))</f>
        <v/>
      </c>
      <c r="P260" s="61">
        <f>SUMPRODUCT(MAX(($C$12:$V$12=P$12)*($C$50:$V$50)*$C$3:$V$3))</f>
        <v/>
      </c>
      <c r="Q260" s="61">
        <f>SUMPRODUCT(MAX(($C$12:$V$12=Q$12)*($C$50:$V$50)*$C$3:$V$3))</f>
        <v/>
      </c>
      <c r="R260" s="61">
        <f>SUMPRODUCT(MAX(($C$12:$V$12=R$12)*($C$50:$V$50)*$C$3:$V$3))</f>
        <v/>
      </c>
      <c r="S260" s="61">
        <f>SUMPRODUCT(MAX(($C$12:$V$12=S$12)*($C$50:$V$50)*$C$3:$V$3))</f>
        <v/>
      </c>
      <c r="T260" s="61">
        <f>SUMPRODUCT(MAX(($C$12:$V$12=T$12)*($C$50:$V$50)*$C$3:$V$3))</f>
        <v/>
      </c>
      <c r="U260" s="61">
        <f>SUMPRODUCT(MAX(($C$12:$V$12=U$12)*($C$50:$V$50)*$C$3:$V$3))</f>
        <v/>
      </c>
      <c r="V260" s="61">
        <f>SUMPRODUCT(MAX(($C$12:$V$12=V$12)*($C$50:$V$50)*$C$3:$V$3))</f>
        <v/>
      </c>
    </row>
    <row r="261">
      <c r="C261" s="61">
        <f>SUMPRODUCT(MAX(($C$12:$V$12=C$12)*($C$51:$V$51)*$C$3:$V$3))</f>
        <v/>
      </c>
      <c r="D261" s="61">
        <f>SUMPRODUCT(MAX(($C$12:$V$12=D$12)*($C$51:$V$51)*$C$3:$V$3))</f>
        <v/>
      </c>
      <c r="E261" s="61">
        <f>SUMPRODUCT(MAX(($C$12:$V$12=E$12)*($C$51:$V$51)*$C$3:$V$3))</f>
        <v/>
      </c>
      <c r="F261" s="61">
        <f>SUMPRODUCT(MAX(($C$12:$V$12=F$12)*($C$51:$V$51)*$C$3:$V$3))</f>
        <v/>
      </c>
      <c r="G261" s="61">
        <f>SUMPRODUCT(MAX(($C$12:$V$12=G$12)*($C$51:$V$51)*$C$3:$V$3))</f>
        <v/>
      </c>
      <c r="H261" s="61">
        <f>SUMPRODUCT(MAX(($C$12:$V$12=H$12)*($C$51:$V$51)*$C$3:$V$3))</f>
        <v/>
      </c>
      <c r="I261" s="61">
        <f>SUMPRODUCT(MAX(($C$12:$V$12=I$12)*($C$51:$V$51)*$C$3:$V$3))</f>
        <v/>
      </c>
      <c r="J261" s="61">
        <f>SUMPRODUCT(MAX(($C$12:$V$12=J$12)*($C$51:$V$51)*$C$3:$V$3))</f>
        <v/>
      </c>
      <c r="K261" s="61">
        <f>SUMPRODUCT(MAX(($C$12:$V$12=K$12)*($C$51:$V$51)*$C$3:$V$3))</f>
        <v/>
      </c>
      <c r="L261" s="61">
        <f>SUMPRODUCT(MAX(($C$12:$V$12=L$12)*($C$51:$V$51)*$C$3:$V$3))</f>
        <v/>
      </c>
      <c r="M261" s="61">
        <f>SUMPRODUCT(MAX(($C$12:$V$12=M$12)*($C$51:$V$51)*$C$3:$V$3))</f>
        <v/>
      </c>
      <c r="N261" s="61">
        <f>SUMPRODUCT(MAX(($C$12:$V$12=N$12)*($C$51:$V$51)*$C$3:$V$3))</f>
        <v/>
      </c>
      <c r="O261" s="61">
        <f>SUMPRODUCT(MAX(($C$12:$V$12=O$12)*($C$51:$V$51)*$C$3:$V$3))</f>
        <v/>
      </c>
      <c r="P261" s="61">
        <f>SUMPRODUCT(MAX(($C$12:$V$12=P$12)*($C$51:$V$51)*$C$3:$V$3))</f>
        <v/>
      </c>
      <c r="Q261" s="61">
        <f>SUMPRODUCT(MAX(($C$12:$V$12=Q$12)*($C$51:$V$51)*$C$3:$V$3))</f>
        <v/>
      </c>
      <c r="R261" s="61">
        <f>SUMPRODUCT(MAX(($C$12:$V$12=R$12)*($C$51:$V$51)*$C$3:$V$3))</f>
        <v/>
      </c>
      <c r="S261" s="61">
        <f>SUMPRODUCT(MAX(($C$12:$V$12=S$12)*($C$51:$V$51)*$C$3:$V$3))</f>
        <v/>
      </c>
      <c r="T261" s="61">
        <f>SUMPRODUCT(MAX(($C$12:$V$12=T$12)*($C$51:$V$51)*$C$3:$V$3))</f>
        <v/>
      </c>
      <c r="U261" s="61">
        <f>SUMPRODUCT(MAX(($C$12:$V$12=U$12)*($C$51:$V$51)*$C$3:$V$3))</f>
        <v/>
      </c>
      <c r="V261" s="61">
        <f>SUMPRODUCT(MAX(($C$12:$V$12=V$12)*($C$51:$V$51)*$C$3:$V$3))</f>
        <v/>
      </c>
    </row>
    <row r="262">
      <c r="C262" s="61">
        <f>SUMPRODUCT(MAX(($C$12:$V$12=C$12)*($C$52:$V$52)*$C$3:$V$3))</f>
        <v/>
      </c>
      <c r="D262" s="61">
        <f>SUMPRODUCT(MAX(($C$12:$V$12=D$12)*($C$52:$V$52)*$C$3:$V$3))</f>
        <v/>
      </c>
      <c r="E262" s="61">
        <f>SUMPRODUCT(MAX(($C$12:$V$12=E$12)*($C$52:$V$52)*$C$3:$V$3))</f>
        <v/>
      </c>
      <c r="F262" s="61">
        <f>SUMPRODUCT(MAX(($C$12:$V$12=F$12)*($C$52:$V$52)*$C$3:$V$3))</f>
        <v/>
      </c>
      <c r="G262" s="61">
        <f>SUMPRODUCT(MAX(($C$12:$V$12=G$12)*($C$52:$V$52)*$C$3:$V$3))</f>
        <v/>
      </c>
      <c r="H262" s="61">
        <f>SUMPRODUCT(MAX(($C$12:$V$12=H$12)*($C$52:$V$52)*$C$3:$V$3))</f>
        <v/>
      </c>
      <c r="I262" s="61">
        <f>SUMPRODUCT(MAX(($C$12:$V$12=I$12)*($C$52:$V$52)*$C$3:$V$3))</f>
        <v/>
      </c>
      <c r="J262" s="61">
        <f>SUMPRODUCT(MAX(($C$12:$V$12=J$12)*($C$52:$V$52)*$C$3:$V$3))</f>
        <v/>
      </c>
      <c r="K262" s="61">
        <f>SUMPRODUCT(MAX(($C$12:$V$12=K$12)*($C$52:$V$52)*$C$3:$V$3))</f>
        <v/>
      </c>
      <c r="L262" s="61">
        <f>SUMPRODUCT(MAX(($C$12:$V$12=L$12)*($C$52:$V$52)*$C$3:$V$3))</f>
        <v/>
      </c>
      <c r="M262" s="61">
        <f>SUMPRODUCT(MAX(($C$12:$V$12=M$12)*($C$52:$V$52)*$C$3:$V$3))</f>
        <v/>
      </c>
      <c r="N262" s="61">
        <f>SUMPRODUCT(MAX(($C$12:$V$12=N$12)*($C$52:$V$52)*$C$3:$V$3))</f>
        <v/>
      </c>
      <c r="O262" s="61">
        <f>SUMPRODUCT(MAX(($C$12:$V$12=O$12)*($C$52:$V$52)*$C$3:$V$3))</f>
        <v/>
      </c>
      <c r="P262" s="61">
        <f>SUMPRODUCT(MAX(($C$12:$V$12=P$12)*($C$52:$V$52)*$C$3:$V$3))</f>
        <v/>
      </c>
      <c r="Q262" s="61">
        <f>SUMPRODUCT(MAX(($C$12:$V$12=Q$12)*($C$52:$V$52)*$C$3:$V$3))</f>
        <v/>
      </c>
      <c r="R262" s="61">
        <f>SUMPRODUCT(MAX(($C$12:$V$12=R$12)*($C$52:$V$52)*$C$3:$V$3))</f>
        <v/>
      </c>
      <c r="S262" s="61">
        <f>SUMPRODUCT(MAX(($C$12:$V$12=S$12)*($C$52:$V$52)*$C$3:$V$3))</f>
        <v/>
      </c>
      <c r="T262" s="61">
        <f>SUMPRODUCT(MAX(($C$12:$V$12=T$12)*($C$52:$V$52)*$C$3:$V$3))</f>
        <v/>
      </c>
      <c r="U262" s="61">
        <f>SUMPRODUCT(MAX(($C$12:$V$12=U$12)*($C$52:$V$52)*$C$3:$V$3))</f>
        <v/>
      </c>
      <c r="V262" s="61">
        <f>SUMPRODUCT(MAX(($C$12:$V$12=V$12)*($C$52:$V$52)*$C$3:$V$3))</f>
        <v/>
      </c>
    </row>
    <row r="263">
      <c r="C263" s="61">
        <f>SUMPRODUCT(MAX(($C$12:$V$12=C$12)*($C$53:$V$53)*$C$3:$V$3))</f>
        <v/>
      </c>
      <c r="D263" s="61">
        <f>SUMPRODUCT(MAX(($C$12:$V$12=D$12)*($C$53:$V$53)*$C$3:$V$3))</f>
        <v/>
      </c>
      <c r="E263" s="61">
        <f>SUMPRODUCT(MAX(($C$12:$V$12=E$12)*($C$53:$V$53)*$C$3:$V$3))</f>
        <v/>
      </c>
      <c r="F263" s="61">
        <f>SUMPRODUCT(MAX(($C$12:$V$12=F$12)*($C$53:$V$53)*$C$3:$V$3))</f>
        <v/>
      </c>
      <c r="G263" s="61">
        <f>SUMPRODUCT(MAX(($C$12:$V$12=G$12)*($C$53:$V$53)*$C$3:$V$3))</f>
        <v/>
      </c>
      <c r="H263" s="61">
        <f>SUMPRODUCT(MAX(($C$12:$V$12=H$12)*($C$53:$V$53)*$C$3:$V$3))</f>
        <v/>
      </c>
      <c r="I263" s="61">
        <f>SUMPRODUCT(MAX(($C$12:$V$12=I$12)*($C$53:$V$53)*$C$3:$V$3))</f>
        <v/>
      </c>
      <c r="J263" s="61">
        <f>SUMPRODUCT(MAX(($C$12:$V$12=J$12)*($C$53:$V$53)*$C$3:$V$3))</f>
        <v/>
      </c>
      <c r="K263" s="61">
        <f>SUMPRODUCT(MAX(($C$12:$V$12=K$12)*($C$53:$V$53)*$C$3:$V$3))</f>
        <v/>
      </c>
      <c r="L263" s="61">
        <f>SUMPRODUCT(MAX(($C$12:$V$12=L$12)*($C$53:$V$53)*$C$3:$V$3))</f>
        <v/>
      </c>
      <c r="M263" s="61">
        <f>SUMPRODUCT(MAX(($C$12:$V$12=M$12)*($C$53:$V$53)*$C$3:$V$3))</f>
        <v/>
      </c>
      <c r="N263" s="61">
        <f>SUMPRODUCT(MAX(($C$12:$V$12=N$12)*($C$53:$V$53)*$C$3:$V$3))</f>
        <v/>
      </c>
      <c r="O263" s="61">
        <f>SUMPRODUCT(MAX(($C$12:$V$12=O$12)*($C$53:$V$53)*$C$3:$V$3))</f>
        <v/>
      </c>
      <c r="P263" s="61">
        <f>SUMPRODUCT(MAX(($C$12:$V$12=P$12)*($C$53:$V$53)*$C$3:$V$3))</f>
        <v/>
      </c>
      <c r="Q263" s="61">
        <f>SUMPRODUCT(MAX(($C$12:$V$12=Q$12)*($C$53:$V$53)*$C$3:$V$3))</f>
        <v/>
      </c>
      <c r="R263" s="61">
        <f>SUMPRODUCT(MAX(($C$12:$V$12=R$12)*($C$53:$V$53)*$C$3:$V$3))</f>
        <v/>
      </c>
      <c r="S263" s="61">
        <f>SUMPRODUCT(MAX(($C$12:$V$12=S$12)*($C$53:$V$53)*$C$3:$V$3))</f>
        <v/>
      </c>
      <c r="T263" s="61">
        <f>SUMPRODUCT(MAX(($C$12:$V$12=T$12)*($C$53:$V$53)*$C$3:$V$3))</f>
        <v/>
      </c>
      <c r="U263" s="61">
        <f>SUMPRODUCT(MAX(($C$12:$V$12=U$12)*($C$53:$V$53)*$C$3:$V$3))</f>
        <v/>
      </c>
      <c r="V263" s="61">
        <f>SUMPRODUCT(MAX(($C$12:$V$12=V$12)*($C$53:$V$53)*$C$3:$V$3))</f>
        <v/>
      </c>
    </row>
    <row r="264">
      <c r="C264" s="61">
        <f>SUMPRODUCT(MAX(($C$12:$V$12=C$12)*($C$54:$V$54)*$C$3:$V$3))</f>
        <v/>
      </c>
      <c r="D264" s="61">
        <f>SUMPRODUCT(MAX(($C$12:$V$12=D$12)*($C$54:$V$54)*$C$3:$V$3))</f>
        <v/>
      </c>
      <c r="E264" s="61">
        <f>SUMPRODUCT(MAX(($C$12:$V$12=E$12)*($C$54:$V$54)*$C$3:$V$3))</f>
        <v/>
      </c>
      <c r="F264" s="61">
        <f>SUMPRODUCT(MAX(($C$12:$V$12=F$12)*($C$54:$V$54)*$C$3:$V$3))</f>
        <v/>
      </c>
      <c r="G264" s="61">
        <f>SUMPRODUCT(MAX(($C$12:$V$12=G$12)*($C$54:$V$54)*$C$3:$V$3))</f>
        <v/>
      </c>
      <c r="H264" s="61">
        <f>SUMPRODUCT(MAX(($C$12:$V$12=H$12)*($C$54:$V$54)*$C$3:$V$3))</f>
        <v/>
      </c>
      <c r="I264" s="61">
        <f>SUMPRODUCT(MAX(($C$12:$V$12=I$12)*($C$54:$V$54)*$C$3:$V$3))</f>
        <v/>
      </c>
      <c r="J264" s="61">
        <f>SUMPRODUCT(MAX(($C$12:$V$12=J$12)*($C$54:$V$54)*$C$3:$V$3))</f>
        <v/>
      </c>
      <c r="K264" s="61">
        <f>SUMPRODUCT(MAX(($C$12:$V$12=K$12)*($C$54:$V$54)*$C$3:$V$3))</f>
        <v/>
      </c>
      <c r="L264" s="61">
        <f>SUMPRODUCT(MAX(($C$12:$V$12=L$12)*($C$54:$V$54)*$C$3:$V$3))</f>
        <v/>
      </c>
      <c r="M264" s="61">
        <f>SUMPRODUCT(MAX(($C$12:$V$12=M$12)*($C$54:$V$54)*$C$3:$V$3))</f>
        <v/>
      </c>
      <c r="N264" s="61">
        <f>SUMPRODUCT(MAX(($C$12:$V$12=N$12)*($C$54:$V$54)*$C$3:$V$3))</f>
        <v/>
      </c>
      <c r="O264" s="61">
        <f>SUMPRODUCT(MAX(($C$12:$V$12=O$12)*($C$54:$V$54)*$C$3:$V$3))</f>
        <v/>
      </c>
      <c r="P264" s="61">
        <f>SUMPRODUCT(MAX(($C$12:$V$12=P$12)*($C$54:$V$54)*$C$3:$V$3))</f>
        <v/>
      </c>
      <c r="Q264" s="61">
        <f>SUMPRODUCT(MAX(($C$12:$V$12=Q$12)*($C$54:$V$54)*$C$3:$V$3))</f>
        <v/>
      </c>
      <c r="R264" s="61">
        <f>SUMPRODUCT(MAX(($C$12:$V$12=R$12)*($C$54:$V$54)*$C$3:$V$3))</f>
        <v/>
      </c>
      <c r="S264" s="61">
        <f>SUMPRODUCT(MAX(($C$12:$V$12=S$12)*($C$54:$V$54)*$C$3:$V$3))</f>
        <v/>
      </c>
      <c r="T264" s="61">
        <f>SUMPRODUCT(MAX(($C$12:$V$12=T$12)*($C$54:$V$54)*$C$3:$V$3))</f>
        <v/>
      </c>
      <c r="U264" s="61">
        <f>SUMPRODUCT(MAX(($C$12:$V$12=U$12)*($C$54:$V$54)*$C$3:$V$3))</f>
        <v/>
      </c>
      <c r="V264" s="61">
        <f>SUMPRODUCT(MAX(($C$12:$V$12=V$12)*($C$54:$V$54)*$C$3:$V$3))</f>
        <v/>
      </c>
    </row>
    <row r="265">
      <c r="C265" s="61">
        <f>SUMPRODUCT(MAX(($C$12:$V$12=C$12)*($C$55:$V$55)*$C$3:$V$3))</f>
        <v/>
      </c>
      <c r="D265" s="61">
        <f>SUMPRODUCT(MAX(($C$12:$V$12=D$12)*($C$55:$V$55)*$C$3:$V$3))</f>
        <v/>
      </c>
      <c r="E265" s="61">
        <f>SUMPRODUCT(MAX(($C$12:$V$12=E$12)*($C$55:$V$55)*$C$3:$V$3))</f>
        <v/>
      </c>
      <c r="F265" s="61">
        <f>SUMPRODUCT(MAX(($C$12:$V$12=F$12)*($C$55:$V$55)*$C$3:$V$3))</f>
        <v/>
      </c>
      <c r="G265" s="61">
        <f>SUMPRODUCT(MAX(($C$12:$V$12=G$12)*($C$55:$V$55)*$C$3:$V$3))</f>
        <v/>
      </c>
      <c r="H265" s="61">
        <f>SUMPRODUCT(MAX(($C$12:$V$12=H$12)*($C$55:$V$55)*$C$3:$V$3))</f>
        <v/>
      </c>
      <c r="I265" s="61">
        <f>SUMPRODUCT(MAX(($C$12:$V$12=I$12)*($C$55:$V$55)*$C$3:$V$3))</f>
        <v/>
      </c>
      <c r="J265" s="61">
        <f>SUMPRODUCT(MAX(($C$12:$V$12=J$12)*($C$55:$V$55)*$C$3:$V$3))</f>
        <v/>
      </c>
      <c r="K265" s="61">
        <f>SUMPRODUCT(MAX(($C$12:$V$12=K$12)*($C$55:$V$55)*$C$3:$V$3))</f>
        <v/>
      </c>
      <c r="L265" s="61">
        <f>SUMPRODUCT(MAX(($C$12:$V$12=L$12)*($C$55:$V$55)*$C$3:$V$3))</f>
        <v/>
      </c>
      <c r="M265" s="61">
        <f>SUMPRODUCT(MAX(($C$12:$V$12=M$12)*($C$55:$V$55)*$C$3:$V$3))</f>
        <v/>
      </c>
      <c r="N265" s="61">
        <f>SUMPRODUCT(MAX(($C$12:$V$12=N$12)*($C$55:$V$55)*$C$3:$V$3))</f>
        <v/>
      </c>
      <c r="O265" s="61">
        <f>SUMPRODUCT(MAX(($C$12:$V$12=O$12)*($C$55:$V$55)*$C$3:$V$3))</f>
        <v/>
      </c>
      <c r="P265" s="61">
        <f>SUMPRODUCT(MAX(($C$12:$V$12=P$12)*($C$55:$V$55)*$C$3:$V$3))</f>
        <v/>
      </c>
      <c r="Q265" s="61">
        <f>SUMPRODUCT(MAX(($C$12:$V$12=Q$12)*($C$55:$V$55)*$C$3:$V$3))</f>
        <v/>
      </c>
      <c r="R265" s="61">
        <f>SUMPRODUCT(MAX(($C$12:$V$12=R$12)*($C$55:$V$55)*$C$3:$V$3))</f>
        <v/>
      </c>
      <c r="S265" s="61">
        <f>SUMPRODUCT(MAX(($C$12:$V$12=S$12)*($C$55:$V$55)*$C$3:$V$3))</f>
        <v/>
      </c>
      <c r="T265" s="61">
        <f>SUMPRODUCT(MAX(($C$12:$V$12=T$12)*($C$55:$V$55)*$C$3:$V$3))</f>
        <v/>
      </c>
      <c r="U265" s="61">
        <f>SUMPRODUCT(MAX(($C$12:$V$12=U$12)*($C$55:$V$55)*$C$3:$V$3))</f>
        <v/>
      </c>
      <c r="V265" s="61">
        <f>SUMPRODUCT(MAX(($C$12:$V$12=V$12)*($C$55:$V$55)*$C$3:$V$3))</f>
        <v/>
      </c>
    </row>
    <row r="266">
      <c r="C266" s="61">
        <f>SUMPRODUCT(MAX(($C$12:$V$12=C$12)*($C$56:$V$56)*$C$3:$V$3))</f>
        <v/>
      </c>
      <c r="D266" s="61">
        <f>SUMPRODUCT(MAX(($C$12:$V$12=D$12)*($C$56:$V$56)*$C$3:$V$3))</f>
        <v/>
      </c>
      <c r="E266" s="61">
        <f>SUMPRODUCT(MAX(($C$12:$V$12=E$12)*($C$56:$V$56)*$C$3:$V$3))</f>
        <v/>
      </c>
      <c r="F266" s="61">
        <f>SUMPRODUCT(MAX(($C$12:$V$12=F$12)*($C$56:$V$56)*$C$3:$V$3))</f>
        <v/>
      </c>
      <c r="G266" s="61">
        <f>SUMPRODUCT(MAX(($C$12:$V$12=G$12)*($C$56:$V$56)*$C$3:$V$3))</f>
        <v/>
      </c>
      <c r="H266" s="61">
        <f>SUMPRODUCT(MAX(($C$12:$V$12=H$12)*($C$56:$V$56)*$C$3:$V$3))</f>
        <v/>
      </c>
      <c r="I266" s="61">
        <f>SUMPRODUCT(MAX(($C$12:$V$12=I$12)*($C$56:$V$56)*$C$3:$V$3))</f>
        <v/>
      </c>
      <c r="J266" s="61">
        <f>SUMPRODUCT(MAX(($C$12:$V$12=J$12)*($C$56:$V$56)*$C$3:$V$3))</f>
        <v/>
      </c>
      <c r="K266" s="61">
        <f>SUMPRODUCT(MAX(($C$12:$V$12=K$12)*($C$56:$V$56)*$C$3:$V$3))</f>
        <v/>
      </c>
      <c r="L266" s="61">
        <f>SUMPRODUCT(MAX(($C$12:$V$12=L$12)*($C$56:$V$56)*$C$3:$V$3))</f>
        <v/>
      </c>
      <c r="M266" s="61">
        <f>SUMPRODUCT(MAX(($C$12:$V$12=M$12)*($C$56:$V$56)*$C$3:$V$3))</f>
        <v/>
      </c>
      <c r="N266" s="61">
        <f>SUMPRODUCT(MAX(($C$12:$V$12=N$12)*($C$56:$V$56)*$C$3:$V$3))</f>
        <v/>
      </c>
      <c r="O266" s="61">
        <f>SUMPRODUCT(MAX(($C$12:$V$12=O$12)*($C$56:$V$56)*$C$3:$V$3))</f>
        <v/>
      </c>
      <c r="P266" s="61">
        <f>SUMPRODUCT(MAX(($C$12:$V$12=P$12)*($C$56:$V$56)*$C$3:$V$3))</f>
        <v/>
      </c>
      <c r="Q266" s="61">
        <f>SUMPRODUCT(MAX(($C$12:$V$12=Q$12)*($C$56:$V$56)*$C$3:$V$3))</f>
        <v/>
      </c>
      <c r="R266" s="61">
        <f>SUMPRODUCT(MAX(($C$12:$V$12=R$12)*($C$56:$V$56)*$C$3:$V$3))</f>
        <v/>
      </c>
      <c r="S266" s="61">
        <f>SUMPRODUCT(MAX(($C$12:$V$12=S$12)*($C$56:$V$56)*$C$3:$V$3))</f>
        <v/>
      </c>
      <c r="T266" s="61">
        <f>SUMPRODUCT(MAX(($C$12:$V$12=T$12)*($C$56:$V$56)*$C$3:$V$3))</f>
        <v/>
      </c>
      <c r="U266" s="61">
        <f>SUMPRODUCT(MAX(($C$12:$V$12=U$12)*($C$56:$V$56)*$C$3:$V$3))</f>
        <v/>
      </c>
      <c r="V266" s="61">
        <f>SUMPRODUCT(MAX(($C$12:$V$12=V$12)*($C$56:$V$56)*$C$3:$V$3))</f>
        <v/>
      </c>
    </row>
    <row r="267">
      <c r="C267" s="61">
        <f>SUMPRODUCT(MAX(($C$12:$V$12=C$12)*($C$57:$V$57)*$C$3:$V$3))</f>
        <v/>
      </c>
      <c r="D267" s="61">
        <f>SUMPRODUCT(MAX(($C$12:$V$12=D$12)*($C$57:$V$57)*$C$3:$V$3))</f>
        <v/>
      </c>
      <c r="E267" s="61">
        <f>SUMPRODUCT(MAX(($C$12:$V$12=E$12)*($C$57:$V$57)*$C$3:$V$3))</f>
        <v/>
      </c>
      <c r="F267" s="61">
        <f>SUMPRODUCT(MAX(($C$12:$V$12=F$12)*($C$57:$V$57)*$C$3:$V$3))</f>
        <v/>
      </c>
      <c r="G267" s="61">
        <f>SUMPRODUCT(MAX(($C$12:$V$12=G$12)*($C$57:$V$57)*$C$3:$V$3))</f>
        <v/>
      </c>
      <c r="H267" s="61">
        <f>SUMPRODUCT(MAX(($C$12:$V$12=H$12)*($C$57:$V$57)*$C$3:$V$3))</f>
        <v/>
      </c>
      <c r="I267" s="61">
        <f>SUMPRODUCT(MAX(($C$12:$V$12=I$12)*($C$57:$V$57)*$C$3:$V$3))</f>
        <v/>
      </c>
      <c r="J267" s="61">
        <f>SUMPRODUCT(MAX(($C$12:$V$12=J$12)*($C$57:$V$57)*$C$3:$V$3))</f>
        <v/>
      </c>
      <c r="K267" s="61">
        <f>SUMPRODUCT(MAX(($C$12:$V$12=K$12)*($C$57:$V$57)*$C$3:$V$3))</f>
        <v/>
      </c>
      <c r="L267" s="61">
        <f>SUMPRODUCT(MAX(($C$12:$V$12=L$12)*($C$57:$V$57)*$C$3:$V$3))</f>
        <v/>
      </c>
      <c r="M267" s="61">
        <f>SUMPRODUCT(MAX(($C$12:$V$12=M$12)*($C$57:$V$57)*$C$3:$V$3))</f>
        <v/>
      </c>
      <c r="N267" s="61">
        <f>SUMPRODUCT(MAX(($C$12:$V$12=N$12)*($C$57:$V$57)*$C$3:$V$3))</f>
        <v/>
      </c>
      <c r="O267" s="61">
        <f>SUMPRODUCT(MAX(($C$12:$V$12=O$12)*($C$57:$V$57)*$C$3:$V$3))</f>
        <v/>
      </c>
      <c r="P267" s="61">
        <f>SUMPRODUCT(MAX(($C$12:$V$12=P$12)*($C$57:$V$57)*$C$3:$V$3))</f>
        <v/>
      </c>
      <c r="Q267" s="61">
        <f>SUMPRODUCT(MAX(($C$12:$V$12=Q$12)*($C$57:$V$57)*$C$3:$V$3))</f>
        <v/>
      </c>
      <c r="R267" s="61">
        <f>SUMPRODUCT(MAX(($C$12:$V$12=R$12)*($C$57:$V$57)*$C$3:$V$3))</f>
        <v/>
      </c>
      <c r="S267" s="61">
        <f>SUMPRODUCT(MAX(($C$12:$V$12=S$12)*($C$57:$V$57)*$C$3:$V$3))</f>
        <v/>
      </c>
      <c r="T267" s="61">
        <f>SUMPRODUCT(MAX(($C$12:$V$12=T$12)*($C$57:$V$57)*$C$3:$V$3))</f>
        <v/>
      </c>
      <c r="U267" s="61">
        <f>SUMPRODUCT(MAX(($C$12:$V$12=U$12)*($C$57:$V$57)*$C$3:$V$3))</f>
        <v/>
      </c>
      <c r="V267" s="61">
        <f>SUMPRODUCT(MAX(($C$12:$V$12=V$12)*($C$57:$V$57)*$C$3:$V$3))</f>
        <v/>
      </c>
    </row>
    <row r="268">
      <c r="C268" s="61">
        <f>SUMPRODUCT(MAX(($C$12:$V$12=C$12)*($C$58:$V$58)*$C$3:$V$3))</f>
        <v/>
      </c>
      <c r="D268" s="61">
        <f>SUMPRODUCT(MAX(($C$12:$V$12=D$12)*($C$58:$V$58)*$C$3:$V$3))</f>
        <v/>
      </c>
      <c r="E268" s="61">
        <f>SUMPRODUCT(MAX(($C$12:$V$12=E$12)*($C$58:$V$58)*$C$3:$V$3))</f>
        <v/>
      </c>
      <c r="F268" s="61">
        <f>SUMPRODUCT(MAX(($C$12:$V$12=F$12)*($C$58:$V$58)*$C$3:$V$3))</f>
        <v/>
      </c>
      <c r="G268" s="61">
        <f>SUMPRODUCT(MAX(($C$12:$V$12=G$12)*($C$58:$V$58)*$C$3:$V$3))</f>
        <v/>
      </c>
      <c r="H268" s="61">
        <f>SUMPRODUCT(MAX(($C$12:$V$12=H$12)*($C$58:$V$58)*$C$3:$V$3))</f>
        <v/>
      </c>
      <c r="I268" s="61">
        <f>SUMPRODUCT(MAX(($C$12:$V$12=I$12)*($C$58:$V$58)*$C$3:$V$3))</f>
        <v/>
      </c>
      <c r="J268" s="61">
        <f>SUMPRODUCT(MAX(($C$12:$V$12=J$12)*($C$58:$V$58)*$C$3:$V$3))</f>
        <v/>
      </c>
      <c r="K268" s="61">
        <f>SUMPRODUCT(MAX(($C$12:$V$12=K$12)*($C$58:$V$58)*$C$3:$V$3))</f>
        <v/>
      </c>
      <c r="L268" s="61">
        <f>SUMPRODUCT(MAX(($C$12:$V$12=L$12)*($C$58:$V$58)*$C$3:$V$3))</f>
        <v/>
      </c>
      <c r="M268" s="61">
        <f>SUMPRODUCT(MAX(($C$12:$V$12=M$12)*($C$58:$V$58)*$C$3:$V$3))</f>
        <v/>
      </c>
      <c r="N268" s="61">
        <f>SUMPRODUCT(MAX(($C$12:$V$12=N$12)*($C$58:$V$58)*$C$3:$V$3))</f>
        <v/>
      </c>
      <c r="O268" s="61">
        <f>SUMPRODUCT(MAX(($C$12:$V$12=O$12)*($C$58:$V$58)*$C$3:$V$3))</f>
        <v/>
      </c>
      <c r="P268" s="61">
        <f>SUMPRODUCT(MAX(($C$12:$V$12=P$12)*($C$58:$V$58)*$C$3:$V$3))</f>
        <v/>
      </c>
      <c r="Q268" s="61">
        <f>SUMPRODUCT(MAX(($C$12:$V$12=Q$12)*($C$58:$V$58)*$C$3:$V$3))</f>
        <v/>
      </c>
      <c r="R268" s="61">
        <f>SUMPRODUCT(MAX(($C$12:$V$12=R$12)*($C$58:$V$58)*$C$3:$V$3))</f>
        <v/>
      </c>
      <c r="S268" s="61">
        <f>SUMPRODUCT(MAX(($C$12:$V$12=S$12)*($C$58:$V$58)*$C$3:$V$3))</f>
        <v/>
      </c>
      <c r="T268" s="61">
        <f>SUMPRODUCT(MAX(($C$12:$V$12=T$12)*($C$58:$V$58)*$C$3:$V$3))</f>
        <v/>
      </c>
      <c r="U268" s="61">
        <f>SUMPRODUCT(MAX(($C$12:$V$12=U$12)*($C$58:$V$58)*$C$3:$V$3))</f>
        <v/>
      </c>
      <c r="V268" s="61">
        <f>SUMPRODUCT(MAX(($C$12:$V$12=V$12)*($C$58:$V$58)*$C$3:$V$3))</f>
        <v/>
      </c>
    </row>
    <row r="269">
      <c r="C269" s="61">
        <f>SUMPRODUCT(MAX(($C$12:$V$12=C$12)*($C$59:$V$59)*$C$3:$V$3))</f>
        <v/>
      </c>
      <c r="D269" s="61">
        <f>SUMPRODUCT(MAX(($C$12:$V$12=D$12)*($C$59:$V$59)*$C$3:$V$3))</f>
        <v/>
      </c>
      <c r="E269" s="61">
        <f>SUMPRODUCT(MAX(($C$12:$V$12=E$12)*($C$59:$V$59)*$C$3:$V$3))</f>
        <v/>
      </c>
      <c r="F269" s="61">
        <f>SUMPRODUCT(MAX(($C$12:$V$12=F$12)*($C$59:$V$59)*$C$3:$V$3))</f>
        <v/>
      </c>
      <c r="G269" s="61">
        <f>SUMPRODUCT(MAX(($C$12:$V$12=G$12)*($C$59:$V$59)*$C$3:$V$3))</f>
        <v/>
      </c>
      <c r="H269" s="61">
        <f>SUMPRODUCT(MAX(($C$12:$V$12=H$12)*($C$59:$V$59)*$C$3:$V$3))</f>
        <v/>
      </c>
      <c r="I269" s="61">
        <f>SUMPRODUCT(MAX(($C$12:$V$12=I$12)*($C$59:$V$59)*$C$3:$V$3))</f>
        <v/>
      </c>
      <c r="J269" s="61">
        <f>SUMPRODUCT(MAX(($C$12:$V$12=J$12)*($C$59:$V$59)*$C$3:$V$3))</f>
        <v/>
      </c>
      <c r="K269" s="61">
        <f>SUMPRODUCT(MAX(($C$12:$V$12=K$12)*($C$59:$V$59)*$C$3:$V$3))</f>
        <v/>
      </c>
      <c r="L269" s="61">
        <f>SUMPRODUCT(MAX(($C$12:$V$12=L$12)*($C$59:$V$59)*$C$3:$V$3))</f>
        <v/>
      </c>
      <c r="M269" s="61">
        <f>SUMPRODUCT(MAX(($C$12:$V$12=M$12)*($C$59:$V$59)*$C$3:$V$3))</f>
        <v/>
      </c>
      <c r="N269" s="61">
        <f>SUMPRODUCT(MAX(($C$12:$V$12=N$12)*($C$59:$V$59)*$C$3:$V$3))</f>
        <v/>
      </c>
      <c r="O269" s="61">
        <f>SUMPRODUCT(MAX(($C$12:$V$12=O$12)*($C$59:$V$59)*$C$3:$V$3))</f>
        <v/>
      </c>
      <c r="P269" s="61">
        <f>SUMPRODUCT(MAX(($C$12:$V$12=P$12)*($C$59:$V$59)*$C$3:$V$3))</f>
        <v/>
      </c>
      <c r="Q269" s="61">
        <f>SUMPRODUCT(MAX(($C$12:$V$12=Q$12)*($C$59:$V$59)*$C$3:$V$3))</f>
        <v/>
      </c>
      <c r="R269" s="61">
        <f>SUMPRODUCT(MAX(($C$12:$V$12=R$12)*($C$59:$V$59)*$C$3:$V$3))</f>
        <v/>
      </c>
      <c r="S269" s="61">
        <f>SUMPRODUCT(MAX(($C$12:$V$12=S$12)*($C$59:$V$59)*$C$3:$V$3))</f>
        <v/>
      </c>
      <c r="T269" s="61">
        <f>SUMPRODUCT(MAX(($C$12:$V$12=T$12)*($C$59:$V$59)*$C$3:$V$3))</f>
        <v/>
      </c>
      <c r="U269" s="61">
        <f>SUMPRODUCT(MAX(($C$12:$V$12=U$12)*($C$59:$V$59)*$C$3:$V$3))</f>
        <v/>
      </c>
      <c r="V269" s="61">
        <f>SUMPRODUCT(MAX(($C$12:$V$12=V$12)*($C$59:$V$59)*$C$3:$V$3))</f>
        <v/>
      </c>
    </row>
    <row r="270">
      <c r="C270" s="61">
        <f>SUMPRODUCT(MAX(($C$12:$V$12=C$12)*($C$60:$V$60)*$C$3:$V$3))</f>
        <v/>
      </c>
      <c r="D270" s="61">
        <f>SUMPRODUCT(MAX(($C$12:$V$12=D$12)*($C$60:$V$60)*$C$3:$V$3))</f>
        <v/>
      </c>
      <c r="E270" s="61">
        <f>SUMPRODUCT(MAX(($C$12:$V$12=E$12)*($C$60:$V$60)*$C$3:$V$3))</f>
        <v/>
      </c>
      <c r="F270" s="61">
        <f>SUMPRODUCT(MAX(($C$12:$V$12=F$12)*($C$60:$V$60)*$C$3:$V$3))</f>
        <v/>
      </c>
      <c r="G270" s="61">
        <f>SUMPRODUCT(MAX(($C$12:$V$12=G$12)*($C$60:$V$60)*$C$3:$V$3))</f>
        <v/>
      </c>
      <c r="H270" s="61">
        <f>SUMPRODUCT(MAX(($C$12:$V$12=H$12)*($C$60:$V$60)*$C$3:$V$3))</f>
        <v/>
      </c>
      <c r="I270" s="61">
        <f>SUMPRODUCT(MAX(($C$12:$V$12=I$12)*($C$60:$V$60)*$C$3:$V$3))</f>
        <v/>
      </c>
      <c r="J270" s="61">
        <f>SUMPRODUCT(MAX(($C$12:$V$12=J$12)*($C$60:$V$60)*$C$3:$V$3))</f>
        <v/>
      </c>
      <c r="K270" s="61">
        <f>SUMPRODUCT(MAX(($C$12:$V$12=K$12)*($C$60:$V$60)*$C$3:$V$3))</f>
        <v/>
      </c>
      <c r="L270" s="61">
        <f>SUMPRODUCT(MAX(($C$12:$V$12=L$12)*($C$60:$V$60)*$C$3:$V$3))</f>
        <v/>
      </c>
      <c r="M270" s="61">
        <f>SUMPRODUCT(MAX(($C$12:$V$12=M$12)*($C$60:$V$60)*$C$3:$V$3))</f>
        <v/>
      </c>
      <c r="N270" s="61">
        <f>SUMPRODUCT(MAX(($C$12:$V$12=N$12)*($C$60:$V$60)*$C$3:$V$3))</f>
        <v/>
      </c>
      <c r="O270" s="61">
        <f>SUMPRODUCT(MAX(($C$12:$V$12=O$12)*($C$60:$V$60)*$C$3:$V$3))</f>
        <v/>
      </c>
      <c r="P270" s="61">
        <f>SUMPRODUCT(MAX(($C$12:$V$12=P$12)*($C$60:$V$60)*$C$3:$V$3))</f>
        <v/>
      </c>
      <c r="Q270" s="61">
        <f>SUMPRODUCT(MAX(($C$12:$V$12=Q$12)*($C$60:$V$60)*$C$3:$V$3))</f>
        <v/>
      </c>
      <c r="R270" s="61">
        <f>SUMPRODUCT(MAX(($C$12:$V$12=R$12)*($C$60:$V$60)*$C$3:$V$3))</f>
        <v/>
      </c>
      <c r="S270" s="61">
        <f>SUMPRODUCT(MAX(($C$12:$V$12=S$12)*($C$60:$V$60)*$C$3:$V$3))</f>
        <v/>
      </c>
      <c r="T270" s="61">
        <f>SUMPRODUCT(MAX(($C$12:$V$12=T$12)*($C$60:$V$60)*$C$3:$V$3))</f>
        <v/>
      </c>
      <c r="U270" s="61">
        <f>SUMPRODUCT(MAX(($C$12:$V$12=U$12)*($C$60:$V$60)*$C$3:$V$3))</f>
        <v/>
      </c>
      <c r="V270" s="61">
        <f>SUMPRODUCT(MAX(($C$12:$V$12=V$12)*($C$60:$V$60)*$C$3:$V$3))</f>
        <v/>
      </c>
    </row>
    <row r="271">
      <c r="C271" s="61">
        <f>SUMPRODUCT(MAX(($C$12:$V$12=C$12)*($C$61:$V$61)*$C$3:$V$3))</f>
        <v/>
      </c>
      <c r="D271" s="61">
        <f>SUMPRODUCT(MAX(($C$12:$V$12=D$12)*($C$61:$V$61)*$C$3:$V$3))</f>
        <v/>
      </c>
      <c r="E271" s="61">
        <f>SUMPRODUCT(MAX(($C$12:$V$12=E$12)*($C$61:$V$61)*$C$3:$V$3))</f>
        <v/>
      </c>
      <c r="F271" s="61">
        <f>SUMPRODUCT(MAX(($C$12:$V$12=F$12)*($C$61:$V$61)*$C$3:$V$3))</f>
        <v/>
      </c>
      <c r="G271" s="61">
        <f>SUMPRODUCT(MAX(($C$12:$V$12=G$12)*($C$61:$V$61)*$C$3:$V$3))</f>
        <v/>
      </c>
      <c r="H271" s="61">
        <f>SUMPRODUCT(MAX(($C$12:$V$12=H$12)*($C$61:$V$61)*$C$3:$V$3))</f>
        <v/>
      </c>
      <c r="I271" s="61">
        <f>SUMPRODUCT(MAX(($C$12:$V$12=I$12)*($C$61:$V$61)*$C$3:$V$3))</f>
        <v/>
      </c>
      <c r="J271" s="61">
        <f>SUMPRODUCT(MAX(($C$12:$V$12=J$12)*($C$61:$V$61)*$C$3:$V$3))</f>
        <v/>
      </c>
      <c r="K271" s="61">
        <f>SUMPRODUCT(MAX(($C$12:$V$12=K$12)*($C$61:$V$61)*$C$3:$V$3))</f>
        <v/>
      </c>
      <c r="L271" s="61">
        <f>SUMPRODUCT(MAX(($C$12:$V$12=L$12)*($C$61:$V$61)*$C$3:$V$3))</f>
        <v/>
      </c>
      <c r="M271" s="61">
        <f>SUMPRODUCT(MAX(($C$12:$V$12=M$12)*($C$61:$V$61)*$C$3:$V$3))</f>
        <v/>
      </c>
      <c r="N271" s="61">
        <f>SUMPRODUCT(MAX(($C$12:$V$12=N$12)*($C$61:$V$61)*$C$3:$V$3))</f>
        <v/>
      </c>
      <c r="O271" s="61">
        <f>SUMPRODUCT(MAX(($C$12:$V$12=O$12)*($C$61:$V$61)*$C$3:$V$3))</f>
        <v/>
      </c>
      <c r="P271" s="61">
        <f>SUMPRODUCT(MAX(($C$12:$V$12=P$12)*($C$61:$V$61)*$C$3:$V$3))</f>
        <v/>
      </c>
      <c r="Q271" s="61">
        <f>SUMPRODUCT(MAX(($C$12:$V$12=Q$12)*($C$61:$V$61)*$C$3:$V$3))</f>
        <v/>
      </c>
      <c r="R271" s="61">
        <f>SUMPRODUCT(MAX(($C$12:$V$12=R$12)*($C$61:$V$61)*$C$3:$V$3))</f>
        <v/>
      </c>
      <c r="S271" s="61">
        <f>SUMPRODUCT(MAX(($C$12:$V$12=S$12)*($C$61:$V$61)*$C$3:$V$3))</f>
        <v/>
      </c>
      <c r="T271" s="61">
        <f>SUMPRODUCT(MAX(($C$12:$V$12=T$12)*($C$61:$V$61)*$C$3:$V$3))</f>
        <v/>
      </c>
      <c r="U271" s="61">
        <f>SUMPRODUCT(MAX(($C$12:$V$12=U$12)*($C$61:$V$61)*$C$3:$V$3))</f>
        <v/>
      </c>
      <c r="V271" s="61">
        <f>SUMPRODUCT(MAX(($C$12:$V$12=V$12)*($C$61:$V$61)*$C$3:$V$3))</f>
        <v/>
      </c>
    </row>
    <row r="272">
      <c r="C272" s="61">
        <f>SUMPRODUCT(MAX(($C$12:$V$12=C$12)*($C$62:$V$62)*$C$3:$V$3))</f>
        <v/>
      </c>
      <c r="D272" s="61">
        <f>SUMPRODUCT(MAX(($C$12:$V$12=D$12)*($C$62:$V$62)*$C$3:$V$3))</f>
        <v/>
      </c>
      <c r="E272" s="61">
        <f>SUMPRODUCT(MAX(($C$12:$V$12=E$12)*($C$62:$V$62)*$C$3:$V$3))</f>
        <v/>
      </c>
      <c r="F272" s="61">
        <f>SUMPRODUCT(MAX(($C$12:$V$12=F$12)*($C$62:$V$62)*$C$3:$V$3))</f>
        <v/>
      </c>
      <c r="G272" s="61">
        <f>SUMPRODUCT(MAX(($C$12:$V$12=G$12)*($C$62:$V$62)*$C$3:$V$3))</f>
        <v/>
      </c>
      <c r="H272" s="61">
        <f>SUMPRODUCT(MAX(($C$12:$V$12=H$12)*($C$62:$V$62)*$C$3:$V$3))</f>
        <v/>
      </c>
      <c r="I272" s="61">
        <f>SUMPRODUCT(MAX(($C$12:$V$12=I$12)*($C$62:$V$62)*$C$3:$V$3))</f>
        <v/>
      </c>
      <c r="J272" s="61">
        <f>SUMPRODUCT(MAX(($C$12:$V$12=J$12)*($C$62:$V$62)*$C$3:$V$3))</f>
        <v/>
      </c>
      <c r="K272" s="61">
        <f>SUMPRODUCT(MAX(($C$12:$V$12=K$12)*($C$62:$V$62)*$C$3:$V$3))</f>
        <v/>
      </c>
      <c r="L272" s="61">
        <f>SUMPRODUCT(MAX(($C$12:$V$12=L$12)*($C$62:$V$62)*$C$3:$V$3))</f>
        <v/>
      </c>
      <c r="M272" s="61">
        <f>SUMPRODUCT(MAX(($C$12:$V$12=M$12)*($C$62:$V$62)*$C$3:$V$3))</f>
        <v/>
      </c>
      <c r="N272" s="61">
        <f>SUMPRODUCT(MAX(($C$12:$V$12=N$12)*($C$62:$V$62)*$C$3:$V$3))</f>
        <v/>
      </c>
      <c r="O272" s="61">
        <f>SUMPRODUCT(MAX(($C$12:$V$12=O$12)*($C$62:$V$62)*$C$3:$V$3))</f>
        <v/>
      </c>
      <c r="P272" s="61">
        <f>SUMPRODUCT(MAX(($C$12:$V$12=P$12)*($C$62:$V$62)*$C$3:$V$3))</f>
        <v/>
      </c>
      <c r="Q272" s="61">
        <f>SUMPRODUCT(MAX(($C$12:$V$12=Q$12)*($C$62:$V$62)*$C$3:$V$3))</f>
        <v/>
      </c>
      <c r="R272" s="61">
        <f>SUMPRODUCT(MAX(($C$12:$V$12=R$12)*($C$62:$V$62)*$C$3:$V$3))</f>
        <v/>
      </c>
      <c r="S272" s="61">
        <f>SUMPRODUCT(MAX(($C$12:$V$12=S$12)*($C$62:$V$62)*$C$3:$V$3))</f>
        <v/>
      </c>
      <c r="T272" s="61">
        <f>SUMPRODUCT(MAX(($C$12:$V$12=T$12)*($C$62:$V$62)*$C$3:$V$3))</f>
        <v/>
      </c>
      <c r="U272" s="61">
        <f>SUMPRODUCT(MAX(($C$12:$V$12=U$12)*($C$62:$V$62)*$C$3:$V$3))</f>
        <v/>
      </c>
      <c r="V272" s="61">
        <f>SUMPRODUCT(MAX(($C$12:$V$12=V$12)*($C$62:$V$62)*$C$3:$V$3))</f>
        <v/>
      </c>
    </row>
    <row r="273">
      <c r="C273" s="61">
        <f>SUMPRODUCT(MAX(($C$12:$V$12=C$12)*($C$63:$V$63)*$C$3:$V$3))</f>
        <v/>
      </c>
      <c r="D273" s="61">
        <f>SUMPRODUCT(MAX(($C$12:$V$12=D$12)*($C$63:$V$63)*$C$3:$V$3))</f>
        <v/>
      </c>
      <c r="E273" s="61">
        <f>SUMPRODUCT(MAX(($C$12:$V$12=E$12)*($C$63:$V$63)*$C$3:$V$3))</f>
        <v/>
      </c>
      <c r="F273" s="61">
        <f>SUMPRODUCT(MAX(($C$12:$V$12=F$12)*($C$63:$V$63)*$C$3:$V$3))</f>
        <v/>
      </c>
      <c r="G273" s="61">
        <f>SUMPRODUCT(MAX(($C$12:$V$12=G$12)*($C$63:$V$63)*$C$3:$V$3))</f>
        <v/>
      </c>
      <c r="H273" s="61">
        <f>SUMPRODUCT(MAX(($C$12:$V$12=H$12)*($C$63:$V$63)*$C$3:$V$3))</f>
        <v/>
      </c>
      <c r="I273" s="61">
        <f>SUMPRODUCT(MAX(($C$12:$V$12=I$12)*($C$63:$V$63)*$C$3:$V$3))</f>
        <v/>
      </c>
      <c r="J273" s="61">
        <f>SUMPRODUCT(MAX(($C$12:$V$12=J$12)*($C$63:$V$63)*$C$3:$V$3))</f>
        <v/>
      </c>
      <c r="K273" s="61">
        <f>SUMPRODUCT(MAX(($C$12:$V$12=K$12)*($C$63:$V$63)*$C$3:$V$3))</f>
        <v/>
      </c>
      <c r="L273" s="61">
        <f>SUMPRODUCT(MAX(($C$12:$V$12=L$12)*($C$63:$V$63)*$C$3:$V$3))</f>
        <v/>
      </c>
      <c r="M273" s="61">
        <f>SUMPRODUCT(MAX(($C$12:$V$12=M$12)*($C$63:$V$63)*$C$3:$V$3))</f>
        <v/>
      </c>
      <c r="N273" s="61">
        <f>SUMPRODUCT(MAX(($C$12:$V$12=N$12)*($C$63:$V$63)*$C$3:$V$3))</f>
        <v/>
      </c>
      <c r="O273" s="61">
        <f>SUMPRODUCT(MAX(($C$12:$V$12=O$12)*($C$63:$V$63)*$C$3:$V$3))</f>
        <v/>
      </c>
      <c r="P273" s="61">
        <f>SUMPRODUCT(MAX(($C$12:$V$12=P$12)*($C$63:$V$63)*$C$3:$V$3))</f>
        <v/>
      </c>
      <c r="Q273" s="61">
        <f>SUMPRODUCT(MAX(($C$12:$V$12=Q$12)*($C$63:$V$63)*$C$3:$V$3))</f>
        <v/>
      </c>
      <c r="R273" s="61">
        <f>SUMPRODUCT(MAX(($C$12:$V$12=R$12)*($C$63:$V$63)*$C$3:$V$3))</f>
        <v/>
      </c>
      <c r="S273" s="61">
        <f>SUMPRODUCT(MAX(($C$12:$V$12=S$12)*($C$63:$V$63)*$C$3:$V$3))</f>
        <v/>
      </c>
      <c r="T273" s="61">
        <f>SUMPRODUCT(MAX(($C$12:$V$12=T$12)*($C$63:$V$63)*$C$3:$V$3))</f>
        <v/>
      </c>
      <c r="U273" s="61">
        <f>SUMPRODUCT(MAX(($C$12:$V$12=U$12)*($C$63:$V$63)*$C$3:$V$3))</f>
        <v/>
      </c>
      <c r="V273" s="61">
        <f>SUMPRODUCT(MAX(($C$12:$V$12=V$12)*($C$63:$V$63)*$C$3:$V$3))</f>
        <v/>
      </c>
    </row>
    <row r="274">
      <c r="C274" s="61">
        <f>SUMPRODUCT(MAX(($C$12:$V$12=C$12)*($C$64:$V$64)*$C$3:$V$3))</f>
        <v/>
      </c>
      <c r="D274" s="61">
        <f>SUMPRODUCT(MAX(($C$12:$V$12=D$12)*($C$64:$V$64)*$C$3:$V$3))</f>
        <v/>
      </c>
      <c r="E274" s="61">
        <f>SUMPRODUCT(MAX(($C$12:$V$12=E$12)*($C$64:$V$64)*$C$3:$V$3))</f>
        <v/>
      </c>
      <c r="F274" s="61">
        <f>SUMPRODUCT(MAX(($C$12:$V$12=F$12)*($C$64:$V$64)*$C$3:$V$3))</f>
        <v/>
      </c>
      <c r="G274" s="61">
        <f>SUMPRODUCT(MAX(($C$12:$V$12=G$12)*($C$64:$V$64)*$C$3:$V$3))</f>
        <v/>
      </c>
      <c r="H274" s="61">
        <f>SUMPRODUCT(MAX(($C$12:$V$12=H$12)*($C$64:$V$64)*$C$3:$V$3))</f>
        <v/>
      </c>
      <c r="I274" s="61">
        <f>SUMPRODUCT(MAX(($C$12:$V$12=I$12)*($C$64:$V$64)*$C$3:$V$3))</f>
        <v/>
      </c>
      <c r="J274" s="61">
        <f>SUMPRODUCT(MAX(($C$12:$V$12=J$12)*($C$64:$V$64)*$C$3:$V$3))</f>
        <v/>
      </c>
      <c r="K274" s="61">
        <f>SUMPRODUCT(MAX(($C$12:$V$12=K$12)*($C$64:$V$64)*$C$3:$V$3))</f>
        <v/>
      </c>
      <c r="L274" s="61">
        <f>SUMPRODUCT(MAX(($C$12:$V$12=L$12)*($C$64:$V$64)*$C$3:$V$3))</f>
        <v/>
      </c>
      <c r="M274" s="61">
        <f>SUMPRODUCT(MAX(($C$12:$V$12=M$12)*($C$64:$V$64)*$C$3:$V$3))</f>
        <v/>
      </c>
      <c r="N274" s="61">
        <f>SUMPRODUCT(MAX(($C$12:$V$12=N$12)*($C$64:$V$64)*$C$3:$V$3))</f>
        <v/>
      </c>
      <c r="O274" s="61">
        <f>SUMPRODUCT(MAX(($C$12:$V$12=O$12)*($C$64:$V$64)*$C$3:$V$3))</f>
        <v/>
      </c>
      <c r="P274" s="61">
        <f>SUMPRODUCT(MAX(($C$12:$V$12=P$12)*($C$64:$V$64)*$C$3:$V$3))</f>
        <v/>
      </c>
      <c r="Q274" s="61">
        <f>SUMPRODUCT(MAX(($C$12:$V$12=Q$12)*($C$64:$V$64)*$C$3:$V$3))</f>
        <v/>
      </c>
      <c r="R274" s="61">
        <f>SUMPRODUCT(MAX(($C$12:$V$12=R$12)*($C$64:$V$64)*$C$3:$V$3))</f>
        <v/>
      </c>
      <c r="S274" s="61">
        <f>SUMPRODUCT(MAX(($C$12:$V$12=S$12)*($C$64:$V$64)*$C$3:$V$3))</f>
        <v/>
      </c>
      <c r="T274" s="61">
        <f>SUMPRODUCT(MAX(($C$12:$V$12=T$12)*($C$64:$V$64)*$C$3:$V$3))</f>
        <v/>
      </c>
      <c r="U274" s="61">
        <f>SUMPRODUCT(MAX(($C$12:$V$12=U$12)*($C$64:$V$64)*$C$3:$V$3))</f>
        <v/>
      </c>
      <c r="V274" s="61">
        <f>SUMPRODUCT(MAX(($C$12:$V$12=V$12)*($C$64:$V$64)*$C$3:$V$3))</f>
        <v/>
      </c>
    </row>
    <row r="275">
      <c r="C275" s="61">
        <f>SUMPRODUCT(MAX(($C$12:$V$12=C$12)*($C$65:$V$65)*$C$3:$V$3))</f>
        <v/>
      </c>
      <c r="D275" s="61">
        <f>SUMPRODUCT(MAX(($C$12:$V$12=D$12)*($C$65:$V$65)*$C$3:$V$3))</f>
        <v/>
      </c>
      <c r="E275" s="61">
        <f>SUMPRODUCT(MAX(($C$12:$V$12=E$12)*($C$65:$V$65)*$C$3:$V$3))</f>
        <v/>
      </c>
      <c r="F275" s="61">
        <f>SUMPRODUCT(MAX(($C$12:$V$12=F$12)*($C$65:$V$65)*$C$3:$V$3))</f>
        <v/>
      </c>
      <c r="G275" s="61">
        <f>SUMPRODUCT(MAX(($C$12:$V$12=G$12)*($C$65:$V$65)*$C$3:$V$3))</f>
        <v/>
      </c>
      <c r="H275" s="61">
        <f>SUMPRODUCT(MAX(($C$12:$V$12=H$12)*($C$65:$V$65)*$C$3:$V$3))</f>
        <v/>
      </c>
      <c r="I275" s="61">
        <f>SUMPRODUCT(MAX(($C$12:$V$12=I$12)*($C$65:$V$65)*$C$3:$V$3))</f>
        <v/>
      </c>
      <c r="J275" s="61">
        <f>SUMPRODUCT(MAX(($C$12:$V$12=J$12)*($C$65:$V$65)*$C$3:$V$3))</f>
        <v/>
      </c>
      <c r="K275" s="61">
        <f>SUMPRODUCT(MAX(($C$12:$V$12=K$12)*($C$65:$V$65)*$C$3:$V$3))</f>
        <v/>
      </c>
      <c r="L275" s="61">
        <f>SUMPRODUCT(MAX(($C$12:$V$12=L$12)*($C$65:$V$65)*$C$3:$V$3))</f>
        <v/>
      </c>
      <c r="M275" s="61">
        <f>SUMPRODUCT(MAX(($C$12:$V$12=M$12)*($C$65:$V$65)*$C$3:$V$3))</f>
        <v/>
      </c>
      <c r="N275" s="61">
        <f>SUMPRODUCT(MAX(($C$12:$V$12=N$12)*($C$65:$V$65)*$C$3:$V$3))</f>
        <v/>
      </c>
      <c r="O275" s="61">
        <f>SUMPRODUCT(MAX(($C$12:$V$12=O$12)*($C$65:$V$65)*$C$3:$V$3))</f>
        <v/>
      </c>
      <c r="P275" s="61">
        <f>SUMPRODUCT(MAX(($C$12:$V$12=P$12)*($C$65:$V$65)*$C$3:$V$3))</f>
        <v/>
      </c>
      <c r="Q275" s="61">
        <f>SUMPRODUCT(MAX(($C$12:$V$12=Q$12)*($C$65:$V$65)*$C$3:$V$3))</f>
        <v/>
      </c>
      <c r="R275" s="61">
        <f>SUMPRODUCT(MAX(($C$12:$V$12=R$12)*($C$65:$V$65)*$C$3:$V$3))</f>
        <v/>
      </c>
      <c r="S275" s="61">
        <f>SUMPRODUCT(MAX(($C$12:$V$12=S$12)*($C$65:$V$65)*$C$3:$V$3))</f>
        <v/>
      </c>
      <c r="T275" s="61">
        <f>SUMPRODUCT(MAX(($C$12:$V$12=T$12)*($C$65:$V$65)*$C$3:$V$3))</f>
        <v/>
      </c>
      <c r="U275" s="61">
        <f>SUMPRODUCT(MAX(($C$12:$V$12=U$12)*($C$65:$V$65)*$C$3:$V$3))</f>
        <v/>
      </c>
      <c r="V275" s="61">
        <f>SUMPRODUCT(MAX(($C$12:$V$12=V$12)*($C$65:$V$65)*$C$3:$V$3))</f>
        <v/>
      </c>
    </row>
    <row r="276">
      <c r="C276" s="61">
        <f>SUMPRODUCT(MAX(($C$12:$V$12=C$12)*($C$66:$V$66)*$C$3:$V$3))</f>
        <v/>
      </c>
      <c r="D276" s="61">
        <f>SUMPRODUCT(MAX(($C$12:$V$12=D$12)*($C$66:$V$66)*$C$3:$V$3))</f>
        <v/>
      </c>
      <c r="E276" s="61">
        <f>SUMPRODUCT(MAX(($C$12:$V$12=E$12)*($C$66:$V$66)*$C$3:$V$3))</f>
        <v/>
      </c>
      <c r="F276" s="61">
        <f>SUMPRODUCT(MAX(($C$12:$V$12=F$12)*($C$66:$V$66)*$C$3:$V$3))</f>
        <v/>
      </c>
      <c r="G276" s="61">
        <f>SUMPRODUCT(MAX(($C$12:$V$12=G$12)*($C$66:$V$66)*$C$3:$V$3))</f>
        <v/>
      </c>
      <c r="H276" s="61">
        <f>SUMPRODUCT(MAX(($C$12:$V$12=H$12)*($C$66:$V$66)*$C$3:$V$3))</f>
        <v/>
      </c>
      <c r="I276" s="61">
        <f>SUMPRODUCT(MAX(($C$12:$V$12=I$12)*($C$66:$V$66)*$C$3:$V$3))</f>
        <v/>
      </c>
      <c r="J276" s="61">
        <f>SUMPRODUCT(MAX(($C$12:$V$12=J$12)*($C$66:$V$66)*$C$3:$V$3))</f>
        <v/>
      </c>
      <c r="K276" s="61">
        <f>SUMPRODUCT(MAX(($C$12:$V$12=K$12)*($C$66:$V$66)*$C$3:$V$3))</f>
        <v/>
      </c>
      <c r="L276" s="61">
        <f>SUMPRODUCT(MAX(($C$12:$V$12=L$12)*($C$66:$V$66)*$C$3:$V$3))</f>
        <v/>
      </c>
      <c r="M276" s="61">
        <f>SUMPRODUCT(MAX(($C$12:$V$12=M$12)*($C$66:$V$66)*$C$3:$V$3))</f>
        <v/>
      </c>
      <c r="N276" s="61">
        <f>SUMPRODUCT(MAX(($C$12:$V$12=N$12)*($C$66:$V$66)*$C$3:$V$3))</f>
        <v/>
      </c>
      <c r="O276" s="61">
        <f>SUMPRODUCT(MAX(($C$12:$V$12=O$12)*($C$66:$V$66)*$C$3:$V$3))</f>
        <v/>
      </c>
      <c r="P276" s="61">
        <f>SUMPRODUCT(MAX(($C$12:$V$12=P$12)*($C$66:$V$66)*$C$3:$V$3))</f>
        <v/>
      </c>
      <c r="Q276" s="61">
        <f>SUMPRODUCT(MAX(($C$12:$V$12=Q$12)*($C$66:$V$66)*$C$3:$V$3))</f>
        <v/>
      </c>
      <c r="R276" s="61">
        <f>SUMPRODUCT(MAX(($C$12:$V$12=R$12)*($C$66:$V$66)*$C$3:$V$3))</f>
        <v/>
      </c>
      <c r="S276" s="61">
        <f>SUMPRODUCT(MAX(($C$12:$V$12=S$12)*($C$66:$V$66)*$C$3:$V$3))</f>
        <v/>
      </c>
      <c r="T276" s="61">
        <f>SUMPRODUCT(MAX(($C$12:$V$12=T$12)*($C$66:$V$66)*$C$3:$V$3))</f>
        <v/>
      </c>
      <c r="U276" s="61">
        <f>SUMPRODUCT(MAX(($C$12:$V$12=U$12)*($C$66:$V$66)*$C$3:$V$3))</f>
        <v/>
      </c>
      <c r="V276" s="61">
        <f>SUMPRODUCT(MAX(($C$12:$V$12=V$12)*($C$66:$V$66)*$C$3:$V$3))</f>
        <v/>
      </c>
    </row>
    <row r="277">
      <c r="C277" s="61">
        <f>SUMPRODUCT(MAX(($C$12:$V$12=C$12)*($C$67:$V$67)*$C$3:$V$3))</f>
        <v/>
      </c>
      <c r="D277" s="61">
        <f>SUMPRODUCT(MAX(($C$12:$V$12=D$12)*($C$67:$V$67)*$C$3:$V$3))</f>
        <v/>
      </c>
      <c r="E277" s="61">
        <f>SUMPRODUCT(MAX(($C$12:$V$12=E$12)*($C$67:$V$67)*$C$3:$V$3))</f>
        <v/>
      </c>
      <c r="F277" s="61">
        <f>SUMPRODUCT(MAX(($C$12:$V$12=F$12)*($C$67:$V$67)*$C$3:$V$3))</f>
        <v/>
      </c>
      <c r="G277" s="61">
        <f>SUMPRODUCT(MAX(($C$12:$V$12=G$12)*($C$67:$V$67)*$C$3:$V$3))</f>
        <v/>
      </c>
      <c r="H277" s="61">
        <f>SUMPRODUCT(MAX(($C$12:$V$12=H$12)*($C$67:$V$67)*$C$3:$V$3))</f>
        <v/>
      </c>
      <c r="I277" s="61">
        <f>SUMPRODUCT(MAX(($C$12:$V$12=I$12)*($C$67:$V$67)*$C$3:$V$3))</f>
        <v/>
      </c>
      <c r="J277" s="61">
        <f>SUMPRODUCT(MAX(($C$12:$V$12=J$12)*($C$67:$V$67)*$C$3:$V$3))</f>
        <v/>
      </c>
      <c r="K277" s="61">
        <f>SUMPRODUCT(MAX(($C$12:$V$12=K$12)*($C$67:$V$67)*$C$3:$V$3))</f>
        <v/>
      </c>
      <c r="L277" s="61">
        <f>SUMPRODUCT(MAX(($C$12:$V$12=L$12)*($C$67:$V$67)*$C$3:$V$3))</f>
        <v/>
      </c>
      <c r="M277" s="61">
        <f>SUMPRODUCT(MAX(($C$12:$V$12=M$12)*($C$67:$V$67)*$C$3:$V$3))</f>
        <v/>
      </c>
      <c r="N277" s="61">
        <f>SUMPRODUCT(MAX(($C$12:$V$12=N$12)*($C$67:$V$67)*$C$3:$V$3))</f>
        <v/>
      </c>
      <c r="O277" s="61">
        <f>SUMPRODUCT(MAX(($C$12:$V$12=O$12)*($C$67:$V$67)*$C$3:$V$3))</f>
        <v/>
      </c>
      <c r="P277" s="61">
        <f>SUMPRODUCT(MAX(($C$12:$V$12=P$12)*($C$67:$V$67)*$C$3:$V$3))</f>
        <v/>
      </c>
      <c r="Q277" s="61">
        <f>SUMPRODUCT(MAX(($C$12:$V$12=Q$12)*($C$67:$V$67)*$C$3:$V$3))</f>
        <v/>
      </c>
      <c r="R277" s="61">
        <f>SUMPRODUCT(MAX(($C$12:$V$12=R$12)*($C$67:$V$67)*$C$3:$V$3))</f>
        <v/>
      </c>
      <c r="S277" s="61">
        <f>SUMPRODUCT(MAX(($C$12:$V$12=S$12)*($C$67:$V$67)*$C$3:$V$3))</f>
        <v/>
      </c>
      <c r="T277" s="61">
        <f>SUMPRODUCT(MAX(($C$12:$V$12=T$12)*($C$67:$V$67)*$C$3:$V$3))</f>
        <v/>
      </c>
      <c r="U277" s="61">
        <f>SUMPRODUCT(MAX(($C$12:$V$12=U$12)*($C$67:$V$67)*$C$3:$V$3))</f>
        <v/>
      </c>
      <c r="V277" s="61">
        <f>SUMPRODUCT(MAX(($C$12:$V$12=V$12)*($C$67:$V$67)*$C$3:$V$3))</f>
        <v/>
      </c>
    </row>
    <row r="278">
      <c r="C278" s="61">
        <f>SUMPRODUCT(MAX(($C$12:$V$12=C$12)*($C$68:$V$68)*$C$3:$V$3))</f>
        <v/>
      </c>
      <c r="D278" s="61">
        <f>SUMPRODUCT(MAX(($C$12:$V$12=D$12)*($C$68:$V$68)*$C$3:$V$3))</f>
        <v/>
      </c>
      <c r="E278" s="61">
        <f>SUMPRODUCT(MAX(($C$12:$V$12=E$12)*($C$68:$V$68)*$C$3:$V$3))</f>
        <v/>
      </c>
      <c r="F278" s="61">
        <f>SUMPRODUCT(MAX(($C$12:$V$12=F$12)*($C$68:$V$68)*$C$3:$V$3))</f>
        <v/>
      </c>
      <c r="G278" s="61">
        <f>SUMPRODUCT(MAX(($C$12:$V$12=G$12)*($C$68:$V$68)*$C$3:$V$3))</f>
        <v/>
      </c>
      <c r="H278" s="61">
        <f>SUMPRODUCT(MAX(($C$12:$V$12=H$12)*($C$68:$V$68)*$C$3:$V$3))</f>
        <v/>
      </c>
      <c r="I278" s="61">
        <f>SUMPRODUCT(MAX(($C$12:$V$12=I$12)*($C$68:$V$68)*$C$3:$V$3))</f>
        <v/>
      </c>
      <c r="J278" s="61">
        <f>SUMPRODUCT(MAX(($C$12:$V$12=J$12)*($C$68:$V$68)*$C$3:$V$3))</f>
        <v/>
      </c>
      <c r="K278" s="61">
        <f>SUMPRODUCT(MAX(($C$12:$V$12=K$12)*($C$68:$V$68)*$C$3:$V$3))</f>
        <v/>
      </c>
      <c r="L278" s="61">
        <f>SUMPRODUCT(MAX(($C$12:$V$12=L$12)*($C$68:$V$68)*$C$3:$V$3))</f>
        <v/>
      </c>
      <c r="M278" s="61">
        <f>SUMPRODUCT(MAX(($C$12:$V$12=M$12)*($C$68:$V$68)*$C$3:$V$3))</f>
        <v/>
      </c>
      <c r="N278" s="61">
        <f>SUMPRODUCT(MAX(($C$12:$V$12=N$12)*($C$68:$V$68)*$C$3:$V$3))</f>
        <v/>
      </c>
      <c r="O278" s="61">
        <f>SUMPRODUCT(MAX(($C$12:$V$12=O$12)*($C$68:$V$68)*$C$3:$V$3))</f>
        <v/>
      </c>
      <c r="P278" s="61">
        <f>SUMPRODUCT(MAX(($C$12:$V$12=P$12)*($C$68:$V$68)*$C$3:$V$3))</f>
        <v/>
      </c>
      <c r="Q278" s="61">
        <f>SUMPRODUCT(MAX(($C$12:$V$12=Q$12)*($C$68:$V$68)*$C$3:$V$3))</f>
        <v/>
      </c>
      <c r="R278" s="61">
        <f>SUMPRODUCT(MAX(($C$12:$V$12=R$12)*($C$68:$V$68)*$C$3:$V$3))</f>
        <v/>
      </c>
      <c r="S278" s="61">
        <f>SUMPRODUCT(MAX(($C$12:$V$12=S$12)*($C$68:$V$68)*$C$3:$V$3))</f>
        <v/>
      </c>
      <c r="T278" s="61">
        <f>SUMPRODUCT(MAX(($C$12:$V$12=T$12)*($C$68:$V$68)*$C$3:$V$3))</f>
        <v/>
      </c>
      <c r="U278" s="61">
        <f>SUMPRODUCT(MAX(($C$12:$V$12=U$12)*($C$68:$V$68)*$C$3:$V$3))</f>
        <v/>
      </c>
      <c r="V278" s="61">
        <f>SUMPRODUCT(MAX(($C$12:$V$12=V$12)*($C$68:$V$68)*$C$3:$V$3))</f>
        <v/>
      </c>
    </row>
    <row r="279">
      <c r="C279" s="61">
        <f>SUMPRODUCT(MAX(($C$12:$V$12=C$12)*($C$69:$V$69)*$C$3:$V$3))</f>
        <v/>
      </c>
      <c r="D279" s="61">
        <f>SUMPRODUCT(MAX(($C$12:$V$12=D$12)*($C$69:$V$69)*$C$3:$V$3))</f>
        <v/>
      </c>
      <c r="E279" s="61">
        <f>SUMPRODUCT(MAX(($C$12:$V$12=E$12)*($C$69:$V$69)*$C$3:$V$3))</f>
        <v/>
      </c>
      <c r="F279" s="61">
        <f>SUMPRODUCT(MAX(($C$12:$V$12=F$12)*($C$69:$V$69)*$C$3:$V$3))</f>
        <v/>
      </c>
      <c r="G279" s="61">
        <f>SUMPRODUCT(MAX(($C$12:$V$12=G$12)*($C$69:$V$69)*$C$3:$V$3))</f>
        <v/>
      </c>
      <c r="H279" s="61">
        <f>SUMPRODUCT(MAX(($C$12:$V$12=H$12)*($C$69:$V$69)*$C$3:$V$3))</f>
        <v/>
      </c>
      <c r="I279" s="61">
        <f>SUMPRODUCT(MAX(($C$12:$V$12=I$12)*($C$69:$V$69)*$C$3:$V$3))</f>
        <v/>
      </c>
      <c r="J279" s="61">
        <f>SUMPRODUCT(MAX(($C$12:$V$12=J$12)*($C$69:$V$69)*$C$3:$V$3))</f>
        <v/>
      </c>
      <c r="K279" s="61">
        <f>SUMPRODUCT(MAX(($C$12:$V$12=K$12)*($C$69:$V$69)*$C$3:$V$3))</f>
        <v/>
      </c>
      <c r="L279" s="61">
        <f>SUMPRODUCT(MAX(($C$12:$V$12=L$12)*($C$69:$V$69)*$C$3:$V$3))</f>
        <v/>
      </c>
      <c r="M279" s="61">
        <f>SUMPRODUCT(MAX(($C$12:$V$12=M$12)*($C$69:$V$69)*$C$3:$V$3))</f>
        <v/>
      </c>
      <c r="N279" s="61">
        <f>SUMPRODUCT(MAX(($C$12:$V$12=N$12)*($C$69:$V$69)*$C$3:$V$3))</f>
        <v/>
      </c>
      <c r="O279" s="61">
        <f>SUMPRODUCT(MAX(($C$12:$V$12=O$12)*($C$69:$V$69)*$C$3:$V$3))</f>
        <v/>
      </c>
      <c r="P279" s="61">
        <f>SUMPRODUCT(MAX(($C$12:$V$12=P$12)*($C$69:$V$69)*$C$3:$V$3))</f>
        <v/>
      </c>
      <c r="Q279" s="61">
        <f>SUMPRODUCT(MAX(($C$12:$V$12=Q$12)*($C$69:$V$69)*$C$3:$V$3))</f>
        <v/>
      </c>
      <c r="R279" s="61">
        <f>SUMPRODUCT(MAX(($C$12:$V$12=R$12)*($C$69:$V$69)*$C$3:$V$3))</f>
        <v/>
      </c>
      <c r="S279" s="61">
        <f>SUMPRODUCT(MAX(($C$12:$V$12=S$12)*($C$69:$V$69)*$C$3:$V$3))</f>
        <v/>
      </c>
      <c r="T279" s="61">
        <f>SUMPRODUCT(MAX(($C$12:$V$12=T$12)*($C$69:$V$69)*$C$3:$V$3))</f>
        <v/>
      </c>
      <c r="U279" s="61">
        <f>SUMPRODUCT(MAX(($C$12:$V$12=U$12)*($C$69:$V$69)*$C$3:$V$3))</f>
        <v/>
      </c>
      <c r="V279" s="61">
        <f>SUMPRODUCT(MAX(($C$12:$V$12=V$12)*($C$69:$V$69)*$C$3:$V$3))</f>
        <v/>
      </c>
    </row>
    <row r="280">
      <c r="C280" s="61">
        <f>SUMPRODUCT(MAX(($C$12:$V$12=C$12)*($C$70:$V$70)*$C$3:$V$3))</f>
        <v/>
      </c>
      <c r="D280" s="61">
        <f>SUMPRODUCT(MAX(($C$12:$V$12=D$12)*($C$70:$V$70)*$C$3:$V$3))</f>
        <v/>
      </c>
      <c r="E280" s="61">
        <f>SUMPRODUCT(MAX(($C$12:$V$12=E$12)*($C$70:$V$70)*$C$3:$V$3))</f>
        <v/>
      </c>
      <c r="F280" s="61">
        <f>SUMPRODUCT(MAX(($C$12:$V$12=F$12)*($C$70:$V$70)*$C$3:$V$3))</f>
        <v/>
      </c>
      <c r="G280" s="61">
        <f>SUMPRODUCT(MAX(($C$12:$V$12=G$12)*($C$70:$V$70)*$C$3:$V$3))</f>
        <v/>
      </c>
      <c r="H280" s="61">
        <f>SUMPRODUCT(MAX(($C$12:$V$12=H$12)*($C$70:$V$70)*$C$3:$V$3))</f>
        <v/>
      </c>
      <c r="I280" s="61">
        <f>SUMPRODUCT(MAX(($C$12:$V$12=I$12)*($C$70:$V$70)*$C$3:$V$3))</f>
        <v/>
      </c>
      <c r="J280" s="61">
        <f>SUMPRODUCT(MAX(($C$12:$V$12=J$12)*($C$70:$V$70)*$C$3:$V$3))</f>
        <v/>
      </c>
      <c r="K280" s="61">
        <f>SUMPRODUCT(MAX(($C$12:$V$12=K$12)*($C$70:$V$70)*$C$3:$V$3))</f>
        <v/>
      </c>
      <c r="L280" s="61">
        <f>SUMPRODUCT(MAX(($C$12:$V$12=L$12)*($C$70:$V$70)*$C$3:$V$3))</f>
        <v/>
      </c>
      <c r="M280" s="61">
        <f>SUMPRODUCT(MAX(($C$12:$V$12=M$12)*($C$70:$V$70)*$C$3:$V$3))</f>
        <v/>
      </c>
      <c r="N280" s="61">
        <f>SUMPRODUCT(MAX(($C$12:$V$12=N$12)*($C$70:$V$70)*$C$3:$V$3))</f>
        <v/>
      </c>
      <c r="O280" s="61">
        <f>SUMPRODUCT(MAX(($C$12:$V$12=O$12)*($C$70:$V$70)*$C$3:$V$3))</f>
        <v/>
      </c>
      <c r="P280" s="61">
        <f>SUMPRODUCT(MAX(($C$12:$V$12=P$12)*($C$70:$V$70)*$C$3:$V$3))</f>
        <v/>
      </c>
      <c r="Q280" s="61">
        <f>SUMPRODUCT(MAX(($C$12:$V$12=Q$12)*($C$70:$V$70)*$C$3:$V$3))</f>
        <v/>
      </c>
      <c r="R280" s="61">
        <f>SUMPRODUCT(MAX(($C$12:$V$12=R$12)*($C$70:$V$70)*$C$3:$V$3))</f>
        <v/>
      </c>
      <c r="S280" s="61">
        <f>SUMPRODUCT(MAX(($C$12:$V$12=S$12)*($C$70:$V$70)*$C$3:$V$3))</f>
        <v/>
      </c>
      <c r="T280" s="61">
        <f>SUMPRODUCT(MAX(($C$12:$V$12=T$12)*($C$70:$V$70)*$C$3:$V$3))</f>
        <v/>
      </c>
      <c r="U280" s="61">
        <f>SUMPRODUCT(MAX(($C$12:$V$12=U$12)*($C$70:$V$70)*$C$3:$V$3))</f>
        <v/>
      </c>
      <c r="V280" s="61">
        <f>SUMPRODUCT(MAX(($C$12:$V$12=V$12)*($C$70:$V$70)*$C$3:$V$3))</f>
        <v/>
      </c>
    </row>
    <row r="281">
      <c r="C281" s="61">
        <f>SUMPRODUCT(MAX(($C$12:$V$12=C$12)*($C$71:$V$71)*$C$3:$V$3))</f>
        <v/>
      </c>
      <c r="D281" s="61">
        <f>SUMPRODUCT(MAX(($C$12:$V$12=D$12)*($C$71:$V$71)*$C$3:$V$3))</f>
        <v/>
      </c>
      <c r="E281" s="61">
        <f>SUMPRODUCT(MAX(($C$12:$V$12=E$12)*($C$71:$V$71)*$C$3:$V$3))</f>
        <v/>
      </c>
      <c r="F281" s="61">
        <f>SUMPRODUCT(MAX(($C$12:$V$12=F$12)*($C$71:$V$71)*$C$3:$V$3))</f>
        <v/>
      </c>
      <c r="G281" s="61">
        <f>SUMPRODUCT(MAX(($C$12:$V$12=G$12)*($C$71:$V$71)*$C$3:$V$3))</f>
        <v/>
      </c>
      <c r="H281" s="61">
        <f>SUMPRODUCT(MAX(($C$12:$V$12=H$12)*($C$71:$V$71)*$C$3:$V$3))</f>
        <v/>
      </c>
      <c r="I281" s="61">
        <f>SUMPRODUCT(MAX(($C$12:$V$12=I$12)*($C$71:$V$71)*$C$3:$V$3))</f>
        <v/>
      </c>
      <c r="J281" s="61">
        <f>SUMPRODUCT(MAX(($C$12:$V$12=J$12)*($C$71:$V$71)*$C$3:$V$3))</f>
        <v/>
      </c>
      <c r="K281" s="61">
        <f>SUMPRODUCT(MAX(($C$12:$V$12=K$12)*($C$71:$V$71)*$C$3:$V$3))</f>
        <v/>
      </c>
      <c r="L281" s="61">
        <f>SUMPRODUCT(MAX(($C$12:$V$12=L$12)*($C$71:$V$71)*$C$3:$V$3))</f>
        <v/>
      </c>
      <c r="M281" s="61">
        <f>SUMPRODUCT(MAX(($C$12:$V$12=M$12)*($C$71:$V$71)*$C$3:$V$3))</f>
        <v/>
      </c>
      <c r="N281" s="61">
        <f>SUMPRODUCT(MAX(($C$12:$V$12=N$12)*($C$71:$V$71)*$C$3:$V$3))</f>
        <v/>
      </c>
      <c r="O281" s="61">
        <f>SUMPRODUCT(MAX(($C$12:$V$12=O$12)*($C$71:$V$71)*$C$3:$V$3))</f>
        <v/>
      </c>
      <c r="P281" s="61">
        <f>SUMPRODUCT(MAX(($C$12:$V$12=P$12)*($C$71:$V$71)*$C$3:$V$3))</f>
        <v/>
      </c>
      <c r="Q281" s="61">
        <f>SUMPRODUCT(MAX(($C$12:$V$12=Q$12)*($C$71:$V$71)*$C$3:$V$3))</f>
        <v/>
      </c>
      <c r="R281" s="61">
        <f>SUMPRODUCT(MAX(($C$12:$V$12=R$12)*($C$71:$V$71)*$C$3:$V$3))</f>
        <v/>
      </c>
      <c r="S281" s="61">
        <f>SUMPRODUCT(MAX(($C$12:$V$12=S$12)*($C$71:$V$71)*$C$3:$V$3))</f>
        <v/>
      </c>
      <c r="T281" s="61">
        <f>SUMPRODUCT(MAX(($C$12:$V$12=T$12)*($C$71:$V$71)*$C$3:$V$3))</f>
        <v/>
      </c>
      <c r="U281" s="61">
        <f>SUMPRODUCT(MAX(($C$12:$V$12=U$12)*($C$71:$V$71)*$C$3:$V$3))</f>
        <v/>
      </c>
      <c r="V281" s="61">
        <f>SUMPRODUCT(MAX(($C$12:$V$12=V$12)*($C$71:$V$71)*$C$3:$V$3))</f>
        <v/>
      </c>
    </row>
    <row r="282">
      <c r="C282" s="61">
        <f>SUMPRODUCT(MAX(($C$12:$V$12=C$12)*($C$72:$V$72)*$C$3:$V$3))</f>
        <v/>
      </c>
      <c r="D282" s="61">
        <f>SUMPRODUCT(MAX(($C$12:$V$12=D$12)*($C$72:$V$72)*$C$3:$V$3))</f>
        <v/>
      </c>
      <c r="E282" s="61">
        <f>SUMPRODUCT(MAX(($C$12:$V$12=E$12)*($C$72:$V$72)*$C$3:$V$3))</f>
        <v/>
      </c>
      <c r="F282" s="61">
        <f>SUMPRODUCT(MAX(($C$12:$V$12=F$12)*($C$72:$V$72)*$C$3:$V$3))</f>
        <v/>
      </c>
      <c r="G282" s="61">
        <f>SUMPRODUCT(MAX(($C$12:$V$12=G$12)*($C$72:$V$72)*$C$3:$V$3))</f>
        <v/>
      </c>
      <c r="H282" s="61">
        <f>SUMPRODUCT(MAX(($C$12:$V$12=H$12)*($C$72:$V$72)*$C$3:$V$3))</f>
        <v/>
      </c>
      <c r="I282" s="61">
        <f>SUMPRODUCT(MAX(($C$12:$V$12=I$12)*($C$72:$V$72)*$C$3:$V$3))</f>
        <v/>
      </c>
      <c r="J282" s="61">
        <f>SUMPRODUCT(MAX(($C$12:$V$12=J$12)*($C$72:$V$72)*$C$3:$V$3))</f>
        <v/>
      </c>
      <c r="K282" s="61">
        <f>SUMPRODUCT(MAX(($C$12:$V$12=K$12)*($C$72:$V$72)*$C$3:$V$3))</f>
        <v/>
      </c>
      <c r="L282" s="61">
        <f>SUMPRODUCT(MAX(($C$12:$V$12=L$12)*($C$72:$V$72)*$C$3:$V$3))</f>
        <v/>
      </c>
      <c r="M282" s="61">
        <f>SUMPRODUCT(MAX(($C$12:$V$12=M$12)*($C$72:$V$72)*$C$3:$V$3))</f>
        <v/>
      </c>
      <c r="N282" s="61">
        <f>SUMPRODUCT(MAX(($C$12:$V$12=N$12)*($C$72:$V$72)*$C$3:$V$3))</f>
        <v/>
      </c>
      <c r="O282" s="61">
        <f>SUMPRODUCT(MAX(($C$12:$V$12=O$12)*($C$72:$V$72)*$C$3:$V$3))</f>
        <v/>
      </c>
      <c r="P282" s="61">
        <f>SUMPRODUCT(MAX(($C$12:$V$12=P$12)*($C$72:$V$72)*$C$3:$V$3))</f>
        <v/>
      </c>
      <c r="Q282" s="61">
        <f>SUMPRODUCT(MAX(($C$12:$V$12=Q$12)*($C$72:$V$72)*$C$3:$V$3))</f>
        <v/>
      </c>
      <c r="R282" s="61">
        <f>SUMPRODUCT(MAX(($C$12:$V$12=R$12)*($C$72:$V$72)*$C$3:$V$3))</f>
        <v/>
      </c>
      <c r="S282" s="61">
        <f>SUMPRODUCT(MAX(($C$12:$V$12=S$12)*($C$72:$V$72)*$C$3:$V$3))</f>
        <v/>
      </c>
      <c r="T282" s="61">
        <f>SUMPRODUCT(MAX(($C$12:$V$12=T$12)*($C$72:$V$72)*$C$3:$V$3))</f>
        <v/>
      </c>
      <c r="U282" s="61">
        <f>SUMPRODUCT(MAX(($C$12:$V$12=U$12)*($C$72:$V$72)*$C$3:$V$3))</f>
        <v/>
      </c>
      <c r="V282" s="61">
        <f>SUMPRODUCT(MAX(($C$12:$V$12=V$12)*($C$72:$V$72)*$C$3:$V$3))</f>
        <v/>
      </c>
    </row>
    <row r="283">
      <c r="C283" s="61">
        <f>SUMPRODUCT(MAX(($C$12:$V$12=C$12)*($C$73:$V$73)*$C$3:$V$3))</f>
        <v/>
      </c>
      <c r="D283" s="61">
        <f>SUMPRODUCT(MAX(($C$12:$V$12=D$12)*($C$73:$V$73)*$C$3:$V$3))</f>
        <v/>
      </c>
      <c r="E283" s="61">
        <f>SUMPRODUCT(MAX(($C$12:$V$12=E$12)*($C$73:$V$73)*$C$3:$V$3))</f>
        <v/>
      </c>
      <c r="F283" s="61">
        <f>SUMPRODUCT(MAX(($C$12:$V$12=F$12)*($C$73:$V$73)*$C$3:$V$3))</f>
        <v/>
      </c>
      <c r="G283" s="61">
        <f>SUMPRODUCT(MAX(($C$12:$V$12=G$12)*($C$73:$V$73)*$C$3:$V$3))</f>
        <v/>
      </c>
      <c r="H283" s="61">
        <f>SUMPRODUCT(MAX(($C$12:$V$12=H$12)*($C$73:$V$73)*$C$3:$V$3))</f>
        <v/>
      </c>
      <c r="I283" s="61">
        <f>SUMPRODUCT(MAX(($C$12:$V$12=I$12)*($C$73:$V$73)*$C$3:$V$3))</f>
        <v/>
      </c>
      <c r="J283" s="61">
        <f>SUMPRODUCT(MAX(($C$12:$V$12=J$12)*($C$73:$V$73)*$C$3:$V$3))</f>
        <v/>
      </c>
      <c r="K283" s="61">
        <f>SUMPRODUCT(MAX(($C$12:$V$12=K$12)*($C$73:$V$73)*$C$3:$V$3))</f>
        <v/>
      </c>
      <c r="L283" s="61">
        <f>SUMPRODUCT(MAX(($C$12:$V$12=L$12)*($C$73:$V$73)*$C$3:$V$3))</f>
        <v/>
      </c>
      <c r="M283" s="61">
        <f>SUMPRODUCT(MAX(($C$12:$V$12=M$12)*($C$73:$V$73)*$C$3:$V$3))</f>
        <v/>
      </c>
      <c r="N283" s="61">
        <f>SUMPRODUCT(MAX(($C$12:$V$12=N$12)*($C$73:$V$73)*$C$3:$V$3))</f>
        <v/>
      </c>
      <c r="O283" s="61">
        <f>SUMPRODUCT(MAX(($C$12:$V$12=O$12)*($C$73:$V$73)*$C$3:$V$3))</f>
        <v/>
      </c>
      <c r="P283" s="61">
        <f>SUMPRODUCT(MAX(($C$12:$V$12=P$12)*($C$73:$V$73)*$C$3:$V$3))</f>
        <v/>
      </c>
      <c r="Q283" s="61">
        <f>SUMPRODUCT(MAX(($C$12:$V$12=Q$12)*($C$73:$V$73)*$C$3:$V$3))</f>
        <v/>
      </c>
      <c r="R283" s="61">
        <f>SUMPRODUCT(MAX(($C$12:$V$12=R$12)*($C$73:$V$73)*$C$3:$V$3))</f>
        <v/>
      </c>
      <c r="S283" s="61">
        <f>SUMPRODUCT(MAX(($C$12:$V$12=S$12)*($C$73:$V$73)*$C$3:$V$3))</f>
        <v/>
      </c>
      <c r="T283" s="61">
        <f>SUMPRODUCT(MAX(($C$12:$V$12=T$12)*($C$73:$V$73)*$C$3:$V$3))</f>
        <v/>
      </c>
      <c r="U283" s="61">
        <f>SUMPRODUCT(MAX(($C$12:$V$12=U$12)*($C$73:$V$73)*$C$3:$V$3))</f>
        <v/>
      </c>
      <c r="V283" s="61">
        <f>SUMPRODUCT(MAX(($C$12:$V$12=V$12)*($C$73:$V$73)*$C$3:$V$3))</f>
        <v/>
      </c>
    </row>
    <row r="284">
      <c r="C284" s="61">
        <f>SUMPRODUCT(MAX(($C$12:$V$12=C$12)*($C$74:$V$74)*$C$3:$V$3))</f>
        <v/>
      </c>
      <c r="D284" s="61">
        <f>SUMPRODUCT(MAX(($C$12:$V$12=D$12)*($C$74:$V$74)*$C$3:$V$3))</f>
        <v/>
      </c>
      <c r="E284" s="61">
        <f>SUMPRODUCT(MAX(($C$12:$V$12=E$12)*($C$74:$V$74)*$C$3:$V$3))</f>
        <v/>
      </c>
      <c r="F284" s="61">
        <f>SUMPRODUCT(MAX(($C$12:$V$12=F$12)*($C$74:$V$74)*$C$3:$V$3))</f>
        <v/>
      </c>
      <c r="G284" s="61">
        <f>SUMPRODUCT(MAX(($C$12:$V$12=G$12)*($C$74:$V$74)*$C$3:$V$3))</f>
        <v/>
      </c>
      <c r="H284" s="61">
        <f>SUMPRODUCT(MAX(($C$12:$V$12=H$12)*($C$74:$V$74)*$C$3:$V$3))</f>
        <v/>
      </c>
      <c r="I284" s="61">
        <f>SUMPRODUCT(MAX(($C$12:$V$12=I$12)*($C$74:$V$74)*$C$3:$V$3))</f>
        <v/>
      </c>
      <c r="J284" s="61">
        <f>SUMPRODUCT(MAX(($C$12:$V$12=J$12)*($C$74:$V$74)*$C$3:$V$3))</f>
        <v/>
      </c>
      <c r="K284" s="61">
        <f>SUMPRODUCT(MAX(($C$12:$V$12=K$12)*($C$74:$V$74)*$C$3:$V$3))</f>
        <v/>
      </c>
      <c r="L284" s="61">
        <f>SUMPRODUCT(MAX(($C$12:$V$12=L$12)*($C$74:$V$74)*$C$3:$V$3))</f>
        <v/>
      </c>
      <c r="M284" s="61">
        <f>SUMPRODUCT(MAX(($C$12:$V$12=M$12)*($C$74:$V$74)*$C$3:$V$3))</f>
        <v/>
      </c>
      <c r="N284" s="61">
        <f>SUMPRODUCT(MAX(($C$12:$V$12=N$12)*($C$74:$V$74)*$C$3:$V$3))</f>
        <v/>
      </c>
      <c r="O284" s="61">
        <f>SUMPRODUCT(MAX(($C$12:$V$12=O$12)*($C$74:$V$74)*$C$3:$V$3))</f>
        <v/>
      </c>
      <c r="P284" s="61">
        <f>SUMPRODUCT(MAX(($C$12:$V$12=P$12)*($C$74:$V$74)*$C$3:$V$3))</f>
        <v/>
      </c>
      <c r="Q284" s="61">
        <f>SUMPRODUCT(MAX(($C$12:$V$12=Q$12)*($C$74:$V$74)*$C$3:$V$3))</f>
        <v/>
      </c>
      <c r="R284" s="61">
        <f>SUMPRODUCT(MAX(($C$12:$V$12=R$12)*($C$74:$V$74)*$C$3:$V$3))</f>
        <v/>
      </c>
      <c r="S284" s="61">
        <f>SUMPRODUCT(MAX(($C$12:$V$12=S$12)*($C$74:$V$74)*$C$3:$V$3))</f>
        <v/>
      </c>
      <c r="T284" s="61">
        <f>SUMPRODUCT(MAX(($C$12:$V$12=T$12)*($C$74:$V$74)*$C$3:$V$3))</f>
        <v/>
      </c>
      <c r="U284" s="61">
        <f>SUMPRODUCT(MAX(($C$12:$V$12=U$12)*($C$74:$V$74)*$C$3:$V$3))</f>
        <v/>
      </c>
      <c r="V284" s="61">
        <f>SUMPRODUCT(MAX(($C$12:$V$12=V$12)*($C$74:$V$74)*$C$3:$V$3))</f>
        <v/>
      </c>
    </row>
    <row r="289">
      <c r="A289" s="162" t="inlineStr">
        <is>
          <t>bester Prozentwert der Gruppe</t>
        </is>
      </c>
    </row>
    <row r="290">
      <c r="C290" s="61">
        <f>SUMPRODUCT(MAX(($C$12:$V$12=C$12)*($C$50:$V$50)*($C$20:$V$20)))</f>
        <v/>
      </c>
      <c r="D290" s="61">
        <f>SUMPRODUCT(MAX(($C$12:$V$12=D$12)*($C$50:$V$50)*($C$20:$V$20)))</f>
        <v/>
      </c>
      <c r="E290" s="61">
        <f>SUMPRODUCT(MAX(($C$12:$V$12=E$12)*($C$50:$V$50)*($C$20:$V$20)))</f>
        <v/>
      </c>
      <c r="F290" s="61">
        <f>SUMPRODUCT(MAX(($C$12:$V$12=F$12)*($C$50:$V$50)*($C$20:$V$20)))</f>
        <v/>
      </c>
      <c r="G290" s="61">
        <f>SUMPRODUCT(MAX(($C$12:$V$12=G$12)*($C$50:$V$50)*($C$20:$V$20)))</f>
        <v/>
      </c>
      <c r="H290" s="61">
        <f>SUMPRODUCT(MAX(($C$12:$V$12=H$12)*($C$50:$V$50)*($C$20:$V$20)))</f>
        <v/>
      </c>
      <c r="I290" s="61">
        <f>SUMPRODUCT(MAX(($C$12:$V$12=I$12)*($C$50:$V$50)*($C$20:$V$20)))</f>
        <v/>
      </c>
      <c r="J290" s="61">
        <f>SUMPRODUCT(MAX(($C$12:$V$12=J$12)*($C$50:$V$50)*($C$20:$V$20)))</f>
        <v/>
      </c>
      <c r="K290" s="61">
        <f>SUMPRODUCT(MAX(($C$12:$V$12=K$12)*($C$50:$V$50)*($C$20:$V$20)))</f>
        <v/>
      </c>
      <c r="L290" s="61">
        <f>SUMPRODUCT(MAX(($C$12:$V$12=L$12)*($C$50:$V$50)*($C$20:$V$20)))</f>
        <v/>
      </c>
      <c r="M290" s="61">
        <f>SUMPRODUCT(MAX(($C$12:$V$12=M$12)*($C$50:$V$50)*($C$20:$V$20)))</f>
        <v/>
      </c>
      <c r="N290" s="61">
        <f>SUMPRODUCT(MAX(($C$12:$V$12=N$12)*($C$50:$V$50)*($C$20:$V$20)))</f>
        <v/>
      </c>
      <c r="O290" s="61">
        <f>SUMPRODUCT(MAX(($C$12:$V$12=O$12)*($C$50:$V$50)*($C$20:$V$20)))</f>
        <v/>
      </c>
      <c r="P290" s="61">
        <f>SUMPRODUCT(MAX(($C$12:$V$12=P$12)*($C$50:$V$50)*($C$20:$V$20)))</f>
        <v/>
      </c>
      <c r="Q290" s="61">
        <f>SUMPRODUCT(MAX(($C$12:$V$12=Q$12)*($C$50:$V$50)*($C$20:$V$20)))</f>
        <v/>
      </c>
      <c r="R290" s="61">
        <f>SUMPRODUCT(MAX(($C$12:$V$12=R$12)*($C$50:$V$50)*($C$20:$V$20)))</f>
        <v/>
      </c>
      <c r="S290" s="61">
        <f>SUMPRODUCT(MAX(($C$12:$V$12=S$12)*($C$50:$V$50)*($C$20:$V$20)))</f>
        <v/>
      </c>
      <c r="T290" s="61">
        <f>SUMPRODUCT(MAX(($C$12:$V$12=T$12)*($C$50:$V$50)*($C$20:$V$20)))</f>
        <v/>
      </c>
      <c r="U290" s="61">
        <f>SUMPRODUCT(MAX(($C$12:$V$12=U$12)*($C$50:$V$50)*($C$20:$V$20)))</f>
        <v/>
      </c>
      <c r="V290" s="61">
        <f>SUMPRODUCT(MAX(($C$12:$V$12=V$12)*($C$50:$V$50)*($C$20:$V$20)))</f>
        <v/>
      </c>
    </row>
    <row r="291">
      <c r="C291" s="61">
        <f>SUMPRODUCT(MAX(($C$12:$V$12=C$12)*($C$51:$V$51)*($C$21:$V$21)))</f>
        <v/>
      </c>
      <c r="D291" s="61">
        <f>SUMPRODUCT(MAX(($C$12:$V$12=D$12)*($C$51:$V$51)*($C$21:$V$21)))</f>
        <v/>
      </c>
      <c r="E291" s="61">
        <f>SUMPRODUCT(MAX(($C$12:$V$12=E$12)*($C$51:$V$51)*($C$21:$V$21)))</f>
        <v/>
      </c>
      <c r="F291" s="61">
        <f>SUMPRODUCT(MAX(($C$12:$V$12=F$12)*($C$51:$V$51)*($C$21:$V$21)))</f>
        <v/>
      </c>
      <c r="G291" s="61">
        <f>SUMPRODUCT(MAX(($C$12:$V$12=G$12)*($C$51:$V$51)*($C$21:$V$21)))</f>
        <v/>
      </c>
      <c r="H291" s="61">
        <f>SUMPRODUCT(MAX(($C$12:$V$12=H$12)*($C$51:$V$51)*($C$21:$V$21)))</f>
        <v/>
      </c>
      <c r="I291" s="61">
        <f>SUMPRODUCT(MAX(($C$12:$V$12=I$12)*($C$51:$V$51)*($C$21:$V$21)))</f>
        <v/>
      </c>
      <c r="J291" s="61">
        <f>SUMPRODUCT(MAX(($C$12:$V$12=J$12)*($C$51:$V$51)*($C$21:$V$21)))</f>
        <v/>
      </c>
      <c r="K291" s="61">
        <f>SUMPRODUCT(MAX(($C$12:$V$12=K$12)*($C$51:$V$51)*($C$21:$V$21)))</f>
        <v/>
      </c>
      <c r="L291" s="61">
        <f>SUMPRODUCT(MAX(($C$12:$V$12=L$12)*($C$51:$V$51)*($C$21:$V$21)))</f>
        <v/>
      </c>
      <c r="M291" s="61">
        <f>SUMPRODUCT(MAX(($C$12:$V$12=M$12)*($C$51:$V$51)*($C$21:$V$21)))</f>
        <v/>
      </c>
      <c r="N291" s="61">
        <f>SUMPRODUCT(MAX(($C$12:$V$12=N$12)*($C$51:$V$51)*($C$21:$V$21)))</f>
        <v/>
      </c>
      <c r="O291" s="61">
        <f>SUMPRODUCT(MAX(($C$12:$V$12=O$12)*($C$51:$V$51)*($C$21:$V$21)))</f>
        <v/>
      </c>
      <c r="P291" s="61">
        <f>SUMPRODUCT(MAX(($C$12:$V$12=P$12)*($C$51:$V$51)*($C$21:$V$21)))</f>
        <v/>
      </c>
      <c r="Q291" s="61">
        <f>SUMPRODUCT(MAX(($C$12:$V$12=Q$12)*($C$51:$V$51)*($C$21:$V$21)))</f>
        <v/>
      </c>
      <c r="R291" s="61">
        <f>SUMPRODUCT(MAX(($C$12:$V$12=R$12)*($C$51:$V$51)*($C$21:$V$21)))</f>
        <v/>
      </c>
      <c r="S291" s="61">
        <f>SUMPRODUCT(MAX(($C$12:$V$12=S$12)*($C$51:$V$51)*($C$21:$V$21)))</f>
        <v/>
      </c>
      <c r="T291" s="61">
        <f>SUMPRODUCT(MAX(($C$12:$V$12=T$12)*($C$51:$V$51)*($C$21:$V$21)))</f>
        <v/>
      </c>
      <c r="U291" s="61">
        <f>SUMPRODUCT(MAX(($C$12:$V$12=U$12)*($C$51:$V$51)*($C$21:$V$21)))</f>
        <v/>
      </c>
      <c r="V291" s="61">
        <f>SUMPRODUCT(MAX(($C$12:$V$12=V$12)*($C$51:$V$51)*($C$21:$V$21)))</f>
        <v/>
      </c>
    </row>
    <row r="292">
      <c r="C292" s="61">
        <f>SUMPRODUCT(MAX(($C$12:$V$12=C$12)*($C$52:$V$52)*($C$22:$V$22)))</f>
        <v/>
      </c>
      <c r="D292" s="61">
        <f>SUMPRODUCT(MAX(($C$12:$V$12=D$12)*($C$52:$V$52)*($C$22:$V$22)))</f>
        <v/>
      </c>
      <c r="E292" s="61">
        <f>SUMPRODUCT(MAX(($C$12:$V$12=E$12)*($C$52:$V$52)*($C$22:$V$22)))</f>
        <v/>
      </c>
      <c r="F292" s="61">
        <f>SUMPRODUCT(MAX(($C$12:$V$12=F$12)*($C$52:$V$52)*($C$22:$V$22)))</f>
        <v/>
      </c>
      <c r="G292" s="61">
        <f>SUMPRODUCT(MAX(($C$12:$V$12=G$12)*($C$52:$V$52)*($C$22:$V$22)))</f>
        <v/>
      </c>
      <c r="H292" s="61">
        <f>SUMPRODUCT(MAX(($C$12:$V$12=H$12)*($C$52:$V$52)*($C$22:$V$22)))</f>
        <v/>
      </c>
      <c r="I292" s="61">
        <f>SUMPRODUCT(MAX(($C$12:$V$12=I$12)*($C$52:$V$52)*($C$22:$V$22)))</f>
        <v/>
      </c>
      <c r="J292" s="61">
        <f>SUMPRODUCT(MAX(($C$12:$V$12=J$12)*($C$52:$V$52)*($C$22:$V$22)))</f>
        <v/>
      </c>
      <c r="K292" s="61">
        <f>SUMPRODUCT(MAX(($C$12:$V$12=K$12)*($C$52:$V$52)*($C$22:$V$22)))</f>
        <v/>
      </c>
      <c r="L292" s="61">
        <f>SUMPRODUCT(MAX(($C$12:$V$12=L$12)*($C$52:$V$52)*($C$22:$V$22)))</f>
        <v/>
      </c>
      <c r="M292" s="61">
        <f>SUMPRODUCT(MAX(($C$12:$V$12=M$12)*($C$52:$V$52)*($C$22:$V$22)))</f>
        <v/>
      </c>
      <c r="N292" s="61">
        <f>SUMPRODUCT(MAX(($C$12:$V$12=N$12)*($C$52:$V$52)*($C$22:$V$22)))</f>
        <v/>
      </c>
      <c r="O292" s="61">
        <f>SUMPRODUCT(MAX(($C$12:$V$12=O$12)*($C$52:$V$52)*($C$22:$V$22)))</f>
        <v/>
      </c>
      <c r="P292" s="61">
        <f>SUMPRODUCT(MAX(($C$12:$V$12=P$12)*($C$52:$V$52)*($C$22:$V$22)))</f>
        <v/>
      </c>
      <c r="Q292" s="61">
        <f>SUMPRODUCT(MAX(($C$12:$V$12=Q$12)*($C$52:$V$52)*($C$22:$V$22)))</f>
        <v/>
      </c>
      <c r="R292" s="61">
        <f>SUMPRODUCT(MAX(($C$12:$V$12=R$12)*($C$52:$V$52)*($C$22:$V$22)))</f>
        <v/>
      </c>
      <c r="S292" s="61">
        <f>SUMPRODUCT(MAX(($C$12:$V$12=S$12)*($C$52:$V$52)*($C$22:$V$22)))</f>
        <v/>
      </c>
      <c r="T292" s="61">
        <f>SUMPRODUCT(MAX(($C$12:$V$12=T$12)*($C$52:$V$52)*($C$22:$V$22)))</f>
        <v/>
      </c>
      <c r="U292" s="61">
        <f>SUMPRODUCT(MAX(($C$12:$V$12=U$12)*($C$52:$V$52)*($C$22:$V$22)))</f>
        <v/>
      </c>
      <c r="V292" s="61">
        <f>SUMPRODUCT(MAX(($C$12:$V$12=V$12)*($C$52:$V$52)*($C$22:$V$22)))</f>
        <v/>
      </c>
    </row>
    <row r="293">
      <c r="C293" s="61">
        <f>SUMPRODUCT(MAX(($C$12:$V$12=C$12)*($C$53:$V$53)*($C$23:$V$23)))</f>
        <v/>
      </c>
      <c r="D293" s="61">
        <f>SUMPRODUCT(MAX(($C$12:$V$12=D$12)*($C$53:$V$53)*($C$23:$V$23)))</f>
        <v/>
      </c>
      <c r="E293" s="61">
        <f>SUMPRODUCT(MAX(($C$12:$V$12=E$12)*($C$53:$V$53)*($C$23:$V$23)))</f>
        <v/>
      </c>
      <c r="F293" s="61">
        <f>SUMPRODUCT(MAX(($C$12:$V$12=F$12)*($C$53:$V$53)*($C$23:$V$23)))</f>
        <v/>
      </c>
      <c r="G293" s="61">
        <f>SUMPRODUCT(MAX(($C$12:$V$12=G$12)*($C$53:$V$53)*($C$23:$V$23)))</f>
        <v/>
      </c>
      <c r="H293" s="61">
        <f>SUMPRODUCT(MAX(($C$12:$V$12=H$12)*($C$53:$V$53)*($C$23:$V$23)))</f>
        <v/>
      </c>
      <c r="I293" s="61">
        <f>SUMPRODUCT(MAX(($C$12:$V$12=I$12)*($C$53:$V$53)*($C$23:$V$23)))</f>
        <v/>
      </c>
      <c r="J293" s="61">
        <f>SUMPRODUCT(MAX(($C$12:$V$12=J$12)*($C$53:$V$53)*($C$23:$V$23)))</f>
        <v/>
      </c>
      <c r="K293" s="61">
        <f>SUMPRODUCT(MAX(($C$12:$V$12=K$12)*($C$53:$V$53)*($C$23:$V$23)))</f>
        <v/>
      </c>
      <c r="L293" s="61">
        <f>SUMPRODUCT(MAX(($C$12:$V$12=L$12)*($C$53:$V$53)*($C$23:$V$23)))</f>
        <v/>
      </c>
      <c r="M293" s="61">
        <f>SUMPRODUCT(MAX(($C$12:$V$12=M$12)*($C$53:$V$53)*($C$23:$V$23)))</f>
        <v/>
      </c>
      <c r="N293" s="61">
        <f>SUMPRODUCT(MAX(($C$12:$V$12=N$12)*($C$53:$V$53)*($C$23:$V$23)))</f>
        <v/>
      </c>
      <c r="O293" s="61">
        <f>SUMPRODUCT(MAX(($C$12:$V$12=O$12)*($C$53:$V$53)*($C$23:$V$23)))</f>
        <v/>
      </c>
      <c r="P293" s="61">
        <f>SUMPRODUCT(MAX(($C$12:$V$12=P$12)*($C$53:$V$53)*($C$23:$V$23)))</f>
        <v/>
      </c>
      <c r="Q293" s="61">
        <f>SUMPRODUCT(MAX(($C$12:$V$12=Q$12)*($C$53:$V$53)*($C$23:$V$23)))</f>
        <v/>
      </c>
      <c r="R293" s="61">
        <f>SUMPRODUCT(MAX(($C$12:$V$12=R$12)*($C$53:$V$53)*($C$23:$V$23)))</f>
        <v/>
      </c>
      <c r="S293" s="61">
        <f>SUMPRODUCT(MAX(($C$12:$V$12=S$12)*($C$53:$V$53)*($C$23:$V$23)))</f>
        <v/>
      </c>
      <c r="T293" s="61">
        <f>SUMPRODUCT(MAX(($C$12:$V$12=T$12)*($C$53:$V$53)*($C$23:$V$23)))</f>
        <v/>
      </c>
      <c r="U293" s="61">
        <f>SUMPRODUCT(MAX(($C$12:$V$12=U$12)*($C$53:$V$53)*($C$23:$V$23)))</f>
        <v/>
      </c>
      <c r="V293" s="61">
        <f>SUMPRODUCT(MAX(($C$12:$V$12=V$12)*($C$53:$V$53)*($C$23:$V$23)))</f>
        <v/>
      </c>
    </row>
    <row r="294">
      <c r="C294" s="61">
        <f>SUMPRODUCT(MAX(($C$12:$V$12=C$12)*($C$54:$V$54)*($C$24:$V$24)))</f>
        <v/>
      </c>
      <c r="D294" s="61">
        <f>SUMPRODUCT(MAX(($C$12:$V$12=D$12)*($C$54:$V$54)*($C$24:$V$24)))</f>
        <v/>
      </c>
      <c r="E294" s="61">
        <f>SUMPRODUCT(MAX(($C$12:$V$12=E$12)*($C$54:$V$54)*($C$24:$V$24)))</f>
        <v/>
      </c>
      <c r="F294" s="61">
        <f>SUMPRODUCT(MAX(($C$12:$V$12=F$12)*($C$54:$V$54)*($C$24:$V$24)))</f>
        <v/>
      </c>
      <c r="G294" s="61">
        <f>SUMPRODUCT(MAX(($C$12:$V$12=G$12)*($C$54:$V$54)*($C$24:$V$24)))</f>
        <v/>
      </c>
      <c r="H294" s="61">
        <f>SUMPRODUCT(MAX(($C$12:$V$12=H$12)*($C$54:$V$54)*($C$24:$V$24)))</f>
        <v/>
      </c>
      <c r="I294" s="61">
        <f>SUMPRODUCT(MAX(($C$12:$V$12=I$12)*($C$54:$V$54)*($C$24:$V$24)))</f>
        <v/>
      </c>
      <c r="J294" s="61">
        <f>SUMPRODUCT(MAX(($C$12:$V$12=J$12)*($C$54:$V$54)*($C$24:$V$24)))</f>
        <v/>
      </c>
      <c r="K294" s="61">
        <f>SUMPRODUCT(MAX(($C$12:$V$12=K$12)*($C$54:$V$54)*($C$24:$V$24)))</f>
        <v/>
      </c>
      <c r="L294" s="61">
        <f>SUMPRODUCT(MAX(($C$12:$V$12=L$12)*($C$54:$V$54)*($C$24:$V$24)))</f>
        <v/>
      </c>
      <c r="M294" s="61">
        <f>SUMPRODUCT(MAX(($C$12:$V$12=M$12)*($C$54:$V$54)*($C$24:$V$24)))</f>
        <v/>
      </c>
      <c r="N294" s="61">
        <f>SUMPRODUCT(MAX(($C$12:$V$12=N$12)*($C$54:$V$54)*($C$24:$V$24)))</f>
        <v/>
      </c>
      <c r="O294" s="61">
        <f>SUMPRODUCT(MAX(($C$12:$V$12=O$12)*($C$54:$V$54)*($C$24:$V$24)))</f>
        <v/>
      </c>
      <c r="P294" s="61">
        <f>SUMPRODUCT(MAX(($C$12:$V$12=P$12)*($C$54:$V$54)*($C$24:$V$24)))</f>
        <v/>
      </c>
      <c r="Q294" s="61">
        <f>SUMPRODUCT(MAX(($C$12:$V$12=Q$12)*($C$54:$V$54)*($C$24:$V$24)))</f>
        <v/>
      </c>
      <c r="R294" s="61">
        <f>SUMPRODUCT(MAX(($C$12:$V$12=R$12)*($C$54:$V$54)*($C$24:$V$24)))</f>
        <v/>
      </c>
      <c r="S294" s="61">
        <f>SUMPRODUCT(MAX(($C$12:$V$12=S$12)*($C$54:$V$54)*($C$24:$V$24)))</f>
        <v/>
      </c>
      <c r="T294" s="61">
        <f>SUMPRODUCT(MAX(($C$12:$V$12=T$12)*($C$54:$V$54)*($C$24:$V$24)))</f>
        <v/>
      </c>
      <c r="U294" s="61">
        <f>SUMPRODUCT(MAX(($C$12:$V$12=U$12)*($C$54:$V$54)*($C$24:$V$24)))</f>
        <v/>
      </c>
      <c r="V294" s="61">
        <f>SUMPRODUCT(MAX(($C$12:$V$12=V$12)*($C$54:$V$54)*($C$24:$V$24)))</f>
        <v/>
      </c>
    </row>
    <row r="295">
      <c r="C295" s="61">
        <f>SUMPRODUCT(MAX(($C$12:$V$12=C$12)*($C$55:$V$55)*($C$25:$V$25)))</f>
        <v/>
      </c>
      <c r="D295" s="61">
        <f>SUMPRODUCT(MAX(($C$12:$V$12=D$12)*($C$55:$V$55)*($C$25:$V$25)))</f>
        <v/>
      </c>
      <c r="E295" s="61">
        <f>SUMPRODUCT(MAX(($C$12:$V$12=E$12)*($C$55:$V$55)*($C$25:$V$25)))</f>
        <v/>
      </c>
      <c r="F295" s="61">
        <f>SUMPRODUCT(MAX(($C$12:$V$12=F$12)*($C$55:$V$55)*($C$25:$V$25)))</f>
        <v/>
      </c>
      <c r="G295" s="61">
        <f>SUMPRODUCT(MAX(($C$12:$V$12=G$12)*($C$55:$V$55)*($C$25:$V$25)))</f>
        <v/>
      </c>
      <c r="H295" s="61">
        <f>SUMPRODUCT(MAX(($C$12:$V$12=H$12)*($C$55:$V$55)*($C$25:$V$25)))</f>
        <v/>
      </c>
      <c r="I295" s="61">
        <f>SUMPRODUCT(MAX(($C$12:$V$12=I$12)*($C$55:$V$55)*($C$25:$V$25)))</f>
        <v/>
      </c>
      <c r="J295" s="61">
        <f>SUMPRODUCT(MAX(($C$12:$V$12=J$12)*($C$55:$V$55)*($C$25:$V$25)))</f>
        <v/>
      </c>
      <c r="K295" s="61">
        <f>SUMPRODUCT(MAX(($C$12:$V$12=K$12)*($C$55:$V$55)*($C$25:$V$25)))</f>
        <v/>
      </c>
      <c r="L295" s="61">
        <f>SUMPRODUCT(MAX(($C$12:$V$12=L$12)*($C$55:$V$55)*($C$25:$V$25)))</f>
        <v/>
      </c>
      <c r="M295" s="61">
        <f>SUMPRODUCT(MAX(($C$12:$V$12=M$12)*($C$55:$V$55)*($C$25:$V$25)))</f>
        <v/>
      </c>
      <c r="N295" s="61">
        <f>SUMPRODUCT(MAX(($C$12:$V$12=N$12)*($C$55:$V$55)*($C$25:$V$25)))</f>
        <v/>
      </c>
      <c r="O295" s="61">
        <f>SUMPRODUCT(MAX(($C$12:$V$12=O$12)*($C$55:$V$55)*($C$25:$V$25)))</f>
        <v/>
      </c>
      <c r="P295" s="61">
        <f>SUMPRODUCT(MAX(($C$12:$V$12=P$12)*($C$55:$V$55)*($C$25:$V$25)))</f>
        <v/>
      </c>
      <c r="Q295" s="61">
        <f>SUMPRODUCT(MAX(($C$12:$V$12=Q$12)*($C$55:$V$55)*($C$25:$V$25)))</f>
        <v/>
      </c>
      <c r="R295" s="61">
        <f>SUMPRODUCT(MAX(($C$12:$V$12=R$12)*($C$55:$V$55)*($C$25:$V$25)))</f>
        <v/>
      </c>
      <c r="S295" s="61">
        <f>SUMPRODUCT(MAX(($C$12:$V$12=S$12)*($C$55:$V$55)*($C$25:$V$25)))</f>
        <v/>
      </c>
      <c r="T295" s="61">
        <f>SUMPRODUCT(MAX(($C$12:$V$12=T$12)*($C$55:$V$55)*($C$25:$V$25)))</f>
        <v/>
      </c>
      <c r="U295" s="61">
        <f>SUMPRODUCT(MAX(($C$12:$V$12=U$12)*($C$55:$V$55)*($C$25:$V$25)))</f>
        <v/>
      </c>
      <c r="V295" s="61">
        <f>SUMPRODUCT(MAX(($C$12:$V$12=V$12)*($C$55:$V$55)*($C$25:$V$25)))</f>
        <v/>
      </c>
    </row>
    <row r="296">
      <c r="C296" s="61">
        <f>SUMPRODUCT(MAX(($C$12:$V$12=C$12)*($C$56:$V$56)*($C$26:$V$26)))</f>
        <v/>
      </c>
      <c r="D296" s="61">
        <f>SUMPRODUCT(MAX(($C$12:$V$12=D$12)*($C$56:$V$56)*($C$26:$V$26)))</f>
        <v/>
      </c>
      <c r="E296" s="61">
        <f>SUMPRODUCT(MAX(($C$12:$V$12=E$12)*($C$56:$V$56)*($C$26:$V$26)))</f>
        <v/>
      </c>
      <c r="F296" s="61">
        <f>SUMPRODUCT(MAX(($C$12:$V$12=F$12)*($C$56:$V$56)*($C$26:$V$26)))</f>
        <v/>
      </c>
      <c r="G296" s="61">
        <f>SUMPRODUCT(MAX(($C$12:$V$12=G$12)*($C$56:$V$56)*($C$26:$V$26)))</f>
        <v/>
      </c>
      <c r="H296" s="61">
        <f>SUMPRODUCT(MAX(($C$12:$V$12=H$12)*($C$56:$V$56)*($C$26:$V$26)))</f>
        <v/>
      </c>
      <c r="I296" s="61">
        <f>SUMPRODUCT(MAX(($C$12:$V$12=I$12)*($C$56:$V$56)*($C$26:$V$26)))</f>
        <v/>
      </c>
      <c r="J296" s="61">
        <f>SUMPRODUCT(MAX(($C$12:$V$12=J$12)*($C$56:$V$56)*($C$26:$V$26)))</f>
        <v/>
      </c>
      <c r="K296" s="61">
        <f>SUMPRODUCT(MAX(($C$12:$V$12=K$12)*($C$56:$V$56)*($C$26:$V$26)))</f>
        <v/>
      </c>
      <c r="L296" s="61">
        <f>SUMPRODUCT(MAX(($C$12:$V$12=L$12)*($C$56:$V$56)*($C$26:$V$26)))</f>
        <v/>
      </c>
      <c r="M296" s="61">
        <f>SUMPRODUCT(MAX(($C$12:$V$12=M$12)*($C$56:$V$56)*($C$26:$V$26)))</f>
        <v/>
      </c>
      <c r="N296" s="61">
        <f>SUMPRODUCT(MAX(($C$12:$V$12=N$12)*($C$56:$V$56)*($C$26:$V$26)))</f>
        <v/>
      </c>
      <c r="O296" s="61">
        <f>SUMPRODUCT(MAX(($C$12:$V$12=O$12)*($C$56:$V$56)*($C$26:$V$26)))</f>
        <v/>
      </c>
      <c r="P296" s="61">
        <f>SUMPRODUCT(MAX(($C$12:$V$12=P$12)*($C$56:$V$56)*($C$26:$V$26)))</f>
        <v/>
      </c>
      <c r="Q296" s="61">
        <f>SUMPRODUCT(MAX(($C$12:$V$12=Q$12)*($C$56:$V$56)*($C$26:$V$26)))</f>
        <v/>
      </c>
      <c r="R296" s="61">
        <f>SUMPRODUCT(MAX(($C$12:$V$12=R$12)*($C$56:$V$56)*($C$26:$V$26)))</f>
        <v/>
      </c>
      <c r="S296" s="61">
        <f>SUMPRODUCT(MAX(($C$12:$V$12=S$12)*($C$56:$V$56)*($C$26:$V$26)))</f>
        <v/>
      </c>
      <c r="T296" s="61">
        <f>SUMPRODUCT(MAX(($C$12:$V$12=T$12)*($C$56:$V$56)*($C$26:$V$26)))</f>
        <v/>
      </c>
      <c r="U296" s="61">
        <f>SUMPRODUCT(MAX(($C$12:$V$12=U$12)*($C$56:$V$56)*($C$26:$V$26)))</f>
        <v/>
      </c>
      <c r="V296" s="61">
        <f>SUMPRODUCT(MAX(($C$12:$V$12=V$12)*($C$56:$V$56)*($C$26:$V$26)))</f>
        <v/>
      </c>
    </row>
    <row r="297">
      <c r="C297" s="61">
        <f>SUMPRODUCT(MAX(($C$12:$V$12=C$12)*($C$57:$V$57)*($C$27:$V$27)))</f>
        <v/>
      </c>
      <c r="D297" s="61">
        <f>SUMPRODUCT(MAX(($C$12:$V$12=D$12)*($C$57:$V$57)*($C$27:$V$27)))</f>
        <v/>
      </c>
      <c r="E297" s="61">
        <f>SUMPRODUCT(MAX(($C$12:$V$12=E$12)*($C$57:$V$57)*($C$27:$V$27)))</f>
        <v/>
      </c>
      <c r="F297" s="61">
        <f>SUMPRODUCT(MAX(($C$12:$V$12=F$12)*($C$57:$V$57)*($C$27:$V$27)))</f>
        <v/>
      </c>
      <c r="G297" s="61">
        <f>SUMPRODUCT(MAX(($C$12:$V$12=G$12)*($C$57:$V$57)*($C$27:$V$27)))</f>
        <v/>
      </c>
      <c r="H297" s="61">
        <f>SUMPRODUCT(MAX(($C$12:$V$12=H$12)*($C$57:$V$57)*($C$27:$V$27)))</f>
        <v/>
      </c>
      <c r="I297" s="61">
        <f>SUMPRODUCT(MAX(($C$12:$V$12=I$12)*($C$57:$V$57)*($C$27:$V$27)))</f>
        <v/>
      </c>
      <c r="J297" s="61">
        <f>SUMPRODUCT(MAX(($C$12:$V$12=J$12)*($C$57:$V$57)*($C$27:$V$27)))</f>
        <v/>
      </c>
      <c r="K297" s="61">
        <f>SUMPRODUCT(MAX(($C$12:$V$12=K$12)*($C$57:$V$57)*($C$27:$V$27)))</f>
        <v/>
      </c>
      <c r="L297" s="61">
        <f>SUMPRODUCT(MAX(($C$12:$V$12=L$12)*($C$57:$V$57)*($C$27:$V$27)))</f>
        <v/>
      </c>
      <c r="M297" s="61">
        <f>SUMPRODUCT(MAX(($C$12:$V$12=M$12)*($C$57:$V$57)*($C$27:$V$27)))</f>
        <v/>
      </c>
      <c r="N297" s="61">
        <f>SUMPRODUCT(MAX(($C$12:$V$12=N$12)*($C$57:$V$57)*($C$27:$V$27)))</f>
        <v/>
      </c>
      <c r="O297" s="61">
        <f>SUMPRODUCT(MAX(($C$12:$V$12=O$12)*($C$57:$V$57)*($C$27:$V$27)))</f>
        <v/>
      </c>
      <c r="P297" s="61">
        <f>SUMPRODUCT(MAX(($C$12:$V$12=P$12)*($C$57:$V$57)*($C$27:$V$27)))</f>
        <v/>
      </c>
      <c r="Q297" s="61">
        <f>SUMPRODUCT(MAX(($C$12:$V$12=Q$12)*($C$57:$V$57)*($C$27:$V$27)))</f>
        <v/>
      </c>
      <c r="R297" s="61">
        <f>SUMPRODUCT(MAX(($C$12:$V$12=R$12)*($C$57:$V$57)*($C$27:$V$27)))</f>
        <v/>
      </c>
      <c r="S297" s="61">
        <f>SUMPRODUCT(MAX(($C$12:$V$12=S$12)*($C$57:$V$57)*($C$27:$V$27)))</f>
        <v/>
      </c>
      <c r="T297" s="61">
        <f>SUMPRODUCT(MAX(($C$12:$V$12=T$12)*($C$57:$V$57)*($C$27:$V$27)))</f>
        <v/>
      </c>
      <c r="U297" s="61">
        <f>SUMPRODUCT(MAX(($C$12:$V$12=U$12)*($C$57:$V$57)*($C$27:$V$27)))</f>
        <v/>
      </c>
      <c r="V297" s="61">
        <f>SUMPRODUCT(MAX(($C$12:$V$12=V$12)*($C$57:$V$57)*($C$27:$V$27)))</f>
        <v/>
      </c>
    </row>
    <row r="298">
      <c r="C298" s="61">
        <f>SUMPRODUCT(MAX(($C$12:$V$12=C$12)*($C$58:$V$58)*($C$28:$V$28)))</f>
        <v/>
      </c>
      <c r="D298" s="61">
        <f>SUMPRODUCT(MAX(($C$12:$V$12=D$12)*($C$58:$V$58)*($C$28:$V$28)))</f>
        <v/>
      </c>
      <c r="E298" s="61">
        <f>SUMPRODUCT(MAX(($C$12:$V$12=E$12)*($C$58:$V$58)*($C$28:$V$28)))</f>
        <v/>
      </c>
      <c r="F298" s="61">
        <f>SUMPRODUCT(MAX(($C$12:$V$12=F$12)*($C$58:$V$58)*($C$28:$V$28)))</f>
        <v/>
      </c>
      <c r="G298" s="61">
        <f>SUMPRODUCT(MAX(($C$12:$V$12=G$12)*($C$58:$V$58)*($C$28:$V$28)))</f>
        <v/>
      </c>
      <c r="H298" s="61">
        <f>SUMPRODUCT(MAX(($C$12:$V$12=H$12)*($C$58:$V$58)*($C$28:$V$28)))</f>
        <v/>
      </c>
      <c r="I298" s="61">
        <f>SUMPRODUCT(MAX(($C$12:$V$12=I$12)*($C$58:$V$58)*($C$28:$V$28)))</f>
        <v/>
      </c>
      <c r="J298" s="61">
        <f>SUMPRODUCT(MAX(($C$12:$V$12=J$12)*($C$58:$V$58)*($C$28:$V$28)))</f>
        <v/>
      </c>
      <c r="K298" s="61">
        <f>SUMPRODUCT(MAX(($C$12:$V$12=K$12)*($C$58:$V$58)*($C$28:$V$28)))</f>
        <v/>
      </c>
      <c r="L298" s="61">
        <f>SUMPRODUCT(MAX(($C$12:$V$12=L$12)*($C$58:$V$58)*($C$28:$V$28)))</f>
        <v/>
      </c>
      <c r="M298" s="61">
        <f>SUMPRODUCT(MAX(($C$12:$V$12=M$12)*($C$58:$V$58)*($C$28:$V$28)))</f>
        <v/>
      </c>
      <c r="N298" s="61">
        <f>SUMPRODUCT(MAX(($C$12:$V$12=N$12)*($C$58:$V$58)*($C$28:$V$28)))</f>
        <v/>
      </c>
      <c r="O298" s="61">
        <f>SUMPRODUCT(MAX(($C$12:$V$12=O$12)*($C$58:$V$58)*($C$28:$V$28)))</f>
        <v/>
      </c>
      <c r="P298" s="61">
        <f>SUMPRODUCT(MAX(($C$12:$V$12=P$12)*($C$58:$V$58)*($C$28:$V$28)))</f>
        <v/>
      </c>
      <c r="Q298" s="61">
        <f>SUMPRODUCT(MAX(($C$12:$V$12=Q$12)*($C$58:$V$58)*($C$28:$V$28)))</f>
        <v/>
      </c>
      <c r="R298" s="61">
        <f>SUMPRODUCT(MAX(($C$12:$V$12=R$12)*($C$58:$V$58)*($C$28:$V$28)))</f>
        <v/>
      </c>
      <c r="S298" s="61">
        <f>SUMPRODUCT(MAX(($C$12:$V$12=S$12)*($C$58:$V$58)*($C$28:$V$28)))</f>
        <v/>
      </c>
      <c r="T298" s="61">
        <f>SUMPRODUCT(MAX(($C$12:$V$12=T$12)*($C$58:$V$58)*($C$28:$V$28)))</f>
        <v/>
      </c>
      <c r="U298" s="61">
        <f>SUMPRODUCT(MAX(($C$12:$V$12=U$12)*($C$58:$V$58)*($C$28:$V$28)))</f>
        <v/>
      </c>
      <c r="V298" s="61">
        <f>SUMPRODUCT(MAX(($C$12:$V$12=V$12)*($C$58:$V$58)*($C$28:$V$28)))</f>
        <v/>
      </c>
    </row>
    <row r="299">
      <c r="C299" s="61">
        <f>SUMPRODUCT(MAX(($C$12:$V$12=C$12)*($C$59:$V$59)*($C$29:$V$29)))</f>
        <v/>
      </c>
      <c r="D299" s="61">
        <f>SUMPRODUCT(MAX(($C$12:$V$12=D$12)*($C$59:$V$59)*($C$29:$V$29)))</f>
        <v/>
      </c>
      <c r="E299" s="61">
        <f>SUMPRODUCT(MAX(($C$12:$V$12=E$12)*($C$59:$V$59)*($C$29:$V$29)))</f>
        <v/>
      </c>
      <c r="F299" s="61">
        <f>SUMPRODUCT(MAX(($C$12:$V$12=F$12)*($C$59:$V$59)*($C$29:$V$29)))</f>
        <v/>
      </c>
      <c r="G299" s="61">
        <f>SUMPRODUCT(MAX(($C$12:$V$12=G$12)*($C$59:$V$59)*($C$29:$V$29)))</f>
        <v/>
      </c>
      <c r="H299" s="61">
        <f>SUMPRODUCT(MAX(($C$12:$V$12=H$12)*($C$59:$V$59)*($C$29:$V$29)))</f>
        <v/>
      </c>
      <c r="I299" s="61">
        <f>SUMPRODUCT(MAX(($C$12:$V$12=I$12)*($C$59:$V$59)*($C$29:$V$29)))</f>
        <v/>
      </c>
      <c r="J299" s="61">
        <f>SUMPRODUCT(MAX(($C$12:$V$12=J$12)*($C$59:$V$59)*($C$29:$V$29)))</f>
        <v/>
      </c>
      <c r="K299" s="61">
        <f>SUMPRODUCT(MAX(($C$12:$V$12=K$12)*($C$59:$V$59)*($C$29:$V$29)))</f>
        <v/>
      </c>
      <c r="L299" s="61">
        <f>SUMPRODUCT(MAX(($C$12:$V$12=L$12)*($C$59:$V$59)*($C$29:$V$29)))</f>
        <v/>
      </c>
      <c r="M299" s="61">
        <f>SUMPRODUCT(MAX(($C$12:$V$12=M$12)*($C$59:$V$59)*($C$29:$V$29)))</f>
        <v/>
      </c>
      <c r="N299" s="61">
        <f>SUMPRODUCT(MAX(($C$12:$V$12=N$12)*($C$59:$V$59)*($C$29:$V$29)))</f>
        <v/>
      </c>
      <c r="O299" s="61">
        <f>SUMPRODUCT(MAX(($C$12:$V$12=O$12)*($C$59:$V$59)*($C$29:$V$29)))</f>
        <v/>
      </c>
      <c r="P299" s="61">
        <f>SUMPRODUCT(MAX(($C$12:$V$12=P$12)*($C$59:$V$59)*($C$29:$V$29)))</f>
        <v/>
      </c>
      <c r="Q299" s="61">
        <f>SUMPRODUCT(MAX(($C$12:$V$12=Q$12)*($C$59:$V$59)*($C$29:$V$29)))</f>
        <v/>
      </c>
      <c r="R299" s="61">
        <f>SUMPRODUCT(MAX(($C$12:$V$12=R$12)*($C$59:$V$59)*($C$29:$V$29)))</f>
        <v/>
      </c>
      <c r="S299" s="61">
        <f>SUMPRODUCT(MAX(($C$12:$V$12=S$12)*($C$59:$V$59)*($C$29:$V$29)))</f>
        <v/>
      </c>
      <c r="T299" s="61">
        <f>SUMPRODUCT(MAX(($C$12:$V$12=T$12)*($C$59:$V$59)*($C$29:$V$29)))</f>
        <v/>
      </c>
      <c r="U299" s="61">
        <f>SUMPRODUCT(MAX(($C$12:$V$12=U$12)*($C$59:$V$59)*($C$29:$V$29)))</f>
        <v/>
      </c>
      <c r="V299" s="61">
        <f>SUMPRODUCT(MAX(($C$12:$V$12=V$12)*($C$59:$V$59)*($C$29:$V$29)))</f>
        <v/>
      </c>
    </row>
    <row r="300">
      <c r="C300" s="61">
        <f>SUMPRODUCT(MAX(($C$12:$V$12=C$12)*($C$60:$V$60)*($C$30:$V$30)))</f>
        <v/>
      </c>
      <c r="D300" s="61">
        <f>SUMPRODUCT(MAX(($C$12:$V$12=D$12)*($C$60:$V$60)*($C$30:$V$30)))</f>
        <v/>
      </c>
      <c r="E300" s="61">
        <f>SUMPRODUCT(MAX(($C$12:$V$12=E$12)*($C$60:$V$60)*($C$30:$V$30)))</f>
        <v/>
      </c>
      <c r="F300" s="61">
        <f>SUMPRODUCT(MAX(($C$12:$V$12=F$12)*($C$60:$V$60)*($C$30:$V$30)))</f>
        <v/>
      </c>
      <c r="G300" s="61">
        <f>SUMPRODUCT(MAX(($C$12:$V$12=G$12)*($C$60:$V$60)*($C$30:$V$30)))</f>
        <v/>
      </c>
      <c r="H300" s="61">
        <f>SUMPRODUCT(MAX(($C$12:$V$12=H$12)*($C$60:$V$60)*($C$30:$V$30)))</f>
        <v/>
      </c>
      <c r="I300" s="61">
        <f>SUMPRODUCT(MAX(($C$12:$V$12=I$12)*($C$60:$V$60)*($C$30:$V$30)))</f>
        <v/>
      </c>
      <c r="J300" s="61">
        <f>SUMPRODUCT(MAX(($C$12:$V$12=J$12)*($C$60:$V$60)*($C$30:$V$30)))</f>
        <v/>
      </c>
      <c r="K300" s="61">
        <f>SUMPRODUCT(MAX(($C$12:$V$12=K$12)*($C$60:$V$60)*($C$30:$V$30)))</f>
        <v/>
      </c>
      <c r="L300" s="61">
        <f>SUMPRODUCT(MAX(($C$12:$V$12=L$12)*($C$60:$V$60)*($C$30:$V$30)))</f>
        <v/>
      </c>
      <c r="M300" s="61">
        <f>SUMPRODUCT(MAX(($C$12:$V$12=M$12)*($C$60:$V$60)*($C$30:$V$30)))</f>
        <v/>
      </c>
      <c r="N300" s="61">
        <f>SUMPRODUCT(MAX(($C$12:$V$12=N$12)*($C$60:$V$60)*($C$30:$V$30)))</f>
        <v/>
      </c>
      <c r="O300" s="61">
        <f>SUMPRODUCT(MAX(($C$12:$V$12=O$12)*($C$60:$V$60)*($C$30:$V$30)))</f>
        <v/>
      </c>
      <c r="P300" s="61">
        <f>SUMPRODUCT(MAX(($C$12:$V$12=P$12)*($C$60:$V$60)*($C$30:$V$30)))</f>
        <v/>
      </c>
      <c r="Q300" s="61">
        <f>SUMPRODUCT(MAX(($C$12:$V$12=Q$12)*($C$60:$V$60)*($C$30:$V$30)))</f>
        <v/>
      </c>
      <c r="R300" s="61">
        <f>SUMPRODUCT(MAX(($C$12:$V$12=R$12)*($C$60:$V$60)*($C$30:$V$30)))</f>
        <v/>
      </c>
      <c r="S300" s="61">
        <f>SUMPRODUCT(MAX(($C$12:$V$12=S$12)*($C$60:$V$60)*($C$30:$V$30)))</f>
        <v/>
      </c>
      <c r="T300" s="61">
        <f>SUMPRODUCT(MAX(($C$12:$V$12=T$12)*($C$60:$V$60)*($C$30:$V$30)))</f>
        <v/>
      </c>
      <c r="U300" s="61">
        <f>SUMPRODUCT(MAX(($C$12:$V$12=U$12)*($C$60:$V$60)*($C$30:$V$30)))</f>
        <v/>
      </c>
      <c r="V300" s="61">
        <f>SUMPRODUCT(MAX(($C$12:$V$12=V$12)*($C$60:$V$60)*($C$30:$V$30)))</f>
        <v/>
      </c>
    </row>
    <row r="301">
      <c r="C301" s="61">
        <f>SUMPRODUCT(MAX(($C$12:$V$12=C$12)*($C$61:$V$61)*($C$31:$V$31)))</f>
        <v/>
      </c>
      <c r="D301" s="61">
        <f>SUMPRODUCT(MAX(($C$12:$V$12=D$12)*($C$61:$V$61)*($C$31:$V$31)))</f>
        <v/>
      </c>
      <c r="E301" s="61">
        <f>SUMPRODUCT(MAX(($C$12:$V$12=E$12)*($C$61:$V$61)*($C$31:$V$31)))</f>
        <v/>
      </c>
      <c r="F301" s="61">
        <f>SUMPRODUCT(MAX(($C$12:$V$12=F$12)*($C$61:$V$61)*($C$31:$V$31)))</f>
        <v/>
      </c>
      <c r="G301" s="61">
        <f>SUMPRODUCT(MAX(($C$12:$V$12=G$12)*($C$61:$V$61)*($C$31:$V$31)))</f>
        <v/>
      </c>
      <c r="H301" s="61">
        <f>SUMPRODUCT(MAX(($C$12:$V$12=H$12)*($C$61:$V$61)*($C$31:$V$31)))</f>
        <v/>
      </c>
      <c r="I301" s="61">
        <f>SUMPRODUCT(MAX(($C$12:$V$12=I$12)*($C$61:$V$61)*($C$31:$V$31)))</f>
        <v/>
      </c>
      <c r="J301" s="61">
        <f>SUMPRODUCT(MAX(($C$12:$V$12=J$12)*($C$61:$V$61)*($C$31:$V$31)))</f>
        <v/>
      </c>
      <c r="K301" s="61">
        <f>SUMPRODUCT(MAX(($C$12:$V$12=K$12)*($C$61:$V$61)*($C$31:$V$31)))</f>
        <v/>
      </c>
      <c r="L301" s="61">
        <f>SUMPRODUCT(MAX(($C$12:$V$12=L$12)*($C$61:$V$61)*($C$31:$V$31)))</f>
        <v/>
      </c>
      <c r="M301" s="61">
        <f>SUMPRODUCT(MAX(($C$12:$V$12=M$12)*($C$61:$V$61)*($C$31:$V$31)))</f>
        <v/>
      </c>
      <c r="N301" s="61">
        <f>SUMPRODUCT(MAX(($C$12:$V$12=N$12)*($C$61:$V$61)*($C$31:$V$31)))</f>
        <v/>
      </c>
      <c r="O301" s="61">
        <f>SUMPRODUCT(MAX(($C$12:$V$12=O$12)*($C$61:$V$61)*($C$31:$V$31)))</f>
        <v/>
      </c>
      <c r="P301" s="61">
        <f>SUMPRODUCT(MAX(($C$12:$V$12=P$12)*($C$61:$V$61)*($C$31:$V$31)))</f>
        <v/>
      </c>
      <c r="Q301" s="61">
        <f>SUMPRODUCT(MAX(($C$12:$V$12=Q$12)*($C$61:$V$61)*($C$31:$V$31)))</f>
        <v/>
      </c>
      <c r="R301" s="61">
        <f>SUMPRODUCT(MAX(($C$12:$V$12=R$12)*($C$61:$V$61)*($C$31:$V$31)))</f>
        <v/>
      </c>
      <c r="S301" s="61">
        <f>SUMPRODUCT(MAX(($C$12:$V$12=S$12)*($C$61:$V$61)*($C$31:$V$31)))</f>
        <v/>
      </c>
      <c r="T301" s="61">
        <f>SUMPRODUCT(MAX(($C$12:$V$12=T$12)*($C$61:$V$61)*($C$31:$V$31)))</f>
        <v/>
      </c>
      <c r="U301" s="61">
        <f>SUMPRODUCT(MAX(($C$12:$V$12=U$12)*($C$61:$V$61)*($C$31:$V$31)))</f>
        <v/>
      </c>
      <c r="V301" s="61">
        <f>SUMPRODUCT(MAX(($C$12:$V$12=V$12)*($C$61:$V$61)*($C$31:$V$31)))</f>
        <v/>
      </c>
    </row>
    <row r="302">
      <c r="C302" s="61">
        <f>SUMPRODUCT(MAX(($C$12:$V$12=C$12)*($C$62:$V$62)*($C$32:$V$32)))</f>
        <v/>
      </c>
      <c r="D302" s="61">
        <f>SUMPRODUCT(MAX(($C$12:$V$12=D$12)*($C$62:$V$62)*($C$32:$V$32)))</f>
        <v/>
      </c>
      <c r="E302" s="61">
        <f>SUMPRODUCT(MAX(($C$12:$V$12=E$12)*($C$62:$V$62)*($C$32:$V$32)))</f>
        <v/>
      </c>
      <c r="F302" s="61">
        <f>SUMPRODUCT(MAX(($C$12:$V$12=F$12)*($C$62:$V$62)*($C$32:$V$32)))</f>
        <v/>
      </c>
      <c r="G302" s="61">
        <f>SUMPRODUCT(MAX(($C$12:$V$12=G$12)*($C$62:$V$62)*($C$32:$V$32)))</f>
        <v/>
      </c>
      <c r="H302" s="61">
        <f>SUMPRODUCT(MAX(($C$12:$V$12=H$12)*($C$62:$V$62)*($C$32:$V$32)))</f>
        <v/>
      </c>
      <c r="I302" s="61">
        <f>SUMPRODUCT(MAX(($C$12:$V$12=I$12)*($C$62:$V$62)*($C$32:$V$32)))</f>
        <v/>
      </c>
      <c r="J302" s="61">
        <f>SUMPRODUCT(MAX(($C$12:$V$12=J$12)*($C$62:$V$62)*($C$32:$V$32)))</f>
        <v/>
      </c>
      <c r="K302" s="61">
        <f>SUMPRODUCT(MAX(($C$12:$V$12=K$12)*($C$62:$V$62)*($C$32:$V$32)))</f>
        <v/>
      </c>
      <c r="L302" s="61">
        <f>SUMPRODUCT(MAX(($C$12:$V$12=L$12)*($C$62:$V$62)*($C$32:$V$32)))</f>
        <v/>
      </c>
      <c r="M302" s="61">
        <f>SUMPRODUCT(MAX(($C$12:$V$12=M$12)*($C$62:$V$62)*($C$32:$V$32)))</f>
        <v/>
      </c>
      <c r="N302" s="61">
        <f>SUMPRODUCT(MAX(($C$12:$V$12=N$12)*($C$62:$V$62)*($C$32:$V$32)))</f>
        <v/>
      </c>
      <c r="O302" s="61">
        <f>SUMPRODUCT(MAX(($C$12:$V$12=O$12)*($C$62:$V$62)*($C$32:$V$32)))</f>
        <v/>
      </c>
      <c r="P302" s="61">
        <f>SUMPRODUCT(MAX(($C$12:$V$12=P$12)*($C$62:$V$62)*($C$32:$V$32)))</f>
        <v/>
      </c>
      <c r="Q302" s="61">
        <f>SUMPRODUCT(MAX(($C$12:$V$12=Q$12)*($C$62:$V$62)*($C$32:$V$32)))</f>
        <v/>
      </c>
      <c r="R302" s="61">
        <f>SUMPRODUCT(MAX(($C$12:$V$12=R$12)*($C$62:$V$62)*($C$32:$V$32)))</f>
        <v/>
      </c>
      <c r="S302" s="61">
        <f>SUMPRODUCT(MAX(($C$12:$V$12=S$12)*($C$62:$V$62)*($C$32:$V$32)))</f>
        <v/>
      </c>
      <c r="T302" s="61">
        <f>SUMPRODUCT(MAX(($C$12:$V$12=T$12)*($C$62:$V$62)*($C$32:$V$32)))</f>
        <v/>
      </c>
      <c r="U302" s="61">
        <f>SUMPRODUCT(MAX(($C$12:$V$12=U$12)*($C$62:$V$62)*($C$32:$V$32)))</f>
        <v/>
      </c>
      <c r="V302" s="61">
        <f>SUMPRODUCT(MAX(($C$12:$V$12=V$12)*($C$62:$V$62)*($C$32:$V$32)))</f>
        <v/>
      </c>
    </row>
    <row r="303">
      <c r="C303" s="61">
        <f>SUMPRODUCT(MAX(($C$12:$V$12=C$12)*($C$63:$V$63)*($C$33:$V$33)))</f>
        <v/>
      </c>
      <c r="D303" s="61">
        <f>SUMPRODUCT(MAX(($C$12:$V$12=D$12)*($C$63:$V$63)*($C$33:$V$33)))</f>
        <v/>
      </c>
      <c r="E303" s="61">
        <f>SUMPRODUCT(MAX(($C$12:$V$12=E$12)*($C$63:$V$63)*($C$33:$V$33)))</f>
        <v/>
      </c>
      <c r="F303" s="61">
        <f>SUMPRODUCT(MAX(($C$12:$V$12=F$12)*($C$63:$V$63)*($C$33:$V$33)))</f>
        <v/>
      </c>
      <c r="G303" s="61">
        <f>SUMPRODUCT(MAX(($C$12:$V$12=G$12)*($C$63:$V$63)*($C$33:$V$33)))</f>
        <v/>
      </c>
      <c r="H303" s="61">
        <f>SUMPRODUCT(MAX(($C$12:$V$12=H$12)*($C$63:$V$63)*($C$33:$V$33)))</f>
        <v/>
      </c>
      <c r="I303" s="61">
        <f>SUMPRODUCT(MAX(($C$12:$V$12=I$12)*($C$63:$V$63)*($C$33:$V$33)))</f>
        <v/>
      </c>
      <c r="J303" s="61">
        <f>SUMPRODUCT(MAX(($C$12:$V$12=J$12)*($C$63:$V$63)*($C$33:$V$33)))</f>
        <v/>
      </c>
      <c r="K303" s="61">
        <f>SUMPRODUCT(MAX(($C$12:$V$12=K$12)*($C$63:$V$63)*($C$33:$V$33)))</f>
        <v/>
      </c>
      <c r="L303" s="61">
        <f>SUMPRODUCT(MAX(($C$12:$V$12=L$12)*($C$63:$V$63)*($C$33:$V$33)))</f>
        <v/>
      </c>
      <c r="M303" s="61">
        <f>SUMPRODUCT(MAX(($C$12:$V$12=M$12)*($C$63:$V$63)*($C$33:$V$33)))</f>
        <v/>
      </c>
      <c r="N303" s="61">
        <f>SUMPRODUCT(MAX(($C$12:$V$12=N$12)*($C$63:$V$63)*($C$33:$V$33)))</f>
        <v/>
      </c>
      <c r="O303" s="61">
        <f>SUMPRODUCT(MAX(($C$12:$V$12=O$12)*($C$63:$V$63)*($C$33:$V$33)))</f>
        <v/>
      </c>
      <c r="P303" s="61">
        <f>SUMPRODUCT(MAX(($C$12:$V$12=P$12)*($C$63:$V$63)*($C$33:$V$33)))</f>
        <v/>
      </c>
      <c r="Q303" s="61">
        <f>SUMPRODUCT(MAX(($C$12:$V$12=Q$12)*($C$63:$V$63)*($C$33:$V$33)))</f>
        <v/>
      </c>
      <c r="R303" s="61">
        <f>SUMPRODUCT(MAX(($C$12:$V$12=R$12)*($C$63:$V$63)*($C$33:$V$33)))</f>
        <v/>
      </c>
      <c r="S303" s="61">
        <f>SUMPRODUCT(MAX(($C$12:$V$12=S$12)*($C$63:$V$63)*($C$33:$V$33)))</f>
        <v/>
      </c>
      <c r="T303" s="61">
        <f>SUMPRODUCT(MAX(($C$12:$V$12=T$12)*($C$63:$V$63)*($C$33:$V$33)))</f>
        <v/>
      </c>
      <c r="U303" s="61">
        <f>SUMPRODUCT(MAX(($C$12:$V$12=U$12)*($C$63:$V$63)*($C$33:$V$33)))</f>
        <v/>
      </c>
      <c r="V303" s="61">
        <f>SUMPRODUCT(MAX(($C$12:$V$12=V$12)*($C$63:$V$63)*($C$33:$V$33)))</f>
        <v/>
      </c>
    </row>
    <row r="304">
      <c r="C304" s="61">
        <f>SUMPRODUCT(MAX(($C$12:$V$12=C$12)*($C$64:$V$64)*($C$34:$V$34)))</f>
        <v/>
      </c>
      <c r="D304" s="61">
        <f>SUMPRODUCT(MAX(($C$12:$V$12=D$12)*($C$64:$V$64)*($C$34:$V$34)))</f>
        <v/>
      </c>
      <c r="E304" s="61">
        <f>SUMPRODUCT(MAX(($C$12:$V$12=E$12)*($C$64:$V$64)*($C$34:$V$34)))</f>
        <v/>
      </c>
      <c r="F304" s="61">
        <f>SUMPRODUCT(MAX(($C$12:$V$12=F$12)*($C$64:$V$64)*($C$34:$V$34)))</f>
        <v/>
      </c>
      <c r="G304" s="61">
        <f>SUMPRODUCT(MAX(($C$12:$V$12=G$12)*($C$64:$V$64)*($C$34:$V$34)))</f>
        <v/>
      </c>
      <c r="H304" s="61">
        <f>SUMPRODUCT(MAX(($C$12:$V$12=H$12)*($C$64:$V$64)*($C$34:$V$34)))</f>
        <v/>
      </c>
      <c r="I304" s="61">
        <f>SUMPRODUCT(MAX(($C$12:$V$12=I$12)*($C$64:$V$64)*($C$34:$V$34)))</f>
        <v/>
      </c>
      <c r="J304" s="61">
        <f>SUMPRODUCT(MAX(($C$12:$V$12=J$12)*($C$64:$V$64)*($C$34:$V$34)))</f>
        <v/>
      </c>
      <c r="K304" s="61">
        <f>SUMPRODUCT(MAX(($C$12:$V$12=K$12)*($C$64:$V$64)*($C$34:$V$34)))</f>
        <v/>
      </c>
      <c r="L304" s="61">
        <f>SUMPRODUCT(MAX(($C$12:$V$12=L$12)*($C$64:$V$64)*($C$34:$V$34)))</f>
        <v/>
      </c>
      <c r="M304" s="61">
        <f>SUMPRODUCT(MAX(($C$12:$V$12=M$12)*($C$64:$V$64)*($C$34:$V$34)))</f>
        <v/>
      </c>
      <c r="N304" s="61">
        <f>SUMPRODUCT(MAX(($C$12:$V$12=N$12)*($C$64:$V$64)*($C$34:$V$34)))</f>
        <v/>
      </c>
      <c r="O304" s="61">
        <f>SUMPRODUCT(MAX(($C$12:$V$12=O$12)*($C$64:$V$64)*($C$34:$V$34)))</f>
        <v/>
      </c>
      <c r="P304" s="61">
        <f>SUMPRODUCT(MAX(($C$12:$V$12=P$12)*($C$64:$V$64)*($C$34:$V$34)))</f>
        <v/>
      </c>
      <c r="Q304" s="61">
        <f>SUMPRODUCT(MAX(($C$12:$V$12=Q$12)*($C$64:$V$64)*($C$34:$V$34)))</f>
        <v/>
      </c>
      <c r="R304" s="61">
        <f>SUMPRODUCT(MAX(($C$12:$V$12=R$12)*($C$64:$V$64)*($C$34:$V$34)))</f>
        <v/>
      </c>
      <c r="S304" s="61">
        <f>SUMPRODUCT(MAX(($C$12:$V$12=S$12)*($C$64:$V$64)*($C$34:$V$34)))</f>
        <v/>
      </c>
      <c r="T304" s="61">
        <f>SUMPRODUCT(MAX(($C$12:$V$12=T$12)*($C$64:$V$64)*($C$34:$V$34)))</f>
        <v/>
      </c>
      <c r="U304" s="61">
        <f>SUMPRODUCT(MAX(($C$12:$V$12=U$12)*($C$64:$V$64)*($C$34:$V$34)))</f>
        <v/>
      </c>
      <c r="V304" s="61">
        <f>SUMPRODUCT(MAX(($C$12:$V$12=V$12)*($C$64:$V$64)*($C$34:$V$34)))</f>
        <v/>
      </c>
    </row>
    <row r="305">
      <c r="C305" s="61">
        <f>SUMPRODUCT(MAX(($C$12:$V$12=C$12)*($C$65:$V$65)*($C$35:$V$35)))</f>
        <v/>
      </c>
      <c r="D305" s="61">
        <f>SUMPRODUCT(MAX(($C$12:$V$12=D$12)*($C$65:$V$65)*($C$35:$V$35)))</f>
        <v/>
      </c>
      <c r="E305" s="61">
        <f>SUMPRODUCT(MAX(($C$12:$V$12=E$12)*($C$65:$V$65)*($C$35:$V$35)))</f>
        <v/>
      </c>
      <c r="F305" s="61">
        <f>SUMPRODUCT(MAX(($C$12:$V$12=F$12)*($C$65:$V$65)*($C$35:$V$35)))</f>
        <v/>
      </c>
      <c r="G305" s="61">
        <f>SUMPRODUCT(MAX(($C$12:$V$12=G$12)*($C$65:$V$65)*($C$35:$V$35)))</f>
        <v/>
      </c>
      <c r="H305" s="61">
        <f>SUMPRODUCT(MAX(($C$12:$V$12=H$12)*($C$65:$V$65)*($C$35:$V$35)))</f>
        <v/>
      </c>
      <c r="I305" s="61">
        <f>SUMPRODUCT(MAX(($C$12:$V$12=I$12)*($C$65:$V$65)*($C$35:$V$35)))</f>
        <v/>
      </c>
      <c r="J305" s="61">
        <f>SUMPRODUCT(MAX(($C$12:$V$12=J$12)*($C$65:$V$65)*($C$35:$V$35)))</f>
        <v/>
      </c>
      <c r="K305" s="61">
        <f>SUMPRODUCT(MAX(($C$12:$V$12=K$12)*($C$65:$V$65)*($C$35:$V$35)))</f>
        <v/>
      </c>
      <c r="L305" s="61">
        <f>SUMPRODUCT(MAX(($C$12:$V$12=L$12)*($C$65:$V$65)*($C$35:$V$35)))</f>
        <v/>
      </c>
      <c r="M305" s="61">
        <f>SUMPRODUCT(MAX(($C$12:$V$12=M$12)*($C$65:$V$65)*($C$35:$V$35)))</f>
        <v/>
      </c>
      <c r="N305" s="61">
        <f>SUMPRODUCT(MAX(($C$12:$V$12=N$12)*($C$65:$V$65)*($C$35:$V$35)))</f>
        <v/>
      </c>
      <c r="O305" s="61">
        <f>SUMPRODUCT(MAX(($C$12:$V$12=O$12)*($C$65:$V$65)*($C$35:$V$35)))</f>
        <v/>
      </c>
      <c r="P305" s="61">
        <f>SUMPRODUCT(MAX(($C$12:$V$12=P$12)*($C$65:$V$65)*($C$35:$V$35)))</f>
        <v/>
      </c>
      <c r="Q305" s="61">
        <f>SUMPRODUCT(MAX(($C$12:$V$12=Q$12)*($C$65:$V$65)*($C$35:$V$35)))</f>
        <v/>
      </c>
      <c r="R305" s="61">
        <f>SUMPRODUCT(MAX(($C$12:$V$12=R$12)*($C$65:$V$65)*($C$35:$V$35)))</f>
        <v/>
      </c>
      <c r="S305" s="61">
        <f>SUMPRODUCT(MAX(($C$12:$V$12=S$12)*($C$65:$V$65)*($C$35:$V$35)))</f>
        <v/>
      </c>
      <c r="T305" s="61">
        <f>SUMPRODUCT(MAX(($C$12:$V$12=T$12)*($C$65:$V$65)*($C$35:$V$35)))</f>
        <v/>
      </c>
      <c r="U305" s="61">
        <f>SUMPRODUCT(MAX(($C$12:$V$12=U$12)*($C$65:$V$65)*($C$35:$V$35)))</f>
        <v/>
      </c>
      <c r="V305" s="61">
        <f>SUMPRODUCT(MAX(($C$12:$V$12=V$12)*($C$65:$V$65)*($C$35:$V$35)))</f>
        <v/>
      </c>
    </row>
    <row r="306">
      <c r="C306" s="61">
        <f>SUMPRODUCT(MAX(($C$12:$V$12=C$12)*($C$66:$V$66)*($C$36:$V$36)))</f>
        <v/>
      </c>
      <c r="D306" s="61">
        <f>SUMPRODUCT(MAX(($C$12:$V$12=D$12)*($C$66:$V$66)*($C$36:$V$36)))</f>
        <v/>
      </c>
      <c r="E306" s="61">
        <f>SUMPRODUCT(MAX(($C$12:$V$12=E$12)*($C$66:$V$66)*($C$36:$V$36)))</f>
        <v/>
      </c>
      <c r="F306" s="61">
        <f>SUMPRODUCT(MAX(($C$12:$V$12=F$12)*($C$66:$V$66)*($C$36:$V$36)))</f>
        <v/>
      </c>
      <c r="G306" s="61">
        <f>SUMPRODUCT(MAX(($C$12:$V$12=G$12)*($C$66:$V$66)*($C$36:$V$36)))</f>
        <v/>
      </c>
      <c r="H306" s="61">
        <f>SUMPRODUCT(MAX(($C$12:$V$12=H$12)*($C$66:$V$66)*($C$36:$V$36)))</f>
        <v/>
      </c>
      <c r="I306" s="61">
        <f>SUMPRODUCT(MAX(($C$12:$V$12=I$12)*($C$66:$V$66)*($C$36:$V$36)))</f>
        <v/>
      </c>
      <c r="J306" s="61">
        <f>SUMPRODUCT(MAX(($C$12:$V$12=J$12)*($C$66:$V$66)*($C$36:$V$36)))</f>
        <v/>
      </c>
      <c r="K306" s="61">
        <f>SUMPRODUCT(MAX(($C$12:$V$12=K$12)*($C$66:$V$66)*($C$36:$V$36)))</f>
        <v/>
      </c>
      <c r="L306" s="61">
        <f>SUMPRODUCT(MAX(($C$12:$V$12=L$12)*($C$66:$V$66)*($C$36:$V$36)))</f>
        <v/>
      </c>
      <c r="M306" s="61">
        <f>SUMPRODUCT(MAX(($C$12:$V$12=M$12)*($C$66:$V$66)*($C$36:$V$36)))</f>
        <v/>
      </c>
      <c r="N306" s="61">
        <f>SUMPRODUCT(MAX(($C$12:$V$12=N$12)*($C$66:$V$66)*($C$36:$V$36)))</f>
        <v/>
      </c>
      <c r="O306" s="61">
        <f>SUMPRODUCT(MAX(($C$12:$V$12=O$12)*($C$66:$V$66)*($C$36:$V$36)))</f>
        <v/>
      </c>
      <c r="P306" s="61">
        <f>SUMPRODUCT(MAX(($C$12:$V$12=P$12)*($C$66:$V$66)*($C$36:$V$36)))</f>
        <v/>
      </c>
      <c r="Q306" s="61">
        <f>SUMPRODUCT(MAX(($C$12:$V$12=Q$12)*($C$66:$V$66)*($C$36:$V$36)))</f>
        <v/>
      </c>
      <c r="R306" s="61">
        <f>SUMPRODUCT(MAX(($C$12:$V$12=R$12)*($C$66:$V$66)*($C$36:$V$36)))</f>
        <v/>
      </c>
      <c r="S306" s="61">
        <f>SUMPRODUCT(MAX(($C$12:$V$12=S$12)*($C$66:$V$66)*($C$36:$V$36)))</f>
        <v/>
      </c>
      <c r="T306" s="61">
        <f>SUMPRODUCT(MAX(($C$12:$V$12=T$12)*($C$66:$V$66)*($C$36:$V$36)))</f>
        <v/>
      </c>
      <c r="U306" s="61">
        <f>SUMPRODUCT(MAX(($C$12:$V$12=U$12)*($C$66:$V$66)*($C$36:$V$36)))</f>
        <v/>
      </c>
      <c r="V306" s="61">
        <f>SUMPRODUCT(MAX(($C$12:$V$12=V$12)*($C$66:$V$66)*($C$36:$V$36)))</f>
        <v/>
      </c>
    </row>
    <row r="307">
      <c r="C307" s="61">
        <f>SUMPRODUCT(MAX(($C$12:$V$12=C$12)*($C$67:$V$67)*($C$37:$V$37)))</f>
        <v/>
      </c>
      <c r="D307" s="61">
        <f>SUMPRODUCT(MAX(($C$12:$V$12=D$12)*($C$67:$V$67)*($C$37:$V$37)))</f>
        <v/>
      </c>
      <c r="E307" s="61">
        <f>SUMPRODUCT(MAX(($C$12:$V$12=E$12)*($C$67:$V$67)*($C$37:$V$37)))</f>
        <v/>
      </c>
      <c r="F307" s="61">
        <f>SUMPRODUCT(MAX(($C$12:$V$12=F$12)*($C$67:$V$67)*($C$37:$V$37)))</f>
        <v/>
      </c>
      <c r="G307" s="61">
        <f>SUMPRODUCT(MAX(($C$12:$V$12=G$12)*($C$67:$V$67)*($C$37:$V$37)))</f>
        <v/>
      </c>
      <c r="H307" s="61">
        <f>SUMPRODUCT(MAX(($C$12:$V$12=H$12)*($C$67:$V$67)*($C$37:$V$37)))</f>
        <v/>
      </c>
      <c r="I307" s="61">
        <f>SUMPRODUCT(MAX(($C$12:$V$12=I$12)*($C$67:$V$67)*($C$37:$V$37)))</f>
        <v/>
      </c>
      <c r="J307" s="61">
        <f>SUMPRODUCT(MAX(($C$12:$V$12=J$12)*($C$67:$V$67)*($C$37:$V$37)))</f>
        <v/>
      </c>
      <c r="K307" s="61">
        <f>SUMPRODUCT(MAX(($C$12:$V$12=K$12)*($C$67:$V$67)*($C$37:$V$37)))</f>
        <v/>
      </c>
      <c r="L307" s="61">
        <f>SUMPRODUCT(MAX(($C$12:$V$12=L$12)*($C$67:$V$67)*($C$37:$V$37)))</f>
        <v/>
      </c>
      <c r="M307" s="61">
        <f>SUMPRODUCT(MAX(($C$12:$V$12=M$12)*($C$67:$V$67)*($C$37:$V$37)))</f>
        <v/>
      </c>
      <c r="N307" s="61">
        <f>SUMPRODUCT(MAX(($C$12:$V$12=N$12)*($C$67:$V$67)*($C$37:$V$37)))</f>
        <v/>
      </c>
      <c r="O307" s="61">
        <f>SUMPRODUCT(MAX(($C$12:$V$12=O$12)*($C$67:$V$67)*($C$37:$V$37)))</f>
        <v/>
      </c>
      <c r="P307" s="61">
        <f>SUMPRODUCT(MAX(($C$12:$V$12=P$12)*($C$67:$V$67)*($C$37:$V$37)))</f>
        <v/>
      </c>
      <c r="Q307" s="61">
        <f>SUMPRODUCT(MAX(($C$12:$V$12=Q$12)*($C$67:$V$67)*($C$37:$V$37)))</f>
        <v/>
      </c>
      <c r="R307" s="61">
        <f>SUMPRODUCT(MAX(($C$12:$V$12=R$12)*($C$67:$V$67)*($C$37:$V$37)))</f>
        <v/>
      </c>
      <c r="S307" s="61">
        <f>SUMPRODUCT(MAX(($C$12:$V$12=S$12)*($C$67:$V$67)*($C$37:$V$37)))</f>
        <v/>
      </c>
      <c r="T307" s="61">
        <f>SUMPRODUCT(MAX(($C$12:$V$12=T$12)*($C$67:$V$67)*($C$37:$V$37)))</f>
        <v/>
      </c>
      <c r="U307" s="61">
        <f>SUMPRODUCT(MAX(($C$12:$V$12=U$12)*($C$67:$V$67)*($C$37:$V$37)))</f>
        <v/>
      </c>
      <c r="V307" s="61">
        <f>SUMPRODUCT(MAX(($C$12:$V$12=V$12)*($C$67:$V$67)*($C$37:$V$37)))</f>
        <v/>
      </c>
    </row>
    <row r="308">
      <c r="C308" s="61">
        <f>SUMPRODUCT(MAX(($C$12:$V$12=C$12)*($C$68:$V$68)*($C$38:$V$38)))</f>
        <v/>
      </c>
      <c r="D308" s="61">
        <f>SUMPRODUCT(MAX(($C$12:$V$12=D$12)*($C$68:$V$68)*($C$38:$V$38)))</f>
        <v/>
      </c>
      <c r="E308" s="61">
        <f>SUMPRODUCT(MAX(($C$12:$V$12=E$12)*($C$68:$V$68)*($C$38:$V$38)))</f>
        <v/>
      </c>
      <c r="F308" s="61">
        <f>SUMPRODUCT(MAX(($C$12:$V$12=F$12)*($C$68:$V$68)*($C$38:$V$38)))</f>
        <v/>
      </c>
      <c r="G308" s="61">
        <f>SUMPRODUCT(MAX(($C$12:$V$12=G$12)*($C$68:$V$68)*($C$38:$V$38)))</f>
        <v/>
      </c>
      <c r="H308" s="61">
        <f>SUMPRODUCT(MAX(($C$12:$V$12=H$12)*($C$68:$V$68)*($C$38:$V$38)))</f>
        <v/>
      </c>
      <c r="I308" s="61">
        <f>SUMPRODUCT(MAX(($C$12:$V$12=I$12)*($C$68:$V$68)*($C$38:$V$38)))</f>
        <v/>
      </c>
      <c r="J308" s="61">
        <f>SUMPRODUCT(MAX(($C$12:$V$12=J$12)*($C$68:$V$68)*($C$38:$V$38)))</f>
        <v/>
      </c>
      <c r="K308" s="61">
        <f>SUMPRODUCT(MAX(($C$12:$V$12=K$12)*($C$68:$V$68)*($C$38:$V$38)))</f>
        <v/>
      </c>
      <c r="L308" s="61">
        <f>SUMPRODUCT(MAX(($C$12:$V$12=L$12)*($C$68:$V$68)*($C$38:$V$38)))</f>
        <v/>
      </c>
      <c r="M308" s="61">
        <f>SUMPRODUCT(MAX(($C$12:$V$12=M$12)*($C$68:$V$68)*($C$38:$V$38)))</f>
        <v/>
      </c>
      <c r="N308" s="61">
        <f>SUMPRODUCT(MAX(($C$12:$V$12=N$12)*($C$68:$V$68)*($C$38:$V$38)))</f>
        <v/>
      </c>
      <c r="O308" s="61">
        <f>SUMPRODUCT(MAX(($C$12:$V$12=O$12)*($C$68:$V$68)*($C$38:$V$38)))</f>
        <v/>
      </c>
      <c r="P308" s="61">
        <f>SUMPRODUCT(MAX(($C$12:$V$12=P$12)*($C$68:$V$68)*($C$38:$V$38)))</f>
        <v/>
      </c>
      <c r="Q308" s="61">
        <f>SUMPRODUCT(MAX(($C$12:$V$12=Q$12)*($C$68:$V$68)*($C$38:$V$38)))</f>
        <v/>
      </c>
      <c r="R308" s="61">
        <f>SUMPRODUCT(MAX(($C$12:$V$12=R$12)*($C$68:$V$68)*($C$38:$V$38)))</f>
        <v/>
      </c>
      <c r="S308" s="61">
        <f>SUMPRODUCT(MAX(($C$12:$V$12=S$12)*($C$68:$V$68)*($C$38:$V$38)))</f>
        <v/>
      </c>
      <c r="T308" s="61">
        <f>SUMPRODUCT(MAX(($C$12:$V$12=T$12)*($C$68:$V$68)*($C$38:$V$38)))</f>
        <v/>
      </c>
      <c r="U308" s="61">
        <f>SUMPRODUCT(MAX(($C$12:$V$12=U$12)*($C$68:$V$68)*($C$38:$V$38)))</f>
        <v/>
      </c>
      <c r="V308" s="61">
        <f>SUMPRODUCT(MAX(($C$12:$V$12=V$12)*($C$68:$V$68)*($C$38:$V$38)))</f>
        <v/>
      </c>
    </row>
    <row r="309">
      <c r="C309" s="61">
        <f>SUMPRODUCT(MAX(($C$12:$V$12=C$12)*($C$69:$V$69)*($C$39:$V$39)))</f>
        <v/>
      </c>
      <c r="D309" s="61">
        <f>SUMPRODUCT(MAX(($C$12:$V$12=D$12)*($C$69:$V$69)*($C$39:$V$39)))</f>
        <v/>
      </c>
      <c r="E309" s="61">
        <f>SUMPRODUCT(MAX(($C$12:$V$12=E$12)*($C$69:$V$69)*($C$39:$V$39)))</f>
        <v/>
      </c>
      <c r="F309" s="61">
        <f>SUMPRODUCT(MAX(($C$12:$V$12=F$12)*($C$69:$V$69)*($C$39:$V$39)))</f>
        <v/>
      </c>
      <c r="G309" s="61">
        <f>SUMPRODUCT(MAX(($C$12:$V$12=G$12)*($C$69:$V$69)*($C$39:$V$39)))</f>
        <v/>
      </c>
      <c r="H309" s="61">
        <f>SUMPRODUCT(MAX(($C$12:$V$12=H$12)*($C$69:$V$69)*($C$39:$V$39)))</f>
        <v/>
      </c>
      <c r="I309" s="61">
        <f>SUMPRODUCT(MAX(($C$12:$V$12=I$12)*($C$69:$V$69)*($C$39:$V$39)))</f>
        <v/>
      </c>
      <c r="J309" s="61">
        <f>SUMPRODUCT(MAX(($C$12:$V$12=J$12)*($C$69:$V$69)*($C$39:$V$39)))</f>
        <v/>
      </c>
      <c r="K309" s="61">
        <f>SUMPRODUCT(MAX(($C$12:$V$12=K$12)*($C$69:$V$69)*($C$39:$V$39)))</f>
        <v/>
      </c>
      <c r="L309" s="61">
        <f>SUMPRODUCT(MAX(($C$12:$V$12=L$12)*($C$69:$V$69)*($C$39:$V$39)))</f>
        <v/>
      </c>
      <c r="M309" s="61">
        <f>SUMPRODUCT(MAX(($C$12:$V$12=M$12)*($C$69:$V$69)*($C$39:$V$39)))</f>
        <v/>
      </c>
      <c r="N309" s="61">
        <f>SUMPRODUCT(MAX(($C$12:$V$12=N$12)*($C$69:$V$69)*($C$39:$V$39)))</f>
        <v/>
      </c>
      <c r="O309" s="61">
        <f>SUMPRODUCT(MAX(($C$12:$V$12=O$12)*($C$69:$V$69)*($C$39:$V$39)))</f>
        <v/>
      </c>
      <c r="P309" s="61">
        <f>SUMPRODUCT(MAX(($C$12:$V$12=P$12)*($C$69:$V$69)*($C$39:$V$39)))</f>
        <v/>
      </c>
      <c r="Q309" s="61">
        <f>SUMPRODUCT(MAX(($C$12:$V$12=Q$12)*($C$69:$V$69)*($C$39:$V$39)))</f>
        <v/>
      </c>
      <c r="R309" s="61">
        <f>SUMPRODUCT(MAX(($C$12:$V$12=R$12)*($C$69:$V$69)*($C$39:$V$39)))</f>
        <v/>
      </c>
      <c r="S309" s="61">
        <f>SUMPRODUCT(MAX(($C$12:$V$12=S$12)*($C$69:$V$69)*($C$39:$V$39)))</f>
        <v/>
      </c>
      <c r="T309" s="61">
        <f>SUMPRODUCT(MAX(($C$12:$V$12=T$12)*($C$69:$V$69)*($C$39:$V$39)))</f>
        <v/>
      </c>
      <c r="U309" s="61">
        <f>SUMPRODUCT(MAX(($C$12:$V$12=U$12)*($C$69:$V$69)*($C$39:$V$39)))</f>
        <v/>
      </c>
      <c r="V309" s="61">
        <f>SUMPRODUCT(MAX(($C$12:$V$12=V$12)*($C$69:$V$69)*($C$39:$V$39)))</f>
        <v/>
      </c>
    </row>
    <row r="310">
      <c r="C310" s="61">
        <f>SUMPRODUCT(MAX(($C$12:$V$12=C$12)*($C$70:$V$70)*($C$40:$V$40)))</f>
        <v/>
      </c>
      <c r="D310" s="61">
        <f>SUMPRODUCT(MAX(($C$12:$V$12=D$12)*($C$70:$V$70)*($C$40:$V$40)))</f>
        <v/>
      </c>
      <c r="E310" s="61">
        <f>SUMPRODUCT(MAX(($C$12:$V$12=E$12)*($C$70:$V$70)*($C$40:$V$40)))</f>
        <v/>
      </c>
      <c r="F310" s="61">
        <f>SUMPRODUCT(MAX(($C$12:$V$12=F$12)*($C$70:$V$70)*($C$40:$V$40)))</f>
        <v/>
      </c>
      <c r="G310" s="61">
        <f>SUMPRODUCT(MAX(($C$12:$V$12=G$12)*($C$70:$V$70)*($C$40:$V$40)))</f>
        <v/>
      </c>
      <c r="H310" s="61">
        <f>SUMPRODUCT(MAX(($C$12:$V$12=H$12)*($C$70:$V$70)*($C$40:$V$40)))</f>
        <v/>
      </c>
      <c r="I310" s="61">
        <f>SUMPRODUCT(MAX(($C$12:$V$12=I$12)*($C$70:$V$70)*($C$40:$V$40)))</f>
        <v/>
      </c>
      <c r="J310" s="61">
        <f>SUMPRODUCT(MAX(($C$12:$V$12=J$12)*($C$70:$V$70)*($C$40:$V$40)))</f>
        <v/>
      </c>
      <c r="K310" s="61">
        <f>SUMPRODUCT(MAX(($C$12:$V$12=K$12)*($C$70:$V$70)*($C$40:$V$40)))</f>
        <v/>
      </c>
      <c r="L310" s="61">
        <f>SUMPRODUCT(MAX(($C$12:$V$12=L$12)*($C$70:$V$70)*($C$40:$V$40)))</f>
        <v/>
      </c>
      <c r="M310" s="61">
        <f>SUMPRODUCT(MAX(($C$12:$V$12=M$12)*($C$70:$V$70)*($C$40:$V$40)))</f>
        <v/>
      </c>
      <c r="N310" s="61">
        <f>SUMPRODUCT(MAX(($C$12:$V$12=N$12)*($C$70:$V$70)*($C$40:$V$40)))</f>
        <v/>
      </c>
      <c r="O310" s="61">
        <f>SUMPRODUCT(MAX(($C$12:$V$12=O$12)*($C$70:$V$70)*($C$40:$V$40)))</f>
        <v/>
      </c>
      <c r="P310" s="61">
        <f>SUMPRODUCT(MAX(($C$12:$V$12=P$12)*($C$70:$V$70)*($C$40:$V$40)))</f>
        <v/>
      </c>
      <c r="Q310" s="61">
        <f>SUMPRODUCT(MAX(($C$12:$V$12=Q$12)*($C$70:$V$70)*($C$40:$V$40)))</f>
        <v/>
      </c>
      <c r="R310" s="61">
        <f>SUMPRODUCT(MAX(($C$12:$V$12=R$12)*($C$70:$V$70)*($C$40:$V$40)))</f>
        <v/>
      </c>
      <c r="S310" s="61">
        <f>SUMPRODUCT(MAX(($C$12:$V$12=S$12)*($C$70:$V$70)*($C$40:$V$40)))</f>
        <v/>
      </c>
      <c r="T310" s="61">
        <f>SUMPRODUCT(MAX(($C$12:$V$12=T$12)*($C$70:$V$70)*($C$40:$V$40)))</f>
        <v/>
      </c>
      <c r="U310" s="61">
        <f>SUMPRODUCT(MAX(($C$12:$V$12=U$12)*($C$70:$V$70)*($C$40:$V$40)))</f>
        <v/>
      </c>
      <c r="V310" s="61">
        <f>SUMPRODUCT(MAX(($C$12:$V$12=V$12)*($C$70:$V$70)*($C$40:$V$40)))</f>
        <v/>
      </c>
    </row>
    <row r="311">
      <c r="C311" s="61">
        <f>SUMPRODUCT(MAX(($C$12:$V$12=C$12)*($C$71:$V$71)*($C$41:$V$41)))</f>
        <v/>
      </c>
      <c r="D311" s="61">
        <f>SUMPRODUCT(MAX(($C$12:$V$12=D$12)*($C$71:$V$71)*($C$41:$V$41)))</f>
        <v/>
      </c>
      <c r="E311" s="61">
        <f>SUMPRODUCT(MAX(($C$12:$V$12=E$12)*($C$71:$V$71)*($C$41:$V$41)))</f>
        <v/>
      </c>
      <c r="F311" s="61">
        <f>SUMPRODUCT(MAX(($C$12:$V$12=F$12)*($C$71:$V$71)*($C$41:$V$41)))</f>
        <v/>
      </c>
      <c r="G311" s="61">
        <f>SUMPRODUCT(MAX(($C$12:$V$12=G$12)*($C$71:$V$71)*($C$41:$V$41)))</f>
        <v/>
      </c>
      <c r="H311" s="61">
        <f>SUMPRODUCT(MAX(($C$12:$V$12=H$12)*($C$71:$V$71)*($C$41:$V$41)))</f>
        <v/>
      </c>
      <c r="I311" s="61">
        <f>SUMPRODUCT(MAX(($C$12:$V$12=I$12)*($C$71:$V$71)*($C$41:$V$41)))</f>
        <v/>
      </c>
      <c r="J311" s="61">
        <f>SUMPRODUCT(MAX(($C$12:$V$12=J$12)*($C$71:$V$71)*($C$41:$V$41)))</f>
        <v/>
      </c>
      <c r="K311" s="61">
        <f>SUMPRODUCT(MAX(($C$12:$V$12=K$12)*($C$71:$V$71)*($C$41:$V$41)))</f>
        <v/>
      </c>
      <c r="L311" s="61">
        <f>SUMPRODUCT(MAX(($C$12:$V$12=L$12)*($C$71:$V$71)*($C$41:$V$41)))</f>
        <v/>
      </c>
      <c r="M311" s="61">
        <f>SUMPRODUCT(MAX(($C$12:$V$12=M$12)*($C$71:$V$71)*($C$41:$V$41)))</f>
        <v/>
      </c>
      <c r="N311" s="61">
        <f>SUMPRODUCT(MAX(($C$12:$V$12=N$12)*($C$71:$V$71)*($C$41:$V$41)))</f>
        <v/>
      </c>
      <c r="O311" s="61">
        <f>SUMPRODUCT(MAX(($C$12:$V$12=O$12)*($C$71:$V$71)*($C$41:$V$41)))</f>
        <v/>
      </c>
      <c r="P311" s="61">
        <f>SUMPRODUCT(MAX(($C$12:$V$12=P$12)*($C$71:$V$71)*($C$41:$V$41)))</f>
        <v/>
      </c>
      <c r="Q311" s="61">
        <f>SUMPRODUCT(MAX(($C$12:$V$12=Q$12)*($C$71:$V$71)*($C$41:$V$41)))</f>
        <v/>
      </c>
      <c r="R311" s="61">
        <f>SUMPRODUCT(MAX(($C$12:$V$12=R$12)*($C$71:$V$71)*($C$41:$V$41)))</f>
        <v/>
      </c>
      <c r="S311" s="61">
        <f>SUMPRODUCT(MAX(($C$12:$V$12=S$12)*($C$71:$V$71)*($C$41:$V$41)))</f>
        <v/>
      </c>
      <c r="T311" s="61">
        <f>SUMPRODUCT(MAX(($C$12:$V$12=T$12)*($C$71:$V$71)*($C$41:$V$41)))</f>
        <v/>
      </c>
      <c r="U311" s="61">
        <f>SUMPRODUCT(MAX(($C$12:$V$12=U$12)*($C$71:$V$71)*($C$41:$V$41)))</f>
        <v/>
      </c>
      <c r="V311" s="61">
        <f>SUMPRODUCT(MAX(($C$12:$V$12=V$12)*($C$71:$V$71)*($C$41:$V$41)))</f>
        <v/>
      </c>
    </row>
    <row r="312">
      <c r="C312" s="61">
        <f>SUMPRODUCT(MAX(($C$12:$V$12=C$12)*($C$72:$V$72)*($C$42:$V$42)))</f>
        <v/>
      </c>
      <c r="D312" s="61">
        <f>SUMPRODUCT(MAX(($C$12:$V$12=D$12)*($C$72:$V$72)*($C$42:$V$42)))</f>
        <v/>
      </c>
      <c r="E312" s="61">
        <f>SUMPRODUCT(MAX(($C$12:$V$12=E$12)*($C$72:$V$72)*($C$42:$V$42)))</f>
        <v/>
      </c>
      <c r="F312" s="61">
        <f>SUMPRODUCT(MAX(($C$12:$V$12=F$12)*($C$72:$V$72)*($C$42:$V$42)))</f>
        <v/>
      </c>
      <c r="G312" s="61">
        <f>SUMPRODUCT(MAX(($C$12:$V$12=G$12)*($C$72:$V$72)*($C$42:$V$42)))</f>
        <v/>
      </c>
      <c r="H312" s="61">
        <f>SUMPRODUCT(MAX(($C$12:$V$12=H$12)*($C$72:$V$72)*($C$42:$V$42)))</f>
        <v/>
      </c>
      <c r="I312" s="61">
        <f>SUMPRODUCT(MAX(($C$12:$V$12=I$12)*($C$72:$V$72)*($C$42:$V$42)))</f>
        <v/>
      </c>
      <c r="J312" s="61">
        <f>SUMPRODUCT(MAX(($C$12:$V$12=J$12)*($C$72:$V$72)*($C$42:$V$42)))</f>
        <v/>
      </c>
      <c r="K312" s="61">
        <f>SUMPRODUCT(MAX(($C$12:$V$12=K$12)*($C$72:$V$72)*($C$42:$V$42)))</f>
        <v/>
      </c>
      <c r="L312" s="61">
        <f>SUMPRODUCT(MAX(($C$12:$V$12=L$12)*($C$72:$V$72)*($C$42:$V$42)))</f>
        <v/>
      </c>
      <c r="M312" s="61">
        <f>SUMPRODUCT(MAX(($C$12:$V$12=M$12)*($C$72:$V$72)*($C$42:$V$42)))</f>
        <v/>
      </c>
      <c r="N312" s="61">
        <f>SUMPRODUCT(MAX(($C$12:$V$12=N$12)*($C$72:$V$72)*($C$42:$V$42)))</f>
        <v/>
      </c>
      <c r="O312" s="61">
        <f>SUMPRODUCT(MAX(($C$12:$V$12=O$12)*($C$72:$V$72)*($C$42:$V$42)))</f>
        <v/>
      </c>
      <c r="P312" s="61">
        <f>SUMPRODUCT(MAX(($C$12:$V$12=P$12)*($C$72:$V$72)*($C$42:$V$42)))</f>
        <v/>
      </c>
      <c r="Q312" s="61">
        <f>SUMPRODUCT(MAX(($C$12:$V$12=Q$12)*($C$72:$V$72)*($C$42:$V$42)))</f>
        <v/>
      </c>
      <c r="R312" s="61">
        <f>SUMPRODUCT(MAX(($C$12:$V$12=R$12)*($C$72:$V$72)*($C$42:$V$42)))</f>
        <v/>
      </c>
      <c r="S312" s="61">
        <f>SUMPRODUCT(MAX(($C$12:$V$12=S$12)*($C$72:$V$72)*($C$42:$V$42)))</f>
        <v/>
      </c>
      <c r="T312" s="61">
        <f>SUMPRODUCT(MAX(($C$12:$V$12=T$12)*($C$72:$V$72)*($C$42:$V$42)))</f>
        <v/>
      </c>
      <c r="U312" s="61">
        <f>SUMPRODUCT(MAX(($C$12:$V$12=U$12)*($C$72:$V$72)*($C$42:$V$42)))</f>
        <v/>
      </c>
      <c r="V312" s="61">
        <f>SUMPRODUCT(MAX(($C$12:$V$12=V$12)*($C$72:$V$72)*($C$42:$V$42)))</f>
        <v/>
      </c>
    </row>
    <row r="313">
      <c r="C313" s="61">
        <f>SUMPRODUCT(MAX(($C$12:$V$12=C$12)*($C$73:$V$73)*($C$43:$V$43)))</f>
        <v/>
      </c>
      <c r="D313" s="61">
        <f>SUMPRODUCT(MAX(($C$12:$V$12=D$12)*($C$73:$V$73)*($C$43:$V$43)))</f>
        <v/>
      </c>
      <c r="E313" s="61">
        <f>SUMPRODUCT(MAX(($C$12:$V$12=E$12)*($C$73:$V$73)*($C$43:$V$43)))</f>
        <v/>
      </c>
      <c r="F313" s="61">
        <f>SUMPRODUCT(MAX(($C$12:$V$12=F$12)*($C$73:$V$73)*($C$43:$V$43)))</f>
        <v/>
      </c>
      <c r="G313" s="61">
        <f>SUMPRODUCT(MAX(($C$12:$V$12=G$12)*($C$73:$V$73)*($C$43:$V$43)))</f>
        <v/>
      </c>
      <c r="H313" s="61">
        <f>SUMPRODUCT(MAX(($C$12:$V$12=H$12)*($C$73:$V$73)*($C$43:$V$43)))</f>
        <v/>
      </c>
      <c r="I313" s="61">
        <f>SUMPRODUCT(MAX(($C$12:$V$12=I$12)*($C$73:$V$73)*($C$43:$V$43)))</f>
        <v/>
      </c>
      <c r="J313" s="61">
        <f>SUMPRODUCT(MAX(($C$12:$V$12=J$12)*($C$73:$V$73)*($C$43:$V$43)))</f>
        <v/>
      </c>
      <c r="K313" s="61">
        <f>SUMPRODUCT(MAX(($C$12:$V$12=K$12)*($C$73:$V$73)*($C$43:$V$43)))</f>
        <v/>
      </c>
      <c r="L313" s="61">
        <f>SUMPRODUCT(MAX(($C$12:$V$12=L$12)*($C$73:$V$73)*($C$43:$V$43)))</f>
        <v/>
      </c>
      <c r="M313" s="61">
        <f>SUMPRODUCT(MAX(($C$12:$V$12=M$12)*($C$73:$V$73)*($C$43:$V$43)))</f>
        <v/>
      </c>
      <c r="N313" s="61">
        <f>SUMPRODUCT(MAX(($C$12:$V$12=N$12)*($C$73:$V$73)*($C$43:$V$43)))</f>
        <v/>
      </c>
      <c r="O313" s="61">
        <f>SUMPRODUCT(MAX(($C$12:$V$12=O$12)*($C$73:$V$73)*($C$43:$V$43)))</f>
        <v/>
      </c>
      <c r="P313" s="61">
        <f>SUMPRODUCT(MAX(($C$12:$V$12=P$12)*($C$73:$V$73)*($C$43:$V$43)))</f>
        <v/>
      </c>
      <c r="Q313" s="61">
        <f>SUMPRODUCT(MAX(($C$12:$V$12=Q$12)*($C$73:$V$73)*($C$43:$V$43)))</f>
        <v/>
      </c>
      <c r="R313" s="61">
        <f>SUMPRODUCT(MAX(($C$12:$V$12=R$12)*($C$73:$V$73)*($C$43:$V$43)))</f>
        <v/>
      </c>
      <c r="S313" s="61">
        <f>SUMPRODUCT(MAX(($C$12:$V$12=S$12)*($C$73:$V$73)*($C$43:$V$43)))</f>
        <v/>
      </c>
      <c r="T313" s="61">
        <f>SUMPRODUCT(MAX(($C$12:$V$12=T$12)*($C$73:$V$73)*($C$43:$V$43)))</f>
        <v/>
      </c>
      <c r="U313" s="61">
        <f>SUMPRODUCT(MAX(($C$12:$V$12=U$12)*($C$73:$V$73)*($C$43:$V$43)))</f>
        <v/>
      </c>
      <c r="V313" s="61">
        <f>SUMPRODUCT(MAX(($C$12:$V$12=V$12)*($C$73:$V$73)*($C$43:$V$43)))</f>
        <v/>
      </c>
    </row>
    <row r="314">
      <c r="C314" s="61">
        <f>SUMPRODUCT(MAX(($C$12:$V$12=C$12)*($C$74:$V$74)*($C$44:$V$44)))</f>
        <v/>
      </c>
      <c r="D314" s="61">
        <f>SUMPRODUCT(MAX(($C$12:$V$12=D$12)*($C$74:$V$74)*($C$44:$V$44)))</f>
        <v/>
      </c>
      <c r="E314" s="61">
        <f>SUMPRODUCT(MAX(($C$12:$V$12=E$12)*($C$74:$V$74)*($C$44:$V$44)))</f>
        <v/>
      </c>
      <c r="F314" s="61">
        <f>SUMPRODUCT(MAX(($C$12:$V$12=F$12)*($C$74:$V$74)*($C$44:$V$44)))</f>
        <v/>
      </c>
      <c r="G314" s="61">
        <f>SUMPRODUCT(MAX(($C$12:$V$12=G$12)*($C$74:$V$74)*($C$44:$V$44)))</f>
        <v/>
      </c>
      <c r="H314" s="61">
        <f>SUMPRODUCT(MAX(($C$12:$V$12=H$12)*($C$74:$V$74)*($C$44:$V$44)))</f>
        <v/>
      </c>
      <c r="I314" s="61">
        <f>SUMPRODUCT(MAX(($C$12:$V$12=I$12)*($C$74:$V$74)*($C$44:$V$44)))</f>
        <v/>
      </c>
      <c r="J314" s="61">
        <f>SUMPRODUCT(MAX(($C$12:$V$12=J$12)*($C$74:$V$74)*($C$44:$V$44)))</f>
        <v/>
      </c>
      <c r="K314" s="61">
        <f>SUMPRODUCT(MAX(($C$12:$V$12=K$12)*($C$74:$V$74)*($C$44:$V$44)))</f>
        <v/>
      </c>
      <c r="L314" s="61">
        <f>SUMPRODUCT(MAX(($C$12:$V$12=L$12)*($C$74:$V$74)*($C$44:$V$44)))</f>
        <v/>
      </c>
      <c r="M314" s="61">
        <f>SUMPRODUCT(MAX(($C$12:$V$12=M$12)*($C$74:$V$74)*($C$44:$V$44)))</f>
        <v/>
      </c>
      <c r="N314" s="61">
        <f>SUMPRODUCT(MAX(($C$12:$V$12=N$12)*($C$74:$V$74)*($C$44:$V$44)))</f>
        <v/>
      </c>
      <c r="O314" s="61">
        <f>SUMPRODUCT(MAX(($C$12:$V$12=O$12)*($C$74:$V$74)*($C$44:$V$44)))</f>
        <v/>
      </c>
      <c r="P314" s="61">
        <f>SUMPRODUCT(MAX(($C$12:$V$12=P$12)*($C$74:$V$74)*($C$44:$V$44)))</f>
        <v/>
      </c>
      <c r="Q314" s="61">
        <f>SUMPRODUCT(MAX(($C$12:$V$12=Q$12)*($C$74:$V$74)*($C$44:$V$44)))</f>
        <v/>
      </c>
      <c r="R314" s="61">
        <f>SUMPRODUCT(MAX(($C$12:$V$12=R$12)*($C$74:$V$74)*($C$44:$V$44)))</f>
        <v/>
      </c>
      <c r="S314" s="61">
        <f>SUMPRODUCT(MAX(($C$12:$V$12=S$12)*($C$74:$V$74)*($C$44:$V$44)))</f>
        <v/>
      </c>
      <c r="T314" s="61">
        <f>SUMPRODUCT(MAX(($C$12:$V$12=T$12)*($C$74:$V$74)*($C$44:$V$44)))</f>
        <v/>
      </c>
      <c r="U314" s="61">
        <f>SUMPRODUCT(MAX(($C$12:$V$12=U$12)*($C$74:$V$74)*($C$44:$V$44)))</f>
        <v/>
      </c>
      <c r="V314" s="61">
        <f>SUMPRODUCT(MAX(($C$12:$V$12=V$12)*($C$74:$V$74)*($C$44:$V$44)))</f>
        <v/>
      </c>
    </row>
    <row r="319">
      <c r="A319" s="162" t="inlineStr">
        <is>
          <t>Nr. des besten</t>
        </is>
      </c>
    </row>
    <row r="320">
      <c r="C320" s="61">
        <f>SUMPRODUCT(MAX(($C$12:$V$12=C$12)*($C$50:$V$50)*(($C$20:$V$20)=C290)*$C$3:$V$3))</f>
        <v/>
      </c>
      <c r="D320" s="61">
        <f>SUMPRODUCT(MAX(($C$12:$V$12=D$12)*($C$50:$V$50)*(($C$20:$V$20)=D290)*$C$3:$V$3))</f>
        <v/>
      </c>
      <c r="E320" s="61">
        <f>SUMPRODUCT(MAX(($C$12:$V$12=E$12)*($C$50:$V$50)*(($C$20:$V$20)=E290)*$C$3:$V$3))</f>
        <v/>
      </c>
      <c r="F320" s="61">
        <f>SUMPRODUCT(MAX(($C$12:$V$12=F$12)*($C$50:$V$50)*(($C$20:$V$20)=F290)*$C$3:$V$3))</f>
        <v/>
      </c>
      <c r="G320" s="61">
        <f>SUMPRODUCT(MAX(($C$12:$V$12=G$12)*($C$50:$V$50)*(($C$20:$V$20)=G290)*$C$3:$V$3))</f>
        <v/>
      </c>
      <c r="H320" s="61">
        <f>SUMPRODUCT(MAX(($C$12:$V$12=H$12)*($C$50:$V$50)*(($C$20:$V$20)=H290)*$C$3:$V$3))</f>
        <v/>
      </c>
      <c r="I320" s="61">
        <f>SUMPRODUCT(MAX(($C$12:$V$12=I$12)*($C$50:$V$50)*(($C$20:$V$20)=I290)*$C$3:$V$3))</f>
        <v/>
      </c>
      <c r="J320" s="61">
        <f>SUMPRODUCT(MAX(($C$12:$V$12=J$12)*($C$50:$V$50)*(($C$20:$V$20)=J290)*$C$3:$V$3))</f>
        <v/>
      </c>
      <c r="K320" s="61">
        <f>SUMPRODUCT(MAX(($C$12:$V$12=K$12)*($C$50:$V$50)*(($C$20:$V$20)=K290)*$C$3:$V$3))</f>
        <v/>
      </c>
      <c r="L320" s="61">
        <f>SUMPRODUCT(MAX(($C$12:$V$12=L$12)*($C$50:$V$50)*(($C$20:$V$20)=L290)*$C$3:$V$3))</f>
        <v/>
      </c>
      <c r="M320" s="61">
        <f>SUMPRODUCT(MAX(($C$12:$V$12=M$12)*($C$50:$V$50)*(($C$20:$V$20)=M290)*$C$3:$V$3))</f>
        <v/>
      </c>
      <c r="N320" s="61">
        <f>SUMPRODUCT(MAX(($C$12:$V$12=N$12)*($C$50:$V$50)*(($C$20:$V$20)=N290)*$C$3:$V$3))</f>
        <v/>
      </c>
      <c r="O320" s="61">
        <f>SUMPRODUCT(MAX(($C$12:$V$12=O$12)*($C$50:$V$50)*(($C$20:$V$20)=O290)*$C$3:$V$3))</f>
        <v/>
      </c>
      <c r="P320" s="61">
        <f>SUMPRODUCT(MAX(($C$12:$V$12=P$12)*($C$50:$V$50)*(($C$20:$V$20)=P290)*$C$3:$V$3))</f>
        <v/>
      </c>
      <c r="Q320" s="61">
        <f>SUMPRODUCT(MAX(($C$12:$V$12=Q$12)*($C$50:$V$50)*(($C$20:$V$20)=Q290)*$C$3:$V$3))</f>
        <v/>
      </c>
      <c r="R320" s="61">
        <f>SUMPRODUCT(MAX(($C$12:$V$12=R$12)*($C$50:$V$50)*(($C$20:$V$20)=R290)*$C$3:$V$3))</f>
        <v/>
      </c>
      <c r="S320" s="61">
        <f>SUMPRODUCT(MAX(($C$12:$V$12=S$12)*($C$50:$V$50)*(($C$20:$V$20)=S290)*$C$3:$V$3))</f>
        <v/>
      </c>
      <c r="T320" s="61">
        <f>SUMPRODUCT(MAX(($C$12:$V$12=T$12)*($C$50:$V$50)*(($C$20:$V$20)=T290)*$C$3:$V$3))</f>
        <v/>
      </c>
      <c r="U320" s="61">
        <f>SUMPRODUCT(MAX(($C$12:$V$12=U$12)*($C$50:$V$50)*(($C$20:$V$20)=U290)*$C$3:$V$3))</f>
        <v/>
      </c>
      <c r="V320" s="61">
        <f>SUMPRODUCT(MAX(($C$12:$V$12=V$12)*($C$50:$V$50)*(($C$20:$V$20)=V290)*$C$3:$V$3))</f>
        <v/>
      </c>
    </row>
    <row r="321">
      <c r="C321" s="61">
        <f>SUMPRODUCT(MAX(($C$12:$V$12=C$12)*($C$51:$V$51)*(($C$21:$V$21)=C291)*$C$3:$V$3))</f>
        <v/>
      </c>
      <c r="D321" s="61">
        <f>SUMPRODUCT(MAX(($C$12:$V$12=D$12)*($C$51:$V$51)*(($C$21:$V$21)=D291)*$C$3:$V$3))</f>
        <v/>
      </c>
      <c r="E321" s="61">
        <f>SUMPRODUCT(MAX(($C$12:$V$12=E$12)*($C$51:$V$51)*(($C$21:$V$21)=E291)*$C$3:$V$3))</f>
        <v/>
      </c>
      <c r="F321" s="61">
        <f>SUMPRODUCT(MAX(($C$12:$V$12=F$12)*($C$51:$V$51)*(($C$21:$V$21)=F291)*$C$3:$V$3))</f>
        <v/>
      </c>
      <c r="G321" s="61">
        <f>SUMPRODUCT(MAX(($C$12:$V$12=G$12)*($C$51:$V$51)*(($C$21:$V$21)=G291)*$C$3:$V$3))</f>
        <v/>
      </c>
      <c r="H321" s="61">
        <f>SUMPRODUCT(MAX(($C$12:$V$12=H$12)*($C$51:$V$51)*(($C$21:$V$21)=H291)*$C$3:$V$3))</f>
        <v/>
      </c>
      <c r="I321" s="61">
        <f>SUMPRODUCT(MAX(($C$12:$V$12=I$12)*($C$51:$V$51)*(($C$21:$V$21)=I291)*$C$3:$V$3))</f>
        <v/>
      </c>
      <c r="J321" s="61">
        <f>SUMPRODUCT(MAX(($C$12:$V$12=J$12)*($C$51:$V$51)*(($C$21:$V$21)=J291)*$C$3:$V$3))</f>
        <v/>
      </c>
      <c r="K321" s="61">
        <f>SUMPRODUCT(MAX(($C$12:$V$12=K$12)*($C$51:$V$51)*(($C$21:$V$21)=K291)*$C$3:$V$3))</f>
        <v/>
      </c>
      <c r="L321" s="61">
        <f>SUMPRODUCT(MAX(($C$12:$V$12=L$12)*($C$51:$V$51)*(($C$21:$V$21)=L291)*$C$3:$V$3))</f>
        <v/>
      </c>
      <c r="M321" s="61">
        <f>SUMPRODUCT(MAX(($C$12:$V$12=M$12)*($C$51:$V$51)*(($C$21:$V$21)=M291)*$C$3:$V$3))</f>
        <v/>
      </c>
      <c r="N321" s="61">
        <f>SUMPRODUCT(MAX(($C$12:$V$12=N$12)*($C$51:$V$51)*(($C$21:$V$21)=N291)*$C$3:$V$3))</f>
        <v/>
      </c>
      <c r="O321" s="61">
        <f>SUMPRODUCT(MAX(($C$12:$V$12=O$12)*($C$51:$V$51)*(($C$21:$V$21)=O291)*$C$3:$V$3))</f>
        <v/>
      </c>
      <c r="P321" s="61">
        <f>SUMPRODUCT(MAX(($C$12:$V$12=P$12)*($C$51:$V$51)*(($C$21:$V$21)=P291)*$C$3:$V$3))</f>
        <v/>
      </c>
      <c r="Q321" s="61">
        <f>SUMPRODUCT(MAX(($C$12:$V$12=Q$12)*($C$51:$V$51)*(($C$21:$V$21)=Q291)*$C$3:$V$3))</f>
        <v/>
      </c>
      <c r="R321" s="61">
        <f>SUMPRODUCT(MAX(($C$12:$V$12=R$12)*($C$51:$V$51)*(($C$21:$V$21)=R291)*$C$3:$V$3))</f>
        <v/>
      </c>
      <c r="S321" s="61">
        <f>SUMPRODUCT(MAX(($C$12:$V$12=S$12)*($C$51:$V$51)*(($C$21:$V$21)=S291)*$C$3:$V$3))</f>
        <v/>
      </c>
      <c r="T321" s="61">
        <f>SUMPRODUCT(MAX(($C$12:$V$12=T$12)*($C$51:$V$51)*(($C$21:$V$21)=T291)*$C$3:$V$3))</f>
        <v/>
      </c>
      <c r="U321" s="61">
        <f>SUMPRODUCT(MAX(($C$12:$V$12=U$12)*($C$51:$V$51)*(($C$21:$V$21)=U291)*$C$3:$V$3))</f>
        <v/>
      </c>
      <c r="V321" s="61">
        <f>SUMPRODUCT(MAX(($C$12:$V$12=V$12)*($C$51:$V$51)*(($C$21:$V$21)=V291)*$C$3:$V$3))</f>
        <v/>
      </c>
    </row>
    <row r="322">
      <c r="C322" s="61">
        <f>SUMPRODUCT(MAX(($C$12:$V$12=C$12)*($C$52:$V$52)*(($C$22:$V$22)=C292)*$C$3:$V$3))</f>
        <v/>
      </c>
      <c r="D322" s="61">
        <f>SUMPRODUCT(MAX(($C$12:$V$12=D$12)*($C$52:$V$52)*(($C$22:$V$22)=D292)*$C$3:$V$3))</f>
        <v/>
      </c>
      <c r="E322" s="61">
        <f>SUMPRODUCT(MAX(($C$12:$V$12=E$12)*($C$52:$V$52)*(($C$22:$V$22)=E292)*$C$3:$V$3))</f>
        <v/>
      </c>
      <c r="F322" s="61">
        <f>SUMPRODUCT(MAX(($C$12:$V$12=F$12)*($C$52:$V$52)*(($C$22:$V$22)=F292)*$C$3:$V$3))</f>
        <v/>
      </c>
      <c r="G322" s="61">
        <f>SUMPRODUCT(MAX(($C$12:$V$12=G$12)*($C$52:$V$52)*(($C$22:$V$22)=G292)*$C$3:$V$3))</f>
        <v/>
      </c>
      <c r="H322" s="61">
        <f>SUMPRODUCT(MAX(($C$12:$V$12=H$12)*($C$52:$V$52)*(($C$22:$V$22)=H292)*$C$3:$V$3))</f>
        <v/>
      </c>
      <c r="I322" s="61">
        <f>SUMPRODUCT(MAX(($C$12:$V$12=I$12)*($C$52:$V$52)*(($C$22:$V$22)=I292)*$C$3:$V$3))</f>
        <v/>
      </c>
      <c r="J322" s="61">
        <f>SUMPRODUCT(MAX(($C$12:$V$12=J$12)*($C$52:$V$52)*(($C$22:$V$22)=J292)*$C$3:$V$3))</f>
        <v/>
      </c>
      <c r="K322" s="61">
        <f>SUMPRODUCT(MAX(($C$12:$V$12=K$12)*($C$52:$V$52)*(($C$22:$V$22)=K292)*$C$3:$V$3))</f>
        <v/>
      </c>
      <c r="L322" s="61">
        <f>SUMPRODUCT(MAX(($C$12:$V$12=L$12)*($C$52:$V$52)*(($C$22:$V$22)=L292)*$C$3:$V$3))</f>
        <v/>
      </c>
      <c r="M322" s="61">
        <f>SUMPRODUCT(MAX(($C$12:$V$12=M$12)*($C$52:$V$52)*(($C$22:$V$22)=M292)*$C$3:$V$3))</f>
        <v/>
      </c>
      <c r="N322" s="61">
        <f>SUMPRODUCT(MAX(($C$12:$V$12=N$12)*($C$52:$V$52)*(($C$22:$V$22)=N292)*$C$3:$V$3))</f>
        <v/>
      </c>
      <c r="O322" s="61">
        <f>SUMPRODUCT(MAX(($C$12:$V$12=O$12)*($C$52:$V$52)*(($C$22:$V$22)=O292)*$C$3:$V$3))</f>
        <v/>
      </c>
      <c r="P322" s="61">
        <f>SUMPRODUCT(MAX(($C$12:$V$12=P$12)*($C$52:$V$52)*(($C$22:$V$22)=P292)*$C$3:$V$3))</f>
        <v/>
      </c>
      <c r="Q322" s="61">
        <f>SUMPRODUCT(MAX(($C$12:$V$12=Q$12)*($C$52:$V$52)*(($C$22:$V$22)=Q292)*$C$3:$V$3))</f>
        <v/>
      </c>
      <c r="R322" s="61">
        <f>SUMPRODUCT(MAX(($C$12:$V$12=R$12)*($C$52:$V$52)*(($C$22:$V$22)=R292)*$C$3:$V$3))</f>
        <v/>
      </c>
      <c r="S322" s="61">
        <f>SUMPRODUCT(MAX(($C$12:$V$12=S$12)*($C$52:$V$52)*(($C$22:$V$22)=S292)*$C$3:$V$3))</f>
        <v/>
      </c>
      <c r="T322" s="61">
        <f>SUMPRODUCT(MAX(($C$12:$V$12=T$12)*($C$52:$V$52)*(($C$22:$V$22)=T292)*$C$3:$V$3))</f>
        <v/>
      </c>
      <c r="U322" s="61">
        <f>SUMPRODUCT(MAX(($C$12:$V$12=U$12)*($C$52:$V$52)*(($C$22:$V$22)=U292)*$C$3:$V$3))</f>
        <v/>
      </c>
      <c r="V322" s="61">
        <f>SUMPRODUCT(MAX(($C$12:$V$12=V$12)*($C$52:$V$52)*(($C$22:$V$22)=V292)*$C$3:$V$3))</f>
        <v/>
      </c>
    </row>
    <row r="323">
      <c r="C323" s="61">
        <f>SUMPRODUCT(MAX(($C$12:$V$12=C$12)*($C$53:$V$53)*(($C$23:$V$23)=C293)*$C$3:$V$3))</f>
        <v/>
      </c>
      <c r="D323" s="61">
        <f>SUMPRODUCT(MAX(($C$12:$V$12=D$12)*($C$53:$V$53)*(($C$23:$V$23)=D293)*$C$3:$V$3))</f>
        <v/>
      </c>
      <c r="E323" s="61">
        <f>SUMPRODUCT(MAX(($C$12:$V$12=E$12)*($C$53:$V$53)*(($C$23:$V$23)=E293)*$C$3:$V$3))</f>
        <v/>
      </c>
      <c r="F323" s="61">
        <f>SUMPRODUCT(MAX(($C$12:$V$12=F$12)*($C$53:$V$53)*(($C$23:$V$23)=F293)*$C$3:$V$3))</f>
        <v/>
      </c>
      <c r="G323" s="61">
        <f>SUMPRODUCT(MAX(($C$12:$V$12=G$12)*($C$53:$V$53)*(($C$23:$V$23)=G293)*$C$3:$V$3))</f>
        <v/>
      </c>
      <c r="H323" s="61">
        <f>SUMPRODUCT(MAX(($C$12:$V$12=H$12)*($C$53:$V$53)*(($C$23:$V$23)=H293)*$C$3:$V$3))</f>
        <v/>
      </c>
      <c r="I323" s="61">
        <f>SUMPRODUCT(MAX(($C$12:$V$12=I$12)*($C$53:$V$53)*(($C$23:$V$23)=I293)*$C$3:$V$3))</f>
        <v/>
      </c>
      <c r="J323" s="61">
        <f>SUMPRODUCT(MAX(($C$12:$V$12=J$12)*($C$53:$V$53)*(($C$23:$V$23)=J293)*$C$3:$V$3))</f>
        <v/>
      </c>
      <c r="K323" s="61">
        <f>SUMPRODUCT(MAX(($C$12:$V$12=K$12)*($C$53:$V$53)*(($C$23:$V$23)=K293)*$C$3:$V$3))</f>
        <v/>
      </c>
      <c r="L323" s="61">
        <f>SUMPRODUCT(MAX(($C$12:$V$12=L$12)*($C$53:$V$53)*(($C$23:$V$23)=L293)*$C$3:$V$3))</f>
        <v/>
      </c>
      <c r="M323" s="61">
        <f>SUMPRODUCT(MAX(($C$12:$V$12=M$12)*($C$53:$V$53)*(($C$23:$V$23)=M293)*$C$3:$V$3))</f>
        <v/>
      </c>
      <c r="N323" s="61">
        <f>SUMPRODUCT(MAX(($C$12:$V$12=N$12)*($C$53:$V$53)*(($C$23:$V$23)=N293)*$C$3:$V$3))</f>
        <v/>
      </c>
      <c r="O323" s="61">
        <f>SUMPRODUCT(MAX(($C$12:$V$12=O$12)*($C$53:$V$53)*(($C$23:$V$23)=O293)*$C$3:$V$3))</f>
        <v/>
      </c>
      <c r="P323" s="61">
        <f>SUMPRODUCT(MAX(($C$12:$V$12=P$12)*($C$53:$V$53)*(($C$23:$V$23)=P293)*$C$3:$V$3))</f>
        <v/>
      </c>
      <c r="Q323" s="61">
        <f>SUMPRODUCT(MAX(($C$12:$V$12=Q$12)*($C$53:$V$53)*(($C$23:$V$23)=Q293)*$C$3:$V$3))</f>
        <v/>
      </c>
      <c r="R323" s="61">
        <f>SUMPRODUCT(MAX(($C$12:$V$12=R$12)*($C$53:$V$53)*(($C$23:$V$23)=R293)*$C$3:$V$3))</f>
        <v/>
      </c>
      <c r="S323" s="61">
        <f>SUMPRODUCT(MAX(($C$12:$V$12=S$12)*($C$53:$V$53)*(($C$23:$V$23)=S293)*$C$3:$V$3))</f>
        <v/>
      </c>
      <c r="T323" s="61">
        <f>SUMPRODUCT(MAX(($C$12:$V$12=T$12)*($C$53:$V$53)*(($C$23:$V$23)=T293)*$C$3:$V$3))</f>
        <v/>
      </c>
      <c r="U323" s="61">
        <f>SUMPRODUCT(MAX(($C$12:$V$12=U$12)*($C$53:$V$53)*(($C$23:$V$23)=U293)*$C$3:$V$3))</f>
        <v/>
      </c>
      <c r="V323" s="61">
        <f>SUMPRODUCT(MAX(($C$12:$V$12=V$12)*($C$53:$V$53)*(($C$23:$V$23)=V293)*$C$3:$V$3))</f>
        <v/>
      </c>
    </row>
    <row r="324">
      <c r="C324" s="61">
        <f>SUMPRODUCT(MAX(($C$12:$V$12=C$12)*($C$54:$V$54)*(($C$24:$V$24)=C294)*$C$3:$V$3))</f>
        <v/>
      </c>
      <c r="D324" s="61">
        <f>SUMPRODUCT(MAX(($C$12:$V$12=D$12)*($C$54:$V$54)*(($C$24:$V$24)=D294)*$C$3:$V$3))</f>
        <v/>
      </c>
      <c r="E324" s="61">
        <f>SUMPRODUCT(MAX(($C$12:$V$12=E$12)*($C$54:$V$54)*(($C$24:$V$24)=E294)*$C$3:$V$3))</f>
        <v/>
      </c>
      <c r="F324" s="61">
        <f>SUMPRODUCT(MAX(($C$12:$V$12=F$12)*($C$54:$V$54)*(($C$24:$V$24)=F294)*$C$3:$V$3))</f>
        <v/>
      </c>
      <c r="G324" s="61">
        <f>SUMPRODUCT(MAX(($C$12:$V$12=G$12)*($C$54:$V$54)*(($C$24:$V$24)=G294)*$C$3:$V$3))</f>
        <v/>
      </c>
      <c r="H324" s="61">
        <f>SUMPRODUCT(MAX(($C$12:$V$12=H$12)*($C$54:$V$54)*(($C$24:$V$24)=H294)*$C$3:$V$3))</f>
        <v/>
      </c>
      <c r="I324" s="61">
        <f>SUMPRODUCT(MAX(($C$12:$V$12=I$12)*($C$54:$V$54)*(($C$24:$V$24)=I294)*$C$3:$V$3))</f>
        <v/>
      </c>
      <c r="J324" s="61">
        <f>SUMPRODUCT(MAX(($C$12:$V$12=J$12)*($C$54:$V$54)*(($C$24:$V$24)=J294)*$C$3:$V$3))</f>
        <v/>
      </c>
      <c r="K324" s="61">
        <f>SUMPRODUCT(MAX(($C$12:$V$12=K$12)*($C$54:$V$54)*(($C$24:$V$24)=K294)*$C$3:$V$3))</f>
        <v/>
      </c>
      <c r="L324" s="61">
        <f>SUMPRODUCT(MAX(($C$12:$V$12=L$12)*($C$54:$V$54)*(($C$24:$V$24)=L294)*$C$3:$V$3))</f>
        <v/>
      </c>
      <c r="M324" s="61">
        <f>SUMPRODUCT(MAX(($C$12:$V$12=M$12)*($C$54:$V$54)*(($C$24:$V$24)=M294)*$C$3:$V$3))</f>
        <v/>
      </c>
      <c r="N324" s="61">
        <f>SUMPRODUCT(MAX(($C$12:$V$12=N$12)*($C$54:$V$54)*(($C$24:$V$24)=N294)*$C$3:$V$3))</f>
        <v/>
      </c>
      <c r="O324" s="61">
        <f>SUMPRODUCT(MAX(($C$12:$V$12=O$12)*($C$54:$V$54)*(($C$24:$V$24)=O294)*$C$3:$V$3))</f>
        <v/>
      </c>
      <c r="P324" s="61">
        <f>SUMPRODUCT(MAX(($C$12:$V$12=P$12)*($C$54:$V$54)*(($C$24:$V$24)=P294)*$C$3:$V$3))</f>
        <v/>
      </c>
      <c r="Q324" s="61">
        <f>SUMPRODUCT(MAX(($C$12:$V$12=Q$12)*($C$54:$V$54)*(($C$24:$V$24)=Q294)*$C$3:$V$3))</f>
        <v/>
      </c>
      <c r="R324" s="61">
        <f>SUMPRODUCT(MAX(($C$12:$V$12=R$12)*($C$54:$V$54)*(($C$24:$V$24)=R294)*$C$3:$V$3))</f>
        <v/>
      </c>
      <c r="S324" s="61">
        <f>SUMPRODUCT(MAX(($C$12:$V$12=S$12)*($C$54:$V$54)*(($C$24:$V$24)=S294)*$C$3:$V$3))</f>
        <v/>
      </c>
      <c r="T324" s="61">
        <f>SUMPRODUCT(MAX(($C$12:$V$12=T$12)*($C$54:$V$54)*(($C$24:$V$24)=T294)*$C$3:$V$3))</f>
        <v/>
      </c>
      <c r="U324" s="61">
        <f>SUMPRODUCT(MAX(($C$12:$V$12=U$12)*($C$54:$V$54)*(($C$24:$V$24)=U294)*$C$3:$V$3))</f>
        <v/>
      </c>
      <c r="V324" s="61">
        <f>SUMPRODUCT(MAX(($C$12:$V$12=V$12)*($C$54:$V$54)*(($C$24:$V$24)=V294)*$C$3:$V$3))</f>
        <v/>
      </c>
    </row>
    <row r="325">
      <c r="C325" s="61">
        <f>SUMPRODUCT(MAX(($C$12:$V$12=C$12)*($C$55:$V$55)*(($C$25:$V$25)=C295)*$C$3:$V$3))</f>
        <v/>
      </c>
      <c r="D325" s="61">
        <f>SUMPRODUCT(MAX(($C$12:$V$12=D$12)*($C$55:$V$55)*(($C$25:$V$25)=D295)*$C$3:$V$3))</f>
        <v/>
      </c>
      <c r="E325" s="61">
        <f>SUMPRODUCT(MAX(($C$12:$V$12=E$12)*($C$55:$V$55)*(($C$25:$V$25)=E295)*$C$3:$V$3))</f>
        <v/>
      </c>
      <c r="F325" s="61">
        <f>SUMPRODUCT(MAX(($C$12:$V$12=F$12)*($C$55:$V$55)*(($C$25:$V$25)=F295)*$C$3:$V$3))</f>
        <v/>
      </c>
      <c r="G325" s="61">
        <f>SUMPRODUCT(MAX(($C$12:$V$12=G$12)*($C$55:$V$55)*(($C$25:$V$25)=G295)*$C$3:$V$3))</f>
        <v/>
      </c>
      <c r="H325" s="61">
        <f>SUMPRODUCT(MAX(($C$12:$V$12=H$12)*($C$55:$V$55)*(($C$25:$V$25)=H295)*$C$3:$V$3))</f>
        <v/>
      </c>
      <c r="I325" s="61">
        <f>SUMPRODUCT(MAX(($C$12:$V$12=I$12)*($C$55:$V$55)*(($C$25:$V$25)=I295)*$C$3:$V$3))</f>
        <v/>
      </c>
      <c r="J325" s="61">
        <f>SUMPRODUCT(MAX(($C$12:$V$12=J$12)*($C$55:$V$55)*(($C$25:$V$25)=J295)*$C$3:$V$3))</f>
        <v/>
      </c>
      <c r="K325" s="61">
        <f>SUMPRODUCT(MAX(($C$12:$V$12=K$12)*($C$55:$V$55)*(($C$25:$V$25)=K295)*$C$3:$V$3))</f>
        <v/>
      </c>
      <c r="L325" s="61">
        <f>SUMPRODUCT(MAX(($C$12:$V$12=L$12)*($C$55:$V$55)*(($C$25:$V$25)=L295)*$C$3:$V$3))</f>
        <v/>
      </c>
      <c r="M325" s="61">
        <f>SUMPRODUCT(MAX(($C$12:$V$12=M$12)*($C$55:$V$55)*(($C$25:$V$25)=M295)*$C$3:$V$3))</f>
        <v/>
      </c>
      <c r="N325" s="61">
        <f>SUMPRODUCT(MAX(($C$12:$V$12=N$12)*($C$55:$V$55)*(($C$25:$V$25)=N295)*$C$3:$V$3))</f>
        <v/>
      </c>
      <c r="O325" s="61">
        <f>SUMPRODUCT(MAX(($C$12:$V$12=O$12)*($C$55:$V$55)*(($C$25:$V$25)=O295)*$C$3:$V$3))</f>
        <v/>
      </c>
      <c r="P325" s="61">
        <f>SUMPRODUCT(MAX(($C$12:$V$12=P$12)*($C$55:$V$55)*(($C$25:$V$25)=P295)*$C$3:$V$3))</f>
        <v/>
      </c>
      <c r="Q325" s="61">
        <f>SUMPRODUCT(MAX(($C$12:$V$12=Q$12)*($C$55:$V$55)*(($C$25:$V$25)=Q295)*$C$3:$V$3))</f>
        <v/>
      </c>
      <c r="R325" s="61">
        <f>SUMPRODUCT(MAX(($C$12:$V$12=R$12)*($C$55:$V$55)*(($C$25:$V$25)=R295)*$C$3:$V$3))</f>
        <v/>
      </c>
      <c r="S325" s="61">
        <f>SUMPRODUCT(MAX(($C$12:$V$12=S$12)*($C$55:$V$55)*(($C$25:$V$25)=S295)*$C$3:$V$3))</f>
        <v/>
      </c>
      <c r="T325" s="61">
        <f>SUMPRODUCT(MAX(($C$12:$V$12=T$12)*($C$55:$V$55)*(($C$25:$V$25)=T295)*$C$3:$V$3))</f>
        <v/>
      </c>
      <c r="U325" s="61">
        <f>SUMPRODUCT(MAX(($C$12:$V$12=U$12)*($C$55:$V$55)*(($C$25:$V$25)=U295)*$C$3:$V$3))</f>
        <v/>
      </c>
      <c r="V325" s="61">
        <f>SUMPRODUCT(MAX(($C$12:$V$12=V$12)*($C$55:$V$55)*(($C$25:$V$25)=V295)*$C$3:$V$3))</f>
        <v/>
      </c>
    </row>
    <row r="326">
      <c r="C326" s="61">
        <f>SUMPRODUCT(MAX(($C$12:$V$12=C$12)*($C$56:$V$56)*(($C$26:$V$26)=C296)*$C$3:$V$3))</f>
        <v/>
      </c>
      <c r="D326" s="61">
        <f>SUMPRODUCT(MAX(($C$12:$V$12=D$12)*($C$56:$V$56)*(($C$26:$V$26)=D296)*$C$3:$V$3))</f>
        <v/>
      </c>
      <c r="E326" s="61">
        <f>SUMPRODUCT(MAX(($C$12:$V$12=E$12)*($C$56:$V$56)*(($C$26:$V$26)=E296)*$C$3:$V$3))</f>
        <v/>
      </c>
      <c r="F326" s="61">
        <f>SUMPRODUCT(MAX(($C$12:$V$12=F$12)*($C$56:$V$56)*(($C$26:$V$26)=F296)*$C$3:$V$3))</f>
        <v/>
      </c>
      <c r="G326" s="61">
        <f>SUMPRODUCT(MAX(($C$12:$V$12=G$12)*($C$56:$V$56)*(($C$26:$V$26)=G296)*$C$3:$V$3))</f>
        <v/>
      </c>
      <c r="H326" s="61">
        <f>SUMPRODUCT(MAX(($C$12:$V$12=H$12)*($C$56:$V$56)*(($C$26:$V$26)=H296)*$C$3:$V$3))</f>
        <v/>
      </c>
      <c r="I326" s="61">
        <f>SUMPRODUCT(MAX(($C$12:$V$12=I$12)*($C$56:$V$56)*(($C$26:$V$26)=I296)*$C$3:$V$3))</f>
        <v/>
      </c>
      <c r="J326" s="61">
        <f>SUMPRODUCT(MAX(($C$12:$V$12=J$12)*($C$56:$V$56)*(($C$26:$V$26)=J296)*$C$3:$V$3))</f>
        <v/>
      </c>
      <c r="K326" s="61">
        <f>SUMPRODUCT(MAX(($C$12:$V$12=K$12)*($C$56:$V$56)*(($C$26:$V$26)=K296)*$C$3:$V$3))</f>
        <v/>
      </c>
      <c r="L326" s="61">
        <f>SUMPRODUCT(MAX(($C$12:$V$12=L$12)*($C$56:$V$56)*(($C$26:$V$26)=L296)*$C$3:$V$3))</f>
        <v/>
      </c>
      <c r="M326" s="61">
        <f>SUMPRODUCT(MAX(($C$12:$V$12=M$12)*($C$56:$V$56)*(($C$26:$V$26)=M296)*$C$3:$V$3))</f>
        <v/>
      </c>
      <c r="N326" s="61">
        <f>SUMPRODUCT(MAX(($C$12:$V$12=N$12)*($C$56:$V$56)*(($C$26:$V$26)=N296)*$C$3:$V$3))</f>
        <v/>
      </c>
      <c r="O326" s="61">
        <f>SUMPRODUCT(MAX(($C$12:$V$12=O$12)*($C$56:$V$56)*(($C$26:$V$26)=O296)*$C$3:$V$3))</f>
        <v/>
      </c>
      <c r="P326" s="61">
        <f>SUMPRODUCT(MAX(($C$12:$V$12=P$12)*($C$56:$V$56)*(($C$26:$V$26)=P296)*$C$3:$V$3))</f>
        <v/>
      </c>
      <c r="Q326" s="61">
        <f>SUMPRODUCT(MAX(($C$12:$V$12=Q$12)*($C$56:$V$56)*(($C$26:$V$26)=Q296)*$C$3:$V$3))</f>
        <v/>
      </c>
      <c r="R326" s="61">
        <f>SUMPRODUCT(MAX(($C$12:$V$12=R$12)*($C$56:$V$56)*(($C$26:$V$26)=R296)*$C$3:$V$3))</f>
        <v/>
      </c>
      <c r="S326" s="61">
        <f>SUMPRODUCT(MAX(($C$12:$V$12=S$12)*($C$56:$V$56)*(($C$26:$V$26)=S296)*$C$3:$V$3))</f>
        <v/>
      </c>
      <c r="T326" s="61">
        <f>SUMPRODUCT(MAX(($C$12:$V$12=T$12)*($C$56:$V$56)*(($C$26:$V$26)=T296)*$C$3:$V$3))</f>
        <v/>
      </c>
      <c r="U326" s="61">
        <f>SUMPRODUCT(MAX(($C$12:$V$12=U$12)*($C$56:$V$56)*(($C$26:$V$26)=U296)*$C$3:$V$3))</f>
        <v/>
      </c>
      <c r="V326" s="61">
        <f>SUMPRODUCT(MAX(($C$12:$V$12=V$12)*($C$56:$V$56)*(($C$26:$V$26)=V296)*$C$3:$V$3))</f>
        <v/>
      </c>
    </row>
    <row r="327">
      <c r="C327" s="61">
        <f>SUMPRODUCT(MAX(($C$12:$V$12=C$12)*($C$57:$V$57)*(($C$27:$V$27)=C297)*$C$3:$V$3))</f>
        <v/>
      </c>
      <c r="D327" s="61">
        <f>SUMPRODUCT(MAX(($C$12:$V$12=D$12)*($C$57:$V$57)*(($C$27:$V$27)=D297)*$C$3:$V$3))</f>
        <v/>
      </c>
      <c r="E327" s="61">
        <f>SUMPRODUCT(MAX(($C$12:$V$12=E$12)*($C$57:$V$57)*(($C$27:$V$27)=E297)*$C$3:$V$3))</f>
        <v/>
      </c>
      <c r="F327" s="61">
        <f>SUMPRODUCT(MAX(($C$12:$V$12=F$12)*($C$57:$V$57)*(($C$27:$V$27)=F297)*$C$3:$V$3))</f>
        <v/>
      </c>
      <c r="G327" s="61">
        <f>SUMPRODUCT(MAX(($C$12:$V$12=G$12)*($C$57:$V$57)*(($C$27:$V$27)=G297)*$C$3:$V$3))</f>
        <v/>
      </c>
      <c r="H327" s="61">
        <f>SUMPRODUCT(MAX(($C$12:$V$12=H$12)*($C$57:$V$57)*(($C$27:$V$27)=H297)*$C$3:$V$3))</f>
        <v/>
      </c>
      <c r="I327" s="61">
        <f>SUMPRODUCT(MAX(($C$12:$V$12=I$12)*($C$57:$V$57)*(($C$27:$V$27)=I297)*$C$3:$V$3))</f>
        <v/>
      </c>
      <c r="J327" s="61">
        <f>SUMPRODUCT(MAX(($C$12:$V$12=J$12)*($C$57:$V$57)*(($C$27:$V$27)=J297)*$C$3:$V$3))</f>
        <v/>
      </c>
      <c r="K327" s="61">
        <f>SUMPRODUCT(MAX(($C$12:$V$12=K$12)*($C$57:$V$57)*(($C$27:$V$27)=K297)*$C$3:$V$3))</f>
        <v/>
      </c>
      <c r="L327" s="61">
        <f>SUMPRODUCT(MAX(($C$12:$V$12=L$12)*($C$57:$V$57)*(($C$27:$V$27)=L297)*$C$3:$V$3))</f>
        <v/>
      </c>
      <c r="M327" s="61">
        <f>SUMPRODUCT(MAX(($C$12:$V$12=M$12)*($C$57:$V$57)*(($C$27:$V$27)=M297)*$C$3:$V$3))</f>
        <v/>
      </c>
      <c r="N327" s="61">
        <f>SUMPRODUCT(MAX(($C$12:$V$12=N$12)*($C$57:$V$57)*(($C$27:$V$27)=N297)*$C$3:$V$3))</f>
        <v/>
      </c>
      <c r="O327" s="61">
        <f>SUMPRODUCT(MAX(($C$12:$V$12=O$12)*($C$57:$V$57)*(($C$27:$V$27)=O297)*$C$3:$V$3))</f>
        <v/>
      </c>
      <c r="P327" s="61">
        <f>SUMPRODUCT(MAX(($C$12:$V$12=P$12)*($C$57:$V$57)*(($C$27:$V$27)=P297)*$C$3:$V$3))</f>
        <v/>
      </c>
      <c r="Q327" s="61">
        <f>SUMPRODUCT(MAX(($C$12:$V$12=Q$12)*($C$57:$V$57)*(($C$27:$V$27)=Q297)*$C$3:$V$3))</f>
        <v/>
      </c>
      <c r="R327" s="61">
        <f>SUMPRODUCT(MAX(($C$12:$V$12=R$12)*($C$57:$V$57)*(($C$27:$V$27)=R297)*$C$3:$V$3))</f>
        <v/>
      </c>
      <c r="S327" s="61">
        <f>SUMPRODUCT(MAX(($C$12:$V$12=S$12)*($C$57:$V$57)*(($C$27:$V$27)=S297)*$C$3:$V$3))</f>
        <v/>
      </c>
      <c r="T327" s="61">
        <f>SUMPRODUCT(MAX(($C$12:$V$12=T$12)*($C$57:$V$57)*(($C$27:$V$27)=T297)*$C$3:$V$3))</f>
        <v/>
      </c>
      <c r="U327" s="61">
        <f>SUMPRODUCT(MAX(($C$12:$V$12=U$12)*($C$57:$V$57)*(($C$27:$V$27)=U297)*$C$3:$V$3))</f>
        <v/>
      </c>
      <c r="V327" s="61">
        <f>SUMPRODUCT(MAX(($C$12:$V$12=V$12)*($C$57:$V$57)*(($C$27:$V$27)=V297)*$C$3:$V$3))</f>
        <v/>
      </c>
    </row>
    <row r="328">
      <c r="C328" s="61">
        <f>SUMPRODUCT(MAX(($C$12:$V$12=C$12)*($C$58:$V$58)*(($C$28:$V$28)=C298)*$C$3:$V$3))</f>
        <v/>
      </c>
      <c r="D328" s="61">
        <f>SUMPRODUCT(MAX(($C$12:$V$12=D$12)*($C$58:$V$58)*(($C$28:$V$28)=D298)*$C$3:$V$3))</f>
        <v/>
      </c>
      <c r="E328" s="61">
        <f>SUMPRODUCT(MAX(($C$12:$V$12=E$12)*($C$58:$V$58)*(($C$28:$V$28)=E298)*$C$3:$V$3))</f>
        <v/>
      </c>
      <c r="F328" s="61">
        <f>SUMPRODUCT(MAX(($C$12:$V$12=F$12)*($C$58:$V$58)*(($C$28:$V$28)=F298)*$C$3:$V$3))</f>
        <v/>
      </c>
      <c r="G328" s="61">
        <f>SUMPRODUCT(MAX(($C$12:$V$12=G$12)*($C$58:$V$58)*(($C$28:$V$28)=G298)*$C$3:$V$3))</f>
        <v/>
      </c>
      <c r="H328" s="61">
        <f>SUMPRODUCT(MAX(($C$12:$V$12=H$12)*($C$58:$V$58)*(($C$28:$V$28)=H298)*$C$3:$V$3))</f>
        <v/>
      </c>
      <c r="I328" s="61">
        <f>SUMPRODUCT(MAX(($C$12:$V$12=I$12)*($C$58:$V$58)*(($C$28:$V$28)=I298)*$C$3:$V$3))</f>
        <v/>
      </c>
      <c r="J328" s="61">
        <f>SUMPRODUCT(MAX(($C$12:$V$12=J$12)*($C$58:$V$58)*(($C$28:$V$28)=J298)*$C$3:$V$3))</f>
        <v/>
      </c>
      <c r="K328" s="61">
        <f>SUMPRODUCT(MAX(($C$12:$V$12=K$12)*($C$58:$V$58)*(($C$28:$V$28)=K298)*$C$3:$V$3))</f>
        <v/>
      </c>
      <c r="L328" s="61">
        <f>SUMPRODUCT(MAX(($C$12:$V$12=L$12)*($C$58:$V$58)*(($C$28:$V$28)=L298)*$C$3:$V$3))</f>
        <v/>
      </c>
      <c r="M328" s="61">
        <f>SUMPRODUCT(MAX(($C$12:$V$12=M$12)*($C$58:$V$58)*(($C$28:$V$28)=M298)*$C$3:$V$3))</f>
        <v/>
      </c>
      <c r="N328" s="61">
        <f>SUMPRODUCT(MAX(($C$12:$V$12=N$12)*($C$58:$V$58)*(($C$28:$V$28)=N298)*$C$3:$V$3))</f>
        <v/>
      </c>
      <c r="O328" s="61">
        <f>SUMPRODUCT(MAX(($C$12:$V$12=O$12)*($C$58:$V$58)*(($C$28:$V$28)=O298)*$C$3:$V$3))</f>
        <v/>
      </c>
      <c r="P328" s="61">
        <f>SUMPRODUCT(MAX(($C$12:$V$12=P$12)*($C$58:$V$58)*(($C$28:$V$28)=P298)*$C$3:$V$3))</f>
        <v/>
      </c>
      <c r="Q328" s="61">
        <f>SUMPRODUCT(MAX(($C$12:$V$12=Q$12)*($C$58:$V$58)*(($C$28:$V$28)=Q298)*$C$3:$V$3))</f>
        <v/>
      </c>
      <c r="R328" s="61">
        <f>SUMPRODUCT(MAX(($C$12:$V$12=R$12)*($C$58:$V$58)*(($C$28:$V$28)=R298)*$C$3:$V$3))</f>
        <v/>
      </c>
      <c r="S328" s="61">
        <f>SUMPRODUCT(MAX(($C$12:$V$12=S$12)*($C$58:$V$58)*(($C$28:$V$28)=S298)*$C$3:$V$3))</f>
        <v/>
      </c>
      <c r="T328" s="61">
        <f>SUMPRODUCT(MAX(($C$12:$V$12=T$12)*($C$58:$V$58)*(($C$28:$V$28)=T298)*$C$3:$V$3))</f>
        <v/>
      </c>
      <c r="U328" s="61">
        <f>SUMPRODUCT(MAX(($C$12:$V$12=U$12)*($C$58:$V$58)*(($C$28:$V$28)=U298)*$C$3:$V$3))</f>
        <v/>
      </c>
      <c r="V328" s="61">
        <f>SUMPRODUCT(MAX(($C$12:$V$12=V$12)*($C$58:$V$58)*(($C$28:$V$28)=V298)*$C$3:$V$3))</f>
        <v/>
      </c>
    </row>
    <row r="329">
      <c r="C329" s="61">
        <f>SUMPRODUCT(MAX(($C$12:$V$12=C$12)*($C$59:$V$59)*(($C$29:$V$29)=C299)*$C$3:$V$3))</f>
        <v/>
      </c>
      <c r="D329" s="61">
        <f>SUMPRODUCT(MAX(($C$12:$V$12=D$12)*($C$59:$V$59)*(($C$29:$V$29)=D299)*$C$3:$V$3))</f>
        <v/>
      </c>
      <c r="E329" s="61">
        <f>SUMPRODUCT(MAX(($C$12:$V$12=E$12)*($C$59:$V$59)*(($C$29:$V$29)=E299)*$C$3:$V$3))</f>
        <v/>
      </c>
      <c r="F329" s="61">
        <f>SUMPRODUCT(MAX(($C$12:$V$12=F$12)*($C$59:$V$59)*(($C$29:$V$29)=F299)*$C$3:$V$3))</f>
        <v/>
      </c>
      <c r="G329" s="61">
        <f>SUMPRODUCT(MAX(($C$12:$V$12=G$12)*($C$59:$V$59)*(($C$29:$V$29)=G299)*$C$3:$V$3))</f>
        <v/>
      </c>
      <c r="H329" s="61">
        <f>SUMPRODUCT(MAX(($C$12:$V$12=H$12)*($C$59:$V$59)*(($C$29:$V$29)=H299)*$C$3:$V$3))</f>
        <v/>
      </c>
      <c r="I329" s="61">
        <f>SUMPRODUCT(MAX(($C$12:$V$12=I$12)*($C$59:$V$59)*(($C$29:$V$29)=I299)*$C$3:$V$3))</f>
        <v/>
      </c>
      <c r="J329" s="61">
        <f>SUMPRODUCT(MAX(($C$12:$V$12=J$12)*($C$59:$V$59)*(($C$29:$V$29)=J299)*$C$3:$V$3))</f>
        <v/>
      </c>
      <c r="K329" s="61">
        <f>SUMPRODUCT(MAX(($C$12:$V$12=K$12)*($C$59:$V$59)*(($C$29:$V$29)=K299)*$C$3:$V$3))</f>
        <v/>
      </c>
      <c r="L329" s="61">
        <f>SUMPRODUCT(MAX(($C$12:$V$12=L$12)*($C$59:$V$59)*(($C$29:$V$29)=L299)*$C$3:$V$3))</f>
        <v/>
      </c>
      <c r="M329" s="61">
        <f>SUMPRODUCT(MAX(($C$12:$V$12=M$12)*($C$59:$V$59)*(($C$29:$V$29)=M299)*$C$3:$V$3))</f>
        <v/>
      </c>
      <c r="N329" s="61">
        <f>SUMPRODUCT(MAX(($C$12:$V$12=N$12)*($C$59:$V$59)*(($C$29:$V$29)=N299)*$C$3:$V$3))</f>
        <v/>
      </c>
      <c r="O329" s="61">
        <f>SUMPRODUCT(MAX(($C$12:$V$12=O$12)*($C$59:$V$59)*(($C$29:$V$29)=O299)*$C$3:$V$3))</f>
        <v/>
      </c>
      <c r="P329" s="61">
        <f>SUMPRODUCT(MAX(($C$12:$V$12=P$12)*($C$59:$V$59)*(($C$29:$V$29)=P299)*$C$3:$V$3))</f>
        <v/>
      </c>
      <c r="Q329" s="61">
        <f>SUMPRODUCT(MAX(($C$12:$V$12=Q$12)*($C$59:$V$59)*(($C$29:$V$29)=Q299)*$C$3:$V$3))</f>
        <v/>
      </c>
      <c r="R329" s="61">
        <f>SUMPRODUCT(MAX(($C$12:$V$12=R$12)*($C$59:$V$59)*(($C$29:$V$29)=R299)*$C$3:$V$3))</f>
        <v/>
      </c>
      <c r="S329" s="61">
        <f>SUMPRODUCT(MAX(($C$12:$V$12=S$12)*($C$59:$V$59)*(($C$29:$V$29)=S299)*$C$3:$V$3))</f>
        <v/>
      </c>
      <c r="T329" s="61">
        <f>SUMPRODUCT(MAX(($C$12:$V$12=T$12)*($C$59:$V$59)*(($C$29:$V$29)=T299)*$C$3:$V$3))</f>
        <v/>
      </c>
      <c r="U329" s="61">
        <f>SUMPRODUCT(MAX(($C$12:$V$12=U$12)*($C$59:$V$59)*(($C$29:$V$29)=U299)*$C$3:$V$3))</f>
        <v/>
      </c>
      <c r="V329" s="61">
        <f>SUMPRODUCT(MAX(($C$12:$V$12=V$12)*($C$59:$V$59)*(($C$29:$V$29)=V299)*$C$3:$V$3))</f>
        <v/>
      </c>
    </row>
    <row r="330">
      <c r="C330" s="61">
        <f>SUMPRODUCT(MAX(($C$12:$V$12=C$12)*($C$60:$V$60)*(($C$30:$V$30)=C300)*$C$3:$V$3))</f>
        <v/>
      </c>
      <c r="D330" s="61">
        <f>SUMPRODUCT(MAX(($C$12:$V$12=D$12)*($C$60:$V$60)*(($C$30:$V$30)=D300)*$C$3:$V$3))</f>
        <v/>
      </c>
      <c r="E330" s="61">
        <f>SUMPRODUCT(MAX(($C$12:$V$12=E$12)*($C$60:$V$60)*(($C$30:$V$30)=E300)*$C$3:$V$3))</f>
        <v/>
      </c>
      <c r="F330" s="61">
        <f>SUMPRODUCT(MAX(($C$12:$V$12=F$12)*($C$60:$V$60)*(($C$30:$V$30)=F300)*$C$3:$V$3))</f>
        <v/>
      </c>
      <c r="G330" s="61">
        <f>SUMPRODUCT(MAX(($C$12:$V$12=G$12)*($C$60:$V$60)*(($C$30:$V$30)=G300)*$C$3:$V$3))</f>
        <v/>
      </c>
      <c r="H330" s="61">
        <f>SUMPRODUCT(MAX(($C$12:$V$12=H$12)*($C$60:$V$60)*(($C$30:$V$30)=H300)*$C$3:$V$3))</f>
        <v/>
      </c>
      <c r="I330" s="61">
        <f>SUMPRODUCT(MAX(($C$12:$V$12=I$12)*($C$60:$V$60)*(($C$30:$V$30)=I300)*$C$3:$V$3))</f>
        <v/>
      </c>
      <c r="J330" s="61">
        <f>SUMPRODUCT(MAX(($C$12:$V$12=J$12)*($C$60:$V$60)*(($C$30:$V$30)=J300)*$C$3:$V$3))</f>
        <v/>
      </c>
      <c r="K330" s="61">
        <f>SUMPRODUCT(MAX(($C$12:$V$12=K$12)*($C$60:$V$60)*(($C$30:$V$30)=K300)*$C$3:$V$3))</f>
        <v/>
      </c>
      <c r="L330" s="61">
        <f>SUMPRODUCT(MAX(($C$12:$V$12=L$12)*($C$60:$V$60)*(($C$30:$V$30)=L300)*$C$3:$V$3))</f>
        <v/>
      </c>
      <c r="M330" s="61">
        <f>SUMPRODUCT(MAX(($C$12:$V$12=M$12)*($C$60:$V$60)*(($C$30:$V$30)=M300)*$C$3:$V$3))</f>
        <v/>
      </c>
      <c r="N330" s="61">
        <f>SUMPRODUCT(MAX(($C$12:$V$12=N$12)*($C$60:$V$60)*(($C$30:$V$30)=N300)*$C$3:$V$3))</f>
        <v/>
      </c>
      <c r="O330" s="61">
        <f>SUMPRODUCT(MAX(($C$12:$V$12=O$12)*($C$60:$V$60)*(($C$30:$V$30)=O300)*$C$3:$V$3))</f>
        <v/>
      </c>
      <c r="P330" s="61">
        <f>SUMPRODUCT(MAX(($C$12:$V$12=P$12)*($C$60:$V$60)*(($C$30:$V$30)=P300)*$C$3:$V$3))</f>
        <v/>
      </c>
      <c r="Q330" s="61">
        <f>SUMPRODUCT(MAX(($C$12:$V$12=Q$12)*($C$60:$V$60)*(($C$30:$V$30)=Q300)*$C$3:$V$3))</f>
        <v/>
      </c>
      <c r="R330" s="61">
        <f>SUMPRODUCT(MAX(($C$12:$V$12=R$12)*($C$60:$V$60)*(($C$30:$V$30)=R300)*$C$3:$V$3))</f>
        <v/>
      </c>
      <c r="S330" s="61">
        <f>SUMPRODUCT(MAX(($C$12:$V$12=S$12)*($C$60:$V$60)*(($C$30:$V$30)=S300)*$C$3:$V$3))</f>
        <v/>
      </c>
      <c r="T330" s="61">
        <f>SUMPRODUCT(MAX(($C$12:$V$12=T$12)*($C$60:$V$60)*(($C$30:$V$30)=T300)*$C$3:$V$3))</f>
        <v/>
      </c>
      <c r="U330" s="61">
        <f>SUMPRODUCT(MAX(($C$12:$V$12=U$12)*($C$60:$V$60)*(($C$30:$V$30)=U300)*$C$3:$V$3))</f>
        <v/>
      </c>
      <c r="V330" s="61">
        <f>SUMPRODUCT(MAX(($C$12:$V$12=V$12)*($C$60:$V$60)*(($C$30:$V$30)=V300)*$C$3:$V$3))</f>
        <v/>
      </c>
    </row>
    <row r="331">
      <c r="C331" s="61">
        <f>SUMPRODUCT(MAX(($C$12:$V$12=C$12)*($C$61:$V$61)*(($C$31:$V$31)=C301)*$C$3:$V$3))</f>
        <v/>
      </c>
      <c r="D331" s="61">
        <f>SUMPRODUCT(MAX(($C$12:$V$12=D$12)*($C$61:$V$61)*(($C$31:$V$31)=D301)*$C$3:$V$3))</f>
        <v/>
      </c>
      <c r="E331" s="61">
        <f>SUMPRODUCT(MAX(($C$12:$V$12=E$12)*($C$61:$V$61)*(($C$31:$V$31)=E301)*$C$3:$V$3))</f>
        <v/>
      </c>
      <c r="F331" s="61">
        <f>SUMPRODUCT(MAX(($C$12:$V$12=F$12)*($C$61:$V$61)*(($C$31:$V$31)=F301)*$C$3:$V$3))</f>
        <v/>
      </c>
      <c r="G331" s="61">
        <f>SUMPRODUCT(MAX(($C$12:$V$12=G$12)*($C$61:$V$61)*(($C$31:$V$31)=G301)*$C$3:$V$3))</f>
        <v/>
      </c>
      <c r="H331" s="61">
        <f>SUMPRODUCT(MAX(($C$12:$V$12=H$12)*($C$61:$V$61)*(($C$31:$V$31)=H301)*$C$3:$V$3))</f>
        <v/>
      </c>
      <c r="I331" s="61">
        <f>SUMPRODUCT(MAX(($C$12:$V$12=I$12)*($C$61:$V$61)*(($C$31:$V$31)=I301)*$C$3:$V$3))</f>
        <v/>
      </c>
      <c r="J331" s="61">
        <f>SUMPRODUCT(MAX(($C$12:$V$12=J$12)*($C$61:$V$61)*(($C$31:$V$31)=J301)*$C$3:$V$3))</f>
        <v/>
      </c>
      <c r="K331" s="61">
        <f>SUMPRODUCT(MAX(($C$12:$V$12=K$12)*($C$61:$V$61)*(($C$31:$V$31)=K301)*$C$3:$V$3))</f>
        <v/>
      </c>
      <c r="L331" s="61">
        <f>SUMPRODUCT(MAX(($C$12:$V$12=L$12)*($C$61:$V$61)*(($C$31:$V$31)=L301)*$C$3:$V$3))</f>
        <v/>
      </c>
      <c r="M331" s="61">
        <f>SUMPRODUCT(MAX(($C$12:$V$12=M$12)*($C$61:$V$61)*(($C$31:$V$31)=M301)*$C$3:$V$3))</f>
        <v/>
      </c>
      <c r="N331" s="61">
        <f>SUMPRODUCT(MAX(($C$12:$V$12=N$12)*($C$61:$V$61)*(($C$31:$V$31)=N301)*$C$3:$V$3))</f>
        <v/>
      </c>
      <c r="O331" s="61">
        <f>SUMPRODUCT(MAX(($C$12:$V$12=O$12)*($C$61:$V$61)*(($C$31:$V$31)=O301)*$C$3:$V$3))</f>
        <v/>
      </c>
      <c r="P331" s="61">
        <f>SUMPRODUCT(MAX(($C$12:$V$12=P$12)*($C$61:$V$61)*(($C$31:$V$31)=P301)*$C$3:$V$3))</f>
        <v/>
      </c>
      <c r="Q331" s="61">
        <f>SUMPRODUCT(MAX(($C$12:$V$12=Q$12)*($C$61:$V$61)*(($C$31:$V$31)=Q301)*$C$3:$V$3))</f>
        <v/>
      </c>
      <c r="R331" s="61">
        <f>SUMPRODUCT(MAX(($C$12:$V$12=R$12)*($C$61:$V$61)*(($C$31:$V$31)=R301)*$C$3:$V$3))</f>
        <v/>
      </c>
      <c r="S331" s="61">
        <f>SUMPRODUCT(MAX(($C$12:$V$12=S$12)*($C$61:$V$61)*(($C$31:$V$31)=S301)*$C$3:$V$3))</f>
        <v/>
      </c>
      <c r="T331" s="61">
        <f>SUMPRODUCT(MAX(($C$12:$V$12=T$12)*($C$61:$V$61)*(($C$31:$V$31)=T301)*$C$3:$V$3))</f>
        <v/>
      </c>
      <c r="U331" s="61">
        <f>SUMPRODUCT(MAX(($C$12:$V$12=U$12)*($C$61:$V$61)*(($C$31:$V$31)=U301)*$C$3:$V$3))</f>
        <v/>
      </c>
      <c r="V331" s="61">
        <f>SUMPRODUCT(MAX(($C$12:$V$12=V$12)*($C$61:$V$61)*(($C$31:$V$31)=V301)*$C$3:$V$3))</f>
        <v/>
      </c>
    </row>
    <row r="332">
      <c r="C332" s="61">
        <f>SUMPRODUCT(MAX(($C$12:$V$12=C$12)*($C$62:$V$62)*(($C$32:$V$32)=C302)*$C$3:$V$3))</f>
        <v/>
      </c>
      <c r="D332" s="61">
        <f>SUMPRODUCT(MAX(($C$12:$V$12=D$12)*($C$62:$V$62)*(($C$32:$V$32)=D302)*$C$3:$V$3))</f>
        <v/>
      </c>
      <c r="E332" s="61">
        <f>SUMPRODUCT(MAX(($C$12:$V$12=E$12)*($C$62:$V$62)*(($C$32:$V$32)=E302)*$C$3:$V$3))</f>
        <v/>
      </c>
      <c r="F332" s="61">
        <f>SUMPRODUCT(MAX(($C$12:$V$12=F$12)*($C$62:$V$62)*(($C$32:$V$32)=F302)*$C$3:$V$3))</f>
        <v/>
      </c>
      <c r="G332" s="61">
        <f>SUMPRODUCT(MAX(($C$12:$V$12=G$12)*($C$62:$V$62)*(($C$32:$V$32)=G302)*$C$3:$V$3))</f>
        <v/>
      </c>
      <c r="H332" s="61">
        <f>SUMPRODUCT(MAX(($C$12:$V$12=H$12)*($C$62:$V$62)*(($C$32:$V$32)=H302)*$C$3:$V$3))</f>
        <v/>
      </c>
      <c r="I332" s="61">
        <f>SUMPRODUCT(MAX(($C$12:$V$12=I$12)*($C$62:$V$62)*(($C$32:$V$32)=I302)*$C$3:$V$3))</f>
        <v/>
      </c>
      <c r="J332" s="61">
        <f>SUMPRODUCT(MAX(($C$12:$V$12=J$12)*($C$62:$V$62)*(($C$32:$V$32)=J302)*$C$3:$V$3))</f>
        <v/>
      </c>
      <c r="K332" s="61">
        <f>SUMPRODUCT(MAX(($C$12:$V$12=K$12)*($C$62:$V$62)*(($C$32:$V$32)=K302)*$C$3:$V$3))</f>
        <v/>
      </c>
      <c r="L332" s="61">
        <f>SUMPRODUCT(MAX(($C$12:$V$12=L$12)*($C$62:$V$62)*(($C$32:$V$32)=L302)*$C$3:$V$3))</f>
        <v/>
      </c>
      <c r="M332" s="61">
        <f>SUMPRODUCT(MAX(($C$12:$V$12=M$12)*($C$62:$V$62)*(($C$32:$V$32)=M302)*$C$3:$V$3))</f>
        <v/>
      </c>
      <c r="N332" s="61">
        <f>SUMPRODUCT(MAX(($C$12:$V$12=N$12)*($C$62:$V$62)*(($C$32:$V$32)=N302)*$C$3:$V$3))</f>
        <v/>
      </c>
      <c r="O332" s="61">
        <f>SUMPRODUCT(MAX(($C$12:$V$12=O$12)*($C$62:$V$62)*(($C$32:$V$32)=O302)*$C$3:$V$3))</f>
        <v/>
      </c>
      <c r="P332" s="61">
        <f>SUMPRODUCT(MAX(($C$12:$V$12=P$12)*($C$62:$V$62)*(($C$32:$V$32)=P302)*$C$3:$V$3))</f>
        <v/>
      </c>
      <c r="Q332" s="61">
        <f>SUMPRODUCT(MAX(($C$12:$V$12=Q$12)*($C$62:$V$62)*(($C$32:$V$32)=Q302)*$C$3:$V$3))</f>
        <v/>
      </c>
      <c r="R332" s="61">
        <f>SUMPRODUCT(MAX(($C$12:$V$12=R$12)*($C$62:$V$62)*(($C$32:$V$32)=R302)*$C$3:$V$3))</f>
        <v/>
      </c>
      <c r="S332" s="61">
        <f>SUMPRODUCT(MAX(($C$12:$V$12=S$12)*($C$62:$V$62)*(($C$32:$V$32)=S302)*$C$3:$V$3))</f>
        <v/>
      </c>
      <c r="T332" s="61">
        <f>SUMPRODUCT(MAX(($C$12:$V$12=T$12)*($C$62:$V$62)*(($C$32:$V$32)=T302)*$C$3:$V$3))</f>
        <v/>
      </c>
      <c r="U332" s="61">
        <f>SUMPRODUCT(MAX(($C$12:$V$12=U$12)*($C$62:$V$62)*(($C$32:$V$32)=U302)*$C$3:$V$3))</f>
        <v/>
      </c>
      <c r="V332" s="61">
        <f>SUMPRODUCT(MAX(($C$12:$V$12=V$12)*($C$62:$V$62)*(($C$32:$V$32)=V302)*$C$3:$V$3))</f>
        <v/>
      </c>
    </row>
    <row r="333">
      <c r="C333" s="61">
        <f>SUMPRODUCT(MAX(($C$12:$V$12=C$12)*($C$63:$V$63)*(($C$33:$V$33)=C303)*$C$3:$V$3))</f>
        <v/>
      </c>
      <c r="D333" s="61">
        <f>SUMPRODUCT(MAX(($C$12:$V$12=D$12)*($C$63:$V$63)*(($C$33:$V$33)=D303)*$C$3:$V$3))</f>
        <v/>
      </c>
      <c r="E333" s="61">
        <f>SUMPRODUCT(MAX(($C$12:$V$12=E$12)*($C$63:$V$63)*(($C$33:$V$33)=E303)*$C$3:$V$3))</f>
        <v/>
      </c>
      <c r="F333" s="61">
        <f>SUMPRODUCT(MAX(($C$12:$V$12=F$12)*($C$63:$V$63)*(($C$33:$V$33)=F303)*$C$3:$V$3))</f>
        <v/>
      </c>
      <c r="G333" s="61">
        <f>SUMPRODUCT(MAX(($C$12:$V$12=G$12)*($C$63:$V$63)*(($C$33:$V$33)=G303)*$C$3:$V$3))</f>
        <v/>
      </c>
      <c r="H333" s="61">
        <f>SUMPRODUCT(MAX(($C$12:$V$12=H$12)*($C$63:$V$63)*(($C$33:$V$33)=H303)*$C$3:$V$3))</f>
        <v/>
      </c>
      <c r="I333" s="61">
        <f>SUMPRODUCT(MAX(($C$12:$V$12=I$12)*($C$63:$V$63)*(($C$33:$V$33)=I303)*$C$3:$V$3))</f>
        <v/>
      </c>
      <c r="J333" s="61">
        <f>SUMPRODUCT(MAX(($C$12:$V$12=J$12)*($C$63:$V$63)*(($C$33:$V$33)=J303)*$C$3:$V$3))</f>
        <v/>
      </c>
      <c r="K333" s="61">
        <f>SUMPRODUCT(MAX(($C$12:$V$12=K$12)*($C$63:$V$63)*(($C$33:$V$33)=K303)*$C$3:$V$3))</f>
        <v/>
      </c>
      <c r="L333" s="61">
        <f>SUMPRODUCT(MAX(($C$12:$V$12=L$12)*($C$63:$V$63)*(($C$33:$V$33)=L303)*$C$3:$V$3))</f>
        <v/>
      </c>
      <c r="M333" s="61">
        <f>SUMPRODUCT(MAX(($C$12:$V$12=M$12)*($C$63:$V$63)*(($C$33:$V$33)=M303)*$C$3:$V$3))</f>
        <v/>
      </c>
      <c r="N333" s="61">
        <f>SUMPRODUCT(MAX(($C$12:$V$12=N$12)*($C$63:$V$63)*(($C$33:$V$33)=N303)*$C$3:$V$3))</f>
        <v/>
      </c>
      <c r="O333" s="61">
        <f>SUMPRODUCT(MAX(($C$12:$V$12=O$12)*($C$63:$V$63)*(($C$33:$V$33)=O303)*$C$3:$V$3))</f>
        <v/>
      </c>
      <c r="P333" s="61">
        <f>SUMPRODUCT(MAX(($C$12:$V$12=P$12)*($C$63:$V$63)*(($C$33:$V$33)=P303)*$C$3:$V$3))</f>
        <v/>
      </c>
      <c r="Q333" s="61">
        <f>SUMPRODUCT(MAX(($C$12:$V$12=Q$12)*($C$63:$V$63)*(($C$33:$V$33)=Q303)*$C$3:$V$3))</f>
        <v/>
      </c>
      <c r="R333" s="61">
        <f>SUMPRODUCT(MAX(($C$12:$V$12=R$12)*($C$63:$V$63)*(($C$33:$V$33)=R303)*$C$3:$V$3))</f>
        <v/>
      </c>
      <c r="S333" s="61">
        <f>SUMPRODUCT(MAX(($C$12:$V$12=S$12)*($C$63:$V$63)*(($C$33:$V$33)=S303)*$C$3:$V$3))</f>
        <v/>
      </c>
      <c r="T333" s="61">
        <f>SUMPRODUCT(MAX(($C$12:$V$12=T$12)*($C$63:$V$63)*(($C$33:$V$33)=T303)*$C$3:$V$3))</f>
        <v/>
      </c>
      <c r="U333" s="61">
        <f>SUMPRODUCT(MAX(($C$12:$V$12=U$12)*($C$63:$V$63)*(($C$33:$V$33)=U303)*$C$3:$V$3))</f>
        <v/>
      </c>
      <c r="V333" s="61">
        <f>SUMPRODUCT(MAX(($C$12:$V$12=V$12)*($C$63:$V$63)*(($C$33:$V$33)=V303)*$C$3:$V$3))</f>
        <v/>
      </c>
    </row>
    <row r="334">
      <c r="C334" s="61">
        <f>SUMPRODUCT(MAX(($C$12:$V$12=C$12)*($C$64:$V$64)*(($C$34:$V$34)=C304)*$C$3:$V$3))</f>
        <v/>
      </c>
      <c r="D334" s="61">
        <f>SUMPRODUCT(MAX(($C$12:$V$12=D$12)*($C$64:$V$64)*(($C$34:$V$34)=D304)*$C$3:$V$3))</f>
        <v/>
      </c>
      <c r="E334" s="61">
        <f>SUMPRODUCT(MAX(($C$12:$V$12=E$12)*($C$64:$V$64)*(($C$34:$V$34)=E304)*$C$3:$V$3))</f>
        <v/>
      </c>
      <c r="F334" s="61">
        <f>SUMPRODUCT(MAX(($C$12:$V$12=F$12)*($C$64:$V$64)*(($C$34:$V$34)=F304)*$C$3:$V$3))</f>
        <v/>
      </c>
      <c r="G334" s="61">
        <f>SUMPRODUCT(MAX(($C$12:$V$12=G$12)*($C$64:$V$64)*(($C$34:$V$34)=G304)*$C$3:$V$3))</f>
        <v/>
      </c>
      <c r="H334" s="61">
        <f>SUMPRODUCT(MAX(($C$12:$V$12=H$12)*($C$64:$V$64)*(($C$34:$V$34)=H304)*$C$3:$V$3))</f>
        <v/>
      </c>
      <c r="I334" s="61">
        <f>SUMPRODUCT(MAX(($C$12:$V$12=I$12)*($C$64:$V$64)*(($C$34:$V$34)=I304)*$C$3:$V$3))</f>
        <v/>
      </c>
      <c r="J334" s="61">
        <f>SUMPRODUCT(MAX(($C$12:$V$12=J$12)*($C$64:$V$64)*(($C$34:$V$34)=J304)*$C$3:$V$3))</f>
        <v/>
      </c>
      <c r="K334" s="61">
        <f>SUMPRODUCT(MAX(($C$12:$V$12=K$12)*($C$64:$V$64)*(($C$34:$V$34)=K304)*$C$3:$V$3))</f>
        <v/>
      </c>
      <c r="L334" s="61">
        <f>SUMPRODUCT(MAX(($C$12:$V$12=L$12)*($C$64:$V$64)*(($C$34:$V$34)=L304)*$C$3:$V$3))</f>
        <v/>
      </c>
      <c r="M334" s="61">
        <f>SUMPRODUCT(MAX(($C$12:$V$12=M$12)*($C$64:$V$64)*(($C$34:$V$34)=M304)*$C$3:$V$3))</f>
        <v/>
      </c>
      <c r="N334" s="61">
        <f>SUMPRODUCT(MAX(($C$12:$V$12=N$12)*($C$64:$V$64)*(($C$34:$V$34)=N304)*$C$3:$V$3))</f>
        <v/>
      </c>
      <c r="O334" s="61">
        <f>SUMPRODUCT(MAX(($C$12:$V$12=O$12)*($C$64:$V$64)*(($C$34:$V$34)=O304)*$C$3:$V$3))</f>
        <v/>
      </c>
      <c r="P334" s="61">
        <f>SUMPRODUCT(MAX(($C$12:$V$12=P$12)*($C$64:$V$64)*(($C$34:$V$34)=P304)*$C$3:$V$3))</f>
        <v/>
      </c>
      <c r="Q334" s="61">
        <f>SUMPRODUCT(MAX(($C$12:$V$12=Q$12)*($C$64:$V$64)*(($C$34:$V$34)=Q304)*$C$3:$V$3))</f>
        <v/>
      </c>
      <c r="R334" s="61">
        <f>SUMPRODUCT(MAX(($C$12:$V$12=R$12)*($C$64:$V$64)*(($C$34:$V$34)=R304)*$C$3:$V$3))</f>
        <v/>
      </c>
      <c r="S334" s="61">
        <f>SUMPRODUCT(MAX(($C$12:$V$12=S$12)*($C$64:$V$64)*(($C$34:$V$34)=S304)*$C$3:$V$3))</f>
        <v/>
      </c>
      <c r="T334" s="61">
        <f>SUMPRODUCT(MAX(($C$12:$V$12=T$12)*($C$64:$V$64)*(($C$34:$V$34)=T304)*$C$3:$V$3))</f>
        <v/>
      </c>
      <c r="U334" s="61">
        <f>SUMPRODUCT(MAX(($C$12:$V$12=U$12)*($C$64:$V$64)*(($C$34:$V$34)=U304)*$C$3:$V$3))</f>
        <v/>
      </c>
      <c r="V334" s="61">
        <f>SUMPRODUCT(MAX(($C$12:$V$12=V$12)*($C$64:$V$64)*(($C$34:$V$34)=V304)*$C$3:$V$3))</f>
        <v/>
      </c>
    </row>
    <row r="335">
      <c r="C335" s="61">
        <f>SUMPRODUCT(MAX(($C$12:$V$12=C$12)*($C$65:$V$65)*(($C$35:$V$35)=C305)*$C$3:$V$3))</f>
        <v/>
      </c>
      <c r="D335" s="61">
        <f>SUMPRODUCT(MAX(($C$12:$V$12=D$12)*($C$65:$V$65)*(($C$35:$V$35)=D305)*$C$3:$V$3))</f>
        <v/>
      </c>
      <c r="E335" s="61">
        <f>SUMPRODUCT(MAX(($C$12:$V$12=E$12)*($C$65:$V$65)*(($C$35:$V$35)=E305)*$C$3:$V$3))</f>
        <v/>
      </c>
      <c r="F335" s="61">
        <f>SUMPRODUCT(MAX(($C$12:$V$12=F$12)*($C$65:$V$65)*(($C$35:$V$35)=F305)*$C$3:$V$3))</f>
        <v/>
      </c>
      <c r="G335" s="61">
        <f>SUMPRODUCT(MAX(($C$12:$V$12=G$12)*($C$65:$V$65)*(($C$35:$V$35)=G305)*$C$3:$V$3))</f>
        <v/>
      </c>
      <c r="H335" s="61">
        <f>SUMPRODUCT(MAX(($C$12:$V$12=H$12)*($C$65:$V$65)*(($C$35:$V$35)=H305)*$C$3:$V$3))</f>
        <v/>
      </c>
      <c r="I335" s="61">
        <f>SUMPRODUCT(MAX(($C$12:$V$12=I$12)*($C$65:$V$65)*(($C$35:$V$35)=I305)*$C$3:$V$3))</f>
        <v/>
      </c>
      <c r="J335" s="61">
        <f>SUMPRODUCT(MAX(($C$12:$V$12=J$12)*($C$65:$V$65)*(($C$35:$V$35)=J305)*$C$3:$V$3))</f>
        <v/>
      </c>
      <c r="K335" s="61">
        <f>SUMPRODUCT(MAX(($C$12:$V$12=K$12)*($C$65:$V$65)*(($C$35:$V$35)=K305)*$C$3:$V$3))</f>
        <v/>
      </c>
      <c r="L335" s="61">
        <f>SUMPRODUCT(MAX(($C$12:$V$12=L$12)*($C$65:$V$65)*(($C$35:$V$35)=L305)*$C$3:$V$3))</f>
        <v/>
      </c>
      <c r="M335" s="61">
        <f>SUMPRODUCT(MAX(($C$12:$V$12=M$12)*($C$65:$V$65)*(($C$35:$V$35)=M305)*$C$3:$V$3))</f>
        <v/>
      </c>
      <c r="N335" s="61">
        <f>SUMPRODUCT(MAX(($C$12:$V$12=N$12)*($C$65:$V$65)*(($C$35:$V$35)=N305)*$C$3:$V$3))</f>
        <v/>
      </c>
      <c r="O335" s="61">
        <f>SUMPRODUCT(MAX(($C$12:$V$12=O$12)*($C$65:$V$65)*(($C$35:$V$35)=O305)*$C$3:$V$3))</f>
        <v/>
      </c>
      <c r="P335" s="61">
        <f>SUMPRODUCT(MAX(($C$12:$V$12=P$12)*($C$65:$V$65)*(($C$35:$V$35)=P305)*$C$3:$V$3))</f>
        <v/>
      </c>
      <c r="Q335" s="61">
        <f>SUMPRODUCT(MAX(($C$12:$V$12=Q$12)*($C$65:$V$65)*(($C$35:$V$35)=Q305)*$C$3:$V$3))</f>
        <v/>
      </c>
      <c r="R335" s="61">
        <f>SUMPRODUCT(MAX(($C$12:$V$12=R$12)*($C$65:$V$65)*(($C$35:$V$35)=R305)*$C$3:$V$3))</f>
        <v/>
      </c>
      <c r="S335" s="61">
        <f>SUMPRODUCT(MAX(($C$12:$V$12=S$12)*($C$65:$V$65)*(($C$35:$V$35)=S305)*$C$3:$V$3))</f>
        <v/>
      </c>
      <c r="T335" s="61">
        <f>SUMPRODUCT(MAX(($C$12:$V$12=T$12)*($C$65:$V$65)*(($C$35:$V$35)=T305)*$C$3:$V$3))</f>
        <v/>
      </c>
      <c r="U335" s="61">
        <f>SUMPRODUCT(MAX(($C$12:$V$12=U$12)*($C$65:$V$65)*(($C$35:$V$35)=U305)*$C$3:$V$3))</f>
        <v/>
      </c>
      <c r="V335" s="61">
        <f>SUMPRODUCT(MAX(($C$12:$V$12=V$12)*($C$65:$V$65)*(($C$35:$V$35)=V305)*$C$3:$V$3))</f>
        <v/>
      </c>
    </row>
    <row r="336">
      <c r="C336" s="61">
        <f>SUMPRODUCT(MAX(($C$12:$V$12=C$12)*($C$66:$V$66)*(($C$36:$V$36)=C306)*$C$3:$V$3))</f>
        <v/>
      </c>
      <c r="D336" s="61">
        <f>SUMPRODUCT(MAX(($C$12:$V$12=D$12)*($C$66:$V$66)*(($C$36:$V$36)=D306)*$C$3:$V$3))</f>
        <v/>
      </c>
      <c r="E336" s="61">
        <f>SUMPRODUCT(MAX(($C$12:$V$12=E$12)*($C$66:$V$66)*(($C$36:$V$36)=E306)*$C$3:$V$3))</f>
        <v/>
      </c>
      <c r="F336" s="61">
        <f>SUMPRODUCT(MAX(($C$12:$V$12=F$12)*($C$66:$V$66)*(($C$36:$V$36)=F306)*$C$3:$V$3))</f>
        <v/>
      </c>
      <c r="G336" s="61">
        <f>SUMPRODUCT(MAX(($C$12:$V$12=G$12)*($C$66:$V$66)*(($C$36:$V$36)=G306)*$C$3:$V$3))</f>
        <v/>
      </c>
      <c r="H336" s="61">
        <f>SUMPRODUCT(MAX(($C$12:$V$12=H$12)*($C$66:$V$66)*(($C$36:$V$36)=H306)*$C$3:$V$3))</f>
        <v/>
      </c>
      <c r="I336" s="61">
        <f>SUMPRODUCT(MAX(($C$12:$V$12=I$12)*($C$66:$V$66)*(($C$36:$V$36)=I306)*$C$3:$V$3))</f>
        <v/>
      </c>
      <c r="J336" s="61">
        <f>SUMPRODUCT(MAX(($C$12:$V$12=J$12)*($C$66:$V$66)*(($C$36:$V$36)=J306)*$C$3:$V$3))</f>
        <v/>
      </c>
      <c r="K336" s="61">
        <f>SUMPRODUCT(MAX(($C$12:$V$12=K$12)*($C$66:$V$66)*(($C$36:$V$36)=K306)*$C$3:$V$3))</f>
        <v/>
      </c>
      <c r="L336" s="61">
        <f>SUMPRODUCT(MAX(($C$12:$V$12=L$12)*($C$66:$V$66)*(($C$36:$V$36)=L306)*$C$3:$V$3))</f>
        <v/>
      </c>
      <c r="M336" s="61">
        <f>SUMPRODUCT(MAX(($C$12:$V$12=M$12)*($C$66:$V$66)*(($C$36:$V$36)=M306)*$C$3:$V$3))</f>
        <v/>
      </c>
      <c r="N336" s="61">
        <f>SUMPRODUCT(MAX(($C$12:$V$12=N$12)*($C$66:$V$66)*(($C$36:$V$36)=N306)*$C$3:$V$3))</f>
        <v/>
      </c>
      <c r="O336" s="61">
        <f>SUMPRODUCT(MAX(($C$12:$V$12=O$12)*($C$66:$V$66)*(($C$36:$V$36)=O306)*$C$3:$V$3))</f>
        <v/>
      </c>
      <c r="P336" s="61">
        <f>SUMPRODUCT(MAX(($C$12:$V$12=P$12)*($C$66:$V$66)*(($C$36:$V$36)=P306)*$C$3:$V$3))</f>
        <v/>
      </c>
      <c r="Q336" s="61">
        <f>SUMPRODUCT(MAX(($C$12:$V$12=Q$12)*($C$66:$V$66)*(($C$36:$V$36)=Q306)*$C$3:$V$3))</f>
        <v/>
      </c>
      <c r="R336" s="61">
        <f>SUMPRODUCT(MAX(($C$12:$V$12=R$12)*($C$66:$V$66)*(($C$36:$V$36)=R306)*$C$3:$V$3))</f>
        <v/>
      </c>
      <c r="S336" s="61">
        <f>SUMPRODUCT(MAX(($C$12:$V$12=S$12)*($C$66:$V$66)*(($C$36:$V$36)=S306)*$C$3:$V$3))</f>
        <v/>
      </c>
      <c r="T336" s="61">
        <f>SUMPRODUCT(MAX(($C$12:$V$12=T$12)*($C$66:$V$66)*(($C$36:$V$36)=T306)*$C$3:$V$3))</f>
        <v/>
      </c>
      <c r="U336" s="61">
        <f>SUMPRODUCT(MAX(($C$12:$V$12=U$12)*($C$66:$V$66)*(($C$36:$V$36)=U306)*$C$3:$V$3))</f>
        <v/>
      </c>
      <c r="V336" s="61">
        <f>SUMPRODUCT(MAX(($C$12:$V$12=V$12)*($C$66:$V$66)*(($C$36:$V$36)=V306)*$C$3:$V$3))</f>
        <v/>
      </c>
    </row>
    <row r="337">
      <c r="C337" s="61">
        <f>SUMPRODUCT(MAX(($C$12:$V$12=C$12)*($C$67:$V$67)*(($C$37:$V$37)=C307)*$C$3:$V$3))</f>
        <v/>
      </c>
      <c r="D337" s="61">
        <f>SUMPRODUCT(MAX(($C$12:$V$12=D$12)*($C$67:$V$67)*(($C$37:$V$37)=D307)*$C$3:$V$3))</f>
        <v/>
      </c>
      <c r="E337" s="61">
        <f>SUMPRODUCT(MAX(($C$12:$V$12=E$12)*($C$67:$V$67)*(($C$37:$V$37)=E307)*$C$3:$V$3))</f>
        <v/>
      </c>
      <c r="F337" s="61">
        <f>SUMPRODUCT(MAX(($C$12:$V$12=F$12)*($C$67:$V$67)*(($C$37:$V$37)=F307)*$C$3:$V$3))</f>
        <v/>
      </c>
      <c r="G337" s="61">
        <f>SUMPRODUCT(MAX(($C$12:$V$12=G$12)*($C$67:$V$67)*(($C$37:$V$37)=G307)*$C$3:$V$3))</f>
        <v/>
      </c>
      <c r="H337" s="61">
        <f>SUMPRODUCT(MAX(($C$12:$V$12=H$12)*($C$67:$V$67)*(($C$37:$V$37)=H307)*$C$3:$V$3))</f>
        <v/>
      </c>
      <c r="I337" s="61">
        <f>SUMPRODUCT(MAX(($C$12:$V$12=I$12)*($C$67:$V$67)*(($C$37:$V$37)=I307)*$C$3:$V$3))</f>
        <v/>
      </c>
      <c r="J337" s="61">
        <f>SUMPRODUCT(MAX(($C$12:$V$12=J$12)*($C$67:$V$67)*(($C$37:$V$37)=J307)*$C$3:$V$3))</f>
        <v/>
      </c>
      <c r="K337" s="61">
        <f>SUMPRODUCT(MAX(($C$12:$V$12=K$12)*($C$67:$V$67)*(($C$37:$V$37)=K307)*$C$3:$V$3))</f>
        <v/>
      </c>
      <c r="L337" s="61">
        <f>SUMPRODUCT(MAX(($C$12:$V$12=L$12)*($C$67:$V$67)*(($C$37:$V$37)=L307)*$C$3:$V$3))</f>
        <v/>
      </c>
      <c r="M337" s="61">
        <f>SUMPRODUCT(MAX(($C$12:$V$12=M$12)*($C$67:$V$67)*(($C$37:$V$37)=M307)*$C$3:$V$3))</f>
        <v/>
      </c>
      <c r="N337" s="61">
        <f>SUMPRODUCT(MAX(($C$12:$V$12=N$12)*($C$67:$V$67)*(($C$37:$V$37)=N307)*$C$3:$V$3))</f>
        <v/>
      </c>
      <c r="O337" s="61">
        <f>SUMPRODUCT(MAX(($C$12:$V$12=O$12)*($C$67:$V$67)*(($C$37:$V$37)=O307)*$C$3:$V$3))</f>
        <v/>
      </c>
      <c r="P337" s="61">
        <f>SUMPRODUCT(MAX(($C$12:$V$12=P$12)*($C$67:$V$67)*(($C$37:$V$37)=P307)*$C$3:$V$3))</f>
        <v/>
      </c>
      <c r="Q337" s="61">
        <f>SUMPRODUCT(MAX(($C$12:$V$12=Q$12)*($C$67:$V$67)*(($C$37:$V$37)=Q307)*$C$3:$V$3))</f>
        <v/>
      </c>
      <c r="R337" s="61">
        <f>SUMPRODUCT(MAX(($C$12:$V$12=R$12)*($C$67:$V$67)*(($C$37:$V$37)=R307)*$C$3:$V$3))</f>
        <v/>
      </c>
      <c r="S337" s="61">
        <f>SUMPRODUCT(MAX(($C$12:$V$12=S$12)*($C$67:$V$67)*(($C$37:$V$37)=S307)*$C$3:$V$3))</f>
        <v/>
      </c>
      <c r="T337" s="61">
        <f>SUMPRODUCT(MAX(($C$12:$V$12=T$12)*($C$67:$V$67)*(($C$37:$V$37)=T307)*$C$3:$V$3))</f>
        <v/>
      </c>
      <c r="U337" s="61">
        <f>SUMPRODUCT(MAX(($C$12:$V$12=U$12)*($C$67:$V$67)*(($C$37:$V$37)=U307)*$C$3:$V$3))</f>
        <v/>
      </c>
      <c r="V337" s="61">
        <f>SUMPRODUCT(MAX(($C$12:$V$12=V$12)*($C$67:$V$67)*(($C$37:$V$37)=V307)*$C$3:$V$3))</f>
        <v/>
      </c>
    </row>
    <row r="338">
      <c r="C338" s="61">
        <f>SUMPRODUCT(MAX(($C$12:$V$12=C$12)*($C$68:$V$68)*(($C$38:$V$38)=C308)*$C$3:$V$3))</f>
        <v/>
      </c>
      <c r="D338" s="61">
        <f>SUMPRODUCT(MAX(($C$12:$V$12=D$12)*($C$68:$V$68)*(($C$38:$V$38)=D308)*$C$3:$V$3))</f>
        <v/>
      </c>
      <c r="E338" s="61">
        <f>SUMPRODUCT(MAX(($C$12:$V$12=E$12)*($C$68:$V$68)*(($C$38:$V$38)=E308)*$C$3:$V$3))</f>
        <v/>
      </c>
      <c r="F338" s="61">
        <f>SUMPRODUCT(MAX(($C$12:$V$12=F$12)*($C$68:$V$68)*(($C$38:$V$38)=F308)*$C$3:$V$3))</f>
        <v/>
      </c>
      <c r="G338" s="61">
        <f>SUMPRODUCT(MAX(($C$12:$V$12=G$12)*($C$68:$V$68)*(($C$38:$V$38)=G308)*$C$3:$V$3))</f>
        <v/>
      </c>
      <c r="H338" s="61">
        <f>SUMPRODUCT(MAX(($C$12:$V$12=H$12)*($C$68:$V$68)*(($C$38:$V$38)=H308)*$C$3:$V$3))</f>
        <v/>
      </c>
      <c r="I338" s="61">
        <f>SUMPRODUCT(MAX(($C$12:$V$12=I$12)*($C$68:$V$68)*(($C$38:$V$38)=I308)*$C$3:$V$3))</f>
        <v/>
      </c>
      <c r="J338" s="61">
        <f>SUMPRODUCT(MAX(($C$12:$V$12=J$12)*($C$68:$V$68)*(($C$38:$V$38)=J308)*$C$3:$V$3))</f>
        <v/>
      </c>
      <c r="K338" s="61">
        <f>SUMPRODUCT(MAX(($C$12:$V$12=K$12)*($C$68:$V$68)*(($C$38:$V$38)=K308)*$C$3:$V$3))</f>
        <v/>
      </c>
      <c r="L338" s="61">
        <f>SUMPRODUCT(MAX(($C$12:$V$12=L$12)*($C$68:$V$68)*(($C$38:$V$38)=L308)*$C$3:$V$3))</f>
        <v/>
      </c>
      <c r="M338" s="61">
        <f>SUMPRODUCT(MAX(($C$12:$V$12=M$12)*($C$68:$V$68)*(($C$38:$V$38)=M308)*$C$3:$V$3))</f>
        <v/>
      </c>
      <c r="N338" s="61">
        <f>SUMPRODUCT(MAX(($C$12:$V$12=N$12)*($C$68:$V$68)*(($C$38:$V$38)=N308)*$C$3:$V$3))</f>
        <v/>
      </c>
      <c r="O338" s="61">
        <f>SUMPRODUCT(MAX(($C$12:$V$12=O$12)*($C$68:$V$68)*(($C$38:$V$38)=O308)*$C$3:$V$3))</f>
        <v/>
      </c>
      <c r="P338" s="61">
        <f>SUMPRODUCT(MAX(($C$12:$V$12=P$12)*($C$68:$V$68)*(($C$38:$V$38)=P308)*$C$3:$V$3))</f>
        <v/>
      </c>
      <c r="Q338" s="61">
        <f>SUMPRODUCT(MAX(($C$12:$V$12=Q$12)*($C$68:$V$68)*(($C$38:$V$38)=Q308)*$C$3:$V$3))</f>
        <v/>
      </c>
      <c r="R338" s="61">
        <f>SUMPRODUCT(MAX(($C$12:$V$12=R$12)*($C$68:$V$68)*(($C$38:$V$38)=R308)*$C$3:$V$3))</f>
        <v/>
      </c>
      <c r="S338" s="61">
        <f>SUMPRODUCT(MAX(($C$12:$V$12=S$12)*($C$68:$V$68)*(($C$38:$V$38)=S308)*$C$3:$V$3))</f>
        <v/>
      </c>
      <c r="T338" s="61">
        <f>SUMPRODUCT(MAX(($C$12:$V$12=T$12)*($C$68:$V$68)*(($C$38:$V$38)=T308)*$C$3:$V$3))</f>
        <v/>
      </c>
      <c r="U338" s="61">
        <f>SUMPRODUCT(MAX(($C$12:$V$12=U$12)*($C$68:$V$68)*(($C$38:$V$38)=U308)*$C$3:$V$3))</f>
        <v/>
      </c>
      <c r="V338" s="61">
        <f>SUMPRODUCT(MAX(($C$12:$V$12=V$12)*($C$68:$V$68)*(($C$38:$V$38)=V308)*$C$3:$V$3))</f>
        <v/>
      </c>
    </row>
    <row r="339">
      <c r="C339" s="61">
        <f>SUMPRODUCT(MAX(($C$12:$V$12=C$12)*($C$69:$V$69)*(($C$39:$V$39)=C309)*$C$3:$V$3))</f>
        <v/>
      </c>
      <c r="D339" s="61">
        <f>SUMPRODUCT(MAX(($C$12:$V$12=D$12)*($C$69:$V$69)*(($C$39:$V$39)=D309)*$C$3:$V$3))</f>
        <v/>
      </c>
      <c r="E339" s="61">
        <f>SUMPRODUCT(MAX(($C$12:$V$12=E$12)*($C$69:$V$69)*(($C$39:$V$39)=E309)*$C$3:$V$3))</f>
        <v/>
      </c>
      <c r="F339" s="61">
        <f>SUMPRODUCT(MAX(($C$12:$V$12=F$12)*($C$69:$V$69)*(($C$39:$V$39)=F309)*$C$3:$V$3))</f>
        <v/>
      </c>
      <c r="G339" s="61">
        <f>SUMPRODUCT(MAX(($C$12:$V$12=G$12)*($C$69:$V$69)*(($C$39:$V$39)=G309)*$C$3:$V$3))</f>
        <v/>
      </c>
      <c r="H339" s="61">
        <f>SUMPRODUCT(MAX(($C$12:$V$12=H$12)*($C$69:$V$69)*(($C$39:$V$39)=H309)*$C$3:$V$3))</f>
        <v/>
      </c>
      <c r="I339" s="61">
        <f>SUMPRODUCT(MAX(($C$12:$V$12=I$12)*($C$69:$V$69)*(($C$39:$V$39)=I309)*$C$3:$V$3))</f>
        <v/>
      </c>
      <c r="J339" s="61">
        <f>SUMPRODUCT(MAX(($C$12:$V$12=J$12)*($C$69:$V$69)*(($C$39:$V$39)=J309)*$C$3:$V$3))</f>
        <v/>
      </c>
      <c r="K339" s="61">
        <f>SUMPRODUCT(MAX(($C$12:$V$12=K$12)*($C$69:$V$69)*(($C$39:$V$39)=K309)*$C$3:$V$3))</f>
        <v/>
      </c>
      <c r="L339" s="61">
        <f>SUMPRODUCT(MAX(($C$12:$V$12=L$12)*($C$69:$V$69)*(($C$39:$V$39)=L309)*$C$3:$V$3))</f>
        <v/>
      </c>
      <c r="M339" s="61">
        <f>SUMPRODUCT(MAX(($C$12:$V$12=M$12)*($C$69:$V$69)*(($C$39:$V$39)=M309)*$C$3:$V$3))</f>
        <v/>
      </c>
      <c r="N339" s="61">
        <f>SUMPRODUCT(MAX(($C$12:$V$12=N$12)*($C$69:$V$69)*(($C$39:$V$39)=N309)*$C$3:$V$3))</f>
        <v/>
      </c>
      <c r="O339" s="61">
        <f>SUMPRODUCT(MAX(($C$12:$V$12=O$12)*($C$69:$V$69)*(($C$39:$V$39)=O309)*$C$3:$V$3))</f>
        <v/>
      </c>
      <c r="P339" s="61">
        <f>SUMPRODUCT(MAX(($C$12:$V$12=P$12)*($C$69:$V$69)*(($C$39:$V$39)=P309)*$C$3:$V$3))</f>
        <v/>
      </c>
      <c r="Q339" s="61">
        <f>SUMPRODUCT(MAX(($C$12:$V$12=Q$12)*($C$69:$V$69)*(($C$39:$V$39)=Q309)*$C$3:$V$3))</f>
        <v/>
      </c>
      <c r="R339" s="61">
        <f>SUMPRODUCT(MAX(($C$12:$V$12=R$12)*($C$69:$V$69)*(($C$39:$V$39)=R309)*$C$3:$V$3))</f>
        <v/>
      </c>
      <c r="S339" s="61">
        <f>SUMPRODUCT(MAX(($C$12:$V$12=S$12)*($C$69:$V$69)*(($C$39:$V$39)=S309)*$C$3:$V$3))</f>
        <v/>
      </c>
      <c r="T339" s="61">
        <f>SUMPRODUCT(MAX(($C$12:$V$12=T$12)*($C$69:$V$69)*(($C$39:$V$39)=T309)*$C$3:$V$3))</f>
        <v/>
      </c>
      <c r="U339" s="61">
        <f>SUMPRODUCT(MAX(($C$12:$V$12=U$12)*($C$69:$V$69)*(($C$39:$V$39)=U309)*$C$3:$V$3))</f>
        <v/>
      </c>
      <c r="V339" s="61">
        <f>SUMPRODUCT(MAX(($C$12:$V$12=V$12)*($C$69:$V$69)*(($C$39:$V$39)=V309)*$C$3:$V$3))</f>
        <v/>
      </c>
    </row>
    <row r="340">
      <c r="C340" s="61">
        <f>SUMPRODUCT(MAX(($C$12:$V$12=C$12)*($C$70:$V$70)*(($C$40:$V$40)=C310)*$C$3:$V$3))</f>
        <v/>
      </c>
      <c r="D340" s="61">
        <f>SUMPRODUCT(MAX(($C$12:$V$12=D$12)*($C$70:$V$70)*(($C$40:$V$40)=D310)*$C$3:$V$3))</f>
        <v/>
      </c>
      <c r="E340" s="61">
        <f>SUMPRODUCT(MAX(($C$12:$V$12=E$12)*($C$70:$V$70)*(($C$40:$V$40)=E310)*$C$3:$V$3))</f>
        <v/>
      </c>
      <c r="F340" s="61">
        <f>SUMPRODUCT(MAX(($C$12:$V$12=F$12)*($C$70:$V$70)*(($C$40:$V$40)=F310)*$C$3:$V$3))</f>
        <v/>
      </c>
      <c r="G340" s="61">
        <f>SUMPRODUCT(MAX(($C$12:$V$12=G$12)*($C$70:$V$70)*(($C$40:$V$40)=G310)*$C$3:$V$3))</f>
        <v/>
      </c>
      <c r="H340" s="61">
        <f>SUMPRODUCT(MAX(($C$12:$V$12=H$12)*($C$70:$V$70)*(($C$40:$V$40)=H310)*$C$3:$V$3))</f>
        <v/>
      </c>
      <c r="I340" s="61">
        <f>SUMPRODUCT(MAX(($C$12:$V$12=I$12)*($C$70:$V$70)*(($C$40:$V$40)=I310)*$C$3:$V$3))</f>
        <v/>
      </c>
      <c r="J340" s="61">
        <f>SUMPRODUCT(MAX(($C$12:$V$12=J$12)*($C$70:$V$70)*(($C$40:$V$40)=J310)*$C$3:$V$3))</f>
        <v/>
      </c>
      <c r="K340" s="61">
        <f>SUMPRODUCT(MAX(($C$12:$V$12=K$12)*($C$70:$V$70)*(($C$40:$V$40)=K310)*$C$3:$V$3))</f>
        <v/>
      </c>
      <c r="L340" s="61">
        <f>SUMPRODUCT(MAX(($C$12:$V$12=L$12)*($C$70:$V$70)*(($C$40:$V$40)=L310)*$C$3:$V$3))</f>
        <v/>
      </c>
      <c r="M340" s="61">
        <f>SUMPRODUCT(MAX(($C$12:$V$12=M$12)*($C$70:$V$70)*(($C$40:$V$40)=M310)*$C$3:$V$3))</f>
        <v/>
      </c>
      <c r="N340" s="61">
        <f>SUMPRODUCT(MAX(($C$12:$V$12=N$12)*($C$70:$V$70)*(($C$40:$V$40)=N310)*$C$3:$V$3))</f>
        <v/>
      </c>
      <c r="O340" s="61">
        <f>SUMPRODUCT(MAX(($C$12:$V$12=O$12)*($C$70:$V$70)*(($C$40:$V$40)=O310)*$C$3:$V$3))</f>
        <v/>
      </c>
      <c r="P340" s="61">
        <f>SUMPRODUCT(MAX(($C$12:$V$12=P$12)*($C$70:$V$70)*(($C$40:$V$40)=P310)*$C$3:$V$3))</f>
        <v/>
      </c>
      <c r="Q340" s="61">
        <f>SUMPRODUCT(MAX(($C$12:$V$12=Q$12)*($C$70:$V$70)*(($C$40:$V$40)=Q310)*$C$3:$V$3))</f>
        <v/>
      </c>
      <c r="R340" s="61">
        <f>SUMPRODUCT(MAX(($C$12:$V$12=R$12)*($C$70:$V$70)*(($C$40:$V$40)=R310)*$C$3:$V$3))</f>
        <v/>
      </c>
      <c r="S340" s="61">
        <f>SUMPRODUCT(MAX(($C$12:$V$12=S$12)*($C$70:$V$70)*(($C$40:$V$40)=S310)*$C$3:$V$3))</f>
        <v/>
      </c>
      <c r="T340" s="61">
        <f>SUMPRODUCT(MAX(($C$12:$V$12=T$12)*($C$70:$V$70)*(($C$40:$V$40)=T310)*$C$3:$V$3))</f>
        <v/>
      </c>
      <c r="U340" s="61">
        <f>SUMPRODUCT(MAX(($C$12:$V$12=U$12)*($C$70:$V$70)*(($C$40:$V$40)=U310)*$C$3:$V$3))</f>
        <v/>
      </c>
      <c r="V340" s="61">
        <f>SUMPRODUCT(MAX(($C$12:$V$12=V$12)*($C$70:$V$70)*(($C$40:$V$40)=V310)*$C$3:$V$3))</f>
        <v/>
      </c>
    </row>
    <row r="341">
      <c r="C341" s="61">
        <f>SUMPRODUCT(MAX(($C$12:$V$12=C$12)*($C$71:$V$71)*(($C$41:$V$41)=C311)*$C$3:$V$3))</f>
        <v/>
      </c>
      <c r="D341" s="61">
        <f>SUMPRODUCT(MAX(($C$12:$V$12=D$12)*($C$71:$V$71)*(($C$41:$V$41)=D311)*$C$3:$V$3))</f>
        <v/>
      </c>
      <c r="E341" s="61">
        <f>SUMPRODUCT(MAX(($C$12:$V$12=E$12)*($C$71:$V$71)*(($C$41:$V$41)=E311)*$C$3:$V$3))</f>
        <v/>
      </c>
      <c r="F341" s="61">
        <f>SUMPRODUCT(MAX(($C$12:$V$12=F$12)*($C$71:$V$71)*(($C$41:$V$41)=F311)*$C$3:$V$3))</f>
        <v/>
      </c>
      <c r="G341" s="61">
        <f>SUMPRODUCT(MAX(($C$12:$V$12=G$12)*($C$71:$V$71)*(($C$41:$V$41)=G311)*$C$3:$V$3))</f>
        <v/>
      </c>
      <c r="H341" s="61">
        <f>SUMPRODUCT(MAX(($C$12:$V$12=H$12)*($C$71:$V$71)*(($C$41:$V$41)=H311)*$C$3:$V$3))</f>
        <v/>
      </c>
      <c r="I341" s="61">
        <f>SUMPRODUCT(MAX(($C$12:$V$12=I$12)*($C$71:$V$71)*(($C$41:$V$41)=I311)*$C$3:$V$3))</f>
        <v/>
      </c>
      <c r="J341" s="61">
        <f>SUMPRODUCT(MAX(($C$12:$V$12=J$12)*($C$71:$V$71)*(($C$41:$V$41)=J311)*$C$3:$V$3))</f>
        <v/>
      </c>
      <c r="K341" s="61">
        <f>SUMPRODUCT(MAX(($C$12:$V$12=K$12)*($C$71:$V$71)*(($C$41:$V$41)=K311)*$C$3:$V$3))</f>
        <v/>
      </c>
      <c r="L341" s="61">
        <f>SUMPRODUCT(MAX(($C$12:$V$12=L$12)*($C$71:$V$71)*(($C$41:$V$41)=L311)*$C$3:$V$3))</f>
        <v/>
      </c>
      <c r="M341" s="61">
        <f>SUMPRODUCT(MAX(($C$12:$V$12=M$12)*($C$71:$V$71)*(($C$41:$V$41)=M311)*$C$3:$V$3))</f>
        <v/>
      </c>
      <c r="N341" s="61">
        <f>SUMPRODUCT(MAX(($C$12:$V$12=N$12)*($C$71:$V$71)*(($C$41:$V$41)=N311)*$C$3:$V$3))</f>
        <v/>
      </c>
      <c r="O341" s="61">
        <f>SUMPRODUCT(MAX(($C$12:$V$12=O$12)*($C$71:$V$71)*(($C$41:$V$41)=O311)*$C$3:$V$3))</f>
        <v/>
      </c>
      <c r="P341" s="61">
        <f>SUMPRODUCT(MAX(($C$12:$V$12=P$12)*($C$71:$V$71)*(($C$41:$V$41)=P311)*$C$3:$V$3))</f>
        <v/>
      </c>
      <c r="Q341" s="61">
        <f>SUMPRODUCT(MAX(($C$12:$V$12=Q$12)*($C$71:$V$71)*(($C$41:$V$41)=Q311)*$C$3:$V$3))</f>
        <v/>
      </c>
      <c r="R341" s="61">
        <f>SUMPRODUCT(MAX(($C$12:$V$12=R$12)*($C$71:$V$71)*(($C$41:$V$41)=R311)*$C$3:$V$3))</f>
        <v/>
      </c>
      <c r="S341" s="61">
        <f>SUMPRODUCT(MAX(($C$12:$V$12=S$12)*($C$71:$V$71)*(($C$41:$V$41)=S311)*$C$3:$V$3))</f>
        <v/>
      </c>
      <c r="T341" s="61">
        <f>SUMPRODUCT(MAX(($C$12:$V$12=T$12)*($C$71:$V$71)*(($C$41:$V$41)=T311)*$C$3:$V$3))</f>
        <v/>
      </c>
      <c r="U341" s="61">
        <f>SUMPRODUCT(MAX(($C$12:$V$12=U$12)*($C$71:$V$71)*(($C$41:$V$41)=U311)*$C$3:$V$3))</f>
        <v/>
      </c>
      <c r="V341" s="61">
        <f>SUMPRODUCT(MAX(($C$12:$V$12=V$12)*($C$71:$V$71)*(($C$41:$V$41)=V311)*$C$3:$V$3))</f>
        <v/>
      </c>
    </row>
    <row r="342">
      <c r="C342" s="61">
        <f>SUMPRODUCT(MAX(($C$12:$V$12=C$12)*($C$72:$V$72)*(($C$42:$V$42)=C312)*$C$3:$V$3))</f>
        <v/>
      </c>
      <c r="D342" s="61">
        <f>SUMPRODUCT(MAX(($C$12:$V$12=D$12)*($C$72:$V$72)*(($C$42:$V$42)=D312)*$C$3:$V$3))</f>
        <v/>
      </c>
      <c r="E342" s="61">
        <f>SUMPRODUCT(MAX(($C$12:$V$12=E$12)*($C$72:$V$72)*(($C$42:$V$42)=E312)*$C$3:$V$3))</f>
        <v/>
      </c>
      <c r="F342" s="61">
        <f>SUMPRODUCT(MAX(($C$12:$V$12=F$12)*($C$72:$V$72)*(($C$42:$V$42)=F312)*$C$3:$V$3))</f>
        <v/>
      </c>
      <c r="G342" s="61">
        <f>SUMPRODUCT(MAX(($C$12:$V$12=G$12)*($C$72:$V$72)*(($C$42:$V$42)=G312)*$C$3:$V$3))</f>
        <v/>
      </c>
      <c r="H342" s="61">
        <f>SUMPRODUCT(MAX(($C$12:$V$12=H$12)*($C$72:$V$72)*(($C$42:$V$42)=H312)*$C$3:$V$3))</f>
        <v/>
      </c>
      <c r="I342" s="61">
        <f>SUMPRODUCT(MAX(($C$12:$V$12=I$12)*($C$72:$V$72)*(($C$42:$V$42)=I312)*$C$3:$V$3))</f>
        <v/>
      </c>
      <c r="J342" s="61">
        <f>SUMPRODUCT(MAX(($C$12:$V$12=J$12)*($C$72:$V$72)*(($C$42:$V$42)=J312)*$C$3:$V$3))</f>
        <v/>
      </c>
      <c r="K342" s="61">
        <f>SUMPRODUCT(MAX(($C$12:$V$12=K$12)*($C$72:$V$72)*(($C$42:$V$42)=K312)*$C$3:$V$3))</f>
        <v/>
      </c>
      <c r="L342" s="61">
        <f>SUMPRODUCT(MAX(($C$12:$V$12=L$12)*($C$72:$V$72)*(($C$42:$V$42)=L312)*$C$3:$V$3))</f>
        <v/>
      </c>
      <c r="M342" s="61">
        <f>SUMPRODUCT(MAX(($C$12:$V$12=M$12)*($C$72:$V$72)*(($C$42:$V$42)=M312)*$C$3:$V$3))</f>
        <v/>
      </c>
      <c r="N342" s="61">
        <f>SUMPRODUCT(MAX(($C$12:$V$12=N$12)*($C$72:$V$72)*(($C$42:$V$42)=N312)*$C$3:$V$3))</f>
        <v/>
      </c>
      <c r="O342" s="61">
        <f>SUMPRODUCT(MAX(($C$12:$V$12=O$12)*($C$72:$V$72)*(($C$42:$V$42)=O312)*$C$3:$V$3))</f>
        <v/>
      </c>
      <c r="P342" s="61">
        <f>SUMPRODUCT(MAX(($C$12:$V$12=P$12)*($C$72:$V$72)*(($C$42:$V$42)=P312)*$C$3:$V$3))</f>
        <v/>
      </c>
      <c r="Q342" s="61">
        <f>SUMPRODUCT(MAX(($C$12:$V$12=Q$12)*($C$72:$V$72)*(($C$42:$V$42)=Q312)*$C$3:$V$3))</f>
        <v/>
      </c>
      <c r="R342" s="61">
        <f>SUMPRODUCT(MAX(($C$12:$V$12=R$12)*($C$72:$V$72)*(($C$42:$V$42)=R312)*$C$3:$V$3))</f>
        <v/>
      </c>
      <c r="S342" s="61">
        <f>SUMPRODUCT(MAX(($C$12:$V$12=S$12)*($C$72:$V$72)*(($C$42:$V$42)=S312)*$C$3:$V$3))</f>
        <v/>
      </c>
      <c r="T342" s="61">
        <f>SUMPRODUCT(MAX(($C$12:$V$12=T$12)*($C$72:$V$72)*(($C$42:$V$42)=T312)*$C$3:$V$3))</f>
        <v/>
      </c>
      <c r="U342" s="61">
        <f>SUMPRODUCT(MAX(($C$12:$V$12=U$12)*($C$72:$V$72)*(($C$42:$V$42)=U312)*$C$3:$V$3))</f>
        <v/>
      </c>
      <c r="V342" s="61">
        <f>SUMPRODUCT(MAX(($C$12:$V$12=V$12)*($C$72:$V$72)*(($C$42:$V$42)=V312)*$C$3:$V$3))</f>
        <v/>
      </c>
    </row>
    <row r="343">
      <c r="C343" s="61">
        <f>SUMPRODUCT(MAX(($C$12:$V$12=C$12)*($C$73:$V$73)*(($C$43:$V$43)=C313)*$C$3:$V$3))</f>
        <v/>
      </c>
      <c r="D343" s="61">
        <f>SUMPRODUCT(MAX(($C$12:$V$12=D$12)*($C$73:$V$73)*(($C$43:$V$43)=D313)*$C$3:$V$3))</f>
        <v/>
      </c>
      <c r="E343" s="61">
        <f>SUMPRODUCT(MAX(($C$12:$V$12=E$12)*($C$73:$V$73)*(($C$43:$V$43)=E313)*$C$3:$V$3))</f>
        <v/>
      </c>
      <c r="F343" s="61">
        <f>SUMPRODUCT(MAX(($C$12:$V$12=F$12)*($C$73:$V$73)*(($C$43:$V$43)=F313)*$C$3:$V$3))</f>
        <v/>
      </c>
      <c r="G343" s="61">
        <f>SUMPRODUCT(MAX(($C$12:$V$12=G$12)*($C$73:$V$73)*(($C$43:$V$43)=G313)*$C$3:$V$3))</f>
        <v/>
      </c>
      <c r="H343" s="61">
        <f>SUMPRODUCT(MAX(($C$12:$V$12=H$12)*($C$73:$V$73)*(($C$43:$V$43)=H313)*$C$3:$V$3))</f>
        <v/>
      </c>
      <c r="I343" s="61">
        <f>SUMPRODUCT(MAX(($C$12:$V$12=I$12)*($C$73:$V$73)*(($C$43:$V$43)=I313)*$C$3:$V$3))</f>
        <v/>
      </c>
      <c r="J343" s="61">
        <f>SUMPRODUCT(MAX(($C$12:$V$12=J$12)*($C$73:$V$73)*(($C$43:$V$43)=J313)*$C$3:$V$3))</f>
        <v/>
      </c>
      <c r="K343" s="61">
        <f>SUMPRODUCT(MAX(($C$12:$V$12=K$12)*($C$73:$V$73)*(($C$43:$V$43)=K313)*$C$3:$V$3))</f>
        <v/>
      </c>
      <c r="L343" s="61">
        <f>SUMPRODUCT(MAX(($C$12:$V$12=L$12)*($C$73:$V$73)*(($C$43:$V$43)=L313)*$C$3:$V$3))</f>
        <v/>
      </c>
      <c r="M343" s="61">
        <f>SUMPRODUCT(MAX(($C$12:$V$12=M$12)*($C$73:$V$73)*(($C$43:$V$43)=M313)*$C$3:$V$3))</f>
        <v/>
      </c>
      <c r="N343" s="61">
        <f>SUMPRODUCT(MAX(($C$12:$V$12=N$12)*($C$73:$V$73)*(($C$43:$V$43)=N313)*$C$3:$V$3))</f>
        <v/>
      </c>
      <c r="O343" s="61">
        <f>SUMPRODUCT(MAX(($C$12:$V$12=O$12)*($C$73:$V$73)*(($C$43:$V$43)=O313)*$C$3:$V$3))</f>
        <v/>
      </c>
      <c r="P343" s="61">
        <f>SUMPRODUCT(MAX(($C$12:$V$12=P$12)*($C$73:$V$73)*(($C$43:$V$43)=P313)*$C$3:$V$3))</f>
        <v/>
      </c>
      <c r="Q343" s="61">
        <f>SUMPRODUCT(MAX(($C$12:$V$12=Q$12)*($C$73:$V$73)*(($C$43:$V$43)=Q313)*$C$3:$V$3))</f>
        <v/>
      </c>
      <c r="R343" s="61">
        <f>SUMPRODUCT(MAX(($C$12:$V$12=R$12)*($C$73:$V$73)*(($C$43:$V$43)=R313)*$C$3:$V$3))</f>
        <v/>
      </c>
      <c r="S343" s="61">
        <f>SUMPRODUCT(MAX(($C$12:$V$12=S$12)*($C$73:$V$73)*(($C$43:$V$43)=S313)*$C$3:$V$3))</f>
        <v/>
      </c>
      <c r="T343" s="61">
        <f>SUMPRODUCT(MAX(($C$12:$V$12=T$12)*($C$73:$V$73)*(($C$43:$V$43)=T313)*$C$3:$V$3))</f>
        <v/>
      </c>
      <c r="U343" s="61">
        <f>SUMPRODUCT(MAX(($C$12:$V$12=U$12)*($C$73:$V$73)*(($C$43:$V$43)=U313)*$C$3:$V$3))</f>
        <v/>
      </c>
      <c r="V343" s="61">
        <f>SUMPRODUCT(MAX(($C$12:$V$12=V$12)*($C$73:$V$73)*(($C$43:$V$43)=V313)*$C$3:$V$3))</f>
        <v/>
      </c>
    </row>
    <row r="344">
      <c r="C344" s="61">
        <f>SUMPRODUCT(MAX(($C$12:$V$12=C$12)*($C$74:$V$74)*(($C$44:$V$44)=C314)*$C$3:$V$3))</f>
        <v/>
      </c>
      <c r="D344" s="61">
        <f>SUMPRODUCT(MAX(($C$12:$V$12=D$12)*($C$74:$V$74)*(($C$44:$V$44)=D314)*$C$3:$V$3))</f>
        <v/>
      </c>
      <c r="E344" s="61">
        <f>SUMPRODUCT(MAX(($C$12:$V$12=E$12)*($C$74:$V$74)*(($C$44:$V$44)=E314)*$C$3:$V$3))</f>
        <v/>
      </c>
      <c r="F344" s="61">
        <f>SUMPRODUCT(MAX(($C$12:$V$12=F$12)*($C$74:$V$74)*(($C$44:$V$44)=F314)*$C$3:$V$3))</f>
        <v/>
      </c>
      <c r="G344" s="61">
        <f>SUMPRODUCT(MAX(($C$12:$V$12=G$12)*($C$74:$V$74)*(($C$44:$V$44)=G314)*$C$3:$V$3))</f>
        <v/>
      </c>
      <c r="H344" s="61">
        <f>SUMPRODUCT(MAX(($C$12:$V$12=H$12)*($C$74:$V$74)*(($C$44:$V$44)=H314)*$C$3:$V$3))</f>
        <v/>
      </c>
      <c r="I344" s="61">
        <f>SUMPRODUCT(MAX(($C$12:$V$12=I$12)*($C$74:$V$74)*(($C$44:$V$44)=I314)*$C$3:$V$3))</f>
        <v/>
      </c>
      <c r="J344" s="61">
        <f>SUMPRODUCT(MAX(($C$12:$V$12=J$12)*($C$74:$V$74)*(($C$44:$V$44)=J314)*$C$3:$V$3))</f>
        <v/>
      </c>
      <c r="K344" s="61">
        <f>SUMPRODUCT(MAX(($C$12:$V$12=K$12)*($C$74:$V$74)*(($C$44:$V$44)=K314)*$C$3:$V$3))</f>
        <v/>
      </c>
      <c r="L344" s="61">
        <f>SUMPRODUCT(MAX(($C$12:$V$12=L$12)*($C$74:$V$74)*(($C$44:$V$44)=L314)*$C$3:$V$3))</f>
        <v/>
      </c>
      <c r="M344" s="61">
        <f>SUMPRODUCT(MAX(($C$12:$V$12=M$12)*($C$74:$V$74)*(($C$44:$V$44)=M314)*$C$3:$V$3))</f>
        <v/>
      </c>
      <c r="N344" s="61">
        <f>SUMPRODUCT(MAX(($C$12:$V$12=N$12)*($C$74:$V$74)*(($C$44:$V$44)=N314)*$C$3:$V$3))</f>
        <v/>
      </c>
      <c r="O344" s="61">
        <f>SUMPRODUCT(MAX(($C$12:$V$12=O$12)*($C$74:$V$74)*(($C$44:$V$44)=O314)*$C$3:$V$3))</f>
        <v/>
      </c>
      <c r="P344" s="61">
        <f>SUMPRODUCT(MAX(($C$12:$V$12=P$12)*($C$74:$V$74)*(($C$44:$V$44)=P314)*$C$3:$V$3))</f>
        <v/>
      </c>
      <c r="Q344" s="61">
        <f>SUMPRODUCT(MAX(($C$12:$V$12=Q$12)*($C$74:$V$74)*(($C$44:$V$44)=Q314)*$C$3:$V$3))</f>
        <v/>
      </c>
      <c r="R344" s="61">
        <f>SUMPRODUCT(MAX(($C$12:$V$12=R$12)*($C$74:$V$74)*(($C$44:$V$44)=R314)*$C$3:$V$3))</f>
        <v/>
      </c>
      <c r="S344" s="61">
        <f>SUMPRODUCT(MAX(($C$12:$V$12=S$12)*($C$74:$V$74)*(($C$44:$V$44)=S314)*$C$3:$V$3))</f>
        <v/>
      </c>
      <c r="T344" s="61">
        <f>SUMPRODUCT(MAX(($C$12:$V$12=T$12)*($C$74:$V$74)*(($C$44:$V$44)=T314)*$C$3:$V$3))</f>
        <v/>
      </c>
      <c r="U344" s="61">
        <f>SUMPRODUCT(MAX(($C$12:$V$12=U$12)*($C$74:$V$74)*(($C$44:$V$44)=U314)*$C$3:$V$3))</f>
        <v/>
      </c>
      <c r="V344" s="61">
        <f>SUMPRODUCT(MAX(($C$12:$V$12=V$12)*($C$74:$V$74)*(($C$44:$V$44)=V314)*$C$3:$V$3))</f>
        <v/>
      </c>
    </row>
    <row r="349">
      <c r="A349" s="162" t="inlineStr">
        <is>
          <t>geltende Wertung</t>
        </is>
      </c>
    </row>
    <row r="350">
      <c r="C350" s="61">
        <f>IF(C$14=0,WdhStd,IF(INDEX($C$200:$V$200,C$14)="",WdhStd,INDEX($C$200:$V$200,C$14)))</f>
        <v/>
      </c>
      <c r="D350" s="61">
        <f>IF(D$14=0,WdhStd,IF(INDEX($C$200:$V$200,D$14)="",WdhStd,INDEX($C$200:$V$200,D$14)))</f>
        <v/>
      </c>
      <c r="E350" s="61">
        <f>IF(E$14=0,WdhStd,IF(INDEX($C$200:$V$200,E$14)="",WdhStd,INDEX($C$200:$V$200,E$14)))</f>
        <v/>
      </c>
      <c r="F350" s="61">
        <f>IF(F$14=0,WdhStd,IF(INDEX($C$200:$V$200,F$14)="",WdhStd,INDEX($C$200:$V$200,F$14)))</f>
        <v/>
      </c>
      <c r="G350" s="61">
        <f>IF(G$14=0,WdhStd,IF(INDEX($C$200:$V$200,G$14)="",WdhStd,INDEX($C$200:$V$200,G$14)))</f>
        <v/>
      </c>
      <c r="H350" s="61">
        <f>IF(H$14=0,WdhStd,IF(INDEX($C$200:$V$200,H$14)="",WdhStd,INDEX($C$200:$V$200,H$14)))</f>
        <v/>
      </c>
      <c r="I350" s="61">
        <f>IF(I$14=0,WdhStd,IF(INDEX($C$200:$V$200,I$14)="",WdhStd,INDEX($C$200:$V$200,I$14)))</f>
        <v/>
      </c>
      <c r="J350" s="61">
        <f>IF(J$14=0,WdhStd,IF(INDEX($C$200:$V$200,J$14)="",WdhStd,INDEX($C$200:$V$200,J$14)))</f>
        <v/>
      </c>
      <c r="K350" s="61">
        <f>IF(K$14=0,WdhStd,IF(INDEX($C$200:$V$200,K$14)="",WdhStd,INDEX($C$200:$V$200,K$14)))</f>
        <v/>
      </c>
      <c r="L350" s="61">
        <f>IF(L$14=0,WdhStd,IF(INDEX($C$200:$V$200,L$14)="",WdhStd,INDEX($C$200:$V$200,L$14)))</f>
        <v/>
      </c>
      <c r="M350" s="61">
        <f>IF(M$14=0,WdhStd,IF(INDEX($C$200:$V$200,M$14)="",WdhStd,INDEX($C$200:$V$200,M$14)))</f>
        <v/>
      </c>
      <c r="N350" s="61">
        <f>IF(N$14=0,WdhStd,IF(INDEX($C$200:$V$200,N$14)="",WdhStd,INDEX($C$200:$V$200,N$14)))</f>
        <v/>
      </c>
      <c r="O350" s="61">
        <f>IF(O$14=0,WdhStd,IF(INDEX($C$200:$V$200,O$14)="",WdhStd,INDEX($C$200:$V$200,O$14)))</f>
        <v/>
      </c>
      <c r="P350" s="61">
        <f>IF(P$14=0,WdhStd,IF(INDEX($C$200:$V$200,P$14)="",WdhStd,INDEX($C$200:$V$200,P$14)))</f>
        <v/>
      </c>
      <c r="Q350" s="61">
        <f>IF(Q$14=0,WdhStd,IF(INDEX($C$200:$V$200,Q$14)="",WdhStd,INDEX($C$200:$V$200,Q$14)))</f>
        <v/>
      </c>
      <c r="R350" s="61">
        <f>IF(R$14=0,WdhStd,IF(INDEX($C$200:$V$200,R$14)="",WdhStd,INDEX($C$200:$V$200,R$14)))</f>
        <v/>
      </c>
      <c r="S350" s="61">
        <f>IF(S$14=0,WdhStd,IF(INDEX($C$200:$V$200,S$14)="",WdhStd,INDEX($C$200:$V$200,S$14)))</f>
        <v/>
      </c>
      <c r="T350" s="61">
        <f>IF(T$14=0,WdhStd,IF(INDEX($C$200:$V$200,T$14)="",WdhStd,INDEX($C$200:$V$200,T$14)))</f>
        <v/>
      </c>
      <c r="U350" s="61">
        <f>IF(U$14=0,WdhStd,IF(INDEX($C$200:$V$200,U$14)="",WdhStd,INDEX($C$200:$V$200,U$14)))</f>
        <v/>
      </c>
      <c r="V350" s="61">
        <f>IF(V$14=0,WdhStd,IF(INDEX($C$200:$V$200,V$14)="",WdhStd,INDEX($C$200:$V$200,V$14)))</f>
        <v/>
      </c>
    </row>
    <row r="351">
      <c r="C351" s="61">
        <f>IF(C$14=0,WdhStd,IF(INDEX($C$201:$V$201,C$14)="",WdhStd,INDEX($C$201:$V$201,C$14)))</f>
        <v/>
      </c>
      <c r="D351" s="61">
        <f>IF(D$14=0,WdhStd,IF(INDEX($C$201:$V$201,D$14)="",WdhStd,INDEX($C$201:$V$201,D$14)))</f>
        <v/>
      </c>
      <c r="E351" s="61">
        <f>IF(E$14=0,WdhStd,IF(INDEX($C$201:$V$201,E$14)="",WdhStd,INDEX($C$201:$V$201,E$14)))</f>
        <v/>
      </c>
      <c r="F351" s="61">
        <f>IF(F$14=0,WdhStd,IF(INDEX($C$201:$V$201,F$14)="",WdhStd,INDEX($C$201:$V$201,F$14)))</f>
        <v/>
      </c>
      <c r="G351" s="61">
        <f>IF(G$14=0,WdhStd,IF(INDEX($C$201:$V$201,G$14)="",WdhStd,INDEX($C$201:$V$201,G$14)))</f>
        <v/>
      </c>
      <c r="H351" s="61">
        <f>IF(H$14=0,WdhStd,IF(INDEX($C$201:$V$201,H$14)="",WdhStd,INDEX($C$201:$V$201,H$14)))</f>
        <v/>
      </c>
      <c r="I351" s="61">
        <f>IF(I$14=0,WdhStd,IF(INDEX($C$201:$V$201,I$14)="",WdhStd,INDEX($C$201:$V$201,I$14)))</f>
        <v/>
      </c>
      <c r="J351" s="61">
        <f>IF(J$14=0,WdhStd,IF(INDEX($C$201:$V$201,J$14)="",WdhStd,INDEX($C$201:$V$201,J$14)))</f>
        <v/>
      </c>
      <c r="K351" s="61">
        <f>IF(K$14=0,WdhStd,IF(INDEX($C$201:$V$201,K$14)="",WdhStd,INDEX($C$201:$V$201,K$14)))</f>
        <v/>
      </c>
      <c r="L351" s="61">
        <f>IF(L$14=0,WdhStd,IF(INDEX($C$201:$V$201,L$14)="",WdhStd,INDEX($C$201:$V$201,L$14)))</f>
        <v/>
      </c>
      <c r="M351" s="61">
        <f>IF(M$14=0,WdhStd,IF(INDEX($C$201:$V$201,M$14)="",WdhStd,INDEX($C$201:$V$201,M$14)))</f>
        <v/>
      </c>
      <c r="N351" s="61">
        <f>IF(N$14=0,WdhStd,IF(INDEX($C$201:$V$201,N$14)="",WdhStd,INDEX($C$201:$V$201,N$14)))</f>
        <v/>
      </c>
      <c r="O351" s="61">
        <f>IF(O$14=0,WdhStd,IF(INDEX($C$201:$V$201,O$14)="",WdhStd,INDEX($C$201:$V$201,O$14)))</f>
        <v/>
      </c>
      <c r="P351" s="61">
        <f>IF(P$14=0,WdhStd,IF(INDEX($C$201:$V$201,P$14)="",WdhStd,INDEX($C$201:$V$201,P$14)))</f>
        <v/>
      </c>
      <c r="Q351" s="61">
        <f>IF(Q$14=0,WdhStd,IF(INDEX($C$201:$V$201,Q$14)="",WdhStd,INDEX($C$201:$V$201,Q$14)))</f>
        <v/>
      </c>
      <c r="R351" s="61">
        <f>IF(R$14=0,WdhStd,IF(INDEX($C$201:$V$201,R$14)="",WdhStd,INDEX($C$201:$V$201,R$14)))</f>
        <v/>
      </c>
      <c r="S351" s="61">
        <f>IF(S$14=0,WdhStd,IF(INDEX($C$201:$V$201,S$14)="",WdhStd,INDEX($C$201:$V$201,S$14)))</f>
        <v/>
      </c>
      <c r="T351" s="61">
        <f>IF(T$14=0,WdhStd,IF(INDEX($C$201:$V$201,T$14)="",WdhStd,INDEX($C$201:$V$201,T$14)))</f>
        <v/>
      </c>
      <c r="U351" s="61">
        <f>IF(U$14=0,WdhStd,IF(INDEX($C$201:$V$201,U$14)="",WdhStd,INDEX($C$201:$V$201,U$14)))</f>
        <v/>
      </c>
      <c r="V351" s="61">
        <f>IF(V$14=0,WdhStd,IF(INDEX($C$201:$V$201,V$14)="",WdhStd,INDEX($C$201:$V$201,V$14)))</f>
        <v/>
      </c>
    </row>
    <row r="352">
      <c r="C352" s="61">
        <f>IF(C$14=0,WdhStd,IF(INDEX($C$202:$V$202,C$14)="",WdhStd,INDEX($C$202:$V$202,C$14)))</f>
        <v/>
      </c>
      <c r="D352" s="61">
        <f>IF(D$14=0,WdhStd,IF(INDEX($C$202:$V$202,D$14)="",WdhStd,INDEX($C$202:$V$202,D$14)))</f>
        <v/>
      </c>
      <c r="E352" s="61">
        <f>IF(E$14=0,WdhStd,IF(INDEX($C$202:$V$202,E$14)="",WdhStd,INDEX($C$202:$V$202,E$14)))</f>
        <v/>
      </c>
      <c r="F352" s="61">
        <f>IF(F$14=0,WdhStd,IF(INDEX($C$202:$V$202,F$14)="",WdhStd,INDEX($C$202:$V$202,F$14)))</f>
        <v/>
      </c>
      <c r="G352" s="61">
        <f>IF(G$14=0,WdhStd,IF(INDEX($C$202:$V$202,G$14)="",WdhStd,INDEX($C$202:$V$202,G$14)))</f>
        <v/>
      </c>
      <c r="H352" s="61">
        <f>IF(H$14=0,WdhStd,IF(INDEX($C$202:$V$202,H$14)="",WdhStd,INDEX($C$202:$V$202,H$14)))</f>
        <v/>
      </c>
      <c r="I352" s="61">
        <f>IF(I$14=0,WdhStd,IF(INDEX($C$202:$V$202,I$14)="",WdhStd,INDEX($C$202:$V$202,I$14)))</f>
        <v/>
      </c>
      <c r="J352" s="61">
        <f>IF(J$14=0,WdhStd,IF(INDEX($C$202:$V$202,J$14)="",WdhStd,INDEX($C$202:$V$202,J$14)))</f>
        <v/>
      </c>
      <c r="K352" s="61">
        <f>IF(K$14=0,WdhStd,IF(INDEX($C$202:$V$202,K$14)="",WdhStd,INDEX($C$202:$V$202,K$14)))</f>
        <v/>
      </c>
      <c r="L352" s="61">
        <f>IF(L$14=0,WdhStd,IF(INDEX($C$202:$V$202,L$14)="",WdhStd,INDEX($C$202:$V$202,L$14)))</f>
        <v/>
      </c>
      <c r="M352" s="61">
        <f>IF(M$14=0,WdhStd,IF(INDEX($C$202:$V$202,M$14)="",WdhStd,INDEX($C$202:$V$202,M$14)))</f>
        <v/>
      </c>
      <c r="N352" s="61">
        <f>IF(N$14=0,WdhStd,IF(INDEX($C$202:$V$202,N$14)="",WdhStd,INDEX($C$202:$V$202,N$14)))</f>
        <v/>
      </c>
      <c r="O352" s="61">
        <f>IF(O$14=0,WdhStd,IF(INDEX($C$202:$V$202,O$14)="",WdhStd,INDEX($C$202:$V$202,O$14)))</f>
        <v/>
      </c>
      <c r="P352" s="61">
        <f>IF(P$14=0,WdhStd,IF(INDEX($C$202:$V$202,P$14)="",WdhStd,INDEX($C$202:$V$202,P$14)))</f>
        <v/>
      </c>
      <c r="Q352" s="61">
        <f>IF(Q$14=0,WdhStd,IF(INDEX($C$202:$V$202,Q$14)="",WdhStd,INDEX($C$202:$V$202,Q$14)))</f>
        <v/>
      </c>
      <c r="R352" s="61">
        <f>IF(R$14=0,WdhStd,IF(INDEX($C$202:$V$202,R$14)="",WdhStd,INDEX($C$202:$V$202,R$14)))</f>
        <v/>
      </c>
      <c r="S352" s="61">
        <f>IF(S$14=0,WdhStd,IF(INDEX($C$202:$V$202,S$14)="",WdhStd,INDEX($C$202:$V$202,S$14)))</f>
        <v/>
      </c>
      <c r="T352" s="61">
        <f>IF(T$14=0,WdhStd,IF(INDEX($C$202:$V$202,T$14)="",WdhStd,INDEX($C$202:$V$202,T$14)))</f>
        <v/>
      </c>
      <c r="U352" s="61">
        <f>IF(U$14=0,WdhStd,IF(INDEX($C$202:$V$202,U$14)="",WdhStd,INDEX($C$202:$V$202,U$14)))</f>
        <v/>
      </c>
      <c r="V352" s="61">
        <f>IF(V$14=0,WdhStd,IF(INDEX($C$202:$V$202,V$14)="",WdhStd,INDEX($C$202:$V$202,V$14)))</f>
        <v/>
      </c>
    </row>
    <row r="353">
      <c r="C353" s="61">
        <f>IF(C$14=0,WdhStd,IF(INDEX($C$203:$V$203,C$14)="",WdhStd,INDEX($C$203:$V$203,C$14)))</f>
        <v/>
      </c>
      <c r="D353" s="61">
        <f>IF(D$14=0,WdhStd,IF(INDEX($C$203:$V$203,D$14)="",WdhStd,INDEX($C$203:$V$203,D$14)))</f>
        <v/>
      </c>
      <c r="E353" s="61">
        <f>IF(E$14=0,WdhStd,IF(INDEX($C$203:$V$203,E$14)="",WdhStd,INDEX($C$203:$V$203,E$14)))</f>
        <v/>
      </c>
      <c r="F353" s="61">
        <f>IF(F$14=0,WdhStd,IF(INDEX($C$203:$V$203,F$14)="",WdhStd,INDEX($C$203:$V$203,F$14)))</f>
        <v/>
      </c>
      <c r="G353" s="61">
        <f>IF(G$14=0,WdhStd,IF(INDEX($C$203:$V$203,G$14)="",WdhStd,INDEX($C$203:$V$203,G$14)))</f>
        <v/>
      </c>
      <c r="H353" s="61">
        <f>IF(H$14=0,WdhStd,IF(INDEX($C$203:$V$203,H$14)="",WdhStd,INDEX($C$203:$V$203,H$14)))</f>
        <v/>
      </c>
      <c r="I353" s="61">
        <f>IF(I$14=0,WdhStd,IF(INDEX($C$203:$V$203,I$14)="",WdhStd,INDEX($C$203:$V$203,I$14)))</f>
        <v/>
      </c>
      <c r="J353" s="61">
        <f>IF(J$14=0,WdhStd,IF(INDEX($C$203:$V$203,J$14)="",WdhStd,INDEX($C$203:$V$203,J$14)))</f>
        <v/>
      </c>
      <c r="K353" s="61">
        <f>IF(K$14=0,WdhStd,IF(INDEX($C$203:$V$203,K$14)="",WdhStd,INDEX($C$203:$V$203,K$14)))</f>
        <v/>
      </c>
      <c r="L353" s="61">
        <f>IF(L$14=0,WdhStd,IF(INDEX($C$203:$V$203,L$14)="",WdhStd,INDEX($C$203:$V$203,L$14)))</f>
        <v/>
      </c>
      <c r="M353" s="61">
        <f>IF(M$14=0,WdhStd,IF(INDEX($C$203:$V$203,M$14)="",WdhStd,INDEX($C$203:$V$203,M$14)))</f>
        <v/>
      </c>
      <c r="N353" s="61">
        <f>IF(N$14=0,WdhStd,IF(INDEX($C$203:$V$203,N$14)="",WdhStd,INDEX($C$203:$V$203,N$14)))</f>
        <v/>
      </c>
      <c r="O353" s="61">
        <f>IF(O$14=0,WdhStd,IF(INDEX($C$203:$V$203,O$14)="",WdhStd,INDEX($C$203:$V$203,O$14)))</f>
        <v/>
      </c>
      <c r="P353" s="61">
        <f>IF(P$14=0,WdhStd,IF(INDEX($C$203:$V$203,P$14)="",WdhStd,INDEX($C$203:$V$203,P$14)))</f>
        <v/>
      </c>
      <c r="Q353" s="61">
        <f>IF(Q$14=0,WdhStd,IF(INDEX($C$203:$V$203,Q$14)="",WdhStd,INDEX($C$203:$V$203,Q$14)))</f>
        <v/>
      </c>
      <c r="R353" s="61">
        <f>IF(R$14=0,WdhStd,IF(INDEX($C$203:$V$203,R$14)="",WdhStd,INDEX($C$203:$V$203,R$14)))</f>
        <v/>
      </c>
      <c r="S353" s="61">
        <f>IF(S$14=0,WdhStd,IF(INDEX($C$203:$V$203,S$14)="",WdhStd,INDEX($C$203:$V$203,S$14)))</f>
        <v/>
      </c>
      <c r="T353" s="61">
        <f>IF(T$14=0,WdhStd,IF(INDEX($C$203:$V$203,T$14)="",WdhStd,INDEX($C$203:$V$203,T$14)))</f>
        <v/>
      </c>
      <c r="U353" s="61">
        <f>IF(U$14=0,WdhStd,IF(INDEX($C$203:$V$203,U$14)="",WdhStd,INDEX($C$203:$V$203,U$14)))</f>
        <v/>
      </c>
      <c r="V353" s="61">
        <f>IF(V$14=0,WdhStd,IF(INDEX($C$203:$V$203,V$14)="",WdhStd,INDEX($C$203:$V$203,V$14)))</f>
        <v/>
      </c>
    </row>
    <row r="354">
      <c r="C354" s="61">
        <f>IF(C$14=0,WdhStd,IF(INDEX($C$204:$V$204,C$14)="",WdhStd,INDEX($C$204:$V$204,C$14)))</f>
        <v/>
      </c>
      <c r="D354" s="61">
        <f>IF(D$14=0,WdhStd,IF(INDEX($C$204:$V$204,D$14)="",WdhStd,INDEX($C$204:$V$204,D$14)))</f>
        <v/>
      </c>
      <c r="E354" s="61">
        <f>IF(E$14=0,WdhStd,IF(INDEX($C$204:$V$204,E$14)="",WdhStd,INDEX($C$204:$V$204,E$14)))</f>
        <v/>
      </c>
      <c r="F354" s="61">
        <f>IF(F$14=0,WdhStd,IF(INDEX($C$204:$V$204,F$14)="",WdhStd,INDEX($C$204:$V$204,F$14)))</f>
        <v/>
      </c>
      <c r="G354" s="61">
        <f>IF(G$14=0,WdhStd,IF(INDEX($C$204:$V$204,G$14)="",WdhStd,INDEX($C$204:$V$204,G$14)))</f>
        <v/>
      </c>
      <c r="H354" s="61">
        <f>IF(H$14=0,WdhStd,IF(INDEX($C$204:$V$204,H$14)="",WdhStd,INDEX($C$204:$V$204,H$14)))</f>
        <v/>
      </c>
      <c r="I354" s="61">
        <f>IF(I$14=0,WdhStd,IF(INDEX($C$204:$V$204,I$14)="",WdhStd,INDEX($C$204:$V$204,I$14)))</f>
        <v/>
      </c>
      <c r="J354" s="61">
        <f>IF(J$14=0,WdhStd,IF(INDEX($C$204:$V$204,J$14)="",WdhStd,INDEX($C$204:$V$204,J$14)))</f>
        <v/>
      </c>
      <c r="K354" s="61">
        <f>IF(K$14=0,WdhStd,IF(INDEX($C$204:$V$204,K$14)="",WdhStd,INDEX($C$204:$V$204,K$14)))</f>
        <v/>
      </c>
      <c r="L354" s="61">
        <f>IF(L$14=0,WdhStd,IF(INDEX($C$204:$V$204,L$14)="",WdhStd,INDEX($C$204:$V$204,L$14)))</f>
        <v/>
      </c>
      <c r="M354" s="61">
        <f>IF(M$14=0,WdhStd,IF(INDEX($C$204:$V$204,M$14)="",WdhStd,INDEX($C$204:$V$204,M$14)))</f>
        <v/>
      </c>
      <c r="N354" s="61">
        <f>IF(N$14=0,WdhStd,IF(INDEX($C$204:$V$204,N$14)="",WdhStd,INDEX($C$204:$V$204,N$14)))</f>
        <v/>
      </c>
      <c r="O354" s="61">
        <f>IF(O$14=0,WdhStd,IF(INDEX($C$204:$V$204,O$14)="",WdhStd,INDEX($C$204:$V$204,O$14)))</f>
        <v/>
      </c>
      <c r="P354" s="61">
        <f>IF(P$14=0,WdhStd,IF(INDEX($C$204:$V$204,P$14)="",WdhStd,INDEX($C$204:$V$204,P$14)))</f>
        <v/>
      </c>
      <c r="Q354" s="61">
        <f>IF(Q$14=0,WdhStd,IF(INDEX($C$204:$V$204,Q$14)="",WdhStd,INDEX($C$204:$V$204,Q$14)))</f>
        <v/>
      </c>
      <c r="R354" s="61">
        <f>IF(R$14=0,WdhStd,IF(INDEX($C$204:$V$204,R$14)="",WdhStd,INDEX($C$204:$V$204,R$14)))</f>
        <v/>
      </c>
      <c r="S354" s="61">
        <f>IF(S$14=0,WdhStd,IF(INDEX($C$204:$V$204,S$14)="",WdhStd,INDEX($C$204:$V$204,S$14)))</f>
        <v/>
      </c>
      <c r="T354" s="61">
        <f>IF(T$14=0,WdhStd,IF(INDEX($C$204:$V$204,T$14)="",WdhStd,INDEX($C$204:$V$204,T$14)))</f>
        <v/>
      </c>
      <c r="U354" s="61">
        <f>IF(U$14=0,WdhStd,IF(INDEX($C$204:$V$204,U$14)="",WdhStd,INDEX($C$204:$V$204,U$14)))</f>
        <v/>
      </c>
      <c r="V354" s="61">
        <f>IF(V$14=0,WdhStd,IF(INDEX($C$204:$V$204,V$14)="",WdhStd,INDEX($C$204:$V$204,V$14)))</f>
        <v/>
      </c>
    </row>
    <row r="355">
      <c r="C355" s="61">
        <f>IF(C$14=0,WdhStd,IF(INDEX($C$205:$V$205,C$14)="",WdhStd,INDEX($C$205:$V$205,C$14)))</f>
        <v/>
      </c>
      <c r="D355" s="61">
        <f>IF(D$14=0,WdhStd,IF(INDEX($C$205:$V$205,D$14)="",WdhStd,INDEX($C$205:$V$205,D$14)))</f>
        <v/>
      </c>
      <c r="E355" s="61">
        <f>IF(E$14=0,WdhStd,IF(INDEX($C$205:$V$205,E$14)="",WdhStd,INDEX($C$205:$V$205,E$14)))</f>
        <v/>
      </c>
      <c r="F355" s="61">
        <f>IF(F$14=0,WdhStd,IF(INDEX($C$205:$V$205,F$14)="",WdhStd,INDEX($C$205:$V$205,F$14)))</f>
        <v/>
      </c>
      <c r="G355" s="61">
        <f>IF(G$14=0,WdhStd,IF(INDEX($C$205:$V$205,G$14)="",WdhStd,INDEX($C$205:$V$205,G$14)))</f>
        <v/>
      </c>
      <c r="H355" s="61">
        <f>IF(H$14=0,WdhStd,IF(INDEX($C$205:$V$205,H$14)="",WdhStd,INDEX($C$205:$V$205,H$14)))</f>
        <v/>
      </c>
      <c r="I355" s="61">
        <f>IF(I$14=0,WdhStd,IF(INDEX($C$205:$V$205,I$14)="",WdhStd,INDEX($C$205:$V$205,I$14)))</f>
        <v/>
      </c>
      <c r="J355" s="61">
        <f>IF(J$14=0,WdhStd,IF(INDEX($C$205:$V$205,J$14)="",WdhStd,INDEX($C$205:$V$205,J$14)))</f>
        <v/>
      </c>
      <c r="K355" s="61">
        <f>IF(K$14=0,WdhStd,IF(INDEX($C$205:$V$205,K$14)="",WdhStd,INDEX($C$205:$V$205,K$14)))</f>
        <v/>
      </c>
      <c r="L355" s="61">
        <f>IF(L$14=0,WdhStd,IF(INDEX($C$205:$V$205,L$14)="",WdhStd,INDEX($C$205:$V$205,L$14)))</f>
        <v/>
      </c>
      <c r="M355" s="61">
        <f>IF(M$14=0,WdhStd,IF(INDEX($C$205:$V$205,M$14)="",WdhStd,INDEX($C$205:$V$205,M$14)))</f>
        <v/>
      </c>
      <c r="N355" s="61">
        <f>IF(N$14=0,WdhStd,IF(INDEX($C$205:$V$205,N$14)="",WdhStd,INDEX($C$205:$V$205,N$14)))</f>
        <v/>
      </c>
      <c r="O355" s="61">
        <f>IF(O$14=0,WdhStd,IF(INDEX($C$205:$V$205,O$14)="",WdhStd,INDEX($C$205:$V$205,O$14)))</f>
        <v/>
      </c>
      <c r="P355" s="61">
        <f>IF(P$14=0,WdhStd,IF(INDEX($C$205:$V$205,P$14)="",WdhStd,INDEX($C$205:$V$205,P$14)))</f>
        <v/>
      </c>
      <c r="Q355" s="61">
        <f>IF(Q$14=0,WdhStd,IF(INDEX($C$205:$V$205,Q$14)="",WdhStd,INDEX($C$205:$V$205,Q$14)))</f>
        <v/>
      </c>
      <c r="R355" s="61">
        <f>IF(R$14=0,WdhStd,IF(INDEX($C$205:$V$205,R$14)="",WdhStd,INDEX($C$205:$V$205,R$14)))</f>
        <v/>
      </c>
      <c r="S355" s="61">
        <f>IF(S$14=0,WdhStd,IF(INDEX($C$205:$V$205,S$14)="",WdhStd,INDEX($C$205:$V$205,S$14)))</f>
        <v/>
      </c>
      <c r="T355" s="61">
        <f>IF(T$14=0,WdhStd,IF(INDEX($C$205:$V$205,T$14)="",WdhStd,INDEX($C$205:$V$205,T$14)))</f>
        <v/>
      </c>
      <c r="U355" s="61">
        <f>IF(U$14=0,WdhStd,IF(INDEX($C$205:$V$205,U$14)="",WdhStd,INDEX($C$205:$V$205,U$14)))</f>
        <v/>
      </c>
      <c r="V355" s="61">
        <f>IF(V$14=0,WdhStd,IF(INDEX($C$205:$V$205,V$14)="",WdhStd,INDEX($C$205:$V$205,V$14)))</f>
        <v/>
      </c>
    </row>
    <row r="356">
      <c r="C356" s="61">
        <f>IF(C$14=0,WdhStd,IF(INDEX($C$206:$V$206,C$14)="",WdhStd,INDEX($C$206:$V$206,C$14)))</f>
        <v/>
      </c>
      <c r="D356" s="61">
        <f>IF(D$14=0,WdhStd,IF(INDEX($C$206:$V$206,D$14)="",WdhStd,INDEX($C$206:$V$206,D$14)))</f>
        <v/>
      </c>
      <c r="E356" s="61">
        <f>IF(E$14=0,WdhStd,IF(INDEX($C$206:$V$206,E$14)="",WdhStd,INDEX($C$206:$V$206,E$14)))</f>
        <v/>
      </c>
      <c r="F356" s="61">
        <f>IF(F$14=0,WdhStd,IF(INDEX($C$206:$V$206,F$14)="",WdhStd,INDEX($C$206:$V$206,F$14)))</f>
        <v/>
      </c>
      <c r="G356" s="61">
        <f>IF(G$14=0,WdhStd,IF(INDEX($C$206:$V$206,G$14)="",WdhStd,INDEX($C$206:$V$206,G$14)))</f>
        <v/>
      </c>
      <c r="H356" s="61">
        <f>IF(H$14=0,WdhStd,IF(INDEX($C$206:$V$206,H$14)="",WdhStd,INDEX($C$206:$V$206,H$14)))</f>
        <v/>
      </c>
      <c r="I356" s="61">
        <f>IF(I$14=0,WdhStd,IF(INDEX($C$206:$V$206,I$14)="",WdhStd,INDEX($C$206:$V$206,I$14)))</f>
        <v/>
      </c>
      <c r="J356" s="61">
        <f>IF(J$14=0,WdhStd,IF(INDEX($C$206:$V$206,J$14)="",WdhStd,INDEX($C$206:$V$206,J$14)))</f>
        <v/>
      </c>
      <c r="K356" s="61">
        <f>IF(K$14=0,WdhStd,IF(INDEX($C$206:$V$206,K$14)="",WdhStd,INDEX($C$206:$V$206,K$14)))</f>
        <v/>
      </c>
      <c r="L356" s="61">
        <f>IF(L$14=0,WdhStd,IF(INDEX($C$206:$V$206,L$14)="",WdhStd,INDEX($C$206:$V$206,L$14)))</f>
        <v/>
      </c>
      <c r="M356" s="61">
        <f>IF(M$14=0,WdhStd,IF(INDEX($C$206:$V$206,M$14)="",WdhStd,INDEX($C$206:$V$206,M$14)))</f>
        <v/>
      </c>
      <c r="N356" s="61">
        <f>IF(N$14=0,WdhStd,IF(INDEX($C$206:$V$206,N$14)="",WdhStd,INDEX($C$206:$V$206,N$14)))</f>
        <v/>
      </c>
      <c r="O356" s="61">
        <f>IF(O$14=0,WdhStd,IF(INDEX($C$206:$V$206,O$14)="",WdhStd,INDEX($C$206:$V$206,O$14)))</f>
        <v/>
      </c>
      <c r="P356" s="61">
        <f>IF(P$14=0,WdhStd,IF(INDEX($C$206:$V$206,P$14)="",WdhStd,INDEX($C$206:$V$206,P$14)))</f>
        <v/>
      </c>
      <c r="Q356" s="61">
        <f>IF(Q$14=0,WdhStd,IF(INDEX($C$206:$V$206,Q$14)="",WdhStd,INDEX($C$206:$V$206,Q$14)))</f>
        <v/>
      </c>
      <c r="R356" s="61">
        <f>IF(R$14=0,WdhStd,IF(INDEX($C$206:$V$206,R$14)="",WdhStd,INDEX($C$206:$V$206,R$14)))</f>
        <v/>
      </c>
      <c r="S356" s="61">
        <f>IF(S$14=0,WdhStd,IF(INDEX($C$206:$V$206,S$14)="",WdhStd,INDEX($C$206:$V$206,S$14)))</f>
        <v/>
      </c>
      <c r="T356" s="61">
        <f>IF(T$14=0,WdhStd,IF(INDEX($C$206:$V$206,T$14)="",WdhStd,INDEX($C$206:$V$206,T$14)))</f>
        <v/>
      </c>
      <c r="U356" s="61">
        <f>IF(U$14=0,WdhStd,IF(INDEX($C$206:$V$206,U$14)="",WdhStd,INDEX($C$206:$V$206,U$14)))</f>
        <v/>
      </c>
      <c r="V356" s="61">
        <f>IF(V$14=0,WdhStd,IF(INDEX($C$206:$V$206,V$14)="",WdhStd,INDEX($C$206:$V$206,V$14)))</f>
        <v/>
      </c>
    </row>
    <row r="357">
      <c r="C357" s="61">
        <f>IF(C$14=0,WdhStd,IF(INDEX($C$207:$V$207,C$14)="",WdhStd,INDEX($C$207:$V$207,C$14)))</f>
        <v/>
      </c>
      <c r="D357" s="61">
        <f>IF(D$14=0,WdhStd,IF(INDEX($C$207:$V$207,D$14)="",WdhStd,INDEX($C$207:$V$207,D$14)))</f>
        <v/>
      </c>
      <c r="E357" s="61">
        <f>IF(E$14=0,WdhStd,IF(INDEX($C$207:$V$207,E$14)="",WdhStd,INDEX($C$207:$V$207,E$14)))</f>
        <v/>
      </c>
      <c r="F357" s="61">
        <f>IF(F$14=0,WdhStd,IF(INDEX($C$207:$V$207,F$14)="",WdhStd,INDEX($C$207:$V$207,F$14)))</f>
        <v/>
      </c>
      <c r="G357" s="61">
        <f>IF(G$14=0,WdhStd,IF(INDEX($C$207:$V$207,G$14)="",WdhStd,INDEX($C$207:$V$207,G$14)))</f>
        <v/>
      </c>
      <c r="H357" s="61">
        <f>IF(H$14=0,WdhStd,IF(INDEX($C$207:$V$207,H$14)="",WdhStd,INDEX($C$207:$V$207,H$14)))</f>
        <v/>
      </c>
      <c r="I357" s="61">
        <f>IF(I$14=0,WdhStd,IF(INDEX($C$207:$V$207,I$14)="",WdhStd,INDEX($C$207:$V$207,I$14)))</f>
        <v/>
      </c>
      <c r="J357" s="61">
        <f>IF(J$14=0,WdhStd,IF(INDEX($C$207:$V$207,J$14)="",WdhStd,INDEX($C$207:$V$207,J$14)))</f>
        <v/>
      </c>
      <c r="K357" s="61">
        <f>IF(K$14=0,WdhStd,IF(INDEX($C$207:$V$207,K$14)="",WdhStd,INDEX($C$207:$V$207,K$14)))</f>
        <v/>
      </c>
      <c r="L357" s="61">
        <f>IF(L$14=0,WdhStd,IF(INDEX($C$207:$V$207,L$14)="",WdhStd,INDEX($C$207:$V$207,L$14)))</f>
        <v/>
      </c>
      <c r="M357" s="61">
        <f>IF(M$14=0,WdhStd,IF(INDEX($C$207:$V$207,M$14)="",WdhStd,INDEX($C$207:$V$207,M$14)))</f>
        <v/>
      </c>
      <c r="N357" s="61">
        <f>IF(N$14=0,WdhStd,IF(INDEX($C$207:$V$207,N$14)="",WdhStd,INDEX($C$207:$V$207,N$14)))</f>
        <v/>
      </c>
      <c r="O357" s="61">
        <f>IF(O$14=0,WdhStd,IF(INDEX($C$207:$V$207,O$14)="",WdhStd,INDEX($C$207:$V$207,O$14)))</f>
        <v/>
      </c>
      <c r="P357" s="61">
        <f>IF(P$14=0,WdhStd,IF(INDEX($C$207:$V$207,P$14)="",WdhStd,INDEX($C$207:$V$207,P$14)))</f>
        <v/>
      </c>
      <c r="Q357" s="61">
        <f>IF(Q$14=0,WdhStd,IF(INDEX($C$207:$V$207,Q$14)="",WdhStd,INDEX($C$207:$V$207,Q$14)))</f>
        <v/>
      </c>
      <c r="R357" s="61">
        <f>IF(R$14=0,WdhStd,IF(INDEX($C$207:$V$207,R$14)="",WdhStd,INDEX($C$207:$V$207,R$14)))</f>
        <v/>
      </c>
      <c r="S357" s="61">
        <f>IF(S$14=0,WdhStd,IF(INDEX($C$207:$V$207,S$14)="",WdhStd,INDEX($C$207:$V$207,S$14)))</f>
        <v/>
      </c>
      <c r="T357" s="61">
        <f>IF(T$14=0,WdhStd,IF(INDEX($C$207:$V$207,T$14)="",WdhStd,INDEX($C$207:$V$207,T$14)))</f>
        <v/>
      </c>
      <c r="U357" s="61">
        <f>IF(U$14=0,WdhStd,IF(INDEX($C$207:$V$207,U$14)="",WdhStd,INDEX($C$207:$V$207,U$14)))</f>
        <v/>
      </c>
      <c r="V357" s="61">
        <f>IF(V$14=0,WdhStd,IF(INDEX($C$207:$V$207,V$14)="",WdhStd,INDEX($C$207:$V$207,V$14)))</f>
        <v/>
      </c>
    </row>
    <row r="358">
      <c r="C358" s="61">
        <f>IF(C$14=0,WdhStd,IF(INDEX($C$208:$V$208,C$14)="",WdhStd,INDEX($C$208:$V$208,C$14)))</f>
        <v/>
      </c>
      <c r="D358" s="61">
        <f>IF(D$14=0,WdhStd,IF(INDEX($C$208:$V$208,D$14)="",WdhStd,INDEX($C$208:$V$208,D$14)))</f>
        <v/>
      </c>
      <c r="E358" s="61">
        <f>IF(E$14=0,WdhStd,IF(INDEX($C$208:$V$208,E$14)="",WdhStd,INDEX($C$208:$V$208,E$14)))</f>
        <v/>
      </c>
      <c r="F358" s="61">
        <f>IF(F$14=0,WdhStd,IF(INDEX($C$208:$V$208,F$14)="",WdhStd,INDEX($C$208:$V$208,F$14)))</f>
        <v/>
      </c>
      <c r="G358" s="61">
        <f>IF(G$14=0,WdhStd,IF(INDEX($C$208:$V$208,G$14)="",WdhStd,INDEX($C$208:$V$208,G$14)))</f>
        <v/>
      </c>
      <c r="H358" s="61">
        <f>IF(H$14=0,WdhStd,IF(INDEX($C$208:$V$208,H$14)="",WdhStd,INDEX($C$208:$V$208,H$14)))</f>
        <v/>
      </c>
      <c r="I358" s="61">
        <f>IF(I$14=0,WdhStd,IF(INDEX($C$208:$V$208,I$14)="",WdhStd,INDEX($C$208:$V$208,I$14)))</f>
        <v/>
      </c>
      <c r="J358" s="61">
        <f>IF(J$14=0,WdhStd,IF(INDEX($C$208:$V$208,J$14)="",WdhStd,INDEX($C$208:$V$208,J$14)))</f>
        <v/>
      </c>
      <c r="K358" s="61">
        <f>IF(K$14=0,WdhStd,IF(INDEX($C$208:$V$208,K$14)="",WdhStd,INDEX($C$208:$V$208,K$14)))</f>
        <v/>
      </c>
      <c r="L358" s="61">
        <f>IF(L$14=0,WdhStd,IF(INDEX($C$208:$V$208,L$14)="",WdhStd,INDEX($C$208:$V$208,L$14)))</f>
        <v/>
      </c>
      <c r="M358" s="61">
        <f>IF(M$14=0,WdhStd,IF(INDEX($C$208:$V$208,M$14)="",WdhStd,INDEX($C$208:$V$208,M$14)))</f>
        <v/>
      </c>
      <c r="N358" s="61">
        <f>IF(N$14=0,WdhStd,IF(INDEX($C$208:$V$208,N$14)="",WdhStd,INDEX($C$208:$V$208,N$14)))</f>
        <v/>
      </c>
      <c r="O358" s="61">
        <f>IF(O$14=0,WdhStd,IF(INDEX($C$208:$V$208,O$14)="",WdhStd,INDEX($C$208:$V$208,O$14)))</f>
        <v/>
      </c>
      <c r="P358" s="61">
        <f>IF(P$14=0,WdhStd,IF(INDEX($C$208:$V$208,P$14)="",WdhStd,INDEX($C$208:$V$208,P$14)))</f>
        <v/>
      </c>
      <c r="Q358" s="61">
        <f>IF(Q$14=0,WdhStd,IF(INDEX($C$208:$V$208,Q$14)="",WdhStd,INDEX($C$208:$V$208,Q$14)))</f>
        <v/>
      </c>
      <c r="R358" s="61">
        <f>IF(R$14=0,WdhStd,IF(INDEX($C$208:$V$208,R$14)="",WdhStd,INDEX($C$208:$V$208,R$14)))</f>
        <v/>
      </c>
      <c r="S358" s="61">
        <f>IF(S$14=0,WdhStd,IF(INDEX($C$208:$V$208,S$14)="",WdhStd,INDEX($C$208:$V$208,S$14)))</f>
        <v/>
      </c>
      <c r="T358" s="61">
        <f>IF(T$14=0,WdhStd,IF(INDEX($C$208:$V$208,T$14)="",WdhStd,INDEX($C$208:$V$208,T$14)))</f>
        <v/>
      </c>
      <c r="U358" s="61">
        <f>IF(U$14=0,WdhStd,IF(INDEX($C$208:$V$208,U$14)="",WdhStd,INDEX($C$208:$V$208,U$14)))</f>
        <v/>
      </c>
      <c r="V358" s="61">
        <f>IF(V$14=0,WdhStd,IF(INDEX($C$208:$V$208,V$14)="",WdhStd,INDEX($C$208:$V$208,V$14)))</f>
        <v/>
      </c>
    </row>
    <row r="359">
      <c r="C359" s="61">
        <f>IF(C$14=0,WdhStd,IF(INDEX($C$209:$V$209,C$14)="",WdhStd,INDEX($C$209:$V$209,C$14)))</f>
        <v/>
      </c>
      <c r="D359" s="61">
        <f>IF(D$14=0,WdhStd,IF(INDEX($C$209:$V$209,D$14)="",WdhStd,INDEX($C$209:$V$209,D$14)))</f>
        <v/>
      </c>
      <c r="E359" s="61">
        <f>IF(E$14=0,WdhStd,IF(INDEX($C$209:$V$209,E$14)="",WdhStd,INDEX($C$209:$V$209,E$14)))</f>
        <v/>
      </c>
      <c r="F359" s="61">
        <f>IF(F$14=0,WdhStd,IF(INDEX($C$209:$V$209,F$14)="",WdhStd,INDEX($C$209:$V$209,F$14)))</f>
        <v/>
      </c>
      <c r="G359" s="61">
        <f>IF(G$14=0,WdhStd,IF(INDEX($C$209:$V$209,G$14)="",WdhStd,INDEX($C$209:$V$209,G$14)))</f>
        <v/>
      </c>
      <c r="H359" s="61">
        <f>IF(H$14=0,WdhStd,IF(INDEX($C$209:$V$209,H$14)="",WdhStd,INDEX($C$209:$V$209,H$14)))</f>
        <v/>
      </c>
      <c r="I359" s="61">
        <f>IF(I$14=0,WdhStd,IF(INDEX($C$209:$V$209,I$14)="",WdhStd,INDEX($C$209:$V$209,I$14)))</f>
        <v/>
      </c>
      <c r="J359" s="61">
        <f>IF(J$14=0,WdhStd,IF(INDEX($C$209:$V$209,J$14)="",WdhStd,INDEX($C$209:$V$209,J$14)))</f>
        <v/>
      </c>
      <c r="K359" s="61">
        <f>IF(K$14=0,WdhStd,IF(INDEX($C$209:$V$209,K$14)="",WdhStd,INDEX($C$209:$V$209,K$14)))</f>
        <v/>
      </c>
      <c r="L359" s="61">
        <f>IF(L$14=0,WdhStd,IF(INDEX($C$209:$V$209,L$14)="",WdhStd,INDEX($C$209:$V$209,L$14)))</f>
        <v/>
      </c>
      <c r="M359" s="61">
        <f>IF(M$14=0,WdhStd,IF(INDEX($C$209:$V$209,M$14)="",WdhStd,INDEX($C$209:$V$209,M$14)))</f>
        <v/>
      </c>
      <c r="N359" s="61">
        <f>IF(N$14=0,WdhStd,IF(INDEX($C$209:$V$209,N$14)="",WdhStd,INDEX($C$209:$V$209,N$14)))</f>
        <v/>
      </c>
      <c r="O359" s="61">
        <f>IF(O$14=0,WdhStd,IF(INDEX($C$209:$V$209,O$14)="",WdhStd,INDEX($C$209:$V$209,O$14)))</f>
        <v/>
      </c>
      <c r="P359" s="61">
        <f>IF(P$14=0,WdhStd,IF(INDEX($C$209:$V$209,P$14)="",WdhStd,INDEX($C$209:$V$209,P$14)))</f>
        <v/>
      </c>
      <c r="Q359" s="61">
        <f>IF(Q$14=0,WdhStd,IF(INDEX($C$209:$V$209,Q$14)="",WdhStd,INDEX($C$209:$V$209,Q$14)))</f>
        <v/>
      </c>
      <c r="R359" s="61">
        <f>IF(R$14=0,WdhStd,IF(INDEX($C$209:$V$209,R$14)="",WdhStd,INDEX($C$209:$V$209,R$14)))</f>
        <v/>
      </c>
      <c r="S359" s="61">
        <f>IF(S$14=0,WdhStd,IF(INDEX($C$209:$V$209,S$14)="",WdhStd,INDEX($C$209:$V$209,S$14)))</f>
        <v/>
      </c>
      <c r="T359" s="61">
        <f>IF(T$14=0,WdhStd,IF(INDEX($C$209:$V$209,T$14)="",WdhStd,INDEX($C$209:$V$209,T$14)))</f>
        <v/>
      </c>
      <c r="U359" s="61">
        <f>IF(U$14=0,WdhStd,IF(INDEX($C$209:$V$209,U$14)="",WdhStd,INDEX($C$209:$V$209,U$14)))</f>
        <v/>
      </c>
      <c r="V359" s="61">
        <f>IF(V$14=0,WdhStd,IF(INDEX($C$209:$V$209,V$14)="",WdhStd,INDEX($C$209:$V$209,V$14)))</f>
        <v/>
      </c>
    </row>
    <row r="360">
      <c r="C360" s="61">
        <f>IF(C$14=0,WdhStd,IF(INDEX($C$210:$V$210,C$14)="",WdhStd,INDEX($C$210:$V$210,C$14)))</f>
        <v/>
      </c>
      <c r="D360" s="61">
        <f>IF(D$14=0,WdhStd,IF(INDEX($C$210:$V$210,D$14)="",WdhStd,INDEX($C$210:$V$210,D$14)))</f>
        <v/>
      </c>
      <c r="E360" s="61">
        <f>IF(E$14=0,WdhStd,IF(INDEX($C$210:$V$210,E$14)="",WdhStd,INDEX($C$210:$V$210,E$14)))</f>
        <v/>
      </c>
      <c r="F360" s="61">
        <f>IF(F$14=0,WdhStd,IF(INDEX($C$210:$V$210,F$14)="",WdhStd,INDEX($C$210:$V$210,F$14)))</f>
        <v/>
      </c>
      <c r="G360" s="61">
        <f>IF(G$14=0,WdhStd,IF(INDEX($C$210:$V$210,G$14)="",WdhStd,INDEX($C$210:$V$210,G$14)))</f>
        <v/>
      </c>
      <c r="H360" s="61">
        <f>IF(H$14=0,WdhStd,IF(INDEX($C$210:$V$210,H$14)="",WdhStd,INDEX($C$210:$V$210,H$14)))</f>
        <v/>
      </c>
      <c r="I360" s="61">
        <f>IF(I$14=0,WdhStd,IF(INDEX($C$210:$V$210,I$14)="",WdhStd,INDEX($C$210:$V$210,I$14)))</f>
        <v/>
      </c>
      <c r="J360" s="61">
        <f>IF(J$14=0,WdhStd,IF(INDEX($C$210:$V$210,J$14)="",WdhStd,INDEX($C$210:$V$210,J$14)))</f>
        <v/>
      </c>
      <c r="K360" s="61">
        <f>IF(K$14=0,WdhStd,IF(INDEX($C$210:$V$210,K$14)="",WdhStd,INDEX($C$210:$V$210,K$14)))</f>
        <v/>
      </c>
      <c r="L360" s="61">
        <f>IF(L$14=0,WdhStd,IF(INDEX($C$210:$V$210,L$14)="",WdhStd,INDEX($C$210:$V$210,L$14)))</f>
        <v/>
      </c>
      <c r="M360" s="61">
        <f>IF(M$14=0,WdhStd,IF(INDEX($C$210:$V$210,M$14)="",WdhStd,INDEX($C$210:$V$210,M$14)))</f>
        <v/>
      </c>
      <c r="N360" s="61">
        <f>IF(N$14=0,WdhStd,IF(INDEX($C$210:$V$210,N$14)="",WdhStd,INDEX($C$210:$V$210,N$14)))</f>
        <v/>
      </c>
      <c r="O360" s="61">
        <f>IF(O$14=0,WdhStd,IF(INDEX($C$210:$V$210,O$14)="",WdhStd,INDEX($C$210:$V$210,O$14)))</f>
        <v/>
      </c>
      <c r="P360" s="61">
        <f>IF(P$14=0,WdhStd,IF(INDEX($C$210:$V$210,P$14)="",WdhStd,INDEX($C$210:$V$210,P$14)))</f>
        <v/>
      </c>
      <c r="Q360" s="61">
        <f>IF(Q$14=0,WdhStd,IF(INDEX($C$210:$V$210,Q$14)="",WdhStd,INDEX($C$210:$V$210,Q$14)))</f>
        <v/>
      </c>
      <c r="R360" s="61">
        <f>IF(R$14=0,WdhStd,IF(INDEX($C$210:$V$210,R$14)="",WdhStd,INDEX($C$210:$V$210,R$14)))</f>
        <v/>
      </c>
      <c r="S360" s="61">
        <f>IF(S$14=0,WdhStd,IF(INDEX($C$210:$V$210,S$14)="",WdhStd,INDEX($C$210:$V$210,S$14)))</f>
        <v/>
      </c>
      <c r="T360" s="61">
        <f>IF(T$14=0,WdhStd,IF(INDEX($C$210:$V$210,T$14)="",WdhStd,INDEX($C$210:$V$210,T$14)))</f>
        <v/>
      </c>
      <c r="U360" s="61">
        <f>IF(U$14=0,WdhStd,IF(INDEX($C$210:$V$210,U$14)="",WdhStd,INDEX($C$210:$V$210,U$14)))</f>
        <v/>
      </c>
      <c r="V360" s="61">
        <f>IF(V$14=0,WdhStd,IF(INDEX($C$210:$V$210,V$14)="",WdhStd,INDEX($C$210:$V$210,V$14)))</f>
        <v/>
      </c>
    </row>
    <row r="361">
      <c r="C361" s="61">
        <f>IF(C$14=0,WdhStd,IF(INDEX($C$211:$V$211,C$14)="",WdhStd,INDEX($C$211:$V$211,C$14)))</f>
        <v/>
      </c>
      <c r="D361" s="61">
        <f>IF(D$14=0,WdhStd,IF(INDEX($C$211:$V$211,D$14)="",WdhStd,INDEX($C$211:$V$211,D$14)))</f>
        <v/>
      </c>
      <c r="E361" s="61">
        <f>IF(E$14=0,WdhStd,IF(INDEX($C$211:$V$211,E$14)="",WdhStd,INDEX($C$211:$V$211,E$14)))</f>
        <v/>
      </c>
      <c r="F361" s="61">
        <f>IF(F$14=0,WdhStd,IF(INDEX($C$211:$V$211,F$14)="",WdhStd,INDEX($C$211:$V$211,F$14)))</f>
        <v/>
      </c>
      <c r="G361" s="61">
        <f>IF(G$14=0,WdhStd,IF(INDEX($C$211:$V$211,G$14)="",WdhStd,INDEX($C$211:$V$211,G$14)))</f>
        <v/>
      </c>
      <c r="H361" s="61">
        <f>IF(H$14=0,WdhStd,IF(INDEX($C$211:$V$211,H$14)="",WdhStd,INDEX($C$211:$V$211,H$14)))</f>
        <v/>
      </c>
      <c r="I361" s="61">
        <f>IF(I$14=0,WdhStd,IF(INDEX($C$211:$V$211,I$14)="",WdhStd,INDEX($C$211:$V$211,I$14)))</f>
        <v/>
      </c>
      <c r="J361" s="61">
        <f>IF(J$14=0,WdhStd,IF(INDEX($C$211:$V$211,J$14)="",WdhStd,INDEX($C$211:$V$211,J$14)))</f>
        <v/>
      </c>
      <c r="K361" s="61">
        <f>IF(K$14=0,WdhStd,IF(INDEX($C$211:$V$211,K$14)="",WdhStd,INDEX($C$211:$V$211,K$14)))</f>
        <v/>
      </c>
      <c r="L361" s="61">
        <f>IF(L$14=0,WdhStd,IF(INDEX($C$211:$V$211,L$14)="",WdhStd,INDEX($C$211:$V$211,L$14)))</f>
        <v/>
      </c>
      <c r="M361" s="61">
        <f>IF(M$14=0,WdhStd,IF(INDEX($C$211:$V$211,M$14)="",WdhStd,INDEX($C$211:$V$211,M$14)))</f>
        <v/>
      </c>
      <c r="N361" s="61">
        <f>IF(N$14=0,WdhStd,IF(INDEX($C$211:$V$211,N$14)="",WdhStd,INDEX($C$211:$V$211,N$14)))</f>
        <v/>
      </c>
      <c r="O361" s="61">
        <f>IF(O$14=0,WdhStd,IF(INDEX($C$211:$V$211,O$14)="",WdhStd,INDEX($C$211:$V$211,O$14)))</f>
        <v/>
      </c>
      <c r="P361" s="61">
        <f>IF(P$14=0,WdhStd,IF(INDEX($C$211:$V$211,P$14)="",WdhStd,INDEX($C$211:$V$211,P$14)))</f>
        <v/>
      </c>
      <c r="Q361" s="61">
        <f>IF(Q$14=0,WdhStd,IF(INDEX($C$211:$V$211,Q$14)="",WdhStd,INDEX($C$211:$V$211,Q$14)))</f>
        <v/>
      </c>
      <c r="R361" s="61">
        <f>IF(R$14=0,WdhStd,IF(INDEX($C$211:$V$211,R$14)="",WdhStd,INDEX($C$211:$V$211,R$14)))</f>
        <v/>
      </c>
      <c r="S361" s="61">
        <f>IF(S$14=0,WdhStd,IF(INDEX($C$211:$V$211,S$14)="",WdhStd,INDEX($C$211:$V$211,S$14)))</f>
        <v/>
      </c>
      <c r="T361" s="61">
        <f>IF(T$14=0,WdhStd,IF(INDEX($C$211:$V$211,T$14)="",WdhStd,INDEX($C$211:$V$211,T$14)))</f>
        <v/>
      </c>
      <c r="U361" s="61">
        <f>IF(U$14=0,WdhStd,IF(INDEX($C$211:$V$211,U$14)="",WdhStd,INDEX($C$211:$V$211,U$14)))</f>
        <v/>
      </c>
      <c r="V361" s="61">
        <f>IF(V$14=0,WdhStd,IF(INDEX($C$211:$V$211,V$14)="",WdhStd,INDEX($C$211:$V$211,V$14)))</f>
        <v/>
      </c>
    </row>
    <row r="362">
      <c r="C362" s="61">
        <f>IF(C$14=0,WdhStd,IF(INDEX($C$212:$V$212,C$14)="",WdhStd,INDEX($C$212:$V$212,C$14)))</f>
        <v/>
      </c>
      <c r="D362" s="61">
        <f>IF(D$14=0,WdhStd,IF(INDEX($C$212:$V$212,D$14)="",WdhStd,INDEX($C$212:$V$212,D$14)))</f>
        <v/>
      </c>
      <c r="E362" s="61">
        <f>IF(E$14=0,WdhStd,IF(INDEX($C$212:$V$212,E$14)="",WdhStd,INDEX($C$212:$V$212,E$14)))</f>
        <v/>
      </c>
      <c r="F362" s="61">
        <f>IF(F$14=0,WdhStd,IF(INDEX($C$212:$V$212,F$14)="",WdhStd,INDEX($C$212:$V$212,F$14)))</f>
        <v/>
      </c>
      <c r="G362" s="61">
        <f>IF(G$14=0,WdhStd,IF(INDEX($C$212:$V$212,G$14)="",WdhStd,INDEX($C$212:$V$212,G$14)))</f>
        <v/>
      </c>
      <c r="H362" s="61">
        <f>IF(H$14=0,WdhStd,IF(INDEX($C$212:$V$212,H$14)="",WdhStd,INDEX($C$212:$V$212,H$14)))</f>
        <v/>
      </c>
      <c r="I362" s="61">
        <f>IF(I$14=0,WdhStd,IF(INDEX($C$212:$V$212,I$14)="",WdhStd,INDEX($C$212:$V$212,I$14)))</f>
        <v/>
      </c>
      <c r="J362" s="61">
        <f>IF(J$14=0,WdhStd,IF(INDEX($C$212:$V$212,J$14)="",WdhStd,INDEX($C$212:$V$212,J$14)))</f>
        <v/>
      </c>
      <c r="K362" s="61">
        <f>IF(K$14=0,WdhStd,IF(INDEX($C$212:$V$212,K$14)="",WdhStd,INDEX($C$212:$V$212,K$14)))</f>
        <v/>
      </c>
      <c r="L362" s="61">
        <f>IF(L$14=0,WdhStd,IF(INDEX($C$212:$V$212,L$14)="",WdhStd,INDEX($C$212:$V$212,L$14)))</f>
        <v/>
      </c>
      <c r="M362" s="61">
        <f>IF(M$14=0,WdhStd,IF(INDEX($C$212:$V$212,M$14)="",WdhStd,INDEX($C$212:$V$212,M$14)))</f>
        <v/>
      </c>
      <c r="N362" s="61">
        <f>IF(N$14=0,WdhStd,IF(INDEX($C$212:$V$212,N$14)="",WdhStd,INDEX($C$212:$V$212,N$14)))</f>
        <v/>
      </c>
      <c r="O362" s="61">
        <f>IF(O$14=0,WdhStd,IF(INDEX($C$212:$V$212,O$14)="",WdhStd,INDEX($C$212:$V$212,O$14)))</f>
        <v/>
      </c>
      <c r="P362" s="61">
        <f>IF(P$14=0,WdhStd,IF(INDEX($C$212:$V$212,P$14)="",WdhStd,INDEX($C$212:$V$212,P$14)))</f>
        <v/>
      </c>
      <c r="Q362" s="61">
        <f>IF(Q$14=0,WdhStd,IF(INDEX($C$212:$V$212,Q$14)="",WdhStd,INDEX($C$212:$V$212,Q$14)))</f>
        <v/>
      </c>
      <c r="R362" s="61">
        <f>IF(R$14=0,WdhStd,IF(INDEX($C$212:$V$212,R$14)="",WdhStd,INDEX($C$212:$V$212,R$14)))</f>
        <v/>
      </c>
      <c r="S362" s="61">
        <f>IF(S$14=0,WdhStd,IF(INDEX($C$212:$V$212,S$14)="",WdhStd,INDEX($C$212:$V$212,S$14)))</f>
        <v/>
      </c>
      <c r="T362" s="61">
        <f>IF(T$14=0,WdhStd,IF(INDEX($C$212:$V$212,T$14)="",WdhStd,INDEX($C$212:$V$212,T$14)))</f>
        <v/>
      </c>
      <c r="U362" s="61">
        <f>IF(U$14=0,WdhStd,IF(INDEX($C$212:$V$212,U$14)="",WdhStd,INDEX($C$212:$V$212,U$14)))</f>
        <v/>
      </c>
      <c r="V362" s="61">
        <f>IF(V$14=0,WdhStd,IF(INDEX($C$212:$V$212,V$14)="",WdhStd,INDEX($C$212:$V$212,V$14)))</f>
        <v/>
      </c>
    </row>
    <row r="363">
      <c r="C363" s="61">
        <f>IF(C$14=0,WdhStd,IF(INDEX($C$213:$V$213,C$14)="",WdhStd,INDEX($C$213:$V$213,C$14)))</f>
        <v/>
      </c>
      <c r="D363" s="61">
        <f>IF(D$14=0,WdhStd,IF(INDEX($C$213:$V$213,D$14)="",WdhStd,INDEX($C$213:$V$213,D$14)))</f>
        <v/>
      </c>
      <c r="E363" s="61">
        <f>IF(E$14=0,WdhStd,IF(INDEX($C$213:$V$213,E$14)="",WdhStd,INDEX($C$213:$V$213,E$14)))</f>
        <v/>
      </c>
      <c r="F363" s="61">
        <f>IF(F$14=0,WdhStd,IF(INDEX($C$213:$V$213,F$14)="",WdhStd,INDEX($C$213:$V$213,F$14)))</f>
        <v/>
      </c>
      <c r="G363" s="61">
        <f>IF(G$14=0,WdhStd,IF(INDEX($C$213:$V$213,G$14)="",WdhStd,INDEX($C$213:$V$213,G$14)))</f>
        <v/>
      </c>
      <c r="H363" s="61">
        <f>IF(H$14=0,WdhStd,IF(INDEX($C$213:$V$213,H$14)="",WdhStd,INDEX($C$213:$V$213,H$14)))</f>
        <v/>
      </c>
      <c r="I363" s="61">
        <f>IF(I$14=0,WdhStd,IF(INDEX($C$213:$V$213,I$14)="",WdhStd,INDEX($C$213:$V$213,I$14)))</f>
        <v/>
      </c>
      <c r="J363" s="61">
        <f>IF(J$14=0,WdhStd,IF(INDEX($C$213:$V$213,J$14)="",WdhStd,INDEX($C$213:$V$213,J$14)))</f>
        <v/>
      </c>
      <c r="K363" s="61">
        <f>IF(K$14=0,WdhStd,IF(INDEX($C$213:$V$213,K$14)="",WdhStd,INDEX($C$213:$V$213,K$14)))</f>
        <v/>
      </c>
      <c r="L363" s="61">
        <f>IF(L$14=0,WdhStd,IF(INDEX($C$213:$V$213,L$14)="",WdhStd,INDEX($C$213:$V$213,L$14)))</f>
        <v/>
      </c>
      <c r="M363" s="61">
        <f>IF(M$14=0,WdhStd,IF(INDEX($C$213:$V$213,M$14)="",WdhStd,INDEX($C$213:$V$213,M$14)))</f>
        <v/>
      </c>
      <c r="N363" s="61">
        <f>IF(N$14=0,WdhStd,IF(INDEX($C$213:$V$213,N$14)="",WdhStd,INDEX($C$213:$V$213,N$14)))</f>
        <v/>
      </c>
      <c r="O363" s="61">
        <f>IF(O$14=0,WdhStd,IF(INDEX($C$213:$V$213,O$14)="",WdhStd,INDEX($C$213:$V$213,O$14)))</f>
        <v/>
      </c>
      <c r="P363" s="61">
        <f>IF(P$14=0,WdhStd,IF(INDEX($C$213:$V$213,P$14)="",WdhStd,INDEX($C$213:$V$213,P$14)))</f>
        <v/>
      </c>
      <c r="Q363" s="61">
        <f>IF(Q$14=0,WdhStd,IF(INDEX($C$213:$V$213,Q$14)="",WdhStd,INDEX($C$213:$V$213,Q$14)))</f>
        <v/>
      </c>
      <c r="R363" s="61">
        <f>IF(R$14=0,WdhStd,IF(INDEX($C$213:$V$213,R$14)="",WdhStd,INDEX($C$213:$V$213,R$14)))</f>
        <v/>
      </c>
      <c r="S363" s="61">
        <f>IF(S$14=0,WdhStd,IF(INDEX($C$213:$V$213,S$14)="",WdhStd,INDEX($C$213:$V$213,S$14)))</f>
        <v/>
      </c>
      <c r="T363" s="61">
        <f>IF(T$14=0,WdhStd,IF(INDEX($C$213:$V$213,T$14)="",WdhStd,INDEX($C$213:$V$213,T$14)))</f>
        <v/>
      </c>
      <c r="U363" s="61">
        <f>IF(U$14=0,WdhStd,IF(INDEX($C$213:$V$213,U$14)="",WdhStd,INDEX($C$213:$V$213,U$14)))</f>
        <v/>
      </c>
      <c r="V363" s="61">
        <f>IF(V$14=0,WdhStd,IF(INDEX($C$213:$V$213,V$14)="",WdhStd,INDEX($C$213:$V$213,V$14)))</f>
        <v/>
      </c>
    </row>
    <row r="364">
      <c r="C364" s="61">
        <f>IF(C$14=0,WdhStd,IF(INDEX($C$214:$V$214,C$14)="",WdhStd,INDEX($C$214:$V$214,C$14)))</f>
        <v/>
      </c>
      <c r="D364" s="61">
        <f>IF(D$14=0,WdhStd,IF(INDEX($C$214:$V$214,D$14)="",WdhStd,INDEX($C$214:$V$214,D$14)))</f>
        <v/>
      </c>
      <c r="E364" s="61">
        <f>IF(E$14=0,WdhStd,IF(INDEX($C$214:$V$214,E$14)="",WdhStd,INDEX($C$214:$V$214,E$14)))</f>
        <v/>
      </c>
      <c r="F364" s="61">
        <f>IF(F$14=0,WdhStd,IF(INDEX($C$214:$V$214,F$14)="",WdhStd,INDEX($C$214:$V$214,F$14)))</f>
        <v/>
      </c>
      <c r="G364" s="61">
        <f>IF(G$14=0,WdhStd,IF(INDEX($C$214:$V$214,G$14)="",WdhStd,INDEX($C$214:$V$214,G$14)))</f>
        <v/>
      </c>
      <c r="H364" s="61">
        <f>IF(H$14=0,WdhStd,IF(INDEX($C$214:$V$214,H$14)="",WdhStd,INDEX($C$214:$V$214,H$14)))</f>
        <v/>
      </c>
      <c r="I364" s="61">
        <f>IF(I$14=0,WdhStd,IF(INDEX($C$214:$V$214,I$14)="",WdhStd,INDEX($C$214:$V$214,I$14)))</f>
        <v/>
      </c>
      <c r="J364" s="61">
        <f>IF(J$14=0,WdhStd,IF(INDEX($C$214:$V$214,J$14)="",WdhStd,INDEX($C$214:$V$214,J$14)))</f>
        <v/>
      </c>
      <c r="K364" s="61">
        <f>IF(K$14=0,WdhStd,IF(INDEX($C$214:$V$214,K$14)="",WdhStd,INDEX($C$214:$V$214,K$14)))</f>
        <v/>
      </c>
      <c r="L364" s="61">
        <f>IF(L$14=0,WdhStd,IF(INDEX($C$214:$V$214,L$14)="",WdhStd,INDEX($C$214:$V$214,L$14)))</f>
        <v/>
      </c>
      <c r="M364" s="61">
        <f>IF(M$14=0,WdhStd,IF(INDEX($C$214:$V$214,M$14)="",WdhStd,INDEX($C$214:$V$214,M$14)))</f>
        <v/>
      </c>
      <c r="N364" s="61">
        <f>IF(N$14=0,WdhStd,IF(INDEX($C$214:$V$214,N$14)="",WdhStd,INDEX($C$214:$V$214,N$14)))</f>
        <v/>
      </c>
      <c r="O364" s="61">
        <f>IF(O$14=0,WdhStd,IF(INDEX($C$214:$V$214,O$14)="",WdhStd,INDEX($C$214:$V$214,O$14)))</f>
        <v/>
      </c>
      <c r="P364" s="61">
        <f>IF(P$14=0,WdhStd,IF(INDEX($C$214:$V$214,P$14)="",WdhStd,INDEX($C$214:$V$214,P$14)))</f>
        <v/>
      </c>
      <c r="Q364" s="61">
        <f>IF(Q$14=0,WdhStd,IF(INDEX($C$214:$V$214,Q$14)="",WdhStd,INDEX($C$214:$V$214,Q$14)))</f>
        <v/>
      </c>
      <c r="R364" s="61">
        <f>IF(R$14=0,WdhStd,IF(INDEX($C$214:$V$214,R$14)="",WdhStd,INDEX($C$214:$V$214,R$14)))</f>
        <v/>
      </c>
      <c r="S364" s="61">
        <f>IF(S$14=0,WdhStd,IF(INDEX($C$214:$V$214,S$14)="",WdhStd,INDEX($C$214:$V$214,S$14)))</f>
        <v/>
      </c>
      <c r="T364" s="61">
        <f>IF(T$14=0,WdhStd,IF(INDEX($C$214:$V$214,T$14)="",WdhStd,INDEX($C$214:$V$214,T$14)))</f>
        <v/>
      </c>
      <c r="U364" s="61">
        <f>IF(U$14=0,WdhStd,IF(INDEX($C$214:$V$214,U$14)="",WdhStd,INDEX($C$214:$V$214,U$14)))</f>
        <v/>
      </c>
      <c r="V364" s="61">
        <f>IF(V$14=0,WdhStd,IF(INDEX($C$214:$V$214,V$14)="",WdhStd,INDEX($C$214:$V$214,V$14)))</f>
        <v/>
      </c>
    </row>
    <row r="365">
      <c r="C365" s="61">
        <f>IF(C$14=0,WdhStd,IF(INDEX($C$215:$V$215,C$14)="",WdhStd,INDEX($C$215:$V$215,C$14)))</f>
        <v/>
      </c>
      <c r="D365" s="61">
        <f>IF(D$14=0,WdhStd,IF(INDEX($C$215:$V$215,D$14)="",WdhStd,INDEX($C$215:$V$215,D$14)))</f>
        <v/>
      </c>
      <c r="E365" s="61">
        <f>IF(E$14=0,WdhStd,IF(INDEX($C$215:$V$215,E$14)="",WdhStd,INDEX($C$215:$V$215,E$14)))</f>
        <v/>
      </c>
      <c r="F365" s="61">
        <f>IF(F$14=0,WdhStd,IF(INDEX($C$215:$V$215,F$14)="",WdhStd,INDEX($C$215:$V$215,F$14)))</f>
        <v/>
      </c>
      <c r="G365" s="61">
        <f>IF(G$14=0,WdhStd,IF(INDEX($C$215:$V$215,G$14)="",WdhStd,INDEX($C$215:$V$215,G$14)))</f>
        <v/>
      </c>
      <c r="H365" s="61">
        <f>IF(H$14=0,WdhStd,IF(INDEX($C$215:$V$215,H$14)="",WdhStd,INDEX($C$215:$V$215,H$14)))</f>
        <v/>
      </c>
      <c r="I365" s="61">
        <f>IF(I$14=0,WdhStd,IF(INDEX($C$215:$V$215,I$14)="",WdhStd,INDEX($C$215:$V$215,I$14)))</f>
        <v/>
      </c>
      <c r="J365" s="61">
        <f>IF(J$14=0,WdhStd,IF(INDEX($C$215:$V$215,J$14)="",WdhStd,INDEX($C$215:$V$215,J$14)))</f>
        <v/>
      </c>
      <c r="K365" s="61">
        <f>IF(K$14=0,WdhStd,IF(INDEX($C$215:$V$215,K$14)="",WdhStd,INDEX($C$215:$V$215,K$14)))</f>
        <v/>
      </c>
      <c r="L365" s="61">
        <f>IF(L$14=0,WdhStd,IF(INDEX($C$215:$V$215,L$14)="",WdhStd,INDEX($C$215:$V$215,L$14)))</f>
        <v/>
      </c>
      <c r="M365" s="61">
        <f>IF(M$14=0,WdhStd,IF(INDEX($C$215:$V$215,M$14)="",WdhStd,INDEX($C$215:$V$215,M$14)))</f>
        <v/>
      </c>
      <c r="N365" s="61">
        <f>IF(N$14=0,WdhStd,IF(INDEX($C$215:$V$215,N$14)="",WdhStd,INDEX($C$215:$V$215,N$14)))</f>
        <v/>
      </c>
      <c r="O365" s="61">
        <f>IF(O$14=0,WdhStd,IF(INDEX($C$215:$V$215,O$14)="",WdhStd,INDEX($C$215:$V$215,O$14)))</f>
        <v/>
      </c>
      <c r="P365" s="61">
        <f>IF(P$14=0,WdhStd,IF(INDEX($C$215:$V$215,P$14)="",WdhStd,INDEX($C$215:$V$215,P$14)))</f>
        <v/>
      </c>
      <c r="Q365" s="61">
        <f>IF(Q$14=0,WdhStd,IF(INDEX($C$215:$V$215,Q$14)="",WdhStd,INDEX($C$215:$V$215,Q$14)))</f>
        <v/>
      </c>
      <c r="R365" s="61">
        <f>IF(R$14=0,WdhStd,IF(INDEX($C$215:$V$215,R$14)="",WdhStd,INDEX($C$215:$V$215,R$14)))</f>
        <v/>
      </c>
      <c r="S365" s="61">
        <f>IF(S$14=0,WdhStd,IF(INDEX($C$215:$V$215,S$14)="",WdhStd,INDEX($C$215:$V$215,S$14)))</f>
        <v/>
      </c>
      <c r="T365" s="61">
        <f>IF(T$14=0,WdhStd,IF(INDEX($C$215:$V$215,T$14)="",WdhStd,INDEX($C$215:$V$215,T$14)))</f>
        <v/>
      </c>
      <c r="U365" s="61">
        <f>IF(U$14=0,WdhStd,IF(INDEX($C$215:$V$215,U$14)="",WdhStd,INDEX($C$215:$V$215,U$14)))</f>
        <v/>
      </c>
      <c r="V365" s="61">
        <f>IF(V$14=0,WdhStd,IF(INDEX($C$215:$V$215,V$14)="",WdhStd,INDEX($C$215:$V$215,V$14)))</f>
        <v/>
      </c>
    </row>
    <row r="366">
      <c r="C366" s="61">
        <f>IF(C$14=0,WdhStd,IF(INDEX($C$216:$V$216,C$14)="",WdhStd,INDEX($C$216:$V$216,C$14)))</f>
        <v/>
      </c>
      <c r="D366" s="61">
        <f>IF(D$14=0,WdhStd,IF(INDEX($C$216:$V$216,D$14)="",WdhStd,INDEX($C$216:$V$216,D$14)))</f>
        <v/>
      </c>
      <c r="E366" s="61">
        <f>IF(E$14=0,WdhStd,IF(INDEX($C$216:$V$216,E$14)="",WdhStd,INDEX($C$216:$V$216,E$14)))</f>
        <v/>
      </c>
      <c r="F366" s="61">
        <f>IF(F$14=0,WdhStd,IF(INDEX($C$216:$V$216,F$14)="",WdhStd,INDEX($C$216:$V$216,F$14)))</f>
        <v/>
      </c>
      <c r="G366" s="61">
        <f>IF(G$14=0,WdhStd,IF(INDEX($C$216:$V$216,G$14)="",WdhStd,INDEX($C$216:$V$216,G$14)))</f>
        <v/>
      </c>
      <c r="H366" s="61">
        <f>IF(H$14=0,WdhStd,IF(INDEX($C$216:$V$216,H$14)="",WdhStd,INDEX($C$216:$V$216,H$14)))</f>
        <v/>
      </c>
      <c r="I366" s="61">
        <f>IF(I$14=0,WdhStd,IF(INDEX($C$216:$V$216,I$14)="",WdhStd,INDEX($C$216:$V$216,I$14)))</f>
        <v/>
      </c>
      <c r="J366" s="61">
        <f>IF(J$14=0,WdhStd,IF(INDEX($C$216:$V$216,J$14)="",WdhStd,INDEX($C$216:$V$216,J$14)))</f>
        <v/>
      </c>
      <c r="K366" s="61">
        <f>IF(K$14=0,WdhStd,IF(INDEX($C$216:$V$216,K$14)="",WdhStd,INDEX($C$216:$V$216,K$14)))</f>
        <v/>
      </c>
      <c r="L366" s="61">
        <f>IF(L$14=0,WdhStd,IF(INDEX($C$216:$V$216,L$14)="",WdhStd,INDEX($C$216:$V$216,L$14)))</f>
        <v/>
      </c>
      <c r="M366" s="61">
        <f>IF(M$14=0,WdhStd,IF(INDEX($C$216:$V$216,M$14)="",WdhStd,INDEX($C$216:$V$216,M$14)))</f>
        <v/>
      </c>
      <c r="N366" s="61">
        <f>IF(N$14=0,WdhStd,IF(INDEX($C$216:$V$216,N$14)="",WdhStd,INDEX($C$216:$V$216,N$14)))</f>
        <v/>
      </c>
      <c r="O366" s="61">
        <f>IF(O$14=0,WdhStd,IF(INDEX($C$216:$V$216,O$14)="",WdhStd,INDEX($C$216:$V$216,O$14)))</f>
        <v/>
      </c>
      <c r="P366" s="61">
        <f>IF(P$14=0,WdhStd,IF(INDEX($C$216:$V$216,P$14)="",WdhStd,INDEX($C$216:$V$216,P$14)))</f>
        <v/>
      </c>
      <c r="Q366" s="61">
        <f>IF(Q$14=0,WdhStd,IF(INDEX($C$216:$V$216,Q$14)="",WdhStd,INDEX($C$216:$V$216,Q$14)))</f>
        <v/>
      </c>
      <c r="R366" s="61">
        <f>IF(R$14=0,WdhStd,IF(INDEX($C$216:$V$216,R$14)="",WdhStd,INDEX($C$216:$V$216,R$14)))</f>
        <v/>
      </c>
      <c r="S366" s="61">
        <f>IF(S$14=0,WdhStd,IF(INDEX($C$216:$V$216,S$14)="",WdhStd,INDEX($C$216:$V$216,S$14)))</f>
        <v/>
      </c>
      <c r="T366" s="61">
        <f>IF(T$14=0,WdhStd,IF(INDEX($C$216:$V$216,T$14)="",WdhStd,INDEX($C$216:$V$216,T$14)))</f>
        <v/>
      </c>
      <c r="U366" s="61">
        <f>IF(U$14=0,WdhStd,IF(INDEX($C$216:$V$216,U$14)="",WdhStd,INDEX($C$216:$V$216,U$14)))</f>
        <v/>
      </c>
      <c r="V366" s="61">
        <f>IF(V$14=0,WdhStd,IF(INDEX($C$216:$V$216,V$14)="",WdhStd,INDEX($C$216:$V$216,V$14)))</f>
        <v/>
      </c>
    </row>
    <row r="367">
      <c r="C367" s="61">
        <f>IF(C$14=0,WdhStd,IF(INDEX($C$217:$V$217,C$14)="",WdhStd,INDEX($C$217:$V$217,C$14)))</f>
        <v/>
      </c>
      <c r="D367" s="61">
        <f>IF(D$14=0,WdhStd,IF(INDEX($C$217:$V$217,D$14)="",WdhStd,INDEX($C$217:$V$217,D$14)))</f>
        <v/>
      </c>
      <c r="E367" s="61">
        <f>IF(E$14=0,WdhStd,IF(INDEX($C$217:$V$217,E$14)="",WdhStd,INDEX($C$217:$V$217,E$14)))</f>
        <v/>
      </c>
      <c r="F367" s="61">
        <f>IF(F$14=0,WdhStd,IF(INDEX($C$217:$V$217,F$14)="",WdhStd,INDEX($C$217:$V$217,F$14)))</f>
        <v/>
      </c>
      <c r="G367" s="61">
        <f>IF(G$14=0,WdhStd,IF(INDEX($C$217:$V$217,G$14)="",WdhStd,INDEX($C$217:$V$217,G$14)))</f>
        <v/>
      </c>
      <c r="H367" s="61">
        <f>IF(H$14=0,WdhStd,IF(INDEX($C$217:$V$217,H$14)="",WdhStd,INDEX($C$217:$V$217,H$14)))</f>
        <v/>
      </c>
      <c r="I367" s="61">
        <f>IF(I$14=0,WdhStd,IF(INDEX($C$217:$V$217,I$14)="",WdhStd,INDEX($C$217:$V$217,I$14)))</f>
        <v/>
      </c>
      <c r="J367" s="61">
        <f>IF(J$14=0,WdhStd,IF(INDEX($C$217:$V$217,J$14)="",WdhStd,INDEX($C$217:$V$217,J$14)))</f>
        <v/>
      </c>
      <c r="K367" s="61">
        <f>IF(K$14=0,WdhStd,IF(INDEX($C$217:$V$217,K$14)="",WdhStd,INDEX($C$217:$V$217,K$14)))</f>
        <v/>
      </c>
      <c r="L367" s="61">
        <f>IF(L$14=0,WdhStd,IF(INDEX($C$217:$V$217,L$14)="",WdhStd,INDEX($C$217:$V$217,L$14)))</f>
        <v/>
      </c>
      <c r="M367" s="61">
        <f>IF(M$14=0,WdhStd,IF(INDEX($C$217:$V$217,M$14)="",WdhStd,INDEX($C$217:$V$217,M$14)))</f>
        <v/>
      </c>
      <c r="N367" s="61">
        <f>IF(N$14=0,WdhStd,IF(INDEX($C$217:$V$217,N$14)="",WdhStd,INDEX($C$217:$V$217,N$14)))</f>
        <v/>
      </c>
      <c r="O367" s="61">
        <f>IF(O$14=0,WdhStd,IF(INDEX($C$217:$V$217,O$14)="",WdhStd,INDEX($C$217:$V$217,O$14)))</f>
        <v/>
      </c>
      <c r="P367" s="61">
        <f>IF(P$14=0,WdhStd,IF(INDEX($C$217:$V$217,P$14)="",WdhStd,INDEX($C$217:$V$217,P$14)))</f>
        <v/>
      </c>
      <c r="Q367" s="61">
        <f>IF(Q$14=0,WdhStd,IF(INDEX($C$217:$V$217,Q$14)="",WdhStd,INDEX($C$217:$V$217,Q$14)))</f>
        <v/>
      </c>
      <c r="R367" s="61">
        <f>IF(R$14=0,WdhStd,IF(INDEX($C$217:$V$217,R$14)="",WdhStd,INDEX($C$217:$V$217,R$14)))</f>
        <v/>
      </c>
      <c r="S367" s="61">
        <f>IF(S$14=0,WdhStd,IF(INDEX($C$217:$V$217,S$14)="",WdhStd,INDEX($C$217:$V$217,S$14)))</f>
        <v/>
      </c>
      <c r="T367" s="61">
        <f>IF(T$14=0,WdhStd,IF(INDEX($C$217:$V$217,T$14)="",WdhStd,INDEX($C$217:$V$217,T$14)))</f>
        <v/>
      </c>
      <c r="U367" s="61">
        <f>IF(U$14=0,WdhStd,IF(INDEX($C$217:$V$217,U$14)="",WdhStd,INDEX($C$217:$V$217,U$14)))</f>
        <v/>
      </c>
      <c r="V367" s="61">
        <f>IF(V$14=0,WdhStd,IF(INDEX($C$217:$V$217,V$14)="",WdhStd,INDEX($C$217:$V$217,V$14)))</f>
        <v/>
      </c>
    </row>
    <row r="368">
      <c r="C368" s="61">
        <f>IF(C$14=0,WdhStd,IF(INDEX($C$218:$V$218,C$14)="",WdhStd,INDEX($C$218:$V$218,C$14)))</f>
        <v/>
      </c>
      <c r="D368" s="61">
        <f>IF(D$14=0,WdhStd,IF(INDEX($C$218:$V$218,D$14)="",WdhStd,INDEX($C$218:$V$218,D$14)))</f>
        <v/>
      </c>
      <c r="E368" s="61">
        <f>IF(E$14=0,WdhStd,IF(INDEX($C$218:$V$218,E$14)="",WdhStd,INDEX($C$218:$V$218,E$14)))</f>
        <v/>
      </c>
      <c r="F368" s="61">
        <f>IF(F$14=0,WdhStd,IF(INDEX($C$218:$V$218,F$14)="",WdhStd,INDEX($C$218:$V$218,F$14)))</f>
        <v/>
      </c>
      <c r="G368" s="61">
        <f>IF(G$14=0,WdhStd,IF(INDEX($C$218:$V$218,G$14)="",WdhStd,INDEX($C$218:$V$218,G$14)))</f>
        <v/>
      </c>
      <c r="H368" s="61">
        <f>IF(H$14=0,WdhStd,IF(INDEX($C$218:$V$218,H$14)="",WdhStd,INDEX($C$218:$V$218,H$14)))</f>
        <v/>
      </c>
      <c r="I368" s="61">
        <f>IF(I$14=0,WdhStd,IF(INDEX($C$218:$V$218,I$14)="",WdhStd,INDEX($C$218:$V$218,I$14)))</f>
        <v/>
      </c>
      <c r="J368" s="61">
        <f>IF(J$14=0,WdhStd,IF(INDEX($C$218:$V$218,J$14)="",WdhStd,INDEX($C$218:$V$218,J$14)))</f>
        <v/>
      </c>
      <c r="K368" s="61">
        <f>IF(K$14=0,WdhStd,IF(INDEX($C$218:$V$218,K$14)="",WdhStd,INDEX($C$218:$V$218,K$14)))</f>
        <v/>
      </c>
      <c r="L368" s="61">
        <f>IF(L$14=0,WdhStd,IF(INDEX($C$218:$V$218,L$14)="",WdhStd,INDEX($C$218:$V$218,L$14)))</f>
        <v/>
      </c>
      <c r="M368" s="61">
        <f>IF(M$14=0,WdhStd,IF(INDEX($C$218:$V$218,M$14)="",WdhStd,INDEX($C$218:$V$218,M$14)))</f>
        <v/>
      </c>
      <c r="N368" s="61">
        <f>IF(N$14=0,WdhStd,IF(INDEX($C$218:$V$218,N$14)="",WdhStd,INDEX($C$218:$V$218,N$14)))</f>
        <v/>
      </c>
      <c r="O368" s="61">
        <f>IF(O$14=0,WdhStd,IF(INDEX($C$218:$V$218,O$14)="",WdhStd,INDEX($C$218:$V$218,O$14)))</f>
        <v/>
      </c>
      <c r="P368" s="61">
        <f>IF(P$14=0,WdhStd,IF(INDEX($C$218:$V$218,P$14)="",WdhStd,INDEX($C$218:$V$218,P$14)))</f>
        <v/>
      </c>
      <c r="Q368" s="61">
        <f>IF(Q$14=0,WdhStd,IF(INDEX($C$218:$V$218,Q$14)="",WdhStd,INDEX($C$218:$V$218,Q$14)))</f>
        <v/>
      </c>
      <c r="R368" s="61">
        <f>IF(R$14=0,WdhStd,IF(INDEX($C$218:$V$218,R$14)="",WdhStd,INDEX($C$218:$V$218,R$14)))</f>
        <v/>
      </c>
      <c r="S368" s="61">
        <f>IF(S$14=0,WdhStd,IF(INDEX($C$218:$V$218,S$14)="",WdhStd,INDEX($C$218:$V$218,S$14)))</f>
        <v/>
      </c>
      <c r="T368" s="61">
        <f>IF(T$14=0,WdhStd,IF(INDEX($C$218:$V$218,T$14)="",WdhStd,INDEX($C$218:$V$218,T$14)))</f>
        <v/>
      </c>
      <c r="U368" s="61">
        <f>IF(U$14=0,WdhStd,IF(INDEX($C$218:$V$218,U$14)="",WdhStd,INDEX($C$218:$V$218,U$14)))</f>
        <v/>
      </c>
      <c r="V368" s="61">
        <f>IF(V$14=0,WdhStd,IF(INDEX($C$218:$V$218,V$14)="",WdhStd,INDEX($C$218:$V$218,V$14)))</f>
        <v/>
      </c>
    </row>
    <row r="369">
      <c r="C369" s="61">
        <f>IF(C$14=0,WdhStd,IF(INDEX($C$219:$V$219,C$14)="",WdhStd,INDEX($C$219:$V$219,C$14)))</f>
        <v/>
      </c>
      <c r="D369" s="61">
        <f>IF(D$14=0,WdhStd,IF(INDEX($C$219:$V$219,D$14)="",WdhStd,INDEX($C$219:$V$219,D$14)))</f>
        <v/>
      </c>
      <c r="E369" s="61">
        <f>IF(E$14=0,WdhStd,IF(INDEX($C$219:$V$219,E$14)="",WdhStd,INDEX($C$219:$V$219,E$14)))</f>
        <v/>
      </c>
      <c r="F369" s="61">
        <f>IF(F$14=0,WdhStd,IF(INDEX($C$219:$V$219,F$14)="",WdhStd,INDEX($C$219:$V$219,F$14)))</f>
        <v/>
      </c>
      <c r="G369" s="61">
        <f>IF(G$14=0,WdhStd,IF(INDEX($C$219:$V$219,G$14)="",WdhStd,INDEX($C$219:$V$219,G$14)))</f>
        <v/>
      </c>
      <c r="H369" s="61">
        <f>IF(H$14=0,WdhStd,IF(INDEX($C$219:$V$219,H$14)="",WdhStd,INDEX($C$219:$V$219,H$14)))</f>
        <v/>
      </c>
      <c r="I369" s="61">
        <f>IF(I$14=0,WdhStd,IF(INDEX($C$219:$V$219,I$14)="",WdhStd,INDEX($C$219:$V$219,I$14)))</f>
        <v/>
      </c>
      <c r="J369" s="61">
        <f>IF(J$14=0,WdhStd,IF(INDEX($C$219:$V$219,J$14)="",WdhStd,INDEX($C$219:$V$219,J$14)))</f>
        <v/>
      </c>
      <c r="K369" s="61">
        <f>IF(K$14=0,WdhStd,IF(INDEX($C$219:$V$219,K$14)="",WdhStd,INDEX($C$219:$V$219,K$14)))</f>
        <v/>
      </c>
      <c r="L369" s="61">
        <f>IF(L$14=0,WdhStd,IF(INDEX($C$219:$V$219,L$14)="",WdhStd,INDEX($C$219:$V$219,L$14)))</f>
        <v/>
      </c>
      <c r="M369" s="61">
        <f>IF(M$14=0,WdhStd,IF(INDEX($C$219:$V$219,M$14)="",WdhStd,INDEX($C$219:$V$219,M$14)))</f>
        <v/>
      </c>
      <c r="N369" s="61">
        <f>IF(N$14=0,WdhStd,IF(INDEX($C$219:$V$219,N$14)="",WdhStd,INDEX($C$219:$V$219,N$14)))</f>
        <v/>
      </c>
      <c r="O369" s="61">
        <f>IF(O$14=0,WdhStd,IF(INDEX($C$219:$V$219,O$14)="",WdhStd,INDEX($C$219:$V$219,O$14)))</f>
        <v/>
      </c>
      <c r="P369" s="61">
        <f>IF(P$14=0,WdhStd,IF(INDEX($C$219:$V$219,P$14)="",WdhStd,INDEX($C$219:$V$219,P$14)))</f>
        <v/>
      </c>
      <c r="Q369" s="61">
        <f>IF(Q$14=0,WdhStd,IF(INDEX($C$219:$V$219,Q$14)="",WdhStd,INDEX($C$219:$V$219,Q$14)))</f>
        <v/>
      </c>
      <c r="R369" s="61">
        <f>IF(R$14=0,WdhStd,IF(INDEX($C$219:$V$219,R$14)="",WdhStd,INDEX($C$219:$V$219,R$14)))</f>
        <v/>
      </c>
      <c r="S369" s="61">
        <f>IF(S$14=0,WdhStd,IF(INDEX($C$219:$V$219,S$14)="",WdhStd,INDEX($C$219:$V$219,S$14)))</f>
        <v/>
      </c>
      <c r="T369" s="61">
        <f>IF(T$14=0,WdhStd,IF(INDEX($C$219:$V$219,T$14)="",WdhStd,INDEX($C$219:$V$219,T$14)))</f>
        <v/>
      </c>
      <c r="U369" s="61">
        <f>IF(U$14=0,WdhStd,IF(INDEX($C$219:$V$219,U$14)="",WdhStd,INDEX($C$219:$V$219,U$14)))</f>
        <v/>
      </c>
      <c r="V369" s="61">
        <f>IF(V$14=0,WdhStd,IF(INDEX($C$219:$V$219,V$14)="",WdhStd,INDEX($C$219:$V$219,V$14)))</f>
        <v/>
      </c>
    </row>
    <row r="370">
      <c r="C370" s="61">
        <f>IF(C$14=0,WdhStd,IF(INDEX($C$220:$V$220,C$14)="",WdhStd,INDEX($C$220:$V$220,C$14)))</f>
        <v/>
      </c>
      <c r="D370" s="61">
        <f>IF(D$14=0,WdhStd,IF(INDEX($C$220:$V$220,D$14)="",WdhStd,INDEX($C$220:$V$220,D$14)))</f>
        <v/>
      </c>
      <c r="E370" s="61">
        <f>IF(E$14=0,WdhStd,IF(INDEX($C$220:$V$220,E$14)="",WdhStd,INDEX($C$220:$V$220,E$14)))</f>
        <v/>
      </c>
      <c r="F370" s="61">
        <f>IF(F$14=0,WdhStd,IF(INDEX($C$220:$V$220,F$14)="",WdhStd,INDEX($C$220:$V$220,F$14)))</f>
        <v/>
      </c>
      <c r="G370" s="61">
        <f>IF(G$14=0,WdhStd,IF(INDEX($C$220:$V$220,G$14)="",WdhStd,INDEX($C$220:$V$220,G$14)))</f>
        <v/>
      </c>
      <c r="H370" s="61">
        <f>IF(H$14=0,WdhStd,IF(INDEX($C$220:$V$220,H$14)="",WdhStd,INDEX($C$220:$V$220,H$14)))</f>
        <v/>
      </c>
      <c r="I370" s="61">
        <f>IF(I$14=0,WdhStd,IF(INDEX($C$220:$V$220,I$14)="",WdhStd,INDEX($C$220:$V$220,I$14)))</f>
        <v/>
      </c>
      <c r="J370" s="61">
        <f>IF(J$14=0,WdhStd,IF(INDEX($C$220:$V$220,J$14)="",WdhStd,INDEX($C$220:$V$220,J$14)))</f>
        <v/>
      </c>
      <c r="K370" s="61">
        <f>IF(K$14=0,WdhStd,IF(INDEX($C$220:$V$220,K$14)="",WdhStd,INDEX($C$220:$V$220,K$14)))</f>
        <v/>
      </c>
      <c r="L370" s="61">
        <f>IF(L$14=0,WdhStd,IF(INDEX($C$220:$V$220,L$14)="",WdhStd,INDEX($C$220:$V$220,L$14)))</f>
        <v/>
      </c>
      <c r="M370" s="61">
        <f>IF(M$14=0,WdhStd,IF(INDEX($C$220:$V$220,M$14)="",WdhStd,INDEX($C$220:$V$220,M$14)))</f>
        <v/>
      </c>
      <c r="N370" s="61">
        <f>IF(N$14=0,WdhStd,IF(INDEX($C$220:$V$220,N$14)="",WdhStd,INDEX($C$220:$V$220,N$14)))</f>
        <v/>
      </c>
      <c r="O370" s="61">
        <f>IF(O$14=0,WdhStd,IF(INDEX($C$220:$V$220,O$14)="",WdhStd,INDEX($C$220:$V$220,O$14)))</f>
        <v/>
      </c>
      <c r="P370" s="61">
        <f>IF(P$14=0,WdhStd,IF(INDEX($C$220:$V$220,P$14)="",WdhStd,INDEX($C$220:$V$220,P$14)))</f>
        <v/>
      </c>
      <c r="Q370" s="61">
        <f>IF(Q$14=0,WdhStd,IF(INDEX($C$220:$V$220,Q$14)="",WdhStd,INDEX($C$220:$V$220,Q$14)))</f>
        <v/>
      </c>
      <c r="R370" s="61">
        <f>IF(R$14=0,WdhStd,IF(INDEX($C$220:$V$220,R$14)="",WdhStd,INDEX($C$220:$V$220,R$14)))</f>
        <v/>
      </c>
      <c r="S370" s="61">
        <f>IF(S$14=0,WdhStd,IF(INDEX($C$220:$V$220,S$14)="",WdhStd,INDEX($C$220:$V$220,S$14)))</f>
        <v/>
      </c>
      <c r="T370" s="61">
        <f>IF(T$14=0,WdhStd,IF(INDEX($C$220:$V$220,T$14)="",WdhStd,INDEX($C$220:$V$220,T$14)))</f>
        <v/>
      </c>
      <c r="U370" s="61">
        <f>IF(U$14=0,WdhStd,IF(INDEX($C$220:$V$220,U$14)="",WdhStd,INDEX($C$220:$V$220,U$14)))</f>
        <v/>
      </c>
      <c r="V370" s="61">
        <f>IF(V$14=0,WdhStd,IF(INDEX($C$220:$V$220,V$14)="",WdhStd,INDEX($C$220:$V$220,V$14)))</f>
        <v/>
      </c>
    </row>
    <row r="371">
      <c r="C371" s="61">
        <f>IF(C$14=0,WdhStd,IF(INDEX($C$221:$V$221,C$14)="",WdhStd,INDEX($C$221:$V$221,C$14)))</f>
        <v/>
      </c>
      <c r="D371" s="61">
        <f>IF(D$14=0,WdhStd,IF(INDEX($C$221:$V$221,D$14)="",WdhStd,INDEX($C$221:$V$221,D$14)))</f>
        <v/>
      </c>
      <c r="E371" s="61">
        <f>IF(E$14=0,WdhStd,IF(INDEX($C$221:$V$221,E$14)="",WdhStd,INDEX($C$221:$V$221,E$14)))</f>
        <v/>
      </c>
      <c r="F371" s="61">
        <f>IF(F$14=0,WdhStd,IF(INDEX($C$221:$V$221,F$14)="",WdhStd,INDEX($C$221:$V$221,F$14)))</f>
        <v/>
      </c>
      <c r="G371" s="61">
        <f>IF(G$14=0,WdhStd,IF(INDEX($C$221:$V$221,G$14)="",WdhStd,INDEX($C$221:$V$221,G$14)))</f>
        <v/>
      </c>
      <c r="H371" s="61">
        <f>IF(H$14=0,WdhStd,IF(INDEX($C$221:$V$221,H$14)="",WdhStd,INDEX($C$221:$V$221,H$14)))</f>
        <v/>
      </c>
      <c r="I371" s="61">
        <f>IF(I$14=0,WdhStd,IF(INDEX($C$221:$V$221,I$14)="",WdhStd,INDEX($C$221:$V$221,I$14)))</f>
        <v/>
      </c>
      <c r="J371" s="61">
        <f>IF(J$14=0,WdhStd,IF(INDEX($C$221:$V$221,J$14)="",WdhStd,INDEX($C$221:$V$221,J$14)))</f>
        <v/>
      </c>
      <c r="K371" s="61">
        <f>IF(K$14=0,WdhStd,IF(INDEX($C$221:$V$221,K$14)="",WdhStd,INDEX($C$221:$V$221,K$14)))</f>
        <v/>
      </c>
      <c r="L371" s="61">
        <f>IF(L$14=0,WdhStd,IF(INDEX($C$221:$V$221,L$14)="",WdhStd,INDEX($C$221:$V$221,L$14)))</f>
        <v/>
      </c>
      <c r="M371" s="61">
        <f>IF(M$14=0,WdhStd,IF(INDEX($C$221:$V$221,M$14)="",WdhStd,INDEX($C$221:$V$221,M$14)))</f>
        <v/>
      </c>
      <c r="N371" s="61">
        <f>IF(N$14=0,WdhStd,IF(INDEX($C$221:$V$221,N$14)="",WdhStd,INDEX($C$221:$V$221,N$14)))</f>
        <v/>
      </c>
      <c r="O371" s="61">
        <f>IF(O$14=0,WdhStd,IF(INDEX($C$221:$V$221,O$14)="",WdhStd,INDEX($C$221:$V$221,O$14)))</f>
        <v/>
      </c>
      <c r="P371" s="61">
        <f>IF(P$14=0,WdhStd,IF(INDEX($C$221:$V$221,P$14)="",WdhStd,INDEX($C$221:$V$221,P$14)))</f>
        <v/>
      </c>
      <c r="Q371" s="61">
        <f>IF(Q$14=0,WdhStd,IF(INDEX($C$221:$V$221,Q$14)="",WdhStd,INDEX($C$221:$V$221,Q$14)))</f>
        <v/>
      </c>
      <c r="R371" s="61">
        <f>IF(R$14=0,WdhStd,IF(INDEX($C$221:$V$221,R$14)="",WdhStd,INDEX($C$221:$V$221,R$14)))</f>
        <v/>
      </c>
      <c r="S371" s="61">
        <f>IF(S$14=0,WdhStd,IF(INDEX($C$221:$V$221,S$14)="",WdhStd,INDEX($C$221:$V$221,S$14)))</f>
        <v/>
      </c>
      <c r="T371" s="61">
        <f>IF(T$14=0,WdhStd,IF(INDEX($C$221:$V$221,T$14)="",WdhStd,INDEX($C$221:$V$221,T$14)))</f>
        <v/>
      </c>
      <c r="U371" s="61">
        <f>IF(U$14=0,WdhStd,IF(INDEX($C$221:$V$221,U$14)="",WdhStd,INDEX($C$221:$V$221,U$14)))</f>
        <v/>
      </c>
      <c r="V371" s="61">
        <f>IF(V$14=0,WdhStd,IF(INDEX($C$221:$V$221,V$14)="",WdhStd,INDEX($C$221:$V$221,V$14)))</f>
        <v/>
      </c>
    </row>
    <row r="372">
      <c r="C372" s="61">
        <f>IF(C$14=0,WdhStd,IF(INDEX($C$222:$V$222,C$14)="",WdhStd,INDEX($C$222:$V$222,C$14)))</f>
        <v/>
      </c>
      <c r="D372" s="61">
        <f>IF(D$14=0,WdhStd,IF(INDEX($C$222:$V$222,D$14)="",WdhStd,INDEX($C$222:$V$222,D$14)))</f>
        <v/>
      </c>
      <c r="E372" s="61">
        <f>IF(E$14=0,WdhStd,IF(INDEX($C$222:$V$222,E$14)="",WdhStd,INDEX($C$222:$V$222,E$14)))</f>
        <v/>
      </c>
      <c r="F372" s="61">
        <f>IF(F$14=0,WdhStd,IF(INDEX($C$222:$V$222,F$14)="",WdhStd,INDEX($C$222:$V$222,F$14)))</f>
        <v/>
      </c>
      <c r="G372" s="61">
        <f>IF(G$14=0,WdhStd,IF(INDEX($C$222:$V$222,G$14)="",WdhStd,INDEX($C$222:$V$222,G$14)))</f>
        <v/>
      </c>
      <c r="H372" s="61">
        <f>IF(H$14=0,WdhStd,IF(INDEX($C$222:$V$222,H$14)="",WdhStd,INDEX($C$222:$V$222,H$14)))</f>
        <v/>
      </c>
      <c r="I372" s="61">
        <f>IF(I$14=0,WdhStd,IF(INDEX($C$222:$V$222,I$14)="",WdhStd,INDEX($C$222:$V$222,I$14)))</f>
        <v/>
      </c>
      <c r="J372" s="61">
        <f>IF(J$14=0,WdhStd,IF(INDEX($C$222:$V$222,J$14)="",WdhStd,INDEX($C$222:$V$222,J$14)))</f>
        <v/>
      </c>
      <c r="K372" s="61">
        <f>IF(K$14=0,WdhStd,IF(INDEX($C$222:$V$222,K$14)="",WdhStd,INDEX($C$222:$V$222,K$14)))</f>
        <v/>
      </c>
      <c r="L372" s="61">
        <f>IF(L$14=0,WdhStd,IF(INDEX($C$222:$V$222,L$14)="",WdhStd,INDEX($C$222:$V$222,L$14)))</f>
        <v/>
      </c>
      <c r="M372" s="61">
        <f>IF(M$14=0,WdhStd,IF(INDEX($C$222:$V$222,M$14)="",WdhStd,INDEX($C$222:$V$222,M$14)))</f>
        <v/>
      </c>
      <c r="N372" s="61">
        <f>IF(N$14=0,WdhStd,IF(INDEX($C$222:$V$222,N$14)="",WdhStd,INDEX($C$222:$V$222,N$14)))</f>
        <v/>
      </c>
      <c r="O372" s="61">
        <f>IF(O$14=0,WdhStd,IF(INDEX($C$222:$V$222,O$14)="",WdhStd,INDEX($C$222:$V$222,O$14)))</f>
        <v/>
      </c>
      <c r="P372" s="61">
        <f>IF(P$14=0,WdhStd,IF(INDEX($C$222:$V$222,P$14)="",WdhStd,INDEX($C$222:$V$222,P$14)))</f>
        <v/>
      </c>
      <c r="Q372" s="61">
        <f>IF(Q$14=0,WdhStd,IF(INDEX($C$222:$V$222,Q$14)="",WdhStd,INDEX($C$222:$V$222,Q$14)))</f>
        <v/>
      </c>
      <c r="R372" s="61">
        <f>IF(R$14=0,WdhStd,IF(INDEX($C$222:$V$222,R$14)="",WdhStd,INDEX($C$222:$V$222,R$14)))</f>
        <v/>
      </c>
      <c r="S372" s="61">
        <f>IF(S$14=0,WdhStd,IF(INDEX($C$222:$V$222,S$14)="",WdhStd,INDEX($C$222:$V$222,S$14)))</f>
        <v/>
      </c>
      <c r="T372" s="61">
        <f>IF(T$14=0,WdhStd,IF(INDEX($C$222:$V$222,T$14)="",WdhStd,INDEX($C$222:$V$222,T$14)))</f>
        <v/>
      </c>
      <c r="U372" s="61">
        <f>IF(U$14=0,WdhStd,IF(INDEX($C$222:$V$222,U$14)="",WdhStd,INDEX($C$222:$V$222,U$14)))</f>
        <v/>
      </c>
      <c r="V372" s="61">
        <f>IF(V$14=0,WdhStd,IF(INDEX($C$222:$V$222,V$14)="",WdhStd,INDEX($C$222:$V$222,V$14)))</f>
        <v/>
      </c>
    </row>
    <row r="373">
      <c r="C373" s="61">
        <f>IF(C$14=0,WdhStd,IF(INDEX($C$223:$V$223,C$14)="",WdhStd,INDEX($C$223:$V$223,C$14)))</f>
        <v/>
      </c>
      <c r="D373" s="61">
        <f>IF(D$14=0,WdhStd,IF(INDEX($C$223:$V$223,D$14)="",WdhStd,INDEX($C$223:$V$223,D$14)))</f>
        <v/>
      </c>
      <c r="E373" s="61">
        <f>IF(E$14=0,WdhStd,IF(INDEX($C$223:$V$223,E$14)="",WdhStd,INDEX($C$223:$V$223,E$14)))</f>
        <v/>
      </c>
      <c r="F373" s="61">
        <f>IF(F$14=0,WdhStd,IF(INDEX($C$223:$V$223,F$14)="",WdhStd,INDEX($C$223:$V$223,F$14)))</f>
        <v/>
      </c>
      <c r="G373" s="61">
        <f>IF(G$14=0,WdhStd,IF(INDEX($C$223:$V$223,G$14)="",WdhStd,INDEX($C$223:$V$223,G$14)))</f>
        <v/>
      </c>
      <c r="H373" s="61">
        <f>IF(H$14=0,WdhStd,IF(INDEX($C$223:$V$223,H$14)="",WdhStd,INDEX($C$223:$V$223,H$14)))</f>
        <v/>
      </c>
      <c r="I373" s="61">
        <f>IF(I$14=0,WdhStd,IF(INDEX($C$223:$V$223,I$14)="",WdhStd,INDEX($C$223:$V$223,I$14)))</f>
        <v/>
      </c>
      <c r="J373" s="61">
        <f>IF(J$14=0,WdhStd,IF(INDEX($C$223:$V$223,J$14)="",WdhStd,INDEX($C$223:$V$223,J$14)))</f>
        <v/>
      </c>
      <c r="K373" s="61">
        <f>IF(K$14=0,WdhStd,IF(INDEX($C$223:$V$223,K$14)="",WdhStd,INDEX($C$223:$V$223,K$14)))</f>
        <v/>
      </c>
      <c r="L373" s="61">
        <f>IF(L$14=0,WdhStd,IF(INDEX($C$223:$V$223,L$14)="",WdhStd,INDEX($C$223:$V$223,L$14)))</f>
        <v/>
      </c>
      <c r="M373" s="61">
        <f>IF(M$14=0,WdhStd,IF(INDEX($C$223:$V$223,M$14)="",WdhStd,INDEX($C$223:$V$223,M$14)))</f>
        <v/>
      </c>
      <c r="N373" s="61">
        <f>IF(N$14=0,WdhStd,IF(INDEX($C$223:$V$223,N$14)="",WdhStd,INDEX($C$223:$V$223,N$14)))</f>
        <v/>
      </c>
      <c r="O373" s="61">
        <f>IF(O$14=0,WdhStd,IF(INDEX($C$223:$V$223,O$14)="",WdhStd,INDEX($C$223:$V$223,O$14)))</f>
        <v/>
      </c>
      <c r="P373" s="61">
        <f>IF(P$14=0,WdhStd,IF(INDEX($C$223:$V$223,P$14)="",WdhStd,INDEX($C$223:$V$223,P$14)))</f>
        <v/>
      </c>
      <c r="Q373" s="61">
        <f>IF(Q$14=0,WdhStd,IF(INDEX($C$223:$V$223,Q$14)="",WdhStd,INDEX($C$223:$V$223,Q$14)))</f>
        <v/>
      </c>
      <c r="R373" s="61">
        <f>IF(R$14=0,WdhStd,IF(INDEX($C$223:$V$223,R$14)="",WdhStd,INDEX($C$223:$V$223,R$14)))</f>
        <v/>
      </c>
      <c r="S373" s="61">
        <f>IF(S$14=0,WdhStd,IF(INDEX($C$223:$V$223,S$14)="",WdhStd,INDEX($C$223:$V$223,S$14)))</f>
        <v/>
      </c>
      <c r="T373" s="61">
        <f>IF(T$14=0,WdhStd,IF(INDEX($C$223:$V$223,T$14)="",WdhStd,INDEX($C$223:$V$223,T$14)))</f>
        <v/>
      </c>
      <c r="U373" s="61">
        <f>IF(U$14=0,WdhStd,IF(INDEX($C$223:$V$223,U$14)="",WdhStd,INDEX($C$223:$V$223,U$14)))</f>
        <v/>
      </c>
      <c r="V373" s="61">
        <f>IF(V$14=0,WdhStd,IF(INDEX($C$223:$V$223,V$14)="",WdhStd,INDEX($C$223:$V$223,V$14)))</f>
        <v/>
      </c>
    </row>
    <row r="374">
      <c r="C374" s="61">
        <f>IF(C$14=0,WdhStd,IF(INDEX($C$224:$V$224,C$14)="",WdhStd,INDEX($C$224:$V$224,C$14)))</f>
        <v/>
      </c>
      <c r="D374" s="61">
        <f>IF(D$14=0,WdhStd,IF(INDEX($C$224:$V$224,D$14)="",WdhStd,INDEX($C$224:$V$224,D$14)))</f>
        <v/>
      </c>
      <c r="E374" s="61">
        <f>IF(E$14=0,WdhStd,IF(INDEX($C$224:$V$224,E$14)="",WdhStd,INDEX($C$224:$V$224,E$14)))</f>
        <v/>
      </c>
      <c r="F374" s="61">
        <f>IF(F$14=0,WdhStd,IF(INDEX($C$224:$V$224,F$14)="",WdhStd,INDEX($C$224:$V$224,F$14)))</f>
        <v/>
      </c>
      <c r="G374" s="61">
        <f>IF(G$14=0,WdhStd,IF(INDEX($C$224:$V$224,G$14)="",WdhStd,INDEX($C$224:$V$224,G$14)))</f>
        <v/>
      </c>
      <c r="H374" s="61">
        <f>IF(H$14=0,WdhStd,IF(INDEX($C$224:$V$224,H$14)="",WdhStd,INDEX($C$224:$V$224,H$14)))</f>
        <v/>
      </c>
      <c r="I374" s="61">
        <f>IF(I$14=0,WdhStd,IF(INDEX($C$224:$V$224,I$14)="",WdhStd,INDEX($C$224:$V$224,I$14)))</f>
        <v/>
      </c>
      <c r="J374" s="61">
        <f>IF(J$14=0,WdhStd,IF(INDEX($C$224:$V$224,J$14)="",WdhStd,INDEX($C$224:$V$224,J$14)))</f>
        <v/>
      </c>
      <c r="K374" s="61">
        <f>IF(K$14=0,WdhStd,IF(INDEX($C$224:$V$224,K$14)="",WdhStd,INDEX($C$224:$V$224,K$14)))</f>
        <v/>
      </c>
      <c r="L374" s="61">
        <f>IF(L$14=0,WdhStd,IF(INDEX($C$224:$V$224,L$14)="",WdhStd,INDEX($C$224:$V$224,L$14)))</f>
        <v/>
      </c>
      <c r="M374" s="61">
        <f>IF(M$14=0,WdhStd,IF(INDEX($C$224:$V$224,M$14)="",WdhStd,INDEX($C$224:$V$224,M$14)))</f>
        <v/>
      </c>
      <c r="N374" s="61">
        <f>IF(N$14=0,WdhStd,IF(INDEX($C$224:$V$224,N$14)="",WdhStd,INDEX($C$224:$V$224,N$14)))</f>
        <v/>
      </c>
      <c r="O374" s="61">
        <f>IF(O$14=0,WdhStd,IF(INDEX($C$224:$V$224,O$14)="",WdhStd,INDEX($C$224:$V$224,O$14)))</f>
        <v/>
      </c>
      <c r="P374" s="61">
        <f>IF(P$14=0,WdhStd,IF(INDEX($C$224:$V$224,P$14)="",WdhStd,INDEX($C$224:$V$224,P$14)))</f>
        <v/>
      </c>
      <c r="Q374" s="61">
        <f>IF(Q$14=0,WdhStd,IF(INDEX($C$224:$V$224,Q$14)="",WdhStd,INDEX($C$224:$V$224,Q$14)))</f>
        <v/>
      </c>
      <c r="R374" s="61">
        <f>IF(R$14=0,WdhStd,IF(INDEX($C$224:$V$224,R$14)="",WdhStd,INDEX($C$224:$V$224,R$14)))</f>
        <v/>
      </c>
      <c r="S374" s="61">
        <f>IF(S$14=0,WdhStd,IF(INDEX($C$224:$V$224,S$14)="",WdhStd,INDEX($C$224:$V$224,S$14)))</f>
        <v/>
      </c>
      <c r="T374" s="61">
        <f>IF(T$14=0,WdhStd,IF(INDEX($C$224:$V$224,T$14)="",WdhStd,INDEX($C$224:$V$224,T$14)))</f>
        <v/>
      </c>
      <c r="U374" s="61">
        <f>IF(U$14=0,WdhStd,IF(INDEX($C$224:$V$224,U$14)="",WdhStd,INDEX($C$224:$V$224,U$14)))</f>
        <v/>
      </c>
      <c r="V374" s="61">
        <f>IF(V$14=0,WdhStd,IF(INDEX($C$224:$V$224,V$14)="",WdhStd,INDEX($C$224:$V$224,V$14)))</f>
        <v/>
      </c>
    </row>
    <row r="379">
      <c r="A379" s="162" t="inlineStr">
        <is>
          <t>zählt</t>
        </is>
      </c>
    </row>
    <row r="380">
      <c r="C380" s="61">
        <f>IF(C50=0,0,IF(C$15&lt;=1,1,IF(EXACT(C350,"keine"),IF(C$3=C$12,1,0),IF(EXACT(C350,"beste"),IF(C$3=C320,1,0),IF(C$3=C260,1,0)))))</f>
        <v/>
      </c>
      <c r="D380" s="61">
        <f>IF(D50=0,0,IF(D$15&lt;=1,1,IF(EXACT(D350,"keine"),IF(D$3=D$12,1,0),IF(EXACT(D350,"beste"),IF(D$3=D320,1,0),IF(D$3=D260,1,0)))))</f>
        <v/>
      </c>
      <c r="E380" s="61">
        <f>IF(E50=0,0,IF(E$15&lt;=1,1,IF(EXACT(E350,"keine"),IF(E$3=E$12,1,0),IF(EXACT(E350,"beste"),IF(E$3=E320,1,0),IF(E$3=E260,1,0)))))</f>
        <v/>
      </c>
      <c r="F380" s="61">
        <f>IF(F50=0,0,IF(F$15&lt;=1,1,IF(EXACT(F350,"keine"),IF(F$3=F$12,1,0),IF(EXACT(F350,"beste"),IF(F$3=F320,1,0),IF(F$3=F260,1,0)))))</f>
        <v/>
      </c>
      <c r="G380" s="61">
        <f>IF(G50=0,0,IF(G$15&lt;=1,1,IF(EXACT(G350,"keine"),IF(G$3=G$12,1,0),IF(EXACT(G350,"beste"),IF(G$3=G320,1,0),IF(G$3=G260,1,0)))))</f>
        <v/>
      </c>
      <c r="H380" s="61">
        <f>IF(H50=0,0,IF(H$15&lt;=1,1,IF(EXACT(H350,"keine"),IF(H$3=H$12,1,0),IF(EXACT(H350,"beste"),IF(H$3=H320,1,0),IF(H$3=H260,1,0)))))</f>
        <v/>
      </c>
      <c r="I380" s="61">
        <f>IF(I50=0,0,IF(I$15&lt;=1,1,IF(EXACT(I350,"keine"),IF(I$3=I$12,1,0),IF(EXACT(I350,"beste"),IF(I$3=I320,1,0),IF(I$3=I260,1,0)))))</f>
        <v/>
      </c>
      <c r="J380" s="61">
        <f>IF(J50=0,0,IF(J$15&lt;=1,1,IF(EXACT(J350,"keine"),IF(J$3=J$12,1,0),IF(EXACT(J350,"beste"),IF(J$3=J320,1,0),IF(J$3=J260,1,0)))))</f>
        <v/>
      </c>
      <c r="K380" s="61">
        <f>IF(K50=0,0,IF(K$15&lt;=1,1,IF(EXACT(K350,"keine"),IF(K$3=K$12,1,0),IF(EXACT(K350,"beste"),IF(K$3=K320,1,0),IF(K$3=K260,1,0)))))</f>
        <v/>
      </c>
      <c r="L380" s="61">
        <f>IF(L50=0,0,IF(L$15&lt;=1,1,IF(EXACT(L350,"keine"),IF(L$3=L$12,1,0),IF(EXACT(L350,"beste"),IF(L$3=L320,1,0),IF(L$3=L260,1,0)))))</f>
        <v/>
      </c>
      <c r="M380" s="61">
        <f>IF(M50=0,0,IF(M$15&lt;=1,1,IF(EXACT(M350,"keine"),IF(M$3=M$12,1,0),IF(EXACT(M350,"beste"),IF(M$3=M320,1,0),IF(M$3=M260,1,0)))))</f>
        <v/>
      </c>
      <c r="N380" s="61">
        <f>IF(N50=0,0,IF(N$15&lt;=1,1,IF(EXACT(N350,"keine"),IF(N$3=N$12,1,0),IF(EXACT(N350,"beste"),IF(N$3=N320,1,0),IF(N$3=N260,1,0)))))</f>
        <v/>
      </c>
      <c r="O380" s="61">
        <f>IF(O50=0,0,IF(O$15&lt;=1,1,IF(EXACT(O350,"keine"),IF(O$3=O$12,1,0),IF(EXACT(O350,"beste"),IF(O$3=O320,1,0),IF(O$3=O260,1,0)))))</f>
        <v/>
      </c>
      <c r="P380" s="61">
        <f>IF(P50=0,0,IF(P$15&lt;=1,1,IF(EXACT(P350,"keine"),IF(P$3=P$12,1,0),IF(EXACT(P350,"beste"),IF(P$3=P320,1,0),IF(P$3=P260,1,0)))))</f>
        <v/>
      </c>
      <c r="Q380" s="61">
        <f>IF(Q50=0,0,IF(Q$15&lt;=1,1,IF(EXACT(Q350,"keine"),IF(Q$3=Q$12,1,0),IF(EXACT(Q350,"beste"),IF(Q$3=Q320,1,0),IF(Q$3=Q260,1,0)))))</f>
        <v/>
      </c>
      <c r="R380" s="61">
        <f>IF(R50=0,0,IF(R$15&lt;=1,1,IF(EXACT(R350,"keine"),IF(R$3=R$12,1,0),IF(EXACT(R350,"beste"),IF(R$3=R320,1,0),IF(R$3=R260,1,0)))))</f>
        <v/>
      </c>
      <c r="S380" s="61">
        <f>IF(S50=0,0,IF(S$15&lt;=1,1,IF(EXACT(S350,"keine"),IF(S$3=S$12,1,0),IF(EXACT(S350,"beste"),IF(S$3=S320,1,0),IF(S$3=S260,1,0)))))</f>
        <v/>
      </c>
      <c r="T380" s="61">
        <f>IF(T50=0,0,IF(T$15&lt;=1,1,IF(EXACT(T350,"keine"),IF(T$3=T$12,1,0),IF(EXACT(T350,"beste"),IF(T$3=T320,1,0),IF(T$3=T260,1,0)))))</f>
        <v/>
      </c>
      <c r="U380" s="61">
        <f>IF(U50=0,0,IF(U$15&lt;=1,1,IF(EXACT(U350,"keine"),IF(U$3=U$12,1,0),IF(EXACT(U350,"beste"),IF(U$3=U320,1,0),IF(U$3=U260,1,0)))))</f>
        <v/>
      </c>
      <c r="V380" s="61">
        <f>IF(V50=0,0,IF(V$15&lt;=1,1,IF(EXACT(V350,"keine"),IF(V$3=V$12,1,0),IF(EXACT(V350,"beste"),IF(V$3=V320,1,0),IF(V$3=V260,1,0)))))</f>
        <v/>
      </c>
    </row>
    <row r="381">
      <c r="C381" s="61">
        <f>IF(C51=0,0,IF(C$15&lt;=1,1,IF(EXACT(C351,"keine"),IF(C$3=C$12,1,0),IF(EXACT(C351,"beste"),IF(C$3=C321,1,0),IF(C$3=C261,1,0)))))</f>
        <v/>
      </c>
      <c r="D381" s="61">
        <f>IF(D51=0,0,IF(D$15&lt;=1,1,IF(EXACT(D351,"keine"),IF(D$3=D$12,1,0),IF(EXACT(D351,"beste"),IF(D$3=D321,1,0),IF(D$3=D261,1,0)))))</f>
        <v/>
      </c>
      <c r="E381" s="61">
        <f>IF(E51=0,0,IF(E$15&lt;=1,1,IF(EXACT(E351,"keine"),IF(E$3=E$12,1,0),IF(EXACT(E351,"beste"),IF(E$3=E321,1,0),IF(E$3=E261,1,0)))))</f>
        <v/>
      </c>
      <c r="F381" s="61">
        <f>IF(F51=0,0,IF(F$15&lt;=1,1,IF(EXACT(F351,"keine"),IF(F$3=F$12,1,0),IF(EXACT(F351,"beste"),IF(F$3=F321,1,0),IF(F$3=F261,1,0)))))</f>
        <v/>
      </c>
      <c r="G381" s="61">
        <f>IF(G51=0,0,IF(G$15&lt;=1,1,IF(EXACT(G351,"keine"),IF(G$3=G$12,1,0),IF(EXACT(G351,"beste"),IF(G$3=G321,1,0),IF(G$3=G261,1,0)))))</f>
        <v/>
      </c>
      <c r="H381" s="61">
        <f>IF(H51=0,0,IF(H$15&lt;=1,1,IF(EXACT(H351,"keine"),IF(H$3=H$12,1,0),IF(EXACT(H351,"beste"),IF(H$3=H321,1,0),IF(H$3=H261,1,0)))))</f>
        <v/>
      </c>
      <c r="I381" s="61">
        <f>IF(I51=0,0,IF(I$15&lt;=1,1,IF(EXACT(I351,"keine"),IF(I$3=I$12,1,0),IF(EXACT(I351,"beste"),IF(I$3=I321,1,0),IF(I$3=I261,1,0)))))</f>
        <v/>
      </c>
      <c r="J381" s="61">
        <f>IF(J51=0,0,IF(J$15&lt;=1,1,IF(EXACT(J351,"keine"),IF(J$3=J$12,1,0),IF(EXACT(J351,"beste"),IF(J$3=J321,1,0),IF(J$3=J261,1,0)))))</f>
        <v/>
      </c>
      <c r="K381" s="61">
        <f>IF(K51=0,0,IF(K$15&lt;=1,1,IF(EXACT(K351,"keine"),IF(K$3=K$12,1,0),IF(EXACT(K351,"beste"),IF(K$3=K321,1,0),IF(K$3=K261,1,0)))))</f>
        <v/>
      </c>
      <c r="L381" s="61">
        <f>IF(L51=0,0,IF(L$15&lt;=1,1,IF(EXACT(L351,"keine"),IF(L$3=L$12,1,0),IF(EXACT(L351,"beste"),IF(L$3=L321,1,0),IF(L$3=L261,1,0)))))</f>
        <v/>
      </c>
      <c r="M381" s="61">
        <f>IF(M51=0,0,IF(M$15&lt;=1,1,IF(EXACT(M351,"keine"),IF(M$3=M$12,1,0),IF(EXACT(M351,"beste"),IF(M$3=M321,1,0),IF(M$3=M261,1,0)))))</f>
        <v/>
      </c>
      <c r="N381" s="61">
        <f>IF(N51=0,0,IF(N$15&lt;=1,1,IF(EXACT(N351,"keine"),IF(N$3=N$12,1,0),IF(EXACT(N351,"beste"),IF(N$3=N321,1,0),IF(N$3=N261,1,0)))))</f>
        <v/>
      </c>
      <c r="O381" s="61">
        <f>IF(O51=0,0,IF(O$15&lt;=1,1,IF(EXACT(O351,"keine"),IF(O$3=O$12,1,0),IF(EXACT(O351,"beste"),IF(O$3=O321,1,0),IF(O$3=O261,1,0)))))</f>
        <v/>
      </c>
      <c r="P381" s="61">
        <f>IF(P51=0,0,IF(P$15&lt;=1,1,IF(EXACT(P351,"keine"),IF(P$3=P$12,1,0),IF(EXACT(P351,"beste"),IF(P$3=P321,1,0),IF(P$3=P261,1,0)))))</f>
        <v/>
      </c>
      <c r="Q381" s="61">
        <f>IF(Q51=0,0,IF(Q$15&lt;=1,1,IF(EXACT(Q351,"keine"),IF(Q$3=Q$12,1,0),IF(EXACT(Q351,"beste"),IF(Q$3=Q321,1,0),IF(Q$3=Q261,1,0)))))</f>
        <v/>
      </c>
      <c r="R381" s="61">
        <f>IF(R51=0,0,IF(R$15&lt;=1,1,IF(EXACT(R351,"keine"),IF(R$3=R$12,1,0),IF(EXACT(R351,"beste"),IF(R$3=R321,1,0),IF(R$3=R261,1,0)))))</f>
        <v/>
      </c>
      <c r="S381" s="61">
        <f>IF(S51=0,0,IF(S$15&lt;=1,1,IF(EXACT(S351,"keine"),IF(S$3=S$12,1,0),IF(EXACT(S351,"beste"),IF(S$3=S321,1,0),IF(S$3=S261,1,0)))))</f>
        <v/>
      </c>
      <c r="T381" s="61">
        <f>IF(T51=0,0,IF(T$15&lt;=1,1,IF(EXACT(T351,"keine"),IF(T$3=T$12,1,0),IF(EXACT(T351,"beste"),IF(T$3=T321,1,0),IF(T$3=T261,1,0)))))</f>
        <v/>
      </c>
      <c r="U381" s="61">
        <f>IF(U51=0,0,IF(U$15&lt;=1,1,IF(EXACT(U351,"keine"),IF(U$3=U$12,1,0),IF(EXACT(U351,"beste"),IF(U$3=U321,1,0),IF(U$3=U261,1,0)))))</f>
        <v/>
      </c>
      <c r="V381" s="61">
        <f>IF(V51=0,0,IF(V$15&lt;=1,1,IF(EXACT(V351,"keine"),IF(V$3=V$12,1,0),IF(EXACT(V351,"beste"),IF(V$3=V321,1,0),IF(V$3=V261,1,0)))))</f>
        <v/>
      </c>
    </row>
    <row r="382">
      <c r="C382" s="61">
        <f>IF(C52=0,0,IF(C$15&lt;=1,1,IF(EXACT(C352,"keine"),IF(C$3=C$12,1,0),IF(EXACT(C352,"beste"),IF(C$3=C322,1,0),IF(C$3=C262,1,0)))))</f>
        <v/>
      </c>
      <c r="D382" s="61">
        <f>IF(D52=0,0,IF(D$15&lt;=1,1,IF(EXACT(D352,"keine"),IF(D$3=D$12,1,0),IF(EXACT(D352,"beste"),IF(D$3=D322,1,0),IF(D$3=D262,1,0)))))</f>
        <v/>
      </c>
      <c r="E382" s="61">
        <f>IF(E52=0,0,IF(E$15&lt;=1,1,IF(EXACT(E352,"keine"),IF(E$3=E$12,1,0),IF(EXACT(E352,"beste"),IF(E$3=E322,1,0),IF(E$3=E262,1,0)))))</f>
        <v/>
      </c>
      <c r="F382" s="61">
        <f>IF(F52=0,0,IF(F$15&lt;=1,1,IF(EXACT(F352,"keine"),IF(F$3=F$12,1,0),IF(EXACT(F352,"beste"),IF(F$3=F322,1,0),IF(F$3=F262,1,0)))))</f>
        <v/>
      </c>
      <c r="G382" s="61">
        <f>IF(G52=0,0,IF(G$15&lt;=1,1,IF(EXACT(G352,"keine"),IF(G$3=G$12,1,0),IF(EXACT(G352,"beste"),IF(G$3=G322,1,0),IF(G$3=G262,1,0)))))</f>
        <v/>
      </c>
      <c r="H382" s="61">
        <f>IF(H52=0,0,IF(H$15&lt;=1,1,IF(EXACT(H352,"keine"),IF(H$3=H$12,1,0),IF(EXACT(H352,"beste"),IF(H$3=H322,1,0),IF(H$3=H262,1,0)))))</f>
        <v/>
      </c>
      <c r="I382" s="61">
        <f>IF(I52=0,0,IF(I$15&lt;=1,1,IF(EXACT(I352,"keine"),IF(I$3=I$12,1,0),IF(EXACT(I352,"beste"),IF(I$3=I322,1,0),IF(I$3=I262,1,0)))))</f>
        <v/>
      </c>
      <c r="J382" s="61">
        <f>IF(J52=0,0,IF(J$15&lt;=1,1,IF(EXACT(J352,"keine"),IF(J$3=J$12,1,0),IF(EXACT(J352,"beste"),IF(J$3=J322,1,0),IF(J$3=J262,1,0)))))</f>
        <v/>
      </c>
      <c r="K382" s="61">
        <f>IF(K52=0,0,IF(K$15&lt;=1,1,IF(EXACT(K352,"keine"),IF(K$3=K$12,1,0),IF(EXACT(K352,"beste"),IF(K$3=K322,1,0),IF(K$3=K262,1,0)))))</f>
        <v/>
      </c>
      <c r="L382" s="61">
        <f>IF(L52=0,0,IF(L$15&lt;=1,1,IF(EXACT(L352,"keine"),IF(L$3=L$12,1,0),IF(EXACT(L352,"beste"),IF(L$3=L322,1,0),IF(L$3=L262,1,0)))))</f>
        <v/>
      </c>
      <c r="M382" s="61">
        <f>IF(M52=0,0,IF(M$15&lt;=1,1,IF(EXACT(M352,"keine"),IF(M$3=M$12,1,0),IF(EXACT(M352,"beste"),IF(M$3=M322,1,0),IF(M$3=M262,1,0)))))</f>
        <v/>
      </c>
      <c r="N382" s="61">
        <f>IF(N52=0,0,IF(N$15&lt;=1,1,IF(EXACT(N352,"keine"),IF(N$3=N$12,1,0),IF(EXACT(N352,"beste"),IF(N$3=N322,1,0),IF(N$3=N262,1,0)))))</f>
        <v/>
      </c>
      <c r="O382" s="61">
        <f>IF(O52=0,0,IF(O$15&lt;=1,1,IF(EXACT(O352,"keine"),IF(O$3=O$12,1,0),IF(EXACT(O352,"beste"),IF(O$3=O322,1,0),IF(O$3=O262,1,0)))))</f>
        <v/>
      </c>
      <c r="P382" s="61">
        <f>IF(P52=0,0,IF(P$15&lt;=1,1,IF(EXACT(P352,"keine"),IF(P$3=P$12,1,0),IF(EXACT(P352,"beste"),IF(P$3=P322,1,0),IF(P$3=P262,1,0)))))</f>
        <v/>
      </c>
      <c r="Q382" s="61">
        <f>IF(Q52=0,0,IF(Q$15&lt;=1,1,IF(EXACT(Q352,"keine"),IF(Q$3=Q$12,1,0),IF(EXACT(Q352,"beste"),IF(Q$3=Q322,1,0),IF(Q$3=Q262,1,0)))))</f>
        <v/>
      </c>
      <c r="R382" s="61">
        <f>IF(R52=0,0,IF(R$15&lt;=1,1,IF(EXACT(R352,"keine"),IF(R$3=R$12,1,0),IF(EXACT(R352,"beste"),IF(R$3=R322,1,0),IF(R$3=R262,1,0)))))</f>
        <v/>
      </c>
      <c r="S382" s="61">
        <f>IF(S52=0,0,IF(S$15&lt;=1,1,IF(EXACT(S352,"keine"),IF(S$3=S$12,1,0),IF(EXACT(S352,"beste"),IF(S$3=S322,1,0),IF(S$3=S262,1,0)))))</f>
        <v/>
      </c>
      <c r="T382" s="61">
        <f>IF(T52=0,0,IF(T$15&lt;=1,1,IF(EXACT(T352,"keine"),IF(T$3=T$12,1,0),IF(EXACT(T352,"beste"),IF(T$3=T322,1,0),IF(T$3=T262,1,0)))))</f>
        <v/>
      </c>
      <c r="U382" s="61">
        <f>IF(U52=0,0,IF(U$15&lt;=1,1,IF(EXACT(U352,"keine"),IF(U$3=U$12,1,0),IF(EXACT(U352,"beste"),IF(U$3=U322,1,0),IF(U$3=U262,1,0)))))</f>
        <v/>
      </c>
      <c r="V382" s="61">
        <f>IF(V52=0,0,IF(V$15&lt;=1,1,IF(EXACT(V352,"keine"),IF(V$3=V$12,1,0),IF(EXACT(V352,"beste"),IF(V$3=V322,1,0),IF(V$3=V262,1,0)))))</f>
        <v/>
      </c>
    </row>
    <row r="383">
      <c r="C383" s="61">
        <f>IF(C53=0,0,IF(C$15&lt;=1,1,IF(EXACT(C353,"keine"),IF(C$3=C$12,1,0),IF(EXACT(C353,"beste"),IF(C$3=C323,1,0),IF(C$3=C263,1,0)))))</f>
        <v/>
      </c>
      <c r="D383" s="61">
        <f>IF(D53=0,0,IF(D$15&lt;=1,1,IF(EXACT(D353,"keine"),IF(D$3=D$12,1,0),IF(EXACT(D353,"beste"),IF(D$3=D323,1,0),IF(D$3=D263,1,0)))))</f>
        <v/>
      </c>
      <c r="E383" s="61">
        <f>IF(E53=0,0,IF(E$15&lt;=1,1,IF(EXACT(E353,"keine"),IF(E$3=E$12,1,0),IF(EXACT(E353,"beste"),IF(E$3=E323,1,0),IF(E$3=E263,1,0)))))</f>
        <v/>
      </c>
      <c r="F383" s="61">
        <f>IF(F53=0,0,IF(F$15&lt;=1,1,IF(EXACT(F353,"keine"),IF(F$3=F$12,1,0),IF(EXACT(F353,"beste"),IF(F$3=F323,1,0),IF(F$3=F263,1,0)))))</f>
        <v/>
      </c>
      <c r="G383" s="61">
        <f>IF(G53=0,0,IF(G$15&lt;=1,1,IF(EXACT(G353,"keine"),IF(G$3=G$12,1,0),IF(EXACT(G353,"beste"),IF(G$3=G323,1,0),IF(G$3=G263,1,0)))))</f>
        <v/>
      </c>
      <c r="H383" s="61">
        <f>IF(H53=0,0,IF(H$15&lt;=1,1,IF(EXACT(H353,"keine"),IF(H$3=H$12,1,0),IF(EXACT(H353,"beste"),IF(H$3=H323,1,0),IF(H$3=H263,1,0)))))</f>
        <v/>
      </c>
      <c r="I383" s="61">
        <f>IF(I53=0,0,IF(I$15&lt;=1,1,IF(EXACT(I353,"keine"),IF(I$3=I$12,1,0),IF(EXACT(I353,"beste"),IF(I$3=I323,1,0),IF(I$3=I263,1,0)))))</f>
        <v/>
      </c>
      <c r="J383" s="61">
        <f>IF(J53=0,0,IF(J$15&lt;=1,1,IF(EXACT(J353,"keine"),IF(J$3=J$12,1,0),IF(EXACT(J353,"beste"),IF(J$3=J323,1,0),IF(J$3=J263,1,0)))))</f>
        <v/>
      </c>
      <c r="K383" s="61">
        <f>IF(K53=0,0,IF(K$15&lt;=1,1,IF(EXACT(K353,"keine"),IF(K$3=K$12,1,0),IF(EXACT(K353,"beste"),IF(K$3=K323,1,0),IF(K$3=K263,1,0)))))</f>
        <v/>
      </c>
      <c r="L383" s="61">
        <f>IF(L53=0,0,IF(L$15&lt;=1,1,IF(EXACT(L353,"keine"),IF(L$3=L$12,1,0),IF(EXACT(L353,"beste"),IF(L$3=L323,1,0),IF(L$3=L263,1,0)))))</f>
        <v/>
      </c>
      <c r="M383" s="61">
        <f>IF(M53=0,0,IF(M$15&lt;=1,1,IF(EXACT(M353,"keine"),IF(M$3=M$12,1,0),IF(EXACT(M353,"beste"),IF(M$3=M323,1,0),IF(M$3=M263,1,0)))))</f>
        <v/>
      </c>
      <c r="N383" s="61">
        <f>IF(N53=0,0,IF(N$15&lt;=1,1,IF(EXACT(N353,"keine"),IF(N$3=N$12,1,0),IF(EXACT(N353,"beste"),IF(N$3=N323,1,0),IF(N$3=N263,1,0)))))</f>
        <v/>
      </c>
      <c r="O383" s="61">
        <f>IF(O53=0,0,IF(O$15&lt;=1,1,IF(EXACT(O353,"keine"),IF(O$3=O$12,1,0),IF(EXACT(O353,"beste"),IF(O$3=O323,1,0),IF(O$3=O263,1,0)))))</f>
        <v/>
      </c>
      <c r="P383" s="61">
        <f>IF(P53=0,0,IF(P$15&lt;=1,1,IF(EXACT(P353,"keine"),IF(P$3=P$12,1,0),IF(EXACT(P353,"beste"),IF(P$3=P323,1,0),IF(P$3=P263,1,0)))))</f>
        <v/>
      </c>
      <c r="Q383" s="61">
        <f>IF(Q53=0,0,IF(Q$15&lt;=1,1,IF(EXACT(Q353,"keine"),IF(Q$3=Q$12,1,0),IF(EXACT(Q353,"beste"),IF(Q$3=Q323,1,0),IF(Q$3=Q263,1,0)))))</f>
        <v/>
      </c>
      <c r="R383" s="61">
        <f>IF(R53=0,0,IF(R$15&lt;=1,1,IF(EXACT(R353,"keine"),IF(R$3=R$12,1,0),IF(EXACT(R353,"beste"),IF(R$3=R323,1,0),IF(R$3=R263,1,0)))))</f>
        <v/>
      </c>
      <c r="S383" s="61">
        <f>IF(S53=0,0,IF(S$15&lt;=1,1,IF(EXACT(S353,"keine"),IF(S$3=S$12,1,0),IF(EXACT(S353,"beste"),IF(S$3=S323,1,0),IF(S$3=S263,1,0)))))</f>
        <v/>
      </c>
      <c r="T383" s="61">
        <f>IF(T53=0,0,IF(T$15&lt;=1,1,IF(EXACT(T353,"keine"),IF(T$3=T$12,1,0),IF(EXACT(T353,"beste"),IF(T$3=T323,1,0),IF(T$3=T263,1,0)))))</f>
        <v/>
      </c>
      <c r="U383" s="61">
        <f>IF(U53=0,0,IF(U$15&lt;=1,1,IF(EXACT(U353,"keine"),IF(U$3=U$12,1,0),IF(EXACT(U353,"beste"),IF(U$3=U323,1,0),IF(U$3=U263,1,0)))))</f>
        <v/>
      </c>
      <c r="V383" s="61">
        <f>IF(V53=0,0,IF(V$15&lt;=1,1,IF(EXACT(V353,"keine"),IF(V$3=V$12,1,0),IF(EXACT(V353,"beste"),IF(V$3=V323,1,0),IF(V$3=V263,1,0)))))</f>
        <v/>
      </c>
    </row>
    <row r="384">
      <c r="C384" s="61">
        <f>IF(C54=0,0,IF(C$15&lt;=1,1,IF(EXACT(C354,"keine"),IF(C$3=C$12,1,0),IF(EXACT(C354,"beste"),IF(C$3=C324,1,0),IF(C$3=C264,1,0)))))</f>
        <v/>
      </c>
      <c r="D384" s="61">
        <f>IF(D54=0,0,IF(D$15&lt;=1,1,IF(EXACT(D354,"keine"),IF(D$3=D$12,1,0),IF(EXACT(D354,"beste"),IF(D$3=D324,1,0),IF(D$3=D264,1,0)))))</f>
        <v/>
      </c>
      <c r="E384" s="61">
        <f>IF(E54=0,0,IF(E$15&lt;=1,1,IF(EXACT(E354,"keine"),IF(E$3=E$12,1,0),IF(EXACT(E354,"beste"),IF(E$3=E324,1,0),IF(E$3=E264,1,0)))))</f>
        <v/>
      </c>
      <c r="F384" s="61">
        <f>IF(F54=0,0,IF(F$15&lt;=1,1,IF(EXACT(F354,"keine"),IF(F$3=F$12,1,0),IF(EXACT(F354,"beste"),IF(F$3=F324,1,0),IF(F$3=F264,1,0)))))</f>
        <v/>
      </c>
      <c r="G384" s="61">
        <f>IF(G54=0,0,IF(G$15&lt;=1,1,IF(EXACT(G354,"keine"),IF(G$3=G$12,1,0),IF(EXACT(G354,"beste"),IF(G$3=G324,1,0),IF(G$3=G264,1,0)))))</f>
        <v/>
      </c>
      <c r="H384" s="61">
        <f>IF(H54=0,0,IF(H$15&lt;=1,1,IF(EXACT(H354,"keine"),IF(H$3=H$12,1,0),IF(EXACT(H354,"beste"),IF(H$3=H324,1,0),IF(H$3=H264,1,0)))))</f>
        <v/>
      </c>
      <c r="I384" s="61">
        <f>IF(I54=0,0,IF(I$15&lt;=1,1,IF(EXACT(I354,"keine"),IF(I$3=I$12,1,0),IF(EXACT(I354,"beste"),IF(I$3=I324,1,0),IF(I$3=I264,1,0)))))</f>
        <v/>
      </c>
      <c r="J384" s="61">
        <f>IF(J54=0,0,IF(J$15&lt;=1,1,IF(EXACT(J354,"keine"),IF(J$3=J$12,1,0),IF(EXACT(J354,"beste"),IF(J$3=J324,1,0),IF(J$3=J264,1,0)))))</f>
        <v/>
      </c>
      <c r="K384" s="61">
        <f>IF(K54=0,0,IF(K$15&lt;=1,1,IF(EXACT(K354,"keine"),IF(K$3=K$12,1,0),IF(EXACT(K354,"beste"),IF(K$3=K324,1,0),IF(K$3=K264,1,0)))))</f>
        <v/>
      </c>
      <c r="L384" s="61">
        <f>IF(L54=0,0,IF(L$15&lt;=1,1,IF(EXACT(L354,"keine"),IF(L$3=L$12,1,0),IF(EXACT(L354,"beste"),IF(L$3=L324,1,0),IF(L$3=L264,1,0)))))</f>
        <v/>
      </c>
      <c r="M384" s="61">
        <f>IF(M54=0,0,IF(M$15&lt;=1,1,IF(EXACT(M354,"keine"),IF(M$3=M$12,1,0),IF(EXACT(M354,"beste"),IF(M$3=M324,1,0),IF(M$3=M264,1,0)))))</f>
        <v/>
      </c>
      <c r="N384" s="61">
        <f>IF(N54=0,0,IF(N$15&lt;=1,1,IF(EXACT(N354,"keine"),IF(N$3=N$12,1,0),IF(EXACT(N354,"beste"),IF(N$3=N324,1,0),IF(N$3=N264,1,0)))))</f>
        <v/>
      </c>
      <c r="O384" s="61">
        <f>IF(O54=0,0,IF(O$15&lt;=1,1,IF(EXACT(O354,"keine"),IF(O$3=O$12,1,0),IF(EXACT(O354,"beste"),IF(O$3=O324,1,0),IF(O$3=O264,1,0)))))</f>
        <v/>
      </c>
      <c r="P384" s="61">
        <f>IF(P54=0,0,IF(P$15&lt;=1,1,IF(EXACT(P354,"keine"),IF(P$3=P$12,1,0),IF(EXACT(P354,"beste"),IF(P$3=P324,1,0),IF(P$3=P264,1,0)))))</f>
        <v/>
      </c>
      <c r="Q384" s="61">
        <f>IF(Q54=0,0,IF(Q$15&lt;=1,1,IF(EXACT(Q354,"keine"),IF(Q$3=Q$12,1,0),IF(EXACT(Q354,"beste"),IF(Q$3=Q324,1,0),IF(Q$3=Q264,1,0)))))</f>
        <v/>
      </c>
      <c r="R384" s="61">
        <f>IF(R54=0,0,IF(R$15&lt;=1,1,IF(EXACT(R354,"keine"),IF(R$3=R$12,1,0),IF(EXACT(R354,"beste"),IF(R$3=R324,1,0),IF(R$3=R264,1,0)))))</f>
        <v/>
      </c>
      <c r="S384" s="61">
        <f>IF(S54=0,0,IF(S$15&lt;=1,1,IF(EXACT(S354,"keine"),IF(S$3=S$12,1,0),IF(EXACT(S354,"beste"),IF(S$3=S324,1,0),IF(S$3=S264,1,0)))))</f>
        <v/>
      </c>
      <c r="T384" s="61">
        <f>IF(T54=0,0,IF(T$15&lt;=1,1,IF(EXACT(T354,"keine"),IF(T$3=T$12,1,0),IF(EXACT(T354,"beste"),IF(T$3=T324,1,0),IF(T$3=T264,1,0)))))</f>
        <v/>
      </c>
      <c r="U384" s="61">
        <f>IF(U54=0,0,IF(U$15&lt;=1,1,IF(EXACT(U354,"keine"),IF(U$3=U$12,1,0),IF(EXACT(U354,"beste"),IF(U$3=U324,1,0),IF(U$3=U264,1,0)))))</f>
        <v/>
      </c>
      <c r="V384" s="61">
        <f>IF(V54=0,0,IF(V$15&lt;=1,1,IF(EXACT(V354,"keine"),IF(V$3=V$12,1,0),IF(EXACT(V354,"beste"),IF(V$3=V324,1,0),IF(V$3=V264,1,0)))))</f>
        <v/>
      </c>
    </row>
    <row r="385">
      <c r="C385" s="61">
        <f>IF(C55=0,0,IF(C$15&lt;=1,1,IF(EXACT(C355,"keine"),IF(C$3=C$12,1,0),IF(EXACT(C355,"beste"),IF(C$3=C325,1,0),IF(C$3=C265,1,0)))))</f>
        <v/>
      </c>
      <c r="D385" s="61">
        <f>IF(D55=0,0,IF(D$15&lt;=1,1,IF(EXACT(D355,"keine"),IF(D$3=D$12,1,0),IF(EXACT(D355,"beste"),IF(D$3=D325,1,0),IF(D$3=D265,1,0)))))</f>
        <v/>
      </c>
      <c r="E385" s="61">
        <f>IF(E55=0,0,IF(E$15&lt;=1,1,IF(EXACT(E355,"keine"),IF(E$3=E$12,1,0),IF(EXACT(E355,"beste"),IF(E$3=E325,1,0),IF(E$3=E265,1,0)))))</f>
        <v/>
      </c>
      <c r="F385" s="61">
        <f>IF(F55=0,0,IF(F$15&lt;=1,1,IF(EXACT(F355,"keine"),IF(F$3=F$12,1,0),IF(EXACT(F355,"beste"),IF(F$3=F325,1,0),IF(F$3=F265,1,0)))))</f>
        <v/>
      </c>
      <c r="G385" s="61">
        <f>IF(G55=0,0,IF(G$15&lt;=1,1,IF(EXACT(G355,"keine"),IF(G$3=G$12,1,0),IF(EXACT(G355,"beste"),IF(G$3=G325,1,0),IF(G$3=G265,1,0)))))</f>
        <v/>
      </c>
      <c r="H385" s="61">
        <f>IF(H55=0,0,IF(H$15&lt;=1,1,IF(EXACT(H355,"keine"),IF(H$3=H$12,1,0),IF(EXACT(H355,"beste"),IF(H$3=H325,1,0),IF(H$3=H265,1,0)))))</f>
        <v/>
      </c>
      <c r="I385" s="61">
        <f>IF(I55=0,0,IF(I$15&lt;=1,1,IF(EXACT(I355,"keine"),IF(I$3=I$12,1,0),IF(EXACT(I355,"beste"),IF(I$3=I325,1,0),IF(I$3=I265,1,0)))))</f>
        <v/>
      </c>
      <c r="J385" s="61">
        <f>IF(J55=0,0,IF(J$15&lt;=1,1,IF(EXACT(J355,"keine"),IF(J$3=J$12,1,0),IF(EXACT(J355,"beste"),IF(J$3=J325,1,0),IF(J$3=J265,1,0)))))</f>
        <v/>
      </c>
      <c r="K385" s="61">
        <f>IF(K55=0,0,IF(K$15&lt;=1,1,IF(EXACT(K355,"keine"),IF(K$3=K$12,1,0),IF(EXACT(K355,"beste"),IF(K$3=K325,1,0),IF(K$3=K265,1,0)))))</f>
        <v/>
      </c>
      <c r="L385" s="61">
        <f>IF(L55=0,0,IF(L$15&lt;=1,1,IF(EXACT(L355,"keine"),IF(L$3=L$12,1,0),IF(EXACT(L355,"beste"),IF(L$3=L325,1,0),IF(L$3=L265,1,0)))))</f>
        <v/>
      </c>
      <c r="M385" s="61">
        <f>IF(M55=0,0,IF(M$15&lt;=1,1,IF(EXACT(M355,"keine"),IF(M$3=M$12,1,0),IF(EXACT(M355,"beste"),IF(M$3=M325,1,0),IF(M$3=M265,1,0)))))</f>
        <v/>
      </c>
      <c r="N385" s="61">
        <f>IF(N55=0,0,IF(N$15&lt;=1,1,IF(EXACT(N355,"keine"),IF(N$3=N$12,1,0),IF(EXACT(N355,"beste"),IF(N$3=N325,1,0),IF(N$3=N265,1,0)))))</f>
        <v/>
      </c>
      <c r="O385" s="61">
        <f>IF(O55=0,0,IF(O$15&lt;=1,1,IF(EXACT(O355,"keine"),IF(O$3=O$12,1,0),IF(EXACT(O355,"beste"),IF(O$3=O325,1,0),IF(O$3=O265,1,0)))))</f>
        <v/>
      </c>
      <c r="P385" s="61">
        <f>IF(P55=0,0,IF(P$15&lt;=1,1,IF(EXACT(P355,"keine"),IF(P$3=P$12,1,0),IF(EXACT(P355,"beste"),IF(P$3=P325,1,0),IF(P$3=P265,1,0)))))</f>
        <v/>
      </c>
      <c r="Q385" s="61">
        <f>IF(Q55=0,0,IF(Q$15&lt;=1,1,IF(EXACT(Q355,"keine"),IF(Q$3=Q$12,1,0),IF(EXACT(Q355,"beste"),IF(Q$3=Q325,1,0),IF(Q$3=Q265,1,0)))))</f>
        <v/>
      </c>
      <c r="R385" s="61">
        <f>IF(R55=0,0,IF(R$15&lt;=1,1,IF(EXACT(R355,"keine"),IF(R$3=R$12,1,0),IF(EXACT(R355,"beste"),IF(R$3=R325,1,0),IF(R$3=R265,1,0)))))</f>
        <v/>
      </c>
      <c r="S385" s="61">
        <f>IF(S55=0,0,IF(S$15&lt;=1,1,IF(EXACT(S355,"keine"),IF(S$3=S$12,1,0),IF(EXACT(S355,"beste"),IF(S$3=S325,1,0),IF(S$3=S265,1,0)))))</f>
        <v/>
      </c>
      <c r="T385" s="61">
        <f>IF(T55=0,0,IF(T$15&lt;=1,1,IF(EXACT(T355,"keine"),IF(T$3=T$12,1,0),IF(EXACT(T355,"beste"),IF(T$3=T325,1,0),IF(T$3=T265,1,0)))))</f>
        <v/>
      </c>
      <c r="U385" s="61">
        <f>IF(U55=0,0,IF(U$15&lt;=1,1,IF(EXACT(U355,"keine"),IF(U$3=U$12,1,0),IF(EXACT(U355,"beste"),IF(U$3=U325,1,0),IF(U$3=U265,1,0)))))</f>
        <v/>
      </c>
      <c r="V385" s="61">
        <f>IF(V55=0,0,IF(V$15&lt;=1,1,IF(EXACT(V355,"keine"),IF(V$3=V$12,1,0),IF(EXACT(V355,"beste"),IF(V$3=V325,1,0),IF(V$3=V265,1,0)))))</f>
        <v/>
      </c>
    </row>
    <row r="386">
      <c r="C386" s="61">
        <f>IF(C56=0,0,IF(C$15&lt;=1,1,IF(EXACT(C356,"keine"),IF(C$3=C$12,1,0),IF(EXACT(C356,"beste"),IF(C$3=C326,1,0),IF(C$3=C266,1,0)))))</f>
        <v/>
      </c>
      <c r="D386" s="61">
        <f>IF(D56=0,0,IF(D$15&lt;=1,1,IF(EXACT(D356,"keine"),IF(D$3=D$12,1,0),IF(EXACT(D356,"beste"),IF(D$3=D326,1,0),IF(D$3=D266,1,0)))))</f>
        <v/>
      </c>
      <c r="E386" s="61">
        <f>IF(E56=0,0,IF(E$15&lt;=1,1,IF(EXACT(E356,"keine"),IF(E$3=E$12,1,0),IF(EXACT(E356,"beste"),IF(E$3=E326,1,0),IF(E$3=E266,1,0)))))</f>
        <v/>
      </c>
      <c r="F386" s="61">
        <f>IF(F56=0,0,IF(F$15&lt;=1,1,IF(EXACT(F356,"keine"),IF(F$3=F$12,1,0),IF(EXACT(F356,"beste"),IF(F$3=F326,1,0),IF(F$3=F266,1,0)))))</f>
        <v/>
      </c>
      <c r="G386" s="61">
        <f>IF(G56=0,0,IF(G$15&lt;=1,1,IF(EXACT(G356,"keine"),IF(G$3=G$12,1,0),IF(EXACT(G356,"beste"),IF(G$3=G326,1,0),IF(G$3=G266,1,0)))))</f>
        <v/>
      </c>
      <c r="H386" s="61">
        <f>IF(H56=0,0,IF(H$15&lt;=1,1,IF(EXACT(H356,"keine"),IF(H$3=H$12,1,0),IF(EXACT(H356,"beste"),IF(H$3=H326,1,0),IF(H$3=H266,1,0)))))</f>
        <v/>
      </c>
      <c r="I386" s="61">
        <f>IF(I56=0,0,IF(I$15&lt;=1,1,IF(EXACT(I356,"keine"),IF(I$3=I$12,1,0),IF(EXACT(I356,"beste"),IF(I$3=I326,1,0),IF(I$3=I266,1,0)))))</f>
        <v/>
      </c>
      <c r="J386" s="61">
        <f>IF(J56=0,0,IF(J$15&lt;=1,1,IF(EXACT(J356,"keine"),IF(J$3=J$12,1,0),IF(EXACT(J356,"beste"),IF(J$3=J326,1,0),IF(J$3=J266,1,0)))))</f>
        <v/>
      </c>
      <c r="K386" s="61">
        <f>IF(K56=0,0,IF(K$15&lt;=1,1,IF(EXACT(K356,"keine"),IF(K$3=K$12,1,0),IF(EXACT(K356,"beste"),IF(K$3=K326,1,0),IF(K$3=K266,1,0)))))</f>
        <v/>
      </c>
      <c r="L386" s="61">
        <f>IF(L56=0,0,IF(L$15&lt;=1,1,IF(EXACT(L356,"keine"),IF(L$3=L$12,1,0),IF(EXACT(L356,"beste"),IF(L$3=L326,1,0),IF(L$3=L266,1,0)))))</f>
        <v/>
      </c>
      <c r="M386" s="61">
        <f>IF(M56=0,0,IF(M$15&lt;=1,1,IF(EXACT(M356,"keine"),IF(M$3=M$12,1,0),IF(EXACT(M356,"beste"),IF(M$3=M326,1,0),IF(M$3=M266,1,0)))))</f>
        <v/>
      </c>
      <c r="N386" s="61">
        <f>IF(N56=0,0,IF(N$15&lt;=1,1,IF(EXACT(N356,"keine"),IF(N$3=N$12,1,0),IF(EXACT(N356,"beste"),IF(N$3=N326,1,0),IF(N$3=N266,1,0)))))</f>
        <v/>
      </c>
      <c r="O386" s="61">
        <f>IF(O56=0,0,IF(O$15&lt;=1,1,IF(EXACT(O356,"keine"),IF(O$3=O$12,1,0),IF(EXACT(O356,"beste"),IF(O$3=O326,1,0),IF(O$3=O266,1,0)))))</f>
        <v/>
      </c>
      <c r="P386" s="61">
        <f>IF(P56=0,0,IF(P$15&lt;=1,1,IF(EXACT(P356,"keine"),IF(P$3=P$12,1,0),IF(EXACT(P356,"beste"),IF(P$3=P326,1,0),IF(P$3=P266,1,0)))))</f>
        <v/>
      </c>
      <c r="Q386" s="61">
        <f>IF(Q56=0,0,IF(Q$15&lt;=1,1,IF(EXACT(Q356,"keine"),IF(Q$3=Q$12,1,0),IF(EXACT(Q356,"beste"),IF(Q$3=Q326,1,0),IF(Q$3=Q266,1,0)))))</f>
        <v/>
      </c>
      <c r="R386" s="61">
        <f>IF(R56=0,0,IF(R$15&lt;=1,1,IF(EXACT(R356,"keine"),IF(R$3=R$12,1,0),IF(EXACT(R356,"beste"),IF(R$3=R326,1,0),IF(R$3=R266,1,0)))))</f>
        <v/>
      </c>
      <c r="S386" s="61">
        <f>IF(S56=0,0,IF(S$15&lt;=1,1,IF(EXACT(S356,"keine"),IF(S$3=S$12,1,0),IF(EXACT(S356,"beste"),IF(S$3=S326,1,0),IF(S$3=S266,1,0)))))</f>
        <v/>
      </c>
      <c r="T386" s="61">
        <f>IF(T56=0,0,IF(T$15&lt;=1,1,IF(EXACT(T356,"keine"),IF(T$3=T$12,1,0),IF(EXACT(T356,"beste"),IF(T$3=T326,1,0),IF(T$3=T266,1,0)))))</f>
        <v/>
      </c>
      <c r="U386" s="61">
        <f>IF(U56=0,0,IF(U$15&lt;=1,1,IF(EXACT(U356,"keine"),IF(U$3=U$12,1,0),IF(EXACT(U356,"beste"),IF(U$3=U326,1,0),IF(U$3=U266,1,0)))))</f>
        <v/>
      </c>
      <c r="V386" s="61">
        <f>IF(V56=0,0,IF(V$15&lt;=1,1,IF(EXACT(V356,"keine"),IF(V$3=V$12,1,0),IF(EXACT(V356,"beste"),IF(V$3=V326,1,0),IF(V$3=V266,1,0)))))</f>
        <v/>
      </c>
    </row>
    <row r="387">
      <c r="C387" s="61">
        <f>IF(C57=0,0,IF(C$15&lt;=1,1,IF(EXACT(C357,"keine"),IF(C$3=C$12,1,0),IF(EXACT(C357,"beste"),IF(C$3=C327,1,0),IF(C$3=C267,1,0)))))</f>
        <v/>
      </c>
      <c r="D387" s="61">
        <f>IF(D57=0,0,IF(D$15&lt;=1,1,IF(EXACT(D357,"keine"),IF(D$3=D$12,1,0),IF(EXACT(D357,"beste"),IF(D$3=D327,1,0),IF(D$3=D267,1,0)))))</f>
        <v/>
      </c>
      <c r="E387" s="61">
        <f>IF(E57=0,0,IF(E$15&lt;=1,1,IF(EXACT(E357,"keine"),IF(E$3=E$12,1,0),IF(EXACT(E357,"beste"),IF(E$3=E327,1,0),IF(E$3=E267,1,0)))))</f>
        <v/>
      </c>
      <c r="F387" s="61">
        <f>IF(F57=0,0,IF(F$15&lt;=1,1,IF(EXACT(F357,"keine"),IF(F$3=F$12,1,0),IF(EXACT(F357,"beste"),IF(F$3=F327,1,0),IF(F$3=F267,1,0)))))</f>
        <v/>
      </c>
      <c r="G387" s="61">
        <f>IF(G57=0,0,IF(G$15&lt;=1,1,IF(EXACT(G357,"keine"),IF(G$3=G$12,1,0),IF(EXACT(G357,"beste"),IF(G$3=G327,1,0),IF(G$3=G267,1,0)))))</f>
        <v/>
      </c>
      <c r="H387" s="61">
        <f>IF(H57=0,0,IF(H$15&lt;=1,1,IF(EXACT(H357,"keine"),IF(H$3=H$12,1,0),IF(EXACT(H357,"beste"),IF(H$3=H327,1,0),IF(H$3=H267,1,0)))))</f>
        <v/>
      </c>
      <c r="I387" s="61">
        <f>IF(I57=0,0,IF(I$15&lt;=1,1,IF(EXACT(I357,"keine"),IF(I$3=I$12,1,0),IF(EXACT(I357,"beste"),IF(I$3=I327,1,0),IF(I$3=I267,1,0)))))</f>
        <v/>
      </c>
      <c r="J387" s="61">
        <f>IF(J57=0,0,IF(J$15&lt;=1,1,IF(EXACT(J357,"keine"),IF(J$3=J$12,1,0),IF(EXACT(J357,"beste"),IF(J$3=J327,1,0),IF(J$3=J267,1,0)))))</f>
        <v/>
      </c>
      <c r="K387" s="61">
        <f>IF(K57=0,0,IF(K$15&lt;=1,1,IF(EXACT(K357,"keine"),IF(K$3=K$12,1,0),IF(EXACT(K357,"beste"),IF(K$3=K327,1,0),IF(K$3=K267,1,0)))))</f>
        <v/>
      </c>
      <c r="L387" s="61">
        <f>IF(L57=0,0,IF(L$15&lt;=1,1,IF(EXACT(L357,"keine"),IF(L$3=L$12,1,0),IF(EXACT(L357,"beste"),IF(L$3=L327,1,0),IF(L$3=L267,1,0)))))</f>
        <v/>
      </c>
      <c r="M387" s="61">
        <f>IF(M57=0,0,IF(M$15&lt;=1,1,IF(EXACT(M357,"keine"),IF(M$3=M$12,1,0),IF(EXACT(M357,"beste"),IF(M$3=M327,1,0),IF(M$3=M267,1,0)))))</f>
        <v/>
      </c>
      <c r="N387" s="61">
        <f>IF(N57=0,0,IF(N$15&lt;=1,1,IF(EXACT(N357,"keine"),IF(N$3=N$12,1,0),IF(EXACT(N357,"beste"),IF(N$3=N327,1,0),IF(N$3=N267,1,0)))))</f>
        <v/>
      </c>
      <c r="O387" s="61">
        <f>IF(O57=0,0,IF(O$15&lt;=1,1,IF(EXACT(O357,"keine"),IF(O$3=O$12,1,0),IF(EXACT(O357,"beste"),IF(O$3=O327,1,0),IF(O$3=O267,1,0)))))</f>
        <v/>
      </c>
      <c r="P387" s="61">
        <f>IF(P57=0,0,IF(P$15&lt;=1,1,IF(EXACT(P357,"keine"),IF(P$3=P$12,1,0),IF(EXACT(P357,"beste"),IF(P$3=P327,1,0),IF(P$3=P267,1,0)))))</f>
        <v/>
      </c>
      <c r="Q387" s="61">
        <f>IF(Q57=0,0,IF(Q$15&lt;=1,1,IF(EXACT(Q357,"keine"),IF(Q$3=Q$12,1,0),IF(EXACT(Q357,"beste"),IF(Q$3=Q327,1,0),IF(Q$3=Q267,1,0)))))</f>
        <v/>
      </c>
      <c r="R387" s="61">
        <f>IF(R57=0,0,IF(R$15&lt;=1,1,IF(EXACT(R357,"keine"),IF(R$3=R$12,1,0),IF(EXACT(R357,"beste"),IF(R$3=R327,1,0),IF(R$3=R267,1,0)))))</f>
        <v/>
      </c>
      <c r="S387" s="61">
        <f>IF(S57=0,0,IF(S$15&lt;=1,1,IF(EXACT(S357,"keine"),IF(S$3=S$12,1,0),IF(EXACT(S357,"beste"),IF(S$3=S327,1,0),IF(S$3=S267,1,0)))))</f>
        <v/>
      </c>
      <c r="T387" s="61">
        <f>IF(T57=0,0,IF(T$15&lt;=1,1,IF(EXACT(T357,"keine"),IF(T$3=T$12,1,0),IF(EXACT(T357,"beste"),IF(T$3=T327,1,0),IF(T$3=T267,1,0)))))</f>
        <v/>
      </c>
      <c r="U387" s="61">
        <f>IF(U57=0,0,IF(U$15&lt;=1,1,IF(EXACT(U357,"keine"),IF(U$3=U$12,1,0),IF(EXACT(U357,"beste"),IF(U$3=U327,1,0),IF(U$3=U267,1,0)))))</f>
        <v/>
      </c>
      <c r="V387" s="61">
        <f>IF(V57=0,0,IF(V$15&lt;=1,1,IF(EXACT(V357,"keine"),IF(V$3=V$12,1,0),IF(EXACT(V357,"beste"),IF(V$3=V327,1,0),IF(V$3=V267,1,0)))))</f>
        <v/>
      </c>
    </row>
    <row r="388">
      <c r="C388" s="61">
        <f>IF(C58=0,0,IF(C$15&lt;=1,1,IF(EXACT(C358,"keine"),IF(C$3=C$12,1,0),IF(EXACT(C358,"beste"),IF(C$3=C328,1,0),IF(C$3=C268,1,0)))))</f>
        <v/>
      </c>
      <c r="D388" s="61">
        <f>IF(D58=0,0,IF(D$15&lt;=1,1,IF(EXACT(D358,"keine"),IF(D$3=D$12,1,0),IF(EXACT(D358,"beste"),IF(D$3=D328,1,0),IF(D$3=D268,1,0)))))</f>
        <v/>
      </c>
      <c r="E388" s="61">
        <f>IF(E58=0,0,IF(E$15&lt;=1,1,IF(EXACT(E358,"keine"),IF(E$3=E$12,1,0),IF(EXACT(E358,"beste"),IF(E$3=E328,1,0),IF(E$3=E268,1,0)))))</f>
        <v/>
      </c>
      <c r="F388" s="61">
        <f>IF(F58=0,0,IF(F$15&lt;=1,1,IF(EXACT(F358,"keine"),IF(F$3=F$12,1,0),IF(EXACT(F358,"beste"),IF(F$3=F328,1,0),IF(F$3=F268,1,0)))))</f>
        <v/>
      </c>
      <c r="G388" s="61">
        <f>IF(G58=0,0,IF(G$15&lt;=1,1,IF(EXACT(G358,"keine"),IF(G$3=G$12,1,0),IF(EXACT(G358,"beste"),IF(G$3=G328,1,0),IF(G$3=G268,1,0)))))</f>
        <v/>
      </c>
      <c r="H388" s="61">
        <f>IF(H58=0,0,IF(H$15&lt;=1,1,IF(EXACT(H358,"keine"),IF(H$3=H$12,1,0),IF(EXACT(H358,"beste"),IF(H$3=H328,1,0),IF(H$3=H268,1,0)))))</f>
        <v/>
      </c>
      <c r="I388" s="61">
        <f>IF(I58=0,0,IF(I$15&lt;=1,1,IF(EXACT(I358,"keine"),IF(I$3=I$12,1,0),IF(EXACT(I358,"beste"),IF(I$3=I328,1,0),IF(I$3=I268,1,0)))))</f>
        <v/>
      </c>
      <c r="J388" s="61">
        <f>IF(J58=0,0,IF(J$15&lt;=1,1,IF(EXACT(J358,"keine"),IF(J$3=J$12,1,0),IF(EXACT(J358,"beste"),IF(J$3=J328,1,0),IF(J$3=J268,1,0)))))</f>
        <v/>
      </c>
      <c r="K388" s="61">
        <f>IF(K58=0,0,IF(K$15&lt;=1,1,IF(EXACT(K358,"keine"),IF(K$3=K$12,1,0),IF(EXACT(K358,"beste"),IF(K$3=K328,1,0),IF(K$3=K268,1,0)))))</f>
        <v/>
      </c>
      <c r="L388" s="61">
        <f>IF(L58=0,0,IF(L$15&lt;=1,1,IF(EXACT(L358,"keine"),IF(L$3=L$12,1,0),IF(EXACT(L358,"beste"),IF(L$3=L328,1,0),IF(L$3=L268,1,0)))))</f>
        <v/>
      </c>
      <c r="M388" s="61">
        <f>IF(M58=0,0,IF(M$15&lt;=1,1,IF(EXACT(M358,"keine"),IF(M$3=M$12,1,0),IF(EXACT(M358,"beste"),IF(M$3=M328,1,0),IF(M$3=M268,1,0)))))</f>
        <v/>
      </c>
      <c r="N388" s="61">
        <f>IF(N58=0,0,IF(N$15&lt;=1,1,IF(EXACT(N358,"keine"),IF(N$3=N$12,1,0),IF(EXACT(N358,"beste"),IF(N$3=N328,1,0),IF(N$3=N268,1,0)))))</f>
        <v/>
      </c>
      <c r="O388" s="61">
        <f>IF(O58=0,0,IF(O$15&lt;=1,1,IF(EXACT(O358,"keine"),IF(O$3=O$12,1,0),IF(EXACT(O358,"beste"),IF(O$3=O328,1,0),IF(O$3=O268,1,0)))))</f>
        <v/>
      </c>
      <c r="P388" s="61">
        <f>IF(P58=0,0,IF(P$15&lt;=1,1,IF(EXACT(P358,"keine"),IF(P$3=P$12,1,0),IF(EXACT(P358,"beste"),IF(P$3=P328,1,0),IF(P$3=P268,1,0)))))</f>
        <v/>
      </c>
      <c r="Q388" s="61">
        <f>IF(Q58=0,0,IF(Q$15&lt;=1,1,IF(EXACT(Q358,"keine"),IF(Q$3=Q$12,1,0),IF(EXACT(Q358,"beste"),IF(Q$3=Q328,1,0),IF(Q$3=Q268,1,0)))))</f>
        <v/>
      </c>
      <c r="R388" s="61">
        <f>IF(R58=0,0,IF(R$15&lt;=1,1,IF(EXACT(R358,"keine"),IF(R$3=R$12,1,0),IF(EXACT(R358,"beste"),IF(R$3=R328,1,0),IF(R$3=R268,1,0)))))</f>
        <v/>
      </c>
      <c r="S388" s="61">
        <f>IF(S58=0,0,IF(S$15&lt;=1,1,IF(EXACT(S358,"keine"),IF(S$3=S$12,1,0),IF(EXACT(S358,"beste"),IF(S$3=S328,1,0),IF(S$3=S268,1,0)))))</f>
        <v/>
      </c>
      <c r="T388" s="61">
        <f>IF(T58=0,0,IF(T$15&lt;=1,1,IF(EXACT(T358,"keine"),IF(T$3=T$12,1,0),IF(EXACT(T358,"beste"),IF(T$3=T328,1,0),IF(T$3=T268,1,0)))))</f>
        <v/>
      </c>
      <c r="U388" s="61">
        <f>IF(U58=0,0,IF(U$15&lt;=1,1,IF(EXACT(U358,"keine"),IF(U$3=U$12,1,0),IF(EXACT(U358,"beste"),IF(U$3=U328,1,0),IF(U$3=U268,1,0)))))</f>
        <v/>
      </c>
      <c r="V388" s="61">
        <f>IF(V58=0,0,IF(V$15&lt;=1,1,IF(EXACT(V358,"keine"),IF(V$3=V$12,1,0),IF(EXACT(V358,"beste"),IF(V$3=V328,1,0),IF(V$3=V268,1,0)))))</f>
        <v/>
      </c>
    </row>
    <row r="389">
      <c r="C389" s="61">
        <f>IF(C59=0,0,IF(C$15&lt;=1,1,IF(EXACT(C359,"keine"),IF(C$3=C$12,1,0),IF(EXACT(C359,"beste"),IF(C$3=C329,1,0),IF(C$3=C269,1,0)))))</f>
        <v/>
      </c>
      <c r="D389" s="61">
        <f>IF(D59=0,0,IF(D$15&lt;=1,1,IF(EXACT(D359,"keine"),IF(D$3=D$12,1,0),IF(EXACT(D359,"beste"),IF(D$3=D329,1,0),IF(D$3=D269,1,0)))))</f>
        <v/>
      </c>
      <c r="E389" s="61">
        <f>IF(E59=0,0,IF(E$15&lt;=1,1,IF(EXACT(E359,"keine"),IF(E$3=E$12,1,0),IF(EXACT(E359,"beste"),IF(E$3=E329,1,0),IF(E$3=E269,1,0)))))</f>
        <v/>
      </c>
      <c r="F389" s="61">
        <f>IF(F59=0,0,IF(F$15&lt;=1,1,IF(EXACT(F359,"keine"),IF(F$3=F$12,1,0),IF(EXACT(F359,"beste"),IF(F$3=F329,1,0),IF(F$3=F269,1,0)))))</f>
        <v/>
      </c>
      <c r="G389" s="61">
        <f>IF(G59=0,0,IF(G$15&lt;=1,1,IF(EXACT(G359,"keine"),IF(G$3=G$12,1,0),IF(EXACT(G359,"beste"),IF(G$3=G329,1,0),IF(G$3=G269,1,0)))))</f>
        <v/>
      </c>
      <c r="H389" s="61">
        <f>IF(H59=0,0,IF(H$15&lt;=1,1,IF(EXACT(H359,"keine"),IF(H$3=H$12,1,0),IF(EXACT(H359,"beste"),IF(H$3=H329,1,0),IF(H$3=H269,1,0)))))</f>
        <v/>
      </c>
      <c r="I389" s="61">
        <f>IF(I59=0,0,IF(I$15&lt;=1,1,IF(EXACT(I359,"keine"),IF(I$3=I$12,1,0),IF(EXACT(I359,"beste"),IF(I$3=I329,1,0),IF(I$3=I269,1,0)))))</f>
        <v/>
      </c>
      <c r="J389" s="61">
        <f>IF(J59=0,0,IF(J$15&lt;=1,1,IF(EXACT(J359,"keine"),IF(J$3=J$12,1,0),IF(EXACT(J359,"beste"),IF(J$3=J329,1,0),IF(J$3=J269,1,0)))))</f>
        <v/>
      </c>
      <c r="K389" s="61">
        <f>IF(K59=0,0,IF(K$15&lt;=1,1,IF(EXACT(K359,"keine"),IF(K$3=K$12,1,0),IF(EXACT(K359,"beste"),IF(K$3=K329,1,0),IF(K$3=K269,1,0)))))</f>
        <v/>
      </c>
      <c r="L389" s="61">
        <f>IF(L59=0,0,IF(L$15&lt;=1,1,IF(EXACT(L359,"keine"),IF(L$3=L$12,1,0),IF(EXACT(L359,"beste"),IF(L$3=L329,1,0),IF(L$3=L269,1,0)))))</f>
        <v/>
      </c>
      <c r="M389" s="61">
        <f>IF(M59=0,0,IF(M$15&lt;=1,1,IF(EXACT(M359,"keine"),IF(M$3=M$12,1,0),IF(EXACT(M359,"beste"),IF(M$3=M329,1,0),IF(M$3=M269,1,0)))))</f>
        <v/>
      </c>
      <c r="N389" s="61">
        <f>IF(N59=0,0,IF(N$15&lt;=1,1,IF(EXACT(N359,"keine"),IF(N$3=N$12,1,0),IF(EXACT(N359,"beste"),IF(N$3=N329,1,0),IF(N$3=N269,1,0)))))</f>
        <v/>
      </c>
      <c r="O389" s="61">
        <f>IF(O59=0,0,IF(O$15&lt;=1,1,IF(EXACT(O359,"keine"),IF(O$3=O$12,1,0),IF(EXACT(O359,"beste"),IF(O$3=O329,1,0),IF(O$3=O269,1,0)))))</f>
        <v/>
      </c>
      <c r="P389" s="61">
        <f>IF(P59=0,0,IF(P$15&lt;=1,1,IF(EXACT(P359,"keine"),IF(P$3=P$12,1,0),IF(EXACT(P359,"beste"),IF(P$3=P329,1,0),IF(P$3=P269,1,0)))))</f>
        <v/>
      </c>
      <c r="Q389" s="61">
        <f>IF(Q59=0,0,IF(Q$15&lt;=1,1,IF(EXACT(Q359,"keine"),IF(Q$3=Q$12,1,0),IF(EXACT(Q359,"beste"),IF(Q$3=Q329,1,0),IF(Q$3=Q269,1,0)))))</f>
        <v/>
      </c>
      <c r="R389" s="61">
        <f>IF(R59=0,0,IF(R$15&lt;=1,1,IF(EXACT(R359,"keine"),IF(R$3=R$12,1,0),IF(EXACT(R359,"beste"),IF(R$3=R329,1,0),IF(R$3=R269,1,0)))))</f>
        <v/>
      </c>
      <c r="S389" s="61">
        <f>IF(S59=0,0,IF(S$15&lt;=1,1,IF(EXACT(S359,"keine"),IF(S$3=S$12,1,0),IF(EXACT(S359,"beste"),IF(S$3=S329,1,0),IF(S$3=S269,1,0)))))</f>
        <v/>
      </c>
      <c r="T389" s="61">
        <f>IF(T59=0,0,IF(T$15&lt;=1,1,IF(EXACT(T359,"keine"),IF(T$3=T$12,1,0),IF(EXACT(T359,"beste"),IF(T$3=T329,1,0),IF(T$3=T269,1,0)))))</f>
        <v/>
      </c>
      <c r="U389" s="61">
        <f>IF(U59=0,0,IF(U$15&lt;=1,1,IF(EXACT(U359,"keine"),IF(U$3=U$12,1,0),IF(EXACT(U359,"beste"),IF(U$3=U329,1,0),IF(U$3=U269,1,0)))))</f>
        <v/>
      </c>
      <c r="V389" s="61">
        <f>IF(V59=0,0,IF(V$15&lt;=1,1,IF(EXACT(V359,"keine"),IF(V$3=V$12,1,0),IF(EXACT(V359,"beste"),IF(V$3=V329,1,0),IF(V$3=V269,1,0)))))</f>
        <v/>
      </c>
    </row>
    <row r="390">
      <c r="C390" s="61">
        <f>IF(C60=0,0,IF(C$15&lt;=1,1,IF(EXACT(C360,"keine"),IF(C$3=C$12,1,0),IF(EXACT(C360,"beste"),IF(C$3=C330,1,0),IF(C$3=C270,1,0)))))</f>
        <v/>
      </c>
      <c r="D390" s="61">
        <f>IF(D60=0,0,IF(D$15&lt;=1,1,IF(EXACT(D360,"keine"),IF(D$3=D$12,1,0),IF(EXACT(D360,"beste"),IF(D$3=D330,1,0),IF(D$3=D270,1,0)))))</f>
        <v/>
      </c>
      <c r="E390" s="61">
        <f>IF(E60=0,0,IF(E$15&lt;=1,1,IF(EXACT(E360,"keine"),IF(E$3=E$12,1,0),IF(EXACT(E360,"beste"),IF(E$3=E330,1,0),IF(E$3=E270,1,0)))))</f>
        <v/>
      </c>
      <c r="F390" s="61">
        <f>IF(F60=0,0,IF(F$15&lt;=1,1,IF(EXACT(F360,"keine"),IF(F$3=F$12,1,0),IF(EXACT(F360,"beste"),IF(F$3=F330,1,0),IF(F$3=F270,1,0)))))</f>
        <v/>
      </c>
      <c r="G390" s="61">
        <f>IF(G60=0,0,IF(G$15&lt;=1,1,IF(EXACT(G360,"keine"),IF(G$3=G$12,1,0),IF(EXACT(G360,"beste"),IF(G$3=G330,1,0),IF(G$3=G270,1,0)))))</f>
        <v/>
      </c>
      <c r="H390" s="61">
        <f>IF(H60=0,0,IF(H$15&lt;=1,1,IF(EXACT(H360,"keine"),IF(H$3=H$12,1,0),IF(EXACT(H360,"beste"),IF(H$3=H330,1,0),IF(H$3=H270,1,0)))))</f>
        <v/>
      </c>
      <c r="I390" s="61">
        <f>IF(I60=0,0,IF(I$15&lt;=1,1,IF(EXACT(I360,"keine"),IF(I$3=I$12,1,0),IF(EXACT(I360,"beste"),IF(I$3=I330,1,0),IF(I$3=I270,1,0)))))</f>
        <v/>
      </c>
      <c r="J390" s="61">
        <f>IF(J60=0,0,IF(J$15&lt;=1,1,IF(EXACT(J360,"keine"),IF(J$3=J$12,1,0),IF(EXACT(J360,"beste"),IF(J$3=J330,1,0),IF(J$3=J270,1,0)))))</f>
        <v/>
      </c>
      <c r="K390" s="61">
        <f>IF(K60=0,0,IF(K$15&lt;=1,1,IF(EXACT(K360,"keine"),IF(K$3=K$12,1,0),IF(EXACT(K360,"beste"),IF(K$3=K330,1,0),IF(K$3=K270,1,0)))))</f>
        <v/>
      </c>
      <c r="L390" s="61">
        <f>IF(L60=0,0,IF(L$15&lt;=1,1,IF(EXACT(L360,"keine"),IF(L$3=L$12,1,0),IF(EXACT(L360,"beste"),IF(L$3=L330,1,0),IF(L$3=L270,1,0)))))</f>
        <v/>
      </c>
      <c r="M390" s="61">
        <f>IF(M60=0,0,IF(M$15&lt;=1,1,IF(EXACT(M360,"keine"),IF(M$3=M$12,1,0),IF(EXACT(M360,"beste"),IF(M$3=M330,1,0),IF(M$3=M270,1,0)))))</f>
        <v/>
      </c>
      <c r="N390" s="61">
        <f>IF(N60=0,0,IF(N$15&lt;=1,1,IF(EXACT(N360,"keine"),IF(N$3=N$12,1,0),IF(EXACT(N360,"beste"),IF(N$3=N330,1,0),IF(N$3=N270,1,0)))))</f>
        <v/>
      </c>
      <c r="O390" s="61">
        <f>IF(O60=0,0,IF(O$15&lt;=1,1,IF(EXACT(O360,"keine"),IF(O$3=O$12,1,0),IF(EXACT(O360,"beste"),IF(O$3=O330,1,0),IF(O$3=O270,1,0)))))</f>
        <v/>
      </c>
      <c r="P390" s="61">
        <f>IF(P60=0,0,IF(P$15&lt;=1,1,IF(EXACT(P360,"keine"),IF(P$3=P$12,1,0),IF(EXACT(P360,"beste"),IF(P$3=P330,1,0),IF(P$3=P270,1,0)))))</f>
        <v/>
      </c>
      <c r="Q390" s="61">
        <f>IF(Q60=0,0,IF(Q$15&lt;=1,1,IF(EXACT(Q360,"keine"),IF(Q$3=Q$12,1,0),IF(EXACT(Q360,"beste"),IF(Q$3=Q330,1,0),IF(Q$3=Q270,1,0)))))</f>
        <v/>
      </c>
      <c r="R390" s="61">
        <f>IF(R60=0,0,IF(R$15&lt;=1,1,IF(EXACT(R360,"keine"),IF(R$3=R$12,1,0),IF(EXACT(R360,"beste"),IF(R$3=R330,1,0),IF(R$3=R270,1,0)))))</f>
        <v/>
      </c>
      <c r="S390" s="61">
        <f>IF(S60=0,0,IF(S$15&lt;=1,1,IF(EXACT(S360,"keine"),IF(S$3=S$12,1,0),IF(EXACT(S360,"beste"),IF(S$3=S330,1,0),IF(S$3=S270,1,0)))))</f>
        <v/>
      </c>
      <c r="T390" s="61">
        <f>IF(T60=0,0,IF(T$15&lt;=1,1,IF(EXACT(T360,"keine"),IF(T$3=T$12,1,0),IF(EXACT(T360,"beste"),IF(T$3=T330,1,0),IF(T$3=T270,1,0)))))</f>
        <v/>
      </c>
      <c r="U390" s="61">
        <f>IF(U60=0,0,IF(U$15&lt;=1,1,IF(EXACT(U360,"keine"),IF(U$3=U$12,1,0),IF(EXACT(U360,"beste"),IF(U$3=U330,1,0),IF(U$3=U270,1,0)))))</f>
        <v/>
      </c>
      <c r="V390" s="61">
        <f>IF(V60=0,0,IF(V$15&lt;=1,1,IF(EXACT(V360,"keine"),IF(V$3=V$12,1,0),IF(EXACT(V360,"beste"),IF(V$3=V330,1,0),IF(V$3=V270,1,0)))))</f>
        <v/>
      </c>
    </row>
    <row r="391">
      <c r="C391" s="61">
        <f>IF(C61=0,0,IF(C$15&lt;=1,1,IF(EXACT(C361,"keine"),IF(C$3=C$12,1,0),IF(EXACT(C361,"beste"),IF(C$3=C331,1,0),IF(C$3=C271,1,0)))))</f>
        <v/>
      </c>
      <c r="D391" s="61">
        <f>IF(D61=0,0,IF(D$15&lt;=1,1,IF(EXACT(D361,"keine"),IF(D$3=D$12,1,0),IF(EXACT(D361,"beste"),IF(D$3=D331,1,0),IF(D$3=D271,1,0)))))</f>
        <v/>
      </c>
      <c r="E391" s="61">
        <f>IF(E61=0,0,IF(E$15&lt;=1,1,IF(EXACT(E361,"keine"),IF(E$3=E$12,1,0),IF(EXACT(E361,"beste"),IF(E$3=E331,1,0),IF(E$3=E271,1,0)))))</f>
        <v/>
      </c>
      <c r="F391" s="61">
        <f>IF(F61=0,0,IF(F$15&lt;=1,1,IF(EXACT(F361,"keine"),IF(F$3=F$12,1,0),IF(EXACT(F361,"beste"),IF(F$3=F331,1,0),IF(F$3=F271,1,0)))))</f>
        <v/>
      </c>
      <c r="G391" s="61">
        <f>IF(G61=0,0,IF(G$15&lt;=1,1,IF(EXACT(G361,"keine"),IF(G$3=G$12,1,0),IF(EXACT(G361,"beste"),IF(G$3=G331,1,0),IF(G$3=G271,1,0)))))</f>
        <v/>
      </c>
      <c r="H391" s="61">
        <f>IF(H61=0,0,IF(H$15&lt;=1,1,IF(EXACT(H361,"keine"),IF(H$3=H$12,1,0),IF(EXACT(H361,"beste"),IF(H$3=H331,1,0),IF(H$3=H271,1,0)))))</f>
        <v/>
      </c>
      <c r="I391" s="61">
        <f>IF(I61=0,0,IF(I$15&lt;=1,1,IF(EXACT(I361,"keine"),IF(I$3=I$12,1,0),IF(EXACT(I361,"beste"),IF(I$3=I331,1,0),IF(I$3=I271,1,0)))))</f>
        <v/>
      </c>
      <c r="J391" s="61">
        <f>IF(J61=0,0,IF(J$15&lt;=1,1,IF(EXACT(J361,"keine"),IF(J$3=J$12,1,0),IF(EXACT(J361,"beste"),IF(J$3=J331,1,0),IF(J$3=J271,1,0)))))</f>
        <v/>
      </c>
      <c r="K391" s="61">
        <f>IF(K61=0,0,IF(K$15&lt;=1,1,IF(EXACT(K361,"keine"),IF(K$3=K$12,1,0),IF(EXACT(K361,"beste"),IF(K$3=K331,1,0),IF(K$3=K271,1,0)))))</f>
        <v/>
      </c>
      <c r="L391" s="61">
        <f>IF(L61=0,0,IF(L$15&lt;=1,1,IF(EXACT(L361,"keine"),IF(L$3=L$12,1,0),IF(EXACT(L361,"beste"),IF(L$3=L331,1,0),IF(L$3=L271,1,0)))))</f>
        <v/>
      </c>
      <c r="M391" s="61">
        <f>IF(M61=0,0,IF(M$15&lt;=1,1,IF(EXACT(M361,"keine"),IF(M$3=M$12,1,0),IF(EXACT(M361,"beste"),IF(M$3=M331,1,0),IF(M$3=M271,1,0)))))</f>
        <v/>
      </c>
      <c r="N391" s="61">
        <f>IF(N61=0,0,IF(N$15&lt;=1,1,IF(EXACT(N361,"keine"),IF(N$3=N$12,1,0),IF(EXACT(N361,"beste"),IF(N$3=N331,1,0),IF(N$3=N271,1,0)))))</f>
        <v/>
      </c>
      <c r="O391" s="61">
        <f>IF(O61=0,0,IF(O$15&lt;=1,1,IF(EXACT(O361,"keine"),IF(O$3=O$12,1,0),IF(EXACT(O361,"beste"),IF(O$3=O331,1,0),IF(O$3=O271,1,0)))))</f>
        <v/>
      </c>
      <c r="P391" s="61">
        <f>IF(P61=0,0,IF(P$15&lt;=1,1,IF(EXACT(P361,"keine"),IF(P$3=P$12,1,0),IF(EXACT(P361,"beste"),IF(P$3=P331,1,0),IF(P$3=P271,1,0)))))</f>
        <v/>
      </c>
      <c r="Q391" s="61">
        <f>IF(Q61=0,0,IF(Q$15&lt;=1,1,IF(EXACT(Q361,"keine"),IF(Q$3=Q$12,1,0),IF(EXACT(Q361,"beste"),IF(Q$3=Q331,1,0),IF(Q$3=Q271,1,0)))))</f>
        <v/>
      </c>
      <c r="R391" s="61">
        <f>IF(R61=0,0,IF(R$15&lt;=1,1,IF(EXACT(R361,"keine"),IF(R$3=R$12,1,0),IF(EXACT(R361,"beste"),IF(R$3=R331,1,0),IF(R$3=R271,1,0)))))</f>
        <v/>
      </c>
      <c r="S391" s="61">
        <f>IF(S61=0,0,IF(S$15&lt;=1,1,IF(EXACT(S361,"keine"),IF(S$3=S$12,1,0),IF(EXACT(S361,"beste"),IF(S$3=S331,1,0),IF(S$3=S271,1,0)))))</f>
        <v/>
      </c>
      <c r="T391" s="61">
        <f>IF(T61=0,0,IF(T$15&lt;=1,1,IF(EXACT(T361,"keine"),IF(T$3=T$12,1,0),IF(EXACT(T361,"beste"),IF(T$3=T331,1,0),IF(T$3=T271,1,0)))))</f>
        <v/>
      </c>
      <c r="U391" s="61">
        <f>IF(U61=0,0,IF(U$15&lt;=1,1,IF(EXACT(U361,"keine"),IF(U$3=U$12,1,0),IF(EXACT(U361,"beste"),IF(U$3=U331,1,0),IF(U$3=U271,1,0)))))</f>
        <v/>
      </c>
      <c r="V391" s="61">
        <f>IF(V61=0,0,IF(V$15&lt;=1,1,IF(EXACT(V361,"keine"),IF(V$3=V$12,1,0),IF(EXACT(V361,"beste"),IF(V$3=V331,1,0),IF(V$3=V271,1,0)))))</f>
        <v/>
      </c>
    </row>
    <row r="392">
      <c r="C392" s="61">
        <f>IF(C62=0,0,IF(C$15&lt;=1,1,IF(EXACT(C362,"keine"),IF(C$3=C$12,1,0),IF(EXACT(C362,"beste"),IF(C$3=C332,1,0),IF(C$3=C272,1,0)))))</f>
        <v/>
      </c>
      <c r="D392" s="61">
        <f>IF(D62=0,0,IF(D$15&lt;=1,1,IF(EXACT(D362,"keine"),IF(D$3=D$12,1,0),IF(EXACT(D362,"beste"),IF(D$3=D332,1,0),IF(D$3=D272,1,0)))))</f>
        <v/>
      </c>
      <c r="E392" s="61">
        <f>IF(E62=0,0,IF(E$15&lt;=1,1,IF(EXACT(E362,"keine"),IF(E$3=E$12,1,0),IF(EXACT(E362,"beste"),IF(E$3=E332,1,0),IF(E$3=E272,1,0)))))</f>
        <v/>
      </c>
      <c r="F392" s="61">
        <f>IF(F62=0,0,IF(F$15&lt;=1,1,IF(EXACT(F362,"keine"),IF(F$3=F$12,1,0),IF(EXACT(F362,"beste"),IF(F$3=F332,1,0),IF(F$3=F272,1,0)))))</f>
        <v/>
      </c>
      <c r="G392" s="61">
        <f>IF(G62=0,0,IF(G$15&lt;=1,1,IF(EXACT(G362,"keine"),IF(G$3=G$12,1,0),IF(EXACT(G362,"beste"),IF(G$3=G332,1,0),IF(G$3=G272,1,0)))))</f>
        <v/>
      </c>
      <c r="H392" s="61">
        <f>IF(H62=0,0,IF(H$15&lt;=1,1,IF(EXACT(H362,"keine"),IF(H$3=H$12,1,0),IF(EXACT(H362,"beste"),IF(H$3=H332,1,0),IF(H$3=H272,1,0)))))</f>
        <v/>
      </c>
      <c r="I392" s="61">
        <f>IF(I62=0,0,IF(I$15&lt;=1,1,IF(EXACT(I362,"keine"),IF(I$3=I$12,1,0),IF(EXACT(I362,"beste"),IF(I$3=I332,1,0),IF(I$3=I272,1,0)))))</f>
        <v/>
      </c>
      <c r="J392" s="61">
        <f>IF(J62=0,0,IF(J$15&lt;=1,1,IF(EXACT(J362,"keine"),IF(J$3=J$12,1,0),IF(EXACT(J362,"beste"),IF(J$3=J332,1,0),IF(J$3=J272,1,0)))))</f>
        <v/>
      </c>
      <c r="K392" s="61">
        <f>IF(K62=0,0,IF(K$15&lt;=1,1,IF(EXACT(K362,"keine"),IF(K$3=K$12,1,0),IF(EXACT(K362,"beste"),IF(K$3=K332,1,0),IF(K$3=K272,1,0)))))</f>
        <v/>
      </c>
      <c r="L392" s="61">
        <f>IF(L62=0,0,IF(L$15&lt;=1,1,IF(EXACT(L362,"keine"),IF(L$3=L$12,1,0),IF(EXACT(L362,"beste"),IF(L$3=L332,1,0),IF(L$3=L272,1,0)))))</f>
        <v/>
      </c>
      <c r="M392" s="61">
        <f>IF(M62=0,0,IF(M$15&lt;=1,1,IF(EXACT(M362,"keine"),IF(M$3=M$12,1,0),IF(EXACT(M362,"beste"),IF(M$3=M332,1,0),IF(M$3=M272,1,0)))))</f>
        <v/>
      </c>
      <c r="N392" s="61">
        <f>IF(N62=0,0,IF(N$15&lt;=1,1,IF(EXACT(N362,"keine"),IF(N$3=N$12,1,0),IF(EXACT(N362,"beste"),IF(N$3=N332,1,0),IF(N$3=N272,1,0)))))</f>
        <v/>
      </c>
      <c r="O392" s="61">
        <f>IF(O62=0,0,IF(O$15&lt;=1,1,IF(EXACT(O362,"keine"),IF(O$3=O$12,1,0),IF(EXACT(O362,"beste"),IF(O$3=O332,1,0),IF(O$3=O272,1,0)))))</f>
        <v/>
      </c>
      <c r="P392" s="61">
        <f>IF(P62=0,0,IF(P$15&lt;=1,1,IF(EXACT(P362,"keine"),IF(P$3=P$12,1,0),IF(EXACT(P362,"beste"),IF(P$3=P332,1,0),IF(P$3=P272,1,0)))))</f>
        <v/>
      </c>
      <c r="Q392" s="61">
        <f>IF(Q62=0,0,IF(Q$15&lt;=1,1,IF(EXACT(Q362,"keine"),IF(Q$3=Q$12,1,0),IF(EXACT(Q362,"beste"),IF(Q$3=Q332,1,0),IF(Q$3=Q272,1,0)))))</f>
        <v/>
      </c>
      <c r="R392" s="61">
        <f>IF(R62=0,0,IF(R$15&lt;=1,1,IF(EXACT(R362,"keine"),IF(R$3=R$12,1,0),IF(EXACT(R362,"beste"),IF(R$3=R332,1,0),IF(R$3=R272,1,0)))))</f>
        <v/>
      </c>
      <c r="S392" s="61">
        <f>IF(S62=0,0,IF(S$15&lt;=1,1,IF(EXACT(S362,"keine"),IF(S$3=S$12,1,0),IF(EXACT(S362,"beste"),IF(S$3=S332,1,0),IF(S$3=S272,1,0)))))</f>
        <v/>
      </c>
      <c r="T392" s="61">
        <f>IF(T62=0,0,IF(T$15&lt;=1,1,IF(EXACT(T362,"keine"),IF(T$3=T$12,1,0),IF(EXACT(T362,"beste"),IF(T$3=T332,1,0),IF(T$3=T272,1,0)))))</f>
        <v/>
      </c>
      <c r="U392" s="61">
        <f>IF(U62=0,0,IF(U$15&lt;=1,1,IF(EXACT(U362,"keine"),IF(U$3=U$12,1,0),IF(EXACT(U362,"beste"),IF(U$3=U332,1,0),IF(U$3=U272,1,0)))))</f>
        <v/>
      </c>
      <c r="V392" s="61">
        <f>IF(V62=0,0,IF(V$15&lt;=1,1,IF(EXACT(V362,"keine"),IF(V$3=V$12,1,0),IF(EXACT(V362,"beste"),IF(V$3=V332,1,0),IF(V$3=V272,1,0)))))</f>
        <v/>
      </c>
    </row>
    <row r="393">
      <c r="C393" s="61">
        <f>IF(C63=0,0,IF(C$15&lt;=1,1,IF(EXACT(C363,"keine"),IF(C$3=C$12,1,0),IF(EXACT(C363,"beste"),IF(C$3=C333,1,0),IF(C$3=C273,1,0)))))</f>
        <v/>
      </c>
      <c r="D393" s="61">
        <f>IF(D63=0,0,IF(D$15&lt;=1,1,IF(EXACT(D363,"keine"),IF(D$3=D$12,1,0),IF(EXACT(D363,"beste"),IF(D$3=D333,1,0),IF(D$3=D273,1,0)))))</f>
        <v/>
      </c>
      <c r="E393" s="61">
        <f>IF(E63=0,0,IF(E$15&lt;=1,1,IF(EXACT(E363,"keine"),IF(E$3=E$12,1,0),IF(EXACT(E363,"beste"),IF(E$3=E333,1,0),IF(E$3=E273,1,0)))))</f>
        <v/>
      </c>
      <c r="F393" s="61">
        <f>IF(F63=0,0,IF(F$15&lt;=1,1,IF(EXACT(F363,"keine"),IF(F$3=F$12,1,0),IF(EXACT(F363,"beste"),IF(F$3=F333,1,0),IF(F$3=F273,1,0)))))</f>
        <v/>
      </c>
      <c r="G393" s="61">
        <f>IF(G63=0,0,IF(G$15&lt;=1,1,IF(EXACT(G363,"keine"),IF(G$3=G$12,1,0),IF(EXACT(G363,"beste"),IF(G$3=G333,1,0),IF(G$3=G273,1,0)))))</f>
        <v/>
      </c>
      <c r="H393" s="61">
        <f>IF(H63=0,0,IF(H$15&lt;=1,1,IF(EXACT(H363,"keine"),IF(H$3=H$12,1,0),IF(EXACT(H363,"beste"),IF(H$3=H333,1,0),IF(H$3=H273,1,0)))))</f>
        <v/>
      </c>
      <c r="I393" s="61">
        <f>IF(I63=0,0,IF(I$15&lt;=1,1,IF(EXACT(I363,"keine"),IF(I$3=I$12,1,0),IF(EXACT(I363,"beste"),IF(I$3=I333,1,0),IF(I$3=I273,1,0)))))</f>
        <v/>
      </c>
      <c r="J393" s="61">
        <f>IF(J63=0,0,IF(J$15&lt;=1,1,IF(EXACT(J363,"keine"),IF(J$3=J$12,1,0),IF(EXACT(J363,"beste"),IF(J$3=J333,1,0),IF(J$3=J273,1,0)))))</f>
        <v/>
      </c>
      <c r="K393" s="61">
        <f>IF(K63=0,0,IF(K$15&lt;=1,1,IF(EXACT(K363,"keine"),IF(K$3=K$12,1,0),IF(EXACT(K363,"beste"),IF(K$3=K333,1,0),IF(K$3=K273,1,0)))))</f>
        <v/>
      </c>
      <c r="L393" s="61">
        <f>IF(L63=0,0,IF(L$15&lt;=1,1,IF(EXACT(L363,"keine"),IF(L$3=L$12,1,0),IF(EXACT(L363,"beste"),IF(L$3=L333,1,0),IF(L$3=L273,1,0)))))</f>
        <v/>
      </c>
      <c r="M393" s="61">
        <f>IF(M63=0,0,IF(M$15&lt;=1,1,IF(EXACT(M363,"keine"),IF(M$3=M$12,1,0),IF(EXACT(M363,"beste"),IF(M$3=M333,1,0),IF(M$3=M273,1,0)))))</f>
        <v/>
      </c>
      <c r="N393" s="61">
        <f>IF(N63=0,0,IF(N$15&lt;=1,1,IF(EXACT(N363,"keine"),IF(N$3=N$12,1,0),IF(EXACT(N363,"beste"),IF(N$3=N333,1,0),IF(N$3=N273,1,0)))))</f>
        <v/>
      </c>
      <c r="O393" s="61">
        <f>IF(O63=0,0,IF(O$15&lt;=1,1,IF(EXACT(O363,"keine"),IF(O$3=O$12,1,0),IF(EXACT(O363,"beste"),IF(O$3=O333,1,0),IF(O$3=O273,1,0)))))</f>
        <v/>
      </c>
      <c r="P393" s="61">
        <f>IF(P63=0,0,IF(P$15&lt;=1,1,IF(EXACT(P363,"keine"),IF(P$3=P$12,1,0),IF(EXACT(P363,"beste"),IF(P$3=P333,1,0),IF(P$3=P273,1,0)))))</f>
        <v/>
      </c>
      <c r="Q393" s="61">
        <f>IF(Q63=0,0,IF(Q$15&lt;=1,1,IF(EXACT(Q363,"keine"),IF(Q$3=Q$12,1,0),IF(EXACT(Q363,"beste"),IF(Q$3=Q333,1,0),IF(Q$3=Q273,1,0)))))</f>
        <v/>
      </c>
      <c r="R393" s="61">
        <f>IF(R63=0,0,IF(R$15&lt;=1,1,IF(EXACT(R363,"keine"),IF(R$3=R$12,1,0),IF(EXACT(R363,"beste"),IF(R$3=R333,1,0),IF(R$3=R273,1,0)))))</f>
        <v/>
      </c>
      <c r="S393" s="61">
        <f>IF(S63=0,0,IF(S$15&lt;=1,1,IF(EXACT(S363,"keine"),IF(S$3=S$12,1,0),IF(EXACT(S363,"beste"),IF(S$3=S333,1,0),IF(S$3=S273,1,0)))))</f>
        <v/>
      </c>
      <c r="T393" s="61">
        <f>IF(T63=0,0,IF(T$15&lt;=1,1,IF(EXACT(T363,"keine"),IF(T$3=T$12,1,0),IF(EXACT(T363,"beste"),IF(T$3=T333,1,0),IF(T$3=T273,1,0)))))</f>
        <v/>
      </c>
      <c r="U393" s="61">
        <f>IF(U63=0,0,IF(U$15&lt;=1,1,IF(EXACT(U363,"keine"),IF(U$3=U$12,1,0),IF(EXACT(U363,"beste"),IF(U$3=U333,1,0),IF(U$3=U273,1,0)))))</f>
        <v/>
      </c>
      <c r="V393" s="61">
        <f>IF(V63=0,0,IF(V$15&lt;=1,1,IF(EXACT(V363,"keine"),IF(V$3=V$12,1,0),IF(EXACT(V363,"beste"),IF(V$3=V333,1,0),IF(V$3=V273,1,0)))))</f>
        <v/>
      </c>
    </row>
    <row r="394">
      <c r="C394" s="61">
        <f>IF(C64=0,0,IF(C$15&lt;=1,1,IF(EXACT(C364,"keine"),IF(C$3=C$12,1,0),IF(EXACT(C364,"beste"),IF(C$3=C334,1,0),IF(C$3=C274,1,0)))))</f>
        <v/>
      </c>
      <c r="D394" s="61">
        <f>IF(D64=0,0,IF(D$15&lt;=1,1,IF(EXACT(D364,"keine"),IF(D$3=D$12,1,0),IF(EXACT(D364,"beste"),IF(D$3=D334,1,0),IF(D$3=D274,1,0)))))</f>
        <v/>
      </c>
      <c r="E394" s="61">
        <f>IF(E64=0,0,IF(E$15&lt;=1,1,IF(EXACT(E364,"keine"),IF(E$3=E$12,1,0),IF(EXACT(E364,"beste"),IF(E$3=E334,1,0),IF(E$3=E274,1,0)))))</f>
        <v/>
      </c>
      <c r="F394" s="61">
        <f>IF(F64=0,0,IF(F$15&lt;=1,1,IF(EXACT(F364,"keine"),IF(F$3=F$12,1,0),IF(EXACT(F364,"beste"),IF(F$3=F334,1,0),IF(F$3=F274,1,0)))))</f>
        <v/>
      </c>
      <c r="G394" s="61">
        <f>IF(G64=0,0,IF(G$15&lt;=1,1,IF(EXACT(G364,"keine"),IF(G$3=G$12,1,0),IF(EXACT(G364,"beste"),IF(G$3=G334,1,0),IF(G$3=G274,1,0)))))</f>
        <v/>
      </c>
      <c r="H394" s="61">
        <f>IF(H64=0,0,IF(H$15&lt;=1,1,IF(EXACT(H364,"keine"),IF(H$3=H$12,1,0),IF(EXACT(H364,"beste"),IF(H$3=H334,1,0),IF(H$3=H274,1,0)))))</f>
        <v/>
      </c>
      <c r="I394" s="61">
        <f>IF(I64=0,0,IF(I$15&lt;=1,1,IF(EXACT(I364,"keine"),IF(I$3=I$12,1,0),IF(EXACT(I364,"beste"),IF(I$3=I334,1,0),IF(I$3=I274,1,0)))))</f>
        <v/>
      </c>
      <c r="J394" s="61">
        <f>IF(J64=0,0,IF(J$15&lt;=1,1,IF(EXACT(J364,"keine"),IF(J$3=J$12,1,0),IF(EXACT(J364,"beste"),IF(J$3=J334,1,0),IF(J$3=J274,1,0)))))</f>
        <v/>
      </c>
      <c r="K394" s="61">
        <f>IF(K64=0,0,IF(K$15&lt;=1,1,IF(EXACT(K364,"keine"),IF(K$3=K$12,1,0),IF(EXACT(K364,"beste"),IF(K$3=K334,1,0),IF(K$3=K274,1,0)))))</f>
        <v/>
      </c>
      <c r="L394" s="61">
        <f>IF(L64=0,0,IF(L$15&lt;=1,1,IF(EXACT(L364,"keine"),IF(L$3=L$12,1,0),IF(EXACT(L364,"beste"),IF(L$3=L334,1,0),IF(L$3=L274,1,0)))))</f>
        <v/>
      </c>
      <c r="M394" s="61">
        <f>IF(M64=0,0,IF(M$15&lt;=1,1,IF(EXACT(M364,"keine"),IF(M$3=M$12,1,0),IF(EXACT(M364,"beste"),IF(M$3=M334,1,0),IF(M$3=M274,1,0)))))</f>
        <v/>
      </c>
      <c r="N394" s="61">
        <f>IF(N64=0,0,IF(N$15&lt;=1,1,IF(EXACT(N364,"keine"),IF(N$3=N$12,1,0),IF(EXACT(N364,"beste"),IF(N$3=N334,1,0),IF(N$3=N274,1,0)))))</f>
        <v/>
      </c>
      <c r="O394" s="61">
        <f>IF(O64=0,0,IF(O$15&lt;=1,1,IF(EXACT(O364,"keine"),IF(O$3=O$12,1,0),IF(EXACT(O364,"beste"),IF(O$3=O334,1,0),IF(O$3=O274,1,0)))))</f>
        <v/>
      </c>
      <c r="P394" s="61">
        <f>IF(P64=0,0,IF(P$15&lt;=1,1,IF(EXACT(P364,"keine"),IF(P$3=P$12,1,0),IF(EXACT(P364,"beste"),IF(P$3=P334,1,0),IF(P$3=P274,1,0)))))</f>
        <v/>
      </c>
      <c r="Q394" s="61">
        <f>IF(Q64=0,0,IF(Q$15&lt;=1,1,IF(EXACT(Q364,"keine"),IF(Q$3=Q$12,1,0),IF(EXACT(Q364,"beste"),IF(Q$3=Q334,1,0),IF(Q$3=Q274,1,0)))))</f>
        <v/>
      </c>
      <c r="R394" s="61">
        <f>IF(R64=0,0,IF(R$15&lt;=1,1,IF(EXACT(R364,"keine"),IF(R$3=R$12,1,0),IF(EXACT(R364,"beste"),IF(R$3=R334,1,0),IF(R$3=R274,1,0)))))</f>
        <v/>
      </c>
      <c r="S394" s="61">
        <f>IF(S64=0,0,IF(S$15&lt;=1,1,IF(EXACT(S364,"keine"),IF(S$3=S$12,1,0),IF(EXACT(S364,"beste"),IF(S$3=S334,1,0),IF(S$3=S274,1,0)))))</f>
        <v/>
      </c>
      <c r="T394" s="61">
        <f>IF(T64=0,0,IF(T$15&lt;=1,1,IF(EXACT(T364,"keine"),IF(T$3=T$12,1,0),IF(EXACT(T364,"beste"),IF(T$3=T334,1,0),IF(T$3=T274,1,0)))))</f>
        <v/>
      </c>
      <c r="U394" s="61">
        <f>IF(U64=0,0,IF(U$15&lt;=1,1,IF(EXACT(U364,"keine"),IF(U$3=U$12,1,0),IF(EXACT(U364,"beste"),IF(U$3=U334,1,0),IF(U$3=U274,1,0)))))</f>
        <v/>
      </c>
      <c r="V394" s="61">
        <f>IF(V64=0,0,IF(V$15&lt;=1,1,IF(EXACT(V364,"keine"),IF(V$3=V$12,1,0),IF(EXACT(V364,"beste"),IF(V$3=V334,1,0),IF(V$3=V274,1,0)))))</f>
        <v/>
      </c>
    </row>
    <row r="395">
      <c r="C395" s="61">
        <f>IF(C65=0,0,IF(C$15&lt;=1,1,IF(EXACT(C365,"keine"),IF(C$3=C$12,1,0),IF(EXACT(C365,"beste"),IF(C$3=C335,1,0),IF(C$3=C275,1,0)))))</f>
        <v/>
      </c>
      <c r="D395" s="61">
        <f>IF(D65=0,0,IF(D$15&lt;=1,1,IF(EXACT(D365,"keine"),IF(D$3=D$12,1,0),IF(EXACT(D365,"beste"),IF(D$3=D335,1,0),IF(D$3=D275,1,0)))))</f>
        <v/>
      </c>
      <c r="E395" s="61">
        <f>IF(E65=0,0,IF(E$15&lt;=1,1,IF(EXACT(E365,"keine"),IF(E$3=E$12,1,0),IF(EXACT(E365,"beste"),IF(E$3=E335,1,0),IF(E$3=E275,1,0)))))</f>
        <v/>
      </c>
      <c r="F395" s="61">
        <f>IF(F65=0,0,IF(F$15&lt;=1,1,IF(EXACT(F365,"keine"),IF(F$3=F$12,1,0),IF(EXACT(F365,"beste"),IF(F$3=F335,1,0),IF(F$3=F275,1,0)))))</f>
        <v/>
      </c>
      <c r="G395" s="61">
        <f>IF(G65=0,0,IF(G$15&lt;=1,1,IF(EXACT(G365,"keine"),IF(G$3=G$12,1,0),IF(EXACT(G365,"beste"),IF(G$3=G335,1,0),IF(G$3=G275,1,0)))))</f>
        <v/>
      </c>
      <c r="H395" s="61">
        <f>IF(H65=0,0,IF(H$15&lt;=1,1,IF(EXACT(H365,"keine"),IF(H$3=H$12,1,0),IF(EXACT(H365,"beste"),IF(H$3=H335,1,0),IF(H$3=H275,1,0)))))</f>
        <v/>
      </c>
      <c r="I395" s="61">
        <f>IF(I65=0,0,IF(I$15&lt;=1,1,IF(EXACT(I365,"keine"),IF(I$3=I$12,1,0),IF(EXACT(I365,"beste"),IF(I$3=I335,1,0),IF(I$3=I275,1,0)))))</f>
        <v/>
      </c>
      <c r="J395" s="61">
        <f>IF(J65=0,0,IF(J$15&lt;=1,1,IF(EXACT(J365,"keine"),IF(J$3=J$12,1,0),IF(EXACT(J365,"beste"),IF(J$3=J335,1,0),IF(J$3=J275,1,0)))))</f>
        <v/>
      </c>
      <c r="K395" s="61">
        <f>IF(K65=0,0,IF(K$15&lt;=1,1,IF(EXACT(K365,"keine"),IF(K$3=K$12,1,0),IF(EXACT(K365,"beste"),IF(K$3=K335,1,0),IF(K$3=K275,1,0)))))</f>
        <v/>
      </c>
      <c r="L395" s="61">
        <f>IF(L65=0,0,IF(L$15&lt;=1,1,IF(EXACT(L365,"keine"),IF(L$3=L$12,1,0),IF(EXACT(L365,"beste"),IF(L$3=L335,1,0),IF(L$3=L275,1,0)))))</f>
        <v/>
      </c>
      <c r="M395" s="61">
        <f>IF(M65=0,0,IF(M$15&lt;=1,1,IF(EXACT(M365,"keine"),IF(M$3=M$12,1,0),IF(EXACT(M365,"beste"),IF(M$3=M335,1,0),IF(M$3=M275,1,0)))))</f>
        <v/>
      </c>
      <c r="N395" s="61">
        <f>IF(N65=0,0,IF(N$15&lt;=1,1,IF(EXACT(N365,"keine"),IF(N$3=N$12,1,0),IF(EXACT(N365,"beste"),IF(N$3=N335,1,0),IF(N$3=N275,1,0)))))</f>
        <v/>
      </c>
      <c r="O395" s="61">
        <f>IF(O65=0,0,IF(O$15&lt;=1,1,IF(EXACT(O365,"keine"),IF(O$3=O$12,1,0),IF(EXACT(O365,"beste"),IF(O$3=O335,1,0),IF(O$3=O275,1,0)))))</f>
        <v/>
      </c>
      <c r="P395" s="61">
        <f>IF(P65=0,0,IF(P$15&lt;=1,1,IF(EXACT(P365,"keine"),IF(P$3=P$12,1,0),IF(EXACT(P365,"beste"),IF(P$3=P335,1,0),IF(P$3=P275,1,0)))))</f>
        <v/>
      </c>
      <c r="Q395" s="61">
        <f>IF(Q65=0,0,IF(Q$15&lt;=1,1,IF(EXACT(Q365,"keine"),IF(Q$3=Q$12,1,0),IF(EXACT(Q365,"beste"),IF(Q$3=Q335,1,0),IF(Q$3=Q275,1,0)))))</f>
        <v/>
      </c>
      <c r="R395" s="61">
        <f>IF(R65=0,0,IF(R$15&lt;=1,1,IF(EXACT(R365,"keine"),IF(R$3=R$12,1,0),IF(EXACT(R365,"beste"),IF(R$3=R335,1,0),IF(R$3=R275,1,0)))))</f>
        <v/>
      </c>
      <c r="S395" s="61">
        <f>IF(S65=0,0,IF(S$15&lt;=1,1,IF(EXACT(S365,"keine"),IF(S$3=S$12,1,0),IF(EXACT(S365,"beste"),IF(S$3=S335,1,0),IF(S$3=S275,1,0)))))</f>
        <v/>
      </c>
      <c r="T395" s="61">
        <f>IF(T65=0,0,IF(T$15&lt;=1,1,IF(EXACT(T365,"keine"),IF(T$3=T$12,1,0),IF(EXACT(T365,"beste"),IF(T$3=T335,1,0),IF(T$3=T275,1,0)))))</f>
        <v/>
      </c>
      <c r="U395" s="61">
        <f>IF(U65=0,0,IF(U$15&lt;=1,1,IF(EXACT(U365,"keine"),IF(U$3=U$12,1,0),IF(EXACT(U365,"beste"),IF(U$3=U335,1,0),IF(U$3=U275,1,0)))))</f>
        <v/>
      </c>
      <c r="V395" s="61">
        <f>IF(V65=0,0,IF(V$15&lt;=1,1,IF(EXACT(V365,"keine"),IF(V$3=V$12,1,0),IF(EXACT(V365,"beste"),IF(V$3=V335,1,0),IF(V$3=V275,1,0)))))</f>
        <v/>
      </c>
    </row>
    <row r="396">
      <c r="C396" s="61">
        <f>IF(C66=0,0,IF(C$15&lt;=1,1,IF(EXACT(C366,"keine"),IF(C$3=C$12,1,0),IF(EXACT(C366,"beste"),IF(C$3=C336,1,0),IF(C$3=C276,1,0)))))</f>
        <v/>
      </c>
      <c r="D396" s="61">
        <f>IF(D66=0,0,IF(D$15&lt;=1,1,IF(EXACT(D366,"keine"),IF(D$3=D$12,1,0),IF(EXACT(D366,"beste"),IF(D$3=D336,1,0),IF(D$3=D276,1,0)))))</f>
        <v/>
      </c>
      <c r="E396" s="61">
        <f>IF(E66=0,0,IF(E$15&lt;=1,1,IF(EXACT(E366,"keine"),IF(E$3=E$12,1,0),IF(EXACT(E366,"beste"),IF(E$3=E336,1,0),IF(E$3=E276,1,0)))))</f>
        <v/>
      </c>
      <c r="F396" s="61">
        <f>IF(F66=0,0,IF(F$15&lt;=1,1,IF(EXACT(F366,"keine"),IF(F$3=F$12,1,0),IF(EXACT(F366,"beste"),IF(F$3=F336,1,0),IF(F$3=F276,1,0)))))</f>
        <v/>
      </c>
      <c r="G396" s="61">
        <f>IF(G66=0,0,IF(G$15&lt;=1,1,IF(EXACT(G366,"keine"),IF(G$3=G$12,1,0),IF(EXACT(G366,"beste"),IF(G$3=G336,1,0),IF(G$3=G276,1,0)))))</f>
        <v/>
      </c>
      <c r="H396" s="61">
        <f>IF(H66=0,0,IF(H$15&lt;=1,1,IF(EXACT(H366,"keine"),IF(H$3=H$12,1,0),IF(EXACT(H366,"beste"),IF(H$3=H336,1,0),IF(H$3=H276,1,0)))))</f>
        <v/>
      </c>
      <c r="I396" s="61">
        <f>IF(I66=0,0,IF(I$15&lt;=1,1,IF(EXACT(I366,"keine"),IF(I$3=I$12,1,0),IF(EXACT(I366,"beste"),IF(I$3=I336,1,0),IF(I$3=I276,1,0)))))</f>
        <v/>
      </c>
      <c r="J396" s="61">
        <f>IF(J66=0,0,IF(J$15&lt;=1,1,IF(EXACT(J366,"keine"),IF(J$3=J$12,1,0),IF(EXACT(J366,"beste"),IF(J$3=J336,1,0),IF(J$3=J276,1,0)))))</f>
        <v/>
      </c>
      <c r="K396" s="61">
        <f>IF(K66=0,0,IF(K$15&lt;=1,1,IF(EXACT(K366,"keine"),IF(K$3=K$12,1,0),IF(EXACT(K366,"beste"),IF(K$3=K336,1,0),IF(K$3=K276,1,0)))))</f>
        <v/>
      </c>
      <c r="L396" s="61">
        <f>IF(L66=0,0,IF(L$15&lt;=1,1,IF(EXACT(L366,"keine"),IF(L$3=L$12,1,0),IF(EXACT(L366,"beste"),IF(L$3=L336,1,0),IF(L$3=L276,1,0)))))</f>
        <v/>
      </c>
      <c r="M396" s="61">
        <f>IF(M66=0,0,IF(M$15&lt;=1,1,IF(EXACT(M366,"keine"),IF(M$3=M$12,1,0),IF(EXACT(M366,"beste"),IF(M$3=M336,1,0),IF(M$3=M276,1,0)))))</f>
        <v/>
      </c>
      <c r="N396" s="61">
        <f>IF(N66=0,0,IF(N$15&lt;=1,1,IF(EXACT(N366,"keine"),IF(N$3=N$12,1,0),IF(EXACT(N366,"beste"),IF(N$3=N336,1,0),IF(N$3=N276,1,0)))))</f>
        <v/>
      </c>
      <c r="O396" s="61">
        <f>IF(O66=0,0,IF(O$15&lt;=1,1,IF(EXACT(O366,"keine"),IF(O$3=O$12,1,0),IF(EXACT(O366,"beste"),IF(O$3=O336,1,0),IF(O$3=O276,1,0)))))</f>
        <v/>
      </c>
      <c r="P396" s="61">
        <f>IF(P66=0,0,IF(P$15&lt;=1,1,IF(EXACT(P366,"keine"),IF(P$3=P$12,1,0),IF(EXACT(P366,"beste"),IF(P$3=P336,1,0),IF(P$3=P276,1,0)))))</f>
        <v/>
      </c>
      <c r="Q396" s="61">
        <f>IF(Q66=0,0,IF(Q$15&lt;=1,1,IF(EXACT(Q366,"keine"),IF(Q$3=Q$12,1,0),IF(EXACT(Q366,"beste"),IF(Q$3=Q336,1,0),IF(Q$3=Q276,1,0)))))</f>
        <v/>
      </c>
      <c r="R396" s="61">
        <f>IF(R66=0,0,IF(R$15&lt;=1,1,IF(EXACT(R366,"keine"),IF(R$3=R$12,1,0),IF(EXACT(R366,"beste"),IF(R$3=R336,1,0),IF(R$3=R276,1,0)))))</f>
        <v/>
      </c>
      <c r="S396" s="61">
        <f>IF(S66=0,0,IF(S$15&lt;=1,1,IF(EXACT(S366,"keine"),IF(S$3=S$12,1,0),IF(EXACT(S366,"beste"),IF(S$3=S336,1,0),IF(S$3=S276,1,0)))))</f>
        <v/>
      </c>
      <c r="T396" s="61">
        <f>IF(T66=0,0,IF(T$15&lt;=1,1,IF(EXACT(T366,"keine"),IF(T$3=T$12,1,0),IF(EXACT(T366,"beste"),IF(T$3=T336,1,0),IF(T$3=T276,1,0)))))</f>
        <v/>
      </c>
      <c r="U396" s="61">
        <f>IF(U66=0,0,IF(U$15&lt;=1,1,IF(EXACT(U366,"keine"),IF(U$3=U$12,1,0),IF(EXACT(U366,"beste"),IF(U$3=U336,1,0),IF(U$3=U276,1,0)))))</f>
        <v/>
      </c>
      <c r="V396" s="61">
        <f>IF(V66=0,0,IF(V$15&lt;=1,1,IF(EXACT(V366,"keine"),IF(V$3=V$12,1,0),IF(EXACT(V366,"beste"),IF(V$3=V336,1,0),IF(V$3=V276,1,0)))))</f>
        <v/>
      </c>
    </row>
    <row r="397">
      <c r="C397" s="61">
        <f>IF(C67=0,0,IF(C$15&lt;=1,1,IF(EXACT(C367,"keine"),IF(C$3=C$12,1,0),IF(EXACT(C367,"beste"),IF(C$3=C337,1,0),IF(C$3=C277,1,0)))))</f>
        <v/>
      </c>
      <c r="D397" s="61">
        <f>IF(D67=0,0,IF(D$15&lt;=1,1,IF(EXACT(D367,"keine"),IF(D$3=D$12,1,0),IF(EXACT(D367,"beste"),IF(D$3=D337,1,0),IF(D$3=D277,1,0)))))</f>
        <v/>
      </c>
      <c r="E397" s="61">
        <f>IF(E67=0,0,IF(E$15&lt;=1,1,IF(EXACT(E367,"keine"),IF(E$3=E$12,1,0),IF(EXACT(E367,"beste"),IF(E$3=E337,1,0),IF(E$3=E277,1,0)))))</f>
        <v/>
      </c>
      <c r="F397" s="61">
        <f>IF(F67=0,0,IF(F$15&lt;=1,1,IF(EXACT(F367,"keine"),IF(F$3=F$12,1,0),IF(EXACT(F367,"beste"),IF(F$3=F337,1,0),IF(F$3=F277,1,0)))))</f>
        <v/>
      </c>
      <c r="G397" s="61">
        <f>IF(G67=0,0,IF(G$15&lt;=1,1,IF(EXACT(G367,"keine"),IF(G$3=G$12,1,0),IF(EXACT(G367,"beste"),IF(G$3=G337,1,0),IF(G$3=G277,1,0)))))</f>
        <v/>
      </c>
      <c r="H397" s="61">
        <f>IF(H67=0,0,IF(H$15&lt;=1,1,IF(EXACT(H367,"keine"),IF(H$3=H$12,1,0),IF(EXACT(H367,"beste"),IF(H$3=H337,1,0),IF(H$3=H277,1,0)))))</f>
        <v/>
      </c>
      <c r="I397" s="61">
        <f>IF(I67=0,0,IF(I$15&lt;=1,1,IF(EXACT(I367,"keine"),IF(I$3=I$12,1,0),IF(EXACT(I367,"beste"),IF(I$3=I337,1,0),IF(I$3=I277,1,0)))))</f>
        <v/>
      </c>
      <c r="J397" s="61">
        <f>IF(J67=0,0,IF(J$15&lt;=1,1,IF(EXACT(J367,"keine"),IF(J$3=J$12,1,0),IF(EXACT(J367,"beste"),IF(J$3=J337,1,0),IF(J$3=J277,1,0)))))</f>
        <v/>
      </c>
      <c r="K397" s="61">
        <f>IF(K67=0,0,IF(K$15&lt;=1,1,IF(EXACT(K367,"keine"),IF(K$3=K$12,1,0),IF(EXACT(K367,"beste"),IF(K$3=K337,1,0),IF(K$3=K277,1,0)))))</f>
        <v/>
      </c>
      <c r="L397" s="61">
        <f>IF(L67=0,0,IF(L$15&lt;=1,1,IF(EXACT(L367,"keine"),IF(L$3=L$12,1,0),IF(EXACT(L367,"beste"),IF(L$3=L337,1,0),IF(L$3=L277,1,0)))))</f>
        <v/>
      </c>
      <c r="M397" s="61">
        <f>IF(M67=0,0,IF(M$15&lt;=1,1,IF(EXACT(M367,"keine"),IF(M$3=M$12,1,0),IF(EXACT(M367,"beste"),IF(M$3=M337,1,0),IF(M$3=M277,1,0)))))</f>
        <v/>
      </c>
      <c r="N397" s="61">
        <f>IF(N67=0,0,IF(N$15&lt;=1,1,IF(EXACT(N367,"keine"),IF(N$3=N$12,1,0),IF(EXACT(N367,"beste"),IF(N$3=N337,1,0),IF(N$3=N277,1,0)))))</f>
        <v/>
      </c>
      <c r="O397" s="61">
        <f>IF(O67=0,0,IF(O$15&lt;=1,1,IF(EXACT(O367,"keine"),IF(O$3=O$12,1,0),IF(EXACT(O367,"beste"),IF(O$3=O337,1,0),IF(O$3=O277,1,0)))))</f>
        <v/>
      </c>
      <c r="P397" s="61">
        <f>IF(P67=0,0,IF(P$15&lt;=1,1,IF(EXACT(P367,"keine"),IF(P$3=P$12,1,0),IF(EXACT(P367,"beste"),IF(P$3=P337,1,0),IF(P$3=P277,1,0)))))</f>
        <v/>
      </c>
      <c r="Q397" s="61">
        <f>IF(Q67=0,0,IF(Q$15&lt;=1,1,IF(EXACT(Q367,"keine"),IF(Q$3=Q$12,1,0),IF(EXACT(Q367,"beste"),IF(Q$3=Q337,1,0),IF(Q$3=Q277,1,0)))))</f>
        <v/>
      </c>
      <c r="R397" s="61">
        <f>IF(R67=0,0,IF(R$15&lt;=1,1,IF(EXACT(R367,"keine"),IF(R$3=R$12,1,0),IF(EXACT(R367,"beste"),IF(R$3=R337,1,0),IF(R$3=R277,1,0)))))</f>
        <v/>
      </c>
      <c r="S397" s="61">
        <f>IF(S67=0,0,IF(S$15&lt;=1,1,IF(EXACT(S367,"keine"),IF(S$3=S$12,1,0),IF(EXACT(S367,"beste"),IF(S$3=S337,1,0),IF(S$3=S277,1,0)))))</f>
        <v/>
      </c>
      <c r="T397" s="61">
        <f>IF(T67=0,0,IF(T$15&lt;=1,1,IF(EXACT(T367,"keine"),IF(T$3=T$12,1,0),IF(EXACT(T367,"beste"),IF(T$3=T337,1,0),IF(T$3=T277,1,0)))))</f>
        <v/>
      </c>
      <c r="U397" s="61">
        <f>IF(U67=0,0,IF(U$15&lt;=1,1,IF(EXACT(U367,"keine"),IF(U$3=U$12,1,0),IF(EXACT(U367,"beste"),IF(U$3=U337,1,0),IF(U$3=U277,1,0)))))</f>
        <v/>
      </c>
      <c r="V397" s="61">
        <f>IF(V67=0,0,IF(V$15&lt;=1,1,IF(EXACT(V367,"keine"),IF(V$3=V$12,1,0),IF(EXACT(V367,"beste"),IF(V$3=V337,1,0),IF(V$3=V277,1,0)))))</f>
        <v/>
      </c>
    </row>
    <row r="398">
      <c r="C398" s="61">
        <f>IF(C68=0,0,IF(C$15&lt;=1,1,IF(EXACT(C368,"keine"),IF(C$3=C$12,1,0),IF(EXACT(C368,"beste"),IF(C$3=C338,1,0),IF(C$3=C278,1,0)))))</f>
        <v/>
      </c>
      <c r="D398" s="61">
        <f>IF(D68=0,0,IF(D$15&lt;=1,1,IF(EXACT(D368,"keine"),IF(D$3=D$12,1,0),IF(EXACT(D368,"beste"),IF(D$3=D338,1,0),IF(D$3=D278,1,0)))))</f>
        <v/>
      </c>
      <c r="E398" s="61">
        <f>IF(E68=0,0,IF(E$15&lt;=1,1,IF(EXACT(E368,"keine"),IF(E$3=E$12,1,0),IF(EXACT(E368,"beste"),IF(E$3=E338,1,0),IF(E$3=E278,1,0)))))</f>
        <v/>
      </c>
      <c r="F398" s="61">
        <f>IF(F68=0,0,IF(F$15&lt;=1,1,IF(EXACT(F368,"keine"),IF(F$3=F$12,1,0),IF(EXACT(F368,"beste"),IF(F$3=F338,1,0),IF(F$3=F278,1,0)))))</f>
        <v/>
      </c>
      <c r="G398" s="61">
        <f>IF(G68=0,0,IF(G$15&lt;=1,1,IF(EXACT(G368,"keine"),IF(G$3=G$12,1,0),IF(EXACT(G368,"beste"),IF(G$3=G338,1,0),IF(G$3=G278,1,0)))))</f>
        <v/>
      </c>
      <c r="H398" s="61">
        <f>IF(H68=0,0,IF(H$15&lt;=1,1,IF(EXACT(H368,"keine"),IF(H$3=H$12,1,0),IF(EXACT(H368,"beste"),IF(H$3=H338,1,0),IF(H$3=H278,1,0)))))</f>
        <v/>
      </c>
      <c r="I398" s="61">
        <f>IF(I68=0,0,IF(I$15&lt;=1,1,IF(EXACT(I368,"keine"),IF(I$3=I$12,1,0),IF(EXACT(I368,"beste"),IF(I$3=I338,1,0),IF(I$3=I278,1,0)))))</f>
        <v/>
      </c>
      <c r="J398" s="61">
        <f>IF(J68=0,0,IF(J$15&lt;=1,1,IF(EXACT(J368,"keine"),IF(J$3=J$12,1,0),IF(EXACT(J368,"beste"),IF(J$3=J338,1,0),IF(J$3=J278,1,0)))))</f>
        <v/>
      </c>
      <c r="K398" s="61">
        <f>IF(K68=0,0,IF(K$15&lt;=1,1,IF(EXACT(K368,"keine"),IF(K$3=K$12,1,0),IF(EXACT(K368,"beste"),IF(K$3=K338,1,0),IF(K$3=K278,1,0)))))</f>
        <v/>
      </c>
      <c r="L398" s="61">
        <f>IF(L68=0,0,IF(L$15&lt;=1,1,IF(EXACT(L368,"keine"),IF(L$3=L$12,1,0),IF(EXACT(L368,"beste"),IF(L$3=L338,1,0),IF(L$3=L278,1,0)))))</f>
        <v/>
      </c>
      <c r="M398" s="61">
        <f>IF(M68=0,0,IF(M$15&lt;=1,1,IF(EXACT(M368,"keine"),IF(M$3=M$12,1,0),IF(EXACT(M368,"beste"),IF(M$3=M338,1,0),IF(M$3=M278,1,0)))))</f>
        <v/>
      </c>
      <c r="N398" s="61">
        <f>IF(N68=0,0,IF(N$15&lt;=1,1,IF(EXACT(N368,"keine"),IF(N$3=N$12,1,0),IF(EXACT(N368,"beste"),IF(N$3=N338,1,0),IF(N$3=N278,1,0)))))</f>
        <v/>
      </c>
      <c r="O398" s="61">
        <f>IF(O68=0,0,IF(O$15&lt;=1,1,IF(EXACT(O368,"keine"),IF(O$3=O$12,1,0),IF(EXACT(O368,"beste"),IF(O$3=O338,1,0),IF(O$3=O278,1,0)))))</f>
        <v/>
      </c>
      <c r="P398" s="61">
        <f>IF(P68=0,0,IF(P$15&lt;=1,1,IF(EXACT(P368,"keine"),IF(P$3=P$12,1,0),IF(EXACT(P368,"beste"),IF(P$3=P338,1,0),IF(P$3=P278,1,0)))))</f>
        <v/>
      </c>
      <c r="Q398" s="61">
        <f>IF(Q68=0,0,IF(Q$15&lt;=1,1,IF(EXACT(Q368,"keine"),IF(Q$3=Q$12,1,0),IF(EXACT(Q368,"beste"),IF(Q$3=Q338,1,0),IF(Q$3=Q278,1,0)))))</f>
        <v/>
      </c>
      <c r="R398" s="61">
        <f>IF(R68=0,0,IF(R$15&lt;=1,1,IF(EXACT(R368,"keine"),IF(R$3=R$12,1,0),IF(EXACT(R368,"beste"),IF(R$3=R338,1,0),IF(R$3=R278,1,0)))))</f>
        <v/>
      </c>
      <c r="S398" s="61">
        <f>IF(S68=0,0,IF(S$15&lt;=1,1,IF(EXACT(S368,"keine"),IF(S$3=S$12,1,0),IF(EXACT(S368,"beste"),IF(S$3=S338,1,0),IF(S$3=S278,1,0)))))</f>
        <v/>
      </c>
      <c r="T398" s="61">
        <f>IF(T68=0,0,IF(T$15&lt;=1,1,IF(EXACT(T368,"keine"),IF(T$3=T$12,1,0),IF(EXACT(T368,"beste"),IF(T$3=T338,1,0),IF(T$3=T278,1,0)))))</f>
        <v/>
      </c>
      <c r="U398" s="61">
        <f>IF(U68=0,0,IF(U$15&lt;=1,1,IF(EXACT(U368,"keine"),IF(U$3=U$12,1,0),IF(EXACT(U368,"beste"),IF(U$3=U338,1,0),IF(U$3=U278,1,0)))))</f>
        <v/>
      </c>
      <c r="V398" s="61">
        <f>IF(V68=0,0,IF(V$15&lt;=1,1,IF(EXACT(V368,"keine"),IF(V$3=V$12,1,0),IF(EXACT(V368,"beste"),IF(V$3=V338,1,0),IF(V$3=V278,1,0)))))</f>
        <v/>
      </c>
    </row>
    <row r="399">
      <c r="C399" s="61">
        <f>IF(C69=0,0,IF(C$15&lt;=1,1,IF(EXACT(C369,"keine"),IF(C$3=C$12,1,0),IF(EXACT(C369,"beste"),IF(C$3=C339,1,0),IF(C$3=C279,1,0)))))</f>
        <v/>
      </c>
      <c r="D399" s="61">
        <f>IF(D69=0,0,IF(D$15&lt;=1,1,IF(EXACT(D369,"keine"),IF(D$3=D$12,1,0),IF(EXACT(D369,"beste"),IF(D$3=D339,1,0),IF(D$3=D279,1,0)))))</f>
        <v/>
      </c>
      <c r="E399" s="61">
        <f>IF(E69=0,0,IF(E$15&lt;=1,1,IF(EXACT(E369,"keine"),IF(E$3=E$12,1,0),IF(EXACT(E369,"beste"),IF(E$3=E339,1,0),IF(E$3=E279,1,0)))))</f>
        <v/>
      </c>
      <c r="F399" s="61">
        <f>IF(F69=0,0,IF(F$15&lt;=1,1,IF(EXACT(F369,"keine"),IF(F$3=F$12,1,0),IF(EXACT(F369,"beste"),IF(F$3=F339,1,0),IF(F$3=F279,1,0)))))</f>
        <v/>
      </c>
      <c r="G399" s="61">
        <f>IF(G69=0,0,IF(G$15&lt;=1,1,IF(EXACT(G369,"keine"),IF(G$3=G$12,1,0),IF(EXACT(G369,"beste"),IF(G$3=G339,1,0),IF(G$3=G279,1,0)))))</f>
        <v/>
      </c>
      <c r="H399" s="61">
        <f>IF(H69=0,0,IF(H$15&lt;=1,1,IF(EXACT(H369,"keine"),IF(H$3=H$12,1,0),IF(EXACT(H369,"beste"),IF(H$3=H339,1,0),IF(H$3=H279,1,0)))))</f>
        <v/>
      </c>
      <c r="I399" s="61">
        <f>IF(I69=0,0,IF(I$15&lt;=1,1,IF(EXACT(I369,"keine"),IF(I$3=I$12,1,0),IF(EXACT(I369,"beste"),IF(I$3=I339,1,0),IF(I$3=I279,1,0)))))</f>
        <v/>
      </c>
      <c r="J399" s="61">
        <f>IF(J69=0,0,IF(J$15&lt;=1,1,IF(EXACT(J369,"keine"),IF(J$3=J$12,1,0),IF(EXACT(J369,"beste"),IF(J$3=J339,1,0),IF(J$3=J279,1,0)))))</f>
        <v/>
      </c>
      <c r="K399" s="61">
        <f>IF(K69=0,0,IF(K$15&lt;=1,1,IF(EXACT(K369,"keine"),IF(K$3=K$12,1,0),IF(EXACT(K369,"beste"),IF(K$3=K339,1,0),IF(K$3=K279,1,0)))))</f>
        <v/>
      </c>
      <c r="L399" s="61">
        <f>IF(L69=0,0,IF(L$15&lt;=1,1,IF(EXACT(L369,"keine"),IF(L$3=L$12,1,0),IF(EXACT(L369,"beste"),IF(L$3=L339,1,0),IF(L$3=L279,1,0)))))</f>
        <v/>
      </c>
      <c r="M399" s="61">
        <f>IF(M69=0,0,IF(M$15&lt;=1,1,IF(EXACT(M369,"keine"),IF(M$3=M$12,1,0),IF(EXACT(M369,"beste"),IF(M$3=M339,1,0),IF(M$3=M279,1,0)))))</f>
        <v/>
      </c>
      <c r="N399" s="61">
        <f>IF(N69=0,0,IF(N$15&lt;=1,1,IF(EXACT(N369,"keine"),IF(N$3=N$12,1,0),IF(EXACT(N369,"beste"),IF(N$3=N339,1,0),IF(N$3=N279,1,0)))))</f>
        <v/>
      </c>
      <c r="O399" s="61">
        <f>IF(O69=0,0,IF(O$15&lt;=1,1,IF(EXACT(O369,"keine"),IF(O$3=O$12,1,0),IF(EXACT(O369,"beste"),IF(O$3=O339,1,0),IF(O$3=O279,1,0)))))</f>
        <v/>
      </c>
      <c r="P399" s="61">
        <f>IF(P69=0,0,IF(P$15&lt;=1,1,IF(EXACT(P369,"keine"),IF(P$3=P$12,1,0),IF(EXACT(P369,"beste"),IF(P$3=P339,1,0),IF(P$3=P279,1,0)))))</f>
        <v/>
      </c>
      <c r="Q399" s="61">
        <f>IF(Q69=0,0,IF(Q$15&lt;=1,1,IF(EXACT(Q369,"keine"),IF(Q$3=Q$12,1,0),IF(EXACT(Q369,"beste"),IF(Q$3=Q339,1,0),IF(Q$3=Q279,1,0)))))</f>
        <v/>
      </c>
      <c r="R399" s="61">
        <f>IF(R69=0,0,IF(R$15&lt;=1,1,IF(EXACT(R369,"keine"),IF(R$3=R$12,1,0),IF(EXACT(R369,"beste"),IF(R$3=R339,1,0),IF(R$3=R279,1,0)))))</f>
        <v/>
      </c>
      <c r="S399" s="61">
        <f>IF(S69=0,0,IF(S$15&lt;=1,1,IF(EXACT(S369,"keine"),IF(S$3=S$12,1,0),IF(EXACT(S369,"beste"),IF(S$3=S339,1,0),IF(S$3=S279,1,0)))))</f>
        <v/>
      </c>
      <c r="T399" s="61">
        <f>IF(T69=0,0,IF(T$15&lt;=1,1,IF(EXACT(T369,"keine"),IF(T$3=T$12,1,0),IF(EXACT(T369,"beste"),IF(T$3=T339,1,0),IF(T$3=T279,1,0)))))</f>
        <v/>
      </c>
      <c r="U399" s="61">
        <f>IF(U69=0,0,IF(U$15&lt;=1,1,IF(EXACT(U369,"keine"),IF(U$3=U$12,1,0),IF(EXACT(U369,"beste"),IF(U$3=U339,1,0),IF(U$3=U279,1,0)))))</f>
        <v/>
      </c>
      <c r="V399" s="61">
        <f>IF(V69=0,0,IF(V$15&lt;=1,1,IF(EXACT(V369,"keine"),IF(V$3=V$12,1,0),IF(EXACT(V369,"beste"),IF(V$3=V339,1,0),IF(V$3=V279,1,0)))))</f>
        <v/>
      </c>
    </row>
    <row r="400">
      <c r="C400" s="61">
        <f>IF(C70=0,0,IF(C$15&lt;=1,1,IF(EXACT(C370,"keine"),IF(C$3=C$12,1,0),IF(EXACT(C370,"beste"),IF(C$3=C340,1,0),IF(C$3=C280,1,0)))))</f>
        <v/>
      </c>
      <c r="D400" s="61">
        <f>IF(D70=0,0,IF(D$15&lt;=1,1,IF(EXACT(D370,"keine"),IF(D$3=D$12,1,0),IF(EXACT(D370,"beste"),IF(D$3=D340,1,0),IF(D$3=D280,1,0)))))</f>
        <v/>
      </c>
      <c r="E400" s="61">
        <f>IF(E70=0,0,IF(E$15&lt;=1,1,IF(EXACT(E370,"keine"),IF(E$3=E$12,1,0),IF(EXACT(E370,"beste"),IF(E$3=E340,1,0),IF(E$3=E280,1,0)))))</f>
        <v/>
      </c>
      <c r="F400" s="61">
        <f>IF(F70=0,0,IF(F$15&lt;=1,1,IF(EXACT(F370,"keine"),IF(F$3=F$12,1,0),IF(EXACT(F370,"beste"),IF(F$3=F340,1,0),IF(F$3=F280,1,0)))))</f>
        <v/>
      </c>
      <c r="G400" s="61">
        <f>IF(G70=0,0,IF(G$15&lt;=1,1,IF(EXACT(G370,"keine"),IF(G$3=G$12,1,0),IF(EXACT(G370,"beste"),IF(G$3=G340,1,0),IF(G$3=G280,1,0)))))</f>
        <v/>
      </c>
      <c r="H400" s="61">
        <f>IF(H70=0,0,IF(H$15&lt;=1,1,IF(EXACT(H370,"keine"),IF(H$3=H$12,1,0),IF(EXACT(H370,"beste"),IF(H$3=H340,1,0),IF(H$3=H280,1,0)))))</f>
        <v/>
      </c>
      <c r="I400" s="61">
        <f>IF(I70=0,0,IF(I$15&lt;=1,1,IF(EXACT(I370,"keine"),IF(I$3=I$12,1,0),IF(EXACT(I370,"beste"),IF(I$3=I340,1,0),IF(I$3=I280,1,0)))))</f>
        <v/>
      </c>
      <c r="J400" s="61">
        <f>IF(J70=0,0,IF(J$15&lt;=1,1,IF(EXACT(J370,"keine"),IF(J$3=J$12,1,0),IF(EXACT(J370,"beste"),IF(J$3=J340,1,0),IF(J$3=J280,1,0)))))</f>
        <v/>
      </c>
      <c r="K400" s="61">
        <f>IF(K70=0,0,IF(K$15&lt;=1,1,IF(EXACT(K370,"keine"),IF(K$3=K$12,1,0),IF(EXACT(K370,"beste"),IF(K$3=K340,1,0),IF(K$3=K280,1,0)))))</f>
        <v/>
      </c>
      <c r="L400" s="61">
        <f>IF(L70=0,0,IF(L$15&lt;=1,1,IF(EXACT(L370,"keine"),IF(L$3=L$12,1,0),IF(EXACT(L370,"beste"),IF(L$3=L340,1,0),IF(L$3=L280,1,0)))))</f>
        <v/>
      </c>
      <c r="M400" s="61">
        <f>IF(M70=0,0,IF(M$15&lt;=1,1,IF(EXACT(M370,"keine"),IF(M$3=M$12,1,0),IF(EXACT(M370,"beste"),IF(M$3=M340,1,0),IF(M$3=M280,1,0)))))</f>
        <v/>
      </c>
      <c r="N400" s="61">
        <f>IF(N70=0,0,IF(N$15&lt;=1,1,IF(EXACT(N370,"keine"),IF(N$3=N$12,1,0),IF(EXACT(N370,"beste"),IF(N$3=N340,1,0),IF(N$3=N280,1,0)))))</f>
        <v/>
      </c>
      <c r="O400" s="61">
        <f>IF(O70=0,0,IF(O$15&lt;=1,1,IF(EXACT(O370,"keine"),IF(O$3=O$12,1,0),IF(EXACT(O370,"beste"),IF(O$3=O340,1,0),IF(O$3=O280,1,0)))))</f>
        <v/>
      </c>
      <c r="P400" s="61">
        <f>IF(P70=0,0,IF(P$15&lt;=1,1,IF(EXACT(P370,"keine"),IF(P$3=P$12,1,0),IF(EXACT(P370,"beste"),IF(P$3=P340,1,0),IF(P$3=P280,1,0)))))</f>
        <v/>
      </c>
      <c r="Q400" s="61">
        <f>IF(Q70=0,0,IF(Q$15&lt;=1,1,IF(EXACT(Q370,"keine"),IF(Q$3=Q$12,1,0),IF(EXACT(Q370,"beste"),IF(Q$3=Q340,1,0),IF(Q$3=Q280,1,0)))))</f>
        <v/>
      </c>
      <c r="R400" s="61">
        <f>IF(R70=0,0,IF(R$15&lt;=1,1,IF(EXACT(R370,"keine"),IF(R$3=R$12,1,0),IF(EXACT(R370,"beste"),IF(R$3=R340,1,0),IF(R$3=R280,1,0)))))</f>
        <v/>
      </c>
      <c r="S400" s="61">
        <f>IF(S70=0,0,IF(S$15&lt;=1,1,IF(EXACT(S370,"keine"),IF(S$3=S$12,1,0),IF(EXACT(S370,"beste"),IF(S$3=S340,1,0),IF(S$3=S280,1,0)))))</f>
        <v/>
      </c>
      <c r="T400" s="61">
        <f>IF(T70=0,0,IF(T$15&lt;=1,1,IF(EXACT(T370,"keine"),IF(T$3=T$12,1,0),IF(EXACT(T370,"beste"),IF(T$3=T340,1,0),IF(T$3=T280,1,0)))))</f>
        <v/>
      </c>
      <c r="U400" s="61">
        <f>IF(U70=0,0,IF(U$15&lt;=1,1,IF(EXACT(U370,"keine"),IF(U$3=U$12,1,0),IF(EXACT(U370,"beste"),IF(U$3=U340,1,0),IF(U$3=U280,1,0)))))</f>
        <v/>
      </c>
      <c r="V400" s="61">
        <f>IF(V70=0,0,IF(V$15&lt;=1,1,IF(EXACT(V370,"keine"),IF(V$3=V$12,1,0),IF(EXACT(V370,"beste"),IF(V$3=V340,1,0),IF(V$3=V280,1,0)))))</f>
        <v/>
      </c>
    </row>
    <row r="401">
      <c r="C401" s="61">
        <f>IF(C71=0,0,IF(C$15&lt;=1,1,IF(EXACT(C371,"keine"),IF(C$3=C$12,1,0),IF(EXACT(C371,"beste"),IF(C$3=C341,1,0),IF(C$3=C281,1,0)))))</f>
        <v/>
      </c>
      <c r="D401" s="61">
        <f>IF(D71=0,0,IF(D$15&lt;=1,1,IF(EXACT(D371,"keine"),IF(D$3=D$12,1,0),IF(EXACT(D371,"beste"),IF(D$3=D341,1,0),IF(D$3=D281,1,0)))))</f>
        <v/>
      </c>
      <c r="E401" s="61">
        <f>IF(E71=0,0,IF(E$15&lt;=1,1,IF(EXACT(E371,"keine"),IF(E$3=E$12,1,0),IF(EXACT(E371,"beste"),IF(E$3=E341,1,0),IF(E$3=E281,1,0)))))</f>
        <v/>
      </c>
      <c r="F401" s="61">
        <f>IF(F71=0,0,IF(F$15&lt;=1,1,IF(EXACT(F371,"keine"),IF(F$3=F$12,1,0),IF(EXACT(F371,"beste"),IF(F$3=F341,1,0),IF(F$3=F281,1,0)))))</f>
        <v/>
      </c>
      <c r="G401" s="61">
        <f>IF(G71=0,0,IF(G$15&lt;=1,1,IF(EXACT(G371,"keine"),IF(G$3=G$12,1,0),IF(EXACT(G371,"beste"),IF(G$3=G341,1,0),IF(G$3=G281,1,0)))))</f>
        <v/>
      </c>
      <c r="H401" s="61">
        <f>IF(H71=0,0,IF(H$15&lt;=1,1,IF(EXACT(H371,"keine"),IF(H$3=H$12,1,0),IF(EXACT(H371,"beste"),IF(H$3=H341,1,0),IF(H$3=H281,1,0)))))</f>
        <v/>
      </c>
      <c r="I401" s="61">
        <f>IF(I71=0,0,IF(I$15&lt;=1,1,IF(EXACT(I371,"keine"),IF(I$3=I$12,1,0),IF(EXACT(I371,"beste"),IF(I$3=I341,1,0),IF(I$3=I281,1,0)))))</f>
        <v/>
      </c>
      <c r="J401" s="61">
        <f>IF(J71=0,0,IF(J$15&lt;=1,1,IF(EXACT(J371,"keine"),IF(J$3=J$12,1,0),IF(EXACT(J371,"beste"),IF(J$3=J341,1,0),IF(J$3=J281,1,0)))))</f>
        <v/>
      </c>
      <c r="K401" s="61">
        <f>IF(K71=0,0,IF(K$15&lt;=1,1,IF(EXACT(K371,"keine"),IF(K$3=K$12,1,0),IF(EXACT(K371,"beste"),IF(K$3=K341,1,0),IF(K$3=K281,1,0)))))</f>
        <v/>
      </c>
      <c r="L401" s="61">
        <f>IF(L71=0,0,IF(L$15&lt;=1,1,IF(EXACT(L371,"keine"),IF(L$3=L$12,1,0),IF(EXACT(L371,"beste"),IF(L$3=L341,1,0),IF(L$3=L281,1,0)))))</f>
        <v/>
      </c>
      <c r="M401" s="61">
        <f>IF(M71=0,0,IF(M$15&lt;=1,1,IF(EXACT(M371,"keine"),IF(M$3=M$12,1,0),IF(EXACT(M371,"beste"),IF(M$3=M341,1,0),IF(M$3=M281,1,0)))))</f>
        <v/>
      </c>
      <c r="N401" s="61">
        <f>IF(N71=0,0,IF(N$15&lt;=1,1,IF(EXACT(N371,"keine"),IF(N$3=N$12,1,0),IF(EXACT(N371,"beste"),IF(N$3=N341,1,0),IF(N$3=N281,1,0)))))</f>
        <v/>
      </c>
      <c r="O401" s="61">
        <f>IF(O71=0,0,IF(O$15&lt;=1,1,IF(EXACT(O371,"keine"),IF(O$3=O$12,1,0),IF(EXACT(O371,"beste"),IF(O$3=O341,1,0),IF(O$3=O281,1,0)))))</f>
        <v/>
      </c>
      <c r="P401" s="61">
        <f>IF(P71=0,0,IF(P$15&lt;=1,1,IF(EXACT(P371,"keine"),IF(P$3=P$12,1,0),IF(EXACT(P371,"beste"),IF(P$3=P341,1,0),IF(P$3=P281,1,0)))))</f>
        <v/>
      </c>
      <c r="Q401" s="61">
        <f>IF(Q71=0,0,IF(Q$15&lt;=1,1,IF(EXACT(Q371,"keine"),IF(Q$3=Q$12,1,0),IF(EXACT(Q371,"beste"),IF(Q$3=Q341,1,0),IF(Q$3=Q281,1,0)))))</f>
        <v/>
      </c>
      <c r="R401" s="61">
        <f>IF(R71=0,0,IF(R$15&lt;=1,1,IF(EXACT(R371,"keine"),IF(R$3=R$12,1,0),IF(EXACT(R371,"beste"),IF(R$3=R341,1,0),IF(R$3=R281,1,0)))))</f>
        <v/>
      </c>
      <c r="S401" s="61">
        <f>IF(S71=0,0,IF(S$15&lt;=1,1,IF(EXACT(S371,"keine"),IF(S$3=S$12,1,0),IF(EXACT(S371,"beste"),IF(S$3=S341,1,0),IF(S$3=S281,1,0)))))</f>
        <v/>
      </c>
      <c r="T401" s="61">
        <f>IF(T71=0,0,IF(T$15&lt;=1,1,IF(EXACT(T371,"keine"),IF(T$3=T$12,1,0),IF(EXACT(T371,"beste"),IF(T$3=T341,1,0),IF(T$3=T281,1,0)))))</f>
        <v/>
      </c>
      <c r="U401" s="61">
        <f>IF(U71=0,0,IF(U$15&lt;=1,1,IF(EXACT(U371,"keine"),IF(U$3=U$12,1,0),IF(EXACT(U371,"beste"),IF(U$3=U341,1,0),IF(U$3=U281,1,0)))))</f>
        <v/>
      </c>
      <c r="V401" s="61">
        <f>IF(V71=0,0,IF(V$15&lt;=1,1,IF(EXACT(V371,"keine"),IF(V$3=V$12,1,0),IF(EXACT(V371,"beste"),IF(V$3=V341,1,0),IF(V$3=V281,1,0)))))</f>
        <v/>
      </c>
    </row>
    <row r="402">
      <c r="C402" s="61">
        <f>IF(C72=0,0,IF(C$15&lt;=1,1,IF(EXACT(C372,"keine"),IF(C$3=C$12,1,0),IF(EXACT(C372,"beste"),IF(C$3=C342,1,0),IF(C$3=C282,1,0)))))</f>
        <v/>
      </c>
      <c r="D402" s="61">
        <f>IF(D72=0,0,IF(D$15&lt;=1,1,IF(EXACT(D372,"keine"),IF(D$3=D$12,1,0),IF(EXACT(D372,"beste"),IF(D$3=D342,1,0),IF(D$3=D282,1,0)))))</f>
        <v/>
      </c>
      <c r="E402" s="61">
        <f>IF(E72=0,0,IF(E$15&lt;=1,1,IF(EXACT(E372,"keine"),IF(E$3=E$12,1,0),IF(EXACT(E372,"beste"),IF(E$3=E342,1,0),IF(E$3=E282,1,0)))))</f>
        <v/>
      </c>
      <c r="F402" s="61">
        <f>IF(F72=0,0,IF(F$15&lt;=1,1,IF(EXACT(F372,"keine"),IF(F$3=F$12,1,0),IF(EXACT(F372,"beste"),IF(F$3=F342,1,0),IF(F$3=F282,1,0)))))</f>
        <v/>
      </c>
      <c r="G402" s="61">
        <f>IF(G72=0,0,IF(G$15&lt;=1,1,IF(EXACT(G372,"keine"),IF(G$3=G$12,1,0),IF(EXACT(G372,"beste"),IF(G$3=G342,1,0),IF(G$3=G282,1,0)))))</f>
        <v/>
      </c>
      <c r="H402" s="61">
        <f>IF(H72=0,0,IF(H$15&lt;=1,1,IF(EXACT(H372,"keine"),IF(H$3=H$12,1,0),IF(EXACT(H372,"beste"),IF(H$3=H342,1,0),IF(H$3=H282,1,0)))))</f>
        <v/>
      </c>
      <c r="I402" s="61">
        <f>IF(I72=0,0,IF(I$15&lt;=1,1,IF(EXACT(I372,"keine"),IF(I$3=I$12,1,0),IF(EXACT(I372,"beste"),IF(I$3=I342,1,0),IF(I$3=I282,1,0)))))</f>
        <v/>
      </c>
      <c r="J402" s="61">
        <f>IF(J72=0,0,IF(J$15&lt;=1,1,IF(EXACT(J372,"keine"),IF(J$3=J$12,1,0),IF(EXACT(J372,"beste"),IF(J$3=J342,1,0),IF(J$3=J282,1,0)))))</f>
        <v/>
      </c>
      <c r="K402" s="61">
        <f>IF(K72=0,0,IF(K$15&lt;=1,1,IF(EXACT(K372,"keine"),IF(K$3=K$12,1,0),IF(EXACT(K372,"beste"),IF(K$3=K342,1,0),IF(K$3=K282,1,0)))))</f>
        <v/>
      </c>
      <c r="L402" s="61">
        <f>IF(L72=0,0,IF(L$15&lt;=1,1,IF(EXACT(L372,"keine"),IF(L$3=L$12,1,0),IF(EXACT(L372,"beste"),IF(L$3=L342,1,0),IF(L$3=L282,1,0)))))</f>
        <v/>
      </c>
      <c r="M402" s="61">
        <f>IF(M72=0,0,IF(M$15&lt;=1,1,IF(EXACT(M372,"keine"),IF(M$3=M$12,1,0),IF(EXACT(M372,"beste"),IF(M$3=M342,1,0),IF(M$3=M282,1,0)))))</f>
        <v/>
      </c>
      <c r="N402" s="61">
        <f>IF(N72=0,0,IF(N$15&lt;=1,1,IF(EXACT(N372,"keine"),IF(N$3=N$12,1,0),IF(EXACT(N372,"beste"),IF(N$3=N342,1,0),IF(N$3=N282,1,0)))))</f>
        <v/>
      </c>
      <c r="O402" s="61">
        <f>IF(O72=0,0,IF(O$15&lt;=1,1,IF(EXACT(O372,"keine"),IF(O$3=O$12,1,0),IF(EXACT(O372,"beste"),IF(O$3=O342,1,0),IF(O$3=O282,1,0)))))</f>
        <v/>
      </c>
      <c r="P402" s="61">
        <f>IF(P72=0,0,IF(P$15&lt;=1,1,IF(EXACT(P372,"keine"),IF(P$3=P$12,1,0),IF(EXACT(P372,"beste"),IF(P$3=P342,1,0),IF(P$3=P282,1,0)))))</f>
        <v/>
      </c>
      <c r="Q402" s="61">
        <f>IF(Q72=0,0,IF(Q$15&lt;=1,1,IF(EXACT(Q372,"keine"),IF(Q$3=Q$12,1,0),IF(EXACT(Q372,"beste"),IF(Q$3=Q342,1,0),IF(Q$3=Q282,1,0)))))</f>
        <v/>
      </c>
      <c r="R402" s="61">
        <f>IF(R72=0,0,IF(R$15&lt;=1,1,IF(EXACT(R372,"keine"),IF(R$3=R$12,1,0),IF(EXACT(R372,"beste"),IF(R$3=R342,1,0),IF(R$3=R282,1,0)))))</f>
        <v/>
      </c>
      <c r="S402" s="61">
        <f>IF(S72=0,0,IF(S$15&lt;=1,1,IF(EXACT(S372,"keine"),IF(S$3=S$12,1,0),IF(EXACT(S372,"beste"),IF(S$3=S342,1,0),IF(S$3=S282,1,0)))))</f>
        <v/>
      </c>
      <c r="T402" s="61">
        <f>IF(T72=0,0,IF(T$15&lt;=1,1,IF(EXACT(T372,"keine"),IF(T$3=T$12,1,0),IF(EXACT(T372,"beste"),IF(T$3=T342,1,0),IF(T$3=T282,1,0)))))</f>
        <v/>
      </c>
      <c r="U402" s="61">
        <f>IF(U72=0,0,IF(U$15&lt;=1,1,IF(EXACT(U372,"keine"),IF(U$3=U$12,1,0),IF(EXACT(U372,"beste"),IF(U$3=U342,1,0),IF(U$3=U282,1,0)))))</f>
        <v/>
      </c>
      <c r="V402" s="61">
        <f>IF(V72=0,0,IF(V$15&lt;=1,1,IF(EXACT(V372,"keine"),IF(V$3=V$12,1,0),IF(EXACT(V372,"beste"),IF(V$3=V342,1,0),IF(V$3=V282,1,0)))))</f>
        <v/>
      </c>
    </row>
    <row r="403">
      <c r="C403" s="61">
        <f>IF(C73=0,0,IF(C$15&lt;=1,1,IF(EXACT(C373,"keine"),IF(C$3=C$12,1,0),IF(EXACT(C373,"beste"),IF(C$3=C343,1,0),IF(C$3=C283,1,0)))))</f>
        <v/>
      </c>
      <c r="D403" s="61">
        <f>IF(D73=0,0,IF(D$15&lt;=1,1,IF(EXACT(D373,"keine"),IF(D$3=D$12,1,0),IF(EXACT(D373,"beste"),IF(D$3=D343,1,0),IF(D$3=D283,1,0)))))</f>
        <v/>
      </c>
      <c r="E403" s="61">
        <f>IF(E73=0,0,IF(E$15&lt;=1,1,IF(EXACT(E373,"keine"),IF(E$3=E$12,1,0),IF(EXACT(E373,"beste"),IF(E$3=E343,1,0),IF(E$3=E283,1,0)))))</f>
        <v/>
      </c>
      <c r="F403" s="61">
        <f>IF(F73=0,0,IF(F$15&lt;=1,1,IF(EXACT(F373,"keine"),IF(F$3=F$12,1,0),IF(EXACT(F373,"beste"),IF(F$3=F343,1,0),IF(F$3=F283,1,0)))))</f>
        <v/>
      </c>
      <c r="G403" s="61">
        <f>IF(G73=0,0,IF(G$15&lt;=1,1,IF(EXACT(G373,"keine"),IF(G$3=G$12,1,0),IF(EXACT(G373,"beste"),IF(G$3=G343,1,0),IF(G$3=G283,1,0)))))</f>
        <v/>
      </c>
      <c r="H403" s="61">
        <f>IF(H73=0,0,IF(H$15&lt;=1,1,IF(EXACT(H373,"keine"),IF(H$3=H$12,1,0),IF(EXACT(H373,"beste"),IF(H$3=H343,1,0),IF(H$3=H283,1,0)))))</f>
        <v/>
      </c>
      <c r="I403" s="61">
        <f>IF(I73=0,0,IF(I$15&lt;=1,1,IF(EXACT(I373,"keine"),IF(I$3=I$12,1,0),IF(EXACT(I373,"beste"),IF(I$3=I343,1,0),IF(I$3=I283,1,0)))))</f>
        <v/>
      </c>
      <c r="J403" s="61">
        <f>IF(J73=0,0,IF(J$15&lt;=1,1,IF(EXACT(J373,"keine"),IF(J$3=J$12,1,0),IF(EXACT(J373,"beste"),IF(J$3=J343,1,0),IF(J$3=J283,1,0)))))</f>
        <v/>
      </c>
      <c r="K403" s="61">
        <f>IF(K73=0,0,IF(K$15&lt;=1,1,IF(EXACT(K373,"keine"),IF(K$3=K$12,1,0),IF(EXACT(K373,"beste"),IF(K$3=K343,1,0),IF(K$3=K283,1,0)))))</f>
        <v/>
      </c>
      <c r="L403" s="61">
        <f>IF(L73=0,0,IF(L$15&lt;=1,1,IF(EXACT(L373,"keine"),IF(L$3=L$12,1,0),IF(EXACT(L373,"beste"),IF(L$3=L343,1,0),IF(L$3=L283,1,0)))))</f>
        <v/>
      </c>
      <c r="M403" s="61">
        <f>IF(M73=0,0,IF(M$15&lt;=1,1,IF(EXACT(M373,"keine"),IF(M$3=M$12,1,0),IF(EXACT(M373,"beste"),IF(M$3=M343,1,0),IF(M$3=M283,1,0)))))</f>
        <v/>
      </c>
      <c r="N403" s="61">
        <f>IF(N73=0,0,IF(N$15&lt;=1,1,IF(EXACT(N373,"keine"),IF(N$3=N$12,1,0),IF(EXACT(N373,"beste"),IF(N$3=N343,1,0),IF(N$3=N283,1,0)))))</f>
        <v/>
      </c>
      <c r="O403" s="61">
        <f>IF(O73=0,0,IF(O$15&lt;=1,1,IF(EXACT(O373,"keine"),IF(O$3=O$12,1,0),IF(EXACT(O373,"beste"),IF(O$3=O343,1,0),IF(O$3=O283,1,0)))))</f>
        <v/>
      </c>
      <c r="P403" s="61">
        <f>IF(P73=0,0,IF(P$15&lt;=1,1,IF(EXACT(P373,"keine"),IF(P$3=P$12,1,0),IF(EXACT(P373,"beste"),IF(P$3=P343,1,0),IF(P$3=P283,1,0)))))</f>
        <v/>
      </c>
      <c r="Q403" s="61">
        <f>IF(Q73=0,0,IF(Q$15&lt;=1,1,IF(EXACT(Q373,"keine"),IF(Q$3=Q$12,1,0),IF(EXACT(Q373,"beste"),IF(Q$3=Q343,1,0),IF(Q$3=Q283,1,0)))))</f>
        <v/>
      </c>
      <c r="R403" s="61">
        <f>IF(R73=0,0,IF(R$15&lt;=1,1,IF(EXACT(R373,"keine"),IF(R$3=R$12,1,0),IF(EXACT(R373,"beste"),IF(R$3=R343,1,0),IF(R$3=R283,1,0)))))</f>
        <v/>
      </c>
      <c r="S403" s="61">
        <f>IF(S73=0,0,IF(S$15&lt;=1,1,IF(EXACT(S373,"keine"),IF(S$3=S$12,1,0),IF(EXACT(S373,"beste"),IF(S$3=S343,1,0),IF(S$3=S283,1,0)))))</f>
        <v/>
      </c>
      <c r="T403" s="61">
        <f>IF(T73=0,0,IF(T$15&lt;=1,1,IF(EXACT(T373,"keine"),IF(T$3=T$12,1,0),IF(EXACT(T373,"beste"),IF(T$3=T343,1,0),IF(T$3=T283,1,0)))))</f>
        <v/>
      </c>
      <c r="U403" s="61">
        <f>IF(U73=0,0,IF(U$15&lt;=1,1,IF(EXACT(U373,"keine"),IF(U$3=U$12,1,0),IF(EXACT(U373,"beste"),IF(U$3=U343,1,0),IF(U$3=U283,1,0)))))</f>
        <v/>
      </c>
      <c r="V403" s="61">
        <f>IF(V73=0,0,IF(V$15&lt;=1,1,IF(EXACT(V373,"keine"),IF(V$3=V$12,1,0),IF(EXACT(V373,"beste"),IF(V$3=V343,1,0),IF(V$3=V283,1,0)))))</f>
        <v/>
      </c>
    </row>
    <row r="404">
      <c r="C404" s="61">
        <f>IF(C74=0,0,IF(C$15&lt;=1,1,IF(EXACT(C374,"keine"),IF(C$3=C$12,1,0),IF(EXACT(C374,"beste"),IF(C$3=C344,1,0),IF(C$3=C284,1,0)))))</f>
        <v/>
      </c>
      <c r="D404" s="61">
        <f>IF(D74=0,0,IF(D$15&lt;=1,1,IF(EXACT(D374,"keine"),IF(D$3=D$12,1,0),IF(EXACT(D374,"beste"),IF(D$3=D344,1,0),IF(D$3=D284,1,0)))))</f>
        <v/>
      </c>
      <c r="E404" s="61">
        <f>IF(E74=0,0,IF(E$15&lt;=1,1,IF(EXACT(E374,"keine"),IF(E$3=E$12,1,0),IF(EXACT(E374,"beste"),IF(E$3=E344,1,0),IF(E$3=E284,1,0)))))</f>
        <v/>
      </c>
      <c r="F404" s="61">
        <f>IF(F74=0,0,IF(F$15&lt;=1,1,IF(EXACT(F374,"keine"),IF(F$3=F$12,1,0),IF(EXACT(F374,"beste"),IF(F$3=F344,1,0),IF(F$3=F284,1,0)))))</f>
        <v/>
      </c>
      <c r="G404" s="61">
        <f>IF(G74=0,0,IF(G$15&lt;=1,1,IF(EXACT(G374,"keine"),IF(G$3=G$12,1,0),IF(EXACT(G374,"beste"),IF(G$3=G344,1,0),IF(G$3=G284,1,0)))))</f>
        <v/>
      </c>
      <c r="H404" s="61">
        <f>IF(H74=0,0,IF(H$15&lt;=1,1,IF(EXACT(H374,"keine"),IF(H$3=H$12,1,0),IF(EXACT(H374,"beste"),IF(H$3=H344,1,0),IF(H$3=H284,1,0)))))</f>
        <v/>
      </c>
      <c r="I404" s="61">
        <f>IF(I74=0,0,IF(I$15&lt;=1,1,IF(EXACT(I374,"keine"),IF(I$3=I$12,1,0),IF(EXACT(I374,"beste"),IF(I$3=I344,1,0),IF(I$3=I284,1,0)))))</f>
        <v/>
      </c>
      <c r="J404" s="61">
        <f>IF(J74=0,0,IF(J$15&lt;=1,1,IF(EXACT(J374,"keine"),IF(J$3=J$12,1,0),IF(EXACT(J374,"beste"),IF(J$3=J344,1,0),IF(J$3=J284,1,0)))))</f>
        <v/>
      </c>
      <c r="K404" s="61">
        <f>IF(K74=0,0,IF(K$15&lt;=1,1,IF(EXACT(K374,"keine"),IF(K$3=K$12,1,0),IF(EXACT(K374,"beste"),IF(K$3=K344,1,0),IF(K$3=K284,1,0)))))</f>
        <v/>
      </c>
      <c r="L404" s="61">
        <f>IF(L74=0,0,IF(L$15&lt;=1,1,IF(EXACT(L374,"keine"),IF(L$3=L$12,1,0),IF(EXACT(L374,"beste"),IF(L$3=L344,1,0),IF(L$3=L284,1,0)))))</f>
        <v/>
      </c>
      <c r="M404" s="61">
        <f>IF(M74=0,0,IF(M$15&lt;=1,1,IF(EXACT(M374,"keine"),IF(M$3=M$12,1,0),IF(EXACT(M374,"beste"),IF(M$3=M344,1,0),IF(M$3=M284,1,0)))))</f>
        <v/>
      </c>
      <c r="N404" s="61">
        <f>IF(N74=0,0,IF(N$15&lt;=1,1,IF(EXACT(N374,"keine"),IF(N$3=N$12,1,0),IF(EXACT(N374,"beste"),IF(N$3=N344,1,0),IF(N$3=N284,1,0)))))</f>
        <v/>
      </c>
      <c r="O404" s="61">
        <f>IF(O74=0,0,IF(O$15&lt;=1,1,IF(EXACT(O374,"keine"),IF(O$3=O$12,1,0),IF(EXACT(O374,"beste"),IF(O$3=O344,1,0),IF(O$3=O284,1,0)))))</f>
        <v/>
      </c>
      <c r="P404" s="61">
        <f>IF(P74=0,0,IF(P$15&lt;=1,1,IF(EXACT(P374,"keine"),IF(P$3=P$12,1,0),IF(EXACT(P374,"beste"),IF(P$3=P344,1,0),IF(P$3=P284,1,0)))))</f>
        <v/>
      </c>
      <c r="Q404" s="61">
        <f>IF(Q74=0,0,IF(Q$15&lt;=1,1,IF(EXACT(Q374,"keine"),IF(Q$3=Q$12,1,0),IF(EXACT(Q374,"beste"),IF(Q$3=Q344,1,0),IF(Q$3=Q284,1,0)))))</f>
        <v/>
      </c>
      <c r="R404" s="61">
        <f>IF(R74=0,0,IF(R$15&lt;=1,1,IF(EXACT(R374,"keine"),IF(R$3=R$12,1,0),IF(EXACT(R374,"beste"),IF(R$3=R344,1,0),IF(R$3=R284,1,0)))))</f>
        <v/>
      </c>
      <c r="S404" s="61">
        <f>IF(S74=0,0,IF(S$15&lt;=1,1,IF(EXACT(S374,"keine"),IF(S$3=S$12,1,0),IF(EXACT(S374,"beste"),IF(S$3=S344,1,0),IF(S$3=S284,1,0)))))</f>
        <v/>
      </c>
      <c r="T404" s="61">
        <f>IF(T74=0,0,IF(T$15&lt;=1,1,IF(EXACT(T374,"keine"),IF(T$3=T$12,1,0),IF(EXACT(T374,"beste"),IF(T$3=T344,1,0),IF(T$3=T284,1,0)))))</f>
        <v/>
      </c>
      <c r="U404" s="61">
        <f>IF(U74=0,0,IF(U$15&lt;=1,1,IF(EXACT(U374,"keine"),IF(U$3=U$12,1,0),IF(EXACT(U374,"beste"),IF(U$3=U344,1,0),IF(U$3=U284,1,0)))))</f>
        <v/>
      </c>
      <c r="V404" s="61">
        <f>IF(V74=0,0,IF(V$15&lt;=1,1,IF(EXACT(V374,"keine"),IF(V$3=V$12,1,0),IF(EXACT(V374,"beste"),IF(V$3=V344,1,0),IF(V$3=V284,1,0)))))</f>
        <v/>
      </c>
    </row>
    <row r="409">
      <c r="A409" s="162" t="inlineStr">
        <is>
          <t>zählt (nur aktive)</t>
        </is>
      </c>
    </row>
    <row r="410">
      <c r="C410" s="61">
        <f>C380*$A$20</f>
        <v/>
      </c>
      <c r="D410" s="61">
        <f>D380*$A$20</f>
        <v/>
      </c>
      <c r="E410" s="61">
        <f>E380*$A$20</f>
        <v/>
      </c>
      <c r="F410" s="61">
        <f>F380*$A$20</f>
        <v/>
      </c>
      <c r="G410" s="61">
        <f>G380*$A$20</f>
        <v/>
      </c>
      <c r="H410" s="61">
        <f>H380*$A$20</f>
        <v/>
      </c>
      <c r="I410" s="61">
        <f>I380*$A$20</f>
        <v/>
      </c>
      <c r="J410" s="61">
        <f>J380*$A$20</f>
        <v/>
      </c>
      <c r="K410" s="61">
        <f>K380*$A$20</f>
        <v/>
      </c>
      <c r="L410" s="61">
        <f>L380*$A$20</f>
        <v/>
      </c>
      <c r="M410" s="61">
        <f>M380*$A$20</f>
        <v/>
      </c>
      <c r="N410" s="61">
        <f>N380*$A$20</f>
        <v/>
      </c>
      <c r="O410" s="61">
        <f>O380*$A$20</f>
        <v/>
      </c>
      <c r="P410" s="61">
        <f>P380*$A$20</f>
        <v/>
      </c>
      <c r="Q410" s="61">
        <f>Q380*$A$20</f>
        <v/>
      </c>
      <c r="R410" s="61">
        <f>R380*$A$20</f>
        <v/>
      </c>
      <c r="S410" s="61">
        <f>S380*$A$20</f>
        <v/>
      </c>
      <c r="T410" s="61">
        <f>T380*$A$20</f>
        <v/>
      </c>
      <c r="U410" s="61">
        <f>U380*$A$20</f>
        <v/>
      </c>
      <c r="V410" s="61">
        <f>V380*$A$20</f>
        <v/>
      </c>
    </row>
    <row r="411">
      <c r="C411" s="61">
        <f>C381*$A$21</f>
        <v/>
      </c>
      <c r="D411" s="61">
        <f>D381*$A$21</f>
        <v/>
      </c>
      <c r="E411" s="61">
        <f>E381*$A$21</f>
        <v/>
      </c>
      <c r="F411" s="61">
        <f>F381*$A$21</f>
        <v/>
      </c>
      <c r="G411" s="61">
        <f>G381*$A$21</f>
        <v/>
      </c>
      <c r="H411" s="61">
        <f>H381*$A$21</f>
        <v/>
      </c>
      <c r="I411" s="61">
        <f>I381*$A$21</f>
        <v/>
      </c>
      <c r="J411" s="61">
        <f>J381*$A$21</f>
        <v/>
      </c>
      <c r="K411" s="61">
        <f>K381*$A$21</f>
        <v/>
      </c>
      <c r="L411" s="61">
        <f>L381*$A$21</f>
        <v/>
      </c>
      <c r="M411" s="61">
        <f>M381*$A$21</f>
        <v/>
      </c>
      <c r="N411" s="61">
        <f>N381*$A$21</f>
        <v/>
      </c>
      <c r="O411" s="61">
        <f>O381*$A$21</f>
        <v/>
      </c>
      <c r="P411" s="61">
        <f>P381*$A$21</f>
        <v/>
      </c>
      <c r="Q411" s="61">
        <f>Q381*$A$21</f>
        <v/>
      </c>
      <c r="R411" s="61">
        <f>R381*$A$21</f>
        <v/>
      </c>
      <c r="S411" s="61">
        <f>S381*$A$21</f>
        <v/>
      </c>
      <c r="T411" s="61">
        <f>T381*$A$21</f>
        <v/>
      </c>
      <c r="U411" s="61">
        <f>U381*$A$21</f>
        <v/>
      </c>
      <c r="V411" s="61">
        <f>V381*$A$21</f>
        <v/>
      </c>
    </row>
    <row r="412">
      <c r="C412" s="61">
        <f>C382*$A$22</f>
        <v/>
      </c>
      <c r="D412" s="61">
        <f>D382*$A$22</f>
        <v/>
      </c>
      <c r="E412" s="61">
        <f>E382*$A$22</f>
        <v/>
      </c>
      <c r="F412" s="61">
        <f>F382*$A$22</f>
        <v/>
      </c>
      <c r="G412" s="61">
        <f>G382*$A$22</f>
        <v/>
      </c>
      <c r="H412" s="61">
        <f>H382*$A$22</f>
        <v/>
      </c>
      <c r="I412" s="61">
        <f>I382*$A$22</f>
        <v/>
      </c>
      <c r="J412" s="61">
        <f>J382*$A$22</f>
        <v/>
      </c>
      <c r="K412" s="61">
        <f>K382*$A$22</f>
        <v/>
      </c>
      <c r="L412" s="61">
        <f>L382*$A$22</f>
        <v/>
      </c>
      <c r="M412" s="61">
        <f>M382*$A$22</f>
        <v/>
      </c>
      <c r="N412" s="61">
        <f>N382*$A$22</f>
        <v/>
      </c>
      <c r="O412" s="61">
        <f>O382*$A$22</f>
        <v/>
      </c>
      <c r="P412" s="61">
        <f>P382*$A$22</f>
        <v/>
      </c>
      <c r="Q412" s="61">
        <f>Q382*$A$22</f>
        <v/>
      </c>
      <c r="R412" s="61">
        <f>R382*$A$22</f>
        <v/>
      </c>
      <c r="S412" s="61">
        <f>S382*$A$22</f>
        <v/>
      </c>
      <c r="T412" s="61">
        <f>T382*$A$22</f>
        <v/>
      </c>
      <c r="U412" s="61">
        <f>U382*$A$22</f>
        <v/>
      </c>
      <c r="V412" s="61">
        <f>V382*$A$22</f>
        <v/>
      </c>
    </row>
    <row r="413">
      <c r="C413" s="61">
        <f>C383*$A$23</f>
        <v/>
      </c>
      <c r="D413" s="61">
        <f>D383*$A$23</f>
        <v/>
      </c>
      <c r="E413" s="61">
        <f>E383*$A$23</f>
        <v/>
      </c>
      <c r="F413" s="61">
        <f>F383*$A$23</f>
        <v/>
      </c>
      <c r="G413" s="61">
        <f>G383*$A$23</f>
        <v/>
      </c>
      <c r="H413" s="61">
        <f>H383*$A$23</f>
        <v/>
      </c>
      <c r="I413" s="61">
        <f>I383*$A$23</f>
        <v/>
      </c>
      <c r="J413" s="61">
        <f>J383*$A$23</f>
        <v/>
      </c>
      <c r="K413" s="61">
        <f>K383*$A$23</f>
        <v/>
      </c>
      <c r="L413" s="61">
        <f>L383*$A$23</f>
        <v/>
      </c>
      <c r="M413" s="61">
        <f>M383*$A$23</f>
        <v/>
      </c>
      <c r="N413" s="61">
        <f>N383*$A$23</f>
        <v/>
      </c>
      <c r="O413" s="61">
        <f>O383*$A$23</f>
        <v/>
      </c>
      <c r="P413" s="61">
        <f>P383*$A$23</f>
        <v/>
      </c>
      <c r="Q413" s="61">
        <f>Q383*$A$23</f>
        <v/>
      </c>
      <c r="R413" s="61">
        <f>R383*$A$23</f>
        <v/>
      </c>
      <c r="S413" s="61">
        <f>S383*$A$23</f>
        <v/>
      </c>
      <c r="T413" s="61">
        <f>T383*$A$23</f>
        <v/>
      </c>
      <c r="U413" s="61">
        <f>U383*$A$23</f>
        <v/>
      </c>
      <c r="V413" s="61">
        <f>V383*$A$23</f>
        <v/>
      </c>
    </row>
    <row r="414">
      <c r="C414" s="61">
        <f>C384*$A$24</f>
        <v/>
      </c>
      <c r="D414" s="61">
        <f>D384*$A$24</f>
        <v/>
      </c>
      <c r="E414" s="61">
        <f>E384*$A$24</f>
        <v/>
      </c>
      <c r="F414" s="61">
        <f>F384*$A$24</f>
        <v/>
      </c>
      <c r="G414" s="61">
        <f>G384*$A$24</f>
        <v/>
      </c>
      <c r="H414" s="61">
        <f>H384*$A$24</f>
        <v/>
      </c>
      <c r="I414" s="61">
        <f>I384*$A$24</f>
        <v/>
      </c>
      <c r="J414" s="61">
        <f>J384*$A$24</f>
        <v/>
      </c>
      <c r="K414" s="61">
        <f>K384*$A$24</f>
        <v/>
      </c>
      <c r="L414" s="61">
        <f>L384*$A$24</f>
        <v/>
      </c>
      <c r="M414" s="61">
        <f>M384*$A$24</f>
        <v/>
      </c>
      <c r="N414" s="61">
        <f>N384*$A$24</f>
        <v/>
      </c>
      <c r="O414" s="61">
        <f>O384*$A$24</f>
        <v/>
      </c>
      <c r="P414" s="61">
        <f>P384*$A$24</f>
        <v/>
      </c>
      <c r="Q414" s="61">
        <f>Q384*$A$24</f>
        <v/>
      </c>
      <c r="R414" s="61">
        <f>R384*$A$24</f>
        <v/>
      </c>
      <c r="S414" s="61">
        <f>S384*$A$24</f>
        <v/>
      </c>
      <c r="T414" s="61">
        <f>T384*$A$24</f>
        <v/>
      </c>
      <c r="U414" s="61">
        <f>U384*$A$24</f>
        <v/>
      </c>
      <c r="V414" s="61">
        <f>V384*$A$24</f>
        <v/>
      </c>
    </row>
    <row r="415">
      <c r="C415" s="61">
        <f>C385*$A$25</f>
        <v/>
      </c>
      <c r="D415" s="61">
        <f>D385*$A$25</f>
        <v/>
      </c>
      <c r="E415" s="61">
        <f>E385*$A$25</f>
        <v/>
      </c>
      <c r="F415" s="61">
        <f>F385*$A$25</f>
        <v/>
      </c>
      <c r="G415" s="61">
        <f>G385*$A$25</f>
        <v/>
      </c>
      <c r="H415" s="61">
        <f>H385*$A$25</f>
        <v/>
      </c>
      <c r="I415" s="61">
        <f>I385*$A$25</f>
        <v/>
      </c>
      <c r="J415" s="61">
        <f>J385*$A$25</f>
        <v/>
      </c>
      <c r="K415" s="61">
        <f>K385*$A$25</f>
        <v/>
      </c>
      <c r="L415" s="61">
        <f>L385*$A$25</f>
        <v/>
      </c>
      <c r="M415" s="61">
        <f>M385*$A$25</f>
        <v/>
      </c>
      <c r="N415" s="61">
        <f>N385*$A$25</f>
        <v/>
      </c>
      <c r="O415" s="61">
        <f>O385*$A$25</f>
        <v/>
      </c>
      <c r="P415" s="61">
        <f>P385*$A$25</f>
        <v/>
      </c>
      <c r="Q415" s="61">
        <f>Q385*$A$25</f>
        <v/>
      </c>
      <c r="R415" s="61">
        <f>R385*$A$25</f>
        <v/>
      </c>
      <c r="S415" s="61">
        <f>S385*$A$25</f>
        <v/>
      </c>
      <c r="T415" s="61">
        <f>T385*$A$25</f>
        <v/>
      </c>
      <c r="U415" s="61">
        <f>U385*$A$25</f>
        <v/>
      </c>
      <c r="V415" s="61">
        <f>V385*$A$25</f>
        <v/>
      </c>
    </row>
    <row r="416">
      <c r="C416" s="61">
        <f>C386*$A$26</f>
        <v/>
      </c>
      <c r="D416" s="61">
        <f>D386*$A$26</f>
        <v/>
      </c>
      <c r="E416" s="61">
        <f>E386*$A$26</f>
        <v/>
      </c>
      <c r="F416" s="61">
        <f>F386*$A$26</f>
        <v/>
      </c>
      <c r="G416" s="61">
        <f>G386*$A$26</f>
        <v/>
      </c>
      <c r="H416" s="61">
        <f>H386*$A$26</f>
        <v/>
      </c>
      <c r="I416" s="61">
        <f>I386*$A$26</f>
        <v/>
      </c>
      <c r="J416" s="61">
        <f>J386*$A$26</f>
        <v/>
      </c>
      <c r="K416" s="61">
        <f>K386*$A$26</f>
        <v/>
      </c>
      <c r="L416" s="61">
        <f>L386*$A$26</f>
        <v/>
      </c>
      <c r="M416" s="61">
        <f>M386*$A$26</f>
        <v/>
      </c>
      <c r="N416" s="61">
        <f>N386*$A$26</f>
        <v/>
      </c>
      <c r="O416" s="61">
        <f>O386*$A$26</f>
        <v/>
      </c>
      <c r="P416" s="61">
        <f>P386*$A$26</f>
        <v/>
      </c>
      <c r="Q416" s="61">
        <f>Q386*$A$26</f>
        <v/>
      </c>
      <c r="R416" s="61">
        <f>R386*$A$26</f>
        <v/>
      </c>
      <c r="S416" s="61">
        <f>S386*$A$26</f>
        <v/>
      </c>
      <c r="T416" s="61">
        <f>T386*$A$26</f>
        <v/>
      </c>
      <c r="U416" s="61">
        <f>U386*$A$26</f>
        <v/>
      </c>
      <c r="V416" s="61">
        <f>V386*$A$26</f>
        <v/>
      </c>
    </row>
    <row r="417">
      <c r="C417" s="61">
        <f>C387*$A$27</f>
        <v/>
      </c>
      <c r="D417" s="61">
        <f>D387*$A$27</f>
        <v/>
      </c>
      <c r="E417" s="61">
        <f>E387*$A$27</f>
        <v/>
      </c>
      <c r="F417" s="61">
        <f>F387*$A$27</f>
        <v/>
      </c>
      <c r="G417" s="61">
        <f>G387*$A$27</f>
        <v/>
      </c>
      <c r="H417" s="61">
        <f>H387*$A$27</f>
        <v/>
      </c>
      <c r="I417" s="61">
        <f>I387*$A$27</f>
        <v/>
      </c>
      <c r="J417" s="61">
        <f>J387*$A$27</f>
        <v/>
      </c>
      <c r="K417" s="61">
        <f>K387*$A$27</f>
        <v/>
      </c>
      <c r="L417" s="61">
        <f>L387*$A$27</f>
        <v/>
      </c>
      <c r="M417" s="61">
        <f>M387*$A$27</f>
        <v/>
      </c>
      <c r="N417" s="61">
        <f>N387*$A$27</f>
        <v/>
      </c>
      <c r="O417" s="61">
        <f>O387*$A$27</f>
        <v/>
      </c>
      <c r="P417" s="61">
        <f>P387*$A$27</f>
        <v/>
      </c>
      <c r="Q417" s="61">
        <f>Q387*$A$27</f>
        <v/>
      </c>
      <c r="R417" s="61">
        <f>R387*$A$27</f>
        <v/>
      </c>
      <c r="S417" s="61">
        <f>S387*$A$27</f>
        <v/>
      </c>
      <c r="T417" s="61">
        <f>T387*$A$27</f>
        <v/>
      </c>
      <c r="U417" s="61">
        <f>U387*$A$27</f>
        <v/>
      </c>
      <c r="V417" s="61">
        <f>V387*$A$27</f>
        <v/>
      </c>
    </row>
    <row r="418">
      <c r="C418" s="61">
        <f>C388*$A$28</f>
        <v/>
      </c>
      <c r="D418" s="61">
        <f>D388*$A$28</f>
        <v/>
      </c>
      <c r="E418" s="61">
        <f>E388*$A$28</f>
        <v/>
      </c>
      <c r="F418" s="61">
        <f>F388*$A$28</f>
        <v/>
      </c>
      <c r="G418" s="61">
        <f>G388*$A$28</f>
        <v/>
      </c>
      <c r="H418" s="61">
        <f>H388*$A$28</f>
        <v/>
      </c>
      <c r="I418" s="61">
        <f>I388*$A$28</f>
        <v/>
      </c>
      <c r="J418" s="61">
        <f>J388*$A$28</f>
        <v/>
      </c>
      <c r="K418" s="61">
        <f>K388*$A$28</f>
        <v/>
      </c>
      <c r="L418" s="61">
        <f>L388*$A$28</f>
        <v/>
      </c>
      <c r="M418" s="61">
        <f>M388*$A$28</f>
        <v/>
      </c>
      <c r="N418" s="61">
        <f>N388*$A$28</f>
        <v/>
      </c>
      <c r="O418" s="61">
        <f>O388*$A$28</f>
        <v/>
      </c>
      <c r="P418" s="61">
        <f>P388*$A$28</f>
        <v/>
      </c>
      <c r="Q418" s="61">
        <f>Q388*$A$28</f>
        <v/>
      </c>
      <c r="R418" s="61">
        <f>R388*$A$28</f>
        <v/>
      </c>
      <c r="S418" s="61">
        <f>S388*$A$28</f>
        <v/>
      </c>
      <c r="T418" s="61">
        <f>T388*$A$28</f>
        <v/>
      </c>
      <c r="U418" s="61">
        <f>U388*$A$28</f>
        <v/>
      </c>
      <c r="V418" s="61">
        <f>V388*$A$28</f>
        <v/>
      </c>
    </row>
    <row r="419">
      <c r="C419" s="61">
        <f>C389*$A$29</f>
        <v/>
      </c>
      <c r="D419" s="61">
        <f>D389*$A$29</f>
        <v/>
      </c>
      <c r="E419" s="61">
        <f>E389*$A$29</f>
        <v/>
      </c>
      <c r="F419" s="61">
        <f>F389*$A$29</f>
        <v/>
      </c>
      <c r="G419" s="61">
        <f>G389*$A$29</f>
        <v/>
      </c>
      <c r="H419" s="61">
        <f>H389*$A$29</f>
        <v/>
      </c>
      <c r="I419" s="61">
        <f>I389*$A$29</f>
        <v/>
      </c>
      <c r="J419" s="61">
        <f>J389*$A$29</f>
        <v/>
      </c>
      <c r="K419" s="61">
        <f>K389*$A$29</f>
        <v/>
      </c>
      <c r="L419" s="61">
        <f>L389*$A$29</f>
        <v/>
      </c>
      <c r="M419" s="61">
        <f>M389*$A$29</f>
        <v/>
      </c>
      <c r="N419" s="61">
        <f>N389*$A$29</f>
        <v/>
      </c>
      <c r="O419" s="61">
        <f>O389*$A$29</f>
        <v/>
      </c>
      <c r="P419" s="61">
        <f>P389*$A$29</f>
        <v/>
      </c>
      <c r="Q419" s="61">
        <f>Q389*$A$29</f>
        <v/>
      </c>
      <c r="R419" s="61">
        <f>R389*$A$29</f>
        <v/>
      </c>
      <c r="S419" s="61">
        <f>S389*$A$29</f>
        <v/>
      </c>
      <c r="T419" s="61">
        <f>T389*$A$29</f>
        <v/>
      </c>
      <c r="U419" s="61">
        <f>U389*$A$29</f>
        <v/>
      </c>
      <c r="V419" s="61">
        <f>V389*$A$29</f>
        <v/>
      </c>
    </row>
    <row r="420">
      <c r="C420" s="61">
        <f>C390*$A$30</f>
        <v/>
      </c>
      <c r="D420" s="61">
        <f>D390*$A$30</f>
        <v/>
      </c>
      <c r="E420" s="61">
        <f>E390*$A$30</f>
        <v/>
      </c>
      <c r="F420" s="61">
        <f>F390*$A$30</f>
        <v/>
      </c>
      <c r="G420" s="61">
        <f>G390*$A$30</f>
        <v/>
      </c>
      <c r="H420" s="61">
        <f>H390*$A$30</f>
        <v/>
      </c>
      <c r="I420" s="61">
        <f>I390*$A$30</f>
        <v/>
      </c>
      <c r="J420" s="61">
        <f>J390*$A$30</f>
        <v/>
      </c>
      <c r="K420" s="61">
        <f>K390*$A$30</f>
        <v/>
      </c>
      <c r="L420" s="61">
        <f>L390*$A$30</f>
        <v/>
      </c>
      <c r="M420" s="61">
        <f>M390*$A$30</f>
        <v/>
      </c>
      <c r="N420" s="61">
        <f>N390*$A$30</f>
        <v/>
      </c>
      <c r="O420" s="61">
        <f>O390*$A$30</f>
        <v/>
      </c>
      <c r="P420" s="61">
        <f>P390*$A$30</f>
        <v/>
      </c>
      <c r="Q420" s="61">
        <f>Q390*$A$30</f>
        <v/>
      </c>
      <c r="R420" s="61">
        <f>R390*$A$30</f>
        <v/>
      </c>
      <c r="S420" s="61">
        <f>S390*$A$30</f>
        <v/>
      </c>
      <c r="T420" s="61">
        <f>T390*$A$30</f>
        <v/>
      </c>
      <c r="U420" s="61">
        <f>U390*$A$30</f>
        <v/>
      </c>
      <c r="V420" s="61">
        <f>V390*$A$30</f>
        <v/>
      </c>
    </row>
    <row r="421">
      <c r="C421" s="61">
        <f>C391*$A$31</f>
        <v/>
      </c>
      <c r="D421" s="61">
        <f>D391*$A$31</f>
        <v/>
      </c>
      <c r="E421" s="61">
        <f>E391*$A$31</f>
        <v/>
      </c>
      <c r="F421" s="61">
        <f>F391*$A$31</f>
        <v/>
      </c>
      <c r="G421" s="61">
        <f>G391*$A$31</f>
        <v/>
      </c>
      <c r="H421" s="61">
        <f>H391*$A$31</f>
        <v/>
      </c>
      <c r="I421" s="61">
        <f>I391*$A$31</f>
        <v/>
      </c>
      <c r="J421" s="61">
        <f>J391*$A$31</f>
        <v/>
      </c>
      <c r="K421" s="61">
        <f>K391*$A$31</f>
        <v/>
      </c>
      <c r="L421" s="61">
        <f>L391*$A$31</f>
        <v/>
      </c>
      <c r="M421" s="61">
        <f>M391*$A$31</f>
        <v/>
      </c>
      <c r="N421" s="61">
        <f>N391*$A$31</f>
        <v/>
      </c>
      <c r="O421" s="61">
        <f>O391*$A$31</f>
        <v/>
      </c>
      <c r="P421" s="61">
        <f>P391*$A$31</f>
        <v/>
      </c>
      <c r="Q421" s="61">
        <f>Q391*$A$31</f>
        <v/>
      </c>
      <c r="R421" s="61">
        <f>R391*$A$31</f>
        <v/>
      </c>
      <c r="S421" s="61">
        <f>S391*$A$31</f>
        <v/>
      </c>
      <c r="T421" s="61">
        <f>T391*$A$31</f>
        <v/>
      </c>
      <c r="U421" s="61">
        <f>U391*$A$31</f>
        <v/>
      </c>
      <c r="V421" s="61">
        <f>V391*$A$31</f>
        <v/>
      </c>
    </row>
    <row r="422">
      <c r="C422" s="61">
        <f>C392*$A$32</f>
        <v/>
      </c>
      <c r="D422" s="61">
        <f>D392*$A$32</f>
        <v/>
      </c>
      <c r="E422" s="61">
        <f>E392*$A$32</f>
        <v/>
      </c>
      <c r="F422" s="61">
        <f>F392*$A$32</f>
        <v/>
      </c>
      <c r="G422" s="61">
        <f>G392*$A$32</f>
        <v/>
      </c>
      <c r="H422" s="61">
        <f>H392*$A$32</f>
        <v/>
      </c>
      <c r="I422" s="61">
        <f>I392*$A$32</f>
        <v/>
      </c>
      <c r="J422" s="61">
        <f>J392*$A$32</f>
        <v/>
      </c>
      <c r="K422" s="61">
        <f>K392*$A$32</f>
        <v/>
      </c>
      <c r="L422" s="61">
        <f>L392*$A$32</f>
        <v/>
      </c>
      <c r="M422" s="61">
        <f>M392*$A$32</f>
        <v/>
      </c>
      <c r="N422" s="61">
        <f>N392*$A$32</f>
        <v/>
      </c>
      <c r="O422" s="61">
        <f>O392*$A$32</f>
        <v/>
      </c>
      <c r="P422" s="61">
        <f>P392*$A$32</f>
        <v/>
      </c>
      <c r="Q422" s="61">
        <f>Q392*$A$32</f>
        <v/>
      </c>
      <c r="R422" s="61">
        <f>R392*$A$32</f>
        <v/>
      </c>
      <c r="S422" s="61">
        <f>S392*$A$32</f>
        <v/>
      </c>
      <c r="T422" s="61">
        <f>T392*$A$32</f>
        <v/>
      </c>
      <c r="U422" s="61">
        <f>U392*$A$32</f>
        <v/>
      </c>
      <c r="V422" s="61">
        <f>V392*$A$32</f>
        <v/>
      </c>
    </row>
    <row r="423">
      <c r="C423" s="61">
        <f>C393*$A$33</f>
        <v/>
      </c>
      <c r="D423" s="61">
        <f>D393*$A$33</f>
        <v/>
      </c>
      <c r="E423" s="61">
        <f>E393*$A$33</f>
        <v/>
      </c>
      <c r="F423" s="61">
        <f>F393*$A$33</f>
        <v/>
      </c>
      <c r="G423" s="61">
        <f>G393*$A$33</f>
        <v/>
      </c>
      <c r="H423" s="61">
        <f>H393*$A$33</f>
        <v/>
      </c>
      <c r="I423" s="61">
        <f>I393*$A$33</f>
        <v/>
      </c>
      <c r="J423" s="61">
        <f>J393*$A$33</f>
        <v/>
      </c>
      <c r="K423" s="61">
        <f>K393*$A$33</f>
        <v/>
      </c>
      <c r="L423" s="61">
        <f>L393*$A$33</f>
        <v/>
      </c>
      <c r="M423" s="61">
        <f>M393*$A$33</f>
        <v/>
      </c>
      <c r="N423" s="61">
        <f>N393*$A$33</f>
        <v/>
      </c>
      <c r="O423" s="61">
        <f>O393*$A$33</f>
        <v/>
      </c>
      <c r="P423" s="61">
        <f>P393*$A$33</f>
        <v/>
      </c>
      <c r="Q423" s="61">
        <f>Q393*$A$33</f>
        <v/>
      </c>
      <c r="R423" s="61">
        <f>R393*$A$33</f>
        <v/>
      </c>
      <c r="S423" s="61">
        <f>S393*$A$33</f>
        <v/>
      </c>
      <c r="T423" s="61">
        <f>T393*$A$33</f>
        <v/>
      </c>
      <c r="U423" s="61">
        <f>U393*$A$33</f>
        <v/>
      </c>
      <c r="V423" s="61">
        <f>V393*$A$33</f>
        <v/>
      </c>
    </row>
    <row r="424">
      <c r="C424" s="61">
        <f>C394*$A$34</f>
        <v/>
      </c>
      <c r="D424" s="61">
        <f>D394*$A$34</f>
        <v/>
      </c>
      <c r="E424" s="61">
        <f>E394*$A$34</f>
        <v/>
      </c>
      <c r="F424" s="61">
        <f>F394*$A$34</f>
        <v/>
      </c>
      <c r="G424" s="61">
        <f>G394*$A$34</f>
        <v/>
      </c>
      <c r="H424" s="61">
        <f>H394*$A$34</f>
        <v/>
      </c>
      <c r="I424" s="61">
        <f>I394*$A$34</f>
        <v/>
      </c>
      <c r="J424" s="61">
        <f>J394*$A$34</f>
        <v/>
      </c>
      <c r="K424" s="61">
        <f>K394*$A$34</f>
        <v/>
      </c>
      <c r="L424" s="61">
        <f>L394*$A$34</f>
        <v/>
      </c>
      <c r="M424" s="61">
        <f>M394*$A$34</f>
        <v/>
      </c>
      <c r="N424" s="61">
        <f>N394*$A$34</f>
        <v/>
      </c>
      <c r="O424" s="61">
        <f>O394*$A$34</f>
        <v/>
      </c>
      <c r="P424" s="61">
        <f>P394*$A$34</f>
        <v/>
      </c>
      <c r="Q424" s="61">
        <f>Q394*$A$34</f>
        <v/>
      </c>
      <c r="R424" s="61">
        <f>R394*$A$34</f>
        <v/>
      </c>
      <c r="S424" s="61">
        <f>S394*$A$34</f>
        <v/>
      </c>
      <c r="T424" s="61">
        <f>T394*$A$34</f>
        <v/>
      </c>
      <c r="U424" s="61">
        <f>U394*$A$34</f>
        <v/>
      </c>
      <c r="V424" s="61">
        <f>V394*$A$34</f>
        <v/>
      </c>
    </row>
    <row r="425">
      <c r="C425" s="61">
        <f>C395*$A$35</f>
        <v/>
      </c>
      <c r="D425" s="61">
        <f>D395*$A$35</f>
        <v/>
      </c>
      <c r="E425" s="61">
        <f>E395*$A$35</f>
        <v/>
      </c>
      <c r="F425" s="61">
        <f>F395*$A$35</f>
        <v/>
      </c>
      <c r="G425" s="61">
        <f>G395*$A$35</f>
        <v/>
      </c>
      <c r="H425" s="61">
        <f>H395*$A$35</f>
        <v/>
      </c>
      <c r="I425" s="61">
        <f>I395*$A$35</f>
        <v/>
      </c>
      <c r="J425" s="61">
        <f>J395*$A$35</f>
        <v/>
      </c>
      <c r="K425" s="61">
        <f>K395*$A$35</f>
        <v/>
      </c>
      <c r="L425" s="61">
        <f>L395*$A$35</f>
        <v/>
      </c>
      <c r="M425" s="61">
        <f>M395*$A$35</f>
        <v/>
      </c>
      <c r="N425" s="61">
        <f>N395*$A$35</f>
        <v/>
      </c>
      <c r="O425" s="61">
        <f>O395*$A$35</f>
        <v/>
      </c>
      <c r="P425" s="61">
        <f>P395*$A$35</f>
        <v/>
      </c>
      <c r="Q425" s="61">
        <f>Q395*$A$35</f>
        <v/>
      </c>
      <c r="R425" s="61">
        <f>R395*$A$35</f>
        <v/>
      </c>
      <c r="S425" s="61">
        <f>S395*$A$35</f>
        <v/>
      </c>
      <c r="T425" s="61">
        <f>T395*$A$35</f>
        <v/>
      </c>
      <c r="U425" s="61">
        <f>U395*$A$35</f>
        <v/>
      </c>
      <c r="V425" s="61">
        <f>V395*$A$35</f>
        <v/>
      </c>
    </row>
    <row r="426">
      <c r="C426" s="61">
        <f>C396*$A$36</f>
        <v/>
      </c>
      <c r="D426" s="61">
        <f>D396*$A$36</f>
        <v/>
      </c>
      <c r="E426" s="61">
        <f>E396*$A$36</f>
        <v/>
      </c>
      <c r="F426" s="61">
        <f>F396*$A$36</f>
        <v/>
      </c>
      <c r="G426" s="61">
        <f>G396*$A$36</f>
        <v/>
      </c>
      <c r="H426" s="61">
        <f>H396*$A$36</f>
        <v/>
      </c>
      <c r="I426" s="61">
        <f>I396*$A$36</f>
        <v/>
      </c>
      <c r="J426" s="61">
        <f>J396*$A$36</f>
        <v/>
      </c>
      <c r="K426" s="61">
        <f>K396*$A$36</f>
        <v/>
      </c>
      <c r="L426" s="61">
        <f>L396*$A$36</f>
        <v/>
      </c>
      <c r="M426" s="61">
        <f>M396*$A$36</f>
        <v/>
      </c>
      <c r="N426" s="61">
        <f>N396*$A$36</f>
        <v/>
      </c>
      <c r="O426" s="61">
        <f>O396*$A$36</f>
        <v/>
      </c>
      <c r="P426" s="61">
        <f>P396*$A$36</f>
        <v/>
      </c>
      <c r="Q426" s="61">
        <f>Q396*$A$36</f>
        <v/>
      </c>
      <c r="R426" s="61">
        <f>R396*$A$36</f>
        <v/>
      </c>
      <c r="S426" s="61">
        <f>S396*$A$36</f>
        <v/>
      </c>
      <c r="T426" s="61">
        <f>T396*$A$36</f>
        <v/>
      </c>
      <c r="U426" s="61">
        <f>U396*$A$36</f>
        <v/>
      </c>
      <c r="V426" s="61">
        <f>V396*$A$36</f>
        <v/>
      </c>
    </row>
    <row r="427">
      <c r="C427" s="61">
        <f>C397*$A$37</f>
        <v/>
      </c>
      <c r="D427" s="61">
        <f>D397*$A$37</f>
        <v/>
      </c>
      <c r="E427" s="61">
        <f>E397*$A$37</f>
        <v/>
      </c>
      <c r="F427" s="61">
        <f>F397*$A$37</f>
        <v/>
      </c>
      <c r="G427" s="61">
        <f>G397*$A$37</f>
        <v/>
      </c>
      <c r="H427" s="61">
        <f>H397*$A$37</f>
        <v/>
      </c>
      <c r="I427" s="61">
        <f>I397*$A$37</f>
        <v/>
      </c>
      <c r="J427" s="61">
        <f>J397*$A$37</f>
        <v/>
      </c>
      <c r="K427" s="61">
        <f>K397*$A$37</f>
        <v/>
      </c>
      <c r="L427" s="61">
        <f>L397*$A$37</f>
        <v/>
      </c>
      <c r="M427" s="61">
        <f>M397*$A$37</f>
        <v/>
      </c>
      <c r="N427" s="61">
        <f>N397*$A$37</f>
        <v/>
      </c>
      <c r="O427" s="61">
        <f>O397*$A$37</f>
        <v/>
      </c>
      <c r="P427" s="61">
        <f>P397*$A$37</f>
        <v/>
      </c>
      <c r="Q427" s="61">
        <f>Q397*$A$37</f>
        <v/>
      </c>
      <c r="R427" s="61">
        <f>R397*$A$37</f>
        <v/>
      </c>
      <c r="S427" s="61">
        <f>S397*$A$37</f>
        <v/>
      </c>
      <c r="T427" s="61">
        <f>T397*$A$37</f>
        <v/>
      </c>
      <c r="U427" s="61">
        <f>U397*$A$37</f>
        <v/>
      </c>
      <c r="V427" s="61">
        <f>V397*$A$37</f>
        <v/>
      </c>
    </row>
    <row r="428">
      <c r="C428" s="61">
        <f>C398*$A$38</f>
        <v/>
      </c>
      <c r="D428" s="61">
        <f>D398*$A$38</f>
        <v/>
      </c>
      <c r="E428" s="61">
        <f>E398*$A$38</f>
        <v/>
      </c>
      <c r="F428" s="61">
        <f>F398*$A$38</f>
        <v/>
      </c>
      <c r="G428" s="61">
        <f>G398*$A$38</f>
        <v/>
      </c>
      <c r="H428" s="61">
        <f>H398*$A$38</f>
        <v/>
      </c>
      <c r="I428" s="61">
        <f>I398*$A$38</f>
        <v/>
      </c>
      <c r="J428" s="61">
        <f>J398*$A$38</f>
        <v/>
      </c>
      <c r="K428" s="61">
        <f>K398*$A$38</f>
        <v/>
      </c>
      <c r="L428" s="61">
        <f>L398*$A$38</f>
        <v/>
      </c>
      <c r="M428" s="61">
        <f>M398*$A$38</f>
        <v/>
      </c>
      <c r="N428" s="61">
        <f>N398*$A$38</f>
        <v/>
      </c>
      <c r="O428" s="61">
        <f>O398*$A$38</f>
        <v/>
      </c>
      <c r="P428" s="61">
        <f>P398*$A$38</f>
        <v/>
      </c>
      <c r="Q428" s="61">
        <f>Q398*$A$38</f>
        <v/>
      </c>
      <c r="R428" s="61">
        <f>R398*$A$38</f>
        <v/>
      </c>
      <c r="S428" s="61">
        <f>S398*$A$38</f>
        <v/>
      </c>
      <c r="T428" s="61">
        <f>T398*$A$38</f>
        <v/>
      </c>
      <c r="U428" s="61">
        <f>U398*$A$38</f>
        <v/>
      </c>
      <c r="V428" s="61">
        <f>V398*$A$38</f>
        <v/>
      </c>
    </row>
    <row r="429">
      <c r="C429" s="61">
        <f>C399*$A$39</f>
        <v/>
      </c>
      <c r="D429" s="61">
        <f>D399*$A$39</f>
        <v/>
      </c>
      <c r="E429" s="61">
        <f>E399*$A$39</f>
        <v/>
      </c>
      <c r="F429" s="61">
        <f>F399*$A$39</f>
        <v/>
      </c>
      <c r="G429" s="61">
        <f>G399*$A$39</f>
        <v/>
      </c>
      <c r="H429" s="61">
        <f>H399*$A$39</f>
        <v/>
      </c>
      <c r="I429" s="61">
        <f>I399*$A$39</f>
        <v/>
      </c>
      <c r="J429" s="61">
        <f>J399*$A$39</f>
        <v/>
      </c>
      <c r="K429" s="61">
        <f>K399*$A$39</f>
        <v/>
      </c>
      <c r="L429" s="61">
        <f>L399*$A$39</f>
        <v/>
      </c>
      <c r="M429" s="61">
        <f>M399*$A$39</f>
        <v/>
      </c>
      <c r="N429" s="61">
        <f>N399*$A$39</f>
        <v/>
      </c>
      <c r="O429" s="61">
        <f>O399*$A$39</f>
        <v/>
      </c>
      <c r="P429" s="61">
        <f>P399*$A$39</f>
        <v/>
      </c>
      <c r="Q429" s="61">
        <f>Q399*$A$39</f>
        <v/>
      </c>
      <c r="R429" s="61">
        <f>R399*$A$39</f>
        <v/>
      </c>
      <c r="S429" s="61">
        <f>S399*$A$39</f>
        <v/>
      </c>
      <c r="T429" s="61">
        <f>T399*$A$39</f>
        <v/>
      </c>
      <c r="U429" s="61">
        <f>U399*$A$39</f>
        <v/>
      </c>
      <c r="V429" s="61">
        <f>V399*$A$39</f>
        <v/>
      </c>
    </row>
    <row r="430">
      <c r="C430" s="61">
        <f>C400*$A$40</f>
        <v/>
      </c>
      <c r="D430" s="61">
        <f>D400*$A$40</f>
        <v/>
      </c>
      <c r="E430" s="61">
        <f>E400*$A$40</f>
        <v/>
      </c>
      <c r="F430" s="61">
        <f>F400*$A$40</f>
        <v/>
      </c>
      <c r="G430" s="61">
        <f>G400*$A$40</f>
        <v/>
      </c>
      <c r="H430" s="61">
        <f>H400*$A$40</f>
        <v/>
      </c>
      <c r="I430" s="61">
        <f>I400*$A$40</f>
        <v/>
      </c>
      <c r="J430" s="61">
        <f>J400*$A$40</f>
        <v/>
      </c>
      <c r="K430" s="61">
        <f>K400*$A$40</f>
        <v/>
      </c>
      <c r="L430" s="61">
        <f>L400*$A$40</f>
        <v/>
      </c>
      <c r="M430" s="61">
        <f>M400*$A$40</f>
        <v/>
      </c>
      <c r="N430" s="61">
        <f>N400*$A$40</f>
        <v/>
      </c>
      <c r="O430" s="61">
        <f>O400*$A$40</f>
        <v/>
      </c>
      <c r="P430" s="61">
        <f>P400*$A$40</f>
        <v/>
      </c>
      <c r="Q430" s="61">
        <f>Q400*$A$40</f>
        <v/>
      </c>
      <c r="R430" s="61">
        <f>R400*$A$40</f>
        <v/>
      </c>
      <c r="S430" s="61">
        <f>S400*$A$40</f>
        <v/>
      </c>
      <c r="T430" s="61">
        <f>T400*$A$40</f>
        <v/>
      </c>
      <c r="U430" s="61">
        <f>U400*$A$40</f>
        <v/>
      </c>
      <c r="V430" s="61">
        <f>V400*$A$40</f>
        <v/>
      </c>
    </row>
    <row r="431">
      <c r="C431" s="61">
        <f>C401*$A$41</f>
        <v/>
      </c>
      <c r="D431" s="61">
        <f>D401*$A$41</f>
        <v/>
      </c>
      <c r="E431" s="61">
        <f>E401*$A$41</f>
        <v/>
      </c>
      <c r="F431" s="61">
        <f>F401*$A$41</f>
        <v/>
      </c>
      <c r="G431" s="61">
        <f>G401*$A$41</f>
        <v/>
      </c>
      <c r="H431" s="61">
        <f>H401*$A$41</f>
        <v/>
      </c>
      <c r="I431" s="61">
        <f>I401*$A$41</f>
        <v/>
      </c>
      <c r="J431" s="61">
        <f>J401*$A$41</f>
        <v/>
      </c>
      <c r="K431" s="61">
        <f>K401*$A$41</f>
        <v/>
      </c>
      <c r="L431" s="61">
        <f>L401*$A$41</f>
        <v/>
      </c>
      <c r="M431" s="61">
        <f>M401*$A$41</f>
        <v/>
      </c>
      <c r="N431" s="61">
        <f>N401*$A$41</f>
        <v/>
      </c>
      <c r="O431" s="61">
        <f>O401*$A$41</f>
        <v/>
      </c>
      <c r="P431" s="61">
        <f>P401*$A$41</f>
        <v/>
      </c>
      <c r="Q431" s="61">
        <f>Q401*$A$41</f>
        <v/>
      </c>
      <c r="R431" s="61">
        <f>R401*$A$41</f>
        <v/>
      </c>
      <c r="S431" s="61">
        <f>S401*$A$41</f>
        <v/>
      </c>
      <c r="T431" s="61">
        <f>T401*$A$41</f>
        <v/>
      </c>
      <c r="U431" s="61">
        <f>U401*$A$41</f>
        <v/>
      </c>
      <c r="V431" s="61">
        <f>V401*$A$41</f>
        <v/>
      </c>
    </row>
    <row r="432">
      <c r="C432" s="61">
        <f>C402*$A$42</f>
        <v/>
      </c>
      <c r="D432" s="61">
        <f>D402*$A$42</f>
        <v/>
      </c>
      <c r="E432" s="61">
        <f>E402*$A$42</f>
        <v/>
      </c>
      <c r="F432" s="61">
        <f>F402*$A$42</f>
        <v/>
      </c>
      <c r="G432" s="61">
        <f>G402*$A$42</f>
        <v/>
      </c>
      <c r="H432" s="61">
        <f>H402*$A$42</f>
        <v/>
      </c>
      <c r="I432" s="61">
        <f>I402*$A$42</f>
        <v/>
      </c>
      <c r="J432" s="61">
        <f>J402*$A$42</f>
        <v/>
      </c>
      <c r="K432" s="61">
        <f>K402*$A$42</f>
        <v/>
      </c>
      <c r="L432" s="61">
        <f>L402*$A$42</f>
        <v/>
      </c>
      <c r="M432" s="61">
        <f>M402*$A$42</f>
        <v/>
      </c>
      <c r="N432" s="61">
        <f>N402*$A$42</f>
        <v/>
      </c>
      <c r="O432" s="61">
        <f>O402*$A$42</f>
        <v/>
      </c>
      <c r="P432" s="61">
        <f>P402*$A$42</f>
        <v/>
      </c>
      <c r="Q432" s="61">
        <f>Q402*$A$42</f>
        <v/>
      </c>
      <c r="R432" s="61">
        <f>R402*$A$42</f>
        <v/>
      </c>
      <c r="S432" s="61">
        <f>S402*$A$42</f>
        <v/>
      </c>
      <c r="T432" s="61">
        <f>T402*$A$42</f>
        <v/>
      </c>
      <c r="U432" s="61">
        <f>U402*$A$42</f>
        <v/>
      </c>
      <c r="V432" s="61">
        <f>V402*$A$42</f>
        <v/>
      </c>
    </row>
    <row r="433">
      <c r="C433" s="61">
        <f>C403*$A$43</f>
        <v/>
      </c>
      <c r="D433" s="61">
        <f>D403*$A$43</f>
        <v/>
      </c>
      <c r="E433" s="61">
        <f>E403*$A$43</f>
        <v/>
      </c>
      <c r="F433" s="61">
        <f>F403*$A$43</f>
        <v/>
      </c>
      <c r="G433" s="61">
        <f>G403*$A$43</f>
        <v/>
      </c>
      <c r="H433" s="61">
        <f>H403*$A$43</f>
        <v/>
      </c>
      <c r="I433" s="61">
        <f>I403*$A$43</f>
        <v/>
      </c>
      <c r="J433" s="61">
        <f>J403*$A$43</f>
        <v/>
      </c>
      <c r="K433" s="61">
        <f>K403*$A$43</f>
        <v/>
      </c>
      <c r="L433" s="61">
        <f>L403*$A$43</f>
        <v/>
      </c>
      <c r="M433" s="61">
        <f>M403*$A$43</f>
        <v/>
      </c>
      <c r="N433" s="61">
        <f>N403*$A$43</f>
        <v/>
      </c>
      <c r="O433" s="61">
        <f>O403*$A$43</f>
        <v/>
      </c>
      <c r="P433" s="61">
        <f>P403*$A$43</f>
        <v/>
      </c>
      <c r="Q433" s="61">
        <f>Q403*$A$43</f>
        <v/>
      </c>
      <c r="R433" s="61">
        <f>R403*$A$43</f>
        <v/>
      </c>
      <c r="S433" s="61">
        <f>S403*$A$43</f>
        <v/>
      </c>
      <c r="T433" s="61">
        <f>T403*$A$43</f>
        <v/>
      </c>
      <c r="U433" s="61">
        <f>U403*$A$43</f>
        <v/>
      </c>
      <c r="V433" s="61">
        <f>V403*$A$43</f>
        <v/>
      </c>
    </row>
    <row r="434">
      <c r="C434" s="61">
        <f>C404*$A$44</f>
        <v/>
      </c>
      <c r="D434" s="61">
        <f>D404*$A$44</f>
        <v/>
      </c>
      <c r="E434" s="61">
        <f>E404*$A$44</f>
        <v/>
      </c>
      <c r="F434" s="61">
        <f>F404*$A$44</f>
        <v/>
      </c>
      <c r="G434" s="61">
        <f>G404*$A$44</f>
        <v/>
      </c>
      <c r="H434" s="61">
        <f>H404*$A$44</f>
        <v/>
      </c>
      <c r="I434" s="61">
        <f>I404*$A$44</f>
        <v/>
      </c>
      <c r="J434" s="61">
        <f>J404*$A$44</f>
        <v/>
      </c>
      <c r="K434" s="61">
        <f>K404*$A$44</f>
        <v/>
      </c>
      <c r="L434" s="61">
        <f>L404*$A$44</f>
        <v/>
      </c>
      <c r="M434" s="61">
        <f>M404*$A$44</f>
        <v/>
      </c>
      <c r="N434" s="61">
        <f>N404*$A$44</f>
        <v/>
      </c>
      <c r="O434" s="61">
        <f>O404*$A$44</f>
        <v/>
      </c>
      <c r="P434" s="61">
        <f>P404*$A$44</f>
        <v/>
      </c>
      <c r="Q434" s="61">
        <f>Q404*$A$44</f>
        <v/>
      </c>
      <c r="R434" s="61">
        <f>R404*$A$44</f>
        <v/>
      </c>
      <c r="S434" s="61">
        <f>S404*$A$44</f>
        <v/>
      </c>
      <c r="T434" s="61">
        <f>T404*$A$44</f>
        <v/>
      </c>
      <c r="U434" s="61">
        <f>U404*$A$44</f>
        <v/>
      </c>
      <c r="V434" s="61">
        <f>V404*$A$44</f>
        <v/>
      </c>
    </row>
    <row r="439">
      <c r="A439" s="162" t="inlineStr">
        <is>
          <t>HJ anz</t>
        </is>
      </c>
      <c r="C439" s="160" t="n">
        <v>1</v>
      </c>
      <c r="D439" s="160" t="n">
        <v>2</v>
      </c>
      <c r="E439" s="160" t="n">
        <v>3</v>
      </c>
      <c r="F439" s="160" t="n">
        <v>4</v>
      </c>
      <c r="G439" s="160" t="n">
        <v>5</v>
      </c>
      <c r="H439" s="160" t="n">
        <v>6</v>
      </c>
      <c r="I439" s="160" t="n">
        <v>7</v>
      </c>
      <c r="J439" s="160" t="n">
        <v>8</v>
      </c>
    </row>
    <row r="440">
      <c r="C440" s="61">
        <f>SUMPRODUCT($C$790:$V$790,($C$80:$V$80=C$439)*1)</f>
        <v/>
      </c>
      <c r="D440" s="61">
        <f>SUMPRODUCT($C$790:$V$790,($C$80:$V$80=D$439)*1)</f>
        <v/>
      </c>
      <c r="E440" s="61">
        <f>SUMPRODUCT($C$790:$V$790,($C$80:$V$80=E$439)*1)</f>
        <v/>
      </c>
      <c r="F440" s="61">
        <f>SUMPRODUCT($C$790:$V$790,($C$80:$V$80=F$439)*1)</f>
        <v/>
      </c>
      <c r="G440" s="61">
        <f>SUMPRODUCT($C$790:$V$790,($C$80:$V$80=G$439)*1)</f>
        <v/>
      </c>
      <c r="H440" s="61">
        <f>SUMPRODUCT($C$790:$V$790,($C$80:$V$80=H$439)*1)</f>
        <v/>
      </c>
      <c r="I440" s="61">
        <f>SUMPRODUCT($C$790:$V$790,($C$80:$V$80=I$439)*1)</f>
        <v/>
      </c>
      <c r="J440" s="61">
        <f>SUMPRODUCT($C$790:$V$790,($C$80:$V$80=J$439)*1)</f>
        <v/>
      </c>
    </row>
    <row r="441">
      <c r="C441" s="61">
        <f>SUMPRODUCT($C$791:$V$791,($C$81:$V$81=C$439)*1)</f>
        <v/>
      </c>
      <c r="D441" s="61">
        <f>SUMPRODUCT($C$791:$V$791,($C$81:$V$81=D$439)*1)</f>
        <v/>
      </c>
      <c r="E441" s="61">
        <f>SUMPRODUCT($C$791:$V$791,($C$81:$V$81=E$439)*1)</f>
        <v/>
      </c>
      <c r="F441" s="61">
        <f>SUMPRODUCT($C$791:$V$791,($C$81:$V$81=F$439)*1)</f>
        <v/>
      </c>
      <c r="G441" s="61">
        <f>SUMPRODUCT($C$791:$V$791,($C$81:$V$81=G$439)*1)</f>
        <v/>
      </c>
      <c r="H441" s="61">
        <f>SUMPRODUCT($C$791:$V$791,($C$81:$V$81=H$439)*1)</f>
        <v/>
      </c>
      <c r="I441" s="61">
        <f>SUMPRODUCT($C$791:$V$791,($C$81:$V$81=I$439)*1)</f>
        <v/>
      </c>
      <c r="J441" s="61">
        <f>SUMPRODUCT($C$791:$V$791,($C$81:$V$81=J$439)*1)</f>
        <v/>
      </c>
    </row>
    <row r="442">
      <c r="C442" s="61">
        <f>SUMPRODUCT($C$792:$V$792,($C$82:$V$82=C$439)*1)</f>
        <v/>
      </c>
      <c r="D442" s="61">
        <f>SUMPRODUCT($C$792:$V$792,($C$82:$V$82=D$439)*1)</f>
        <v/>
      </c>
      <c r="E442" s="61">
        <f>SUMPRODUCT($C$792:$V$792,($C$82:$V$82=E$439)*1)</f>
        <v/>
      </c>
      <c r="F442" s="61">
        <f>SUMPRODUCT($C$792:$V$792,($C$82:$V$82=F$439)*1)</f>
        <v/>
      </c>
      <c r="G442" s="61">
        <f>SUMPRODUCT($C$792:$V$792,($C$82:$V$82=G$439)*1)</f>
        <v/>
      </c>
      <c r="H442" s="61">
        <f>SUMPRODUCT($C$792:$V$792,($C$82:$V$82=H$439)*1)</f>
        <v/>
      </c>
      <c r="I442" s="61">
        <f>SUMPRODUCT($C$792:$V$792,($C$82:$V$82=I$439)*1)</f>
        <v/>
      </c>
      <c r="J442" s="61">
        <f>SUMPRODUCT($C$792:$V$792,($C$82:$V$82=J$439)*1)</f>
        <v/>
      </c>
    </row>
    <row r="443">
      <c r="C443" s="61">
        <f>SUMPRODUCT($C$793:$V$793,($C$83:$V$83=C$439)*1)</f>
        <v/>
      </c>
      <c r="D443" s="61">
        <f>SUMPRODUCT($C$793:$V$793,($C$83:$V$83=D$439)*1)</f>
        <v/>
      </c>
      <c r="E443" s="61">
        <f>SUMPRODUCT($C$793:$V$793,($C$83:$V$83=E$439)*1)</f>
        <v/>
      </c>
      <c r="F443" s="61">
        <f>SUMPRODUCT($C$793:$V$793,($C$83:$V$83=F$439)*1)</f>
        <v/>
      </c>
      <c r="G443" s="61">
        <f>SUMPRODUCT($C$793:$V$793,($C$83:$V$83=G$439)*1)</f>
        <v/>
      </c>
      <c r="H443" s="61">
        <f>SUMPRODUCT($C$793:$V$793,($C$83:$V$83=H$439)*1)</f>
        <v/>
      </c>
      <c r="I443" s="61">
        <f>SUMPRODUCT($C$793:$V$793,($C$83:$V$83=I$439)*1)</f>
        <v/>
      </c>
      <c r="J443" s="61">
        <f>SUMPRODUCT($C$793:$V$793,($C$83:$V$83=J$439)*1)</f>
        <v/>
      </c>
    </row>
    <row r="444">
      <c r="C444" s="61">
        <f>SUMPRODUCT($C$794:$V$794,($C$84:$V$84=C$439)*1)</f>
        <v/>
      </c>
      <c r="D444" s="61">
        <f>SUMPRODUCT($C$794:$V$794,($C$84:$V$84=D$439)*1)</f>
        <v/>
      </c>
      <c r="E444" s="61">
        <f>SUMPRODUCT($C$794:$V$794,($C$84:$V$84=E$439)*1)</f>
        <v/>
      </c>
      <c r="F444" s="61">
        <f>SUMPRODUCT($C$794:$V$794,($C$84:$V$84=F$439)*1)</f>
        <v/>
      </c>
      <c r="G444" s="61">
        <f>SUMPRODUCT($C$794:$V$794,($C$84:$V$84=G$439)*1)</f>
        <v/>
      </c>
      <c r="H444" s="61">
        <f>SUMPRODUCT($C$794:$V$794,($C$84:$V$84=H$439)*1)</f>
        <v/>
      </c>
      <c r="I444" s="61">
        <f>SUMPRODUCT($C$794:$V$794,($C$84:$V$84=I$439)*1)</f>
        <v/>
      </c>
      <c r="J444" s="61">
        <f>SUMPRODUCT($C$794:$V$794,($C$84:$V$84=J$439)*1)</f>
        <v/>
      </c>
    </row>
    <row r="445">
      <c r="C445" s="61">
        <f>SUMPRODUCT($C$795:$V$795,($C$85:$V$85=C$439)*1)</f>
        <v/>
      </c>
      <c r="D445" s="61">
        <f>SUMPRODUCT($C$795:$V$795,($C$85:$V$85=D$439)*1)</f>
        <v/>
      </c>
      <c r="E445" s="61">
        <f>SUMPRODUCT($C$795:$V$795,($C$85:$V$85=E$439)*1)</f>
        <v/>
      </c>
      <c r="F445" s="61">
        <f>SUMPRODUCT($C$795:$V$795,($C$85:$V$85=F$439)*1)</f>
        <v/>
      </c>
      <c r="G445" s="61">
        <f>SUMPRODUCT($C$795:$V$795,($C$85:$V$85=G$439)*1)</f>
        <v/>
      </c>
      <c r="H445" s="61">
        <f>SUMPRODUCT($C$795:$V$795,($C$85:$V$85=H$439)*1)</f>
        <v/>
      </c>
      <c r="I445" s="61">
        <f>SUMPRODUCT($C$795:$V$795,($C$85:$V$85=I$439)*1)</f>
        <v/>
      </c>
      <c r="J445" s="61">
        <f>SUMPRODUCT($C$795:$V$795,($C$85:$V$85=J$439)*1)</f>
        <v/>
      </c>
    </row>
    <row r="446">
      <c r="C446" s="61">
        <f>SUMPRODUCT($C$796:$V$796,($C$86:$V$86=C$439)*1)</f>
        <v/>
      </c>
      <c r="D446" s="61">
        <f>SUMPRODUCT($C$796:$V$796,($C$86:$V$86=D$439)*1)</f>
        <v/>
      </c>
      <c r="E446" s="61">
        <f>SUMPRODUCT($C$796:$V$796,($C$86:$V$86=E$439)*1)</f>
        <v/>
      </c>
      <c r="F446" s="61">
        <f>SUMPRODUCT($C$796:$V$796,($C$86:$V$86=F$439)*1)</f>
        <v/>
      </c>
      <c r="G446" s="61">
        <f>SUMPRODUCT($C$796:$V$796,($C$86:$V$86=G$439)*1)</f>
        <v/>
      </c>
      <c r="H446" s="61">
        <f>SUMPRODUCT($C$796:$V$796,($C$86:$V$86=H$439)*1)</f>
        <v/>
      </c>
      <c r="I446" s="61">
        <f>SUMPRODUCT($C$796:$V$796,($C$86:$V$86=I$439)*1)</f>
        <v/>
      </c>
      <c r="J446" s="61">
        <f>SUMPRODUCT($C$796:$V$796,($C$86:$V$86=J$439)*1)</f>
        <v/>
      </c>
    </row>
    <row r="447">
      <c r="C447" s="61">
        <f>SUMPRODUCT($C$797:$V$797,($C$87:$V$87=C$439)*1)</f>
        <v/>
      </c>
      <c r="D447" s="61">
        <f>SUMPRODUCT($C$797:$V$797,($C$87:$V$87=D$439)*1)</f>
        <v/>
      </c>
      <c r="E447" s="61">
        <f>SUMPRODUCT($C$797:$V$797,($C$87:$V$87=E$439)*1)</f>
        <v/>
      </c>
      <c r="F447" s="61">
        <f>SUMPRODUCT($C$797:$V$797,($C$87:$V$87=F$439)*1)</f>
        <v/>
      </c>
      <c r="G447" s="61">
        <f>SUMPRODUCT($C$797:$V$797,($C$87:$V$87=G$439)*1)</f>
        <v/>
      </c>
      <c r="H447" s="61">
        <f>SUMPRODUCT($C$797:$V$797,($C$87:$V$87=H$439)*1)</f>
        <v/>
      </c>
      <c r="I447" s="61">
        <f>SUMPRODUCT($C$797:$V$797,($C$87:$V$87=I$439)*1)</f>
        <v/>
      </c>
      <c r="J447" s="61">
        <f>SUMPRODUCT($C$797:$V$797,($C$87:$V$87=J$439)*1)</f>
        <v/>
      </c>
    </row>
    <row r="448">
      <c r="C448" s="61">
        <f>SUMPRODUCT($C$798:$V$798,($C$88:$V$88=C$439)*1)</f>
        <v/>
      </c>
      <c r="D448" s="61">
        <f>SUMPRODUCT($C$798:$V$798,($C$88:$V$88=D$439)*1)</f>
        <v/>
      </c>
      <c r="E448" s="61">
        <f>SUMPRODUCT($C$798:$V$798,($C$88:$V$88=E$439)*1)</f>
        <v/>
      </c>
      <c r="F448" s="61">
        <f>SUMPRODUCT($C$798:$V$798,($C$88:$V$88=F$439)*1)</f>
        <v/>
      </c>
      <c r="G448" s="61">
        <f>SUMPRODUCT($C$798:$V$798,($C$88:$V$88=G$439)*1)</f>
        <v/>
      </c>
      <c r="H448" s="61">
        <f>SUMPRODUCT($C$798:$V$798,($C$88:$V$88=H$439)*1)</f>
        <v/>
      </c>
      <c r="I448" s="61">
        <f>SUMPRODUCT($C$798:$V$798,($C$88:$V$88=I$439)*1)</f>
        <v/>
      </c>
      <c r="J448" s="61">
        <f>SUMPRODUCT($C$798:$V$798,($C$88:$V$88=J$439)*1)</f>
        <v/>
      </c>
    </row>
    <row r="449">
      <c r="C449" s="61">
        <f>SUMPRODUCT($C$799:$V$799,($C$89:$V$89=C$439)*1)</f>
        <v/>
      </c>
      <c r="D449" s="61">
        <f>SUMPRODUCT($C$799:$V$799,($C$89:$V$89=D$439)*1)</f>
        <v/>
      </c>
      <c r="E449" s="61">
        <f>SUMPRODUCT($C$799:$V$799,($C$89:$V$89=E$439)*1)</f>
        <v/>
      </c>
      <c r="F449" s="61">
        <f>SUMPRODUCT($C$799:$V$799,($C$89:$V$89=F$439)*1)</f>
        <v/>
      </c>
      <c r="G449" s="61">
        <f>SUMPRODUCT($C$799:$V$799,($C$89:$V$89=G$439)*1)</f>
        <v/>
      </c>
      <c r="H449" s="61">
        <f>SUMPRODUCT($C$799:$V$799,($C$89:$V$89=H$439)*1)</f>
        <v/>
      </c>
      <c r="I449" s="61">
        <f>SUMPRODUCT($C$799:$V$799,($C$89:$V$89=I$439)*1)</f>
        <v/>
      </c>
      <c r="J449" s="61">
        <f>SUMPRODUCT($C$799:$V$799,($C$89:$V$89=J$439)*1)</f>
        <v/>
      </c>
    </row>
    <row r="450">
      <c r="C450" s="61">
        <f>SUMPRODUCT($C$800:$V$800,($C$90:$V$90=C$439)*1)</f>
        <v/>
      </c>
      <c r="D450" s="61">
        <f>SUMPRODUCT($C$800:$V$800,($C$90:$V$90=D$439)*1)</f>
        <v/>
      </c>
      <c r="E450" s="61">
        <f>SUMPRODUCT($C$800:$V$800,($C$90:$V$90=E$439)*1)</f>
        <v/>
      </c>
      <c r="F450" s="61">
        <f>SUMPRODUCT($C$800:$V$800,($C$90:$V$90=F$439)*1)</f>
        <v/>
      </c>
      <c r="G450" s="61">
        <f>SUMPRODUCT($C$800:$V$800,($C$90:$V$90=G$439)*1)</f>
        <v/>
      </c>
      <c r="H450" s="61">
        <f>SUMPRODUCT($C$800:$V$800,($C$90:$V$90=H$439)*1)</f>
        <v/>
      </c>
      <c r="I450" s="61">
        <f>SUMPRODUCT($C$800:$V$800,($C$90:$V$90=I$439)*1)</f>
        <v/>
      </c>
      <c r="J450" s="61">
        <f>SUMPRODUCT($C$800:$V$800,($C$90:$V$90=J$439)*1)</f>
        <v/>
      </c>
    </row>
    <row r="451">
      <c r="C451" s="61">
        <f>SUMPRODUCT($C$801:$V$801,($C$91:$V$91=C$439)*1)</f>
        <v/>
      </c>
      <c r="D451" s="61">
        <f>SUMPRODUCT($C$801:$V$801,($C$91:$V$91=D$439)*1)</f>
        <v/>
      </c>
      <c r="E451" s="61">
        <f>SUMPRODUCT($C$801:$V$801,($C$91:$V$91=E$439)*1)</f>
        <v/>
      </c>
      <c r="F451" s="61">
        <f>SUMPRODUCT($C$801:$V$801,($C$91:$V$91=F$439)*1)</f>
        <v/>
      </c>
      <c r="G451" s="61">
        <f>SUMPRODUCT($C$801:$V$801,($C$91:$V$91=G$439)*1)</f>
        <v/>
      </c>
      <c r="H451" s="61">
        <f>SUMPRODUCT($C$801:$V$801,($C$91:$V$91=H$439)*1)</f>
        <v/>
      </c>
      <c r="I451" s="61">
        <f>SUMPRODUCT($C$801:$V$801,($C$91:$V$91=I$439)*1)</f>
        <v/>
      </c>
      <c r="J451" s="61">
        <f>SUMPRODUCT($C$801:$V$801,($C$91:$V$91=J$439)*1)</f>
        <v/>
      </c>
    </row>
    <row r="452">
      <c r="C452" s="61">
        <f>SUMPRODUCT($C$802:$V$802,($C$92:$V$92=C$439)*1)</f>
        <v/>
      </c>
      <c r="D452" s="61">
        <f>SUMPRODUCT($C$802:$V$802,($C$92:$V$92=D$439)*1)</f>
        <v/>
      </c>
      <c r="E452" s="61">
        <f>SUMPRODUCT($C$802:$V$802,($C$92:$V$92=E$439)*1)</f>
        <v/>
      </c>
      <c r="F452" s="61">
        <f>SUMPRODUCT($C$802:$V$802,($C$92:$V$92=F$439)*1)</f>
        <v/>
      </c>
      <c r="G452" s="61">
        <f>SUMPRODUCT($C$802:$V$802,($C$92:$V$92=G$439)*1)</f>
        <v/>
      </c>
      <c r="H452" s="61">
        <f>SUMPRODUCT($C$802:$V$802,($C$92:$V$92=H$439)*1)</f>
        <v/>
      </c>
      <c r="I452" s="61">
        <f>SUMPRODUCT($C$802:$V$802,($C$92:$V$92=I$439)*1)</f>
        <v/>
      </c>
      <c r="J452" s="61">
        <f>SUMPRODUCT($C$802:$V$802,($C$92:$V$92=J$439)*1)</f>
        <v/>
      </c>
    </row>
    <row r="453">
      <c r="C453" s="61">
        <f>SUMPRODUCT($C$803:$V$803,($C$93:$V$93=C$439)*1)</f>
        <v/>
      </c>
      <c r="D453" s="61">
        <f>SUMPRODUCT($C$803:$V$803,($C$93:$V$93=D$439)*1)</f>
        <v/>
      </c>
      <c r="E453" s="61">
        <f>SUMPRODUCT($C$803:$V$803,($C$93:$V$93=E$439)*1)</f>
        <v/>
      </c>
      <c r="F453" s="61">
        <f>SUMPRODUCT($C$803:$V$803,($C$93:$V$93=F$439)*1)</f>
        <v/>
      </c>
      <c r="G453" s="61">
        <f>SUMPRODUCT($C$803:$V$803,($C$93:$V$93=G$439)*1)</f>
        <v/>
      </c>
      <c r="H453" s="61">
        <f>SUMPRODUCT($C$803:$V$803,($C$93:$V$93=H$439)*1)</f>
        <v/>
      </c>
      <c r="I453" s="61">
        <f>SUMPRODUCT($C$803:$V$803,($C$93:$V$93=I$439)*1)</f>
        <v/>
      </c>
      <c r="J453" s="61">
        <f>SUMPRODUCT($C$803:$V$803,($C$93:$V$93=J$439)*1)</f>
        <v/>
      </c>
    </row>
    <row r="454">
      <c r="C454" s="61">
        <f>SUMPRODUCT($C$804:$V$804,($C$94:$V$94=C$439)*1)</f>
        <v/>
      </c>
      <c r="D454" s="61">
        <f>SUMPRODUCT($C$804:$V$804,($C$94:$V$94=D$439)*1)</f>
        <v/>
      </c>
      <c r="E454" s="61">
        <f>SUMPRODUCT($C$804:$V$804,($C$94:$V$94=E$439)*1)</f>
        <v/>
      </c>
      <c r="F454" s="61">
        <f>SUMPRODUCT($C$804:$V$804,($C$94:$V$94=F$439)*1)</f>
        <v/>
      </c>
      <c r="G454" s="61">
        <f>SUMPRODUCT($C$804:$V$804,($C$94:$V$94=G$439)*1)</f>
        <v/>
      </c>
      <c r="H454" s="61">
        <f>SUMPRODUCT($C$804:$V$804,($C$94:$V$94=H$439)*1)</f>
        <v/>
      </c>
      <c r="I454" s="61">
        <f>SUMPRODUCT($C$804:$V$804,($C$94:$V$94=I$439)*1)</f>
        <v/>
      </c>
      <c r="J454" s="61">
        <f>SUMPRODUCT($C$804:$V$804,($C$94:$V$94=J$439)*1)</f>
        <v/>
      </c>
    </row>
    <row r="455">
      <c r="C455" s="61">
        <f>SUMPRODUCT($C$805:$V$805,($C$95:$V$95=C$439)*1)</f>
        <v/>
      </c>
      <c r="D455" s="61">
        <f>SUMPRODUCT($C$805:$V$805,($C$95:$V$95=D$439)*1)</f>
        <v/>
      </c>
      <c r="E455" s="61">
        <f>SUMPRODUCT($C$805:$V$805,($C$95:$V$95=E$439)*1)</f>
        <v/>
      </c>
      <c r="F455" s="61">
        <f>SUMPRODUCT($C$805:$V$805,($C$95:$V$95=F$439)*1)</f>
        <v/>
      </c>
      <c r="G455" s="61">
        <f>SUMPRODUCT($C$805:$V$805,($C$95:$V$95=G$439)*1)</f>
        <v/>
      </c>
      <c r="H455" s="61">
        <f>SUMPRODUCT($C$805:$V$805,($C$95:$V$95=H$439)*1)</f>
        <v/>
      </c>
      <c r="I455" s="61">
        <f>SUMPRODUCT($C$805:$V$805,($C$95:$V$95=I$439)*1)</f>
        <v/>
      </c>
      <c r="J455" s="61">
        <f>SUMPRODUCT($C$805:$V$805,($C$95:$V$95=J$439)*1)</f>
        <v/>
      </c>
    </row>
    <row r="456">
      <c r="C456" s="61">
        <f>SUMPRODUCT($C$806:$V$806,($C$96:$V$96=C$439)*1)</f>
        <v/>
      </c>
      <c r="D456" s="61">
        <f>SUMPRODUCT($C$806:$V$806,($C$96:$V$96=D$439)*1)</f>
        <v/>
      </c>
      <c r="E456" s="61">
        <f>SUMPRODUCT($C$806:$V$806,($C$96:$V$96=E$439)*1)</f>
        <v/>
      </c>
      <c r="F456" s="61">
        <f>SUMPRODUCT($C$806:$V$806,($C$96:$V$96=F$439)*1)</f>
        <v/>
      </c>
      <c r="G456" s="61">
        <f>SUMPRODUCT($C$806:$V$806,($C$96:$V$96=G$439)*1)</f>
        <v/>
      </c>
      <c r="H456" s="61">
        <f>SUMPRODUCT($C$806:$V$806,($C$96:$V$96=H$439)*1)</f>
        <v/>
      </c>
      <c r="I456" s="61">
        <f>SUMPRODUCT($C$806:$V$806,($C$96:$V$96=I$439)*1)</f>
        <v/>
      </c>
      <c r="J456" s="61">
        <f>SUMPRODUCT($C$806:$V$806,($C$96:$V$96=J$439)*1)</f>
        <v/>
      </c>
    </row>
    <row r="457">
      <c r="C457" s="61">
        <f>SUMPRODUCT($C$807:$V$807,($C$97:$V$97=C$439)*1)</f>
        <v/>
      </c>
      <c r="D457" s="61">
        <f>SUMPRODUCT($C$807:$V$807,($C$97:$V$97=D$439)*1)</f>
        <v/>
      </c>
      <c r="E457" s="61">
        <f>SUMPRODUCT($C$807:$V$807,($C$97:$V$97=E$439)*1)</f>
        <v/>
      </c>
      <c r="F457" s="61">
        <f>SUMPRODUCT($C$807:$V$807,($C$97:$V$97=F$439)*1)</f>
        <v/>
      </c>
      <c r="G457" s="61">
        <f>SUMPRODUCT($C$807:$V$807,($C$97:$V$97=G$439)*1)</f>
        <v/>
      </c>
      <c r="H457" s="61">
        <f>SUMPRODUCT($C$807:$V$807,($C$97:$V$97=H$439)*1)</f>
        <v/>
      </c>
      <c r="I457" s="61">
        <f>SUMPRODUCT($C$807:$V$807,($C$97:$V$97=I$439)*1)</f>
        <v/>
      </c>
      <c r="J457" s="61">
        <f>SUMPRODUCT($C$807:$V$807,($C$97:$V$97=J$439)*1)</f>
        <v/>
      </c>
    </row>
    <row r="458">
      <c r="C458" s="61">
        <f>SUMPRODUCT($C$808:$V$808,($C$98:$V$98=C$439)*1)</f>
        <v/>
      </c>
      <c r="D458" s="61">
        <f>SUMPRODUCT($C$808:$V$808,($C$98:$V$98=D$439)*1)</f>
        <v/>
      </c>
      <c r="E458" s="61">
        <f>SUMPRODUCT($C$808:$V$808,($C$98:$V$98=E$439)*1)</f>
        <v/>
      </c>
      <c r="F458" s="61">
        <f>SUMPRODUCT($C$808:$V$808,($C$98:$V$98=F$439)*1)</f>
        <v/>
      </c>
      <c r="G458" s="61">
        <f>SUMPRODUCT($C$808:$V$808,($C$98:$V$98=G$439)*1)</f>
        <v/>
      </c>
      <c r="H458" s="61">
        <f>SUMPRODUCT($C$808:$V$808,($C$98:$V$98=H$439)*1)</f>
        <v/>
      </c>
      <c r="I458" s="61">
        <f>SUMPRODUCT($C$808:$V$808,($C$98:$V$98=I$439)*1)</f>
        <v/>
      </c>
      <c r="J458" s="61">
        <f>SUMPRODUCT($C$808:$V$808,($C$98:$V$98=J$439)*1)</f>
        <v/>
      </c>
    </row>
    <row r="459">
      <c r="C459" s="61">
        <f>SUMPRODUCT($C$809:$V$809,($C$99:$V$99=C$439)*1)</f>
        <v/>
      </c>
      <c r="D459" s="61">
        <f>SUMPRODUCT($C$809:$V$809,($C$99:$V$99=D$439)*1)</f>
        <v/>
      </c>
      <c r="E459" s="61">
        <f>SUMPRODUCT($C$809:$V$809,($C$99:$V$99=E$439)*1)</f>
        <v/>
      </c>
      <c r="F459" s="61">
        <f>SUMPRODUCT($C$809:$V$809,($C$99:$V$99=F$439)*1)</f>
        <v/>
      </c>
      <c r="G459" s="61">
        <f>SUMPRODUCT($C$809:$V$809,($C$99:$V$99=G$439)*1)</f>
        <v/>
      </c>
      <c r="H459" s="61">
        <f>SUMPRODUCT($C$809:$V$809,($C$99:$V$99=H$439)*1)</f>
        <v/>
      </c>
      <c r="I459" s="61">
        <f>SUMPRODUCT($C$809:$V$809,($C$99:$V$99=I$439)*1)</f>
        <v/>
      </c>
      <c r="J459" s="61">
        <f>SUMPRODUCT($C$809:$V$809,($C$99:$V$99=J$439)*1)</f>
        <v/>
      </c>
    </row>
    <row r="460">
      <c r="C460" s="61">
        <f>SUMPRODUCT($C$810:$V$810,($C$100:$V$100=C$439)*1)</f>
        <v/>
      </c>
      <c r="D460" s="61">
        <f>SUMPRODUCT($C$810:$V$810,($C$100:$V$100=D$439)*1)</f>
        <v/>
      </c>
      <c r="E460" s="61">
        <f>SUMPRODUCT($C$810:$V$810,($C$100:$V$100=E$439)*1)</f>
        <v/>
      </c>
      <c r="F460" s="61">
        <f>SUMPRODUCT($C$810:$V$810,($C$100:$V$100=F$439)*1)</f>
        <v/>
      </c>
      <c r="G460" s="61">
        <f>SUMPRODUCT($C$810:$V$810,($C$100:$V$100=G$439)*1)</f>
        <v/>
      </c>
      <c r="H460" s="61">
        <f>SUMPRODUCT($C$810:$V$810,($C$100:$V$100=H$439)*1)</f>
        <v/>
      </c>
      <c r="I460" s="61">
        <f>SUMPRODUCT($C$810:$V$810,($C$100:$V$100=I$439)*1)</f>
        <v/>
      </c>
      <c r="J460" s="61">
        <f>SUMPRODUCT($C$810:$V$810,($C$100:$V$100=J$439)*1)</f>
        <v/>
      </c>
    </row>
    <row r="461">
      <c r="C461" s="61">
        <f>SUMPRODUCT($C$811:$V$811,($C$101:$V$101=C$439)*1)</f>
        <v/>
      </c>
      <c r="D461" s="61">
        <f>SUMPRODUCT($C$811:$V$811,($C$101:$V$101=D$439)*1)</f>
        <v/>
      </c>
      <c r="E461" s="61">
        <f>SUMPRODUCT($C$811:$V$811,($C$101:$V$101=E$439)*1)</f>
        <v/>
      </c>
      <c r="F461" s="61">
        <f>SUMPRODUCT($C$811:$V$811,($C$101:$V$101=F$439)*1)</f>
        <v/>
      </c>
      <c r="G461" s="61">
        <f>SUMPRODUCT($C$811:$V$811,($C$101:$V$101=G$439)*1)</f>
        <v/>
      </c>
      <c r="H461" s="61">
        <f>SUMPRODUCT($C$811:$V$811,($C$101:$V$101=H$439)*1)</f>
        <v/>
      </c>
      <c r="I461" s="61">
        <f>SUMPRODUCT($C$811:$V$811,($C$101:$V$101=I$439)*1)</f>
        <v/>
      </c>
      <c r="J461" s="61">
        <f>SUMPRODUCT($C$811:$V$811,($C$101:$V$101=J$439)*1)</f>
        <v/>
      </c>
    </row>
    <row r="462">
      <c r="C462" s="61">
        <f>SUMPRODUCT($C$812:$V$812,($C$102:$V$102=C$439)*1)</f>
        <v/>
      </c>
      <c r="D462" s="61">
        <f>SUMPRODUCT($C$812:$V$812,($C$102:$V$102=D$439)*1)</f>
        <v/>
      </c>
      <c r="E462" s="61">
        <f>SUMPRODUCT($C$812:$V$812,($C$102:$V$102=E$439)*1)</f>
        <v/>
      </c>
      <c r="F462" s="61">
        <f>SUMPRODUCT($C$812:$V$812,($C$102:$V$102=F$439)*1)</f>
        <v/>
      </c>
      <c r="G462" s="61">
        <f>SUMPRODUCT($C$812:$V$812,($C$102:$V$102=G$439)*1)</f>
        <v/>
      </c>
      <c r="H462" s="61">
        <f>SUMPRODUCT($C$812:$V$812,($C$102:$V$102=H$439)*1)</f>
        <v/>
      </c>
      <c r="I462" s="61">
        <f>SUMPRODUCT($C$812:$V$812,($C$102:$V$102=I$439)*1)</f>
        <v/>
      </c>
      <c r="J462" s="61">
        <f>SUMPRODUCT($C$812:$V$812,($C$102:$V$102=J$439)*1)</f>
        <v/>
      </c>
    </row>
    <row r="463">
      <c r="C463" s="61">
        <f>SUMPRODUCT($C$813:$V$813,($C$103:$V$103=C$439)*1)</f>
        <v/>
      </c>
      <c r="D463" s="61">
        <f>SUMPRODUCT($C$813:$V$813,($C$103:$V$103=D$439)*1)</f>
        <v/>
      </c>
      <c r="E463" s="61">
        <f>SUMPRODUCT($C$813:$V$813,($C$103:$V$103=E$439)*1)</f>
        <v/>
      </c>
      <c r="F463" s="61">
        <f>SUMPRODUCT($C$813:$V$813,($C$103:$V$103=F$439)*1)</f>
        <v/>
      </c>
      <c r="G463" s="61">
        <f>SUMPRODUCT($C$813:$V$813,($C$103:$V$103=G$439)*1)</f>
        <v/>
      </c>
      <c r="H463" s="61">
        <f>SUMPRODUCT($C$813:$V$813,($C$103:$V$103=H$439)*1)</f>
        <v/>
      </c>
      <c r="I463" s="61">
        <f>SUMPRODUCT($C$813:$V$813,($C$103:$V$103=I$439)*1)</f>
        <v/>
      </c>
      <c r="J463" s="61">
        <f>SUMPRODUCT($C$813:$V$813,($C$103:$V$103=J$439)*1)</f>
        <v/>
      </c>
    </row>
    <row r="464">
      <c r="C464" s="61">
        <f>SUMPRODUCT($C$814:$V$814,($C$104:$V$104=C$439)*1)</f>
        <v/>
      </c>
      <c r="D464" s="61">
        <f>SUMPRODUCT($C$814:$V$814,($C$104:$V$104=D$439)*1)</f>
        <v/>
      </c>
      <c r="E464" s="61">
        <f>SUMPRODUCT($C$814:$V$814,($C$104:$V$104=E$439)*1)</f>
        <v/>
      </c>
      <c r="F464" s="61">
        <f>SUMPRODUCT($C$814:$V$814,($C$104:$V$104=F$439)*1)</f>
        <v/>
      </c>
      <c r="G464" s="61">
        <f>SUMPRODUCT($C$814:$V$814,($C$104:$V$104=G$439)*1)</f>
        <v/>
      </c>
      <c r="H464" s="61">
        <f>SUMPRODUCT($C$814:$V$814,($C$104:$V$104=H$439)*1)</f>
        <v/>
      </c>
      <c r="I464" s="61">
        <f>SUMPRODUCT($C$814:$V$814,($C$104:$V$104=I$439)*1)</f>
        <v/>
      </c>
      <c r="J464" s="61">
        <f>SUMPRODUCT($C$814:$V$814,($C$104:$V$104=J$439)*1)</f>
        <v/>
      </c>
    </row>
    <row r="469">
      <c r="A469" s="162" t="inlineStr">
        <is>
          <t>HJ anzP</t>
        </is>
      </c>
    </row>
    <row r="470">
      <c r="C470" s="61">
        <f>SUMPRODUCT($C$790:$V$790,($C$80:$V$80=C$439)*1,($C$6:$V$6="Praxis")*1)</f>
        <v/>
      </c>
      <c r="D470" s="61">
        <f>SUMPRODUCT($C$790:$V$790,($C$80:$V$80=D$439)*1,($C$6:$V$6="Praxis")*1)</f>
        <v/>
      </c>
      <c r="E470" s="61">
        <f>SUMPRODUCT($C$790:$V$790,($C$80:$V$80=E$439)*1,($C$6:$V$6="Praxis")*1)</f>
        <v/>
      </c>
      <c r="F470" s="61">
        <f>SUMPRODUCT($C$790:$V$790,($C$80:$V$80=F$439)*1,($C$6:$V$6="Praxis")*1)</f>
        <v/>
      </c>
      <c r="G470" s="61">
        <f>SUMPRODUCT($C$790:$V$790,($C$80:$V$80=G$439)*1,($C$6:$V$6="Praxis")*1)</f>
        <v/>
      </c>
      <c r="H470" s="61">
        <f>SUMPRODUCT($C$790:$V$790,($C$80:$V$80=H$439)*1,($C$6:$V$6="Praxis")*1)</f>
        <v/>
      </c>
      <c r="I470" s="61">
        <f>SUMPRODUCT($C$790:$V$790,($C$80:$V$80=I$439)*1,($C$6:$V$6="Praxis")*1)</f>
        <v/>
      </c>
      <c r="J470" s="61">
        <f>SUMPRODUCT($C$790:$V$790,($C$80:$V$80=J$439)*1,($C$6:$V$6="Praxis")*1)</f>
        <v/>
      </c>
    </row>
    <row r="471">
      <c r="C471" s="61">
        <f>SUMPRODUCT($C$791:$V$791,($C$81:$V$81=C$439)*1,($C$6:$V$6="Praxis")*1)</f>
        <v/>
      </c>
      <c r="D471" s="61">
        <f>SUMPRODUCT($C$791:$V$791,($C$81:$V$81=D$439)*1,($C$6:$V$6="Praxis")*1)</f>
        <v/>
      </c>
      <c r="E471" s="61">
        <f>SUMPRODUCT($C$791:$V$791,($C$81:$V$81=E$439)*1,($C$6:$V$6="Praxis")*1)</f>
        <v/>
      </c>
      <c r="F471" s="61">
        <f>SUMPRODUCT($C$791:$V$791,($C$81:$V$81=F$439)*1,($C$6:$V$6="Praxis")*1)</f>
        <v/>
      </c>
      <c r="G471" s="61">
        <f>SUMPRODUCT($C$791:$V$791,($C$81:$V$81=G$439)*1,($C$6:$V$6="Praxis")*1)</f>
        <v/>
      </c>
      <c r="H471" s="61">
        <f>SUMPRODUCT($C$791:$V$791,($C$81:$V$81=H$439)*1,($C$6:$V$6="Praxis")*1)</f>
        <v/>
      </c>
      <c r="I471" s="61">
        <f>SUMPRODUCT($C$791:$V$791,($C$81:$V$81=I$439)*1,($C$6:$V$6="Praxis")*1)</f>
        <v/>
      </c>
      <c r="J471" s="61">
        <f>SUMPRODUCT($C$791:$V$791,($C$81:$V$81=J$439)*1,($C$6:$V$6="Praxis")*1)</f>
        <v/>
      </c>
    </row>
    <row r="472">
      <c r="C472" s="61">
        <f>SUMPRODUCT($C$792:$V$792,($C$82:$V$82=C$439)*1,($C$6:$V$6="Praxis")*1)</f>
        <v/>
      </c>
      <c r="D472" s="61">
        <f>SUMPRODUCT($C$792:$V$792,($C$82:$V$82=D$439)*1,($C$6:$V$6="Praxis")*1)</f>
        <v/>
      </c>
      <c r="E472" s="61">
        <f>SUMPRODUCT($C$792:$V$792,($C$82:$V$82=E$439)*1,($C$6:$V$6="Praxis")*1)</f>
        <v/>
      </c>
      <c r="F472" s="61">
        <f>SUMPRODUCT($C$792:$V$792,($C$82:$V$82=F$439)*1,($C$6:$V$6="Praxis")*1)</f>
        <v/>
      </c>
      <c r="G472" s="61">
        <f>SUMPRODUCT($C$792:$V$792,($C$82:$V$82=G$439)*1,($C$6:$V$6="Praxis")*1)</f>
        <v/>
      </c>
      <c r="H472" s="61">
        <f>SUMPRODUCT($C$792:$V$792,($C$82:$V$82=H$439)*1,($C$6:$V$6="Praxis")*1)</f>
        <v/>
      </c>
      <c r="I472" s="61">
        <f>SUMPRODUCT($C$792:$V$792,($C$82:$V$82=I$439)*1,($C$6:$V$6="Praxis")*1)</f>
        <v/>
      </c>
      <c r="J472" s="61">
        <f>SUMPRODUCT($C$792:$V$792,($C$82:$V$82=J$439)*1,($C$6:$V$6="Praxis")*1)</f>
        <v/>
      </c>
    </row>
    <row r="473">
      <c r="C473" s="61">
        <f>SUMPRODUCT($C$793:$V$793,($C$83:$V$83=C$439)*1,($C$6:$V$6="Praxis")*1)</f>
        <v/>
      </c>
      <c r="D473" s="61">
        <f>SUMPRODUCT($C$793:$V$793,($C$83:$V$83=D$439)*1,($C$6:$V$6="Praxis")*1)</f>
        <v/>
      </c>
      <c r="E473" s="61">
        <f>SUMPRODUCT($C$793:$V$793,($C$83:$V$83=E$439)*1,($C$6:$V$6="Praxis")*1)</f>
        <v/>
      </c>
      <c r="F473" s="61">
        <f>SUMPRODUCT($C$793:$V$793,($C$83:$V$83=F$439)*1,($C$6:$V$6="Praxis")*1)</f>
        <v/>
      </c>
      <c r="G473" s="61">
        <f>SUMPRODUCT($C$793:$V$793,($C$83:$V$83=G$439)*1,($C$6:$V$6="Praxis")*1)</f>
        <v/>
      </c>
      <c r="H473" s="61">
        <f>SUMPRODUCT($C$793:$V$793,($C$83:$V$83=H$439)*1,($C$6:$V$6="Praxis")*1)</f>
        <v/>
      </c>
      <c r="I473" s="61">
        <f>SUMPRODUCT($C$793:$V$793,($C$83:$V$83=I$439)*1,($C$6:$V$6="Praxis")*1)</f>
        <v/>
      </c>
      <c r="J473" s="61">
        <f>SUMPRODUCT($C$793:$V$793,($C$83:$V$83=J$439)*1,($C$6:$V$6="Praxis")*1)</f>
        <v/>
      </c>
    </row>
    <row r="474">
      <c r="C474" s="61">
        <f>SUMPRODUCT($C$794:$V$794,($C$84:$V$84=C$439)*1,($C$6:$V$6="Praxis")*1)</f>
        <v/>
      </c>
      <c r="D474" s="61">
        <f>SUMPRODUCT($C$794:$V$794,($C$84:$V$84=D$439)*1,($C$6:$V$6="Praxis")*1)</f>
        <v/>
      </c>
      <c r="E474" s="61">
        <f>SUMPRODUCT($C$794:$V$794,($C$84:$V$84=E$439)*1,($C$6:$V$6="Praxis")*1)</f>
        <v/>
      </c>
      <c r="F474" s="61">
        <f>SUMPRODUCT($C$794:$V$794,($C$84:$V$84=F$439)*1,($C$6:$V$6="Praxis")*1)</f>
        <v/>
      </c>
      <c r="G474" s="61">
        <f>SUMPRODUCT($C$794:$V$794,($C$84:$V$84=G$439)*1,($C$6:$V$6="Praxis")*1)</f>
        <v/>
      </c>
      <c r="H474" s="61">
        <f>SUMPRODUCT($C$794:$V$794,($C$84:$V$84=H$439)*1,($C$6:$V$6="Praxis")*1)</f>
        <v/>
      </c>
      <c r="I474" s="61">
        <f>SUMPRODUCT($C$794:$V$794,($C$84:$V$84=I$439)*1,($C$6:$V$6="Praxis")*1)</f>
        <v/>
      </c>
      <c r="J474" s="61">
        <f>SUMPRODUCT($C$794:$V$794,($C$84:$V$84=J$439)*1,($C$6:$V$6="Praxis")*1)</f>
        <v/>
      </c>
    </row>
    <row r="475">
      <c r="C475" s="61">
        <f>SUMPRODUCT($C$795:$V$795,($C$85:$V$85=C$439)*1,($C$6:$V$6="Praxis")*1)</f>
        <v/>
      </c>
      <c r="D475" s="61">
        <f>SUMPRODUCT($C$795:$V$795,($C$85:$V$85=D$439)*1,($C$6:$V$6="Praxis")*1)</f>
        <v/>
      </c>
      <c r="E475" s="61">
        <f>SUMPRODUCT($C$795:$V$795,($C$85:$V$85=E$439)*1,($C$6:$V$6="Praxis")*1)</f>
        <v/>
      </c>
      <c r="F475" s="61">
        <f>SUMPRODUCT($C$795:$V$795,($C$85:$V$85=F$439)*1,($C$6:$V$6="Praxis")*1)</f>
        <v/>
      </c>
      <c r="G475" s="61">
        <f>SUMPRODUCT($C$795:$V$795,($C$85:$V$85=G$439)*1,($C$6:$V$6="Praxis")*1)</f>
        <v/>
      </c>
      <c r="H475" s="61">
        <f>SUMPRODUCT($C$795:$V$795,($C$85:$V$85=H$439)*1,($C$6:$V$6="Praxis")*1)</f>
        <v/>
      </c>
      <c r="I475" s="61">
        <f>SUMPRODUCT($C$795:$V$795,($C$85:$V$85=I$439)*1,($C$6:$V$6="Praxis")*1)</f>
        <v/>
      </c>
      <c r="J475" s="61">
        <f>SUMPRODUCT($C$795:$V$795,($C$85:$V$85=J$439)*1,($C$6:$V$6="Praxis")*1)</f>
        <v/>
      </c>
    </row>
    <row r="476">
      <c r="C476" s="61">
        <f>SUMPRODUCT($C$796:$V$796,($C$86:$V$86=C$439)*1,($C$6:$V$6="Praxis")*1)</f>
        <v/>
      </c>
      <c r="D476" s="61">
        <f>SUMPRODUCT($C$796:$V$796,($C$86:$V$86=D$439)*1,($C$6:$V$6="Praxis")*1)</f>
        <v/>
      </c>
      <c r="E476" s="61">
        <f>SUMPRODUCT($C$796:$V$796,($C$86:$V$86=E$439)*1,($C$6:$V$6="Praxis")*1)</f>
        <v/>
      </c>
      <c r="F476" s="61">
        <f>SUMPRODUCT($C$796:$V$796,($C$86:$V$86=F$439)*1,($C$6:$V$6="Praxis")*1)</f>
        <v/>
      </c>
      <c r="G476" s="61">
        <f>SUMPRODUCT($C$796:$V$796,($C$86:$V$86=G$439)*1,($C$6:$V$6="Praxis")*1)</f>
        <v/>
      </c>
      <c r="H476" s="61">
        <f>SUMPRODUCT($C$796:$V$796,($C$86:$V$86=H$439)*1,($C$6:$V$6="Praxis")*1)</f>
        <v/>
      </c>
      <c r="I476" s="61">
        <f>SUMPRODUCT($C$796:$V$796,($C$86:$V$86=I$439)*1,($C$6:$V$6="Praxis")*1)</f>
        <v/>
      </c>
      <c r="J476" s="61">
        <f>SUMPRODUCT($C$796:$V$796,($C$86:$V$86=J$439)*1,($C$6:$V$6="Praxis")*1)</f>
        <v/>
      </c>
    </row>
    <row r="477">
      <c r="C477" s="61">
        <f>SUMPRODUCT($C$797:$V$797,($C$87:$V$87=C$439)*1,($C$6:$V$6="Praxis")*1)</f>
        <v/>
      </c>
      <c r="D477" s="61">
        <f>SUMPRODUCT($C$797:$V$797,($C$87:$V$87=D$439)*1,($C$6:$V$6="Praxis")*1)</f>
        <v/>
      </c>
      <c r="E477" s="61">
        <f>SUMPRODUCT($C$797:$V$797,($C$87:$V$87=E$439)*1,($C$6:$V$6="Praxis")*1)</f>
        <v/>
      </c>
      <c r="F477" s="61">
        <f>SUMPRODUCT($C$797:$V$797,($C$87:$V$87=F$439)*1,($C$6:$V$6="Praxis")*1)</f>
        <v/>
      </c>
      <c r="G477" s="61">
        <f>SUMPRODUCT($C$797:$V$797,($C$87:$V$87=G$439)*1,($C$6:$V$6="Praxis")*1)</f>
        <v/>
      </c>
      <c r="H477" s="61">
        <f>SUMPRODUCT($C$797:$V$797,($C$87:$V$87=H$439)*1,($C$6:$V$6="Praxis")*1)</f>
        <v/>
      </c>
      <c r="I477" s="61">
        <f>SUMPRODUCT($C$797:$V$797,($C$87:$V$87=I$439)*1,($C$6:$V$6="Praxis")*1)</f>
        <v/>
      </c>
      <c r="J477" s="61">
        <f>SUMPRODUCT($C$797:$V$797,($C$87:$V$87=J$439)*1,($C$6:$V$6="Praxis")*1)</f>
        <v/>
      </c>
    </row>
    <row r="478">
      <c r="C478" s="61">
        <f>SUMPRODUCT($C$798:$V$798,($C$88:$V$88=C$439)*1,($C$6:$V$6="Praxis")*1)</f>
        <v/>
      </c>
      <c r="D478" s="61">
        <f>SUMPRODUCT($C$798:$V$798,($C$88:$V$88=D$439)*1,($C$6:$V$6="Praxis")*1)</f>
        <v/>
      </c>
      <c r="E478" s="61">
        <f>SUMPRODUCT($C$798:$V$798,($C$88:$V$88=E$439)*1,($C$6:$V$6="Praxis")*1)</f>
        <v/>
      </c>
      <c r="F478" s="61">
        <f>SUMPRODUCT($C$798:$V$798,($C$88:$V$88=F$439)*1,($C$6:$V$6="Praxis")*1)</f>
        <v/>
      </c>
      <c r="G478" s="61">
        <f>SUMPRODUCT($C$798:$V$798,($C$88:$V$88=G$439)*1,($C$6:$V$6="Praxis")*1)</f>
        <v/>
      </c>
      <c r="H478" s="61">
        <f>SUMPRODUCT($C$798:$V$798,($C$88:$V$88=H$439)*1,($C$6:$V$6="Praxis")*1)</f>
        <v/>
      </c>
      <c r="I478" s="61">
        <f>SUMPRODUCT($C$798:$V$798,($C$88:$V$88=I$439)*1,($C$6:$V$6="Praxis")*1)</f>
        <v/>
      </c>
      <c r="J478" s="61">
        <f>SUMPRODUCT($C$798:$V$798,($C$88:$V$88=J$439)*1,($C$6:$V$6="Praxis")*1)</f>
        <v/>
      </c>
    </row>
    <row r="479">
      <c r="C479" s="61">
        <f>SUMPRODUCT($C$799:$V$799,($C$89:$V$89=C$439)*1,($C$6:$V$6="Praxis")*1)</f>
        <v/>
      </c>
      <c r="D479" s="61">
        <f>SUMPRODUCT($C$799:$V$799,($C$89:$V$89=D$439)*1,($C$6:$V$6="Praxis")*1)</f>
        <v/>
      </c>
      <c r="E479" s="61">
        <f>SUMPRODUCT($C$799:$V$799,($C$89:$V$89=E$439)*1,($C$6:$V$6="Praxis")*1)</f>
        <v/>
      </c>
      <c r="F479" s="61">
        <f>SUMPRODUCT($C$799:$V$799,($C$89:$V$89=F$439)*1,($C$6:$V$6="Praxis")*1)</f>
        <v/>
      </c>
      <c r="G479" s="61">
        <f>SUMPRODUCT($C$799:$V$799,($C$89:$V$89=G$439)*1,($C$6:$V$6="Praxis")*1)</f>
        <v/>
      </c>
      <c r="H479" s="61">
        <f>SUMPRODUCT($C$799:$V$799,($C$89:$V$89=H$439)*1,($C$6:$V$6="Praxis")*1)</f>
        <v/>
      </c>
      <c r="I479" s="61">
        <f>SUMPRODUCT($C$799:$V$799,($C$89:$V$89=I$439)*1,($C$6:$V$6="Praxis")*1)</f>
        <v/>
      </c>
      <c r="J479" s="61">
        <f>SUMPRODUCT($C$799:$V$799,($C$89:$V$89=J$439)*1,($C$6:$V$6="Praxis")*1)</f>
        <v/>
      </c>
    </row>
    <row r="480">
      <c r="C480" s="61">
        <f>SUMPRODUCT($C$800:$V$800,($C$90:$V$90=C$439)*1,($C$6:$V$6="Praxis")*1)</f>
        <v/>
      </c>
      <c r="D480" s="61">
        <f>SUMPRODUCT($C$800:$V$800,($C$90:$V$90=D$439)*1,($C$6:$V$6="Praxis")*1)</f>
        <v/>
      </c>
      <c r="E480" s="61">
        <f>SUMPRODUCT($C$800:$V$800,($C$90:$V$90=E$439)*1,($C$6:$V$6="Praxis")*1)</f>
        <v/>
      </c>
      <c r="F480" s="61">
        <f>SUMPRODUCT($C$800:$V$800,($C$90:$V$90=F$439)*1,($C$6:$V$6="Praxis")*1)</f>
        <v/>
      </c>
      <c r="G480" s="61">
        <f>SUMPRODUCT($C$800:$V$800,($C$90:$V$90=G$439)*1,($C$6:$V$6="Praxis")*1)</f>
        <v/>
      </c>
      <c r="H480" s="61">
        <f>SUMPRODUCT($C$800:$V$800,($C$90:$V$90=H$439)*1,($C$6:$V$6="Praxis")*1)</f>
        <v/>
      </c>
      <c r="I480" s="61">
        <f>SUMPRODUCT($C$800:$V$800,($C$90:$V$90=I$439)*1,($C$6:$V$6="Praxis")*1)</f>
        <v/>
      </c>
      <c r="J480" s="61">
        <f>SUMPRODUCT($C$800:$V$800,($C$90:$V$90=J$439)*1,($C$6:$V$6="Praxis")*1)</f>
        <v/>
      </c>
    </row>
    <row r="481">
      <c r="C481" s="61">
        <f>SUMPRODUCT($C$801:$V$801,($C$91:$V$91=C$439)*1,($C$6:$V$6="Praxis")*1)</f>
        <v/>
      </c>
      <c r="D481" s="61">
        <f>SUMPRODUCT($C$801:$V$801,($C$91:$V$91=D$439)*1,($C$6:$V$6="Praxis")*1)</f>
        <v/>
      </c>
      <c r="E481" s="61">
        <f>SUMPRODUCT($C$801:$V$801,($C$91:$V$91=E$439)*1,($C$6:$V$6="Praxis")*1)</f>
        <v/>
      </c>
      <c r="F481" s="61">
        <f>SUMPRODUCT($C$801:$V$801,($C$91:$V$91=F$439)*1,($C$6:$V$6="Praxis")*1)</f>
        <v/>
      </c>
      <c r="G481" s="61">
        <f>SUMPRODUCT($C$801:$V$801,($C$91:$V$91=G$439)*1,($C$6:$V$6="Praxis")*1)</f>
        <v/>
      </c>
      <c r="H481" s="61">
        <f>SUMPRODUCT($C$801:$V$801,($C$91:$V$91=H$439)*1,($C$6:$V$6="Praxis")*1)</f>
        <v/>
      </c>
      <c r="I481" s="61">
        <f>SUMPRODUCT($C$801:$V$801,($C$91:$V$91=I$439)*1,($C$6:$V$6="Praxis")*1)</f>
        <v/>
      </c>
      <c r="J481" s="61">
        <f>SUMPRODUCT($C$801:$V$801,($C$91:$V$91=J$439)*1,($C$6:$V$6="Praxis")*1)</f>
        <v/>
      </c>
    </row>
    <row r="482">
      <c r="C482" s="61">
        <f>SUMPRODUCT($C$802:$V$802,($C$92:$V$92=C$439)*1,($C$6:$V$6="Praxis")*1)</f>
        <v/>
      </c>
      <c r="D482" s="61">
        <f>SUMPRODUCT($C$802:$V$802,($C$92:$V$92=D$439)*1,($C$6:$V$6="Praxis")*1)</f>
        <v/>
      </c>
      <c r="E482" s="61">
        <f>SUMPRODUCT($C$802:$V$802,($C$92:$V$92=E$439)*1,($C$6:$V$6="Praxis")*1)</f>
        <v/>
      </c>
      <c r="F482" s="61">
        <f>SUMPRODUCT($C$802:$V$802,($C$92:$V$92=F$439)*1,($C$6:$V$6="Praxis")*1)</f>
        <v/>
      </c>
      <c r="G482" s="61">
        <f>SUMPRODUCT($C$802:$V$802,($C$92:$V$92=G$439)*1,($C$6:$V$6="Praxis")*1)</f>
        <v/>
      </c>
      <c r="H482" s="61">
        <f>SUMPRODUCT($C$802:$V$802,($C$92:$V$92=H$439)*1,($C$6:$V$6="Praxis")*1)</f>
        <v/>
      </c>
      <c r="I482" s="61">
        <f>SUMPRODUCT($C$802:$V$802,($C$92:$V$92=I$439)*1,($C$6:$V$6="Praxis")*1)</f>
        <v/>
      </c>
      <c r="J482" s="61">
        <f>SUMPRODUCT($C$802:$V$802,($C$92:$V$92=J$439)*1,($C$6:$V$6="Praxis")*1)</f>
        <v/>
      </c>
    </row>
    <row r="483">
      <c r="C483" s="61">
        <f>SUMPRODUCT($C$803:$V$803,($C$93:$V$93=C$439)*1,($C$6:$V$6="Praxis")*1)</f>
        <v/>
      </c>
      <c r="D483" s="61">
        <f>SUMPRODUCT($C$803:$V$803,($C$93:$V$93=D$439)*1,($C$6:$V$6="Praxis")*1)</f>
        <v/>
      </c>
      <c r="E483" s="61">
        <f>SUMPRODUCT($C$803:$V$803,($C$93:$V$93=E$439)*1,($C$6:$V$6="Praxis")*1)</f>
        <v/>
      </c>
      <c r="F483" s="61">
        <f>SUMPRODUCT($C$803:$V$803,($C$93:$V$93=F$439)*1,($C$6:$V$6="Praxis")*1)</f>
        <v/>
      </c>
      <c r="G483" s="61">
        <f>SUMPRODUCT($C$803:$V$803,($C$93:$V$93=G$439)*1,($C$6:$V$6="Praxis")*1)</f>
        <v/>
      </c>
      <c r="H483" s="61">
        <f>SUMPRODUCT($C$803:$V$803,($C$93:$V$93=H$439)*1,($C$6:$V$6="Praxis")*1)</f>
        <v/>
      </c>
      <c r="I483" s="61">
        <f>SUMPRODUCT($C$803:$V$803,($C$93:$V$93=I$439)*1,($C$6:$V$6="Praxis")*1)</f>
        <v/>
      </c>
      <c r="J483" s="61">
        <f>SUMPRODUCT($C$803:$V$803,($C$93:$V$93=J$439)*1,($C$6:$V$6="Praxis")*1)</f>
        <v/>
      </c>
    </row>
    <row r="484">
      <c r="C484" s="61">
        <f>SUMPRODUCT($C$804:$V$804,($C$94:$V$94=C$439)*1,($C$6:$V$6="Praxis")*1)</f>
        <v/>
      </c>
      <c r="D484" s="61">
        <f>SUMPRODUCT($C$804:$V$804,($C$94:$V$94=D$439)*1,($C$6:$V$6="Praxis")*1)</f>
        <v/>
      </c>
      <c r="E484" s="61">
        <f>SUMPRODUCT($C$804:$V$804,($C$94:$V$94=E$439)*1,($C$6:$V$6="Praxis")*1)</f>
        <v/>
      </c>
      <c r="F484" s="61">
        <f>SUMPRODUCT($C$804:$V$804,($C$94:$V$94=F$439)*1,($C$6:$V$6="Praxis")*1)</f>
        <v/>
      </c>
      <c r="G484" s="61">
        <f>SUMPRODUCT($C$804:$V$804,($C$94:$V$94=G$439)*1,($C$6:$V$6="Praxis")*1)</f>
        <v/>
      </c>
      <c r="H484" s="61">
        <f>SUMPRODUCT($C$804:$V$804,($C$94:$V$94=H$439)*1,($C$6:$V$6="Praxis")*1)</f>
        <v/>
      </c>
      <c r="I484" s="61">
        <f>SUMPRODUCT($C$804:$V$804,($C$94:$V$94=I$439)*1,($C$6:$V$6="Praxis")*1)</f>
        <v/>
      </c>
      <c r="J484" s="61">
        <f>SUMPRODUCT($C$804:$V$804,($C$94:$V$94=J$439)*1,($C$6:$V$6="Praxis")*1)</f>
        <v/>
      </c>
    </row>
    <row r="485">
      <c r="C485" s="61">
        <f>SUMPRODUCT($C$805:$V$805,($C$95:$V$95=C$439)*1,($C$6:$V$6="Praxis")*1)</f>
        <v/>
      </c>
      <c r="D485" s="61">
        <f>SUMPRODUCT($C$805:$V$805,($C$95:$V$95=D$439)*1,($C$6:$V$6="Praxis")*1)</f>
        <v/>
      </c>
      <c r="E485" s="61">
        <f>SUMPRODUCT($C$805:$V$805,($C$95:$V$95=E$439)*1,($C$6:$V$6="Praxis")*1)</f>
        <v/>
      </c>
      <c r="F485" s="61">
        <f>SUMPRODUCT($C$805:$V$805,($C$95:$V$95=F$439)*1,($C$6:$V$6="Praxis")*1)</f>
        <v/>
      </c>
      <c r="G485" s="61">
        <f>SUMPRODUCT($C$805:$V$805,($C$95:$V$95=G$439)*1,($C$6:$V$6="Praxis")*1)</f>
        <v/>
      </c>
      <c r="H485" s="61">
        <f>SUMPRODUCT($C$805:$V$805,($C$95:$V$95=H$439)*1,($C$6:$V$6="Praxis")*1)</f>
        <v/>
      </c>
      <c r="I485" s="61">
        <f>SUMPRODUCT($C$805:$V$805,($C$95:$V$95=I$439)*1,($C$6:$V$6="Praxis")*1)</f>
        <v/>
      </c>
      <c r="J485" s="61">
        <f>SUMPRODUCT($C$805:$V$805,($C$95:$V$95=J$439)*1,($C$6:$V$6="Praxis")*1)</f>
        <v/>
      </c>
    </row>
    <row r="486">
      <c r="C486" s="61">
        <f>SUMPRODUCT($C$806:$V$806,($C$96:$V$96=C$439)*1,($C$6:$V$6="Praxis")*1)</f>
        <v/>
      </c>
      <c r="D486" s="61">
        <f>SUMPRODUCT($C$806:$V$806,($C$96:$V$96=D$439)*1,($C$6:$V$6="Praxis")*1)</f>
        <v/>
      </c>
      <c r="E486" s="61">
        <f>SUMPRODUCT($C$806:$V$806,($C$96:$V$96=E$439)*1,($C$6:$V$6="Praxis")*1)</f>
        <v/>
      </c>
      <c r="F486" s="61">
        <f>SUMPRODUCT($C$806:$V$806,($C$96:$V$96=F$439)*1,($C$6:$V$6="Praxis")*1)</f>
        <v/>
      </c>
      <c r="G486" s="61">
        <f>SUMPRODUCT($C$806:$V$806,($C$96:$V$96=G$439)*1,($C$6:$V$6="Praxis")*1)</f>
        <v/>
      </c>
      <c r="H486" s="61">
        <f>SUMPRODUCT($C$806:$V$806,($C$96:$V$96=H$439)*1,($C$6:$V$6="Praxis")*1)</f>
        <v/>
      </c>
      <c r="I486" s="61">
        <f>SUMPRODUCT($C$806:$V$806,($C$96:$V$96=I$439)*1,($C$6:$V$6="Praxis")*1)</f>
        <v/>
      </c>
      <c r="J486" s="61">
        <f>SUMPRODUCT($C$806:$V$806,($C$96:$V$96=J$439)*1,($C$6:$V$6="Praxis")*1)</f>
        <v/>
      </c>
    </row>
    <row r="487">
      <c r="C487" s="61">
        <f>SUMPRODUCT($C$807:$V$807,($C$97:$V$97=C$439)*1,($C$6:$V$6="Praxis")*1)</f>
        <v/>
      </c>
      <c r="D487" s="61">
        <f>SUMPRODUCT($C$807:$V$807,($C$97:$V$97=D$439)*1,($C$6:$V$6="Praxis")*1)</f>
        <v/>
      </c>
      <c r="E487" s="61">
        <f>SUMPRODUCT($C$807:$V$807,($C$97:$V$97=E$439)*1,($C$6:$V$6="Praxis")*1)</f>
        <v/>
      </c>
      <c r="F487" s="61">
        <f>SUMPRODUCT($C$807:$V$807,($C$97:$V$97=F$439)*1,($C$6:$V$6="Praxis")*1)</f>
        <v/>
      </c>
      <c r="G487" s="61">
        <f>SUMPRODUCT($C$807:$V$807,($C$97:$V$97=G$439)*1,($C$6:$V$6="Praxis")*1)</f>
        <v/>
      </c>
      <c r="H487" s="61">
        <f>SUMPRODUCT($C$807:$V$807,($C$97:$V$97=H$439)*1,($C$6:$V$6="Praxis")*1)</f>
        <v/>
      </c>
      <c r="I487" s="61">
        <f>SUMPRODUCT($C$807:$V$807,($C$97:$V$97=I$439)*1,($C$6:$V$6="Praxis")*1)</f>
        <v/>
      </c>
      <c r="J487" s="61">
        <f>SUMPRODUCT($C$807:$V$807,($C$97:$V$97=J$439)*1,($C$6:$V$6="Praxis")*1)</f>
        <v/>
      </c>
    </row>
    <row r="488">
      <c r="C488" s="61">
        <f>SUMPRODUCT($C$808:$V$808,($C$98:$V$98=C$439)*1,($C$6:$V$6="Praxis")*1)</f>
        <v/>
      </c>
      <c r="D488" s="61">
        <f>SUMPRODUCT($C$808:$V$808,($C$98:$V$98=D$439)*1,($C$6:$V$6="Praxis")*1)</f>
        <v/>
      </c>
      <c r="E488" s="61">
        <f>SUMPRODUCT($C$808:$V$808,($C$98:$V$98=E$439)*1,($C$6:$V$6="Praxis")*1)</f>
        <v/>
      </c>
      <c r="F488" s="61">
        <f>SUMPRODUCT($C$808:$V$808,($C$98:$V$98=F$439)*1,($C$6:$V$6="Praxis")*1)</f>
        <v/>
      </c>
      <c r="G488" s="61">
        <f>SUMPRODUCT($C$808:$V$808,($C$98:$V$98=G$439)*1,($C$6:$V$6="Praxis")*1)</f>
        <v/>
      </c>
      <c r="H488" s="61">
        <f>SUMPRODUCT($C$808:$V$808,($C$98:$V$98=H$439)*1,($C$6:$V$6="Praxis")*1)</f>
        <v/>
      </c>
      <c r="I488" s="61">
        <f>SUMPRODUCT($C$808:$V$808,($C$98:$V$98=I$439)*1,($C$6:$V$6="Praxis")*1)</f>
        <v/>
      </c>
      <c r="J488" s="61">
        <f>SUMPRODUCT($C$808:$V$808,($C$98:$V$98=J$439)*1,($C$6:$V$6="Praxis")*1)</f>
        <v/>
      </c>
    </row>
    <row r="489">
      <c r="C489" s="61">
        <f>SUMPRODUCT($C$809:$V$809,($C$99:$V$99=C$439)*1,($C$6:$V$6="Praxis")*1)</f>
        <v/>
      </c>
      <c r="D489" s="61">
        <f>SUMPRODUCT($C$809:$V$809,($C$99:$V$99=D$439)*1,($C$6:$V$6="Praxis")*1)</f>
        <v/>
      </c>
      <c r="E489" s="61">
        <f>SUMPRODUCT($C$809:$V$809,($C$99:$V$99=E$439)*1,($C$6:$V$6="Praxis")*1)</f>
        <v/>
      </c>
      <c r="F489" s="61">
        <f>SUMPRODUCT($C$809:$V$809,($C$99:$V$99=F$439)*1,($C$6:$V$6="Praxis")*1)</f>
        <v/>
      </c>
      <c r="G489" s="61">
        <f>SUMPRODUCT($C$809:$V$809,($C$99:$V$99=G$439)*1,($C$6:$V$6="Praxis")*1)</f>
        <v/>
      </c>
      <c r="H489" s="61">
        <f>SUMPRODUCT($C$809:$V$809,($C$99:$V$99=H$439)*1,($C$6:$V$6="Praxis")*1)</f>
        <v/>
      </c>
      <c r="I489" s="61">
        <f>SUMPRODUCT($C$809:$V$809,($C$99:$V$99=I$439)*1,($C$6:$V$6="Praxis")*1)</f>
        <v/>
      </c>
      <c r="J489" s="61">
        <f>SUMPRODUCT($C$809:$V$809,($C$99:$V$99=J$439)*1,($C$6:$V$6="Praxis")*1)</f>
        <v/>
      </c>
    </row>
    <row r="490">
      <c r="C490" s="61">
        <f>SUMPRODUCT($C$810:$V$810,($C$100:$V$100=C$439)*1,($C$6:$V$6="Praxis")*1)</f>
        <v/>
      </c>
      <c r="D490" s="61">
        <f>SUMPRODUCT($C$810:$V$810,($C$100:$V$100=D$439)*1,($C$6:$V$6="Praxis")*1)</f>
        <v/>
      </c>
      <c r="E490" s="61">
        <f>SUMPRODUCT($C$810:$V$810,($C$100:$V$100=E$439)*1,($C$6:$V$6="Praxis")*1)</f>
        <v/>
      </c>
      <c r="F490" s="61">
        <f>SUMPRODUCT($C$810:$V$810,($C$100:$V$100=F$439)*1,($C$6:$V$6="Praxis")*1)</f>
        <v/>
      </c>
      <c r="G490" s="61">
        <f>SUMPRODUCT($C$810:$V$810,($C$100:$V$100=G$439)*1,($C$6:$V$6="Praxis")*1)</f>
        <v/>
      </c>
      <c r="H490" s="61">
        <f>SUMPRODUCT($C$810:$V$810,($C$100:$V$100=H$439)*1,($C$6:$V$6="Praxis")*1)</f>
        <v/>
      </c>
      <c r="I490" s="61">
        <f>SUMPRODUCT($C$810:$V$810,($C$100:$V$100=I$439)*1,($C$6:$V$6="Praxis")*1)</f>
        <v/>
      </c>
      <c r="J490" s="61">
        <f>SUMPRODUCT($C$810:$V$810,($C$100:$V$100=J$439)*1,($C$6:$V$6="Praxis")*1)</f>
        <v/>
      </c>
    </row>
    <row r="491">
      <c r="C491" s="61">
        <f>SUMPRODUCT($C$811:$V$811,($C$101:$V$101=C$439)*1,($C$6:$V$6="Praxis")*1)</f>
        <v/>
      </c>
      <c r="D491" s="61">
        <f>SUMPRODUCT($C$811:$V$811,($C$101:$V$101=D$439)*1,($C$6:$V$6="Praxis")*1)</f>
        <v/>
      </c>
      <c r="E491" s="61">
        <f>SUMPRODUCT($C$811:$V$811,($C$101:$V$101=E$439)*1,($C$6:$V$6="Praxis")*1)</f>
        <v/>
      </c>
      <c r="F491" s="61">
        <f>SUMPRODUCT($C$811:$V$811,($C$101:$V$101=F$439)*1,($C$6:$V$6="Praxis")*1)</f>
        <v/>
      </c>
      <c r="G491" s="61">
        <f>SUMPRODUCT($C$811:$V$811,($C$101:$V$101=G$439)*1,($C$6:$V$6="Praxis")*1)</f>
        <v/>
      </c>
      <c r="H491" s="61">
        <f>SUMPRODUCT($C$811:$V$811,($C$101:$V$101=H$439)*1,($C$6:$V$6="Praxis")*1)</f>
        <v/>
      </c>
      <c r="I491" s="61">
        <f>SUMPRODUCT($C$811:$V$811,($C$101:$V$101=I$439)*1,($C$6:$V$6="Praxis")*1)</f>
        <v/>
      </c>
      <c r="J491" s="61">
        <f>SUMPRODUCT($C$811:$V$811,($C$101:$V$101=J$439)*1,($C$6:$V$6="Praxis")*1)</f>
        <v/>
      </c>
    </row>
    <row r="492">
      <c r="C492" s="61">
        <f>SUMPRODUCT($C$812:$V$812,($C$102:$V$102=C$439)*1,($C$6:$V$6="Praxis")*1)</f>
        <v/>
      </c>
      <c r="D492" s="61">
        <f>SUMPRODUCT($C$812:$V$812,($C$102:$V$102=D$439)*1,($C$6:$V$6="Praxis")*1)</f>
        <v/>
      </c>
      <c r="E492" s="61">
        <f>SUMPRODUCT($C$812:$V$812,($C$102:$V$102=E$439)*1,($C$6:$V$6="Praxis")*1)</f>
        <v/>
      </c>
      <c r="F492" s="61">
        <f>SUMPRODUCT($C$812:$V$812,($C$102:$V$102=F$439)*1,($C$6:$V$6="Praxis")*1)</f>
        <v/>
      </c>
      <c r="G492" s="61">
        <f>SUMPRODUCT($C$812:$V$812,($C$102:$V$102=G$439)*1,($C$6:$V$6="Praxis")*1)</f>
        <v/>
      </c>
      <c r="H492" s="61">
        <f>SUMPRODUCT($C$812:$V$812,($C$102:$V$102=H$439)*1,($C$6:$V$6="Praxis")*1)</f>
        <v/>
      </c>
      <c r="I492" s="61">
        <f>SUMPRODUCT($C$812:$V$812,($C$102:$V$102=I$439)*1,($C$6:$V$6="Praxis")*1)</f>
        <v/>
      </c>
      <c r="J492" s="61">
        <f>SUMPRODUCT($C$812:$V$812,($C$102:$V$102=J$439)*1,($C$6:$V$6="Praxis")*1)</f>
        <v/>
      </c>
    </row>
    <row r="493">
      <c r="C493" s="61">
        <f>SUMPRODUCT($C$813:$V$813,($C$103:$V$103=C$439)*1,($C$6:$V$6="Praxis")*1)</f>
        <v/>
      </c>
      <c r="D493" s="61">
        <f>SUMPRODUCT($C$813:$V$813,($C$103:$V$103=D$439)*1,($C$6:$V$6="Praxis")*1)</f>
        <v/>
      </c>
      <c r="E493" s="61">
        <f>SUMPRODUCT($C$813:$V$813,($C$103:$V$103=E$439)*1,($C$6:$V$6="Praxis")*1)</f>
        <v/>
      </c>
      <c r="F493" s="61">
        <f>SUMPRODUCT($C$813:$V$813,($C$103:$V$103=F$439)*1,($C$6:$V$6="Praxis")*1)</f>
        <v/>
      </c>
      <c r="G493" s="61">
        <f>SUMPRODUCT($C$813:$V$813,($C$103:$V$103=G$439)*1,($C$6:$V$6="Praxis")*1)</f>
        <v/>
      </c>
      <c r="H493" s="61">
        <f>SUMPRODUCT($C$813:$V$813,($C$103:$V$103=H$439)*1,($C$6:$V$6="Praxis")*1)</f>
        <v/>
      </c>
      <c r="I493" s="61">
        <f>SUMPRODUCT($C$813:$V$813,($C$103:$V$103=I$439)*1,($C$6:$V$6="Praxis")*1)</f>
        <v/>
      </c>
      <c r="J493" s="61">
        <f>SUMPRODUCT($C$813:$V$813,($C$103:$V$103=J$439)*1,($C$6:$V$6="Praxis")*1)</f>
        <v/>
      </c>
    </row>
    <row r="494">
      <c r="C494" s="61">
        <f>SUMPRODUCT($C$814:$V$814,($C$104:$V$104=C$439)*1,($C$6:$V$6="Praxis")*1)</f>
        <v/>
      </c>
      <c r="D494" s="61">
        <f>SUMPRODUCT($C$814:$V$814,($C$104:$V$104=D$439)*1,($C$6:$V$6="Praxis")*1)</f>
        <v/>
      </c>
      <c r="E494" s="61">
        <f>SUMPRODUCT($C$814:$V$814,($C$104:$V$104=E$439)*1,($C$6:$V$6="Praxis")*1)</f>
        <v/>
      </c>
      <c r="F494" s="61">
        <f>SUMPRODUCT($C$814:$V$814,($C$104:$V$104=F$439)*1,($C$6:$V$6="Praxis")*1)</f>
        <v/>
      </c>
      <c r="G494" s="61">
        <f>SUMPRODUCT($C$814:$V$814,($C$104:$V$104=G$439)*1,($C$6:$V$6="Praxis")*1)</f>
        <v/>
      </c>
      <c r="H494" s="61">
        <f>SUMPRODUCT($C$814:$V$814,($C$104:$V$104=H$439)*1,($C$6:$V$6="Praxis")*1)</f>
        <v/>
      </c>
      <c r="I494" s="61">
        <f>SUMPRODUCT($C$814:$V$814,($C$104:$V$104=I$439)*1,($C$6:$V$6="Praxis")*1)</f>
        <v/>
      </c>
      <c r="J494" s="61">
        <f>SUMPRODUCT($C$814:$V$814,($C$104:$V$104=J$439)*1,($C$6:$V$6="Praxis")*1)</f>
        <v/>
      </c>
    </row>
    <row r="499">
      <c r="A499" s="162" t="inlineStr">
        <is>
          <t>HJ anzT</t>
        </is>
      </c>
    </row>
    <row r="500">
      <c r="C500" s="61">
        <f>SUMPRODUCT($C$790:$V$790,($C$80:$V$80=C$439)*1,($C$6:$V$6="Theorie")*1)</f>
        <v/>
      </c>
      <c r="D500" s="61">
        <f>SUMPRODUCT($C$790:$V$790,($C$80:$V$80=D$439)*1,($C$6:$V$6="Theorie")*1)</f>
        <v/>
      </c>
      <c r="E500" s="61">
        <f>SUMPRODUCT($C$790:$V$790,($C$80:$V$80=E$439)*1,($C$6:$V$6="Theorie")*1)</f>
        <v/>
      </c>
      <c r="F500" s="61">
        <f>SUMPRODUCT($C$790:$V$790,($C$80:$V$80=F$439)*1,($C$6:$V$6="Theorie")*1)</f>
        <v/>
      </c>
      <c r="G500" s="61">
        <f>SUMPRODUCT($C$790:$V$790,($C$80:$V$80=G$439)*1,($C$6:$V$6="Theorie")*1)</f>
        <v/>
      </c>
      <c r="H500" s="61">
        <f>SUMPRODUCT($C$790:$V$790,($C$80:$V$80=H$439)*1,($C$6:$V$6="Theorie")*1)</f>
        <v/>
      </c>
      <c r="I500" s="61">
        <f>SUMPRODUCT($C$790:$V$790,($C$80:$V$80=I$439)*1,($C$6:$V$6="Theorie")*1)</f>
        <v/>
      </c>
      <c r="J500" s="61">
        <f>SUMPRODUCT($C$790:$V$790,($C$80:$V$80=J$439)*1,($C$6:$V$6="Theorie")*1)</f>
        <v/>
      </c>
    </row>
    <row r="501">
      <c r="C501" s="61">
        <f>SUMPRODUCT($C$791:$V$791,($C$81:$V$81=C$439)*1,($C$6:$V$6="Theorie")*1)</f>
        <v/>
      </c>
      <c r="D501" s="61">
        <f>SUMPRODUCT($C$791:$V$791,($C$81:$V$81=D$439)*1,($C$6:$V$6="Theorie")*1)</f>
        <v/>
      </c>
      <c r="E501" s="61">
        <f>SUMPRODUCT($C$791:$V$791,($C$81:$V$81=E$439)*1,($C$6:$V$6="Theorie")*1)</f>
        <v/>
      </c>
      <c r="F501" s="61">
        <f>SUMPRODUCT($C$791:$V$791,($C$81:$V$81=F$439)*1,($C$6:$V$6="Theorie")*1)</f>
        <v/>
      </c>
      <c r="G501" s="61">
        <f>SUMPRODUCT($C$791:$V$791,($C$81:$V$81=G$439)*1,($C$6:$V$6="Theorie")*1)</f>
        <v/>
      </c>
      <c r="H501" s="61">
        <f>SUMPRODUCT($C$791:$V$791,($C$81:$V$81=H$439)*1,($C$6:$V$6="Theorie")*1)</f>
        <v/>
      </c>
      <c r="I501" s="61">
        <f>SUMPRODUCT($C$791:$V$791,($C$81:$V$81=I$439)*1,($C$6:$V$6="Theorie")*1)</f>
        <v/>
      </c>
      <c r="J501" s="61">
        <f>SUMPRODUCT($C$791:$V$791,($C$81:$V$81=J$439)*1,($C$6:$V$6="Theorie")*1)</f>
        <v/>
      </c>
    </row>
    <row r="502">
      <c r="C502" s="61">
        <f>SUMPRODUCT($C$792:$V$792,($C$82:$V$82=C$439)*1,($C$6:$V$6="Theorie")*1)</f>
        <v/>
      </c>
      <c r="D502" s="61">
        <f>SUMPRODUCT($C$792:$V$792,($C$82:$V$82=D$439)*1,($C$6:$V$6="Theorie")*1)</f>
        <v/>
      </c>
      <c r="E502" s="61">
        <f>SUMPRODUCT($C$792:$V$792,($C$82:$V$82=E$439)*1,($C$6:$V$6="Theorie")*1)</f>
        <v/>
      </c>
      <c r="F502" s="61">
        <f>SUMPRODUCT($C$792:$V$792,($C$82:$V$82=F$439)*1,($C$6:$V$6="Theorie")*1)</f>
        <v/>
      </c>
      <c r="G502" s="61">
        <f>SUMPRODUCT($C$792:$V$792,($C$82:$V$82=G$439)*1,($C$6:$V$6="Theorie")*1)</f>
        <v/>
      </c>
      <c r="H502" s="61">
        <f>SUMPRODUCT($C$792:$V$792,($C$82:$V$82=H$439)*1,($C$6:$V$6="Theorie")*1)</f>
        <v/>
      </c>
      <c r="I502" s="61">
        <f>SUMPRODUCT($C$792:$V$792,($C$82:$V$82=I$439)*1,($C$6:$V$6="Theorie")*1)</f>
        <v/>
      </c>
      <c r="J502" s="61">
        <f>SUMPRODUCT($C$792:$V$792,($C$82:$V$82=J$439)*1,($C$6:$V$6="Theorie")*1)</f>
        <v/>
      </c>
    </row>
    <row r="503">
      <c r="C503" s="61">
        <f>SUMPRODUCT($C$793:$V$793,($C$83:$V$83=C$439)*1,($C$6:$V$6="Theorie")*1)</f>
        <v/>
      </c>
      <c r="D503" s="61">
        <f>SUMPRODUCT($C$793:$V$793,($C$83:$V$83=D$439)*1,($C$6:$V$6="Theorie")*1)</f>
        <v/>
      </c>
      <c r="E503" s="61">
        <f>SUMPRODUCT($C$793:$V$793,($C$83:$V$83=E$439)*1,($C$6:$V$6="Theorie")*1)</f>
        <v/>
      </c>
      <c r="F503" s="61">
        <f>SUMPRODUCT($C$793:$V$793,($C$83:$V$83=F$439)*1,($C$6:$V$6="Theorie")*1)</f>
        <v/>
      </c>
      <c r="G503" s="61">
        <f>SUMPRODUCT($C$793:$V$793,($C$83:$V$83=G$439)*1,($C$6:$V$6="Theorie")*1)</f>
        <v/>
      </c>
      <c r="H503" s="61">
        <f>SUMPRODUCT($C$793:$V$793,($C$83:$V$83=H$439)*1,($C$6:$V$6="Theorie")*1)</f>
        <v/>
      </c>
      <c r="I503" s="61">
        <f>SUMPRODUCT($C$793:$V$793,($C$83:$V$83=I$439)*1,($C$6:$V$6="Theorie")*1)</f>
        <v/>
      </c>
      <c r="J503" s="61">
        <f>SUMPRODUCT($C$793:$V$793,($C$83:$V$83=J$439)*1,($C$6:$V$6="Theorie")*1)</f>
        <v/>
      </c>
    </row>
    <row r="504">
      <c r="C504" s="61">
        <f>SUMPRODUCT($C$794:$V$794,($C$84:$V$84=C$439)*1,($C$6:$V$6="Theorie")*1)</f>
        <v/>
      </c>
      <c r="D504" s="61">
        <f>SUMPRODUCT($C$794:$V$794,($C$84:$V$84=D$439)*1,($C$6:$V$6="Theorie")*1)</f>
        <v/>
      </c>
      <c r="E504" s="61">
        <f>SUMPRODUCT($C$794:$V$794,($C$84:$V$84=E$439)*1,($C$6:$V$6="Theorie")*1)</f>
        <v/>
      </c>
      <c r="F504" s="61">
        <f>SUMPRODUCT($C$794:$V$794,($C$84:$V$84=F$439)*1,($C$6:$V$6="Theorie")*1)</f>
        <v/>
      </c>
      <c r="G504" s="61">
        <f>SUMPRODUCT($C$794:$V$794,($C$84:$V$84=G$439)*1,($C$6:$V$6="Theorie")*1)</f>
        <v/>
      </c>
      <c r="H504" s="61">
        <f>SUMPRODUCT($C$794:$V$794,($C$84:$V$84=H$439)*1,($C$6:$V$6="Theorie")*1)</f>
        <v/>
      </c>
      <c r="I504" s="61">
        <f>SUMPRODUCT($C$794:$V$794,($C$84:$V$84=I$439)*1,($C$6:$V$6="Theorie")*1)</f>
        <v/>
      </c>
      <c r="J504" s="61">
        <f>SUMPRODUCT($C$794:$V$794,($C$84:$V$84=J$439)*1,($C$6:$V$6="Theorie")*1)</f>
        <v/>
      </c>
    </row>
    <row r="505">
      <c r="C505" s="61">
        <f>SUMPRODUCT($C$795:$V$795,($C$85:$V$85=C$439)*1,($C$6:$V$6="Theorie")*1)</f>
        <v/>
      </c>
      <c r="D505" s="61">
        <f>SUMPRODUCT($C$795:$V$795,($C$85:$V$85=D$439)*1,($C$6:$V$6="Theorie")*1)</f>
        <v/>
      </c>
      <c r="E505" s="61">
        <f>SUMPRODUCT($C$795:$V$795,($C$85:$V$85=E$439)*1,($C$6:$V$6="Theorie")*1)</f>
        <v/>
      </c>
      <c r="F505" s="61">
        <f>SUMPRODUCT($C$795:$V$795,($C$85:$V$85=F$439)*1,($C$6:$V$6="Theorie")*1)</f>
        <v/>
      </c>
      <c r="G505" s="61">
        <f>SUMPRODUCT($C$795:$V$795,($C$85:$V$85=G$439)*1,($C$6:$V$6="Theorie")*1)</f>
        <v/>
      </c>
      <c r="H505" s="61">
        <f>SUMPRODUCT($C$795:$V$795,($C$85:$V$85=H$439)*1,($C$6:$V$6="Theorie")*1)</f>
        <v/>
      </c>
      <c r="I505" s="61">
        <f>SUMPRODUCT($C$795:$V$795,($C$85:$V$85=I$439)*1,($C$6:$V$6="Theorie")*1)</f>
        <v/>
      </c>
      <c r="J505" s="61">
        <f>SUMPRODUCT($C$795:$V$795,($C$85:$V$85=J$439)*1,($C$6:$V$6="Theorie")*1)</f>
        <v/>
      </c>
    </row>
    <row r="506">
      <c r="C506" s="61">
        <f>SUMPRODUCT($C$796:$V$796,($C$86:$V$86=C$439)*1,($C$6:$V$6="Theorie")*1)</f>
        <v/>
      </c>
      <c r="D506" s="61">
        <f>SUMPRODUCT($C$796:$V$796,($C$86:$V$86=D$439)*1,($C$6:$V$6="Theorie")*1)</f>
        <v/>
      </c>
      <c r="E506" s="61">
        <f>SUMPRODUCT($C$796:$V$796,($C$86:$V$86=E$439)*1,($C$6:$V$6="Theorie")*1)</f>
        <v/>
      </c>
      <c r="F506" s="61">
        <f>SUMPRODUCT($C$796:$V$796,($C$86:$V$86=F$439)*1,($C$6:$V$6="Theorie")*1)</f>
        <v/>
      </c>
      <c r="G506" s="61">
        <f>SUMPRODUCT($C$796:$V$796,($C$86:$V$86=G$439)*1,($C$6:$V$6="Theorie")*1)</f>
        <v/>
      </c>
      <c r="H506" s="61">
        <f>SUMPRODUCT($C$796:$V$796,($C$86:$V$86=H$439)*1,($C$6:$V$6="Theorie")*1)</f>
        <v/>
      </c>
      <c r="I506" s="61">
        <f>SUMPRODUCT($C$796:$V$796,($C$86:$V$86=I$439)*1,($C$6:$V$6="Theorie")*1)</f>
        <v/>
      </c>
      <c r="J506" s="61">
        <f>SUMPRODUCT($C$796:$V$796,($C$86:$V$86=J$439)*1,($C$6:$V$6="Theorie")*1)</f>
        <v/>
      </c>
    </row>
    <row r="507">
      <c r="C507" s="61">
        <f>SUMPRODUCT($C$797:$V$797,($C$87:$V$87=C$439)*1,($C$6:$V$6="Theorie")*1)</f>
        <v/>
      </c>
      <c r="D507" s="61">
        <f>SUMPRODUCT($C$797:$V$797,($C$87:$V$87=D$439)*1,($C$6:$V$6="Theorie")*1)</f>
        <v/>
      </c>
      <c r="E507" s="61">
        <f>SUMPRODUCT($C$797:$V$797,($C$87:$V$87=E$439)*1,($C$6:$V$6="Theorie")*1)</f>
        <v/>
      </c>
      <c r="F507" s="61">
        <f>SUMPRODUCT($C$797:$V$797,($C$87:$V$87=F$439)*1,($C$6:$V$6="Theorie")*1)</f>
        <v/>
      </c>
      <c r="G507" s="61">
        <f>SUMPRODUCT($C$797:$V$797,($C$87:$V$87=G$439)*1,($C$6:$V$6="Theorie")*1)</f>
        <v/>
      </c>
      <c r="H507" s="61">
        <f>SUMPRODUCT($C$797:$V$797,($C$87:$V$87=H$439)*1,($C$6:$V$6="Theorie")*1)</f>
        <v/>
      </c>
      <c r="I507" s="61">
        <f>SUMPRODUCT($C$797:$V$797,($C$87:$V$87=I$439)*1,($C$6:$V$6="Theorie")*1)</f>
        <v/>
      </c>
      <c r="J507" s="61">
        <f>SUMPRODUCT($C$797:$V$797,($C$87:$V$87=J$439)*1,($C$6:$V$6="Theorie")*1)</f>
        <v/>
      </c>
    </row>
    <row r="508">
      <c r="C508" s="61">
        <f>SUMPRODUCT($C$798:$V$798,($C$88:$V$88=C$439)*1,($C$6:$V$6="Theorie")*1)</f>
        <v/>
      </c>
      <c r="D508" s="61">
        <f>SUMPRODUCT($C$798:$V$798,($C$88:$V$88=D$439)*1,($C$6:$V$6="Theorie")*1)</f>
        <v/>
      </c>
      <c r="E508" s="61">
        <f>SUMPRODUCT($C$798:$V$798,($C$88:$V$88=E$439)*1,($C$6:$V$6="Theorie")*1)</f>
        <v/>
      </c>
      <c r="F508" s="61">
        <f>SUMPRODUCT($C$798:$V$798,($C$88:$V$88=F$439)*1,($C$6:$V$6="Theorie")*1)</f>
        <v/>
      </c>
      <c r="G508" s="61">
        <f>SUMPRODUCT($C$798:$V$798,($C$88:$V$88=G$439)*1,($C$6:$V$6="Theorie")*1)</f>
        <v/>
      </c>
      <c r="H508" s="61">
        <f>SUMPRODUCT($C$798:$V$798,($C$88:$V$88=H$439)*1,($C$6:$V$6="Theorie")*1)</f>
        <v/>
      </c>
      <c r="I508" s="61">
        <f>SUMPRODUCT($C$798:$V$798,($C$88:$V$88=I$439)*1,($C$6:$V$6="Theorie")*1)</f>
        <v/>
      </c>
      <c r="J508" s="61">
        <f>SUMPRODUCT($C$798:$V$798,($C$88:$V$88=J$439)*1,($C$6:$V$6="Theorie")*1)</f>
        <v/>
      </c>
    </row>
    <row r="509">
      <c r="C509" s="61">
        <f>SUMPRODUCT($C$799:$V$799,($C$89:$V$89=C$439)*1,($C$6:$V$6="Theorie")*1)</f>
        <v/>
      </c>
      <c r="D509" s="61">
        <f>SUMPRODUCT($C$799:$V$799,($C$89:$V$89=D$439)*1,($C$6:$V$6="Theorie")*1)</f>
        <v/>
      </c>
      <c r="E509" s="61">
        <f>SUMPRODUCT($C$799:$V$799,($C$89:$V$89=E$439)*1,($C$6:$V$6="Theorie")*1)</f>
        <v/>
      </c>
      <c r="F509" s="61">
        <f>SUMPRODUCT($C$799:$V$799,($C$89:$V$89=F$439)*1,($C$6:$V$6="Theorie")*1)</f>
        <v/>
      </c>
      <c r="G509" s="61">
        <f>SUMPRODUCT($C$799:$V$799,($C$89:$V$89=G$439)*1,($C$6:$V$6="Theorie")*1)</f>
        <v/>
      </c>
      <c r="H509" s="61">
        <f>SUMPRODUCT($C$799:$V$799,($C$89:$V$89=H$439)*1,($C$6:$V$6="Theorie")*1)</f>
        <v/>
      </c>
      <c r="I509" s="61">
        <f>SUMPRODUCT($C$799:$V$799,($C$89:$V$89=I$439)*1,($C$6:$V$6="Theorie")*1)</f>
        <v/>
      </c>
      <c r="J509" s="61">
        <f>SUMPRODUCT($C$799:$V$799,($C$89:$V$89=J$439)*1,($C$6:$V$6="Theorie")*1)</f>
        <v/>
      </c>
    </row>
    <row r="510">
      <c r="C510" s="61">
        <f>SUMPRODUCT($C$800:$V$800,($C$90:$V$90=C$439)*1,($C$6:$V$6="Theorie")*1)</f>
        <v/>
      </c>
      <c r="D510" s="61">
        <f>SUMPRODUCT($C$800:$V$800,($C$90:$V$90=D$439)*1,($C$6:$V$6="Theorie")*1)</f>
        <v/>
      </c>
      <c r="E510" s="61">
        <f>SUMPRODUCT($C$800:$V$800,($C$90:$V$90=E$439)*1,($C$6:$V$6="Theorie")*1)</f>
        <v/>
      </c>
      <c r="F510" s="61">
        <f>SUMPRODUCT($C$800:$V$800,($C$90:$V$90=F$439)*1,($C$6:$V$6="Theorie")*1)</f>
        <v/>
      </c>
      <c r="G510" s="61">
        <f>SUMPRODUCT($C$800:$V$800,($C$90:$V$90=G$439)*1,($C$6:$V$6="Theorie")*1)</f>
        <v/>
      </c>
      <c r="H510" s="61">
        <f>SUMPRODUCT($C$800:$V$800,($C$90:$V$90=H$439)*1,($C$6:$V$6="Theorie")*1)</f>
        <v/>
      </c>
      <c r="I510" s="61">
        <f>SUMPRODUCT($C$800:$V$800,($C$90:$V$90=I$439)*1,($C$6:$V$6="Theorie")*1)</f>
        <v/>
      </c>
      <c r="J510" s="61">
        <f>SUMPRODUCT($C$800:$V$800,($C$90:$V$90=J$439)*1,($C$6:$V$6="Theorie")*1)</f>
        <v/>
      </c>
    </row>
    <row r="511">
      <c r="C511" s="61">
        <f>SUMPRODUCT($C$801:$V$801,($C$91:$V$91=C$439)*1,($C$6:$V$6="Theorie")*1)</f>
        <v/>
      </c>
      <c r="D511" s="61">
        <f>SUMPRODUCT($C$801:$V$801,($C$91:$V$91=D$439)*1,($C$6:$V$6="Theorie")*1)</f>
        <v/>
      </c>
      <c r="E511" s="61">
        <f>SUMPRODUCT($C$801:$V$801,($C$91:$V$91=E$439)*1,($C$6:$V$6="Theorie")*1)</f>
        <v/>
      </c>
      <c r="F511" s="61">
        <f>SUMPRODUCT($C$801:$V$801,($C$91:$V$91=F$439)*1,($C$6:$V$6="Theorie")*1)</f>
        <v/>
      </c>
      <c r="G511" s="61">
        <f>SUMPRODUCT($C$801:$V$801,($C$91:$V$91=G$439)*1,($C$6:$V$6="Theorie")*1)</f>
        <v/>
      </c>
      <c r="H511" s="61">
        <f>SUMPRODUCT($C$801:$V$801,($C$91:$V$91=H$439)*1,($C$6:$V$6="Theorie")*1)</f>
        <v/>
      </c>
      <c r="I511" s="61">
        <f>SUMPRODUCT($C$801:$V$801,($C$91:$V$91=I$439)*1,($C$6:$V$6="Theorie")*1)</f>
        <v/>
      </c>
      <c r="J511" s="61">
        <f>SUMPRODUCT($C$801:$V$801,($C$91:$V$91=J$439)*1,($C$6:$V$6="Theorie")*1)</f>
        <v/>
      </c>
    </row>
    <row r="512">
      <c r="C512" s="61">
        <f>SUMPRODUCT($C$802:$V$802,($C$92:$V$92=C$439)*1,($C$6:$V$6="Theorie")*1)</f>
        <v/>
      </c>
      <c r="D512" s="61">
        <f>SUMPRODUCT($C$802:$V$802,($C$92:$V$92=D$439)*1,($C$6:$V$6="Theorie")*1)</f>
        <v/>
      </c>
      <c r="E512" s="61">
        <f>SUMPRODUCT($C$802:$V$802,($C$92:$V$92=E$439)*1,($C$6:$V$6="Theorie")*1)</f>
        <v/>
      </c>
      <c r="F512" s="61">
        <f>SUMPRODUCT($C$802:$V$802,($C$92:$V$92=F$439)*1,($C$6:$V$6="Theorie")*1)</f>
        <v/>
      </c>
      <c r="G512" s="61">
        <f>SUMPRODUCT($C$802:$V$802,($C$92:$V$92=G$439)*1,($C$6:$V$6="Theorie")*1)</f>
        <v/>
      </c>
      <c r="H512" s="61">
        <f>SUMPRODUCT($C$802:$V$802,($C$92:$V$92=H$439)*1,($C$6:$V$6="Theorie")*1)</f>
        <v/>
      </c>
      <c r="I512" s="61">
        <f>SUMPRODUCT($C$802:$V$802,($C$92:$V$92=I$439)*1,($C$6:$V$6="Theorie")*1)</f>
        <v/>
      </c>
      <c r="J512" s="61">
        <f>SUMPRODUCT($C$802:$V$802,($C$92:$V$92=J$439)*1,($C$6:$V$6="Theorie")*1)</f>
        <v/>
      </c>
    </row>
    <row r="513">
      <c r="C513" s="61">
        <f>SUMPRODUCT($C$803:$V$803,($C$93:$V$93=C$439)*1,($C$6:$V$6="Theorie")*1)</f>
        <v/>
      </c>
      <c r="D513" s="61">
        <f>SUMPRODUCT($C$803:$V$803,($C$93:$V$93=D$439)*1,($C$6:$V$6="Theorie")*1)</f>
        <v/>
      </c>
      <c r="E513" s="61">
        <f>SUMPRODUCT($C$803:$V$803,($C$93:$V$93=E$439)*1,($C$6:$V$6="Theorie")*1)</f>
        <v/>
      </c>
      <c r="F513" s="61">
        <f>SUMPRODUCT($C$803:$V$803,($C$93:$V$93=F$439)*1,($C$6:$V$6="Theorie")*1)</f>
        <v/>
      </c>
      <c r="G513" s="61">
        <f>SUMPRODUCT($C$803:$V$803,($C$93:$V$93=G$439)*1,($C$6:$V$6="Theorie")*1)</f>
        <v/>
      </c>
      <c r="H513" s="61">
        <f>SUMPRODUCT($C$803:$V$803,($C$93:$V$93=H$439)*1,($C$6:$V$6="Theorie")*1)</f>
        <v/>
      </c>
      <c r="I513" s="61">
        <f>SUMPRODUCT($C$803:$V$803,($C$93:$V$93=I$439)*1,($C$6:$V$6="Theorie")*1)</f>
        <v/>
      </c>
      <c r="J513" s="61">
        <f>SUMPRODUCT($C$803:$V$803,($C$93:$V$93=J$439)*1,($C$6:$V$6="Theorie")*1)</f>
        <v/>
      </c>
    </row>
    <row r="514">
      <c r="C514" s="61">
        <f>SUMPRODUCT($C$804:$V$804,($C$94:$V$94=C$439)*1,($C$6:$V$6="Theorie")*1)</f>
        <v/>
      </c>
      <c r="D514" s="61">
        <f>SUMPRODUCT($C$804:$V$804,($C$94:$V$94=D$439)*1,($C$6:$V$6="Theorie")*1)</f>
        <v/>
      </c>
      <c r="E514" s="61">
        <f>SUMPRODUCT($C$804:$V$804,($C$94:$V$94=E$439)*1,($C$6:$V$6="Theorie")*1)</f>
        <v/>
      </c>
      <c r="F514" s="61">
        <f>SUMPRODUCT($C$804:$V$804,($C$94:$V$94=F$439)*1,($C$6:$V$6="Theorie")*1)</f>
        <v/>
      </c>
      <c r="G514" s="61">
        <f>SUMPRODUCT($C$804:$V$804,($C$94:$V$94=G$439)*1,($C$6:$V$6="Theorie")*1)</f>
        <v/>
      </c>
      <c r="H514" s="61">
        <f>SUMPRODUCT($C$804:$V$804,($C$94:$V$94=H$439)*1,($C$6:$V$6="Theorie")*1)</f>
        <v/>
      </c>
      <c r="I514" s="61">
        <f>SUMPRODUCT($C$804:$V$804,($C$94:$V$94=I$439)*1,($C$6:$V$6="Theorie")*1)</f>
        <v/>
      </c>
      <c r="J514" s="61">
        <f>SUMPRODUCT($C$804:$V$804,($C$94:$V$94=J$439)*1,($C$6:$V$6="Theorie")*1)</f>
        <v/>
      </c>
    </row>
    <row r="515">
      <c r="C515" s="61">
        <f>SUMPRODUCT($C$805:$V$805,($C$95:$V$95=C$439)*1,($C$6:$V$6="Theorie")*1)</f>
        <v/>
      </c>
      <c r="D515" s="61">
        <f>SUMPRODUCT($C$805:$V$805,($C$95:$V$95=D$439)*1,($C$6:$V$6="Theorie")*1)</f>
        <v/>
      </c>
      <c r="E515" s="61">
        <f>SUMPRODUCT($C$805:$V$805,($C$95:$V$95=E$439)*1,($C$6:$V$6="Theorie")*1)</f>
        <v/>
      </c>
      <c r="F515" s="61">
        <f>SUMPRODUCT($C$805:$V$805,($C$95:$V$95=F$439)*1,($C$6:$V$6="Theorie")*1)</f>
        <v/>
      </c>
      <c r="G515" s="61">
        <f>SUMPRODUCT($C$805:$V$805,($C$95:$V$95=G$439)*1,($C$6:$V$6="Theorie")*1)</f>
        <v/>
      </c>
      <c r="H515" s="61">
        <f>SUMPRODUCT($C$805:$V$805,($C$95:$V$95=H$439)*1,($C$6:$V$6="Theorie")*1)</f>
        <v/>
      </c>
      <c r="I515" s="61">
        <f>SUMPRODUCT($C$805:$V$805,($C$95:$V$95=I$439)*1,($C$6:$V$6="Theorie")*1)</f>
        <v/>
      </c>
      <c r="J515" s="61">
        <f>SUMPRODUCT($C$805:$V$805,($C$95:$V$95=J$439)*1,($C$6:$V$6="Theorie")*1)</f>
        <v/>
      </c>
    </row>
    <row r="516">
      <c r="C516" s="61">
        <f>SUMPRODUCT($C$806:$V$806,($C$96:$V$96=C$439)*1,($C$6:$V$6="Theorie")*1)</f>
        <v/>
      </c>
      <c r="D516" s="61">
        <f>SUMPRODUCT($C$806:$V$806,($C$96:$V$96=D$439)*1,($C$6:$V$6="Theorie")*1)</f>
        <v/>
      </c>
      <c r="E516" s="61">
        <f>SUMPRODUCT($C$806:$V$806,($C$96:$V$96=E$439)*1,($C$6:$V$6="Theorie")*1)</f>
        <v/>
      </c>
      <c r="F516" s="61">
        <f>SUMPRODUCT($C$806:$V$806,($C$96:$V$96=F$439)*1,($C$6:$V$6="Theorie")*1)</f>
        <v/>
      </c>
      <c r="G516" s="61">
        <f>SUMPRODUCT($C$806:$V$806,($C$96:$V$96=G$439)*1,($C$6:$V$6="Theorie")*1)</f>
        <v/>
      </c>
      <c r="H516" s="61">
        <f>SUMPRODUCT($C$806:$V$806,($C$96:$V$96=H$439)*1,($C$6:$V$6="Theorie")*1)</f>
        <v/>
      </c>
      <c r="I516" s="61">
        <f>SUMPRODUCT($C$806:$V$806,($C$96:$V$96=I$439)*1,($C$6:$V$6="Theorie")*1)</f>
        <v/>
      </c>
      <c r="J516" s="61">
        <f>SUMPRODUCT($C$806:$V$806,($C$96:$V$96=J$439)*1,($C$6:$V$6="Theorie")*1)</f>
        <v/>
      </c>
    </row>
    <row r="517">
      <c r="C517" s="61">
        <f>SUMPRODUCT($C$807:$V$807,($C$97:$V$97=C$439)*1,($C$6:$V$6="Theorie")*1)</f>
        <v/>
      </c>
      <c r="D517" s="61">
        <f>SUMPRODUCT($C$807:$V$807,($C$97:$V$97=D$439)*1,($C$6:$V$6="Theorie")*1)</f>
        <v/>
      </c>
      <c r="E517" s="61">
        <f>SUMPRODUCT($C$807:$V$807,($C$97:$V$97=E$439)*1,($C$6:$V$6="Theorie")*1)</f>
        <v/>
      </c>
      <c r="F517" s="61">
        <f>SUMPRODUCT($C$807:$V$807,($C$97:$V$97=F$439)*1,($C$6:$V$6="Theorie")*1)</f>
        <v/>
      </c>
      <c r="G517" s="61">
        <f>SUMPRODUCT($C$807:$V$807,($C$97:$V$97=G$439)*1,($C$6:$V$6="Theorie")*1)</f>
        <v/>
      </c>
      <c r="H517" s="61">
        <f>SUMPRODUCT($C$807:$V$807,($C$97:$V$97=H$439)*1,($C$6:$V$6="Theorie")*1)</f>
        <v/>
      </c>
      <c r="I517" s="61">
        <f>SUMPRODUCT($C$807:$V$807,($C$97:$V$97=I$439)*1,($C$6:$V$6="Theorie")*1)</f>
        <v/>
      </c>
      <c r="J517" s="61">
        <f>SUMPRODUCT($C$807:$V$807,($C$97:$V$97=J$439)*1,($C$6:$V$6="Theorie")*1)</f>
        <v/>
      </c>
    </row>
    <row r="518">
      <c r="C518" s="61">
        <f>SUMPRODUCT($C$808:$V$808,($C$98:$V$98=C$439)*1,($C$6:$V$6="Theorie")*1)</f>
        <v/>
      </c>
      <c r="D518" s="61">
        <f>SUMPRODUCT($C$808:$V$808,($C$98:$V$98=D$439)*1,($C$6:$V$6="Theorie")*1)</f>
        <v/>
      </c>
      <c r="E518" s="61">
        <f>SUMPRODUCT($C$808:$V$808,($C$98:$V$98=E$439)*1,($C$6:$V$6="Theorie")*1)</f>
        <v/>
      </c>
      <c r="F518" s="61">
        <f>SUMPRODUCT($C$808:$V$808,($C$98:$V$98=F$439)*1,($C$6:$V$6="Theorie")*1)</f>
        <v/>
      </c>
      <c r="G518" s="61">
        <f>SUMPRODUCT($C$808:$V$808,($C$98:$V$98=G$439)*1,($C$6:$V$6="Theorie")*1)</f>
        <v/>
      </c>
      <c r="H518" s="61">
        <f>SUMPRODUCT($C$808:$V$808,($C$98:$V$98=H$439)*1,($C$6:$V$6="Theorie")*1)</f>
        <v/>
      </c>
      <c r="I518" s="61">
        <f>SUMPRODUCT($C$808:$V$808,($C$98:$V$98=I$439)*1,($C$6:$V$6="Theorie")*1)</f>
        <v/>
      </c>
      <c r="J518" s="61">
        <f>SUMPRODUCT($C$808:$V$808,($C$98:$V$98=J$439)*1,($C$6:$V$6="Theorie")*1)</f>
        <v/>
      </c>
    </row>
    <row r="519">
      <c r="C519" s="61">
        <f>SUMPRODUCT($C$809:$V$809,($C$99:$V$99=C$439)*1,($C$6:$V$6="Theorie")*1)</f>
        <v/>
      </c>
      <c r="D519" s="61">
        <f>SUMPRODUCT($C$809:$V$809,($C$99:$V$99=D$439)*1,($C$6:$V$6="Theorie")*1)</f>
        <v/>
      </c>
      <c r="E519" s="61">
        <f>SUMPRODUCT($C$809:$V$809,($C$99:$V$99=E$439)*1,($C$6:$V$6="Theorie")*1)</f>
        <v/>
      </c>
      <c r="F519" s="61">
        <f>SUMPRODUCT($C$809:$V$809,($C$99:$V$99=F$439)*1,($C$6:$V$6="Theorie")*1)</f>
        <v/>
      </c>
      <c r="G519" s="61">
        <f>SUMPRODUCT($C$809:$V$809,($C$99:$V$99=G$439)*1,($C$6:$V$6="Theorie")*1)</f>
        <v/>
      </c>
      <c r="H519" s="61">
        <f>SUMPRODUCT($C$809:$V$809,($C$99:$V$99=H$439)*1,($C$6:$V$6="Theorie")*1)</f>
        <v/>
      </c>
      <c r="I519" s="61">
        <f>SUMPRODUCT($C$809:$V$809,($C$99:$V$99=I$439)*1,($C$6:$V$6="Theorie")*1)</f>
        <v/>
      </c>
      <c r="J519" s="61">
        <f>SUMPRODUCT($C$809:$V$809,($C$99:$V$99=J$439)*1,($C$6:$V$6="Theorie")*1)</f>
        <v/>
      </c>
    </row>
    <row r="520">
      <c r="C520" s="61">
        <f>SUMPRODUCT($C$810:$V$810,($C$100:$V$100=C$439)*1,($C$6:$V$6="Theorie")*1)</f>
        <v/>
      </c>
      <c r="D520" s="61">
        <f>SUMPRODUCT($C$810:$V$810,($C$100:$V$100=D$439)*1,($C$6:$V$6="Theorie")*1)</f>
        <v/>
      </c>
      <c r="E520" s="61">
        <f>SUMPRODUCT($C$810:$V$810,($C$100:$V$100=E$439)*1,($C$6:$V$6="Theorie")*1)</f>
        <v/>
      </c>
      <c r="F520" s="61">
        <f>SUMPRODUCT($C$810:$V$810,($C$100:$V$100=F$439)*1,($C$6:$V$6="Theorie")*1)</f>
        <v/>
      </c>
      <c r="G520" s="61">
        <f>SUMPRODUCT($C$810:$V$810,($C$100:$V$100=G$439)*1,($C$6:$V$6="Theorie")*1)</f>
        <v/>
      </c>
      <c r="H520" s="61">
        <f>SUMPRODUCT($C$810:$V$810,($C$100:$V$100=H$439)*1,($C$6:$V$6="Theorie")*1)</f>
        <v/>
      </c>
      <c r="I520" s="61">
        <f>SUMPRODUCT($C$810:$V$810,($C$100:$V$100=I$439)*1,($C$6:$V$6="Theorie")*1)</f>
        <v/>
      </c>
      <c r="J520" s="61">
        <f>SUMPRODUCT($C$810:$V$810,($C$100:$V$100=J$439)*1,($C$6:$V$6="Theorie")*1)</f>
        <v/>
      </c>
    </row>
    <row r="521">
      <c r="C521" s="61">
        <f>SUMPRODUCT($C$811:$V$811,($C$101:$V$101=C$439)*1,($C$6:$V$6="Theorie")*1)</f>
        <v/>
      </c>
      <c r="D521" s="61">
        <f>SUMPRODUCT($C$811:$V$811,($C$101:$V$101=D$439)*1,($C$6:$V$6="Theorie")*1)</f>
        <v/>
      </c>
      <c r="E521" s="61">
        <f>SUMPRODUCT($C$811:$V$811,($C$101:$V$101=E$439)*1,($C$6:$V$6="Theorie")*1)</f>
        <v/>
      </c>
      <c r="F521" s="61">
        <f>SUMPRODUCT($C$811:$V$811,($C$101:$V$101=F$439)*1,($C$6:$V$6="Theorie")*1)</f>
        <v/>
      </c>
      <c r="G521" s="61">
        <f>SUMPRODUCT($C$811:$V$811,($C$101:$V$101=G$439)*1,($C$6:$V$6="Theorie")*1)</f>
        <v/>
      </c>
      <c r="H521" s="61">
        <f>SUMPRODUCT($C$811:$V$811,($C$101:$V$101=H$439)*1,($C$6:$V$6="Theorie")*1)</f>
        <v/>
      </c>
      <c r="I521" s="61">
        <f>SUMPRODUCT($C$811:$V$811,($C$101:$V$101=I$439)*1,($C$6:$V$6="Theorie")*1)</f>
        <v/>
      </c>
      <c r="J521" s="61">
        <f>SUMPRODUCT($C$811:$V$811,($C$101:$V$101=J$439)*1,($C$6:$V$6="Theorie")*1)</f>
        <v/>
      </c>
    </row>
    <row r="522">
      <c r="C522" s="61">
        <f>SUMPRODUCT($C$812:$V$812,($C$102:$V$102=C$439)*1,($C$6:$V$6="Theorie")*1)</f>
        <v/>
      </c>
      <c r="D522" s="61">
        <f>SUMPRODUCT($C$812:$V$812,($C$102:$V$102=D$439)*1,($C$6:$V$6="Theorie")*1)</f>
        <v/>
      </c>
      <c r="E522" s="61">
        <f>SUMPRODUCT($C$812:$V$812,($C$102:$V$102=E$439)*1,($C$6:$V$6="Theorie")*1)</f>
        <v/>
      </c>
      <c r="F522" s="61">
        <f>SUMPRODUCT($C$812:$V$812,($C$102:$V$102=F$439)*1,($C$6:$V$6="Theorie")*1)</f>
        <v/>
      </c>
      <c r="G522" s="61">
        <f>SUMPRODUCT($C$812:$V$812,($C$102:$V$102=G$439)*1,($C$6:$V$6="Theorie")*1)</f>
        <v/>
      </c>
      <c r="H522" s="61">
        <f>SUMPRODUCT($C$812:$V$812,($C$102:$V$102=H$439)*1,($C$6:$V$6="Theorie")*1)</f>
        <v/>
      </c>
      <c r="I522" s="61">
        <f>SUMPRODUCT($C$812:$V$812,($C$102:$V$102=I$439)*1,($C$6:$V$6="Theorie")*1)</f>
        <v/>
      </c>
      <c r="J522" s="61">
        <f>SUMPRODUCT($C$812:$V$812,($C$102:$V$102=J$439)*1,($C$6:$V$6="Theorie")*1)</f>
        <v/>
      </c>
    </row>
    <row r="523">
      <c r="C523" s="61">
        <f>SUMPRODUCT($C$813:$V$813,($C$103:$V$103=C$439)*1,($C$6:$V$6="Theorie")*1)</f>
        <v/>
      </c>
      <c r="D523" s="61">
        <f>SUMPRODUCT($C$813:$V$813,($C$103:$V$103=D$439)*1,($C$6:$V$6="Theorie")*1)</f>
        <v/>
      </c>
      <c r="E523" s="61">
        <f>SUMPRODUCT($C$813:$V$813,($C$103:$V$103=E$439)*1,($C$6:$V$6="Theorie")*1)</f>
        <v/>
      </c>
      <c r="F523" s="61">
        <f>SUMPRODUCT($C$813:$V$813,($C$103:$V$103=F$439)*1,($C$6:$V$6="Theorie")*1)</f>
        <v/>
      </c>
      <c r="G523" s="61">
        <f>SUMPRODUCT($C$813:$V$813,($C$103:$V$103=G$439)*1,($C$6:$V$6="Theorie")*1)</f>
        <v/>
      </c>
      <c r="H523" s="61">
        <f>SUMPRODUCT($C$813:$V$813,($C$103:$V$103=H$439)*1,($C$6:$V$6="Theorie")*1)</f>
        <v/>
      </c>
      <c r="I523" s="61">
        <f>SUMPRODUCT($C$813:$V$813,($C$103:$V$103=I$439)*1,($C$6:$V$6="Theorie")*1)</f>
        <v/>
      </c>
      <c r="J523" s="61">
        <f>SUMPRODUCT($C$813:$V$813,($C$103:$V$103=J$439)*1,($C$6:$V$6="Theorie")*1)</f>
        <v/>
      </c>
    </row>
    <row r="524">
      <c r="C524" s="61">
        <f>SUMPRODUCT($C$814:$V$814,($C$104:$V$104=C$439)*1,($C$6:$V$6="Theorie")*1)</f>
        <v/>
      </c>
      <c r="D524" s="61">
        <f>SUMPRODUCT($C$814:$V$814,($C$104:$V$104=D$439)*1,($C$6:$V$6="Theorie")*1)</f>
        <v/>
      </c>
      <c r="E524" s="61">
        <f>SUMPRODUCT($C$814:$V$814,($C$104:$V$104=E$439)*1,($C$6:$V$6="Theorie")*1)</f>
        <v/>
      </c>
      <c r="F524" s="61">
        <f>SUMPRODUCT($C$814:$V$814,($C$104:$V$104=F$439)*1,($C$6:$V$6="Theorie")*1)</f>
        <v/>
      </c>
      <c r="G524" s="61">
        <f>SUMPRODUCT($C$814:$V$814,($C$104:$V$104=G$439)*1,($C$6:$V$6="Theorie")*1)</f>
        <v/>
      </c>
      <c r="H524" s="61">
        <f>SUMPRODUCT($C$814:$V$814,($C$104:$V$104=H$439)*1,($C$6:$V$6="Theorie")*1)</f>
        <v/>
      </c>
      <c r="I524" s="61">
        <f>SUMPRODUCT($C$814:$V$814,($C$104:$V$104=I$439)*1,($C$6:$V$6="Theorie")*1)</f>
        <v/>
      </c>
      <c r="J524" s="61">
        <f>SUMPRODUCT($C$814:$V$814,($C$104:$V$104=J$439)*1,($C$6:$V$6="Theorie")*1)</f>
        <v/>
      </c>
    </row>
    <row r="529">
      <c r="A529" s="162" t="inlineStr">
        <is>
          <t>HJ P</t>
        </is>
      </c>
    </row>
    <row r="530">
      <c r="C530" s="63">
        <f>IF(C470=0,"",SUMPRODUCT($C$790:$V$790,($C$80:$V$80=C$439)*1,($C$6:$V$6="Praxis")*1,$C$9:$V$9,$C$20:$V$20)/SUMPRODUCT($C$790:$V$790,($C$80:$V$80=C$439)*1,($C$6:$V$6="Praxis")*1,$C$9:$V$9))</f>
        <v/>
      </c>
      <c r="D530" s="63">
        <f>IF(D470=0,"",SUMPRODUCT($C$790:$V$790,($C$80:$V$80=D$439)*1,($C$6:$V$6="Praxis")*1,$C$9:$V$9,$C$20:$V$20)/SUMPRODUCT($C$790:$V$790,($C$80:$V$80=D$439)*1,($C$6:$V$6="Praxis")*1,$C$9:$V$9))</f>
        <v/>
      </c>
      <c r="E530" s="63">
        <f>IF(E470=0,"",SUMPRODUCT($C$790:$V$790,($C$80:$V$80=E$439)*1,($C$6:$V$6="Praxis")*1,$C$9:$V$9,$C$20:$V$20)/SUMPRODUCT($C$790:$V$790,($C$80:$V$80=E$439)*1,($C$6:$V$6="Praxis")*1,$C$9:$V$9))</f>
        <v/>
      </c>
      <c r="F530" s="63">
        <f>IF(F470=0,"",SUMPRODUCT($C$790:$V$790,($C$80:$V$80=F$439)*1,($C$6:$V$6="Praxis")*1,$C$9:$V$9,$C$20:$V$20)/SUMPRODUCT($C$790:$V$790,($C$80:$V$80=F$439)*1,($C$6:$V$6="Praxis")*1,$C$9:$V$9))</f>
        <v/>
      </c>
      <c r="G530" s="63">
        <f>IF(G470=0,"",SUMPRODUCT($C$790:$V$790,($C$80:$V$80=G$439)*1,($C$6:$V$6="Praxis")*1,$C$9:$V$9,$C$20:$V$20)/SUMPRODUCT($C$790:$V$790,($C$80:$V$80=G$439)*1,($C$6:$V$6="Praxis")*1,$C$9:$V$9))</f>
        <v/>
      </c>
      <c r="H530" s="63">
        <f>IF(H470=0,"",SUMPRODUCT($C$790:$V$790,($C$80:$V$80=H$439)*1,($C$6:$V$6="Praxis")*1,$C$9:$V$9,$C$20:$V$20)/SUMPRODUCT($C$790:$V$790,($C$80:$V$80=H$439)*1,($C$6:$V$6="Praxis")*1,$C$9:$V$9))</f>
        <v/>
      </c>
      <c r="I530" s="63">
        <f>IF(I470=0,"",SUMPRODUCT($C$790:$V$790,($C$80:$V$80=I$439)*1,($C$6:$V$6="Praxis")*1,$C$9:$V$9,$C$20:$V$20)/SUMPRODUCT($C$790:$V$790,($C$80:$V$80=I$439)*1,($C$6:$V$6="Praxis")*1,$C$9:$V$9))</f>
        <v/>
      </c>
      <c r="J530" s="63">
        <f>IF(J470=0,"",SUMPRODUCT($C$790:$V$790,($C$80:$V$80=J$439)*1,($C$6:$V$6="Praxis")*1,$C$9:$V$9,$C$20:$V$20)/SUMPRODUCT($C$790:$V$790,($C$80:$V$80=J$439)*1,($C$6:$V$6="Praxis")*1,$C$9:$V$9))</f>
        <v/>
      </c>
    </row>
    <row r="531">
      <c r="C531" s="63">
        <f>IF(C471=0,"",SUMPRODUCT($C$791:$V$791,($C$81:$V$81=C$439)*1,($C$6:$V$6="Praxis")*1,$C$9:$V$9,$C$21:$V$21)/SUMPRODUCT($C$791:$V$791,($C$81:$V$81=C$439)*1,($C$6:$V$6="Praxis")*1,$C$9:$V$9))</f>
        <v/>
      </c>
      <c r="D531" s="63">
        <f>IF(D471=0,"",SUMPRODUCT($C$791:$V$791,($C$81:$V$81=D$439)*1,($C$6:$V$6="Praxis")*1,$C$9:$V$9,$C$21:$V$21)/SUMPRODUCT($C$791:$V$791,($C$81:$V$81=D$439)*1,($C$6:$V$6="Praxis")*1,$C$9:$V$9))</f>
        <v/>
      </c>
      <c r="E531" s="63">
        <f>IF(E471=0,"",SUMPRODUCT($C$791:$V$791,($C$81:$V$81=E$439)*1,($C$6:$V$6="Praxis")*1,$C$9:$V$9,$C$21:$V$21)/SUMPRODUCT($C$791:$V$791,($C$81:$V$81=E$439)*1,($C$6:$V$6="Praxis")*1,$C$9:$V$9))</f>
        <v/>
      </c>
      <c r="F531" s="63">
        <f>IF(F471=0,"",SUMPRODUCT($C$791:$V$791,($C$81:$V$81=F$439)*1,($C$6:$V$6="Praxis")*1,$C$9:$V$9,$C$21:$V$21)/SUMPRODUCT($C$791:$V$791,($C$81:$V$81=F$439)*1,($C$6:$V$6="Praxis")*1,$C$9:$V$9))</f>
        <v/>
      </c>
      <c r="G531" s="63">
        <f>IF(G471=0,"",SUMPRODUCT($C$791:$V$791,($C$81:$V$81=G$439)*1,($C$6:$V$6="Praxis")*1,$C$9:$V$9,$C$21:$V$21)/SUMPRODUCT($C$791:$V$791,($C$81:$V$81=G$439)*1,($C$6:$V$6="Praxis")*1,$C$9:$V$9))</f>
        <v/>
      </c>
      <c r="H531" s="63">
        <f>IF(H471=0,"",SUMPRODUCT($C$791:$V$791,($C$81:$V$81=H$439)*1,($C$6:$V$6="Praxis")*1,$C$9:$V$9,$C$21:$V$21)/SUMPRODUCT($C$791:$V$791,($C$81:$V$81=H$439)*1,($C$6:$V$6="Praxis")*1,$C$9:$V$9))</f>
        <v/>
      </c>
      <c r="I531" s="63">
        <f>IF(I471=0,"",SUMPRODUCT($C$791:$V$791,($C$81:$V$81=I$439)*1,($C$6:$V$6="Praxis")*1,$C$9:$V$9,$C$21:$V$21)/SUMPRODUCT($C$791:$V$791,($C$81:$V$81=I$439)*1,($C$6:$V$6="Praxis")*1,$C$9:$V$9))</f>
        <v/>
      </c>
      <c r="J531" s="63">
        <f>IF(J471=0,"",SUMPRODUCT($C$791:$V$791,($C$81:$V$81=J$439)*1,($C$6:$V$6="Praxis")*1,$C$9:$V$9,$C$21:$V$21)/SUMPRODUCT($C$791:$V$791,($C$81:$V$81=J$439)*1,($C$6:$V$6="Praxis")*1,$C$9:$V$9))</f>
        <v/>
      </c>
    </row>
    <row r="532">
      <c r="C532" s="63">
        <f>IF(C472=0,"",SUMPRODUCT($C$792:$V$792,($C$82:$V$82=C$439)*1,($C$6:$V$6="Praxis")*1,$C$9:$V$9,$C$22:$V$22)/SUMPRODUCT($C$792:$V$792,($C$82:$V$82=C$439)*1,($C$6:$V$6="Praxis")*1,$C$9:$V$9))</f>
        <v/>
      </c>
      <c r="D532" s="63">
        <f>IF(D472=0,"",SUMPRODUCT($C$792:$V$792,($C$82:$V$82=D$439)*1,($C$6:$V$6="Praxis")*1,$C$9:$V$9,$C$22:$V$22)/SUMPRODUCT($C$792:$V$792,($C$82:$V$82=D$439)*1,($C$6:$V$6="Praxis")*1,$C$9:$V$9))</f>
        <v/>
      </c>
      <c r="E532" s="63">
        <f>IF(E472=0,"",SUMPRODUCT($C$792:$V$792,($C$82:$V$82=E$439)*1,($C$6:$V$6="Praxis")*1,$C$9:$V$9,$C$22:$V$22)/SUMPRODUCT($C$792:$V$792,($C$82:$V$82=E$439)*1,($C$6:$V$6="Praxis")*1,$C$9:$V$9))</f>
        <v/>
      </c>
      <c r="F532" s="63">
        <f>IF(F472=0,"",SUMPRODUCT($C$792:$V$792,($C$82:$V$82=F$439)*1,($C$6:$V$6="Praxis")*1,$C$9:$V$9,$C$22:$V$22)/SUMPRODUCT($C$792:$V$792,($C$82:$V$82=F$439)*1,($C$6:$V$6="Praxis")*1,$C$9:$V$9))</f>
        <v/>
      </c>
      <c r="G532" s="63">
        <f>IF(G472=0,"",SUMPRODUCT($C$792:$V$792,($C$82:$V$82=G$439)*1,($C$6:$V$6="Praxis")*1,$C$9:$V$9,$C$22:$V$22)/SUMPRODUCT($C$792:$V$792,($C$82:$V$82=G$439)*1,($C$6:$V$6="Praxis")*1,$C$9:$V$9))</f>
        <v/>
      </c>
      <c r="H532" s="63">
        <f>IF(H472=0,"",SUMPRODUCT($C$792:$V$792,($C$82:$V$82=H$439)*1,($C$6:$V$6="Praxis")*1,$C$9:$V$9,$C$22:$V$22)/SUMPRODUCT($C$792:$V$792,($C$82:$V$82=H$439)*1,($C$6:$V$6="Praxis")*1,$C$9:$V$9))</f>
        <v/>
      </c>
      <c r="I532" s="63">
        <f>IF(I472=0,"",SUMPRODUCT($C$792:$V$792,($C$82:$V$82=I$439)*1,($C$6:$V$6="Praxis")*1,$C$9:$V$9,$C$22:$V$22)/SUMPRODUCT($C$792:$V$792,($C$82:$V$82=I$439)*1,($C$6:$V$6="Praxis")*1,$C$9:$V$9))</f>
        <v/>
      </c>
      <c r="J532" s="63">
        <f>IF(J472=0,"",SUMPRODUCT($C$792:$V$792,($C$82:$V$82=J$439)*1,($C$6:$V$6="Praxis")*1,$C$9:$V$9,$C$22:$V$22)/SUMPRODUCT($C$792:$V$792,($C$82:$V$82=J$439)*1,($C$6:$V$6="Praxis")*1,$C$9:$V$9))</f>
        <v/>
      </c>
    </row>
    <row r="533">
      <c r="C533" s="63">
        <f>IF(C473=0,"",SUMPRODUCT($C$793:$V$793,($C$83:$V$83=C$439)*1,($C$6:$V$6="Praxis")*1,$C$9:$V$9,$C$23:$V$23)/SUMPRODUCT($C$793:$V$793,($C$83:$V$83=C$439)*1,($C$6:$V$6="Praxis")*1,$C$9:$V$9))</f>
        <v/>
      </c>
      <c r="D533" s="63">
        <f>IF(D473=0,"",SUMPRODUCT($C$793:$V$793,($C$83:$V$83=D$439)*1,($C$6:$V$6="Praxis")*1,$C$9:$V$9,$C$23:$V$23)/SUMPRODUCT($C$793:$V$793,($C$83:$V$83=D$439)*1,($C$6:$V$6="Praxis")*1,$C$9:$V$9))</f>
        <v/>
      </c>
      <c r="E533" s="63">
        <f>IF(E473=0,"",SUMPRODUCT($C$793:$V$793,($C$83:$V$83=E$439)*1,($C$6:$V$6="Praxis")*1,$C$9:$V$9,$C$23:$V$23)/SUMPRODUCT($C$793:$V$793,($C$83:$V$83=E$439)*1,($C$6:$V$6="Praxis")*1,$C$9:$V$9))</f>
        <v/>
      </c>
      <c r="F533" s="63">
        <f>IF(F473=0,"",SUMPRODUCT($C$793:$V$793,($C$83:$V$83=F$439)*1,($C$6:$V$6="Praxis")*1,$C$9:$V$9,$C$23:$V$23)/SUMPRODUCT($C$793:$V$793,($C$83:$V$83=F$439)*1,($C$6:$V$6="Praxis")*1,$C$9:$V$9))</f>
        <v/>
      </c>
      <c r="G533" s="63">
        <f>IF(G473=0,"",SUMPRODUCT($C$793:$V$793,($C$83:$V$83=G$439)*1,($C$6:$V$6="Praxis")*1,$C$9:$V$9,$C$23:$V$23)/SUMPRODUCT($C$793:$V$793,($C$83:$V$83=G$439)*1,($C$6:$V$6="Praxis")*1,$C$9:$V$9))</f>
        <v/>
      </c>
      <c r="H533" s="63">
        <f>IF(H473=0,"",SUMPRODUCT($C$793:$V$793,($C$83:$V$83=H$439)*1,($C$6:$V$6="Praxis")*1,$C$9:$V$9,$C$23:$V$23)/SUMPRODUCT($C$793:$V$793,($C$83:$V$83=H$439)*1,($C$6:$V$6="Praxis")*1,$C$9:$V$9))</f>
        <v/>
      </c>
      <c r="I533" s="63">
        <f>IF(I473=0,"",SUMPRODUCT($C$793:$V$793,($C$83:$V$83=I$439)*1,($C$6:$V$6="Praxis")*1,$C$9:$V$9,$C$23:$V$23)/SUMPRODUCT($C$793:$V$793,($C$83:$V$83=I$439)*1,($C$6:$V$6="Praxis")*1,$C$9:$V$9))</f>
        <v/>
      </c>
      <c r="J533" s="63">
        <f>IF(J473=0,"",SUMPRODUCT($C$793:$V$793,($C$83:$V$83=J$439)*1,($C$6:$V$6="Praxis")*1,$C$9:$V$9,$C$23:$V$23)/SUMPRODUCT($C$793:$V$793,($C$83:$V$83=J$439)*1,($C$6:$V$6="Praxis")*1,$C$9:$V$9))</f>
        <v/>
      </c>
    </row>
    <row r="534">
      <c r="C534" s="63">
        <f>IF(C474=0,"",SUMPRODUCT($C$794:$V$794,($C$84:$V$84=C$439)*1,($C$6:$V$6="Praxis")*1,$C$9:$V$9,$C$24:$V$24)/SUMPRODUCT($C$794:$V$794,($C$84:$V$84=C$439)*1,($C$6:$V$6="Praxis")*1,$C$9:$V$9))</f>
        <v/>
      </c>
      <c r="D534" s="63">
        <f>IF(D474=0,"",SUMPRODUCT($C$794:$V$794,($C$84:$V$84=D$439)*1,($C$6:$V$6="Praxis")*1,$C$9:$V$9,$C$24:$V$24)/SUMPRODUCT($C$794:$V$794,($C$84:$V$84=D$439)*1,($C$6:$V$6="Praxis")*1,$C$9:$V$9))</f>
        <v/>
      </c>
      <c r="E534" s="63">
        <f>IF(E474=0,"",SUMPRODUCT($C$794:$V$794,($C$84:$V$84=E$439)*1,($C$6:$V$6="Praxis")*1,$C$9:$V$9,$C$24:$V$24)/SUMPRODUCT($C$794:$V$794,($C$84:$V$84=E$439)*1,($C$6:$V$6="Praxis")*1,$C$9:$V$9))</f>
        <v/>
      </c>
      <c r="F534" s="63">
        <f>IF(F474=0,"",SUMPRODUCT($C$794:$V$794,($C$84:$V$84=F$439)*1,($C$6:$V$6="Praxis")*1,$C$9:$V$9,$C$24:$V$24)/SUMPRODUCT($C$794:$V$794,($C$84:$V$84=F$439)*1,($C$6:$V$6="Praxis")*1,$C$9:$V$9))</f>
        <v/>
      </c>
      <c r="G534" s="63">
        <f>IF(G474=0,"",SUMPRODUCT($C$794:$V$794,($C$84:$V$84=G$439)*1,($C$6:$V$6="Praxis")*1,$C$9:$V$9,$C$24:$V$24)/SUMPRODUCT($C$794:$V$794,($C$84:$V$84=G$439)*1,($C$6:$V$6="Praxis")*1,$C$9:$V$9))</f>
        <v/>
      </c>
      <c r="H534" s="63">
        <f>IF(H474=0,"",SUMPRODUCT($C$794:$V$794,($C$84:$V$84=H$439)*1,($C$6:$V$6="Praxis")*1,$C$9:$V$9,$C$24:$V$24)/SUMPRODUCT($C$794:$V$794,($C$84:$V$84=H$439)*1,($C$6:$V$6="Praxis")*1,$C$9:$V$9))</f>
        <v/>
      </c>
      <c r="I534" s="63">
        <f>IF(I474=0,"",SUMPRODUCT($C$794:$V$794,($C$84:$V$84=I$439)*1,($C$6:$V$6="Praxis")*1,$C$9:$V$9,$C$24:$V$24)/SUMPRODUCT($C$794:$V$794,($C$84:$V$84=I$439)*1,($C$6:$V$6="Praxis")*1,$C$9:$V$9))</f>
        <v/>
      </c>
      <c r="J534" s="63">
        <f>IF(J474=0,"",SUMPRODUCT($C$794:$V$794,($C$84:$V$84=J$439)*1,($C$6:$V$6="Praxis")*1,$C$9:$V$9,$C$24:$V$24)/SUMPRODUCT($C$794:$V$794,($C$84:$V$84=J$439)*1,($C$6:$V$6="Praxis")*1,$C$9:$V$9))</f>
        <v/>
      </c>
    </row>
    <row r="535">
      <c r="C535" s="63">
        <f>IF(C475=0,"",SUMPRODUCT($C$795:$V$795,($C$85:$V$85=C$439)*1,($C$6:$V$6="Praxis")*1,$C$9:$V$9,$C$25:$V$25)/SUMPRODUCT($C$795:$V$795,($C$85:$V$85=C$439)*1,($C$6:$V$6="Praxis")*1,$C$9:$V$9))</f>
        <v/>
      </c>
      <c r="D535" s="63">
        <f>IF(D475=0,"",SUMPRODUCT($C$795:$V$795,($C$85:$V$85=D$439)*1,($C$6:$V$6="Praxis")*1,$C$9:$V$9,$C$25:$V$25)/SUMPRODUCT($C$795:$V$795,($C$85:$V$85=D$439)*1,($C$6:$V$6="Praxis")*1,$C$9:$V$9))</f>
        <v/>
      </c>
      <c r="E535" s="63">
        <f>IF(E475=0,"",SUMPRODUCT($C$795:$V$795,($C$85:$V$85=E$439)*1,($C$6:$V$6="Praxis")*1,$C$9:$V$9,$C$25:$V$25)/SUMPRODUCT($C$795:$V$795,($C$85:$V$85=E$439)*1,($C$6:$V$6="Praxis")*1,$C$9:$V$9))</f>
        <v/>
      </c>
      <c r="F535" s="63">
        <f>IF(F475=0,"",SUMPRODUCT($C$795:$V$795,($C$85:$V$85=F$439)*1,($C$6:$V$6="Praxis")*1,$C$9:$V$9,$C$25:$V$25)/SUMPRODUCT($C$795:$V$795,($C$85:$V$85=F$439)*1,($C$6:$V$6="Praxis")*1,$C$9:$V$9))</f>
        <v/>
      </c>
      <c r="G535" s="63">
        <f>IF(G475=0,"",SUMPRODUCT($C$795:$V$795,($C$85:$V$85=G$439)*1,($C$6:$V$6="Praxis")*1,$C$9:$V$9,$C$25:$V$25)/SUMPRODUCT($C$795:$V$795,($C$85:$V$85=G$439)*1,($C$6:$V$6="Praxis")*1,$C$9:$V$9))</f>
        <v/>
      </c>
      <c r="H535" s="63">
        <f>IF(H475=0,"",SUMPRODUCT($C$795:$V$795,($C$85:$V$85=H$439)*1,($C$6:$V$6="Praxis")*1,$C$9:$V$9,$C$25:$V$25)/SUMPRODUCT($C$795:$V$795,($C$85:$V$85=H$439)*1,($C$6:$V$6="Praxis")*1,$C$9:$V$9))</f>
        <v/>
      </c>
      <c r="I535" s="63">
        <f>IF(I475=0,"",SUMPRODUCT($C$795:$V$795,($C$85:$V$85=I$439)*1,($C$6:$V$6="Praxis")*1,$C$9:$V$9,$C$25:$V$25)/SUMPRODUCT($C$795:$V$795,($C$85:$V$85=I$439)*1,($C$6:$V$6="Praxis")*1,$C$9:$V$9))</f>
        <v/>
      </c>
      <c r="J535" s="63">
        <f>IF(J475=0,"",SUMPRODUCT($C$795:$V$795,($C$85:$V$85=J$439)*1,($C$6:$V$6="Praxis")*1,$C$9:$V$9,$C$25:$V$25)/SUMPRODUCT($C$795:$V$795,($C$85:$V$85=J$439)*1,($C$6:$V$6="Praxis")*1,$C$9:$V$9))</f>
        <v/>
      </c>
    </row>
    <row r="536">
      <c r="C536" s="63">
        <f>IF(C476=0,"",SUMPRODUCT($C$796:$V$796,($C$86:$V$86=C$439)*1,($C$6:$V$6="Praxis")*1,$C$9:$V$9,$C$26:$V$26)/SUMPRODUCT($C$796:$V$796,($C$86:$V$86=C$439)*1,($C$6:$V$6="Praxis")*1,$C$9:$V$9))</f>
        <v/>
      </c>
      <c r="D536" s="63">
        <f>IF(D476=0,"",SUMPRODUCT($C$796:$V$796,($C$86:$V$86=D$439)*1,($C$6:$V$6="Praxis")*1,$C$9:$V$9,$C$26:$V$26)/SUMPRODUCT($C$796:$V$796,($C$86:$V$86=D$439)*1,($C$6:$V$6="Praxis")*1,$C$9:$V$9))</f>
        <v/>
      </c>
      <c r="E536" s="63">
        <f>IF(E476=0,"",SUMPRODUCT($C$796:$V$796,($C$86:$V$86=E$439)*1,($C$6:$V$6="Praxis")*1,$C$9:$V$9,$C$26:$V$26)/SUMPRODUCT($C$796:$V$796,($C$86:$V$86=E$439)*1,($C$6:$V$6="Praxis")*1,$C$9:$V$9))</f>
        <v/>
      </c>
      <c r="F536" s="63">
        <f>IF(F476=0,"",SUMPRODUCT($C$796:$V$796,($C$86:$V$86=F$439)*1,($C$6:$V$6="Praxis")*1,$C$9:$V$9,$C$26:$V$26)/SUMPRODUCT($C$796:$V$796,($C$86:$V$86=F$439)*1,($C$6:$V$6="Praxis")*1,$C$9:$V$9))</f>
        <v/>
      </c>
      <c r="G536" s="63">
        <f>IF(G476=0,"",SUMPRODUCT($C$796:$V$796,($C$86:$V$86=G$439)*1,($C$6:$V$6="Praxis")*1,$C$9:$V$9,$C$26:$V$26)/SUMPRODUCT($C$796:$V$796,($C$86:$V$86=G$439)*1,($C$6:$V$6="Praxis")*1,$C$9:$V$9))</f>
        <v/>
      </c>
      <c r="H536" s="63">
        <f>IF(H476=0,"",SUMPRODUCT($C$796:$V$796,($C$86:$V$86=H$439)*1,($C$6:$V$6="Praxis")*1,$C$9:$V$9,$C$26:$V$26)/SUMPRODUCT($C$796:$V$796,($C$86:$V$86=H$439)*1,($C$6:$V$6="Praxis")*1,$C$9:$V$9))</f>
        <v/>
      </c>
      <c r="I536" s="63">
        <f>IF(I476=0,"",SUMPRODUCT($C$796:$V$796,($C$86:$V$86=I$439)*1,($C$6:$V$6="Praxis")*1,$C$9:$V$9,$C$26:$V$26)/SUMPRODUCT($C$796:$V$796,($C$86:$V$86=I$439)*1,($C$6:$V$6="Praxis")*1,$C$9:$V$9))</f>
        <v/>
      </c>
      <c r="J536" s="63">
        <f>IF(J476=0,"",SUMPRODUCT($C$796:$V$796,($C$86:$V$86=J$439)*1,($C$6:$V$6="Praxis")*1,$C$9:$V$9,$C$26:$V$26)/SUMPRODUCT($C$796:$V$796,($C$86:$V$86=J$439)*1,($C$6:$V$6="Praxis")*1,$C$9:$V$9))</f>
        <v/>
      </c>
    </row>
    <row r="537">
      <c r="C537" s="63">
        <f>IF(C477=0,"",SUMPRODUCT($C$797:$V$797,($C$87:$V$87=C$439)*1,($C$6:$V$6="Praxis")*1,$C$9:$V$9,$C$27:$V$27)/SUMPRODUCT($C$797:$V$797,($C$87:$V$87=C$439)*1,($C$6:$V$6="Praxis")*1,$C$9:$V$9))</f>
        <v/>
      </c>
      <c r="D537" s="63">
        <f>IF(D477=0,"",SUMPRODUCT($C$797:$V$797,($C$87:$V$87=D$439)*1,($C$6:$V$6="Praxis")*1,$C$9:$V$9,$C$27:$V$27)/SUMPRODUCT($C$797:$V$797,($C$87:$V$87=D$439)*1,($C$6:$V$6="Praxis")*1,$C$9:$V$9))</f>
        <v/>
      </c>
      <c r="E537" s="63">
        <f>IF(E477=0,"",SUMPRODUCT($C$797:$V$797,($C$87:$V$87=E$439)*1,($C$6:$V$6="Praxis")*1,$C$9:$V$9,$C$27:$V$27)/SUMPRODUCT($C$797:$V$797,($C$87:$V$87=E$439)*1,($C$6:$V$6="Praxis")*1,$C$9:$V$9))</f>
        <v/>
      </c>
      <c r="F537" s="63">
        <f>IF(F477=0,"",SUMPRODUCT($C$797:$V$797,($C$87:$V$87=F$439)*1,($C$6:$V$6="Praxis")*1,$C$9:$V$9,$C$27:$V$27)/SUMPRODUCT($C$797:$V$797,($C$87:$V$87=F$439)*1,($C$6:$V$6="Praxis")*1,$C$9:$V$9))</f>
        <v/>
      </c>
      <c r="G537" s="63">
        <f>IF(G477=0,"",SUMPRODUCT($C$797:$V$797,($C$87:$V$87=G$439)*1,($C$6:$V$6="Praxis")*1,$C$9:$V$9,$C$27:$V$27)/SUMPRODUCT($C$797:$V$797,($C$87:$V$87=G$439)*1,($C$6:$V$6="Praxis")*1,$C$9:$V$9))</f>
        <v/>
      </c>
      <c r="H537" s="63">
        <f>IF(H477=0,"",SUMPRODUCT($C$797:$V$797,($C$87:$V$87=H$439)*1,($C$6:$V$6="Praxis")*1,$C$9:$V$9,$C$27:$V$27)/SUMPRODUCT($C$797:$V$797,($C$87:$V$87=H$439)*1,($C$6:$V$6="Praxis")*1,$C$9:$V$9))</f>
        <v/>
      </c>
      <c r="I537" s="63">
        <f>IF(I477=0,"",SUMPRODUCT($C$797:$V$797,($C$87:$V$87=I$439)*1,($C$6:$V$6="Praxis")*1,$C$9:$V$9,$C$27:$V$27)/SUMPRODUCT($C$797:$V$797,($C$87:$V$87=I$439)*1,($C$6:$V$6="Praxis")*1,$C$9:$V$9))</f>
        <v/>
      </c>
      <c r="J537" s="63">
        <f>IF(J477=0,"",SUMPRODUCT($C$797:$V$797,($C$87:$V$87=J$439)*1,($C$6:$V$6="Praxis")*1,$C$9:$V$9,$C$27:$V$27)/SUMPRODUCT($C$797:$V$797,($C$87:$V$87=J$439)*1,($C$6:$V$6="Praxis")*1,$C$9:$V$9))</f>
        <v/>
      </c>
    </row>
    <row r="538">
      <c r="C538" s="63">
        <f>IF(C478=0,"",SUMPRODUCT($C$798:$V$798,($C$88:$V$88=C$439)*1,($C$6:$V$6="Praxis")*1,$C$9:$V$9,$C$28:$V$28)/SUMPRODUCT($C$798:$V$798,($C$88:$V$88=C$439)*1,($C$6:$V$6="Praxis")*1,$C$9:$V$9))</f>
        <v/>
      </c>
      <c r="D538" s="63">
        <f>IF(D478=0,"",SUMPRODUCT($C$798:$V$798,($C$88:$V$88=D$439)*1,($C$6:$V$6="Praxis")*1,$C$9:$V$9,$C$28:$V$28)/SUMPRODUCT($C$798:$V$798,($C$88:$V$88=D$439)*1,($C$6:$V$6="Praxis")*1,$C$9:$V$9))</f>
        <v/>
      </c>
      <c r="E538" s="63">
        <f>IF(E478=0,"",SUMPRODUCT($C$798:$V$798,($C$88:$V$88=E$439)*1,($C$6:$V$6="Praxis")*1,$C$9:$V$9,$C$28:$V$28)/SUMPRODUCT($C$798:$V$798,($C$88:$V$88=E$439)*1,($C$6:$V$6="Praxis")*1,$C$9:$V$9))</f>
        <v/>
      </c>
      <c r="F538" s="63">
        <f>IF(F478=0,"",SUMPRODUCT($C$798:$V$798,($C$88:$V$88=F$439)*1,($C$6:$V$6="Praxis")*1,$C$9:$V$9,$C$28:$V$28)/SUMPRODUCT($C$798:$V$798,($C$88:$V$88=F$439)*1,($C$6:$V$6="Praxis")*1,$C$9:$V$9))</f>
        <v/>
      </c>
      <c r="G538" s="63">
        <f>IF(G478=0,"",SUMPRODUCT($C$798:$V$798,($C$88:$V$88=G$439)*1,($C$6:$V$6="Praxis")*1,$C$9:$V$9,$C$28:$V$28)/SUMPRODUCT($C$798:$V$798,($C$88:$V$88=G$439)*1,($C$6:$V$6="Praxis")*1,$C$9:$V$9))</f>
        <v/>
      </c>
      <c r="H538" s="63">
        <f>IF(H478=0,"",SUMPRODUCT($C$798:$V$798,($C$88:$V$88=H$439)*1,($C$6:$V$6="Praxis")*1,$C$9:$V$9,$C$28:$V$28)/SUMPRODUCT($C$798:$V$798,($C$88:$V$88=H$439)*1,($C$6:$V$6="Praxis")*1,$C$9:$V$9))</f>
        <v/>
      </c>
      <c r="I538" s="63">
        <f>IF(I478=0,"",SUMPRODUCT($C$798:$V$798,($C$88:$V$88=I$439)*1,($C$6:$V$6="Praxis")*1,$C$9:$V$9,$C$28:$V$28)/SUMPRODUCT($C$798:$V$798,($C$88:$V$88=I$439)*1,($C$6:$V$6="Praxis")*1,$C$9:$V$9))</f>
        <v/>
      </c>
      <c r="J538" s="63">
        <f>IF(J478=0,"",SUMPRODUCT($C$798:$V$798,($C$88:$V$88=J$439)*1,($C$6:$V$6="Praxis")*1,$C$9:$V$9,$C$28:$V$28)/SUMPRODUCT($C$798:$V$798,($C$88:$V$88=J$439)*1,($C$6:$V$6="Praxis")*1,$C$9:$V$9))</f>
        <v/>
      </c>
    </row>
    <row r="539">
      <c r="C539" s="63">
        <f>IF(C479=0,"",SUMPRODUCT($C$799:$V$799,($C$89:$V$89=C$439)*1,($C$6:$V$6="Praxis")*1,$C$9:$V$9,$C$29:$V$29)/SUMPRODUCT($C$799:$V$799,($C$89:$V$89=C$439)*1,($C$6:$V$6="Praxis")*1,$C$9:$V$9))</f>
        <v/>
      </c>
      <c r="D539" s="63">
        <f>IF(D479=0,"",SUMPRODUCT($C$799:$V$799,($C$89:$V$89=D$439)*1,($C$6:$V$6="Praxis")*1,$C$9:$V$9,$C$29:$V$29)/SUMPRODUCT($C$799:$V$799,($C$89:$V$89=D$439)*1,($C$6:$V$6="Praxis")*1,$C$9:$V$9))</f>
        <v/>
      </c>
      <c r="E539" s="63">
        <f>IF(E479=0,"",SUMPRODUCT($C$799:$V$799,($C$89:$V$89=E$439)*1,($C$6:$V$6="Praxis")*1,$C$9:$V$9,$C$29:$V$29)/SUMPRODUCT($C$799:$V$799,($C$89:$V$89=E$439)*1,($C$6:$V$6="Praxis")*1,$C$9:$V$9))</f>
        <v/>
      </c>
      <c r="F539" s="63">
        <f>IF(F479=0,"",SUMPRODUCT($C$799:$V$799,($C$89:$V$89=F$439)*1,($C$6:$V$6="Praxis")*1,$C$9:$V$9,$C$29:$V$29)/SUMPRODUCT($C$799:$V$799,($C$89:$V$89=F$439)*1,($C$6:$V$6="Praxis")*1,$C$9:$V$9))</f>
        <v/>
      </c>
      <c r="G539" s="63">
        <f>IF(G479=0,"",SUMPRODUCT($C$799:$V$799,($C$89:$V$89=G$439)*1,($C$6:$V$6="Praxis")*1,$C$9:$V$9,$C$29:$V$29)/SUMPRODUCT($C$799:$V$799,($C$89:$V$89=G$439)*1,($C$6:$V$6="Praxis")*1,$C$9:$V$9))</f>
        <v/>
      </c>
      <c r="H539" s="63">
        <f>IF(H479=0,"",SUMPRODUCT($C$799:$V$799,($C$89:$V$89=H$439)*1,($C$6:$V$6="Praxis")*1,$C$9:$V$9,$C$29:$V$29)/SUMPRODUCT($C$799:$V$799,($C$89:$V$89=H$439)*1,($C$6:$V$6="Praxis")*1,$C$9:$V$9))</f>
        <v/>
      </c>
      <c r="I539" s="63">
        <f>IF(I479=0,"",SUMPRODUCT($C$799:$V$799,($C$89:$V$89=I$439)*1,($C$6:$V$6="Praxis")*1,$C$9:$V$9,$C$29:$V$29)/SUMPRODUCT($C$799:$V$799,($C$89:$V$89=I$439)*1,($C$6:$V$6="Praxis")*1,$C$9:$V$9))</f>
        <v/>
      </c>
      <c r="J539" s="63">
        <f>IF(J479=0,"",SUMPRODUCT($C$799:$V$799,($C$89:$V$89=J$439)*1,($C$6:$V$6="Praxis")*1,$C$9:$V$9,$C$29:$V$29)/SUMPRODUCT($C$799:$V$799,($C$89:$V$89=J$439)*1,($C$6:$V$6="Praxis")*1,$C$9:$V$9))</f>
        <v/>
      </c>
    </row>
    <row r="540">
      <c r="C540" s="63">
        <f>IF(C480=0,"",SUMPRODUCT($C$800:$V$800,($C$90:$V$90=C$439)*1,($C$6:$V$6="Praxis")*1,$C$9:$V$9,$C$30:$V$30)/SUMPRODUCT($C$800:$V$800,($C$90:$V$90=C$439)*1,($C$6:$V$6="Praxis")*1,$C$9:$V$9))</f>
        <v/>
      </c>
      <c r="D540" s="63">
        <f>IF(D480=0,"",SUMPRODUCT($C$800:$V$800,($C$90:$V$90=D$439)*1,($C$6:$V$6="Praxis")*1,$C$9:$V$9,$C$30:$V$30)/SUMPRODUCT($C$800:$V$800,($C$90:$V$90=D$439)*1,($C$6:$V$6="Praxis")*1,$C$9:$V$9))</f>
        <v/>
      </c>
      <c r="E540" s="63">
        <f>IF(E480=0,"",SUMPRODUCT($C$800:$V$800,($C$90:$V$90=E$439)*1,($C$6:$V$6="Praxis")*1,$C$9:$V$9,$C$30:$V$30)/SUMPRODUCT($C$800:$V$800,($C$90:$V$90=E$439)*1,($C$6:$V$6="Praxis")*1,$C$9:$V$9))</f>
        <v/>
      </c>
      <c r="F540" s="63">
        <f>IF(F480=0,"",SUMPRODUCT($C$800:$V$800,($C$90:$V$90=F$439)*1,($C$6:$V$6="Praxis")*1,$C$9:$V$9,$C$30:$V$30)/SUMPRODUCT($C$800:$V$800,($C$90:$V$90=F$439)*1,($C$6:$V$6="Praxis")*1,$C$9:$V$9))</f>
        <v/>
      </c>
      <c r="G540" s="63">
        <f>IF(G480=0,"",SUMPRODUCT($C$800:$V$800,($C$90:$V$90=G$439)*1,($C$6:$V$6="Praxis")*1,$C$9:$V$9,$C$30:$V$30)/SUMPRODUCT($C$800:$V$800,($C$90:$V$90=G$439)*1,($C$6:$V$6="Praxis")*1,$C$9:$V$9))</f>
        <v/>
      </c>
      <c r="H540" s="63">
        <f>IF(H480=0,"",SUMPRODUCT($C$800:$V$800,($C$90:$V$90=H$439)*1,($C$6:$V$6="Praxis")*1,$C$9:$V$9,$C$30:$V$30)/SUMPRODUCT($C$800:$V$800,($C$90:$V$90=H$439)*1,($C$6:$V$6="Praxis")*1,$C$9:$V$9))</f>
        <v/>
      </c>
      <c r="I540" s="63">
        <f>IF(I480=0,"",SUMPRODUCT($C$800:$V$800,($C$90:$V$90=I$439)*1,($C$6:$V$6="Praxis")*1,$C$9:$V$9,$C$30:$V$30)/SUMPRODUCT($C$800:$V$800,($C$90:$V$90=I$439)*1,($C$6:$V$6="Praxis")*1,$C$9:$V$9))</f>
        <v/>
      </c>
      <c r="J540" s="63">
        <f>IF(J480=0,"",SUMPRODUCT($C$800:$V$800,($C$90:$V$90=J$439)*1,($C$6:$V$6="Praxis")*1,$C$9:$V$9,$C$30:$V$30)/SUMPRODUCT($C$800:$V$800,($C$90:$V$90=J$439)*1,($C$6:$V$6="Praxis")*1,$C$9:$V$9))</f>
        <v/>
      </c>
    </row>
    <row r="541">
      <c r="C541" s="63">
        <f>IF(C481=0,"",SUMPRODUCT($C$801:$V$801,($C$91:$V$91=C$439)*1,($C$6:$V$6="Praxis")*1,$C$9:$V$9,$C$31:$V$31)/SUMPRODUCT($C$801:$V$801,($C$91:$V$91=C$439)*1,($C$6:$V$6="Praxis")*1,$C$9:$V$9))</f>
        <v/>
      </c>
      <c r="D541" s="63">
        <f>IF(D481=0,"",SUMPRODUCT($C$801:$V$801,($C$91:$V$91=D$439)*1,($C$6:$V$6="Praxis")*1,$C$9:$V$9,$C$31:$V$31)/SUMPRODUCT($C$801:$V$801,($C$91:$V$91=D$439)*1,($C$6:$V$6="Praxis")*1,$C$9:$V$9))</f>
        <v/>
      </c>
      <c r="E541" s="63">
        <f>IF(E481=0,"",SUMPRODUCT($C$801:$V$801,($C$91:$V$91=E$439)*1,($C$6:$V$6="Praxis")*1,$C$9:$V$9,$C$31:$V$31)/SUMPRODUCT($C$801:$V$801,($C$91:$V$91=E$439)*1,($C$6:$V$6="Praxis")*1,$C$9:$V$9))</f>
        <v/>
      </c>
      <c r="F541" s="63">
        <f>IF(F481=0,"",SUMPRODUCT($C$801:$V$801,($C$91:$V$91=F$439)*1,($C$6:$V$6="Praxis")*1,$C$9:$V$9,$C$31:$V$31)/SUMPRODUCT($C$801:$V$801,($C$91:$V$91=F$439)*1,($C$6:$V$6="Praxis")*1,$C$9:$V$9))</f>
        <v/>
      </c>
      <c r="G541" s="63">
        <f>IF(G481=0,"",SUMPRODUCT($C$801:$V$801,($C$91:$V$91=G$439)*1,($C$6:$V$6="Praxis")*1,$C$9:$V$9,$C$31:$V$31)/SUMPRODUCT($C$801:$V$801,($C$91:$V$91=G$439)*1,($C$6:$V$6="Praxis")*1,$C$9:$V$9))</f>
        <v/>
      </c>
      <c r="H541" s="63">
        <f>IF(H481=0,"",SUMPRODUCT($C$801:$V$801,($C$91:$V$91=H$439)*1,($C$6:$V$6="Praxis")*1,$C$9:$V$9,$C$31:$V$31)/SUMPRODUCT($C$801:$V$801,($C$91:$V$91=H$439)*1,($C$6:$V$6="Praxis")*1,$C$9:$V$9))</f>
        <v/>
      </c>
      <c r="I541" s="63">
        <f>IF(I481=0,"",SUMPRODUCT($C$801:$V$801,($C$91:$V$91=I$439)*1,($C$6:$V$6="Praxis")*1,$C$9:$V$9,$C$31:$V$31)/SUMPRODUCT($C$801:$V$801,($C$91:$V$91=I$439)*1,($C$6:$V$6="Praxis")*1,$C$9:$V$9))</f>
        <v/>
      </c>
      <c r="J541" s="63">
        <f>IF(J481=0,"",SUMPRODUCT($C$801:$V$801,($C$91:$V$91=J$439)*1,($C$6:$V$6="Praxis")*1,$C$9:$V$9,$C$31:$V$31)/SUMPRODUCT($C$801:$V$801,($C$91:$V$91=J$439)*1,($C$6:$V$6="Praxis")*1,$C$9:$V$9))</f>
        <v/>
      </c>
    </row>
    <row r="542">
      <c r="C542" s="63">
        <f>IF(C482=0,"",SUMPRODUCT($C$802:$V$802,($C$92:$V$92=C$439)*1,($C$6:$V$6="Praxis")*1,$C$9:$V$9,$C$32:$V$32)/SUMPRODUCT($C$802:$V$802,($C$92:$V$92=C$439)*1,($C$6:$V$6="Praxis")*1,$C$9:$V$9))</f>
        <v/>
      </c>
      <c r="D542" s="63">
        <f>IF(D482=0,"",SUMPRODUCT($C$802:$V$802,($C$92:$V$92=D$439)*1,($C$6:$V$6="Praxis")*1,$C$9:$V$9,$C$32:$V$32)/SUMPRODUCT($C$802:$V$802,($C$92:$V$92=D$439)*1,($C$6:$V$6="Praxis")*1,$C$9:$V$9))</f>
        <v/>
      </c>
      <c r="E542" s="63">
        <f>IF(E482=0,"",SUMPRODUCT($C$802:$V$802,($C$92:$V$92=E$439)*1,($C$6:$V$6="Praxis")*1,$C$9:$V$9,$C$32:$V$32)/SUMPRODUCT($C$802:$V$802,($C$92:$V$92=E$439)*1,($C$6:$V$6="Praxis")*1,$C$9:$V$9))</f>
        <v/>
      </c>
      <c r="F542" s="63">
        <f>IF(F482=0,"",SUMPRODUCT($C$802:$V$802,($C$92:$V$92=F$439)*1,($C$6:$V$6="Praxis")*1,$C$9:$V$9,$C$32:$V$32)/SUMPRODUCT($C$802:$V$802,($C$92:$V$92=F$439)*1,($C$6:$V$6="Praxis")*1,$C$9:$V$9))</f>
        <v/>
      </c>
      <c r="G542" s="63">
        <f>IF(G482=0,"",SUMPRODUCT($C$802:$V$802,($C$92:$V$92=G$439)*1,($C$6:$V$6="Praxis")*1,$C$9:$V$9,$C$32:$V$32)/SUMPRODUCT($C$802:$V$802,($C$92:$V$92=G$439)*1,($C$6:$V$6="Praxis")*1,$C$9:$V$9))</f>
        <v/>
      </c>
      <c r="H542" s="63">
        <f>IF(H482=0,"",SUMPRODUCT($C$802:$V$802,($C$92:$V$92=H$439)*1,($C$6:$V$6="Praxis")*1,$C$9:$V$9,$C$32:$V$32)/SUMPRODUCT($C$802:$V$802,($C$92:$V$92=H$439)*1,($C$6:$V$6="Praxis")*1,$C$9:$V$9))</f>
        <v/>
      </c>
      <c r="I542" s="63">
        <f>IF(I482=0,"",SUMPRODUCT($C$802:$V$802,($C$92:$V$92=I$439)*1,($C$6:$V$6="Praxis")*1,$C$9:$V$9,$C$32:$V$32)/SUMPRODUCT($C$802:$V$802,($C$92:$V$92=I$439)*1,($C$6:$V$6="Praxis")*1,$C$9:$V$9))</f>
        <v/>
      </c>
      <c r="J542" s="63">
        <f>IF(J482=0,"",SUMPRODUCT($C$802:$V$802,($C$92:$V$92=J$439)*1,($C$6:$V$6="Praxis")*1,$C$9:$V$9,$C$32:$V$32)/SUMPRODUCT($C$802:$V$802,($C$92:$V$92=J$439)*1,($C$6:$V$6="Praxis")*1,$C$9:$V$9))</f>
        <v/>
      </c>
    </row>
    <row r="543">
      <c r="C543" s="63">
        <f>IF(C483=0,"",SUMPRODUCT($C$803:$V$803,($C$93:$V$93=C$439)*1,($C$6:$V$6="Praxis")*1,$C$9:$V$9,$C$33:$V$33)/SUMPRODUCT($C$803:$V$803,($C$93:$V$93=C$439)*1,($C$6:$V$6="Praxis")*1,$C$9:$V$9))</f>
        <v/>
      </c>
      <c r="D543" s="63">
        <f>IF(D483=0,"",SUMPRODUCT($C$803:$V$803,($C$93:$V$93=D$439)*1,($C$6:$V$6="Praxis")*1,$C$9:$V$9,$C$33:$V$33)/SUMPRODUCT($C$803:$V$803,($C$93:$V$93=D$439)*1,($C$6:$V$6="Praxis")*1,$C$9:$V$9))</f>
        <v/>
      </c>
      <c r="E543" s="63">
        <f>IF(E483=0,"",SUMPRODUCT($C$803:$V$803,($C$93:$V$93=E$439)*1,($C$6:$V$6="Praxis")*1,$C$9:$V$9,$C$33:$V$33)/SUMPRODUCT($C$803:$V$803,($C$93:$V$93=E$439)*1,($C$6:$V$6="Praxis")*1,$C$9:$V$9))</f>
        <v/>
      </c>
      <c r="F543" s="63">
        <f>IF(F483=0,"",SUMPRODUCT($C$803:$V$803,($C$93:$V$93=F$439)*1,($C$6:$V$6="Praxis")*1,$C$9:$V$9,$C$33:$V$33)/SUMPRODUCT($C$803:$V$803,($C$93:$V$93=F$439)*1,($C$6:$V$6="Praxis")*1,$C$9:$V$9))</f>
        <v/>
      </c>
      <c r="G543" s="63">
        <f>IF(G483=0,"",SUMPRODUCT($C$803:$V$803,($C$93:$V$93=G$439)*1,($C$6:$V$6="Praxis")*1,$C$9:$V$9,$C$33:$V$33)/SUMPRODUCT($C$803:$V$803,($C$93:$V$93=G$439)*1,($C$6:$V$6="Praxis")*1,$C$9:$V$9))</f>
        <v/>
      </c>
      <c r="H543" s="63">
        <f>IF(H483=0,"",SUMPRODUCT($C$803:$V$803,($C$93:$V$93=H$439)*1,($C$6:$V$6="Praxis")*1,$C$9:$V$9,$C$33:$V$33)/SUMPRODUCT($C$803:$V$803,($C$93:$V$93=H$439)*1,($C$6:$V$6="Praxis")*1,$C$9:$V$9))</f>
        <v/>
      </c>
      <c r="I543" s="63">
        <f>IF(I483=0,"",SUMPRODUCT($C$803:$V$803,($C$93:$V$93=I$439)*1,($C$6:$V$6="Praxis")*1,$C$9:$V$9,$C$33:$V$33)/SUMPRODUCT($C$803:$V$803,($C$93:$V$93=I$439)*1,($C$6:$V$6="Praxis")*1,$C$9:$V$9))</f>
        <v/>
      </c>
      <c r="J543" s="63">
        <f>IF(J483=0,"",SUMPRODUCT($C$803:$V$803,($C$93:$V$93=J$439)*1,($C$6:$V$6="Praxis")*1,$C$9:$V$9,$C$33:$V$33)/SUMPRODUCT($C$803:$V$803,($C$93:$V$93=J$439)*1,($C$6:$V$6="Praxis")*1,$C$9:$V$9))</f>
        <v/>
      </c>
    </row>
    <row r="544">
      <c r="C544" s="63">
        <f>IF(C484=0,"",SUMPRODUCT($C$804:$V$804,($C$94:$V$94=C$439)*1,($C$6:$V$6="Praxis")*1,$C$9:$V$9,$C$34:$V$34)/SUMPRODUCT($C$804:$V$804,($C$94:$V$94=C$439)*1,($C$6:$V$6="Praxis")*1,$C$9:$V$9))</f>
        <v/>
      </c>
      <c r="D544" s="63">
        <f>IF(D484=0,"",SUMPRODUCT($C$804:$V$804,($C$94:$V$94=D$439)*1,($C$6:$V$6="Praxis")*1,$C$9:$V$9,$C$34:$V$34)/SUMPRODUCT($C$804:$V$804,($C$94:$V$94=D$439)*1,($C$6:$V$6="Praxis")*1,$C$9:$V$9))</f>
        <v/>
      </c>
      <c r="E544" s="63">
        <f>IF(E484=0,"",SUMPRODUCT($C$804:$V$804,($C$94:$V$94=E$439)*1,($C$6:$V$6="Praxis")*1,$C$9:$V$9,$C$34:$V$34)/SUMPRODUCT($C$804:$V$804,($C$94:$V$94=E$439)*1,($C$6:$V$6="Praxis")*1,$C$9:$V$9))</f>
        <v/>
      </c>
      <c r="F544" s="63">
        <f>IF(F484=0,"",SUMPRODUCT($C$804:$V$804,($C$94:$V$94=F$439)*1,($C$6:$V$6="Praxis")*1,$C$9:$V$9,$C$34:$V$34)/SUMPRODUCT($C$804:$V$804,($C$94:$V$94=F$439)*1,($C$6:$V$6="Praxis")*1,$C$9:$V$9))</f>
        <v/>
      </c>
      <c r="G544" s="63">
        <f>IF(G484=0,"",SUMPRODUCT($C$804:$V$804,($C$94:$V$94=G$439)*1,($C$6:$V$6="Praxis")*1,$C$9:$V$9,$C$34:$V$34)/SUMPRODUCT($C$804:$V$804,($C$94:$V$94=G$439)*1,($C$6:$V$6="Praxis")*1,$C$9:$V$9))</f>
        <v/>
      </c>
      <c r="H544" s="63">
        <f>IF(H484=0,"",SUMPRODUCT($C$804:$V$804,($C$94:$V$94=H$439)*1,($C$6:$V$6="Praxis")*1,$C$9:$V$9,$C$34:$V$34)/SUMPRODUCT($C$804:$V$804,($C$94:$V$94=H$439)*1,($C$6:$V$6="Praxis")*1,$C$9:$V$9))</f>
        <v/>
      </c>
      <c r="I544" s="63">
        <f>IF(I484=0,"",SUMPRODUCT($C$804:$V$804,($C$94:$V$94=I$439)*1,($C$6:$V$6="Praxis")*1,$C$9:$V$9,$C$34:$V$34)/SUMPRODUCT($C$804:$V$804,($C$94:$V$94=I$439)*1,($C$6:$V$6="Praxis")*1,$C$9:$V$9))</f>
        <v/>
      </c>
      <c r="J544" s="63">
        <f>IF(J484=0,"",SUMPRODUCT($C$804:$V$804,($C$94:$V$94=J$439)*1,($C$6:$V$6="Praxis")*1,$C$9:$V$9,$C$34:$V$34)/SUMPRODUCT($C$804:$V$804,($C$94:$V$94=J$439)*1,($C$6:$V$6="Praxis")*1,$C$9:$V$9))</f>
        <v/>
      </c>
    </row>
    <row r="545">
      <c r="C545" s="63">
        <f>IF(C485=0,"",SUMPRODUCT($C$805:$V$805,($C$95:$V$95=C$439)*1,($C$6:$V$6="Praxis")*1,$C$9:$V$9,$C$35:$V$35)/SUMPRODUCT($C$805:$V$805,($C$95:$V$95=C$439)*1,($C$6:$V$6="Praxis")*1,$C$9:$V$9))</f>
        <v/>
      </c>
      <c r="D545" s="63">
        <f>IF(D485=0,"",SUMPRODUCT($C$805:$V$805,($C$95:$V$95=D$439)*1,($C$6:$V$6="Praxis")*1,$C$9:$V$9,$C$35:$V$35)/SUMPRODUCT($C$805:$V$805,($C$95:$V$95=D$439)*1,($C$6:$V$6="Praxis")*1,$C$9:$V$9))</f>
        <v/>
      </c>
      <c r="E545" s="63">
        <f>IF(E485=0,"",SUMPRODUCT($C$805:$V$805,($C$95:$V$95=E$439)*1,($C$6:$V$6="Praxis")*1,$C$9:$V$9,$C$35:$V$35)/SUMPRODUCT($C$805:$V$805,($C$95:$V$95=E$439)*1,($C$6:$V$6="Praxis")*1,$C$9:$V$9))</f>
        <v/>
      </c>
      <c r="F545" s="63">
        <f>IF(F485=0,"",SUMPRODUCT($C$805:$V$805,($C$95:$V$95=F$439)*1,($C$6:$V$6="Praxis")*1,$C$9:$V$9,$C$35:$V$35)/SUMPRODUCT($C$805:$V$805,($C$95:$V$95=F$439)*1,($C$6:$V$6="Praxis")*1,$C$9:$V$9))</f>
        <v/>
      </c>
      <c r="G545" s="63">
        <f>IF(G485=0,"",SUMPRODUCT($C$805:$V$805,($C$95:$V$95=G$439)*1,($C$6:$V$6="Praxis")*1,$C$9:$V$9,$C$35:$V$35)/SUMPRODUCT($C$805:$V$805,($C$95:$V$95=G$439)*1,($C$6:$V$6="Praxis")*1,$C$9:$V$9))</f>
        <v/>
      </c>
      <c r="H545" s="63">
        <f>IF(H485=0,"",SUMPRODUCT($C$805:$V$805,($C$95:$V$95=H$439)*1,($C$6:$V$6="Praxis")*1,$C$9:$V$9,$C$35:$V$35)/SUMPRODUCT($C$805:$V$805,($C$95:$V$95=H$439)*1,($C$6:$V$6="Praxis")*1,$C$9:$V$9))</f>
        <v/>
      </c>
      <c r="I545" s="63">
        <f>IF(I485=0,"",SUMPRODUCT($C$805:$V$805,($C$95:$V$95=I$439)*1,($C$6:$V$6="Praxis")*1,$C$9:$V$9,$C$35:$V$35)/SUMPRODUCT($C$805:$V$805,($C$95:$V$95=I$439)*1,($C$6:$V$6="Praxis")*1,$C$9:$V$9))</f>
        <v/>
      </c>
      <c r="J545" s="63">
        <f>IF(J485=0,"",SUMPRODUCT($C$805:$V$805,($C$95:$V$95=J$439)*1,($C$6:$V$6="Praxis")*1,$C$9:$V$9,$C$35:$V$35)/SUMPRODUCT($C$805:$V$805,($C$95:$V$95=J$439)*1,($C$6:$V$6="Praxis")*1,$C$9:$V$9))</f>
        <v/>
      </c>
    </row>
    <row r="546">
      <c r="C546" s="63">
        <f>IF(C486=0,"",SUMPRODUCT($C$806:$V$806,($C$96:$V$96=C$439)*1,($C$6:$V$6="Praxis")*1,$C$9:$V$9,$C$36:$V$36)/SUMPRODUCT($C$806:$V$806,($C$96:$V$96=C$439)*1,($C$6:$V$6="Praxis")*1,$C$9:$V$9))</f>
        <v/>
      </c>
      <c r="D546" s="63">
        <f>IF(D486=0,"",SUMPRODUCT($C$806:$V$806,($C$96:$V$96=D$439)*1,($C$6:$V$6="Praxis")*1,$C$9:$V$9,$C$36:$V$36)/SUMPRODUCT($C$806:$V$806,($C$96:$V$96=D$439)*1,($C$6:$V$6="Praxis")*1,$C$9:$V$9))</f>
        <v/>
      </c>
      <c r="E546" s="63">
        <f>IF(E486=0,"",SUMPRODUCT($C$806:$V$806,($C$96:$V$96=E$439)*1,($C$6:$V$6="Praxis")*1,$C$9:$V$9,$C$36:$V$36)/SUMPRODUCT($C$806:$V$806,($C$96:$V$96=E$439)*1,($C$6:$V$6="Praxis")*1,$C$9:$V$9))</f>
        <v/>
      </c>
      <c r="F546" s="63">
        <f>IF(F486=0,"",SUMPRODUCT($C$806:$V$806,($C$96:$V$96=F$439)*1,($C$6:$V$6="Praxis")*1,$C$9:$V$9,$C$36:$V$36)/SUMPRODUCT($C$806:$V$806,($C$96:$V$96=F$439)*1,($C$6:$V$6="Praxis")*1,$C$9:$V$9))</f>
        <v/>
      </c>
      <c r="G546" s="63">
        <f>IF(G486=0,"",SUMPRODUCT($C$806:$V$806,($C$96:$V$96=G$439)*1,($C$6:$V$6="Praxis")*1,$C$9:$V$9,$C$36:$V$36)/SUMPRODUCT($C$806:$V$806,($C$96:$V$96=G$439)*1,($C$6:$V$6="Praxis")*1,$C$9:$V$9))</f>
        <v/>
      </c>
      <c r="H546" s="63">
        <f>IF(H486=0,"",SUMPRODUCT($C$806:$V$806,($C$96:$V$96=H$439)*1,($C$6:$V$6="Praxis")*1,$C$9:$V$9,$C$36:$V$36)/SUMPRODUCT($C$806:$V$806,($C$96:$V$96=H$439)*1,($C$6:$V$6="Praxis")*1,$C$9:$V$9))</f>
        <v/>
      </c>
      <c r="I546" s="63">
        <f>IF(I486=0,"",SUMPRODUCT($C$806:$V$806,($C$96:$V$96=I$439)*1,($C$6:$V$6="Praxis")*1,$C$9:$V$9,$C$36:$V$36)/SUMPRODUCT($C$806:$V$806,($C$96:$V$96=I$439)*1,($C$6:$V$6="Praxis")*1,$C$9:$V$9))</f>
        <v/>
      </c>
      <c r="J546" s="63">
        <f>IF(J486=0,"",SUMPRODUCT($C$806:$V$806,($C$96:$V$96=J$439)*1,($C$6:$V$6="Praxis")*1,$C$9:$V$9,$C$36:$V$36)/SUMPRODUCT($C$806:$V$806,($C$96:$V$96=J$439)*1,($C$6:$V$6="Praxis")*1,$C$9:$V$9))</f>
        <v/>
      </c>
    </row>
    <row r="547">
      <c r="C547" s="63">
        <f>IF(C487=0,"",SUMPRODUCT($C$807:$V$807,($C$97:$V$97=C$439)*1,($C$6:$V$6="Praxis")*1,$C$9:$V$9,$C$37:$V$37)/SUMPRODUCT($C$807:$V$807,($C$97:$V$97=C$439)*1,($C$6:$V$6="Praxis")*1,$C$9:$V$9))</f>
        <v/>
      </c>
      <c r="D547" s="63">
        <f>IF(D487=0,"",SUMPRODUCT($C$807:$V$807,($C$97:$V$97=D$439)*1,($C$6:$V$6="Praxis")*1,$C$9:$V$9,$C$37:$V$37)/SUMPRODUCT($C$807:$V$807,($C$97:$V$97=D$439)*1,($C$6:$V$6="Praxis")*1,$C$9:$V$9))</f>
        <v/>
      </c>
      <c r="E547" s="63">
        <f>IF(E487=0,"",SUMPRODUCT($C$807:$V$807,($C$97:$V$97=E$439)*1,($C$6:$V$6="Praxis")*1,$C$9:$V$9,$C$37:$V$37)/SUMPRODUCT($C$807:$V$807,($C$97:$V$97=E$439)*1,($C$6:$V$6="Praxis")*1,$C$9:$V$9))</f>
        <v/>
      </c>
      <c r="F547" s="63">
        <f>IF(F487=0,"",SUMPRODUCT($C$807:$V$807,($C$97:$V$97=F$439)*1,($C$6:$V$6="Praxis")*1,$C$9:$V$9,$C$37:$V$37)/SUMPRODUCT($C$807:$V$807,($C$97:$V$97=F$439)*1,($C$6:$V$6="Praxis")*1,$C$9:$V$9))</f>
        <v/>
      </c>
      <c r="G547" s="63">
        <f>IF(G487=0,"",SUMPRODUCT($C$807:$V$807,($C$97:$V$97=G$439)*1,($C$6:$V$6="Praxis")*1,$C$9:$V$9,$C$37:$V$37)/SUMPRODUCT($C$807:$V$807,($C$97:$V$97=G$439)*1,($C$6:$V$6="Praxis")*1,$C$9:$V$9))</f>
        <v/>
      </c>
      <c r="H547" s="63">
        <f>IF(H487=0,"",SUMPRODUCT($C$807:$V$807,($C$97:$V$97=H$439)*1,($C$6:$V$6="Praxis")*1,$C$9:$V$9,$C$37:$V$37)/SUMPRODUCT($C$807:$V$807,($C$97:$V$97=H$439)*1,($C$6:$V$6="Praxis")*1,$C$9:$V$9))</f>
        <v/>
      </c>
      <c r="I547" s="63">
        <f>IF(I487=0,"",SUMPRODUCT($C$807:$V$807,($C$97:$V$97=I$439)*1,($C$6:$V$6="Praxis")*1,$C$9:$V$9,$C$37:$V$37)/SUMPRODUCT($C$807:$V$807,($C$97:$V$97=I$439)*1,($C$6:$V$6="Praxis")*1,$C$9:$V$9))</f>
        <v/>
      </c>
      <c r="J547" s="63">
        <f>IF(J487=0,"",SUMPRODUCT($C$807:$V$807,($C$97:$V$97=J$439)*1,($C$6:$V$6="Praxis")*1,$C$9:$V$9,$C$37:$V$37)/SUMPRODUCT($C$807:$V$807,($C$97:$V$97=J$439)*1,($C$6:$V$6="Praxis")*1,$C$9:$V$9))</f>
        <v/>
      </c>
    </row>
    <row r="548">
      <c r="C548" s="63">
        <f>IF(C488=0,"",SUMPRODUCT($C$808:$V$808,($C$98:$V$98=C$439)*1,($C$6:$V$6="Praxis")*1,$C$9:$V$9,$C$38:$V$38)/SUMPRODUCT($C$808:$V$808,($C$98:$V$98=C$439)*1,($C$6:$V$6="Praxis")*1,$C$9:$V$9))</f>
        <v/>
      </c>
      <c r="D548" s="63">
        <f>IF(D488=0,"",SUMPRODUCT($C$808:$V$808,($C$98:$V$98=D$439)*1,($C$6:$V$6="Praxis")*1,$C$9:$V$9,$C$38:$V$38)/SUMPRODUCT($C$808:$V$808,($C$98:$V$98=D$439)*1,($C$6:$V$6="Praxis")*1,$C$9:$V$9))</f>
        <v/>
      </c>
      <c r="E548" s="63">
        <f>IF(E488=0,"",SUMPRODUCT($C$808:$V$808,($C$98:$V$98=E$439)*1,($C$6:$V$6="Praxis")*1,$C$9:$V$9,$C$38:$V$38)/SUMPRODUCT($C$808:$V$808,($C$98:$V$98=E$439)*1,($C$6:$V$6="Praxis")*1,$C$9:$V$9))</f>
        <v/>
      </c>
      <c r="F548" s="63">
        <f>IF(F488=0,"",SUMPRODUCT($C$808:$V$808,($C$98:$V$98=F$439)*1,($C$6:$V$6="Praxis")*1,$C$9:$V$9,$C$38:$V$38)/SUMPRODUCT($C$808:$V$808,($C$98:$V$98=F$439)*1,($C$6:$V$6="Praxis")*1,$C$9:$V$9))</f>
        <v/>
      </c>
      <c r="G548" s="63">
        <f>IF(G488=0,"",SUMPRODUCT($C$808:$V$808,($C$98:$V$98=G$439)*1,($C$6:$V$6="Praxis")*1,$C$9:$V$9,$C$38:$V$38)/SUMPRODUCT($C$808:$V$808,($C$98:$V$98=G$439)*1,($C$6:$V$6="Praxis")*1,$C$9:$V$9))</f>
        <v/>
      </c>
      <c r="H548" s="63">
        <f>IF(H488=0,"",SUMPRODUCT($C$808:$V$808,($C$98:$V$98=H$439)*1,($C$6:$V$6="Praxis")*1,$C$9:$V$9,$C$38:$V$38)/SUMPRODUCT($C$808:$V$808,($C$98:$V$98=H$439)*1,($C$6:$V$6="Praxis")*1,$C$9:$V$9))</f>
        <v/>
      </c>
      <c r="I548" s="63">
        <f>IF(I488=0,"",SUMPRODUCT($C$808:$V$808,($C$98:$V$98=I$439)*1,($C$6:$V$6="Praxis")*1,$C$9:$V$9,$C$38:$V$38)/SUMPRODUCT($C$808:$V$808,($C$98:$V$98=I$439)*1,($C$6:$V$6="Praxis")*1,$C$9:$V$9))</f>
        <v/>
      </c>
      <c r="J548" s="63">
        <f>IF(J488=0,"",SUMPRODUCT($C$808:$V$808,($C$98:$V$98=J$439)*1,($C$6:$V$6="Praxis")*1,$C$9:$V$9,$C$38:$V$38)/SUMPRODUCT($C$808:$V$808,($C$98:$V$98=J$439)*1,($C$6:$V$6="Praxis")*1,$C$9:$V$9))</f>
        <v/>
      </c>
    </row>
    <row r="549">
      <c r="C549" s="63">
        <f>IF(C489=0,"",SUMPRODUCT($C$809:$V$809,($C$99:$V$99=C$439)*1,($C$6:$V$6="Praxis")*1,$C$9:$V$9,$C$39:$V$39)/SUMPRODUCT($C$809:$V$809,($C$99:$V$99=C$439)*1,($C$6:$V$6="Praxis")*1,$C$9:$V$9))</f>
        <v/>
      </c>
      <c r="D549" s="63">
        <f>IF(D489=0,"",SUMPRODUCT($C$809:$V$809,($C$99:$V$99=D$439)*1,($C$6:$V$6="Praxis")*1,$C$9:$V$9,$C$39:$V$39)/SUMPRODUCT($C$809:$V$809,($C$99:$V$99=D$439)*1,($C$6:$V$6="Praxis")*1,$C$9:$V$9))</f>
        <v/>
      </c>
      <c r="E549" s="63">
        <f>IF(E489=0,"",SUMPRODUCT($C$809:$V$809,($C$99:$V$99=E$439)*1,($C$6:$V$6="Praxis")*1,$C$9:$V$9,$C$39:$V$39)/SUMPRODUCT($C$809:$V$809,($C$99:$V$99=E$439)*1,($C$6:$V$6="Praxis")*1,$C$9:$V$9))</f>
        <v/>
      </c>
      <c r="F549" s="63">
        <f>IF(F489=0,"",SUMPRODUCT($C$809:$V$809,($C$99:$V$99=F$439)*1,($C$6:$V$6="Praxis")*1,$C$9:$V$9,$C$39:$V$39)/SUMPRODUCT($C$809:$V$809,($C$99:$V$99=F$439)*1,($C$6:$V$6="Praxis")*1,$C$9:$V$9))</f>
        <v/>
      </c>
      <c r="G549" s="63">
        <f>IF(G489=0,"",SUMPRODUCT($C$809:$V$809,($C$99:$V$99=G$439)*1,($C$6:$V$6="Praxis")*1,$C$9:$V$9,$C$39:$V$39)/SUMPRODUCT($C$809:$V$809,($C$99:$V$99=G$439)*1,($C$6:$V$6="Praxis")*1,$C$9:$V$9))</f>
        <v/>
      </c>
      <c r="H549" s="63">
        <f>IF(H489=0,"",SUMPRODUCT($C$809:$V$809,($C$99:$V$99=H$439)*1,($C$6:$V$6="Praxis")*1,$C$9:$V$9,$C$39:$V$39)/SUMPRODUCT($C$809:$V$809,($C$99:$V$99=H$439)*1,($C$6:$V$6="Praxis")*1,$C$9:$V$9))</f>
        <v/>
      </c>
      <c r="I549" s="63">
        <f>IF(I489=0,"",SUMPRODUCT($C$809:$V$809,($C$99:$V$99=I$439)*1,($C$6:$V$6="Praxis")*1,$C$9:$V$9,$C$39:$V$39)/SUMPRODUCT($C$809:$V$809,($C$99:$V$99=I$439)*1,($C$6:$V$6="Praxis")*1,$C$9:$V$9))</f>
        <v/>
      </c>
      <c r="J549" s="63">
        <f>IF(J489=0,"",SUMPRODUCT($C$809:$V$809,($C$99:$V$99=J$439)*1,($C$6:$V$6="Praxis")*1,$C$9:$V$9,$C$39:$V$39)/SUMPRODUCT($C$809:$V$809,($C$99:$V$99=J$439)*1,($C$6:$V$6="Praxis")*1,$C$9:$V$9))</f>
        <v/>
      </c>
    </row>
    <row r="550">
      <c r="C550" s="63">
        <f>IF(C490=0,"",SUMPRODUCT($C$810:$V$810,($C$100:$V$100=C$439)*1,($C$6:$V$6="Praxis")*1,$C$9:$V$9,$C$40:$V$40)/SUMPRODUCT($C$810:$V$810,($C$100:$V$100=C$439)*1,($C$6:$V$6="Praxis")*1,$C$9:$V$9))</f>
        <v/>
      </c>
      <c r="D550" s="63">
        <f>IF(D490=0,"",SUMPRODUCT($C$810:$V$810,($C$100:$V$100=D$439)*1,($C$6:$V$6="Praxis")*1,$C$9:$V$9,$C$40:$V$40)/SUMPRODUCT($C$810:$V$810,($C$100:$V$100=D$439)*1,($C$6:$V$6="Praxis")*1,$C$9:$V$9))</f>
        <v/>
      </c>
      <c r="E550" s="63">
        <f>IF(E490=0,"",SUMPRODUCT($C$810:$V$810,($C$100:$V$100=E$439)*1,($C$6:$V$6="Praxis")*1,$C$9:$V$9,$C$40:$V$40)/SUMPRODUCT($C$810:$V$810,($C$100:$V$100=E$439)*1,($C$6:$V$6="Praxis")*1,$C$9:$V$9))</f>
        <v/>
      </c>
      <c r="F550" s="63">
        <f>IF(F490=0,"",SUMPRODUCT($C$810:$V$810,($C$100:$V$100=F$439)*1,($C$6:$V$6="Praxis")*1,$C$9:$V$9,$C$40:$V$40)/SUMPRODUCT($C$810:$V$810,($C$100:$V$100=F$439)*1,($C$6:$V$6="Praxis")*1,$C$9:$V$9))</f>
        <v/>
      </c>
      <c r="G550" s="63">
        <f>IF(G490=0,"",SUMPRODUCT($C$810:$V$810,($C$100:$V$100=G$439)*1,($C$6:$V$6="Praxis")*1,$C$9:$V$9,$C$40:$V$40)/SUMPRODUCT($C$810:$V$810,($C$100:$V$100=G$439)*1,($C$6:$V$6="Praxis")*1,$C$9:$V$9))</f>
        <v/>
      </c>
      <c r="H550" s="63">
        <f>IF(H490=0,"",SUMPRODUCT($C$810:$V$810,($C$100:$V$100=H$439)*1,($C$6:$V$6="Praxis")*1,$C$9:$V$9,$C$40:$V$40)/SUMPRODUCT($C$810:$V$810,($C$100:$V$100=H$439)*1,($C$6:$V$6="Praxis")*1,$C$9:$V$9))</f>
        <v/>
      </c>
      <c r="I550" s="63">
        <f>IF(I490=0,"",SUMPRODUCT($C$810:$V$810,($C$100:$V$100=I$439)*1,($C$6:$V$6="Praxis")*1,$C$9:$V$9,$C$40:$V$40)/SUMPRODUCT($C$810:$V$810,($C$100:$V$100=I$439)*1,($C$6:$V$6="Praxis")*1,$C$9:$V$9))</f>
        <v/>
      </c>
      <c r="J550" s="63">
        <f>IF(J490=0,"",SUMPRODUCT($C$810:$V$810,($C$100:$V$100=J$439)*1,($C$6:$V$6="Praxis")*1,$C$9:$V$9,$C$40:$V$40)/SUMPRODUCT($C$810:$V$810,($C$100:$V$100=J$439)*1,($C$6:$V$6="Praxis")*1,$C$9:$V$9))</f>
        <v/>
      </c>
    </row>
    <row r="551">
      <c r="C551" s="63">
        <f>IF(C491=0,"",SUMPRODUCT($C$811:$V$811,($C$101:$V$101=C$439)*1,($C$6:$V$6="Praxis")*1,$C$9:$V$9,$C$41:$V$41)/SUMPRODUCT($C$811:$V$811,($C$101:$V$101=C$439)*1,($C$6:$V$6="Praxis")*1,$C$9:$V$9))</f>
        <v/>
      </c>
      <c r="D551" s="63">
        <f>IF(D491=0,"",SUMPRODUCT($C$811:$V$811,($C$101:$V$101=D$439)*1,($C$6:$V$6="Praxis")*1,$C$9:$V$9,$C$41:$V$41)/SUMPRODUCT($C$811:$V$811,($C$101:$V$101=D$439)*1,($C$6:$V$6="Praxis")*1,$C$9:$V$9))</f>
        <v/>
      </c>
      <c r="E551" s="63">
        <f>IF(E491=0,"",SUMPRODUCT($C$811:$V$811,($C$101:$V$101=E$439)*1,($C$6:$V$6="Praxis")*1,$C$9:$V$9,$C$41:$V$41)/SUMPRODUCT($C$811:$V$811,($C$101:$V$101=E$439)*1,($C$6:$V$6="Praxis")*1,$C$9:$V$9))</f>
        <v/>
      </c>
      <c r="F551" s="63">
        <f>IF(F491=0,"",SUMPRODUCT($C$811:$V$811,($C$101:$V$101=F$439)*1,($C$6:$V$6="Praxis")*1,$C$9:$V$9,$C$41:$V$41)/SUMPRODUCT($C$811:$V$811,($C$101:$V$101=F$439)*1,($C$6:$V$6="Praxis")*1,$C$9:$V$9))</f>
        <v/>
      </c>
      <c r="G551" s="63">
        <f>IF(G491=0,"",SUMPRODUCT($C$811:$V$811,($C$101:$V$101=G$439)*1,($C$6:$V$6="Praxis")*1,$C$9:$V$9,$C$41:$V$41)/SUMPRODUCT($C$811:$V$811,($C$101:$V$101=G$439)*1,($C$6:$V$6="Praxis")*1,$C$9:$V$9))</f>
        <v/>
      </c>
      <c r="H551" s="63">
        <f>IF(H491=0,"",SUMPRODUCT($C$811:$V$811,($C$101:$V$101=H$439)*1,($C$6:$V$6="Praxis")*1,$C$9:$V$9,$C$41:$V$41)/SUMPRODUCT($C$811:$V$811,($C$101:$V$101=H$439)*1,($C$6:$V$6="Praxis")*1,$C$9:$V$9))</f>
        <v/>
      </c>
      <c r="I551" s="63">
        <f>IF(I491=0,"",SUMPRODUCT($C$811:$V$811,($C$101:$V$101=I$439)*1,($C$6:$V$6="Praxis")*1,$C$9:$V$9,$C$41:$V$41)/SUMPRODUCT($C$811:$V$811,($C$101:$V$101=I$439)*1,($C$6:$V$6="Praxis")*1,$C$9:$V$9))</f>
        <v/>
      </c>
      <c r="J551" s="63">
        <f>IF(J491=0,"",SUMPRODUCT($C$811:$V$811,($C$101:$V$101=J$439)*1,($C$6:$V$6="Praxis")*1,$C$9:$V$9,$C$41:$V$41)/SUMPRODUCT($C$811:$V$811,($C$101:$V$101=J$439)*1,($C$6:$V$6="Praxis")*1,$C$9:$V$9))</f>
        <v/>
      </c>
    </row>
    <row r="552">
      <c r="C552" s="63">
        <f>IF(C492=0,"",SUMPRODUCT($C$812:$V$812,($C$102:$V$102=C$439)*1,($C$6:$V$6="Praxis")*1,$C$9:$V$9,$C$42:$V$42)/SUMPRODUCT($C$812:$V$812,($C$102:$V$102=C$439)*1,($C$6:$V$6="Praxis")*1,$C$9:$V$9))</f>
        <v/>
      </c>
      <c r="D552" s="63">
        <f>IF(D492=0,"",SUMPRODUCT($C$812:$V$812,($C$102:$V$102=D$439)*1,($C$6:$V$6="Praxis")*1,$C$9:$V$9,$C$42:$V$42)/SUMPRODUCT($C$812:$V$812,($C$102:$V$102=D$439)*1,($C$6:$V$6="Praxis")*1,$C$9:$V$9))</f>
        <v/>
      </c>
      <c r="E552" s="63">
        <f>IF(E492=0,"",SUMPRODUCT($C$812:$V$812,($C$102:$V$102=E$439)*1,($C$6:$V$6="Praxis")*1,$C$9:$V$9,$C$42:$V$42)/SUMPRODUCT($C$812:$V$812,($C$102:$V$102=E$439)*1,($C$6:$V$6="Praxis")*1,$C$9:$V$9))</f>
        <v/>
      </c>
      <c r="F552" s="63">
        <f>IF(F492=0,"",SUMPRODUCT($C$812:$V$812,($C$102:$V$102=F$439)*1,($C$6:$V$6="Praxis")*1,$C$9:$V$9,$C$42:$V$42)/SUMPRODUCT($C$812:$V$812,($C$102:$V$102=F$439)*1,($C$6:$V$6="Praxis")*1,$C$9:$V$9))</f>
        <v/>
      </c>
      <c r="G552" s="63">
        <f>IF(G492=0,"",SUMPRODUCT($C$812:$V$812,($C$102:$V$102=G$439)*1,($C$6:$V$6="Praxis")*1,$C$9:$V$9,$C$42:$V$42)/SUMPRODUCT($C$812:$V$812,($C$102:$V$102=G$439)*1,($C$6:$V$6="Praxis")*1,$C$9:$V$9))</f>
        <v/>
      </c>
      <c r="H552" s="63">
        <f>IF(H492=0,"",SUMPRODUCT($C$812:$V$812,($C$102:$V$102=H$439)*1,($C$6:$V$6="Praxis")*1,$C$9:$V$9,$C$42:$V$42)/SUMPRODUCT($C$812:$V$812,($C$102:$V$102=H$439)*1,($C$6:$V$6="Praxis")*1,$C$9:$V$9))</f>
        <v/>
      </c>
      <c r="I552" s="63">
        <f>IF(I492=0,"",SUMPRODUCT($C$812:$V$812,($C$102:$V$102=I$439)*1,($C$6:$V$6="Praxis")*1,$C$9:$V$9,$C$42:$V$42)/SUMPRODUCT($C$812:$V$812,($C$102:$V$102=I$439)*1,($C$6:$V$6="Praxis")*1,$C$9:$V$9))</f>
        <v/>
      </c>
      <c r="J552" s="63">
        <f>IF(J492=0,"",SUMPRODUCT($C$812:$V$812,($C$102:$V$102=J$439)*1,($C$6:$V$6="Praxis")*1,$C$9:$V$9,$C$42:$V$42)/SUMPRODUCT($C$812:$V$812,($C$102:$V$102=J$439)*1,($C$6:$V$6="Praxis")*1,$C$9:$V$9))</f>
        <v/>
      </c>
    </row>
    <row r="553">
      <c r="C553" s="63">
        <f>IF(C493=0,"",SUMPRODUCT($C$813:$V$813,($C$103:$V$103=C$439)*1,($C$6:$V$6="Praxis")*1,$C$9:$V$9,$C$43:$V$43)/SUMPRODUCT($C$813:$V$813,($C$103:$V$103=C$439)*1,($C$6:$V$6="Praxis")*1,$C$9:$V$9))</f>
        <v/>
      </c>
      <c r="D553" s="63">
        <f>IF(D493=0,"",SUMPRODUCT($C$813:$V$813,($C$103:$V$103=D$439)*1,($C$6:$V$6="Praxis")*1,$C$9:$V$9,$C$43:$V$43)/SUMPRODUCT($C$813:$V$813,($C$103:$V$103=D$439)*1,($C$6:$V$6="Praxis")*1,$C$9:$V$9))</f>
        <v/>
      </c>
      <c r="E553" s="63">
        <f>IF(E493=0,"",SUMPRODUCT($C$813:$V$813,($C$103:$V$103=E$439)*1,($C$6:$V$6="Praxis")*1,$C$9:$V$9,$C$43:$V$43)/SUMPRODUCT($C$813:$V$813,($C$103:$V$103=E$439)*1,($C$6:$V$6="Praxis")*1,$C$9:$V$9))</f>
        <v/>
      </c>
      <c r="F553" s="63">
        <f>IF(F493=0,"",SUMPRODUCT($C$813:$V$813,($C$103:$V$103=F$439)*1,($C$6:$V$6="Praxis")*1,$C$9:$V$9,$C$43:$V$43)/SUMPRODUCT($C$813:$V$813,($C$103:$V$103=F$439)*1,($C$6:$V$6="Praxis")*1,$C$9:$V$9))</f>
        <v/>
      </c>
      <c r="G553" s="63">
        <f>IF(G493=0,"",SUMPRODUCT($C$813:$V$813,($C$103:$V$103=G$439)*1,($C$6:$V$6="Praxis")*1,$C$9:$V$9,$C$43:$V$43)/SUMPRODUCT($C$813:$V$813,($C$103:$V$103=G$439)*1,($C$6:$V$6="Praxis")*1,$C$9:$V$9))</f>
        <v/>
      </c>
      <c r="H553" s="63">
        <f>IF(H493=0,"",SUMPRODUCT($C$813:$V$813,($C$103:$V$103=H$439)*1,($C$6:$V$6="Praxis")*1,$C$9:$V$9,$C$43:$V$43)/SUMPRODUCT($C$813:$V$813,($C$103:$V$103=H$439)*1,($C$6:$V$6="Praxis")*1,$C$9:$V$9))</f>
        <v/>
      </c>
      <c r="I553" s="63">
        <f>IF(I493=0,"",SUMPRODUCT($C$813:$V$813,($C$103:$V$103=I$439)*1,($C$6:$V$6="Praxis")*1,$C$9:$V$9,$C$43:$V$43)/SUMPRODUCT($C$813:$V$813,($C$103:$V$103=I$439)*1,($C$6:$V$6="Praxis")*1,$C$9:$V$9))</f>
        <v/>
      </c>
      <c r="J553" s="63">
        <f>IF(J493=0,"",SUMPRODUCT($C$813:$V$813,($C$103:$V$103=J$439)*1,($C$6:$V$6="Praxis")*1,$C$9:$V$9,$C$43:$V$43)/SUMPRODUCT($C$813:$V$813,($C$103:$V$103=J$439)*1,($C$6:$V$6="Praxis")*1,$C$9:$V$9))</f>
        <v/>
      </c>
    </row>
    <row r="554">
      <c r="C554" s="63">
        <f>IF(C494=0,"",SUMPRODUCT($C$814:$V$814,($C$104:$V$104=C$439)*1,($C$6:$V$6="Praxis")*1,$C$9:$V$9,$C$44:$V$44)/SUMPRODUCT($C$814:$V$814,($C$104:$V$104=C$439)*1,($C$6:$V$6="Praxis")*1,$C$9:$V$9))</f>
        <v/>
      </c>
      <c r="D554" s="63">
        <f>IF(D494=0,"",SUMPRODUCT($C$814:$V$814,($C$104:$V$104=D$439)*1,($C$6:$V$6="Praxis")*1,$C$9:$V$9,$C$44:$V$44)/SUMPRODUCT($C$814:$V$814,($C$104:$V$104=D$439)*1,($C$6:$V$6="Praxis")*1,$C$9:$V$9))</f>
        <v/>
      </c>
      <c r="E554" s="63">
        <f>IF(E494=0,"",SUMPRODUCT($C$814:$V$814,($C$104:$V$104=E$439)*1,($C$6:$V$6="Praxis")*1,$C$9:$V$9,$C$44:$V$44)/SUMPRODUCT($C$814:$V$814,($C$104:$V$104=E$439)*1,($C$6:$V$6="Praxis")*1,$C$9:$V$9))</f>
        <v/>
      </c>
      <c r="F554" s="63">
        <f>IF(F494=0,"",SUMPRODUCT($C$814:$V$814,($C$104:$V$104=F$439)*1,($C$6:$V$6="Praxis")*1,$C$9:$V$9,$C$44:$V$44)/SUMPRODUCT($C$814:$V$814,($C$104:$V$104=F$439)*1,($C$6:$V$6="Praxis")*1,$C$9:$V$9))</f>
        <v/>
      </c>
      <c r="G554" s="63">
        <f>IF(G494=0,"",SUMPRODUCT($C$814:$V$814,($C$104:$V$104=G$439)*1,($C$6:$V$6="Praxis")*1,$C$9:$V$9,$C$44:$V$44)/SUMPRODUCT($C$814:$V$814,($C$104:$V$104=G$439)*1,($C$6:$V$6="Praxis")*1,$C$9:$V$9))</f>
        <v/>
      </c>
      <c r="H554" s="63">
        <f>IF(H494=0,"",SUMPRODUCT($C$814:$V$814,($C$104:$V$104=H$439)*1,($C$6:$V$6="Praxis")*1,$C$9:$V$9,$C$44:$V$44)/SUMPRODUCT($C$814:$V$814,($C$104:$V$104=H$439)*1,($C$6:$V$6="Praxis")*1,$C$9:$V$9))</f>
        <v/>
      </c>
      <c r="I554" s="63">
        <f>IF(I494=0,"",SUMPRODUCT($C$814:$V$814,($C$104:$V$104=I$439)*1,($C$6:$V$6="Praxis")*1,$C$9:$V$9,$C$44:$V$44)/SUMPRODUCT($C$814:$V$814,($C$104:$V$104=I$439)*1,($C$6:$V$6="Praxis")*1,$C$9:$V$9))</f>
        <v/>
      </c>
      <c r="J554" s="63">
        <f>IF(J494=0,"",SUMPRODUCT($C$814:$V$814,($C$104:$V$104=J$439)*1,($C$6:$V$6="Praxis")*1,$C$9:$V$9,$C$44:$V$44)/SUMPRODUCT($C$814:$V$814,($C$104:$V$104=J$439)*1,($C$6:$V$6="Praxis")*1,$C$9:$V$9))</f>
        <v/>
      </c>
    </row>
    <row r="559">
      <c r="A559" s="162" t="inlineStr">
        <is>
          <t>HJ T</t>
        </is>
      </c>
    </row>
    <row r="560">
      <c r="C560" s="63">
        <f>IF(C500=0,"",SUMPRODUCT($C$790:$V$790,($C$80:$V$80=C$439)*1,($C$6:$V$6="Theorie")*1,$C$9:$V$9,$C$20:$V$20)/SUMPRODUCT($C$790:$V$790,($C$80:$V$80=C$439)*1,($C$6:$V$6="Theorie")*1,$C$9:$V$9))</f>
        <v/>
      </c>
      <c r="D560" s="63">
        <f>IF(D500=0,"",SUMPRODUCT($C$790:$V$790,($C$80:$V$80=D$439)*1,($C$6:$V$6="Theorie")*1,$C$9:$V$9,$C$20:$V$20)/SUMPRODUCT($C$790:$V$790,($C$80:$V$80=D$439)*1,($C$6:$V$6="Theorie")*1,$C$9:$V$9))</f>
        <v/>
      </c>
      <c r="E560" s="63">
        <f>IF(E500=0,"",SUMPRODUCT($C$790:$V$790,($C$80:$V$80=E$439)*1,($C$6:$V$6="Theorie")*1,$C$9:$V$9,$C$20:$V$20)/SUMPRODUCT($C$790:$V$790,($C$80:$V$80=E$439)*1,($C$6:$V$6="Theorie")*1,$C$9:$V$9))</f>
        <v/>
      </c>
      <c r="F560" s="63">
        <f>IF(F500=0,"",SUMPRODUCT($C$790:$V$790,($C$80:$V$80=F$439)*1,($C$6:$V$6="Theorie")*1,$C$9:$V$9,$C$20:$V$20)/SUMPRODUCT($C$790:$V$790,($C$80:$V$80=F$439)*1,($C$6:$V$6="Theorie")*1,$C$9:$V$9))</f>
        <v/>
      </c>
      <c r="G560" s="63">
        <f>IF(G500=0,"",SUMPRODUCT($C$790:$V$790,($C$80:$V$80=G$439)*1,($C$6:$V$6="Theorie")*1,$C$9:$V$9,$C$20:$V$20)/SUMPRODUCT($C$790:$V$790,($C$80:$V$80=G$439)*1,($C$6:$V$6="Theorie")*1,$C$9:$V$9))</f>
        <v/>
      </c>
      <c r="H560" s="63">
        <f>IF(H500=0,"",SUMPRODUCT($C$790:$V$790,($C$80:$V$80=H$439)*1,($C$6:$V$6="Theorie")*1,$C$9:$V$9,$C$20:$V$20)/SUMPRODUCT($C$790:$V$790,($C$80:$V$80=H$439)*1,($C$6:$V$6="Theorie")*1,$C$9:$V$9))</f>
        <v/>
      </c>
      <c r="I560" s="63">
        <f>IF(I500=0,"",SUMPRODUCT($C$790:$V$790,($C$80:$V$80=I$439)*1,($C$6:$V$6="Theorie")*1,$C$9:$V$9,$C$20:$V$20)/SUMPRODUCT($C$790:$V$790,($C$80:$V$80=I$439)*1,($C$6:$V$6="Theorie")*1,$C$9:$V$9))</f>
        <v/>
      </c>
      <c r="J560" s="63">
        <f>IF(J500=0,"",SUMPRODUCT($C$790:$V$790,($C$80:$V$80=J$439)*1,($C$6:$V$6="Theorie")*1,$C$9:$V$9,$C$20:$V$20)/SUMPRODUCT($C$790:$V$790,($C$80:$V$80=J$439)*1,($C$6:$V$6="Theorie")*1,$C$9:$V$9))</f>
        <v/>
      </c>
    </row>
    <row r="561">
      <c r="C561" s="63">
        <f>IF(C501=0,"",SUMPRODUCT($C$791:$V$791,($C$81:$V$81=C$439)*1,($C$6:$V$6="Theorie")*1,$C$9:$V$9,$C$21:$V$21)/SUMPRODUCT($C$791:$V$791,($C$81:$V$81=C$439)*1,($C$6:$V$6="Theorie")*1,$C$9:$V$9))</f>
        <v/>
      </c>
      <c r="D561" s="63">
        <f>IF(D501=0,"",SUMPRODUCT($C$791:$V$791,($C$81:$V$81=D$439)*1,($C$6:$V$6="Theorie")*1,$C$9:$V$9,$C$21:$V$21)/SUMPRODUCT($C$791:$V$791,($C$81:$V$81=D$439)*1,($C$6:$V$6="Theorie")*1,$C$9:$V$9))</f>
        <v/>
      </c>
      <c r="E561" s="63">
        <f>IF(E501=0,"",SUMPRODUCT($C$791:$V$791,($C$81:$V$81=E$439)*1,($C$6:$V$6="Theorie")*1,$C$9:$V$9,$C$21:$V$21)/SUMPRODUCT($C$791:$V$791,($C$81:$V$81=E$439)*1,($C$6:$V$6="Theorie")*1,$C$9:$V$9))</f>
        <v/>
      </c>
      <c r="F561" s="63">
        <f>IF(F501=0,"",SUMPRODUCT($C$791:$V$791,($C$81:$V$81=F$439)*1,($C$6:$V$6="Theorie")*1,$C$9:$V$9,$C$21:$V$21)/SUMPRODUCT($C$791:$V$791,($C$81:$V$81=F$439)*1,($C$6:$V$6="Theorie")*1,$C$9:$V$9))</f>
        <v/>
      </c>
      <c r="G561" s="63">
        <f>IF(G501=0,"",SUMPRODUCT($C$791:$V$791,($C$81:$V$81=G$439)*1,($C$6:$V$6="Theorie")*1,$C$9:$V$9,$C$21:$V$21)/SUMPRODUCT($C$791:$V$791,($C$81:$V$81=G$439)*1,($C$6:$V$6="Theorie")*1,$C$9:$V$9))</f>
        <v/>
      </c>
      <c r="H561" s="63">
        <f>IF(H501=0,"",SUMPRODUCT($C$791:$V$791,($C$81:$V$81=H$439)*1,($C$6:$V$6="Theorie")*1,$C$9:$V$9,$C$21:$V$21)/SUMPRODUCT($C$791:$V$791,($C$81:$V$81=H$439)*1,($C$6:$V$6="Theorie")*1,$C$9:$V$9))</f>
        <v/>
      </c>
      <c r="I561" s="63">
        <f>IF(I501=0,"",SUMPRODUCT($C$791:$V$791,($C$81:$V$81=I$439)*1,($C$6:$V$6="Theorie")*1,$C$9:$V$9,$C$21:$V$21)/SUMPRODUCT($C$791:$V$791,($C$81:$V$81=I$439)*1,($C$6:$V$6="Theorie")*1,$C$9:$V$9))</f>
        <v/>
      </c>
      <c r="J561" s="63">
        <f>IF(J501=0,"",SUMPRODUCT($C$791:$V$791,($C$81:$V$81=J$439)*1,($C$6:$V$6="Theorie")*1,$C$9:$V$9,$C$21:$V$21)/SUMPRODUCT($C$791:$V$791,($C$81:$V$81=J$439)*1,($C$6:$V$6="Theorie")*1,$C$9:$V$9))</f>
        <v/>
      </c>
    </row>
    <row r="562">
      <c r="C562" s="63">
        <f>IF(C502=0,"",SUMPRODUCT($C$792:$V$792,($C$82:$V$82=C$439)*1,($C$6:$V$6="Theorie")*1,$C$9:$V$9,$C$22:$V$22)/SUMPRODUCT($C$792:$V$792,($C$82:$V$82=C$439)*1,($C$6:$V$6="Theorie")*1,$C$9:$V$9))</f>
        <v/>
      </c>
      <c r="D562" s="63">
        <f>IF(D502=0,"",SUMPRODUCT($C$792:$V$792,($C$82:$V$82=D$439)*1,($C$6:$V$6="Theorie")*1,$C$9:$V$9,$C$22:$V$22)/SUMPRODUCT($C$792:$V$792,($C$82:$V$82=D$439)*1,($C$6:$V$6="Theorie")*1,$C$9:$V$9))</f>
        <v/>
      </c>
      <c r="E562" s="63">
        <f>IF(E502=0,"",SUMPRODUCT($C$792:$V$792,($C$82:$V$82=E$439)*1,($C$6:$V$6="Theorie")*1,$C$9:$V$9,$C$22:$V$22)/SUMPRODUCT($C$792:$V$792,($C$82:$V$82=E$439)*1,($C$6:$V$6="Theorie")*1,$C$9:$V$9))</f>
        <v/>
      </c>
      <c r="F562" s="63">
        <f>IF(F502=0,"",SUMPRODUCT($C$792:$V$792,($C$82:$V$82=F$439)*1,($C$6:$V$6="Theorie")*1,$C$9:$V$9,$C$22:$V$22)/SUMPRODUCT($C$792:$V$792,($C$82:$V$82=F$439)*1,($C$6:$V$6="Theorie")*1,$C$9:$V$9))</f>
        <v/>
      </c>
      <c r="G562" s="63">
        <f>IF(G502=0,"",SUMPRODUCT($C$792:$V$792,($C$82:$V$82=G$439)*1,($C$6:$V$6="Theorie")*1,$C$9:$V$9,$C$22:$V$22)/SUMPRODUCT($C$792:$V$792,($C$82:$V$82=G$439)*1,($C$6:$V$6="Theorie")*1,$C$9:$V$9))</f>
        <v/>
      </c>
      <c r="H562" s="63">
        <f>IF(H502=0,"",SUMPRODUCT($C$792:$V$792,($C$82:$V$82=H$439)*1,($C$6:$V$6="Theorie")*1,$C$9:$V$9,$C$22:$V$22)/SUMPRODUCT($C$792:$V$792,($C$82:$V$82=H$439)*1,($C$6:$V$6="Theorie")*1,$C$9:$V$9))</f>
        <v/>
      </c>
      <c r="I562" s="63">
        <f>IF(I502=0,"",SUMPRODUCT($C$792:$V$792,($C$82:$V$82=I$439)*1,($C$6:$V$6="Theorie")*1,$C$9:$V$9,$C$22:$V$22)/SUMPRODUCT($C$792:$V$792,($C$82:$V$82=I$439)*1,($C$6:$V$6="Theorie")*1,$C$9:$V$9))</f>
        <v/>
      </c>
      <c r="J562" s="63">
        <f>IF(J502=0,"",SUMPRODUCT($C$792:$V$792,($C$82:$V$82=J$439)*1,($C$6:$V$6="Theorie")*1,$C$9:$V$9,$C$22:$V$22)/SUMPRODUCT($C$792:$V$792,($C$82:$V$82=J$439)*1,($C$6:$V$6="Theorie")*1,$C$9:$V$9))</f>
        <v/>
      </c>
    </row>
    <row r="563">
      <c r="C563" s="63">
        <f>IF(C503=0,"",SUMPRODUCT($C$793:$V$793,($C$83:$V$83=C$439)*1,($C$6:$V$6="Theorie")*1,$C$9:$V$9,$C$23:$V$23)/SUMPRODUCT($C$793:$V$793,($C$83:$V$83=C$439)*1,($C$6:$V$6="Theorie")*1,$C$9:$V$9))</f>
        <v/>
      </c>
      <c r="D563" s="63">
        <f>IF(D503=0,"",SUMPRODUCT($C$793:$V$793,($C$83:$V$83=D$439)*1,($C$6:$V$6="Theorie")*1,$C$9:$V$9,$C$23:$V$23)/SUMPRODUCT($C$793:$V$793,($C$83:$V$83=D$439)*1,($C$6:$V$6="Theorie")*1,$C$9:$V$9))</f>
        <v/>
      </c>
      <c r="E563" s="63">
        <f>IF(E503=0,"",SUMPRODUCT($C$793:$V$793,($C$83:$V$83=E$439)*1,($C$6:$V$6="Theorie")*1,$C$9:$V$9,$C$23:$V$23)/SUMPRODUCT($C$793:$V$793,($C$83:$V$83=E$439)*1,($C$6:$V$6="Theorie")*1,$C$9:$V$9))</f>
        <v/>
      </c>
      <c r="F563" s="63">
        <f>IF(F503=0,"",SUMPRODUCT($C$793:$V$793,($C$83:$V$83=F$439)*1,($C$6:$V$6="Theorie")*1,$C$9:$V$9,$C$23:$V$23)/SUMPRODUCT($C$793:$V$793,($C$83:$V$83=F$439)*1,($C$6:$V$6="Theorie")*1,$C$9:$V$9))</f>
        <v/>
      </c>
      <c r="G563" s="63">
        <f>IF(G503=0,"",SUMPRODUCT($C$793:$V$793,($C$83:$V$83=G$439)*1,($C$6:$V$6="Theorie")*1,$C$9:$V$9,$C$23:$V$23)/SUMPRODUCT($C$793:$V$793,($C$83:$V$83=G$439)*1,($C$6:$V$6="Theorie")*1,$C$9:$V$9))</f>
        <v/>
      </c>
      <c r="H563" s="63">
        <f>IF(H503=0,"",SUMPRODUCT($C$793:$V$793,($C$83:$V$83=H$439)*1,($C$6:$V$6="Theorie")*1,$C$9:$V$9,$C$23:$V$23)/SUMPRODUCT($C$793:$V$793,($C$83:$V$83=H$439)*1,($C$6:$V$6="Theorie")*1,$C$9:$V$9))</f>
        <v/>
      </c>
      <c r="I563" s="63">
        <f>IF(I503=0,"",SUMPRODUCT($C$793:$V$793,($C$83:$V$83=I$439)*1,($C$6:$V$6="Theorie")*1,$C$9:$V$9,$C$23:$V$23)/SUMPRODUCT($C$793:$V$793,($C$83:$V$83=I$439)*1,($C$6:$V$6="Theorie")*1,$C$9:$V$9))</f>
        <v/>
      </c>
      <c r="J563" s="63">
        <f>IF(J503=0,"",SUMPRODUCT($C$793:$V$793,($C$83:$V$83=J$439)*1,($C$6:$V$6="Theorie")*1,$C$9:$V$9,$C$23:$V$23)/SUMPRODUCT($C$793:$V$793,($C$83:$V$83=J$439)*1,($C$6:$V$6="Theorie")*1,$C$9:$V$9))</f>
        <v/>
      </c>
    </row>
    <row r="564">
      <c r="C564" s="63">
        <f>IF(C504=0,"",SUMPRODUCT($C$794:$V$794,($C$84:$V$84=C$439)*1,($C$6:$V$6="Theorie")*1,$C$9:$V$9,$C$24:$V$24)/SUMPRODUCT($C$794:$V$794,($C$84:$V$84=C$439)*1,($C$6:$V$6="Theorie")*1,$C$9:$V$9))</f>
        <v/>
      </c>
      <c r="D564" s="63">
        <f>IF(D504=0,"",SUMPRODUCT($C$794:$V$794,($C$84:$V$84=D$439)*1,($C$6:$V$6="Theorie")*1,$C$9:$V$9,$C$24:$V$24)/SUMPRODUCT($C$794:$V$794,($C$84:$V$84=D$439)*1,($C$6:$V$6="Theorie")*1,$C$9:$V$9))</f>
        <v/>
      </c>
      <c r="E564" s="63">
        <f>IF(E504=0,"",SUMPRODUCT($C$794:$V$794,($C$84:$V$84=E$439)*1,($C$6:$V$6="Theorie")*1,$C$9:$V$9,$C$24:$V$24)/SUMPRODUCT($C$794:$V$794,($C$84:$V$84=E$439)*1,($C$6:$V$6="Theorie")*1,$C$9:$V$9))</f>
        <v/>
      </c>
      <c r="F564" s="63">
        <f>IF(F504=0,"",SUMPRODUCT($C$794:$V$794,($C$84:$V$84=F$439)*1,($C$6:$V$6="Theorie")*1,$C$9:$V$9,$C$24:$V$24)/SUMPRODUCT($C$794:$V$794,($C$84:$V$84=F$439)*1,($C$6:$V$6="Theorie")*1,$C$9:$V$9))</f>
        <v/>
      </c>
      <c r="G564" s="63">
        <f>IF(G504=0,"",SUMPRODUCT($C$794:$V$794,($C$84:$V$84=G$439)*1,($C$6:$V$6="Theorie")*1,$C$9:$V$9,$C$24:$V$24)/SUMPRODUCT($C$794:$V$794,($C$84:$V$84=G$439)*1,($C$6:$V$6="Theorie")*1,$C$9:$V$9))</f>
        <v/>
      </c>
      <c r="H564" s="63">
        <f>IF(H504=0,"",SUMPRODUCT($C$794:$V$794,($C$84:$V$84=H$439)*1,($C$6:$V$6="Theorie")*1,$C$9:$V$9,$C$24:$V$24)/SUMPRODUCT($C$794:$V$794,($C$84:$V$84=H$439)*1,($C$6:$V$6="Theorie")*1,$C$9:$V$9))</f>
        <v/>
      </c>
      <c r="I564" s="63">
        <f>IF(I504=0,"",SUMPRODUCT($C$794:$V$794,($C$84:$V$84=I$439)*1,($C$6:$V$6="Theorie")*1,$C$9:$V$9,$C$24:$V$24)/SUMPRODUCT($C$794:$V$794,($C$84:$V$84=I$439)*1,($C$6:$V$6="Theorie")*1,$C$9:$V$9))</f>
        <v/>
      </c>
      <c r="J564" s="63">
        <f>IF(J504=0,"",SUMPRODUCT($C$794:$V$794,($C$84:$V$84=J$439)*1,($C$6:$V$6="Theorie")*1,$C$9:$V$9,$C$24:$V$24)/SUMPRODUCT($C$794:$V$794,($C$84:$V$84=J$439)*1,($C$6:$V$6="Theorie")*1,$C$9:$V$9))</f>
        <v/>
      </c>
    </row>
    <row r="565">
      <c r="C565" s="63">
        <f>IF(C505=0,"",SUMPRODUCT($C$795:$V$795,($C$85:$V$85=C$439)*1,($C$6:$V$6="Theorie")*1,$C$9:$V$9,$C$25:$V$25)/SUMPRODUCT($C$795:$V$795,($C$85:$V$85=C$439)*1,($C$6:$V$6="Theorie")*1,$C$9:$V$9))</f>
        <v/>
      </c>
      <c r="D565" s="63">
        <f>IF(D505=0,"",SUMPRODUCT($C$795:$V$795,($C$85:$V$85=D$439)*1,($C$6:$V$6="Theorie")*1,$C$9:$V$9,$C$25:$V$25)/SUMPRODUCT($C$795:$V$795,($C$85:$V$85=D$439)*1,($C$6:$V$6="Theorie")*1,$C$9:$V$9))</f>
        <v/>
      </c>
      <c r="E565" s="63">
        <f>IF(E505=0,"",SUMPRODUCT($C$795:$V$795,($C$85:$V$85=E$439)*1,($C$6:$V$6="Theorie")*1,$C$9:$V$9,$C$25:$V$25)/SUMPRODUCT($C$795:$V$795,($C$85:$V$85=E$439)*1,($C$6:$V$6="Theorie")*1,$C$9:$V$9))</f>
        <v/>
      </c>
      <c r="F565" s="63">
        <f>IF(F505=0,"",SUMPRODUCT($C$795:$V$795,($C$85:$V$85=F$439)*1,($C$6:$V$6="Theorie")*1,$C$9:$V$9,$C$25:$V$25)/SUMPRODUCT($C$795:$V$795,($C$85:$V$85=F$439)*1,($C$6:$V$6="Theorie")*1,$C$9:$V$9))</f>
        <v/>
      </c>
      <c r="G565" s="63">
        <f>IF(G505=0,"",SUMPRODUCT($C$795:$V$795,($C$85:$V$85=G$439)*1,($C$6:$V$6="Theorie")*1,$C$9:$V$9,$C$25:$V$25)/SUMPRODUCT($C$795:$V$795,($C$85:$V$85=G$439)*1,($C$6:$V$6="Theorie")*1,$C$9:$V$9))</f>
        <v/>
      </c>
      <c r="H565" s="63">
        <f>IF(H505=0,"",SUMPRODUCT($C$795:$V$795,($C$85:$V$85=H$439)*1,($C$6:$V$6="Theorie")*1,$C$9:$V$9,$C$25:$V$25)/SUMPRODUCT($C$795:$V$795,($C$85:$V$85=H$439)*1,($C$6:$V$6="Theorie")*1,$C$9:$V$9))</f>
        <v/>
      </c>
      <c r="I565" s="63">
        <f>IF(I505=0,"",SUMPRODUCT($C$795:$V$795,($C$85:$V$85=I$439)*1,($C$6:$V$6="Theorie")*1,$C$9:$V$9,$C$25:$V$25)/SUMPRODUCT($C$795:$V$795,($C$85:$V$85=I$439)*1,($C$6:$V$6="Theorie")*1,$C$9:$V$9))</f>
        <v/>
      </c>
      <c r="J565" s="63">
        <f>IF(J505=0,"",SUMPRODUCT($C$795:$V$795,($C$85:$V$85=J$439)*1,($C$6:$V$6="Theorie")*1,$C$9:$V$9,$C$25:$V$25)/SUMPRODUCT($C$795:$V$795,($C$85:$V$85=J$439)*1,($C$6:$V$6="Theorie")*1,$C$9:$V$9))</f>
        <v/>
      </c>
    </row>
    <row r="566">
      <c r="C566" s="63">
        <f>IF(C506=0,"",SUMPRODUCT($C$796:$V$796,($C$86:$V$86=C$439)*1,($C$6:$V$6="Theorie")*1,$C$9:$V$9,$C$26:$V$26)/SUMPRODUCT($C$796:$V$796,($C$86:$V$86=C$439)*1,($C$6:$V$6="Theorie")*1,$C$9:$V$9))</f>
        <v/>
      </c>
      <c r="D566" s="63">
        <f>IF(D506=0,"",SUMPRODUCT($C$796:$V$796,($C$86:$V$86=D$439)*1,($C$6:$V$6="Theorie")*1,$C$9:$V$9,$C$26:$V$26)/SUMPRODUCT($C$796:$V$796,($C$86:$V$86=D$439)*1,($C$6:$V$6="Theorie")*1,$C$9:$V$9))</f>
        <v/>
      </c>
      <c r="E566" s="63">
        <f>IF(E506=0,"",SUMPRODUCT($C$796:$V$796,($C$86:$V$86=E$439)*1,($C$6:$V$6="Theorie")*1,$C$9:$V$9,$C$26:$V$26)/SUMPRODUCT($C$796:$V$796,($C$86:$V$86=E$439)*1,($C$6:$V$6="Theorie")*1,$C$9:$V$9))</f>
        <v/>
      </c>
      <c r="F566" s="63">
        <f>IF(F506=0,"",SUMPRODUCT($C$796:$V$796,($C$86:$V$86=F$439)*1,($C$6:$V$6="Theorie")*1,$C$9:$V$9,$C$26:$V$26)/SUMPRODUCT($C$796:$V$796,($C$86:$V$86=F$439)*1,($C$6:$V$6="Theorie")*1,$C$9:$V$9))</f>
        <v/>
      </c>
      <c r="G566" s="63">
        <f>IF(G506=0,"",SUMPRODUCT($C$796:$V$796,($C$86:$V$86=G$439)*1,($C$6:$V$6="Theorie")*1,$C$9:$V$9,$C$26:$V$26)/SUMPRODUCT($C$796:$V$796,($C$86:$V$86=G$439)*1,($C$6:$V$6="Theorie")*1,$C$9:$V$9))</f>
        <v/>
      </c>
      <c r="H566" s="63">
        <f>IF(H506=0,"",SUMPRODUCT($C$796:$V$796,($C$86:$V$86=H$439)*1,($C$6:$V$6="Theorie")*1,$C$9:$V$9,$C$26:$V$26)/SUMPRODUCT($C$796:$V$796,($C$86:$V$86=H$439)*1,($C$6:$V$6="Theorie")*1,$C$9:$V$9))</f>
        <v/>
      </c>
      <c r="I566" s="63">
        <f>IF(I506=0,"",SUMPRODUCT($C$796:$V$796,($C$86:$V$86=I$439)*1,($C$6:$V$6="Theorie")*1,$C$9:$V$9,$C$26:$V$26)/SUMPRODUCT($C$796:$V$796,($C$86:$V$86=I$439)*1,($C$6:$V$6="Theorie")*1,$C$9:$V$9))</f>
        <v/>
      </c>
      <c r="J566" s="63">
        <f>IF(J506=0,"",SUMPRODUCT($C$796:$V$796,($C$86:$V$86=J$439)*1,($C$6:$V$6="Theorie")*1,$C$9:$V$9,$C$26:$V$26)/SUMPRODUCT($C$796:$V$796,($C$86:$V$86=J$439)*1,($C$6:$V$6="Theorie")*1,$C$9:$V$9))</f>
        <v/>
      </c>
    </row>
    <row r="567">
      <c r="C567" s="63">
        <f>IF(C507=0,"",SUMPRODUCT($C$797:$V$797,($C$87:$V$87=C$439)*1,($C$6:$V$6="Theorie")*1,$C$9:$V$9,$C$27:$V$27)/SUMPRODUCT($C$797:$V$797,($C$87:$V$87=C$439)*1,($C$6:$V$6="Theorie")*1,$C$9:$V$9))</f>
        <v/>
      </c>
      <c r="D567" s="63">
        <f>IF(D507=0,"",SUMPRODUCT($C$797:$V$797,($C$87:$V$87=D$439)*1,($C$6:$V$6="Theorie")*1,$C$9:$V$9,$C$27:$V$27)/SUMPRODUCT($C$797:$V$797,($C$87:$V$87=D$439)*1,($C$6:$V$6="Theorie")*1,$C$9:$V$9))</f>
        <v/>
      </c>
      <c r="E567" s="63">
        <f>IF(E507=0,"",SUMPRODUCT($C$797:$V$797,($C$87:$V$87=E$439)*1,($C$6:$V$6="Theorie")*1,$C$9:$V$9,$C$27:$V$27)/SUMPRODUCT($C$797:$V$797,($C$87:$V$87=E$439)*1,($C$6:$V$6="Theorie")*1,$C$9:$V$9))</f>
        <v/>
      </c>
      <c r="F567" s="63">
        <f>IF(F507=0,"",SUMPRODUCT($C$797:$V$797,($C$87:$V$87=F$439)*1,($C$6:$V$6="Theorie")*1,$C$9:$V$9,$C$27:$V$27)/SUMPRODUCT($C$797:$V$797,($C$87:$V$87=F$439)*1,($C$6:$V$6="Theorie")*1,$C$9:$V$9))</f>
        <v/>
      </c>
      <c r="G567" s="63">
        <f>IF(G507=0,"",SUMPRODUCT($C$797:$V$797,($C$87:$V$87=G$439)*1,($C$6:$V$6="Theorie")*1,$C$9:$V$9,$C$27:$V$27)/SUMPRODUCT($C$797:$V$797,($C$87:$V$87=G$439)*1,($C$6:$V$6="Theorie")*1,$C$9:$V$9))</f>
        <v/>
      </c>
      <c r="H567" s="63">
        <f>IF(H507=0,"",SUMPRODUCT($C$797:$V$797,($C$87:$V$87=H$439)*1,($C$6:$V$6="Theorie")*1,$C$9:$V$9,$C$27:$V$27)/SUMPRODUCT($C$797:$V$797,($C$87:$V$87=H$439)*1,($C$6:$V$6="Theorie")*1,$C$9:$V$9))</f>
        <v/>
      </c>
      <c r="I567" s="63">
        <f>IF(I507=0,"",SUMPRODUCT($C$797:$V$797,($C$87:$V$87=I$439)*1,($C$6:$V$6="Theorie")*1,$C$9:$V$9,$C$27:$V$27)/SUMPRODUCT($C$797:$V$797,($C$87:$V$87=I$439)*1,($C$6:$V$6="Theorie")*1,$C$9:$V$9))</f>
        <v/>
      </c>
      <c r="J567" s="63">
        <f>IF(J507=0,"",SUMPRODUCT($C$797:$V$797,($C$87:$V$87=J$439)*1,($C$6:$V$6="Theorie")*1,$C$9:$V$9,$C$27:$V$27)/SUMPRODUCT($C$797:$V$797,($C$87:$V$87=J$439)*1,($C$6:$V$6="Theorie")*1,$C$9:$V$9))</f>
        <v/>
      </c>
    </row>
    <row r="568">
      <c r="C568" s="63">
        <f>IF(C508=0,"",SUMPRODUCT($C$798:$V$798,($C$88:$V$88=C$439)*1,($C$6:$V$6="Theorie")*1,$C$9:$V$9,$C$28:$V$28)/SUMPRODUCT($C$798:$V$798,($C$88:$V$88=C$439)*1,($C$6:$V$6="Theorie")*1,$C$9:$V$9))</f>
        <v/>
      </c>
      <c r="D568" s="63">
        <f>IF(D508=0,"",SUMPRODUCT($C$798:$V$798,($C$88:$V$88=D$439)*1,($C$6:$V$6="Theorie")*1,$C$9:$V$9,$C$28:$V$28)/SUMPRODUCT($C$798:$V$798,($C$88:$V$88=D$439)*1,($C$6:$V$6="Theorie")*1,$C$9:$V$9))</f>
        <v/>
      </c>
      <c r="E568" s="63">
        <f>IF(E508=0,"",SUMPRODUCT($C$798:$V$798,($C$88:$V$88=E$439)*1,($C$6:$V$6="Theorie")*1,$C$9:$V$9,$C$28:$V$28)/SUMPRODUCT($C$798:$V$798,($C$88:$V$88=E$439)*1,($C$6:$V$6="Theorie")*1,$C$9:$V$9))</f>
        <v/>
      </c>
      <c r="F568" s="63">
        <f>IF(F508=0,"",SUMPRODUCT($C$798:$V$798,($C$88:$V$88=F$439)*1,($C$6:$V$6="Theorie")*1,$C$9:$V$9,$C$28:$V$28)/SUMPRODUCT($C$798:$V$798,($C$88:$V$88=F$439)*1,($C$6:$V$6="Theorie")*1,$C$9:$V$9))</f>
        <v/>
      </c>
      <c r="G568" s="63">
        <f>IF(G508=0,"",SUMPRODUCT($C$798:$V$798,($C$88:$V$88=G$439)*1,($C$6:$V$6="Theorie")*1,$C$9:$V$9,$C$28:$V$28)/SUMPRODUCT($C$798:$V$798,($C$88:$V$88=G$439)*1,($C$6:$V$6="Theorie")*1,$C$9:$V$9))</f>
        <v/>
      </c>
      <c r="H568" s="63">
        <f>IF(H508=0,"",SUMPRODUCT($C$798:$V$798,($C$88:$V$88=H$439)*1,($C$6:$V$6="Theorie")*1,$C$9:$V$9,$C$28:$V$28)/SUMPRODUCT($C$798:$V$798,($C$88:$V$88=H$439)*1,($C$6:$V$6="Theorie")*1,$C$9:$V$9))</f>
        <v/>
      </c>
      <c r="I568" s="63">
        <f>IF(I508=0,"",SUMPRODUCT($C$798:$V$798,($C$88:$V$88=I$439)*1,($C$6:$V$6="Theorie")*1,$C$9:$V$9,$C$28:$V$28)/SUMPRODUCT($C$798:$V$798,($C$88:$V$88=I$439)*1,($C$6:$V$6="Theorie")*1,$C$9:$V$9))</f>
        <v/>
      </c>
      <c r="J568" s="63">
        <f>IF(J508=0,"",SUMPRODUCT($C$798:$V$798,($C$88:$V$88=J$439)*1,($C$6:$V$6="Theorie")*1,$C$9:$V$9,$C$28:$V$28)/SUMPRODUCT($C$798:$V$798,($C$88:$V$88=J$439)*1,($C$6:$V$6="Theorie")*1,$C$9:$V$9))</f>
        <v/>
      </c>
    </row>
    <row r="569">
      <c r="C569" s="63">
        <f>IF(C509=0,"",SUMPRODUCT($C$799:$V$799,($C$89:$V$89=C$439)*1,($C$6:$V$6="Theorie")*1,$C$9:$V$9,$C$29:$V$29)/SUMPRODUCT($C$799:$V$799,($C$89:$V$89=C$439)*1,($C$6:$V$6="Theorie")*1,$C$9:$V$9))</f>
        <v/>
      </c>
      <c r="D569" s="63">
        <f>IF(D509=0,"",SUMPRODUCT($C$799:$V$799,($C$89:$V$89=D$439)*1,($C$6:$V$6="Theorie")*1,$C$9:$V$9,$C$29:$V$29)/SUMPRODUCT($C$799:$V$799,($C$89:$V$89=D$439)*1,($C$6:$V$6="Theorie")*1,$C$9:$V$9))</f>
        <v/>
      </c>
      <c r="E569" s="63">
        <f>IF(E509=0,"",SUMPRODUCT($C$799:$V$799,($C$89:$V$89=E$439)*1,($C$6:$V$6="Theorie")*1,$C$9:$V$9,$C$29:$V$29)/SUMPRODUCT($C$799:$V$799,($C$89:$V$89=E$439)*1,($C$6:$V$6="Theorie")*1,$C$9:$V$9))</f>
        <v/>
      </c>
      <c r="F569" s="63">
        <f>IF(F509=0,"",SUMPRODUCT($C$799:$V$799,($C$89:$V$89=F$439)*1,($C$6:$V$6="Theorie")*1,$C$9:$V$9,$C$29:$V$29)/SUMPRODUCT($C$799:$V$799,($C$89:$V$89=F$439)*1,($C$6:$V$6="Theorie")*1,$C$9:$V$9))</f>
        <v/>
      </c>
      <c r="G569" s="63">
        <f>IF(G509=0,"",SUMPRODUCT($C$799:$V$799,($C$89:$V$89=G$439)*1,($C$6:$V$6="Theorie")*1,$C$9:$V$9,$C$29:$V$29)/SUMPRODUCT($C$799:$V$799,($C$89:$V$89=G$439)*1,($C$6:$V$6="Theorie")*1,$C$9:$V$9))</f>
        <v/>
      </c>
      <c r="H569" s="63">
        <f>IF(H509=0,"",SUMPRODUCT($C$799:$V$799,($C$89:$V$89=H$439)*1,($C$6:$V$6="Theorie")*1,$C$9:$V$9,$C$29:$V$29)/SUMPRODUCT($C$799:$V$799,($C$89:$V$89=H$439)*1,($C$6:$V$6="Theorie")*1,$C$9:$V$9))</f>
        <v/>
      </c>
      <c r="I569" s="63">
        <f>IF(I509=0,"",SUMPRODUCT($C$799:$V$799,($C$89:$V$89=I$439)*1,($C$6:$V$6="Theorie")*1,$C$9:$V$9,$C$29:$V$29)/SUMPRODUCT($C$799:$V$799,($C$89:$V$89=I$439)*1,($C$6:$V$6="Theorie")*1,$C$9:$V$9))</f>
        <v/>
      </c>
      <c r="J569" s="63">
        <f>IF(J509=0,"",SUMPRODUCT($C$799:$V$799,($C$89:$V$89=J$439)*1,($C$6:$V$6="Theorie")*1,$C$9:$V$9,$C$29:$V$29)/SUMPRODUCT($C$799:$V$799,($C$89:$V$89=J$439)*1,($C$6:$V$6="Theorie")*1,$C$9:$V$9))</f>
        <v/>
      </c>
    </row>
    <row r="570">
      <c r="C570" s="63">
        <f>IF(C510=0,"",SUMPRODUCT($C$800:$V$800,($C$90:$V$90=C$439)*1,($C$6:$V$6="Theorie")*1,$C$9:$V$9,$C$30:$V$30)/SUMPRODUCT($C$800:$V$800,($C$90:$V$90=C$439)*1,($C$6:$V$6="Theorie")*1,$C$9:$V$9))</f>
        <v/>
      </c>
      <c r="D570" s="63">
        <f>IF(D510=0,"",SUMPRODUCT($C$800:$V$800,($C$90:$V$90=D$439)*1,($C$6:$V$6="Theorie")*1,$C$9:$V$9,$C$30:$V$30)/SUMPRODUCT($C$800:$V$800,($C$90:$V$90=D$439)*1,($C$6:$V$6="Theorie")*1,$C$9:$V$9))</f>
        <v/>
      </c>
      <c r="E570" s="63">
        <f>IF(E510=0,"",SUMPRODUCT($C$800:$V$800,($C$90:$V$90=E$439)*1,($C$6:$V$6="Theorie")*1,$C$9:$V$9,$C$30:$V$30)/SUMPRODUCT($C$800:$V$800,($C$90:$V$90=E$439)*1,($C$6:$V$6="Theorie")*1,$C$9:$V$9))</f>
        <v/>
      </c>
      <c r="F570" s="63">
        <f>IF(F510=0,"",SUMPRODUCT($C$800:$V$800,($C$90:$V$90=F$439)*1,($C$6:$V$6="Theorie")*1,$C$9:$V$9,$C$30:$V$30)/SUMPRODUCT($C$800:$V$800,($C$90:$V$90=F$439)*1,($C$6:$V$6="Theorie")*1,$C$9:$V$9))</f>
        <v/>
      </c>
      <c r="G570" s="63">
        <f>IF(G510=0,"",SUMPRODUCT($C$800:$V$800,($C$90:$V$90=G$439)*1,($C$6:$V$6="Theorie")*1,$C$9:$V$9,$C$30:$V$30)/SUMPRODUCT($C$800:$V$800,($C$90:$V$90=G$439)*1,($C$6:$V$6="Theorie")*1,$C$9:$V$9))</f>
        <v/>
      </c>
      <c r="H570" s="63">
        <f>IF(H510=0,"",SUMPRODUCT($C$800:$V$800,($C$90:$V$90=H$439)*1,($C$6:$V$6="Theorie")*1,$C$9:$V$9,$C$30:$V$30)/SUMPRODUCT($C$800:$V$800,($C$90:$V$90=H$439)*1,($C$6:$V$6="Theorie")*1,$C$9:$V$9))</f>
        <v/>
      </c>
      <c r="I570" s="63">
        <f>IF(I510=0,"",SUMPRODUCT($C$800:$V$800,($C$90:$V$90=I$439)*1,($C$6:$V$6="Theorie")*1,$C$9:$V$9,$C$30:$V$30)/SUMPRODUCT($C$800:$V$800,($C$90:$V$90=I$439)*1,($C$6:$V$6="Theorie")*1,$C$9:$V$9))</f>
        <v/>
      </c>
      <c r="J570" s="63">
        <f>IF(J510=0,"",SUMPRODUCT($C$800:$V$800,($C$90:$V$90=J$439)*1,($C$6:$V$6="Theorie")*1,$C$9:$V$9,$C$30:$V$30)/SUMPRODUCT($C$800:$V$800,($C$90:$V$90=J$439)*1,($C$6:$V$6="Theorie")*1,$C$9:$V$9))</f>
        <v/>
      </c>
    </row>
    <row r="571">
      <c r="C571" s="63">
        <f>IF(C511=0,"",SUMPRODUCT($C$801:$V$801,($C$91:$V$91=C$439)*1,($C$6:$V$6="Theorie")*1,$C$9:$V$9,$C$31:$V$31)/SUMPRODUCT($C$801:$V$801,($C$91:$V$91=C$439)*1,($C$6:$V$6="Theorie")*1,$C$9:$V$9))</f>
        <v/>
      </c>
      <c r="D571" s="63">
        <f>IF(D511=0,"",SUMPRODUCT($C$801:$V$801,($C$91:$V$91=D$439)*1,($C$6:$V$6="Theorie")*1,$C$9:$V$9,$C$31:$V$31)/SUMPRODUCT($C$801:$V$801,($C$91:$V$91=D$439)*1,($C$6:$V$6="Theorie")*1,$C$9:$V$9))</f>
        <v/>
      </c>
      <c r="E571" s="63">
        <f>IF(E511=0,"",SUMPRODUCT($C$801:$V$801,($C$91:$V$91=E$439)*1,($C$6:$V$6="Theorie")*1,$C$9:$V$9,$C$31:$V$31)/SUMPRODUCT($C$801:$V$801,($C$91:$V$91=E$439)*1,($C$6:$V$6="Theorie")*1,$C$9:$V$9))</f>
        <v/>
      </c>
      <c r="F571" s="63">
        <f>IF(F511=0,"",SUMPRODUCT($C$801:$V$801,($C$91:$V$91=F$439)*1,($C$6:$V$6="Theorie")*1,$C$9:$V$9,$C$31:$V$31)/SUMPRODUCT($C$801:$V$801,($C$91:$V$91=F$439)*1,($C$6:$V$6="Theorie")*1,$C$9:$V$9))</f>
        <v/>
      </c>
      <c r="G571" s="63">
        <f>IF(G511=0,"",SUMPRODUCT($C$801:$V$801,($C$91:$V$91=G$439)*1,($C$6:$V$6="Theorie")*1,$C$9:$V$9,$C$31:$V$31)/SUMPRODUCT($C$801:$V$801,($C$91:$V$91=G$439)*1,($C$6:$V$6="Theorie")*1,$C$9:$V$9))</f>
        <v/>
      </c>
      <c r="H571" s="63">
        <f>IF(H511=0,"",SUMPRODUCT($C$801:$V$801,($C$91:$V$91=H$439)*1,($C$6:$V$6="Theorie")*1,$C$9:$V$9,$C$31:$V$31)/SUMPRODUCT($C$801:$V$801,($C$91:$V$91=H$439)*1,($C$6:$V$6="Theorie")*1,$C$9:$V$9))</f>
        <v/>
      </c>
      <c r="I571" s="63">
        <f>IF(I511=0,"",SUMPRODUCT($C$801:$V$801,($C$91:$V$91=I$439)*1,($C$6:$V$6="Theorie")*1,$C$9:$V$9,$C$31:$V$31)/SUMPRODUCT($C$801:$V$801,($C$91:$V$91=I$439)*1,($C$6:$V$6="Theorie")*1,$C$9:$V$9))</f>
        <v/>
      </c>
      <c r="J571" s="63">
        <f>IF(J511=0,"",SUMPRODUCT($C$801:$V$801,($C$91:$V$91=J$439)*1,($C$6:$V$6="Theorie")*1,$C$9:$V$9,$C$31:$V$31)/SUMPRODUCT($C$801:$V$801,($C$91:$V$91=J$439)*1,($C$6:$V$6="Theorie")*1,$C$9:$V$9))</f>
        <v/>
      </c>
    </row>
    <row r="572">
      <c r="C572" s="63">
        <f>IF(C512=0,"",SUMPRODUCT($C$802:$V$802,($C$92:$V$92=C$439)*1,($C$6:$V$6="Theorie")*1,$C$9:$V$9,$C$32:$V$32)/SUMPRODUCT($C$802:$V$802,($C$92:$V$92=C$439)*1,($C$6:$V$6="Theorie")*1,$C$9:$V$9))</f>
        <v/>
      </c>
      <c r="D572" s="63">
        <f>IF(D512=0,"",SUMPRODUCT($C$802:$V$802,($C$92:$V$92=D$439)*1,($C$6:$V$6="Theorie")*1,$C$9:$V$9,$C$32:$V$32)/SUMPRODUCT($C$802:$V$802,($C$92:$V$92=D$439)*1,($C$6:$V$6="Theorie")*1,$C$9:$V$9))</f>
        <v/>
      </c>
      <c r="E572" s="63">
        <f>IF(E512=0,"",SUMPRODUCT($C$802:$V$802,($C$92:$V$92=E$439)*1,($C$6:$V$6="Theorie")*1,$C$9:$V$9,$C$32:$V$32)/SUMPRODUCT($C$802:$V$802,($C$92:$V$92=E$439)*1,($C$6:$V$6="Theorie")*1,$C$9:$V$9))</f>
        <v/>
      </c>
      <c r="F572" s="63">
        <f>IF(F512=0,"",SUMPRODUCT($C$802:$V$802,($C$92:$V$92=F$439)*1,($C$6:$V$6="Theorie")*1,$C$9:$V$9,$C$32:$V$32)/SUMPRODUCT($C$802:$V$802,($C$92:$V$92=F$439)*1,($C$6:$V$6="Theorie")*1,$C$9:$V$9))</f>
        <v/>
      </c>
      <c r="G572" s="63">
        <f>IF(G512=0,"",SUMPRODUCT($C$802:$V$802,($C$92:$V$92=G$439)*1,($C$6:$V$6="Theorie")*1,$C$9:$V$9,$C$32:$V$32)/SUMPRODUCT($C$802:$V$802,($C$92:$V$92=G$439)*1,($C$6:$V$6="Theorie")*1,$C$9:$V$9))</f>
        <v/>
      </c>
      <c r="H572" s="63">
        <f>IF(H512=0,"",SUMPRODUCT($C$802:$V$802,($C$92:$V$92=H$439)*1,($C$6:$V$6="Theorie")*1,$C$9:$V$9,$C$32:$V$32)/SUMPRODUCT($C$802:$V$802,($C$92:$V$92=H$439)*1,($C$6:$V$6="Theorie")*1,$C$9:$V$9))</f>
        <v/>
      </c>
      <c r="I572" s="63">
        <f>IF(I512=0,"",SUMPRODUCT($C$802:$V$802,($C$92:$V$92=I$439)*1,($C$6:$V$6="Theorie")*1,$C$9:$V$9,$C$32:$V$32)/SUMPRODUCT($C$802:$V$802,($C$92:$V$92=I$439)*1,($C$6:$V$6="Theorie")*1,$C$9:$V$9))</f>
        <v/>
      </c>
      <c r="J572" s="63">
        <f>IF(J512=0,"",SUMPRODUCT($C$802:$V$802,($C$92:$V$92=J$439)*1,($C$6:$V$6="Theorie")*1,$C$9:$V$9,$C$32:$V$32)/SUMPRODUCT($C$802:$V$802,($C$92:$V$92=J$439)*1,($C$6:$V$6="Theorie")*1,$C$9:$V$9))</f>
        <v/>
      </c>
    </row>
    <row r="573">
      <c r="C573" s="63">
        <f>IF(C513=0,"",SUMPRODUCT($C$803:$V$803,($C$93:$V$93=C$439)*1,($C$6:$V$6="Theorie")*1,$C$9:$V$9,$C$33:$V$33)/SUMPRODUCT($C$803:$V$803,($C$93:$V$93=C$439)*1,($C$6:$V$6="Theorie")*1,$C$9:$V$9))</f>
        <v/>
      </c>
      <c r="D573" s="63">
        <f>IF(D513=0,"",SUMPRODUCT($C$803:$V$803,($C$93:$V$93=D$439)*1,($C$6:$V$6="Theorie")*1,$C$9:$V$9,$C$33:$V$33)/SUMPRODUCT($C$803:$V$803,($C$93:$V$93=D$439)*1,($C$6:$V$6="Theorie")*1,$C$9:$V$9))</f>
        <v/>
      </c>
      <c r="E573" s="63">
        <f>IF(E513=0,"",SUMPRODUCT($C$803:$V$803,($C$93:$V$93=E$439)*1,($C$6:$V$6="Theorie")*1,$C$9:$V$9,$C$33:$V$33)/SUMPRODUCT($C$803:$V$803,($C$93:$V$93=E$439)*1,($C$6:$V$6="Theorie")*1,$C$9:$V$9))</f>
        <v/>
      </c>
      <c r="F573" s="63">
        <f>IF(F513=0,"",SUMPRODUCT($C$803:$V$803,($C$93:$V$93=F$439)*1,($C$6:$V$6="Theorie")*1,$C$9:$V$9,$C$33:$V$33)/SUMPRODUCT($C$803:$V$803,($C$93:$V$93=F$439)*1,($C$6:$V$6="Theorie")*1,$C$9:$V$9))</f>
        <v/>
      </c>
      <c r="G573" s="63">
        <f>IF(G513=0,"",SUMPRODUCT($C$803:$V$803,($C$93:$V$93=G$439)*1,($C$6:$V$6="Theorie")*1,$C$9:$V$9,$C$33:$V$33)/SUMPRODUCT($C$803:$V$803,($C$93:$V$93=G$439)*1,($C$6:$V$6="Theorie")*1,$C$9:$V$9))</f>
        <v/>
      </c>
      <c r="H573" s="63">
        <f>IF(H513=0,"",SUMPRODUCT($C$803:$V$803,($C$93:$V$93=H$439)*1,($C$6:$V$6="Theorie")*1,$C$9:$V$9,$C$33:$V$33)/SUMPRODUCT($C$803:$V$803,($C$93:$V$93=H$439)*1,($C$6:$V$6="Theorie")*1,$C$9:$V$9))</f>
        <v/>
      </c>
      <c r="I573" s="63">
        <f>IF(I513=0,"",SUMPRODUCT($C$803:$V$803,($C$93:$V$93=I$439)*1,($C$6:$V$6="Theorie")*1,$C$9:$V$9,$C$33:$V$33)/SUMPRODUCT($C$803:$V$803,($C$93:$V$93=I$439)*1,($C$6:$V$6="Theorie")*1,$C$9:$V$9))</f>
        <v/>
      </c>
      <c r="J573" s="63">
        <f>IF(J513=0,"",SUMPRODUCT($C$803:$V$803,($C$93:$V$93=J$439)*1,($C$6:$V$6="Theorie")*1,$C$9:$V$9,$C$33:$V$33)/SUMPRODUCT($C$803:$V$803,($C$93:$V$93=J$439)*1,($C$6:$V$6="Theorie")*1,$C$9:$V$9))</f>
        <v/>
      </c>
    </row>
    <row r="574">
      <c r="C574" s="63">
        <f>IF(C514=0,"",SUMPRODUCT($C$804:$V$804,($C$94:$V$94=C$439)*1,($C$6:$V$6="Theorie")*1,$C$9:$V$9,$C$34:$V$34)/SUMPRODUCT($C$804:$V$804,($C$94:$V$94=C$439)*1,($C$6:$V$6="Theorie")*1,$C$9:$V$9))</f>
        <v/>
      </c>
      <c r="D574" s="63">
        <f>IF(D514=0,"",SUMPRODUCT($C$804:$V$804,($C$94:$V$94=D$439)*1,($C$6:$V$6="Theorie")*1,$C$9:$V$9,$C$34:$V$34)/SUMPRODUCT($C$804:$V$804,($C$94:$V$94=D$439)*1,($C$6:$V$6="Theorie")*1,$C$9:$V$9))</f>
        <v/>
      </c>
      <c r="E574" s="63">
        <f>IF(E514=0,"",SUMPRODUCT($C$804:$V$804,($C$94:$V$94=E$439)*1,($C$6:$V$6="Theorie")*1,$C$9:$V$9,$C$34:$V$34)/SUMPRODUCT($C$804:$V$804,($C$94:$V$94=E$439)*1,($C$6:$V$6="Theorie")*1,$C$9:$V$9))</f>
        <v/>
      </c>
      <c r="F574" s="63">
        <f>IF(F514=0,"",SUMPRODUCT($C$804:$V$804,($C$94:$V$94=F$439)*1,($C$6:$V$6="Theorie")*1,$C$9:$V$9,$C$34:$V$34)/SUMPRODUCT($C$804:$V$804,($C$94:$V$94=F$439)*1,($C$6:$V$6="Theorie")*1,$C$9:$V$9))</f>
        <v/>
      </c>
      <c r="G574" s="63">
        <f>IF(G514=0,"",SUMPRODUCT($C$804:$V$804,($C$94:$V$94=G$439)*1,($C$6:$V$6="Theorie")*1,$C$9:$V$9,$C$34:$V$34)/SUMPRODUCT($C$804:$V$804,($C$94:$V$94=G$439)*1,($C$6:$V$6="Theorie")*1,$C$9:$V$9))</f>
        <v/>
      </c>
      <c r="H574" s="63">
        <f>IF(H514=0,"",SUMPRODUCT($C$804:$V$804,($C$94:$V$94=H$439)*1,($C$6:$V$6="Theorie")*1,$C$9:$V$9,$C$34:$V$34)/SUMPRODUCT($C$804:$V$804,($C$94:$V$94=H$439)*1,($C$6:$V$6="Theorie")*1,$C$9:$V$9))</f>
        <v/>
      </c>
      <c r="I574" s="63">
        <f>IF(I514=0,"",SUMPRODUCT($C$804:$V$804,($C$94:$V$94=I$439)*1,($C$6:$V$6="Theorie")*1,$C$9:$V$9,$C$34:$V$34)/SUMPRODUCT($C$804:$V$804,($C$94:$V$94=I$439)*1,($C$6:$V$6="Theorie")*1,$C$9:$V$9))</f>
        <v/>
      </c>
      <c r="J574" s="63">
        <f>IF(J514=0,"",SUMPRODUCT($C$804:$V$804,($C$94:$V$94=J$439)*1,($C$6:$V$6="Theorie")*1,$C$9:$V$9,$C$34:$V$34)/SUMPRODUCT($C$804:$V$804,($C$94:$V$94=J$439)*1,($C$6:$V$6="Theorie")*1,$C$9:$V$9))</f>
        <v/>
      </c>
    </row>
    <row r="575">
      <c r="C575" s="63">
        <f>IF(C515=0,"",SUMPRODUCT($C$805:$V$805,($C$95:$V$95=C$439)*1,($C$6:$V$6="Theorie")*1,$C$9:$V$9,$C$35:$V$35)/SUMPRODUCT($C$805:$V$805,($C$95:$V$95=C$439)*1,($C$6:$V$6="Theorie")*1,$C$9:$V$9))</f>
        <v/>
      </c>
      <c r="D575" s="63">
        <f>IF(D515=0,"",SUMPRODUCT($C$805:$V$805,($C$95:$V$95=D$439)*1,($C$6:$V$6="Theorie")*1,$C$9:$V$9,$C$35:$V$35)/SUMPRODUCT($C$805:$V$805,($C$95:$V$95=D$439)*1,($C$6:$V$6="Theorie")*1,$C$9:$V$9))</f>
        <v/>
      </c>
      <c r="E575" s="63">
        <f>IF(E515=0,"",SUMPRODUCT($C$805:$V$805,($C$95:$V$95=E$439)*1,($C$6:$V$6="Theorie")*1,$C$9:$V$9,$C$35:$V$35)/SUMPRODUCT($C$805:$V$805,($C$95:$V$95=E$439)*1,($C$6:$V$6="Theorie")*1,$C$9:$V$9))</f>
        <v/>
      </c>
      <c r="F575" s="63">
        <f>IF(F515=0,"",SUMPRODUCT($C$805:$V$805,($C$95:$V$95=F$439)*1,($C$6:$V$6="Theorie")*1,$C$9:$V$9,$C$35:$V$35)/SUMPRODUCT($C$805:$V$805,($C$95:$V$95=F$439)*1,($C$6:$V$6="Theorie")*1,$C$9:$V$9))</f>
        <v/>
      </c>
      <c r="G575" s="63">
        <f>IF(G515=0,"",SUMPRODUCT($C$805:$V$805,($C$95:$V$95=G$439)*1,($C$6:$V$6="Theorie")*1,$C$9:$V$9,$C$35:$V$35)/SUMPRODUCT($C$805:$V$805,($C$95:$V$95=G$439)*1,($C$6:$V$6="Theorie")*1,$C$9:$V$9))</f>
        <v/>
      </c>
      <c r="H575" s="63">
        <f>IF(H515=0,"",SUMPRODUCT($C$805:$V$805,($C$95:$V$95=H$439)*1,($C$6:$V$6="Theorie")*1,$C$9:$V$9,$C$35:$V$35)/SUMPRODUCT($C$805:$V$805,($C$95:$V$95=H$439)*1,($C$6:$V$6="Theorie")*1,$C$9:$V$9))</f>
        <v/>
      </c>
      <c r="I575" s="63">
        <f>IF(I515=0,"",SUMPRODUCT($C$805:$V$805,($C$95:$V$95=I$439)*1,($C$6:$V$6="Theorie")*1,$C$9:$V$9,$C$35:$V$35)/SUMPRODUCT($C$805:$V$805,($C$95:$V$95=I$439)*1,($C$6:$V$6="Theorie")*1,$C$9:$V$9))</f>
        <v/>
      </c>
      <c r="J575" s="63">
        <f>IF(J515=0,"",SUMPRODUCT($C$805:$V$805,($C$95:$V$95=J$439)*1,($C$6:$V$6="Theorie")*1,$C$9:$V$9,$C$35:$V$35)/SUMPRODUCT($C$805:$V$805,($C$95:$V$95=J$439)*1,($C$6:$V$6="Theorie")*1,$C$9:$V$9))</f>
        <v/>
      </c>
    </row>
    <row r="576">
      <c r="C576" s="63">
        <f>IF(C516=0,"",SUMPRODUCT($C$806:$V$806,($C$96:$V$96=C$439)*1,($C$6:$V$6="Theorie")*1,$C$9:$V$9,$C$36:$V$36)/SUMPRODUCT($C$806:$V$806,($C$96:$V$96=C$439)*1,($C$6:$V$6="Theorie")*1,$C$9:$V$9))</f>
        <v/>
      </c>
      <c r="D576" s="63">
        <f>IF(D516=0,"",SUMPRODUCT($C$806:$V$806,($C$96:$V$96=D$439)*1,($C$6:$V$6="Theorie")*1,$C$9:$V$9,$C$36:$V$36)/SUMPRODUCT($C$806:$V$806,($C$96:$V$96=D$439)*1,($C$6:$V$6="Theorie")*1,$C$9:$V$9))</f>
        <v/>
      </c>
      <c r="E576" s="63">
        <f>IF(E516=0,"",SUMPRODUCT($C$806:$V$806,($C$96:$V$96=E$439)*1,($C$6:$V$6="Theorie")*1,$C$9:$V$9,$C$36:$V$36)/SUMPRODUCT($C$806:$V$806,($C$96:$V$96=E$439)*1,($C$6:$V$6="Theorie")*1,$C$9:$V$9))</f>
        <v/>
      </c>
      <c r="F576" s="63">
        <f>IF(F516=0,"",SUMPRODUCT($C$806:$V$806,($C$96:$V$96=F$439)*1,($C$6:$V$6="Theorie")*1,$C$9:$V$9,$C$36:$V$36)/SUMPRODUCT($C$806:$V$806,($C$96:$V$96=F$439)*1,($C$6:$V$6="Theorie")*1,$C$9:$V$9))</f>
        <v/>
      </c>
      <c r="G576" s="63">
        <f>IF(G516=0,"",SUMPRODUCT($C$806:$V$806,($C$96:$V$96=G$439)*1,($C$6:$V$6="Theorie")*1,$C$9:$V$9,$C$36:$V$36)/SUMPRODUCT($C$806:$V$806,($C$96:$V$96=G$439)*1,($C$6:$V$6="Theorie")*1,$C$9:$V$9))</f>
        <v/>
      </c>
      <c r="H576" s="63">
        <f>IF(H516=0,"",SUMPRODUCT($C$806:$V$806,($C$96:$V$96=H$439)*1,($C$6:$V$6="Theorie")*1,$C$9:$V$9,$C$36:$V$36)/SUMPRODUCT($C$806:$V$806,($C$96:$V$96=H$439)*1,($C$6:$V$6="Theorie")*1,$C$9:$V$9))</f>
        <v/>
      </c>
      <c r="I576" s="63">
        <f>IF(I516=0,"",SUMPRODUCT($C$806:$V$806,($C$96:$V$96=I$439)*1,($C$6:$V$6="Theorie")*1,$C$9:$V$9,$C$36:$V$36)/SUMPRODUCT($C$806:$V$806,($C$96:$V$96=I$439)*1,($C$6:$V$6="Theorie")*1,$C$9:$V$9))</f>
        <v/>
      </c>
      <c r="J576" s="63">
        <f>IF(J516=0,"",SUMPRODUCT($C$806:$V$806,($C$96:$V$96=J$439)*1,($C$6:$V$6="Theorie")*1,$C$9:$V$9,$C$36:$V$36)/SUMPRODUCT($C$806:$V$806,($C$96:$V$96=J$439)*1,($C$6:$V$6="Theorie")*1,$C$9:$V$9))</f>
        <v/>
      </c>
    </row>
    <row r="577">
      <c r="C577" s="63">
        <f>IF(C517=0,"",SUMPRODUCT($C$807:$V$807,($C$97:$V$97=C$439)*1,($C$6:$V$6="Theorie")*1,$C$9:$V$9,$C$37:$V$37)/SUMPRODUCT($C$807:$V$807,($C$97:$V$97=C$439)*1,($C$6:$V$6="Theorie")*1,$C$9:$V$9))</f>
        <v/>
      </c>
      <c r="D577" s="63">
        <f>IF(D517=0,"",SUMPRODUCT($C$807:$V$807,($C$97:$V$97=D$439)*1,($C$6:$V$6="Theorie")*1,$C$9:$V$9,$C$37:$V$37)/SUMPRODUCT($C$807:$V$807,($C$97:$V$97=D$439)*1,($C$6:$V$6="Theorie")*1,$C$9:$V$9))</f>
        <v/>
      </c>
      <c r="E577" s="63">
        <f>IF(E517=0,"",SUMPRODUCT($C$807:$V$807,($C$97:$V$97=E$439)*1,($C$6:$V$6="Theorie")*1,$C$9:$V$9,$C$37:$V$37)/SUMPRODUCT($C$807:$V$807,($C$97:$V$97=E$439)*1,($C$6:$V$6="Theorie")*1,$C$9:$V$9))</f>
        <v/>
      </c>
      <c r="F577" s="63">
        <f>IF(F517=0,"",SUMPRODUCT($C$807:$V$807,($C$97:$V$97=F$439)*1,($C$6:$V$6="Theorie")*1,$C$9:$V$9,$C$37:$V$37)/SUMPRODUCT($C$807:$V$807,($C$97:$V$97=F$439)*1,($C$6:$V$6="Theorie")*1,$C$9:$V$9))</f>
        <v/>
      </c>
      <c r="G577" s="63">
        <f>IF(G517=0,"",SUMPRODUCT($C$807:$V$807,($C$97:$V$97=G$439)*1,($C$6:$V$6="Theorie")*1,$C$9:$V$9,$C$37:$V$37)/SUMPRODUCT($C$807:$V$807,($C$97:$V$97=G$439)*1,($C$6:$V$6="Theorie")*1,$C$9:$V$9))</f>
        <v/>
      </c>
      <c r="H577" s="63">
        <f>IF(H517=0,"",SUMPRODUCT($C$807:$V$807,($C$97:$V$97=H$439)*1,($C$6:$V$6="Theorie")*1,$C$9:$V$9,$C$37:$V$37)/SUMPRODUCT($C$807:$V$807,($C$97:$V$97=H$439)*1,($C$6:$V$6="Theorie")*1,$C$9:$V$9))</f>
        <v/>
      </c>
      <c r="I577" s="63">
        <f>IF(I517=0,"",SUMPRODUCT($C$807:$V$807,($C$97:$V$97=I$439)*1,($C$6:$V$6="Theorie")*1,$C$9:$V$9,$C$37:$V$37)/SUMPRODUCT($C$807:$V$807,($C$97:$V$97=I$439)*1,($C$6:$V$6="Theorie")*1,$C$9:$V$9))</f>
        <v/>
      </c>
      <c r="J577" s="63">
        <f>IF(J517=0,"",SUMPRODUCT($C$807:$V$807,($C$97:$V$97=J$439)*1,($C$6:$V$6="Theorie")*1,$C$9:$V$9,$C$37:$V$37)/SUMPRODUCT($C$807:$V$807,($C$97:$V$97=J$439)*1,($C$6:$V$6="Theorie")*1,$C$9:$V$9))</f>
        <v/>
      </c>
    </row>
    <row r="578">
      <c r="C578" s="63">
        <f>IF(C518=0,"",SUMPRODUCT($C$808:$V$808,($C$98:$V$98=C$439)*1,($C$6:$V$6="Theorie")*1,$C$9:$V$9,$C$38:$V$38)/SUMPRODUCT($C$808:$V$808,($C$98:$V$98=C$439)*1,($C$6:$V$6="Theorie")*1,$C$9:$V$9))</f>
        <v/>
      </c>
      <c r="D578" s="63">
        <f>IF(D518=0,"",SUMPRODUCT($C$808:$V$808,($C$98:$V$98=D$439)*1,($C$6:$V$6="Theorie")*1,$C$9:$V$9,$C$38:$V$38)/SUMPRODUCT($C$808:$V$808,($C$98:$V$98=D$439)*1,($C$6:$V$6="Theorie")*1,$C$9:$V$9))</f>
        <v/>
      </c>
      <c r="E578" s="63">
        <f>IF(E518=0,"",SUMPRODUCT($C$808:$V$808,($C$98:$V$98=E$439)*1,($C$6:$V$6="Theorie")*1,$C$9:$V$9,$C$38:$V$38)/SUMPRODUCT($C$808:$V$808,($C$98:$V$98=E$439)*1,($C$6:$V$6="Theorie")*1,$C$9:$V$9))</f>
        <v/>
      </c>
      <c r="F578" s="63">
        <f>IF(F518=0,"",SUMPRODUCT($C$808:$V$808,($C$98:$V$98=F$439)*1,($C$6:$V$6="Theorie")*1,$C$9:$V$9,$C$38:$V$38)/SUMPRODUCT($C$808:$V$808,($C$98:$V$98=F$439)*1,($C$6:$V$6="Theorie")*1,$C$9:$V$9))</f>
        <v/>
      </c>
      <c r="G578" s="63">
        <f>IF(G518=0,"",SUMPRODUCT($C$808:$V$808,($C$98:$V$98=G$439)*1,($C$6:$V$6="Theorie")*1,$C$9:$V$9,$C$38:$V$38)/SUMPRODUCT($C$808:$V$808,($C$98:$V$98=G$439)*1,($C$6:$V$6="Theorie")*1,$C$9:$V$9))</f>
        <v/>
      </c>
      <c r="H578" s="63">
        <f>IF(H518=0,"",SUMPRODUCT($C$808:$V$808,($C$98:$V$98=H$439)*1,($C$6:$V$6="Theorie")*1,$C$9:$V$9,$C$38:$V$38)/SUMPRODUCT($C$808:$V$808,($C$98:$V$98=H$439)*1,($C$6:$V$6="Theorie")*1,$C$9:$V$9))</f>
        <v/>
      </c>
      <c r="I578" s="63">
        <f>IF(I518=0,"",SUMPRODUCT($C$808:$V$808,($C$98:$V$98=I$439)*1,($C$6:$V$6="Theorie")*1,$C$9:$V$9,$C$38:$V$38)/SUMPRODUCT($C$808:$V$808,($C$98:$V$98=I$439)*1,($C$6:$V$6="Theorie")*1,$C$9:$V$9))</f>
        <v/>
      </c>
      <c r="J578" s="63">
        <f>IF(J518=0,"",SUMPRODUCT($C$808:$V$808,($C$98:$V$98=J$439)*1,($C$6:$V$6="Theorie")*1,$C$9:$V$9,$C$38:$V$38)/SUMPRODUCT($C$808:$V$808,($C$98:$V$98=J$439)*1,($C$6:$V$6="Theorie")*1,$C$9:$V$9))</f>
        <v/>
      </c>
    </row>
    <row r="579">
      <c r="C579" s="63">
        <f>IF(C519=0,"",SUMPRODUCT($C$809:$V$809,($C$99:$V$99=C$439)*1,($C$6:$V$6="Theorie")*1,$C$9:$V$9,$C$39:$V$39)/SUMPRODUCT($C$809:$V$809,($C$99:$V$99=C$439)*1,($C$6:$V$6="Theorie")*1,$C$9:$V$9))</f>
        <v/>
      </c>
      <c r="D579" s="63">
        <f>IF(D519=0,"",SUMPRODUCT($C$809:$V$809,($C$99:$V$99=D$439)*1,($C$6:$V$6="Theorie")*1,$C$9:$V$9,$C$39:$V$39)/SUMPRODUCT($C$809:$V$809,($C$99:$V$99=D$439)*1,($C$6:$V$6="Theorie")*1,$C$9:$V$9))</f>
        <v/>
      </c>
      <c r="E579" s="63">
        <f>IF(E519=0,"",SUMPRODUCT($C$809:$V$809,($C$99:$V$99=E$439)*1,($C$6:$V$6="Theorie")*1,$C$9:$V$9,$C$39:$V$39)/SUMPRODUCT($C$809:$V$809,($C$99:$V$99=E$439)*1,($C$6:$V$6="Theorie")*1,$C$9:$V$9))</f>
        <v/>
      </c>
      <c r="F579" s="63">
        <f>IF(F519=0,"",SUMPRODUCT($C$809:$V$809,($C$99:$V$99=F$439)*1,($C$6:$V$6="Theorie")*1,$C$9:$V$9,$C$39:$V$39)/SUMPRODUCT($C$809:$V$809,($C$99:$V$99=F$439)*1,($C$6:$V$6="Theorie")*1,$C$9:$V$9))</f>
        <v/>
      </c>
      <c r="G579" s="63">
        <f>IF(G519=0,"",SUMPRODUCT($C$809:$V$809,($C$99:$V$99=G$439)*1,($C$6:$V$6="Theorie")*1,$C$9:$V$9,$C$39:$V$39)/SUMPRODUCT($C$809:$V$809,($C$99:$V$99=G$439)*1,($C$6:$V$6="Theorie")*1,$C$9:$V$9))</f>
        <v/>
      </c>
      <c r="H579" s="63">
        <f>IF(H519=0,"",SUMPRODUCT($C$809:$V$809,($C$99:$V$99=H$439)*1,($C$6:$V$6="Theorie")*1,$C$9:$V$9,$C$39:$V$39)/SUMPRODUCT($C$809:$V$809,($C$99:$V$99=H$439)*1,($C$6:$V$6="Theorie")*1,$C$9:$V$9))</f>
        <v/>
      </c>
      <c r="I579" s="63">
        <f>IF(I519=0,"",SUMPRODUCT($C$809:$V$809,($C$99:$V$99=I$439)*1,($C$6:$V$6="Theorie")*1,$C$9:$V$9,$C$39:$V$39)/SUMPRODUCT($C$809:$V$809,($C$99:$V$99=I$439)*1,($C$6:$V$6="Theorie")*1,$C$9:$V$9))</f>
        <v/>
      </c>
      <c r="J579" s="63">
        <f>IF(J519=0,"",SUMPRODUCT($C$809:$V$809,($C$99:$V$99=J$439)*1,($C$6:$V$6="Theorie")*1,$C$9:$V$9,$C$39:$V$39)/SUMPRODUCT($C$809:$V$809,($C$99:$V$99=J$439)*1,($C$6:$V$6="Theorie")*1,$C$9:$V$9))</f>
        <v/>
      </c>
    </row>
    <row r="580">
      <c r="C580" s="63">
        <f>IF(C520=0,"",SUMPRODUCT($C$810:$V$810,($C$100:$V$100=C$439)*1,($C$6:$V$6="Theorie")*1,$C$9:$V$9,$C$40:$V$40)/SUMPRODUCT($C$810:$V$810,($C$100:$V$100=C$439)*1,($C$6:$V$6="Theorie")*1,$C$9:$V$9))</f>
        <v/>
      </c>
      <c r="D580" s="63">
        <f>IF(D520=0,"",SUMPRODUCT($C$810:$V$810,($C$100:$V$100=D$439)*1,($C$6:$V$6="Theorie")*1,$C$9:$V$9,$C$40:$V$40)/SUMPRODUCT($C$810:$V$810,($C$100:$V$100=D$439)*1,($C$6:$V$6="Theorie")*1,$C$9:$V$9))</f>
        <v/>
      </c>
      <c r="E580" s="63">
        <f>IF(E520=0,"",SUMPRODUCT($C$810:$V$810,($C$100:$V$100=E$439)*1,($C$6:$V$6="Theorie")*1,$C$9:$V$9,$C$40:$V$40)/SUMPRODUCT($C$810:$V$810,($C$100:$V$100=E$439)*1,($C$6:$V$6="Theorie")*1,$C$9:$V$9))</f>
        <v/>
      </c>
      <c r="F580" s="63">
        <f>IF(F520=0,"",SUMPRODUCT($C$810:$V$810,($C$100:$V$100=F$439)*1,($C$6:$V$6="Theorie")*1,$C$9:$V$9,$C$40:$V$40)/SUMPRODUCT($C$810:$V$810,($C$100:$V$100=F$439)*1,($C$6:$V$6="Theorie")*1,$C$9:$V$9))</f>
        <v/>
      </c>
      <c r="G580" s="63">
        <f>IF(G520=0,"",SUMPRODUCT($C$810:$V$810,($C$100:$V$100=G$439)*1,($C$6:$V$6="Theorie")*1,$C$9:$V$9,$C$40:$V$40)/SUMPRODUCT($C$810:$V$810,($C$100:$V$100=G$439)*1,($C$6:$V$6="Theorie")*1,$C$9:$V$9))</f>
        <v/>
      </c>
      <c r="H580" s="63">
        <f>IF(H520=0,"",SUMPRODUCT($C$810:$V$810,($C$100:$V$100=H$439)*1,($C$6:$V$6="Theorie")*1,$C$9:$V$9,$C$40:$V$40)/SUMPRODUCT($C$810:$V$810,($C$100:$V$100=H$439)*1,($C$6:$V$6="Theorie")*1,$C$9:$V$9))</f>
        <v/>
      </c>
      <c r="I580" s="63">
        <f>IF(I520=0,"",SUMPRODUCT($C$810:$V$810,($C$100:$V$100=I$439)*1,($C$6:$V$6="Theorie")*1,$C$9:$V$9,$C$40:$V$40)/SUMPRODUCT($C$810:$V$810,($C$100:$V$100=I$439)*1,($C$6:$V$6="Theorie")*1,$C$9:$V$9))</f>
        <v/>
      </c>
      <c r="J580" s="63">
        <f>IF(J520=0,"",SUMPRODUCT($C$810:$V$810,($C$100:$V$100=J$439)*1,($C$6:$V$6="Theorie")*1,$C$9:$V$9,$C$40:$V$40)/SUMPRODUCT($C$810:$V$810,($C$100:$V$100=J$439)*1,($C$6:$V$6="Theorie")*1,$C$9:$V$9))</f>
        <v/>
      </c>
    </row>
    <row r="581">
      <c r="C581" s="63">
        <f>IF(C521=0,"",SUMPRODUCT($C$811:$V$811,($C$101:$V$101=C$439)*1,($C$6:$V$6="Theorie")*1,$C$9:$V$9,$C$41:$V$41)/SUMPRODUCT($C$811:$V$811,($C$101:$V$101=C$439)*1,($C$6:$V$6="Theorie")*1,$C$9:$V$9))</f>
        <v/>
      </c>
      <c r="D581" s="63">
        <f>IF(D521=0,"",SUMPRODUCT($C$811:$V$811,($C$101:$V$101=D$439)*1,($C$6:$V$6="Theorie")*1,$C$9:$V$9,$C$41:$V$41)/SUMPRODUCT($C$811:$V$811,($C$101:$V$101=D$439)*1,($C$6:$V$6="Theorie")*1,$C$9:$V$9))</f>
        <v/>
      </c>
      <c r="E581" s="63">
        <f>IF(E521=0,"",SUMPRODUCT($C$811:$V$811,($C$101:$V$101=E$439)*1,($C$6:$V$6="Theorie")*1,$C$9:$V$9,$C$41:$V$41)/SUMPRODUCT($C$811:$V$811,($C$101:$V$101=E$439)*1,($C$6:$V$6="Theorie")*1,$C$9:$V$9))</f>
        <v/>
      </c>
      <c r="F581" s="63">
        <f>IF(F521=0,"",SUMPRODUCT($C$811:$V$811,($C$101:$V$101=F$439)*1,($C$6:$V$6="Theorie")*1,$C$9:$V$9,$C$41:$V$41)/SUMPRODUCT($C$811:$V$811,($C$101:$V$101=F$439)*1,($C$6:$V$6="Theorie")*1,$C$9:$V$9))</f>
        <v/>
      </c>
      <c r="G581" s="63">
        <f>IF(G521=0,"",SUMPRODUCT($C$811:$V$811,($C$101:$V$101=G$439)*1,($C$6:$V$6="Theorie")*1,$C$9:$V$9,$C$41:$V$41)/SUMPRODUCT($C$811:$V$811,($C$101:$V$101=G$439)*1,($C$6:$V$6="Theorie")*1,$C$9:$V$9))</f>
        <v/>
      </c>
      <c r="H581" s="63">
        <f>IF(H521=0,"",SUMPRODUCT($C$811:$V$811,($C$101:$V$101=H$439)*1,($C$6:$V$6="Theorie")*1,$C$9:$V$9,$C$41:$V$41)/SUMPRODUCT($C$811:$V$811,($C$101:$V$101=H$439)*1,($C$6:$V$6="Theorie")*1,$C$9:$V$9))</f>
        <v/>
      </c>
      <c r="I581" s="63">
        <f>IF(I521=0,"",SUMPRODUCT($C$811:$V$811,($C$101:$V$101=I$439)*1,($C$6:$V$6="Theorie")*1,$C$9:$V$9,$C$41:$V$41)/SUMPRODUCT($C$811:$V$811,($C$101:$V$101=I$439)*1,($C$6:$V$6="Theorie")*1,$C$9:$V$9))</f>
        <v/>
      </c>
      <c r="J581" s="63">
        <f>IF(J521=0,"",SUMPRODUCT($C$811:$V$811,($C$101:$V$101=J$439)*1,($C$6:$V$6="Theorie")*1,$C$9:$V$9,$C$41:$V$41)/SUMPRODUCT($C$811:$V$811,($C$101:$V$101=J$439)*1,($C$6:$V$6="Theorie")*1,$C$9:$V$9))</f>
        <v/>
      </c>
    </row>
    <row r="582">
      <c r="C582" s="63">
        <f>IF(C522=0,"",SUMPRODUCT($C$812:$V$812,($C$102:$V$102=C$439)*1,($C$6:$V$6="Theorie")*1,$C$9:$V$9,$C$42:$V$42)/SUMPRODUCT($C$812:$V$812,($C$102:$V$102=C$439)*1,($C$6:$V$6="Theorie")*1,$C$9:$V$9))</f>
        <v/>
      </c>
      <c r="D582" s="63">
        <f>IF(D522=0,"",SUMPRODUCT($C$812:$V$812,($C$102:$V$102=D$439)*1,($C$6:$V$6="Theorie")*1,$C$9:$V$9,$C$42:$V$42)/SUMPRODUCT($C$812:$V$812,($C$102:$V$102=D$439)*1,($C$6:$V$6="Theorie")*1,$C$9:$V$9))</f>
        <v/>
      </c>
      <c r="E582" s="63">
        <f>IF(E522=0,"",SUMPRODUCT($C$812:$V$812,($C$102:$V$102=E$439)*1,($C$6:$V$6="Theorie")*1,$C$9:$V$9,$C$42:$V$42)/SUMPRODUCT($C$812:$V$812,($C$102:$V$102=E$439)*1,($C$6:$V$6="Theorie")*1,$C$9:$V$9))</f>
        <v/>
      </c>
      <c r="F582" s="63">
        <f>IF(F522=0,"",SUMPRODUCT($C$812:$V$812,($C$102:$V$102=F$439)*1,($C$6:$V$6="Theorie")*1,$C$9:$V$9,$C$42:$V$42)/SUMPRODUCT($C$812:$V$812,($C$102:$V$102=F$439)*1,($C$6:$V$6="Theorie")*1,$C$9:$V$9))</f>
        <v/>
      </c>
      <c r="G582" s="63">
        <f>IF(G522=0,"",SUMPRODUCT($C$812:$V$812,($C$102:$V$102=G$439)*1,($C$6:$V$6="Theorie")*1,$C$9:$V$9,$C$42:$V$42)/SUMPRODUCT($C$812:$V$812,($C$102:$V$102=G$439)*1,($C$6:$V$6="Theorie")*1,$C$9:$V$9))</f>
        <v/>
      </c>
      <c r="H582" s="63">
        <f>IF(H522=0,"",SUMPRODUCT($C$812:$V$812,($C$102:$V$102=H$439)*1,($C$6:$V$6="Theorie")*1,$C$9:$V$9,$C$42:$V$42)/SUMPRODUCT($C$812:$V$812,($C$102:$V$102=H$439)*1,($C$6:$V$6="Theorie")*1,$C$9:$V$9))</f>
        <v/>
      </c>
      <c r="I582" s="63">
        <f>IF(I522=0,"",SUMPRODUCT($C$812:$V$812,($C$102:$V$102=I$439)*1,($C$6:$V$6="Theorie")*1,$C$9:$V$9,$C$42:$V$42)/SUMPRODUCT($C$812:$V$812,($C$102:$V$102=I$439)*1,($C$6:$V$6="Theorie")*1,$C$9:$V$9))</f>
        <v/>
      </c>
      <c r="J582" s="63">
        <f>IF(J522=0,"",SUMPRODUCT($C$812:$V$812,($C$102:$V$102=J$439)*1,($C$6:$V$6="Theorie")*1,$C$9:$V$9,$C$42:$V$42)/SUMPRODUCT($C$812:$V$812,($C$102:$V$102=J$439)*1,($C$6:$V$6="Theorie")*1,$C$9:$V$9))</f>
        <v/>
      </c>
    </row>
    <row r="583">
      <c r="C583" s="63">
        <f>IF(C523=0,"",SUMPRODUCT($C$813:$V$813,($C$103:$V$103=C$439)*1,($C$6:$V$6="Theorie")*1,$C$9:$V$9,$C$43:$V$43)/SUMPRODUCT($C$813:$V$813,($C$103:$V$103=C$439)*1,($C$6:$V$6="Theorie")*1,$C$9:$V$9))</f>
        <v/>
      </c>
      <c r="D583" s="63">
        <f>IF(D523=0,"",SUMPRODUCT($C$813:$V$813,($C$103:$V$103=D$439)*1,($C$6:$V$6="Theorie")*1,$C$9:$V$9,$C$43:$V$43)/SUMPRODUCT($C$813:$V$813,($C$103:$V$103=D$439)*1,($C$6:$V$6="Theorie")*1,$C$9:$V$9))</f>
        <v/>
      </c>
      <c r="E583" s="63">
        <f>IF(E523=0,"",SUMPRODUCT($C$813:$V$813,($C$103:$V$103=E$439)*1,($C$6:$V$6="Theorie")*1,$C$9:$V$9,$C$43:$V$43)/SUMPRODUCT($C$813:$V$813,($C$103:$V$103=E$439)*1,($C$6:$V$6="Theorie")*1,$C$9:$V$9))</f>
        <v/>
      </c>
      <c r="F583" s="63">
        <f>IF(F523=0,"",SUMPRODUCT($C$813:$V$813,($C$103:$V$103=F$439)*1,($C$6:$V$6="Theorie")*1,$C$9:$V$9,$C$43:$V$43)/SUMPRODUCT($C$813:$V$813,($C$103:$V$103=F$439)*1,($C$6:$V$6="Theorie")*1,$C$9:$V$9))</f>
        <v/>
      </c>
      <c r="G583" s="63">
        <f>IF(G523=0,"",SUMPRODUCT($C$813:$V$813,($C$103:$V$103=G$439)*1,($C$6:$V$6="Theorie")*1,$C$9:$V$9,$C$43:$V$43)/SUMPRODUCT($C$813:$V$813,($C$103:$V$103=G$439)*1,($C$6:$V$6="Theorie")*1,$C$9:$V$9))</f>
        <v/>
      </c>
      <c r="H583" s="63">
        <f>IF(H523=0,"",SUMPRODUCT($C$813:$V$813,($C$103:$V$103=H$439)*1,($C$6:$V$6="Theorie")*1,$C$9:$V$9,$C$43:$V$43)/SUMPRODUCT($C$813:$V$813,($C$103:$V$103=H$439)*1,($C$6:$V$6="Theorie")*1,$C$9:$V$9))</f>
        <v/>
      </c>
      <c r="I583" s="63">
        <f>IF(I523=0,"",SUMPRODUCT($C$813:$V$813,($C$103:$V$103=I$439)*1,($C$6:$V$6="Theorie")*1,$C$9:$V$9,$C$43:$V$43)/SUMPRODUCT($C$813:$V$813,($C$103:$V$103=I$439)*1,($C$6:$V$6="Theorie")*1,$C$9:$V$9))</f>
        <v/>
      </c>
      <c r="J583" s="63">
        <f>IF(J523=0,"",SUMPRODUCT($C$813:$V$813,($C$103:$V$103=J$439)*1,($C$6:$V$6="Theorie")*1,$C$9:$V$9,$C$43:$V$43)/SUMPRODUCT($C$813:$V$813,($C$103:$V$103=J$439)*1,($C$6:$V$6="Theorie")*1,$C$9:$V$9))</f>
        <v/>
      </c>
    </row>
    <row r="584">
      <c r="C584" s="63">
        <f>IF(C524=0,"",SUMPRODUCT($C$814:$V$814,($C$104:$V$104=C$439)*1,($C$6:$V$6="Theorie")*1,$C$9:$V$9,$C$44:$V$44)/SUMPRODUCT($C$814:$V$814,($C$104:$V$104=C$439)*1,($C$6:$V$6="Theorie")*1,$C$9:$V$9))</f>
        <v/>
      </c>
      <c r="D584" s="63">
        <f>IF(D524=0,"",SUMPRODUCT($C$814:$V$814,($C$104:$V$104=D$439)*1,($C$6:$V$6="Theorie")*1,$C$9:$V$9,$C$44:$V$44)/SUMPRODUCT($C$814:$V$814,($C$104:$V$104=D$439)*1,($C$6:$V$6="Theorie")*1,$C$9:$V$9))</f>
        <v/>
      </c>
      <c r="E584" s="63">
        <f>IF(E524=0,"",SUMPRODUCT($C$814:$V$814,($C$104:$V$104=E$439)*1,($C$6:$V$6="Theorie")*1,$C$9:$V$9,$C$44:$V$44)/SUMPRODUCT($C$814:$V$814,($C$104:$V$104=E$439)*1,($C$6:$V$6="Theorie")*1,$C$9:$V$9))</f>
        <v/>
      </c>
      <c r="F584" s="63">
        <f>IF(F524=0,"",SUMPRODUCT($C$814:$V$814,($C$104:$V$104=F$439)*1,($C$6:$V$6="Theorie")*1,$C$9:$V$9,$C$44:$V$44)/SUMPRODUCT($C$814:$V$814,($C$104:$V$104=F$439)*1,($C$6:$V$6="Theorie")*1,$C$9:$V$9))</f>
        <v/>
      </c>
      <c r="G584" s="63">
        <f>IF(G524=0,"",SUMPRODUCT($C$814:$V$814,($C$104:$V$104=G$439)*1,($C$6:$V$6="Theorie")*1,$C$9:$V$9,$C$44:$V$44)/SUMPRODUCT($C$814:$V$814,($C$104:$V$104=G$439)*1,($C$6:$V$6="Theorie")*1,$C$9:$V$9))</f>
        <v/>
      </c>
      <c r="H584" s="63">
        <f>IF(H524=0,"",SUMPRODUCT($C$814:$V$814,($C$104:$V$104=H$439)*1,($C$6:$V$6="Theorie")*1,$C$9:$V$9,$C$44:$V$44)/SUMPRODUCT($C$814:$V$814,($C$104:$V$104=H$439)*1,($C$6:$V$6="Theorie")*1,$C$9:$V$9))</f>
        <v/>
      </c>
      <c r="I584" s="63">
        <f>IF(I524=0,"",SUMPRODUCT($C$814:$V$814,($C$104:$V$104=I$439)*1,($C$6:$V$6="Theorie")*1,$C$9:$V$9,$C$44:$V$44)/SUMPRODUCT($C$814:$V$814,($C$104:$V$104=I$439)*1,($C$6:$V$6="Theorie")*1,$C$9:$V$9))</f>
        <v/>
      </c>
      <c r="J584" s="63">
        <f>IF(J524=0,"",SUMPRODUCT($C$814:$V$814,($C$104:$V$104=J$439)*1,($C$6:$V$6="Theorie")*1,$C$9:$V$9,$C$44:$V$44)/SUMPRODUCT($C$814:$V$814,($C$104:$V$104=J$439)*1,($C$6:$V$6="Theorie")*1,$C$9:$V$9))</f>
        <v/>
      </c>
    </row>
    <row r="589">
      <c r="A589" s="162" t="inlineStr">
        <is>
          <t>HJ G</t>
        </is>
      </c>
    </row>
    <row r="590">
      <c r="C590" s="164">
        <f>IF(C440=0,"",IF(EXACT(GewAn,"ja"),IF(AND(C530&lt;&gt;"",C560&lt;&gt;""),(C530*GewP+C560*GewT)/(GewP+GewT),IF(C530&lt;&gt;"",C530,IF(C560&lt;&gt;"",C560,""))),SUMPRODUCT($C$790:$V$790,($C$80:$V$80=C$439)*1,$C$9:$V$9,$C$20:$V$20)/SUMPRODUCT($C$790:$V$790,($C$80:$V$80=C$439)*1,$C$9:$V$9)))</f>
        <v/>
      </c>
      <c r="D590" s="164">
        <f>IF(D440=0,"",IF(EXACT(GewAn,"ja"),IF(AND(D530&lt;&gt;"",D560&lt;&gt;""),(D530*GewP+D560*GewT)/(GewP+GewT),IF(D530&lt;&gt;"",D530,IF(D560&lt;&gt;"",D560,""))),SUMPRODUCT($C$790:$V$790,($C$80:$V$80=D$439)*1,$C$9:$V$9,$C$20:$V$20)/SUMPRODUCT($C$790:$V$790,($C$80:$V$80=D$439)*1,$C$9:$V$9)))</f>
        <v/>
      </c>
      <c r="E590" s="164">
        <f>IF(E440=0,"",IF(EXACT(GewAn,"ja"),IF(AND(E530&lt;&gt;"",E560&lt;&gt;""),(E530*GewP+E560*GewT)/(GewP+GewT),IF(E530&lt;&gt;"",E530,IF(E560&lt;&gt;"",E560,""))),SUMPRODUCT($C$790:$V$790,($C$80:$V$80=E$439)*1,$C$9:$V$9,$C$20:$V$20)/SUMPRODUCT($C$790:$V$790,($C$80:$V$80=E$439)*1,$C$9:$V$9)))</f>
        <v/>
      </c>
      <c r="F590" s="164">
        <f>IF(F440=0,"",IF(EXACT(GewAn,"ja"),IF(AND(F530&lt;&gt;"",F560&lt;&gt;""),(F530*GewP+F560*GewT)/(GewP+GewT),IF(F530&lt;&gt;"",F530,IF(F560&lt;&gt;"",F560,""))),SUMPRODUCT($C$790:$V$790,($C$80:$V$80=F$439)*1,$C$9:$V$9,$C$20:$V$20)/SUMPRODUCT($C$790:$V$790,($C$80:$V$80=F$439)*1,$C$9:$V$9)))</f>
        <v/>
      </c>
      <c r="G590" s="164">
        <f>IF(G440=0,"",IF(EXACT(GewAn,"ja"),IF(AND(G530&lt;&gt;"",G560&lt;&gt;""),(G530*GewP+G560*GewT)/(GewP+GewT),IF(G530&lt;&gt;"",G530,IF(G560&lt;&gt;"",G560,""))),SUMPRODUCT($C$790:$V$790,($C$80:$V$80=G$439)*1,$C$9:$V$9,$C$20:$V$20)/SUMPRODUCT($C$790:$V$790,($C$80:$V$80=G$439)*1,$C$9:$V$9)))</f>
        <v/>
      </c>
      <c r="H590" s="164">
        <f>IF(H440=0,"",IF(EXACT(GewAn,"ja"),IF(AND(H530&lt;&gt;"",H560&lt;&gt;""),(H530*GewP+H560*GewT)/(GewP+GewT),IF(H530&lt;&gt;"",H530,IF(H560&lt;&gt;"",H560,""))),SUMPRODUCT($C$790:$V$790,($C$80:$V$80=H$439)*1,$C$9:$V$9,$C$20:$V$20)/SUMPRODUCT($C$790:$V$790,($C$80:$V$80=H$439)*1,$C$9:$V$9)))</f>
        <v/>
      </c>
      <c r="I590" s="164">
        <f>IF(I440=0,"",IF(EXACT(GewAn,"ja"),IF(AND(I530&lt;&gt;"",I560&lt;&gt;""),(I530*GewP+I560*GewT)/(GewP+GewT),IF(I530&lt;&gt;"",I530,IF(I560&lt;&gt;"",I560,""))),SUMPRODUCT($C$790:$V$790,($C$80:$V$80=I$439)*1,$C$9:$V$9,$C$20:$V$20)/SUMPRODUCT($C$790:$V$790,($C$80:$V$80=I$439)*1,$C$9:$V$9)))</f>
        <v/>
      </c>
      <c r="J590" s="164">
        <f>IF(J440=0,"",IF(EXACT(GewAn,"ja"),IF(AND(J530&lt;&gt;"",J560&lt;&gt;""),(J530*GewP+J560*GewT)/(GewP+GewT),IF(J530&lt;&gt;"",J530,IF(J560&lt;&gt;"",J560,""))),SUMPRODUCT($C$790:$V$790,($C$80:$V$80=J$439)*1,$C$9:$V$9,$C$20:$V$20)/SUMPRODUCT($C$790:$V$790,($C$80:$V$80=J$439)*1,$C$9:$V$9)))</f>
        <v/>
      </c>
    </row>
    <row r="591">
      <c r="C591" s="164">
        <f>IF(C441=0,"",IF(EXACT(GewAn,"ja"),IF(AND(C531&lt;&gt;"",C561&lt;&gt;""),(C531*GewP+C561*GewT)/(GewP+GewT),IF(C531&lt;&gt;"",C531,IF(C561&lt;&gt;"",C561,""))),SUMPRODUCT($C$791:$V$791,($C$81:$V$81=C$439)*1,$C$9:$V$9,$C$21:$V$21)/SUMPRODUCT($C$791:$V$791,($C$81:$V$81=C$439)*1,$C$9:$V$9)))</f>
        <v/>
      </c>
      <c r="D591" s="164">
        <f>IF(D441=0,"",IF(EXACT(GewAn,"ja"),IF(AND(D531&lt;&gt;"",D561&lt;&gt;""),(D531*GewP+D561*GewT)/(GewP+GewT),IF(D531&lt;&gt;"",D531,IF(D561&lt;&gt;"",D561,""))),SUMPRODUCT($C$791:$V$791,($C$81:$V$81=D$439)*1,$C$9:$V$9,$C$21:$V$21)/SUMPRODUCT($C$791:$V$791,($C$81:$V$81=D$439)*1,$C$9:$V$9)))</f>
        <v/>
      </c>
      <c r="E591" s="164">
        <f>IF(E441=0,"",IF(EXACT(GewAn,"ja"),IF(AND(E531&lt;&gt;"",E561&lt;&gt;""),(E531*GewP+E561*GewT)/(GewP+GewT),IF(E531&lt;&gt;"",E531,IF(E561&lt;&gt;"",E561,""))),SUMPRODUCT($C$791:$V$791,($C$81:$V$81=E$439)*1,$C$9:$V$9,$C$21:$V$21)/SUMPRODUCT($C$791:$V$791,($C$81:$V$81=E$439)*1,$C$9:$V$9)))</f>
        <v/>
      </c>
      <c r="F591" s="164">
        <f>IF(F441=0,"",IF(EXACT(GewAn,"ja"),IF(AND(F531&lt;&gt;"",F561&lt;&gt;""),(F531*GewP+F561*GewT)/(GewP+GewT),IF(F531&lt;&gt;"",F531,IF(F561&lt;&gt;"",F561,""))),SUMPRODUCT($C$791:$V$791,($C$81:$V$81=F$439)*1,$C$9:$V$9,$C$21:$V$21)/SUMPRODUCT($C$791:$V$791,($C$81:$V$81=F$439)*1,$C$9:$V$9)))</f>
        <v/>
      </c>
      <c r="G591" s="164">
        <f>IF(G441=0,"",IF(EXACT(GewAn,"ja"),IF(AND(G531&lt;&gt;"",G561&lt;&gt;""),(G531*GewP+G561*GewT)/(GewP+GewT),IF(G531&lt;&gt;"",G531,IF(G561&lt;&gt;"",G561,""))),SUMPRODUCT($C$791:$V$791,($C$81:$V$81=G$439)*1,$C$9:$V$9,$C$21:$V$21)/SUMPRODUCT($C$791:$V$791,($C$81:$V$81=G$439)*1,$C$9:$V$9)))</f>
        <v/>
      </c>
      <c r="H591" s="164">
        <f>IF(H441=0,"",IF(EXACT(GewAn,"ja"),IF(AND(H531&lt;&gt;"",H561&lt;&gt;""),(H531*GewP+H561*GewT)/(GewP+GewT),IF(H531&lt;&gt;"",H531,IF(H561&lt;&gt;"",H561,""))),SUMPRODUCT($C$791:$V$791,($C$81:$V$81=H$439)*1,$C$9:$V$9,$C$21:$V$21)/SUMPRODUCT($C$791:$V$791,($C$81:$V$81=H$439)*1,$C$9:$V$9)))</f>
        <v/>
      </c>
      <c r="I591" s="164">
        <f>IF(I441=0,"",IF(EXACT(GewAn,"ja"),IF(AND(I531&lt;&gt;"",I561&lt;&gt;""),(I531*GewP+I561*GewT)/(GewP+GewT),IF(I531&lt;&gt;"",I531,IF(I561&lt;&gt;"",I561,""))),SUMPRODUCT($C$791:$V$791,($C$81:$V$81=I$439)*1,$C$9:$V$9,$C$21:$V$21)/SUMPRODUCT($C$791:$V$791,($C$81:$V$81=I$439)*1,$C$9:$V$9)))</f>
        <v/>
      </c>
      <c r="J591" s="164">
        <f>IF(J441=0,"",IF(EXACT(GewAn,"ja"),IF(AND(J531&lt;&gt;"",J561&lt;&gt;""),(J531*GewP+J561*GewT)/(GewP+GewT),IF(J531&lt;&gt;"",J531,IF(J561&lt;&gt;"",J561,""))),SUMPRODUCT($C$791:$V$791,($C$81:$V$81=J$439)*1,$C$9:$V$9,$C$21:$V$21)/SUMPRODUCT($C$791:$V$791,($C$81:$V$81=J$439)*1,$C$9:$V$9)))</f>
        <v/>
      </c>
    </row>
    <row r="592">
      <c r="C592" s="164">
        <f>IF(C442=0,"",IF(EXACT(GewAn,"ja"),IF(AND(C532&lt;&gt;"",C562&lt;&gt;""),(C532*GewP+C562*GewT)/(GewP+GewT),IF(C532&lt;&gt;"",C532,IF(C562&lt;&gt;"",C562,""))),SUMPRODUCT($C$792:$V$792,($C$82:$V$82=C$439)*1,$C$9:$V$9,$C$22:$V$22)/SUMPRODUCT($C$792:$V$792,($C$82:$V$82=C$439)*1,$C$9:$V$9)))</f>
        <v/>
      </c>
      <c r="D592" s="164">
        <f>IF(D442=0,"",IF(EXACT(GewAn,"ja"),IF(AND(D532&lt;&gt;"",D562&lt;&gt;""),(D532*GewP+D562*GewT)/(GewP+GewT),IF(D532&lt;&gt;"",D532,IF(D562&lt;&gt;"",D562,""))),SUMPRODUCT($C$792:$V$792,($C$82:$V$82=D$439)*1,$C$9:$V$9,$C$22:$V$22)/SUMPRODUCT($C$792:$V$792,($C$82:$V$82=D$439)*1,$C$9:$V$9)))</f>
        <v/>
      </c>
      <c r="E592" s="164">
        <f>IF(E442=0,"",IF(EXACT(GewAn,"ja"),IF(AND(E532&lt;&gt;"",E562&lt;&gt;""),(E532*GewP+E562*GewT)/(GewP+GewT),IF(E532&lt;&gt;"",E532,IF(E562&lt;&gt;"",E562,""))),SUMPRODUCT($C$792:$V$792,($C$82:$V$82=E$439)*1,$C$9:$V$9,$C$22:$V$22)/SUMPRODUCT($C$792:$V$792,($C$82:$V$82=E$439)*1,$C$9:$V$9)))</f>
        <v/>
      </c>
      <c r="F592" s="164">
        <f>IF(F442=0,"",IF(EXACT(GewAn,"ja"),IF(AND(F532&lt;&gt;"",F562&lt;&gt;""),(F532*GewP+F562*GewT)/(GewP+GewT),IF(F532&lt;&gt;"",F532,IF(F562&lt;&gt;"",F562,""))),SUMPRODUCT($C$792:$V$792,($C$82:$V$82=F$439)*1,$C$9:$V$9,$C$22:$V$22)/SUMPRODUCT($C$792:$V$792,($C$82:$V$82=F$439)*1,$C$9:$V$9)))</f>
        <v/>
      </c>
      <c r="G592" s="164">
        <f>IF(G442=0,"",IF(EXACT(GewAn,"ja"),IF(AND(G532&lt;&gt;"",G562&lt;&gt;""),(G532*GewP+G562*GewT)/(GewP+GewT),IF(G532&lt;&gt;"",G532,IF(G562&lt;&gt;"",G562,""))),SUMPRODUCT($C$792:$V$792,($C$82:$V$82=G$439)*1,$C$9:$V$9,$C$22:$V$22)/SUMPRODUCT($C$792:$V$792,($C$82:$V$82=G$439)*1,$C$9:$V$9)))</f>
        <v/>
      </c>
      <c r="H592" s="164">
        <f>IF(H442=0,"",IF(EXACT(GewAn,"ja"),IF(AND(H532&lt;&gt;"",H562&lt;&gt;""),(H532*GewP+H562*GewT)/(GewP+GewT),IF(H532&lt;&gt;"",H532,IF(H562&lt;&gt;"",H562,""))),SUMPRODUCT($C$792:$V$792,($C$82:$V$82=H$439)*1,$C$9:$V$9,$C$22:$V$22)/SUMPRODUCT($C$792:$V$792,($C$82:$V$82=H$439)*1,$C$9:$V$9)))</f>
        <v/>
      </c>
      <c r="I592" s="164">
        <f>IF(I442=0,"",IF(EXACT(GewAn,"ja"),IF(AND(I532&lt;&gt;"",I562&lt;&gt;""),(I532*GewP+I562*GewT)/(GewP+GewT),IF(I532&lt;&gt;"",I532,IF(I562&lt;&gt;"",I562,""))),SUMPRODUCT($C$792:$V$792,($C$82:$V$82=I$439)*1,$C$9:$V$9,$C$22:$V$22)/SUMPRODUCT($C$792:$V$792,($C$82:$V$82=I$439)*1,$C$9:$V$9)))</f>
        <v/>
      </c>
      <c r="J592" s="164">
        <f>IF(J442=0,"",IF(EXACT(GewAn,"ja"),IF(AND(J532&lt;&gt;"",J562&lt;&gt;""),(J532*GewP+J562*GewT)/(GewP+GewT),IF(J532&lt;&gt;"",J532,IF(J562&lt;&gt;"",J562,""))),SUMPRODUCT($C$792:$V$792,($C$82:$V$82=J$439)*1,$C$9:$V$9,$C$22:$V$22)/SUMPRODUCT($C$792:$V$792,($C$82:$V$82=J$439)*1,$C$9:$V$9)))</f>
        <v/>
      </c>
    </row>
    <row r="593">
      <c r="C593" s="164">
        <f>IF(C443=0,"",IF(EXACT(GewAn,"ja"),IF(AND(C533&lt;&gt;"",C563&lt;&gt;""),(C533*GewP+C563*GewT)/(GewP+GewT),IF(C533&lt;&gt;"",C533,IF(C563&lt;&gt;"",C563,""))),SUMPRODUCT($C$793:$V$793,($C$83:$V$83=C$439)*1,$C$9:$V$9,$C$23:$V$23)/SUMPRODUCT($C$793:$V$793,($C$83:$V$83=C$439)*1,$C$9:$V$9)))</f>
        <v/>
      </c>
      <c r="D593" s="164">
        <f>IF(D443=0,"",IF(EXACT(GewAn,"ja"),IF(AND(D533&lt;&gt;"",D563&lt;&gt;""),(D533*GewP+D563*GewT)/(GewP+GewT),IF(D533&lt;&gt;"",D533,IF(D563&lt;&gt;"",D563,""))),SUMPRODUCT($C$793:$V$793,($C$83:$V$83=D$439)*1,$C$9:$V$9,$C$23:$V$23)/SUMPRODUCT($C$793:$V$793,($C$83:$V$83=D$439)*1,$C$9:$V$9)))</f>
        <v/>
      </c>
      <c r="E593" s="164">
        <f>IF(E443=0,"",IF(EXACT(GewAn,"ja"),IF(AND(E533&lt;&gt;"",E563&lt;&gt;""),(E533*GewP+E563*GewT)/(GewP+GewT),IF(E533&lt;&gt;"",E533,IF(E563&lt;&gt;"",E563,""))),SUMPRODUCT($C$793:$V$793,($C$83:$V$83=E$439)*1,$C$9:$V$9,$C$23:$V$23)/SUMPRODUCT($C$793:$V$793,($C$83:$V$83=E$439)*1,$C$9:$V$9)))</f>
        <v/>
      </c>
      <c r="F593" s="164">
        <f>IF(F443=0,"",IF(EXACT(GewAn,"ja"),IF(AND(F533&lt;&gt;"",F563&lt;&gt;""),(F533*GewP+F563*GewT)/(GewP+GewT),IF(F533&lt;&gt;"",F533,IF(F563&lt;&gt;"",F563,""))),SUMPRODUCT($C$793:$V$793,($C$83:$V$83=F$439)*1,$C$9:$V$9,$C$23:$V$23)/SUMPRODUCT($C$793:$V$793,($C$83:$V$83=F$439)*1,$C$9:$V$9)))</f>
        <v/>
      </c>
      <c r="G593" s="164">
        <f>IF(G443=0,"",IF(EXACT(GewAn,"ja"),IF(AND(G533&lt;&gt;"",G563&lt;&gt;""),(G533*GewP+G563*GewT)/(GewP+GewT),IF(G533&lt;&gt;"",G533,IF(G563&lt;&gt;"",G563,""))),SUMPRODUCT($C$793:$V$793,($C$83:$V$83=G$439)*1,$C$9:$V$9,$C$23:$V$23)/SUMPRODUCT($C$793:$V$793,($C$83:$V$83=G$439)*1,$C$9:$V$9)))</f>
        <v/>
      </c>
      <c r="H593" s="164">
        <f>IF(H443=0,"",IF(EXACT(GewAn,"ja"),IF(AND(H533&lt;&gt;"",H563&lt;&gt;""),(H533*GewP+H563*GewT)/(GewP+GewT),IF(H533&lt;&gt;"",H533,IF(H563&lt;&gt;"",H563,""))),SUMPRODUCT($C$793:$V$793,($C$83:$V$83=H$439)*1,$C$9:$V$9,$C$23:$V$23)/SUMPRODUCT($C$793:$V$793,($C$83:$V$83=H$439)*1,$C$9:$V$9)))</f>
        <v/>
      </c>
      <c r="I593" s="164">
        <f>IF(I443=0,"",IF(EXACT(GewAn,"ja"),IF(AND(I533&lt;&gt;"",I563&lt;&gt;""),(I533*GewP+I563*GewT)/(GewP+GewT),IF(I533&lt;&gt;"",I533,IF(I563&lt;&gt;"",I563,""))),SUMPRODUCT($C$793:$V$793,($C$83:$V$83=I$439)*1,$C$9:$V$9,$C$23:$V$23)/SUMPRODUCT($C$793:$V$793,($C$83:$V$83=I$439)*1,$C$9:$V$9)))</f>
        <v/>
      </c>
      <c r="J593" s="164">
        <f>IF(J443=0,"",IF(EXACT(GewAn,"ja"),IF(AND(J533&lt;&gt;"",J563&lt;&gt;""),(J533*GewP+J563*GewT)/(GewP+GewT),IF(J533&lt;&gt;"",J533,IF(J563&lt;&gt;"",J563,""))),SUMPRODUCT($C$793:$V$793,($C$83:$V$83=J$439)*1,$C$9:$V$9,$C$23:$V$23)/SUMPRODUCT($C$793:$V$793,($C$83:$V$83=J$439)*1,$C$9:$V$9)))</f>
        <v/>
      </c>
    </row>
    <row r="594">
      <c r="C594" s="164">
        <f>IF(C444=0,"",IF(EXACT(GewAn,"ja"),IF(AND(C534&lt;&gt;"",C564&lt;&gt;""),(C534*GewP+C564*GewT)/(GewP+GewT),IF(C534&lt;&gt;"",C534,IF(C564&lt;&gt;"",C564,""))),SUMPRODUCT($C$794:$V$794,($C$84:$V$84=C$439)*1,$C$9:$V$9,$C$24:$V$24)/SUMPRODUCT($C$794:$V$794,($C$84:$V$84=C$439)*1,$C$9:$V$9)))</f>
        <v/>
      </c>
      <c r="D594" s="164">
        <f>IF(D444=0,"",IF(EXACT(GewAn,"ja"),IF(AND(D534&lt;&gt;"",D564&lt;&gt;""),(D534*GewP+D564*GewT)/(GewP+GewT),IF(D534&lt;&gt;"",D534,IF(D564&lt;&gt;"",D564,""))),SUMPRODUCT($C$794:$V$794,($C$84:$V$84=D$439)*1,$C$9:$V$9,$C$24:$V$24)/SUMPRODUCT($C$794:$V$794,($C$84:$V$84=D$439)*1,$C$9:$V$9)))</f>
        <v/>
      </c>
      <c r="E594" s="164">
        <f>IF(E444=0,"",IF(EXACT(GewAn,"ja"),IF(AND(E534&lt;&gt;"",E564&lt;&gt;""),(E534*GewP+E564*GewT)/(GewP+GewT),IF(E534&lt;&gt;"",E534,IF(E564&lt;&gt;"",E564,""))),SUMPRODUCT($C$794:$V$794,($C$84:$V$84=E$439)*1,$C$9:$V$9,$C$24:$V$24)/SUMPRODUCT($C$794:$V$794,($C$84:$V$84=E$439)*1,$C$9:$V$9)))</f>
        <v/>
      </c>
      <c r="F594" s="164">
        <f>IF(F444=0,"",IF(EXACT(GewAn,"ja"),IF(AND(F534&lt;&gt;"",F564&lt;&gt;""),(F534*GewP+F564*GewT)/(GewP+GewT),IF(F534&lt;&gt;"",F534,IF(F564&lt;&gt;"",F564,""))),SUMPRODUCT($C$794:$V$794,($C$84:$V$84=F$439)*1,$C$9:$V$9,$C$24:$V$24)/SUMPRODUCT($C$794:$V$794,($C$84:$V$84=F$439)*1,$C$9:$V$9)))</f>
        <v/>
      </c>
      <c r="G594" s="164">
        <f>IF(G444=0,"",IF(EXACT(GewAn,"ja"),IF(AND(G534&lt;&gt;"",G564&lt;&gt;""),(G534*GewP+G564*GewT)/(GewP+GewT),IF(G534&lt;&gt;"",G534,IF(G564&lt;&gt;"",G564,""))),SUMPRODUCT($C$794:$V$794,($C$84:$V$84=G$439)*1,$C$9:$V$9,$C$24:$V$24)/SUMPRODUCT($C$794:$V$794,($C$84:$V$84=G$439)*1,$C$9:$V$9)))</f>
        <v/>
      </c>
      <c r="H594" s="164">
        <f>IF(H444=0,"",IF(EXACT(GewAn,"ja"),IF(AND(H534&lt;&gt;"",H564&lt;&gt;""),(H534*GewP+H564*GewT)/(GewP+GewT),IF(H534&lt;&gt;"",H534,IF(H564&lt;&gt;"",H564,""))),SUMPRODUCT($C$794:$V$794,($C$84:$V$84=H$439)*1,$C$9:$V$9,$C$24:$V$24)/SUMPRODUCT($C$794:$V$794,($C$84:$V$84=H$439)*1,$C$9:$V$9)))</f>
        <v/>
      </c>
      <c r="I594" s="164">
        <f>IF(I444=0,"",IF(EXACT(GewAn,"ja"),IF(AND(I534&lt;&gt;"",I564&lt;&gt;""),(I534*GewP+I564*GewT)/(GewP+GewT),IF(I534&lt;&gt;"",I534,IF(I564&lt;&gt;"",I564,""))),SUMPRODUCT($C$794:$V$794,($C$84:$V$84=I$439)*1,$C$9:$V$9,$C$24:$V$24)/SUMPRODUCT($C$794:$V$794,($C$84:$V$84=I$439)*1,$C$9:$V$9)))</f>
        <v/>
      </c>
      <c r="J594" s="164">
        <f>IF(J444=0,"",IF(EXACT(GewAn,"ja"),IF(AND(J534&lt;&gt;"",J564&lt;&gt;""),(J534*GewP+J564*GewT)/(GewP+GewT),IF(J534&lt;&gt;"",J534,IF(J564&lt;&gt;"",J564,""))),SUMPRODUCT($C$794:$V$794,($C$84:$V$84=J$439)*1,$C$9:$V$9,$C$24:$V$24)/SUMPRODUCT($C$794:$V$794,($C$84:$V$84=J$439)*1,$C$9:$V$9)))</f>
        <v/>
      </c>
    </row>
    <row r="595">
      <c r="C595" s="164">
        <f>IF(C445=0,"",IF(EXACT(GewAn,"ja"),IF(AND(C535&lt;&gt;"",C565&lt;&gt;""),(C535*GewP+C565*GewT)/(GewP+GewT),IF(C535&lt;&gt;"",C535,IF(C565&lt;&gt;"",C565,""))),SUMPRODUCT($C$795:$V$795,($C$85:$V$85=C$439)*1,$C$9:$V$9,$C$25:$V$25)/SUMPRODUCT($C$795:$V$795,($C$85:$V$85=C$439)*1,$C$9:$V$9)))</f>
        <v/>
      </c>
      <c r="D595" s="164">
        <f>IF(D445=0,"",IF(EXACT(GewAn,"ja"),IF(AND(D535&lt;&gt;"",D565&lt;&gt;""),(D535*GewP+D565*GewT)/(GewP+GewT),IF(D535&lt;&gt;"",D535,IF(D565&lt;&gt;"",D565,""))),SUMPRODUCT($C$795:$V$795,($C$85:$V$85=D$439)*1,$C$9:$V$9,$C$25:$V$25)/SUMPRODUCT($C$795:$V$795,($C$85:$V$85=D$439)*1,$C$9:$V$9)))</f>
        <v/>
      </c>
      <c r="E595" s="164">
        <f>IF(E445=0,"",IF(EXACT(GewAn,"ja"),IF(AND(E535&lt;&gt;"",E565&lt;&gt;""),(E535*GewP+E565*GewT)/(GewP+GewT),IF(E535&lt;&gt;"",E535,IF(E565&lt;&gt;"",E565,""))),SUMPRODUCT($C$795:$V$795,($C$85:$V$85=E$439)*1,$C$9:$V$9,$C$25:$V$25)/SUMPRODUCT($C$795:$V$795,($C$85:$V$85=E$439)*1,$C$9:$V$9)))</f>
        <v/>
      </c>
      <c r="F595" s="164">
        <f>IF(F445=0,"",IF(EXACT(GewAn,"ja"),IF(AND(F535&lt;&gt;"",F565&lt;&gt;""),(F535*GewP+F565*GewT)/(GewP+GewT),IF(F535&lt;&gt;"",F535,IF(F565&lt;&gt;"",F565,""))),SUMPRODUCT($C$795:$V$795,($C$85:$V$85=F$439)*1,$C$9:$V$9,$C$25:$V$25)/SUMPRODUCT($C$795:$V$795,($C$85:$V$85=F$439)*1,$C$9:$V$9)))</f>
        <v/>
      </c>
      <c r="G595" s="164">
        <f>IF(G445=0,"",IF(EXACT(GewAn,"ja"),IF(AND(G535&lt;&gt;"",G565&lt;&gt;""),(G535*GewP+G565*GewT)/(GewP+GewT),IF(G535&lt;&gt;"",G535,IF(G565&lt;&gt;"",G565,""))),SUMPRODUCT($C$795:$V$795,($C$85:$V$85=G$439)*1,$C$9:$V$9,$C$25:$V$25)/SUMPRODUCT($C$795:$V$795,($C$85:$V$85=G$439)*1,$C$9:$V$9)))</f>
        <v/>
      </c>
      <c r="H595" s="164">
        <f>IF(H445=0,"",IF(EXACT(GewAn,"ja"),IF(AND(H535&lt;&gt;"",H565&lt;&gt;""),(H535*GewP+H565*GewT)/(GewP+GewT),IF(H535&lt;&gt;"",H535,IF(H565&lt;&gt;"",H565,""))),SUMPRODUCT($C$795:$V$795,($C$85:$V$85=H$439)*1,$C$9:$V$9,$C$25:$V$25)/SUMPRODUCT($C$795:$V$795,($C$85:$V$85=H$439)*1,$C$9:$V$9)))</f>
        <v/>
      </c>
      <c r="I595" s="164">
        <f>IF(I445=0,"",IF(EXACT(GewAn,"ja"),IF(AND(I535&lt;&gt;"",I565&lt;&gt;""),(I535*GewP+I565*GewT)/(GewP+GewT),IF(I535&lt;&gt;"",I535,IF(I565&lt;&gt;"",I565,""))),SUMPRODUCT($C$795:$V$795,($C$85:$V$85=I$439)*1,$C$9:$V$9,$C$25:$V$25)/SUMPRODUCT($C$795:$V$795,($C$85:$V$85=I$439)*1,$C$9:$V$9)))</f>
        <v/>
      </c>
      <c r="J595" s="164">
        <f>IF(J445=0,"",IF(EXACT(GewAn,"ja"),IF(AND(J535&lt;&gt;"",J565&lt;&gt;""),(J535*GewP+J565*GewT)/(GewP+GewT),IF(J535&lt;&gt;"",J535,IF(J565&lt;&gt;"",J565,""))),SUMPRODUCT($C$795:$V$795,($C$85:$V$85=J$439)*1,$C$9:$V$9,$C$25:$V$25)/SUMPRODUCT($C$795:$V$795,($C$85:$V$85=J$439)*1,$C$9:$V$9)))</f>
        <v/>
      </c>
    </row>
    <row r="596">
      <c r="C596" s="164">
        <f>IF(C446=0,"",IF(EXACT(GewAn,"ja"),IF(AND(C536&lt;&gt;"",C566&lt;&gt;""),(C536*GewP+C566*GewT)/(GewP+GewT),IF(C536&lt;&gt;"",C536,IF(C566&lt;&gt;"",C566,""))),SUMPRODUCT($C$796:$V$796,($C$86:$V$86=C$439)*1,$C$9:$V$9,$C$26:$V$26)/SUMPRODUCT($C$796:$V$796,($C$86:$V$86=C$439)*1,$C$9:$V$9)))</f>
        <v/>
      </c>
      <c r="D596" s="164">
        <f>IF(D446=0,"",IF(EXACT(GewAn,"ja"),IF(AND(D536&lt;&gt;"",D566&lt;&gt;""),(D536*GewP+D566*GewT)/(GewP+GewT),IF(D536&lt;&gt;"",D536,IF(D566&lt;&gt;"",D566,""))),SUMPRODUCT($C$796:$V$796,($C$86:$V$86=D$439)*1,$C$9:$V$9,$C$26:$V$26)/SUMPRODUCT($C$796:$V$796,($C$86:$V$86=D$439)*1,$C$9:$V$9)))</f>
        <v/>
      </c>
      <c r="E596" s="164">
        <f>IF(E446=0,"",IF(EXACT(GewAn,"ja"),IF(AND(E536&lt;&gt;"",E566&lt;&gt;""),(E536*GewP+E566*GewT)/(GewP+GewT),IF(E536&lt;&gt;"",E536,IF(E566&lt;&gt;"",E566,""))),SUMPRODUCT($C$796:$V$796,($C$86:$V$86=E$439)*1,$C$9:$V$9,$C$26:$V$26)/SUMPRODUCT($C$796:$V$796,($C$86:$V$86=E$439)*1,$C$9:$V$9)))</f>
        <v/>
      </c>
      <c r="F596" s="164">
        <f>IF(F446=0,"",IF(EXACT(GewAn,"ja"),IF(AND(F536&lt;&gt;"",F566&lt;&gt;""),(F536*GewP+F566*GewT)/(GewP+GewT),IF(F536&lt;&gt;"",F536,IF(F566&lt;&gt;"",F566,""))),SUMPRODUCT($C$796:$V$796,($C$86:$V$86=F$439)*1,$C$9:$V$9,$C$26:$V$26)/SUMPRODUCT($C$796:$V$796,($C$86:$V$86=F$439)*1,$C$9:$V$9)))</f>
        <v/>
      </c>
      <c r="G596" s="164">
        <f>IF(G446=0,"",IF(EXACT(GewAn,"ja"),IF(AND(G536&lt;&gt;"",G566&lt;&gt;""),(G536*GewP+G566*GewT)/(GewP+GewT),IF(G536&lt;&gt;"",G536,IF(G566&lt;&gt;"",G566,""))),SUMPRODUCT($C$796:$V$796,($C$86:$V$86=G$439)*1,$C$9:$V$9,$C$26:$V$26)/SUMPRODUCT($C$796:$V$796,($C$86:$V$86=G$439)*1,$C$9:$V$9)))</f>
        <v/>
      </c>
      <c r="H596" s="164">
        <f>IF(H446=0,"",IF(EXACT(GewAn,"ja"),IF(AND(H536&lt;&gt;"",H566&lt;&gt;""),(H536*GewP+H566*GewT)/(GewP+GewT),IF(H536&lt;&gt;"",H536,IF(H566&lt;&gt;"",H566,""))),SUMPRODUCT($C$796:$V$796,($C$86:$V$86=H$439)*1,$C$9:$V$9,$C$26:$V$26)/SUMPRODUCT($C$796:$V$796,($C$86:$V$86=H$439)*1,$C$9:$V$9)))</f>
        <v/>
      </c>
      <c r="I596" s="164">
        <f>IF(I446=0,"",IF(EXACT(GewAn,"ja"),IF(AND(I536&lt;&gt;"",I566&lt;&gt;""),(I536*GewP+I566*GewT)/(GewP+GewT),IF(I536&lt;&gt;"",I536,IF(I566&lt;&gt;"",I566,""))),SUMPRODUCT($C$796:$V$796,($C$86:$V$86=I$439)*1,$C$9:$V$9,$C$26:$V$26)/SUMPRODUCT($C$796:$V$796,($C$86:$V$86=I$439)*1,$C$9:$V$9)))</f>
        <v/>
      </c>
      <c r="J596" s="164">
        <f>IF(J446=0,"",IF(EXACT(GewAn,"ja"),IF(AND(J536&lt;&gt;"",J566&lt;&gt;""),(J536*GewP+J566*GewT)/(GewP+GewT),IF(J536&lt;&gt;"",J536,IF(J566&lt;&gt;"",J566,""))),SUMPRODUCT($C$796:$V$796,($C$86:$V$86=J$439)*1,$C$9:$V$9,$C$26:$V$26)/SUMPRODUCT($C$796:$V$796,($C$86:$V$86=J$439)*1,$C$9:$V$9)))</f>
        <v/>
      </c>
    </row>
    <row r="597">
      <c r="C597" s="164">
        <f>IF(C447=0,"",IF(EXACT(GewAn,"ja"),IF(AND(C537&lt;&gt;"",C567&lt;&gt;""),(C537*GewP+C567*GewT)/(GewP+GewT),IF(C537&lt;&gt;"",C537,IF(C567&lt;&gt;"",C567,""))),SUMPRODUCT($C$797:$V$797,($C$87:$V$87=C$439)*1,$C$9:$V$9,$C$27:$V$27)/SUMPRODUCT($C$797:$V$797,($C$87:$V$87=C$439)*1,$C$9:$V$9)))</f>
        <v/>
      </c>
      <c r="D597" s="164">
        <f>IF(D447=0,"",IF(EXACT(GewAn,"ja"),IF(AND(D537&lt;&gt;"",D567&lt;&gt;""),(D537*GewP+D567*GewT)/(GewP+GewT),IF(D537&lt;&gt;"",D537,IF(D567&lt;&gt;"",D567,""))),SUMPRODUCT($C$797:$V$797,($C$87:$V$87=D$439)*1,$C$9:$V$9,$C$27:$V$27)/SUMPRODUCT($C$797:$V$797,($C$87:$V$87=D$439)*1,$C$9:$V$9)))</f>
        <v/>
      </c>
      <c r="E597" s="164">
        <f>IF(E447=0,"",IF(EXACT(GewAn,"ja"),IF(AND(E537&lt;&gt;"",E567&lt;&gt;""),(E537*GewP+E567*GewT)/(GewP+GewT),IF(E537&lt;&gt;"",E537,IF(E567&lt;&gt;"",E567,""))),SUMPRODUCT($C$797:$V$797,($C$87:$V$87=E$439)*1,$C$9:$V$9,$C$27:$V$27)/SUMPRODUCT($C$797:$V$797,($C$87:$V$87=E$439)*1,$C$9:$V$9)))</f>
        <v/>
      </c>
      <c r="F597" s="164">
        <f>IF(F447=0,"",IF(EXACT(GewAn,"ja"),IF(AND(F537&lt;&gt;"",F567&lt;&gt;""),(F537*GewP+F567*GewT)/(GewP+GewT),IF(F537&lt;&gt;"",F537,IF(F567&lt;&gt;"",F567,""))),SUMPRODUCT($C$797:$V$797,($C$87:$V$87=F$439)*1,$C$9:$V$9,$C$27:$V$27)/SUMPRODUCT($C$797:$V$797,($C$87:$V$87=F$439)*1,$C$9:$V$9)))</f>
        <v/>
      </c>
      <c r="G597" s="164">
        <f>IF(G447=0,"",IF(EXACT(GewAn,"ja"),IF(AND(G537&lt;&gt;"",G567&lt;&gt;""),(G537*GewP+G567*GewT)/(GewP+GewT),IF(G537&lt;&gt;"",G537,IF(G567&lt;&gt;"",G567,""))),SUMPRODUCT($C$797:$V$797,($C$87:$V$87=G$439)*1,$C$9:$V$9,$C$27:$V$27)/SUMPRODUCT($C$797:$V$797,($C$87:$V$87=G$439)*1,$C$9:$V$9)))</f>
        <v/>
      </c>
      <c r="H597" s="164">
        <f>IF(H447=0,"",IF(EXACT(GewAn,"ja"),IF(AND(H537&lt;&gt;"",H567&lt;&gt;""),(H537*GewP+H567*GewT)/(GewP+GewT),IF(H537&lt;&gt;"",H537,IF(H567&lt;&gt;"",H567,""))),SUMPRODUCT($C$797:$V$797,($C$87:$V$87=H$439)*1,$C$9:$V$9,$C$27:$V$27)/SUMPRODUCT($C$797:$V$797,($C$87:$V$87=H$439)*1,$C$9:$V$9)))</f>
        <v/>
      </c>
      <c r="I597" s="164">
        <f>IF(I447=0,"",IF(EXACT(GewAn,"ja"),IF(AND(I537&lt;&gt;"",I567&lt;&gt;""),(I537*GewP+I567*GewT)/(GewP+GewT),IF(I537&lt;&gt;"",I537,IF(I567&lt;&gt;"",I567,""))),SUMPRODUCT($C$797:$V$797,($C$87:$V$87=I$439)*1,$C$9:$V$9,$C$27:$V$27)/SUMPRODUCT($C$797:$V$797,($C$87:$V$87=I$439)*1,$C$9:$V$9)))</f>
        <v/>
      </c>
      <c r="J597" s="164">
        <f>IF(J447=0,"",IF(EXACT(GewAn,"ja"),IF(AND(J537&lt;&gt;"",J567&lt;&gt;""),(J537*GewP+J567*GewT)/(GewP+GewT),IF(J537&lt;&gt;"",J537,IF(J567&lt;&gt;"",J567,""))),SUMPRODUCT($C$797:$V$797,($C$87:$V$87=J$439)*1,$C$9:$V$9,$C$27:$V$27)/SUMPRODUCT($C$797:$V$797,($C$87:$V$87=J$439)*1,$C$9:$V$9)))</f>
        <v/>
      </c>
    </row>
    <row r="598">
      <c r="C598" s="164">
        <f>IF(C448=0,"",IF(EXACT(GewAn,"ja"),IF(AND(C538&lt;&gt;"",C568&lt;&gt;""),(C538*GewP+C568*GewT)/(GewP+GewT),IF(C538&lt;&gt;"",C538,IF(C568&lt;&gt;"",C568,""))),SUMPRODUCT($C$798:$V$798,($C$88:$V$88=C$439)*1,$C$9:$V$9,$C$28:$V$28)/SUMPRODUCT($C$798:$V$798,($C$88:$V$88=C$439)*1,$C$9:$V$9)))</f>
        <v/>
      </c>
      <c r="D598" s="164">
        <f>IF(D448=0,"",IF(EXACT(GewAn,"ja"),IF(AND(D538&lt;&gt;"",D568&lt;&gt;""),(D538*GewP+D568*GewT)/(GewP+GewT),IF(D538&lt;&gt;"",D538,IF(D568&lt;&gt;"",D568,""))),SUMPRODUCT($C$798:$V$798,($C$88:$V$88=D$439)*1,$C$9:$V$9,$C$28:$V$28)/SUMPRODUCT($C$798:$V$798,($C$88:$V$88=D$439)*1,$C$9:$V$9)))</f>
        <v/>
      </c>
      <c r="E598" s="164">
        <f>IF(E448=0,"",IF(EXACT(GewAn,"ja"),IF(AND(E538&lt;&gt;"",E568&lt;&gt;""),(E538*GewP+E568*GewT)/(GewP+GewT),IF(E538&lt;&gt;"",E538,IF(E568&lt;&gt;"",E568,""))),SUMPRODUCT($C$798:$V$798,($C$88:$V$88=E$439)*1,$C$9:$V$9,$C$28:$V$28)/SUMPRODUCT($C$798:$V$798,($C$88:$V$88=E$439)*1,$C$9:$V$9)))</f>
        <v/>
      </c>
      <c r="F598" s="164">
        <f>IF(F448=0,"",IF(EXACT(GewAn,"ja"),IF(AND(F538&lt;&gt;"",F568&lt;&gt;""),(F538*GewP+F568*GewT)/(GewP+GewT),IF(F538&lt;&gt;"",F538,IF(F568&lt;&gt;"",F568,""))),SUMPRODUCT($C$798:$V$798,($C$88:$V$88=F$439)*1,$C$9:$V$9,$C$28:$V$28)/SUMPRODUCT($C$798:$V$798,($C$88:$V$88=F$439)*1,$C$9:$V$9)))</f>
        <v/>
      </c>
      <c r="G598" s="164">
        <f>IF(G448=0,"",IF(EXACT(GewAn,"ja"),IF(AND(G538&lt;&gt;"",G568&lt;&gt;""),(G538*GewP+G568*GewT)/(GewP+GewT),IF(G538&lt;&gt;"",G538,IF(G568&lt;&gt;"",G568,""))),SUMPRODUCT($C$798:$V$798,($C$88:$V$88=G$439)*1,$C$9:$V$9,$C$28:$V$28)/SUMPRODUCT($C$798:$V$798,($C$88:$V$88=G$439)*1,$C$9:$V$9)))</f>
        <v/>
      </c>
      <c r="H598" s="164">
        <f>IF(H448=0,"",IF(EXACT(GewAn,"ja"),IF(AND(H538&lt;&gt;"",H568&lt;&gt;""),(H538*GewP+H568*GewT)/(GewP+GewT),IF(H538&lt;&gt;"",H538,IF(H568&lt;&gt;"",H568,""))),SUMPRODUCT($C$798:$V$798,($C$88:$V$88=H$439)*1,$C$9:$V$9,$C$28:$V$28)/SUMPRODUCT($C$798:$V$798,($C$88:$V$88=H$439)*1,$C$9:$V$9)))</f>
        <v/>
      </c>
      <c r="I598" s="164">
        <f>IF(I448=0,"",IF(EXACT(GewAn,"ja"),IF(AND(I538&lt;&gt;"",I568&lt;&gt;""),(I538*GewP+I568*GewT)/(GewP+GewT),IF(I538&lt;&gt;"",I538,IF(I568&lt;&gt;"",I568,""))),SUMPRODUCT($C$798:$V$798,($C$88:$V$88=I$439)*1,$C$9:$V$9,$C$28:$V$28)/SUMPRODUCT($C$798:$V$798,($C$88:$V$88=I$439)*1,$C$9:$V$9)))</f>
        <v/>
      </c>
      <c r="J598" s="164">
        <f>IF(J448=0,"",IF(EXACT(GewAn,"ja"),IF(AND(J538&lt;&gt;"",J568&lt;&gt;""),(J538*GewP+J568*GewT)/(GewP+GewT),IF(J538&lt;&gt;"",J538,IF(J568&lt;&gt;"",J568,""))),SUMPRODUCT($C$798:$V$798,($C$88:$V$88=J$439)*1,$C$9:$V$9,$C$28:$V$28)/SUMPRODUCT($C$798:$V$798,($C$88:$V$88=J$439)*1,$C$9:$V$9)))</f>
        <v/>
      </c>
    </row>
    <row r="599">
      <c r="C599" s="164">
        <f>IF(C449=0,"",IF(EXACT(GewAn,"ja"),IF(AND(C539&lt;&gt;"",C569&lt;&gt;""),(C539*GewP+C569*GewT)/(GewP+GewT),IF(C539&lt;&gt;"",C539,IF(C569&lt;&gt;"",C569,""))),SUMPRODUCT($C$799:$V$799,($C$89:$V$89=C$439)*1,$C$9:$V$9,$C$29:$V$29)/SUMPRODUCT($C$799:$V$799,($C$89:$V$89=C$439)*1,$C$9:$V$9)))</f>
        <v/>
      </c>
      <c r="D599" s="164">
        <f>IF(D449=0,"",IF(EXACT(GewAn,"ja"),IF(AND(D539&lt;&gt;"",D569&lt;&gt;""),(D539*GewP+D569*GewT)/(GewP+GewT),IF(D539&lt;&gt;"",D539,IF(D569&lt;&gt;"",D569,""))),SUMPRODUCT($C$799:$V$799,($C$89:$V$89=D$439)*1,$C$9:$V$9,$C$29:$V$29)/SUMPRODUCT($C$799:$V$799,($C$89:$V$89=D$439)*1,$C$9:$V$9)))</f>
        <v/>
      </c>
      <c r="E599" s="164">
        <f>IF(E449=0,"",IF(EXACT(GewAn,"ja"),IF(AND(E539&lt;&gt;"",E569&lt;&gt;""),(E539*GewP+E569*GewT)/(GewP+GewT),IF(E539&lt;&gt;"",E539,IF(E569&lt;&gt;"",E569,""))),SUMPRODUCT($C$799:$V$799,($C$89:$V$89=E$439)*1,$C$9:$V$9,$C$29:$V$29)/SUMPRODUCT($C$799:$V$799,($C$89:$V$89=E$439)*1,$C$9:$V$9)))</f>
        <v/>
      </c>
      <c r="F599" s="164">
        <f>IF(F449=0,"",IF(EXACT(GewAn,"ja"),IF(AND(F539&lt;&gt;"",F569&lt;&gt;""),(F539*GewP+F569*GewT)/(GewP+GewT),IF(F539&lt;&gt;"",F539,IF(F569&lt;&gt;"",F569,""))),SUMPRODUCT($C$799:$V$799,($C$89:$V$89=F$439)*1,$C$9:$V$9,$C$29:$V$29)/SUMPRODUCT($C$799:$V$799,($C$89:$V$89=F$439)*1,$C$9:$V$9)))</f>
        <v/>
      </c>
      <c r="G599" s="164">
        <f>IF(G449=0,"",IF(EXACT(GewAn,"ja"),IF(AND(G539&lt;&gt;"",G569&lt;&gt;""),(G539*GewP+G569*GewT)/(GewP+GewT),IF(G539&lt;&gt;"",G539,IF(G569&lt;&gt;"",G569,""))),SUMPRODUCT($C$799:$V$799,($C$89:$V$89=G$439)*1,$C$9:$V$9,$C$29:$V$29)/SUMPRODUCT($C$799:$V$799,($C$89:$V$89=G$439)*1,$C$9:$V$9)))</f>
        <v/>
      </c>
      <c r="H599" s="164">
        <f>IF(H449=0,"",IF(EXACT(GewAn,"ja"),IF(AND(H539&lt;&gt;"",H569&lt;&gt;""),(H539*GewP+H569*GewT)/(GewP+GewT),IF(H539&lt;&gt;"",H539,IF(H569&lt;&gt;"",H569,""))),SUMPRODUCT($C$799:$V$799,($C$89:$V$89=H$439)*1,$C$9:$V$9,$C$29:$V$29)/SUMPRODUCT($C$799:$V$799,($C$89:$V$89=H$439)*1,$C$9:$V$9)))</f>
        <v/>
      </c>
      <c r="I599" s="164">
        <f>IF(I449=0,"",IF(EXACT(GewAn,"ja"),IF(AND(I539&lt;&gt;"",I569&lt;&gt;""),(I539*GewP+I569*GewT)/(GewP+GewT),IF(I539&lt;&gt;"",I539,IF(I569&lt;&gt;"",I569,""))),SUMPRODUCT($C$799:$V$799,($C$89:$V$89=I$439)*1,$C$9:$V$9,$C$29:$V$29)/SUMPRODUCT($C$799:$V$799,($C$89:$V$89=I$439)*1,$C$9:$V$9)))</f>
        <v/>
      </c>
      <c r="J599" s="164">
        <f>IF(J449=0,"",IF(EXACT(GewAn,"ja"),IF(AND(J539&lt;&gt;"",J569&lt;&gt;""),(J539*GewP+J569*GewT)/(GewP+GewT),IF(J539&lt;&gt;"",J539,IF(J569&lt;&gt;"",J569,""))),SUMPRODUCT($C$799:$V$799,($C$89:$V$89=J$439)*1,$C$9:$V$9,$C$29:$V$29)/SUMPRODUCT($C$799:$V$799,($C$89:$V$89=J$439)*1,$C$9:$V$9)))</f>
        <v/>
      </c>
    </row>
    <row r="600">
      <c r="C600" s="164">
        <f>IF(C450=0,"",IF(EXACT(GewAn,"ja"),IF(AND(C540&lt;&gt;"",C570&lt;&gt;""),(C540*GewP+C570*GewT)/(GewP+GewT),IF(C540&lt;&gt;"",C540,IF(C570&lt;&gt;"",C570,""))),SUMPRODUCT($C$800:$V$800,($C$90:$V$90=C$439)*1,$C$9:$V$9,$C$30:$V$30)/SUMPRODUCT($C$800:$V$800,($C$90:$V$90=C$439)*1,$C$9:$V$9)))</f>
        <v/>
      </c>
      <c r="D600" s="164">
        <f>IF(D450=0,"",IF(EXACT(GewAn,"ja"),IF(AND(D540&lt;&gt;"",D570&lt;&gt;""),(D540*GewP+D570*GewT)/(GewP+GewT),IF(D540&lt;&gt;"",D540,IF(D570&lt;&gt;"",D570,""))),SUMPRODUCT($C$800:$V$800,($C$90:$V$90=D$439)*1,$C$9:$V$9,$C$30:$V$30)/SUMPRODUCT($C$800:$V$800,($C$90:$V$90=D$439)*1,$C$9:$V$9)))</f>
        <v/>
      </c>
      <c r="E600" s="164">
        <f>IF(E450=0,"",IF(EXACT(GewAn,"ja"),IF(AND(E540&lt;&gt;"",E570&lt;&gt;""),(E540*GewP+E570*GewT)/(GewP+GewT),IF(E540&lt;&gt;"",E540,IF(E570&lt;&gt;"",E570,""))),SUMPRODUCT($C$800:$V$800,($C$90:$V$90=E$439)*1,$C$9:$V$9,$C$30:$V$30)/SUMPRODUCT($C$800:$V$800,($C$90:$V$90=E$439)*1,$C$9:$V$9)))</f>
        <v/>
      </c>
      <c r="F600" s="164">
        <f>IF(F450=0,"",IF(EXACT(GewAn,"ja"),IF(AND(F540&lt;&gt;"",F570&lt;&gt;""),(F540*GewP+F570*GewT)/(GewP+GewT),IF(F540&lt;&gt;"",F540,IF(F570&lt;&gt;"",F570,""))),SUMPRODUCT($C$800:$V$800,($C$90:$V$90=F$439)*1,$C$9:$V$9,$C$30:$V$30)/SUMPRODUCT($C$800:$V$800,($C$90:$V$90=F$439)*1,$C$9:$V$9)))</f>
        <v/>
      </c>
      <c r="G600" s="164">
        <f>IF(G450=0,"",IF(EXACT(GewAn,"ja"),IF(AND(G540&lt;&gt;"",G570&lt;&gt;""),(G540*GewP+G570*GewT)/(GewP+GewT),IF(G540&lt;&gt;"",G540,IF(G570&lt;&gt;"",G570,""))),SUMPRODUCT($C$800:$V$800,($C$90:$V$90=G$439)*1,$C$9:$V$9,$C$30:$V$30)/SUMPRODUCT($C$800:$V$800,($C$90:$V$90=G$439)*1,$C$9:$V$9)))</f>
        <v/>
      </c>
      <c r="H600" s="164">
        <f>IF(H450=0,"",IF(EXACT(GewAn,"ja"),IF(AND(H540&lt;&gt;"",H570&lt;&gt;""),(H540*GewP+H570*GewT)/(GewP+GewT),IF(H540&lt;&gt;"",H540,IF(H570&lt;&gt;"",H570,""))),SUMPRODUCT($C$800:$V$800,($C$90:$V$90=H$439)*1,$C$9:$V$9,$C$30:$V$30)/SUMPRODUCT($C$800:$V$800,($C$90:$V$90=H$439)*1,$C$9:$V$9)))</f>
        <v/>
      </c>
      <c r="I600" s="164">
        <f>IF(I450=0,"",IF(EXACT(GewAn,"ja"),IF(AND(I540&lt;&gt;"",I570&lt;&gt;""),(I540*GewP+I570*GewT)/(GewP+GewT),IF(I540&lt;&gt;"",I540,IF(I570&lt;&gt;"",I570,""))),SUMPRODUCT($C$800:$V$800,($C$90:$V$90=I$439)*1,$C$9:$V$9,$C$30:$V$30)/SUMPRODUCT($C$800:$V$800,($C$90:$V$90=I$439)*1,$C$9:$V$9)))</f>
        <v/>
      </c>
      <c r="J600" s="164">
        <f>IF(J450=0,"",IF(EXACT(GewAn,"ja"),IF(AND(J540&lt;&gt;"",J570&lt;&gt;""),(J540*GewP+J570*GewT)/(GewP+GewT),IF(J540&lt;&gt;"",J540,IF(J570&lt;&gt;"",J570,""))),SUMPRODUCT($C$800:$V$800,($C$90:$V$90=J$439)*1,$C$9:$V$9,$C$30:$V$30)/SUMPRODUCT($C$800:$V$800,($C$90:$V$90=J$439)*1,$C$9:$V$9)))</f>
        <v/>
      </c>
    </row>
    <row r="601">
      <c r="C601" s="164">
        <f>IF(C451=0,"",IF(EXACT(GewAn,"ja"),IF(AND(C541&lt;&gt;"",C571&lt;&gt;""),(C541*GewP+C571*GewT)/(GewP+GewT),IF(C541&lt;&gt;"",C541,IF(C571&lt;&gt;"",C571,""))),SUMPRODUCT($C$801:$V$801,($C$91:$V$91=C$439)*1,$C$9:$V$9,$C$31:$V$31)/SUMPRODUCT($C$801:$V$801,($C$91:$V$91=C$439)*1,$C$9:$V$9)))</f>
        <v/>
      </c>
      <c r="D601" s="164">
        <f>IF(D451=0,"",IF(EXACT(GewAn,"ja"),IF(AND(D541&lt;&gt;"",D571&lt;&gt;""),(D541*GewP+D571*GewT)/(GewP+GewT),IF(D541&lt;&gt;"",D541,IF(D571&lt;&gt;"",D571,""))),SUMPRODUCT($C$801:$V$801,($C$91:$V$91=D$439)*1,$C$9:$V$9,$C$31:$V$31)/SUMPRODUCT($C$801:$V$801,($C$91:$V$91=D$439)*1,$C$9:$V$9)))</f>
        <v/>
      </c>
      <c r="E601" s="164">
        <f>IF(E451=0,"",IF(EXACT(GewAn,"ja"),IF(AND(E541&lt;&gt;"",E571&lt;&gt;""),(E541*GewP+E571*GewT)/(GewP+GewT),IF(E541&lt;&gt;"",E541,IF(E571&lt;&gt;"",E571,""))),SUMPRODUCT($C$801:$V$801,($C$91:$V$91=E$439)*1,$C$9:$V$9,$C$31:$V$31)/SUMPRODUCT($C$801:$V$801,($C$91:$V$91=E$439)*1,$C$9:$V$9)))</f>
        <v/>
      </c>
      <c r="F601" s="164">
        <f>IF(F451=0,"",IF(EXACT(GewAn,"ja"),IF(AND(F541&lt;&gt;"",F571&lt;&gt;""),(F541*GewP+F571*GewT)/(GewP+GewT),IF(F541&lt;&gt;"",F541,IF(F571&lt;&gt;"",F571,""))),SUMPRODUCT($C$801:$V$801,($C$91:$V$91=F$439)*1,$C$9:$V$9,$C$31:$V$31)/SUMPRODUCT($C$801:$V$801,($C$91:$V$91=F$439)*1,$C$9:$V$9)))</f>
        <v/>
      </c>
      <c r="G601" s="164">
        <f>IF(G451=0,"",IF(EXACT(GewAn,"ja"),IF(AND(G541&lt;&gt;"",G571&lt;&gt;""),(G541*GewP+G571*GewT)/(GewP+GewT),IF(G541&lt;&gt;"",G541,IF(G571&lt;&gt;"",G571,""))),SUMPRODUCT($C$801:$V$801,($C$91:$V$91=G$439)*1,$C$9:$V$9,$C$31:$V$31)/SUMPRODUCT($C$801:$V$801,($C$91:$V$91=G$439)*1,$C$9:$V$9)))</f>
        <v/>
      </c>
      <c r="H601" s="164">
        <f>IF(H451=0,"",IF(EXACT(GewAn,"ja"),IF(AND(H541&lt;&gt;"",H571&lt;&gt;""),(H541*GewP+H571*GewT)/(GewP+GewT),IF(H541&lt;&gt;"",H541,IF(H571&lt;&gt;"",H571,""))),SUMPRODUCT($C$801:$V$801,($C$91:$V$91=H$439)*1,$C$9:$V$9,$C$31:$V$31)/SUMPRODUCT($C$801:$V$801,($C$91:$V$91=H$439)*1,$C$9:$V$9)))</f>
        <v/>
      </c>
      <c r="I601" s="164">
        <f>IF(I451=0,"",IF(EXACT(GewAn,"ja"),IF(AND(I541&lt;&gt;"",I571&lt;&gt;""),(I541*GewP+I571*GewT)/(GewP+GewT),IF(I541&lt;&gt;"",I541,IF(I571&lt;&gt;"",I571,""))),SUMPRODUCT($C$801:$V$801,($C$91:$V$91=I$439)*1,$C$9:$V$9,$C$31:$V$31)/SUMPRODUCT($C$801:$V$801,($C$91:$V$91=I$439)*1,$C$9:$V$9)))</f>
        <v/>
      </c>
      <c r="J601" s="164">
        <f>IF(J451=0,"",IF(EXACT(GewAn,"ja"),IF(AND(J541&lt;&gt;"",J571&lt;&gt;""),(J541*GewP+J571*GewT)/(GewP+GewT),IF(J541&lt;&gt;"",J541,IF(J571&lt;&gt;"",J571,""))),SUMPRODUCT($C$801:$V$801,($C$91:$V$91=J$439)*1,$C$9:$V$9,$C$31:$V$31)/SUMPRODUCT($C$801:$V$801,($C$91:$V$91=J$439)*1,$C$9:$V$9)))</f>
        <v/>
      </c>
    </row>
    <row r="602">
      <c r="C602" s="164">
        <f>IF(C452=0,"",IF(EXACT(GewAn,"ja"),IF(AND(C542&lt;&gt;"",C572&lt;&gt;""),(C542*GewP+C572*GewT)/(GewP+GewT),IF(C542&lt;&gt;"",C542,IF(C572&lt;&gt;"",C572,""))),SUMPRODUCT($C$802:$V$802,($C$92:$V$92=C$439)*1,$C$9:$V$9,$C$32:$V$32)/SUMPRODUCT($C$802:$V$802,($C$92:$V$92=C$439)*1,$C$9:$V$9)))</f>
        <v/>
      </c>
      <c r="D602" s="164">
        <f>IF(D452=0,"",IF(EXACT(GewAn,"ja"),IF(AND(D542&lt;&gt;"",D572&lt;&gt;""),(D542*GewP+D572*GewT)/(GewP+GewT),IF(D542&lt;&gt;"",D542,IF(D572&lt;&gt;"",D572,""))),SUMPRODUCT($C$802:$V$802,($C$92:$V$92=D$439)*1,$C$9:$V$9,$C$32:$V$32)/SUMPRODUCT($C$802:$V$802,($C$92:$V$92=D$439)*1,$C$9:$V$9)))</f>
        <v/>
      </c>
      <c r="E602" s="164">
        <f>IF(E452=0,"",IF(EXACT(GewAn,"ja"),IF(AND(E542&lt;&gt;"",E572&lt;&gt;""),(E542*GewP+E572*GewT)/(GewP+GewT),IF(E542&lt;&gt;"",E542,IF(E572&lt;&gt;"",E572,""))),SUMPRODUCT($C$802:$V$802,($C$92:$V$92=E$439)*1,$C$9:$V$9,$C$32:$V$32)/SUMPRODUCT($C$802:$V$802,($C$92:$V$92=E$439)*1,$C$9:$V$9)))</f>
        <v/>
      </c>
      <c r="F602" s="164">
        <f>IF(F452=0,"",IF(EXACT(GewAn,"ja"),IF(AND(F542&lt;&gt;"",F572&lt;&gt;""),(F542*GewP+F572*GewT)/(GewP+GewT),IF(F542&lt;&gt;"",F542,IF(F572&lt;&gt;"",F572,""))),SUMPRODUCT($C$802:$V$802,($C$92:$V$92=F$439)*1,$C$9:$V$9,$C$32:$V$32)/SUMPRODUCT($C$802:$V$802,($C$92:$V$92=F$439)*1,$C$9:$V$9)))</f>
        <v/>
      </c>
      <c r="G602" s="164">
        <f>IF(G452=0,"",IF(EXACT(GewAn,"ja"),IF(AND(G542&lt;&gt;"",G572&lt;&gt;""),(G542*GewP+G572*GewT)/(GewP+GewT),IF(G542&lt;&gt;"",G542,IF(G572&lt;&gt;"",G572,""))),SUMPRODUCT($C$802:$V$802,($C$92:$V$92=G$439)*1,$C$9:$V$9,$C$32:$V$32)/SUMPRODUCT($C$802:$V$802,($C$92:$V$92=G$439)*1,$C$9:$V$9)))</f>
        <v/>
      </c>
      <c r="H602" s="164">
        <f>IF(H452=0,"",IF(EXACT(GewAn,"ja"),IF(AND(H542&lt;&gt;"",H572&lt;&gt;""),(H542*GewP+H572*GewT)/(GewP+GewT),IF(H542&lt;&gt;"",H542,IF(H572&lt;&gt;"",H572,""))),SUMPRODUCT($C$802:$V$802,($C$92:$V$92=H$439)*1,$C$9:$V$9,$C$32:$V$32)/SUMPRODUCT($C$802:$V$802,($C$92:$V$92=H$439)*1,$C$9:$V$9)))</f>
        <v/>
      </c>
      <c r="I602" s="164">
        <f>IF(I452=0,"",IF(EXACT(GewAn,"ja"),IF(AND(I542&lt;&gt;"",I572&lt;&gt;""),(I542*GewP+I572*GewT)/(GewP+GewT),IF(I542&lt;&gt;"",I542,IF(I572&lt;&gt;"",I572,""))),SUMPRODUCT($C$802:$V$802,($C$92:$V$92=I$439)*1,$C$9:$V$9,$C$32:$V$32)/SUMPRODUCT($C$802:$V$802,($C$92:$V$92=I$439)*1,$C$9:$V$9)))</f>
        <v/>
      </c>
      <c r="J602" s="164">
        <f>IF(J452=0,"",IF(EXACT(GewAn,"ja"),IF(AND(J542&lt;&gt;"",J572&lt;&gt;""),(J542*GewP+J572*GewT)/(GewP+GewT),IF(J542&lt;&gt;"",J542,IF(J572&lt;&gt;"",J572,""))),SUMPRODUCT($C$802:$V$802,($C$92:$V$92=J$439)*1,$C$9:$V$9,$C$32:$V$32)/SUMPRODUCT($C$802:$V$802,($C$92:$V$92=J$439)*1,$C$9:$V$9)))</f>
        <v/>
      </c>
    </row>
    <row r="603">
      <c r="C603" s="164">
        <f>IF(C453=0,"",IF(EXACT(GewAn,"ja"),IF(AND(C543&lt;&gt;"",C573&lt;&gt;""),(C543*GewP+C573*GewT)/(GewP+GewT),IF(C543&lt;&gt;"",C543,IF(C573&lt;&gt;"",C573,""))),SUMPRODUCT($C$803:$V$803,($C$93:$V$93=C$439)*1,$C$9:$V$9,$C$33:$V$33)/SUMPRODUCT($C$803:$V$803,($C$93:$V$93=C$439)*1,$C$9:$V$9)))</f>
        <v/>
      </c>
      <c r="D603" s="164">
        <f>IF(D453=0,"",IF(EXACT(GewAn,"ja"),IF(AND(D543&lt;&gt;"",D573&lt;&gt;""),(D543*GewP+D573*GewT)/(GewP+GewT),IF(D543&lt;&gt;"",D543,IF(D573&lt;&gt;"",D573,""))),SUMPRODUCT($C$803:$V$803,($C$93:$V$93=D$439)*1,$C$9:$V$9,$C$33:$V$33)/SUMPRODUCT($C$803:$V$803,($C$93:$V$93=D$439)*1,$C$9:$V$9)))</f>
        <v/>
      </c>
      <c r="E603" s="164">
        <f>IF(E453=0,"",IF(EXACT(GewAn,"ja"),IF(AND(E543&lt;&gt;"",E573&lt;&gt;""),(E543*GewP+E573*GewT)/(GewP+GewT),IF(E543&lt;&gt;"",E543,IF(E573&lt;&gt;"",E573,""))),SUMPRODUCT($C$803:$V$803,($C$93:$V$93=E$439)*1,$C$9:$V$9,$C$33:$V$33)/SUMPRODUCT($C$803:$V$803,($C$93:$V$93=E$439)*1,$C$9:$V$9)))</f>
        <v/>
      </c>
      <c r="F603" s="164">
        <f>IF(F453=0,"",IF(EXACT(GewAn,"ja"),IF(AND(F543&lt;&gt;"",F573&lt;&gt;""),(F543*GewP+F573*GewT)/(GewP+GewT),IF(F543&lt;&gt;"",F543,IF(F573&lt;&gt;"",F573,""))),SUMPRODUCT($C$803:$V$803,($C$93:$V$93=F$439)*1,$C$9:$V$9,$C$33:$V$33)/SUMPRODUCT($C$803:$V$803,($C$93:$V$93=F$439)*1,$C$9:$V$9)))</f>
        <v/>
      </c>
      <c r="G603" s="164">
        <f>IF(G453=0,"",IF(EXACT(GewAn,"ja"),IF(AND(G543&lt;&gt;"",G573&lt;&gt;""),(G543*GewP+G573*GewT)/(GewP+GewT),IF(G543&lt;&gt;"",G543,IF(G573&lt;&gt;"",G573,""))),SUMPRODUCT($C$803:$V$803,($C$93:$V$93=G$439)*1,$C$9:$V$9,$C$33:$V$33)/SUMPRODUCT($C$803:$V$803,($C$93:$V$93=G$439)*1,$C$9:$V$9)))</f>
        <v/>
      </c>
      <c r="H603" s="164">
        <f>IF(H453=0,"",IF(EXACT(GewAn,"ja"),IF(AND(H543&lt;&gt;"",H573&lt;&gt;""),(H543*GewP+H573*GewT)/(GewP+GewT),IF(H543&lt;&gt;"",H543,IF(H573&lt;&gt;"",H573,""))),SUMPRODUCT($C$803:$V$803,($C$93:$V$93=H$439)*1,$C$9:$V$9,$C$33:$V$33)/SUMPRODUCT($C$803:$V$803,($C$93:$V$93=H$439)*1,$C$9:$V$9)))</f>
        <v/>
      </c>
      <c r="I603" s="164">
        <f>IF(I453=0,"",IF(EXACT(GewAn,"ja"),IF(AND(I543&lt;&gt;"",I573&lt;&gt;""),(I543*GewP+I573*GewT)/(GewP+GewT),IF(I543&lt;&gt;"",I543,IF(I573&lt;&gt;"",I573,""))),SUMPRODUCT($C$803:$V$803,($C$93:$V$93=I$439)*1,$C$9:$V$9,$C$33:$V$33)/SUMPRODUCT($C$803:$V$803,($C$93:$V$93=I$439)*1,$C$9:$V$9)))</f>
        <v/>
      </c>
      <c r="J603" s="164">
        <f>IF(J453=0,"",IF(EXACT(GewAn,"ja"),IF(AND(J543&lt;&gt;"",J573&lt;&gt;""),(J543*GewP+J573*GewT)/(GewP+GewT),IF(J543&lt;&gt;"",J543,IF(J573&lt;&gt;"",J573,""))),SUMPRODUCT($C$803:$V$803,($C$93:$V$93=J$439)*1,$C$9:$V$9,$C$33:$V$33)/SUMPRODUCT($C$803:$V$803,($C$93:$V$93=J$439)*1,$C$9:$V$9)))</f>
        <v/>
      </c>
    </row>
    <row r="604">
      <c r="C604" s="164">
        <f>IF(C454=0,"",IF(EXACT(GewAn,"ja"),IF(AND(C544&lt;&gt;"",C574&lt;&gt;""),(C544*GewP+C574*GewT)/(GewP+GewT),IF(C544&lt;&gt;"",C544,IF(C574&lt;&gt;"",C574,""))),SUMPRODUCT($C$804:$V$804,($C$94:$V$94=C$439)*1,$C$9:$V$9,$C$34:$V$34)/SUMPRODUCT($C$804:$V$804,($C$94:$V$94=C$439)*1,$C$9:$V$9)))</f>
        <v/>
      </c>
      <c r="D604" s="164">
        <f>IF(D454=0,"",IF(EXACT(GewAn,"ja"),IF(AND(D544&lt;&gt;"",D574&lt;&gt;""),(D544*GewP+D574*GewT)/(GewP+GewT),IF(D544&lt;&gt;"",D544,IF(D574&lt;&gt;"",D574,""))),SUMPRODUCT($C$804:$V$804,($C$94:$V$94=D$439)*1,$C$9:$V$9,$C$34:$V$34)/SUMPRODUCT($C$804:$V$804,($C$94:$V$94=D$439)*1,$C$9:$V$9)))</f>
        <v/>
      </c>
      <c r="E604" s="164">
        <f>IF(E454=0,"",IF(EXACT(GewAn,"ja"),IF(AND(E544&lt;&gt;"",E574&lt;&gt;""),(E544*GewP+E574*GewT)/(GewP+GewT),IF(E544&lt;&gt;"",E544,IF(E574&lt;&gt;"",E574,""))),SUMPRODUCT($C$804:$V$804,($C$94:$V$94=E$439)*1,$C$9:$V$9,$C$34:$V$34)/SUMPRODUCT($C$804:$V$804,($C$94:$V$94=E$439)*1,$C$9:$V$9)))</f>
        <v/>
      </c>
      <c r="F604" s="164">
        <f>IF(F454=0,"",IF(EXACT(GewAn,"ja"),IF(AND(F544&lt;&gt;"",F574&lt;&gt;""),(F544*GewP+F574*GewT)/(GewP+GewT),IF(F544&lt;&gt;"",F544,IF(F574&lt;&gt;"",F574,""))),SUMPRODUCT($C$804:$V$804,($C$94:$V$94=F$439)*1,$C$9:$V$9,$C$34:$V$34)/SUMPRODUCT($C$804:$V$804,($C$94:$V$94=F$439)*1,$C$9:$V$9)))</f>
        <v/>
      </c>
      <c r="G604" s="164">
        <f>IF(G454=0,"",IF(EXACT(GewAn,"ja"),IF(AND(G544&lt;&gt;"",G574&lt;&gt;""),(G544*GewP+G574*GewT)/(GewP+GewT),IF(G544&lt;&gt;"",G544,IF(G574&lt;&gt;"",G574,""))),SUMPRODUCT($C$804:$V$804,($C$94:$V$94=G$439)*1,$C$9:$V$9,$C$34:$V$34)/SUMPRODUCT($C$804:$V$804,($C$94:$V$94=G$439)*1,$C$9:$V$9)))</f>
        <v/>
      </c>
      <c r="H604" s="164">
        <f>IF(H454=0,"",IF(EXACT(GewAn,"ja"),IF(AND(H544&lt;&gt;"",H574&lt;&gt;""),(H544*GewP+H574*GewT)/(GewP+GewT),IF(H544&lt;&gt;"",H544,IF(H574&lt;&gt;"",H574,""))),SUMPRODUCT($C$804:$V$804,($C$94:$V$94=H$439)*1,$C$9:$V$9,$C$34:$V$34)/SUMPRODUCT($C$804:$V$804,($C$94:$V$94=H$439)*1,$C$9:$V$9)))</f>
        <v/>
      </c>
      <c r="I604" s="164">
        <f>IF(I454=0,"",IF(EXACT(GewAn,"ja"),IF(AND(I544&lt;&gt;"",I574&lt;&gt;""),(I544*GewP+I574*GewT)/(GewP+GewT),IF(I544&lt;&gt;"",I544,IF(I574&lt;&gt;"",I574,""))),SUMPRODUCT($C$804:$V$804,($C$94:$V$94=I$439)*1,$C$9:$V$9,$C$34:$V$34)/SUMPRODUCT($C$804:$V$804,($C$94:$V$94=I$439)*1,$C$9:$V$9)))</f>
        <v/>
      </c>
      <c r="J604" s="164">
        <f>IF(J454=0,"",IF(EXACT(GewAn,"ja"),IF(AND(J544&lt;&gt;"",J574&lt;&gt;""),(J544*GewP+J574*GewT)/(GewP+GewT),IF(J544&lt;&gt;"",J544,IF(J574&lt;&gt;"",J574,""))),SUMPRODUCT($C$804:$V$804,($C$94:$V$94=J$439)*1,$C$9:$V$9,$C$34:$V$34)/SUMPRODUCT($C$804:$V$804,($C$94:$V$94=J$439)*1,$C$9:$V$9)))</f>
        <v/>
      </c>
    </row>
    <row r="605">
      <c r="C605" s="164">
        <f>IF(C455=0,"",IF(EXACT(GewAn,"ja"),IF(AND(C545&lt;&gt;"",C575&lt;&gt;""),(C545*GewP+C575*GewT)/(GewP+GewT),IF(C545&lt;&gt;"",C545,IF(C575&lt;&gt;"",C575,""))),SUMPRODUCT($C$805:$V$805,($C$95:$V$95=C$439)*1,$C$9:$V$9,$C$35:$V$35)/SUMPRODUCT($C$805:$V$805,($C$95:$V$95=C$439)*1,$C$9:$V$9)))</f>
        <v/>
      </c>
      <c r="D605" s="164">
        <f>IF(D455=0,"",IF(EXACT(GewAn,"ja"),IF(AND(D545&lt;&gt;"",D575&lt;&gt;""),(D545*GewP+D575*GewT)/(GewP+GewT),IF(D545&lt;&gt;"",D545,IF(D575&lt;&gt;"",D575,""))),SUMPRODUCT($C$805:$V$805,($C$95:$V$95=D$439)*1,$C$9:$V$9,$C$35:$V$35)/SUMPRODUCT($C$805:$V$805,($C$95:$V$95=D$439)*1,$C$9:$V$9)))</f>
        <v/>
      </c>
      <c r="E605" s="164">
        <f>IF(E455=0,"",IF(EXACT(GewAn,"ja"),IF(AND(E545&lt;&gt;"",E575&lt;&gt;""),(E545*GewP+E575*GewT)/(GewP+GewT),IF(E545&lt;&gt;"",E545,IF(E575&lt;&gt;"",E575,""))),SUMPRODUCT($C$805:$V$805,($C$95:$V$95=E$439)*1,$C$9:$V$9,$C$35:$V$35)/SUMPRODUCT($C$805:$V$805,($C$95:$V$95=E$439)*1,$C$9:$V$9)))</f>
        <v/>
      </c>
      <c r="F605" s="164">
        <f>IF(F455=0,"",IF(EXACT(GewAn,"ja"),IF(AND(F545&lt;&gt;"",F575&lt;&gt;""),(F545*GewP+F575*GewT)/(GewP+GewT),IF(F545&lt;&gt;"",F545,IF(F575&lt;&gt;"",F575,""))),SUMPRODUCT($C$805:$V$805,($C$95:$V$95=F$439)*1,$C$9:$V$9,$C$35:$V$35)/SUMPRODUCT($C$805:$V$805,($C$95:$V$95=F$439)*1,$C$9:$V$9)))</f>
        <v/>
      </c>
      <c r="G605" s="164">
        <f>IF(G455=0,"",IF(EXACT(GewAn,"ja"),IF(AND(G545&lt;&gt;"",G575&lt;&gt;""),(G545*GewP+G575*GewT)/(GewP+GewT),IF(G545&lt;&gt;"",G545,IF(G575&lt;&gt;"",G575,""))),SUMPRODUCT($C$805:$V$805,($C$95:$V$95=G$439)*1,$C$9:$V$9,$C$35:$V$35)/SUMPRODUCT($C$805:$V$805,($C$95:$V$95=G$439)*1,$C$9:$V$9)))</f>
        <v/>
      </c>
      <c r="H605" s="164">
        <f>IF(H455=0,"",IF(EXACT(GewAn,"ja"),IF(AND(H545&lt;&gt;"",H575&lt;&gt;""),(H545*GewP+H575*GewT)/(GewP+GewT),IF(H545&lt;&gt;"",H545,IF(H575&lt;&gt;"",H575,""))),SUMPRODUCT($C$805:$V$805,($C$95:$V$95=H$439)*1,$C$9:$V$9,$C$35:$V$35)/SUMPRODUCT($C$805:$V$805,($C$95:$V$95=H$439)*1,$C$9:$V$9)))</f>
        <v/>
      </c>
      <c r="I605" s="164">
        <f>IF(I455=0,"",IF(EXACT(GewAn,"ja"),IF(AND(I545&lt;&gt;"",I575&lt;&gt;""),(I545*GewP+I575*GewT)/(GewP+GewT),IF(I545&lt;&gt;"",I545,IF(I575&lt;&gt;"",I575,""))),SUMPRODUCT($C$805:$V$805,($C$95:$V$95=I$439)*1,$C$9:$V$9,$C$35:$V$35)/SUMPRODUCT($C$805:$V$805,($C$95:$V$95=I$439)*1,$C$9:$V$9)))</f>
        <v/>
      </c>
      <c r="J605" s="164">
        <f>IF(J455=0,"",IF(EXACT(GewAn,"ja"),IF(AND(J545&lt;&gt;"",J575&lt;&gt;""),(J545*GewP+J575*GewT)/(GewP+GewT),IF(J545&lt;&gt;"",J545,IF(J575&lt;&gt;"",J575,""))),SUMPRODUCT($C$805:$V$805,($C$95:$V$95=J$439)*1,$C$9:$V$9,$C$35:$V$35)/SUMPRODUCT($C$805:$V$805,($C$95:$V$95=J$439)*1,$C$9:$V$9)))</f>
        <v/>
      </c>
    </row>
    <row r="606">
      <c r="C606" s="164">
        <f>IF(C456=0,"",IF(EXACT(GewAn,"ja"),IF(AND(C546&lt;&gt;"",C576&lt;&gt;""),(C546*GewP+C576*GewT)/(GewP+GewT),IF(C546&lt;&gt;"",C546,IF(C576&lt;&gt;"",C576,""))),SUMPRODUCT($C$806:$V$806,($C$96:$V$96=C$439)*1,$C$9:$V$9,$C$36:$V$36)/SUMPRODUCT($C$806:$V$806,($C$96:$V$96=C$439)*1,$C$9:$V$9)))</f>
        <v/>
      </c>
      <c r="D606" s="164">
        <f>IF(D456=0,"",IF(EXACT(GewAn,"ja"),IF(AND(D546&lt;&gt;"",D576&lt;&gt;""),(D546*GewP+D576*GewT)/(GewP+GewT),IF(D546&lt;&gt;"",D546,IF(D576&lt;&gt;"",D576,""))),SUMPRODUCT($C$806:$V$806,($C$96:$V$96=D$439)*1,$C$9:$V$9,$C$36:$V$36)/SUMPRODUCT($C$806:$V$806,($C$96:$V$96=D$439)*1,$C$9:$V$9)))</f>
        <v/>
      </c>
      <c r="E606" s="164">
        <f>IF(E456=0,"",IF(EXACT(GewAn,"ja"),IF(AND(E546&lt;&gt;"",E576&lt;&gt;""),(E546*GewP+E576*GewT)/(GewP+GewT),IF(E546&lt;&gt;"",E546,IF(E576&lt;&gt;"",E576,""))),SUMPRODUCT($C$806:$V$806,($C$96:$V$96=E$439)*1,$C$9:$V$9,$C$36:$V$36)/SUMPRODUCT($C$806:$V$806,($C$96:$V$96=E$439)*1,$C$9:$V$9)))</f>
        <v/>
      </c>
      <c r="F606" s="164">
        <f>IF(F456=0,"",IF(EXACT(GewAn,"ja"),IF(AND(F546&lt;&gt;"",F576&lt;&gt;""),(F546*GewP+F576*GewT)/(GewP+GewT),IF(F546&lt;&gt;"",F546,IF(F576&lt;&gt;"",F576,""))),SUMPRODUCT($C$806:$V$806,($C$96:$V$96=F$439)*1,$C$9:$V$9,$C$36:$V$36)/SUMPRODUCT($C$806:$V$806,($C$96:$V$96=F$439)*1,$C$9:$V$9)))</f>
        <v/>
      </c>
      <c r="G606" s="164">
        <f>IF(G456=0,"",IF(EXACT(GewAn,"ja"),IF(AND(G546&lt;&gt;"",G576&lt;&gt;""),(G546*GewP+G576*GewT)/(GewP+GewT),IF(G546&lt;&gt;"",G546,IF(G576&lt;&gt;"",G576,""))),SUMPRODUCT($C$806:$V$806,($C$96:$V$96=G$439)*1,$C$9:$V$9,$C$36:$V$36)/SUMPRODUCT($C$806:$V$806,($C$96:$V$96=G$439)*1,$C$9:$V$9)))</f>
        <v/>
      </c>
      <c r="H606" s="164">
        <f>IF(H456=0,"",IF(EXACT(GewAn,"ja"),IF(AND(H546&lt;&gt;"",H576&lt;&gt;""),(H546*GewP+H576*GewT)/(GewP+GewT),IF(H546&lt;&gt;"",H546,IF(H576&lt;&gt;"",H576,""))),SUMPRODUCT($C$806:$V$806,($C$96:$V$96=H$439)*1,$C$9:$V$9,$C$36:$V$36)/SUMPRODUCT($C$806:$V$806,($C$96:$V$96=H$439)*1,$C$9:$V$9)))</f>
        <v/>
      </c>
      <c r="I606" s="164">
        <f>IF(I456=0,"",IF(EXACT(GewAn,"ja"),IF(AND(I546&lt;&gt;"",I576&lt;&gt;""),(I546*GewP+I576*GewT)/(GewP+GewT),IF(I546&lt;&gt;"",I546,IF(I576&lt;&gt;"",I576,""))),SUMPRODUCT($C$806:$V$806,($C$96:$V$96=I$439)*1,$C$9:$V$9,$C$36:$V$36)/SUMPRODUCT($C$806:$V$806,($C$96:$V$96=I$439)*1,$C$9:$V$9)))</f>
        <v/>
      </c>
      <c r="J606" s="164">
        <f>IF(J456=0,"",IF(EXACT(GewAn,"ja"),IF(AND(J546&lt;&gt;"",J576&lt;&gt;""),(J546*GewP+J576*GewT)/(GewP+GewT),IF(J546&lt;&gt;"",J546,IF(J576&lt;&gt;"",J576,""))),SUMPRODUCT($C$806:$V$806,($C$96:$V$96=J$439)*1,$C$9:$V$9,$C$36:$V$36)/SUMPRODUCT($C$806:$V$806,($C$96:$V$96=J$439)*1,$C$9:$V$9)))</f>
        <v/>
      </c>
    </row>
    <row r="607">
      <c r="C607" s="164">
        <f>IF(C457=0,"",IF(EXACT(GewAn,"ja"),IF(AND(C547&lt;&gt;"",C577&lt;&gt;""),(C547*GewP+C577*GewT)/(GewP+GewT),IF(C547&lt;&gt;"",C547,IF(C577&lt;&gt;"",C577,""))),SUMPRODUCT($C$807:$V$807,($C$97:$V$97=C$439)*1,$C$9:$V$9,$C$37:$V$37)/SUMPRODUCT($C$807:$V$807,($C$97:$V$97=C$439)*1,$C$9:$V$9)))</f>
        <v/>
      </c>
      <c r="D607" s="164">
        <f>IF(D457=0,"",IF(EXACT(GewAn,"ja"),IF(AND(D547&lt;&gt;"",D577&lt;&gt;""),(D547*GewP+D577*GewT)/(GewP+GewT),IF(D547&lt;&gt;"",D547,IF(D577&lt;&gt;"",D577,""))),SUMPRODUCT($C$807:$V$807,($C$97:$V$97=D$439)*1,$C$9:$V$9,$C$37:$V$37)/SUMPRODUCT($C$807:$V$807,($C$97:$V$97=D$439)*1,$C$9:$V$9)))</f>
        <v/>
      </c>
      <c r="E607" s="164">
        <f>IF(E457=0,"",IF(EXACT(GewAn,"ja"),IF(AND(E547&lt;&gt;"",E577&lt;&gt;""),(E547*GewP+E577*GewT)/(GewP+GewT),IF(E547&lt;&gt;"",E547,IF(E577&lt;&gt;"",E577,""))),SUMPRODUCT($C$807:$V$807,($C$97:$V$97=E$439)*1,$C$9:$V$9,$C$37:$V$37)/SUMPRODUCT($C$807:$V$807,($C$97:$V$97=E$439)*1,$C$9:$V$9)))</f>
        <v/>
      </c>
      <c r="F607" s="164">
        <f>IF(F457=0,"",IF(EXACT(GewAn,"ja"),IF(AND(F547&lt;&gt;"",F577&lt;&gt;""),(F547*GewP+F577*GewT)/(GewP+GewT),IF(F547&lt;&gt;"",F547,IF(F577&lt;&gt;"",F577,""))),SUMPRODUCT($C$807:$V$807,($C$97:$V$97=F$439)*1,$C$9:$V$9,$C$37:$V$37)/SUMPRODUCT($C$807:$V$807,($C$97:$V$97=F$439)*1,$C$9:$V$9)))</f>
        <v/>
      </c>
      <c r="G607" s="164">
        <f>IF(G457=0,"",IF(EXACT(GewAn,"ja"),IF(AND(G547&lt;&gt;"",G577&lt;&gt;""),(G547*GewP+G577*GewT)/(GewP+GewT),IF(G547&lt;&gt;"",G547,IF(G577&lt;&gt;"",G577,""))),SUMPRODUCT($C$807:$V$807,($C$97:$V$97=G$439)*1,$C$9:$V$9,$C$37:$V$37)/SUMPRODUCT($C$807:$V$807,($C$97:$V$97=G$439)*1,$C$9:$V$9)))</f>
        <v/>
      </c>
      <c r="H607" s="164">
        <f>IF(H457=0,"",IF(EXACT(GewAn,"ja"),IF(AND(H547&lt;&gt;"",H577&lt;&gt;""),(H547*GewP+H577*GewT)/(GewP+GewT),IF(H547&lt;&gt;"",H547,IF(H577&lt;&gt;"",H577,""))),SUMPRODUCT($C$807:$V$807,($C$97:$V$97=H$439)*1,$C$9:$V$9,$C$37:$V$37)/SUMPRODUCT($C$807:$V$807,($C$97:$V$97=H$439)*1,$C$9:$V$9)))</f>
        <v/>
      </c>
      <c r="I607" s="164">
        <f>IF(I457=0,"",IF(EXACT(GewAn,"ja"),IF(AND(I547&lt;&gt;"",I577&lt;&gt;""),(I547*GewP+I577*GewT)/(GewP+GewT),IF(I547&lt;&gt;"",I547,IF(I577&lt;&gt;"",I577,""))),SUMPRODUCT($C$807:$V$807,($C$97:$V$97=I$439)*1,$C$9:$V$9,$C$37:$V$37)/SUMPRODUCT($C$807:$V$807,($C$97:$V$97=I$439)*1,$C$9:$V$9)))</f>
        <v/>
      </c>
      <c r="J607" s="164">
        <f>IF(J457=0,"",IF(EXACT(GewAn,"ja"),IF(AND(J547&lt;&gt;"",J577&lt;&gt;""),(J547*GewP+J577*GewT)/(GewP+GewT),IF(J547&lt;&gt;"",J547,IF(J577&lt;&gt;"",J577,""))),SUMPRODUCT($C$807:$V$807,($C$97:$V$97=J$439)*1,$C$9:$V$9,$C$37:$V$37)/SUMPRODUCT($C$807:$V$807,($C$97:$V$97=J$439)*1,$C$9:$V$9)))</f>
        <v/>
      </c>
    </row>
    <row r="608">
      <c r="C608" s="164">
        <f>IF(C458=0,"",IF(EXACT(GewAn,"ja"),IF(AND(C548&lt;&gt;"",C578&lt;&gt;""),(C548*GewP+C578*GewT)/(GewP+GewT),IF(C548&lt;&gt;"",C548,IF(C578&lt;&gt;"",C578,""))),SUMPRODUCT($C$808:$V$808,($C$98:$V$98=C$439)*1,$C$9:$V$9,$C$38:$V$38)/SUMPRODUCT($C$808:$V$808,($C$98:$V$98=C$439)*1,$C$9:$V$9)))</f>
        <v/>
      </c>
      <c r="D608" s="164">
        <f>IF(D458=0,"",IF(EXACT(GewAn,"ja"),IF(AND(D548&lt;&gt;"",D578&lt;&gt;""),(D548*GewP+D578*GewT)/(GewP+GewT),IF(D548&lt;&gt;"",D548,IF(D578&lt;&gt;"",D578,""))),SUMPRODUCT($C$808:$V$808,($C$98:$V$98=D$439)*1,$C$9:$V$9,$C$38:$V$38)/SUMPRODUCT($C$808:$V$808,($C$98:$V$98=D$439)*1,$C$9:$V$9)))</f>
        <v/>
      </c>
      <c r="E608" s="164">
        <f>IF(E458=0,"",IF(EXACT(GewAn,"ja"),IF(AND(E548&lt;&gt;"",E578&lt;&gt;""),(E548*GewP+E578*GewT)/(GewP+GewT),IF(E548&lt;&gt;"",E548,IF(E578&lt;&gt;"",E578,""))),SUMPRODUCT($C$808:$V$808,($C$98:$V$98=E$439)*1,$C$9:$V$9,$C$38:$V$38)/SUMPRODUCT($C$808:$V$808,($C$98:$V$98=E$439)*1,$C$9:$V$9)))</f>
        <v/>
      </c>
      <c r="F608" s="164">
        <f>IF(F458=0,"",IF(EXACT(GewAn,"ja"),IF(AND(F548&lt;&gt;"",F578&lt;&gt;""),(F548*GewP+F578*GewT)/(GewP+GewT),IF(F548&lt;&gt;"",F548,IF(F578&lt;&gt;"",F578,""))),SUMPRODUCT($C$808:$V$808,($C$98:$V$98=F$439)*1,$C$9:$V$9,$C$38:$V$38)/SUMPRODUCT($C$808:$V$808,($C$98:$V$98=F$439)*1,$C$9:$V$9)))</f>
        <v/>
      </c>
      <c r="G608" s="164">
        <f>IF(G458=0,"",IF(EXACT(GewAn,"ja"),IF(AND(G548&lt;&gt;"",G578&lt;&gt;""),(G548*GewP+G578*GewT)/(GewP+GewT),IF(G548&lt;&gt;"",G548,IF(G578&lt;&gt;"",G578,""))),SUMPRODUCT($C$808:$V$808,($C$98:$V$98=G$439)*1,$C$9:$V$9,$C$38:$V$38)/SUMPRODUCT($C$808:$V$808,($C$98:$V$98=G$439)*1,$C$9:$V$9)))</f>
        <v/>
      </c>
      <c r="H608" s="164">
        <f>IF(H458=0,"",IF(EXACT(GewAn,"ja"),IF(AND(H548&lt;&gt;"",H578&lt;&gt;""),(H548*GewP+H578*GewT)/(GewP+GewT),IF(H548&lt;&gt;"",H548,IF(H578&lt;&gt;"",H578,""))),SUMPRODUCT($C$808:$V$808,($C$98:$V$98=H$439)*1,$C$9:$V$9,$C$38:$V$38)/SUMPRODUCT($C$808:$V$808,($C$98:$V$98=H$439)*1,$C$9:$V$9)))</f>
        <v/>
      </c>
      <c r="I608" s="164">
        <f>IF(I458=0,"",IF(EXACT(GewAn,"ja"),IF(AND(I548&lt;&gt;"",I578&lt;&gt;""),(I548*GewP+I578*GewT)/(GewP+GewT),IF(I548&lt;&gt;"",I548,IF(I578&lt;&gt;"",I578,""))),SUMPRODUCT($C$808:$V$808,($C$98:$V$98=I$439)*1,$C$9:$V$9,$C$38:$V$38)/SUMPRODUCT($C$808:$V$808,($C$98:$V$98=I$439)*1,$C$9:$V$9)))</f>
        <v/>
      </c>
      <c r="J608" s="164">
        <f>IF(J458=0,"",IF(EXACT(GewAn,"ja"),IF(AND(J548&lt;&gt;"",J578&lt;&gt;""),(J548*GewP+J578*GewT)/(GewP+GewT),IF(J548&lt;&gt;"",J548,IF(J578&lt;&gt;"",J578,""))),SUMPRODUCT($C$808:$V$808,($C$98:$V$98=J$439)*1,$C$9:$V$9,$C$38:$V$38)/SUMPRODUCT($C$808:$V$808,($C$98:$V$98=J$439)*1,$C$9:$V$9)))</f>
        <v/>
      </c>
    </row>
    <row r="609">
      <c r="C609" s="164">
        <f>IF(C459=0,"",IF(EXACT(GewAn,"ja"),IF(AND(C549&lt;&gt;"",C579&lt;&gt;""),(C549*GewP+C579*GewT)/(GewP+GewT),IF(C549&lt;&gt;"",C549,IF(C579&lt;&gt;"",C579,""))),SUMPRODUCT($C$809:$V$809,($C$99:$V$99=C$439)*1,$C$9:$V$9,$C$39:$V$39)/SUMPRODUCT($C$809:$V$809,($C$99:$V$99=C$439)*1,$C$9:$V$9)))</f>
        <v/>
      </c>
      <c r="D609" s="164">
        <f>IF(D459=0,"",IF(EXACT(GewAn,"ja"),IF(AND(D549&lt;&gt;"",D579&lt;&gt;""),(D549*GewP+D579*GewT)/(GewP+GewT),IF(D549&lt;&gt;"",D549,IF(D579&lt;&gt;"",D579,""))),SUMPRODUCT($C$809:$V$809,($C$99:$V$99=D$439)*1,$C$9:$V$9,$C$39:$V$39)/SUMPRODUCT($C$809:$V$809,($C$99:$V$99=D$439)*1,$C$9:$V$9)))</f>
        <v/>
      </c>
      <c r="E609" s="164">
        <f>IF(E459=0,"",IF(EXACT(GewAn,"ja"),IF(AND(E549&lt;&gt;"",E579&lt;&gt;""),(E549*GewP+E579*GewT)/(GewP+GewT),IF(E549&lt;&gt;"",E549,IF(E579&lt;&gt;"",E579,""))),SUMPRODUCT($C$809:$V$809,($C$99:$V$99=E$439)*1,$C$9:$V$9,$C$39:$V$39)/SUMPRODUCT($C$809:$V$809,($C$99:$V$99=E$439)*1,$C$9:$V$9)))</f>
        <v/>
      </c>
      <c r="F609" s="164">
        <f>IF(F459=0,"",IF(EXACT(GewAn,"ja"),IF(AND(F549&lt;&gt;"",F579&lt;&gt;""),(F549*GewP+F579*GewT)/(GewP+GewT),IF(F549&lt;&gt;"",F549,IF(F579&lt;&gt;"",F579,""))),SUMPRODUCT($C$809:$V$809,($C$99:$V$99=F$439)*1,$C$9:$V$9,$C$39:$V$39)/SUMPRODUCT($C$809:$V$809,($C$99:$V$99=F$439)*1,$C$9:$V$9)))</f>
        <v/>
      </c>
      <c r="G609" s="164">
        <f>IF(G459=0,"",IF(EXACT(GewAn,"ja"),IF(AND(G549&lt;&gt;"",G579&lt;&gt;""),(G549*GewP+G579*GewT)/(GewP+GewT),IF(G549&lt;&gt;"",G549,IF(G579&lt;&gt;"",G579,""))),SUMPRODUCT($C$809:$V$809,($C$99:$V$99=G$439)*1,$C$9:$V$9,$C$39:$V$39)/SUMPRODUCT($C$809:$V$809,($C$99:$V$99=G$439)*1,$C$9:$V$9)))</f>
        <v/>
      </c>
      <c r="H609" s="164">
        <f>IF(H459=0,"",IF(EXACT(GewAn,"ja"),IF(AND(H549&lt;&gt;"",H579&lt;&gt;""),(H549*GewP+H579*GewT)/(GewP+GewT),IF(H549&lt;&gt;"",H549,IF(H579&lt;&gt;"",H579,""))),SUMPRODUCT($C$809:$V$809,($C$99:$V$99=H$439)*1,$C$9:$V$9,$C$39:$V$39)/SUMPRODUCT($C$809:$V$809,($C$99:$V$99=H$439)*1,$C$9:$V$9)))</f>
        <v/>
      </c>
      <c r="I609" s="164">
        <f>IF(I459=0,"",IF(EXACT(GewAn,"ja"),IF(AND(I549&lt;&gt;"",I579&lt;&gt;""),(I549*GewP+I579*GewT)/(GewP+GewT),IF(I549&lt;&gt;"",I549,IF(I579&lt;&gt;"",I579,""))),SUMPRODUCT($C$809:$V$809,($C$99:$V$99=I$439)*1,$C$9:$V$9,$C$39:$V$39)/SUMPRODUCT($C$809:$V$809,($C$99:$V$99=I$439)*1,$C$9:$V$9)))</f>
        <v/>
      </c>
      <c r="J609" s="164">
        <f>IF(J459=0,"",IF(EXACT(GewAn,"ja"),IF(AND(J549&lt;&gt;"",J579&lt;&gt;""),(J549*GewP+J579*GewT)/(GewP+GewT),IF(J549&lt;&gt;"",J549,IF(J579&lt;&gt;"",J579,""))),SUMPRODUCT($C$809:$V$809,($C$99:$V$99=J$439)*1,$C$9:$V$9,$C$39:$V$39)/SUMPRODUCT($C$809:$V$809,($C$99:$V$99=J$439)*1,$C$9:$V$9)))</f>
        <v/>
      </c>
    </row>
    <row r="610">
      <c r="C610" s="164">
        <f>IF(C460=0,"",IF(EXACT(GewAn,"ja"),IF(AND(C550&lt;&gt;"",C580&lt;&gt;""),(C550*GewP+C580*GewT)/(GewP+GewT),IF(C550&lt;&gt;"",C550,IF(C580&lt;&gt;"",C580,""))),SUMPRODUCT($C$810:$V$810,($C$100:$V$100=C$439)*1,$C$9:$V$9,$C$40:$V$40)/SUMPRODUCT($C$810:$V$810,($C$100:$V$100=C$439)*1,$C$9:$V$9)))</f>
        <v/>
      </c>
      <c r="D610" s="164">
        <f>IF(D460=0,"",IF(EXACT(GewAn,"ja"),IF(AND(D550&lt;&gt;"",D580&lt;&gt;""),(D550*GewP+D580*GewT)/(GewP+GewT),IF(D550&lt;&gt;"",D550,IF(D580&lt;&gt;"",D580,""))),SUMPRODUCT($C$810:$V$810,($C$100:$V$100=D$439)*1,$C$9:$V$9,$C$40:$V$40)/SUMPRODUCT($C$810:$V$810,($C$100:$V$100=D$439)*1,$C$9:$V$9)))</f>
        <v/>
      </c>
      <c r="E610" s="164">
        <f>IF(E460=0,"",IF(EXACT(GewAn,"ja"),IF(AND(E550&lt;&gt;"",E580&lt;&gt;""),(E550*GewP+E580*GewT)/(GewP+GewT),IF(E550&lt;&gt;"",E550,IF(E580&lt;&gt;"",E580,""))),SUMPRODUCT($C$810:$V$810,($C$100:$V$100=E$439)*1,$C$9:$V$9,$C$40:$V$40)/SUMPRODUCT($C$810:$V$810,($C$100:$V$100=E$439)*1,$C$9:$V$9)))</f>
        <v/>
      </c>
      <c r="F610" s="164">
        <f>IF(F460=0,"",IF(EXACT(GewAn,"ja"),IF(AND(F550&lt;&gt;"",F580&lt;&gt;""),(F550*GewP+F580*GewT)/(GewP+GewT),IF(F550&lt;&gt;"",F550,IF(F580&lt;&gt;"",F580,""))),SUMPRODUCT($C$810:$V$810,($C$100:$V$100=F$439)*1,$C$9:$V$9,$C$40:$V$40)/SUMPRODUCT($C$810:$V$810,($C$100:$V$100=F$439)*1,$C$9:$V$9)))</f>
        <v/>
      </c>
      <c r="G610" s="164">
        <f>IF(G460=0,"",IF(EXACT(GewAn,"ja"),IF(AND(G550&lt;&gt;"",G580&lt;&gt;""),(G550*GewP+G580*GewT)/(GewP+GewT),IF(G550&lt;&gt;"",G550,IF(G580&lt;&gt;"",G580,""))),SUMPRODUCT($C$810:$V$810,($C$100:$V$100=G$439)*1,$C$9:$V$9,$C$40:$V$40)/SUMPRODUCT($C$810:$V$810,($C$100:$V$100=G$439)*1,$C$9:$V$9)))</f>
        <v/>
      </c>
      <c r="H610" s="164">
        <f>IF(H460=0,"",IF(EXACT(GewAn,"ja"),IF(AND(H550&lt;&gt;"",H580&lt;&gt;""),(H550*GewP+H580*GewT)/(GewP+GewT),IF(H550&lt;&gt;"",H550,IF(H580&lt;&gt;"",H580,""))),SUMPRODUCT($C$810:$V$810,($C$100:$V$100=H$439)*1,$C$9:$V$9,$C$40:$V$40)/SUMPRODUCT($C$810:$V$810,($C$100:$V$100=H$439)*1,$C$9:$V$9)))</f>
        <v/>
      </c>
      <c r="I610" s="164">
        <f>IF(I460=0,"",IF(EXACT(GewAn,"ja"),IF(AND(I550&lt;&gt;"",I580&lt;&gt;""),(I550*GewP+I580*GewT)/(GewP+GewT),IF(I550&lt;&gt;"",I550,IF(I580&lt;&gt;"",I580,""))),SUMPRODUCT($C$810:$V$810,($C$100:$V$100=I$439)*1,$C$9:$V$9,$C$40:$V$40)/SUMPRODUCT($C$810:$V$810,($C$100:$V$100=I$439)*1,$C$9:$V$9)))</f>
        <v/>
      </c>
      <c r="J610" s="164">
        <f>IF(J460=0,"",IF(EXACT(GewAn,"ja"),IF(AND(J550&lt;&gt;"",J580&lt;&gt;""),(J550*GewP+J580*GewT)/(GewP+GewT),IF(J550&lt;&gt;"",J550,IF(J580&lt;&gt;"",J580,""))),SUMPRODUCT($C$810:$V$810,($C$100:$V$100=J$439)*1,$C$9:$V$9,$C$40:$V$40)/SUMPRODUCT($C$810:$V$810,($C$100:$V$100=J$439)*1,$C$9:$V$9)))</f>
        <v/>
      </c>
    </row>
    <row r="611">
      <c r="C611" s="164">
        <f>IF(C461=0,"",IF(EXACT(GewAn,"ja"),IF(AND(C551&lt;&gt;"",C581&lt;&gt;""),(C551*GewP+C581*GewT)/(GewP+GewT),IF(C551&lt;&gt;"",C551,IF(C581&lt;&gt;"",C581,""))),SUMPRODUCT($C$811:$V$811,($C$101:$V$101=C$439)*1,$C$9:$V$9,$C$41:$V$41)/SUMPRODUCT($C$811:$V$811,($C$101:$V$101=C$439)*1,$C$9:$V$9)))</f>
        <v/>
      </c>
      <c r="D611" s="164">
        <f>IF(D461=0,"",IF(EXACT(GewAn,"ja"),IF(AND(D551&lt;&gt;"",D581&lt;&gt;""),(D551*GewP+D581*GewT)/(GewP+GewT),IF(D551&lt;&gt;"",D551,IF(D581&lt;&gt;"",D581,""))),SUMPRODUCT($C$811:$V$811,($C$101:$V$101=D$439)*1,$C$9:$V$9,$C$41:$V$41)/SUMPRODUCT($C$811:$V$811,($C$101:$V$101=D$439)*1,$C$9:$V$9)))</f>
        <v/>
      </c>
      <c r="E611" s="164">
        <f>IF(E461=0,"",IF(EXACT(GewAn,"ja"),IF(AND(E551&lt;&gt;"",E581&lt;&gt;""),(E551*GewP+E581*GewT)/(GewP+GewT),IF(E551&lt;&gt;"",E551,IF(E581&lt;&gt;"",E581,""))),SUMPRODUCT($C$811:$V$811,($C$101:$V$101=E$439)*1,$C$9:$V$9,$C$41:$V$41)/SUMPRODUCT($C$811:$V$811,($C$101:$V$101=E$439)*1,$C$9:$V$9)))</f>
        <v/>
      </c>
      <c r="F611" s="164">
        <f>IF(F461=0,"",IF(EXACT(GewAn,"ja"),IF(AND(F551&lt;&gt;"",F581&lt;&gt;""),(F551*GewP+F581*GewT)/(GewP+GewT),IF(F551&lt;&gt;"",F551,IF(F581&lt;&gt;"",F581,""))),SUMPRODUCT($C$811:$V$811,($C$101:$V$101=F$439)*1,$C$9:$V$9,$C$41:$V$41)/SUMPRODUCT($C$811:$V$811,($C$101:$V$101=F$439)*1,$C$9:$V$9)))</f>
        <v/>
      </c>
      <c r="G611" s="164">
        <f>IF(G461=0,"",IF(EXACT(GewAn,"ja"),IF(AND(G551&lt;&gt;"",G581&lt;&gt;""),(G551*GewP+G581*GewT)/(GewP+GewT),IF(G551&lt;&gt;"",G551,IF(G581&lt;&gt;"",G581,""))),SUMPRODUCT($C$811:$V$811,($C$101:$V$101=G$439)*1,$C$9:$V$9,$C$41:$V$41)/SUMPRODUCT($C$811:$V$811,($C$101:$V$101=G$439)*1,$C$9:$V$9)))</f>
        <v/>
      </c>
      <c r="H611" s="164">
        <f>IF(H461=0,"",IF(EXACT(GewAn,"ja"),IF(AND(H551&lt;&gt;"",H581&lt;&gt;""),(H551*GewP+H581*GewT)/(GewP+GewT),IF(H551&lt;&gt;"",H551,IF(H581&lt;&gt;"",H581,""))),SUMPRODUCT($C$811:$V$811,($C$101:$V$101=H$439)*1,$C$9:$V$9,$C$41:$V$41)/SUMPRODUCT($C$811:$V$811,($C$101:$V$101=H$439)*1,$C$9:$V$9)))</f>
        <v/>
      </c>
      <c r="I611" s="164">
        <f>IF(I461=0,"",IF(EXACT(GewAn,"ja"),IF(AND(I551&lt;&gt;"",I581&lt;&gt;""),(I551*GewP+I581*GewT)/(GewP+GewT),IF(I551&lt;&gt;"",I551,IF(I581&lt;&gt;"",I581,""))),SUMPRODUCT($C$811:$V$811,($C$101:$V$101=I$439)*1,$C$9:$V$9,$C$41:$V$41)/SUMPRODUCT($C$811:$V$811,($C$101:$V$101=I$439)*1,$C$9:$V$9)))</f>
        <v/>
      </c>
      <c r="J611" s="164">
        <f>IF(J461=0,"",IF(EXACT(GewAn,"ja"),IF(AND(J551&lt;&gt;"",J581&lt;&gt;""),(J551*GewP+J581*GewT)/(GewP+GewT),IF(J551&lt;&gt;"",J551,IF(J581&lt;&gt;"",J581,""))),SUMPRODUCT($C$811:$V$811,($C$101:$V$101=J$439)*1,$C$9:$V$9,$C$41:$V$41)/SUMPRODUCT($C$811:$V$811,($C$101:$V$101=J$439)*1,$C$9:$V$9)))</f>
        <v/>
      </c>
    </row>
    <row r="612">
      <c r="C612" s="164">
        <f>IF(C462=0,"",IF(EXACT(GewAn,"ja"),IF(AND(C552&lt;&gt;"",C582&lt;&gt;""),(C552*GewP+C582*GewT)/(GewP+GewT),IF(C552&lt;&gt;"",C552,IF(C582&lt;&gt;"",C582,""))),SUMPRODUCT($C$812:$V$812,($C$102:$V$102=C$439)*1,$C$9:$V$9,$C$42:$V$42)/SUMPRODUCT($C$812:$V$812,($C$102:$V$102=C$439)*1,$C$9:$V$9)))</f>
        <v/>
      </c>
      <c r="D612" s="164">
        <f>IF(D462=0,"",IF(EXACT(GewAn,"ja"),IF(AND(D552&lt;&gt;"",D582&lt;&gt;""),(D552*GewP+D582*GewT)/(GewP+GewT),IF(D552&lt;&gt;"",D552,IF(D582&lt;&gt;"",D582,""))),SUMPRODUCT($C$812:$V$812,($C$102:$V$102=D$439)*1,$C$9:$V$9,$C$42:$V$42)/SUMPRODUCT($C$812:$V$812,($C$102:$V$102=D$439)*1,$C$9:$V$9)))</f>
        <v/>
      </c>
      <c r="E612" s="164">
        <f>IF(E462=0,"",IF(EXACT(GewAn,"ja"),IF(AND(E552&lt;&gt;"",E582&lt;&gt;""),(E552*GewP+E582*GewT)/(GewP+GewT),IF(E552&lt;&gt;"",E552,IF(E582&lt;&gt;"",E582,""))),SUMPRODUCT($C$812:$V$812,($C$102:$V$102=E$439)*1,$C$9:$V$9,$C$42:$V$42)/SUMPRODUCT($C$812:$V$812,($C$102:$V$102=E$439)*1,$C$9:$V$9)))</f>
        <v/>
      </c>
      <c r="F612" s="164">
        <f>IF(F462=0,"",IF(EXACT(GewAn,"ja"),IF(AND(F552&lt;&gt;"",F582&lt;&gt;""),(F552*GewP+F582*GewT)/(GewP+GewT),IF(F552&lt;&gt;"",F552,IF(F582&lt;&gt;"",F582,""))),SUMPRODUCT($C$812:$V$812,($C$102:$V$102=F$439)*1,$C$9:$V$9,$C$42:$V$42)/SUMPRODUCT($C$812:$V$812,($C$102:$V$102=F$439)*1,$C$9:$V$9)))</f>
        <v/>
      </c>
      <c r="G612" s="164">
        <f>IF(G462=0,"",IF(EXACT(GewAn,"ja"),IF(AND(G552&lt;&gt;"",G582&lt;&gt;""),(G552*GewP+G582*GewT)/(GewP+GewT),IF(G552&lt;&gt;"",G552,IF(G582&lt;&gt;"",G582,""))),SUMPRODUCT($C$812:$V$812,($C$102:$V$102=G$439)*1,$C$9:$V$9,$C$42:$V$42)/SUMPRODUCT($C$812:$V$812,($C$102:$V$102=G$439)*1,$C$9:$V$9)))</f>
        <v/>
      </c>
      <c r="H612" s="164">
        <f>IF(H462=0,"",IF(EXACT(GewAn,"ja"),IF(AND(H552&lt;&gt;"",H582&lt;&gt;""),(H552*GewP+H582*GewT)/(GewP+GewT),IF(H552&lt;&gt;"",H552,IF(H582&lt;&gt;"",H582,""))),SUMPRODUCT($C$812:$V$812,($C$102:$V$102=H$439)*1,$C$9:$V$9,$C$42:$V$42)/SUMPRODUCT($C$812:$V$812,($C$102:$V$102=H$439)*1,$C$9:$V$9)))</f>
        <v/>
      </c>
      <c r="I612" s="164">
        <f>IF(I462=0,"",IF(EXACT(GewAn,"ja"),IF(AND(I552&lt;&gt;"",I582&lt;&gt;""),(I552*GewP+I582*GewT)/(GewP+GewT),IF(I552&lt;&gt;"",I552,IF(I582&lt;&gt;"",I582,""))),SUMPRODUCT($C$812:$V$812,($C$102:$V$102=I$439)*1,$C$9:$V$9,$C$42:$V$42)/SUMPRODUCT($C$812:$V$812,($C$102:$V$102=I$439)*1,$C$9:$V$9)))</f>
        <v/>
      </c>
      <c r="J612" s="164">
        <f>IF(J462=0,"",IF(EXACT(GewAn,"ja"),IF(AND(J552&lt;&gt;"",J582&lt;&gt;""),(J552*GewP+J582*GewT)/(GewP+GewT),IF(J552&lt;&gt;"",J552,IF(J582&lt;&gt;"",J582,""))),SUMPRODUCT($C$812:$V$812,($C$102:$V$102=J$439)*1,$C$9:$V$9,$C$42:$V$42)/SUMPRODUCT($C$812:$V$812,($C$102:$V$102=J$439)*1,$C$9:$V$9)))</f>
        <v/>
      </c>
    </row>
    <row r="613">
      <c r="C613" s="164">
        <f>IF(C463=0,"",IF(EXACT(GewAn,"ja"),IF(AND(C553&lt;&gt;"",C583&lt;&gt;""),(C553*GewP+C583*GewT)/(GewP+GewT),IF(C553&lt;&gt;"",C553,IF(C583&lt;&gt;"",C583,""))),SUMPRODUCT($C$813:$V$813,($C$103:$V$103=C$439)*1,$C$9:$V$9,$C$43:$V$43)/SUMPRODUCT($C$813:$V$813,($C$103:$V$103=C$439)*1,$C$9:$V$9)))</f>
        <v/>
      </c>
      <c r="D613" s="164">
        <f>IF(D463=0,"",IF(EXACT(GewAn,"ja"),IF(AND(D553&lt;&gt;"",D583&lt;&gt;""),(D553*GewP+D583*GewT)/(GewP+GewT),IF(D553&lt;&gt;"",D553,IF(D583&lt;&gt;"",D583,""))),SUMPRODUCT($C$813:$V$813,($C$103:$V$103=D$439)*1,$C$9:$V$9,$C$43:$V$43)/SUMPRODUCT($C$813:$V$813,($C$103:$V$103=D$439)*1,$C$9:$V$9)))</f>
        <v/>
      </c>
      <c r="E613" s="164">
        <f>IF(E463=0,"",IF(EXACT(GewAn,"ja"),IF(AND(E553&lt;&gt;"",E583&lt;&gt;""),(E553*GewP+E583*GewT)/(GewP+GewT),IF(E553&lt;&gt;"",E553,IF(E583&lt;&gt;"",E583,""))),SUMPRODUCT($C$813:$V$813,($C$103:$V$103=E$439)*1,$C$9:$V$9,$C$43:$V$43)/SUMPRODUCT($C$813:$V$813,($C$103:$V$103=E$439)*1,$C$9:$V$9)))</f>
        <v/>
      </c>
      <c r="F613" s="164">
        <f>IF(F463=0,"",IF(EXACT(GewAn,"ja"),IF(AND(F553&lt;&gt;"",F583&lt;&gt;""),(F553*GewP+F583*GewT)/(GewP+GewT),IF(F553&lt;&gt;"",F553,IF(F583&lt;&gt;"",F583,""))),SUMPRODUCT($C$813:$V$813,($C$103:$V$103=F$439)*1,$C$9:$V$9,$C$43:$V$43)/SUMPRODUCT($C$813:$V$813,($C$103:$V$103=F$439)*1,$C$9:$V$9)))</f>
        <v/>
      </c>
      <c r="G613" s="164">
        <f>IF(G463=0,"",IF(EXACT(GewAn,"ja"),IF(AND(G553&lt;&gt;"",G583&lt;&gt;""),(G553*GewP+G583*GewT)/(GewP+GewT),IF(G553&lt;&gt;"",G553,IF(G583&lt;&gt;"",G583,""))),SUMPRODUCT($C$813:$V$813,($C$103:$V$103=G$439)*1,$C$9:$V$9,$C$43:$V$43)/SUMPRODUCT($C$813:$V$813,($C$103:$V$103=G$439)*1,$C$9:$V$9)))</f>
        <v/>
      </c>
      <c r="H613" s="164">
        <f>IF(H463=0,"",IF(EXACT(GewAn,"ja"),IF(AND(H553&lt;&gt;"",H583&lt;&gt;""),(H553*GewP+H583*GewT)/(GewP+GewT),IF(H553&lt;&gt;"",H553,IF(H583&lt;&gt;"",H583,""))),SUMPRODUCT($C$813:$V$813,($C$103:$V$103=H$439)*1,$C$9:$V$9,$C$43:$V$43)/SUMPRODUCT($C$813:$V$813,($C$103:$V$103=H$439)*1,$C$9:$V$9)))</f>
        <v/>
      </c>
      <c r="I613" s="164">
        <f>IF(I463=0,"",IF(EXACT(GewAn,"ja"),IF(AND(I553&lt;&gt;"",I583&lt;&gt;""),(I553*GewP+I583*GewT)/(GewP+GewT),IF(I553&lt;&gt;"",I553,IF(I583&lt;&gt;"",I583,""))),SUMPRODUCT($C$813:$V$813,($C$103:$V$103=I$439)*1,$C$9:$V$9,$C$43:$V$43)/SUMPRODUCT($C$813:$V$813,($C$103:$V$103=I$439)*1,$C$9:$V$9)))</f>
        <v/>
      </c>
      <c r="J613" s="164">
        <f>IF(J463=0,"",IF(EXACT(GewAn,"ja"),IF(AND(J553&lt;&gt;"",J583&lt;&gt;""),(J553*GewP+J583*GewT)/(GewP+GewT),IF(J553&lt;&gt;"",J553,IF(J583&lt;&gt;"",J583,""))),SUMPRODUCT($C$813:$V$813,($C$103:$V$103=J$439)*1,$C$9:$V$9,$C$43:$V$43)/SUMPRODUCT($C$813:$V$813,($C$103:$V$103=J$439)*1,$C$9:$V$9)))</f>
        <v/>
      </c>
    </row>
    <row r="614">
      <c r="A614" s="165" t="inlineStr">
        <is>
          <t>Gespräch: Übungen des HJ</t>
        </is>
      </c>
      <c r="C614" s="63">
        <f>IF(OR($B$621=0,$B$622&lt;1,$B$622&gt;8),"",IF(AND(INDEX($C$790:$V$814,$B$621,1)=1,INDEX($C$80:$V$104,$B$621,1)=$B$622),1,""))</f>
        <v/>
      </c>
      <c r="D614" s="63">
        <f>IF(OR($B$621=0,$B$622&lt;1,$B$622&gt;8),"",IF(AND(INDEX($C$790:$V$814,$B$621,2)=1,INDEX($C$80:$V$104,$B$621,2)=$B$622),2,""))</f>
        <v/>
      </c>
      <c r="E614" s="63">
        <f>IF(OR($B$621=0,$B$622&lt;1,$B$622&gt;8),"",IF(AND(INDEX($C$790:$V$814,$B$621,3)=1,INDEX($C$80:$V$104,$B$621,3)=$B$622),3,""))</f>
        <v/>
      </c>
      <c r="F614" s="63">
        <f>IF(OR($B$621=0,$B$622&lt;1,$B$622&gt;8),"",IF(AND(INDEX($C$790:$V$814,$B$621,4)=1,INDEX($C$80:$V$104,$B$621,4)=$B$622),4,""))</f>
        <v/>
      </c>
      <c r="G614" s="63">
        <f>IF(OR($B$621=0,$B$622&lt;1,$B$622&gt;8),"",IF(AND(INDEX($C$790:$V$814,$B$621,5)=1,INDEX($C$80:$V$104,$B$621,5)=$B$622),5,""))</f>
        <v/>
      </c>
      <c r="H614" s="63">
        <f>IF(OR($B$621=0,$B$622&lt;1,$B$622&gt;8),"",IF(AND(INDEX($C$790:$V$814,$B$621,6)=1,INDEX($C$80:$V$104,$B$621,6)=$B$622),6,""))</f>
        <v/>
      </c>
      <c r="I614" s="63">
        <f>IF(OR($B$621=0,$B$622&lt;1,$B$622&gt;8),"",IF(AND(INDEX($C$790:$V$814,$B$621,7)=1,INDEX($C$80:$V$104,$B$621,7)=$B$622),7,""))</f>
        <v/>
      </c>
      <c r="J614" s="63">
        <f>IF(OR($B$621=0,$B$622&lt;1,$B$622&gt;8),"",IF(AND(INDEX($C$790:$V$814,$B$621,8)=1,INDEX($C$80:$V$104,$B$621,8)=$B$622),8,""))</f>
        <v/>
      </c>
      <c r="K614" s="61">
        <f>IF(OR($B$621=0,$B$622&lt;1,$B$622&gt;8),"",IF(AND(INDEX($C$790:$V$814,$B$621,9)=1,INDEX($C$80:$V$104,$B$621,9)=$B$622),9,""))</f>
        <v/>
      </c>
      <c r="L614" s="61">
        <f>IF(OR($B$621=0,$B$622&lt;1,$B$622&gt;8),"",IF(AND(INDEX($C$790:$V$814,$B$621,10)=1,INDEX($C$80:$V$104,$B$621,10)=$B$622),10,""))</f>
        <v/>
      </c>
      <c r="M614" s="61">
        <f>IF(OR($B$621=0,$B$622&lt;1,$B$622&gt;8),"",IF(AND(INDEX($C$790:$V$814,$B$621,11)=1,INDEX($C$80:$V$104,$B$621,11)=$B$622),11,""))</f>
        <v/>
      </c>
      <c r="N614" s="61">
        <f>IF(OR($B$621=0,$B$622&lt;1,$B$622&gt;8),"",IF(AND(INDEX($C$790:$V$814,$B$621,12)=1,INDEX($C$80:$V$104,$B$621,12)=$B$622),12,""))</f>
        <v/>
      </c>
      <c r="O614" s="61">
        <f>IF(OR($B$621=0,$B$622&lt;1,$B$622&gt;8),"",IF(AND(INDEX($C$790:$V$814,$B$621,13)=1,INDEX($C$80:$V$104,$B$621,13)=$B$622),13,""))</f>
        <v/>
      </c>
      <c r="P614" s="61">
        <f>IF(OR($B$621=0,$B$622&lt;1,$B$622&gt;8),"",IF(AND(INDEX($C$790:$V$814,$B$621,14)=1,INDEX($C$80:$V$104,$B$621,14)=$B$622),14,""))</f>
        <v/>
      </c>
      <c r="Q614" s="61">
        <f>IF(OR($B$621=0,$B$622&lt;1,$B$622&gt;8),"",IF(AND(INDEX($C$790:$V$814,$B$621,15)=1,INDEX($C$80:$V$104,$B$621,15)=$B$622),15,""))</f>
        <v/>
      </c>
      <c r="R614" s="61">
        <f>IF(OR($B$621=0,$B$622&lt;1,$B$622&gt;8),"",IF(AND(INDEX($C$790:$V$814,$B$621,16)=1,INDEX($C$80:$V$104,$B$621,16)=$B$622),16,""))</f>
        <v/>
      </c>
      <c r="S614" s="61">
        <f>IF(OR($B$621=0,$B$622&lt;1,$B$622&gt;8),"",IF(AND(INDEX($C$790:$V$814,$B$621,17)=1,INDEX($C$80:$V$104,$B$621,17)=$B$622),17,""))</f>
        <v/>
      </c>
      <c r="T614" s="61">
        <f>IF(OR($B$621=0,$B$622&lt;1,$B$622&gt;8),"",IF(AND(INDEX($C$790:$V$814,$B$621,18)=1,INDEX($C$80:$V$104,$B$621,18)=$B$622),18,""))</f>
        <v/>
      </c>
      <c r="U614" s="61">
        <f>IF(OR($B$621=0,$B$622&lt;1,$B$622&gt;8),"",IF(AND(INDEX($C$790:$V$814,$B$621,19)=1,INDEX($C$80:$V$104,$B$621,19)=$B$622),19,""))</f>
        <v/>
      </c>
      <c r="V614" s="61">
        <f>IF(OR($B$621=0,$B$622&lt;1,$B$622&gt;8),"",IF(AND(INDEX($C$790:$V$814,$B$621,20)=1,INDEX($C$80:$V$104,$B$621,20)=$B$622),20,""))</f>
        <v/>
      </c>
    </row>
    <row r="615">
      <c r="A615" s="165" t="inlineStr">
        <is>
          <t>laufende Übungen</t>
        </is>
      </c>
      <c r="C615" s="61">
        <f>IF(AND(C5=1,EXACT(C8,"laufend")),C3,"")</f>
        <v/>
      </c>
      <c r="D615" s="61">
        <f>IF(AND(D5=1,EXACT(D8,"laufend")),D3,"")</f>
        <v/>
      </c>
      <c r="E615" s="61">
        <f>IF(AND(E5=1,EXACT(E8,"laufend")),E3,"")</f>
        <v/>
      </c>
      <c r="F615" s="61">
        <f>IF(AND(F5=1,EXACT(F8,"laufend")),F3,"")</f>
        <v/>
      </c>
      <c r="G615" s="61">
        <f>IF(AND(G5=1,EXACT(G8,"laufend")),G3,"")</f>
        <v/>
      </c>
      <c r="H615" s="61">
        <f>IF(AND(H5=1,EXACT(H8,"laufend")),H3,"")</f>
        <v/>
      </c>
      <c r="I615" s="61">
        <f>IF(AND(I5=1,EXACT(I8,"laufend")),I3,"")</f>
        <v/>
      </c>
      <c r="J615" s="61">
        <f>IF(AND(J5=1,EXACT(J8,"laufend")),J3,"")</f>
        <v/>
      </c>
      <c r="K615" s="61">
        <f>IF(AND(K5=1,EXACT(K8,"laufend")),K3,"")</f>
        <v/>
      </c>
      <c r="L615" s="61">
        <f>IF(AND(L5=1,EXACT(L8,"laufend")),L3,"")</f>
        <v/>
      </c>
      <c r="M615" s="61">
        <f>IF(AND(M5=1,EXACT(M8,"laufend")),M3,"")</f>
        <v/>
      </c>
      <c r="N615" s="61">
        <f>IF(AND(N5=1,EXACT(N8,"laufend")),N3,"")</f>
        <v/>
      </c>
      <c r="O615" s="61">
        <f>IF(AND(O5=1,EXACT(O8,"laufend")),O3,"")</f>
        <v/>
      </c>
      <c r="P615" s="61">
        <f>IF(AND(P5=1,EXACT(P8,"laufend")),P3,"")</f>
        <v/>
      </c>
      <c r="Q615" s="61">
        <f>IF(AND(Q5=1,EXACT(Q8,"laufend")),Q3,"")</f>
        <v/>
      </c>
      <c r="R615" s="61">
        <f>IF(AND(R5=1,EXACT(R8,"laufend")),R3,"")</f>
        <v/>
      </c>
      <c r="S615" s="61">
        <f>IF(AND(S5=1,EXACT(S8,"laufend")),S3,"")</f>
        <v/>
      </c>
      <c r="T615" s="61">
        <f>IF(AND(T5=1,EXACT(T8,"laufend")),T3,"")</f>
        <v/>
      </c>
      <c r="U615" s="61">
        <f>IF(AND(U5=1,EXACT(U8,"laufend")),U3,"")</f>
        <v/>
      </c>
      <c r="V615" s="61">
        <f>IF(AND(V5=1,EXACT(V8,"laufend")),V3,"")</f>
        <v/>
      </c>
    </row>
    <row r="616">
      <c r="A616" s="165" t="inlineStr">
        <is>
          <t>bewertet (Diagramm)</t>
        </is>
      </c>
      <c r="C616" s="61">
        <f>IF($B$619=0,"",IF(INDEX($C$380:$V$404,$B$619,1)=1,1,""))</f>
        <v/>
      </c>
      <c r="D616" s="61">
        <f>IF($B$619=0,"",IF(INDEX($C$380:$V$404,$B$619,2)=1,2,""))</f>
        <v/>
      </c>
      <c r="E616" s="61">
        <f>IF($B$619=0,"",IF(INDEX($C$380:$V$404,$B$619,3)=1,3,""))</f>
        <v/>
      </c>
      <c r="F616" s="61">
        <f>IF($B$619=0,"",IF(INDEX($C$380:$V$404,$B$619,4)=1,4,""))</f>
        <v/>
      </c>
      <c r="G616" s="61">
        <f>IF($B$619=0,"",IF(INDEX($C$380:$V$404,$B$619,5)=1,5,""))</f>
        <v/>
      </c>
      <c r="H616" s="61">
        <f>IF($B$619=0,"",IF(INDEX($C$380:$V$404,$B$619,6)=1,6,""))</f>
        <v/>
      </c>
      <c r="I616" s="61">
        <f>IF($B$619=0,"",IF(INDEX($C$380:$V$404,$B$619,7)=1,7,""))</f>
        <v/>
      </c>
      <c r="J616" s="61">
        <f>IF($B$619=0,"",IF(INDEX($C$380:$V$404,$B$619,8)=1,8,""))</f>
        <v/>
      </c>
      <c r="K616" s="61">
        <f>IF($B$619=0,"",IF(INDEX($C$380:$V$404,$B$619,9)=1,9,""))</f>
        <v/>
      </c>
      <c r="L616" s="61">
        <f>IF($B$619=0,"",IF(INDEX($C$380:$V$404,$B$619,10)=1,10,""))</f>
        <v/>
      </c>
      <c r="M616" s="61">
        <f>IF($B$619=0,"",IF(INDEX($C$380:$V$404,$B$619,11)=1,11,""))</f>
        <v/>
      </c>
      <c r="N616" s="61">
        <f>IF($B$619=0,"",IF(INDEX($C$380:$V$404,$B$619,12)=1,12,""))</f>
        <v/>
      </c>
      <c r="O616" s="61">
        <f>IF($B$619=0,"",IF(INDEX($C$380:$V$404,$B$619,13)=1,13,""))</f>
        <v/>
      </c>
      <c r="P616" s="61">
        <f>IF($B$619=0,"",IF(INDEX($C$380:$V$404,$B$619,14)=1,14,""))</f>
        <v/>
      </c>
      <c r="Q616" s="61">
        <f>IF($B$619=0,"",IF(INDEX($C$380:$V$404,$B$619,15)=1,15,""))</f>
        <v/>
      </c>
      <c r="R616" s="61">
        <f>IF($B$619=0,"",IF(INDEX($C$380:$V$404,$B$619,16)=1,16,""))</f>
        <v/>
      </c>
      <c r="S616" s="61">
        <f>IF($B$619=0,"",IF(INDEX($C$380:$V$404,$B$619,17)=1,17,""))</f>
        <v/>
      </c>
      <c r="T616" s="61">
        <f>IF($B$619=0,"",IF(INDEX($C$380:$V$404,$B$619,18)=1,18,""))</f>
        <v/>
      </c>
      <c r="U616" s="61">
        <f>IF($B$619=0,"",IF(INDEX($C$380:$V$404,$B$619,19)=1,19,""))</f>
        <v/>
      </c>
      <c r="V616" s="61">
        <f>IF($B$619=0,"",IF(INDEX($C$380:$V$404,$B$619,20)=1,20,""))</f>
        <v/>
      </c>
    </row>
    <row r="617">
      <c r="A617" s="65" t="inlineStr">
        <is>
          <t>Jahrgang gewählt</t>
        </is>
      </c>
      <c r="B617" s="62">
        <f>IF($B$619=0,0,INDEX('Stammdaten'!$E$6:$E$30,$B$619))</f>
        <v/>
      </c>
    </row>
    <row r="618">
      <c r="A618" s="65" t="inlineStr">
        <is>
          <t>Azubi gewählt</t>
        </is>
      </c>
      <c r="B618" s="62">
        <f>'Azubi-Ansicht'!$C$5</f>
        <v/>
      </c>
    </row>
    <row r="619">
      <c r="A619" s="65" t="inlineStr">
        <is>
          <t>Azubi-Nr.</t>
        </is>
      </c>
      <c r="B619" s="62">
        <f>IFERROR(MATCH($B$618,'Stammdaten'!$J$6:$J$30,0),0)</f>
        <v/>
      </c>
    </row>
    <row r="620">
      <c r="A620" s="65" t="inlineStr">
        <is>
          <t>Gespräch Azubi</t>
        </is>
      </c>
      <c r="B620" s="62">
        <f>'Gesprächsseite'!$C$6</f>
        <v/>
      </c>
    </row>
    <row r="621">
      <c r="A621" s="65" t="inlineStr">
        <is>
          <t>Gespräch Nr.</t>
        </is>
      </c>
      <c r="B621" s="62">
        <f>IFERROR(MATCH($B$620,'Stammdaten'!$J$6:$J$30,0),0)</f>
        <v/>
      </c>
    </row>
    <row r="622">
      <c r="A622" s="65" t="inlineStr">
        <is>
          <t>Gespräch HJ</t>
        </is>
      </c>
      <c r="B622" s="62">
        <f>'Gesprächsseite'!$F$6</f>
        <v/>
      </c>
    </row>
    <row r="623">
      <c r="A623" s="65" t="inlineStr">
        <is>
          <t>Azubis im Filter</t>
        </is>
      </c>
      <c r="B623" s="62">
        <f>COUNT($C$660:$C$684)</f>
        <v/>
      </c>
    </row>
    <row r="629">
      <c r="A629" s="162" t="inlineStr">
        <is>
          <t>aktuelles Halbjahr je Azubi</t>
        </is>
      </c>
    </row>
    <row r="630">
      <c r="B630" s="61" t="n">
        <v>1</v>
      </c>
      <c r="C630" s="61">
        <f>IF(SUM($C$440:$J$440)=0,"",SUMPRODUCT(MAX(($C$440:$J$440&gt;0)*$C$439:$J$439)))</f>
        <v/>
      </c>
      <c r="D630" s="63">
        <f>IF(OR(C630="",C630&lt;1,C630&gt;8),"",INDEX($C$590:$J$590,C630))</f>
        <v/>
      </c>
      <c r="E630" s="61">
        <f>IF(OR(C630="",C630&lt;1,C630&gt;8),"",INDEX($C$440:$J$440,C630))</f>
        <v/>
      </c>
      <c r="F630" s="61">
        <f>IF(ISNUMBER(D630),INDEX(Noten,MAX(1,MIN(COUNT(NGrenze),COUNT(NGrenze)+1-COUNTIF(NGrenze,"&lt;="&amp;D630)))),"")</f>
        <v/>
      </c>
      <c r="G630" s="61">
        <f>IF(AND(ISNUMBER(D630),'Stammdaten'!$G6="aktiv",F630&gt;=WarnNote),1,0)</f>
        <v/>
      </c>
      <c r="H630" s="61">
        <f>IF(G630=1,B630,"")</f>
        <v/>
      </c>
    </row>
    <row r="631">
      <c r="B631" s="61" t="n">
        <v>2</v>
      </c>
      <c r="C631" s="61">
        <f>IF(SUM($C$441:$J$441)=0,"",SUMPRODUCT(MAX(($C$441:$J$441&gt;0)*$C$439:$J$439)))</f>
        <v/>
      </c>
      <c r="D631" s="63">
        <f>IF(OR(C631="",C631&lt;1,C631&gt;8),"",INDEX($C$591:$J$591,C631))</f>
        <v/>
      </c>
      <c r="E631" s="61">
        <f>IF(OR(C631="",C631&lt;1,C631&gt;8),"",INDEX($C$441:$J$441,C631))</f>
        <v/>
      </c>
      <c r="F631" s="61">
        <f>IF(ISNUMBER(D631),INDEX(Noten,MAX(1,MIN(COUNT(NGrenze),COUNT(NGrenze)+1-COUNTIF(NGrenze,"&lt;="&amp;D631)))),"")</f>
        <v/>
      </c>
      <c r="G631" s="61">
        <f>IF(AND(ISNUMBER(D631),'Stammdaten'!$G7="aktiv",F631&gt;=WarnNote),1,0)</f>
        <v/>
      </c>
      <c r="H631" s="61">
        <f>IF(G631=1,B631,"")</f>
        <v/>
      </c>
    </row>
    <row r="632">
      <c r="B632" s="61" t="n">
        <v>3</v>
      </c>
      <c r="C632" s="61">
        <f>IF(SUM($C$442:$J$442)=0,"",SUMPRODUCT(MAX(($C$442:$J$442&gt;0)*$C$439:$J$439)))</f>
        <v/>
      </c>
      <c r="D632" s="63">
        <f>IF(OR(C632="",C632&lt;1,C632&gt;8),"",INDEX($C$592:$J$592,C632))</f>
        <v/>
      </c>
      <c r="E632" s="61">
        <f>IF(OR(C632="",C632&lt;1,C632&gt;8),"",INDEX($C$442:$J$442,C632))</f>
        <v/>
      </c>
      <c r="F632" s="61">
        <f>IF(ISNUMBER(D632),INDEX(Noten,MAX(1,MIN(COUNT(NGrenze),COUNT(NGrenze)+1-COUNTIF(NGrenze,"&lt;="&amp;D632)))),"")</f>
        <v/>
      </c>
      <c r="G632" s="61">
        <f>IF(AND(ISNUMBER(D632),'Stammdaten'!$G8="aktiv",F632&gt;=WarnNote),1,0)</f>
        <v/>
      </c>
      <c r="H632" s="61">
        <f>IF(G632=1,B632,"")</f>
        <v/>
      </c>
    </row>
    <row r="633">
      <c r="B633" s="61" t="n">
        <v>4</v>
      </c>
      <c r="C633" s="61">
        <f>IF(SUM($C$443:$J$443)=0,"",SUMPRODUCT(MAX(($C$443:$J$443&gt;0)*$C$439:$J$439)))</f>
        <v/>
      </c>
      <c r="D633" s="63">
        <f>IF(OR(C633="",C633&lt;1,C633&gt;8),"",INDEX($C$593:$J$593,C633))</f>
        <v/>
      </c>
      <c r="E633" s="61">
        <f>IF(OR(C633="",C633&lt;1,C633&gt;8),"",INDEX($C$443:$J$443,C633))</f>
        <v/>
      </c>
      <c r="F633" s="61">
        <f>IF(ISNUMBER(D633),INDEX(Noten,MAX(1,MIN(COUNT(NGrenze),COUNT(NGrenze)+1-COUNTIF(NGrenze,"&lt;="&amp;D633)))),"")</f>
        <v/>
      </c>
      <c r="G633" s="61">
        <f>IF(AND(ISNUMBER(D633),'Stammdaten'!$G9="aktiv",F633&gt;=WarnNote),1,0)</f>
        <v/>
      </c>
      <c r="H633" s="61">
        <f>IF(G633=1,B633,"")</f>
        <v/>
      </c>
    </row>
    <row r="634">
      <c r="B634" s="61" t="n">
        <v>5</v>
      </c>
      <c r="C634" s="61">
        <f>IF(SUM($C$444:$J$444)=0,"",SUMPRODUCT(MAX(($C$444:$J$444&gt;0)*$C$439:$J$439)))</f>
        <v/>
      </c>
      <c r="D634" s="63">
        <f>IF(OR(C634="",C634&lt;1,C634&gt;8),"",INDEX($C$594:$J$594,C634))</f>
        <v/>
      </c>
      <c r="E634" s="61">
        <f>IF(OR(C634="",C634&lt;1,C634&gt;8),"",INDEX($C$444:$J$444,C634))</f>
        <v/>
      </c>
      <c r="F634" s="61">
        <f>IF(ISNUMBER(D634),INDEX(Noten,MAX(1,MIN(COUNT(NGrenze),COUNT(NGrenze)+1-COUNTIF(NGrenze,"&lt;="&amp;D634)))),"")</f>
        <v/>
      </c>
      <c r="G634" s="61">
        <f>IF(AND(ISNUMBER(D634),'Stammdaten'!$G10="aktiv",F634&gt;=WarnNote),1,0)</f>
        <v/>
      </c>
      <c r="H634" s="61">
        <f>IF(G634=1,B634,"")</f>
        <v/>
      </c>
    </row>
    <row r="635">
      <c r="B635" s="61" t="n">
        <v>6</v>
      </c>
      <c r="C635" s="61">
        <f>IF(SUM($C$445:$J$445)=0,"",SUMPRODUCT(MAX(($C$445:$J$445&gt;0)*$C$439:$J$439)))</f>
        <v/>
      </c>
      <c r="D635" s="63">
        <f>IF(OR(C635="",C635&lt;1,C635&gt;8),"",INDEX($C$595:$J$595,C635))</f>
        <v/>
      </c>
      <c r="E635" s="61">
        <f>IF(OR(C635="",C635&lt;1,C635&gt;8),"",INDEX($C$445:$J$445,C635))</f>
        <v/>
      </c>
      <c r="F635" s="61">
        <f>IF(ISNUMBER(D635),INDEX(Noten,MAX(1,MIN(COUNT(NGrenze),COUNT(NGrenze)+1-COUNTIF(NGrenze,"&lt;="&amp;D635)))),"")</f>
        <v/>
      </c>
      <c r="G635" s="61">
        <f>IF(AND(ISNUMBER(D635),'Stammdaten'!$G11="aktiv",F635&gt;=WarnNote),1,0)</f>
        <v/>
      </c>
      <c r="H635" s="61">
        <f>IF(G635=1,B635,"")</f>
        <v/>
      </c>
    </row>
    <row r="636">
      <c r="B636" s="61" t="n">
        <v>7</v>
      </c>
      <c r="C636" s="61">
        <f>IF(SUM($C$446:$J$446)=0,"",SUMPRODUCT(MAX(($C$446:$J$446&gt;0)*$C$439:$J$439)))</f>
        <v/>
      </c>
      <c r="D636" s="63">
        <f>IF(OR(C636="",C636&lt;1,C636&gt;8),"",INDEX($C$596:$J$596,C636))</f>
        <v/>
      </c>
      <c r="E636" s="61">
        <f>IF(OR(C636="",C636&lt;1,C636&gt;8),"",INDEX($C$446:$J$446,C636))</f>
        <v/>
      </c>
      <c r="F636" s="61">
        <f>IF(ISNUMBER(D636),INDEX(Noten,MAX(1,MIN(COUNT(NGrenze),COUNT(NGrenze)+1-COUNTIF(NGrenze,"&lt;="&amp;D636)))),"")</f>
        <v/>
      </c>
      <c r="G636" s="61">
        <f>IF(AND(ISNUMBER(D636),'Stammdaten'!$G12="aktiv",F636&gt;=WarnNote),1,0)</f>
        <v/>
      </c>
      <c r="H636" s="61">
        <f>IF(G636=1,B636,"")</f>
        <v/>
      </c>
    </row>
    <row r="637">
      <c r="B637" s="61" t="n">
        <v>8</v>
      </c>
      <c r="C637" s="61">
        <f>IF(SUM($C$447:$J$447)=0,"",SUMPRODUCT(MAX(($C$447:$J$447&gt;0)*$C$439:$J$439)))</f>
        <v/>
      </c>
      <c r="D637" s="63">
        <f>IF(OR(C637="",C637&lt;1,C637&gt;8),"",INDEX($C$597:$J$597,C637))</f>
        <v/>
      </c>
      <c r="E637" s="61">
        <f>IF(OR(C637="",C637&lt;1,C637&gt;8),"",INDEX($C$447:$J$447,C637))</f>
        <v/>
      </c>
      <c r="F637" s="61">
        <f>IF(ISNUMBER(D637),INDEX(Noten,MAX(1,MIN(COUNT(NGrenze),COUNT(NGrenze)+1-COUNTIF(NGrenze,"&lt;="&amp;D637)))),"")</f>
        <v/>
      </c>
      <c r="G637" s="61">
        <f>IF(AND(ISNUMBER(D637),'Stammdaten'!$G13="aktiv",F637&gt;=WarnNote),1,0)</f>
        <v/>
      </c>
      <c r="H637" s="61">
        <f>IF(G637=1,B637,"")</f>
        <v/>
      </c>
    </row>
    <row r="638">
      <c r="B638" s="61" t="n">
        <v>9</v>
      </c>
      <c r="C638" s="61">
        <f>IF(SUM($C$448:$J$448)=0,"",SUMPRODUCT(MAX(($C$448:$J$448&gt;0)*$C$439:$J$439)))</f>
        <v/>
      </c>
      <c r="D638" s="63">
        <f>IF(OR(C638="",C638&lt;1,C638&gt;8),"",INDEX($C$598:$J$598,C638))</f>
        <v/>
      </c>
      <c r="E638" s="61">
        <f>IF(OR(C638="",C638&lt;1,C638&gt;8),"",INDEX($C$448:$J$448,C638))</f>
        <v/>
      </c>
      <c r="F638" s="61">
        <f>IF(ISNUMBER(D638),INDEX(Noten,MAX(1,MIN(COUNT(NGrenze),COUNT(NGrenze)+1-COUNTIF(NGrenze,"&lt;="&amp;D638)))),"")</f>
        <v/>
      </c>
      <c r="G638" s="61">
        <f>IF(AND(ISNUMBER(D638),'Stammdaten'!$G14="aktiv",F638&gt;=WarnNote),1,0)</f>
        <v/>
      </c>
      <c r="H638" s="61">
        <f>IF(G638=1,B638,"")</f>
        <v/>
      </c>
    </row>
    <row r="639">
      <c r="B639" s="61" t="n">
        <v>10</v>
      </c>
      <c r="C639" s="61">
        <f>IF(SUM($C$449:$J$449)=0,"",SUMPRODUCT(MAX(($C$449:$J$449&gt;0)*$C$439:$J$439)))</f>
        <v/>
      </c>
      <c r="D639" s="63">
        <f>IF(OR(C639="",C639&lt;1,C639&gt;8),"",INDEX($C$599:$J$599,C639))</f>
        <v/>
      </c>
      <c r="E639" s="61">
        <f>IF(OR(C639="",C639&lt;1,C639&gt;8),"",INDEX($C$449:$J$449,C639))</f>
        <v/>
      </c>
      <c r="F639" s="61">
        <f>IF(ISNUMBER(D639),INDEX(Noten,MAX(1,MIN(COUNT(NGrenze),COUNT(NGrenze)+1-COUNTIF(NGrenze,"&lt;="&amp;D639)))),"")</f>
        <v/>
      </c>
      <c r="G639" s="61">
        <f>IF(AND(ISNUMBER(D639),'Stammdaten'!$G15="aktiv",F639&gt;=WarnNote),1,0)</f>
        <v/>
      </c>
      <c r="H639" s="61">
        <f>IF(G639=1,B639,"")</f>
        <v/>
      </c>
    </row>
    <row r="640">
      <c r="B640" s="61" t="n">
        <v>11</v>
      </c>
      <c r="C640" s="61">
        <f>IF(SUM($C$450:$J$450)=0,"",SUMPRODUCT(MAX(($C$450:$J$450&gt;0)*$C$439:$J$439)))</f>
        <v/>
      </c>
      <c r="D640" s="63">
        <f>IF(OR(C640="",C640&lt;1,C640&gt;8),"",INDEX($C$600:$J$600,C640))</f>
        <v/>
      </c>
      <c r="E640" s="61">
        <f>IF(OR(C640="",C640&lt;1,C640&gt;8),"",INDEX($C$450:$J$450,C640))</f>
        <v/>
      </c>
      <c r="F640" s="61">
        <f>IF(ISNUMBER(D640),INDEX(Noten,MAX(1,MIN(COUNT(NGrenze),COUNT(NGrenze)+1-COUNTIF(NGrenze,"&lt;="&amp;D640)))),"")</f>
        <v/>
      </c>
      <c r="G640" s="61">
        <f>IF(AND(ISNUMBER(D640),'Stammdaten'!$G16="aktiv",F640&gt;=WarnNote),1,0)</f>
        <v/>
      </c>
      <c r="H640" s="61">
        <f>IF(G640=1,B640,"")</f>
        <v/>
      </c>
    </row>
    <row r="641">
      <c r="B641" s="61" t="n">
        <v>12</v>
      </c>
      <c r="C641" s="61">
        <f>IF(SUM($C$451:$J$451)=0,"",SUMPRODUCT(MAX(($C$451:$J$451&gt;0)*$C$439:$J$439)))</f>
        <v/>
      </c>
      <c r="D641" s="63">
        <f>IF(OR(C641="",C641&lt;1,C641&gt;8),"",INDEX($C$601:$J$601,C641))</f>
        <v/>
      </c>
      <c r="E641" s="61">
        <f>IF(OR(C641="",C641&lt;1,C641&gt;8),"",INDEX($C$451:$J$451,C641))</f>
        <v/>
      </c>
      <c r="F641" s="61">
        <f>IF(ISNUMBER(D641),INDEX(Noten,MAX(1,MIN(COUNT(NGrenze),COUNT(NGrenze)+1-COUNTIF(NGrenze,"&lt;="&amp;D641)))),"")</f>
        <v/>
      </c>
      <c r="G641" s="61">
        <f>IF(AND(ISNUMBER(D641),'Stammdaten'!$G17="aktiv",F641&gt;=WarnNote),1,0)</f>
        <v/>
      </c>
      <c r="H641" s="61">
        <f>IF(G641=1,B641,"")</f>
        <v/>
      </c>
    </row>
    <row r="642">
      <c r="B642" s="61" t="n">
        <v>13</v>
      </c>
      <c r="C642" s="61">
        <f>IF(SUM($C$452:$J$452)=0,"",SUMPRODUCT(MAX(($C$452:$J$452&gt;0)*$C$439:$J$439)))</f>
        <v/>
      </c>
      <c r="D642" s="63">
        <f>IF(OR(C642="",C642&lt;1,C642&gt;8),"",INDEX($C$602:$J$602,C642))</f>
        <v/>
      </c>
      <c r="E642" s="61">
        <f>IF(OR(C642="",C642&lt;1,C642&gt;8),"",INDEX($C$452:$J$452,C642))</f>
        <v/>
      </c>
      <c r="F642" s="61">
        <f>IF(ISNUMBER(D642),INDEX(Noten,MAX(1,MIN(COUNT(NGrenze),COUNT(NGrenze)+1-COUNTIF(NGrenze,"&lt;="&amp;D642)))),"")</f>
        <v/>
      </c>
      <c r="G642" s="61">
        <f>IF(AND(ISNUMBER(D642),'Stammdaten'!$G18="aktiv",F642&gt;=WarnNote),1,0)</f>
        <v/>
      </c>
      <c r="H642" s="61">
        <f>IF(G642=1,B642,"")</f>
        <v/>
      </c>
    </row>
    <row r="643">
      <c r="B643" s="61" t="n">
        <v>14</v>
      </c>
      <c r="C643" s="61">
        <f>IF(SUM($C$453:$J$453)=0,"",SUMPRODUCT(MAX(($C$453:$J$453&gt;0)*$C$439:$J$439)))</f>
        <v/>
      </c>
      <c r="D643" s="63">
        <f>IF(OR(C643="",C643&lt;1,C643&gt;8),"",INDEX($C$603:$J$603,C643))</f>
        <v/>
      </c>
      <c r="E643" s="61">
        <f>IF(OR(C643="",C643&lt;1,C643&gt;8),"",INDEX($C$453:$J$453,C643))</f>
        <v/>
      </c>
      <c r="F643" s="61">
        <f>IF(ISNUMBER(D643),INDEX(Noten,MAX(1,MIN(COUNT(NGrenze),COUNT(NGrenze)+1-COUNTIF(NGrenze,"&lt;="&amp;D643)))),"")</f>
        <v/>
      </c>
      <c r="G643" s="61">
        <f>IF(AND(ISNUMBER(D643),'Stammdaten'!$G19="aktiv",F643&gt;=WarnNote),1,0)</f>
        <v/>
      </c>
      <c r="H643" s="61">
        <f>IF(G643=1,B643,"")</f>
        <v/>
      </c>
    </row>
    <row r="644">
      <c r="B644" s="61" t="n">
        <v>15</v>
      </c>
      <c r="C644" s="61">
        <f>IF(SUM($C$454:$J$454)=0,"",SUMPRODUCT(MAX(($C$454:$J$454&gt;0)*$C$439:$J$439)))</f>
        <v/>
      </c>
      <c r="D644" s="63">
        <f>IF(OR(C644="",C644&lt;1,C644&gt;8),"",INDEX($C$604:$J$604,C644))</f>
        <v/>
      </c>
      <c r="E644" s="61">
        <f>IF(OR(C644="",C644&lt;1,C644&gt;8),"",INDEX($C$454:$J$454,C644))</f>
        <v/>
      </c>
      <c r="F644" s="61">
        <f>IF(ISNUMBER(D644),INDEX(Noten,MAX(1,MIN(COUNT(NGrenze),COUNT(NGrenze)+1-COUNTIF(NGrenze,"&lt;="&amp;D644)))),"")</f>
        <v/>
      </c>
      <c r="G644" s="61">
        <f>IF(AND(ISNUMBER(D644),'Stammdaten'!$G20="aktiv",F644&gt;=WarnNote),1,0)</f>
        <v/>
      </c>
      <c r="H644" s="61">
        <f>IF(G644=1,B644,"")</f>
        <v/>
      </c>
    </row>
    <row r="645">
      <c r="B645" s="61" t="n">
        <v>16</v>
      </c>
      <c r="C645" s="61">
        <f>IF(SUM($C$455:$J$455)=0,"",SUMPRODUCT(MAX(($C$455:$J$455&gt;0)*$C$439:$J$439)))</f>
        <v/>
      </c>
      <c r="D645" s="63">
        <f>IF(OR(C645="",C645&lt;1,C645&gt;8),"",INDEX($C$605:$J$605,C645))</f>
        <v/>
      </c>
      <c r="E645" s="61">
        <f>IF(OR(C645="",C645&lt;1,C645&gt;8),"",INDEX($C$455:$J$455,C645))</f>
        <v/>
      </c>
      <c r="F645" s="61">
        <f>IF(ISNUMBER(D645),INDEX(Noten,MAX(1,MIN(COUNT(NGrenze),COUNT(NGrenze)+1-COUNTIF(NGrenze,"&lt;="&amp;D645)))),"")</f>
        <v/>
      </c>
      <c r="G645" s="61">
        <f>IF(AND(ISNUMBER(D645),'Stammdaten'!$G21="aktiv",F645&gt;=WarnNote),1,0)</f>
        <v/>
      </c>
      <c r="H645" s="61">
        <f>IF(G645=1,B645,"")</f>
        <v/>
      </c>
    </row>
    <row r="646">
      <c r="B646" s="61" t="n">
        <v>17</v>
      </c>
      <c r="C646" s="61">
        <f>IF(SUM($C$456:$J$456)=0,"",SUMPRODUCT(MAX(($C$456:$J$456&gt;0)*$C$439:$J$439)))</f>
        <v/>
      </c>
      <c r="D646" s="63">
        <f>IF(OR(C646="",C646&lt;1,C646&gt;8),"",INDEX($C$606:$J$606,C646))</f>
        <v/>
      </c>
      <c r="E646" s="61">
        <f>IF(OR(C646="",C646&lt;1,C646&gt;8),"",INDEX($C$456:$J$456,C646))</f>
        <v/>
      </c>
      <c r="F646" s="61">
        <f>IF(ISNUMBER(D646),INDEX(Noten,MAX(1,MIN(COUNT(NGrenze),COUNT(NGrenze)+1-COUNTIF(NGrenze,"&lt;="&amp;D646)))),"")</f>
        <v/>
      </c>
      <c r="G646" s="61">
        <f>IF(AND(ISNUMBER(D646),'Stammdaten'!$G22="aktiv",F646&gt;=WarnNote),1,0)</f>
        <v/>
      </c>
      <c r="H646" s="61">
        <f>IF(G646=1,B646,"")</f>
        <v/>
      </c>
    </row>
    <row r="647">
      <c r="B647" s="61" t="n">
        <v>18</v>
      </c>
      <c r="C647" s="61">
        <f>IF(SUM($C$457:$J$457)=0,"",SUMPRODUCT(MAX(($C$457:$J$457&gt;0)*$C$439:$J$439)))</f>
        <v/>
      </c>
      <c r="D647" s="63">
        <f>IF(OR(C647="",C647&lt;1,C647&gt;8),"",INDEX($C$607:$J$607,C647))</f>
        <v/>
      </c>
      <c r="E647" s="61">
        <f>IF(OR(C647="",C647&lt;1,C647&gt;8),"",INDEX($C$457:$J$457,C647))</f>
        <v/>
      </c>
      <c r="F647" s="61">
        <f>IF(ISNUMBER(D647),INDEX(Noten,MAX(1,MIN(COUNT(NGrenze),COUNT(NGrenze)+1-COUNTIF(NGrenze,"&lt;="&amp;D647)))),"")</f>
        <v/>
      </c>
      <c r="G647" s="61">
        <f>IF(AND(ISNUMBER(D647),'Stammdaten'!$G23="aktiv",F647&gt;=WarnNote),1,0)</f>
        <v/>
      </c>
      <c r="H647" s="61">
        <f>IF(G647=1,B647,"")</f>
        <v/>
      </c>
    </row>
    <row r="648">
      <c r="B648" s="61" t="n">
        <v>19</v>
      </c>
      <c r="C648" s="61">
        <f>IF(SUM($C$458:$J$458)=0,"",SUMPRODUCT(MAX(($C$458:$J$458&gt;0)*$C$439:$J$439)))</f>
        <v/>
      </c>
      <c r="D648" s="63">
        <f>IF(OR(C648="",C648&lt;1,C648&gt;8),"",INDEX($C$608:$J$608,C648))</f>
        <v/>
      </c>
      <c r="E648" s="61">
        <f>IF(OR(C648="",C648&lt;1,C648&gt;8),"",INDEX($C$458:$J$458,C648))</f>
        <v/>
      </c>
      <c r="F648" s="61">
        <f>IF(ISNUMBER(D648),INDEX(Noten,MAX(1,MIN(COUNT(NGrenze),COUNT(NGrenze)+1-COUNTIF(NGrenze,"&lt;="&amp;D648)))),"")</f>
        <v/>
      </c>
      <c r="G648" s="61">
        <f>IF(AND(ISNUMBER(D648),'Stammdaten'!$G24="aktiv",F648&gt;=WarnNote),1,0)</f>
        <v/>
      </c>
      <c r="H648" s="61">
        <f>IF(G648=1,B648,"")</f>
        <v/>
      </c>
    </row>
    <row r="649">
      <c r="B649" s="61" t="n">
        <v>20</v>
      </c>
      <c r="C649" s="61">
        <f>IF(SUM($C$459:$J$459)=0,"",SUMPRODUCT(MAX(($C$459:$J$459&gt;0)*$C$439:$J$439)))</f>
        <v/>
      </c>
      <c r="D649" s="63">
        <f>IF(OR(C649="",C649&lt;1,C649&gt;8),"",INDEX($C$609:$J$609,C649))</f>
        <v/>
      </c>
      <c r="E649" s="61">
        <f>IF(OR(C649="",C649&lt;1,C649&gt;8),"",INDEX($C$459:$J$459,C649))</f>
        <v/>
      </c>
      <c r="F649" s="61">
        <f>IF(ISNUMBER(D649),INDEX(Noten,MAX(1,MIN(COUNT(NGrenze),COUNT(NGrenze)+1-COUNTIF(NGrenze,"&lt;="&amp;D649)))),"")</f>
        <v/>
      </c>
      <c r="G649" s="61">
        <f>IF(AND(ISNUMBER(D649),'Stammdaten'!$G25="aktiv",F649&gt;=WarnNote),1,0)</f>
        <v/>
      </c>
      <c r="H649" s="61">
        <f>IF(G649=1,B649,"")</f>
        <v/>
      </c>
    </row>
    <row r="650">
      <c r="B650" s="61" t="n">
        <v>21</v>
      </c>
      <c r="C650" s="61">
        <f>IF(SUM($C$460:$J$460)=0,"",SUMPRODUCT(MAX(($C$460:$J$460&gt;0)*$C$439:$J$439)))</f>
        <v/>
      </c>
      <c r="D650" s="63">
        <f>IF(OR(C650="",C650&lt;1,C650&gt;8),"",INDEX($C$610:$J$610,C650))</f>
        <v/>
      </c>
      <c r="E650" s="61">
        <f>IF(OR(C650="",C650&lt;1,C650&gt;8),"",INDEX($C$460:$J$460,C650))</f>
        <v/>
      </c>
      <c r="F650" s="61">
        <f>IF(ISNUMBER(D650),INDEX(Noten,MAX(1,MIN(COUNT(NGrenze),COUNT(NGrenze)+1-COUNTIF(NGrenze,"&lt;="&amp;D650)))),"")</f>
        <v/>
      </c>
      <c r="G650" s="61">
        <f>IF(AND(ISNUMBER(D650),'Stammdaten'!$G26="aktiv",F650&gt;=WarnNote),1,0)</f>
        <v/>
      </c>
      <c r="H650" s="61">
        <f>IF(G650=1,B650,"")</f>
        <v/>
      </c>
    </row>
    <row r="651">
      <c r="B651" s="61" t="n">
        <v>22</v>
      </c>
      <c r="C651" s="61">
        <f>IF(SUM($C$461:$J$461)=0,"",SUMPRODUCT(MAX(($C$461:$J$461&gt;0)*$C$439:$J$439)))</f>
        <v/>
      </c>
      <c r="D651" s="63">
        <f>IF(OR(C651="",C651&lt;1,C651&gt;8),"",INDEX($C$611:$J$611,C651))</f>
        <v/>
      </c>
      <c r="E651" s="61">
        <f>IF(OR(C651="",C651&lt;1,C651&gt;8),"",INDEX($C$461:$J$461,C651))</f>
        <v/>
      </c>
      <c r="F651" s="61">
        <f>IF(ISNUMBER(D651),INDEX(Noten,MAX(1,MIN(COUNT(NGrenze),COUNT(NGrenze)+1-COUNTIF(NGrenze,"&lt;="&amp;D651)))),"")</f>
        <v/>
      </c>
      <c r="G651" s="61">
        <f>IF(AND(ISNUMBER(D651),'Stammdaten'!$G27="aktiv",F651&gt;=WarnNote),1,0)</f>
        <v/>
      </c>
      <c r="H651" s="61">
        <f>IF(G651=1,B651,"")</f>
        <v/>
      </c>
    </row>
    <row r="652">
      <c r="B652" s="61" t="n">
        <v>23</v>
      </c>
      <c r="C652" s="61">
        <f>IF(SUM($C$462:$J$462)=0,"",SUMPRODUCT(MAX(($C$462:$J$462&gt;0)*$C$439:$J$439)))</f>
        <v/>
      </c>
      <c r="D652" s="63">
        <f>IF(OR(C652="",C652&lt;1,C652&gt;8),"",INDEX($C$612:$J$612,C652))</f>
        <v/>
      </c>
      <c r="E652" s="61">
        <f>IF(OR(C652="",C652&lt;1,C652&gt;8),"",INDEX($C$462:$J$462,C652))</f>
        <v/>
      </c>
      <c r="F652" s="61">
        <f>IF(ISNUMBER(D652),INDEX(Noten,MAX(1,MIN(COUNT(NGrenze),COUNT(NGrenze)+1-COUNTIF(NGrenze,"&lt;="&amp;D652)))),"")</f>
        <v/>
      </c>
      <c r="G652" s="61">
        <f>IF(AND(ISNUMBER(D652),'Stammdaten'!$G28="aktiv",F652&gt;=WarnNote),1,0)</f>
        <v/>
      </c>
      <c r="H652" s="61">
        <f>IF(G652=1,B652,"")</f>
        <v/>
      </c>
    </row>
    <row r="653">
      <c r="B653" s="61" t="n">
        <v>24</v>
      </c>
      <c r="C653" s="61">
        <f>IF(SUM($C$463:$J$463)=0,"",SUMPRODUCT(MAX(($C$463:$J$463&gt;0)*$C$439:$J$439)))</f>
        <v/>
      </c>
      <c r="D653" s="63">
        <f>IF(OR(C653="",C653&lt;1,C653&gt;8),"",INDEX($C$613:$J$613,C653))</f>
        <v/>
      </c>
      <c r="E653" s="61">
        <f>IF(OR(C653="",C653&lt;1,C653&gt;8),"",INDEX($C$463:$J$463,C653))</f>
        <v/>
      </c>
      <c r="F653" s="61">
        <f>IF(ISNUMBER(D653),INDEX(Noten,MAX(1,MIN(COUNT(NGrenze),COUNT(NGrenze)+1-COUNTIF(NGrenze,"&lt;="&amp;D653)))),"")</f>
        <v/>
      </c>
      <c r="G653" s="61">
        <f>IF(AND(ISNUMBER(D653),'Stammdaten'!$G29="aktiv",F653&gt;=WarnNote),1,0)</f>
        <v/>
      </c>
      <c r="H653" s="61">
        <f>IF(G653=1,B653,"")</f>
        <v/>
      </c>
    </row>
    <row r="654">
      <c r="B654" s="61" t="n">
        <v>25</v>
      </c>
      <c r="C654" s="61">
        <f>IF(SUM($C$464:$J$464)=0,"",SUMPRODUCT(MAX(($C$464:$J$464&gt;0)*$C$439:$J$439)))</f>
        <v/>
      </c>
      <c r="D654" s="63">
        <f>IF(OR(C654="",C654&lt;1,C654&gt;8),"",INDEX($C$614:$J$614,C654))</f>
        <v/>
      </c>
      <c r="E654" s="61">
        <f>IF(OR(C654="",C654&lt;1,C654&gt;8),"",INDEX($C$464:$J$464,C654))</f>
        <v/>
      </c>
      <c r="F654" s="61">
        <f>IF(ISNUMBER(D654),INDEX(Noten,MAX(1,MIN(COUNT(NGrenze),COUNT(NGrenze)+1-COUNTIF(NGrenze,"&lt;="&amp;D654)))),"")</f>
        <v/>
      </c>
      <c r="G654" s="61">
        <f>IF(AND(ISNUMBER(D654),'Stammdaten'!$G30="aktiv",F654&gt;=WarnNote),1,0)</f>
        <v/>
      </c>
      <c r="H654" s="61">
        <f>IF(G654=1,B654,"")</f>
        <v/>
      </c>
    </row>
    <row r="659">
      <c r="A659" s="162" t="inlineStr">
        <is>
          <t>Auswahlliste Azubis (gefiltert)</t>
        </is>
      </c>
    </row>
    <row r="660">
      <c r="C660" s="61">
        <f>IF(AND('Stammdaten'!$B6&lt;&gt;"",'Stammdaten'!$G6="aktiv",OR('Azubi-Ansicht'!$C$4="(alle)",'Azubi-Ansicht'!$C$4="",'Stammdaten'!$D6='Azubi-Ansicht'!$C$4),OR('Azubi-Ansicht'!$H$4="(alle)",'Azubi-Ansicht'!$H$4="",'Stammdaten'!$E6='Azubi-Ansicht'!$H$4)),1,"")</f>
        <v/>
      </c>
      <c r="D660" s="62">
        <f>IFERROR(INDEX('Stammdaten'!$J$6:$J$30,SMALL($C$660:$C$684,ROW()-659)),"")</f>
        <v/>
      </c>
    </row>
    <row r="661">
      <c r="C661" s="61">
        <f>IF(AND('Stammdaten'!$B7&lt;&gt;"",'Stammdaten'!$G7="aktiv",OR('Azubi-Ansicht'!$C$4="(alle)",'Azubi-Ansicht'!$C$4="",'Stammdaten'!$D7='Azubi-Ansicht'!$C$4),OR('Azubi-Ansicht'!$H$4="(alle)",'Azubi-Ansicht'!$H$4="",'Stammdaten'!$E7='Azubi-Ansicht'!$H$4)),2,"")</f>
        <v/>
      </c>
      <c r="D661" s="62">
        <f>IFERROR(INDEX('Stammdaten'!$J$6:$J$30,SMALL($C$660:$C$684,ROW()-659)),"")</f>
        <v/>
      </c>
    </row>
    <row r="662">
      <c r="C662" s="61">
        <f>IF(AND('Stammdaten'!$B8&lt;&gt;"",'Stammdaten'!$G8="aktiv",OR('Azubi-Ansicht'!$C$4="(alle)",'Azubi-Ansicht'!$C$4="",'Stammdaten'!$D8='Azubi-Ansicht'!$C$4),OR('Azubi-Ansicht'!$H$4="(alle)",'Azubi-Ansicht'!$H$4="",'Stammdaten'!$E8='Azubi-Ansicht'!$H$4)),3,"")</f>
        <v/>
      </c>
      <c r="D662" s="62">
        <f>IFERROR(INDEX('Stammdaten'!$J$6:$J$30,SMALL($C$660:$C$684,ROW()-659)),"")</f>
        <v/>
      </c>
    </row>
    <row r="663">
      <c r="C663" s="61">
        <f>IF(AND('Stammdaten'!$B9&lt;&gt;"",'Stammdaten'!$G9="aktiv",OR('Azubi-Ansicht'!$C$4="(alle)",'Azubi-Ansicht'!$C$4="",'Stammdaten'!$D9='Azubi-Ansicht'!$C$4),OR('Azubi-Ansicht'!$H$4="(alle)",'Azubi-Ansicht'!$H$4="",'Stammdaten'!$E9='Azubi-Ansicht'!$H$4)),4,"")</f>
        <v/>
      </c>
      <c r="D663" s="62">
        <f>IFERROR(INDEX('Stammdaten'!$J$6:$J$30,SMALL($C$660:$C$684,ROW()-659)),"")</f>
        <v/>
      </c>
    </row>
    <row r="664">
      <c r="C664" s="61">
        <f>IF(AND('Stammdaten'!$B10&lt;&gt;"",'Stammdaten'!$G10="aktiv",OR('Azubi-Ansicht'!$C$4="(alle)",'Azubi-Ansicht'!$C$4="",'Stammdaten'!$D10='Azubi-Ansicht'!$C$4),OR('Azubi-Ansicht'!$H$4="(alle)",'Azubi-Ansicht'!$H$4="",'Stammdaten'!$E10='Azubi-Ansicht'!$H$4)),5,"")</f>
        <v/>
      </c>
      <c r="D664" s="62">
        <f>IFERROR(INDEX('Stammdaten'!$J$6:$J$30,SMALL($C$660:$C$684,ROW()-659)),"")</f>
        <v/>
      </c>
    </row>
    <row r="665">
      <c r="C665" s="61">
        <f>IF(AND('Stammdaten'!$B11&lt;&gt;"",'Stammdaten'!$G11="aktiv",OR('Azubi-Ansicht'!$C$4="(alle)",'Azubi-Ansicht'!$C$4="",'Stammdaten'!$D11='Azubi-Ansicht'!$C$4),OR('Azubi-Ansicht'!$H$4="(alle)",'Azubi-Ansicht'!$H$4="",'Stammdaten'!$E11='Azubi-Ansicht'!$H$4)),6,"")</f>
        <v/>
      </c>
      <c r="D665" s="62">
        <f>IFERROR(INDEX('Stammdaten'!$J$6:$J$30,SMALL($C$660:$C$684,ROW()-659)),"")</f>
        <v/>
      </c>
    </row>
    <row r="666">
      <c r="C666" s="61">
        <f>IF(AND('Stammdaten'!$B12&lt;&gt;"",'Stammdaten'!$G12="aktiv",OR('Azubi-Ansicht'!$C$4="(alle)",'Azubi-Ansicht'!$C$4="",'Stammdaten'!$D12='Azubi-Ansicht'!$C$4),OR('Azubi-Ansicht'!$H$4="(alle)",'Azubi-Ansicht'!$H$4="",'Stammdaten'!$E12='Azubi-Ansicht'!$H$4)),7,"")</f>
        <v/>
      </c>
      <c r="D666" s="62">
        <f>IFERROR(INDEX('Stammdaten'!$J$6:$J$30,SMALL($C$660:$C$684,ROW()-659)),"")</f>
        <v/>
      </c>
    </row>
    <row r="667">
      <c r="C667" s="61">
        <f>IF(AND('Stammdaten'!$B13&lt;&gt;"",'Stammdaten'!$G13="aktiv",OR('Azubi-Ansicht'!$C$4="(alle)",'Azubi-Ansicht'!$C$4="",'Stammdaten'!$D13='Azubi-Ansicht'!$C$4),OR('Azubi-Ansicht'!$H$4="(alle)",'Azubi-Ansicht'!$H$4="",'Stammdaten'!$E13='Azubi-Ansicht'!$H$4)),8,"")</f>
        <v/>
      </c>
      <c r="D667" s="62">
        <f>IFERROR(INDEX('Stammdaten'!$J$6:$J$30,SMALL($C$660:$C$684,ROW()-659)),"")</f>
        <v/>
      </c>
    </row>
    <row r="668">
      <c r="C668" s="61">
        <f>IF(AND('Stammdaten'!$B14&lt;&gt;"",'Stammdaten'!$G14="aktiv",OR('Azubi-Ansicht'!$C$4="(alle)",'Azubi-Ansicht'!$C$4="",'Stammdaten'!$D14='Azubi-Ansicht'!$C$4),OR('Azubi-Ansicht'!$H$4="(alle)",'Azubi-Ansicht'!$H$4="",'Stammdaten'!$E14='Azubi-Ansicht'!$H$4)),9,"")</f>
        <v/>
      </c>
      <c r="D668" s="62">
        <f>IFERROR(INDEX('Stammdaten'!$J$6:$J$30,SMALL($C$660:$C$684,ROW()-659)),"")</f>
        <v/>
      </c>
    </row>
    <row r="669">
      <c r="C669" s="61">
        <f>IF(AND('Stammdaten'!$B15&lt;&gt;"",'Stammdaten'!$G15="aktiv",OR('Azubi-Ansicht'!$C$4="(alle)",'Azubi-Ansicht'!$C$4="",'Stammdaten'!$D15='Azubi-Ansicht'!$C$4),OR('Azubi-Ansicht'!$H$4="(alle)",'Azubi-Ansicht'!$H$4="",'Stammdaten'!$E15='Azubi-Ansicht'!$H$4)),10,"")</f>
        <v/>
      </c>
      <c r="D669" s="62">
        <f>IFERROR(INDEX('Stammdaten'!$J$6:$J$30,SMALL($C$660:$C$684,ROW()-659)),"")</f>
        <v/>
      </c>
    </row>
    <row r="670">
      <c r="C670" s="61">
        <f>IF(AND('Stammdaten'!$B16&lt;&gt;"",'Stammdaten'!$G16="aktiv",OR('Azubi-Ansicht'!$C$4="(alle)",'Azubi-Ansicht'!$C$4="",'Stammdaten'!$D16='Azubi-Ansicht'!$C$4),OR('Azubi-Ansicht'!$H$4="(alle)",'Azubi-Ansicht'!$H$4="",'Stammdaten'!$E16='Azubi-Ansicht'!$H$4)),11,"")</f>
        <v/>
      </c>
      <c r="D670" s="62">
        <f>IFERROR(INDEX('Stammdaten'!$J$6:$J$30,SMALL($C$660:$C$684,ROW()-659)),"")</f>
        <v/>
      </c>
    </row>
    <row r="671">
      <c r="C671" s="61">
        <f>IF(AND('Stammdaten'!$B17&lt;&gt;"",'Stammdaten'!$G17="aktiv",OR('Azubi-Ansicht'!$C$4="(alle)",'Azubi-Ansicht'!$C$4="",'Stammdaten'!$D17='Azubi-Ansicht'!$C$4),OR('Azubi-Ansicht'!$H$4="(alle)",'Azubi-Ansicht'!$H$4="",'Stammdaten'!$E17='Azubi-Ansicht'!$H$4)),12,"")</f>
        <v/>
      </c>
      <c r="D671" s="62">
        <f>IFERROR(INDEX('Stammdaten'!$J$6:$J$30,SMALL($C$660:$C$684,ROW()-659)),"")</f>
        <v/>
      </c>
    </row>
    <row r="672">
      <c r="C672" s="61">
        <f>IF(AND('Stammdaten'!$B18&lt;&gt;"",'Stammdaten'!$G18="aktiv",OR('Azubi-Ansicht'!$C$4="(alle)",'Azubi-Ansicht'!$C$4="",'Stammdaten'!$D18='Azubi-Ansicht'!$C$4),OR('Azubi-Ansicht'!$H$4="(alle)",'Azubi-Ansicht'!$H$4="",'Stammdaten'!$E18='Azubi-Ansicht'!$H$4)),13,"")</f>
        <v/>
      </c>
      <c r="D672" s="62">
        <f>IFERROR(INDEX('Stammdaten'!$J$6:$J$30,SMALL($C$660:$C$684,ROW()-659)),"")</f>
        <v/>
      </c>
    </row>
    <row r="673">
      <c r="C673" s="61">
        <f>IF(AND('Stammdaten'!$B19&lt;&gt;"",'Stammdaten'!$G19="aktiv",OR('Azubi-Ansicht'!$C$4="(alle)",'Azubi-Ansicht'!$C$4="",'Stammdaten'!$D19='Azubi-Ansicht'!$C$4),OR('Azubi-Ansicht'!$H$4="(alle)",'Azubi-Ansicht'!$H$4="",'Stammdaten'!$E19='Azubi-Ansicht'!$H$4)),14,"")</f>
        <v/>
      </c>
      <c r="D673" s="62">
        <f>IFERROR(INDEX('Stammdaten'!$J$6:$J$30,SMALL($C$660:$C$684,ROW()-659)),"")</f>
        <v/>
      </c>
    </row>
    <row r="674">
      <c r="C674" s="61">
        <f>IF(AND('Stammdaten'!$B20&lt;&gt;"",'Stammdaten'!$G20="aktiv",OR('Azubi-Ansicht'!$C$4="(alle)",'Azubi-Ansicht'!$C$4="",'Stammdaten'!$D20='Azubi-Ansicht'!$C$4),OR('Azubi-Ansicht'!$H$4="(alle)",'Azubi-Ansicht'!$H$4="",'Stammdaten'!$E20='Azubi-Ansicht'!$H$4)),15,"")</f>
        <v/>
      </c>
      <c r="D674" s="62">
        <f>IFERROR(INDEX('Stammdaten'!$J$6:$J$30,SMALL($C$660:$C$684,ROW()-659)),"")</f>
        <v/>
      </c>
    </row>
    <row r="675">
      <c r="C675" s="61">
        <f>IF(AND('Stammdaten'!$B21&lt;&gt;"",'Stammdaten'!$G21="aktiv",OR('Azubi-Ansicht'!$C$4="(alle)",'Azubi-Ansicht'!$C$4="",'Stammdaten'!$D21='Azubi-Ansicht'!$C$4),OR('Azubi-Ansicht'!$H$4="(alle)",'Azubi-Ansicht'!$H$4="",'Stammdaten'!$E21='Azubi-Ansicht'!$H$4)),16,"")</f>
        <v/>
      </c>
      <c r="D675" s="62">
        <f>IFERROR(INDEX('Stammdaten'!$J$6:$J$30,SMALL($C$660:$C$684,ROW()-659)),"")</f>
        <v/>
      </c>
    </row>
    <row r="676">
      <c r="C676" s="61">
        <f>IF(AND('Stammdaten'!$B22&lt;&gt;"",'Stammdaten'!$G22="aktiv",OR('Azubi-Ansicht'!$C$4="(alle)",'Azubi-Ansicht'!$C$4="",'Stammdaten'!$D22='Azubi-Ansicht'!$C$4),OR('Azubi-Ansicht'!$H$4="(alle)",'Azubi-Ansicht'!$H$4="",'Stammdaten'!$E22='Azubi-Ansicht'!$H$4)),17,"")</f>
        <v/>
      </c>
      <c r="D676" s="62">
        <f>IFERROR(INDEX('Stammdaten'!$J$6:$J$30,SMALL($C$660:$C$684,ROW()-659)),"")</f>
        <v/>
      </c>
    </row>
    <row r="677">
      <c r="C677" s="61">
        <f>IF(AND('Stammdaten'!$B23&lt;&gt;"",'Stammdaten'!$G23="aktiv",OR('Azubi-Ansicht'!$C$4="(alle)",'Azubi-Ansicht'!$C$4="",'Stammdaten'!$D23='Azubi-Ansicht'!$C$4),OR('Azubi-Ansicht'!$H$4="(alle)",'Azubi-Ansicht'!$H$4="",'Stammdaten'!$E23='Azubi-Ansicht'!$H$4)),18,"")</f>
        <v/>
      </c>
      <c r="D677" s="62">
        <f>IFERROR(INDEX('Stammdaten'!$J$6:$J$30,SMALL($C$660:$C$684,ROW()-659)),"")</f>
        <v/>
      </c>
    </row>
    <row r="678">
      <c r="C678" s="61">
        <f>IF(AND('Stammdaten'!$B24&lt;&gt;"",'Stammdaten'!$G24="aktiv",OR('Azubi-Ansicht'!$C$4="(alle)",'Azubi-Ansicht'!$C$4="",'Stammdaten'!$D24='Azubi-Ansicht'!$C$4),OR('Azubi-Ansicht'!$H$4="(alle)",'Azubi-Ansicht'!$H$4="",'Stammdaten'!$E24='Azubi-Ansicht'!$H$4)),19,"")</f>
        <v/>
      </c>
      <c r="D678" s="62">
        <f>IFERROR(INDEX('Stammdaten'!$J$6:$J$30,SMALL($C$660:$C$684,ROW()-659)),"")</f>
        <v/>
      </c>
    </row>
    <row r="679">
      <c r="C679" s="61">
        <f>IF(AND('Stammdaten'!$B25&lt;&gt;"",'Stammdaten'!$G25="aktiv",OR('Azubi-Ansicht'!$C$4="(alle)",'Azubi-Ansicht'!$C$4="",'Stammdaten'!$D25='Azubi-Ansicht'!$C$4),OR('Azubi-Ansicht'!$H$4="(alle)",'Azubi-Ansicht'!$H$4="",'Stammdaten'!$E25='Azubi-Ansicht'!$H$4)),20,"")</f>
        <v/>
      </c>
      <c r="D679" s="62">
        <f>IFERROR(INDEX('Stammdaten'!$J$6:$J$30,SMALL($C$660:$C$684,ROW()-659)),"")</f>
        <v/>
      </c>
    </row>
    <row r="680">
      <c r="C680" s="61">
        <f>IF(AND('Stammdaten'!$B26&lt;&gt;"",'Stammdaten'!$G26="aktiv",OR('Azubi-Ansicht'!$C$4="(alle)",'Azubi-Ansicht'!$C$4="",'Stammdaten'!$D26='Azubi-Ansicht'!$C$4),OR('Azubi-Ansicht'!$H$4="(alle)",'Azubi-Ansicht'!$H$4="",'Stammdaten'!$E26='Azubi-Ansicht'!$H$4)),21,"")</f>
        <v/>
      </c>
      <c r="D680" s="62">
        <f>IFERROR(INDEX('Stammdaten'!$J$6:$J$30,SMALL($C$660:$C$684,ROW()-659)),"")</f>
        <v/>
      </c>
    </row>
    <row r="681">
      <c r="C681" s="61">
        <f>IF(AND('Stammdaten'!$B27&lt;&gt;"",'Stammdaten'!$G27="aktiv",OR('Azubi-Ansicht'!$C$4="(alle)",'Azubi-Ansicht'!$C$4="",'Stammdaten'!$D27='Azubi-Ansicht'!$C$4),OR('Azubi-Ansicht'!$H$4="(alle)",'Azubi-Ansicht'!$H$4="",'Stammdaten'!$E27='Azubi-Ansicht'!$H$4)),22,"")</f>
        <v/>
      </c>
      <c r="D681" s="62">
        <f>IFERROR(INDEX('Stammdaten'!$J$6:$J$30,SMALL($C$660:$C$684,ROW()-659)),"")</f>
        <v/>
      </c>
    </row>
    <row r="682">
      <c r="C682" s="61">
        <f>IF(AND('Stammdaten'!$B28&lt;&gt;"",'Stammdaten'!$G28="aktiv",OR('Azubi-Ansicht'!$C$4="(alle)",'Azubi-Ansicht'!$C$4="",'Stammdaten'!$D28='Azubi-Ansicht'!$C$4),OR('Azubi-Ansicht'!$H$4="(alle)",'Azubi-Ansicht'!$H$4="",'Stammdaten'!$E28='Azubi-Ansicht'!$H$4)),23,"")</f>
        <v/>
      </c>
      <c r="D682" s="62">
        <f>IFERROR(INDEX('Stammdaten'!$J$6:$J$30,SMALL($C$660:$C$684,ROW()-659)),"")</f>
        <v/>
      </c>
    </row>
    <row r="683">
      <c r="C683" s="61">
        <f>IF(AND('Stammdaten'!$B29&lt;&gt;"",'Stammdaten'!$G29="aktiv",OR('Azubi-Ansicht'!$C$4="(alle)",'Azubi-Ansicht'!$C$4="",'Stammdaten'!$D29='Azubi-Ansicht'!$C$4),OR('Azubi-Ansicht'!$H$4="(alle)",'Azubi-Ansicht'!$H$4="",'Stammdaten'!$E29='Azubi-Ansicht'!$H$4)),24,"")</f>
        <v/>
      </c>
      <c r="D683" s="62">
        <f>IFERROR(INDEX('Stammdaten'!$J$6:$J$30,SMALL($C$660:$C$684,ROW()-659)),"")</f>
        <v/>
      </c>
    </row>
    <row r="684">
      <c r="C684" s="61">
        <f>IF(AND('Stammdaten'!$B30&lt;&gt;"",'Stammdaten'!$G30="aktiv",OR('Azubi-Ansicht'!$C$4="(alle)",'Azubi-Ansicht'!$C$4="",'Stammdaten'!$D30='Azubi-Ansicht'!$C$4),OR('Azubi-Ansicht'!$H$4="(alle)",'Azubi-Ansicht'!$H$4="",'Stammdaten'!$E30='Azubi-Ansicht'!$H$4)),25,"")</f>
        <v/>
      </c>
      <c r="D684" s="62">
        <f>IFERROR(INDEX('Stammdaten'!$J$6:$J$30,SMALL($C$660:$C$684,ROW()-659)),"")</f>
        <v/>
      </c>
    </row>
    <row r="689">
      <c r="A689" s="162" t="inlineStr">
        <is>
          <t>Auswahlliste Jahrgänge</t>
        </is>
      </c>
    </row>
    <row r="690">
      <c r="C690" s="61" t="inlineStr">
        <is>
          <t>(alle)</t>
        </is>
      </c>
    </row>
    <row r="691">
      <c r="B691" s="163">
        <f>IF(OR('Stammdaten'!$B6="",'Stammdaten'!$E6=""),"",IF(COUNTIF('Stammdaten'!$E$6:$E6,'Stammdaten'!$E6)=1,'Stammdaten'!$E6,""))</f>
        <v/>
      </c>
      <c r="C691" s="163">
        <f>IFERROR(SMALL($B$691:$B$715,ROW()-690),"")</f>
        <v/>
      </c>
    </row>
    <row r="692">
      <c r="B692" s="163">
        <f>IF(OR('Stammdaten'!$B7="",'Stammdaten'!$E7=""),"",IF(COUNTIF('Stammdaten'!$E$6:$E7,'Stammdaten'!$E7)=1,'Stammdaten'!$E7,""))</f>
        <v/>
      </c>
      <c r="C692" s="163">
        <f>IFERROR(SMALL($B$691:$B$715,ROW()-690),"")</f>
        <v/>
      </c>
    </row>
    <row r="693">
      <c r="B693" s="163">
        <f>IF(OR('Stammdaten'!$B8="",'Stammdaten'!$E8=""),"",IF(COUNTIF('Stammdaten'!$E$6:$E8,'Stammdaten'!$E8)=1,'Stammdaten'!$E8,""))</f>
        <v/>
      </c>
      <c r="C693" s="163">
        <f>IFERROR(SMALL($B$691:$B$715,ROW()-690),"")</f>
        <v/>
      </c>
    </row>
    <row r="694">
      <c r="B694" s="163">
        <f>IF(OR('Stammdaten'!$B9="",'Stammdaten'!$E9=""),"",IF(COUNTIF('Stammdaten'!$E$6:$E9,'Stammdaten'!$E9)=1,'Stammdaten'!$E9,""))</f>
        <v/>
      </c>
      <c r="C694" s="163">
        <f>IFERROR(SMALL($B$691:$B$715,ROW()-690),"")</f>
        <v/>
      </c>
    </row>
    <row r="695">
      <c r="B695" s="163">
        <f>IF(OR('Stammdaten'!$B10="",'Stammdaten'!$E10=""),"",IF(COUNTIF('Stammdaten'!$E$6:$E10,'Stammdaten'!$E10)=1,'Stammdaten'!$E10,""))</f>
        <v/>
      </c>
      <c r="C695" s="163">
        <f>IFERROR(SMALL($B$691:$B$715,ROW()-690),"")</f>
        <v/>
      </c>
    </row>
    <row r="696">
      <c r="B696" s="163">
        <f>IF(OR('Stammdaten'!$B11="",'Stammdaten'!$E11=""),"",IF(COUNTIF('Stammdaten'!$E$6:$E11,'Stammdaten'!$E11)=1,'Stammdaten'!$E11,""))</f>
        <v/>
      </c>
      <c r="C696" s="163">
        <f>IFERROR(SMALL($B$691:$B$715,ROW()-690),"")</f>
        <v/>
      </c>
    </row>
    <row r="697">
      <c r="B697" s="163">
        <f>IF(OR('Stammdaten'!$B12="",'Stammdaten'!$E12=""),"",IF(COUNTIF('Stammdaten'!$E$6:$E12,'Stammdaten'!$E12)=1,'Stammdaten'!$E12,""))</f>
        <v/>
      </c>
      <c r="C697" s="163">
        <f>IFERROR(SMALL($B$691:$B$715,ROW()-690),"")</f>
        <v/>
      </c>
    </row>
    <row r="698">
      <c r="B698" s="163">
        <f>IF(OR('Stammdaten'!$B13="",'Stammdaten'!$E13=""),"",IF(COUNTIF('Stammdaten'!$E$6:$E13,'Stammdaten'!$E13)=1,'Stammdaten'!$E13,""))</f>
        <v/>
      </c>
      <c r="C698" s="163">
        <f>IFERROR(SMALL($B$691:$B$715,ROW()-690),"")</f>
        <v/>
      </c>
    </row>
    <row r="699">
      <c r="B699" s="163">
        <f>IF(OR('Stammdaten'!$B14="",'Stammdaten'!$E14=""),"",IF(COUNTIF('Stammdaten'!$E$6:$E14,'Stammdaten'!$E14)=1,'Stammdaten'!$E14,""))</f>
        <v/>
      </c>
      <c r="C699" s="163">
        <f>IFERROR(SMALL($B$691:$B$715,ROW()-690),"")</f>
        <v/>
      </c>
    </row>
    <row r="700">
      <c r="B700" s="163">
        <f>IF(OR('Stammdaten'!$B15="",'Stammdaten'!$E15=""),"",IF(COUNTIF('Stammdaten'!$E$6:$E15,'Stammdaten'!$E15)=1,'Stammdaten'!$E15,""))</f>
        <v/>
      </c>
      <c r="C700" s="163">
        <f>IFERROR(SMALL($B$691:$B$715,ROW()-690),"")</f>
        <v/>
      </c>
    </row>
    <row r="701">
      <c r="B701" s="163">
        <f>IF(OR('Stammdaten'!$B16="",'Stammdaten'!$E16=""),"",IF(COUNTIF('Stammdaten'!$E$6:$E16,'Stammdaten'!$E16)=1,'Stammdaten'!$E16,""))</f>
        <v/>
      </c>
      <c r="C701" s="163">
        <f>IFERROR(SMALL($B$691:$B$715,ROW()-690),"")</f>
        <v/>
      </c>
    </row>
    <row r="702">
      <c r="B702" s="163">
        <f>IF(OR('Stammdaten'!$B17="",'Stammdaten'!$E17=""),"",IF(COUNTIF('Stammdaten'!$E$6:$E17,'Stammdaten'!$E17)=1,'Stammdaten'!$E17,""))</f>
        <v/>
      </c>
      <c r="C702" s="163">
        <f>IFERROR(SMALL($B$691:$B$715,ROW()-690),"")</f>
        <v/>
      </c>
    </row>
    <row r="703">
      <c r="B703" s="163">
        <f>IF(OR('Stammdaten'!$B18="",'Stammdaten'!$E18=""),"",IF(COUNTIF('Stammdaten'!$E$6:$E18,'Stammdaten'!$E18)=1,'Stammdaten'!$E18,""))</f>
        <v/>
      </c>
      <c r="C703" s="163">
        <f>IFERROR(SMALL($B$691:$B$715,ROW()-690),"")</f>
        <v/>
      </c>
    </row>
    <row r="704">
      <c r="B704" s="163">
        <f>IF(OR('Stammdaten'!$B19="",'Stammdaten'!$E19=""),"",IF(COUNTIF('Stammdaten'!$E$6:$E19,'Stammdaten'!$E19)=1,'Stammdaten'!$E19,""))</f>
        <v/>
      </c>
      <c r="C704" s="163">
        <f>IFERROR(SMALL($B$691:$B$715,ROW()-690),"")</f>
        <v/>
      </c>
    </row>
    <row r="705">
      <c r="B705" s="163">
        <f>IF(OR('Stammdaten'!$B20="",'Stammdaten'!$E20=""),"",IF(COUNTIF('Stammdaten'!$E$6:$E20,'Stammdaten'!$E20)=1,'Stammdaten'!$E20,""))</f>
        <v/>
      </c>
      <c r="C705" s="163">
        <f>IFERROR(SMALL($B$691:$B$715,ROW()-690),"")</f>
        <v/>
      </c>
    </row>
    <row r="706">
      <c r="B706" s="163">
        <f>IF(OR('Stammdaten'!$B21="",'Stammdaten'!$E21=""),"",IF(COUNTIF('Stammdaten'!$E$6:$E21,'Stammdaten'!$E21)=1,'Stammdaten'!$E21,""))</f>
        <v/>
      </c>
      <c r="C706" s="163">
        <f>IFERROR(SMALL($B$691:$B$715,ROW()-690),"")</f>
        <v/>
      </c>
    </row>
    <row r="707">
      <c r="B707" s="163">
        <f>IF(OR('Stammdaten'!$B22="",'Stammdaten'!$E22=""),"",IF(COUNTIF('Stammdaten'!$E$6:$E22,'Stammdaten'!$E22)=1,'Stammdaten'!$E22,""))</f>
        <v/>
      </c>
      <c r="C707" s="163">
        <f>IFERROR(SMALL($B$691:$B$715,ROW()-690),"")</f>
        <v/>
      </c>
    </row>
    <row r="708">
      <c r="B708" s="163">
        <f>IF(OR('Stammdaten'!$B23="",'Stammdaten'!$E23=""),"",IF(COUNTIF('Stammdaten'!$E$6:$E23,'Stammdaten'!$E23)=1,'Stammdaten'!$E23,""))</f>
        <v/>
      </c>
      <c r="C708" s="163">
        <f>IFERROR(SMALL($B$691:$B$715,ROW()-690),"")</f>
        <v/>
      </c>
    </row>
    <row r="709">
      <c r="B709" s="163">
        <f>IF(OR('Stammdaten'!$B24="",'Stammdaten'!$E24=""),"",IF(COUNTIF('Stammdaten'!$E$6:$E24,'Stammdaten'!$E24)=1,'Stammdaten'!$E24,""))</f>
        <v/>
      </c>
      <c r="C709" s="163">
        <f>IFERROR(SMALL($B$691:$B$715,ROW()-690),"")</f>
        <v/>
      </c>
    </row>
    <row r="710">
      <c r="B710" s="163">
        <f>IF(OR('Stammdaten'!$B25="",'Stammdaten'!$E25=""),"",IF(COUNTIF('Stammdaten'!$E$6:$E25,'Stammdaten'!$E25)=1,'Stammdaten'!$E25,""))</f>
        <v/>
      </c>
      <c r="C710" s="163">
        <f>IFERROR(SMALL($B$691:$B$715,ROW()-690),"")</f>
        <v/>
      </c>
    </row>
    <row r="711">
      <c r="B711" s="163">
        <f>IF(OR('Stammdaten'!$B26="",'Stammdaten'!$E26=""),"",IF(COUNTIF('Stammdaten'!$E$6:$E26,'Stammdaten'!$E26)=1,'Stammdaten'!$E26,""))</f>
        <v/>
      </c>
      <c r="C711" s="163">
        <f>IFERROR(SMALL($B$691:$B$715,ROW()-690),"")</f>
        <v/>
      </c>
    </row>
    <row r="712">
      <c r="B712" s="163">
        <f>IF(OR('Stammdaten'!$B27="",'Stammdaten'!$E27=""),"",IF(COUNTIF('Stammdaten'!$E$6:$E27,'Stammdaten'!$E27)=1,'Stammdaten'!$E27,""))</f>
        <v/>
      </c>
      <c r="C712" s="163">
        <f>IFERROR(SMALL($B$691:$B$715,ROW()-690),"")</f>
        <v/>
      </c>
    </row>
    <row r="713">
      <c r="B713" s="163">
        <f>IF(OR('Stammdaten'!$B28="",'Stammdaten'!$E28=""),"",IF(COUNTIF('Stammdaten'!$E$6:$E28,'Stammdaten'!$E28)=1,'Stammdaten'!$E28,""))</f>
        <v/>
      </c>
      <c r="C713" s="163">
        <f>IFERROR(SMALL($B$691:$B$715,ROW()-690),"")</f>
        <v/>
      </c>
    </row>
    <row r="714">
      <c r="B714" s="163">
        <f>IF(OR('Stammdaten'!$B29="",'Stammdaten'!$E29=""),"",IF(COUNTIF('Stammdaten'!$E$6:$E29,'Stammdaten'!$E29)=1,'Stammdaten'!$E29,""))</f>
        <v/>
      </c>
      <c r="C714" s="163">
        <f>IFERROR(SMALL($B$691:$B$715,ROW()-690),"")</f>
        <v/>
      </c>
    </row>
    <row r="715">
      <c r="B715" s="163">
        <f>IF(OR('Stammdaten'!$B30="",'Stammdaten'!$E30=""),"",IF(COUNTIF('Stammdaten'!$E$6:$E30,'Stammdaten'!$E30)=1,'Stammdaten'!$E30,""))</f>
        <v/>
      </c>
      <c r="C715" s="163">
        <f>IFERROR(SMALL($B$691:$B$715,ROW()-690),"")</f>
        <v/>
      </c>
    </row>
    <row r="719">
      <c r="A719" s="162" t="inlineStr">
        <is>
          <t>Auswahlliste Berufe</t>
        </is>
      </c>
    </row>
    <row r="720">
      <c r="C720" s="61" t="inlineStr">
        <is>
          <t>(alle)</t>
        </is>
      </c>
    </row>
    <row r="721">
      <c r="C721" s="62">
        <f>IF(INDEX(Berufe,1)="","",INDEX(Berufe,1))</f>
        <v/>
      </c>
    </row>
    <row r="722">
      <c r="C722" s="62">
        <f>IF(INDEX(Berufe,2)="","",INDEX(Berufe,2))</f>
        <v/>
      </c>
    </row>
    <row r="723">
      <c r="C723" s="62">
        <f>IF(INDEX(Berufe,3)="","",INDEX(Berufe,3))</f>
        <v/>
      </c>
    </row>
    <row r="724">
      <c r="C724" s="62">
        <f>IF(INDEX(Berufe,4)="","",INDEX(Berufe,4))</f>
        <v/>
      </c>
    </row>
    <row r="725">
      <c r="C725" s="62">
        <f>IF(INDEX(Berufe,5)="","",INDEX(Berufe,5))</f>
        <v/>
      </c>
    </row>
    <row r="726">
      <c r="C726" s="62">
        <f>IF(INDEX(Berufe,6)="","",INDEX(Berufe,6))</f>
        <v/>
      </c>
    </row>
    <row r="727">
      <c r="C727" s="62">
        <f>IF(INDEX(Berufe,7)="","",INDEX(Berufe,7))</f>
        <v/>
      </c>
    </row>
    <row r="728">
      <c r="C728" s="62">
        <f>IF(INDEX(Berufe,8)="","",INDEX(Berufe,8))</f>
        <v/>
      </c>
    </row>
    <row r="729">
      <c r="C729" s="62">
        <f>IF(INDEX(Berufe,9)="","",INDEX(Berufe,9))</f>
        <v/>
      </c>
    </row>
    <row r="730">
      <c r="C730" s="62">
        <f>IF(INDEX(Berufe,10)="","",INDEX(Berufe,10))</f>
        <v/>
      </c>
    </row>
    <row r="759">
      <c r="A759" s="162" t="inlineStr">
        <is>
          <t>Bemerkung</t>
        </is>
      </c>
    </row>
    <row r="760">
      <c r="C760" s="61">
        <f>IF('Übung 01'!E$41="","",'Übung 01'!E$41)</f>
        <v/>
      </c>
      <c r="D760" s="61">
        <f>IF('Übung 02'!E$41="","",'Übung 02'!E$41)</f>
        <v/>
      </c>
      <c r="E760" s="61">
        <f>IF('Übung 03'!E$41="","",'Übung 03'!E$41)</f>
        <v/>
      </c>
      <c r="F760" s="61">
        <f>IF('Übung 04'!E$41="","",'Übung 04'!E$41)</f>
        <v/>
      </c>
      <c r="G760" s="61">
        <f>IF('Übung 05'!E$41="","",'Übung 05'!E$41)</f>
        <v/>
      </c>
      <c r="H760" s="61">
        <f>IF('Übung 06'!E$41="","",'Übung 06'!E$41)</f>
        <v/>
      </c>
      <c r="I760" s="61">
        <f>IF('Übung 07'!E$41="","",'Übung 07'!E$41)</f>
        <v/>
      </c>
      <c r="J760" s="61">
        <f>IF('Übung 08'!E$41="","",'Übung 08'!E$41)</f>
        <v/>
      </c>
      <c r="K760" s="61">
        <f>IF('Übung 09'!E$41="","",'Übung 09'!E$41)</f>
        <v/>
      </c>
      <c r="L760" s="61">
        <f>IF('Übung 10'!E$41="","",'Übung 10'!E$41)</f>
        <v/>
      </c>
      <c r="M760" s="61">
        <f>IF('Übung 11'!E$41="","",'Übung 11'!E$41)</f>
        <v/>
      </c>
      <c r="N760" s="61">
        <f>IF('Übung 12'!E$41="","",'Übung 12'!E$41)</f>
        <v/>
      </c>
      <c r="O760" s="61">
        <f>IF('Übung 13'!E$41="","",'Übung 13'!E$41)</f>
        <v/>
      </c>
      <c r="P760" s="61">
        <f>IF('Übung 14'!E$41="","",'Übung 14'!E$41)</f>
        <v/>
      </c>
      <c r="Q760" s="61">
        <f>IF('Übung 15'!E$41="","",'Übung 15'!E$41)</f>
        <v/>
      </c>
      <c r="R760" s="61">
        <f>IF('Übung 16'!E$41="","",'Übung 16'!E$41)</f>
        <v/>
      </c>
      <c r="S760" s="61">
        <f>IF('Übung 17'!E$41="","",'Übung 17'!E$41)</f>
        <v/>
      </c>
      <c r="T760" s="61">
        <f>IF('Übung 18'!E$41="","",'Übung 18'!E$41)</f>
        <v/>
      </c>
      <c r="U760" s="61">
        <f>IF('Übung 19'!E$41="","",'Übung 19'!E$41)</f>
        <v/>
      </c>
      <c r="V760" s="61">
        <f>IF('Übung 20'!E$41="","",'Übung 20'!E$41)</f>
        <v/>
      </c>
    </row>
    <row r="761">
      <c r="C761" s="61">
        <f>IF('Übung 01'!F$41="","",'Übung 01'!F$41)</f>
        <v/>
      </c>
      <c r="D761" s="61">
        <f>IF('Übung 02'!F$41="","",'Übung 02'!F$41)</f>
        <v/>
      </c>
      <c r="E761" s="61">
        <f>IF('Übung 03'!F$41="","",'Übung 03'!F$41)</f>
        <v/>
      </c>
      <c r="F761" s="61">
        <f>IF('Übung 04'!F$41="","",'Übung 04'!F$41)</f>
        <v/>
      </c>
      <c r="G761" s="61">
        <f>IF('Übung 05'!F$41="","",'Übung 05'!F$41)</f>
        <v/>
      </c>
      <c r="H761" s="61">
        <f>IF('Übung 06'!F$41="","",'Übung 06'!F$41)</f>
        <v/>
      </c>
      <c r="I761" s="61">
        <f>IF('Übung 07'!F$41="","",'Übung 07'!F$41)</f>
        <v/>
      </c>
      <c r="J761" s="61">
        <f>IF('Übung 08'!F$41="","",'Übung 08'!F$41)</f>
        <v/>
      </c>
      <c r="K761" s="61">
        <f>IF('Übung 09'!F$41="","",'Übung 09'!F$41)</f>
        <v/>
      </c>
      <c r="L761" s="61">
        <f>IF('Übung 10'!F$41="","",'Übung 10'!F$41)</f>
        <v/>
      </c>
      <c r="M761" s="61">
        <f>IF('Übung 11'!F$41="","",'Übung 11'!F$41)</f>
        <v/>
      </c>
      <c r="N761" s="61">
        <f>IF('Übung 12'!F$41="","",'Übung 12'!F$41)</f>
        <v/>
      </c>
      <c r="O761" s="61">
        <f>IF('Übung 13'!F$41="","",'Übung 13'!F$41)</f>
        <v/>
      </c>
      <c r="P761" s="61">
        <f>IF('Übung 14'!F$41="","",'Übung 14'!F$41)</f>
        <v/>
      </c>
      <c r="Q761" s="61">
        <f>IF('Übung 15'!F$41="","",'Übung 15'!F$41)</f>
        <v/>
      </c>
      <c r="R761" s="61">
        <f>IF('Übung 16'!F$41="","",'Übung 16'!F$41)</f>
        <v/>
      </c>
      <c r="S761" s="61">
        <f>IF('Übung 17'!F$41="","",'Übung 17'!F$41)</f>
        <v/>
      </c>
      <c r="T761" s="61">
        <f>IF('Übung 18'!F$41="","",'Übung 18'!F$41)</f>
        <v/>
      </c>
      <c r="U761" s="61">
        <f>IF('Übung 19'!F$41="","",'Übung 19'!F$41)</f>
        <v/>
      </c>
      <c r="V761" s="61">
        <f>IF('Übung 20'!F$41="","",'Übung 20'!F$41)</f>
        <v/>
      </c>
    </row>
    <row r="762">
      <c r="C762" s="61">
        <f>IF('Übung 01'!G$41="","",'Übung 01'!G$41)</f>
        <v/>
      </c>
      <c r="D762" s="61">
        <f>IF('Übung 02'!G$41="","",'Übung 02'!G$41)</f>
        <v/>
      </c>
      <c r="E762" s="61">
        <f>IF('Übung 03'!G$41="","",'Übung 03'!G$41)</f>
        <v/>
      </c>
      <c r="F762" s="61">
        <f>IF('Übung 04'!G$41="","",'Übung 04'!G$41)</f>
        <v/>
      </c>
      <c r="G762" s="61">
        <f>IF('Übung 05'!G$41="","",'Übung 05'!G$41)</f>
        <v/>
      </c>
      <c r="H762" s="61">
        <f>IF('Übung 06'!G$41="","",'Übung 06'!G$41)</f>
        <v/>
      </c>
      <c r="I762" s="61">
        <f>IF('Übung 07'!G$41="","",'Übung 07'!G$41)</f>
        <v/>
      </c>
      <c r="J762" s="61">
        <f>IF('Übung 08'!G$41="","",'Übung 08'!G$41)</f>
        <v/>
      </c>
      <c r="K762" s="61">
        <f>IF('Übung 09'!G$41="","",'Übung 09'!G$41)</f>
        <v/>
      </c>
      <c r="L762" s="61">
        <f>IF('Übung 10'!G$41="","",'Übung 10'!G$41)</f>
        <v/>
      </c>
      <c r="M762" s="61">
        <f>IF('Übung 11'!G$41="","",'Übung 11'!G$41)</f>
        <v/>
      </c>
      <c r="N762" s="61">
        <f>IF('Übung 12'!G$41="","",'Übung 12'!G$41)</f>
        <v/>
      </c>
      <c r="O762" s="61">
        <f>IF('Übung 13'!G$41="","",'Übung 13'!G$41)</f>
        <v/>
      </c>
      <c r="P762" s="61">
        <f>IF('Übung 14'!G$41="","",'Übung 14'!G$41)</f>
        <v/>
      </c>
      <c r="Q762" s="61">
        <f>IF('Übung 15'!G$41="","",'Übung 15'!G$41)</f>
        <v/>
      </c>
      <c r="R762" s="61">
        <f>IF('Übung 16'!G$41="","",'Übung 16'!G$41)</f>
        <v/>
      </c>
      <c r="S762" s="61">
        <f>IF('Übung 17'!G$41="","",'Übung 17'!G$41)</f>
        <v/>
      </c>
      <c r="T762" s="61">
        <f>IF('Übung 18'!G$41="","",'Übung 18'!G$41)</f>
        <v/>
      </c>
      <c r="U762" s="61">
        <f>IF('Übung 19'!G$41="","",'Übung 19'!G$41)</f>
        <v/>
      </c>
      <c r="V762" s="61">
        <f>IF('Übung 20'!G$41="","",'Übung 20'!G$41)</f>
        <v/>
      </c>
    </row>
    <row r="763">
      <c r="C763" s="61">
        <f>IF('Übung 01'!H$41="","",'Übung 01'!H$41)</f>
        <v/>
      </c>
      <c r="D763" s="61">
        <f>IF('Übung 02'!H$41="","",'Übung 02'!H$41)</f>
        <v/>
      </c>
      <c r="E763" s="61">
        <f>IF('Übung 03'!H$41="","",'Übung 03'!H$41)</f>
        <v/>
      </c>
      <c r="F763" s="61">
        <f>IF('Übung 04'!H$41="","",'Übung 04'!H$41)</f>
        <v/>
      </c>
      <c r="G763" s="61">
        <f>IF('Übung 05'!H$41="","",'Übung 05'!H$41)</f>
        <v/>
      </c>
      <c r="H763" s="61">
        <f>IF('Übung 06'!H$41="","",'Übung 06'!H$41)</f>
        <v/>
      </c>
      <c r="I763" s="61">
        <f>IF('Übung 07'!H$41="","",'Übung 07'!H$41)</f>
        <v/>
      </c>
      <c r="J763" s="61">
        <f>IF('Übung 08'!H$41="","",'Übung 08'!H$41)</f>
        <v/>
      </c>
      <c r="K763" s="61">
        <f>IF('Übung 09'!H$41="","",'Übung 09'!H$41)</f>
        <v/>
      </c>
      <c r="L763" s="61">
        <f>IF('Übung 10'!H$41="","",'Übung 10'!H$41)</f>
        <v/>
      </c>
      <c r="M763" s="61">
        <f>IF('Übung 11'!H$41="","",'Übung 11'!H$41)</f>
        <v/>
      </c>
      <c r="N763" s="61">
        <f>IF('Übung 12'!H$41="","",'Übung 12'!H$41)</f>
        <v/>
      </c>
      <c r="O763" s="61">
        <f>IF('Übung 13'!H$41="","",'Übung 13'!H$41)</f>
        <v/>
      </c>
      <c r="P763" s="61">
        <f>IF('Übung 14'!H$41="","",'Übung 14'!H$41)</f>
        <v/>
      </c>
      <c r="Q763" s="61">
        <f>IF('Übung 15'!H$41="","",'Übung 15'!H$41)</f>
        <v/>
      </c>
      <c r="R763" s="61">
        <f>IF('Übung 16'!H$41="","",'Übung 16'!H$41)</f>
        <v/>
      </c>
      <c r="S763" s="61">
        <f>IF('Übung 17'!H$41="","",'Übung 17'!H$41)</f>
        <v/>
      </c>
      <c r="T763" s="61">
        <f>IF('Übung 18'!H$41="","",'Übung 18'!H$41)</f>
        <v/>
      </c>
      <c r="U763" s="61">
        <f>IF('Übung 19'!H$41="","",'Übung 19'!H$41)</f>
        <v/>
      </c>
      <c r="V763" s="61">
        <f>IF('Übung 20'!H$41="","",'Übung 20'!H$41)</f>
        <v/>
      </c>
    </row>
    <row r="764">
      <c r="C764" s="61">
        <f>IF('Übung 01'!I$41="","",'Übung 01'!I$41)</f>
        <v/>
      </c>
      <c r="D764" s="61">
        <f>IF('Übung 02'!I$41="","",'Übung 02'!I$41)</f>
        <v/>
      </c>
      <c r="E764" s="61">
        <f>IF('Übung 03'!I$41="","",'Übung 03'!I$41)</f>
        <v/>
      </c>
      <c r="F764" s="61">
        <f>IF('Übung 04'!I$41="","",'Übung 04'!I$41)</f>
        <v/>
      </c>
      <c r="G764" s="61">
        <f>IF('Übung 05'!I$41="","",'Übung 05'!I$41)</f>
        <v/>
      </c>
      <c r="H764" s="61">
        <f>IF('Übung 06'!I$41="","",'Übung 06'!I$41)</f>
        <v/>
      </c>
      <c r="I764" s="61">
        <f>IF('Übung 07'!I$41="","",'Übung 07'!I$41)</f>
        <v/>
      </c>
      <c r="J764" s="61">
        <f>IF('Übung 08'!I$41="","",'Übung 08'!I$41)</f>
        <v/>
      </c>
      <c r="K764" s="61">
        <f>IF('Übung 09'!I$41="","",'Übung 09'!I$41)</f>
        <v/>
      </c>
      <c r="L764" s="61">
        <f>IF('Übung 10'!I$41="","",'Übung 10'!I$41)</f>
        <v/>
      </c>
      <c r="M764" s="61">
        <f>IF('Übung 11'!I$41="","",'Übung 11'!I$41)</f>
        <v/>
      </c>
      <c r="N764" s="61">
        <f>IF('Übung 12'!I$41="","",'Übung 12'!I$41)</f>
        <v/>
      </c>
      <c r="O764" s="61">
        <f>IF('Übung 13'!I$41="","",'Übung 13'!I$41)</f>
        <v/>
      </c>
      <c r="P764" s="61">
        <f>IF('Übung 14'!I$41="","",'Übung 14'!I$41)</f>
        <v/>
      </c>
      <c r="Q764" s="61">
        <f>IF('Übung 15'!I$41="","",'Übung 15'!I$41)</f>
        <v/>
      </c>
      <c r="R764" s="61">
        <f>IF('Übung 16'!I$41="","",'Übung 16'!I$41)</f>
        <v/>
      </c>
      <c r="S764" s="61">
        <f>IF('Übung 17'!I$41="","",'Übung 17'!I$41)</f>
        <v/>
      </c>
      <c r="T764" s="61">
        <f>IF('Übung 18'!I$41="","",'Übung 18'!I$41)</f>
        <v/>
      </c>
      <c r="U764" s="61">
        <f>IF('Übung 19'!I$41="","",'Übung 19'!I$41)</f>
        <v/>
      </c>
      <c r="V764" s="61">
        <f>IF('Übung 20'!I$41="","",'Übung 20'!I$41)</f>
        <v/>
      </c>
    </row>
    <row r="765">
      <c r="C765" s="61">
        <f>IF('Übung 01'!J$41="","",'Übung 01'!J$41)</f>
        <v/>
      </c>
      <c r="D765" s="61">
        <f>IF('Übung 02'!J$41="","",'Übung 02'!J$41)</f>
        <v/>
      </c>
      <c r="E765" s="61">
        <f>IF('Übung 03'!J$41="","",'Übung 03'!J$41)</f>
        <v/>
      </c>
      <c r="F765" s="61">
        <f>IF('Übung 04'!J$41="","",'Übung 04'!J$41)</f>
        <v/>
      </c>
      <c r="G765" s="61">
        <f>IF('Übung 05'!J$41="","",'Übung 05'!J$41)</f>
        <v/>
      </c>
      <c r="H765" s="61">
        <f>IF('Übung 06'!J$41="","",'Übung 06'!J$41)</f>
        <v/>
      </c>
      <c r="I765" s="61">
        <f>IF('Übung 07'!J$41="","",'Übung 07'!J$41)</f>
        <v/>
      </c>
      <c r="J765" s="61">
        <f>IF('Übung 08'!J$41="","",'Übung 08'!J$41)</f>
        <v/>
      </c>
      <c r="K765" s="61">
        <f>IF('Übung 09'!J$41="","",'Übung 09'!J$41)</f>
        <v/>
      </c>
      <c r="L765" s="61">
        <f>IF('Übung 10'!J$41="","",'Übung 10'!J$41)</f>
        <v/>
      </c>
      <c r="M765" s="61">
        <f>IF('Übung 11'!J$41="","",'Übung 11'!J$41)</f>
        <v/>
      </c>
      <c r="N765" s="61">
        <f>IF('Übung 12'!J$41="","",'Übung 12'!J$41)</f>
        <v/>
      </c>
      <c r="O765" s="61">
        <f>IF('Übung 13'!J$41="","",'Übung 13'!J$41)</f>
        <v/>
      </c>
      <c r="P765" s="61">
        <f>IF('Übung 14'!J$41="","",'Übung 14'!J$41)</f>
        <v/>
      </c>
      <c r="Q765" s="61">
        <f>IF('Übung 15'!J$41="","",'Übung 15'!J$41)</f>
        <v/>
      </c>
      <c r="R765" s="61">
        <f>IF('Übung 16'!J$41="","",'Übung 16'!J$41)</f>
        <v/>
      </c>
      <c r="S765" s="61">
        <f>IF('Übung 17'!J$41="","",'Übung 17'!J$41)</f>
        <v/>
      </c>
      <c r="T765" s="61">
        <f>IF('Übung 18'!J$41="","",'Übung 18'!J$41)</f>
        <v/>
      </c>
      <c r="U765" s="61">
        <f>IF('Übung 19'!J$41="","",'Übung 19'!J$41)</f>
        <v/>
      </c>
      <c r="V765" s="61">
        <f>IF('Übung 20'!J$41="","",'Übung 20'!J$41)</f>
        <v/>
      </c>
    </row>
    <row r="766">
      <c r="C766" s="61">
        <f>IF('Übung 01'!K$41="","",'Übung 01'!K$41)</f>
        <v/>
      </c>
      <c r="D766" s="61">
        <f>IF('Übung 02'!K$41="","",'Übung 02'!K$41)</f>
        <v/>
      </c>
      <c r="E766" s="61">
        <f>IF('Übung 03'!K$41="","",'Übung 03'!K$41)</f>
        <v/>
      </c>
      <c r="F766" s="61">
        <f>IF('Übung 04'!K$41="","",'Übung 04'!K$41)</f>
        <v/>
      </c>
      <c r="G766" s="61">
        <f>IF('Übung 05'!K$41="","",'Übung 05'!K$41)</f>
        <v/>
      </c>
      <c r="H766" s="61">
        <f>IF('Übung 06'!K$41="","",'Übung 06'!K$41)</f>
        <v/>
      </c>
      <c r="I766" s="61">
        <f>IF('Übung 07'!K$41="","",'Übung 07'!K$41)</f>
        <v/>
      </c>
      <c r="J766" s="61">
        <f>IF('Übung 08'!K$41="","",'Übung 08'!K$41)</f>
        <v/>
      </c>
      <c r="K766" s="61">
        <f>IF('Übung 09'!K$41="","",'Übung 09'!K$41)</f>
        <v/>
      </c>
      <c r="L766" s="61">
        <f>IF('Übung 10'!K$41="","",'Übung 10'!K$41)</f>
        <v/>
      </c>
      <c r="M766" s="61">
        <f>IF('Übung 11'!K$41="","",'Übung 11'!K$41)</f>
        <v/>
      </c>
      <c r="N766" s="61">
        <f>IF('Übung 12'!K$41="","",'Übung 12'!K$41)</f>
        <v/>
      </c>
      <c r="O766" s="61">
        <f>IF('Übung 13'!K$41="","",'Übung 13'!K$41)</f>
        <v/>
      </c>
      <c r="P766" s="61">
        <f>IF('Übung 14'!K$41="","",'Übung 14'!K$41)</f>
        <v/>
      </c>
      <c r="Q766" s="61">
        <f>IF('Übung 15'!K$41="","",'Übung 15'!K$41)</f>
        <v/>
      </c>
      <c r="R766" s="61">
        <f>IF('Übung 16'!K$41="","",'Übung 16'!K$41)</f>
        <v/>
      </c>
      <c r="S766" s="61">
        <f>IF('Übung 17'!K$41="","",'Übung 17'!K$41)</f>
        <v/>
      </c>
      <c r="T766" s="61">
        <f>IF('Übung 18'!K$41="","",'Übung 18'!K$41)</f>
        <v/>
      </c>
      <c r="U766" s="61">
        <f>IF('Übung 19'!K$41="","",'Übung 19'!K$41)</f>
        <v/>
      </c>
      <c r="V766" s="61">
        <f>IF('Übung 20'!K$41="","",'Übung 20'!K$41)</f>
        <v/>
      </c>
    </row>
    <row r="767">
      <c r="C767" s="61">
        <f>IF('Übung 01'!L$41="","",'Übung 01'!L$41)</f>
        <v/>
      </c>
      <c r="D767" s="61">
        <f>IF('Übung 02'!L$41="","",'Übung 02'!L$41)</f>
        <v/>
      </c>
      <c r="E767" s="61">
        <f>IF('Übung 03'!L$41="","",'Übung 03'!L$41)</f>
        <v/>
      </c>
      <c r="F767" s="61">
        <f>IF('Übung 04'!L$41="","",'Übung 04'!L$41)</f>
        <v/>
      </c>
      <c r="G767" s="61">
        <f>IF('Übung 05'!L$41="","",'Übung 05'!L$41)</f>
        <v/>
      </c>
      <c r="H767" s="61">
        <f>IF('Übung 06'!L$41="","",'Übung 06'!L$41)</f>
        <v/>
      </c>
      <c r="I767" s="61">
        <f>IF('Übung 07'!L$41="","",'Übung 07'!L$41)</f>
        <v/>
      </c>
      <c r="J767" s="61">
        <f>IF('Übung 08'!L$41="","",'Übung 08'!L$41)</f>
        <v/>
      </c>
      <c r="K767" s="61">
        <f>IF('Übung 09'!L$41="","",'Übung 09'!L$41)</f>
        <v/>
      </c>
      <c r="L767" s="61">
        <f>IF('Übung 10'!L$41="","",'Übung 10'!L$41)</f>
        <v/>
      </c>
      <c r="M767" s="61">
        <f>IF('Übung 11'!L$41="","",'Übung 11'!L$41)</f>
        <v/>
      </c>
      <c r="N767" s="61">
        <f>IF('Übung 12'!L$41="","",'Übung 12'!L$41)</f>
        <v/>
      </c>
      <c r="O767" s="61">
        <f>IF('Übung 13'!L$41="","",'Übung 13'!L$41)</f>
        <v/>
      </c>
      <c r="P767" s="61">
        <f>IF('Übung 14'!L$41="","",'Übung 14'!L$41)</f>
        <v/>
      </c>
      <c r="Q767" s="61">
        <f>IF('Übung 15'!L$41="","",'Übung 15'!L$41)</f>
        <v/>
      </c>
      <c r="R767" s="61">
        <f>IF('Übung 16'!L$41="","",'Übung 16'!L$41)</f>
        <v/>
      </c>
      <c r="S767" s="61">
        <f>IF('Übung 17'!L$41="","",'Übung 17'!L$41)</f>
        <v/>
      </c>
      <c r="T767" s="61">
        <f>IF('Übung 18'!L$41="","",'Übung 18'!L$41)</f>
        <v/>
      </c>
      <c r="U767" s="61">
        <f>IF('Übung 19'!L$41="","",'Übung 19'!L$41)</f>
        <v/>
      </c>
      <c r="V767" s="61">
        <f>IF('Übung 20'!L$41="","",'Übung 20'!L$41)</f>
        <v/>
      </c>
    </row>
    <row r="768">
      <c r="C768" s="61">
        <f>IF('Übung 01'!M$41="","",'Übung 01'!M$41)</f>
        <v/>
      </c>
      <c r="D768" s="61">
        <f>IF('Übung 02'!M$41="","",'Übung 02'!M$41)</f>
        <v/>
      </c>
      <c r="E768" s="61">
        <f>IF('Übung 03'!M$41="","",'Übung 03'!M$41)</f>
        <v/>
      </c>
      <c r="F768" s="61">
        <f>IF('Übung 04'!M$41="","",'Übung 04'!M$41)</f>
        <v/>
      </c>
      <c r="G768" s="61">
        <f>IF('Übung 05'!M$41="","",'Übung 05'!M$41)</f>
        <v/>
      </c>
      <c r="H768" s="61">
        <f>IF('Übung 06'!M$41="","",'Übung 06'!M$41)</f>
        <v/>
      </c>
      <c r="I768" s="61">
        <f>IF('Übung 07'!M$41="","",'Übung 07'!M$41)</f>
        <v/>
      </c>
      <c r="J768" s="61">
        <f>IF('Übung 08'!M$41="","",'Übung 08'!M$41)</f>
        <v/>
      </c>
      <c r="K768" s="61">
        <f>IF('Übung 09'!M$41="","",'Übung 09'!M$41)</f>
        <v/>
      </c>
      <c r="L768" s="61">
        <f>IF('Übung 10'!M$41="","",'Übung 10'!M$41)</f>
        <v/>
      </c>
      <c r="M768" s="61">
        <f>IF('Übung 11'!M$41="","",'Übung 11'!M$41)</f>
        <v/>
      </c>
      <c r="N768" s="61">
        <f>IF('Übung 12'!M$41="","",'Übung 12'!M$41)</f>
        <v/>
      </c>
      <c r="O768" s="61">
        <f>IF('Übung 13'!M$41="","",'Übung 13'!M$41)</f>
        <v/>
      </c>
      <c r="P768" s="61">
        <f>IF('Übung 14'!M$41="","",'Übung 14'!M$41)</f>
        <v/>
      </c>
      <c r="Q768" s="61">
        <f>IF('Übung 15'!M$41="","",'Übung 15'!M$41)</f>
        <v/>
      </c>
      <c r="R768" s="61">
        <f>IF('Übung 16'!M$41="","",'Übung 16'!M$41)</f>
        <v/>
      </c>
      <c r="S768" s="61">
        <f>IF('Übung 17'!M$41="","",'Übung 17'!M$41)</f>
        <v/>
      </c>
      <c r="T768" s="61">
        <f>IF('Übung 18'!M$41="","",'Übung 18'!M$41)</f>
        <v/>
      </c>
      <c r="U768" s="61">
        <f>IF('Übung 19'!M$41="","",'Übung 19'!M$41)</f>
        <v/>
      </c>
      <c r="V768" s="61">
        <f>IF('Übung 20'!M$41="","",'Übung 20'!M$41)</f>
        <v/>
      </c>
    </row>
    <row r="769">
      <c r="C769" s="61">
        <f>IF('Übung 01'!N$41="","",'Übung 01'!N$41)</f>
        <v/>
      </c>
      <c r="D769" s="61">
        <f>IF('Übung 02'!N$41="","",'Übung 02'!N$41)</f>
        <v/>
      </c>
      <c r="E769" s="61">
        <f>IF('Übung 03'!N$41="","",'Übung 03'!N$41)</f>
        <v/>
      </c>
      <c r="F769" s="61">
        <f>IF('Übung 04'!N$41="","",'Übung 04'!N$41)</f>
        <v/>
      </c>
      <c r="G769" s="61">
        <f>IF('Übung 05'!N$41="","",'Übung 05'!N$41)</f>
        <v/>
      </c>
      <c r="H769" s="61">
        <f>IF('Übung 06'!N$41="","",'Übung 06'!N$41)</f>
        <v/>
      </c>
      <c r="I769" s="61">
        <f>IF('Übung 07'!N$41="","",'Übung 07'!N$41)</f>
        <v/>
      </c>
      <c r="J769" s="61">
        <f>IF('Übung 08'!N$41="","",'Übung 08'!N$41)</f>
        <v/>
      </c>
      <c r="K769" s="61">
        <f>IF('Übung 09'!N$41="","",'Übung 09'!N$41)</f>
        <v/>
      </c>
      <c r="L769" s="61">
        <f>IF('Übung 10'!N$41="","",'Übung 10'!N$41)</f>
        <v/>
      </c>
      <c r="M769" s="61">
        <f>IF('Übung 11'!N$41="","",'Übung 11'!N$41)</f>
        <v/>
      </c>
      <c r="N769" s="61">
        <f>IF('Übung 12'!N$41="","",'Übung 12'!N$41)</f>
        <v/>
      </c>
      <c r="O769" s="61">
        <f>IF('Übung 13'!N$41="","",'Übung 13'!N$41)</f>
        <v/>
      </c>
      <c r="P769" s="61">
        <f>IF('Übung 14'!N$41="","",'Übung 14'!N$41)</f>
        <v/>
      </c>
      <c r="Q769" s="61">
        <f>IF('Übung 15'!N$41="","",'Übung 15'!N$41)</f>
        <v/>
      </c>
      <c r="R769" s="61">
        <f>IF('Übung 16'!N$41="","",'Übung 16'!N$41)</f>
        <v/>
      </c>
      <c r="S769" s="61">
        <f>IF('Übung 17'!N$41="","",'Übung 17'!N$41)</f>
        <v/>
      </c>
      <c r="T769" s="61">
        <f>IF('Übung 18'!N$41="","",'Übung 18'!N$41)</f>
        <v/>
      </c>
      <c r="U769" s="61">
        <f>IF('Übung 19'!N$41="","",'Übung 19'!N$41)</f>
        <v/>
      </c>
      <c r="V769" s="61">
        <f>IF('Übung 20'!N$41="","",'Übung 20'!N$41)</f>
        <v/>
      </c>
    </row>
    <row r="770">
      <c r="C770" s="61">
        <f>IF('Übung 01'!O$41="","",'Übung 01'!O$41)</f>
        <v/>
      </c>
      <c r="D770" s="61">
        <f>IF('Übung 02'!O$41="","",'Übung 02'!O$41)</f>
        <v/>
      </c>
      <c r="E770" s="61">
        <f>IF('Übung 03'!O$41="","",'Übung 03'!O$41)</f>
        <v/>
      </c>
      <c r="F770" s="61">
        <f>IF('Übung 04'!O$41="","",'Übung 04'!O$41)</f>
        <v/>
      </c>
      <c r="G770" s="61">
        <f>IF('Übung 05'!O$41="","",'Übung 05'!O$41)</f>
        <v/>
      </c>
      <c r="H770" s="61">
        <f>IF('Übung 06'!O$41="","",'Übung 06'!O$41)</f>
        <v/>
      </c>
      <c r="I770" s="61">
        <f>IF('Übung 07'!O$41="","",'Übung 07'!O$41)</f>
        <v/>
      </c>
      <c r="J770" s="61">
        <f>IF('Übung 08'!O$41="","",'Übung 08'!O$41)</f>
        <v/>
      </c>
      <c r="K770" s="61">
        <f>IF('Übung 09'!O$41="","",'Übung 09'!O$41)</f>
        <v/>
      </c>
      <c r="L770" s="61">
        <f>IF('Übung 10'!O$41="","",'Übung 10'!O$41)</f>
        <v/>
      </c>
      <c r="M770" s="61">
        <f>IF('Übung 11'!O$41="","",'Übung 11'!O$41)</f>
        <v/>
      </c>
      <c r="N770" s="61">
        <f>IF('Übung 12'!O$41="","",'Übung 12'!O$41)</f>
        <v/>
      </c>
      <c r="O770" s="61">
        <f>IF('Übung 13'!O$41="","",'Übung 13'!O$41)</f>
        <v/>
      </c>
      <c r="P770" s="61">
        <f>IF('Übung 14'!O$41="","",'Übung 14'!O$41)</f>
        <v/>
      </c>
      <c r="Q770" s="61">
        <f>IF('Übung 15'!O$41="","",'Übung 15'!O$41)</f>
        <v/>
      </c>
      <c r="R770" s="61">
        <f>IF('Übung 16'!O$41="","",'Übung 16'!O$41)</f>
        <v/>
      </c>
      <c r="S770" s="61">
        <f>IF('Übung 17'!O$41="","",'Übung 17'!O$41)</f>
        <v/>
      </c>
      <c r="T770" s="61">
        <f>IF('Übung 18'!O$41="","",'Übung 18'!O$41)</f>
        <v/>
      </c>
      <c r="U770" s="61">
        <f>IF('Übung 19'!O$41="","",'Übung 19'!O$41)</f>
        <v/>
      </c>
      <c r="V770" s="61">
        <f>IF('Übung 20'!O$41="","",'Übung 20'!O$41)</f>
        <v/>
      </c>
    </row>
    <row r="771">
      <c r="C771" s="61">
        <f>IF('Übung 01'!P$41="","",'Übung 01'!P$41)</f>
        <v/>
      </c>
      <c r="D771" s="61">
        <f>IF('Übung 02'!P$41="","",'Übung 02'!P$41)</f>
        <v/>
      </c>
      <c r="E771" s="61">
        <f>IF('Übung 03'!P$41="","",'Übung 03'!P$41)</f>
        <v/>
      </c>
      <c r="F771" s="61">
        <f>IF('Übung 04'!P$41="","",'Übung 04'!P$41)</f>
        <v/>
      </c>
      <c r="G771" s="61">
        <f>IF('Übung 05'!P$41="","",'Übung 05'!P$41)</f>
        <v/>
      </c>
      <c r="H771" s="61">
        <f>IF('Übung 06'!P$41="","",'Übung 06'!P$41)</f>
        <v/>
      </c>
      <c r="I771" s="61">
        <f>IF('Übung 07'!P$41="","",'Übung 07'!P$41)</f>
        <v/>
      </c>
      <c r="J771" s="61">
        <f>IF('Übung 08'!P$41="","",'Übung 08'!P$41)</f>
        <v/>
      </c>
      <c r="K771" s="61">
        <f>IF('Übung 09'!P$41="","",'Übung 09'!P$41)</f>
        <v/>
      </c>
      <c r="L771" s="61">
        <f>IF('Übung 10'!P$41="","",'Übung 10'!P$41)</f>
        <v/>
      </c>
      <c r="M771" s="61">
        <f>IF('Übung 11'!P$41="","",'Übung 11'!P$41)</f>
        <v/>
      </c>
      <c r="N771" s="61">
        <f>IF('Übung 12'!P$41="","",'Übung 12'!P$41)</f>
        <v/>
      </c>
      <c r="O771" s="61">
        <f>IF('Übung 13'!P$41="","",'Übung 13'!P$41)</f>
        <v/>
      </c>
      <c r="P771" s="61">
        <f>IF('Übung 14'!P$41="","",'Übung 14'!P$41)</f>
        <v/>
      </c>
      <c r="Q771" s="61">
        <f>IF('Übung 15'!P$41="","",'Übung 15'!P$41)</f>
        <v/>
      </c>
      <c r="R771" s="61">
        <f>IF('Übung 16'!P$41="","",'Übung 16'!P$41)</f>
        <v/>
      </c>
      <c r="S771" s="61">
        <f>IF('Übung 17'!P$41="","",'Übung 17'!P$41)</f>
        <v/>
      </c>
      <c r="T771" s="61">
        <f>IF('Übung 18'!P$41="","",'Übung 18'!P$41)</f>
        <v/>
      </c>
      <c r="U771" s="61">
        <f>IF('Übung 19'!P$41="","",'Übung 19'!P$41)</f>
        <v/>
      </c>
      <c r="V771" s="61">
        <f>IF('Übung 20'!P$41="","",'Übung 20'!P$41)</f>
        <v/>
      </c>
    </row>
    <row r="772">
      <c r="C772" s="61">
        <f>IF('Übung 01'!Q$41="","",'Übung 01'!Q$41)</f>
        <v/>
      </c>
      <c r="D772" s="61">
        <f>IF('Übung 02'!Q$41="","",'Übung 02'!Q$41)</f>
        <v/>
      </c>
      <c r="E772" s="61">
        <f>IF('Übung 03'!Q$41="","",'Übung 03'!Q$41)</f>
        <v/>
      </c>
      <c r="F772" s="61">
        <f>IF('Übung 04'!Q$41="","",'Übung 04'!Q$41)</f>
        <v/>
      </c>
      <c r="G772" s="61">
        <f>IF('Übung 05'!Q$41="","",'Übung 05'!Q$41)</f>
        <v/>
      </c>
      <c r="H772" s="61">
        <f>IF('Übung 06'!Q$41="","",'Übung 06'!Q$41)</f>
        <v/>
      </c>
      <c r="I772" s="61">
        <f>IF('Übung 07'!Q$41="","",'Übung 07'!Q$41)</f>
        <v/>
      </c>
      <c r="J772" s="61">
        <f>IF('Übung 08'!Q$41="","",'Übung 08'!Q$41)</f>
        <v/>
      </c>
      <c r="K772" s="61">
        <f>IF('Übung 09'!Q$41="","",'Übung 09'!Q$41)</f>
        <v/>
      </c>
      <c r="L772" s="61">
        <f>IF('Übung 10'!Q$41="","",'Übung 10'!Q$41)</f>
        <v/>
      </c>
      <c r="M772" s="61">
        <f>IF('Übung 11'!Q$41="","",'Übung 11'!Q$41)</f>
        <v/>
      </c>
      <c r="N772" s="61">
        <f>IF('Übung 12'!Q$41="","",'Übung 12'!Q$41)</f>
        <v/>
      </c>
      <c r="O772" s="61">
        <f>IF('Übung 13'!Q$41="","",'Übung 13'!Q$41)</f>
        <v/>
      </c>
      <c r="P772" s="61">
        <f>IF('Übung 14'!Q$41="","",'Übung 14'!Q$41)</f>
        <v/>
      </c>
      <c r="Q772" s="61">
        <f>IF('Übung 15'!Q$41="","",'Übung 15'!Q$41)</f>
        <v/>
      </c>
      <c r="R772" s="61">
        <f>IF('Übung 16'!Q$41="","",'Übung 16'!Q$41)</f>
        <v/>
      </c>
      <c r="S772" s="61">
        <f>IF('Übung 17'!Q$41="","",'Übung 17'!Q$41)</f>
        <v/>
      </c>
      <c r="T772" s="61">
        <f>IF('Übung 18'!Q$41="","",'Übung 18'!Q$41)</f>
        <v/>
      </c>
      <c r="U772" s="61">
        <f>IF('Übung 19'!Q$41="","",'Übung 19'!Q$41)</f>
        <v/>
      </c>
      <c r="V772" s="61">
        <f>IF('Übung 20'!Q$41="","",'Übung 20'!Q$41)</f>
        <v/>
      </c>
    </row>
    <row r="773">
      <c r="C773" s="61">
        <f>IF('Übung 01'!R$41="","",'Übung 01'!R$41)</f>
        <v/>
      </c>
      <c r="D773" s="61">
        <f>IF('Übung 02'!R$41="","",'Übung 02'!R$41)</f>
        <v/>
      </c>
      <c r="E773" s="61">
        <f>IF('Übung 03'!R$41="","",'Übung 03'!R$41)</f>
        <v/>
      </c>
      <c r="F773" s="61">
        <f>IF('Übung 04'!R$41="","",'Übung 04'!R$41)</f>
        <v/>
      </c>
      <c r="G773" s="61">
        <f>IF('Übung 05'!R$41="","",'Übung 05'!R$41)</f>
        <v/>
      </c>
      <c r="H773" s="61">
        <f>IF('Übung 06'!R$41="","",'Übung 06'!R$41)</f>
        <v/>
      </c>
      <c r="I773" s="61">
        <f>IF('Übung 07'!R$41="","",'Übung 07'!R$41)</f>
        <v/>
      </c>
      <c r="J773" s="61">
        <f>IF('Übung 08'!R$41="","",'Übung 08'!R$41)</f>
        <v/>
      </c>
      <c r="K773" s="61">
        <f>IF('Übung 09'!R$41="","",'Übung 09'!R$41)</f>
        <v/>
      </c>
      <c r="L773" s="61">
        <f>IF('Übung 10'!R$41="","",'Übung 10'!R$41)</f>
        <v/>
      </c>
      <c r="M773" s="61">
        <f>IF('Übung 11'!R$41="","",'Übung 11'!R$41)</f>
        <v/>
      </c>
      <c r="N773" s="61">
        <f>IF('Übung 12'!R$41="","",'Übung 12'!R$41)</f>
        <v/>
      </c>
      <c r="O773" s="61">
        <f>IF('Übung 13'!R$41="","",'Übung 13'!R$41)</f>
        <v/>
      </c>
      <c r="P773" s="61">
        <f>IF('Übung 14'!R$41="","",'Übung 14'!R$41)</f>
        <v/>
      </c>
      <c r="Q773" s="61">
        <f>IF('Übung 15'!R$41="","",'Übung 15'!R$41)</f>
        <v/>
      </c>
      <c r="R773" s="61">
        <f>IF('Übung 16'!R$41="","",'Übung 16'!R$41)</f>
        <v/>
      </c>
      <c r="S773" s="61">
        <f>IF('Übung 17'!R$41="","",'Übung 17'!R$41)</f>
        <v/>
      </c>
      <c r="T773" s="61">
        <f>IF('Übung 18'!R$41="","",'Übung 18'!R$41)</f>
        <v/>
      </c>
      <c r="U773" s="61">
        <f>IF('Übung 19'!R$41="","",'Übung 19'!R$41)</f>
        <v/>
      </c>
      <c r="V773" s="61">
        <f>IF('Übung 20'!R$41="","",'Übung 20'!R$41)</f>
        <v/>
      </c>
    </row>
    <row r="774">
      <c r="C774" s="61">
        <f>IF('Übung 01'!S$41="","",'Übung 01'!S$41)</f>
        <v/>
      </c>
      <c r="D774" s="61">
        <f>IF('Übung 02'!S$41="","",'Übung 02'!S$41)</f>
        <v/>
      </c>
      <c r="E774" s="61">
        <f>IF('Übung 03'!S$41="","",'Übung 03'!S$41)</f>
        <v/>
      </c>
      <c r="F774" s="61">
        <f>IF('Übung 04'!S$41="","",'Übung 04'!S$41)</f>
        <v/>
      </c>
      <c r="G774" s="61">
        <f>IF('Übung 05'!S$41="","",'Übung 05'!S$41)</f>
        <v/>
      </c>
      <c r="H774" s="61">
        <f>IF('Übung 06'!S$41="","",'Übung 06'!S$41)</f>
        <v/>
      </c>
      <c r="I774" s="61">
        <f>IF('Übung 07'!S$41="","",'Übung 07'!S$41)</f>
        <v/>
      </c>
      <c r="J774" s="61">
        <f>IF('Übung 08'!S$41="","",'Übung 08'!S$41)</f>
        <v/>
      </c>
      <c r="K774" s="61">
        <f>IF('Übung 09'!S$41="","",'Übung 09'!S$41)</f>
        <v/>
      </c>
      <c r="L774" s="61">
        <f>IF('Übung 10'!S$41="","",'Übung 10'!S$41)</f>
        <v/>
      </c>
      <c r="M774" s="61">
        <f>IF('Übung 11'!S$41="","",'Übung 11'!S$41)</f>
        <v/>
      </c>
      <c r="N774" s="61">
        <f>IF('Übung 12'!S$41="","",'Übung 12'!S$41)</f>
        <v/>
      </c>
      <c r="O774" s="61">
        <f>IF('Übung 13'!S$41="","",'Übung 13'!S$41)</f>
        <v/>
      </c>
      <c r="P774" s="61">
        <f>IF('Übung 14'!S$41="","",'Übung 14'!S$41)</f>
        <v/>
      </c>
      <c r="Q774" s="61">
        <f>IF('Übung 15'!S$41="","",'Übung 15'!S$41)</f>
        <v/>
      </c>
      <c r="R774" s="61">
        <f>IF('Übung 16'!S$41="","",'Übung 16'!S$41)</f>
        <v/>
      </c>
      <c r="S774" s="61">
        <f>IF('Übung 17'!S$41="","",'Übung 17'!S$41)</f>
        <v/>
      </c>
      <c r="T774" s="61">
        <f>IF('Übung 18'!S$41="","",'Übung 18'!S$41)</f>
        <v/>
      </c>
      <c r="U774" s="61">
        <f>IF('Übung 19'!S$41="","",'Übung 19'!S$41)</f>
        <v/>
      </c>
      <c r="V774" s="61">
        <f>IF('Übung 20'!S$41="","",'Übung 20'!S$41)</f>
        <v/>
      </c>
    </row>
    <row r="775">
      <c r="C775" s="61">
        <f>IF('Übung 01'!T$41="","",'Übung 01'!T$41)</f>
        <v/>
      </c>
      <c r="D775" s="61">
        <f>IF('Übung 02'!T$41="","",'Übung 02'!T$41)</f>
        <v/>
      </c>
      <c r="E775" s="61">
        <f>IF('Übung 03'!T$41="","",'Übung 03'!T$41)</f>
        <v/>
      </c>
      <c r="F775" s="61">
        <f>IF('Übung 04'!T$41="","",'Übung 04'!T$41)</f>
        <v/>
      </c>
      <c r="G775" s="61">
        <f>IF('Übung 05'!T$41="","",'Übung 05'!T$41)</f>
        <v/>
      </c>
      <c r="H775" s="61">
        <f>IF('Übung 06'!T$41="","",'Übung 06'!T$41)</f>
        <v/>
      </c>
      <c r="I775" s="61">
        <f>IF('Übung 07'!T$41="","",'Übung 07'!T$41)</f>
        <v/>
      </c>
      <c r="J775" s="61">
        <f>IF('Übung 08'!T$41="","",'Übung 08'!T$41)</f>
        <v/>
      </c>
      <c r="K775" s="61">
        <f>IF('Übung 09'!T$41="","",'Übung 09'!T$41)</f>
        <v/>
      </c>
      <c r="L775" s="61">
        <f>IF('Übung 10'!T$41="","",'Übung 10'!T$41)</f>
        <v/>
      </c>
      <c r="M775" s="61">
        <f>IF('Übung 11'!T$41="","",'Übung 11'!T$41)</f>
        <v/>
      </c>
      <c r="N775" s="61">
        <f>IF('Übung 12'!T$41="","",'Übung 12'!T$41)</f>
        <v/>
      </c>
      <c r="O775" s="61">
        <f>IF('Übung 13'!T$41="","",'Übung 13'!T$41)</f>
        <v/>
      </c>
      <c r="P775" s="61">
        <f>IF('Übung 14'!T$41="","",'Übung 14'!T$41)</f>
        <v/>
      </c>
      <c r="Q775" s="61">
        <f>IF('Übung 15'!T$41="","",'Übung 15'!T$41)</f>
        <v/>
      </c>
      <c r="R775" s="61">
        <f>IF('Übung 16'!T$41="","",'Übung 16'!T$41)</f>
        <v/>
      </c>
      <c r="S775" s="61">
        <f>IF('Übung 17'!T$41="","",'Übung 17'!T$41)</f>
        <v/>
      </c>
      <c r="T775" s="61">
        <f>IF('Übung 18'!T$41="","",'Übung 18'!T$41)</f>
        <v/>
      </c>
      <c r="U775" s="61">
        <f>IF('Übung 19'!T$41="","",'Übung 19'!T$41)</f>
        <v/>
      </c>
      <c r="V775" s="61">
        <f>IF('Übung 20'!T$41="","",'Übung 20'!T$41)</f>
        <v/>
      </c>
    </row>
    <row r="776">
      <c r="C776" s="61">
        <f>IF('Übung 01'!U$41="","",'Übung 01'!U$41)</f>
        <v/>
      </c>
      <c r="D776" s="61">
        <f>IF('Übung 02'!U$41="","",'Übung 02'!U$41)</f>
        <v/>
      </c>
      <c r="E776" s="61">
        <f>IF('Übung 03'!U$41="","",'Übung 03'!U$41)</f>
        <v/>
      </c>
      <c r="F776" s="61">
        <f>IF('Übung 04'!U$41="","",'Übung 04'!U$41)</f>
        <v/>
      </c>
      <c r="G776" s="61">
        <f>IF('Übung 05'!U$41="","",'Übung 05'!U$41)</f>
        <v/>
      </c>
      <c r="H776" s="61">
        <f>IF('Übung 06'!U$41="","",'Übung 06'!U$41)</f>
        <v/>
      </c>
      <c r="I776" s="61">
        <f>IF('Übung 07'!U$41="","",'Übung 07'!U$41)</f>
        <v/>
      </c>
      <c r="J776" s="61">
        <f>IF('Übung 08'!U$41="","",'Übung 08'!U$41)</f>
        <v/>
      </c>
      <c r="K776" s="61">
        <f>IF('Übung 09'!U$41="","",'Übung 09'!U$41)</f>
        <v/>
      </c>
      <c r="L776" s="61">
        <f>IF('Übung 10'!U$41="","",'Übung 10'!U$41)</f>
        <v/>
      </c>
      <c r="M776" s="61">
        <f>IF('Übung 11'!U$41="","",'Übung 11'!U$41)</f>
        <v/>
      </c>
      <c r="N776" s="61">
        <f>IF('Übung 12'!U$41="","",'Übung 12'!U$41)</f>
        <v/>
      </c>
      <c r="O776" s="61">
        <f>IF('Übung 13'!U$41="","",'Übung 13'!U$41)</f>
        <v/>
      </c>
      <c r="P776" s="61">
        <f>IF('Übung 14'!U$41="","",'Übung 14'!U$41)</f>
        <v/>
      </c>
      <c r="Q776" s="61">
        <f>IF('Übung 15'!U$41="","",'Übung 15'!U$41)</f>
        <v/>
      </c>
      <c r="R776" s="61">
        <f>IF('Übung 16'!U$41="","",'Übung 16'!U$41)</f>
        <v/>
      </c>
      <c r="S776" s="61">
        <f>IF('Übung 17'!U$41="","",'Übung 17'!U$41)</f>
        <v/>
      </c>
      <c r="T776" s="61">
        <f>IF('Übung 18'!U$41="","",'Übung 18'!U$41)</f>
        <v/>
      </c>
      <c r="U776" s="61">
        <f>IF('Übung 19'!U$41="","",'Übung 19'!U$41)</f>
        <v/>
      </c>
      <c r="V776" s="61">
        <f>IF('Übung 20'!U$41="","",'Übung 20'!U$41)</f>
        <v/>
      </c>
    </row>
    <row r="777">
      <c r="C777" s="61">
        <f>IF('Übung 01'!V$41="","",'Übung 01'!V$41)</f>
        <v/>
      </c>
      <c r="D777" s="61">
        <f>IF('Übung 02'!V$41="","",'Übung 02'!V$41)</f>
        <v/>
      </c>
      <c r="E777" s="61">
        <f>IF('Übung 03'!V$41="","",'Übung 03'!V$41)</f>
        <v/>
      </c>
      <c r="F777" s="61">
        <f>IF('Übung 04'!V$41="","",'Übung 04'!V$41)</f>
        <v/>
      </c>
      <c r="G777" s="61">
        <f>IF('Übung 05'!V$41="","",'Übung 05'!V$41)</f>
        <v/>
      </c>
      <c r="H777" s="61">
        <f>IF('Übung 06'!V$41="","",'Übung 06'!V$41)</f>
        <v/>
      </c>
      <c r="I777" s="61">
        <f>IF('Übung 07'!V$41="","",'Übung 07'!V$41)</f>
        <v/>
      </c>
      <c r="J777" s="61">
        <f>IF('Übung 08'!V$41="","",'Übung 08'!V$41)</f>
        <v/>
      </c>
      <c r="K777" s="61">
        <f>IF('Übung 09'!V$41="","",'Übung 09'!V$41)</f>
        <v/>
      </c>
      <c r="L777" s="61">
        <f>IF('Übung 10'!V$41="","",'Übung 10'!V$41)</f>
        <v/>
      </c>
      <c r="M777" s="61">
        <f>IF('Übung 11'!V$41="","",'Übung 11'!V$41)</f>
        <v/>
      </c>
      <c r="N777" s="61">
        <f>IF('Übung 12'!V$41="","",'Übung 12'!V$41)</f>
        <v/>
      </c>
      <c r="O777" s="61">
        <f>IF('Übung 13'!V$41="","",'Übung 13'!V$41)</f>
        <v/>
      </c>
      <c r="P777" s="61">
        <f>IF('Übung 14'!V$41="","",'Übung 14'!V$41)</f>
        <v/>
      </c>
      <c r="Q777" s="61">
        <f>IF('Übung 15'!V$41="","",'Übung 15'!V$41)</f>
        <v/>
      </c>
      <c r="R777" s="61">
        <f>IF('Übung 16'!V$41="","",'Übung 16'!V$41)</f>
        <v/>
      </c>
      <c r="S777" s="61">
        <f>IF('Übung 17'!V$41="","",'Übung 17'!V$41)</f>
        <v/>
      </c>
      <c r="T777" s="61">
        <f>IF('Übung 18'!V$41="","",'Übung 18'!V$41)</f>
        <v/>
      </c>
      <c r="U777" s="61">
        <f>IF('Übung 19'!V$41="","",'Übung 19'!V$41)</f>
        <v/>
      </c>
      <c r="V777" s="61">
        <f>IF('Übung 20'!V$41="","",'Übung 20'!V$41)</f>
        <v/>
      </c>
    </row>
    <row r="778">
      <c r="C778" s="61">
        <f>IF('Übung 01'!W$41="","",'Übung 01'!W$41)</f>
        <v/>
      </c>
      <c r="D778" s="61">
        <f>IF('Übung 02'!W$41="","",'Übung 02'!W$41)</f>
        <v/>
      </c>
      <c r="E778" s="61">
        <f>IF('Übung 03'!W$41="","",'Übung 03'!W$41)</f>
        <v/>
      </c>
      <c r="F778" s="61">
        <f>IF('Übung 04'!W$41="","",'Übung 04'!W$41)</f>
        <v/>
      </c>
      <c r="G778" s="61">
        <f>IF('Übung 05'!W$41="","",'Übung 05'!W$41)</f>
        <v/>
      </c>
      <c r="H778" s="61">
        <f>IF('Übung 06'!W$41="","",'Übung 06'!W$41)</f>
        <v/>
      </c>
      <c r="I778" s="61">
        <f>IF('Übung 07'!W$41="","",'Übung 07'!W$41)</f>
        <v/>
      </c>
      <c r="J778" s="61">
        <f>IF('Übung 08'!W$41="","",'Übung 08'!W$41)</f>
        <v/>
      </c>
      <c r="K778" s="61">
        <f>IF('Übung 09'!W$41="","",'Übung 09'!W$41)</f>
        <v/>
      </c>
      <c r="L778" s="61">
        <f>IF('Übung 10'!W$41="","",'Übung 10'!W$41)</f>
        <v/>
      </c>
      <c r="M778" s="61">
        <f>IF('Übung 11'!W$41="","",'Übung 11'!W$41)</f>
        <v/>
      </c>
      <c r="N778" s="61">
        <f>IF('Übung 12'!W$41="","",'Übung 12'!W$41)</f>
        <v/>
      </c>
      <c r="O778" s="61">
        <f>IF('Übung 13'!W$41="","",'Übung 13'!W$41)</f>
        <v/>
      </c>
      <c r="P778" s="61">
        <f>IF('Übung 14'!W$41="","",'Übung 14'!W$41)</f>
        <v/>
      </c>
      <c r="Q778" s="61">
        <f>IF('Übung 15'!W$41="","",'Übung 15'!W$41)</f>
        <v/>
      </c>
      <c r="R778" s="61">
        <f>IF('Übung 16'!W$41="","",'Übung 16'!W$41)</f>
        <v/>
      </c>
      <c r="S778" s="61">
        <f>IF('Übung 17'!W$41="","",'Übung 17'!W$41)</f>
        <v/>
      </c>
      <c r="T778" s="61">
        <f>IF('Übung 18'!W$41="","",'Übung 18'!W$41)</f>
        <v/>
      </c>
      <c r="U778" s="61">
        <f>IF('Übung 19'!W$41="","",'Übung 19'!W$41)</f>
        <v/>
      </c>
      <c r="V778" s="61">
        <f>IF('Übung 20'!W$41="","",'Übung 20'!W$41)</f>
        <v/>
      </c>
    </row>
    <row r="779">
      <c r="C779" s="61">
        <f>IF('Übung 01'!X$41="","",'Übung 01'!X$41)</f>
        <v/>
      </c>
      <c r="D779" s="61">
        <f>IF('Übung 02'!X$41="","",'Übung 02'!X$41)</f>
        <v/>
      </c>
      <c r="E779" s="61">
        <f>IF('Übung 03'!X$41="","",'Übung 03'!X$41)</f>
        <v/>
      </c>
      <c r="F779" s="61">
        <f>IF('Übung 04'!X$41="","",'Übung 04'!X$41)</f>
        <v/>
      </c>
      <c r="G779" s="61">
        <f>IF('Übung 05'!X$41="","",'Übung 05'!X$41)</f>
        <v/>
      </c>
      <c r="H779" s="61">
        <f>IF('Übung 06'!X$41="","",'Übung 06'!X$41)</f>
        <v/>
      </c>
      <c r="I779" s="61">
        <f>IF('Übung 07'!X$41="","",'Übung 07'!X$41)</f>
        <v/>
      </c>
      <c r="J779" s="61">
        <f>IF('Übung 08'!X$41="","",'Übung 08'!X$41)</f>
        <v/>
      </c>
      <c r="K779" s="61">
        <f>IF('Übung 09'!X$41="","",'Übung 09'!X$41)</f>
        <v/>
      </c>
      <c r="L779" s="61">
        <f>IF('Übung 10'!X$41="","",'Übung 10'!X$41)</f>
        <v/>
      </c>
      <c r="M779" s="61">
        <f>IF('Übung 11'!X$41="","",'Übung 11'!X$41)</f>
        <v/>
      </c>
      <c r="N779" s="61">
        <f>IF('Übung 12'!X$41="","",'Übung 12'!X$41)</f>
        <v/>
      </c>
      <c r="O779" s="61">
        <f>IF('Übung 13'!X$41="","",'Übung 13'!X$41)</f>
        <v/>
      </c>
      <c r="P779" s="61">
        <f>IF('Übung 14'!X$41="","",'Übung 14'!X$41)</f>
        <v/>
      </c>
      <c r="Q779" s="61">
        <f>IF('Übung 15'!X$41="","",'Übung 15'!X$41)</f>
        <v/>
      </c>
      <c r="R779" s="61">
        <f>IF('Übung 16'!X$41="","",'Übung 16'!X$41)</f>
        <v/>
      </c>
      <c r="S779" s="61">
        <f>IF('Übung 17'!X$41="","",'Übung 17'!X$41)</f>
        <v/>
      </c>
      <c r="T779" s="61">
        <f>IF('Übung 18'!X$41="","",'Übung 18'!X$41)</f>
        <v/>
      </c>
      <c r="U779" s="61">
        <f>IF('Übung 19'!X$41="","",'Übung 19'!X$41)</f>
        <v/>
      </c>
      <c r="V779" s="61">
        <f>IF('Übung 20'!X$41="","",'Übung 20'!X$41)</f>
        <v/>
      </c>
    </row>
    <row r="780">
      <c r="C780" s="61">
        <f>IF('Übung 01'!Y$41="","",'Übung 01'!Y$41)</f>
        <v/>
      </c>
      <c r="D780" s="61">
        <f>IF('Übung 02'!Y$41="","",'Übung 02'!Y$41)</f>
        <v/>
      </c>
      <c r="E780" s="61">
        <f>IF('Übung 03'!Y$41="","",'Übung 03'!Y$41)</f>
        <v/>
      </c>
      <c r="F780" s="61">
        <f>IF('Übung 04'!Y$41="","",'Übung 04'!Y$41)</f>
        <v/>
      </c>
      <c r="G780" s="61">
        <f>IF('Übung 05'!Y$41="","",'Übung 05'!Y$41)</f>
        <v/>
      </c>
      <c r="H780" s="61">
        <f>IF('Übung 06'!Y$41="","",'Übung 06'!Y$41)</f>
        <v/>
      </c>
      <c r="I780" s="61">
        <f>IF('Übung 07'!Y$41="","",'Übung 07'!Y$41)</f>
        <v/>
      </c>
      <c r="J780" s="61">
        <f>IF('Übung 08'!Y$41="","",'Übung 08'!Y$41)</f>
        <v/>
      </c>
      <c r="K780" s="61">
        <f>IF('Übung 09'!Y$41="","",'Übung 09'!Y$41)</f>
        <v/>
      </c>
      <c r="L780" s="61">
        <f>IF('Übung 10'!Y$41="","",'Übung 10'!Y$41)</f>
        <v/>
      </c>
      <c r="M780" s="61">
        <f>IF('Übung 11'!Y$41="","",'Übung 11'!Y$41)</f>
        <v/>
      </c>
      <c r="N780" s="61">
        <f>IF('Übung 12'!Y$41="","",'Übung 12'!Y$41)</f>
        <v/>
      </c>
      <c r="O780" s="61">
        <f>IF('Übung 13'!Y$41="","",'Übung 13'!Y$41)</f>
        <v/>
      </c>
      <c r="P780" s="61">
        <f>IF('Übung 14'!Y$41="","",'Übung 14'!Y$41)</f>
        <v/>
      </c>
      <c r="Q780" s="61">
        <f>IF('Übung 15'!Y$41="","",'Übung 15'!Y$41)</f>
        <v/>
      </c>
      <c r="R780" s="61">
        <f>IF('Übung 16'!Y$41="","",'Übung 16'!Y$41)</f>
        <v/>
      </c>
      <c r="S780" s="61">
        <f>IF('Übung 17'!Y$41="","",'Übung 17'!Y$41)</f>
        <v/>
      </c>
      <c r="T780" s="61">
        <f>IF('Übung 18'!Y$41="","",'Übung 18'!Y$41)</f>
        <v/>
      </c>
      <c r="U780" s="61">
        <f>IF('Übung 19'!Y$41="","",'Übung 19'!Y$41)</f>
        <v/>
      </c>
      <c r="V780" s="61">
        <f>IF('Übung 20'!Y$41="","",'Übung 20'!Y$41)</f>
        <v/>
      </c>
    </row>
    <row r="781">
      <c r="C781" s="61">
        <f>IF('Übung 01'!Z$41="","",'Übung 01'!Z$41)</f>
        <v/>
      </c>
      <c r="D781" s="61">
        <f>IF('Übung 02'!Z$41="","",'Übung 02'!Z$41)</f>
        <v/>
      </c>
      <c r="E781" s="61">
        <f>IF('Übung 03'!Z$41="","",'Übung 03'!Z$41)</f>
        <v/>
      </c>
      <c r="F781" s="61">
        <f>IF('Übung 04'!Z$41="","",'Übung 04'!Z$41)</f>
        <v/>
      </c>
      <c r="G781" s="61">
        <f>IF('Übung 05'!Z$41="","",'Übung 05'!Z$41)</f>
        <v/>
      </c>
      <c r="H781" s="61">
        <f>IF('Übung 06'!Z$41="","",'Übung 06'!Z$41)</f>
        <v/>
      </c>
      <c r="I781" s="61">
        <f>IF('Übung 07'!Z$41="","",'Übung 07'!Z$41)</f>
        <v/>
      </c>
      <c r="J781" s="61">
        <f>IF('Übung 08'!Z$41="","",'Übung 08'!Z$41)</f>
        <v/>
      </c>
      <c r="K781" s="61">
        <f>IF('Übung 09'!Z$41="","",'Übung 09'!Z$41)</f>
        <v/>
      </c>
      <c r="L781" s="61">
        <f>IF('Übung 10'!Z$41="","",'Übung 10'!Z$41)</f>
        <v/>
      </c>
      <c r="M781" s="61">
        <f>IF('Übung 11'!Z$41="","",'Übung 11'!Z$41)</f>
        <v/>
      </c>
      <c r="N781" s="61">
        <f>IF('Übung 12'!Z$41="","",'Übung 12'!Z$41)</f>
        <v/>
      </c>
      <c r="O781" s="61">
        <f>IF('Übung 13'!Z$41="","",'Übung 13'!Z$41)</f>
        <v/>
      </c>
      <c r="P781" s="61">
        <f>IF('Übung 14'!Z$41="","",'Übung 14'!Z$41)</f>
        <v/>
      </c>
      <c r="Q781" s="61">
        <f>IF('Übung 15'!Z$41="","",'Übung 15'!Z$41)</f>
        <v/>
      </c>
      <c r="R781" s="61">
        <f>IF('Übung 16'!Z$41="","",'Übung 16'!Z$41)</f>
        <v/>
      </c>
      <c r="S781" s="61">
        <f>IF('Übung 17'!Z$41="","",'Übung 17'!Z$41)</f>
        <v/>
      </c>
      <c r="T781" s="61">
        <f>IF('Übung 18'!Z$41="","",'Übung 18'!Z$41)</f>
        <v/>
      </c>
      <c r="U781" s="61">
        <f>IF('Übung 19'!Z$41="","",'Übung 19'!Z$41)</f>
        <v/>
      </c>
      <c r="V781" s="61">
        <f>IF('Übung 20'!Z$41="","",'Übung 20'!Z$41)</f>
        <v/>
      </c>
    </row>
    <row r="782">
      <c r="C782" s="61">
        <f>IF('Übung 01'!AA$41="","",'Übung 01'!AA$41)</f>
        <v/>
      </c>
      <c r="D782" s="61">
        <f>IF('Übung 02'!AA$41="","",'Übung 02'!AA$41)</f>
        <v/>
      </c>
      <c r="E782" s="61">
        <f>IF('Übung 03'!AA$41="","",'Übung 03'!AA$41)</f>
        <v/>
      </c>
      <c r="F782" s="61">
        <f>IF('Übung 04'!AA$41="","",'Übung 04'!AA$41)</f>
        <v/>
      </c>
      <c r="G782" s="61">
        <f>IF('Übung 05'!AA$41="","",'Übung 05'!AA$41)</f>
        <v/>
      </c>
      <c r="H782" s="61">
        <f>IF('Übung 06'!AA$41="","",'Übung 06'!AA$41)</f>
        <v/>
      </c>
      <c r="I782" s="61">
        <f>IF('Übung 07'!AA$41="","",'Übung 07'!AA$41)</f>
        <v/>
      </c>
      <c r="J782" s="61">
        <f>IF('Übung 08'!AA$41="","",'Übung 08'!AA$41)</f>
        <v/>
      </c>
      <c r="K782" s="61">
        <f>IF('Übung 09'!AA$41="","",'Übung 09'!AA$41)</f>
        <v/>
      </c>
      <c r="L782" s="61">
        <f>IF('Übung 10'!AA$41="","",'Übung 10'!AA$41)</f>
        <v/>
      </c>
      <c r="M782" s="61">
        <f>IF('Übung 11'!AA$41="","",'Übung 11'!AA$41)</f>
        <v/>
      </c>
      <c r="N782" s="61">
        <f>IF('Übung 12'!AA$41="","",'Übung 12'!AA$41)</f>
        <v/>
      </c>
      <c r="O782" s="61">
        <f>IF('Übung 13'!AA$41="","",'Übung 13'!AA$41)</f>
        <v/>
      </c>
      <c r="P782" s="61">
        <f>IF('Übung 14'!AA$41="","",'Übung 14'!AA$41)</f>
        <v/>
      </c>
      <c r="Q782" s="61">
        <f>IF('Übung 15'!AA$41="","",'Übung 15'!AA$41)</f>
        <v/>
      </c>
      <c r="R782" s="61">
        <f>IF('Übung 16'!AA$41="","",'Übung 16'!AA$41)</f>
        <v/>
      </c>
      <c r="S782" s="61">
        <f>IF('Übung 17'!AA$41="","",'Übung 17'!AA$41)</f>
        <v/>
      </c>
      <c r="T782" s="61">
        <f>IF('Übung 18'!AA$41="","",'Übung 18'!AA$41)</f>
        <v/>
      </c>
      <c r="U782" s="61">
        <f>IF('Übung 19'!AA$41="","",'Übung 19'!AA$41)</f>
        <v/>
      </c>
      <c r="V782" s="61">
        <f>IF('Übung 20'!AA$41="","",'Übung 20'!AA$41)</f>
        <v/>
      </c>
    </row>
    <row r="783">
      <c r="C783" s="61">
        <f>IF('Übung 01'!AB$41="","",'Übung 01'!AB$41)</f>
        <v/>
      </c>
      <c r="D783" s="61">
        <f>IF('Übung 02'!AB$41="","",'Übung 02'!AB$41)</f>
        <v/>
      </c>
      <c r="E783" s="61">
        <f>IF('Übung 03'!AB$41="","",'Übung 03'!AB$41)</f>
        <v/>
      </c>
      <c r="F783" s="61">
        <f>IF('Übung 04'!AB$41="","",'Übung 04'!AB$41)</f>
        <v/>
      </c>
      <c r="G783" s="61">
        <f>IF('Übung 05'!AB$41="","",'Übung 05'!AB$41)</f>
        <v/>
      </c>
      <c r="H783" s="61">
        <f>IF('Übung 06'!AB$41="","",'Übung 06'!AB$41)</f>
        <v/>
      </c>
      <c r="I783" s="61">
        <f>IF('Übung 07'!AB$41="","",'Übung 07'!AB$41)</f>
        <v/>
      </c>
      <c r="J783" s="61">
        <f>IF('Übung 08'!AB$41="","",'Übung 08'!AB$41)</f>
        <v/>
      </c>
      <c r="K783" s="61">
        <f>IF('Übung 09'!AB$41="","",'Übung 09'!AB$41)</f>
        <v/>
      </c>
      <c r="L783" s="61">
        <f>IF('Übung 10'!AB$41="","",'Übung 10'!AB$41)</f>
        <v/>
      </c>
      <c r="M783" s="61">
        <f>IF('Übung 11'!AB$41="","",'Übung 11'!AB$41)</f>
        <v/>
      </c>
      <c r="N783" s="61">
        <f>IF('Übung 12'!AB$41="","",'Übung 12'!AB$41)</f>
        <v/>
      </c>
      <c r="O783" s="61">
        <f>IF('Übung 13'!AB$41="","",'Übung 13'!AB$41)</f>
        <v/>
      </c>
      <c r="P783" s="61">
        <f>IF('Übung 14'!AB$41="","",'Übung 14'!AB$41)</f>
        <v/>
      </c>
      <c r="Q783" s="61">
        <f>IF('Übung 15'!AB$41="","",'Übung 15'!AB$41)</f>
        <v/>
      </c>
      <c r="R783" s="61">
        <f>IF('Übung 16'!AB$41="","",'Übung 16'!AB$41)</f>
        <v/>
      </c>
      <c r="S783" s="61">
        <f>IF('Übung 17'!AB$41="","",'Übung 17'!AB$41)</f>
        <v/>
      </c>
      <c r="T783" s="61">
        <f>IF('Übung 18'!AB$41="","",'Übung 18'!AB$41)</f>
        <v/>
      </c>
      <c r="U783" s="61">
        <f>IF('Übung 19'!AB$41="","",'Übung 19'!AB$41)</f>
        <v/>
      </c>
      <c r="V783" s="61">
        <f>IF('Übung 20'!AB$41="","",'Übung 20'!AB$41)</f>
        <v/>
      </c>
    </row>
    <row r="784">
      <c r="C784" s="61">
        <f>IF('Übung 01'!AC$41="","",'Übung 01'!AC$41)</f>
        <v/>
      </c>
      <c r="D784" s="61">
        <f>IF('Übung 02'!AC$41="","",'Übung 02'!AC$41)</f>
        <v/>
      </c>
      <c r="E784" s="61">
        <f>IF('Übung 03'!AC$41="","",'Übung 03'!AC$41)</f>
        <v/>
      </c>
      <c r="F784" s="61">
        <f>IF('Übung 04'!AC$41="","",'Übung 04'!AC$41)</f>
        <v/>
      </c>
      <c r="G784" s="61">
        <f>IF('Übung 05'!AC$41="","",'Übung 05'!AC$41)</f>
        <v/>
      </c>
      <c r="H784" s="61">
        <f>IF('Übung 06'!AC$41="","",'Übung 06'!AC$41)</f>
        <v/>
      </c>
      <c r="I784" s="61">
        <f>IF('Übung 07'!AC$41="","",'Übung 07'!AC$41)</f>
        <v/>
      </c>
      <c r="J784" s="61">
        <f>IF('Übung 08'!AC$41="","",'Übung 08'!AC$41)</f>
        <v/>
      </c>
      <c r="K784" s="61">
        <f>IF('Übung 09'!AC$41="","",'Übung 09'!AC$41)</f>
        <v/>
      </c>
      <c r="L784" s="61">
        <f>IF('Übung 10'!AC$41="","",'Übung 10'!AC$41)</f>
        <v/>
      </c>
      <c r="M784" s="61">
        <f>IF('Übung 11'!AC$41="","",'Übung 11'!AC$41)</f>
        <v/>
      </c>
      <c r="N784" s="61">
        <f>IF('Übung 12'!AC$41="","",'Übung 12'!AC$41)</f>
        <v/>
      </c>
      <c r="O784" s="61">
        <f>IF('Übung 13'!AC$41="","",'Übung 13'!AC$41)</f>
        <v/>
      </c>
      <c r="P784" s="61">
        <f>IF('Übung 14'!AC$41="","",'Übung 14'!AC$41)</f>
        <v/>
      </c>
      <c r="Q784" s="61">
        <f>IF('Übung 15'!AC$41="","",'Übung 15'!AC$41)</f>
        <v/>
      </c>
      <c r="R784" s="61">
        <f>IF('Übung 16'!AC$41="","",'Übung 16'!AC$41)</f>
        <v/>
      </c>
      <c r="S784" s="61">
        <f>IF('Übung 17'!AC$41="","",'Übung 17'!AC$41)</f>
        <v/>
      </c>
      <c r="T784" s="61">
        <f>IF('Übung 18'!AC$41="","",'Übung 18'!AC$41)</f>
        <v/>
      </c>
      <c r="U784" s="61">
        <f>IF('Übung 19'!AC$41="","",'Übung 19'!AC$41)</f>
        <v/>
      </c>
      <c r="V784" s="61">
        <f>IF('Übung 20'!AC$41="","",'Übung 20'!AC$41)</f>
        <v/>
      </c>
    </row>
    <row r="789">
      <c r="A789" s="162" t="inlineStr">
        <is>
          <t>zählt fürs Halbjahr</t>
        </is>
      </c>
    </row>
    <row r="790">
      <c r="C790" s="61">
        <f>C380*IF(EXACT(C$8,"abgeschlossen"),1,0)</f>
        <v/>
      </c>
      <c r="D790" s="61">
        <f>D380*IF(EXACT(D$8,"abgeschlossen"),1,0)</f>
        <v/>
      </c>
      <c r="E790" s="61">
        <f>E380*IF(EXACT(E$8,"abgeschlossen"),1,0)</f>
        <v/>
      </c>
      <c r="F790" s="61">
        <f>F380*IF(EXACT(F$8,"abgeschlossen"),1,0)</f>
        <v/>
      </c>
      <c r="G790" s="61">
        <f>G380*IF(EXACT(G$8,"abgeschlossen"),1,0)</f>
        <v/>
      </c>
      <c r="H790" s="61">
        <f>H380*IF(EXACT(H$8,"abgeschlossen"),1,0)</f>
        <v/>
      </c>
      <c r="I790" s="61">
        <f>I380*IF(EXACT(I$8,"abgeschlossen"),1,0)</f>
        <v/>
      </c>
      <c r="J790" s="61">
        <f>J380*IF(EXACT(J$8,"abgeschlossen"),1,0)</f>
        <v/>
      </c>
      <c r="K790" s="61">
        <f>K380*IF(EXACT(K$8,"abgeschlossen"),1,0)</f>
        <v/>
      </c>
      <c r="L790" s="61">
        <f>L380*IF(EXACT(L$8,"abgeschlossen"),1,0)</f>
        <v/>
      </c>
      <c r="M790" s="61">
        <f>M380*IF(EXACT(M$8,"abgeschlossen"),1,0)</f>
        <v/>
      </c>
      <c r="N790" s="61">
        <f>N380*IF(EXACT(N$8,"abgeschlossen"),1,0)</f>
        <v/>
      </c>
      <c r="O790" s="61">
        <f>O380*IF(EXACT(O$8,"abgeschlossen"),1,0)</f>
        <v/>
      </c>
      <c r="P790" s="61">
        <f>P380*IF(EXACT(P$8,"abgeschlossen"),1,0)</f>
        <v/>
      </c>
      <c r="Q790" s="61">
        <f>Q380*IF(EXACT(Q$8,"abgeschlossen"),1,0)</f>
        <v/>
      </c>
      <c r="R790" s="61">
        <f>R380*IF(EXACT(R$8,"abgeschlossen"),1,0)</f>
        <v/>
      </c>
      <c r="S790" s="61">
        <f>S380*IF(EXACT(S$8,"abgeschlossen"),1,0)</f>
        <v/>
      </c>
      <c r="T790" s="61">
        <f>T380*IF(EXACT(T$8,"abgeschlossen"),1,0)</f>
        <v/>
      </c>
      <c r="U790" s="61">
        <f>U380*IF(EXACT(U$8,"abgeschlossen"),1,0)</f>
        <v/>
      </c>
      <c r="V790" s="61">
        <f>V380*IF(EXACT(V$8,"abgeschlossen"),1,0)</f>
        <v/>
      </c>
    </row>
    <row r="791">
      <c r="C791" s="61">
        <f>C381*IF(EXACT(C$8,"abgeschlossen"),1,0)</f>
        <v/>
      </c>
      <c r="D791" s="61">
        <f>D381*IF(EXACT(D$8,"abgeschlossen"),1,0)</f>
        <v/>
      </c>
      <c r="E791" s="61">
        <f>E381*IF(EXACT(E$8,"abgeschlossen"),1,0)</f>
        <v/>
      </c>
      <c r="F791" s="61">
        <f>F381*IF(EXACT(F$8,"abgeschlossen"),1,0)</f>
        <v/>
      </c>
      <c r="G791" s="61">
        <f>G381*IF(EXACT(G$8,"abgeschlossen"),1,0)</f>
        <v/>
      </c>
      <c r="H791" s="61">
        <f>H381*IF(EXACT(H$8,"abgeschlossen"),1,0)</f>
        <v/>
      </c>
      <c r="I791" s="61">
        <f>I381*IF(EXACT(I$8,"abgeschlossen"),1,0)</f>
        <v/>
      </c>
      <c r="J791" s="61">
        <f>J381*IF(EXACT(J$8,"abgeschlossen"),1,0)</f>
        <v/>
      </c>
      <c r="K791" s="61">
        <f>K381*IF(EXACT(K$8,"abgeschlossen"),1,0)</f>
        <v/>
      </c>
      <c r="L791" s="61">
        <f>L381*IF(EXACT(L$8,"abgeschlossen"),1,0)</f>
        <v/>
      </c>
      <c r="M791" s="61">
        <f>M381*IF(EXACT(M$8,"abgeschlossen"),1,0)</f>
        <v/>
      </c>
      <c r="N791" s="61">
        <f>N381*IF(EXACT(N$8,"abgeschlossen"),1,0)</f>
        <v/>
      </c>
      <c r="O791" s="61">
        <f>O381*IF(EXACT(O$8,"abgeschlossen"),1,0)</f>
        <v/>
      </c>
      <c r="P791" s="61">
        <f>P381*IF(EXACT(P$8,"abgeschlossen"),1,0)</f>
        <v/>
      </c>
      <c r="Q791" s="61">
        <f>Q381*IF(EXACT(Q$8,"abgeschlossen"),1,0)</f>
        <v/>
      </c>
      <c r="R791" s="61">
        <f>R381*IF(EXACT(R$8,"abgeschlossen"),1,0)</f>
        <v/>
      </c>
      <c r="S791" s="61">
        <f>S381*IF(EXACT(S$8,"abgeschlossen"),1,0)</f>
        <v/>
      </c>
      <c r="T791" s="61">
        <f>T381*IF(EXACT(T$8,"abgeschlossen"),1,0)</f>
        <v/>
      </c>
      <c r="U791" s="61">
        <f>U381*IF(EXACT(U$8,"abgeschlossen"),1,0)</f>
        <v/>
      </c>
      <c r="V791" s="61">
        <f>V381*IF(EXACT(V$8,"abgeschlossen"),1,0)</f>
        <v/>
      </c>
    </row>
    <row r="792">
      <c r="C792" s="61">
        <f>C382*IF(EXACT(C$8,"abgeschlossen"),1,0)</f>
        <v/>
      </c>
      <c r="D792" s="61">
        <f>D382*IF(EXACT(D$8,"abgeschlossen"),1,0)</f>
        <v/>
      </c>
      <c r="E792" s="61">
        <f>E382*IF(EXACT(E$8,"abgeschlossen"),1,0)</f>
        <v/>
      </c>
      <c r="F792" s="61">
        <f>F382*IF(EXACT(F$8,"abgeschlossen"),1,0)</f>
        <v/>
      </c>
      <c r="G792" s="61">
        <f>G382*IF(EXACT(G$8,"abgeschlossen"),1,0)</f>
        <v/>
      </c>
      <c r="H792" s="61">
        <f>H382*IF(EXACT(H$8,"abgeschlossen"),1,0)</f>
        <v/>
      </c>
      <c r="I792" s="61">
        <f>I382*IF(EXACT(I$8,"abgeschlossen"),1,0)</f>
        <v/>
      </c>
      <c r="J792" s="61">
        <f>J382*IF(EXACT(J$8,"abgeschlossen"),1,0)</f>
        <v/>
      </c>
      <c r="K792" s="61">
        <f>K382*IF(EXACT(K$8,"abgeschlossen"),1,0)</f>
        <v/>
      </c>
      <c r="L792" s="61">
        <f>L382*IF(EXACT(L$8,"abgeschlossen"),1,0)</f>
        <v/>
      </c>
      <c r="M792" s="61">
        <f>M382*IF(EXACT(M$8,"abgeschlossen"),1,0)</f>
        <v/>
      </c>
      <c r="N792" s="61">
        <f>N382*IF(EXACT(N$8,"abgeschlossen"),1,0)</f>
        <v/>
      </c>
      <c r="O792" s="61">
        <f>O382*IF(EXACT(O$8,"abgeschlossen"),1,0)</f>
        <v/>
      </c>
      <c r="P792" s="61">
        <f>P382*IF(EXACT(P$8,"abgeschlossen"),1,0)</f>
        <v/>
      </c>
      <c r="Q792" s="61">
        <f>Q382*IF(EXACT(Q$8,"abgeschlossen"),1,0)</f>
        <v/>
      </c>
      <c r="R792" s="61">
        <f>R382*IF(EXACT(R$8,"abgeschlossen"),1,0)</f>
        <v/>
      </c>
      <c r="S792" s="61">
        <f>S382*IF(EXACT(S$8,"abgeschlossen"),1,0)</f>
        <v/>
      </c>
      <c r="T792" s="61">
        <f>T382*IF(EXACT(T$8,"abgeschlossen"),1,0)</f>
        <v/>
      </c>
      <c r="U792" s="61">
        <f>U382*IF(EXACT(U$8,"abgeschlossen"),1,0)</f>
        <v/>
      </c>
      <c r="V792" s="61">
        <f>V382*IF(EXACT(V$8,"abgeschlossen"),1,0)</f>
        <v/>
      </c>
    </row>
    <row r="793">
      <c r="C793" s="61">
        <f>C383*IF(EXACT(C$8,"abgeschlossen"),1,0)</f>
        <v/>
      </c>
      <c r="D793" s="61">
        <f>D383*IF(EXACT(D$8,"abgeschlossen"),1,0)</f>
        <v/>
      </c>
      <c r="E793" s="61">
        <f>E383*IF(EXACT(E$8,"abgeschlossen"),1,0)</f>
        <v/>
      </c>
      <c r="F793" s="61">
        <f>F383*IF(EXACT(F$8,"abgeschlossen"),1,0)</f>
        <v/>
      </c>
      <c r="G793" s="61">
        <f>G383*IF(EXACT(G$8,"abgeschlossen"),1,0)</f>
        <v/>
      </c>
      <c r="H793" s="61">
        <f>H383*IF(EXACT(H$8,"abgeschlossen"),1,0)</f>
        <v/>
      </c>
      <c r="I793" s="61">
        <f>I383*IF(EXACT(I$8,"abgeschlossen"),1,0)</f>
        <v/>
      </c>
      <c r="J793" s="61">
        <f>J383*IF(EXACT(J$8,"abgeschlossen"),1,0)</f>
        <v/>
      </c>
      <c r="K793" s="61">
        <f>K383*IF(EXACT(K$8,"abgeschlossen"),1,0)</f>
        <v/>
      </c>
      <c r="L793" s="61">
        <f>L383*IF(EXACT(L$8,"abgeschlossen"),1,0)</f>
        <v/>
      </c>
      <c r="M793" s="61">
        <f>M383*IF(EXACT(M$8,"abgeschlossen"),1,0)</f>
        <v/>
      </c>
      <c r="N793" s="61">
        <f>N383*IF(EXACT(N$8,"abgeschlossen"),1,0)</f>
        <v/>
      </c>
      <c r="O793" s="61">
        <f>O383*IF(EXACT(O$8,"abgeschlossen"),1,0)</f>
        <v/>
      </c>
      <c r="P793" s="61">
        <f>P383*IF(EXACT(P$8,"abgeschlossen"),1,0)</f>
        <v/>
      </c>
      <c r="Q793" s="61">
        <f>Q383*IF(EXACT(Q$8,"abgeschlossen"),1,0)</f>
        <v/>
      </c>
      <c r="R793" s="61">
        <f>R383*IF(EXACT(R$8,"abgeschlossen"),1,0)</f>
        <v/>
      </c>
      <c r="S793" s="61">
        <f>S383*IF(EXACT(S$8,"abgeschlossen"),1,0)</f>
        <v/>
      </c>
      <c r="T793" s="61">
        <f>T383*IF(EXACT(T$8,"abgeschlossen"),1,0)</f>
        <v/>
      </c>
      <c r="U793" s="61">
        <f>U383*IF(EXACT(U$8,"abgeschlossen"),1,0)</f>
        <v/>
      </c>
      <c r="V793" s="61">
        <f>V383*IF(EXACT(V$8,"abgeschlossen"),1,0)</f>
        <v/>
      </c>
    </row>
    <row r="794">
      <c r="C794" s="61">
        <f>C384*IF(EXACT(C$8,"abgeschlossen"),1,0)</f>
        <v/>
      </c>
      <c r="D794" s="61">
        <f>D384*IF(EXACT(D$8,"abgeschlossen"),1,0)</f>
        <v/>
      </c>
      <c r="E794" s="61">
        <f>E384*IF(EXACT(E$8,"abgeschlossen"),1,0)</f>
        <v/>
      </c>
      <c r="F794" s="61">
        <f>F384*IF(EXACT(F$8,"abgeschlossen"),1,0)</f>
        <v/>
      </c>
      <c r="G794" s="61">
        <f>G384*IF(EXACT(G$8,"abgeschlossen"),1,0)</f>
        <v/>
      </c>
      <c r="H794" s="61">
        <f>H384*IF(EXACT(H$8,"abgeschlossen"),1,0)</f>
        <v/>
      </c>
      <c r="I794" s="61">
        <f>I384*IF(EXACT(I$8,"abgeschlossen"),1,0)</f>
        <v/>
      </c>
      <c r="J794" s="61">
        <f>J384*IF(EXACT(J$8,"abgeschlossen"),1,0)</f>
        <v/>
      </c>
      <c r="K794" s="61">
        <f>K384*IF(EXACT(K$8,"abgeschlossen"),1,0)</f>
        <v/>
      </c>
      <c r="L794" s="61">
        <f>L384*IF(EXACT(L$8,"abgeschlossen"),1,0)</f>
        <v/>
      </c>
      <c r="M794" s="61">
        <f>M384*IF(EXACT(M$8,"abgeschlossen"),1,0)</f>
        <v/>
      </c>
      <c r="N794" s="61">
        <f>N384*IF(EXACT(N$8,"abgeschlossen"),1,0)</f>
        <v/>
      </c>
      <c r="O794" s="61">
        <f>O384*IF(EXACT(O$8,"abgeschlossen"),1,0)</f>
        <v/>
      </c>
      <c r="P794" s="61">
        <f>P384*IF(EXACT(P$8,"abgeschlossen"),1,0)</f>
        <v/>
      </c>
      <c r="Q794" s="61">
        <f>Q384*IF(EXACT(Q$8,"abgeschlossen"),1,0)</f>
        <v/>
      </c>
      <c r="R794" s="61">
        <f>R384*IF(EXACT(R$8,"abgeschlossen"),1,0)</f>
        <v/>
      </c>
      <c r="S794" s="61">
        <f>S384*IF(EXACT(S$8,"abgeschlossen"),1,0)</f>
        <v/>
      </c>
      <c r="T794" s="61">
        <f>T384*IF(EXACT(T$8,"abgeschlossen"),1,0)</f>
        <v/>
      </c>
      <c r="U794" s="61">
        <f>U384*IF(EXACT(U$8,"abgeschlossen"),1,0)</f>
        <v/>
      </c>
      <c r="V794" s="61">
        <f>V384*IF(EXACT(V$8,"abgeschlossen"),1,0)</f>
        <v/>
      </c>
    </row>
    <row r="795">
      <c r="C795" s="61">
        <f>C385*IF(EXACT(C$8,"abgeschlossen"),1,0)</f>
        <v/>
      </c>
      <c r="D795" s="61">
        <f>D385*IF(EXACT(D$8,"abgeschlossen"),1,0)</f>
        <v/>
      </c>
      <c r="E795" s="61">
        <f>E385*IF(EXACT(E$8,"abgeschlossen"),1,0)</f>
        <v/>
      </c>
      <c r="F795" s="61">
        <f>F385*IF(EXACT(F$8,"abgeschlossen"),1,0)</f>
        <v/>
      </c>
      <c r="G795" s="61">
        <f>G385*IF(EXACT(G$8,"abgeschlossen"),1,0)</f>
        <v/>
      </c>
      <c r="H795" s="61">
        <f>H385*IF(EXACT(H$8,"abgeschlossen"),1,0)</f>
        <v/>
      </c>
      <c r="I795" s="61">
        <f>I385*IF(EXACT(I$8,"abgeschlossen"),1,0)</f>
        <v/>
      </c>
      <c r="J795" s="61">
        <f>J385*IF(EXACT(J$8,"abgeschlossen"),1,0)</f>
        <v/>
      </c>
      <c r="K795" s="61">
        <f>K385*IF(EXACT(K$8,"abgeschlossen"),1,0)</f>
        <v/>
      </c>
      <c r="L795" s="61">
        <f>L385*IF(EXACT(L$8,"abgeschlossen"),1,0)</f>
        <v/>
      </c>
      <c r="M795" s="61">
        <f>M385*IF(EXACT(M$8,"abgeschlossen"),1,0)</f>
        <v/>
      </c>
      <c r="N795" s="61">
        <f>N385*IF(EXACT(N$8,"abgeschlossen"),1,0)</f>
        <v/>
      </c>
      <c r="O795" s="61">
        <f>O385*IF(EXACT(O$8,"abgeschlossen"),1,0)</f>
        <v/>
      </c>
      <c r="P795" s="61">
        <f>P385*IF(EXACT(P$8,"abgeschlossen"),1,0)</f>
        <v/>
      </c>
      <c r="Q795" s="61">
        <f>Q385*IF(EXACT(Q$8,"abgeschlossen"),1,0)</f>
        <v/>
      </c>
      <c r="R795" s="61">
        <f>R385*IF(EXACT(R$8,"abgeschlossen"),1,0)</f>
        <v/>
      </c>
      <c r="S795" s="61">
        <f>S385*IF(EXACT(S$8,"abgeschlossen"),1,0)</f>
        <v/>
      </c>
      <c r="T795" s="61">
        <f>T385*IF(EXACT(T$8,"abgeschlossen"),1,0)</f>
        <v/>
      </c>
      <c r="U795" s="61">
        <f>U385*IF(EXACT(U$8,"abgeschlossen"),1,0)</f>
        <v/>
      </c>
      <c r="V795" s="61">
        <f>V385*IF(EXACT(V$8,"abgeschlossen"),1,0)</f>
        <v/>
      </c>
    </row>
    <row r="796">
      <c r="C796" s="61">
        <f>C386*IF(EXACT(C$8,"abgeschlossen"),1,0)</f>
        <v/>
      </c>
      <c r="D796" s="61">
        <f>D386*IF(EXACT(D$8,"abgeschlossen"),1,0)</f>
        <v/>
      </c>
      <c r="E796" s="61">
        <f>E386*IF(EXACT(E$8,"abgeschlossen"),1,0)</f>
        <v/>
      </c>
      <c r="F796" s="61">
        <f>F386*IF(EXACT(F$8,"abgeschlossen"),1,0)</f>
        <v/>
      </c>
      <c r="G796" s="61">
        <f>G386*IF(EXACT(G$8,"abgeschlossen"),1,0)</f>
        <v/>
      </c>
      <c r="H796" s="61">
        <f>H386*IF(EXACT(H$8,"abgeschlossen"),1,0)</f>
        <v/>
      </c>
      <c r="I796" s="61">
        <f>I386*IF(EXACT(I$8,"abgeschlossen"),1,0)</f>
        <v/>
      </c>
      <c r="J796" s="61">
        <f>J386*IF(EXACT(J$8,"abgeschlossen"),1,0)</f>
        <v/>
      </c>
      <c r="K796" s="61">
        <f>K386*IF(EXACT(K$8,"abgeschlossen"),1,0)</f>
        <v/>
      </c>
      <c r="L796" s="61">
        <f>L386*IF(EXACT(L$8,"abgeschlossen"),1,0)</f>
        <v/>
      </c>
      <c r="M796" s="61">
        <f>M386*IF(EXACT(M$8,"abgeschlossen"),1,0)</f>
        <v/>
      </c>
      <c r="N796" s="61">
        <f>N386*IF(EXACT(N$8,"abgeschlossen"),1,0)</f>
        <v/>
      </c>
      <c r="O796" s="61">
        <f>O386*IF(EXACT(O$8,"abgeschlossen"),1,0)</f>
        <v/>
      </c>
      <c r="P796" s="61">
        <f>P386*IF(EXACT(P$8,"abgeschlossen"),1,0)</f>
        <v/>
      </c>
      <c r="Q796" s="61">
        <f>Q386*IF(EXACT(Q$8,"abgeschlossen"),1,0)</f>
        <v/>
      </c>
      <c r="R796" s="61">
        <f>R386*IF(EXACT(R$8,"abgeschlossen"),1,0)</f>
        <v/>
      </c>
      <c r="S796" s="61">
        <f>S386*IF(EXACT(S$8,"abgeschlossen"),1,0)</f>
        <v/>
      </c>
      <c r="T796" s="61">
        <f>T386*IF(EXACT(T$8,"abgeschlossen"),1,0)</f>
        <v/>
      </c>
      <c r="U796" s="61">
        <f>U386*IF(EXACT(U$8,"abgeschlossen"),1,0)</f>
        <v/>
      </c>
      <c r="V796" s="61">
        <f>V386*IF(EXACT(V$8,"abgeschlossen"),1,0)</f>
        <v/>
      </c>
    </row>
    <row r="797">
      <c r="C797" s="61">
        <f>C387*IF(EXACT(C$8,"abgeschlossen"),1,0)</f>
        <v/>
      </c>
      <c r="D797" s="61">
        <f>D387*IF(EXACT(D$8,"abgeschlossen"),1,0)</f>
        <v/>
      </c>
      <c r="E797" s="61">
        <f>E387*IF(EXACT(E$8,"abgeschlossen"),1,0)</f>
        <v/>
      </c>
      <c r="F797" s="61">
        <f>F387*IF(EXACT(F$8,"abgeschlossen"),1,0)</f>
        <v/>
      </c>
      <c r="G797" s="61">
        <f>G387*IF(EXACT(G$8,"abgeschlossen"),1,0)</f>
        <v/>
      </c>
      <c r="H797" s="61">
        <f>H387*IF(EXACT(H$8,"abgeschlossen"),1,0)</f>
        <v/>
      </c>
      <c r="I797" s="61">
        <f>I387*IF(EXACT(I$8,"abgeschlossen"),1,0)</f>
        <v/>
      </c>
      <c r="J797" s="61">
        <f>J387*IF(EXACT(J$8,"abgeschlossen"),1,0)</f>
        <v/>
      </c>
      <c r="K797" s="61">
        <f>K387*IF(EXACT(K$8,"abgeschlossen"),1,0)</f>
        <v/>
      </c>
      <c r="L797" s="61">
        <f>L387*IF(EXACT(L$8,"abgeschlossen"),1,0)</f>
        <v/>
      </c>
      <c r="M797" s="61">
        <f>M387*IF(EXACT(M$8,"abgeschlossen"),1,0)</f>
        <v/>
      </c>
      <c r="N797" s="61">
        <f>N387*IF(EXACT(N$8,"abgeschlossen"),1,0)</f>
        <v/>
      </c>
      <c r="O797" s="61">
        <f>O387*IF(EXACT(O$8,"abgeschlossen"),1,0)</f>
        <v/>
      </c>
      <c r="P797" s="61">
        <f>P387*IF(EXACT(P$8,"abgeschlossen"),1,0)</f>
        <v/>
      </c>
      <c r="Q797" s="61">
        <f>Q387*IF(EXACT(Q$8,"abgeschlossen"),1,0)</f>
        <v/>
      </c>
      <c r="R797" s="61">
        <f>R387*IF(EXACT(R$8,"abgeschlossen"),1,0)</f>
        <v/>
      </c>
      <c r="S797" s="61">
        <f>S387*IF(EXACT(S$8,"abgeschlossen"),1,0)</f>
        <v/>
      </c>
      <c r="T797" s="61">
        <f>T387*IF(EXACT(T$8,"abgeschlossen"),1,0)</f>
        <v/>
      </c>
      <c r="U797" s="61">
        <f>U387*IF(EXACT(U$8,"abgeschlossen"),1,0)</f>
        <v/>
      </c>
      <c r="V797" s="61">
        <f>V387*IF(EXACT(V$8,"abgeschlossen"),1,0)</f>
        <v/>
      </c>
    </row>
    <row r="798">
      <c r="C798" s="61">
        <f>C388*IF(EXACT(C$8,"abgeschlossen"),1,0)</f>
        <v/>
      </c>
      <c r="D798" s="61">
        <f>D388*IF(EXACT(D$8,"abgeschlossen"),1,0)</f>
        <v/>
      </c>
      <c r="E798" s="61">
        <f>E388*IF(EXACT(E$8,"abgeschlossen"),1,0)</f>
        <v/>
      </c>
      <c r="F798" s="61">
        <f>F388*IF(EXACT(F$8,"abgeschlossen"),1,0)</f>
        <v/>
      </c>
      <c r="G798" s="61">
        <f>G388*IF(EXACT(G$8,"abgeschlossen"),1,0)</f>
        <v/>
      </c>
      <c r="H798" s="61">
        <f>H388*IF(EXACT(H$8,"abgeschlossen"),1,0)</f>
        <v/>
      </c>
      <c r="I798" s="61">
        <f>I388*IF(EXACT(I$8,"abgeschlossen"),1,0)</f>
        <v/>
      </c>
      <c r="J798" s="61">
        <f>J388*IF(EXACT(J$8,"abgeschlossen"),1,0)</f>
        <v/>
      </c>
      <c r="K798" s="61">
        <f>K388*IF(EXACT(K$8,"abgeschlossen"),1,0)</f>
        <v/>
      </c>
      <c r="L798" s="61">
        <f>L388*IF(EXACT(L$8,"abgeschlossen"),1,0)</f>
        <v/>
      </c>
      <c r="M798" s="61">
        <f>M388*IF(EXACT(M$8,"abgeschlossen"),1,0)</f>
        <v/>
      </c>
      <c r="N798" s="61">
        <f>N388*IF(EXACT(N$8,"abgeschlossen"),1,0)</f>
        <v/>
      </c>
      <c r="O798" s="61">
        <f>O388*IF(EXACT(O$8,"abgeschlossen"),1,0)</f>
        <v/>
      </c>
      <c r="P798" s="61">
        <f>P388*IF(EXACT(P$8,"abgeschlossen"),1,0)</f>
        <v/>
      </c>
      <c r="Q798" s="61">
        <f>Q388*IF(EXACT(Q$8,"abgeschlossen"),1,0)</f>
        <v/>
      </c>
      <c r="R798" s="61">
        <f>R388*IF(EXACT(R$8,"abgeschlossen"),1,0)</f>
        <v/>
      </c>
      <c r="S798" s="61">
        <f>S388*IF(EXACT(S$8,"abgeschlossen"),1,0)</f>
        <v/>
      </c>
      <c r="T798" s="61">
        <f>T388*IF(EXACT(T$8,"abgeschlossen"),1,0)</f>
        <v/>
      </c>
      <c r="U798" s="61">
        <f>U388*IF(EXACT(U$8,"abgeschlossen"),1,0)</f>
        <v/>
      </c>
      <c r="V798" s="61">
        <f>V388*IF(EXACT(V$8,"abgeschlossen"),1,0)</f>
        <v/>
      </c>
    </row>
    <row r="799">
      <c r="C799" s="61">
        <f>C389*IF(EXACT(C$8,"abgeschlossen"),1,0)</f>
        <v/>
      </c>
      <c r="D799" s="61">
        <f>D389*IF(EXACT(D$8,"abgeschlossen"),1,0)</f>
        <v/>
      </c>
      <c r="E799" s="61">
        <f>E389*IF(EXACT(E$8,"abgeschlossen"),1,0)</f>
        <v/>
      </c>
      <c r="F799" s="61">
        <f>F389*IF(EXACT(F$8,"abgeschlossen"),1,0)</f>
        <v/>
      </c>
      <c r="G799" s="61">
        <f>G389*IF(EXACT(G$8,"abgeschlossen"),1,0)</f>
        <v/>
      </c>
      <c r="H799" s="61">
        <f>H389*IF(EXACT(H$8,"abgeschlossen"),1,0)</f>
        <v/>
      </c>
      <c r="I799" s="61">
        <f>I389*IF(EXACT(I$8,"abgeschlossen"),1,0)</f>
        <v/>
      </c>
      <c r="J799" s="61">
        <f>J389*IF(EXACT(J$8,"abgeschlossen"),1,0)</f>
        <v/>
      </c>
      <c r="K799" s="61">
        <f>K389*IF(EXACT(K$8,"abgeschlossen"),1,0)</f>
        <v/>
      </c>
      <c r="L799" s="61">
        <f>L389*IF(EXACT(L$8,"abgeschlossen"),1,0)</f>
        <v/>
      </c>
      <c r="M799" s="61">
        <f>M389*IF(EXACT(M$8,"abgeschlossen"),1,0)</f>
        <v/>
      </c>
      <c r="N799" s="61">
        <f>N389*IF(EXACT(N$8,"abgeschlossen"),1,0)</f>
        <v/>
      </c>
      <c r="O799" s="61">
        <f>O389*IF(EXACT(O$8,"abgeschlossen"),1,0)</f>
        <v/>
      </c>
      <c r="P799" s="61">
        <f>P389*IF(EXACT(P$8,"abgeschlossen"),1,0)</f>
        <v/>
      </c>
      <c r="Q799" s="61">
        <f>Q389*IF(EXACT(Q$8,"abgeschlossen"),1,0)</f>
        <v/>
      </c>
      <c r="R799" s="61">
        <f>R389*IF(EXACT(R$8,"abgeschlossen"),1,0)</f>
        <v/>
      </c>
      <c r="S799" s="61">
        <f>S389*IF(EXACT(S$8,"abgeschlossen"),1,0)</f>
        <v/>
      </c>
      <c r="T799" s="61">
        <f>T389*IF(EXACT(T$8,"abgeschlossen"),1,0)</f>
        <v/>
      </c>
      <c r="U799" s="61">
        <f>U389*IF(EXACT(U$8,"abgeschlossen"),1,0)</f>
        <v/>
      </c>
      <c r="V799" s="61">
        <f>V389*IF(EXACT(V$8,"abgeschlossen"),1,0)</f>
        <v/>
      </c>
    </row>
    <row r="800">
      <c r="C800" s="61">
        <f>C390*IF(EXACT(C$8,"abgeschlossen"),1,0)</f>
        <v/>
      </c>
      <c r="D800" s="61">
        <f>D390*IF(EXACT(D$8,"abgeschlossen"),1,0)</f>
        <v/>
      </c>
      <c r="E800" s="61">
        <f>E390*IF(EXACT(E$8,"abgeschlossen"),1,0)</f>
        <v/>
      </c>
      <c r="F800" s="61">
        <f>F390*IF(EXACT(F$8,"abgeschlossen"),1,0)</f>
        <v/>
      </c>
      <c r="G800" s="61">
        <f>G390*IF(EXACT(G$8,"abgeschlossen"),1,0)</f>
        <v/>
      </c>
      <c r="H800" s="61">
        <f>H390*IF(EXACT(H$8,"abgeschlossen"),1,0)</f>
        <v/>
      </c>
      <c r="I800" s="61">
        <f>I390*IF(EXACT(I$8,"abgeschlossen"),1,0)</f>
        <v/>
      </c>
      <c r="J800" s="61">
        <f>J390*IF(EXACT(J$8,"abgeschlossen"),1,0)</f>
        <v/>
      </c>
      <c r="K800" s="61">
        <f>K390*IF(EXACT(K$8,"abgeschlossen"),1,0)</f>
        <v/>
      </c>
      <c r="L800" s="61">
        <f>L390*IF(EXACT(L$8,"abgeschlossen"),1,0)</f>
        <v/>
      </c>
      <c r="M800" s="61">
        <f>M390*IF(EXACT(M$8,"abgeschlossen"),1,0)</f>
        <v/>
      </c>
      <c r="N800" s="61">
        <f>N390*IF(EXACT(N$8,"abgeschlossen"),1,0)</f>
        <v/>
      </c>
      <c r="O800" s="61">
        <f>O390*IF(EXACT(O$8,"abgeschlossen"),1,0)</f>
        <v/>
      </c>
      <c r="P800" s="61">
        <f>P390*IF(EXACT(P$8,"abgeschlossen"),1,0)</f>
        <v/>
      </c>
      <c r="Q800" s="61">
        <f>Q390*IF(EXACT(Q$8,"abgeschlossen"),1,0)</f>
        <v/>
      </c>
      <c r="R800" s="61">
        <f>R390*IF(EXACT(R$8,"abgeschlossen"),1,0)</f>
        <v/>
      </c>
      <c r="S800" s="61">
        <f>S390*IF(EXACT(S$8,"abgeschlossen"),1,0)</f>
        <v/>
      </c>
      <c r="T800" s="61">
        <f>T390*IF(EXACT(T$8,"abgeschlossen"),1,0)</f>
        <v/>
      </c>
      <c r="U800" s="61">
        <f>U390*IF(EXACT(U$8,"abgeschlossen"),1,0)</f>
        <v/>
      </c>
      <c r="V800" s="61">
        <f>V390*IF(EXACT(V$8,"abgeschlossen"),1,0)</f>
        <v/>
      </c>
    </row>
    <row r="801">
      <c r="C801" s="61">
        <f>C391*IF(EXACT(C$8,"abgeschlossen"),1,0)</f>
        <v/>
      </c>
      <c r="D801" s="61">
        <f>D391*IF(EXACT(D$8,"abgeschlossen"),1,0)</f>
        <v/>
      </c>
      <c r="E801" s="61">
        <f>E391*IF(EXACT(E$8,"abgeschlossen"),1,0)</f>
        <v/>
      </c>
      <c r="F801" s="61">
        <f>F391*IF(EXACT(F$8,"abgeschlossen"),1,0)</f>
        <v/>
      </c>
      <c r="G801" s="61">
        <f>G391*IF(EXACT(G$8,"abgeschlossen"),1,0)</f>
        <v/>
      </c>
      <c r="H801" s="61">
        <f>H391*IF(EXACT(H$8,"abgeschlossen"),1,0)</f>
        <v/>
      </c>
      <c r="I801" s="61">
        <f>I391*IF(EXACT(I$8,"abgeschlossen"),1,0)</f>
        <v/>
      </c>
      <c r="J801" s="61">
        <f>J391*IF(EXACT(J$8,"abgeschlossen"),1,0)</f>
        <v/>
      </c>
      <c r="K801" s="61">
        <f>K391*IF(EXACT(K$8,"abgeschlossen"),1,0)</f>
        <v/>
      </c>
      <c r="L801" s="61">
        <f>L391*IF(EXACT(L$8,"abgeschlossen"),1,0)</f>
        <v/>
      </c>
      <c r="M801" s="61">
        <f>M391*IF(EXACT(M$8,"abgeschlossen"),1,0)</f>
        <v/>
      </c>
      <c r="N801" s="61">
        <f>N391*IF(EXACT(N$8,"abgeschlossen"),1,0)</f>
        <v/>
      </c>
      <c r="O801" s="61">
        <f>O391*IF(EXACT(O$8,"abgeschlossen"),1,0)</f>
        <v/>
      </c>
      <c r="P801" s="61">
        <f>P391*IF(EXACT(P$8,"abgeschlossen"),1,0)</f>
        <v/>
      </c>
      <c r="Q801" s="61">
        <f>Q391*IF(EXACT(Q$8,"abgeschlossen"),1,0)</f>
        <v/>
      </c>
      <c r="R801" s="61">
        <f>R391*IF(EXACT(R$8,"abgeschlossen"),1,0)</f>
        <v/>
      </c>
      <c r="S801" s="61">
        <f>S391*IF(EXACT(S$8,"abgeschlossen"),1,0)</f>
        <v/>
      </c>
      <c r="T801" s="61">
        <f>T391*IF(EXACT(T$8,"abgeschlossen"),1,0)</f>
        <v/>
      </c>
      <c r="U801" s="61">
        <f>U391*IF(EXACT(U$8,"abgeschlossen"),1,0)</f>
        <v/>
      </c>
      <c r="V801" s="61">
        <f>V391*IF(EXACT(V$8,"abgeschlossen"),1,0)</f>
        <v/>
      </c>
    </row>
    <row r="802">
      <c r="C802" s="61">
        <f>C392*IF(EXACT(C$8,"abgeschlossen"),1,0)</f>
        <v/>
      </c>
      <c r="D802" s="61">
        <f>D392*IF(EXACT(D$8,"abgeschlossen"),1,0)</f>
        <v/>
      </c>
      <c r="E802" s="61">
        <f>E392*IF(EXACT(E$8,"abgeschlossen"),1,0)</f>
        <v/>
      </c>
      <c r="F802" s="61">
        <f>F392*IF(EXACT(F$8,"abgeschlossen"),1,0)</f>
        <v/>
      </c>
      <c r="G802" s="61">
        <f>G392*IF(EXACT(G$8,"abgeschlossen"),1,0)</f>
        <v/>
      </c>
      <c r="H802" s="61">
        <f>H392*IF(EXACT(H$8,"abgeschlossen"),1,0)</f>
        <v/>
      </c>
      <c r="I802" s="61">
        <f>I392*IF(EXACT(I$8,"abgeschlossen"),1,0)</f>
        <v/>
      </c>
      <c r="J802" s="61">
        <f>J392*IF(EXACT(J$8,"abgeschlossen"),1,0)</f>
        <v/>
      </c>
      <c r="K802" s="61">
        <f>K392*IF(EXACT(K$8,"abgeschlossen"),1,0)</f>
        <v/>
      </c>
      <c r="L802" s="61">
        <f>L392*IF(EXACT(L$8,"abgeschlossen"),1,0)</f>
        <v/>
      </c>
      <c r="M802" s="61">
        <f>M392*IF(EXACT(M$8,"abgeschlossen"),1,0)</f>
        <v/>
      </c>
      <c r="N802" s="61">
        <f>N392*IF(EXACT(N$8,"abgeschlossen"),1,0)</f>
        <v/>
      </c>
      <c r="O802" s="61">
        <f>O392*IF(EXACT(O$8,"abgeschlossen"),1,0)</f>
        <v/>
      </c>
      <c r="P802" s="61">
        <f>P392*IF(EXACT(P$8,"abgeschlossen"),1,0)</f>
        <v/>
      </c>
      <c r="Q802" s="61">
        <f>Q392*IF(EXACT(Q$8,"abgeschlossen"),1,0)</f>
        <v/>
      </c>
      <c r="R802" s="61">
        <f>R392*IF(EXACT(R$8,"abgeschlossen"),1,0)</f>
        <v/>
      </c>
      <c r="S802" s="61">
        <f>S392*IF(EXACT(S$8,"abgeschlossen"),1,0)</f>
        <v/>
      </c>
      <c r="T802" s="61">
        <f>T392*IF(EXACT(T$8,"abgeschlossen"),1,0)</f>
        <v/>
      </c>
      <c r="U802" s="61">
        <f>U392*IF(EXACT(U$8,"abgeschlossen"),1,0)</f>
        <v/>
      </c>
      <c r="V802" s="61">
        <f>V392*IF(EXACT(V$8,"abgeschlossen"),1,0)</f>
        <v/>
      </c>
    </row>
    <row r="803">
      <c r="C803" s="61">
        <f>C393*IF(EXACT(C$8,"abgeschlossen"),1,0)</f>
        <v/>
      </c>
      <c r="D803" s="61">
        <f>D393*IF(EXACT(D$8,"abgeschlossen"),1,0)</f>
        <v/>
      </c>
      <c r="E803" s="61">
        <f>E393*IF(EXACT(E$8,"abgeschlossen"),1,0)</f>
        <v/>
      </c>
      <c r="F803" s="61">
        <f>F393*IF(EXACT(F$8,"abgeschlossen"),1,0)</f>
        <v/>
      </c>
      <c r="G803" s="61">
        <f>G393*IF(EXACT(G$8,"abgeschlossen"),1,0)</f>
        <v/>
      </c>
      <c r="H803" s="61">
        <f>H393*IF(EXACT(H$8,"abgeschlossen"),1,0)</f>
        <v/>
      </c>
      <c r="I803" s="61">
        <f>I393*IF(EXACT(I$8,"abgeschlossen"),1,0)</f>
        <v/>
      </c>
      <c r="J803" s="61">
        <f>J393*IF(EXACT(J$8,"abgeschlossen"),1,0)</f>
        <v/>
      </c>
      <c r="K803" s="61">
        <f>K393*IF(EXACT(K$8,"abgeschlossen"),1,0)</f>
        <v/>
      </c>
      <c r="L803" s="61">
        <f>L393*IF(EXACT(L$8,"abgeschlossen"),1,0)</f>
        <v/>
      </c>
      <c r="M803" s="61">
        <f>M393*IF(EXACT(M$8,"abgeschlossen"),1,0)</f>
        <v/>
      </c>
      <c r="N803" s="61">
        <f>N393*IF(EXACT(N$8,"abgeschlossen"),1,0)</f>
        <v/>
      </c>
      <c r="O803" s="61">
        <f>O393*IF(EXACT(O$8,"abgeschlossen"),1,0)</f>
        <v/>
      </c>
      <c r="P803" s="61">
        <f>P393*IF(EXACT(P$8,"abgeschlossen"),1,0)</f>
        <v/>
      </c>
      <c r="Q803" s="61">
        <f>Q393*IF(EXACT(Q$8,"abgeschlossen"),1,0)</f>
        <v/>
      </c>
      <c r="R803" s="61">
        <f>R393*IF(EXACT(R$8,"abgeschlossen"),1,0)</f>
        <v/>
      </c>
      <c r="S803" s="61">
        <f>S393*IF(EXACT(S$8,"abgeschlossen"),1,0)</f>
        <v/>
      </c>
      <c r="T803" s="61">
        <f>T393*IF(EXACT(T$8,"abgeschlossen"),1,0)</f>
        <v/>
      </c>
      <c r="U803" s="61">
        <f>U393*IF(EXACT(U$8,"abgeschlossen"),1,0)</f>
        <v/>
      </c>
      <c r="V803" s="61">
        <f>V393*IF(EXACT(V$8,"abgeschlossen"),1,0)</f>
        <v/>
      </c>
    </row>
    <row r="804">
      <c r="C804" s="61">
        <f>C394*IF(EXACT(C$8,"abgeschlossen"),1,0)</f>
        <v/>
      </c>
      <c r="D804" s="61">
        <f>D394*IF(EXACT(D$8,"abgeschlossen"),1,0)</f>
        <v/>
      </c>
      <c r="E804" s="61">
        <f>E394*IF(EXACT(E$8,"abgeschlossen"),1,0)</f>
        <v/>
      </c>
      <c r="F804" s="61">
        <f>F394*IF(EXACT(F$8,"abgeschlossen"),1,0)</f>
        <v/>
      </c>
      <c r="G804" s="61">
        <f>G394*IF(EXACT(G$8,"abgeschlossen"),1,0)</f>
        <v/>
      </c>
      <c r="H804" s="61">
        <f>H394*IF(EXACT(H$8,"abgeschlossen"),1,0)</f>
        <v/>
      </c>
      <c r="I804" s="61">
        <f>I394*IF(EXACT(I$8,"abgeschlossen"),1,0)</f>
        <v/>
      </c>
      <c r="J804" s="61">
        <f>J394*IF(EXACT(J$8,"abgeschlossen"),1,0)</f>
        <v/>
      </c>
      <c r="K804" s="61">
        <f>K394*IF(EXACT(K$8,"abgeschlossen"),1,0)</f>
        <v/>
      </c>
      <c r="L804" s="61">
        <f>L394*IF(EXACT(L$8,"abgeschlossen"),1,0)</f>
        <v/>
      </c>
      <c r="M804" s="61">
        <f>M394*IF(EXACT(M$8,"abgeschlossen"),1,0)</f>
        <v/>
      </c>
      <c r="N804" s="61">
        <f>N394*IF(EXACT(N$8,"abgeschlossen"),1,0)</f>
        <v/>
      </c>
      <c r="O804" s="61">
        <f>O394*IF(EXACT(O$8,"abgeschlossen"),1,0)</f>
        <v/>
      </c>
      <c r="P804" s="61">
        <f>P394*IF(EXACT(P$8,"abgeschlossen"),1,0)</f>
        <v/>
      </c>
      <c r="Q804" s="61">
        <f>Q394*IF(EXACT(Q$8,"abgeschlossen"),1,0)</f>
        <v/>
      </c>
      <c r="R804" s="61">
        <f>R394*IF(EXACT(R$8,"abgeschlossen"),1,0)</f>
        <v/>
      </c>
      <c r="S804" s="61">
        <f>S394*IF(EXACT(S$8,"abgeschlossen"),1,0)</f>
        <v/>
      </c>
      <c r="T804" s="61">
        <f>T394*IF(EXACT(T$8,"abgeschlossen"),1,0)</f>
        <v/>
      </c>
      <c r="U804" s="61">
        <f>U394*IF(EXACT(U$8,"abgeschlossen"),1,0)</f>
        <v/>
      </c>
      <c r="V804" s="61">
        <f>V394*IF(EXACT(V$8,"abgeschlossen"),1,0)</f>
        <v/>
      </c>
    </row>
    <row r="805">
      <c r="C805" s="61">
        <f>C395*IF(EXACT(C$8,"abgeschlossen"),1,0)</f>
        <v/>
      </c>
      <c r="D805" s="61">
        <f>D395*IF(EXACT(D$8,"abgeschlossen"),1,0)</f>
        <v/>
      </c>
      <c r="E805" s="61">
        <f>E395*IF(EXACT(E$8,"abgeschlossen"),1,0)</f>
        <v/>
      </c>
      <c r="F805" s="61">
        <f>F395*IF(EXACT(F$8,"abgeschlossen"),1,0)</f>
        <v/>
      </c>
      <c r="G805" s="61">
        <f>G395*IF(EXACT(G$8,"abgeschlossen"),1,0)</f>
        <v/>
      </c>
      <c r="H805" s="61">
        <f>H395*IF(EXACT(H$8,"abgeschlossen"),1,0)</f>
        <v/>
      </c>
      <c r="I805" s="61">
        <f>I395*IF(EXACT(I$8,"abgeschlossen"),1,0)</f>
        <v/>
      </c>
      <c r="J805" s="61">
        <f>J395*IF(EXACT(J$8,"abgeschlossen"),1,0)</f>
        <v/>
      </c>
      <c r="K805" s="61">
        <f>K395*IF(EXACT(K$8,"abgeschlossen"),1,0)</f>
        <v/>
      </c>
      <c r="L805" s="61">
        <f>L395*IF(EXACT(L$8,"abgeschlossen"),1,0)</f>
        <v/>
      </c>
      <c r="M805" s="61">
        <f>M395*IF(EXACT(M$8,"abgeschlossen"),1,0)</f>
        <v/>
      </c>
      <c r="N805" s="61">
        <f>N395*IF(EXACT(N$8,"abgeschlossen"),1,0)</f>
        <v/>
      </c>
      <c r="O805" s="61">
        <f>O395*IF(EXACT(O$8,"abgeschlossen"),1,0)</f>
        <v/>
      </c>
      <c r="P805" s="61">
        <f>P395*IF(EXACT(P$8,"abgeschlossen"),1,0)</f>
        <v/>
      </c>
      <c r="Q805" s="61">
        <f>Q395*IF(EXACT(Q$8,"abgeschlossen"),1,0)</f>
        <v/>
      </c>
      <c r="R805" s="61">
        <f>R395*IF(EXACT(R$8,"abgeschlossen"),1,0)</f>
        <v/>
      </c>
      <c r="S805" s="61">
        <f>S395*IF(EXACT(S$8,"abgeschlossen"),1,0)</f>
        <v/>
      </c>
      <c r="T805" s="61">
        <f>T395*IF(EXACT(T$8,"abgeschlossen"),1,0)</f>
        <v/>
      </c>
      <c r="U805" s="61">
        <f>U395*IF(EXACT(U$8,"abgeschlossen"),1,0)</f>
        <v/>
      </c>
      <c r="V805" s="61">
        <f>V395*IF(EXACT(V$8,"abgeschlossen"),1,0)</f>
        <v/>
      </c>
    </row>
    <row r="806">
      <c r="C806" s="61">
        <f>C396*IF(EXACT(C$8,"abgeschlossen"),1,0)</f>
        <v/>
      </c>
      <c r="D806" s="61">
        <f>D396*IF(EXACT(D$8,"abgeschlossen"),1,0)</f>
        <v/>
      </c>
      <c r="E806" s="61">
        <f>E396*IF(EXACT(E$8,"abgeschlossen"),1,0)</f>
        <v/>
      </c>
      <c r="F806" s="61">
        <f>F396*IF(EXACT(F$8,"abgeschlossen"),1,0)</f>
        <v/>
      </c>
      <c r="G806" s="61">
        <f>G396*IF(EXACT(G$8,"abgeschlossen"),1,0)</f>
        <v/>
      </c>
      <c r="H806" s="61">
        <f>H396*IF(EXACT(H$8,"abgeschlossen"),1,0)</f>
        <v/>
      </c>
      <c r="I806" s="61">
        <f>I396*IF(EXACT(I$8,"abgeschlossen"),1,0)</f>
        <v/>
      </c>
      <c r="J806" s="61">
        <f>J396*IF(EXACT(J$8,"abgeschlossen"),1,0)</f>
        <v/>
      </c>
      <c r="K806" s="61">
        <f>K396*IF(EXACT(K$8,"abgeschlossen"),1,0)</f>
        <v/>
      </c>
      <c r="L806" s="61">
        <f>L396*IF(EXACT(L$8,"abgeschlossen"),1,0)</f>
        <v/>
      </c>
      <c r="M806" s="61">
        <f>M396*IF(EXACT(M$8,"abgeschlossen"),1,0)</f>
        <v/>
      </c>
      <c r="N806" s="61">
        <f>N396*IF(EXACT(N$8,"abgeschlossen"),1,0)</f>
        <v/>
      </c>
      <c r="O806" s="61">
        <f>O396*IF(EXACT(O$8,"abgeschlossen"),1,0)</f>
        <v/>
      </c>
      <c r="P806" s="61">
        <f>P396*IF(EXACT(P$8,"abgeschlossen"),1,0)</f>
        <v/>
      </c>
      <c r="Q806" s="61">
        <f>Q396*IF(EXACT(Q$8,"abgeschlossen"),1,0)</f>
        <v/>
      </c>
      <c r="R806" s="61">
        <f>R396*IF(EXACT(R$8,"abgeschlossen"),1,0)</f>
        <v/>
      </c>
      <c r="S806" s="61">
        <f>S396*IF(EXACT(S$8,"abgeschlossen"),1,0)</f>
        <v/>
      </c>
      <c r="T806" s="61">
        <f>T396*IF(EXACT(T$8,"abgeschlossen"),1,0)</f>
        <v/>
      </c>
      <c r="U806" s="61">
        <f>U396*IF(EXACT(U$8,"abgeschlossen"),1,0)</f>
        <v/>
      </c>
      <c r="V806" s="61">
        <f>V396*IF(EXACT(V$8,"abgeschlossen"),1,0)</f>
        <v/>
      </c>
    </row>
    <row r="807">
      <c r="C807" s="61">
        <f>C397*IF(EXACT(C$8,"abgeschlossen"),1,0)</f>
        <v/>
      </c>
      <c r="D807" s="61">
        <f>D397*IF(EXACT(D$8,"abgeschlossen"),1,0)</f>
        <v/>
      </c>
      <c r="E807" s="61">
        <f>E397*IF(EXACT(E$8,"abgeschlossen"),1,0)</f>
        <v/>
      </c>
      <c r="F807" s="61">
        <f>F397*IF(EXACT(F$8,"abgeschlossen"),1,0)</f>
        <v/>
      </c>
      <c r="G807" s="61">
        <f>G397*IF(EXACT(G$8,"abgeschlossen"),1,0)</f>
        <v/>
      </c>
      <c r="H807" s="61">
        <f>H397*IF(EXACT(H$8,"abgeschlossen"),1,0)</f>
        <v/>
      </c>
      <c r="I807" s="61">
        <f>I397*IF(EXACT(I$8,"abgeschlossen"),1,0)</f>
        <v/>
      </c>
      <c r="J807" s="61">
        <f>J397*IF(EXACT(J$8,"abgeschlossen"),1,0)</f>
        <v/>
      </c>
      <c r="K807" s="61">
        <f>K397*IF(EXACT(K$8,"abgeschlossen"),1,0)</f>
        <v/>
      </c>
      <c r="L807" s="61">
        <f>L397*IF(EXACT(L$8,"abgeschlossen"),1,0)</f>
        <v/>
      </c>
      <c r="M807" s="61">
        <f>M397*IF(EXACT(M$8,"abgeschlossen"),1,0)</f>
        <v/>
      </c>
      <c r="N807" s="61">
        <f>N397*IF(EXACT(N$8,"abgeschlossen"),1,0)</f>
        <v/>
      </c>
      <c r="O807" s="61">
        <f>O397*IF(EXACT(O$8,"abgeschlossen"),1,0)</f>
        <v/>
      </c>
      <c r="P807" s="61">
        <f>P397*IF(EXACT(P$8,"abgeschlossen"),1,0)</f>
        <v/>
      </c>
      <c r="Q807" s="61">
        <f>Q397*IF(EXACT(Q$8,"abgeschlossen"),1,0)</f>
        <v/>
      </c>
      <c r="R807" s="61">
        <f>R397*IF(EXACT(R$8,"abgeschlossen"),1,0)</f>
        <v/>
      </c>
      <c r="S807" s="61">
        <f>S397*IF(EXACT(S$8,"abgeschlossen"),1,0)</f>
        <v/>
      </c>
      <c r="T807" s="61">
        <f>T397*IF(EXACT(T$8,"abgeschlossen"),1,0)</f>
        <v/>
      </c>
      <c r="U807" s="61">
        <f>U397*IF(EXACT(U$8,"abgeschlossen"),1,0)</f>
        <v/>
      </c>
      <c r="V807" s="61">
        <f>V397*IF(EXACT(V$8,"abgeschlossen"),1,0)</f>
        <v/>
      </c>
    </row>
    <row r="808">
      <c r="C808" s="61">
        <f>C398*IF(EXACT(C$8,"abgeschlossen"),1,0)</f>
        <v/>
      </c>
      <c r="D808" s="61">
        <f>D398*IF(EXACT(D$8,"abgeschlossen"),1,0)</f>
        <v/>
      </c>
      <c r="E808" s="61">
        <f>E398*IF(EXACT(E$8,"abgeschlossen"),1,0)</f>
        <v/>
      </c>
      <c r="F808" s="61">
        <f>F398*IF(EXACT(F$8,"abgeschlossen"),1,0)</f>
        <v/>
      </c>
      <c r="G808" s="61">
        <f>G398*IF(EXACT(G$8,"abgeschlossen"),1,0)</f>
        <v/>
      </c>
      <c r="H808" s="61">
        <f>H398*IF(EXACT(H$8,"abgeschlossen"),1,0)</f>
        <v/>
      </c>
      <c r="I808" s="61">
        <f>I398*IF(EXACT(I$8,"abgeschlossen"),1,0)</f>
        <v/>
      </c>
      <c r="J808" s="61">
        <f>J398*IF(EXACT(J$8,"abgeschlossen"),1,0)</f>
        <v/>
      </c>
      <c r="K808" s="61">
        <f>K398*IF(EXACT(K$8,"abgeschlossen"),1,0)</f>
        <v/>
      </c>
      <c r="L808" s="61">
        <f>L398*IF(EXACT(L$8,"abgeschlossen"),1,0)</f>
        <v/>
      </c>
      <c r="M808" s="61">
        <f>M398*IF(EXACT(M$8,"abgeschlossen"),1,0)</f>
        <v/>
      </c>
      <c r="N808" s="61">
        <f>N398*IF(EXACT(N$8,"abgeschlossen"),1,0)</f>
        <v/>
      </c>
      <c r="O808" s="61">
        <f>O398*IF(EXACT(O$8,"abgeschlossen"),1,0)</f>
        <v/>
      </c>
      <c r="P808" s="61">
        <f>P398*IF(EXACT(P$8,"abgeschlossen"),1,0)</f>
        <v/>
      </c>
      <c r="Q808" s="61">
        <f>Q398*IF(EXACT(Q$8,"abgeschlossen"),1,0)</f>
        <v/>
      </c>
      <c r="R808" s="61">
        <f>R398*IF(EXACT(R$8,"abgeschlossen"),1,0)</f>
        <v/>
      </c>
      <c r="S808" s="61">
        <f>S398*IF(EXACT(S$8,"abgeschlossen"),1,0)</f>
        <v/>
      </c>
      <c r="T808" s="61">
        <f>T398*IF(EXACT(T$8,"abgeschlossen"),1,0)</f>
        <v/>
      </c>
      <c r="U808" s="61">
        <f>U398*IF(EXACT(U$8,"abgeschlossen"),1,0)</f>
        <v/>
      </c>
      <c r="V808" s="61">
        <f>V398*IF(EXACT(V$8,"abgeschlossen"),1,0)</f>
        <v/>
      </c>
    </row>
    <row r="809">
      <c r="C809" s="61">
        <f>C399*IF(EXACT(C$8,"abgeschlossen"),1,0)</f>
        <v/>
      </c>
      <c r="D809" s="61">
        <f>D399*IF(EXACT(D$8,"abgeschlossen"),1,0)</f>
        <v/>
      </c>
      <c r="E809" s="61">
        <f>E399*IF(EXACT(E$8,"abgeschlossen"),1,0)</f>
        <v/>
      </c>
      <c r="F809" s="61">
        <f>F399*IF(EXACT(F$8,"abgeschlossen"),1,0)</f>
        <v/>
      </c>
      <c r="G809" s="61">
        <f>G399*IF(EXACT(G$8,"abgeschlossen"),1,0)</f>
        <v/>
      </c>
      <c r="H809" s="61">
        <f>H399*IF(EXACT(H$8,"abgeschlossen"),1,0)</f>
        <v/>
      </c>
      <c r="I809" s="61">
        <f>I399*IF(EXACT(I$8,"abgeschlossen"),1,0)</f>
        <v/>
      </c>
      <c r="J809" s="61">
        <f>J399*IF(EXACT(J$8,"abgeschlossen"),1,0)</f>
        <v/>
      </c>
      <c r="K809" s="61">
        <f>K399*IF(EXACT(K$8,"abgeschlossen"),1,0)</f>
        <v/>
      </c>
      <c r="L809" s="61">
        <f>L399*IF(EXACT(L$8,"abgeschlossen"),1,0)</f>
        <v/>
      </c>
      <c r="M809" s="61">
        <f>M399*IF(EXACT(M$8,"abgeschlossen"),1,0)</f>
        <v/>
      </c>
      <c r="N809" s="61">
        <f>N399*IF(EXACT(N$8,"abgeschlossen"),1,0)</f>
        <v/>
      </c>
      <c r="O809" s="61">
        <f>O399*IF(EXACT(O$8,"abgeschlossen"),1,0)</f>
        <v/>
      </c>
      <c r="P809" s="61">
        <f>P399*IF(EXACT(P$8,"abgeschlossen"),1,0)</f>
        <v/>
      </c>
      <c r="Q809" s="61">
        <f>Q399*IF(EXACT(Q$8,"abgeschlossen"),1,0)</f>
        <v/>
      </c>
      <c r="R809" s="61">
        <f>R399*IF(EXACT(R$8,"abgeschlossen"),1,0)</f>
        <v/>
      </c>
      <c r="S809" s="61">
        <f>S399*IF(EXACT(S$8,"abgeschlossen"),1,0)</f>
        <v/>
      </c>
      <c r="T809" s="61">
        <f>T399*IF(EXACT(T$8,"abgeschlossen"),1,0)</f>
        <v/>
      </c>
      <c r="U809" s="61">
        <f>U399*IF(EXACT(U$8,"abgeschlossen"),1,0)</f>
        <v/>
      </c>
      <c r="V809" s="61">
        <f>V399*IF(EXACT(V$8,"abgeschlossen"),1,0)</f>
        <v/>
      </c>
    </row>
    <row r="810">
      <c r="C810" s="61">
        <f>C400*IF(EXACT(C$8,"abgeschlossen"),1,0)</f>
        <v/>
      </c>
      <c r="D810" s="61">
        <f>D400*IF(EXACT(D$8,"abgeschlossen"),1,0)</f>
        <v/>
      </c>
      <c r="E810" s="61">
        <f>E400*IF(EXACT(E$8,"abgeschlossen"),1,0)</f>
        <v/>
      </c>
      <c r="F810" s="61">
        <f>F400*IF(EXACT(F$8,"abgeschlossen"),1,0)</f>
        <v/>
      </c>
      <c r="G810" s="61">
        <f>G400*IF(EXACT(G$8,"abgeschlossen"),1,0)</f>
        <v/>
      </c>
      <c r="H810" s="61">
        <f>H400*IF(EXACT(H$8,"abgeschlossen"),1,0)</f>
        <v/>
      </c>
      <c r="I810" s="61">
        <f>I400*IF(EXACT(I$8,"abgeschlossen"),1,0)</f>
        <v/>
      </c>
      <c r="J810" s="61">
        <f>J400*IF(EXACT(J$8,"abgeschlossen"),1,0)</f>
        <v/>
      </c>
      <c r="K810" s="61">
        <f>K400*IF(EXACT(K$8,"abgeschlossen"),1,0)</f>
        <v/>
      </c>
      <c r="L810" s="61">
        <f>L400*IF(EXACT(L$8,"abgeschlossen"),1,0)</f>
        <v/>
      </c>
      <c r="M810" s="61">
        <f>M400*IF(EXACT(M$8,"abgeschlossen"),1,0)</f>
        <v/>
      </c>
      <c r="N810" s="61">
        <f>N400*IF(EXACT(N$8,"abgeschlossen"),1,0)</f>
        <v/>
      </c>
      <c r="O810" s="61">
        <f>O400*IF(EXACT(O$8,"abgeschlossen"),1,0)</f>
        <v/>
      </c>
      <c r="P810" s="61">
        <f>P400*IF(EXACT(P$8,"abgeschlossen"),1,0)</f>
        <v/>
      </c>
      <c r="Q810" s="61">
        <f>Q400*IF(EXACT(Q$8,"abgeschlossen"),1,0)</f>
        <v/>
      </c>
      <c r="R810" s="61">
        <f>R400*IF(EXACT(R$8,"abgeschlossen"),1,0)</f>
        <v/>
      </c>
      <c r="S810" s="61">
        <f>S400*IF(EXACT(S$8,"abgeschlossen"),1,0)</f>
        <v/>
      </c>
      <c r="T810" s="61">
        <f>T400*IF(EXACT(T$8,"abgeschlossen"),1,0)</f>
        <v/>
      </c>
      <c r="U810" s="61">
        <f>U400*IF(EXACT(U$8,"abgeschlossen"),1,0)</f>
        <v/>
      </c>
      <c r="V810" s="61">
        <f>V400*IF(EXACT(V$8,"abgeschlossen"),1,0)</f>
        <v/>
      </c>
    </row>
    <row r="811">
      <c r="C811" s="61">
        <f>C401*IF(EXACT(C$8,"abgeschlossen"),1,0)</f>
        <v/>
      </c>
      <c r="D811" s="61">
        <f>D401*IF(EXACT(D$8,"abgeschlossen"),1,0)</f>
        <v/>
      </c>
      <c r="E811" s="61">
        <f>E401*IF(EXACT(E$8,"abgeschlossen"),1,0)</f>
        <v/>
      </c>
      <c r="F811" s="61">
        <f>F401*IF(EXACT(F$8,"abgeschlossen"),1,0)</f>
        <v/>
      </c>
      <c r="G811" s="61">
        <f>G401*IF(EXACT(G$8,"abgeschlossen"),1,0)</f>
        <v/>
      </c>
      <c r="H811" s="61">
        <f>H401*IF(EXACT(H$8,"abgeschlossen"),1,0)</f>
        <v/>
      </c>
      <c r="I811" s="61">
        <f>I401*IF(EXACT(I$8,"abgeschlossen"),1,0)</f>
        <v/>
      </c>
      <c r="J811" s="61">
        <f>J401*IF(EXACT(J$8,"abgeschlossen"),1,0)</f>
        <v/>
      </c>
      <c r="K811" s="61">
        <f>K401*IF(EXACT(K$8,"abgeschlossen"),1,0)</f>
        <v/>
      </c>
      <c r="L811" s="61">
        <f>L401*IF(EXACT(L$8,"abgeschlossen"),1,0)</f>
        <v/>
      </c>
      <c r="M811" s="61">
        <f>M401*IF(EXACT(M$8,"abgeschlossen"),1,0)</f>
        <v/>
      </c>
      <c r="N811" s="61">
        <f>N401*IF(EXACT(N$8,"abgeschlossen"),1,0)</f>
        <v/>
      </c>
      <c r="O811" s="61">
        <f>O401*IF(EXACT(O$8,"abgeschlossen"),1,0)</f>
        <v/>
      </c>
      <c r="P811" s="61">
        <f>P401*IF(EXACT(P$8,"abgeschlossen"),1,0)</f>
        <v/>
      </c>
      <c r="Q811" s="61">
        <f>Q401*IF(EXACT(Q$8,"abgeschlossen"),1,0)</f>
        <v/>
      </c>
      <c r="R811" s="61">
        <f>R401*IF(EXACT(R$8,"abgeschlossen"),1,0)</f>
        <v/>
      </c>
      <c r="S811" s="61">
        <f>S401*IF(EXACT(S$8,"abgeschlossen"),1,0)</f>
        <v/>
      </c>
      <c r="T811" s="61">
        <f>T401*IF(EXACT(T$8,"abgeschlossen"),1,0)</f>
        <v/>
      </c>
      <c r="U811" s="61">
        <f>U401*IF(EXACT(U$8,"abgeschlossen"),1,0)</f>
        <v/>
      </c>
      <c r="V811" s="61">
        <f>V401*IF(EXACT(V$8,"abgeschlossen"),1,0)</f>
        <v/>
      </c>
    </row>
    <row r="812">
      <c r="C812" s="61">
        <f>C402*IF(EXACT(C$8,"abgeschlossen"),1,0)</f>
        <v/>
      </c>
      <c r="D812" s="61">
        <f>D402*IF(EXACT(D$8,"abgeschlossen"),1,0)</f>
        <v/>
      </c>
      <c r="E812" s="61">
        <f>E402*IF(EXACT(E$8,"abgeschlossen"),1,0)</f>
        <v/>
      </c>
      <c r="F812" s="61">
        <f>F402*IF(EXACT(F$8,"abgeschlossen"),1,0)</f>
        <v/>
      </c>
      <c r="G812" s="61">
        <f>G402*IF(EXACT(G$8,"abgeschlossen"),1,0)</f>
        <v/>
      </c>
      <c r="H812" s="61">
        <f>H402*IF(EXACT(H$8,"abgeschlossen"),1,0)</f>
        <v/>
      </c>
      <c r="I812" s="61">
        <f>I402*IF(EXACT(I$8,"abgeschlossen"),1,0)</f>
        <v/>
      </c>
      <c r="J812" s="61">
        <f>J402*IF(EXACT(J$8,"abgeschlossen"),1,0)</f>
        <v/>
      </c>
      <c r="K812" s="61">
        <f>K402*IF(EXACT(K$8,"abgeschlossen"),1,0)</f>
        <v/>
      </c>
      <c r="L812" s="61">
        <f>L402*IF(EXACT(L$8,"abgeschlossen"),1,0)</f>
        <v/>
      </c>
      <c r="M812" s="61">
        <f>M402*IF(EXACT(M$8,"abgeschlossen"),1,0)</f>
        <v/>
      </c>
      <c r="N812" s="61">
        <f>N402*IF(EXACT(N$8,"abgeschlossen"),1,0)</f>
        <v/>
      </c>
      <c r="O812" s="61">
        <f>O402*IF(EXACT(O$8,"abgeschlossen"),1,0)</f>
        <v/>
      </c>
      <c r="P812" s="61">
        <f>P402*IF(EXACT(P$8,"abgeschlossen"),1,0)</f>
        <v/>
      </c>
      <c r="Q812" s="61">
        <f>Q402*IF(EXACT(Q$8,"abgeschlossen"),1,0)</f>
        <v/>
      </c>
      <c r="R812" s="61">
        <f>R402*IF(EXACT(R$8,"abgeschlossen"),1,0)</f>
        <v/>
      </c>
      <c r="S812" s="61">
        <f>S402*IF(EXACT(S$8,"abgeschlossen"),1,0)</f>
        <v/>
      </c>
      <c r="T812" s="61">
        <f>T402*IF(EXACT(T$8,"abgeschlossen"),1,0)</f>
        <v/>
      </c>
      <c r="U812" s="61">
        <f>U402*IF(EXACT(U$8,"abgeschlossen"),1,0)</f>
        <v/>
      </c>
      <c r="V812" s="61">
        <f>V402*IF(EXACT(V$8,"abgeschlossen"),1,0)</f>
        <v/>
      </c>
    </row>
    <row r="813">
      <c r="C813" s="61">
        <f>C403*IF(EXACT(C$8,"abgeschlossen"),1,0)</f>
        <v/>
      </c>
      <c r="D813" s="61">
        <f>D403*IF(EXACT(D$8,"abgeschlossen"),1,0)</f>
        <v/>
      </c>
      <c r="E813" s="61">
        <f>E403*IF(EXACT(E$8,"abgeschlossen"),1,0)</f>
        <v/>
      </c>
      <c r="F813" s="61">
        <f>F403*IF(EXACT(F$8,"abgeschlossen"),1,0)</f>
        <v/>
      </c>
      <c r="G813" s="61">
        <f>G403*IF(EXACT(G$8,"abgeschlossen"),1,0)</f>
        <v/>
      </c>
      <c r="H813" s="61">
        <f>H403*IF(EXACT(H$8,"abgeschlossen"),1,0)</f>
        <v/>
      </c>
      <c r="I813" s="61">
        <f>I403*IF(EXACT(I$8,"abgeschlossen"),1,0)</f>
        <v/>
      </c>
      <c r="J813" s="61">
        <f>J403*IF(EXACT(J$8,"abgeschlossen"),1,0)</f>
        <v/>
      </c>
      <c r="K813" s="61">
        <f>K403*IF(EXACT(K$8,"abgeschlossen"),1,0)</f>
        <v/>
      </c>
      <c r="L813" s="61">
        <f>L403*IF(EXACT(L$8,"abgeschlossen"),1,0)</f>
        <v/>
      </c>
      <c r="M813" s="61">
        <f>M403*IF(EXACT(M$8,"abgeschlossen"),1,0)</f>
        <v/>
      </c>
      <c r="N813" s="61">
        <f>N403*IF(EXACT(N$8,"abgeschlossen"),1,0)</f>
        <v/>
      </c>
      <c r="O813" s="61">
        <f>O403*IF(EXACT(O$8,"abgeschlossen"),1,0)</f>
        <v/>
      </c>
      <c r="P813" s="61">
        <f>P403*IF(EXACT(P$8,"abgeschlossen"),1,0)</f>
        <v/>
      </c>
      <c r="Q813" s="61">
        <f>Q403*IF(EXACT(Q$8,"abgeschlossen"),1,0)</f>
        <v/>
      </c>
      <c r="R813" s="61">
        <f>R403*IF(EXACT(R$8,"abgeschlossen"),1,0)</f>
        <v/>
      </c>
      <c r="S813" s="61">
        <f>S403*IF(EXACT(S$8,"abgeschlossen"),1,0)</f>
        <v/>
      </c>
      <c r="T813" s="61">
        <f>T403*IF(EXACT(T$8,"abgeschlossen"),1,0)</f>
        <v/>
      </c>
      <c r="U813" s="61">
        <f>U403*IF(EXACT(U$8,"abgeschlossen"),1,0)</f>
        <v/>
      </c>
      <c r="V813" s="61">
        <f>V403*IF(EXACT(V$8,"abgeschlossen"),1,0)</f>
        <v/>
      </c>
    </row>
    <row r="814">
      <c r="C814" s="61">
        <f>C404*IF(EXACT(C$8,"abgeschlossen"),1,0)</f>
        <v/>
      </c>
      <c r="D814" s="61">
        <f>D404*IF(EXACT(D$8,"abgeschlossen"),1,0)</f>
        <v/>
      </c>
      <c r="E814" s="61">
        <f>E404*IF(EXACT(E$8,"abgeschlossen"),1,0)</f>
        <v/>
      </c>
      <c r="F814" s="61">
        <f>F404*IF(EXACT(F$8,"abgeschlossen"),1,0)</f>
        <v/>
      </c>
      <c r="G814" s="61">
        <f>G404*IF(EXACT(G$8,"abgeschlossen"),1,0)</f>
        <v/>
      </c>
      <c r="H814" s="61">
        <f>H404*IF(EXACT(H$8,"abgeschlossen"),1,0)</f>
        <v/>
      </c>
      <c r="I814" s="61">
        <f>I404*IF(EXACT(I$8,"abgeschlossen"),1,0)</f>
        <v/>
      </c>
      <c r="J814" s="61">
        <f>J404*IF(EXACT(J$8,"abgeschlossen"),1,0)</f>
        <v/>
      </c>
      <c r="K814" s="61">
        <f>K404*IF(EXACT(K$8,"abgeschlossen"),1,0)</f>
        <v/>
      </c>
      <c r="L814" s="61">
        <f>L404*IF(EXACT(L$8,"abgeschlossen"),1,0)</f>
        <v/>
      </c>
      <c r="M814" s="61">
        <f>M404*IF(EXACT(M$8,"abgeschlossen"),1,0)</f>
        <v/>
      </c>
      <c r="N814" s="61">
        <f>N404*IF(EXACT(N$8,"abgeschlossen"),1,0)</f>
        <v/>
      </c>
      <c r="O814" s="61">
        <f>O404*IF(EXACT(O$8,"abgeschlossen"),1,0)</f>
        <v/>
      </c>
      <c r="P814" s="61">
        <f>P404*IF(EXACT(P$8,"abgeschlossen"),1,0)</f>
        <v/>
      </c>
      <c r="Q814" s="61">
        <f>Q404*IF(EXACT(Q$8,"abgeschlossen"),1,0)</f>
        <v/>
      </c>
      <c r="R814" s="61">
        <f>R404*IF(EXACT(R$8,"abgeschlossen"),1,0)</f>
        <v/>
      </c>
      <c r="S814" s="61">
        <f>S404*IF(EXACT(S$8,"abgeschlossen"),1,0)</f>
        <v/>
      </c>
      <c r="T814" s="61">
        <f>T404*IF(EXACT(T$8,"abgeschlossen"),1,0)</f>
        <v/>
      </c>
      <c r="U814" s="61">
        <f>U404*IF(EXACT(U$8,"abgeschlossen"),1,0)</f>
        <v/>
      </c>
      <c r="V814" s="61">
        <f>V404*IF(EXACT(V$8,"abgeschlossen"),1,0)</f>
        <v/>
      </c>
    </row>
    <row r="819">
      <c r="A819" s="162" t="inlineStr">
        <is>
          <t>Auswahlliste Azubis (alle aktiven)</t>
        </is>
      </c>
      <c r="B819" s="61">
        <f>COUNT($C$820:$C$844)</f>
        <v/>
      </c>
    </row>
    <row r="820">
      <c r="C820" s="61">
        <f>IF(AND('Stammdaten'!$B6&lt;&gt;"",'Stammdaten'!$G6="aktiv"),1,"")</f>
        <v/>
      </c>
      <c r="D820" s="62">
        <f>IFERROR(INDEX('Stammdaten'!$J$6:$J$30,SMALL($C$820:$C$844,ROW()-819)),"")</f>
        <v/>
      </c>
    </row>
    <row r="821">
      <c r="C821" s="61">
        <f>IF(AND('Stammdaten'!$B7&lt;&gt;"",'Stammdaten'!$G7="aktiv"),2,"")</f>
        <v/>
      </c>
      <c r="D821" s="62">
        <f>IFERROR(INDEX('Stammdaten'!$J$6:$J$30,SMALL($C$820:$C$844,ROW()-819)),"")</f>
        <v/>
      </c>
    </row>
    <row r="822">
      <c r="C822" s="61">
        <f>IF(AND('Stammdaten'!$B8&lt;&gt;"",'Stammdaten'!$G8="aktiv"),3,"")</f>
        <v/>
      </c>
      <c r="D822" s="62">
        <f>IFERROR(INDEX('Stammdaten'!$J$6:$J$30,SMALL($C$820:$C$844,ROW()-819)),"")</f>
        <v/>
      </c>
    </row>
    <row r="823">
      <c r="C823" s="61">
        <f>IF(AND('Stammdaten'!$B9&lt;&gt;"",'Stammdaten'!$G9="aktiv"),4,"")</f>
        <v/>
      </c>
      <c r="D823" s="62">
        <f>IFERROR(INDEX('Stammdaten'!$J$6:$J$30,SMALL($C$820:$C$844,ROW()-819)),"")</f>
        <v/>
      </c>
    </row>
    <row r="824">
      <c r="C824" s="61">
        <f>IF(AND('Stammdaten'!$B10&lt;&gt;"",'Stammdaten'!$G10="aktiv"),5,"")</f>
        <v/>
      </c>
      <c r="D824" s="62">
        <f>IFERROR(INDEX('Stammdaten'!$J$6:$J$30,SMALL($C$820:$C$844,ROW()-819)),"")</f>
        <v/>
      </c>
    </row>
    <row r="825">
      <c r="C825" s="61">
        <f>IF(AND('Stammdaten'!$B11&lt;&gt;"",'Stammdaten'!$G11="aktiv"),6,"")</f>
        <v/>
      </c>
      <c r="D825" s="62">
        <f>IFERROR(INDEX('Stammdaten'!$J$6:$J$30,SMALL($C$820:$C$844,ROW()-819)),"")</f>
        <v/>
      </c>
    </row>
    <row r="826">
      <c r="C826" s="61">
        <f>IF(AND('Stammdaten'!$B12&lt;&gt;"",'Stammdaten'!$G12="aktiv"),7,"")</f>
        <v/>
      </c>
      <c r="D826" s="62">
        <f>IFERROR(INDEX('Stammdaten'!$J$6:$J$30,SMALL($C$820:$C$844,ROW()-819)),"")</f>
        <v/>
      </c>
    </row>
    <row r="827">
      <c r="C827" s="61">
        <f>IF(AND('Stammdaten'!$B13&lt;&gt;"",'Stammdaten'!$G13="aktiv"),8,"")</f>
        <v/>
      </c>
      <c r="D827" s="62">
        <f>IFERROR(INDEX('Stammdaten'!$J$6:$J$30,SMALL($C$820:$C$844,ROW()-819)),"")</f>
        <v/>
      </c>
    </row>
    <row r="828">
      <c r="C828" s="61">
        <f>IF(AND('Stammdaten'!$B14&lt;&gt;"",'Stammdaten'!$G14="aktiv"),9,"")</f>
        <v/>
      </c>
      <c r="D828" s="62">
        <f>IFERROR(INDEX('Stammdaten'!$J$6:$J$30,SMALL($C$820:$C$844,ROW()-819)),"")</f>
        <v/>
      </c>
    </row>
    <row r="829">
      <c r="C829" s="61">
        <f>IF(AND('Stammdaten'!$B15&lt;&gt;"",'Stammdaten'!$G15="aktiv"),10,"")</f>
        <v/>
      </c>
      <c r="D829" s="62">
        <f>IFERROR(INDEX('Stammdaten'!$J$6:$J$30,SMALL($C$820:$C$844,ROW()-819)),"")</f>
        <v/>
      </c>
    </row>
    <row r="830">
      <c r="C830" s="61">
        <f>IF(AND('Stammdaten'!$B16&lt;&gt;"",'Stammdaten'!$G16="aktiv"),11,"")</f>
        <v/>
      </c>
      <c r="D830" s="62">
        <f>IFERROR(INDEX('Stammdaten'!$J$6:$J$30,SMALL($C$820:$C$844,ROW()-819)),"")</f>
        <v/>
      </c>
    </row>
    <row r="831">
      <c r="C831" s="61">
        <f>IF(AND('Stammdaten'!$B17&lt;&gt;"",'Stammdaten'!$G17="aktiv"),12,"")</f>
        <v/>
      </c>
      <c r="D831" s="62">
        <f>IFERROR(INDEX('Stammdaten'!$J$6:$J$30,SMALL($C$820:$C$844,ROW()-819)),"")</f>
        <v/>
      </c>
    </row>
    <row r="832">
      <c r="C832" s="61">
        <f>IF(AND('Stammdaten'!$B18&lt;&gt;"",'Stammdaten'!$G18="aktiv"),13,"")</f>
        <v/>
      </c>
      <c r="D832" s="62">
        <f>IFERROR(INDEX('Stammdaten'!$J$6:$J$30,SMALL($C$820:$C$844,ROW()-819)),"")</f>
        <v/>
      </c>
    </row>
    <row r="833">
      <c r="C833" s="61">
        <f>IF(AND('Stammdaten'!$B19&lt;&gt;"",'Stammdaten'!$G19="aktiv"),14,"")</f>
        <v/>
      </c>
      <c r="D833" s="62">
        <f>IFERROR(INDEX('Stammdaten'!$J$6:$J$30,SMALL($C$820:$C$844,ROW()-819)),"")</f>
        <v/>
      </c>
    </row>
    <row r="834">
      <c r="C834" s="61">
        <f>IF(AND('Stammdaten'!$B20&lt;&gt;"",'Stammdaten'!$G20="aktiv"),15,"")</f>
        <v/>
      </c>
      <c r="D834" s="62">
        <f>IFERROR(INDEX('Stammdaten'!$J$6:$J$30,SMALL($C$820:$C$844,ROW()-819)),"")</f>
        <v/>
      </c>
    </row>
    <row r="835">
      <c r="C835" s="61">
        <f>IF(AND('Stammdaten'!$B21&lt;&gt;"",'Stammdaten'!$G21="aktiv"),16,"")</f>
        <v/>
      </c>
      <c r="D835" s="62">
        <f>IFERROR(INDEX('Stammdaten'!$J$6:$J$30,SMALL($C$820:$C$844,ROW()-819)),"")</f>
        <v/>
      </c>
    </row>
    <row r="836">
      <c r="C836" s="61">
        <f>IF(AND('Stammdaten'!$B22&lt;&gt;"",'Stammdaten'!$G22="aktiv"),17,"")</f>
        <v/>
      </c>
      <c r="D836" s="62">
        <f>IFERROR(INDEX('Stammdaten'!$J$6:$J$30,SMALL($C$820:$C$844,ROW()-819)),"")</f>
        <v/>
      </c>
    </row>
    <row r="837">
      <c r="C837" s="61">
        <f>IF(AND('Stammdaten'!$B23&lt;&gt;"",'Stammdaten'!$G23="aktiv"),18,"")</f>
        <v/>
      </c>
      <c r="D837" s="62">
        <f>IFERROR(INDEX('Stammdaten'!$J$6:$J$30,SMALL($C$820:$C$844,ROW()-819)),"")</f>
        <v/>
      </c>
    </row>
    <row r="838">
      <c r="C838" s="61">
        <f>IF(AND('Stammdaten'!$B24&lt;&gt;"",'Stammdaten'!$G24="aktiv"),19,"")</f>
        <v/>
      </c>
      <c r="D838" s="62">
        <f>IFERROR(INDEX('Stammdaten'!$J$6:$J$30,SMALL($C$820:$C$844,ROW()-819)),"")</f>
        <v/>
      </c>
    </row>
    <row r="839">
      <c r="C839" s="61">
        <f>IF(AND('Stammdaten'!$B25&lt;&gt;"",'Stammdaten'!$G25="aktiv"),20,"")</f>
        <v/>
      </c>
      <c r="D839" s="62">
        <f>IFERROR(INDEX('Stammdaten'!$J$6:$J$30,SMALL($C$820:$C$844,ROW()-819)),"")</f>
        <v/>
      </c>
    </row>
    <row r="840">
      <c r="C840" s="61">
        <f>IF(AND('Stammdaten'!$B26&lt;&gt;"",'Stammdaten'!$G26="aktiv"),21,"")</f>
        <v/>
      </c>
      <c r="D840" s="62">
        <f>IFERROR(INDEX('Stammdaten'!$J$6:$J$30,SMALL($C$820:$C$844,ROW()-819)),"")</f>
        <v/>
      </c>
    </row>
    <row r="841">
      <c r="C841" s="61">
        <f>IF(AND('Stammdaten'!$B27&lt;&gt;"",'Stammdaten'!$G27="aktiv"),22,"")</f>
        <v/>
      </c>
      <c r="D841" s="62">
        <f>IFERROR(INDEX('Stammdaten'!$J$6:$J$30,SMALL($C$820:$C$844,ROW()-819)),"")</f>
        <v/>
      </c>
    </row>
    <row r="842">
      <c r="C842" s="61">
        <f>IF(AND('Stammdaten'!$B28&lt;&gt;"",'Stammdaten'!$G28="aktiv"),23,"")</f>
        <v/>
      </c>
      <c r="D842" s="62">
        <f>IFERROR(INDEX('Stammdaten'!$J$6:$J$30,SMALL($C$820:$C$844,ROW()-819)),"")</f>
        <v/>
      </c>
    </row>
    <row r="843">
      <c r="C843" s="61">
        <f>IF(AND('Stammdaten'!$B29&lt;&gt;"",'Stammdaten'!$G29="aktiv"),24,"")</f>
        <v/>
      </c>
      <c r="D843" s="62">
        <f>IFERROR(INDEX('Stammdaten'!$J$6:$J$30,SMALL($C$820:$C$844,ROW()-819)),"")</f>
        <v/>
      </c>
    </row>
    <row r="844">
      <c r="C844" s="61">
        <f>IF(AND('Stammdaten'!$B30&lt;&gt;"",'Stammdaten'!$G30="aktiv"),25,"")</f>
        <v/>
      </c>
      <c r="D844" s="62">
        <f>IFERROR(INDEX('Stammdaten'!$J$6:$J$30,SMALL($C$820:$C$844,ROW()-819)),"")</f>
        <v/>
      </c>
    </row>
  </sheetData>
  <mergeCells count="1">
    <mergeCell ref="A1:V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Ausbildung</dc:creator>
  <dc:title xmlns:dc="http://purl.org/dc/elements/1.1/">Azubi-Leistungen</dc:title>
  <dc:description xmlns:dc="http://purl.org/dc/elements/1.1/">Erfassung und Auswertung der Leistungen von Auszubildenden</dc:description>
  <dcterms:created xmlns:dcterms="http://purl.org/dc/terms/" xmlns:xsi="http://www.w3.org/2001/XMLSchema-instance" xsi:type="dcterms:W3CDTF">2026-10-24T21:40:06Z</dcterms:created>
  <dcterms:modified xmlns:dcterms="http://purl.org/dc/terms/" xmlns:xsi="http://www.w3.org/2001/XMLSchema-instance" xsi:type="dcterms:W3CDTF">2026-10-24T21:40:09Z</dcterms:modified>
</cp:coreProperties>
</file>